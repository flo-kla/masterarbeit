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florian_klawun_iu-study_org/Documents/IU Study/Marketing/19_Thesis/Anhang/ERGEBNISTABELLEN/"/>
    </mc:Choice>
  </mc:AlternateContent>
  <xr:revisionPtr revIDLastSave="1" documentId="11_AD4DB114E441178AC67DF44AC612D6E6693EDF18" xr6:coauthVersionLast="47" xr6:coauthVersionMax="47" xr10:uidLastSave="{BB62CB0E-35C6-43E4-ADE0-319FC0E2B476}"/>
  <bookViews>
    <workbookView xWindow="345" yWindow="3780" windowWidth="43200" windowHeight="11295" xr2:uid="{00000000-000D-0000-FFFF-FFFF00000000}"/>
  </bookViews>
  <sheets>
    <sheet name="Tabelle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1" i="1" l="1"/>
  <c r="C281" i="1" s="1"/>
  <c r="D280" i="1"/>
  <c r="C280" i="1" s="1"/>
  <c r="D279" i="1"/>
  <c r="C279" i="1" s="1"/>
  <c r="F279" i="1" s="1" a="1"/>
  <c r="F279" i="1" s="1"/>
  <c r="D278" i="1"/>
  <c r="C278" i="1" s="1"/>
  <c r="D277" i="1"/>
  <c r="C277" i="1" s="1"/>
  <c r="D276" i="1"/>
  <c r="C276" i="1" s="1"/>
  <c r="E276" i="1" s="1" a="1"/>
  <c r="E276" i="1" s="1"/>
  <c r="D275" i="1"/>
  <c r="C275" i="1" s="1"/>
  <c r="D274" i="1"/>
  <c r="C274" i="1"/>
  <c r="D273" i="1"/>
  <c r="C273" i="1" s="1"/>
  <c r="D272" i="1"/>
  <c r="C272" i="1" s="1"/>
  <c r="D271" i="1"/>
  <c r="C271" i="1" s="1"/>
  <c r="F271" i="1" s="1" a="1"/>
  <c r="F271" i="1" s="1"/>
  <c r="D270" i="1"/>
  <c r="C270" i="1" s="1"/>
  <c r="D269" i="1"/>
  <c r="C269" i="1" s="1"/>
  <c r="E268" i="1"/>
  <c r="D268" i="1"/>
  <c r="C268" i="1" s="1"/>
  <c r="E268" i="1" s="1" a="1"/>
  <c r="D267" i="1"/>
  <c r="C267" i="1" s="1"/>
  <c r="D266" i="1"/>
  <c r="C266" i="1"/>
  <c r="D265" i="1"/>
  <c r="C265" i="1" s="1"/>
  <c r="D264" i="1"/>
  <c r="C264" i="1" s="1"/>
  <c r="D263" i="1"/>
  <c r="C263" i="1" s="1"/>
  <c r="F263" i="1" s="1" a="1"/>
  <c r="F263" i="1" s="1"/>
  <c r="D262" i="1"/>
  <c r="C262" i="1" s="1"/>
  <c r="D261" i="1"/>
  <c r="C261" i="1" s="1"/>
  <c r="F260" i="1"/>
  <c r="F260" i="1" a="1"/>
  <c r="E260" i="1"/>
  <c r="D260" i="1"/>
  <c r="C260" i="1" s="1"/>
  <c r="E260" i="1" s="1" a="1"/>
  <c r="D259" i="1"/>
  <c r="C259" i="1" s="1"/>
  <c r="D258" i="1"/>
  <c r="C258" i="1" s="1"/>
  <c r="D257" i="1"/>
  <c r="C257" i="1" s="1"/>
  <c r="D256" i="1"/>
  <c r="C256" i="1" s="1"/>
  <c r="D255" i="1"/>
  <c r="C255" i="1" s="1"/>
  <c r="F255" i="1" s="1" a="1"/>
  <c r="F255" i="1" s="1"/>
  <c r="D254" i="1"/>
  <c r="C254" i="1" s="1"/>
  <c r="D253" i="1"/>
  <c r="C253" i="1" s="1"/>
  <c r="D252" i="1"/>
  <c r="C252" i="1" s="1"/>
  <c r="E252" i="1" s="1" a="1"/>
  <c r="E252" i="1" s="1"/>
  <c r="D251" i="1"/>
  <c r="C251" i="1" s="1"/>
  <c r="D250" i="1"/>
  <c r="C250" i="1" s="1"/>
  <c r="D249" i="1"/>
  <c r="C249" i="1" s="1"/>
  <c r="D248" i="1"/>
  <c r="C248" i="1" s="1"/>
  <c r="E247" i="1" a="1"/>
  <c r="E247" i="1" s="1"/>
  <c r="D247" i="1"/>
  <c r="C247" i="1" s="1"/>
  <c r="F247" i="1" s="1" a="1"/>
  <c r="F247" i="1" s="1"/>
  <c r="D246" i="1"/>
  <c r="C246" i="1" s="1"/>
  <c r="D245" i="1"/>
  <c r="C245" i="1" s="1"/>
  <c r="F244" i="1" a="1"/>
  <c r="F244" i="1" s="1"/>
  <c r="D244" i="1"/>
  <c r="C244" i="1" s="1"/>
  <c r="E244" i="1" s="1" a="1"/>
  <c r="E244" i="1" s="1"/>
  <c r="D243" i="1"/>
  <c r="C243" i="1" s="1"/>
  <c r="D242" i="1"/>
  <c r="C242" i="1"/>
  <c r="D241" i="1"/>
  <c r="C241" i="1" s="1"/>
  <c r="D240" i="1"/>
  <c r="C240" i="1" s="1"/>
  <c r="F239" i="1"/>
  <c r="E239" i="1" a="1"/>
  <c r="E239" i="1" s="1"/>
  <c r="D239" i="1"/>
  <c r="C239" i="1" s="1"/>
  <c r="F239" i="1" s="1" a="1"/>
  <c r="D238" i="1"/>
  <c r="C238" i="1" s="1"/>
  <c r="D237" i="1"/>
  <c r="C237" i="1" s="1"/>
  <c r="D236" i="1"/>
  <c r="C236" i="1" s="1"/>
  <c r="E236" i="1" s="1" a="1"/>
  <c r="E236" i="1" s="1"/>
  <c r="D235" i="1"/>
  <c r="C235" i="1" s="1"/>
  <c r="D234" i="1"/>
  <c r="C234" i="1"/>
  <c r="D233" i="1"/>
  <c r="C233" i="1" s="1"/>
  <c r="D232" i="1"/>
  <c r="C232" i="1" s="1"/>
  <c r="F231" i="1"/>
  <c r="E231" i="1" a="1"/>
  <c r="E231" i="1" s="1"/>
  <c r="D231" i="1"/>
  <c r="C231" i="1" s="1"/>
  <c r="F231" i="1" s="1" a="1"/>
  <c r="D230" i="1"/>
  <c r="C230" i="1" s="1"/>
  <c r="D229" i="1"/>
  <c r="C229" i="1" s="1"/>
  <c r="E228" i="1"/>
  <c r="D228" i="1"/>
  <c r="C228" i="1" s="1"/>
  <c r="E228" i="1" s="1" a="1"/>
  <c r="D227" i="1"/>
  <c r="C227" i="1" s="1"/>
  <c r="D226" i="1"/>
  <c r="C226" i="1" s="1"/>
  <c r="D225" i="1"/>
  <c r="C225" i="1" s="1"/>
  <c r="D224" i="1"/>
  <c r="C224" i="1" s="1"/>
  <c r="D223" i="1"/>
  <c r="C223" i="1" s="1"/>
  <c r="F223" i="1" s="1" a="1"/>
  <c r="F223" i="1" s="1"/>
  <c r="D222" i="1"/>
  <c r="C222" i="1" s="1"/>
  <c r="D221" i="1"/>
  <c r="C221" i="1" s="1"/>
  <c r="D220" i="1"/>
  <c r="C220" i="1" s="1"/>
  <c r="E220" i="1" s="1" a="1"/>
  <c r="E220" i="1" s="1"/>
  <c r="D219" i="1"/>
  <c r="C219" i="1" s="1"/>
  <c r="D218" i="1"/>
  <c r="C218" i="1" s="1"/>
  <c r="D217" i="1"/>
  <c r="C217" i="1" s="1"/>
  <c r="D216" i="1"/>
  <c r="C216" i="1" s="1"/>
  <c r="D215" i="1"/>
  <c r="C215" i="1" s="1"/>
  <c r="F215" i="1" s="1" a="1"/>
  <c r="F215" i="1" s="1"/>
  <c r="D214" i="1"/>
  <c r="C214" i="1" s="1"/>
  <c r="D213" i="1"/>
  <c r="C213" i="1" s="1"/>
  <c r="F212" i="1" a="1"/>
  <c r="F212" i="1" s="1"/>
  <c r="E212" i="1"/>
  <c r="D212" i="1"/>
  <c r="C212" i="1" s="1"/>
  <c r="E212" i="1" s="1" a="1"/>
  <c r="D211" i="1"/>
  <c r="C211" i="1" s="1"/>
  <c r="D210" i="1"/>
  <c r="C210" i="1" s="1"/>
  <c r="D209" i="1"/>
  <c r="C209" i="1" s="1"/>
  <c r="D208" i="1"/>
  <c r="C208" i="1" s="1"/>
  <c r="F207" i="1"/>
  <c r="D207" i="1"/>
  <c r="C207" i="1" s="1"/>
  <c r="F207" i="1" s="1" a="1"/>
  <c r="D206" i="1"/>
  <c r="C206" i="1" s="1"/>
  <c r="D205" i="1"/>
  <c r="C205" i="1" s="1"/>
  <c r="D204" i="1"/>
  <c r="C204" i="1" s="1"/>
  <c r="E204" i="1" s="1" a="1"/>
  <c r="E204" i="1" s="1"/>
  <c r="D203" i="1"/>
  <c r="C203" i="1" s="1"/>
  <c r="D202" i="1"/>
  <c r="C202" i="1"/>
  <c r="D201" i="1"/>
  <c r="C201" i="1" s="1"/>
  <c r="D200" i="1"/>
  <c r="C200" i="1" s="1"/>
  <c r="F199" i="1"/>
  <c r="E199" i="1" a="1"/>
  <c r="E199" i="1" s="1"/>
  <c r="D199" i="1"/>
  <c r="C199" i="1" s="1"/>
  <c r="F199" i="1" s="1" a="1"/>
  <c r="D198" i="1"/>
  <c r="C198" i="1" s="1"/>
  <c r="D197" i="1"/>
  <c r="C197" i="1" s="1"/>
  <c r="D196" i="1"/>
  <c r="C196" i="1" s="1"/>
  <c r="E196" i="1" s="1" a="1"/>
  <c r="E196" i="1" s="1"/>
  <c r="D195" i="1"/>
  <c r="C195" i="1" s="1"/>
  <c r="D194" i="1"/>
  <c r="C194" i="1" s="1"/>
  <c r="D193" i="1"/>
  <c r="C193" i="1" s="1"/>
  <c r="D192" i="1"/>
  <c r="C192" i="1" s="1"/>
  <c r="F191" i="1"/>
  <c r="E191" i="1" a="1"/>
  <c r="E191" i="1" s="1"/>
  <c r="D191" i="1"/>
  <c r="C191" i="1" s="1"/>
  <c r="F191" i="1" s="1" a="1"/>
  <c r="D190" i="1"/>
  <c r="C190" i="1" s="1"/>
  <c r="D189" i="1"/>
  <c r="C189" i="1" s="1"/>
  <c r="F188" i="1" a="1"/>
  <c r="F188" i="1" s="1"/>
  <c r="D188" i="1"/>
  <c r="C188" i="1" s="1"/>
  <c r="E188" i="1" s="1" a="1"/>
  <c r="E188" i="1" s="1"/>
  <c r="D187" i="1"/>
  <c r="C187" i="1" s="1"/>
  <c r="D186" i="1"/>
  <c r="C186" i="1" s="1"/>
  <c r="D185" i="1"/>
  <c r="C185" i="1" s="1"/>
  <c r="D184" i="1"/>
  <c r="C184" i="1" s="1"/>
  <c r="D183" i="1"/>
  <c r="C183" i="1" s="1"/>
  <c r="F183" i="1" s="1" a="1"/>
  <c r="F183" i="1" s="1"/>
  <c r="D182" i="1"/>
  <c r="C182" i="1" s="1"/>
  <c r="D181" i="1"/>
  <c r="C181" i="1" s="1"/>
  <c r="E180" i="1"/>
  <c r="D180" i="1"/>
  <c r="C180" i="1" s="1"/>
  <c r="E180" i="1" s="1" a="1"/>
  <c r="D179" i="1"/>
  <c r="C179" i="1" s="1"/>
  <c r="D178" i="1"/>
  <c r="C178" i="1" s="1"/>
  <c r="D177" i="1"/>
  <c r="C177" i="1" s="1"/>
  <c r="D176" i="1"/>
  <c r="C176" i="1" s="1"/>
  <c r="D175" i="1"/>
  <c r="C175" i="1" s="1"/>
  <c r="F175" i="1" s="1" a="1"/>
  <c r="F175" i="1" s="1"/>
  <c r="D174" i="1"/>
  <c r="C174" i="1" s="1"/>
  <c r="D173" i="1"/>
  <c r="C173" i="1" s="1"/>
  <c r="F172" i="1" a="1"/>
  <c r="F172" i="1" s="1"/>
  <c r="E172" i="1"/>
  <c r="D172" i="1"/>
  <c r="C172" i="1" s="1"/>
  <c r="E172" i="1" s="1" a="1"/>
  <c r="D171" i="1"/>
  <c r="C171" i="1" s="1"/>
  <c r="D170" i="1"/>
  <c r="C170" i="1" s="1"/>
  <c r="D169" i="1"/>
  <c r="C169" i="1" s="1"/>
  <c r="D168" i="1"/>
  <c r="C168" i="1" s="1"/>
  <c r="F167" i="1"/>
  <c r="E167" i="1"/>
  <c r="E167" i="1" a="1"/>
  <c r="D167" i="1"/>
  <c r="C167" i="1" s="1"/>
  <c r="F167" i="1" s="1" a="1"/>
  <c r="D166" i="1"/>
  <c r="C166" i="1" s="1"/>
  <c r="D165" i="1"/>
  <c r="C165" i="1" s="1"/>
  <c r="D164" i="1"/>
  <c r="C164" i="1" s="1"/>
  <c r="E164" i="1" s="1" a="1"/>
  <c r="E164" i="1" s="1"/>
  <c r="D163" i="1"/>
  <c r="C163" i="1" s="1"/>
  <c r="D162" i="1"/>
  <c r="C162" i="1"/>
  <c r="D161" i="1"/>
  <c r="C161" i="1" s="1"/>
  <c r="D160" i="1"/>
  <c r="C160" i="1" s="1"/>
  <c r="E159" i="1" a="1"/>
  <c r="E159" i="1" s="1"/>
  <c r="D159" i="1"/>
  <c r="C159" i="1" s="1"/>
  <c r="F159" i="1" s="1" a="1"/>
  <c r="F159" i="1" s="1"/>
  <c r="D158" i="1"/>
  <c r="C158" i="1" s="1"/>
  <c r="D157" i="1"/>
  <c r="C157" i="1" s="1"/>
  <c r="D156" i="1"/>
  <c r="C156" i="1" s="1"/>
  <c r="E156" i="1" s="1" a="1"/>
  <c r="E156" i="1" s="1"/>
  <c r="D155" i="1"/>
  <c r="C155" i="1" s="1"/>
  <c r="D154" i="1"/>
  <c r="C154" i="1" s="1"/>
  <c r="D153" i="1"/>
  <c r="C153" i="1" s="1"/>
  <c r="D152" i="1"/>
  <c r="C152" i="1" s="1"/>
  <c r="E151" i="1" a="1"/>
  <c r="E151" i="1" s="1"/>
  <c r="D151" i="1"/>
  <c r="C151" i="1" s="1"/>
  <c r="F151" i="1" s="1" a="1"/>
  <c r="F151" i="1" s="1"/>
  <c r="D150" i="1"/>
  <c r="C150" i="1" s="1"/>
  <c r="D149" i="1"/>
  <c r="C149" i="1" s="1"/>
  <c r="F148" i="1" a="1"/>
  <c r="F148" i="1" s="1"/>
  <c r="E148" i="1"/>
  <c r="D148" i="1"/>
  <c r="C148" i="1" s="1"/>
  <c r="E148" i="1" s="1" a="1"/>
  <c r="D147" i="1"/>
  <c r="C147" i="1" s="1"/>
  <c r="D146" i="1"/>
  <c r="C146" i="1" s="1"/>
  <c r="D145" i="1"/>
  <c r="C145" i="1" s="1"/>
  <c r="D144" i="1"/>
  <c r="C144" i="1" s="1"/>
  <c r="F143" i="1"/>
  <c r="D143" i="1"/>
  <c r="C143" i="1" s="1"/>
  <c r="F143" i="1" s="1" a="1"/>
  <c r="D142" i="1"/>
  <c r="C142" i="1" s="1"/>
  <c r="D141" i="1"/>
  <c r="C141" i="1" s="1"/>
  <c r="E140" i="1"/>
  <c r="D140" i="1"/>
  <c r="C140" i="1" s="1"/>
  <c r="E140" i="1" s="1" a="1"/>
  <c r="D139" i="1"/>
  <c r="C139" i="1" s="1"/>
  <c r="D138" i="1"/>
  <c r="C138" i="1" s="1"/>
  <c r="D137" i="1"/>
  <c r="C137" i="1" s="1"/>
  <c r="D136" i="1"/>
  <c r="C136" i="1" s="1"/>
  <c r="F135" i="1"/>
  <c r="E135" i="1"/>
  <c r="E135" i="1" a="1"/>
  <c r="D135" i="1"/>
  <c r="C135" i="1" s="1"/>
  <c r="F135" i="1" s="1" a="1"/>
  <c r="D134" i="1"/>
  <c r="C134" i="1" s="1"/>
  <c r="D133" i="1"/>
  <c r="C133" i="1" s="1"/>
  <c r="D132" i="1"/>
  <c r="C132" i="1" s="1"/>
  <c r="E132" i="1" s="1" a="1"/>
  <c r="E132" i="1" s="1"/>
  <c r="D131" i="1"/>
  <c r="C131" i="1" s="1"/>
  <c r="D130" i="1"/>
  <c r="C130" i="1"/>
  <c r="D129" i="1"/>
  <c r="C129" i="1" s="1"/>
  <c r="D128" i="1"/>
  <c r="C128" i="1" s="1"/>
  <c r="E127" i="1" a="1"/>
  <c r="E127" i="1" s="1"/>
  <c r="D127" i="1"/>
  <c r="C127" i="1" s="1"/>
  <c r="F127" i="1" s="1" a="1"/>
  <c r="F127" i="1" s="1"/>
  <c r="D126" i="1"/>
  <c r="C126" i="1" s="1"/>
  <c r="D125" i="1"/>
  <c r="C125" i="1" s="1"/>
  <c r="D124" i="1"/>
  <c r="C124" i="1" s="1"/>
  <c r="E124" i="1" s="1" a="1"/>
  <c r="E124" i="1" s="1"/>
  <c r="D123" i="1"/>
  <c r="C123" i="1" s="1"/>
  <c r="D122" i="1"/>
  <c r="C122" i="1" s="1"/>
  <c r="D121" i="1"/>
  <c r="C121" i="1" s="1"/>
  <c r="D120" i="1"/>
  <c r="C120" i="1" s="1"/>
  <c r="F119" i="1"/>
  <c r="E119" i="1" a="1"/>
  <c r="E119" i="1" s="1"/>
  <c r="D119" i="1"/>
  <c r="C119" i="1" s="1"/>
  <c r="F119" i="1" s="1" a="1"/>
  <c r="D118" i="1"/>
  <c r="C118" i="1" s="1"/>
  <c r="D117" i="1"/>
  <c r="C117" i="1" s="1"/>
  <c r="F116" i="1" a="1"/>
  <c r="F116" i="1" s="1"/>
  <c r="D116" i="1"/>
  <c r="C116" i="1" s="1"/>
  <c r="E116" i="1" s="1" a="1"/>
  <c r="E116" i="1" s="1"/>
  <c r="D115" i="1"/>
  <c r="C115" i="1" s="1"/>
  <c r="D114" i="1"/>
  <c r="C114" i="1"/>
  <c r="D113" i="1"/>
  <c r="C113" i="1" s="1"/>
  <c r="D112" i="1"/>
  <c r="C112" i="1" s="1"/>
  <c r="F111" i="1"/>
  <c r="E111" i="1" a="1"/>
  <c r="E111" i="1" s="1"/>
  <c r="D111" i="1"/>
  <c r="C111" i="1" s="1"/>
  <c r="F111" i="1" s="1" a="1"/>
  <c r="D110" i="1"/>
  <c r="C110" i="1" s="1"/>
  <c r="D109" i="1"/>
  <c r="C109" i="1" s="1"/>
  <c r="E108" i="1"/>
  <c r="D108" i="1"/>
  <c r="C108" i="1" s="1"/>
  <c r="E108" i="1" s="1" a="1"/>
  <c r="D107" i="1"/>
  <c r="C107" i="1" s="1"/>
  <c r="D106" i="1"/>
  <c r="C106" i="1"/>
  <c r="D105" i="1"/>
  <c r="C105" i="1" s="1"/>
  <c r="D104" i="1"/>
  <c r="C104" i="1" s="1"/>
  <c r="F103" i="1"/>
  <c r="E103" i="1" a="1"/>
  <c r="E103" i="1" s="1"/>
  <c r="D103" i="1"/>
  <c r="C103" i="1" s="1"/>
  <c r="F103" i="1" s="1" a="1"/>
  <c r="D102" i="1"/>
  <c r="C102" i="1" s="1"/>
  <c r="D101" i="1"/>
  <c r="C101" i="1" s="1"/>
  <c r="E100" i="1"/>
  <c r="D100" i="1"/>
  <c r="C100" i="1" s="1"/>
  <c r="E100" i="1" s="1" a="1"/>
  <c r="D99" i="1"/>
  <c r="C99" i="1" s="1"/>
  <c r="D98" i="1"/>
  <c r="C98" i="1"/>
  <c r="D97" i="1"/>
  <c r="C97" i="1" s="1"/>
  <c r="D96" i="1"/>
  <c r="C96" i="1" s="1"/>
  <c r="D95" i="1"/>
  <c r="C95" i="1" s="1"/>
  <c r="F95" i="1" s="1" a="1"/>
  <c r="F95" i="1" s="1"/>
  <c r="D94" i="1"/>
  <c r="C94" i="1" s="1"/>
  <c r="D93" i="1"/>
  <c r="C93" i="1" s="1"/>
  <c r="E92" i="1"/>
  <c r="D92" i="1"/>
  <c r="C92" i="1" s="1"/>
  <c r="E92" i="1" s="1" a="1"/>
  <c r="D91" i="1"/>
  <c r="C91" i="1" s="1"/>
  <c r="D90" i="1"/>
  <c r="C90" i="1" s="1"/>
  <c r="D89" i="1"/>
  <c r="C89" i="1" s="1"/>
  <c r="D88" i="1"/>
  <c r="C88" i="1" s="1"/>
  <c r="D87" i="1"/>
  <c r="C87" i="1" s="1"/>
  <c r="F87" i="1" s="1" a="1"/>
  <c r="F87" i="1" s="1"/>
  <c r="D86" i="1"/>
  <c r="C86" i="1" s="1"/>
  <c r="D85" i="1"/>
  <c r="C85" i="1" s="1"/>
  <c r="F84" i="1" a="1"/>
  <c r="F84" i="1" s="1"/>
  <c r="E84" i="1"/>
  <c r="D84" i="1"/>
  <c r="C84" i="1" s="1"/>
  <c r="E84" i="1" s="1" a="1"/>
  <c r="D83" i="1"/>
  <c r="C83" i="1" s="1"/>
  <c r="D82" i="1"/>
  <c r="C82" i="1" s="1"/>
  <c r="D81" i="1"/>
  <c r="C81" i="1" s="1"/>
  <c r="D80" i="1"/>
  <c r="C80" i="1" s="1"/>
  <c r="F79" i="1"/>
  <c r="D79" i="1"/>
  <c r="C79" i="1" s="1"/>
  <c r="F79" i="1" s="1" a="1"/>
  <c r="D78" i="1"/>
  <c r="C78" i="1" s="1"/>
  <c r="D77" i="1"/>
  <c r="C77" i="1" s="1"/>
  <c r="F76" i="1" a="1"/>
  <c r="F76" i="1" s="1"/>
  <c r="D76" i="1"/>
  <c r="C76" i="1" s="1"/>
  <c r="E76" i="1" s="1" a="1"/>
  <c r="E76" i="1" s="1"/>
  <c r="D75" i="1"/>
  <c r="C75" i="1" s="1"/>
  <c r="D74" i="1"/>
  <c r="C74" i="1"/>
  <c r="D73" i="1"/>
  <c r="C73" i="1" s="1"/>
  <c r="D72" i="1"/>
  <c r="C72" i="1" s="1"/>
  <c r="F71" i="1"/>
  <c r="E71" i="1" a="1"/>
  <c r="E71" i="1" s="1"/>
  <c r="D71" i="1"/>
  <c r="C71" i="1" s="1"/>
  <c r="F71" i="1" s="1" a="1"/>
  <c r="F70" i="1" a="1"/>
  <c r="F70" i="1" s="1"/>
  <c r="E70" i="1"/>
  <c r="D70" i="1"/>
  <c r="C70" i="1" s="1"/>
  <c r="E70" i="1" s="1" a="1"/>
  <c r="D69" i="1"/>
  <c r="C69" i="1" s="1"/>
  <c r="D68" i="1"/>
  <c r="C68" i="1" s="1"/>
  <c r="D67" i="1"/>
  <c r="C67" i="1" s="1"/>
  <c r="D66" i="1"/>
  <c r="C66" i="1" s="1"/>
  <c r="F65" i="1"/>
  <c r="E65" i="1" a="1"/>
  <c r="E65" i="1" s="1"/>
  <c r="D65" i="1"/>
  <c r="C65" i="1" s="1"/>
  <c r="F65" i="1" s="1" a="1"/>
  <c r="D64" i="1"/>
  <c r="C64" i="1"/>
  <c r="F63" i="1" a="1"/>
  <c r="F63" i="1" s="1"/>
  <c r="E63" i="1" a="1"/>
  <c r="E63" i="1" s="1"/>
  <c r="D63" i="1"/>
  <c r="C63" i="1" s="1"/>
  <c r="F62" i="1" a="1"/>
  <c r="F62" i="1" s="1"/>
  <c r="D62" i="1"/>
  <c r="C62" i="1" s="1"/>
  <c r="E62" i="1" s="1" a="1"/>
  <c r="E62" i="1" s="1"/>
  <c r="D61" i="1"/>
  <c r="C61" i="1"/>
  <c r="F61" i="1" s="1" a="1"/>
  <c r="F61" i="1" s="1"/>
  <c r="D60" i="1"/>
  <c r="C60" i="1"/>
  <c r="E60" i="1" s="1" a="1"/>
  <c r="E60" i="1" s="1"/>
  <c r="D59" i="1"/>
  <c r="C59" i="1" s="1"/>
  <c r="D58" i="1"/>
  <c r="C58" i="1" s="1"/>
  <c r="D57" i="1"/>
  <c r="C57" i="1" s="1"/>
  <c r="F57" i="1" s="1" a="1"/>
  <c r="F57" i="1" s="1"/>
  <c r="D56" i="1"/>
  <c r="C56" i="1"/>
  <c r="D55" i="1"/>
  <c r="C55" i="1" s="1"/>
  <c r="E54" i="1" a="1"/>
  <c r="E54" i="1" s="1"/>
  <c r="D54" i="1"/>
  <c r="C54" i="1"/>
  <c r="F54" i="1" s="1" a="1"/>
  <c r="F54" i="1" s="1"/>
  <c r="F53" i="1" a="1"/>
  <c r="F53" i="1" s="1"/>
  <c r="E53" i="1" a="1"/>
  <c r="E53" i="1" s="1"/>
  <c r="D53" i="1"/>
  <c r="C53" i="1"/>
  <c r="D52" i="1"/>
  <c r="C52" i="1" s="1"/>
  <c r="D51" i="1"/>
  <c r="C51" i="1"/>
  <c r="F51" i="1" s="1" a="1"/>
  <c r="F51" i="1" s="1"/>
  <c r="D50" i="1"/>
  <c r="C50" i="1" s="1"/>
  <c r="D49" i="1"/>
  <c r="C49" i="1"/>
  <c r="E49" i="1" s="1" a="1"/>
  <c r="E49" i="1" s="1"/>
  <c r="D48" i="1"/>
  <c r="C48" i="1"/>
  <c r="E48" i="1" s="1" a="1"/>
  <c r="E48" i="1" s="1"/>
  <c r="D47" i="1"/>
  <c r="C47" i="1" s="1"/>
  <c r="E46" i="1" a="1"/>
  <c r="E46" i="1" s="1"/>
  <c r="D46" i="1"/>
  <c r="C46" i="1"/>
  <c r="F46" i="1" s="1" a="1"/>
  <c r="F46" i="1" s="1"/>
  <c r="E45" i="1" a="1"/>
  <c r="E45" i="1" s="1"/>
  <c r="D45" i="1"/>
  <c r="C45" i="1"/>
  <c r="F45" i="1" s="1" a="1"/>
  <c r="F45" i="1" s="1"/>
  <c r="D44" i="1"/>
  <c r="C44" i="1" s="1"/>
  <c r="D43" i="1"/>
  <c r="C43" i="1"/>
  <c r="F43" i="1" s="1" a="1"/>
  <c r="F43" i="1" s="1"/>
  <c r="D42" i="1"/>
  <c r="C42" i="1" s="1"/>
  <c r="D41" i="1"/>
  <c r="C41" i="1"/>
  <c r="E41" i="1" s="1" a="1"/>
  <c r="E41" i="1" s="1"/>
  <c r="D40" i="1"/>
  <c r="C40" i="1"/>
  <c r="F40" i="1" s="1" a="1"/>
  <c r="F40" i="1" s="1"/>
  <c r="D39" i="1"/>
  <c r="C39" i="1" s="1"/>
  <c r="E38" i="1" a="1"/>
  <c r="E38" i="1" s="1"/>
  <c r="D38" i="1"/>
  <c r="C38" i="1"/>
  <c r="F38" i="1" s="1" a="1"/>
  <c r="F38" i="1" s="1"/>
  <c r="E37" i="1" a="1"/>
  <c r="E37" i="1" s="1"/>
  <c r="D37" i="1"/>
  <c r="C37" i="1"/>
  <c r="F37" i="1" s="1" a="1"/>
  <c r="F37" i="1" s="1"/>
  <c r="D36" i="1"/>
  <c r="C36" i="1" s="1"/>
  <c r="F35" i="1" a="1"/>
  <c r="F35" i="1" s="1"/>
  <c r="D35" i="1"/>
  <c r="C35" i="1"/>
  <c r="E35" i="1" s="1" a="1"/>
  <c r="E35" i="1" s="1"/>
  <c r="D34" i="1"/>
  <c r="C34" i="1" s="1"/>
  <c r="D33" i="1"/>
  <c r="C33" i="1"/>
  <c r="E33" i="1" s="1" a="1"/>
  <c r="E33" i="1" s="1"/>
  <c r="D32" i="1"/>
  <c r="C32" i="1"/>
  <c r="E32" i="1" s="1" a="1"/>
  <c r="E32" i="1" s="1"/>
  <c r="D31" i="1"/>
  <c r="C31" i="1" s="1"/>
  <c r="E30" i="1" a="1"/>
  <c r="E30" i="1" s="1"/>
  <c r="D30" i="1"/>
  <c r="C30" i="1"/>
  <c r="F30" i="1" s="1" a="1"/>
  <c r="F30" i="1" s="1"/>
  <c r="E29" i="1" a="1"/>
  <c r="E29" i="1" s="1"/>
  <c r="D29" i="1"/>
  <c r="C29" i="1"/>
  <c r="F29" i="1" s="1" a="1"/>
  <c r="F29" i="1" s="1"/>
  <c r="D28" i="1"/>
  <c r="C28" i="1" s="1"/>
  <c r="F27" i="1" a="1"/>
  <c r="F27" i="1" s="1"/>
  <c r="D27" i="1"/>
  <c r="C27" i="1"/>
  <c r="E27" i="1" s="1" a="1"/>
  <c r="E27" i="1" s="1"/>
  <c r="D26" i="1"/>
  <c r="C26" i="1" s="1"/>
  <c r="D25" i="1"/>
  <c r="C25" i="1"/>
  <c r="E25" i="1" s="1" a="1"/>
  <c r="E25" i="1" s="1"/>
  <c r="D24" i="1"/>
  <c r="C24" i="1"/>
  <c r="F24" i="1" s="1" a="1"/>
  <c r="F24" i="1" s="1"/>
  <c r="D23" i="1"/>
  <c r="C23" i="1" s="1"/>
  <c r="E22" i="1" a="1"/>
  <c r="E22" i="1" s="1"/>
  <c r="D22" i="1"/>
  <c r="C22" i="1"/>
  <c r="F22" i="1" s="1" a="1"/>
  <c r="F22" i="1" s="1"/>
  <c r="E21" i="1" a="1"/>
  <c r="E21" i="1" s="1"/>
  <c r="D21" i="1"/>
  <c r="C21" i="1"/>
  <c r="F21" i="1" s="1" a="1"/>
  <c r="F21" i="1" s="1"/>
  <c r="D20" i="1"/>
  <c r="C20" i="1" s="1"/>
  <c r="F19" i="1" a="1"/>
  <c r="F19" i="1" s="1"/>
  <c r="D19" i="1"/>
  <c r="C19" i="1"/>
  <c r="E19" i="1" s="1" a="1"/>
  <c r="E19" i="1" s="1"/>
  <c r="D18" i="1"/>
  <c r="C18" i="1" s="1"/>
  <c r="D17" i="1"/>
  <c r="C17" i="1"/>
  <c r="E17" i="1" s="1" a="1"/>
  <c r="E17" i="1" s="1"/>
  <c r="D16" i="1"/>
  <c r="C16" i="1"/>
  <c r="F16" i="1" s="1" a="1"/>
  <c r="F16" i="1" s="1"/>
  <c r="D15" i="1"/>
  <c r="C15" i="1" s="1"/>
  <c r="E14" i="1" a="1"/>
  <c r="E14" i="1" s="1"/>
  <c r="D14" i="1"/>
  <c r="C14" i="1"/>
  <c r="F14" i="1" s="1" a="1"/>
  <c r="F14" i="1" s="1"/>
  <c r="E13" i="1" a="1"/>
  <c r="E13" i="1" s="1"/>
  <c r="D13" i="1"/>
  <c r="C13" i="1"/>
  <c r="F13" i="1" s="1" a="1"/>
  <c r="F13" i="1" s="1"/>
  <c r="D12" i="1"/>
  <c r="C12" i="1" s="1"/>
  <c r="F11" i="1" a="1"/>
  <c r="F11" i="1" s="1"/>
  <c r="D11" i="1"/>
  <c r="C11" i="1"/>
  <c r="E11" i="1" s="1" a="1"/>
  <c r="E11" i="1" s="1"/>
  <c r="D10" i="1"/>
  <c r="C10" i="1" s="1"/>
  <c r="D9" i="1"/>
  <c r="C9" i="1"/>
  <c r="E9" i="1" s="1" a="1"/>
  <c r="E9" i="1" s="1"/>
  <c r="D8" i="1"/>
  <c r="C8" i="1"/>
  <c r="E8" i="1" s="1" a="1"/>
  <c r="E8" i="1" s="1"/>
  <c r="D7" i="1"/>
  <c r="C7" i="1" s="1"/>
  <c r="E6" i="1" a="1"/>
  <c r="E6" i="1" s="1"/>
  <c r="D6" i="1"/>
  <c r="C6" i="1"/>
  <c r="F6" i="1" s="1" a="1"/>
  <c r="F6" i="1" s="1"/>
  <c r="F5" i="1" a="1"/>
  <c r="F5" i="1" s="1"/>
  <c r="E5" i="1" a="1"/>
  <c r="E5" i="1" s="1"/>
  <c r="D5" i="1"/>
  <c r="C5" i="1"/>
  <c r="D4" i="1"/>
  <c r="C4" i="1" s="1"/>
  <c r="F3" i="1" a="1"/>
  <c r="F3" i="1" s="1"/>
  <c r="D3" i="1"/>
  <c r="C3" i="1"/>
  <c r="E3" i="1" s="1" a="1"/>
  <c r="E3" i="1" s="1"/>
  <c r="D2" i="1"/>
  <c r="C2" i="1" s="1"/>
  <c r="F154" i="1" l="1" a="1"/>
  <c r="F154" i="1" s="1"/>
  <c r="E154" i="1" a="1"/>
  <c r="E154" i="1" s="1"/>
  <c r="F258" i="1" a="1"/>
  <c r="F258" i="1" s="1"/>
  <c r="E258" i="1" a="1"/>
  <c r="E258" i="1" s="1"/>
  <c r="F194" i="1" a="1"/>
  <c r="F194" i="1" s="1"/>
  <c r="E194" i="1" a="1"/>
  <c r="E194" i="1" s="1"/>
  <c r="F47" i="1" a="1"/>
  <c r="F47" i="1" s="1"/>
  <c r="E47" i="1" a="1"/>
  <c r="E47" i="1" s="1"/>
  <c r="F55" i="1" a="1"/>
  <c r="F55" i="1" s="1"/>
  <c r="E55" i="1" a="1"/>
  <c r="E55" i="1" s="1"/>
  <c r="F7" i="1" a="1"/>
  <c r="F7" i="1" s="1"/>
  <c r="E7" i="1" a="1"/>
  <c r="E7" i="1" s="1"/>
  <c r="F15" i="1" a="1"/>
  <c r="F15" i="1" s="1"/>
  <c r="E15" i="1" a="1"/>
  <c r="E15" i="1" s="1"/>
  <c r="F23" i="1" a="1"/>
  <c r="F23" i="1" s="1"/>
  <c r="E23" i="1" a="1"/>
  <c r="E23" i="1" s="1"/>
  <c r="F31" i="1" a="1"/>
  <c r="F31" i="1" s="1"/>
  <c r="E31" i="1" a="1"/>
  <c r="E31" i="1" s="1"/>
  <c r="F39" i="1" a="1"/>
  <c r="F39" i="1" s="1"/>
  <c r="E39" i="1" a="1"/>
  <c r="E39" i="1" s="1"/>
  <c r="F146" i="1" a="1"/>
  <c r="F146" i="1" s="1"/>
  <c r="E146" i="1" a="1"/>
  <c r="E146" i="1" s="1"/>
  <c r="F170" i="1" a="1"/>
  <c r="F170" i="1" s="1"/>
  <c r="E170" i="1" a="1"/>
  <c r="E170" i="1" s="1"/>
  <c r="F122" i="1" a="1"/>
  <c r="F122" i="1" s="1"/>
  <c r="E122" i="1" a="1"/>
  <c r="E122" i="1" s="1"/>
  <c r="F210" i="1" a="1"/>
  <c r="F210" i="1" s="1"/>
  <c r="E210" i="1" a="1"/>
  <c r="E210" i="1" s="1"/>
  <c r="F58" i="1" a="1"/>
  <c r="F58" i="1" s="1"/>
  <c r="E58" i="1" a="1"/>
  <c r="E58" i="1" s="1"/>
  <c r="F66" i="1" a="1"/>
  <c r="F66" i="1" s="1"/>
  <c r="E66" i="1" a="1"/>
  <c r="E66" i="1" s="1"/>
  <c r="F186" i="1" a="1"/>
  <c r="F186" i="1" s="1"/>
  <c r="E186" i="1" a="1"/>
  <c r="E186" i="1" s="1"/>
  <c r="F2" i="1" a="1"/>
  <c r="F2" i="1" s="1"/>
  <c r="E2" i="1" a="1"/>
  <c r="E2" i="1" s="1"/>
  <c r="F50" i="1" a="1"/>
  <c r="F50" i="1" s="1"/>
  <c r="E50" i="1" a="1"/>
  <c r="E50" i="1" s="1"/>
  <c r="F90" i="1" a="1"/>
  <c r="F90" i="1" s="1"/>
  <c r="E90" i="1" a="1"/>
  <c r="E90" i="1" s="1"/>
  <c r="F226" i="1" a="1"/>
  <c r="F226" i="1" s="1"/>
  <c r="E226" i="1" a="1"/>
  <c r="E226" i="1" s="1"/>
  <c r="F10" i="1" a="1"/>
  <c r="F10" i="1" s="1"/>
  <c r="E10" i="1" a="1"/>
  <c r="E10" i="1" s="1"/>
  <c r="F18" i="1" a="1"/>
  <c r="F18" i="1" s="1"/>
  <c r="E18" i="1" a="1"/>
  <c r="E18" i="1" s="1"/>
  <c r="E26" i="1" a="1"/>
  <c r="E26" i="1" s="1"/>
  <c r="F26" i="1" a="1"/>
  <c r="F26" i="1" s="1"/>
  <c r="F34" i="1" a="1"/>
  <c r="F34" i="1" s="1"/>
  <c r="E34" i="1" a="1"/>
  <c r="E34" i="1" s="1"/>
  <c r="F42" i="1" a="1"/>
  <c r="F42" i="1" s="1"/>
  <c r="E42" i="1" a="1"/>
  <c r="E42" i="1" s="1"/>
  <c r="E68" i="1" a="1"/>
  <c r="E68" i="1" s="1"/>
  <c r="F68" i="1" a="1"/>
  <c r="F68" i="1" s="1"/>
  <c r="F250" i="1" a="1"/>
  <c r="F250" i="1" s="1"/>
  <c r="E250" i="1" a="1"/>
  <c r="E250" i="1" s="1"/>
  <c r="F69" i="1" a="1"/>
  <c r="F69" i="1" s="1"/>
  <c r="E69" i="1" a="1"/>
  <c r="E69" i="1" s="1"/>
  <c r="F138" i="1" a="1"/>
  <c r="F138" i="1" s="1"/>
  <c r="E138" i="1" a="1"/>
  <c r="E138" i="1" s="1"/>
  <c r="F218" i="1" a="1"/>
  <c r="F218" i="1" s="1"/>
  <c r="E218" i="1" a="1"/>
  <c r="E218" i="1" s="1"/>
  <c r="F52" i="1" a="1"/>
  <c r="F52" i="1" s="1"/>
  <c r="E52" i="1" a="1"/>
  <c r="E52" i="1" s="1"/>
  <c r="F4" i="1" a="1"/>
  <c r="F4" i="1" s="1"/>
  <c r="E4" i="1" a="1"/>
  <c r="E4" i="1" s="1"/>
  <c r="F44" i="1" a="1"/>
  <c r="F44" i="1" s="1"/>
  <c r="E44" i="1" a="1"/>
  <c r="E44" i="1" s="1"/>
  <c r="F12" i="1" a="1"/>
  <c r="F12" i="1" s="1"/>
  <c r="E12" i="1" a="1"/>
  <c r="E12" i="1" s="1"/>
  <c r="F20" i="1" a="1"/>
  <c r="F20" i="1" s="1"/>
  <c r="E20" i="1" a="1"/>
  <c r="E20" i="1" s="1"/>
  <c r="F28" i="1" a="1"/>
  <c r="F28" i="1" s="1"/>
  <c r="E28" i="1" a="1"/>
  <c r="E28" i="1" s="1"/>
  <c r="F36" i="1" a="1"/>
  <c r="F36" i="1" s="1"/>
  <c r="E36" i="1" a="1"/>
  <c r="E36" i="1" s="1"/>
  <c r="F82" i="1" a="1"/>
  <c r="F82" i="1" s="1"/>
  <c r="E82" i="1" a="1"/>
  <c r="E82" i="1" s="1"/>
  <c r="F178" i="1" a="1"/>
  <c r="F178" i="1" s="1"/>
  <c r="E178" i="1" a="1"/>
  <c r="E178" i="1" s="1"/>
  <c r="F9" i="1" a="1"/>
  <c r="F9" i="1" s="1"/>
  <c r="F17" i="1" a="1"/>
  <c r="F17" i="1" s="1"/>
  <c r="F25" i="1" a="1"/>
  <c r="F25" i="1" s="1"/>
  <c r="F33" i="1" a="1"/>
  <c r="F33" i="1" s="1"/>
  <c r="F41" i="1" a="1"/>
  <c r="F41" i="1" s="1"/>
  <c r="F49" i="1" a="1"/>
  <c r="F49" i="1" s="1"/>
  <c r="F73" i="1" a="1"/>
  <c r="F73" i="1" s="1"/>
  <c r="E73" i="1" a="1"/>
  <c r="E73" i="1" s="1"/>
  <c r="E87" i="1" a="1"/>
  <c r="E87" i="1" s="1"/>
  <c r="F125" i="1" a="1"/>
  <c r="F125" i="1" s="1"/>
  <c r="E125" i="1" a="1"/>
  <c r="E125" i="1" s="1"/>
  <c r="F130" i="1" a="1"/>
  <c r="F130" i="1" s="1"/>
  <c r="E130" i="1" a="1"/>
  <c r="E130" i="1" s="1"/>
  <c r="F144" i="1" a="1"/>
  <c r="F144" i="1" s="1"/>
  <c r="E144" i="1" a="1"/>
  <c r="E144" i="1" s="1"/>
  <c r="F163" i="1" a="1"/>
  <c r="F163" i="1" s="1"/>
  <c r="E163" i="1" a="1"/>
  <c r="E163" i="1" s="1"/>
  <c r="F182" i="1" a="1"/>
  <c r="F182" i="1" s="1"/>
  <c r="E182" i="1" a="1"/>
  <c r="E182" i="1" s="1"/>
  <c r="F201" i="1" a="1"/>
  <c r="F201" i="1" s="1"/>
  <c r="E201" i="1" a="1"/>
  <c r="E201" i="1" s="1"/>
  <c r="E215" i="1" a="1"/>
  <c r="E215" i="1" s="1"/>
  <c r="F253" i="1" a="1"/>
  <c r="F253" i="1" s="1"/>
  <c r="E253" i="1" a="1"/>
  <c r="E253" i="1" s="1"/>
  <c r="F78" i="1" a="1"/>
  <c r="F78" i="1" s="1"/>
  <c r="E78" i="1" a="1"/>
  <c r="E78" i="1" s="1"/>
  <c r="F97" i="1" a="1"/>
  <c r="F97" i="1" s="1"/>
  <c r="E97" i="1" a="1"/>
  <c r="E97" i="1" s="1"/>
  <c r="F149" i="1" a="1"/>
  <c r="F149" i="1" s="1"/>
  <c r="E149" i="1" a="1"/>
  <c r="E149" i="1" s="1"/>
  <c r="F168" i="1" a="1"/>
  <c r="F168" i="1" s="1"/>
  <c r="E168" i="1" a="1"/>
  <c r="E168" i="1" s="1"/>
  <c r="F187" i="1" a="1"/>
  <c r="F187" i="1" s="1"/>
  <c r="E187" i="1" a="1"/>
  <c r="E187" i="1" s="1"/>
  <c r="F196" i="1" a="1"/>
  <c r="F196" i="1" s="1"/>
  <c r="F206" i="1" a="1"/>
  <c r="F206" i="1" s="1"/>
  <c r="E206" i="1" a="1"/>
  <c r="E206" i="1" s="1"/>
  <c r="F225" i="1" a="1"/>
  <c r="F225" i="1" s="1"/>
  <c r="E225" i="1" a="1"/>
  <c r="E225" i="1" s="1"/>
  <c r="F274" i="1" a="1"/>
  <c r="F274" i="1" s="1"/>
  <c r="E274" i="1" a="1"/>
  <c r="E274" i="1" s="1"/>
  <c r="F83" i="1" a="1"/>
  <c r="F83" i="1" s="1"/>
  <c r="E83" i="1" a="1"/>
  <c r="E83" i="1" s="1"/>
  <c r="F92" i="1" a="1"/>
  <c r="F92" i="1" s="1"/>
  <c r="F102" i="1" a="1"/>
  <c r="F102" i="1" s="1"/>
  <c r="E102" i="1" a="1"/>
  <c r="E102" i="1" s="1"/>
  <c r="F121" i="1" a="1"/>
  <c r="F121" i="1" s="1"/>
  <c r="E121" i="1" a="1"/>
  <c r="E121" i="1" s="1"/>
  <c r="F173" i="1" a="1"/>
  <c r="F173" i="1" s="1"/>
  <c r="E173" i="1" a="1"/>
  <c r="E173" i="1" s="1"/>
  <c r="F192" i="1" a="1"/>
  <c r="F192" i="1" s="1"/>
  <c r="E192" i="1" a="1"/>
  <c r="E192" i="1" s="1"/>
  <c r="F211" i="1" a="1"/>
  <c r="F211" i="1" s="1"/>
  <c r="E211" i="1" a="1"/>
  <c r="E211" i="1" s="1"/>
  <c r="F220" i="1" a="1"/>
  <c r="F220" i="1" s="1"/>
  <c r="F230" i="1" a="1"/>
  <c r="F230" i="1" s="1"/>
  <c r="E230" i="1" a="1"/>
  <c r="E230" i="1" s="1"/>
  <c r="F249" i="1" a="1"/>
  <c r="F249" i="1" s="1"/>
  <c r="E249" i="1" a="1"/>
  <c r="E249" i="1" s="1"/>
  <c r="E263" i="1" a="1"/>
  <c r="E263" i="1" s="1"/>
  <c r="F202" i="1" a="1"/>
  <c r="F202" i="1" s="1"/>
  <c r="E202" i="1" a="1"/>
  <c r="E202" i="1" s="1"/>
  <c r="F216" i="1" a="1"/>
  <c r="F216" i="1" s="1"/>
  <c r="E216" i="1" a="1"/>
  <c r="E216" i="1" s="1"/>
  <c r="F254" i="1" a="1"/>
  <c r="F254" i="1" s="1"/>
  <c r="E254" i="1" a="1"/>
  <c r="E254" i="1" s="1"/>
  <c r="F93" i="1" a="1"/>
  <c r="F93" i="1" s="1"/>
  <c r="E93" i="1" a="1"/>
  <c r="E93" i="1" s="1"/>
  <c r="F98" i="1" a="1"/>
  <c r="F98" i="1" s="1"/>
  <c r="E98" i="1" a="1"/>
  <c r="E98" i="1" s="1"/>
  <c r="F112" i="1" a="1"/>
  <c r="F112" i="1" s="1"/>
  <c r="E112" i="1" a="1"/>
  <c r="E112" i="1" s="1"/>
  <c r="F131" i="1" a="1"/>
  <c r="F131" i="1" s="1"/>
  <c r="E131" i="1" a="1"/>
  <c r="E131" i="1" s="1"/>
  <c r="F140" i="1" a="1"/>
  <c r="F140" i="1" s="1"/>
  <c r="F150" i="1" a="1"/>
  <c r="F150" i="1" s="1"/>
  <c r="E150" i="1" a="1"/>
  <c r="E150" i="1" s="1"/>
  <c r="F169" i="1" a="1"/>
  <c r="F169" i="1" s="1"/>
  <c r="E169" i="1" a="1"/>
  <c r="E169" i="1" s="1"/>
  <c r="E183" i="1" a="1"/>
  <c r="E183" i="1" s="1"/>
  <c r="F221" i="1" a="1"/>
  <c r="F221" i="1" s="1"/>
  <c r="E221" i="1" a="1"/>
  <c r="E221" i="1" s="1"/>
  <c r="F240" i="1" a="1"/>
  <c r="F240" i="1" s="1"/>
  <c r="E240" i="1" a="1"/>
  <c r="E240" i="1" s="1"/>
  <c r="F259" i="1" a="1"/>
  <c r="F259" i="1" s="1"/>
  <c r="E259" i="1" a="1"/>
  <c r="E259" i="1" s="1"/>
  <c r="F268" i="1" a="1"/>
  <c r="F268" i="1" s="1"/>
  <c r="F197" i="1" a="1"/>
  <c r="F197" i="1" s="1"/>
  <c r="E197" i="1" a="1"/>
  <c r="E197" i="1" s="1"/>
  <c r="F235" i="1" a="1"/>
  <c r="F235" i="1" s="1"/>
  <c r="E235" i="1" a="1"/>
  <c r="E235" i="1" s="1"/>
  <c r="F275" i="1" a="1"/>
  <c r="F275" i="1" s="1"/>
  <c r="E275" i="1" a="1"/>
  <c r="E275" i="1" s="1"/>
  <c r="F59" i="1" a="1"/>
  <c r="F59" i="1" s="1"/>
  <c r="E59" i="1" a="1"/>
  <c r="E59" i="1" s="1"/>
  <c r="E79" i="1" a="1"/>
  <c r="E79" i="1" s="1"/>
  <c r="F117" i="1" a="1"/>
  <c r="F117" i="1" s="1"/>
  <c r="E117" i="1" a="1"/>
  <c r="E117" i="1" s="1"/>
  <c r="F136" i="1" a="1"/>
  <c r="F136" i="1" s="1"/>
  <c r="E136" i="1" a="1"/>
  <c r="E136" i="1" s="1"/>
  <c r="F155" i="1" a="1"/>
  <c r="F155" i="1" s="1"/>
  <c r="E155" i="1" a="1"/>
  <c r="E155" i="1" s="1"/>
  <c r="F164" i="1" a="1"/>
  <c r="F164" i="1" s="1"/>
  <c r="F174" i="1" a="1"/>
  <c r="F174" i="1" s="1"/>
  <c r="E174" i="1" a="1"/>
  <c r="E174" i="1" s="1"/>
  <c r="F193" i="1" a="1"/>
  <c r="F193" i="1" s="1"/>
  <c r="E193" i="1" a="1"/>
  <c r="E193" i="1" s="1"/>
  <c r="E207" i="1" a="1"/>
  <c r="E207" i="1" s="1"/>
  <c r="F245" i="1" a="1"/>
  <c r="F245" i="1" s="1"/>
  <c r="E245" i="1" a="1"/>
  <c r="E245" i="1" s="1"/>
  <c r="F264" i="1" a="1"/>
  <c r="F264" i="1" s="1"/>
  <c r="E264" i="1" a="1"/>
  <c r="E264" i="1" s="1"/>
  <c r="F269" i="1" a="1"/>
  <c r="F269" i="1" s="1"/>
  <c r="E269" i="1" a="1"/>
  <c r="E269" i="1" s="1"/>
  <c r="F145" i="1" a="1"/>
  <c r="F145" i="1" s="1"/>
  <c r="E145" i="1" a="1"/>
  <c r="E145" i="1" s="1"/>
  <c r="F56" i="1" a="1"/>
  <c r="F56" i="1" s="1"/>
  <c r="E56" i="1" a="1"/>
  <c r="E56" i="1" s="1"/>
  <c r="F89" i="1" a="1"/>
  <c r="F89" i="1" s="1"/>
  <c r="E89" i="1" a="1"/>
  <c r="E89" i="1" s="1"/>
  <c r="F141" i="1" a="1"/>
  <c r="F141" i="1" s="1"/>
  <c r="E141" i="1" a="1"/>
  <c r="E141" i="1" s="1"/>
  <c r="F160" i="1" a="1"/>
  <c r="F160" i="1" s="1"/>
  <c r="E160" i="1" a="1"/>
  <c r="E160" i="1" s="1"/>
  <c r="F179" i="1" a="1"/>
  <c r="F179" i="1" s="1"/>
  <c r="E179" i="1" a="1"/>
  <c r="E179" i="1" s="1"/>
  <c r="F198" i="1" a="1"/>
  <c r="F198" i="1" s="1"/>
  <c r="E198" i="1" a="1"/>
  <c r="E198" i="1" s="1"/>
  <c r="F217" i="1" a="1"/>
  <c r="F217" i="1" s="1"/>
  <c r="E217" i="1" a="1"/>
  <c r="E217" i="1" s="1"/>
  <c r="F165" i="1" a="1"/>
  <c r="F165" i="1" s="1"/>
  <c r="E165" i="1" a="1"/>
  <c r="E165" i="1" s="1"/>
  <c r="F184" i="1" a="1"/>
  <c r="F184" i="1" s="1"/>
  <c r="E184" i="1" a="1"/>
  <c r="E184" i="1" s="1"/>
  <c r="F203" i="1" a="1"/>
  <c r="F203" i="1" s="1"/>
  <c r="E203" i="1" a="1"/>
  <c r="E203" i="1" s="1"/>
  <c r="F222" i="1" a="1"/>
  <c r="F222" i="1" s="1"/>
  <c r="E222" i="1" a="1"/>
  <c r="E222" i="1" s="1"/>
  <c r="F241" i="1" a="1"/>
  <c r="F241" i="1" s="1"/>
  <c r="E241" i="1" a="1"/>
  <c r="E241" i="1" s="1"/>
  <c r="E255" i="1" a="1"/>
  <c r="E255" i="1" s="1"/>
  <c r="F113" i="1" a="1"/>
  <c r="F113" i="1" s="1"/>
  <c r="E113" i="1" a="1"/>
  <c r="E113" i="1" s="1"/>
  <c r="E16" i="1" a="1"/>
  <c r="E16" i="1" s="1"/>
  <c r="E24" i="1" a="1"/>
  <c r="E24" i="1" s="1"/>
  <c r="F118" i="1" a="1"/>
  <c r="F118" i="1" s="1"/>
  <c r="E118" i="1" a="1"/>
  <c r="E118" i="1" s="1"/>
  <c r="F137" i="1" a="1"/>
  <c r="F137" i="1" s="1"/>
  <c r="E137" i="1" a="1"/>
  <c r="E137" i="1" s="1"/>
  <c r="F189" i="1" a="1"/>
  <c r="F189" i="1" s="1"/>
  <c r="E189" i="1" a="1"/>
  <c r="E189" i="1" s="1"/>
  <c r="F208" i="1" a="1"/>
  <c r="F208" i="1" s="1"/>
  <c r="E208" i="1" a="1"/>
  <c r="E208" i="1" s="1"/>
  <c r="F227" i="1" a="1"/>
  <c r="F227" i="1" s="1"/>
  <c r="E227" i="1" a="1"/>
  <c r="E227" i="1" s="1"/>
  <c r="F236" i="1" a="1"/>
  <c r="F236" i="1" s="1"/>
  <c r="F246" i="1" a="1"/>
  <c r="F246" i="1" s="1"/>
  <c r="E246" i="1" a="1"/>
  <c r="E246" i="1" s="1"/>
  <c r="F265" i="1" a="1"/>
  <c r="F265" i="1" s="1"/>
  <c r="E265" i="1" a="1"/>
  <c r="E265" i="1" s="1"/>
  <c r="F270" i="1" a="1"/>
  <c r="F270" i="1" s="1"/>
  <c r="E270" i="1" a="1"/>
  <c r="E270" i="1" s="1"/>
  <c r="F276" i="1" a="1"/>
  <c r="F276" i="1" s="1"/>
  <c r="F107" i="1" a="1"/>
  <c r="F107" i="1" s="1"/>
  <c r="E107" i="1" a="1"/>
  <c r="E107" i="1" s="1"/>
  <c r="F94" i="1" a="1"/>
  <c r="F94" i="1" s="1"/>
  <c r="E94" i="1" a="1"/>
  <c r="E94" i="1" s="1"/>
  <c r="F80" i="1" a="1"/>
  <c r="F80" i="1" s="1"/>
  <c r="E80" i="1" a="1"/>
  <c r="E80" i="1" s="1"/>
  <c r="F99" i="1" a="1"/>
  <c r="F99" i="1" s="1"/>
  <c r="E99" i="1" a="1"/>
  <c r="E99" i="1" s="1"/>
  <c r="F108" i="1" a="1"/>
  <c r="F108" i="1" s="1"/>
  <c r="F85" i="1" a="1"/>
  <c r="F85" i="1" s="1"/>
  <c r="E85" i="1" a="1"/>
  <c r="E85" i="1" s="1"/>
  <c r="F104" i="1" a="1"/>
  <c r="F104" i="1" s="1"/>
  <c r="E104" i="1" a="1"/>
  <c r="E104" i="1" s="1"/>
  <c r="F123" i="1" a="1"/>
  <c r="F123" i="1" s="1"/>
  <c r="E123" i="1" a="1"/>
  <c r="E123" i="1" s="1"/>
  <c r="F132" i="1" a="1"/>
  <c r="F132" i="1" s="1"/>
  <c r="F142" i="1" a="1"/>
  <c r="F142" i="1" s="1"/>
  <c r="E142" i="1" a="1"/>
  <c r="E142" i="1" s="1"/>
  <c r="F161" i="1" a="1"/>
  <c r="F161" i="1" s="1"/>
  <c r="E161" i="1" a="1"/>
  <c r="E161" i="1" s="1"/>
  <c r="E175" i="1" a="1"/>
  <c r="E175" i="1" s="1"/>
  <c r="F213" i="1" a="1"/>
  <c r="F213" i="1" s="1"/>
  <c r="E213" i="1" a="1"/>
  <c r="E213" i="1" s="1"/>
  <c r="F232" i="1" a="1"/>
  <c r="F232" i="1" s="1"/>
  <c r="E232" i="1" a="1"/>
  <c r="E232" i="1" s="1"/>
  <c r="F251" i="1" a="1"/>
  <c r="F251" i="1" s="1"/>
  <c r="E251" i="1" a="1"/>
  <c r="E251" i="1" s="1"/>
  <c r="F277" i="1" a="1"/>
  <c r="F277" i="1" s="1"/>
  <c r="E277" i="1" a="1"/>
  <c r="E277" i="1" s="1"/>
  <c r="F75" i="1" a="1"/>
  <c r="F75" i="1" s="1"/>
  <c r="E75" i="1" a="1"/>
  <c r="E75" i="1" s="1"/>
  <c r="E40" i="1" a="1"/>
  <c r="E40" i="1" s="1"/>
  <c r="F67" i="1" a="1"/>
  <c r="F67" i="1" s="1"/>
  <c r="E67" i="1" a="1"/>
  <c r="E67" i="1" s="1"/>
  <c r="F8" i="1" a="1"/>
  <c r="F8" i="1" s="1"/>
  <c r="F32" i="1" a="1"/>
  <c r="F32" i="1" s="1"/>
  <c r="E43" i="1" a="1"/>
  <c r="E43" i="1" s="1"/>
  <c r="F48" i="1" a="1"/>
  <c r="F48" i="1" s="1"/>
  <c r="E51" i="1" a="1"/>
  <c r="E51" i="1" s="1"/>
  <c r="F60" i="1" a="1"/>
  <c r="F60" i="1" s="1"/>
  <c r="F64" i="1" a="1"/>
  <c r="F64" i="1" s="1"/>
  <c r="E64" i="1" a="1"/>
  <c r="E64" i="1" s="1"/>
  <c r="F109" i="1" a="1"/>
  <c r="F109" i="1" s="1"/>
  <c r="E109" i="1" a="1"/>
  <c r="E109" i="1" s="1"/>
  <c r="F114" i="1" a="1"/>
  <c r="F114" i="1" s="1"/>
  <c r="E114" i="1" a="1"/>
  <c r="E114" i="1" s="1"/>
  <c r="F128" i="1" a="1"/>
  <c r="F128" i="1" s="1"/>
  <c r="E128" i="1" a="1"/>
  <c r="E128" i="1" s="1"/>
  <c r="F147" i="1" a="1"/>
  <c r="F147" i="1" s="1"/>
  <c r="E147" i="1" a="1"/>
  <c r="E147" i="1" s="1"/>
  <c r="F156" i="1" a="1"/>
  <c r="F156" i="1" s="1"/>
  <c r="F166" i="1" a="1"/>
  <c r="F166" i="1" s="1"/>
  <c r="E166" i="1" a="1"/>
  <c r="E166" i="1" s="1"/>
  <c r="F185" i="1" a="1"/>
  <c r="F185" i="1" s="1"/>
  <c r="E185" i="1" a="1"/>
  <c r="E185" i="1" s="1"/>
  <c r="F237" i="1" a="1"/>
  <c r="F237" i="1" s="1"/>
  <c r="E237" i="1" a="1"/>
  <c r="E237" i="1" s="1"/>
  <c r="F242" i="1" a="1"/>
  <c r="F242" i="1" s="1"/>
  <c r="E242" i="1" a="1"/>
  <c r="E242" i="1" s="1"/>
  <c r="F256" i="1" a="1"/>
  <c r="F256" i="1" s="1"/>
  <c r="E256" i="1" a="1"/>
  <c r="E256" i="1" s="1"/>
  <c r="F278" i="1" a="1"/>
  <c r="F278" i="1" s="1"/>
  <c r="E278" i="1" a="1"/>
  <c r="E278" i="1" s="1"/>
  <c r="E57" i="1" a="1"/>
  <c r="E57" i="1" s="1"/>
  <c r="F81" i="1" a="1"/>
  <c r="F81" i="1" s="1"/>
  <c r="E81" i="1" a="1"/>
  <c r="E81" i="1" s="1"/>
  <c r="E95" i="1" a="1"/>
  <c r="E95" i="1" s="1"/>
  <c r="F133" i="1" a="1"/>
  <c r="F133" i="1" s="1"/>
  <c r="E133" i="1" a="1"/>
  <c r="E133" i="1" s="1"/>
  <c r="F152" i="1" a="1"/>
  <c r="F152" i="1" s="1"/>
  <c r="E152" i="1" a="1"/>
  <c r="E152" i="1" s="1"/>
  <c r="F171" i="1" a="1"/>
  <c r="F171" i="1" s="1"/>
  <c r="E171" i="1" a="1"/>
  <c r="E171" i="1" s="1"/>
  <c r="F180" i="1" a="1"/>
  <c r="F180" i="1" s="1"/>
  <c r="F190" i="1" a="1"/>
  <c r="F190" i="1" s="1"/>
  <c r="E190" i="1" a="1"/>
  <c r="E190" i="1" s="1"/>
  <c r="F209" i="1" a="1"/>
  <c r="F209" i="1" s="1"/>
  <c r="E209" i="1" a="1"/>
  <c r="E209" i="1" s="1"/>
  <c r="E223" i="1" a="1"/>
  <c r="E223" i="1" s="1"/>
  <c r="F261" i="1" a="1"/>
  <c r="F261" i="1" s="1"/>
  <c r="E261" i="1" a="1"/>
  <c r="E261" i="1" s="1"/>
  <c r="F266" i="1" a="1"/>
  <c r="F266" i="1" s="1"/>
  <c r="E266" i="1" a="1"/>
  <c r="E266" i="1" s="1"/>
  <c r="E271" i="1" a="1"/>
  <c r="E271" i="1" s="1"/>
  <c r="F74" i="1" a="1"/>
  <c r="F74" i="1" s="1"/>
  <c r="E74" i="1" a="1"/>
  <c r="E74" i="1" s="1"/>
  <c r="F86" i="1" a="1"/>
  <c r="F86" i="1" s="1"/>
  <c r="E86" i="1" a="1"/>
  <c r="E86" i="1" s="1"/>
  <c r="F105" i="1" a="1"/>
  <c r="F105" i="1" s="1"/>
  <c r="E105" i="1" a="1"/>
  <c r="E105" i="1" s="1"/>
  <c r="F157" i="1" a="1"/>
  <c r="F157" i="1" s="1"/>
  <c r="E157" i="1" a="1"/>
  <c r="E157" i="1" s="1"/>
  <c r="F162" i="1" a="1"/>
  <c r="F162" i="1" s="1"/>
  <c r="E162" i="1" a="1"/>
  <c r="E162" i="1" s="1"/>
  <c r="F176" i="1" a="1"/>
  <c r="F176" i="1" s="1"/>
  <c r="E176" i="1" a="1"/>
  <c r="E176" i="1" s="1"/>
  <c r="F195" i="1" a="1"/>
  <c r="F195" i="1" s="1"/>
  <c r="E195" i="1" a="1"/>
  <c r="E195" i="1" s="1"/>
  <c r="F204" i="1" a="1"/>
  <c r="F204" i="1" s="1"/>
  <c r="F214" i="1" a="1"/>
  <c r="F214" i="1" s="1"/>
  <c r="E214" i="1" a="1"/>
  <c r="E214" i="1" s="1"/>
  <c r="F233" i="1" a="1"/>
  <c r="F233" i="1" s="1"/>
  <c r="E233" i="1" a="1"/>
  <c r="E233" i="1" s="1"/>
  <c r="F272" i="1" a="1"/>
  <c r="F272" i="1" s="1"/>
  <c r="E272" i="1" a="1"/>
  <c r="E272" i="1" s="1"/>
  <c r="F88" i="1" a="1"/>
  <c r="F88" i="1" s="1"/>
  <c r="E88" i="1" a="1"/>
  <c r="E88" i="1" s="1"/>
  <c r="F72" i="1" a="1"/>
  <c r="F72" i="1" s="1"/>
  <c r="E72" i="1" a="1"/>
  <c r="E72" i="1" s="1"/>
  <c r="F91" i="1" a="1"/>
  <c r="F91" i="1" s="1"/>
  <c r="E91" i="1" a="1"/>
  <c r="E91" i="1" s="1"/>
  <c r="F100" i="1" a="1"/>
  <c r="F100" i="1" s="1"/>
  <c r="F110" i="1" a="1"/>
  <c r="F110" i="1" s="1"/>
  <c r="E110" i="1" a="1"/>
  <c r="E110" i="1" s="1"/>
  <c r="F129" i="1" a="1"/>
  <c r="F129" i="1" s="1"/>
  <c r="E129" i="1" a="1"/>
  <c r="E129" i="1" s="1"/>
  <c r="E143" i="1" a="1"/>
  <c r="E143" i="1" s="1"/>
  <c r="F181" i="1" a="1"/>
  <c r="F181" i="1" s="1"/>
  <c r="E181" i="1" a="1"/>
  <c r="E181" i="1" s="1"/>
  <c r="F200" i="1" a="1"/>
  <c r="F200" i="1" s="1"/>
  <c r="E200" i="1" a="1"/>
  <c r="E200" i="1" s="1"/>
  <c r="F219" i="1" a="1"/>
  <c r="F219" i="1" s="1"/>
  <c r="E219" i="1" a="1"/>
  <c r="E219" i="1" s="1"/>
  <c r="F228" i="1" a="1"/>
  <c r="F228" i="1" s="1"/>
  <c r="F238" i="1" a="1"/>
  <c r="F238" i="1" s="1"/>
  <c r="E238" i="1" a="1"/>
  <c r="E238" i="1" s="1"/>
  <c r="F257" i="1" a="1"/>
  <c r="F257" i="1" s="1"/>
  <c r="E257" i="1" a="1"/>
  <c r="E257" i="1" s="1"/>
  <c r="E279" i="1" a="1"/>
  <c r="E279" i="1" s="1"/>
  <c r="F126" i="1" a="1"/>
  <c r="F126" i="1" s="1"/>
  <c r="E126" i="1" a="1"/>
  <c r="E126" i="1" s="1"/>
  <c r="E61" i="1" a="1"/>
  <c r="E61" i="1" s="1"/>
  <c r="F77" i="1" a="1"/>
  <c r="F77" i="1" s="1"/>
  <c r="E77" i="1" a="1"/>
  <c r="E77" i="1" s="1"/>
  <c r="F96" i="1" a="1"/>
  <c r="F96" i="1" s="1"/>
  <c r="E96" i="1" a="1"/>
  <c r="E96" i="1" s="1"/>
  <c r="F115" i="1" a="1"/>
  <c r="F115" i="1" s="1"/>
  <c r="E115" i="1" a="1"/>
  <c r="E115" i="1" s="1"/>
  <c r="F124" i="1" a="1"/>
  <c r="F124" i="1" s="1"/>
  <c r="F134" i="1" a="1"/>
  <c r="F134" i="1" s="1"/>
  <c r="E134" i="1" a="1"/>
  <c r="E134" i="1" s="1"/>
  <c r="F153" i="1" a="1"/>
  <c r="F153" i="1" s="1"/>
  <c r="E153" i="1" a="1"/>
  <c r="E153" i="1" s="1"/>
  <c r="F205" i="1" a="1"/>
  <c r="F205" i="1" s="1"/>
  <c r="E205" i="1" a="1"/>
  <c r="E205" i="1" s="1"/>
  <c r="F224" i="1" a="1"/>
  <c r="F224" i="1" s="1"/>
  <c r="E224" i="1" a="1"/>
  <c r="E224" i="1" s="1"/>
  <c r="F243" i="1" a="1"/>
  <c r="F243" i="1" s="1"/>
  <c r="E243" i="1" a="1"/>
  <c r="E243" i="1" s="1"/>
  <c r="F252" i="1" a="1"/>
  <c r="F252" i="1" s="1"/>
  <c r="F262" i="1" a="1"/>
  <c r="F262" i="1" s="1"/>
  <c r="E262" i="1" a="1"/>
  <c r="E262" i="1" s="1"/>
  <c r="F280" i="1" a="1"/>
  <c r="F280" i="1" s="1"/>
  <c r="E280" i="1" a="1"/>
  <c r="E280" i="1" s="1"/>
  <c r="F101" i="1" a="1"/>
  <c r="F101" i="1" s="1"/>
  <c r="E101" i="1" a="1"/>
  <c r="E101" i="1" s="1"/>
  <c r="F106" i="1" a="1"/>
  <c r="F106" i="1" s="1"/>
  <c r="E106" i="1" a="1"/>
  <c r="E106" i="1" s="1"/>
  <c r="F120" i="1" a="1"/>
  <c r="F120" i="1" s="1"/>
  <c r="E120" i="1" a="1"/>
  <c r="E120" i="1" s="1"/>
  <c r="F139" i="1" a="1"/>
  <c r="F139" i="1" s="1"/>
  <c r="E139" i="1" a="1"/>
  <c r="E139" i="1" s="1"/>
  <c r="F158" i="1" a="1"/>
  <c r="F158" i="1" s="1"/>
  <c r="E158" i="1" a="1"/>
  <c r="E158" i="1" s="1"/>
  <c r="F177" i="1" a="1"/>
  <c r="F177" i="1" s="1"/>
  <c r="E177" i="1" a="1"/>
  <c r="E177" i="1" s="1"/>
  <c r="F229" i="1" a="1"/>
  <c r="F229" i="1" s="1"/>
  <c r="E229" i="1" a="1"/>
  <c r="E229" i="1" s="1"/>
  <c r="F234" i="1" a="1"/>
  <c r="F234" i="1" s="1"/>
  <c r="E234" i="1" a="1"/>
  <c r="E234" i="1" s="1"/>
  <c r="F248" i="1" a="1"/>
  <c r="F248" i="1" s="1"/>
  <c r="E248" i="1" a="1"/>
  <c r="E248" i="1" s="1"/>
  <c r="F267" i="1" a="1"/>
  <c r="F267" i="1" s="1"/>
  <c r="E267" i="1" a="1"/>
  <c r="E267" i="1" s="1"/>
  <c r="F273" i="1" a="1"/>
  <c r="F273" i="1" s="1"/>
  <c r="E273" i="1" a="1"/>
  <c r="E273" i="1" s="1"/>
  <c r="F281" i="1" a="1"/>
  <c r="F281" i="1" s="1"/>
  <c r="E281" i="1" a="1"/>
  <c r="E28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<sst xmlns="http://schemas.openxmlformats.org/spreadsheetml/2006/main" count="286" uniqueCount="13">
  <si>
    <t>company_id</t>
  </si>
  <si>
    <t>gov_crit_id</t>
  </si>
  <si>
    <t>doc_id_primary_evidence</t>
  </si>
  <si>
    <t>score_0_3</t>
  </si>
  <si>
    <t>evidence_quote</t>
  </si>
  <si>
    <t>evidence_location</t>
  </si>
  <si>
    <t>GOV_01</t>
  </si>
  <si>
    <t>GOV_02</t>
  </si>
  <si>
    <t>GOV_03</t>
  </si>
  <si>
    <t>GOV_04</t>
  </si>
  <si>
    <t>GOV_05</t>
  </si>
  <si>
    <t>GOV_06</t>
  </si>
  <si>
    <t>GOV_07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</si>
</sst>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gray0625">
        <bgColor theme="3" tint="0.89996032593768116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2" xfId="0" applyFill="1" applyBorder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3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3" borderId="7" xfId="0" applyFill="1" applyBorder="1"/>
    <xf numFmtId="0" fontId="0" fillId="0" borderId="7" xfId="0" applyBorder="1"/>
    <xf numFmtId="0" fontId="0" fillId="2" borderId="8" xfId="0" applyFill="1" applyBorder="1"/>
  </cellXfs>
  <cellStyles count="1">
    <cellStyle name="Standard" xfId="0" builtinId="0"/>
  </cellStyles>
  <dxfs count="6">
    <dxf>
      <numFmt numFmtId="0" formatCode="General"/>
      <fill>
        <patternFill patternType="solid">
          <fgColor indexed="64"/>
          <bgColor theme="3" tint="0.89999084444715716"/>
        </patternFill>
      </fill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  <fill>
        <patternFill patternType="gray0625">
          <fgColor indexed="64"/>
          <bgColor theme="3" tint="0.89996032593768116"/>
        </patternFill>
      </fill>
    </dxf>
    <dxf>
      <numFmt numFmtId="0" formatCode="General"/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  <border diagonalUp="0" diagonalDown="0">
        <left style="medium">
          <color indexed="64"/>
        </left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ODEBOOK/V1_Codebuch_08042026_FINAL.xlsx" TargetMode="External"/><Relationship Id="rId2" Type="http://schemas.openxmlformats.org/officeDocument/2006/relationships/externalLinkPath" Target="https://iubhfs-my.sharepoint.com/personal/florian_klawun_iu-study_org/Documents/IU%20Study/Marketing/19_Thesis/Anhang/CODEBOOK/V1_Codebuch_08042026_FINAL.xlsx" TargetMode="External"/><Relationship Id="rId1" Type="http://schemas.openxmlformats.org/officeDocument/2006/relationships/externalLinkPath" Target="/personal/florian_klawun_iu-study_org/Documents/IU%20Study/Marketing/19_Thesis/Anhang/CODEBOOK/V1_Codebuch_08042026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00_DAX_Master"/>
      <sheetName val="01_Document_Log"/>
      <sheetName val="02_Values_Codebook"/>
      <sheetName val="04_Governance_Codebook"/>
      <sheetName val="03_Values_Coding"/>
      <sheetName val="05_Governance_Coding"/>
      <sheetName val="07_Boundary_Cases"/>
      <sheetName val="03b_Values_Company_Level"/>
      <sheetName val="05b_Governance_Company_Level"/>
      <sheetName val="06_Derived_Indices"/>
      <sheetName val="07a_Analyse_Jaccard"/>
      <sheetName val="07b_Analyse_deskriptiv"/>
      <sheetName val="07c_Analyse_Cluster"/>
      <sheetName val="Tabelle2"/>
      <sheetName val="07d_Analyse_Zusammenhänge"/>
      <sheetName val="07e_Analyse_Sensitivität"/>
      <sheetName val="08_Codebook_Changelog"/>
      <sheetName val="09_Coding_Memos"/>
      <sheetName val="99_Lookups"/>
      <sheetName val="30_Values_Coding_PILOT"/>
      <sheetName val="31_Values_Coding_RE"/>
      <sheetName val="50_Governance_Coding_PILOT"/>
      <sheetName val="51_Governance_Coding_RE"/>
      <sheetName val="80_Regelkonsolidierung_Pilo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59CD11-B41E-4F94-A627-62428C5BEF33}" name="Tabelle728" displayName="Tabelle728" ref="A1:F281" totalsRowShown="0">
  <autoFilter ref="A1:F281" xr:uid="{8D59CD11-B41E-4F94-A627-62428C5BEF33}"/>
  <tableColumns count="6">
    <tableColumn id="1" xr3:uid="{6CE3907F-0850-45B8-BD03-9C8AF9CB7483}" name="company_id" dataDxfId="5"/>
    <tableColumn id="2" xr3:uid="{6CD7C6D3-6AED-4773-8F60-33CE30731350}" name="gov_crit_id" dataDxfId="4"/>
    <tableColumn id="3" xr3:uid="{F697BA60-25E5-4149-8643-632AD26568E7}" name="doc_id_primary_evidence" dataDxfId="3">
      <calculatedColumnFormula>IF(Tabelle728[[#This Row],[score_0_3]]=0,"",IFERROR(_xlfn.MINIFS([1]!Tabelle7[doc_id],[1]!Tabelle7[company_id],Tabelle728[[#This Row],[company_id]],[1]!Tabelle7[gov_id],Tabelle728[[#This Row],[gov_crit_id]],[1]!Tabelle7[score_0_3],Tabelle728[[#This Row],[score_0_3]]),""))</calculatedColumnFormula>
    </tableColumn>
    <tableColumn id="4" xr3:uid="{14C03578-25B9-4B0C-858F-7C1840093CDA}" name="score_0_3" dataDxfId="2">
      <calculatedColumnFormula>IFERROR(_xlfn.MAXIFS([1]!Tabelle7[score_0_3],[1]!Tabelle7[company_id],Tabelle728[[#This Row],[company_id]],[1]!Tabelle7[gov_id],Tabelle728[[#This Row],[gov_crit_id]]),0)</calculatedColumnFormula>
    </tableColumn>
    <tableColumn id="5" xr3:uid="{9E983973-440E-44BA-9F3E-E786C7DDCBEF}" name="evidence_quote" dataDxfId="1">
      <calculatedColumnFormula array="1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calculatedColumnFormula>
    </tableColumn>
    <tableColumn id="6" xr3:uid="{EEFAB191-58BC-487E-8B19-E718881AD4D8}" name="evidence_location" dataDxfId="0">
      <calculatedColumnFormula array="1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1"/>
  <sheetViews>
    <sheetView tabSelected="1" workbookViewId="0">
      <selection activeCell="L6" sqref="L6"/>
    </sheetView>
  </sheetViews>
  <sheetFormatPr baseColWidth="10" defaultColWidth="9.140625" defaultRowHeight="15" x14ac:dyDescent="0.25"/>
  <sheetData>
    <row r="1" spans="1:6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1</v>
      </c>
      <c r="B2" s="2" t="s">
        <v>6</v>
      </c>
      <c r="C2" s="2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" s="3">
        <f>IFERROR(_xlfn.MAXIFS([1]!Tabelle7[score_0_3],[1]!Tabelle7[company_id],Tabelle728[[#This Row],[company_id]],[1]!Tabelle7[gov_id],Tabelle728[[#This Row],[gov_crit_id]]),0)</f>
        <v>0</v>
      </c>
      <c r="E2" s="4" t="str" cm="1">
        <f t="array" ref="E2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" s="5" t="str" cm="1">
        <f t="array" ref="F2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3" spans="1:6" x14ac:dyDescent="0.25">
      <c r="A3" s="6">
        <v>1</v>
      </c>
      <c r="B3" s="7" t="s">
        <v>7</v>
      </c>
      <c r="C3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3" s="8">
        <f>IFERROR(_xlfn.MAXIFS([1]!Tabelle7[score_0_3],[1]!Tabelle7[company_id],Tabelle728[[#This Row],[company_id]],[1]!Tabelle7[gov_id],Tabelle728[[#This Row],[gov_crit_id]]),0)</f>
        <v>0</v>
      </c>
      <c r="E3" t="str" cm="1">
        <f t="array" ref="E3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3" s="9" t="str" cm="1">
        <f t="array" ref="F3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4" spans="1:6" x14ac:dyDescent="0.25">
      <c r="A4" s="6">
        <v>1</v>
      </c>
      <c r="B4" s="7" t="s">
        <v>8</v>
      </c>
      <c r="C4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4" s="8">
        <f>IFERROR(_xlfn.MAXIFS([1]!Tabelle7[score_0_3],[1]!Tabelle7[company_id],Tabelle728[[#This Row],[company_id]],[1]!Tabelle7[gov_id],Tabelle728[[#This Row],[gov_crit_id]]),0)</f>
        <v>0</v>
      </c>
      <c r="E4" t="str" cm="1">
        <f t="array" ref="E4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4" s="9" t="str" cm="1">
        <f t="array" ref="F4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5" spans="1:6" x14ac:dyDescent="0.25">
      <c r="A5" s="6">
        <v>1</v>
      </c>
      <c r="B5" s="7" t="s">
        <v>9</v>
      </c>
      <c r="C5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5" s="8">
        <f>IFERROR(_xlfn.MAXIFS([1]!Tabelle7[score_0_3],[1]!Tabelle7[company_id],Tabelle728[[#This Row],[company_id]],[1]!Tabelle7[gov_id],Tabelle728[[#This Row],[gov_crit_id]]),0)</f>
        <v>0</v>
      </c>
      <c r="E5" t="str" cm="1">
        <f t="array" ref="E5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5" s="9" t="str" cm="1">
        <f t="array" ref="F5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6" spans="1:6" x14ac:dyDescent="0.25">
      <c r="A6" s="6">
        <v>1</v>
      </c>
      <c r="B6" s="7" t="s">
        <v>10</v>
      </c>
      <c r="C6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6" s="8">
        <f>IFERROR(_xlfn.MAXIFS([1]!Tabelle7[score_0_3],[1]!Tabelle7[company_id],Tabelle728[[#This Row],[company_id]],[1]!Tabelle7[gov_id],Tabelle728[[#This Row],[gov_crit_id]]),0)</f>
        <v>0</v>
      </c>
      <c r="E6" t="str" cm="1">
        <f t="array" ref="E6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6" s="9" t="str" cm="1">
        <f t="array" ref="F6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7" spans="1:6" x14ac:dyDescent="0.25">
      <c r="A7" s="6">
        <v>1</v>
      </c>
      <c r="B7" s="7" t="s">
        <v>11</v>
      </c>
      <c r="C7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7" s="8">
        <f>IFERROR(_xlfn.MAXIFS([1]!Tabelle7[score_0_3],[1]!Tabelle7[company_id],Tabelle728[[#This Row],[company_id]],[1]!Tabelle7[gov_id],Tabelle728[[#This Row],[gov_crit_id]]),0)</f>
        <v>0</v>
      </c>
      <c r="E7" t="str" cm="1">
        <f t="array" ref="E7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7" s="9" t="str" cm="1">
        <f t="array" ref="F7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8" spans="1:6" ht="15.75" thickBot="1" x14ac:dyDescent="0.3">
      <c r="A8" s="10">
        <v>1</v>
      </c>
      <c r="B8" s="11" t="s">
        <v>12</v>
      </c>
      <c r="C8" s="11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8" s="12">
        <f>IFERROR(_xlfn.MAXIFS([1]!Tabelle7[score_0_3],[1]!Tabelle7[company_id],Tabelle728[[#This Row],[company_id]],[1]!Tabelle7[gov_id],Tabelle728[[#This Row],[gov_crit_id]]),0)</f>
        <v>0</v>
      </c>
      <c r="E8" s="13" t="str" cm="1">
        <f t="array" ref="E8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8" s="14" t="str" cm="1">
        <f t="array" ref="F8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9" spans="1:6" x14ac:dyDescent="0.25">
      <c r="A9" s="1">
        <v>2</v>
      </c>
      <c r="B9" s="2" t="s">
        <v>6</v>
      </c>
      <c r="C9" s="2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9" s="3">
        <f>IFERROR(_xlfn.MAXIFS([1]!Tabelle7[score_0_3],[1]!Tabelle7[company_id],Tabelle728[[#This Row],[company_id]],[1]!Tabelle7[gov_id],Tabelle728[[#This Row],[gov_crit_id]]),0)</f>
        <v>0</v>
      </c>
      <c r="E9" s="4" t="str" cm="1">
        <f t="array" ref="E9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9" s="5" t="str" cm="1">
        <f t="array" ref="F9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0" spans="1:6" x14ac:dyDescent="0.25">
      <c r="A10" s="6">
        <v>2</v>
      </c>
      <c r="B10" s="7" t="s">
        <v>7</v>
      </c>
      <c r="C10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9</v>
      </c>
      <c r="D10" s="8">
        <f>IFERROR(_xlfn.MAXIFS([1]!Tabelle7[score_0_3],[1]!Tabelle7[company_id],Tabelle728[[#This Row],[company_id]],[1]!Tabelle7[gov_id],Tabelle728[[#This Row],[gov_crit_id]]),0)</f>
        <v>2</v>
      </c>
      <c r="E10" t="str" cm="1">
        <f t="array" ref="E10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“Regularly review artificial intelligence systems”</v>
      </c>
      <c r="F10" s="9" t="str" cm="1">
        <f t="array" ref="F10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31, Digital Ethics</v>
      </c>
    </row>
    <row r="11" spans="1:6" x14ac:dyDescent="0.25">
      <c r="A11" s="6">
        <v>2</v>
      </c>
      <c r="B11" s="7" t="s">
        <v>8</v>
      </c>
      <c r="C11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9</v>
      </c>
      <c r="D11" s="8">
        <f>IFERROR(_xlfn.MAXIFS([1]!Tabelle7[score_0_3],[1]!Tabelle7[company_id],Tabelle728[[#This Row],[company_id]],[1]!Tabelle7[gov_id],Tabelle728[[#This Row],[gov_crit_id]]),0)</f>
        <v>2</v>
      </c>
      <c r="E11" t="str" cm="1">
        <f t="array" ref="E11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“Regularly review artificial intelligence systems to ensure fairness and prevent biases.”</v>
      </c>
      <c r="F11" s="9" t="str" cm="1">
        <f t="array" ref="F11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31, Digital Ethics</v>
      </c>
    </row>
    <row r="12" spans="1:6" x14ac:dyDescent="0.25">
      <c r="A12" s="6">
        <v>2</v>
      </c>
      <c r="B12" s="7" t="s">
        <v>9</v>
      </c>
      <c r="C12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2" s="8">
        <f>IFERROR(_xlfn.MAXIFS([1]!Tabelle7[score_0_3],[1]!Tabelle7[company_id],Tabelle728[[#This Row],[company_id]],[1]!Tabelle7[gov_id],Tabelle728[[#This Row],[gov_crit_id]]),0)</f>
        <v>0</v>
      </c>
      <c r="E12" t="str" cm="1">
        <f t="array" ref="E12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2" s="9" t="str" cm="1">
        <f t="array" ref="F12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3" spans="1:6" x14ac:dyDescent="0.25">
      <c r="A13" s="6">
        <v>2</v>
      </c>
      <c r="B13" s="7" t="s">
        <v>10</v>
      </c>
      <c r="C13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3" s="8">
        <f>IFERROR(_xlfn.MAXIFS([1]!Tabelle7[score_0_3],[1]!Tabelle7[company_id],Tabelle728[[#This Row],[company_id]],[1]!Tabelle7[gov_id],Tabelle728[[#This Row],[gov_crit_id]]),0)</f>
        <v>0</v>
      </c>
      <c r="E13" t="str" cm="1">
        <f t="array" ref="E13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3" s="9" t="str" cm="1">
        <f t="array" ref="F13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4" spans="1:6" x14ac:dyDescent="0.25">
      <c r="A14" s="6">
        <v>2</v>
      </c>
      <c r="B14" s="7" t="s">
        <v>11</v>
      </c>
      <c r="C14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4" s="8">
        <f>IFERROR(_xlfn.MAXIFS([1]!Tabelle7[score_0_3],[1]!Tabelle7[company_id],Tabelle728[[#This Row],[company_id]],[1]!Tabelle7[gov_id],Tabelle728[[#This Row],[gov_crit_id]]),0)</f>
        <v>0</v>
      </c>
      <c r="E14" t="str" cm="1">
        <f t="array" ref="E14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4" s="9" t="str" cm="1">
        <f t="array" ref="F14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5" spans="1:6" ht="15.75" thickBot="1" x14ac:dyDescent="0.3">
      <c r="A15" s="10">
        <v>2</v>
      </c>
      <c r="B15" s="11" t="s">
        <v>12</v>
      </c>
      <c r="C15" s="11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5" s="12">
        <f>IFERROR(_xlfn.MAXIFS([1]!Tabelle7[score_0_3],[1]!Tabelle7[company_id],Tabelle728[[#This Row],[company_id]],[1]!Tabelle7[gov_id],Tabelle728[[#This Row],[gov_crit_id]]),0)</f>
        <v>0</v>
      </c>
      <c r="E15" s="13" t="str" cm="1">
        <f t="array" ref="E15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5" s="14" t="str" cm="1">
        <f t="array" ref="F15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6" spans="1:6" x14ac:dyDescent="0.25">
      <c r="A16" s="1">
        <v>3</v>
      </c>
      <c r="B16" s="2" t="s">
        <v>6</v>
      </c>
      <c r="C16" s="2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16</v>
      </c>
      <c r="D16" s="3">
        <f>IFERROR(_xlfn.MAXIFS([1]!Tabelle7[score_0_3],[1]!Tabelle7[company_id],Tabelle728[[#This Row],[company_id]],[1]!Tabelle7[gov_id],Tabelle728[[#This Row],[gov_crit_id]]),0)</f>
        <v>2</v>
      </c>
      <c r="E16" s="4" t="str" cm="1">
        <f t="array" ref="E16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“established a Group Data and AI Trust Advisory Board (DAITAB)"; “establishes the new role of an AI Trust Officer”</v>
      </c>
      <c r="F16" s="5" t="str" cm="1">
        <f t="array" ref="F16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5–6, DAITAB / Responsible AI Corporate Rules</v>
      </c>
    </row>
    <row r="17" spans="1:6" x14ac:dyDescent="0.25">
      <c r="A17" s="6">
        <v>3</v>
      </c>
      <c r="B17" s="7" t="s">
        <v>7</v>
      </c>
      <c r="C17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16</v>
      </c>
      <c r="D17" s="8">
        <f>IFERROR(_xlfn.MAXIFS([1]!Tabelle7[score_0_3],[1]!Tabelle7[company_id],Tabelle728[[#This Row],[company_id]],[1]!Tabelle7[gov_id],Tabelle728[[#This Row],[gov_crit_id]]),0)</f>
        <v>2</v>
      </c>
      <c r="E17" t="str" cm="1">
        <f t="array" ref="E17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"we consult relevant stakeholders – whether from the business, data science, IT”; “collectively establish the core principles and framework”; “extending privacy risk assessments to cover all RAI principles”</v>
      </c>
      <c r="F17" s="9" t="str" cm="1">
        <f t="array" ref="F17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2; S. 6, RAI approach / Responsible AI Corporate Rules</v>
      </c>
    </row>
    <row r="18" spans="1:6" x14ac:dyDescent="0.25">
      <c r="A18" s="6">
        <v>3</v>
      </c>
      <c r="B18" s="7" t="s">
        <v>8</v>
      </c>
      <c r="C18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16</v>
      </c>
      <c r="D18" s="8">
        <f>IFERROR(_xlfn.MAXIFS([1]!Tabelle7[score_0_3],[1]!Tabelle7[company_id],Tabelle728[[#This Row],[company_id]],[1]!Tabelle7[gov_id],Tabelle728[[#This Row],[gov_crit_id]]),0)</f>
        <v>2</v>
      </c>
      <c r="E18" t="str" cm="1">
        <f t="array" ref="E18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“perform a dedicated privacy risk assessment”; “extending privacy risk assessments to cover all RAI principles”; “monitor AI risks, conduct RAI-assessments with the CDO”</v>
      </c>
      <c r="F18" s="9" t="str" cm="1">
        <f t="array" ref="F18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4; S. 6, Data Privacy / Responsible AI Corporate Rules</v>
      </c>
    </row>
    <row r="19" spans="1:6" x14ac:dyDescent="0.25">
      <c r="A19" s="6">
        <v>3</v>
      </c>
      <c r="B19" s="7" t="s">
        <v>9</v>
      </c>
      <c r="C19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9" s="8">
        <f>IFERROR(_xlfn.MAXIFS([1]!Tabelle7[score_0_3],[1]!Tabelle7[company_id],Tabelle728[[#This Row],[company_id]],[1]!Tabelle7[gov_id],Tabelle728[[#This Row],[gov_crit_id]]),0)</f>
        <v>0</v>
      </c>
      <c r="E19" t="str" cm="1">
        <f t="array" ref="E19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9" s="9" t="str" cm="1">
        <f t="array" ref="F19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0" spans="1:6" x14ac:dyDescent="0.25">
      <c r="A20" s="6">
        <v>3</v>
      </c>
      <c r="B20" s="7" t="s">
        <v>10</v>
      </c>
      <c r="C20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16</v>
      </c>
      <c r="D20" s="8">
        <f>IFERROR(_xlfn.MAXIFS([1]!Tabelle7[score_0_3],[1]!Tabelle7[company_id],Tabelle728[[#This Row],[company_id]],[1]!Tabelle7[gov_id],Tabelle728[[#This Row],[gov_crit_id]]),0)</f>
        <v>2</v>
      </c>
      <c r="E20" t="str" cm="1">
        <f t="array" ref="E20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“strategically upskilling our workforce”; “providing operational guidance, technical support, AI literacy”</v>
      </c>
      <c r="F20" s="9" t="str" cm="1">
        <f t="array" ref="F20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2; S. 6, RAI approach / Responsible AI Corporate Rules</v>
      </c>
    </row>
    <row r="21" spans="1:6" x14ac:dyDescent="0.25">
      <c r="A21" s="6">
        <v>3</v>
      </c>
      <c r="B21" s="7" t="s">
        <v>11</v>
      </c>
      <c r="C21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16</v>
      </c>
      <c r="D21" s="8">
        <f>IFERROR(_xlfn.MAXIFS([1]!Tabelle7[score_0_3],[1]!Tabelle7[company_id],Tabelle728[[#This Row],[company_id]],[1]!Tabelle7[gov_id],Tabelle728[[#This Row],[gov_crit_id]]),0)</f>
        <v>2</v>
      </c>
      <c r="E21" t="str" cm="1">
        <f t="array" ref="E21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“supports Business Owners in incident management”; “escalate unresolved risk disagreements to the DAITAB”</v>
      </c>
      <c r="F21" s="9" t="str" cm="1">
        <f t="array" ref="F21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6, Responsible AI Corporate Rules</v>
      </c>
    </row>
    <row r="22" spans="1:6" ht="15.75" thickBot="1" x14ac:dyDescent="0.3">
      <c r="A22" s="10">
        <v>3</v>
      </c>
      <c r="B22" s="11" t="s">
        <v>12</v>
      </c>
      <c r="C22" s="11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21</v>
      </c>
      <c r="D22" s="12">
        <f>IFERROR(_xlfn.MAXIFS([1]!Tabelle7[score_0_3],[1]!Tabelle7[company_id],Tabelle728[[#This Row],[company_id]],[1]!Tabelle7[gov_id],Tabelle728[[#This Row],[gov_crit_id]]),0)</f>
        <v>1</v>
      </c>
      <c r="E22" s="13" t="str" cm="1">
        <f t="array" ref="E22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“Disclosures on impact of AI”; “reported internally and externally”</v>
      </c>
      <c r="F22" s="14" t="str" cm="1">
        <f t="array" ref="F22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4, Engagement / Exhibit 3</v>
      </c>
    </row>
    <row r="23" spans="1:6" x14ac:dyDescent="0.25">
      <c r="A23" s="1">
        <v>4</v>
      </c>
      <c r="B23" s="2" t="s">
        <v>6</v>
      </c>
      <c r="C23" s="2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22</v>
      </c>
      <c r="D23" s="3">
        <f>IFERROR(_xlfn.MAXIFS([1]!Tabelle7[score_0_3],[1]!Tabelle7[company_id],Tabelle728[[#This Row],[company_id]],[1]!Tabelle7[gov_id],Tabelle728[[#This Row],[gov_crit_id]]),0)</f>
        <v>1</v>
      </c>
      <c r="E23" s="4" t="str" cm="1">
        <f t="array" ref="E23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“please contact our Data &amp; AI office”</v>
      </c>
      <c r="F23" s="5" t="str" cm="1">
        <f t="array" ref="F23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3, For any questions or inquiries</v>
      </c>
    </row>
    <row r="24" spans="1:6" x14ac:dyDescent="0.25">
      <c r="A24" s="6">
        <v>4</v>
      </c>
      <c r="B24" s="7" t="s">
        <v>7</v>
      </c>
      <c r="C24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22</v>
      </c>
      <c r="D24" s="8">
        <f>IFERROR(_xlfn.MAXIFS([1]!Tabelle7[score_0_3],[1]!Tabelle7[company_id],Tabelle728[[#This Row],[company_id]],[1]!Tabelle7[gov_id],Tabelle728[[#This Row],[gov_crit_id]]),0)</f>
        <v>2</v>
      </c>
      <c r="E24" t="str" cm="1">
        <f t="array" ref="E24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“maintains a central inventory and conducts necessary assessments”; “ensure compliance and proactively manage risks”</v>
      </c>
      <c r="F24" s="9" t="str" cm="1">
        <f t="array" ref="F24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1, BASF’s Commitment to Responsible AI</v>
      </c>
    </row>
    <row r="25" spans="1:6" x14ac:dyDescent="0.25">
      <c r="A25" s="6">
        <v>4</v>
      </c>
      <c r="B25" s="7" t="s">
        <v>8</v>
      </c>
      <c r="C25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22</v>
      </c>
      <c r="D25" s="8">
        <f>IFERROR(_xlfn.MAXIFS([1]!Tabelle7[score_0_3],[1]!Tabelle7[company_id],Tabelle728[[#This Row],[company_id]],[1]!Tabelle7[gov_id],Tabelle728[[#This Row],[gov_crit_id]]),0)</f>
        <v>2</v>
      </c>
      <c r="E25" t="str" cm="1">
        <f t="array" ref="E25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“maintains a central inventory and conducts necessary assessments”</v>
      </c>
      <c r="F25" s="9" t="str" cm="1">
        <f t="array" ref="F25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1, BASF’s Commitment to Responsible AI</v>
      </c>
    </row>
    <row r="26" spans="1:6" x14ac:dyDescent="0.25">
      <c r="A26" s="6">
        <v>4</v>
      </c>
      <c r="B26" s="7" t="s">
        <v>9</v>
      </c>
      <c r="C26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6" s="8">
        <f>IFERROR(_xlfn.MAXIFS([1]!Tabelle7[score_0_3],[1]!Tabelle7[company_id],Tabelle728[[#This Row],[company_id]],[1]!Tabelle7[gov_id],Tabelle728[[#This Row],[gov_crit_id]]),0)</f>
        <v>0</v>
      </c>
      <c r="E26" t="str" cm="1">
        <f t="array" ref="E26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6" s="9" t="str" cm="1">
        <f t="array" ref="F26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7" spans="1:6" x14ac:dyDescent="0.25">
      <c r="A27" s="6">
        <v>4</v>
      </c>
      <c r="B27" s="7" t="s">
        <v>10</v>
      </c>
      <c r="C27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23</v>
      </c>
      <c r="D27" s="8">
        <f>IFERROR(_xlfn.MAXIFS([1]!Tabelle7[score_0_3],[1]!Tabelle7[company_id],Tabelle728[[#This Row],[company_id]],[1]!Tabelle7[gov_id],Tabelle728[[#This Row],[gov_crit_id]]),0)</f>
        <v>1</v>
      </c>
      <c r="E27" t="str" cm="1">
        <f t="array" ref="E27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“build strong digital capabilities throughout the company”</v>
      </c>
      <c r="F27" s="9" t="str" cm="1">
        <f t="array" ref="F27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49, Digital responsibility</v>
      </c>
    </row>
    <row r="28" spans="1:6" x14ac:dyDescent="0.25">
      <c r="A28" s="6">
        <v>4</v>
      </c>
      <c r="B28" s="7" t="s">
        <v>11</v>
      </c>
      <c r="C28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8" s="8">
        <f>IFERROR(_xlfn.MAXIFS([1]!Tabelle7[score_0_3],[1]!Tabelle7[company_id],Tabelle728[[#This Row],[company_id]],[1]!Tabelle7[gov_id],Tabelle728[[#This Row],[gov_crit_id]]),0)</f>
        <v>0</v>
      </c>
      <c r="E28" t="str" cm="1">
        <f t="array" ref="E28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8" s="9" t="str" cm="1">
        <f t="array" ref="F28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9" spans="1:6" ht="15.75" thickBot="1" x14ac:dyDescent="0.3">
      <c r="A29" s="10">
        <v>4</v>
      </c>
      <c r="B29" s="11" t="s">
        <v>12</v>
      </c>
      <c r="C29" s="11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9" s="12">
        <f>IFERROR(_xlfn.MAXIFS([1]!Tabelle7[score_0_3],[1]!Tabelle7[company_id],Tabelle728[[#This Row],[company_id]],[1]!Tabelle7[gov_id],Tabelle728[[#This Row],[gov_crit_id]]),0)</f>
        <v>0</v>
      </c>
      <c r="E29" s="13" t="str" cm="1">
        <f t="array" ref="E29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9" s="14" t="str" cm="1">
        <f t="array" ref="F29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30" spans="1:6" x14ac:dyDescent="0.25">
      <c r="A30" s="1">
        <v>5</v>
      </c>
      <c r="B30" s="2" t="s">
        <v>6</v>
      </c>
      <c r="C30" s="2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28</v>
      </c>
      <c r="D30" s="3">
        <f>IFERROR(_xlfn.MAXIFS([1]!Tabelle7[score_0_3],[1]!Tabelle7[company_id],Tabelle728[[#This Row],[company_id]],[1]!Tabelle7[gov_id],Tabelle728[[#This Row],[gov_crit_id]]),0)</f>
        <v>2</v>
      </c>
      <c r="E30" s="4" t="str" cm="1">
        <f t="array" ref="E30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“The GenAI Catalyst Team will review and update Bayer’s Generative Artificial Intelligence Guidance and Rules”; “after mandatory consultation with Quality Assurance”; “contact the data privacy organization via go/LPC-platform.”</v>
      </c>
      <c r="F30" s="5" t="str" cm="1">
        <f t="array" ref="F30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1–2; S. 1 Regel 2; S. 2 unten rechts</v>
      </c>
    </row>
    <row r="31" spans="1:6" x14ac:dyDescent="0.25">
      <c r="A31" s="6">
        <v>5</v>
      </c>
      <c r="B31" s="7" t="s">
        <v>7</v>
      </c>
      <c r="C31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28</v>
      </c>
      <c r="D31" s="8">
        <f>IFERROR(_xlfn.MAXIFS([1]!Tabelle7[score_0_3],[1]!Tabelle7[company_id],Tabelle728[[#This Row],[company_id]],[1]!Tabelle7[gov_id],Tabelle728[[#This Row],[gov_crit_id]]),0)</f>
        <v>2</v>
      </c>
      <c r="E31" t="str" cm="1">
        <f t="array" ref="E31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“Examples where prior data privacy assessment is required”; “Obtain a prior data privacy assessment when using AI for HR-related purposes”; “after mandatory consultation with Quality Assurance”</v>
      </c>
      <c r="F31" s="9" t="str" cm="1">
        <f t="array" ref="F31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1 Regel 2; S. 2 Data Privacy Rules/Examples</v>
      </c>
    </row>
    <row r="32" spans="1:6" x14ac:dyDescent="0.25">
      <c r="A32" s="6">
        <v>5</v>
      </c>
      <c r="B32" s="7" t="s">
        <v>8</v>
      </c>
      <c r="C32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27</v>
      </c>
      <c r="D32" s="8">
        <f>IFERROR(_xlfn.MAXIFS([1]!Tabelle7[score_0_3],[1]!Tabelle7[company_id],Tabelle728[[#This Row],[company_id]],[1]!Tabelle7[gov_id],Tabelle728[[#This Row],[gov_crit_id]]),0)</f>
        <v>2</v>
      </c>
      <c r="E32" t="str" cm="1">
        <f t="array" ref="E32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“We verify the data sets used for AI training are representative”; “do not use poor, incomplete or non-verified data”</v>
      </c>
      <c r="F32" s="9" t="str" cm="1">
        <f t="array" ref="F32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8</v>
      </c>
    </row>
    <row r="33" spans="1:6" x14ac:dyDescent="0.25">
      <c r="A33" s="6">
        <v>5</v>
      </c>
      <c r="B33" s="7" t="s">
        <v>9</v>
      </c>
      <c r="C33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27</v>
      </c>
      <c r="D33" s="8">
        <f>IFERROR(_xlfn.MAXIFS([1]!Tabelle7[score_0_3],[1]!Tabelle7[company_id],Tabelle728[[#This Row],[company_id]],[1]!Tabelle7[gov_id],Tabelle728[[#This Row],[gov_crit_id]]),0)</f>
        <v>1</v>
      </c>
      <c r="E33" t="str" cm="1">
        <f t="array" ref="E33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“support proper internal oversight, inspections, and maintenance of AI solutions.”</v>
      </c>
      <c r="F33" s="9" t="str" cm="1">
        <f t="array" ref="F33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8</v>
      </c>
    </row>
    <row r="34" spans="1:6" x14ac:dyDescent="0.25">
      <c r="A34" s="6">
        <v>5</v>
      </c>
      <c r="B34" s="7" t="s">
        <v>10</v>
      </c>
      <c r="C34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28</v>
      </c>
      <c r="D34" s="8">
        <f>IFERROR(_xlfn.MAXIFS([1]!Tabelle7[score_0_3],[1]!Tabelle7[company_id],Tabelle728[[#This Row],[company_id]],[1]!Tabelle7[gov_id],Tabelle728[[#This Row],[gov_crit_id]]),0)</f>
        <v>1</v>
      </c>
      <c r="E34" t="str" cm="1">
        <f t="array" ref="E34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“continuous-learning and upskilling resources available in IT Academy”</v>
      </c>
      <c r="F34" s="9" t="str" cm="1">
        <f t="array" ref="F34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1, AI-powered technology/IT Academy</v>
      </c>
    </row>
    <row r="35" spans="1:6" x14ac:dyDescent="0.25">
      <c r="A35" s="6">
        <v>5</v>
      </c>
      <c r="B35" s="7" t="s">
        <v>11</v>
      </c>
      <c r="C35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28</v>
      </c>
      <c r="D35" s="8">
        <f>IFERROR(_xlfn.MAXIFS([1]!Tabelle7[score_0_3],[1]!Tabelle7[company_id],Tabelle728[[#This Row],[company_id]],[1]!Tabelle7[gov_id],Tabelle728[[#This Row],[gov_crit_id]]),0)</f>
        <v>1</v>
      </c>
      <c r="E35" t="str" cm="1">
        <f t="array" ref="E35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“ask your question via generativeai@bayer.com”; “reach out to the data privacy via go/LPC-platform.”; “contact the data privacy organization via go/LPC-platform.”</v>
      </c>
      <c r="F35" s="9" t="str" cm="1">
        <f t="array" ref="F35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1 Approved tools/Regel 1; S. 2 unten rechts</v>
      </c>
    </row>
    <row r="36" spans="1:6" ht="15.75" thickBot="1" x14ac:dyDescent="0.3">
      <c r="A36" s="10">
        <v>5</v>
      </c>
      <c r="B36" s="11" t="s">
        <v>12</v>
      </c>
      <c r="C36" s="11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36" s="12">
        <f>IFERROR(_xlfn.MAXIFS([1]!Tabelle7[score_0_3],[1]!Tabelle7[company_id],Tabelle728[[#This Row],[company_id]],[1]!Tabelle7[gov_id],Tabelle728[[#This Row],[gov_crit_id]]),0)</f>
        <v>0</v>
      </c>
      <c r="E36" s="13" t="str" cm="1">
        <f t="array" ref="E36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36" s="14" t="str" cm="1">
        <f t="array" ref="F36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37" spans="1:6" x14ac:dyDescent="0.25">
      <c r="A37" s="1">
        <v>6</v>
      </c>
      <c r="B37" s="2" t="s">
        <v>6</v>
      </c>
      <c r="C37" s="2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34</v>
      </c>
      <c r="D37" s="3">
        <f>IFERROR(_xlfn.MAXIFS([1]!Tabelle7[score_0_3],[1]!Tabelle7[company_id],Tabelle728[[#This Row],[company_id]],[1]!Tabelle7[gov_id],Tabelle728[[#This Row],[gov_crit_id]]),0)</f>
        <v>2</v>
      </c>
      <c r="E37" s="4" t="str" cm="1">
        <f t="array" ref="E37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“discussed the CSR Directive, data strategy and data protection, and artificial intelligence.”; “It monitors the company’s digital strategy”</v>
      </c>
      <c r="F37" s="5" t="str" cm="1">
        <f t="array" ref="F37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19; S. 225</v>
      </c>
    </row>
    <row r="38" spans="1:6" x14ac:dyDescent="0.25">
      <c r="A38" s="6">
        <v>6</v>
      </c>
      <c r="B38" s="7" t="s">
        <v>7</v>
      </c>
      <c r="C38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34</v>
      </c>
      <c r="D38" s="8">
        <f>IFERROR(_xlfn.MAXIFS([1]!Tabelle7[score_0_3],[1]!Tabelle7[company_id],Tabelle728[[#This Row],[company_id]],[1]!Tabelle7[gov_id],Tabelle728[[#This Row],[gov_crit_id]]),0)</f>
        <v>2</v>
      </c>
      <c r="E38" t="str" cm="1">
        <f t="array" ref="E38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“It monitors the company’s digital strategy”; “general framework for the further strategic development of AI”; “communication guidelines for using AI for all global brands”</v>
      </c>
      <c r="F38" s="9" t="str" cm="1">
        <f t="array" ref="F38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12; S. 202</v>
      </c>
    </row>
    <row r="39" spans="1:6" x14ac:dyDescent="0.25">
      <c r="A39" s="6">
        <v>6</v>
      </c>
      <c r="B39" s="7" t="s">
        <v>8</v>
      </c>
      <c r="C39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34</v>
      </c>
      <c r="D39" s="8">
        <f>IFERROR(_xlfn.MAXIFS([1]!Tabelle7[score_0_3],[1]!Tabelle7[company_id],Tabelle728[[#This Row],[company_id]],[1]!Tabelle7[gov_id],Tabelle728[[#This Row],[gov_crit_id]]),0)</f>
        <v>2</v>
      </c>
      <c r="E39" t="str" cm="1">
        <f t="array" ref="E39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“bundled all marketing-related AI tools on one platform”; “introduced our innovative AI-controlled wrinkle analysis wrinkle.ai as a standardized test procedure”</v>
      </c>
      <c r="F39" s="9" t="str" cm="1">
        <f t="array" ref="F39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202; S. 35</v>
      </c>
    </row>
    <row r="40" spans="1:6" x14ac:dyDescent="0.25">
      <c r="A40" s="6">
        <v>6</v>
      </c>
      <c r="B40" s="7" t="s">
        <v>9</v>
      </c>
      <c r="C40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40" s="8">
        <f>IFERROR(_xlfn.MAXIFS([1]!Tabelle7[score_0_3],[1]!Tabelle7[company_id],Tabelle728[[#This Row],[company_id]],[1]!Tabelle7[gov_id],Tabelle728[[#This Row],[gov_crit_id]]),0)</f>
        <v>0</v>
      </c>
      <c r="E40" t="str" cm="1">
        <f t="array" ref="E40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40" s="9" t="str" cm="1">
        <f t="array" ref="F40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41" spans="1:6" x14ac:dyDescent="0.25">
      <c r="A41" s="6">
        <v>6</v>
      </c>
      <c r="B41" s="7" t="s">
        <v>10</v>
      </c>
      <c r="C41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41" s="8">
        <f>IFERROR(_xlfn.MAXIFS([1]!Tabelle7[score_0_3],[1]!Tabelle7[company_id],Tabelle728[[#This Row],[company_id]],[1]!Tabelle7[gov_id],Tabelle728[[#This Row],[gov_crit_id]]),0)</f>
        <v>0</v>
      </c>
      <c r="E41" t="str" cm="1">
        <f t="array" ref="E41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41" s="9" t="str" cm="1">
        <f t="array" ref="F41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42" spans="1:6" x14ac:dyDescent="0.25">
      <c r="A42" s="6">
        <v>6</v>
      </c>
      <c r="B42" s="7" t="s">
        <v>11</v>
      </c>
      <c r="C42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42" s="8">
        <f>IFERROR(_xlfn.MAXIFS([1]!Tabelle7[score_0_3],[1]!Tabelle7[company_id],Tabelle728[[#This Row],[company_id]],[1]!Tabelle7[gov_id],Tabelle728[[#This Row],[gov_crit_id]]),0)</f>
        <v>0</v>
      </c>
      <c r="E42" t="str" cm="1">
        <f t="array" ref="E42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42" s="9" t="str" cm="1">
        <f t="array" ref="F42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43" spans="1:6" ht="15.75" thickBot="1" x14ac:dyDescent="0.3">
      <c r="A43" s="10">
        <v>6</v>
      </c>
      <c r="B43" s="11" t="s">
        <v>12</v>
      </c>
      <c r="C43" s="11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34</v>
      </c>
      <c r="D43" s="12">
        <f>IFERROR(_xlfn.MAXIFS([1]!Tabelle7[score_0_3],[1]!Tabelle7[company_id],Tabelle728[[#This Row],[company_id]],[1]!Tabelle7[gov_id],Tabelle728[[#This Row],[gov_crit_id]]),0)</f>
        <v>1</v>
      </c>
      <c r="E43" s="13" t="str" cm="1">
        <f t="array" ref="E43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“the extent of the risk remains low, but the likelihood of occurrence is raised to possible.”</v>
      </c>
      <c r="F43" s="14" t="str" cm="1">
        <f t="array" ref="F43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202–203</v>
      </c>
    </row>
    <row r="44" spans="1:6" x14ac:dyDescent="0.25">
      <c r="A44" s="1">
        <v>7</v>
      </c>
      <c r="B44" s="2" t="s">
        <v>6</v>
      </c>
      <c r="C44" s="2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37</v>
      </c>
      <c r="D44" s="3">
        <f>IFERROR(_xlfn.MAXIFS([1]!Tabelle7[score_0_3],[1]!Tabelle7[company_id],Tabelle728[[#This Row],[company_id]],[1]!Tabelle7[gov_id],Tabelle728[[#This Row],[gov_crit_id]]),0)</f>
        <v>2</v>
      </c>
      <c r="E44" s="4" t="str" cm="1">
        <f t="array" ref="E44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“centre of competence for data analytics and machine learning”</v>
      </c>
      <c r="F44" s="5" t="str" cm="1">
        <f t="array" ref="F44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3</v>
      </c>
    </row>
    <row r="45" spans="1:6" x14ac:dyDescent="0.25">
      <c r="A45" s="6">
        <v>7</v>
      </c>
      <c r="B45" s="7" t="s">
        <v>7</v>
      </c>
      <c r="C45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37</v>
      </c>
      <c r="D45" s="8">
        <f>IFERROR(_xlfn.MAXIFS([1]!Tabelle7[score_0_3],[1]!Tabelle7[company_id],Tabelle728[[#This Row],[company_id]],[1]!Tabelle7[gov_id],Tabelle728[[#This Row],[gov_crit_id]]),0)</f>
        <v>2</v>
      </c>
      <c r="E45" t="str" cm="1">
        <f t="array" ref="E45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“identify, assess, report and mitigate risks”; “continuously refined and adapted</v>
      </c>
      <c r="F45" s="9" t="str" cm="1">
        <f t="array" ref="F45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1; S. 3</v>
      </c>
    </row>
    <row r="46" spans="1:6" x14ac:dyDescent="0.25">
      <c r="A46" s="6">
        <v>7</v>
      </c>
      <c r="B46" s="7" t="s">
        <v>8</v>
      </c>
      <c r="C46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37</v>
      </c>
      <c r="D46" s="8">
        <f>IFERROR(_xlfn.MAXIFS([1]!Tabelle7[score_0_3],[1]!Tabelle7[company_id],Tabelle728[[#This Row],[company_id]],[1]!Tabelle7[gov_id],Tabelle728[[#This Row],[gov_crit_id]]),0)</f>
        <v>2</v>
      </c>
      <c r="E46" t="str" cm="1">
        <f t="array" ref="E46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“portfolio tool which creates transparency”; “checked – in real time – for linguistic quality, similarity and consistency”; “determines deviations from the standard in real time”</v>
      </c>
      <c r="F46" s="9" t="str" cm="1">
        <f t="array" ref="F46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3–6</v>
      </c>
    </row>
    <row r="47" spans="1:6" x14ac:dyDescent="0.25">
      <c r="A47" s="6">
        <v>7</v>
      </c>
      <c r="B47" s="7" t="s">
        <v>9</v>
      </c>
      <c r="C47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47" s="8">
        <f>IFERROR(_xlfn.MAXIFS([1]!Tabelle7[score_0_3],[1]!Tabelle7[company_id],Tabelle728[[#This Row],[company_id]],[1]!Tabelle7[gov_id],Tabelle728[[#This Row],[gov_crit_id]]),0)</f>
        <v>0</v>
      </c>
      <c r="E47" t="str" cm="1">
        <f t="array" ref="E47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47" s="9" t="str" cm="1">
        <f t="array" ref="F47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48" spans="1:6" x14ac:dyDescent="0.25">
      <c r="A48" s="6">
        <v>7</v>
      </c>
      <c r="B48" s="7" t="s">
        <v>10</v>
      </c>
      <c r="C48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37</v>
      </c>
      <c r="D48" s="8">
        <f>IFERROR(_xlfn.MAXIFS([1]!Tabelle7[score_0_3],[1]!Tabelle7[company_id],Tabelle728[[#This Row],[company_id]],[1]!Tabelle7[gov_id],Tabelle728[[#This Row],[gov_crit_id]]),0)</f>
        <v>1</v>
      </c>
      <c r="E48" t="str" cm="1">
        <f t="array" ref="E48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“determines deviations from the standard in real time”</v>
      </c>
      <c r="F48" s="9" t="str" cm="1">
        <f t="array" ref="F48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1</v>
      </c>
    </row>
    <row r="49" spans="1:6" x14ac:dyDescent="0.25">
      <c r="A49" s="6">
        <v>7</v>
      </c>
      <c r="B49" s="7" t="s">
        <v>11</v>
      </c>
      <c r="C49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49" s="8">
        <f>IFERROR(_xlfn.MAXIFS([1]!Tabelle7[score_0_3],[1]!Tabelle7[company_id],Tabelle728[[#This Row],[company_id]],[1]!Tabelle7[gov_id],Tabelle728[[#This Row],[gov_crit_id]]),0)</f>
        <v>0</v>
      </c>
      <c r="E49" t="str" cm="1">
        <f t="array" ref="E49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49" s="9" t="str" cm="1">
        <f t="array" ref="F49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50" spans="1:6" ht="15.75" thickBot="1" x14ac:dyDescent="0.3">
      <c r="A50" s="10">
        <v>7</v>
      </c>
      <c r="B50" s="11" t="s">
        <v>12</v>
      </c>
      <c r="C50" s="11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37</v>
      </c>
      <c r="D50" s="12">
        <f>IFERROR(_xlfn.MAXIFS([1]!Tabelle7[score_0_3],[1]!Tabelle7[company_id],Tabelle728[[#This Row],[company_id]],[1]!Tabelle7[gov_id],Tabelle728[[#This Row],[gov_crit_id]]),0)</f>
        <v>1</v>
      </c>
      <c r="E50" s="13" t="str" cm="1">
        <f t="array" ref="E50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“currently spans 400 use cases, of which more than 50 are available for regular operation”</v>
      </c>
      <c r="F50" s="14" t="str" cm="1">
        <f t="array" ref="F50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3</v>
      </c>
    </row>
    <row r="51" spans="1:6" x14ac:dyDescent="0.25">
      <c r="A51" s="1">
        <v>8</v>
      </c>
      <c r="B51" s="2" t="s">
        <v>6</v>
      </c>
      <c r="C51" s="2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51" s="3">
        <f>IFERROR(_xlfn.MAXIFS([1]!Tabelle7[score_0_3],[1]!Tabelle7[company_id],Tabelle728[[#This Row],[company_id]],[1]!Tabelle7[gov_id],Tabelle728[[#This Row],[gov_crit_id]]),0)</f>
        <v>0</v>
      </c>
      <c r="E51" s="4" t="str" cm="1">
        <f t="array" ref="E51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51" s="5" t="str" cm="1">
        <f t="array" ref="F51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52" spans="1:6" x14ac:dyDescent="0.25">
      <c r="A52" s="6">
        <v>8</v>
      </c>
      <c r="B52" s="7" t="s">
        <v>7</v>
      </c>
      <c r="C52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52" s="8">
        <f>IFERROR(_xlfn.MAXIFS([1]!Tabelle7[score_0_3],[1]!Tabelle7[company_id],Tabelle728[[#This Row],[company_id]],[1]!Tabelle7[gov_id],Tabelle728[[#This Row],[gov_crit_id]]),0)</f>
        <v>0</v>
      </c>
      <c r="E52" t="str" cm="1">
        <f t="array" ref="E52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52" s="9" t="str" cm="1">
        <f t="array" ref="F52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53" spans="1:6" x14ac:dyDescent="0.25">
      <c r="A53" s="6">
        <v>8</v>
      </c>
      <c r="B53" s="7" t="s">
        <v>8</v>
      </c>
      <c r="C53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53" s="8">
        <f>IFERROR(_xlfn.MAXIFS([1]!Tabelle7[score_0_3],[1]!Tabelle7[company_id],Tabelle728[[#This Row],[company_id]],[1]!Tabelle7[gov_id],Tabelle728[[#This Row],[gov_crit_id]]),0)</f>
        <v>0</v>
      </c>
      <c r="E53" t="str" cm="1">
        <f t="array" ref="E53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53" s="9" t="str" cm="1">
        <f t="array" ref="F53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54" spans="1:6" x14ac:dyDescent="0.25">
      <c r="A54" s="6">
        <v>8</v>
      </c>
      <c r="B54" s="7" t="s">
        <v>9</v>
      </c>
      <c r="C54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54" s="8">
        <f>IFERROR(_xlfn.MAXIFS([1]!Tabelle7[score_0_3],[1]!Tabelle7[company_id],Tabelle728[[#This Row],[company_id]],[1]!Tabelle7[gov_id],Tabelle728[[#This Row],[gov_crit_id]]),0)</f>
        <v>0</v>
      </c>
      <c r="E54" t="str" cm="1">
        <f t="array" ref="E54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54" s="9" t="str" cm="1">
        <f t="array" ref="F54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55" spans="1:6" x14ac:dyDescent="0.25">
      <c r="A55" s="6">
        <v>8</v>
      </c>
      <c r="B55" s="7" t="s">
        <v>10</v>
      </c>
      <c r="C55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55" s="8">
        <f>IFERROR(_xlfn.MAXIFS([1]!Tabelle7[score_0_3],[1]!Tabelle7[company_id],Tabelle728[[#This Row],[company_id]],[1]!Tabelle7[gov_id],Tabelle728[[#This Row],[gov_crit_id]]),0)</f>
        <v>0</v>
      </c>
      <c r="E55" t="str" cm="1">
        <f t="array" ref="E55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55" s="9" t="str" cm="1">
        <f t="array" ref="F55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56" spans="1:6" x14ac:dyDescent="0.25">
      <c r="A56" s="6">
        <v>8</v>
      </c>
      <c r="B56" s="7" t="s">
        <v>11</v>
      </c>
      <c r="C56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56" s="8">
        <f>IFERROR(_xlfn.MAXIFS([1]!Tabelle7[score_0_3],[1]!Tabelle7[company_id],Tabelle728[[#This Row],[company_id]],[1]!Tabelle7[gov_id],Tabelle728[[#This Row],[gov_crit_id]]),0)</f>
        <v>0</v>
      </c>
      <c r="E56" t="str" cm="1">
        <f t="array" ref="E56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56" s="9" t="str" cm="1">
        <f t="array" ref="F56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57" spans="1:6" ht="15.75" thickBot="1" x14ac:dyDescent="0.3">
      <c r="A57" s="10">
        <v>8</v>
      </c>
      <c r="B57" s="11" t="s">
        <v>12</v>
      </c>
      <c r="C57" s="11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57" s="12">
        <f>IFERROR(_xlfn.MAXIFS([1]!Tabelle7[score_0_3],[1]!Tabelle7[company_id],Tabelle728[[#This Row],[company_id]],[1]!Tabelle7[gov_id],Tabelle728[[#This Row],[gov_crit_id]]),0)</f>
        <v>0</v>
      </c>
      <c r="E57" s="13" t="str" cm="1">
        <f t="array" ref="E57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57" s="14" t="str" cm="1">
        <f t="array" ref="F57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58" spans="1:6" x14ac:dyDescent="0.25">
      <c r="A58" s="1">
        <v>9</v>
      </c>
      <c r="B58" s="2" t="s">
        <v>6</v>
      </c>
      <c r="C58" s="2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46</v>
      </c>
      <c r="D58" s="3">
        <f>IFERROR(_xlfn.MAXIFS([1]!Tabelle7[score_0_3],[1]!Tabelle7[company_id],Tabelle728[[#This Row],[company_id]],[1]!Tabelle7[gov_id],Tabelle728[[#This Row],[gov_crit_id]]),0)</f>
        <v>2</v>
      </c>
      <c r="E58" s="4" t="str" cm="1">
        <f t="array" ref="E58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“establish a common view regarding the use of Artificial Intelligence”; “will continue to exchange views … on a regular basis”</v>
      </c>
      <c r="F58" s="5" t="str" cm="1">
        <f t="array" ref="F58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1–2</v>
      </c>
    </row>
    <row r="59" spans="1:6" x14ac:dyDescent="0.25">
      <c r="A59" s="6">
        <v>9</v>
      </c>
      <c r="B59" s="7" t="s">
        <v>7</v>
      </c>
      <c r="C59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46</v>
      </c>
      <c r="D59" s="8">
        <f>IFERROR(_xlfn.MAXIFS([1]!Tabelle7[score_0_3],[1]!Tabelle7[company_id],Tabelle728[[#This Row],[company_id]],[1]!Tabelle7[gov_id],Tabelle728[[#This Row],[gov_crit_id]]),0)</f>
        <v>2</v>
      </c>
      <c r="E59" t="str" cm="1">
        <f t="array" ref="E59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“Opportunities and risks are addressed and weighed when selecting models”; “review and further development of the existing principles as well as their operationalization</v>
      </c>
      <c r="F59" s="9" t="str" cm="1">
        <f t="array" ref="F59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1–2</v>
      </c>
    </row>
    <row r="60" spans="1:6" x14ac:dyDescent="0.25">
      <c r="A60" s="6">
        <v>9</v>
      </c>
      <c r="B60" s="7" t="s">
        <v>8</v>
      </c>
      <c r="C60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46</v>
      </c>
      <c r="D60" s="8">
        <f>IFERROR(_xlfn.MAXIFS([1]!Tabelle7[score_0_3],[1]!Tabelle7[company_id],Tabelle728[[#This Row],[company_id]],[1]!Tabelle7[gov_id],Tabelle728[[#This Row],[gov_crit_id]]),0)</f>
        <v>2</v>
      </c>
      <c r="E60" t="str" cm="1">
        <f t="array" ref="E60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“mandatory testing”; “SECAM classification of an IT system”</v>
      </c>
      <c r="F60" s="9" t="str" cm="1">
        <f t="array" ref="F60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2; S. 4</v>
      </c>
    </row>
    <row r="61" spans="1:6" x14ac:dyDescent="0.25">
      <c r="A61" s="6">
        <v>9</v>
      </c>
      <c r="B61" s="7" t="s">
        <v>9</v>
      </c>
      <c r="C61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48</v>
      </c>
      <c r="D61" s="8">
        <f>IFERROR(_xlfn.MAXIFS([1]!Tabelle7[score_0_3],[1]!Tabelle7[company_id],Tabelle728[[#This Row],[company_id]],[1]!Tabelle7[gov_id],Tabelle728[[#This Row],[gov_crit_id]]),0)</f>
        <v>2</v>
      </c>
      <c r="E61" t="str" cm="1">
        <f t="array" ref="E61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“The third line of defence is carried out by internal audit.”</v>
      </c>
      <c r="F61" s="9" t="str" cm="1">
        <f t="array" ref="F61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5</v>
      </c>
    </row>
    <row r="62" spans="1:6" x14ac:dyDescent="0.25">
      <c r="A62" s="6">
        <v>9</v>
      </c>
      <c r="B62" s="7" t="s">
        <v>10</v>
      </c>
      <c r="C62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46</v>
      </c>
      <c r="D62" s="8">
        <f>IFERROR(_xlfn.MAXIFS([1]!Tabelle7[score_0_3],[1]!Tabelle7[company_id],Tabelle728[[#This Row],[company_id]],[1]!Tabelle7[gov_id],Tabelle728[[#This Row],[gov_crit_id]]),0)</f>
        <v>1</v>
      </c>
      <c r="E62" t="str" cm="1">
        <f t="array" ref="E62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“presented and explained to the employees in a transparent manner”</v>
      </c>
      <c r="F62" s="9" t="str" cm="1">
        <f t="array" ref="F62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1</v>
      </c>
    </row>
    <row r="63" spans="1:6" x14ac:dyDescent="0.25">
      <c r="A63" s="6">
        <v>9</v>
      </c>
      <c r="B63" s="7" t="s">
        <v>11</v>
      </c>
      <c r="C63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63" s="8">
        <f>IFERROR(_xlfn.MAXIFS([1]!Tabelle7[score_0_3],[1]!Tabelle7[company_id],Tabelle728[[#This Row],[company_id]],[1]!Tabelle7[gov_id],Tabelle728[[#This Row],[gov_crit_id]]),0)</f>
        <v>0</v>
      </c>
      <c r="E63" t="str" cm="1">
        <f t="array" ref="E63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63" s="9" t="str" cm="1">
        <f t="array" ref="F63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64" spans="1:6" ht="15.75" thickBot="1" x14ac:dyDescent="0.3">
      <c r="A64" s="10">
        <v>9</v>
      </c>
      <c r="B64" s="11" t="s">
        <v>12</v>
      </c>
      <c r="C64" s="11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64" s="12">
        <f>IFERROR(_xlfn.MAXIFS([1]!Tabelle7[score_0_3],[1]!Tabelle7[company_id],Tabelle728[[#This Row],[company_id]],[1]!Tabelle7[gov_id],Tabelle728[[#This Row],[gov_crit_id]]),0)</f>
        <v>0</v>
      </c>
      <c r="E64" s="13" t="str" cm="1">
        <f t="array" ref="E64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64" s="14" t="str" cm="1">
        <f t="array" ref="F64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65" spans="1:6" x14ac:dyDescent="0.25">
      <c r="A65" s="1">
        <v>10</v>
      </c>
      <c r="B65" s="2" t="s">
        <v>6</v>
      </c>
      <c r="C65" s="2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65" s="3">
        <f>IFERROR(_xlfn.MAXIFS([1]!Tabelle7[score_0_3],[1]!Tabelle7[company_id],Tabelle728[[#This Row],[company_id]],[1]!Tabelle7[gov_id],Tabelle728[[#This Row],[gov_crit_id]]),0)</f>
        <v>0</v>
      </c>
      <c r="E65" s="4" t="str" cm="1">
        <f t="array" ref="E65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65" s="5" t="str" cm="1">
        <f t="array" ref="F65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66" spans="1:6" x14ac:dyDescent="0.25">
      <c r="A66" s="6">
        <v>10</v>
      </c>
      <c r="B66" s="7" t="s">
        <v>7</v>
      </c>
      <c r="C66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52</v>
      </c>
      <c r="D66" s="8">
        <f>IFERROR(_xlfn.MAXIFS([1]!Tabelle7[score_0_3],[1]!Tabelle7[company_id],Tabelle728[[#This Row],[company_id]],[1]!Tabelle7[gov_id],Tabelle728[[#This Row],[gov_crit_id]]),0)</f>
        <v>1</v>
      </c>
      <c r="E66" t="str" cm="1">
        <f t="array" ref="E66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“Please refer to the AI Code of Ethics”</v>
      </c>
      <c r="F66" s="9" t="str" cm="1">
        <f t="array" ref="F66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40</v>
      </c>
    </row>
    <row r="67" spans="1:6" x14ac:dyDescent="0.25">
      <c r="A67" s="6">
        <v>10</v>
      </c>
      <c r="B67" s="7" t="s">
        <v>8</v>
      </c>
      <c r="C67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67" s="8">
        <f>IFERROR(_xlfn.MAXIFS([1]!Tabelle7[score_0_3],[1]!Tabelle7[company_id],Tabelle728[[#This Row],[company_id]],[1]!Tabelle7[gov_id],Tabelle728[[#This Row],[gov_crit_id]]),0)</f>
        <v>0</v>
      </c>
      <c r="E67" t="str" cm="1">
        <f t="array" ref="E67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67" s="9" t="str" cm="1">
        <f t="array" ref="F67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68" spans="1:6" x14ac:dyDescent="0.25">
      <c r="A68" s="6">
        <v>10</v>
      </c>
      <c r="B68" s="7" t="s">
        <v>9</v>
      </c>
      <c r="C68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68" s="8">
        <f>IFERROR(_xlfn.MAXIFS([1]!Tabelle7[score_0_3],[1]!Tabelle7[company_id],Tabelle728[[#This Row],[company_id]],[1]!Tabelle7[gov_id],Tabelle728[[#This Row],[gov_crit_id]]),0)</f>
        <v>0</v>
      </c>
      <c r="E68" t="str" cm="1">
        <f t="array" ref="E68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68" s="9" t="str" cm="1">
        <f t="array" ref="F68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69" spans="1:6" x14ac:dyDescent="0.25">
      <c r="A69" s="6">
        <v>10</v>
      </c>
      <c r="B69" s="7" t="s">
        <v>10</v>
      </c>
      <c r="C69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69" s="8">
        <f>IFERROR(_xlfn.MAXIFS([1]!Tabelle7[score_0_3],[1]!Tabelle7[company_id],Tabelle728[[#This Row],[company_id]],[1]!Tabelle7[gov_id],Tabelle728[[#This Row],[gov_crit_id]]),0)</f>
        <v>0</v>
      </c>
      <c r="E69" t="str" cm="1">
        <f t="array" ref="E69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69" s="9" t="str" cm="1">
        <f t="array" ref="F69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70" spans="1:6" x14ac:dyDescent="0.25">
      <c r="A70" s="6">
        <v>10</v>
      </c>
      <c r="B70" s="7" t="s">
        <v>11</v>
      </c>
      <c r="C70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52</v>
      </c>
      <c r="D70" s="8">
        <f>IFERROR(_xlfn.MAXIFS([1]!Tabelle7[score_0_3],[1]!Tabelle7[company_id],Tabelle728[[#This Row],[company_id]],[1]!Tabelle7[gov_id],Tabelle728[[#This Row],[gov_crit_id]]),0)</f>
        <v>1</v>
      </c>
      <c r="E70" t="str" cm="1">
        <f t="array" ref="E70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“please contact Data Compliance”</v>
      </c>
      <c r="F70" s="9" t="str" cm="1">
        <f t="array" ref="F70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40</v>
      </c>
    </row>
    <row r="71" spans="1:6" ht="15.75" thickBot="1" x14ac:dyDescent="0.3">
      <c r="A71" s="10">
        <v>10</v>
      </c>
      <c r="B71" s="11" t="s">
        <v>12</v>
      </c>
      <c r="C71" s="11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71" s="12">
        <f>IFERROR(_xlfn.MAXIFS([1]!Tabelle7[score_0_3],[1]!Tabelle7[company_id],Tabelle728[[#This Row],[company_id]],[1]!Tabelle7[gov_id],Tabelle728[[#This Row],[gov_crit_id]]),0)</f>
        <v>0</v>
      </c>
      <c r="E71" s="13" t="str" cm="1">
        <f t="array" ref="E71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71" s="14" t="str" cm="1">
        <f t="array" ref="F71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72" spans="1:6" x14ac:dyDescent="0.25">
      <c r="A72" s="1">
        <v>11</v>
      </c>
      <c r="B72" s="2" t="s">
        <v>6</v>
      </c>
      <c r="C72" s="2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72" s="3">
        <f>IFERROR(_xlfn.MAXIFS([1]!Tabelle7[score_0_3],[1]!Tabelle7[company_id],Tabelle728[[#This Row],[company_id]],[1]!Tabelle7[gov_id],Tabelle728[[#This Row],[gov_crit_id]]),0)</f>
        <v>0</v>
      </c>
      <c r="E72" s="4" t="str" cm="1">
        <f t="array" ref="E72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72" s="5" t="str" cm="1">
        <f t="array" ref="F72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73" spans="1:6" x14ac:dyDescent="0.25">
      <c r="A73" s="6">
        <v>11</v>
      </c>
      <c r="B73" s="7" t="s">
        <v>7</v>
      </c>
      <c r="C73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57</v>
      </c>
      <c r="D73" s="8">
        <f>IFERROR(_xlfn.MAXIFS([1]!Tabelle7[score_0_3],[1]!Tabelle7[company_id],Tabelle728[[#This Row],[company_id]],[1]!Tabelle7[gov_id],Tabelle728[[#This Row],[gov_crit_id]]),0)</f>
        <v>1</v>
      </c>
      <c r="E73" t="str" cm="1">
        <f t="array" ref="E73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“we follow our demanding AI principles”</v>
      </c>
      <c r="F73" s="9" t="str" cm="1">
        <f t="array" ref="F73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15</v>
      </c>
    </row>
    <row r="74" spans="1:6" x14ac:dyDescent="0.25">
      <c r="A74" s="6">
        <v>11</v>
      </c>
      <c r="B74" s="7" t="s">
        <v>8</v>
      </c>
      <c r="C74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74" s="8">
        <f>IFERROR(_xlfn.MAXIFS([1]!Tabelle7[score_0_3],[1]!Tabelle7[company_id],Tabelle728[[#This Row],[company_id]],[1]!Tabelle7[gov_id],Tabelle728[[#This Row],[gov_crit_id]]),0)</f>
        <v>0</v>
      </c>
      <c r="E74" t="str" cm="1">
        <f t="array" ref="E74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74" s="9" t="str" cm="1">
        <f t="array" ref="F74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75" spans="1:6" x14ac:dyDescent="0.25">
      <c r="A75" s="6">
        <v>11</v>
      </c>
      <c r="B75" s="7" t="s">
        <v>9</v>
      </c>
      <c r="C75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75" s="8">
        <f>IFERROR(_xlfn.MAXIFS([1]!Tabelle7[score_0_3],[1]!Tabelle7[company_id],Tabelle728[[#This Row],[company_id]],[1]!Tabelle7[gov_id],Tabelle728[[#This Row],[gov_crit_id]]),0)</f>
        <v>0</v>
      </c>
      <c r="E75" t="str" cm="1">
        <f t="array" ref="E75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75" s="9" t="str" cm="1">
        <f t="array" ref="F75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76" spans="1:6" x14ac:dyDescent="0.25">
      <c r="A76" s="6">
        <v>11</v>
      </c>
      <c r="B76" s="7" t="s">
        <v>10</v>
      </c>
      <c r="C76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76" s="8">
        <f>IFERROR(_xlfn.MAXIFS([1]!Tabelle7[score_0_3],[1]!Tabelle7[company_id],Tabelle728[[#This Row],[company_id]],[1]!Tabelle7[gov_id],Tabelle728[[#This Row],[gov_crit_id]]),0)</f>
        <v>0</v>
      </c>
      <c r="E76" t="str" cm="1">
        <f t="array" ref="E76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76" s="9" t="str" cm="1">
        <f t="array" ref="F76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77" spans="1:6" x14ac:dyDescent="0.25">
      <c r="A77" s="6">
        <v>11</v>
      </c>
      <c r="B77" s="7" t="s">
        <v>11</v>
      </c>
      <c r="C77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77" s="8">
        <f>IFERROR(_xlfn.MAXIFS([1]!Tabelle7[score_0_3],[1]!Tabelle7[company_id],Tabelle728[[#This Row],[company_id]],[1]!Tabelle7[gov_id],Tabelle728[[#This Row],[gov_crit_id]]),0)</f>
        <v>0</v>
      </c>
      <c r="E77" t="str" cm="1">
        <f t="array" ref="E77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77" s="9" t="str" cm="1">
        <f t="array" ref="F77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78" spans="1:6" ht="15.75" thickBot="1" x14ac:dyDescent="0.3">
      <c r="A78" s="10">
        <v>11</v>
      </c>
      <c r="B78" s="11" t="s">
        <v>12</v>
      </c>
      <c r="C78" s="11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78" s="12">
        <f>IFERROR(_xlfn.MAXIFS([1]!Tabelle7[score_0_3],[1]!Tabelle7[company_id],Tabelle728[[#This Row],[company_id]],[1]!Tabelle7[gov_id],Tabelle728[[#This Row],[gov_crit_id]]),0)</f>
        <v>0</v>
      </c>
      <c r="E78" s="13" t="str" cm="1">
        <f t="array" ref="E78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78" s="14" t="str" cm="1">
        <f t="array" ref="F78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79" spans="1:6" x14ac:dyDescent="0.25">
      <c r="A79" s="1">
        <v>12</v>
      </c>
      <c r="B79" s="2" t="s">
        <v>6</v>
      </c>
      <c r="C79" s="2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64</v>
      </c>
      <c r="D79" s="3">
        <f>IFERROR(_xlfn.MAXIFS([1]!Tabelle7[score_0_3],[1]!Tabelle7[company_id],Tabelle728[[#This Row],[company_id]],[1]!Tabelle7[gov_id],Tabelle728[[#This Row],[gov_crit_id]]),0)</f>
        <v>2</v>
      </c>
      <c r="E79" s="4" t="str" cm="1">
        <f t="array" ref="E79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“established an Artificial Intelligence Oversight Forum”; “AI and machine learning … were key topics; “to provide bank-wide oversight and governance”</v>
      </c>
      <c r="F79" s="5" t="str" cm="1">
        <f t="array" ref="F79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6; S. 132</v>
      </c>
    </row>
    <row r="80" spans="1:6" x14ac:dyDescent="0.25">
      <c r="A80" s="6">
        <v>12</v>
      </c>
      <c r="B80" s="7" t="s">
        <v>7</v>
      </c>
      <c r="C80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69</v>
      </c>
      <c r="D80" s="8">
        <f>IFERROR(_xlfn.MAXIFS([1]!Tabelle7[score_0_3],[1]!Tabelle7[company_id],Tabelle728[[#This Row],[company_id]],[1]!Tabelle7[gov_id],Tabelle728[[#This Row],[gov_crit_id]]),0)</f>
        <v>2</v>
      </c>
      <c r="E80" t="str" cm="1">
        <f t="array" ref="E80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“models need to be regularly retrained”; “extra due diligence is needed”</v>
      </c>
      <c r="F80" s="9" t="str" cm="1">
        <f t="array" ref="F80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17; S. 18</v>
      </c>
    </row>
    <row r="81" spans="1:6" x14ac:dyDescent="0.25">
      <c r="A81" s="6">
        <v>12</v>
      </c>
      <c r="B81" s="7" t="s">
        <v>8</v>
      </c>
      <c r="C81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64</v>
      </c>
      <c r="D81" s="8">
        <f>IFERROR(_xlfn.MAXIFS([1]!Tabelle7[score_0_3],[1]!Tabelle7[company_id],Tabelle728[[#This Row],[company_id]],[1]!Tabelle7[gov_id],Tabelle728[[#This Row],[gov_crit_id]]),0)</f>
        <v>2</v>
      </c>
      <c r="E81" t="str" cm="1">
        <f t="array" ref="E81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“adequate monitoring and risk assessment of AI solutions”; “monitoring and risk assessment of AI solutions and their alignment with the bank’s strategic goals”; “The 2023 focus areas included Artificial Intelligence”</v>
      </c>
      <c r="F81" s="9" t="str" cm="1">
        <f t="array" ref="F81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6; S. 132; S. 135</v>
      </c>
    </row>
    <row r="82" spans="1:6" x14ac:dyDescent="0.25">
      <c r="A82" s="6">
        <v>12</v>
      </c>
      <c r="B82" s="7" t="s">
        <v>9</v>
      </c>
      <c r="C82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69</v>
      </c>
      <c r="D82" s="8">
        <f>IFERROR(_xlfn.MAXIFS([1]!Tabelle7[score_0_3],[1]!Tabelle7[company_id],Tabelle728[[#This Row],[company_id]],[1]!Tabelle7[gov_id],Tabelle728[[#This Row],[gov_crit_id]]),0)</f>
        <v>1</v>
      </c>
      <c r="E82" t="str" cm="1">
        <f t="array" ref="E82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“subjected to thorough audits”</v>
      </c>
      <c r="F82" s="9" t="str" cm="1">
        <f t="array" ref="F82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21, Abschnitt 4.3</v>
      </c>
    </row>
    <row r="83" spans="1:6" x14ac:dyDescent="0.25">
      <c r="A83" s="6">
        <v>12</v>
      </c>
      <c r="B83" s="7" t="s">
        <v>10</v>
      </c>
      <c r="C83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62</v>
      </c>
      <c r="D83" s="8">
        <f>IFERROR(_xlfn.MAXIFS([1]!Tabelle7[score_0_3],[1]!Tabelle7[company_id],Tabelle728[[#This Row],[company_id]],[1]!Tabelle7[gov_id],Tabelle728[[#This Row],[gov_crit_id]]),0)</f>
        <v>1</v>
      </c>
      <c r="E83" t="str" cm="1">
        <f t="array" ref="E83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“access to continuous training”</v>
      </c>
      <c r="F83" s="9" t="str" cm="1">
        <f t="array" ref="F83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5, Abschnitt 10</v>
      </c>
    </row>
    <row r="84" spans="1:6" x14ac:dyDescent="0.25">
      <c r="A84" s="6">
        <v>12</v>
      </c>
      <c r="B84" s="7" t="s">
        <v>11</v>
      </c>
      <c r="C84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84" s="8">
        <f>IFERROR(_xlfn.MAXIFS([1]!Tabelle7[score_0_3],[1]!Tabelle7[company_id],Tabelle728[[#This Row],[company_id]],[1]!Tabelle7[gov_id],Tabelle728[[#This Row],[gov_crit_id]]),0)</f>
        <v>0</v>
      </c>
      <c r="E84" t="str" cm="1">
        <f t="array" ref="E84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84" s="9" t="str" cm="1">
        <f t="array" ref="F84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85" spans="1:6" ht="15.75" thickBot="1" x14ac:dyDescent="0.3">
      <c r="A85" s="10">
        <v>12</v>
      </c>
      <c r="B85" s="11" t="s">
        <v>12</v>
      </c>
      <c r="C85" s="11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85" s="12">
        <f>IFERROR(_xlfn.MAXIFS([1]!Tabelle7[score_0_3],[1]!Tabelle7[company_id],Tabelle728[[#This Row],[company_id]],[1]!Tabelle7[gov_id],Tabelle728[[#This Row],[gov_crit_id]]),0)</f>
        <v>0</v>
      </c>
      <c r="E85" s="13" t="str" cm="1">
        <f t="array" ref="E85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85" s="14" t="str" cm="1">
        <f t="array" ref="F85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86" spans="1:6" x14ac:dyDescent="0.25">
      <c r="A86" s="1">
        <v>13</v>
      </c>
      <c r="B86" s="2" t="s">
        <v>6</v>
      </c>
      <c r="C86" s="2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73</v>
      </c>
      <c r="D86" s="3">
        <f>IFERROR(_xlfn.MAXIFS([1]!Tabelle7[score_0_3],[1]!Tabelle7[company_id],Tabelle728[[#This Row],[company_id]],[1]!Tabelle7[gov_id],Tabelle728[[#This Row],[gov_crit_id]]),0)</f>
        <v>1</v>
      </c>
      <c r="E86" s="4" t="str" cm="1">
        <f t="array" ref="E86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“in-house dedicated teams developing AI solutions”</v>
      </c>
      <c r="F86" s="5" t="str" cm="1">
        <f t="array" ref="F86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10, Q5</v>
      </c>
    </row>
    <row r="87" spans="1:6" x14ac:dyDescent="0.25">
      <c r="A87" s="6">
        <v>13</v>
      </c>
      <c r="B87" s="7" t="s">
        <v>7</v>
      </c>
      <c r="C87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73</v>
      </c>
      <c r="D87" s="8">
        <f>IFERROR(_xlfn.MAXIFS([1]!Tabelle7[score_0_3],[1]!Tabelle7[company_id],Tabelle728[[#This Row],[company_id]],[1]!Tabelle7[gov_id],Tabelle728[[#This Row],[gov_crit_id]]),0)</f>
        <v>1</v>
      </c>
      <c r="E87" t="str" cm="1">
        <f t="array" ref="E87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“following a structured approach”; “incorporated an AI strategy into its Horizon 2026 Strategy”</v>
      </c>
      <c r="F87" s="9" t="str" cm="1">
        <f t="array" ref="F87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10, Q4.1; S. 28, Q28</v>
      </c>
    </row>
    <row r="88" spans="1:6" x14ac:dyDescent="0.25">
      <c r="A88" s="6">
        <v>13</v>
      </c>
      <c r="B88" s="7" t="s">
        <v>8</v>
      </c>
      <c r="C88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74</v>
      </c>
      <c r="D88" s="8">
        <f>IFERROR(_xlfn.MAXIFS([1]!Tabelle7[score_0_3],[1]!Tabelle7[company_id],Tabelle728[[#This Row],[company_id]],[1]!Tabelle7[gov_id],Tabelle728[[#This Row],[gov_crit_id]]),0)</f>
        <v>2</v>
      </c>
      <c r="E88" t="str" cm="1">
        <f t="array" ref="E88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“establish and maintain robust internal control and entitlement systems”; “should start with the AI model’s initial access to the data corpus”; “ensure that there exists an internal control for access”</v>
      </c>
      <c r="F88" s="9" t="str" cm="1">
        <f t="array" ref="F88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23, Abschnitt 10</v>
      </c>
    </row>
    <row r="89" spans="1:6" x14ac:dyDescent="0.25">
      <c r="A89" s="6">
        <v>13</v>
      </c>
      <c r="B89" s="7" t="s">
        <v>9</v>
      </c>
      <c r="C89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89" s="8">
        <f>IFERROR(_xlfn.MAXIFS([1]!Tabelle7[score_0_3],[1]!Tabelle7[company_id],Tabelle728[[#This Row],[company_id]],[1]!Tabelle7[gov_id],Tabelle728[[#This Row],[gov_crit_id]]),0)</f>
        <v>0</v>
      </c>
      <c r="E89" t="str" cm="1">
        <f t="array" ref="E89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89" s="9" t="str" cm="1">
        <f t="array" ref="F89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90" spans="1:6" x14ac:dyDescent="0.25">
      <c r="A90" s="6">
        <v>13</v>
      </c>
      <c r="B90" s="7" t="s">
        <v>10</v>
      </c>
      <c r="C90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90" s="8">
        <f>IFERROR(_xlfn.MAXIFS([1]!Tabelle7[score_0_3],[1]!Tabelle7[company_id],Tabelle728[[#This Row],[company_id]],[1]!Tabelle7[gov_id],Tabelle728[[#This Row],[gov_crit_id]]),0)</f>
        <v>0</v>
      </c>
      <c r="E90" t="str" cm="1">
        <f t="array" ref="E90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90" s="9" t="str" cm="1">
        <f t="array" ref="F90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91" spans="1:6" x14ac:dyDescent="0.25">
      <c r="A91" s="6">
        <v>13</v>
      </c>
      <c r="B91" s="7" t="s">
        <v>11</v>
      </c>
      <c r="C91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91" s="8">
        <f>IFERROR(_xlfn.MAXIFS([1]!Tabelle7[score_0_3],[1]!Tabelle7[company_id],Tabelle728[[#This Row],[company_id]],[1]!Tabelle7[gov_id],Tabelle728[[#This Row],[gov_crit_id]]),0)</f>
        <v>0</v>
      </c>
      <c r="E91" t="str" cm="1">
        <f t="array" ref="E91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91" s="9" t="str" cm="1">
        <f t="array" ref="F91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92" spans="1:6" ht="15.75" thickBot="1" x14ac:dyDescent="0.3">
      <c r="A92" s="10">
        <v>13</v>
      </c>
      <c r="B92" s="11" t="s">
        <v>12</v>
      </c>
      <c r="C92" s="11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92" s="12">
        <f>IFERROR(_xlfn.MAXIFS([1]!Tabelle7[score_0_3],[1]!Tabelle7[company_id],Tabelle728[[#This Row],[company_id]],[1]!Tabelle7[gov_id],Tabelle728[[#This Row],[gov_crit_id]]),0)</f>
        <v>0</v>
      </c>
      <c r="E92" s="13" t="str" cm="1">
        <f t="array" ref="E92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92" s="14" t="str" cm="1">
        <f t="array" ref="F92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93" spans="1:6" x14ac:dyDescent="0.25">
      <c r="A93" s="1">
        <v>14</v>
      </c>
      <c r="B93" s="2" t="s">
        <v>6</v>
      </c>
      <c r="C93" s="2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93" s="3">
        <f>IFERROR(_xlfn.MAXIFS([1]!Tabelle7[score_0_3],[1]!Tabelle7[company_id],Tabelle728[[#This Row],[company_id]],[1]!Tabelle7[gov_id],Tabelle728[[#This Row],[gov_crit_id]]),0)</f>
        <v>0</v>
      </c>
      <c r="E93" s="4" t="str" cm="1">
        <f t="array" ref="E93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93" s="5" t="str" cm="1">
        <f t="array" ref="F93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94" spans="1:6" x14ac:dyDescent="0.25">
      <c r="A94" s="6">
        <v>14</v>
      </c>
      <c r="B94" s="7" t="s">
        <v>7</v>
      </c>
      <c r="C94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94" s="8">
        <f>IFERROR(_xlfn.MAXIFS([1]!Tabelle7[score_0_3],[1]!Tabelle7[company_id],Tabelle728[[#This Row],[company_id]],[1]!Tabelle7[gov_id],Tabelle728[[#This Row],[gov_crit_id]]),0)</f>
        <v>0</v>
      </c>
      <c r="E94" t="str" cm="1">
        <f t="array" ref="E94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94" s="9" t="str" cm="1">
        <f t="array" ref="F94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95" spans="1:6" x14ac:dyDescent="0.25">
      <c r="A95" s="6">
        <v>14</v>
      </c>
      <c r="B95" s="7" t="s">
        <v>8</v>
      </c>
      <c r="C95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95" s="8">
        <f>IFERROR(_xlfn.MAXIFS([1]!Tabelle7[score_0_3],[1]!Tabelle7[company_id],Tabelle728[[#This Row],[company_id]],[1]!Tabelle7[gov_id],Tabelle728[[#This Row],[gov_crit_id]]),0)</f>
        <v>0</v>
      </c>
      <c r="E95" t="str" cm="1">
        <f t="array" ref="E95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95" s="9" t="str" cm="1">
        <f t="array" ref="F95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96" spans="1:6" x14ac:dyDescent="0.25">
      <c r="A96" s="6">
        <v>14</v>
      </c>
      <c r="B96" s="7" t="s">
        <v>9</v>
      </c>
      <c r="C96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96" s="8">
        <f>IFERROR(_xlfn.MAXIFS([1]!Tabelle7[score_0_3],[1]!Tabelle7[company_id],Tabelle728[[#This Row],[company_id]],[1]!Tabelle7[gov_id],Tabelle728[[#This Row],[gov_crit_id]]),0)</f>
        <v>0</v>
      </c>
      <c r="E96" t="str" cm="1">
        <f t="array" ref="E96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96" s="9" t="str" cm="1">
        <f t="array" ref="F96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97" spans="1:6" x14ac:dyDescent="0.25">
      <c r="A97" s="6">
        <v>14</v>
      </c>
      <c r="B97" s="7" t="s">
        <v>10</v>
      </c>
      <c r="C97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97" s="8">
        <f>IFERROR(_xlfn.MAXIFS([1]!Tabelle7[score_0_3],[1]!Tabelle7[company_id],Tabelle728[[#This Row],[company_id]],[1]!Tabelle7[gov_id],Tabelle728[[#This Row],[gov_crit_id]]),0)</f>
        <v>0</v>
      </c>
      <c r="E97" t="str" cm="1">
        <f t="array" ref="E97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97" s="9" t="str" cm="1">
        <f t="array" ref="F97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98" spans="1:6" x14ac:dyDescent="0.25">
      <c r="A98" s="6">
        <v>14</v>
      </c>
      <c r="B98" s="7" t="s">
        <v>11</v>
      </c>
      <c r="C98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98" s="8">
        <f>IFERROR(_xlfn.MAXIFS([1]!Tabelle7[score_0_3],[1]!Tabelle7[company_id],Tabelle728[[#This Row],[company_id]],[1]!Tabelle7[gov_id],Tabelle728[[#This Row],[gov_crit_id]]),0)</f>
        <v>0</v>
      </c>
      <c r="E98" t="str" cm="1">
        <f t="array" ref="E98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98" s="9" t="str" cm="1">
        <f t="array" ref="F98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99" spans="1:6" ht="15.75" thickBot="1" x14ac:dyDescent="0.3">
      <c r="A99" s="10">
        <v>14</v>
      </c>
      <c r="B99" s="11" t="s">
        <v>12</v>
      </c>
      <c r="C99" s="11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99" s="12">
        <f>IFERROR(_xlfn.MAXIFS([1]!Tabelle7[score_0_3],[1]!Tabelle7[company_id],Tabelle728[[#This Row],[company_id]],[1]!Tabelle7[gov_id],Tabelle728[[#This Row],[gov_crit_id]]),0)</f>
        <v>0</v>
      </c>
      <c r="E99" s="13" t="str" cm="1">
        <f t="array" ref="E99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99" s="14" t="str" cm="1">
        <f t="array" ref="F99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00" spans="1:6" x14ac:dyDescent="0.25">
      <c r="A100" s="1">
        <v>15</v>
      </c>
      <c r="B100" s="2" t="s">
        <v>6</v>
      </c>
      <c r="C100" s="2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86</v>
      </c>
      <c r="D100" s="3">
        <f>IFERROR(_xlfn.MAXIFS([1]!Tabelle7[score_0_3],[1]!Tabelle7[company_id],Tabelle728[[#This Row],[company_id]],[1]!Tabelle7[gov_id],Tabelle728[[#This Row],[gov_crit_id]]),0)</f>
        <v>2</v>
      </c>
      <c r="E100" s="4" t="str" cm="1">
        <f t="array" ref="E100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“clear definition of who is responsible for which AI system or feature”</v>
      </c>
      <c r="F100" s="5" t="str" cm="1">
        <f t="array" ref="F100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3, Abschnitt 1</v>
      </c>
    </row>
    <row r="101" spans="1:6" x14ac:dyDescent="0.25">
      <c r="A101" s="6">
        <v>15</v>
      </c>
      <c r="B101" s="7" t="s">
        <v>7</v>
      </c>
      <c r="C101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86</v>
      </c>
      <c r="D101" s="8">
        <f>IFERROR(_xlfn.MAXIFS([1]!Tabelle7[score_0_3],[1]!Tabelle7[company_id],Tabelle728[[#This Row],[company_id]],[1]!Tabelle7[gov_id],Tabelle728[[#This Row],[gov_crit_id]]),0)</f>
        <v>2</v>
      </c>
      <c r="E101" t="str" cm="1">
        <f t="array" ref="E101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“privacy und security by design”; “risks and chances scenarios or reliable disaster scenarios”</v>
      </c>
      <c r="F101" s="9" t="str" cm="1">
        <f t="array" ref="F101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8, Abschnitt 6</v>
      </c>
    </row>
    <row r="102" spans="1:6" x14ac:dyDescent="0.25">
      <c r="A102" s="6">
        <v>15</v>
      </c>
      <c r="B102" s="7" t="s">
        <v>8</v>
      </c>
      <c r="C102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86</v>
      </c>
      <c r="D102" s="8">
        <f>IFERROR(_xlfn.MAXIFS([1]!Tabelle7[score_0_3],[1]!Tabelle7[company_id],Tabelle728[[#This Row],[company_id]],[1]!Tabelle7[gov_id],Tabelle728[[#This Row],[gov_crit_id]]),0)</f>
        <v>2</v>
      </c>
      <c r="E102" t="str" cm="1">
        <f t="array" ref="E102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“full overview of how customer related data is used and who has access”; “deactivate and stop AI systems at any time (kill switch)”; “remove inappropriate data to avoid bias”</v>
      </c>
      <c r="F102" s="9" t="str" cm="1">
        <f t="array" ref="F102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7, Abschnitt 5; S. 9, Abschnitt 7</v>
      </c>
    </row>
    <row r="103" spans="1:6" x14ac:dyDescent="0.25">
      <c r="A103" s="6">
        <v>15</v>
      </c>
      <c r="B103" s="7" t="s">
        <v>9</v>
      </c>
      <c r="C103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92</v>
      </c>
      <c r="D103" s="8">
        <f>IFERROR(_xlfn.MAXIFS([1]!Tabelle7[score_0_3],[1]!Tabelle7[company_id],Tabelle728[[#This Row],[company_id]],[1]!Tabelle7[gov_id],Tabelle728[[#This Row],[gov_crit_id]]),0)</f>
        <v>3</v>
      </c>
      <c r="E103" t="str" cm="1">
        <f t="array" ref="E103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“EU-wide review of all AI applications for prohibited systems”; “This audit was successful”</v>
      </c>
      <c r="F103" s="9" t="str" cm="1">
        <f t="array" ref="F103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1, Abschnitt “Implementation of the EU AI Regulation”</v>
      </c>
    </row>
    <row r="104" spans="1:6" x14ac:dyDescent="0.25">
      <c r="A104" s="6">
        <v>15</v>
      </c>
      <c r="B104" s="7" t="s">
        <v>10</v>
      </c>
      <c r="C104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92</v>
      </c>
      <c r="D104" s="8">
        <f>IFERROR(_xlfn.MAXIFS([1]!Tabelle7[score_0_3],[1]!Tabelle7[company_id],Tabelle728[[#This Row],[company_id]],[1]!Tabelle7[gov_id],Tabelle728[[#This Row],[gov_crit_id]]),0)</f>
        <v>3</v>
      </c>
      <c r="E104" t="str" cm="1">
        <f t="array" ref="E104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“AI literacy of employees is specifically promoted”; “Since 2018, a comprehensive and innovative range of training courses”; “gamification application on ‘Digital Ethics in Action’”; “an eLearning on the EU AI Act”; “Prompt-athons … and AI communities”</v>
      </c>
      <c r="F104" s="9" t="str" cm="1">
        <f t="array" ref="F104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2, erster Absatz</v>
      </c>
    </row>
    <row r="105" spans="1:6" x14ac:dyDescent="0.25">
      <c r="A105" s="6">
        <v>15</v>
      </c>
      <c r="B105" s="7" t="s">
        <v>11</v>
      </c>
      <c r="C105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94</v>
      </c>
      <c r="D105" s="8">
        <f>IFERROR(_xlfn.MAXIFS([1]!Tabelle7[score_0_3],[1]!Tabelle7[company_id],Tabelle728[[#This Row],[company_id]],[1]!Tabelle7[gov_id],Tabelle728[[#This Row],[gov_crit_id]]),0)</f>
        <v>2</v>
      </c>
      <c r="E105" t="str" cm="1">
        <f t="array" ref="E105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“can and should be contacted”; “must be reported to the person responsible”</v>
      </c>
      <c r="F105" s="9" t="str" cm="1">
        <f t="array" ref="F105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4; S. 29; S. 33</v>
      </c>
    </row>
    <row r="106" spans="1:6" ht="15.75" thickBot="1" x14ac:dyDescent="0.3">
      <c r="A106" s="10">
        <v>15</v>
      </c>
      <c r="B106" s="11" t="s">
        <v>12</v>
      </c>
      <c r="C106" s="11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94</v>
      </c>
      <c r="D106" s="12">
        <f>IFERROR(_xlfn.MAXIFS([1]!Tabelle7[score_0_3],[1]!Tabelle7[company_id],Tabelle728[[#This Row],[company_id]],[1]!Tabelle7[gov_id],Tabelle728[[#This Row],[gov_crit_id]]),0)</f>
        <v>1</v>
      </c>
      <c r="E106" s="13" t="str" cm="1">
        <f t="array" ref="E106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“must be reported to the person responsible”</v>
      </c>
      <c r="F106" s="14" t="str" cm="1">
        <f t="array" ref="F106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29; S. 33</v>
      </c>
    </row>
    <row r="107" spans="1:6" x14ac:dyDescent="0.25">
      <c r="A107" s="1">
        <v>16</v>
      </c>
      <c r="B107" s="2" t="s">
        <v>6</v>
      </c>
      <c r="C107" s="2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07" s="3">
        <f>IFERROR(_xlfn.MAXIFS([1]!Tabelle7[score_0_3],[1]!Tabelle7[company_id],Tabelle728[[#This Row],[company_id]],[1]!Tabelle7[gov_id],Tabelle728[[#This Row],[gov_crit_id]]),0)</f>
        <v>0</v>
      </c>
      <c r="E107" s="4" t="str" cm="1">
        <f t="array" ref="E107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07" s="5" t="str" cm="1">
        <f t="array" ref="F107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08" spans="1:6" x14ac:dyDescent="0.25">
      <c r="A108" s="6">
        <v>16</v>
      </c>
      <c r="B108" s="7" t="s">
        <v>7</v>
      </c>
      <c r="C108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08" s="8">
        <f>IFERROR(_xlfn.MAXIFS([1]!Tabelle7[score_0_3],[1]!Tabelle7[company_id],Tabelle728[[#This Row],[company_id]],[1]!Tabelle7[gov_id],Tabelle728[[#This Row],[gov_crit_id]]),0)</f>
        <v>0</v>
      </c>
      <c r="E108" t="str" cm="1">
        <f t="array" ref="E108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08" s="9" t="str" cm="1">
        <f t="array" ref="F108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09" spans="1:6" x14ac:dyDescent="0.25">
      <c r="A109" s="6">
        <v>16</v>
      </c>
      <c r="B109" s="7" t="s">
        <v>8</v>
      </c>
      <c r="C109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09" s="8">
        <f>IFERROR(_xlfn.MAXIFS([1]!Tabelle7[score_0_3],[1]!Tabelle7[company_id],Tabelle728[[#This Row],[company_id]],[1]!Tabelle7[gov_id],Tabelle728[[#This Row],[gov_crit_id]]),0)</f>
        <v>0</v>
      </c>
      <c r="E109" t="str" cm="1">
        <f t="array" ref="E109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09" s="9" t="str" cm="1">
        <f t="array" ref="F109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10" spans="1:6" x14ac:dyDescent="0.25">
      <c r="A110" s="6">
        <v>16</v>
      </c>
      <c r="B110" s="7" t="s">
        <v>9</v>
      </c>
      <c r="C110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10" s="8">
        <f>IFERROR(_xlfn.MAXIFS([1]!Tabelle7[score_0_3],[1]!Tabelle7[company_id],Tabelle728[[#This Row],[company_id]],[1]!Tabelle7[gov_id],Tabelle728[[#This Row],[gov_crit_id]]),0)</f>
        <v>0</v>
      </c>
      <c r="E110" t="str" cm="1">
        <f t="array" ref="E110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10" s="9" t="str" cm="1">
        <f t="array" ref="F110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11" spans="1:6" x14ac:dyDescent="0.25">
      <c r="A111" s="6">
        <v>16</v>
      </c>
      <c r="B111" s="7" t="s">
        <v>10</v>
      </c>
      <c r="C111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11" s="8">
        <f>IFERROR(_xlfn.MAXIFS([1]!Tabelle7[score_0_3],[1]!Tabelle7[company_id],Tabelle728[[#This Row],[company_id]],[1]!Tabelle7[gov_id],Tabelle728[[#This Row],[gov_crit_id]]),0)</f>
        <v>0</v>
      </c>
      <c r="E111" t="str" cm="1">
        <f t="array" ref="E111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11" s="9" t="str" cm="1">
        <f t="array" ref="F111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12" spans="1:6" x14ac:dyDescent="0.25">
      <c r="A112" s="6">
        <v>16</v>
      </c>
      <c r="B112" s="7" t="s">
        <v>11</v>
      </c>
      <c r="C112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12" s="8">
        <f>IFERROR(_xlfn.MAXIFS([1]!Tabelle7[score_0_3],[1]!Tabelle7[company_id],Tabelle728[[#This Row],[company_id]],[1]!Tabelle7[gov_id],Tabelle728[[#This Row],[gov_crit_id]]),0)</f>
        <v>0</v>
      </c>
      <c r="E112" t="str" cm="1">
        <f t="array" ref="E112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12" s="9" t="str" cm="1">
        <f t="array" ref="F112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13" spans="1:6" ht="15.75" thickBot="1" x14ac:dyDescent="0.3">
      <c r="A113" s="10">
        <v>16</v>
      </c>
      <c r="B113" s="11" t="s">
        <v>12</v>
      </c>
      <c r="C113" s="11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13" s="12">
        <f>IFERROR(_xlfn.MAXIFS([1]!Tabelle7[score_0_3],[1]!Tabelle7[company_id],Tabelle728[[#This Row],[company_id]],[1]!Tabelle7[gov_id],Tabelle728[[#This Row],[gov_crit_id]]),0)</f>
        <v>0</v>
      </c>
      <c r="E113" s="13" t="str" cm="1">
        <f t="array" ref="E113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13" s="14" t="str" cm="1">
        <f t="array" ref="F113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14" spans="1:6" x14ac:dyDescent="0.25">
      <c r="A114" s="1">
        <v>17</v>
      </c>
      <c r="B114" s="2" t="s">
        <v>6</v>
      </c>
      <c r="C114" s="2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14" s="3">
        <f>IFERROR(_xlfn.MAXIFS([1]!Tabelle7[score_0_3],[1]!Tabelle7[company_id],Tabelle728[[#This Row],[company_id]],[1]!Tabelle7[gov_id],Tabelle728[[#This Row],[gov_crit_id]]),0)</f>
        <v>0</v>
      </c>
      <c r="E114" s="4" t="str" cm="1">
        <f t="array" ref="E114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14" s="5" t="str" cm="1">
        <f t="array" ref="F114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15" spans="1:6" x14ac:dyDescent="0.25">
      <c r="A115" s="6">
        <v>17</v>
      </c>
      <c r="B115" s="7" t="s">
        <v>7</v>
      </c>
      <c r="C115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102</v>
      </c>
      <c r="D115" s="8">
        <f>IFERROR(_xlfn.MAXIFS([1]!Tabelle7[score_0_3],[1]!Tabelle7[company_id],Tabelle728[[#This Row],[company_id]],[1]!Tabelle7[gov_id],Tabelle728[[#This Row],[gov_crit_id]]),0)</f>
        <v>2</v>
      </c>
      <c r="E115" t="str" cm="1">
        <f t="array" ref="E115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“sufficient safeguards and human oversight”; “inclusive design processes involving relevant stakeholders”; “AI systems must comply with applicable privacy laws”</v>
      </c>
      <c r="F115" s="9" t="str" cm="1">
        <f t="array" ref="F115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2 GUIDELINE; S. 3 / S. 5 WHEN DEVELOPING OR PROCURING AI</v>
      </c>
    </row>
    <row r="116" spans="1:6" x14ac:dyDescent="0.25">
      <c r="A116" s="6">
        <v>17</v>
      </c>
      <c r="B116" s="7" t="s">
        <v>8</v>
      </c>
      <c r="C116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102</v>
      </c>
      <c r="D116" s="8">
        <f>IFERROR(_xlfn.MAXIFS([1]!Tabelle7[score_0_3],[1]!Tabelle7[company_id],Tabelle728[[#This Row],[company_id]],[1]!Tabelle7[gov_id],Tabelle728[[#This Row],[gov_crit_id]]),0)</f>
        <v>2</v>
      </c>
      <c r="E116" t="str" cm="1">
        <f t="array" ref="E116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“Double-checking is sensible”; “We document data sets and processes”; “unless the use of the specific system has been explicitly whitelisted”</v>
      </c>
      <c r="F116" s="9" t="str" cm="1">
        <f t="array" ref="F116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3 GUIDELINE / WHEN DEVELOPING OR PROCURING AI; S. 5 USING / DEVELOPING OR PROCURING AI</v>
      </c>
    </row>
    <row r="117" spans="1:6" x14ac:dyDescent="0.25">
      <c r="A117" s="6">
        <v>17</v>
      </c>
      <c r="B117" s="7" t="s">
        <v>9</v>
      </c>
      <c r="C117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17" s="8">
        <f>IFERROR(_xlfn.MAXIFS([1]!Tabelle7[score_0_3],[1]!Tabelle7[company_id],Tabelle728[[#This Row],[company_id]],[1]!Tabelle7[gov_id],Tabelle728[[#This Row],[gov_crit_id]]),0)</f>
        <v>0</v>
      </c>
      <c r="E117" t="str" cm="1">
        <f t="array" ref="E117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17" s="9" t="str" cm="1">
        <f t="array" ref="F117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18" spans="1:6" x14ac:dyDescent="0.25">
      <c r="A118" s="6">
        <v>17</v>
      </c>
      <c r="B118" s="7" t="s">
        <v>10</v>
      </c>
      <c r="C118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102</v>
      </c>
      <c r="D118" s="8">
        <f>IFERROR(_xlfn.MAXIFS([1]!Tabelle7[score_0_3],[1]!Tabelle7[company_id],Tabelle728[[#This Row],[company_id]],[1]!Tabelle7[gov_id],Tabelle728[[#This Row],[gov_crit_id]]),0)</f>
        <v>1</v>
      </c>
      <c r="E118" t="str" cm="1">
        <f t="array" ref="E118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“promote its use for the benefit of our society”</v>
      </c>
      <c r="F118" s="9" t="str" cm="1">
        <f t="array" ref="F118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5, SOCIAL AWARENESS</v>
      </c>
    </row>
    <row r="119" spans="1:6" x14ac:dyDescent="0.25">
      <c r="A119" s="6">
        <v>17</v>
      </c>
      <c r="B119" s="7" t="s">
        <v>11</v>
      </c>
      <c r="C119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102</v>
      </c>
      <c r="D119" s="8">
        <f>IFERROR(_xlfn.MAXIFS([1]!Tabelle7[score_0_3],[1]!Tabelle7[company_id],Tabelle728[[#This Row],[company_id]],[1]!Tabelle7[gov_id],Tabelle728[[#This Row],[gov_crit_id]]),0)</f>
        <v>1</v>
      </c>
      <c r="E119" t="str" cm="1">
        <f t="array" ref="E119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“consult with IT or cybersecurity team”</v>
      </c>
      <c r="F119" s="9" t="str" cm="1">
        <f t="array" ref="F119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4, WHEN USING AI</v>
      </c>
    </row>
    <row r="120" spans="1:6" ht="15.75" thickBot="1" x14ac:dyDescent="0.3">
      <c r="A120" s="10">
        <v>17</v>
      </c>
      <c r="B120" s="11" t="s">
        <v>12</v>
      </c>
      <c r="C120" s="11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102</v>
      </c>
      <c r="D120" s="12">
        <f>IFERROR(_xlfn.MAXIFS([1]!Tabelle7[score_0_3],[1]!Tabelle7[company_id],Tabelle728[[#This Row],[company_id]],[1]!Tabelle7[gov_id],Tabelle728[[#This Row],[gov_crit_id]]),0)</f>
        <v>1</v>
      </c>
      <c r="E120" s="13" t="str" cm="1">
        <f t="array" ref="E120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“reporting and redress mechanisms should be available”</v>
      </c>
      <c r="F120" s="14" t="str" cm="1">
        <f t="array" ref="F120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4, WHEN DEVELOPING OR PROCURING AI</v>
      </c>
    </row>
    <row r="121" spans="1:6" x14ac:dyDescent="0.25">
      <c r="A121" s="1">
        <v>18</v>
      </c>
      <c r="B121" s="2" t="s">
        <v>6</v>
      </c>
      <c r="C121" s="2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21" s="3">
        <f>IFERROR(_xlfn.MAXIFS([1]!Tabelle7[score_0_3],[1]!Tabelle7[company_id],Tabelle728[[#This Row],[company_id]],[1]!Tabelle7[gov_id],Tabelle728[[#This Row],[gov_crit_id]]),0)</f>
        <v>0</v>
      </c>
      <c r="E121" s="4" t="str" cm="1">
        <f t="array" ref="E121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21" s="5" t="str" cm="1">
        <f t="array" ref="F121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22" spans="1:6" x14ac:dyDescent="0.25">
      <c r="A122" s="6">
        <v>18</v>
      </c>
      <c r="B122" s="7" t="s">
        <v>7</v>
      </c>
      <c r="C122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22" s="8">
        <f>IFERROR(_xlfn.MAXIFS([1]!Tabelle7[score_0_3],[1]!Tabelle7[company_id],Tabelle728[[#This Row],[company_id]],[1]!Tabelle7[gov_id],Tabelle728[[#This Row],[gov_crit_id]]),0)</f>
        <v>0</v>
      </c>
      <c r="E122" t="str" cm="1">
        <f t="array" ref="E122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22" s="9" t="str" cm="1">
        <f t="array" ref="F122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23" spans="1:6" x14ac:dyDescent="0.25">
      <c r="A123" s="6">
        <v>18</v>
      </c>
      <c r="B123" s="7" t="s">
        <v>8</v>
      </c>
      <c r="C123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23" s="8">
        <f>IFERROR(_xlfn.MAXIFS([1]!Tabelle7[score_0_3],[1]!Tabelle7[company_id],Tabelle728[[#This Row],[company_id]],[1]!Tabelle7[gov_id],Tabelle728[[#This Row],[gov_crit_id]]),0)</f>
        <v>0</v>
      </c>
      <c r="E123" t="str" cm="1">
        <f t="array" ref="E123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23" s="9" t="str" cm="1">
        <f t="array" ref="F123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24" spans="1:6" x14ac:dyDescent="0.25">
      <c r="A124" s="6">
        <v>18</v>
      </c>
      <c r="B124" s="7" t="s">
        <v>9</v>
      </c>
      <c r="C124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24" s="8">
        <f>IFERROR(_xlfn.MAXIFS([1]!Tabelle7[score_0_3],[1]!Tabelle7[company_id],Tabelle728[[#This Row],[company_id]],[1]!Tabelle7[gov_id],Tabelle728[[#This Row],[gov_crit_id]]),0)</f>
        <v>0</v>
      </c>
      <c r="E124" t="str" cm="1">
        <f t="array" ref="E124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24" s="9" t="str" cm="1">
        <f t="array" ref="F124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25" spans="1:6" x14ac:dyDescent="0.25">
      <c r="A125" s="6">
        <v>18</v>
      </c>
      <c r="B125" s="7" t="s">
        <v>10</v>
      </c>
      <c r="C125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25" s="8">
        <f>IFERROR(_xlfn.MAXIFS([1]!Tabelle7[score_0_3],[1]!Tabelle7[company_id],Tabelle728[[#This Row],[company_id]],[1]!Tabelle7[gov_id],Tabelle728[[#This Row],[gov_crit_id]]),0)</f>
        <v>0</v>
      </c>
      <c r="E125" t="str" cm="1">
        <f t="array" ref="E125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25" s="9" t="str" cm="1">
        <f t="array" ref="F125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26" spans="1:6" x14ac:dyDescent="0.25">
      <c r="A126" s="6">
        <v>18</v>
      </c>
      <c r="B126" s="7" t="s">
        <v>11</v>
      </c>
      <c r="C126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26" s="8">
        <f>IFERROR(_xlfn.MAXIFS([1]!Tabelle7[score_0_3],[1]!Tabelle7[company_id],Tabelle728[[#This Row],[company_id]],[1]!Tabelle7[gov_id],Tabelle728[[#This Row],[gov_crit_id]]),0)</f>
        <v>0</v>
      </c>
      <c r="E126" t="str" cm="1">
        <f t="array" ref="E126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26" s="9" t="str" cm="1">
        <f t="array" ref="F126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27" spans="1:6" ht="15.75" thickBot="1" x14ac:dyDescent="0.3">
      <c r="A127" s="10">
        <v>18</v>
      </c>
      <c r="B127" s="11" t="s">
        <v>12</v>
      </c>
      <c r="C127" s="11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27" s="12">
        <f>IFERROR(_xlfn.MAXIFS([1]!Tabelle7[score_0_3],[1]!Tabelle7[company_id],Tabelle728[[#This Row],[company_id]],[1]!Tabelle7[gov_id],Tabelle728[[#This Row],[gov_crit_id]]),0)</f>
        <v>0</v>
      </c>
      <c r="E127" s="13" t="str" cm="1">
        <f t="array" ref="E127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27" s="14" t="str" cm="1">
        <f t="array" ref="F127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28" spans="1:6" x14ac:dyDescent="0.25">
      <c r="A128" s="1">
        <v>19</v>
      </c>
      <c r="B128" s="2" t="s">
        <v>6</v>
      </c>
      <c r="C128" s="2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113</v>
      </c>
      <c r="D128" s="3">
        <f>IFERROR(_xlfn.MAXIFS([1]!Tabelle7[score_0_3],[1]!Tabelle7[company_id],Tabelle728[[#This Row],[company_id]],[1]!Tabelle7[gov_id],Tabelle728[[#This Row],[gov_crit_id]]),0)</f>
        <v>2</v>
      </c>
      <c r="E128" s="4" t="str" cm="1">
        <f t="array" ref="E128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“assigned by name”</v>
      </c>
      <c r="F128" s="5" t="str" cm="1">
        <f t="array" ref="F128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10, CUSTOMER-CENTRIC INNOVATION</v>
      </c>
    </row>
    <row r="129" spans="1:6" x14ac:dyDescent="0.25">
      <c r="A129" s="6">
        <v>19</v>
      </c>
      <c r="B129" s="7" t="s">
        <v>7</v>
      </c>
      <c r="C129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113</v>
      </c>
      <c r="D129" s="8">
        <f>IFERROR(_xlfn.MAXIFS([1]!Tabelle7[score_0_3],[1]!Tabelle7[company_id],Tabelle728[[#This Row],[company_id]],[1]!Tabelle7[gov_id],Tabelle728[[#This Row],[gov_crit_id]]),0)</f>
        <v>2</v>
      </c>
      <c r="E129" t="str" cm="1">
        <f t="array" ref="E129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“We define clear guardrails for the use of AI systems”; “humans stay in control of critical decisions”; “security and data protection by design”</v>
      </c>
      <c r="F129" s="9" t="str" cm="1">
        <f t="array" ref="F129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5, GEA VALUES; S. 9, DIGITAL PARTICIPATION; S. 12, DATA PROTECTION...</v>
      </c>
    </row>
    <row r="130" spans="1:6" x14ac:dyDescent="0.25">
      <c r="A130" s="6">
        <v>19</v>
      </c>
      <c r="B130" s="7" t="s">
        <v>8</v>
      </c>
      <c r="C130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113</v>
      </c>
      <c r="D130" s="8">
        <f>IFERROR(_xlfn.MAXIFS([1]!Tabelle7[score_0_3],[1]!Tabelle7[company_id],Tabelle728[[#This Row],[company_id]],[1]!Tabelle7[gov_id],Tabelle728[[#This Row],[gov_crit_id]]),0)</f>
        <v>2</v>
      </c>
      <c r="E130" t="str" cm="1">
        <f t="array" ref="E130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“critically examining and evaluating its results”; “clearly label AI-generated content”; “clearly label AI-generated content”</v>
      </c>
      <c r="F130" s="9" t="str" cm="1">
        <f t="array" ref="F130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8, DIGITAL COMPETENCE; S. 11, FAIRNESS AND TRANSPARENCY; S. 12, DATA PROTECTION...</v>
      </c>
    </row>
    <row r="131" spans="1:6" x14ac:dyDescent="0.25">
      <c r="A131" s="6">
        <v>19</v>
      </c>
      <c r="B131" s="7" t="s">
        <v>9</v>
      </c>
      <c r="C131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31" s="8">
        <f>IFERROR(_xlfn.MAXIFS([1]!Tabelle7[score_0_3],[1]!Tabelle7[company_id],Tabelle728[[#This Row],[company_id]],[1]!Tabelle7[gov_id],Tabelle728[[#This Row],[gov_crit_id]]),0)</f>
        <v>0</v>
      </c>
      <c r="E131" t="str" cm="1">
        <f t="array" ref="E131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31" s="9" t="str" cm="1">
        <f t="array" ref="F131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32" spans="1:6" x14ac:dyDescent="0.25">
      <c r="A132" s="6">
        <v>19</v>
      </c>
      <c r="B132" s="7" t="s">
        <v>10</v>
      </c>
      <c r="C132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113</v>
      </c>
      <c r="D132" s="8">
        <f>IFERROR(_xlfn.MAXIFS([1]!Tabelle7[score_0_3],[1]!Tabelle7[company_id],Tabelle728[[#This Row],[company_id]],[1]!Tabelle7[gov_id],Tabelle728[[#This Row],[gov_crit_id]]),0)</f>
        <v>2</v>
      </c>
      <c r="E132" t="str" cm="1">
        <f t="array" ref="E132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“provides the necessary training during working hours”</v>
      </c>
      <c r="F132" s="9" t="str" cm="1">
        <f t="array" ref="F132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8, DIGITAL COMPETENCE</v>
      </c>
    </row>
    <row r="133" spans="1:6" x14ac:dyDescent="0.25">
      <c r="A133" s="6">
        <v>19</v>
      </c>
      <c r="B133" s="7" t="s">
        <v>11</v>
      </c>
      <c r="C133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113</v>
      </c>
      <c r="D133" s="8">
        <f>IFERROR(_xlfn.MAXIFS([1]!Tabelle7[score_0_3],[1]!Tabelle7[company_id],Tabelle728[[#This Row],[company_id]],[1]!Tabelle7[gov_id],Tabelle728[[#This Row],[gov_crit_id]]),0)</f>
        <v>1</v>
      </c>
      <c r="E133" t="str" cm="1">
        <f t="array" ref="E133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“specific technical contacts are available at any time”</v>
      </c>
      <c r="F133" s="9" t="str" cm="1">
        <f t="array" ref="F133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8, DIGITAL COMPETENCE</v>
      </c>
    </row>
    <row r="134" spans="1:6" ht="15.75" thickBot="1" x14ac:dyDescent="0.3">
      <c r="A134" s="10">
        <v>19</v>
      </c>
      <c r="B134" s="11" t="s">
        <v>12</v>
      </c>
      <c r="C134" s="11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34" s="12">
        <f>IFERROR(_xlfn.MAXIFS([1]!Tabelle7[score_0_3],[1]!Tabelle7[company_id],Tabelle728[[#This Row],[company_id]],[1]!Tabelle7[gov_id],Tabelle728[[#This Row],[gov_crit_id]]),0)</f>
        <v>0</v>
      </c>
      <c r="E134" s="13" t="str" cm="1">
        <f t="array" ref="E134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34" s="14" t="str" cm="1">
        <f t="array" ref="F134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35" spans="1:6" x14ac:dyDescent="0.25">
      <c r="A135" s="1">
        <v>20</v>
      </c>
      <c r="B135" s="2" t="s">
        <v>6</v>
      </c>
      <c r="C135" s="2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35" s="3">
        <f>IFERROR(_xlfn.MAXIFS([1]!Tabelle7[score_0_3],[1]!Tabelle7[company_id],Tabelle728[[#This Row],[company_id]],[1]!Tabelle7[gov_id],Tabelle728[[#This Row],[gov_crit_id]]),0)</f>
        <v>0</v>
      </c>
      <c r="E135" s="4" t="str" cm="1">
        <f t="array" ref="E135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35" s="5" t="str" cm="1">
        <f t="array" ref="F135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36" spans="1:6" x14ac:dyDescent="0.25">
      <c r="A136" s="6">
        <v>20</v>
      </c>
      <c r="B136" s="7" t="s">
        <v>7</v>
      </c>
      <c r="C136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122</v>
      </c>
      <c r="D136" s="8">
        <f>IFERROR(_xlfn.MAXIFS([1]!Tabelle7[score_0_3],[1]!Tabelle7[company_id],Tabelle728[[#This Row],[company_id]],[1]!Tabelle7[gov_id],Tabelle728[[#This Row],[gov_crit_id]]),0)</f>
        <v>1</v>
      </c>
      <c r="E136" t="str" cm="1">
        <f t="array" ref="E136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“analysis and structuring of unstructured data”; “AI service provider”; “data analysis and process automation solutions”</v>
      </c>
      <c r="F136" s="9" t="str" cm="1">
        <f t="array" ref="F136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3, Abschnitt 2; S. 6, Abschnitt 5</v>
      </c>
    </row>
    <row r="137" spans="1:6" x14ac:dyDescent="0.25">
      <c r="A137" s="6">
        <v>20</v>
      </c>
      <c r="B137" s="7" t="s">
        <v>8</v>
      </c>
      <c r="C137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37" s="8">
        <f>IFERROR(_xlfn.MAXIFS([1]!Tabelle7[score_0_3],[1]!Tabelle7[company_id],Tabelle728[[#This Row],[company_id]],[1]!Tabelle7[gov_id],Tabelle728[[#This Row],[gov_crit_id]]),0)</f>
        <v>0</v>
      </c>
      <c r="E137" t="str" cm="1">
        <f t="array" ref="E137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37" s="9" t="str" cm="1">
        <f t="array" ref="F137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38" spans="1:6" x14ac:dyDescent="0.25">
      <c r="A138" s="6">
        <v>20</v>
      </c>
      <c r="B138" s="7" t="s">
        <v>9</v>
      </c>
      <c r="C138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38" s="8">
        <f>IFERROR(_xlfn.MAXIFS([1]!Tabelle7[score_0_3],[1]!Tabelle7[company_id],Tabelle728[[#This Row],[company_id]],[1]!Tabelle7[gov_id],Tabelle728[[#This Row],[gov_crit_id]]),0)</f>
        <v>0</v>
      </c>
      <c r="E138" t="str" cm="1">
        <f t="array" ref="E138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38" s="9" t="str" cm="1">
        <f t="array" ref="F138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39" spans="1:6" x14ac:dyDescent="0.25">
      <c r="A139" s="6">
        <v>20</v>
      </c>
      <c r="B139" s="7" t="s">
        <v>10</v>
      </c>
      <c r="C139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39" s="8">
        <f>IFERROR(_xlfn.MAXIFS([1]!Tabelle7[score_0_3],[1]!Tabelle7[company_id],Tabelle728[[#This Row],[company_id]],[1]!Tabelle7[gov_id],Tabelle728[[#This Row],[gov_crit_id]]),0)</f>
        <v>0</v>
      </c>
      <c r="E139" t="str" cm="1">
        <f t="array" ref="E139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39" s="9" t="str" cm="1">
        <f t="array" ref="F139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40" spans="1:6" x14ac:dyDescent="0.25">
      <c r="A140" s="6">
        <v>20</v>
      </c>
      <c r="B140" s="7" t="s">
        <v>11</v>
      </c>
      <c r="C140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40" s="8">
        <f>IFERROR(_xlfn.MAXIFS([1]!Tabelle7[score_0_3],[1]!Tabelle7[company_id],Tabelle728[[#This Row],[company_id]],[1]!Tabelle7[gov_id],Tabelle728[[#This Row],[gov_crit_id]]),0)</f>
        <v>0</v>
      </c>
      <c r="E140" t="str" cm="1">
        <f t="array" ref="E140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40" s="9" t="str" cm="1">
        <f t="array" ref="F140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41" spans="1:6" ht="15.75" thickBot="1" x14ac:dyDescent="0.3">
      <c r="A141" s="10">
        <v>20</v>
      </c>
      <c r="B141" s="11" t="s">
        <v>12</v>
      </c>
      <c r="C141" s="11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41" s="12">
        <f>IFERROR(_xlfn.MAXIFS([1]!Tabelle7[score_0_3],[1]!Tabelle7[company_id],Tabelle728[[#This Row],[company_id]],[1]!Tabelle7[gov_id],Tabelle728[[#This Row],[gov_crit_id]]),0)</f>
        <v>0</v>
      </c>
      <c r="E141" s="13" t="str" cm="1">
        <f t="array" ref="E141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41" s="14" t="str" cm="1">
        <f t="array" ref="F141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42" spans="1:6" x14ac:dyDescent="0.25">
      <c r="A142" s="1">
        <v>21</v>
      </c>
      <c r="B142" s="2" t="s">
        <v>6</v>
      </c>
      <c r="C142" s="2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42" s="3">
        <f>IFERROR(_xlfn.MAXIFS([1]!Tabelle7[score_0_3],[1]!Tabelle7[company_id],Tabelle728[[#This Row],[company_id]],[1]!Tabelle7[gov_id],Tabelle728[[#This Row],[gov_crit_id]]),0)</f>
        <v>0</v>
      </c>
      <c r="E142" s="4" t="str" cm="1">
        <f t="array" ref="E142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42" s="5" t="str" cm="1">
        <f t="array" ref="F142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43" spans="1:6" x14ac:dyDescent="0.25">
      <c r="A143" s="6">
        <v>21</v>
      </c>
      <c r="B143" s="7" t="s">
        <v>7</v>
      </c>
      <c r="C143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43" s="8">
        <f>IFERROR(_xlfn.MAXIFS([1]!Tabelle7[score_0_3],[1]!Tabelle7[company_id],Tabelle728[[#This Row],[company_id]],[1]!Tabelle7[gov_id],Tabelle728[[#This Row],[gov_crit_id]]),0)</f>
        <v>0</v>
      </c>
      <c r="E143" t="str" cm="1">
        <f t="array" ref="E143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43" s="9" t="str" cm="1">
        <f t="array" ref="F143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44" spans="1:6" x14ac:dyDescent="0.25">
      <c r="A144" s="6">
        <v>21</v>
      </c>
      <c r="B144" s="7" t="s">
        <v>8</v>
      </c>
      <c r="C144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44" s="8">
        <f>IFERROR(_xlfn.MAXIFS([1]!Tabelle7[score_0_3],[1]!Tabelle7[company_id],Tabelle728[[#This Row],[company_id]],[1]!Tabelle7[gov_id],Tabelle728[[#This Row],[gov_crit_id]]),0)</f>
        <v>0</v>
      </c>
      <c r="E144" t="str" cm="1">
        <f t="array" ref="E144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44" s="9" t="str" cm="1">
        <f t="array" ref="F144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45" spans="1:6" x14ac:dyDescent="0.25">
      <c r="A145" s="6">
        <v>21</v>
      </c>
      <c r="B145" s="7" t="s">
        <v>9</v>
      </c>
      <c r="C145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45" s="8">
        <f>IFERROR(_xlfn.MAXIFS([1]!Tabelle7[score_0_3],[1]!Tabelle7[company_id],Tabelle728[[#This Row],[company_id]],[1]!Tabelle7[gov_id],Tabelle728[[#This Row],[gov_crit_id]]),0)</f>
        <v>0</v>
      </c>
      <c r="E145" t="str" cm="1">
        <f t="array" ref="E145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45" s="9" t="str" cm="1">
        <f t="array" ref="F145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46" spans="1:6" x14ac:dyDescent="0.25">
      <c r="A146" s="6">
        <v>21</v>
      </c>
      <c r="B146" s="7" t="s">
        <v>10</v>
      </c>
      <c r="C146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46" s="8">
        <f>IFERROR(_xlfn.MAXIFS([1]!Tabelle7[score_0_3],[1]!Tabelle7[company_id],Tabelle728[[#This Row],[company_id]],[1]!Tabelle7[gov_id],Tabelle728[[#This Row],[gov_crit_id]]),0)</f>
        <v>0</v>
      </c>
      <c r="E146" t="str" cm="1">
        <f t="array" ref="E146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46" s="9" t="str" cm="1">
        <f t="array" ref="F146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47" spans="1:6" x14ac:dyDescent="0.25">
      <c r="A147" s="6">
        <v>21</v>
      </c>
      <c r="B147" s="7" t="s">
        <v>11</v>
      </c>
      <c r="C147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47" s="8">
        <f>IFERROR(_xlfn.MAXIFS([1]!Tabelle7[score_0_3],[1]!Tabelle7[company_id],Tabelle728[[#This Row],[company_id]],[1]!Tabelle7[gov_id],Tabelle728[[#This Row],[gov_crit_id]]),0)</f>
        <v>0</v>
      </c>
      <c r="E147" t="str" cm="1">
        <f t="array" ref="E147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47" s="9" t="str" cm="1">
        <f t="array" ref="F147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48" spans="1:6" ht="15.75" thickBot="1" x14ac:dyDescent="0.3">
      <c r="A148" s="10">
        <v>21</v>
      </c>
      <c r="B148" s="11" t="s">
        <v>12</v>
      </c>
      <c r="C148" s="11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48" s="12">
        <f>IFERROR(_xlfn.MAXIFS([1]!Tabelle7[score_0_3],[1]!Tabelle7[company_id],Tabelle728[[#This Row],[company_id]],[1]!Tabelle7[gov_id],Tabelle728[[#This Row],[gov_crit_id]]),0)</f>
        <v>0</v>
      </c>
      <c r="E148" s="13" t="str" cm="1">
        <f t="array" ref="E148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48" s="14" t="str" cm="1">
        <f t="array" ref="F148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49" spans="1:6" x14ac:dyDescent="0.25">
      <c r="A149" s="1">
        <v>22</v>
      </c>
      <c r="B149" s="2" t="s">
        <v>6</v>
      </c>
      <c r="C149" s="2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49" s="3">
        <f>IFERROR(_xlfn.MAXIFS([1]!Tabelle7[score_0_3],[1]!Tabelle7[company_id],Tabelle728[[#This Row],[company_id]],[1]!Tabelle7[gov_id],Tabelle728[[#This Row],[gov_crit_id]]),0)</f>
        <v>0</v>
      </c>
      <c r="E149" s="4" t="str" cm="1">
        <f t="array" ref="E149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49" s="5" t="str" cm="1">
        <f t="array" ref="F149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50" spans="1:6" x14ac:dyDescent="0.25">
      <c r="A150" s="6">
        <v>22</v>
      </c>
      <c r="B150" s="7" t="s">
        <v>7</v>
      </c>
      <c r="C150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50" s="8">
        <f>IFERROR(_xlfn.MAXIFS([1]!Tabelle7[score_0_3],[1]!Tabelle7[company_id],Tabelle728[[#This Row],[company_id]],[1]!Tabelle7[gov_id],Tabelle728[[#This Row],[gov_crit_id]]),0)</f>
        <v>0</v>
      </c>
      <c r="E150" t="str" cm="1">
        <f t="array" ref="E150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50" s="9" t="str" cm="1">
        <f t="array" ref="F150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51" spans="1:6" x14ac:dyDescent="0.25">
      <c r="A151" s="6">
        <v>22</v>
      </c>
      <c r="B151" s="7" t="s">
        <v>8</v>
      </c>
      <c r="C151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132</v>
      </c>
      <c r="D151" s="8">
        <f>IFERROR(_xlfn.MAXIFS([1]!Tabelle7[score_0_3],[1]!Tabelle7[company_id],Tabelle728[[#This Row],[company_id]],[1]!Tabelle7[gov_id],Tabelle728[[#This Row],[gov_crit_id]]),0)</f>
        <v>1</v>
      </c>
      <c r="E151" cm="1">
        <f t="array" ref="E151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0</v>
      </c>
      <c r="F151" s="9" t="str" cm="1">
        <f t="array" ref="F151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18, DIGITAL SAFETY &amp; ETHICS</v>
      </c>
    </row>
    <row r="152" spans="1:6" x14ac:dyDescent="0.25">
      <c r="A152" s="6">
        <v>22</v>
      </c>
      <c r="B152" s="7" t="s">
        <v>9</v>
      </c>
      <c r="C152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52" s="8">
        <f>IFERROR(_xlfn.MAXIFS([1]!Tabelle7[score_0_3],[1]!Tabelle7[company_id],Tabelle728[[#This Row],[company_id]],[1]!Tabelle7[gov_id],Tabelle728[[#This Row],[gov_crit_id]]),0)</f>
        <v>0</v>
      </c>
      <c r="E152" t="str" cm="1">
        <f t="array" ref="E152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52" s="9" t="str" cm="1">
        <f t="array" ref="F152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53" spans="1:6" x14ac:dyDescent="0.25">
      <c r="A153" s="6">
        <v>22</v>
      </c>
      <c r="B153" s="7" t="s">
        <v>10</v>
      </c>
      <c r="C153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53" s="8">
        <f>IFERROR(_xlfn.MAXIFS([1]!Tabelle7[score_0_3],[1]!Tabelle7[company_id],Tabelle728[[#This Row],[company_id]],[1]!Tabelle7[gov_id],Tabelle728[[#This Row],[gov_crit_id]]),0)</f>
        <v>0</v>
      </c>
      <c r="E153" t="str" cm="1">
        <f t="array" ref="E153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53" s="9" t="str" cm="1">
        <f t="array" ref="F153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54" spans="1:6" x14ac:dyDescent="0.25">
      <c r="A154" s="6">
        <v>22</v>
      </c>
      <c r="B154" s="7" t="s">
        <v>11</v>
      </c>
      <c r="C154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54" s="8">
        <f>IFERROR(_xlfn.MAXIFS([1]!Tabelle7[score_0_3],[1]!Tabelle7[company_id],Tabelle728[[#This Row],[company_id]],[1]!Tabelle7[gov_id],Tabelle728[[#This Row],[gov_crit_id]]),0)</f>
        <v>0</v>
      </c>
      <c r="E154" t="str" cm="1">
        <f t="array" ref="E154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54" s="9" t="str" cm="1">
        <f t="array" ref="F154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55" spans="1:6" ht="15.75" thickBot="1" x14ac:dyDescent="0.3">
      <c r="A155" s="10">
        <v>22</v>
      </c>
      <c r="B155" s="11" t="s">
        <v>12</v>
      </c>
      <c r="C155" s="11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55" s="12">
        <f>IFERROR(_xlfn.MAXIFS([1]!Tabelle7[score_0_3],[1]!Tabelle7[company_id],Tabelle728[[#This Row],[company_id]],[1]!Tabelle7[gov_id],Tabelle728[[#This Row],[gov_crit_id]]),0)</f>
        <v>0</v>
      </c>
      <c r="E155" s="13" t="str" cm="1">
        <f t="array" ref="E155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55" s="14" t="str" cm="1">
        <f t="array" ref="F155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56" spans="1:6" x14ac:dyDescent="0.25">
      <c r="A156" s="1">
        <v>23</v>
      </c>
      <c r="B156" s="2" t="s">
        <v>6</v>
      </c>
      <c r="C156" s="2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142</v>
      </c>
      <c r="D156" s="3">
        <f>IFERROR(_xlfn.MAXIFS([1]!Tabelle7[score_0_3],[1]!Tabelle7[company_id],Tabelle728[[#This Row],[company_id]],[1]!Tabelle7[gov_id],Tabelle728[[#This Row],[gov_crit_id]]),0)</f>
        <v>2</v>
      </c>
      <c r="E156" s="4" t="str" cm="1">
        <f t="array" ref="E156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“Digital Council will inspect and resolve the case”;“team works in a tandem formation with two employees from the tech and compliance side”</v>
      </c>
      <c r="F156" s="5" t="str" cm="1">
        <f t="array" ref="F156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4, „Executing human oversight“</v>
      </c>
    </row>
    <row r="157" spans="1:6" x14ac:dyDescent="0.25">
      <c r="A157" s="6">
        <v>23</v>
      </c>
      <c r="B157" s="7" t="s">
        <v>7</v>
      </c>
      <c r="C157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142</v>
      </c>
      <c r="D157" s="8">
        <f>IFERROR(_xlfn.MAXIFS([1]!Tabelle7[score_0_3],[1]!Tabelle7[company_id],Tabelle728[[#This Row],[company_id]],[1]!Tabelle7[gov_id],Tabelle728[[#This Row],[gov_crit_id]]),0)</f>
        <v>2</v>
      </c>
      <c r="E157" t="str" cm="1">
        <f t="array" ref="E157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“embedded processes which help to identify risks throughout the AI project life cycle”; “employees can turn if they want to receive guidance”; “Digital Council will inspect and resolve the case”</v>
      </c>
      <c r="F157" s="9" t="str" cm="1">
        <f t="array" ref="F157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4, „Responsible AI by design“; S. 4, „Executing human oversight“</v>
      </c>
    </row>
    <row r="158" spans="1:6" x14ac:dyDescent="0.25">
      <c r="A158" s="6">
        <v>23</v>
      </c>
      <c r="B158" s="7" t="s">
        <v>8</v>
      </c>
      <c r="C158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142</v>
      </c>
      <c r="D158" s="8">
        <f>IFERROR(_xlfn.MAXIFS([1]!Tabelle7[score_0_3],[1]!Tabelle7[company_id],Tabelle728[[#This Row],[company_id]],[1]!Tabelle7[gov_id],Tabelle728[[#This Row],[gov_crit_id]]),0)</f>
        <v>2</v>
      </c>
      <c r="E158" t="str" cm="1">
        <f t="array" ref="E158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“toolkits with tutorials and code samples to make AI explainable”; “embedded processes which help to identify risks throughout the AI project life cycle”</v>
      </c>
      <c r="F158" s="9" t="str" cm="1">
        <f t="array" ref="F158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4, „Upskilling“; S. 4, „Responsible AI by design“</v>
      </c>
    </row>
    <row r="159" spans="1:6" x14ac:dyDescent="0.25">
      <c r="A159" s="6">
        <v>23</v>
      </c>
      <c r="B159" s="7" t="s">
        <v>9</v>
      </c>
      <c r="C159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142</v>
      </c>
      <c r="D159" s="8">
        <f>IFERROR(_xlfn.MAXIFS([1]!Tabelle7[score_0_3],[1]!Tabelle7[company_id],Tabelle728[[#This Row],[company_id]],[1]!Tabelle7[gov_id],Tabelle728[[#This Row],[gov_crit_id]]),0)</f>
        <v>1</v>
      </c>
      <c r="E159" t="str" cm="1">
        <f t="array" ref="E159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“highest quality and peer review standards”</v>
      </c>
      <c r="F159" s="9" t="str" cm="1">
        <f t="array" ref="F159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4, „Responsible AI by design“</v>
      </c>
    </row>
    <row r="160" spans="1:6" x14ac:dyDescent="0.25">
      <c r="A160" s="6">
        <v>23</v>
      </c>
      <c r="B160" s="7" t="s">
        <v>10</v>
      </c>
      <c r="C160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142</v>
      </c>
      <c r="D160" s="8">
        <f>IFERROR(_xlfn.MAXIFS([1]!Tabelle7[score_0_3],[1]!Tabelle7[company_id],Tabelle728[[#This Row],[company_id]],[1]!Tabelle7[gov_id],Tabelle728[[#This Row],[gov_crit_id]]),0)</f>
        <v>1</v>
      </c>
      <c r="E160" t="str" cm="1">
        <f t="array" ref="E160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“toolkits with tutorials and code samples to make AI explainable”; “systematically include ethical questions in Infineon’s internal AI communication efforts”</v>
      </c>
      <c r="F160" s="9" t="str" cm="1">
        <f t="array" ref="F160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4, „Upskilling“</v>
      </c>
    </row>
    <row r="161" spans="1:6" x14ac:dyDescent="0.25">
      <c r="A161" s="6">
        <v>23</v>
      </c>
      <c r="B161" s="7" t="s">
        <v>11</v>
      </c>
      <c r="C161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142</v>
      </c>
      <c r="D161" s="8">
        <f>IFERROR(_xlfn.MAXIFS([1]!Tabelle7[score_0_3],[1]!Tabelle7[company_id],Tabelle728[[#This Row],[company_id]],[1]!Tabelle7[gov_id],Tabelle728[[#This Row],[gov_crit_id]]),0)</f>
        <v>2</v>
      </c>
      <c r="E161" t="str" cm="1">
        <f t="array" ref="E161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“employees can turn if they want to receive guidance”; “Digital Council will inspect and resolve the case”</v>
      </c>
      <c r="F161" s="9" t="str" cm="1">
        <f t="array" ref="F161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4, „Executing human oversight“</v>
      </c>
    </row>
    <row r="162" spans="1:6" ht="15.75" thickBot="1" x14ac:dyDescent="0.3">
      <c r="A162" s="10">
        <v>23</v>
      </c>
      <c r="B162" s="11" t="s">
        <v>12</v>
      </c>
      <c r="C162" s="11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62" s="12">
        <f>IFERROR(_xlfn.MAXIFS([1]!Tabelle7[score_0_3],[1]!Tabelle7[company_id],Tabelle728[[#This Row],[company_id]],[1]!Tabelle7[gov_id],Tabelle728[[#This Row],[gov_crit_id]]),0)</f>
        <v>0</v>
      </c>
      <c r="E162" s="13" t="str" cm="1">
        <f t="array" ref="E162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62" s="14" t="str" cm="1">
        <f t="array" ref="F162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63" spans="1:6" x14ac:dyDescent="0.25">
      <c r="A163" s="1">
        <v>24</v>
      </c>
      <c r="B163" s="2" t="s">
        <v>6</v>
      </c>
      <c r="C163" s="2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63" s="3">
        <f>IFERROR(_xlfn.MAXIFS([1]!Tabelle7[score_0_3],[1]!Tabelle7[company_id],Tabelle728[[#This Row],[company_id]],[1]!Tabelle7[gov_id],Tabelle728[[#This Row],[gov_crit_id]]),0)</f>
        <v>0</v>
      </c>
      <c r="E163" s="4" t="str" cm="1">
        <f t="array" ref="E163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63" s="5" t="str" cm="1">
        <f t="array" ref="F163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64" spans="1:6" x14ac:dyDescent="0.25">
      <c r="A164" s="6">
        <v>24</v>
      </c>
      <c r="B164" s="7" t="s">
        <v>7</v>
      </c>
      <c r="C164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148</v>
      </c>
      <c r="D164" s="8">
        <f>IFERROR(_xlfn.MAXIFS([1]!Tabelle7[score_0_3],[1]!Tabelle7[company_id],Tabelle728[[#This Row],[company_id]],[1]!Tabelle7[gov_id],Tabelle728[[#This Row],[gov_crit_id]]),0)</f>
        <v>2</v>
      </c>
      <c r="E164" t="str" cm="1">
        <f t="array" ref="E164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“risk-based AI Governance approach”; “anchored them company-wide in our integrity code”; “preceded by a transparent evaluation process”</v>
      </c>
      <c r="F164" s="9" t="str" cm="1">
        <f t="array" ref="F164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1, Abs. 3-4; S. 2, „1st principle: responsible use“</v>
      </c>
    </row>
    <row r="165" spans="1:6" x14ac:dyDescent="0.25">
      <c r="A165" s="6">
        <v>24</v>
      </c>
      <c r="B165" s="7" t="s">
        <v>8</v>
      </c>
      <c r="C165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148</v>
      </c>
      <c r="D165" s="8">
        <f>IFERROR(_xlfn.MAXIFS([1]!Tabelle7[score_0_3],[1]!Tabelle7[company_id],Tabelle728[[#This Row],[company_id]],[1]!Tabelle7[gov_id],Tabelle728[[#This Row],[gov_crit_id]]),0)</f>
        <v>2</v>
      </c>
      <c r="E165" t="str" cm="1">
        <f t="array" ref="E165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“we use artificial or anonymized data sets”; “We develop and test our AI technologies”; “scientifically validated and accepted algorithms”</v>
      </c>
      <c r="F165" s="9" t="str" cm="1">
        <f t="array" ref="F165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3, „3rd principle: protection of privacy“ / „4th principle: safety and reliability“</v>
      </c>
    </row>
    <row r="166" spans="1:6" x14ac:dyDescent="0.25">
      <c r="A166" s="6">
        <v>24</v>
      </c>
      <c r="B166" s="7" t="s">
        <v>9</v>
      </c>
      <c r="C166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66" s="8">
        <f>IFERROR(_xlfn.MAXIFS([1]!Tabelle7[score_0_3],[1]!Tabelle7[company_id],Tabelle728[[#This Row],[company_id]],[1]!Tabelle7[gov_id],Tabelle728[[#This Row],[gov_crit_id]]),0)</f>
        <v>0</v>
      </c>
      <c r="E166" t="str" cm="1">
        <f t="array" ref="E166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66" s="9" t="str" cm="1">
        <f t="array" ref="F166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67" spans="1:6" x14ac:dyDescent="0.25">
      <c r="A167" s="6">
        <v>24</v>
      </c>
      <c r="B167" s="7" t="s">
        <v>10</v>
      </c>
      <c r="C167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67" s="8">
        <f>IFERROR(_xlfn.MAXIFS([1]!Tabelle7[score_0_3],[1]!Tabelle7[company_id],Tabelle728[[#This Row],[company_id]],[1]!Tabelle7[gov_id],Tabelle728[[#This Row],[gov_crit_id]]),0)</f>
        <v>0</v>
      </c>
      <c r="E167" t="str" cm="1">
        <f t="array" ref="E167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67" s="9" t="str" cm="1">
        <f t="array" ref="F167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68" spans="1:6" x14ac:dyDescent="0.25">
      <c r="A168" s="6">
        <v>24</v>
      </c>
      <c r="B168" s="7" t="s">
        <v>11</v>
      </c>
      <c r="C168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68" s="8">
        <f>IFERROR(_xlfn.MAXIFS([1]!Tabelle7[score_0_3],[1]!Tabelle7[company_id],Tabelle728[[#This Row],[company_id]],[1]!Tabelle7[gov_id],Tabelle728[[#This Row],[gov_crit_id]]),0)</f>
        <v>0</v>
      </c>
      <c r="E168" t="str" cm="1">
        <f t="array" ref="E168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68" s="9" t="str" cm="1">
        <f t="array" ref="F168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69" spans="1:6" ht="15.75" thickBot="1" x14ac:dyDescent="0.3">
      <c r="A169" s="10">
        <v>24</v>
      </c>
      <c r="B169" s="11" t="s">
        <v>12</v>
      </c>
      <c r="C169" s="11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69" s="12">
        <f>IFERROR(_xlfn.MAXIFS([1]!Tabelle7[score_0_3],[1]!Tabelle7[company_id],Tabelle728[[#This Row],[company_id]],[1]!Tabelle7[gov_id],Tabelle728[[#This Row],[gov_crit_id]]),0)</f>
        <v>0</v>
      </c>
      <c r="E169" s="13" t="str" cm="1">
        <f t="array" ref="E169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69" s="14" t="str" cm="1">
        <f t="array" ref="F169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70" spans="1:6" x14ac:dyDescent="0.25">
      <c r="A170" s="1">
        <v>25</v>
      </c>
      <c r="B170" s="2" t="s">
        <v>6</v>
      </c>
      <c r="C170" s="2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153</v>
      </c>
      <c r="D170" s="3">
        <f>IFERROR(_xlfn.MAXIFS([1]!Tabelle7[score_0_3],[1]!Tabelle7[company_id],Tabelle728[[#This Row],[company_id]],[1]!Tabelle7[gov_id],Tabelle728[[#This Row],[gov_crit_id]]),0)</f>
        <v>2</v>
      </c>
      <c r="E170" s="4" t="str" cm="1">
        <f t="array" ref="E170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“created a dedicated Digital Ethics Group, our Digital Ethics Advisory Panel and our Code of Digital Ethics”; “Since 2020, we have embedded a dedicated digital ethics group”; “The DEAP is appointed by the Executive Board”</v>
      </c>
      <c r="F170" s="5" t="str" cm="1">
        <f t="array" ref="F170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2 „Why Digital Ethics Matter“; S. 2 „Digital Ethics at our company“; S. 3 „DEAP“</v>
      </c>
    </row>
    <row r="171" spans="1:6" x14ac:dyDescent="0.25">
      <c r="A171" s="6">
        <v>25</v>
      </c>
      <c r="B171" s="7" t="s">
        <v>7</v>
      </c>
      <c r="C171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153</v>
      </c>
      <c r="D171" s="8">
        <f>IFERROR(_xlfn.MAXIFS([1]!Tabelle7[score_0_3],[1]!Tabelle7[company_id],Tabelle728[[#This Row],[company_id]],[1]!Tabelle7[gov_id],Tabelle728[[#This Row],[gov_crit_id]]),0)</f>
        <v>3</v>
      </c>
      <c r="E171" t="str" cm="1">
        <f t="array" ref="E171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“assess the ethical aspects of data use and algorithms”; “used to analyze … new products in an early development phase”; “used to analyze … new products in an early development phase”</v>
      </c>
      <c r="F171" s="9" t="str" cm="1">
        <f t="array" ref="F171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13 „The Code“; S. 15 „PaRA“; S. 16 „Handling Patient Data“</v>
      </c>
    </row>
    <row r="172" spans="1:6" x14ac:dyDescent="0.25">
      <c r="A172" s="6">
        <v>25</v>
      </c>
      <c r="B172" s="7" t="s">
        <v>8</v>
      </c>
      <c r="C172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153</v>
      </c>
      <c r="D172" s="8">
        <f>IFERROR(_xlfn.MAXIFS([1]!Tabelle7[score_0_3],[1]!Tabelle7[company_id],Tabelle728[[#This Row],[company_id]],[1]!Tabelle7[gov_id],Tabelle728[[#This Row],[gov_crit_id]]),0)</f>
        <v>3</v>
      </c>
      <c r="E172" t="str" cm="1">
        <f t="array" ref="E172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“PaRA is a formal ethics review tool”; “rule-based in-process scoring system”,“rule-based in-process scoring system”</v>
      </c>
      <c r="F172" s="9" t="str" cm="1">
        <f t="array" ref="F172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15 „PaRA“; S. 17 „Automated Risk Assessment“</v>
      </c>
    </row>
    <row r="173" spans="1:6" x14ac:dyDescent="0.25">
      <c r="A173" s="6">
        <v>25</v>
      </c>
      <c r="B173" s="7" t="s">
        <v>9</v>
      </c>
      <c r="C173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153</v>
      </c>
      <c r="D173" s="8">
        <f>IFERROR(_xlfn.MAXIFS([1]!Tabelle7[score_0_3],[1]!Tabelle7[company_id],Tabelle728[[#This Row],[company_id]],[1]!Tabelle7[gov_id],Tabelle728[[#This Row],[gov_crit_id]]),0)</f>
        <v>2</v>
      </c>
      <c r="E173" t="str" cm="1">
        <f t="array" ref="E173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“assess complex ethical challenges related to data and AI”; “forms the basis for the Digital Ethics Advisory Panel evaluation”; “The tool’s assessment is reviewed by the DEAP”</v>
      </c>
      <c r="F173" s="9" t="str" cm="1">
        <f t="array" ref="F173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3 „DEAP“; S. 13 „The Code“; S. 15 „PaRA“</v>
      </c>
    </row>
    <row r="174" spans="1:6" x14ac:dyDescent="0.25">
      <c r="A174" s="6">
        <v>25</v>
      </c>
      <c r="B174" s="7" t="s">
        <v>10</v>
      </c>
      <c r="C174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153</v>
      </c>
      <c r="D174" s="8">
        <f>IFERROR(_xlfn.MAXIFS([1]!Tabelle7[score_0_3],[1]!Tabelle7[company_id],Tabelle728[[#This Row],[company_id]],[1]!Tabelle7[gov_id],Tabelle728[[#This Row],[gov_crit_id]]),0)</f>
        <v>3</v>
      </c>
      <c r="E174" t="str" cm="1">
        <f t="array" ref="E174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“developed a mandatory training”; “anchored within the individual training plans”</v>
      </c>
      <c r="F174" s="9" t="str" cm="1">
        <f t="array" ref="F174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18 „Training“</v>
      </c>
    </row>
    <row r="175" spans="1:6" x14ac:dyDescent="0.25">
      <c r="A175" s="6">
        <v>25</v>
      </c>
      <c r="B175" s="7" t="s">
        <v>11</v>
      </c>
      <c r="C175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153</v>
      </c>
      <c r="D175" s="8">
        <f>IFERROR(_xlfn.MAXIFS([1]!Tabelle7[score_0_3],[1]!Tabelle7[company_id],Tabelle728[[#This Row],[company_id]],[1]!Tabelle7[gov_id],Tabelle728[[#This Row],[gov_crit_id]]),0)</f>
        <v>3</v>
      </c>
      <c r="E175" t="str" cm="1">
        <f t="array" ref="E175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“All employees may submit topics to the DEAP”; “Our business approached the Digital Ethics Advisory Panel”; “Have any questions or feedback … Contact us at ethics@merckgroup.com"</v>
      </c>
      <c r="F175" s="9" t="str" cm="1">
        <f t="array" ref="F175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3 „DEAP“; S. 16 „Handling Patient Data“; S. 22 „Questions or Inputs?“</v>
      </c>
    </row>
    <row r="176" spans="1:6" ht="15.75" thickBot="1" x14ac:dyDescent="0.3">
      <c r="A176" s="10">
        <v>25</v>
      </c>
      <c r="B176" s="11" t="s">
        <v>12</v>
      </c>
      <c r="C176" s="11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76" s="12">
        <f>IFERROR(_xlfn.MAXIFS([1]!Tabelle7[score_0_3],[1]!Tabelle7[company_id],Tabelle728[[#This Row],[company_id]],[1]!Tabelle7[gov_id],Tabelle728[[#This Row],[gov_crit_id]]),0)</f>
        <v>0</v>
      </c>
      <c r="E176" s="13" t="str" cm="1">
        <f t="array" ref="E176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76" s="14" t="str" cm="1">
        <f t="array" ref="F176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77" spans="1:6" x14ac:dyDescent="0.25">
      <c r="A177" s="1">
        <v>26</v>
      </c>
      <c r="B177" s="2" t="s">
        <v>6</v>
      </c>
      <c r="C177" s="2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77" s="3">
        <f>IFERROR(_xlfn.MAXIFS([1]!Tabelle7[score_0_3],[1]!Tabelle7[company_id],Tabelle728[[#This Row],[company_id]],[1]!Tabelle7[gov_id],Tabelle728[[#This Row],[gov_crit_id]]),0)</f>
        <v>0</v>
      </c>
      <c r="E177" s="4" t="str" cm="1">
        <f t="array" ref="E177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77" s="5" t="str" cm="1">
        <f t="array" ref="F177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78" spans="1:6" x14ac:dyDescent="0.25">
      <c r="A178" s="6">
        <v>26</v>
      </c>
      <c r="B178" s="7" t="s">
        <v>7</v>
      </c>
      <c r="C178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78" s="8">
        <f>IFERROR(_xlfn.MAXIFS([1]!Tabelle7[score_0_3],[1]!Tabelle7[company_id],Tabelle728[[#This Row],[company_id]],[1]!Tabelle7[gov_id],Tabelle728[[#This Row],[gov_crit_id]]),0)</f>
        <v>0</v>
      </c>
      <c r="E178" t="str" cm="1">
        <f t="array" ref="E178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78" s="9" t="str" cm="1">
        <f t="array" ref="F178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79" spans="1:6" x14ac:dyDescent="0.25">
      <c r="A179" s="6">
        <v>26</v>
      </c>
      <c r="B179" s="7" t="s">
        <v>8</v>
      </c>
      <c r="C179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79" s="8">
        <f>IFERROR(_xlfn.MAXIFS([1]!Tabelle7[score_0_3],[1]!Tabelle7[company_id],Tabelle728[[#This Row],[company_id]],[1]!Tabelle7[gov_id],Tabelle728[[#This Row],[gov_crit_id]]),0)</f>
        <v>0</v>
      </c>
      <c r="E179" t="str" cm="1">
        <f t="array" ref="E179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79" s="9" t="str" cm="1">
        <f t="array" ref="F179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80" spans="1:6" x14ac:dyDescent="0.25">
      <c r="A180" s="6">
        <v>26</v>
      </c>
      <c r="B180" s="7" t="s">
        <v>9</v>
      </c>
      <c r="C180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80" s="8">
        <f>IFERROR(_xlfn.MAXIFS([1]!Tabelle7[score_0_3],[1]!Tabelle7[company_id],Tabelle728[[#This Row],[company_id]],[1]!Tabelle7[gov_id],Tabelle728[[#This Row],[gov_crit_id]]),0)</f>
        <v>0</v>
      </c>
      <c r="E180" t="str" cm="1">
        <f t="array" ref="E180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80" s="9" t="str" cm="1">
        <f t="array" ref="F180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81" spans="1:6" x14ac:dyDescent="0.25">
      <c r="A181" s="6">
        <v>26</v>
      </c>
      <c r="B181" s="7" t="s">
        <v>10</v>
      </c>
      <c r="C181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81" s="8">
        <f>IFERROR(_xlfn.MAXIFS([1]!Tabelle7[score_0_3],[1]!Tabelle7[company_id],Tabelle728[[#This Row],[company_id]],[1]!Tabelle7[gov_id],Tabelle728[[#This Row],[gov_crit_id]]),0)</f>
        <v>0</v>
      </c>
      <c r="E181" t="str" cm="1">
        <f t="array" ref="E181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81" s="9" t="str" cm="1">
        <f t="array" ref="F181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82" spans="1:6" x14ac:dyDescent="0.25">
      <c r="A182" s="6">
        <v>26</v>
      </c>
      <c r="B182" s="7" t="s">
        <v>11</v>
      </c>
      <c r="C182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82" s="8">
        <f>IFERROR(_xlfn.MAXIFS([1]!Tabelle7[score_0_3],[1]!Tabelle7[company_id],Tabelle728[[#This Row],[company_id]],[1]!Tabelle7[gov_id],Tabelle728[[#This Row],[gov_crit_id]]),0)</f>
        <v>0</v>
      </c>
      <c r="E182" t="str" cm="1">
        <f t="array" ref="E182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82" s="9" t="str" cm="1">
        <f t="array" ref="F182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83" spans="1:6" ht="15.75" thickBot="1" x14ac:dyDescent="0.3">
      <c r="A183" s="10">
        <v>26</v>
      </c>
      <c r="B183" s="11" t="s">
        <v>12</v>
      </c>
      <c r="C183" s="11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83" s="12">
        <f>IFERROR(_xlfn.MAXIFS([1]!Tabelle7[score_0_3],[1]!Tabelle7[company_id],Tabelle728[[#This Row],[company_id]],[1]!Tabelle7[gov_id],Tabelle728[[#This Row],[gov_crit_id]]),0)</f>
        <v>0</v>
      </c>
      <c r="E183" s="13" t="str" cm="1">
        <f t="array" ref="E183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83" s="14" t="str" cm="1">
        <f t="array" ref="F183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84" spans="1:6" x14ac:dyDescent="0.25">
      <c r="A184" s="1">
        <v>27</v>
      </c>
      <c r="B184" s="2" t="s">
        <v>6</v>
      </c>
      <c r="C184" s="2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163</v>
      </c>
      <c r="D184" s="3">
        <f>IFERROR(_xlfn.MAXIFS([1]!Tabelle7[score_0_3],[1]!Tabelle7[company_id],Tabelle728[[#This Row],[company_id]],[1]!Tabelle7[gov_id],Tabelle728[[#This Row],[gov_crit_id]]),0)</f>
        <v>2</v>
      </c>
      <c r="E184" s="4" t="str" cm="1">
        <f t="array" ref="E184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“handled by the Data Strategy and Governance department”; “All Munich Re staff can contact this department”; “overseen by the Compliance and Legal division”</v>
      </c>
      <c r="F184" s="5" t="str" cm="1">
        <f t="array" ref="F184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58 „Responsible digital transformation…“</v>
      </c>
    </row>
    <row r="185" spans="1:6" x14ac:dyDescent="0.25">
      <c r="A185" s="6">
        <v>27</v>
      </c>
      <c r="B185" s="7" t="s">
        <v>7</v>
      </c>
      <c r="C185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163</v>
      </c>
      <c r="D185" s="8">
        <f>IFERROR(_xlfn.MAXIFS([1]!Tabelle7[score_0_3],[1]!Tabelle7[company_id],Tabelle728[[#This Row],[company_id]],[1]!Tabelle7[gov_id],Tabelle728[[#This Row],[gov_crit_id]]),0)</f>
        <v>2</v>
      </c>
      <c r="E185" t="str" cm="1">
        <f t="array" ref="E185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“reviewed using a defined process”</v>
      </c>
      <c r="F185" s="9" t="str" cm="1">
        <f t="array" ref="F185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60 „Measures“</v>
      </c>
    </row>
    <row r="186" spans="1:6" x14ac:dyDescent="0.25">
      <c r="A186" s="6">
        <v>27</v>
      </c>
      <c r="B186" s="7" t="s">
        <v>8</v>
      </c>
      <c r="C186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163</v>
      </c>
      <c r="D186" s="8">
        <f>IFERROR(_xlfn.MAXIFS([1]!Tabelle7[score_0_3],[1]!Tabelle7[company_id],Tabelle728[[#This Row],[company_id]],[1]!Tabelle7[gov_id],Tabelle728[[#This Row],[gov_crit_id]]),0)</f>
        <v>2</v>
      </c>
      <c r="E186" t="str" cm="1">
        <f t="array" ref="E186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“identified and monitored through a privacy impact assessment”; “introduced an overarching governance, risk and compliance platform”; “we check that our data resources cover all relevant demographic groups”</v>
      </c>
      <c r="F186" s="9" t="str" cm="1">
        <f t="array" ref="F186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60 „Measures“</v>
      </c>
    </row>
    <row r="187" spans="1:6" x14ac:dyDescent="0.25">
      <c r="A187" s="6">
        <v>27</v>
      </c>
      <c r="B187" s="7" t="s">
        <v>9</v>
      </c>
      <c r="C187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87" s="8">
        <f>IFERROR(_xlfn.MAXIFS([1]!Tabelle7[score_0_3],[1]!Tabelle7[company_id],Tabelle728[[#This Row],[company_id]],[1]!Tabelle7[gov_id],Tabelle728[[#This Row],[gov_crit_id]]),0)</f>
        <v>0</v>
      </c>
      <c r="E187" t="str" cm="1">
        <f t="array" ref="E187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87" s="9" t="str" cm="1">
        <f t="array" ref="F187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88" spans="1:6" x14ac:dyDescent="0.25">
      <c r="A188" s="6">
        <v>27</v>
      </c>
      <c r="B188" s="7" t="s">
        <v>10</v>
      </c>
      <c r="C188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163</v>
      </c>
      <c r="D188" s="8">
        <f>IFERROR(_xlfn.MAXIFS([1]!Tabelle7[score_0_3],[1]!Tabelle7[company_id],Tabelle728[[#This Row],[company_id]],[1]!Tabelle7[gov_id],Tabelle728[[#This Row],[gov_crit_id]]),0)</f>
        <v>3</v>
      </c>
      <c r="E188" t="str" cm="1">
        <f t="array" ref="E188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“staff receive regular training via e-learning programs”; “All new staff are also required to complete”; “online presentations outlining the handling of data, analytics and AI”</v>
      </c>
      <c r="F188" s="9" t="str" cm="1">
        <f t="array" ref="F188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60 „Measures“</v>
      </c>
    </row>
    <row r="189" spans="1:6" x14ac:dyDescent="0.25">
      <c r="A189" s="6">
        <v>27</v>
      </c>
      <c r="B189" s="7" t="s">
        <v>11</v>
      </c>
      <c r="C189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163</v>
      </c>
      <c r="D189" s="8">
        <f>IFERROR(_xlfn.MAXIFS([1]!Tabelle7[score_0_3],[1]!Tabelle7[company_id],Tabelle728[[#This Row],[company_id]],[1]!Tabelle7[gov_id],Tabelle728[[#This Row],[gov_crit_id]]),0)</f>
        <v>1</v>
      </c>
      <c r="E189" t="str" cm="1">
        <f t="array" ref="E189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“All Munich Re staff can contact this department”</v>
      </c>
      <c r="F189" s="9" t="str" cm="1">
        <f t="array" ref="F189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58 „Responsible digital transformation…“</v>
      </c>
    </row>
    <row r="190" spans="1:6" ht="15.75" thickBot="1" x14ac:dyDescent="0.3">
      <c r="A190" s="10">
        <v>27</v>
      </c>
      <c r="B190" s="11" t="s">
        <v>12</v>
      </c>
      <c r="C190" s="11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163</v>
      </c>
      <c r="D190" s="12">
        <f>IFERROR(_xlfn.MAXIFS([1]!Tabelle7[score_0_3],[1]!Tabelle7[company_id],Tabelle728[[#This Row],[company_id]],[1]!Tabelle7[gov_id],Tabelle728[[#This Row],[gov_crit_id]]),0)</f>
        <v>1</v>
      </c>
      <c r="E190" s="13" t="str" cm="1">
        <f t="array" ref="E190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“handled by the Data Strategy and Governance department”; “All Munich Re staff can contact this department”</v>
      </c>
      <c r="F190" s="14" t="str" cm="1">
        <f t="array" ref="F190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58 „Responsible digital transformation…“</v>
      </c>
    </row>
    <row r="191" spans="1:6" x14ac:dyDescent="0.25">
      <c r="A191" s="1">
        <v>28</v>
      </c>
      <c r="B191" s="2" t="s">
        <v>6</v>
      </c>
      <c r="C191" s="2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91" s="3">
        <f>IFERROR(_xlfn.MAXIFS([1]!Tabelle7[score_0_3],[1]!Tabelle7[company_id],Tabelle728[[#This Row],[company_id]],[1]!Tabelle7[gov_id],Tabelle728[[#This Row],[gov_crit_id]]),0)</f>
        <v>0</v>
      </c>
      <c r="E191" s="4" t="str" cm="1">
        <f t="array" ref="E191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91" s="5" t="str" cm="1">
        <f t="array" ref="F191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92" spans="1:6" x14ac:dyDescent="0.25">
      <c r="A192" s="6">
        <v>28</v>
      </c>
      <c r="B192" s="7" t="s">
        <v>7</v>
      </c>
      <c r="C192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92" s="8">
        <f>IFERROR(_xlfn.MAXIFS([1]!Tabelle7[score_0_3],[1]!Tabelle7[company_id],Tabelle728[[#This Row],[company_id]],[1]!Tabelle7[gov_id],Tabelle728[[#This Row],[gov_crit_id]]),0)</f>
        <v>0</v>
      </c>
      <c r="E192" t="str" cm="1">
        <f t="array" ref="E192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92" s="9" t="str" cm="1">
        <f t="array" ref="F192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93" spans="1:6" x14ac:dyDescent="0.25">
      <c r="A193" s="6">
        <v>28</v>
      </c>
      <c r="B193" s="7" t="s">
        <v>8</v>
      </c>
      <c r="C193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93" s="8">
        <f>IFERROR(_xlfn.MAXIFS([1]!Tabelle7[score_0_3],[1]!Tabelle7[company_id],Tabelle728[[#This Row],[company_id]],[1]!Tabelle7[gov_id],Tabelle728[[#This Row],[gov_crit_id]]),0)</f>
        <v>0</v>
      </c>
      <c r="E193" t="str" cm="1">
        <f t="array" ref="E193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93" s="9" t="str" cm="1">
        <f t="array" ref="F193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94" spans="1:6" x14ac:dyDescent="0.25">
      <c r="A194" s="6">
        <v>28</v>
      </c>
      <c r="B194" s="7" t="s">
        <v>9</v>
      </c>
      <c r="C194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94" s="8">
        <f>IFERROR(_xlfn.MAXIFS([1]!Tabelle7[score_0_3],[1]!Tabelle7[company_id],Tabelle728[[#This Row],[company_id]],[1]!Tabelle7[gov_id],Tabelle728[[#This Row],[gov_crit_id]]),0)</f>
        <v>0</v>
      </c>
      <c r="E194" t="str" cm="1">
        <f t="array" ref="E194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94" s="9" t="str" cm="1">
        <f t="array" ref="F194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95" spans="1:6" x14ac:dyDescent="0.25">
      <c r="A195" s="6">
        <v>28</v>
      </c>
      <c r="B195" s="7" t="s">
        <v>10</v>
      </c>
      <c r="C195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95" s="8">
        <f>IFERROR(_xlfn.MAXIFS([1]!Tabelle7[score_0_3],[1]!Tabelle7[company_id],Tabelle728[[#This Row],[company_id]],[1]!Tabelle7[gov_id],Tabelle728[[#This Row],[gov_crit_id]]),0)</f>
        <v>0</v>
      </c>
      <c r="E195" t="str" cm="1">
        <f t="array" ref="E195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95" s="9" t="str" cm="1">
        <f t="array" ref="F195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96" spans="1:6" x14ac:dyDescent="0.25">
      <c r="A196" s="6">
        <v>28</v>
      </c>
      <c r="B196" s="7" t="s">
        <v>11</v>
      </c>
      <c r="C196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96" s="8">
        <f>IFERROR(_xlfn.MAXIFS([1]!Tabelle7[score_0_3],[1]!Tabelle7[company_id],Tabelle728[[#This Row],[company_id]],[1]!Tabelle7[gov_id],Tabelle728[[#This Row],[gov_crit_id]]),0)</f>
        <v>0</v>
      </c>
      <c r="E196" t="str" cm="1">
        <f t="array" ref="E196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96" s="9" t="str" cm="1">
        <f t="array" ref="F196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97" spans="1:6" ht="15.75" thickBot="1" x14ac:dyDescent="0.3">
      <c r="A197" s="10">
        <v>28</v>
      </c>
      <c r="B197" s="11" t="s">
        <v>12</v>
      </c>
      <c r="C197" s="11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97" s="12">
        <f>IFERROR(_xlfn.MAXIFS([1]!Tabelle7[score_0_3],[1]!Tabelle7[company_id],Tabelle728[[#This Row],[company_id]],[1]!Tabelle7[gov_id],Tabelle728[[#This Row],[gov_crit_id]]),0)</f>
        <v>0</v>
      </c>
      <c r="E197" s="13" t="str" cm="1">
        <f t="array" ref="E197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97" s="14" t="str" cm="1">
        <f t="array" ref="F197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98" spans="1:6" x14ac:dyDescent="0.25">
      <c r="A198" s="1">
        <v>29</v>
      </c>
      <c r="B198" s="2" t="s">
        <v>6</v>
      </c>
      <c r="C198" s="2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98" s="3">
        <f>IFERROR(_xlfn.MAXIFS([1]!Tabelle7[score_0_3],[1]!Tabelle7[company_id],Tabelle728[[#This Row],[company_id]],[1]!Tabelle7[gov_id],Tabelle728[[#This Row],[gov_crit_id]]),0)</f>
        <v>0</v>
      </c>
      <c r="E198" s="4" t="str" cm="1">
        <f t="array" ref="E198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98" s="5" t="str" cm="1">
        <f t="array" ref="F198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199" spans="1:6" x14ac:dyDescent="0.25">
      <c r="A199" s="6">
        <v>29</v>
      </c>
      <c r="B199" s="7" t="s">
        <v>7</v>
      </c>
      <c r="C199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199" s="8">
        <f>IFERROR(_xlfn.MAXIFS([1]!Tabelle7[score_0_3],[1]!Tabelle7[company_id],Tabelle728[[#This Row],[company_id]],[1]!Tabelle7[gov_id],Tabelle728[[#This Row],[gov_crit_id]]),0)</f>
        <v>0</v>
      </c>
      <c r="E199" t="str" cm="1">
        <f t="array" ref="E199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199" s="9" t="str" cm="1">
        <f t="array" ref="F199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00" spans="1:6" x14ac:dyDescent="0.25">
      <c r="A200" s="6">
        <v>29</v>
      </c>
      <c r="B200" s="7" t="s">
        <v>8</v>
      </c>
      <c r="C200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00" s="8">
        <f>IFERROR(_xlfn.MAXIFS([1]!Tabelle7[score_0_3],[1]!Tabelle7[company_id],Tabelle728[[#This Row],[company_id]],[1]!Tabelle7[gov_id],Tabelle728[[#This Row],[gov_crit_id]]),0)</f>
        <v>0</v>
      </c>
      <c r="E200" t="str" cm="1">
        <f t="array" ref="E200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00" s="9" t="str" cm="1">
        <f t="array" ref="F200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01" spans="1:6" x14ac:dyDescent="0.25">
      <c r="A201" s="6">
        <v>29</v>
      </c>
      <c r="B201" s="7" t="s">
        <v>9</v>
      </c>
      <c r="C201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01" s="8">
        <f>IFERROR(_xlfn.MAXIFS([1]!Tabelle7[score_0_3],[1]!Tabelle7[company_id],Tabelle728[[#This Row],[company_id]],[1]!Tabelle7[gov_id],Tabelle728[[#This Row],[gov_crit_id]]),0)</f>
        <v>0</v>
      </c>
      <c r="E201" t="str" cm="1">
        <f t="array" ref="E201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01" s="9" t="str" cm="1">
        <f t="array" ref="F201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02" spans="1:6" x14ac:dyDescent="0.25">
      <c r="A202" s="6">
        <v>29</v>
      </c>
      <c r="B202" s="7" t="s">
        <v>10</v>
      </c>
      <c r="C202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02" s="8">
        <f>IFERROR(_xlfn.MAXIFS([1]!Tabelle7[score_0_3],[1]!Tabelle7[company_id],Tabelle728[[#This Row],[company_id]],[1]!Tabelle7[gov_id],Tabelle728[[#This Row],[gov_crit_id]]),0)</f>
        <v>0</v>
      </c>
      <c r="E202" t="str" cm="1">
        <f t="array" ref="E202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02" s="9" t="str" cm="1">
        <f t="array" ref="F202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03" spans="1:6" x14ac:dyDescent="0.25">
      <c r="A203" s="6">
        <v>29</v>
      </c>
      <c r="B203" s="7" t="s">
        <v>11</v>
      </c>
      <c r="C203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03" s="8">
        <f>IFERROR(_xlfn.MAXIFS([1]!Tabelle7[score_0_3],[1]!Tabelle7[company_id],Tabelle728[[#This Row],[company_id]],[1]!Tabelle7[gov_id],Tabelle728[[#This Row],[gov_crit_id]]),0)</f>
        <v>0</v>
      </c>
      <c r="E203" t="str" cm="1">
        <f t="array" ref="E203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03" s="9" t="str" cm="1">
        <f t="array" ref="F203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04" spans="1:6" ht="15.75" thickBot="1" x14ac:dyDescent="0.3">
      <c r="A204" s="10">
        <v>29</v>
      </c>
      <c r="B204" s="11" t="s">
        <v>12</v>
      </c>
      <c r="C204" s="11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04" s="12">
        <f>IFERROR(_xlfn.MAXIFS([1]!Tabelle7[score_0_3],[1]!Tabelle7[company_id],Tabelle728[[#This Row],[company_id]],[1]!Tabelle7[gov_id],Tabelle728[[#This Row],[gov_crit_id]]),0)</f>
        <v>0</v>
      </c>
      <c r="E204" s="13" t="str" cm="1">
        <f t="array" ref="E204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04" s="14" t="str" cm="1">
        <f t="array" ref="F204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05" spans="1:6" x14ac:dyDescent="0.25">
      <c r="A205" s="1">
        <v>30</v>
      </c>
      <c r="B205" s="2" t="s">
        <v>6</v>
      </c>
      <c r="C205" s="2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05" s="3">
        <f>IFERROR(_xlfn.MAXIFS([1]!Tabelle7[score_0_3],[1]!Tabelle7[company_id],Tabelle728[[#This Row],[company_id]],[1]!Tabelle7[gov_id],Tabelle728[[#This Row],[gov_crit_id]]),0)</f>
        <v>0</v>
      </c>
      <c r="E205" s="4" t="str" cm="1">
        <f t="array" ref="E205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05" s="5" t="str" cm="1">
        <f t="array" ref="F205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06" spans="1:6" x14ac:dyDescent="0.25">
      <c r="A206" s="6">
        <v>30</v>
      </c>
      <c r="B206" s="7" t="s">
        <v>7</v>
      </c>
      <c r="C206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06" s="8">
        <f>IFERROR(_xlfn.MAXIFS([1]!Tabelle7[score_0_3],[1]!Tabelle7[company_id],Tabelle728[[#This Row],[company_id]],[1]!Tabelle7[gov_id],Tabelle728[[#This Row],[gov_crit_id]]),0)</f>
        <v>0</v>
      </c>
      <c r="E206" t="str" cm="1">
        <f t="array" ref="E206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06" s="9" t="str" cm="1">
        <f t="array" ref="F206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07" spans="1:6" x14ac:dyDescent="0.25">
      <c r="A207" s="6">
        <v>30</v>
      </c>
      <c r="B207" s="7" t="s">
        <v>8</v>
      </c>
      <c r="C207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07" s="8">
        <f>IFERROR(_xlfn.MAXIFS([1]!Tabelle7[score_0_3],[1]!Tabelle7[company_id],Tabelle728[[#This Row],[company_id]],[1]!Tabelle7[gov_id],Tabelle728[[#This Row],[gov_crit_id]]),0)</f>
        <v>0</v>
      </c>
      <c r="E207" t="str" cm="1">
        <f t="array" ref="E207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07" s="9" t="str" cm="1">
        <f t="array" ref="F207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08" spans="1:6" x14ac:dyDescent="0.25">
      <c r="A208" s="6">
        <v>30</v>
      </c>
      <c r="B208" s="7" t="s">
        <v>9</v>
      </c>
      <c r="C208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08" s="8">
        <f>IFERROR(_xlfn.MAXIFS([1]!Tabelle7[score_0_3],[1]!Tabelle7[company_id],Tabelle728[[#This Row],[company_id]],[1]!Tabelle7[gov_id],Tabelle728[[#This Row],[gov_crit_id]]),0)</f>
        <v>0</v>
      </c>
      <c r="E208" t="str" cm="1">
        <f t="array" ref="E208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08" s="9" t="str" cm="1">
        <f t="array" ref="F208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09" spans="1:6" x14ac:dyDescent="0.25">
      <c r="A209" s="6">
        <v>30</v>
      </c>
      <c r="B209" s="7" t="s">
        <v>10</v>
      </c>
      <c r="C209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09" s="8">
        <f>IFERROR(_xlfn.MAXIFS([1]!Tabelle7[score_0_3],[1]!Tabelle7[company_id],Tabelle728[[#This Row],[company_id]],[1]!Tabelle7[gov_id],Tabelle728[[#This Row],[gov_crit_id]]),0)</f>
        <v>0</v>
      </c>
      <c r="E209" t="str" cm="1">
        <f t="array" ref="E209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09" s="9" t="str" cm="1">
        <f t="array" ref="F209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10" spans="1:6" x14ac:dyDescent="0.25">
      <c r="A210" s="6">
        <v>30</v>
      </c>
      <c r="B210" s="7" t="s">
        <v>11</v>
      </c>
      <c r="C210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10" s="8">
        <f>IFERROR(_xlfn.MAXIFS([1]!Tabelle7[score_0_3],[1]!Tabelle7[company_id],Tabelle728[[#This Row],[company_id]],[1]!Tabelle7[gov_id],Tabelle728[[#This Row],[gov_crit_id]]),0)</f>
        <v>0</v>
      </c>
      <c r="E210" t="str" cm="1">
        <f t="array" ref="E210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10" s="9" t="str" cm="1">
        <f t="array" ref="F210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11" spans="1:6" ht="15.75" thickBot="1" x14ac:dyDescent="0.3">
      <c r="A211" s="10">
        <v>30</v>
      </c>
      <c r="B211" s="11" t="s">
        <v>12</v>
      </c>
      <c r="C211" s="11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11" s="12">
        <f>IFERROR(_xlfn.MAXIFS([1]!Tabelle7[score_0_3],[1]!Tabelle7[company_id],Tabelle728[[#This Row],[company_id]],[1]!Tabelle7[gov_id],Tabelle728[[#This Row],[gov_crit_id]]),0)</f>
        <v>0</v>
      </c>
      <c r="E211" s="13" t="str" cm="1">
        <f t="array" ref="E211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11" s="14" t="str" cm="1">
        <f t="array" ref="F211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12" spans="1:6" x14ac:dyDescent="0.25">
      <c r="A212" s="1">
        <v>31</v>
      </c>
      <c r="B212" s="2" t="s">
        <v>6</v>
      </c>
      <c r="C212" s="2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12" s="3">
        <f>IFERROR(_xlfn.MAXIFS([1]!Tabelle7[score_0_3],[1]!Tabelle7[company_id],Tabelle728[[#This Row],[company_id]],[1]!Tabelle7[gov_id],Tabelle728[[#This Row],[gov_crit_id]]),0)</f>
        <v>0</v>
      </c>
      <c r="E212" s="4" t="str" cm="1">
        <f t="array" ref="E212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12" s="5" t="str" cm="1">
        <f t="array" ref="F212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13" spans="1:6" x14ac:dyDescent="0.25">
      <c r="A213" s="6">
        <v>31</v>
      </c>
      <c r="B213" s="7" t="s">
        <v>7</v>
      </c>
      <c r="C213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184</v>
      </c>
      <c r="D213" s="8">
        <f>IFERROR(_xlfn.MAXIFS([1]!Tabelle7[score_0_3],[1]!Tabelle7[company_id],Tabelle728[[#This Row],[company_id]],[1]!Tabelle7[gov_id],Tabelle728[[#This Row],[gov_crit_id]]),0)</f>
        <v>2</v>
      </c>
      <c r="E213" t="str" cm="1">
        <f t="array" ref="E213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“follow a ‘privacy/security by design’ approach”; “Our AI approach is risk-based”</v>
      </c>
      <c r="F213" s="9" t="str" cm="1">
        <f t="array" ref="F213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2 „Data Protection &amp; Cybersecurity“ / „Proportionality“</v>
      </c>
    </row>
    <row r="214" spans="1:6" x14ac:dyDescent="0.25">
      <c r="A214" s="6">
        <v>31</v>
      </c>
      <c r="B214" s="7" t="s">
        <v>8</v>
      </c>
      <c r="C214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184</v>
      </c>
      <c r="D214" s="8">
        <f>IFERROR(_xlfn.MAXIFS([1]!Tabelle7[score_0_3],[1]!Tabelle7[company_id],Tabelle728[[#This Row],[company_id]],[1]!Tabelle7[gov_id],Tabelle728[[#This Row],[gov_crit_id]]),0)</f>
        <v>2</v>
      </c>
      <c r="E214" t="str" cm="1">
        <f t="array" ref="E214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“ongoing testing, high-quality data, and continuous monitoring”; “follow a ‘privacy/security by design’ approach”</v>
      </c>
      <c r="F214" s="9" t="str" cm="1">
        <f t="array" ref="F214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2 „Reliability, Safety &amp; Quality“ / „Data Protection &amp; Cybersecurity“</v>
      </c>
    </row>
    <row r="215" spans="1:6" x14ac:dyDescent="0.25">
      <c r="A215" s="6">
        <v>31</v>
      </c>
      <c r="B215" s="7" t="s">
        <v>9</v>
      </c>
      <c r="C215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15" s="8">
        <f>IFERROR(_xlfn.MAXIFS([1]!Tabelle7[score_0_3],[1]!Tabelle7[company_id],Tabelle728[[#This Row],[company_id]],[1]!Tabelle7[gov_id],Tabelle728[[#This Row],[gov_crit_id]]),0)</f>
        <v>0</v>
      </c>
      <c r="E215" t="str" cm="1">
        <f t="array" ref="E215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15" s="9" t="str" cm="1">
        <f t="array" ref="F215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16" spans="1:6" x14ac:dyDescent="0.25">
      <c r="A216" s="6">
        <v>31</v>
      </c>
      <c r="B216" s="7" t="s">
        <v>10</v>
      </c>
      <c r="C216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16" s="8">
        <f>IFERROR(_xlfn.MAXIFS([1]!Tabelle7[score_0_3],[1]!Tabelle7[company_id],Tabelle728[[#This Row],[company_id]],[1]!Tabelle7[gov_id],Tabelle728[[#This Row],[gov_crit_id]]),0)</f>
        <v>0</v>
      </c>
      <c r="E216" t="str" cm="1">
        <f t="array" ref="E216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16" s="9" t="str" cm="1">
        <f t="array" ref="F216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17" spans="1:6" x14ac:dyDescent="0.25">
      <c r="A217" s="6">
        <v>31</v>
      </c>
      <c r="B217" s="7" t="s">
        <v>11</v>
      </c>
      <c r="C217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17" s="8">
        <f>IFERROR(_xlfn.MAXIFS([1]!Tabelle7[score_0_3],[1]!Tabelle7[company_id],Tabelle728[[#This Row],[company_id]],[1]!Tabelle7[gov_id],Tabelle728[[#This Row],[gov_crit_id]]),0)</f>
        <v>0</v>
      </c>
      <c r="E217" t="str" cm="1">
        <f t="array" ref="E217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17" s="9" t="str" cm="1">
        <f t="array" ref="F217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18" spans="1:6" ht="15.75" thickBot="1" x14ac:dyDescent="0.3">
      <c r="A218" s="10">
        <v>31</v>
      </c>
      <c r="B218" s="11" t="s">
        <v>12</v>
      </c>
      <c r="C218" s="11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18" s="12">
        <f>IFERROR(_xlfn.MAXIFS([1]!Tabelle7[score_0_3],[1]!Tabelle7[company_id],Tabelle728[[#This Row],[company_id]],[1]!Tabelle7[gov_id],Tabelle728[[#This Row],[gov_crit_id]]),0)</f>
        <v>0</v>
      </c>
      <c r="E218" s="13" t="str" cm="1">
        <f t="array" ref="E218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18" s="14" t="str" cm="1">
        <f t="array" ref="F218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19" spans="1:6" x14ac:dyDescent="0.25">
      <c r="A219" s="1">
        <v>32</v>
      </c>
      <c r="B219" s="2" t="s">
        <v>6</v>
      </c>
      <c r="C219" s="2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188</v>
      </c>
      <c r="D219" s="3">
        <f>IFERROR(_xlfn.MAXIFS([1]!Tabelle7[score_0_3],[1]!Tabelle7[company_id],Tabelle728[[#This Row],[company_id]],[1]!Tabelle7[gov_id],Tabelle728[[#This Row],[gov_crit_id]]),0)</f>
        <v>2</v>
      </c>
      <c r="E219" s="4" t="str" cm="1">
        <f t="array" ref="E219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“Accountable for approving high-risk use cases”; “independent and unbiased feedback and recommendations”; “independent and unbiased feedback and recommendations”; “Providing education and training material”</v>
      </c>
      <c r="F219" s="5" t="str" cm="1">
        <f t="array" ref="F219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6-7 „Roles and Responsibilities“</v>
      </c>
    </row>
    <row r="220" spans="1:6" x14ac:dyDescent="0.25">
      <c r="A220" s="6">
        <v>32</v>
      </c>
      <c r="B220" s="7" t="s">
        <v>7</v>
      </c>
      <c r="C220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188</v>
      </c>
      <c r="D220" s="8">
        <f>IFERROR(_xlfn.MAXIFS([1]!Tabelle7[score_0_3],[1]!Tabelle7[company_id],Tabelle728[[#This Row],[company_id]],[1]!Tabelle7[gov_id],Tabelle728[[#This Row],[gov_crit_id]]),0)</f>
        <v>2</v>
      </c>
      <c r="E220" t="str" cm="1">
        <f t="array" ref="E220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“Each use case is carefully analyzed”; “undergoes an ethical assessment”</v>
      </c>
      <c r="F220" s="9" t="str" cm="1">
        <f t="array" ref="F220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12 „Governance – Use case evaluation“</v>
      </c>
    </row>
    <row r="221" spans="1:6" x14ac:dyDescent="0.25">
      <c r="A221" s="6">
        <v>32</v>
      </c>
      <c r="B221" s="7" t="s">
        <v>8</v>
      </c>
      <c r="C221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188</v>
      </c>
      <c r="D221" s="8">
        <f>IFERROR(_xlfn.MAXIFS([1]!Tabelle7[score_0_3],[1]!Tabelle7[company_id],Tabelle728[[#This Row],[company_id]],[1]!Tabelle7[gov_id],Tabelle728[[#This Row],[gov_crit_id]]),0)</f>
        <v>2</v>
      </c>
      <c r="E221" t="str" cm="1">
        <f t="array" ref="E221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“Impact classification mechanisms and measures to prevent harm shall be defined”; “AI systems must be tested extensively”; “AI system should be monitored continuously”</v>
      </c>
      <c r="F221" s="9" t="str" cm="1">
        <f t="array" ref="F221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7-9 „Principles 1–3“</v>
      </c>
    </row>
    <row r="222" spans="1:6" x14ac:dyDescent="0.25">
      <c r="A222" s="6">
        <v>32</v>
      </c>
      <c r="B222" s="7" t="s">
        <v>9</v>
      </c>
      <c r="C222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188</v>
      </c>
      <c r="D222" s="8">
        <f>IFERROR(_xlfn.MAXIFS([1]!Tabelle7[score_0_3],[1]!Tabelle7[company_id],Tabelle728[[#This Row],[company_id]],[1]!Tabelle7[gov_id],Tabelle728[[#This Row],[gov_crit_id]]),0)</f>
        <v>2</v>
      </c>
      <c r="E222" t="str" cm="1">
        <f t="array" ref="E222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“independent and unbiased feedback and recommendations”; “must be performed and documented”</v>
      </c>
      <c r="F222" s="9" t="str" cm="1">
        <f t="array" ref="F222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6 „Advisory Panel“; S. 12 „Governance“</v>
      </c>
    </row>
    <row r="223" spans="1:6" x14ac:dyDescent="0.25">
      <c r="A223" s="6">
        <v>32</v>
      </c>
      <c r="B223" s="7" t="s">
        <v>10</v>
      </c>
      <c r="C223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188</v>
      </c>
      <c r="D223" s="8">
        <f>IFERROR(_xlfn.MAXIFS([1]!Tabelle7[score_0_3],[1]!Tabelle7[company_id],Tabelle728[[#This Row],[company_id]],[1]!Tabelle7[gov_id],Tabelle728[[#This Row],[gov_crit_id]]),0)</f>
        <v>2</v>
      </c>
      <c r="E223" t="str" cm="1">
        <f t="array" ref="E223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“Providing education and training material”; “Free courses and learning materials”</v>
      </c>
      <c r="F223" s="9" t="str" cm="1">
        <f t="array" ref="F223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7 „Trustworthy AI Workstream“; S. 11 „Principle 9“</v>
      </c>
    </row>
    <row r="224" spans="1:6" x14ac:dyDescent="0.25">
      <c r="A224" s="6">
        <v>32</v>
      </c>
      <c r="B224" s="7" t="s">
        <v>11</v>
      </c>
      <c r="C224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188</v>
      </c>
      <c r="D224" s="8">
        <f>IFERROR(_xlfn.MAXIFS([1]!Tabelle7[score_0_3],[1]!Tabelle7[company_id],Tabelle728[[#This Row],[company_id]],[1]!Tabelle7[gov_id],Tabelle728[[#This Row],[gov_crit_id]]),0)</f>
        <v>2</v>
      </c>
      <c r="E224" t="str" cm="1">
        <f t="array" ref="E224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“first point of contact for any AI Ethics related queries”; “SAP will implement corrective measures”; “SAP will implement corrective measures”</v>
      </c>
      <c r="F224" s="9" t="str" cm="1">
        <f t="array" ref="F224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6 „AI Ethics Office“; S. 9 „Principle 3.2“; S. 12 „Governance“</v>
      </c>
    </row>
    <row r="225" spans="1:6" ht="15.75" thickBot="1" x14ac:dyDescent="0.3">
      <c r="A225" s="10">
        <v>32</v>
      </c>
      <c r="B225" s="11" t="s">
        <v>12</v>
      </c>
      <c r="C225" s="11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188</v>
      </c>
      <c r="D225" s="12">
        <f>IFERROR(_xlfn.MAXIFS([1]!Tabelle7[score_0_3],[1]!Tabelle7[company_id],Tabelle728[[#This Row],[company_id]],[1]!Tabelle7[gov_id],Tabelle728[[#This Row],[gov_crit_id]]),0)</f>
        <v>2</v>
      </c>
      <c r="E225" s="13" t="str" cm="1">
        <f t="array" ref="E225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“must be performed and documented”; “promptly documented … and shared with other actors”</v>
      </c>
      <c r="F225" s="14" t="str" cm="1">
        <f t="array" ref="F225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10-12 „Documentation/Governance“</v>
      </c>
    </row>
    <row r="226" spans="1:6" x14ac:dyDescent="0.25">
      <c r="A226" s="1">
        <v>33</v>
      </c>
      <c r="B226" s="2" t="s">
        <v>6</v>
      </c>
      <c r="C226" s="2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26" s="3">
        <f>IFERROR(_xlfn.MAXIFS([1]!Tabelle7[score_0_3],[1]!Tabelle7[company_id],Tabelle728[[#This Row],[company_id]],[1]!Tabelle7[gov_id],Tabelle728[[#This Row],[gov_crit_id]]),0)</f>
        <v>0</v>
      </c>
      <c r="E226" s="4" t="str" cm="1">
        <f t="array" ref="E226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26" s="5" t="str" cm="1">
        <f t="array" ref="F226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27" spans="1:6" x14ac:dyDescent="0.25">
      <c r="A227" s="6">
        <v>33</v>
      </c>
      <c r="B227" s="7" t="s">
        <v>7</v>
      </c>
      <c r="C227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27" s="8">
        <f>IFERROR(_xlfn.MAXIFS([1]!Tabelle7[score_0_3],[1]!Tabelle7[company_id],Tabelle728[[#This Row],[company_id]],[1]!Tabelle7[gov_id],Tabelle728[[#This Row],[gov_crit_id]]),0)</f>
        <v>0</v>
      </c>
      <c r="E227" t="str" cm="1">
        <f t="array" ref="E227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27" s="9" t="str" cm="1">
        <f t="array" ref="F227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28" spans="1:6" x14ac:dyDescent="0.25">
      <c r="A228" s="6">
        <v>33</v>
      </c>
      <c r="B228" s="7" t="s">
        <v>8</v>
      </c>
      <c r="C228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28" s="8">
        <f>IFERROR(_xlfn.MAXIFS([1]!Tabelle7[score_0_3],[1]!Tabelle7[company_id],Tabelle728[[#This Row],[company_id]],[1]!Tabelle7[gov_id],Tabelle728[[#This Row],[gov_crit_id]]),0)</f>
        <v>0</v>
      </c>
      <c r="E228" t="str" cm="1">
        <f t="array" ref="E228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28" s="9" t="str" cm="1">
        <f t="array" ref="F228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29" spans="1:6" x14ac:dyDescent="0.25">
      <c r="A229" s="6">
        <v>33</v>
      </c>
      <c r="B229" s="7" t="s">
        <v>9</v>
      </c>
      <c r="C229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29" s="8">
        <f>IFERROR(_xlfn.MAXIFS([1]!Tabelle7[score_0_3],[1]!Tabelle7[company_id],Tabelle728[[#This Row],[company_id]],[1]!Tabelle7[gov_id],Tabelle728[[#This Row],[gov_crit_id]]),0)</f>
        <v>0</v>
      </c>
      <c r="E229" t="str" cm="1">
        <f t="array" ref="E229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29" s="9" t="str" cm="1">
        <f t="array" ref="F229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30" spans="1:6" x14ac:dyDescent="0.25">
      <c r="A230" s="6">
        <v>33</v>
      </c>
      <c r="B230" s="7" t="s">
        <v>10</v>
      </c>
      <c r="C230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30" s="8">
        <f>IFERROR(_xlfn.MAXIFS([1]!Tabelle7[score_0_3],[1]!Tabelle7[company_id],Tabelle728[[#This Row],[company_id]],[1]!Tabelle7[gov_id],Tabelle728[[#This Row],[gov_crit_id]]),0)</f>
        <v>0</v>
      </c>
      <c r="E230" t="str" cm="1">
        <f t="array" ref="E230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30" s="9" t="str" cm="1">
        <f t="array" ref="F230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31" spans="1:6" x14ac:dyDescent="0.25">
      <c r="A231" s="6">
        <v>33</v>
      </c>
      <c r="B231" s="7" t="s">
        <v>11</v>
      </c>
      <c r="C231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31" s="8">
        <f>IFERROR(_xlfn.MAXIFS([1]!Tabelle7[score_0_3],[1]!Tabelle7[company_id],Tabelle728[[#This Row],[company_id]],[1]!Tabelle7[gov_id],Tabelle728[[#This Row],[gov_crit_id]]),0)</f>
        <v>0</v>
      </c>
      <c r="E231" t="str" cm="1">
        <f t="array" ref="E231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31" s="9" t="str" cm="1">
        <f t="array" ref="F231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32" spans="1:6" ht="15.75" thickBot="1" x14ac:dyDescent="0.3">
      <c r="A232" s="10">
        <v>33</v>
      </c>
      <c r="B232" s="11" t="s">
        <v>12</v>
      </c>
      <c r="C232" s="11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32" s="12">
        <f>IFERROR(_xlfn.MAXIFS([1]!Tabelle7[score_0_3],[1]!Tabelle7[company_id],Tabelle728[[#This Row],[company_id]],[1]!Tabelle7[gov_id],Tabelle728[[#This Row],[gov_crit_id]]),0)</f>
        <v>0</v>
      </c>
      <c r="E232" s="13" t="str" cm="1">
        <f t="array" ref="E232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32" s="14" t="str" cm="1">
        <f t="array" ref="F232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33" spans="1:6" x14ac:dyDescent="0.25">
      <c r="A233" s="1">
        <v>34</v>
      </c>
      <c r="B233" s="2" t="s">
        <v>6</v>
      </c>
      <c r="C233" s="2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201</v>
      </c>
      <c r="D233" s="3">
        <f>IFERROR(_xlfn.MAXIFS([1]!Tabelle7[score_0_3],[1]!Tabelle7[company_id],Tabelle728[[#This Row],[company_id]],[1]!Tabelle7[gov_id],Tabelle728[[#This Row],[gov_crit_id]]),0)</f>
        <v>2</v>
      </c>
      <c r="E233" s="4" t="str" cm="1">
        <f t="array" ref="E233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“cross-functional Generative AI Governance task force”; “oversees the evaluation, development, and implementation”</v>
      </c>
      <c r="F233" s="5" t="str" cm="1">
        <f t="array" ref="F233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41</v>
      </c>
    </row>
    <row r="234" spans="1:6" x14ac:dyDescent="0.25">
      <c r="A234" s="6">
        <v>34</v>
      </c>
      <c r="B234" s="7" t="s">
        <v>7</v>
      </c>
      <c r="C234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201</v>
      </c>
      <c r="D234" s="8">
        <f>IFERROR(_xlfn.MAXIFS([1]!Tabelle7[score_0_3],[1]!Tabelle7[company_id],Tabelle728[[#This Row],[company_id]],[1]!Tabelle7[gov_id],Tabelle728[[#This Row],[gov_crit_id]]),0)</f>
        <v>2</v>
      </c>
      <c r="E234" t="str" cm="1">
        <f t="array" ref="E234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“oversees the evaluation, development, and implementation”; “integrate our Responsible AI Principles and controls into our product and solutions development, procurement, and risk management processes”; “mandatory milestone in the global Siemens Product Lifecycle Management (PLM) process”</v>
      </c>
      <c r="F234" s="9" t="str" cm="1">
        <f t="array" ref="F234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41; S. 43; S. 49</v>
      </c>
    </row>
    <row r="235" spans="1:6" x14ac:dyDescent="0.25">
      <c r="A235" s="6">
        <v>34</v>
      </c>
      <c r="B235" s="7" t="s">
        <v>8</v>
      </c>
      <c r="C235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201</v>
      </c>
      <c r="D235" s="8">
        <f>IFERROR(_xlfn.MAXIFS([1]!Tabelle7[score_0_3],[1]!Tabelle7[company_id],Tabelle728[[#This Row],[company_id]],[1]!Tabelle7[gov_id],Tabelle728[[#This Row],[gov_crit_id]]),0)</f>
        <v>2</v>
      </c>
      <c r="E235" t="str" cm="1">
        <f t="array" ref="E235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“central internal Generative AI platform solutions”; “introduced an AI developer questionnaire”; “adding an AI questionnaire”</v>
      </c>
      <c r="F235" s="9" t="str" cm="1">
        <f t="array" ref="F235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42; S. 49</v>
      </c>
    </row>
    <row r="236" spans="1:6" x14ac:dyDescent="0.25">
      <c r="A236" s="6">
        <v>34</v>
      </c>
      <c r="B236" s="7" t="s">
        <v>9</v>
      </c>
      <c r="C236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201</v>
      </c>
      <c r="D236" s="8">
        <f>IFERROR(_xlfn.MAXIFS([1]!Tabelle7[score_0_3],[1]!Tabelle7[company_id],Tabelle728[[#This Row],[company_id]],[1]!Tabelle7[gov_id],Tabelle728[[#This Row],[gov_crit_id]]),0)</f>
        <v>1</v>
      </c>
      <c r="E236" t="str" cm="1">
        <f t="array" ref="E236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“mandated and conducted an audit on Trustworthy AI”; “evaluating the governance for AI at Siemens”</v>
      </c>
      <c r="F236" s="9" t="str" cm="1">
        <f t="array" ref="F236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43</v>
      </c>
    </row>
    <row r="237" spans="1:6" x14ac:dyDescent="0.25">
      <c r="A237" s="6">
        <v>34</v>
      </c>
      <c r="B237" s="7" t="s">
        <v>10</v>
      </c>
      <c r="C237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201</v>
      </c>
      <c r="D237" s="8">
        <f>IFERROR(_xlfn.MAXIFS([1]!Tabelle7[score_0_3],[1]!Tabelle7[company_id],Tabelle728[[#This Row],[company_id]],[1]!Tabelle7[gov_id],Tabelle728[[#This Row],[gov_crit_id]]),0)</f>
        <v>1</v>
      </c>
      <c r="E237" t="str" cm="1">
        <f t="array" ref="E237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“offer tailored trainings focused on (Generative) AI”</v>
      </c>
      <c r="F237" s="9" t="str" cm="1">
        <f t="array" ref="F237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42</v>
      </c>
    </row>
    <row r="238" spans="1:6" x14ac:dyDescent="0.25">
      <c r="A238" s="6">
        <v>34</v>
      </c>
      <c r="B238" s="7" t="s">
        <v>11</v>
      </c>
      <c r="C238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38" s="8">
        <f>IFERROR(_xlfn.MAXIFS([1]!Tabelle7[score_0_3],[1]!Tabelle7[company_id],Tabelle728[[#This Row],[company_id]],[1]!Tabelle7[gov_id],Tabelle728[[#This Row],[gov_crit_id]]),0)</f>
        <v>0</v>
      </c>
      <c r="E238" t="str" cm="1">
        <f t="array" ref="E238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38" s="9" t="str" cm="1">
        <f t="array" ref="F238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39" spans="1:6" ht="15.75" thickBot="1" x14ac:dyDescent="0.3">
      <c r="A239" s="10">
        <v>34</v>
      </c>
      <c r="B239" s="11" t="s">
        <v>12</v>
      </c>
      <c r="C239" s="11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39" s="12">
        <f>IFERROR(_xlfn.MAXIFS([1]!Tabelle7[score_0_3],[1]!Tabelle7[company_id],Tabelle728[[#This Row],[company_id]],[1]!Tabelle7[gov_id],Tabelle728[[#This Row],[gov_crit_id]]),0)</f>
        <v>0</v>
      </c>
      <c r="E239" s="13" t="str" cm="1">
        <f t="array" ref="E239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39" s="14" t="str" cm="1">
        <f t="array" ref="F239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40" spans="1:6" x14ac:dyDescent="0.25">
      <c r="A240" s="1">
        <v>35</v>
      </c>
      <c r="B240" s="2" t="s">
        <v>6</v>
      </c>
      <c r="C240" s="2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40" s="3">
        <f>IFERROR(_xlfn.MAXIFS([1]!Tabelle7[score_0_3],[1]!Tabelle7[company_id],Tabelle728[[#This Row],[company_id]],[1]!Tabelle7[gov_id],Tabelle728[[#This Row],[gov_crit_id]]),0)</f>
        <v>0</v>
      </c>
      <c r="E240" s="4" t="str" cm="1">
        <f t="array" ref="E240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40" s="5" t="str" cm="1">
        <f t="array" ref="F240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41" spans="1:6" x14ac:dyDescent="0.25">
      <c r="A241" s="6">
        <v>35</v>
      </c>
      <c r="B241" s="7" t="s">
        <v>7</v>
      </c>
      <c r="C241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41" s="8">
        <f>IFERROR(_xlfn.MAXIFS([1]!Tabelle7[score_0_3],[1]!Tabelle7[company_id],Tabelle728[[#This Row],[company_id]],[1]!Tabelle7[gov_id],Tabelle728[[#This Row],[gov_crit_id]]),0)</f>
        <v>0</v>
      </c>
      <c r="E241" t="str" cm="1">
        <f t="array" ref="E241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41" s="9" t="str" cm="1">
        <f t="array" ref="F241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42" spans="1:6" x14ac:dyDescent="0.25">
      <c r="A242" s="6">
        <v>35</v>
      </c>
      <c r="B242" s="7" t="s">
        <v>8</v>
      </c>
      <c r="C242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42" s="8">
        <f>IFERROR(_xlfn.MAXIFS([1]!Tabelle7[score_0_3],[1]!Tabelle7[company_id],Tabelle728[[#This Row],[company_id]],[1]!Tabelle7[gov_id],Tabelle728[[#This Row],[gov_crit_id]]),0)</f>
        <v>0</v>
      </c>
      <c r="E242" t="str" cm="1">
        <f t="array" ref="E242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42" s="9" t="str" cm="1">
        <f t="array" ref="F242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43" spans="1:6" x14ac:dyDescent="0.25">
      <c r="A243" s="6">
        <v>35</v>
      </c>
      <c r="B243" s="7" t="s">
        <v>9</v>
      </c>
      <c r="C243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43" s="8">
        <f>IFERROR(_xlfn.MAXIFS([1]!Tabelle7[score_0_3],[1]!Tabelle7[company_id],Tabelle728[[#This Row],[company_id]],[1]!Tabelle7[gov_id],Tabelle728[[#This Row],[gov_crit_id]]),0)</f>
        <v>0</v>
      </c>
      <c r="E243" t="str" cm="1">
        <f t="array" ref="E243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43" s="9" t="str" cm="1">
        <f t="array" ref="F243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44" spans="1:6" x14ac:dyDescent="0.25">
      <c r="A244" s="6">
        <v>35</v>
      </c>
      <c r="B244" s="7" t="s">
        <v>10</v>
      </c>
      <c r="C244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44" s="8">
        <f>IFERROR(_xlfn.MAXIFS([1]!Tabelle7[score_0_3],[1]!Tabelle7[company_id],Tabelle728[[#This Row],[company_id]],[1]!Tabelle7[gov_id],Tabelle728[[#This Row],[gov_crit_id]]),0)</f>
        <v>0</v>
      </c>
      <c r="E244" t="str" cm="1">
        <f t="array" ref="E244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44" s="9" t="str" cm="1">
        <f t="array" ref="F244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45" spans="1:6" x14ac:dyDescent="0.25">
      <c r="A245" s="6">
        <v>35</v>
      </c>
      <c r="B245" s="7" t="s">
        <v>11</v>
      </c>
      <c r="C245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45" s="8">
        <f>IFERROR(_xlfn.MAXIFS([1]!Tabelle7[score_0_3],[1]!Tabelle7[company_id],Tabelle728[[#This Row],[company_id]],[1]!Tabelle7[gov_id],Tabelle728[[#This Row],[gov_crit_id]]),0)</f>
        <v>0</v>
      </c>
      <c r="E245" t="str" cm="1">
        <f t="array" ref="E245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45" s="9" t="str" cm="1">
        <f t="array" ref="F245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46" spans="1:6" ht="15.75" thickBot="1" x14ac:dyDescent="0.3">
      <c r="A246" s="10">
        <v>35</v>
      </c>
      <c r="B246" s="11" t="s">
        <v>12</v>
      </c>
      <c r="C246" s="11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46" s="12">
        <f>IFERROR(_xlfn.MAXIFS([1]!Tabelle7[score_0_3],[1]!Tabelle7[company_id],Tabelle728[[#This Row],[company_id]],[1]!Tabelle7[gov_id],Tabelle728[[#This Row],[gov_crit_id]]),0)</f>
        <v>0</v>
      </c>
      <c r="E246" s="13" t="str" cm="1">
        <f t="array" ref="E246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46" s="14" t="str" cm="1">
        <f t="array" ref="F246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47" spans="1:6" x14ac:dyDescent="0.25">
      <c r="A247" s="1">
        <v>36</v>
      </c>
      <c r="B247" s="2" t="s">
        <v>6</v>
      </c>
      <c r="C247" s="2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47" s="3">
        <f>IFERROR(_xlfn.MAXIFS([1]!Tabelle7[score_0_3],[1]!Tabelle7[company_id],Tabelle728[[#This Row],[company_id]],[1]!Tabelle7[gov_id],Tabelle728[[#This Row],[gov_crit_id]]),0)</f>
        <v>0</v>
      </c>
      <c r="E247" s="4" t="str" cm="1">
        <f t="array" ref="E247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47" s="5" t="str" cm="1">
        <f t="array" ref="F247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48" spans="1:6" x14ac:dyDescent="0.25">
      <c r="A248" s="6">
        <v>36</v>
      </c>
      <c r="B248" s="7" t="s">
        <v>7</v>
      </c>
      <c r="C248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221</v>
      </c>
      <c r="D248" s="8">
        <f>IFERROR(_xlfn.MAXIFS([1]!Tabelle7[score_0_3],[1]!Tabelle7[company_id],Tabelle728[[#This Row],[company_id]],[1]!Tabelle7[gov_id],Tabelle728[[#This Row],[gov_crit_id]]),0)</f>
        <v>2</v>
      </c>
      <c r="E248" t="str" cm="1">
        <f t="array" ref="E248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“Validate data”; “seven key steps”; “secure development lifecycle (SDL)”</v>
      </c>
      <c r="F248" s="9" t="str" cm="1">
        <f t="array" ref="F248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5; S. 6; S. 10</v>
      </c>
    </row>
    <row r="249" spans="1:6" x14ac:dyDescent="0.25">
      <c r="A249" s="6">
        <v>36</v>
      </c>
      <c r="B249" s="7" t="s">
        <v>8</v>
      </c>
      <c r="C249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221</v>
      </c>
      <c r="D249" s="8">
        <f>IFERROR(_xlfn.MAXIFS([1]!Tabelle7[score_0_3],[1]!Tabelle7[company_id],Tabelle728[[#This Row],[company_id]],[1]!Tabelle7[gov_id],Tabelle728[[#This Row],[gov_crit_id]]),0)</f>
        <v>2</v>
      </c>
      <c r="E249" t="str" cm="1">
        <f t="array" ref="E249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“rigorous, standardized procedure”; “Validate data”; “secure development lifecycle (SDL)”</v>
      </c>
      <c r="F249" s="9" t="str" cm="1">
        <f t="array" ref="F249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4-5; S. 10</v>
      </c>
    </row>
    <row r="250" spans="1:6" x14ac:dyDescent="0.25">
      <c r="A250" s="6">
        <v>36</v>
      </c>
      <c r="B250" s="7" t="s">
        <v>9</v>
      </c>
      <c r="C250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221</v>
      </c>
      <c r="D250" s="8">
        <f>IFERROR(_xlfn.MAXIFS([1]!Tabelle7[score_0_3],[1]!Tabelle7[company_id],Tabelle728[[#This Row],[company_id]],[1]!Tabelle7[gov_id],Tabelle728[[#This Row],[gov_crit_id]]),0)</f>
        <v>1</v>
      </c>
      <c r="E250" t="str" cm="1">
        <f t="array" ref="E250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“government-regulated testing and approval process”</v>
      </c>
      <c r="F250" s="9" t="str" cm="1">
        <f t="array" ref="F250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6</v>
      </c>
    </row>
    <row r="251" spans="1:6" x14ac:dyDescent="0.25">
      <c r="A251" s="6">
        <v>36</v>
      </c>
      <c r="B251" s="7" t="s">
        <v>10</v>
      </c>
      <c r="C251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51" s="8">
        <f>IFERROR(_xlfn.MAXIFS([1]!Tabelle7[score_0_3],[1]!Tabelle7[company_id],Tabelle728[[#This Row],[company_id]],[1]!Tabelle7[gov_id],Tabelle728[[#This Row],[gov_crit_id]]),0)</f>
        <v>0</v>
      </c>
      <c r="E251" t="str" cm="1">
        <f t="array" ref="E251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51" s="9" t="str" cm="1">
        <f t="array" ref="F251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52" spans="1:6" x14ac:dyDescent="0.25">
      <c r="A252" s="6">
        <v>36</v>
      </c>
      <c r="B252" s="7" t="s">
        <v>11</v>
      </c>
      <c r="C252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52" s="8">
        <f>IFERROR(_xlfn.MAXIFS([1]!Tabelle7[score_0_3],[1]!Tabelle7[company_id],Tabelle728[[#This Row],[company_id]],[1]!Tabelle7[gov_id],Tabelle728[[#This Row],[gov_crit_id]]),0)</f>
        <v>0</v>
      </c>
      <c r="E252" t="str" cm="1">
        <f t="array" ref="E252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52" s="9" t="str" cm="1">
        <f t="array" ref="F252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53" spans="1:6" ht="15.75" thickBot="1" x14ac:dyDescent="0.3">
      <c r="A253" s="10">
        <v>36</v>
      </c>
      <c r="B253" s="11" t="s">
        <v>12</v>
      </c>
      <c r="C253" s="11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53" s="12">
        <f>IFERROR(_xlfn.MAXIFS([1]!Tabelle7[score_0_3],[1]!Tabelle7[company_id],Tabelle728[[#This Row],[company_id]],[1]!Tabelle7[gov_id],Tabelle728[[#This Row],[gov_crit_id]]),0)</f>
        <v>0</v>
      </c>
      <c r="E253" s="13" t="str" cm="1">
        <f t="array" ref="E253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53" s="14" t="str" cm="1">
        <f t="array" ref="F253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54" spans="1:6" x14ac:dyDescent="0.25">
      <c r="A254" s="1">
        <v>37</v>
      </c>
      <c r="B254" s="2" t="s">
        <v>6</v>
      </c>
      <c r="C254" s="2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54" s="3">
        <f>IFERROR(_xlfn.MAXIFS([1]!Tabelle7[score_0_3],[1]!Tabelle7[company_id],Tabelle728[[#This Row],[company_id]],[1]!Tabelle7[gov_id],Tabelle728[[#This Row],[gov_crit_id]]),0)</f>
        <v>0</v>
      </c>
      <c r="E254" s="4" t="str" cm="1">
        <f t="array" ref="E254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54" s="5" t="str" cm="1">
        <f t="array" ref="F254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55" spans="1:6" x14ac:dyDescent="0.25">
      <c r="A255" s="6">
        <v>37</v>
      </c>
      <c r="B255" s="7" t="s">
        <v>7</v>
      </c>
      <c r="C255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55" s="8">
        <f>IFERROR(_xlfn.MAXIFS([1]!Tabelle7[score_0_3],[1]!Tabelle7[company_id],Tabelle728[[#This Row],[company_id]],[1]!Tabelle7[gov_id],Tabelle728[[#This Row],[gov_crit_id]]),0)</f>
        <v>0</v>
      </c>
      <c r="E255" t="str" cm="1">
        <f t="array" ref="E255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55" s="9" t="str" cm="1">
        <f t="array" ref="F255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56" spans="1:6" x14ac:dyDescent="0.25">
      <c r="A256" s="6">
        <v>37</v>
      </c>
      <c r="B256" s="7" t="s">
        <v>8</v>
      </c>
      <c r="C256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56" s="8">
        <f>IFERROR(_xlfn.MAXIFS([1]!Tabelle7[score_0_3],[1]!Tabelle7[company_id],Tabelle728[[#This Row],[company_id]],[1]!Tabelle7[gov_id],Tabelle728[[#This Row],[gov_crit_id]]),0)</f>
        <v>0</v>
      </c>
      <c r="E256" t="str" cm="1">
        <f t="array" ref="E256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56" s="9" t="str" cm="1">
        <f t="array" ref="F256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57" spans="1:6" x14ac:dyDescent="0.25">
      <c r="A257" s="6">
        <v>37</v>
      </c>
      <c r="B257" s="7" t="s">
        <v>9</v>
      </c>
      <c r="C257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57" s="8">
        <f>IFERROR(_xlfn.MAXIFS([1]!Tabelle7[score_0_3],[1]!Tabelle7[company_id],Tabelle728[[#This Row],[company_id]],[1]!Tabelle7[gov_id],Tabelle728[[#This Row],[gov_crit_id]]),0)</f>
        <v>0</v>
      </c>
      <c r="E257" t="str" cm="1">
        <f t="array" ref="E257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57" s="9" t="str" cm="1">
        <f t="array" ref="F257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58" spans="1:6" x14ac:dyDescent="0.25">
      <c r="A258" s="6">
        <v>37</v>
      </c>
      <c r="B258" s="7" t="s">
        <v>10</v>
      </c>
      <c r="C258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58" s="8">
        <f>IFERROR(_xlfn.MAXIFS([1]!Tabelle7[score_0_3],[1]!Tabelle7[company_id],Tabelle728[[#This Row],[company_id]],[1]!Tabelle7[gov_id],Tabelle728[[#This Row],[gov_crit_id]]),0)</f>
        <v>0</v>
      </c>
      <c r="E258" t="str" cm="1">
        <f t="array" ref="E258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58" s="9" t="str" cm="1">
        <f t="array" ref="F258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59" spans="1:6" x14ac:dyDescent="0.25">
      <c r="A259" s="6">
        <v>37</v>
      </c>
      <c r="B259" s="7" t="s">
        <v>11</v>
      </c>
      <c r="C259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59" s="8">
        <f>IFERROR(_xlfn.MAXIFS([1]!Tabelle7[score_0_3],[1]!Tabelle7[company_id],Tabelle728[[#This Row],[company_id]],[1]!Tabelle7[gov_id],Tabelle728[[#This Row],[gov_crit_id]]),0)</f>
        <v>0</v>
      </c>
      <c r="E259" t="str" cm="1">
        <f t="array" ref="E259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59" s="9" t="str" cm="1">
        <f t="array" ref="F259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60" spans="1:6" ht="15.75" thickBot="1" x14ac:dyDescent="0.3">
      <c r="A260" s="10">
        <v>37</v>
      </c>
      <c r="B260" s="11" t="s">
        <v>12</v>
      </c>
      <c r="C260" s="11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60" s="12">
        <f>IFERROR(_xlfn.MAXIFS([1]!Tabelle7[score_0_3],[1]!Tabelle7[company_id],Tabelle728[[#This Row],[company_id]],[1]!Tabelle7[gov_id],Tabelle728[[#This Row],[gov_crit_id]]),0)</f>
        <v>0</v>
      </c>
      <c r="E260" s="13" t="str" cm="1">
        <f t="array" ref="E260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60" s="14" t="str" cm="1">
        <f t="array" ref="F260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61" spans="1:6" x14ac:dyDescent="0.25">
      <c r="A261" s="1">
        <v>38</v>
      </c>
      <c r="B261" s="2" t="s">
        <v>6</v>
      </c>
      <c r="C261" s="2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61" s="3">
        <f>IFERROR(_xlfn.MAXIFS([1]!Tabelle7[score_0_3],[1]!Tabelle7[company_id],Tabelle728[[#This Row],[company_id]],[1]!Tabelle7[gov_id],Tabelle728[[#This Row],[gov_crit_id]]),0)</f>
        <v>0</v>
      </c>
      <c r="E261" s="4" t="str" cm="1">
        <f t="array" ref="E261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61" s="5" t="str" cm="1">
        <f t="array" ref="F261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62" spans="1:6" x14ac:dyDescent="0.25">
      <c r="A262" s="6">
        <v>38</v>
      </c>
      <c r="B262" s="7" t="s">
        <v>7</v>
      </c>
      <c r="C262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62" s="8">
        <f>IFERROR(_xlfn.MAXIFS([1]!Tabelle7[score_0_3],[1]!Tabelle7[company_id],Tabelle728[[#This Row],[company_id]],[1]!Tabelle7[gov_id],Tabelle728[[#This Row],[gov_crit_id]]),0)</f>
        <v>0</v>
      </c>
      <c r="E262" t="str" cm="1">
        <f t="array" ref="E262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62" s="9" t="str" cm="1">
        <f t="array" ref="F262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63" spans="1:6" x14ac:dyDescent="0.25">
      <c r="A263" s="6">
        <v>38</v>
      </c>
      <c r="B263" s="7" t="s">
        <v>8</v>
      </c>
      <c r="C263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63" s="8">
        <f>IFERROR(_xlfn.MAXIFS([1]!Tabelle7[score_0_3],[1]!Tabelle7[company_id],Tabelle728[[#This Row],[company_id]],[1]!Tabelle7[gov_id],Tabelle728[[#This Row],[gov_crit_id]]),0)</f>
        <v>0</v>
      </c>
      <c r="E263" t="str" cm="1">
        <f t="array" ref="E263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63" s="9" t="str" cm="1">
        <f t="array" ref="F263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64" spans="1:6" x14ac:dyDescent="0.25">
      <c r="A264" s="6">
        <v>38</v>
      </c>
      <c r="B264" s="7" t="s">
        <v>9</v>
      </c>
      <c r="C264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64" s="8">
        <f>IFERROR(_xlfn.MAXIFS([1]!Tabelle7[score_0_3],[1]!Tabelle7[company_id],Tabelle728[[#This Row],[company_id]],[1]!Tabelle7[gov_id],Tabelle728[[#This Row],[gov_crit_id]]),0)</f>
        <v>0</v>
      </c>
      <c r="E264" t="str" cm="1">
        <f t="array" ref="E264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64" s="9" t="str" cm="1">
        <f t="array" ref="F264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65" spans="1:6" x14ac:dyDescent="0.25">
      <c r="A265" s="6">
        <v>38</v>
      </c>
      <c r="B265" s="7" t="s">
        <v>10</v>
      </c>
      <c r="C265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65" s="8">
        <f>IFERROR(_xlfn.MAXIFS([1]!Tabelle7[score_0_3],[1]!Tabelle7[company_id],Tabelle728[[#This Row],[company_id]],[1]!Tabelle7[gov_id],Tabelle728[[#This Row],[gov_crit_id]]),0)</f>
        <v>0</v>
      </c>
      <c r="E265" t="str" cm="1">
        <f t="array" ref="E265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65" s="9" t="str" cm="1">
        <f t="array" ref="F265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66" spans="1:6" x14ac:dyDescent="0.25">
      <c r="A266" s="6">
        <v>38</v>
      </c>
      <c r="B266" s="7" t="s">
        <v>11</v>
      </c>
      <c r="C266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66" s="8">
        <f>IFERROR(_xlfn.MAXIFS([1]!Tabelle7[score_0_3],[1]!Tabelle7[company_id],Tabelle728[[#This Row],[company_id]],[1]!Tabelle7[gov_id],Tabelle728[[#This Row],[gov_crit_id]]),0)</f>
        <v>0</v>
      </c>
      <c r="E266" t="str" cm="1">
        <f t="array" ref="E266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66" s="9" t="str" cm="1">
        <f t="array" ref="F266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67" spans="1:6" ht="15.75" thickBot="1" x14ac:dyDescent="0.3">
      <c r="A267" s="10">
        <v>38</v>
      </c>
      <c r="B267" s="11" t="s">
        <v>12</v>
      </c>
      <c r="C267" s="11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67" s="12">
        <f>IFERROR(_xlfn.MAXIFS([1]!Tabelle7[score_0_3],[1]!Tabelle7[company_id],Tabelle728[[#This Row],[company_id]],[1]!Tabelle7[gov_id],Tabelle728[[#This Row],[gov_crit_id]]),0)</f>
        <v>0</v>
      </c>
      <c r="E267" s="13" t="str" cm="1">
        <f t="array" ref="E267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67" s="14" t="str" cm="1">
        <f t="array" ref="F267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68" spans="1:6" x14ac:dyDescent="0.25">
      <c r="A268" s="1">
        <v>39</v>
      </c>
      <c r="B268" s="2" t="s">
        <v>6</v>
      </c>
      <c r="C268" s="2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68" s="3">
        <f>IFERROR(_xlfn.MAXIFS([1]!Tabelle7[score_0_3],[1]!Tabelle7[company_id],Tabelle728[[#This Row],[company_id]],[1]!Tabelle7[gov_id],Tabelle728[[#This Row],[gov_crit_id]]),0)</f>
        <v>0</v>
      </c>
      <c r="E268" s="4" t="str" cm="1">
        <f t="array" ref="E268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68" s="5" t="str" cm="1">
        <f t="array" ref="F268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69" spans="1:6" x14ac:dyDescent="0.25">
      <c r="A269" s="6">
        <v>39</v>
      </c>
      <c r="B269" s="7" t="s">
        <v>7</v>
      </c>
      <c r="C269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69" s="8">
        <f>IFERROR(_xlfn.MAXIFS([1]!Tabelle7[score_0_3],[1]!Tabelle7[company_id],Tabelle728[[#This Row],[company_id]],[1]!Tabelle7[gov_id],Tabelle728[[#This Row],[gov_crit_id]]),0)</f>
        <v>0</v>
      </c>
      <c r="E269" t="str" cm="1">
        <f t="array" ref="E269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69" s="9" t="str" cm="1">
        <f t="array" ref="F269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70" spans="1:6" x14ac:dyDescent="0.25">
      <c r="A270" s="6">
        <v>39</v>
      </c>
      <c r="B270" s="7" t="s">
        <v>8</v>
      </c>
      <c r="C270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70" s="8">
        <f>IFERROR(_xlfn.MAXIFS([1]!Tabelle7[score_0_3],[1]!Tabelle7[company_id],Tabelle728[[#This Row],[company_id]],[1]!Tabelle7[gov_id],Tabelle728[[#This Row],[gov_crit_id]]),0)</f>
        <v>0</v>
      </c>
      <c r="E270" t="str" cm="1">
        <f t="array" ref="E270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70" s="9" t="str" cm="1">
        <f t="array" ref="F270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71" spans="1:6" x14ac:dyDescent="0.25">
      <c r="A271" s="6">
        <v>39</v>
      </c>
      <c r="B271" s="7" t="s">
        <v>9</v>
      </c>
      <c r="C271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71" s="8">
        <f>IFERROR(_xlfn.MAXIFS([1]!Tabelle7[score_0_3],[1]!Tabelle7[company_id],Tabelle728[[#This Row],[company_id]],[1]!Tabelle7[gov_id],Tabelle728[[#This Row],[gov_crit_id]]),0)</f>
        <v>0</v>
      </c>
      <c r="E271" t="str" cm="1">
        <f t="array" ref="E271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71" s="9" t="str" cm="1">
        <f t="array" ref="F271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72" spans="1:6" x14ac:dyDescent="0.25">
      <c r="A272" s="6">
        <v>39</v>
      </c>
      <c r="B272" s="7" t="s">
        <v>10</v>
      </c>
      <c r="C272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72" s="8">
        <f>IFERROR(_xlfn.MAXIFS([1]!Tabelle7[score_0_3],[1]!Tabelle7[company_id],Tabelle728[[#This Row],[company_id]],[1]!Tabelle7[gov_id],Tabelle728[[#This Row],[gov_crit_id]]),0)</f>
        <v>0</v>
      </c>
      <c r="E272" t="str" cm="1">
        <f t="array" ref="E272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72" s="9" t="str" cm="1">
        <f t="array" ref="F272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73" spans="1:6" x14ac:dyDescent="0.25">
      <c r="A273" s="6">
        <v>39</v>
      </c>
      <c r="B273" s="7" t="s">
        <v>11</v>
      </c>
      <c r="C273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73" s="8">
        <f>IFERROR(_xlfn.MAXIFS([1]!Tabelle7[score_0_3],[1]!Tabelle7[company_id],Tabelle728[[#This Row],[company_id]],[1]!Tabelle7[gov_id],Tabelle728[[#This Row],[gov_crit_id]]),0)</f>
        <v>0</v>
      </c>
      <c r="E273" t="str" cm="1">
        <f t="array" ref="E273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73" s="9" t="str" cm="1">
        <f t="array" ref="F273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74" spans="1:6" ht="15.75" thickBot="1" x14ac:dyDescent="0.3">
      <c r="A274" s="10">
        <v>39</v>
      </c>
      <c r="B274" s="11" t="s">
        <v>12</v>
      </c>
      <c r="C274" s="11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74" s="12">
        <f>IFERROR(_xlfn.MAXIFS([1]!Tabelle7[score_0_3],[1]!Tabelle7[company_id],Tabelle728[[#This Row],[company_id]],[1]!Tabelle7[gov_id],Tabelle728[[#This Row],[gov_crit_id]]),0)</f>
        <v>0</v>
      </c>
      <c r="E274" s="13" t="str" cm="1">
        <f t="array" ref="E274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74" s="14" t="str" cm="1">
        <f t="array" ref="F274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75" spans="1:6" x14ac:dyDescent="0.25">
      <c r="A275" s="1">
        <v>40</v>
      </c>
      <c r="B275" s="2" t="s">
        <v>6</v>
      </c>
      <c r="C275" s="2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239</v>
      </c>
      <c r="D275" s="3">
        <f>IFERROR(_xlfn.MAXIFS([1]!Tabelle7[score_0_3],[1]!Tabelle7[company_id],Tabelle728[[#This Row],[company_id]],[1]!Tabelle7[gov_id],Tabelle728[[#This Row],[gov_crit_id]]),0)</f>
        <v>2</v>
      </c>
      <c r="E275" s="4" t="str" cm="1">
        <f t="array" ref="E275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“während des gesamten Produktentwicklungszyklus”; “Informationen und Verantwortliche für unsere Machine-Learning-Modelle”; “zentrale Team ‘Algorithmic Privacy &amp; Fairness’”; “eingebettete Datenschutzkoordinator*innen”</v>
      </c>
      <c r="F275" s="5" t="str" cm="1">
        <f t="array" ref="F275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11; S. 14; S. 22</v>
      </c>
    </row>
    <row r="276" spans="1:6" x14ac:dyDescent="0.25">
      <c r="A276" s="6">
        <v>40</v>
      </c>
      <c r="B276" s="7" t="s">
        <v>7</v>
      </c>
      <c r="C276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239</v>
      </c>
      <c r="D276" s="8">
        <f>IFERROR(_xlfn.MAXIFS([1]!Tabelle7[score_0_3],[1]!Tabelle7[company_id],Tabelle728[[#This Row],[company_id]],[1]!Tabelle7[gov_id],Tabelle728[[#This Row],[gov_crit_id]]),0)</f>
        <v>2</v>
      </c>
      <c r="E276" t="str" cm="1">
        <f t="array" ref="E276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“während des gesamten Produktentwicklungszyklus”; “potenzieller Schäden und der Sensibilität von Daten priorisieren”; “kontinuierliches Monitoring und frühzeitiges Eingreifen”; “zusätzliche AI-Governance-Maßnahmen”</v>
      </c>
      <c r="F276" s="9" t="str" cm="1">
        <f t="array" ref="F276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11113; S. 43</v>
      </c>
    </row>
    <row r="277" spans="1:6" x14ac:dyDescent="0.25">
      <c r="A277" s="6">
        <v>40</v>
      </c>
      <c r="B277" s="7" t="s">
        <v>8</v>
      </c>
      <c r="C277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239</v>
      </c>
      <c r="D277" s="8">
        <f>IFERROR(_xlfn.MAXIFS([1]!Tabelle7[score_0_3],[1]!Tabelle7[company_id],Tabelle728[[#This Row],[company_id]],[1]!Tabelle7[gov_id],Tabelle728[[#This Row],[gov_crit_id]]),0)</f>
        <v>2</v>
      </c>
      <c r="E277" t="str" cm="1">
        <f t="array" ref="E277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“mögliche Bias, dokumentieren die Ergebnisse intern transparent”; “Informationen und Verantwortliche für unsere Machine-Learning-Modelle”; “identifiziert, misst und korrigiert”; “Pipeline zur Bewertung von Fairness und Datenschutz”; “Datenschutz-Schwachstellen von Machine-Learning-Modellen zu testen”</v>
      </c>
      <c r="F277" s="9" t="str" cm="1">
        <f t="array" ref="F277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11; S. 14; S. 17; S. 31</v>
      </c>
    </row>
    <row r="278" spans="1:6" x14ac:dyDescent="0.25">
      <c r="A278" s="6">
        <v>40</v>
      </c>
      <c r="B278" s="7" t="s">
        <v>9</v>
      </c>
      <c r="C278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239</v>
      </c>
      <c r="D278" s="8">
        <f>IFERROR(_xlfn.MAXIFS([1]!Tabelle7[score_0_3],[1]!Tabelle7[company_id],Tabelle728[[#This Row],[company_id]],[1]!Tabelle7[gov_id],Tabelle728[[#This Row],[gov_crit_id]]),0)</f>
        <v>2</v>
      </c>
      <c r="E278" t="str" cm="1">
        <f t="array" ref="E278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“interne und externe Auditoren, die regelmäßig”</v>
      </c>
      <c r="F278" s="9" t="str" cm="1">
        <f t="array" ref="F278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39</v>
      </c>
    </row>
    <row r="279" spans="1:6" x14ac:dyDescent="0.25">
      <c r="A279" s="6">
        <v>40</v>
      </c>
      <c r="B279" s="7" t="s">
        <v>10</v>
      </c>
      <c r="C279" s="7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>239</v>
      </c>
      <c r="D279" s="8">
        <f>IFERROR(_xlfn.MAXIFS([1]!Tabelle7[score_0_3],[1]!Tabelle7[company_id],Tabelle728[[#This Row],[company_id]],[1]!Tabelle7[gov_id],Tabelle728[[#This Row],[gov_crit_id]]),0)</f>
        <v>2</v>
      </c>
      <c r="E279" t="str" cm="1">
        <f t="array" ref="E279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>“jährlich eine Befragung zum Bewusstsein für die ethischen Risiken des maschinellen Lernens”; “identifiziert, misst und korrigiert”; “Schadensquellen und Quellen von Verzerrungen”; “Weiterbildung ‘Verantwortungsvolle KI’”</v>
      </c>
      <c r="F279" s="9" t="str" cm="1">
        <f t="array" ref="F279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>S. 10; S. 14; S. 40; S. 56</v>
      </c>
    </row>
    <row r="280" spans="1:6" x14ac:dyDescent="0.25">
      <c r="A280" s="6">
        <v>40</v>
      </c>
      <c r="B280" s="7" t="s">
        <v>11</v>
      </c>
      <c r="C280" s="7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80" s="8">
        <f>IFERROR(_xlfn.MAXIFS([1]!Tabelle7[score_0_3],[1]!Tabelle7[company_id],Tabelle728[[#This Row],[company_id]],[1]!Tabelle7[gov_id],Tabelle728[[#This Row],[gov_crit_id]]),0)</f>
        <v>0</v>
      </c>
      <c r="E280" t="str" cm="1">
        <f t="array" ref="E280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80" s="9" t="str" cm="1">
        <f t="array" ref="F280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  <row r="281" spans="1:6" ht="15.75" thickBot="1" x14ac:dyDescent="0.3">
      <c r="A281" s="10">
        <v>40</v>
      </c>
      <c r="B281" s="11" t="s">
        <v>12</v>
      </c>
      <c r="C281" s="11" t="str">
        <f>IF(Tabelle728[[#This Row],[score_0_3]]=0,"",IFERROR(_xlfn.MINIFS([1]!Tabelle7[doc_id],[1]!Tabelle7[company_id],Tabelle728[[#This Row],[company_id]],[1]!Tabelle7[gov_id],Tabelle728[[#This Row],[gov_crit_id]],[1]!Tabelle7[score_0_3],Tabelle728[[#This Row],[score_0_3]]),""))</f>
        <v/>
      </c>
      <c r="D281" s="12">
        <f>IFERROR(_xlfn.MAXIFS([1]!Tabelle7[score_0_3],[1]!Tabelle7[company_id],Tabelle728[[#This Row],[company_id]],[1]!Tabelle7[gov_id],Tabelle728[[#This Row],[gov_crit_id]]),0)</f>
        <v>0</v>
      </c>
      <c r="E281" s="13" t="str" cm="1">
        <f t="array" ref="E281">IF(Tabelle728[[#This Row],[doc_id_primary_evidence]]="","",IFERROR(INDEX([1]!Tabelle7[evidence_quote],MATCH(1,([1]!Tabelle7[company_id]=Tabelle728[[#This Row],[company_id]])*([1]!Tabelle7[gov_id]=Tabelle728[[#This Row],[gov_crit_id]])*([1]!Tabelle7[doc_id]=Tabelle728[[#This Row],[doc_id_primary_evidence]]),0)),""))</f>
        <v/>
      </c>
      <c r="F281" s="14" t="str" cm="1">
        <f t="array" ref="F281">IF(Tabelle728[[#This Row],[doc_id_primary_evidence]]="","",IFERROR(INDEX([1]!Tabelle7[evidence_location],MATCH(1,([1]!Tabelle7[company_id]=Tabelle728[[#This Row],[company_id]])*([1]!Tabelle7[gov_id]=Tabelle728[[#This Row],[gov_crit_id]])*([1]!Tabelle7[doc_id]=Tabelle728[[#This Row],[doc_id_primary_evidence]]),0)),""))</f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2015-06-05T18:19:34Z</dcterms:created>
  <dcterms:modified xsi:type="dcterms:W3CDTF">2026-04-19T10:12:03Z</dcterms:modified>
</cp:coreProperties>
</file>