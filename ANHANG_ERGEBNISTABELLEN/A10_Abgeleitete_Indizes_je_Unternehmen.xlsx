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5BDAB6BA-3B8B-4E4B-9557-23E1DACCA758}"/>
  <bookViews>
    <workbookView xWindow="345" yWindow="3780" windowWidth="43200" windowHeight="11295" xr2:uid="{00000000-000D-0000-FFFF-FFFF00000000}"/>
  </bookViews>
  <sheets>
    <sheet name="Tabelle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1" i="1" l="1"/>
  <c r="H41" i="1" s="1"/>
  <c r="E41" i="1"/>
  <c r="D41" i="1"/>
  <c r="F41" i="1" s="1"/>
  <c r="C41" i="1"/>
  <c r="B41" i="1"/>
  <c r="G40" i="1"/>
  <c r="H40" i="1" s="1"/>
  <c r="E40" i="1"/>
  <c r="D40" i="1"/>
  <c r="F40" i="1" s="1"/>
  <c r="C40" i="1"/>
  <c r="B40" i="1"/>
  <c r="G39" i="1"/>
  <c r="H39" i="1" s="1"/>
  <c r="E39" i="1"/>
  <c r="D39" i="1"/>
  <c r="F39" i="1" s="1"/>
  <c r="C39" i="1"/>
  <c r="B39" i="1"/>
  <c r="G38" i="1"/>
  <c r="H38" i="1" s="1"/>
  <c r="E38" i="1"/>
  <c r="D38" i="1"/>
  <c r="F38" i="1" s="1"/>
  <c r="C38" i="1"/>
  <c r="B38" i="1"/>
  <c r="G37" i="1"/>
  <c r="H37" i="1" s="1"/>
  <c r="E37" i="1"/>
  <c r="D37" i="1"/>
  <c r="F37" i="1" s="1"/>
  <c r="C37" i="1"/>
  <c r="B37" i="1"/>
  <c r="G36" i="1"/>
  <c r="H36" i="1" s="1"/>
  <c r="E36" i="1"/>
  <c r="F36" i="1" s="1"/>
  <c r="D36" i="1"/>
  <c r="C36" i="1"/>
  <c r="B36" i="1"/>
  <c r="G35" i="1"/>
  <c r="H35" i="1" s="1"/>
  <c r="E35" i="1"/>
  <c r="F35" i="1" s="1"/>
  <c r="D35" i="1"/>
  <c r="C35" i="1"/>
  <c r="B35" i="1"/>
  <c r="G34" i="1"/>
  <c r="H34" i="1" s="1"/>
  <c r="E34" i="1"/>
  <c r="D34" i="1"/>
  <c r="F34" i="1" s="1"/>
  <c r="C34" i="1"/>
  <c r="B34" i="1"/>
  <c r="G33" i="1"/>
  <c r="H33" i="1" s="1"/>
  <c r="E33" i="1"/>
  <c r="D33" i="1"/>
  <c r="F33" i="1" s="1"/>
  <c r="C33" i="1"/>
  <c r="B33" i="1"/>
  <c r="G32" i="1"/>
  <c r="H32" i="1" s="1"/>
  <c r="E32" i="1"/>
  <c r="D32" i="1"/>
  <c r="F32" i="1" s="1"/>
  <c r="C32" i="1"/>
  <c r="B32" i="1"/>
  <c r="H31" i="1"/>
  <c r="G31" i="1"/>
  <c r="E31" i="1"/>
  <c r="D31" i="1"/>
  <c r="F31" i="1" s="1"/>
  <c r="C31" i="1"/>
  <c r="B31" i="1"/>
  <c r="G30" i="1"/>
  <c r="H30" i="1" s="1"/>
  <c r="E30" i="1"/>
  <c r="D30" i="1"/>
  <c r="F30" i="1" s="1"/>
  <c r="C30" i="1"/>
  <c r="B30" i="1"/>
  <c r="G29" i="1"/>
  <c r="H29" i="1" s="1"/>
  <c r="E29" i="1"/>
  <c r="D29" i="1"/>
  <c r="F29" i="1" s="1"/>
  <c r="C29" i="1"/>
  <c r="B29" i="1"/>
  <c r="G28" i="1"/>
  <c r="H28" i="1" s="1"/>
  <c r="E28" i="1"/>
  <c r="D28" i="1"/>
  <c r="F28" i="1" s="1"/>
  <c r="C28" i="1"/>
  <c r="B28" i="1"/>
  <c r="G27" i="1"/>
  <c r="H27" i="1" s="1"/>
  <c r="E27" i="1"/>
  <c r="D27" i="1"/>
  <c r="F27" i="1" s="1"/>
  <c r="C27" i="1"/>
  <c r="B27" i="1"/>
  <c r="G26" i="1"/>
  <c r="H26" i="1" s="1"/>
  <c r="E26" i="1"/>
  <c r="D26" i="1"/>
  <c r="F26" i="1" s="1"/>
  <c r="C26" i="1"/>
  <c r="B26" i="1"/>
  <c r="H25" i="1"/>
  <c r="G25" i="1"/>
  <c r="E25" i="1"/>
  <c r="D25" i="1"/>
  <c r="F25" i="1" s="1"/>
  <c r="C25" i="1"/>
  <c r="B25" i="1"/>
  <c r="G24" i="1"/>
  <c r="H24" i="1" s="1"/>
  <c r="E24" i="1"/>
  <c r="D24" i="1"/>
  <c r="F24" i="1" s="1"/>
  <c r="C24" i="1"/>
  <c r="B24" i="1"/>
  <c r="G23" i="1"/>
  <c r="H23" i="1" s="1"/>
  <c r="F23" i="1"/>
  <c r="E23" i="1"/>
  <c r="D23" i="1"/>
  <c r="C23" i="1"/>
  <c r="B23" i="1"/>
  <c r="G22" i="1"/>
  <c r="H22" i="1" s="1"/>
  <c r="E22" i="1"/>
  <c r="D22" i="1"/>
  <c r="F22" i="1" s="1"/>
  <c r="C22" i="1"/>
  <c r="B22" i="1"/>
  <c r="H21" i="1"/>
  <c r="G21" i="1"/>
  <c r="E21" i="1"/>
  <c r="D21" i="1"/>
  <c r="F21" i="1" s="1"/>
  <c r="C21" i="1"/>
  <c r="B21" i="1"/>
  <c r="G20" i="1"/>
  <c r="H20" i="1" s="1"/>
  <c r="E20" i="1"/>
  <c r="D20" i="1"/>
  <c r="F20" i="1" s="1"/>
  <c r="C20" i="1"/>
  <c r="B20" i="1"/>
  <c r="H19" i="1"/>
  <c r="G19" i="1"/>
  <c r="F19" i="1"/>
  <c r="E19" i="1"/>
  <c r="D19" i="1"/>
  <c r="C19" i="1"/>
  <c r="B19" i="1"/>
  <c r="G18" i="1"/>
  <c r="H18" i="1" s="1"/>
  <c r="E18" i="1"/>
  <c r="F18" i="1" s="1"/>
  <c r="D18" i="1"/>
  <c r="C18" i="1"/>
  <c r="B18" i="1"/>
  <c r="H17" i="1"/>
  <c r="G17" i="1"/>
  <c r="E17" i="1"/>
  <c r="D17" i="1"/>
  <c r="F17" i="1" s="1"/>
  <c r="C17" i="1"/>
  <c r="B17" i="1"/>
  <c r="G16" i="1"/>
  <c r="H16" i="1" s="1"/>
  <c r="E16" i="1"/>
  <c r="D16" i="1"/>
  <c r="F16" i="1" s="1"/>
  <c r="C16" i="1"/>
  <c r="B16" i="1"/>
  <c r="G15" i="1"/>
  <c r="H15" i="1" s="1"/>
  <c r="E15" i="1"/>
  <c r="D15" i="1"/>
  <c r="F15" i="1" s="1"/>
  <c r="C15" i="1"/>
  <c r="B15" i="1"/>
  <c r="G14" i="1"/>
  <c r="H14" i="1" s="1"/>
  <c r="E14" i="1"/>
  <c r="D14" i="1"/>
  <c r="F14" i="1" s="1"/>
  <c r="C14" i="1"/>
  <c r="B14" i="1"/>
  <c r="H13" i="1"/>
  <c r="G13" i="1"/>
  <c r="E13" i="1"/>
  <c r="D13" i="1"/>
  <c r="F13" i="1" s="1"/>
  <c r="C13" i="1"/>
  <c r="B13" i="1"/>
  <c r="G12" i="1"/>
  <c r="H12" i="1" s="1"/>
  <c r="E12" i="1"/>
  <c r="D12" i="1"/>
  <c r="F12" i="1" s="1"/>
  <c r="C12" i="1"/>
  <c r="B12" i="1"/>
  <c r="G11" i="1"/>
  <c r="H11" i="1" s="1"/>
  <c r="E11" i="1"/>
  <c r="D11" i="1"/>
  <c r="F11" i="1" s="1"/>
  <c r="C11" i="1"/>
  <c r="B11" i="1"/>
  <c r="G10" i="1"/>
  <c r="H10" i="1" s="1"/>
  <c r="E10" i="1"/>
  <c r="F10" i="1" s="1"/>
  <c r="D10" i="1"/>
  <c r="C10" i="1"/>
  <c r="B10" i="1"/>
  <c r="H9" i="1"/>
  <c r="G9" i="1"/>
  <c r="E9" i="1"/>
  <c r="D9" i="1"/>
  <c r="F9" i="1" s="1"/>
  <c r="C9" i="1"/>
  <c r="B9" i="1"/>
  <c r="G8" i="1"/>
  <c r="H8" i="1" s="1"/>
  <c r="E8" i="1"/>
  <c r="D8" i="1"/>
  <c r="F8" i="1" s="1"/>
  <c r="C8" i="1"/>
  <c r="B8" i="1"/>
  <c r="G7" i="1"/>
  <c r="H7" i="1" s="1"/>
  <c r="F7" i="1"/>
  <c r="E7" i="1"/>
  <c r="D7" i="1"/>
  <c r="C7" i="1"/>
  <c r="B7" i="1"/>
  <c r="G6" i="1"/>
  <c r="H6" i="1" s="1"/>
  <c r="E6" i="1"/>
  <c r="F6" i="1" s="1"/>
  <c r="D6" i="1"/>
  <c r="C6" i="1"/>
  <c r="B6" i="1"/>
  <c r="H5" i="1"/>
  <c r="G5" i="1"/>
  <c r="E5" i="1"/>
  <c r="D5" i="1"/>
  <c r="F5" i="1" s="1"/>
  <c r="C5" i="1"/>
  <c r="B5" i="1"/>
  <c r="G4" i="1"/>
  <c r="H4" i="1" s="1"/>
  <c r="E4" i="1"/>
  <c r="D4" i="1"/>
  <c r="F4" i="1" s="1"/>
  <c r="C4" i="1"/>
  <c r="B4" i="1"/>
  <c r="G3" i="1"/>
  <c r="H3" i="1" s="1"/>
  <c r="F3" i="1"/>
  <c r="E3" i="1"/>
  <c r="D3" i="1"/>
  <c r="C3" i="1"/>
  <c r="B3" i="1"/>
  <c r="G2" i="1"/>
  <c r="H2" i="1" s="1"/>
  <c r="E2" i="1"/>
  <c r="F2" i="1" s="1"/>
  <c r="D2" i="1"/>
  <c r="C2" i="1"/>
  <c r="B2" i="1"/>
</calcChain>
</file>

<file path=xl/sharedStrings.xml><?xml version="1.0" encoding="utf-8"?>
<sst xmlns="http://schemas.openxmlformats.org/spreadsheetml/2006/main" count="8" uniqueCount="8">
  <si>
    <t>company_id</t>
  </si>
  <si>
    <t>company_name</t>
  </si>
  <si>
    <t>sector_cluster</t>
  </si>
  <si>
    <t>values_raw_points</t>
  </si>
  <si>
    <t>values_max_points</t>
  </si>
  <si>
    <t>convergence_index_0_1</t>
  </si>
  <si>
    <t>gov_points_sum</t>
  </si>
  <si>
    <t>gov_index_0_100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</si>
</sst>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Standard" xfId="0" builtinId="0"/>
  </cellStyles>
  <dxfs count="6"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CODEBOOK/V1_Codebuch_08042026_FINAL.xlsx" TargetMode="External"/><Relationship Id="rId2" Type="http://schemas.openxmlformats.org/officeDocument/2006/relationships/externalLinkPath" Target="https://iubhfs-my.sharepoint.com/personal/florian_klawun_iu-study_org/Documents/IU%20Study/Marketing/19_Thesis/Anhang/CODEBOOK/V1_Codebuch_08042026_FINAL.xlsx" TargetMode="External"/><Relationship Id="rId1" Type="http://schemas.openxmlformats.org/officeDocument/2006/relationships/externalLinkPath" Target="/personal/florian_klawun_iu-study_org/Documents/IU%20Study/Marketing/19_Thesis/Anhang/CODEBOOK/V1_Codebuch_08042026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0_DAX_Master"/>
      <sheetName val="01_Document_Log"/>
      <sheetName val="02_Values_Codebook"/>
      <sheetName val="04_Governance_Codebook"/>
      <sheetName val="03_Values_Coding"/>
      <sheetName val="05_Governance_Coding"/>
      <sheetName val="07_Boundary_Cases"/>
      <sheetName val="03b_Values_Company_Level"/>
      <sheetName val="05b_Governance_Company_Level"/>
      <sheetName val="06_Derived_Indices"/>
      <sheetName val="07a_Analyse_Jaccard"/>
      <sheetName val="07b_Analyse_deskriptiv"/>
      <sheetName val="07c_Analyse_Cluster"/>
      <sheetName val="Tabelle2"/>
      <sheetName val="07d_Analyse_Zusammenhänge"/>
      <sheetName val="07e_Analyse_Sensitivität"/>
      <sheetName val="08_Codebook_Changelog"/>
      <sheetName val="09_Coding_Memos"/>
      <sheetName val="99_Lookups"/>
      <sheetName val="30_Values_Coding_PILOT"/>
      <sheetName val="31_Values_Coding_RE"/>
      <sheetName val="50_Governance_Coding_PILOT"/>
      <sheetName val="51_Governance_Coding_RE"/>
      <sheetName val="80_Regelkonsolidierung_Pilot"/>
    </sheetNames>
    <sheetDataSet>
      <sheetData sheetId="0">
        <row r="1">
          <cell r="A1" t="str">
            <v>company_id</v>
          </cell>
          <cell r="B1" t="str">
            <v>company_name_official</v>
          </cell>
          <cell r="D1" t="str">
            <v>sector_cluster</v>
          </cell>
        </row>
        <row r="2">
          <cell r="A2">
            <v>1</v>
          </cell>
          <cell r="B2" t="str">
            <v>Adidas</v>
          </cell>
          <cell r="D2" t="str">
            <v>Consumer</v>
          </cell>
        </row>
        <row r="3">
          <cell r="A3">
            <v>2</v>
          </cell>
          <cell r="B3" t="str">
            <v>Airbus</v>
          </cell>
          <cell r="D3" t="str">
            <v>Industrie</v>
          </cell>
        </row>
        <row r="4">
          <cell r="A4">
            <v>3</v>
          </cell>
          <cell r="B4" t="str">
            <v>Allianz</v>
          </cell>
          <cell r="D4" t="str">
            <v>Finance</v>
          </cell>
        </row>
        <row r="5">
          <cell r="A5">
            <v>4</v>
          </cell>
          <cell r="B5" t="str">
            <v>BASF</v>
          </cell>
          <cell r="D5" t="str">
            <v>Materials/Chemicals</v>
          </cell>
        </row>
        <row r="6">
          <cell r="A6">
            <v>5</v>
          </cell>
          <cell r="B6" t="str">
            <v>Bayer</v>
          </cell>
          <cell r="D6" t="str">
            <v>Materials/Chemicals</v>
          </cell>
        </row>
        <row r="7">
          <cell r="A7">
            <v>6</v>
          </cell>
          <cell r="B7" t="str">
            <v>Beiersdorf</v>
          </cell>
          <cell r="D7" t="str">
            <v>Consumer</v>
          </cell>
        </row>
        <row r="8">
          <cell r="A8">
            <v>7</v>
          </cell>
          <cell r="B8" t="str">
            <v>BMW</v>
          </cell>
          <cell r="D8" t="str">
            <v>Industrie</v>
          </cell>
        </row>
        <row r="9">
          <cell r="A9">
            <v>8</v>
          </cell>
          <cell r="B9" t="str">
            <v>Brenntag</v>
          </cell>
          <cell r="D9" t="str">
            <v>Materials/Chemicals</v>
          </cell>
        </row>
        <row r="10">
          <cell r="A10">
            <v>9</v>
          </cell>
          <cell r="B10" t="str">
            <v>Commerzbank</v>
          </cell>
          <cell r="D10" t="str">
            <v>Finance</v>
          </cell>
        </row>
        <row r="11">
          <cell r="A11">
            <v>10</v>
          </cell>
          <cell r="B11" t="str">
            <v>Continental</v>
          </cell>
          <cell r="D11" t="str">
            <v>Industrie</v>
          </cell>
        </row>
        <row r="12">
          <cell r="A12">
            <v>11</v>
          </cell>
          <cell r="B12" t="str">
            <v>Daimler Truck</v>
          </cell>
          <cell r="D12" t="str">
            <v>Industrie</v>
          </cell>
        </row>
        <row r="13">
          <cell r="A13">
            <v>12</v>
          </cell>
          <cell r="B13" t="str">
            <v>Deutsche Bank</v>
          </cell>
          <cell r="D13" t="str">
            <v>Finance</v>
          </cell>
        </row>
        <row r="14">
          <cell r="A14">
            <v>13</v>
          </cell>
          <cell r="B14" t="str">
            <v>Deutsche Börse</v>
          </cell>
          <cell r="D14" t="str">
            <v>Finance</v>
          </cell>
        </row>
        <row r="15">
          <cell r="A15">
            <v>14</v>
          </cell>
          <cell r="B15" t="str">
            <v>Deutsche Post</v>
          </cell>
          <cell r="D15" t="str">
            <v>Other/Hybrid</v>
          </cell>
        </row>
        <row r="16">
          <cell r="A16">
            <v>15</v>
          </cell>
          <cell r="B16" t="str">
            <v>Deutsche Telekom</v>
          </cell>
          <cell r="D16" t="str">
            <v>Utilities</v>
          </cell>
        </row>
        <row r="17">
          <cell r="A17">
            <v>16</v>
          </cell>
          <cell r="B17" t="str">
            <v>E.ON</v>
          </cell>
          <cell r="D17" t="str">
            <v>Utilities</v>
          </cell>
        </row>
        <row r="18">
          <cell r="A18">
            <v>17</v>
          </cell>
          <cell r="B18" t="str">
            <v>Fresenius</v>
          </cell>
          <cell r="D18" t="str">
            <v>Tech</v>
          </cell>
        </row>
        <row r="19">
          <cell r="A19">
            <v>18</v>
          </cell>
          <cell r="B19" t="str">
            <v>Fresenius Medical Care</v>
          </cell>
          <cell r="D19" t="str">
            <v>Tech</v>
          </cell>
        </row>
        <row r="20">
          <cell r="A20">
            <v>19</v>
          </cell>
          <cell r="B20" t="str">
            <v>GEA Group</v>
          </cell>
          <cell r="D20" t="str">
            <v>Industrie</v>
          </cell>
        </row>
        <row r="21">
          <cell r="A21">
            <v>20</v>
          </cell>
          <cell r="B21" t="str">
            <v>Hannover Rück</v>
          </cell>
          <cell r="D21" t="str">
            <v>Finance</v>
          </cell>
        </row>
        <row r="22">
          <cell r="A22">
            <v>21</v>
          </cell>
          <cell r="B22" t="str">
            <v>Heidelberg Materials</v>
          </cell>
          <cell r="D22" t="str">
            <v>Materials/Chemicals</v>
          </cell>
        </row>
        <row r="23">
          <cell r="A23">
            <v>22</v>
          </cell>
          <cell r="B23" t="str">
            <v>Henkel</v>
          </cell>
          <cell r="D23" t="str">
            <v>Materials/Chemicals</v>
          </cell>
        </row>
        <row r="24">
          <cell r="A24">
            <v>23</v>
          </cell>
          <cell r="B24" t="str">
            <v>Infineon</v>
          </cell>
          <cell r="D24" t="str">
            <v>Tech</v>
          </cell>
        </row>
        <row r="25">
          <cell r="A25">
            <v>24</v>
          </cell>
          <cell r="B25" t="str">
            <v>Mercedes-Benz Group</v>
          </cell>
          <cell r="D25" t="str">
            <v>Industrie</v>
          </cell>
        </row>
        <row r="26">
          <cell r="A26">
            <v>25</v>
          </cell>
          <cell r="B26" t="str">
            <v>Merck</v>
          </cell>
          <cell r="D26" t="str">
            <v>Materials/Chemicals</v>
          </cell>
        </row>
        <row r="27">
          <cell r="A27">
            <v>26</v>
          </cell>
          <cell r="B27" t="str">
            <v>MTU Aero Engines</v>
          </cell>
          <cell r="D27" t="str">
            <v>Industrie</v>
          </cell>
        </row>
        <row r="28">
          <cell r="A28">
            <v>27</v>
          </cell>
          <cell r="B28" t="str">
            <v>Münchener Rück</v>
          </cell>
          <cell r="D28" t="str">
            <v>Finance</v>
          </cell>
        </row>
        <row r="29">
          <cell r="A29">
            <v>28</v>
          </cell>
          <cell r="B29" t="str">
            <v>Porsche Automobil Holding</v>
          </cell>
          <cell r="D29" t="str">
            <v>Industrie</v>
          </cell>
        </row>
        <row r="30">
          <cell r="A30">
            <v>29</v>
          </cell>
          <cell r="B30" t="str">
            <v>Qiagen</v>
          </cell>
          <cell r="D30" t="str">
            <v>Tech</v>
          </cell>
        </row>
        <row r="31">
          <cell r="A31">
            <v>30</v>
          </cell>
          <cell r="B31" t="str">
            <v>Rheinmetall</v>
          </cell>
          <cell r="D31" t="str">
            <v>Industrie</v>
          </cell>
        </row>
        <row r="32">
          <cell r="A32">
            <v>31</v>
          </cell>
          <cell r="B32" t="str">
            <v>RWE</v>
          </cell>
          <cell r="D32" t="str">
            <v>Utilities</v>
          </cell>
        </row>
        <row r="33">
          <cell r="A33">
            <v>32</v>
          </cell>
          <cell r="B33" t="str">
            <v>SAP</v>
          </cell>
          <cell r="D33" t="str">
            <v>Tech</v>
          </cell>
        </row>
        <row r="34">
          <cell r="A34">
            <v>33</v>
          </cell>
          <cell r="B34" t="str">
            <v>Scout24</v>
          </cell>
          <cell r="D34" t="str">
            <v>Tech</v>
          </cell>
        </row>
        <row r="35">
          <cell r="A35">
            <v>34</v>
          </cell>
          <cell r="B35" t="str">
            <v>Siemens</v>
          </cell>
          <cell r="D35" t="str">
            <v>Industrie</v>
          </cell>
        </row>
        <row r="36">
          <cell r="A36">
            <v>35</v>
          </cell>
          <cell r="B36" t="str">
            <v>Siemens Energy</v>
          </cell>
          <cell r="D36" t="str">
            <v>Industrie</v>
          </cell>
        </row>
        <row r="37">
          <cell r="A37">
            <v>36</v>
          </cell>
          <cell r="B37" t="str">
            <v>Siemens Healthineers</v>
          </cell>
          <cell r="D37" t="str">
            <v>Tech</v>
          </cell>
        </row>
        <row r="38">
          <cell r="A38">
            <v>37</v>
          </cell>
          <cell r="B38" t="str">
            <v>Symrise</v>
          </cell>
          <cell r="D38" t="str">
            <v>Consumer</v>
          </cell>
        </row>
        <row r="39">
          <cell r="A39">
            <v>38</v>
          </cell>
          <cell r="B39" t="str">
            <v>Volkswagen</v>
          </cell>
          <cell r="D39" t="str">
            <v>Industrie</v>
          </cell>
        </row>
        <row r="40">
          <cell r="A40">
            <v>39</v>
          </cell>
          <cell r="B40" t="str">
            <v>Vonovia</v>
          </cell>
          <cell r="D40" t="str">
            <v>Consumer</v>
          </cell>
        </row>
        <row r="41">
          <cell r="A41">
            <v>40</v>
          </cell>
          <cell r="B41" t="str">
            <v>Zalando</v>
          </cell>
          <cell r="D41" t="str">
            <v>Consumer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96434F-33E5-4982-BC6B-0B8C24409B1D}" name="Tabelle8" displayName="Tabelle8" ref="A1:H41" totalsRowShown="0">
  <autoFilter ref="A1:H41" xr:uid="{6496434F-33E5-4982-BC6B-0B8C24409B1D}"/>
  <tableColumns count="8">
    <tableColumn id="1" xr3:uid="{3B81E41B-7CE4-4D22-9875-E4912B086A35}" name="company_id"/>
    <tableColumn id="8" xr3:uid="{029298F8-F6FC-4EA9-99EF-27C0783F8C84}" name="company_name">
      <calculatedColumnFormula>_xlfn.XLOOKUP(Tabelle8[[#This Row],[company_id]],'[1]00_DAX_Master'!A:A,'[1]00_DAX_Master'!B:B)</calculatedColumnFormula>
    </tableColumn>
    <tableColumn id="2" xr3:uid="{A06797DB-DAB3-44DE-9767-B61298B8AD11}" name="sector_cluster" dataDxfId="5">
      <calculatedColumnFormula>_xlfn.XLOOKUP(Tabelle8[[#This Row],[company_id]],'[1]00_DAX_Master'!A:A,'[1]00_DAX_Master'!D:D)</calculatedColumnFormula>
    </tableColumn>
    <tableColumn id="3" xr3:uid="{FBB68949-E57F-4882-9092-C05EFBE51C20}" name="values_raw_points" dataDxfId="4">
      <calculatedColumnFormula>IFERROR(SUMIFS([1]!Tabelle18[value_points_company],[1]!Tabelle18[company_id],Tabelle8[[#This Row],[company_id]]),0)</calculatedColumnFormula>
    </tableColumn>
    <tableColumn id="4" xr3:uid="{49B5994F-425A-4308-AFDF-A486785511D2}" name="values_max_points" dataDxfId="3">
      <calculatedColumnFormula>COUNTA([1]!Tabelle4[value_id])*3</calculatedColumnFormula>
    </tableColumn>
    <tableColumn id="5" xr3:uid="{14644700-AA9B-4D97-8A36-383CB0FD7907}" name="convergence_index_0_1" dataDxfId="2">
      <calculatedColumnFormula>IFERROR(Tabelle8[[#This Row],[values_raw_points]]/Tabelle8[[#This Row],[values_max_points]],0)</calculatedColumnFormula>
    </tableColumn>
    <tableColumn id="6" xr3:uid="{8A6FD3EF-3635-4075-B004-93016FEA029E}" name="gov_points_sum" dataDxfId="1">
      <calculatedColumnFormula>IFERROR(SUMIFS([1]!Tabelle728[score_0_3],[1]!Tabelle728[company_id],Tabelle8[[#This Row],[company_id]]),0)</calculatedColumnFormula>
    </tableColumn>
    <tableColumn id="7" xr3:uid="{826897BA-B487-4136-BA08-B834E19438EF}" name="gov_index_0_100" dataDxfId="0">
      <calculatedColumnFormula>IFERROR((Tabelle8[[#This Row],[gov_points_sum]]/(COUNTA([1]!Tabelle6[gov_crit_id])*3))*100,0)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tabSelected="1" workbookViewId="0">
      <selection activeCell="O10" sqref="O10"/>
    </sheetView>
  </sheetViews>
  <sheetFormatPr baseColWidth="10" defaultColWidth="9.1406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</row>
    <row r="2" spans="1:8" x14ac:dyDescent="0.25">
      <c r="A2">
        <v>1</v>
      </c>
      <c r="B2" t="str">
        <f>_xlfn.XLOOKUP(Tabelle8[[#This Row],[company_id]],'[1]00_DAX_Master'!A:A,'[1]00_DAX_Master'!B:B)</f>
        <v>Adidas</v>
      </c>
      <c r="C2" t="str">
        <f>_xlfn.XLOOKUP(Tabelle8[[#This Row],[company_id]],'[1]00_DAX_Master'!A:A,'[1]00_DAX_Master'!D:D)</f>
        <v>Consumer</v>
      </c>
      <c r="D2">
        <f>IFERROR(SUMIFS([1]!Tabelle18[value_points_company],[1]!Tabelle18[company_id],Tabelle8[[#This Row],[company_id]]),0)</f>
        <v>0</v>
      </c>
      <c r="E2">
        <f>COUNTA([1]!Tabelle4[value_id])*3</f>
        <v>54</v>
      </c>
      <c r="F2" s="1">
        <f>IFERROR(Tabelle8[[#This Row],[values_raw_points]]/Tabelle8[[#This Row],[values_max_points]],0)</f>
        <v>0</v>
      </c>
      <c r="G2">
        <f>IFERROR(SUMIFS([1]!Tabelle728[score_0_3],[1]!Tabelle728[company_id],Tabelle8[[#This Row],[company_id]]),0)</f>
        <v>0</v>
      </c>
      <c r="H2" s="1">
        <f>IFERROR((Tabelle8[[#This Row],[gov_points_sum]]/(COUNTA([1]!Tabelle6[gov_crit_id])*3))*100,0)</f>
        <v>0</v>
      </c>
    </row>
    <row r="3" spans="1:8" x14ac:dyDescent="0.25">
      <c r="A3">
        <v>2</v>
      </c>
      <c r="B3" t="str">
        <f>_xlfn.XLOOKUP(Tabelle8[[#This Row],[company_id]],'[1]00_DAX_Master'!A:A,'[1]00_DAX_Master'!B:B)</f>
        <v>Airbus</v>
      </c>
      <c r="C3" t="str">
        <f>_xlfn.XLOOKUP(Tabelle8[[#This Row],[company_id]],'[1]00_DAX_Master'!A:A,'[1]00_DAX_Master'!D:D)</f>
        <v>Industrie</v>
      </c>
      <c r="D3">
        <f>IFERROR(SUMIFS([1]!Tabelle18[value_points_company],[1]!Tabelle18[company_id],Tabelle8[[#This Row],[company_id]]),0)</f>
        <v>22</v>
      </c>
      <c r="E3">
        <f>COUNTA([1]!Tabelle4[value_id])*3</f>
        <v>54</v>
      </c>
      <c r="F3" s="1">
        <f>IFERROR(Tabelle8[[#This Row],[values_raw_points]]/Tabelle8[[#This Row],[values_max_points]],0)</f>
        <v>0.40740740740740738</v>
      </c>
      <c r="G3">
        <f>IFERROR(SUMIFS([1]!Tabelle728[score_0_3],[1]!Tabelle728[company_id],Tabelle8[[#This Row],[company_id]]),0)</f>
        <v>4</v>
      </c>
      <c r="H3" s="1">
        <f>IFERROR((Tabelle8[[#This Row],[gov_points_sum]]/(COUNTA([1]!Tabelle6[gov_crit_id])*3))*100,0)</f>
        <v>19.047619047619047</v>
      </c>
    </row>
    <row r="4" spans="1:8" x14ac:dyDescent="0.25">
      <c r="A4">
        <v>3</v>
      </c>
      <c r="B4" t="str">
        <f>_xlfn.XLOOKUP(Tabelle8[[#This Row],[company_id]],'[1]00_DAX_Master'!A:A,'[1]00_DAX_Master'!B:B)</f>
        <v>Allianz</v>
      </c>
      <c r="C4" t="str">
        <f>_xlfn.XLOOKUP(Tabelle8[[#This Row],[company_id]],'[1]00_DAX_Master'!A:A,'[1]00_DAX_Master'!D:D)</f>
        <v>Finance</v>
      </c>
      <c r="D4">
        <f>IFERROR(SUMIFS([1]!Tabelle18[value_points_company],[1]!Tabelle18[company_id],Tabelle8[[#This Row],[company_id]]),0)</f>
        <v>33</v>
      </c>
      <c r="E4">
        <f>COUNTA([1]!Tabelle4[value_id])*3</f>
        <v>54</v>
      </c>
      <c r="F4" s="1">
        <f>IFERROR(Tabelle8[[#This Row],[values_raw_points]]/Tabelle8[[#This Row],[values_max_points]],0)</f>
        <v>0.61111111111111116</v>
      </c>
      <c r="G4">
        <f>IFERROR(SUMIFS([1]!Tabelle728[score_0_3],[1]!Tabelle728[company_id],Tabelle8[[#This Row],[company_id]]),0)</f>
        <v>11</v>
      </c>
      <c r="H4" s="1">
        <f>IFERROR((Tabelle8[[#This Row],[gov_points_sum]]/(COUNTA([1]!Tabelle6[gov_crit_id])*3))*100,0)</f>
        <v>52.380952380952387</v>
      </c>
    </row>
    <row r="5" spans="1:8" x14ac:dyDescent="0.25">
      <c r="A5">
        <v>4</v>
      </c>
      <c r="B5" t="str">
        <f>_xlfn.XLOOKUP(Tabelle8[[#This Row],[company_id]],'[1]00_DAX_Master'!A:A,'[1]00_DAX_Master'!B:B)</f>
        <v>BASF</v>
      </c>
      <c r="C5" t="str">
        <f>_xlfn.XLOOKUP(Tabelle8[[#This Row],[company_id]],'[1]00_DAX_Master'!A:A,'[1]00_DAX_Master'!D:D)</f>
        <v>Materials/Chemicals</v>
      </c>
      <c r="D5">
        <f>IFERROR(SUMIFS([1]!Tabelle18[value_points_company],[1]!Tabelle18[company_id],Tabelle8[[#This Row],[company_id]]),0)</f>
        <v>26</v>
      </c>
      <c r="E5">
        <f>COUNTA([1]!Tabelle4[value_id])*3</f>
        <v>54</v>
      </c>
      <c r="F5" s="1">
        <f>IFERROR(Tabelle8[[#This Row],[values_raw_points]]/Tabelle8[[#This Row],[values_max_points]],0)</f>
        <v>0.48148148148148145</v>
      </c>
      <c r="G5">
        <f>IFERROR(SUMIFS([1]!Tabelle728[score_0_3],[1]!Tabelle728[company_id],Tabelle8[[#This Row],[company_id]]),0)</f>
        <v>6</v>
      </c>
      <c r="H5" s="1">
        <f>IFERROR((Tabelle8[[#This Row],[gov_points_sum]]/(COUNTA([1]!Tabelle6[gov_crit_id])*3))*100,0)</f>
        <v>28.571428571428569</v>
      </c>
    </row>
    <row r="6" spans="1:8" x14ac:dyDescent="0.25">
      <c r="A6">
        <v>5</v>
      </c>
      <c r="B6" t="str">
        <f>_xlfn.XLOOKUP(Tabelle8[[#This Row],[company_id]],'[1]00_DAX_Master'!A:A,'[1]00_DAX_Master'!B:B)</f>
        <v>Bayer</v>
      </c>
      <c r="C6" t="str">
        <f>_xlfn.XLOOKUP(Tabelle8[[#This Row],[company_id]],'[1]00_DAX_Master'!A:A,'[1]00_DAX_Master'!D:D)</f>
        <v>Materials/Chemicals</v>
      </c>
      <c r="D6">
        <f>IFERROR(SUMIFS([1]!Tabelle18[value_points_company],[1]!Tabelle18[company_id],Tabelle8[[#This Row],[company_id]]),0)</f>
        <v>31</v>
      </c>
      <c r="E6">
        <f>COUNTA([1]!Tabelle4[value_id])*3</f>
        <v>54</v>
      </c>
      <c r="F6" s="1">
        <f>IFERROR(Tabelle8[[#This Row],[values_raw_points]]/Tabelle8[[#This Row],[values_max_points]],0)</f>
        <v>0.57407407407407407</v>
      </c>
      <c r="G6">
        <f>IFERROR(SUMIFS([1]!Tabelle728[score_0_3],[1]!Tabelle728[company_id],Tabelle8[[#This Row],[company_id]]),0)</f>
        <v>9</v>
      </c>
      <c r="H6" s="1">
        <f>IFERROR((Tabelle8[[#This Row],[gov_points_sum]]/(COUNTA([1]!Tabelle6[gov_crit_id])*3))*100,0)</f>
        <v>42.857142857142854</v>
      </c>
    </row>
    <row r="7" spans="1:8" x14ac:dyDescent="0.25">
      <c r="A7">
        <v>6</v>
      </c>
      <c r="B7" t="str">
        <f>_xlfn.XLOOKUP(Tabelle8[[#This Row],[company_id]],'[1]00_DAX_Master'!A:A,'[1]00_DAX_Master'!B:B)</f>
        <v>Beiersdorf</v>
      </c>
      <c r="C7" t="str">
        <f>_xlfn.XLOOKUP(Tabelle8[[#This Row],[company_id]],'[1]00_DAX_Master'!A:A,'[1]00_DAX_Master'!D:D)</f>
        <v>Consumer</v>
      </c>
      <c r="D7">
        <f>IFERROR(SUMIFS([1]!Tabelle18[value_points_company],[1]!Tabelle18[company_id],Tabelle8[[#This Row],[company_id]]),0)</f>
        <v>22</v>
      </c>
      <c r="E7">
        <f>COUNTA([1]!Tabelle4[value_id])*3</f>
        <v>54</v>
      </c>
      <c r="F7" s="1">
        <f>IFERROR(Tabelle8[[#This Row],[values_raw_points]]/Tabelle8[[#This Row],[values_max_points]],0)</f>
        <v>0.40740740740740738</v>
      </c>
      <c r="G7">
        <f>IFERROR(SUMIFS([1]!Tabelle728[score_0_3],[1]!Tabelle728[company_id],Tabelle8[[#This Row],[company_id]]),0)</f>
        <v>7</v>
      </c>
      <c r="H7" s="1">
        <f>IFERROR((Tabelle8[[#This Row],[gov_points_sum]]/(COUNTA([1]!Tabelle6[gov_crit_id])*3))*100,0)</f>
        <v>33.333333333333329</v>
      </c>
    </row>
    <row r="8" spans="1:8" x14ac:dyDescent="0.25">
      <c r="A8">
        <v>7</v>
      </c>
      <c r="B8" t="str">
        <f>_xlfn.XLOOKUP(Tabelle8[[#This Row],[company_id]],'[1]00_DAX_Master'!A:A,'[1]00_DAX_Master'!B:B)</f>
        <v>BMW</v>
      </c>
      <c r="C8" t="str">
        <f>_xlfn.XLOOKUP(Tabelle8[[#This Row],[company_id]],'[1]00_DAX_Master'!A:A,'[1]00_DAX_Master'!D:D)</f>
        <v>Industrie</v>
      </c>
      <c r="D8">
        <f>IFERROR(SUMIFS([1]!Tabelle18[value_points_company],[1]!Tabelle18[company_id],Tabelle8[[#This Row],[company_id]]),0)</f>
        <v>24</v>
      </c>
      <c r="E8">
        <f>COUNTA([1]!Tabelle4[value_id])*3</f>
        <v>54</v>
      </c>
      <c r="F8" s="1">
        <f>IFERROR(Tabelle8[[#This Row],[values_raw_points]]/Tabelle8[[#This Row],[values_max_points]],0)</f>
        <v>0.44444444444444442</v>
      </c>
      <c r="G8">
        <f>IFERROR(SUMIFS([1]!Tabelle728[score_0_3],[1]!Tabelle728[company_id],Tabelle8[[#This Row],[company_id]]),0)</f>
        <v>8</v>
      </c>
      <c r="H8" s="1">
        <f>IFERROR((Tabelle8[[#This Row],[gov_points_sum]]/(COUNTA([1]!Tabelle6[gov_crit_id])*3))*100,0)</f>
        <v>38.095238095238095</v>
      </c>
    </row>
    <row r="9" spans="1:8" x14ac:dyDescent="0.25">
      <c r="A9">
        <v>8</v>
      </c>
      <c r="B9" t="str">
        <f>_xlfn.XLOOKUP(Tabelle8[[#This Row],[company_id]],'[1]00_DAX_Master'!A:A,'[1]00_DAX_Master'!B:B)</f>
        <v>Brenntag</v>
      </c>
      <c r="C9" t="str">
        <f>_xlfn.XLOOKUP(Tabelle8[[#This Row],[company_id]],'[1]00_DAX_Master'!A:A,'[1]00_DAX_Master'!D:D)</f>
        <v>Materials/Chemicals</v>
      </c>
      <c r="D9">
        <f>IFERROR(SUMIFS([1]!Tabelle18[value_points_company],[1]!Tabelle18[company_id],Tabelle8[[#This Row],[company_id]]),0)</f>
        <v>0</v>
      </c>
      <c r="E9">
        <f>COUNTA([1]!Tabelle4[value_id])*3</f>
        <v>54</v>
      </c>
      <c r="F9" s="1">
        <f>IFERROR(Tabelle8[[#This Row],[values_raw_points]]/Tabelle8[[#This Row],[values_max_points]],0)</f>
        <v>0</v>
      </c>
      <c r="G9">
        <f>IFERROR(SUMIFS([1]!Tabelle728[score_0_3],[1]!Tabelle728[company_id],Tabelle8[[#This Row],[company_id]]),0)</f>
        <v>0</v>
      </c>
      <c r="H9" s="1">
        <f>IFERROR((Tabelle8[[#This Row],[gov_points_sum]]/(COUNTA([1]!Tabelle6[gov_crit_id])*3))*100,0)</f>
        <v>0</v>
      </c>
    </row>
    <row r="10" spans="1:8" x14ac:dyDescent="0.25">
      <c r="A10">
        <v>9</v>
      </c>
      <c r="B10" t="str">
        <f>_xlfn.XLOOKUP(Tabelle8[[#This Row],[company_id]],'[1]00_DAX_Master'!A:A,'[1]00_DAX_Master'!B:B)</f>
        <v>Commerzbank</v>
      </c>
      <c r="C10" t="str">
        <f>_xlfn.XLOOKUP(Tabelle8[[#This Row],[company_id]],'[1]00_DAX_Master'!A:A,'[1]00_DAX_Master'!D:D)</f>
        <v>Finance</v>
      </c>
      <c r="D10">
        <f>IFERROR(SUMIFS([1]!Tabelle18[value_points_company],[1]!Tabelle18[company_id],Tabelle8[[#This Row],[company_id]]),0)</f>
        <v>28</v>
      </c>
      <c r="E10">
        <f>COUNTA([1]!Tabelle4[value_id])*3</f>
        <v>54</v>
      </c>
      <c r="F10" s="1">
        <f>IFERROR(Tabelle8[[#This Row],[values_raw_points]]/Tabelle8[[#This Row],[values_max_points]],0)</f>
        <v>0.51851851851851849</v>
      </c>
      <c r="G10">
        <f>IFERROR(SUMIFS([1]!Tabelle728[score_0_3],[1]!Tabelle728[company_id],Tabelle8[[#This Row],[company_id]]),0)</f>
        <v>9</v>
      </c>
      <c r="H10" s="1">
        <f>IFERROR((Tabelle8[[#This Row],[gov_points_sum]]/(COUNTA([1]!Tabelle6[gov_crit_id])*3))*100,0)</f>
        <v>42.857142857142854</v>
      </c>
    </row>
    <row r="11" spans="1:8" x14ac:dyDescent="0.25">
      <c r="A11">
        <v>10</v>
      </c>
      <c r="B11" t="str">
        <f>_xlfn.XLOOKUP(Tabelle8[[#This Row],[company_id]],'[1]00_DAX_Master'!A:A,'[1]00_DAX_Master'!B:B)</f>
        <v>Continental</v>
      </c>
      <c r="C11" t="str">
        <f>_xlfn.XLOOKUP(Tabelle8[[#This Row],[company_id]],'[1]00_DAX_Master'!A:A,'[1]00_DAX_Master'!D:D)</f>
        <v>Industrie</v>
      </c>
      <c r="D11">
        <f>IFERROR(SUMIFS([1]!Tabelle18[value_points_company],[1]!Tabelle18[company_id],Tabelle8[[#This Row],[company_id]]),0)</f>
        <v>13</v>
      </c>
      <c r="E11">
        <f>COUNTA([1]!Tabelle4[value_id])*3</f>
        <v>54</v>
      </c>
      <c r="F11" s="1">
        <f>IFERROR(Tabelle8[[#This Row],[values_raw_points]]/Tabelle8[[#This Row],[values_max_points]],0)</f>
        <v>0.24074074074074073</v>
      </c>
      <c r="G11">
        <f>IFERROR(SUMIFS([1]!Tabelle728[score_0_3],[1]!Tabelle728[company_id],Tabelle8[[#This Row],[company_id]]),0)</f>
        <v>2</v>
      </c>
      <c r="H11" s="1">
        <f>IFERROR((Tabelle8[[#This Row],[gov_points_sum]]/(COUNTA([1]!Tabelle6[gov_crit_id])*3))*100,0)</f>
        <v>9.5238095238095237</v>
      </c>
    </row>
    <row r="12" spans="1:8" x14ac:dyDescent="0.25">
      <c r="A12">
        <v>11</v>
      </c>
      <c r="B12" t="str">
        <f>_xlfn.XLOOKUP(Tabelle8[[#This Row],[company_id]],'[1]00_DAX_Master'!A:A,'[1]00_DAX_Master'!B:B)</f>
        <v>Daimler Truck</v>
      </c>
      <c r="C12" t="str">
        <f>_xlfn.XLOOKUP(Tabelle8[[#This Row],[company_id]],'[1]00_DAX_Master'!A:A,'[1]00_DAX_Master'!D:D)</f>
        <v>Industrie</v>
      </c>
      <c r="D12">
        <f>IFERROR(SUMIFS([1]!Tabelle18[value_points_company],[1]!Tabelle18[company_id],Tabelle8[[#This Row],[company_id]]),0)</f>
        <v>6</v>
      </c>
      <c r="E12">
        <f>COUNTA([1]!Tabelle4[value_id])*3</f>
        <v>54</v>
      </c>
      <c r="F12" s="1">
        <f>IFERROR(Tabelle8[[#This Row],[values_raw_points]]/Tabelle8[[#This Row],[values_max_points]],0)</f>
        <v>0.1111111111111111</v>
      </c>
      <c r="G12">
        <f>IFERROR(SUMIFS([1]!Tabelle728[score_0_3],[1]!Tabelle728[company_id],Tabelle8[[#This Row],[company_id]]),0)</f>
        <v>1</v>
      </c>
      <c r="H12" s="1">
        <f>IFERROR((Tabelle8[[#This Row],[gov_points_sum]]/(COUNTA([1]!Tabelle6[gov_crit_id])*3))*100,0)</f>
        <v>4.7619047619047619</v>
      </c>
    </row>
    <row r="13" spans="1:8" x14ac:dyDescent="0.25">
      <c r="A13">
        <v>12</v>
      </c>
      <c r="B13" t="str">
        <f>_xlfn.XLOOKUP(Tabelle8[[#This Row],[company_id]],'[1]00_DAX_Master'!A:A,'[1]00_DAX_Master'!B:B)</f>
        <v>Deutsche Bank</v>
      </c>
      <c r="C13" t="str">
        <f>_xlfn.XLOOKUP(Tabelle8[[#This Row],[company_id]],'[1]00_DAX_Master'!A:A,'[1]00_DAX_Master'!D:D)</f>
        <v>Finance</v>
      </c>
      <c r="D13">
        <f>IFERROR(SUMIFS([1]!Tabelle18[value_points_company],[1]!Tabelle18[company_id],Tabelle8[[#This Row],[company_id]]),0)</f>
        <v>16</v>
      </c>
      <c r="E13">
        <f>COUNTA([1]!Tabelle4[value_id])*3</f>
        <v>54</v>
      </c>
      <c r="F13" s="1">
        <f>IFERROR(Tabelle8[[#This Row],[values_raw_points]]/Tabelle8[[#This Row],[values_max_points]],0)</f>
        <v>0.29629629629629628</v>
      </c>
      <c r="G13">
        <f>IFERROR(SUMIFS([1]!Tabelle728[score_0_3],[1]!Tabelle728[company_id],Tabelle8[[#This Row],[company_id]]),0)</f>
        <v>8</v>
      </c>
      <c r="H13" s="1">
        <f>IFERROR((Tabelle8[[#This Row],[gov_points_sum]]/(COUNTA([1]!Tabelle6[gov_crit_id])*3))*100,0)</f>
        <v>38.095238095238095</v>
      </c>
    </row>
    <row r="14" spans="1:8" x14ac:dyDescent="0.25">
      <c r="A14">
        <v>13</v>
      </c>
      <c r="B14" t="str">
        <f>_xlfn.XLOOKUP(Tabelle8[[#This Row],[company_id]],'[1]00_DAX_Master'!A:A,'[1]00_DAX_Master'!B:B)</f>
        <v>Deutsche Börse</v>
      </c>
      <c r="C14" t="str">
        <f>_xlfn.XLOOKUP(Tabelle8[[#This Row],[company_id]],'[1]00_DAX_Master'!A:A,'[1]00_DAX_Master'!D:D)</f>
        <v>Finance</v>
      </c>
      <c r="D14">
        <f>IFERROR(SUMIFS([1]!Tabelle18[value_points_company],[1]!Tabelle18[company_id],Tabelle8[[#This Row],[company_id]]),0)</f>
        <v>7</v>
      </c>
      <c r="E14">
        <f>COUNTA([1]!Tabelle4[value_id])*3</f>
        <v>54</v>
      </c>
      <c r="F14" s="1">
        <f>IFERROR(Tabelle8[[#This Row],[values_raw_points]]/Tabelle8[[#This Row],[values_max_points]],0)</f>
        <v>0.12962962962962962</v>
      </c>
      <c r="G14">
        <f>IFERROR(SUMIFS([1]!Tabelle728[score_0_3],[1]!Tabelle728[company_id],Tabelle8[[#This Row],[company_id]]),0)</f>
        <v>4</v>
      </c>
      <c r="H14" s="1">
        <f>IFERROR((Tabelle8[[#This Row],[gov_points_sum]]/(COUNTA([1]!Tabelle6[gov_crit_id])*3))*100,0)</f>
        <v>19.047619047619047</v>
      </c>
    </row>
    <row r="15" spans="1:8" x14ac:dyDescent="0.25">
      <c r="A15">
        <v>14</v>
      </c>
      <c r="B15" t="str">
        <f>_xlfn.XLOOKUP(Tabelle8[[#This Row],[company_id]],'[1]00_DAX_Master'!A:A,'[1]00_DAX_Master'!B:B)</f>
        <v>Deutsche Post</v>
      </c>
      <c r="C15" t="str">
        <f>_xlfn.XLOOKUP(Tabelle8[[#This Row],[company_id]],'[1]00_DAX_Master'!A:A,'[1]00_DAX_Master'!D:D)</f>
        <v>Other/Hybrid</v>
      </c>
      <c r="D15">
        <f>IFERROR(SUMIFS([1]!Tabelle18[value_points_company],[1]!Tabelle18[company_id],Tabelle8[[#This Row],[company_id]]),0)</f>
        <v>0</v>
      </c>
      <c r="E15">
        <f>COUNTA([1]!Tabelle4[value_id])*3</f>
        <v>54</v>
      </c>
      <c r="F15" s="1">
        <f>IFERROR(Tabelle8[[#This Row],[values_raw_points]]/Tabelle8[[#This Row],[values_max_points]],0)</f>
        <v>0</v>
      </c>
      <c r="G15">
        <f>IFERROR(SUMIFS([1]!Tabelle728[score_0_3],[1]!Tabelle728[company_id],Tabelle8[[#This Row],[company_id]]),0)</f>
        <v>0</v>
      </c>
      <c r="H15" s="1">
        <f>IFERROR((Tabelle8[[#This Row],[gov_points_sum]]/(COUNTA([1]!Tabelle6[gov_crit_id])*3))*100,0)</f>
        <v>0</v>
      </c>
    </row>
    <row r="16" spans="1:8" x14ac:dyDescent="0.25">
      <c r="A16">
        <v>15</v>
      </c>
      <c r="B16" t="str">
        <f>_xlfn.XLOOKUP(Tabelle8[[#This Row],[company_id]],'[1]00_DAX_Master'!A:A,'[1]00_DAX_Master'!B:B)</f>
        <v>Deutsche Telekom</v>
      </c>
      <c r="C16" t="str">
        <f>_xlfn.XLOOKUP(Tabelle8[[#This Row],[company_id]],'[1]00_DAX_Master'!A:A,'[1]00_DAX_Master'!D:D)</f>
        <v>Utilities</v>
      </c>
      <c r="D16">
        <f>IFERROR(SUMIFS([1]!Tabelle18[value_points_company],[1]!Tabelle18[company_id],Tabelle8[[#This Row],[company_id]]),0)</f>
        <v>49</v>
      </c>
      <c r="E16">
        <f>COUNTA([1]!Tabelle4[value_id])*3</f>
        <v>54</v>
      </c>
      <c r="F16" s="1">
        <f>IFERROR(Tabelle8[[#This Row],[values_raw_points]]/Tabelle8[[#This Row],[values_max_points]],0)</f>
        <v>0.90740740740740744</v>
      </c>
      <c r="G16">
        <f>IFERROR(SUMIFS([1]!Tabelle728[score_0_3],[1]!Tabelle728[company_id],Tabelle8[[#This Row],[company_id]]),0)</f>
        <v>15</v>
      </c>
      <c r="H16" s="1">
        <f>IFERROR((Tabelle8[[#This Row],[gov_points_sum]]/(COUNTA([1]!Tabelle6[gov_crit_id])*3))*100,0)</f>
        <v>71.428571428571431</v>
      </c>
    </row>
    <row r="17" spans="1:8" x14ac:dyDescent="0.25">
      <c r="A17">
        <v>16</v>
      </c>
      <c r="B17" t="str">
        <f>_xlfn.XLOOKUP(Tabelle8[[#This Row],[company_id]],'[1]00_DAX_Master'!A:A,'[1]00_DAX_Master'!B:B)</f>
        <v>E.ON</v>
      </c>
      <c r="C17" t="str">
        <f>_xlfn.XLOOKUP(Tabelle8[[#This Row],[company_id]],'[1]00_DAX_Master'!A:A,'[1]00_DAX_Master'!D:D)</f>
        <v>Utilities</v>
      </c>
      <c r="D17">
        <f>IFERROR(SUMIFS([1]!Tabelle18[value_points_company],[1]!Tabelle18[company_id],Tabelle8[[#This Row],[company_id]]),0)</f>
        <v>0</v>
      </c>
      <c r="E17">
        <f>COUNTA([1]!Tabelle4[value_id])*3</f>
        <v>54</v>
      </c>
      <c r="F17" s="1">
        <f>IFERROR(Tabelle8[[#This Row],[values_raw_points]]/Tabelle8[[#This Row],[values_max_points]],0)</f>
        <v>0</v>
      </c>
      <c r="G17">
        <f>IFERROR(SUMIFS([1]!Tabelle728[score_0_3],[1]!Tabelle728[company_id],Tabelle8[[#This Row],[company_id]]),0)</f>
        <v>0</v>
      </c>
      <c r="H17" s="1">
        <f>IFERROR((Tabelle8[[#This Row],[gov_points_sum]]/(COUNTA([1]!Tabelle6[gov_crit_id])*3))*100,0)</f>
        <v>0</v>
      </c>
    </row>
    <row r="18" spans="1:8" x14ac:dyDescent="0.25">
      <c r="A18">
        <v>17</v>
      </c>
      <c r="B18" t="str">
        <f>_xlfn.XLOOKUP(Tabelle8[[#This Row],[company_id]],'[1]00_DAX_Master'!A:A,'[1]00_DAX_Master'!B:B)</f>
        <v>Fresenius</v>
      </c>
      <c r="C18" t="str">
        <f>_xlfn.XLOOKUP(Tabelle8[[#This Row],[company_id]],'[1]00_DAX_Master'!A:A,'[1]00_DAX_Master'!D:D)</f>
        <v>Tech</v>
      </c>
      <c r="D18">
        <f>IFERROR(SUMIFS([1]!Tabelle18[value_points_company],[1]!Tabelle18[company_id],Tabelle8[[#This Row],[company_id]]),0)</f>
        <v>46</v>
      </c>
      <c r="E18">
        <f>COUNTA([1]!Tabelle4[value_id])*3</f>
        <v>54</v>
      </c>
      <c r="F18" s="1">
        <f>IFERROR(Tabelle8[[#This Row],[values_raw_points]]/Tabelle8[[#This Row],[values_max_points]],0)</f>
        <v>0.85185185185185186</v>
      </c>
      <c r="G18">
        <f>IFERROR(SUMIFS([1]!Tabelle728[score_0_3],[1]!Tabelle728[company_id],Tabelle8[[#This Row],[company_id]]),0)</f>
        <v>7</v>
      </c>
      <c r="H18" s="1">
        <f>IFERROR((Tabelle8[[#This Row],[gov_points_sum]]/(COUNTA([1]!Tabelle6[gov_crit_id])*3))*100,0)</f>
        <v>33.333333333333329</v>
      </c>
    </row>
    <row r="19" spans="1:8" x14ac:dyDescent="0.25">
      <c r="A19">
        <v>18</v>
      </c>
      <c r="B19" t="str">
        <f>_xlfn.XLOOKUP(Tabelle8[[#This Row],[company_id]],'[1]00_DAX_Master'!A:A,'[1]00_DAX_Master'!B:B)</f>
        <v>Fresenius Medical Care</v>
      </c>
      <c r="C19" t="str">
        <f>_xlfn.XLOOKUP(Tabelle8[[#This Row],[company_id]],'[1]00_DAX_Master'!A:A,'[1]00_DAX_Master'!D:D)</f>
        <v>Tech</v>
      </c>
      <c r="D19">
        <f>IFERROR(SUMIFS([1]!Tabelle18[value_points_company],[1]!Tabelle18[company_id],Tabelle8[[#This Row],[company_id]]),0)</f>
        <v>0</v>
      </c>
      <c r="E19">
        <f>COUNTA([1]!Tabelle4[value_id])*3</f>
        <v>54</v>
      </c>
      <c r="F19" s="1">
        <f>IFERROR(Tabelle8[[#This Row],[values_raw_points]]/Tabelle8[[#This Row],[values_max_points]],0)</f>
        <v>0</v>
      </c>
      <c r="G19">
        <f>IFERROR(SUMIFS([1]!Tabelle728[score_0_3],[1]!Tabelle728[company_id],Tabelle8[[#This Row],[company_id]]),0)</f>
        <v>0</v>
      </c>
      <c r="H19" s="1">
        <f>IFERROR((Tabelle8[[#This Row],[gov_points_sum]]/(COUNTA([1]!Tabelle6[gov_crit_id])*3))*100,0)</f>
        <v>0</v>
      </c>
    </row>
    <row r="20" spans="1:8" x14ac:dyDescent="0.25">
      <c r="A20">
        <v>19</v>
      </c>
      <c r="B20" t="str">
        <f>_xlfn.XLOOKUP(Tabelle8[[#This Row],[company_id]],'[1]00_DAX_Master'!A:A,'[1]00_DAX_Master'!B:B)</f>
        <v>GEA Group</v>
      </c>
      <c r="C20" t="str">
        <f>_xlfn.XLOOKUP(Tabelle8[[#This Row],[company_id]],'[1]00_DAX_Master'!A:A,'[1]00_DAX_Master'!D:D)</f>
        <v>Industrie</v>
      </c>
      <c r="D20">
        <f>IFERROR(SUMIFS([1]!Tabelle18[value_points_company],[1]!Tabelle18[company_id],Tabelle8[[#This Row],[company_id]]),0)</f>
        <v>30</v>
      </c>
      <c r="E20">
        <f>COUNTA([1]!Tabelle4[value_id])*3</f>
        <v>54</v>
      </c>
      <c r="F20" s="1">
        <f>IFERROR(Tabelle8[[#This Row],[values_raw_points]]/Tabelle8[[#This Row],[values_max_points]],0)</f>
        <v>0.55555555555555558</v>
      </c>
      <c r="G20">
        <f>IFERROR(SUMIFS([1]!Tabelle728[score_0_3],[1]!Tabelle728[company_id],Tabelle8[[#This Row],[company_id]]),0)</f>
        <v>9</v>
      </c>
      <c r="H20" s="1">
        <f>IFERROR((Tabelle8[[#This Row],[gov_points_sum]]/(COUNTA([1]!Tabelle6[gov_crit_id])*3))*100,0)</f>
        <v>42.857142857142854</v>
      </c>
    </row>
    <row r="21" spans="1:8" x14ac:dyDescent="0.25">
      <c r="A21">
        <v>20</v>
      </c>
      <c r="B21" t="str">
        <f>_xlfn.XLOOKUP(Tabelle8[[#This Row],[company_id]],'[1]00_DAX_Master'!A:A,'[1]00_DAX_Master'!B:B)</f>
        <v>Hannover Rück</v>
      </c>
      <c r="C21" t="str">
        <f>_xlfn.XLOOKUP(Tabelle8[[#This Row],[company_id]],'[1]00_DAX_Master'!A:A,'[1]00_DAX_Master'!D:D)</f>
        <v>Finance</v>
      </c>
      <c r="D21">
        <f>IFERROR(SUMIFS([1]!Tabelle18[value_points_company],[1]!Tabelle18[company_id],Tabelle8[[#This Row],[company_id]]),0)</f>
        <v>5</v>
      </c>
      <c r="E21">
        <f>COUNTA([1]!Tabelle4[value_id])*3</f>
        <v>54</v>
      </c>
      <c r="F21" s="1">
        <f>IFERROR(Tabelle8[[#This Row],[values_raw_points]]/Tabelle8[[#This Row],[values_max_points]],0)</f>
        <v>9.2592592592592587E-2</v>
      </c>
      <c r="G21">
        <f>IFERROR(SUMIFS([1]!Tabelle728[score_0_3],[1]!Tabelle728[company_id],Tabelle8[[#This Row],[company_id]]),0)</f>
        <v>1</v>
      </c>
      <c r="H21" s="1">
        <f>IFERROR((Tabelle8[[#This Row],[gov_points_sum]]/(COUNTA([1]!Tabelle6[gov_crit_id])*3))*100,0)</f>
        <v>4.7619047619047619</v>
      </c>
    </row>
    <row r="22" spans="1:8" x14ac:dyDescent="0.25">
      <c r="A22">
        <v>21</v>
      </c>
      <c r="B22" t="str">
        <f>_xlfn.XLOOKUP(Tabelle8[[#This Row],[company_id]],'[1]00_DAX_Master'!A:A,'[1]00_DAX_Master'!B:B)</f>
        <v>Heidelberg Materials</v>
      </c>
      <c r="C22" t="str">
        <f>_xlfn.XLOOKUP(Tabelle8[[#This Row],[company_id]],'[1]00_DAX_Master'!A:A,'[1]00_DAX_Master'!D:D)</f>
        <v>Materials/Chemicals</v>
      </c>
      <c r="D22">
        <f>IFERROR(SUMIFS([1]!Tabelle18[value_points_company],[1]!Tabelle18[company_id],Tabelle8[[#This Row],[company_id]]),0)</f>
        <v>0</v>
      </c>
      <c r="E22">
        <f>COUNTA([1]!Tabelle4[value_id])*3</f>
        <v>54</v>
      </c>
      <c r="F22" s="1">
        <f>IFERROR(Tabelle8[[#This Row],[values_raw_points]]/Tabelle8[[#This Row],[values_max_points]],0)</f>
        <v>0</v>
      </c>
      <c r="G22">
        <f>IFERROR(SUMIFS([1]!Tabelle728[score_0_3],[1]!Tabelle728[company_id],Tabelle8[[#This Row],[company_id]]),0)</f>
        <v>0</v>
      </c>
      <c r="H22" s="1">
        <f>IFERROR((Tabelle8[[#This Row],[gov_points_sum]]/(COUNTA([1]!Tabelle6[gov_crit_id])*3))*100,0)</f>
        <v>0</v>
      </c>
    </row>
    <row r="23" spans="1:8" x14ac:dyDescent="0.25">
      <c r="A23">
        <v>22</v>
      </c>
      <c r="B23" t="str">
        <f>_xlfn.XLOOKUP(Tabelle8[[#This Row],[company_id]],'[1]00_DAX_Master'!A:A,'[1]00_DAX_Master'!B:B)</f>
        <v>Henkel</v>
      </c>
      <c r="C23" t="str">
        <f>_xlfn.XLOOKUP(Tabelle8[[#This Row],[company_id]],'[1]00_DAX_Master'!A:A,'[1]00_DAX_Master'!D:D)</f>
        <v>Materials/Chemicals</v>
      </c>
      <c r="D23">
        <f>IFERROR(SUMIFS([1]!Tabelle18[value_points_company],[1]!Tabelle18[company_id],Tabelle8[[#This Row],[company_id]]),0)</f>
        <v>11</v>
      </c>
      <c r="E23">
        <f>COUNTA([1]!Tabelle4[value_id])*3</f>
        <v>54</v>
      </c>
      <c r="F23" s="1">
        <f>IFERROR(Tabelle8[[#This Row],[values_raw_points]]/Tabelle8[[#This Row],[values_max_points]],0)</f>
        <v>0.20370370370370369</v>
      </c>
      <c r="G23">
        <f>IFERROR(SUMIFS([1]!Tabelle728[score_0_3],[1]!Tabelle728[company_id],Tabelle8[[#This Row],[company_id]]),0)</f>
        <v>1</v>
      </c>
      <c r="H23" s="1">
        <f>IFERROR((Tabelle8[[#This Row],[gov_points_sum]]/(COUNTA([1]!Tabelle6[gov_crit_id])*3))*100,0)</f>
        <v>4.7619047619047619</v>
      </c>
    </row>
    <row r="24" spans="1:8" x14ac:dyDescent="0.25">
      <c r="A24">
        <v>23</v>
      </c>
      <c r="B24" t="str">
        <f>_xlfn.XLOOKUP(Tabelle8[[#This Row],[company_id]],'[1]00_DAX_Master'!A:A,'[1]00_DAX_Master'!B:B)</f>
        <v>Infineon</v>
      </c>
      <c r="C24" t="str">
        <f>_xlfn.XLOOKUP(Tabelle8[[#This Row],[company_id]],'[1]00_DAX_Master'!A:A,'[1]00_DAX_Master'!D:D)</f>
        <v>Tech</v>
      </c>
      <c r="D24">
        <f>IFERROR(SUMIFS([1]!Tabelle18[value_points_company],[1]!Tabelle18[company_id],Tabelle8[[#This Row],[company_id]]),0)</f>
        <v>23</v>
      </c>
      <c r="E24">
        <f>COUNTA([1]!Tabelle4[value_id])*3</f>
        <v>54</v>
      </c>
      <c r="F24" s="1">
        <f>IFERROR(Tabelle8[[#This Row],[values_raw_points]]/Tabelle8[[#This Row],[values_max_points]],0)</f>
        <v>0.42592592592592593</v>
      </c>
      <c r="G24">
        <f>IFERROR(SUMIFS([1]!Tabelle728[score_0_3],[1]!Tabelle728[company_id],Tabelle8[[#This Row],[company_id]]),0)</f>
        <v>10</v>
      </c>
      <c r="H24" s="1">
        <f>IFERROR((Tabelle8[[#This Row],[gov_points_sum]]/(COUNTA([1]!Tabelle6[gov_crit_id])*3))*100,0)</f>
        <v>47.619047619047613</v>
      </c>
    </row>
    <row r="25" spans="1:8" x14ac:dyDescent="0.25">
      <c r="A25">
        <v>24</v>
      </c>
      <c r="B25" t="str">
        <f>_xlfn.XLOOKUP(Tabelle8[[#This Row],[company_id]],'[1]00_DAX_Master'!A:A,'[1]00_DAX_Master'!B:B)</f>
        <v>Mercedes-Benz Group</v>
      </c>
      <c r="C25" t="str">
        <f>_xlfn.XLOOKUP(Tabelle8[[#This Row],[company_id]],'[1]00_DAX_Master'!A:A,'[1]00_DAX_Master'!D:D)</f>
        <v>Industrie</v>
      </c>
      <c r="D25">
        <f>IFERROR(SUMIFS([1]!Tabelle18[value_points_company],[1]!Tabelle18[company_id],Tabelle8[[#This Row],[company_id]]),0)</f>
        <v>21</v>
      </c>
      <c r="E25">
        <f>COUNTA([1]!Tabelle4[value_id])*3</f>
        <v>54</v>
      </c>
      <c r="F25" s="1">
        <f>IFERROR(Tabelle8[[#This Row],[values_raw_points]]/Tabelle8[[#This Row],[values_max_points]],0)</f>
        <v>0.3888888888888889</v>
      </c>
      <c r="G25">
        <f>IFERROR(SUMIFS([1]!Tabelle728[score_0_3],[1]!Tabelle728[company_id],Tabelle8[[#This Row],[company_id]]),0)</f>
        <v>4</v>
      </c>
      <c r="H25" s="1">
        <f>IFERROR((Tabelle8[[#This Row],[gov_points_sum]]/(COUNTA([1]!Tabelle6[gov_crit_id])*3))*100,0)</f>
        <v>19.047619047619047</v>
      </c>
    </row>
    <row r="26" spans="1:8" x14ac:dyDescent="0.25">
      <c r="A26">
        <v>25</v>
      </c>
      <c r="B26" t="str">
        <f>_xlfn.XLOOKUP(Tabelle8[[#This Row],[company_id]],'[1]00_DAX_Master'!A:A,'[1]00_DAX_Master'!B:B)</f>
        <v>Merck</v>
      </c>
      <c r="C26" t="str">
        <f>_xlfn.XLOOKUP(Tabelle8[[#This Row],[company_id]],'[1]00_DAX_Master'!A:A,'[1]00_DAX_Master'!D:D)</f>
        <v>Materials/Chemicals</v>
      </c>
      <c r="D26">
        <f>IFERROR(SUMIFS([1]!Tabelle18[value_points_company],[1]!Tabelle18[company_id],Tabelle8[[#This Row],[company_id]]),0)</f>
        <v>39</v>
      </c>
      <c r="E26">
        <f>COUNTA([1]!Tabelle4[value_id])*3</f>
        <v>54</v>
      </c>
      <c r="F26" s="1">
        <f>IFERROR(Tabelle8[[#This Row],[values_raw_points]]/Tabelle8[[#This Row],[values_max_points]],0)</f>
        <v>0.72222222222222221</v>
      </c>
      <c r="G26">
        <f>IFERROR(SUMIFS([1]!Tabelle728[score_0_3],[1]!Tabelle728[company_id],Tabelle8[[#This Row],[company_id]]),0)</f>
        <v>16</v>
      </c>
      <c r="H26" s="1">
        <f>IFERROR((Tabelle8[[#This Row],[gov_points_sum]]/(COUNTA([1]!Tabelle6[gov_crit_id])*3))*100,0)</f>
        <v>76.19047619047619</v>
      </c>
    </row>
    <row r="27" spans="1:8" x14ac:dyDescent="0.25">
      <c r="A27">
        <v>26</v>
      </c>
      <c r="B27" t="str">
        <f>_xlfn.XLOOKUP(Tabelle8[[#This Row],[company_id]],'[1]00_DAX_Master'!A:A,'[1]00_DAX_Master'!B:B)</f>
        <v>MTU Aero Engines</v>
      </c>
      <c r="C27" t="str">
        <f>_xlfn.XLOOKUP(Tabelle8[[#This Row],[company_id]],'[1]00_DAX_Master'!A:A,'[1]00_DAX_Master'!D:D)</f>
        <v>Industrie</v>
      </c>
      <c r="D27">
        <f>IFERROR(SUMIFS([1]!Tabelle18[value_points_company],[1]!Tabelle18[company_id],Tabelle8[[#This Row],[company_id]]),0)</f>
        <v>0</v>
      </c>
      <c r="E27">
        <f>COUNTA([1]!Tabelle4[value_id])*3</f>
        <v>54</v>
      </c>
      <c r="F27" s="1">
        <f>IFERROR(Tabelle8[[#This Row],[values_raw_points]]/Tabelle8[[#This Row],[values_max_points]],0)</f>
        <v>0</v>
      </c>
      <c r="G27">
        <f>IFERROR(SUMIFS([1]!Tabelle728[score_0_3],[1]!Tabelle728[company_id],Tabelle8[[#This Row],[company_id]]),0)</f>
        <v>0</v>
      </c>
      <c r="H27" s="1">
        <f>IFERROR((Tabelle8[[#This Row],[gov_points_sum]]/(COUNTA([1]!Tabelle6[gov_crit_id])*3))*100,0)</f>
        <v>0</v>
      </c>
    </row>
    <row r="28" spans="1:8" x14ac:dyDescent="0.25">
      <c r="A28">
        <v>27</v>
      </c>
      <c r="B28" t="str">
        <f>_xlfn.XLOOKUP(Tabelle8[[#This Row],[company_id]],'[1]00_DAX_Master'!A:A,'[1]00_DAX_Master'!B:B)</f>
        <v>Münchener Rück</v>
      </c>
      <c r="C28" t="str">
        <f>_xlfn.XLOOKUP(Tabelle8[[#This Row],[company_id]],'[1]00_DAX_Master'!A:A,'[1]00_DAX_Master'!D:D)</f>
        <v>Finance</v>
      </c>
      <c r="D28">
        <f>IFERROR(SUMIFS([1]!Tabelle18[value_points_company],[1]!Tabelle18[company_id],Tabelle8[[#This Row],[company_id]]),0)</f>
        <v>15</v>
      </c>
      <c r="E28">
        <f>COUNTA([1]!Tabelle4[value_id])*3</f>
        <v>54</v>
      </c>
      <c r="F28" s="1">
        <f>IFERROR(Tabelle8[[#This Row],[values_raw_points]]/Tabelle8[[#This Row],[values_max_points]],0)</f>
        <v>0.27777777777777779</v>
      </c>
      <c r="G28">
        <f>IFERROR(SUMIFS([1]!Tabelle728[score_0_3],[1]!Tabelle728[company_id],Tabelle8[[#This Row],[company_id]]),0)</f>
        <v>11</v>
      </c>
      <c r="H28" s="1">
        <f>IFERROR((Tabelle8[[#This Row],[gov_points_sum]]/(COUNTA([1]!Tabelle6[gov_crit_id])*3))*100,0)</f>
        <v>52.380952380952387</v>
      </c>
    </row>
    <row r="29" spans="1:8" x14ac:dyDescent="0.25">
      <c r="A29">
        <v>28</v>
      </c>
      <c r="B29" t="str">
        <f>_xlfn.XLOOKUP(Tabelle8[[#This Row],[company_id]],'[1]00_DAX_Master'!A:A,'[1]00_DAX_Master'!B:B)</f>
        <v>Porsche Automobil Holding</v>
      </c>
      <c r="C29" t="str">
        <f>_xlfn.XLOOKUP(Tabelle8[[#This Row],[company_id]],'[1]00_DAX_Master'!A:A,'[1]00_DAX_Master'!D:D)</f>
        <v>Industrie</v>
      </c>
      <c r="D29">
        <f>IFERROR(SUMIFS([1]!Tabelle18[value_points_company],[1]!Tabelle18[company_id],Tabelle8[[#This Row],[company_id]]),0)</f>
        <v>0</v>
      </c>
      <c r="E29">
        <f>COUNTA([1]!Tabelle4[value_id])*3</f>
        <v>54</v>
      </c>
      <c r="F29" s="1">
        <f>IFERROR(Tabelle8[[#This Row],[values_raw_points]]/Tabelle8[[#This Row],[values_max_points]],0)</f>
        <v>0</v>
      </c>
      <c r="G29">
        <f>IFERROR(SUMIFS([1]!Tabelle728[score_0_3],[1]!Tabelle728[company_id],Tabelle8[[#This Row],[company_id]]),0)</f>
        <v>0</v>
      </c>
      <c r="H29" s="1">
        <f>IFERROR((Tabelle8[[#This Row],[gov_points_sum]]/(COUNTA([1]!Tabelle6[gov_crit_id])*3))*100,0)</f>
        <v>0</v>
      </c>
    </row>
    <row r="30" spans="1:8" x14ac:dyDescent="0.25">
      <c r="A30">
        <v>29</v>
      </c>
      <c r="B30" t="str">
        <f>_xlfn.XLOOKUP(Tabelle8[[#This Row],[company_id]],'[1]00_DAX_Master'!A:A,'[1]00_DAX_Master'!B:B)</f>
        <v>Qiagen</v>
      </c>
      <c r="C30" t="str">
        <f>_xlfn.XLOOKUP(Tabelle8[[#This Row],[company_id]],'[1]00_DAX_Master'!A:A,'[1]00_DAX_Master'!D:D)</f>
        <v>Tech</v>
      </c>
      <c r="D30">
        <f>IFERROR(SUMIFS([1]!Tabelle18[value_points_company],[1]!Tabelle18[company_id],Tabelle8[[#This Row],[company_id]]),0)</f>
        <v>0</v>
      </c>
      <c r="E30">
        <f>COUNTA([1]!Tabelle4[value_id])*3</f>
        <v>54</v>
      </c>
      <c r="F30" s="1">
        <f>IFERROR(Tabelle8[[#This Row],[values_raw_points]]/Tabelle8[[#This Row],[values_max_points]],0)</f>
        <v>0</v>
      </c>
      <c r="G30">
        <f>IFERROR(SUMIFS([1]!Tabelle728[score_0_3],[1]!Tabelle728[company_id],Tabelle8[[#This Row],[company_id]]),0)</f>
        <v>0</v>
      </c>
      <c r="H30" s="1">
        <f>IFERROR((Tabelle8[[#This Row],[gov_points_sum]]/(COUNTA([1]!Tabelle6[gov_crit_id])*3))*100,0)</f>
        <v>0</v>
      </c>
    </row>
    <row r="31" spans="1:8" x14ac:dyDescent="0.25">
      <c r="A31">
        <v>30</v>
      </c>
      <c r="B31" t="str">
        <f>_xlfn.XLOOKUP(Tabelle8[[#This Row],[company_id]],'[1]00_DAX_Master'!A:A,'[1]00_DAX_Master'!B:B)</f>
        <v>Rheinmetall</v>
      </c>
      <c r="C31" t="str">
        <f>_xlfn.XLOOKUP(Tabelle8[[#This Row],[company_id]],'[1]00_DAX_Master'!A:A,'[1]00_DAX_Master'!D:D)</f>
        <v>Industrie</v>
      </c>
      <c r="D31">
        <f>IFERROR(SUMIFS([1]!Tabelle18[value_points_company],[1]!Tabelle18[company_id],Tabelle8[[#This Row],[company_id]]),0)</f>
        <v>0</v>
      </c>
      <c r="E31">
        <f>COUNTA([1]!Tabelle4[value_id])*3</f>
        <v>54</v>
      </c>
      <c r="F31" s="1">
        <f>IFERROR(Tabelle8[[#This Row],[values_raw_points]]/Tabelle8[[#This Row],[values_max_points]],0)</f>
        <v>0</v>
      </c>
      <c r="G31">
        <f>IFERROR(SUMIFS([1]!Tabelle728[score_0_3],[1]!Tabelle728[company_id],Tabelle8[[#This Row],[company_id]]),0)</f>
        <v>0</v>
      </c>
      <c r="H31" s="1">
        <f>IFERROR((Tabelle8[[#This Row],[gov_points_sum]]/(COUNTA([1]!Tabelle6[gov_crit_id])*3))*100,0)</f>
        <v>0</v>
      </c>
    </row>
    <row r="32" spans="1:8" x14ac:dyDescent="0.25">
      <c r="A32">
        <v>31</v>
      </c>
      <c r="B32" t="str">
        <f>_xlfn.XLOOKUP(Tabelle8[[#This Row],[company_id]],'[1]00_DAX_Master'!A:A,'[1]00_DAX_Master'!B:B)</f>
        <v>RWE</v>
      </c>
      <c r="C32" t="str">
        <f>_xlfn.XLOOKUP(Tabelle8[[#This Row],[company_id]],'[1]00_DAX_Master'!A:A,'[1]00_DAX_Master'!D:D)</f>
        <v>Utilities</v>
      </c>
      <c r="D32">
        <f>IFERROR(SUMIFS([1]!Tabelle18[value_points_company],[1]!Tabelle18[company_id],Tabelle8[[#This Row],[company_id]]),0)</f>
        <v>29</v>
      </c>
      <c r="E32">
        <f>COUNTA([1]!Tabelle4[value_id])*3</f>
        <v>54</v>
      </c>
      <c r="F32" s="1">
        <f>IFERROR(Tabelle8[[#This Row],[values_raw_points]]/Tabelle8[[#This Row],[values_max_points]],0)</f>
        <v>0.53703703703703709</v>
      </c>
      <c r="G32">
        <f>IFERROR(SUMIFS([1]!Tabelle728[score_0_3],[1]!Tabelle728[company_id],Tabelle8[[#This Row],[company_id]]),0)</f>
        <v>4</v>
      </c>
      <c r="H32" s="1">
        <f>IFERROR((Tabelle8[[#This Row],[gov_points_sum]]/(COUNTA([1]!Tabelle6[gov_crit_id])*3))*100,0)</f>
        <v>19.047619047619047</v>
      </c>
    </row>
    <row r="33" spans="1:8" x14ac:dyDescent="0.25">
      <c r="A33">
        <v>32</v>
      </c>
      <c r="B33" t="str">
        <f>_xlfn.XLOOKUP(Tabelle8[[#This Row],[company_id]],'[1]00_DAX_Master'!A:A,'[1]00_DAX_Master'!B:B)</f>
        <v>SAP</v>
      </c>
      <c r="C33" t="str">
        <f>_xlfn.XLOOKUP(Tabelle8[[#This Row],[company_id]],'[1]00_DAX_Master'!A:A,'[1]00_DAX_Master'!D:D)</f>
        <v>Tech</v>
      </c>
      <c r="D33">
        <f>IFERROR(SUMIFS([1]!Tabelle18[value_points_company],[1]!Tabelle18[company_id],Tabelle8[[#This Row],[company_id]]),0)</f>
        <v>47</v>
      </c>
      <c r="E33">
        <f>COUNTA([1]!Tabelle4[value_id])*3</f>
        <v>54</v>
      </c>
      <c r="F33" s="1">
        <f>IFERROR(Tabelle8[[#This Row],[values_raw_points]]/Tabelle8[[#This Row],[values_max_points]],0)</f>
        <v>0.87037037037037035</v>
      </c>
      <c r="G33">
        <f>IFERROR(SUMIFS([1]!Tabelle728[score_0_3],[1]!Tabelle728[company_id],Tabelle8[[#This Row],[company_id]]),0)</f>
        <v>14</v>
      </c>
      <c r="H33" s="1">
        <f>IFERROR((Tabelle8[[#This Row],[gov_points_sum]]/(COUNTA([1]!Tabelle6[gov_crit_id])*3))*100,0)</f>
        <v>66.666666666666657</v>
      </c>
    </row>
    <row r="34" spans="1:8" x14ac:dyDescent="0.25">
      <c r="A34">
        <v>33</v>
      </c>
      <c r="B34" t="str">
        <f>_xlfn.XLOOKUP(Tabelle8[[#This Row],[company_id]],'[1]00_DAX_Master'!A:A,'[1]00_DAX_Master'!B:B)</f>
        <v>Scout24</v>
      </c>
      <c r="C34" t="str">
        <f>_xlfn.XLOOKUP(Tabelle8[[#This Row],[company_id]],'[1]00_DAX_Master'!A:A,'[1]00_DAX_Master'!D:D)</f>
        <v>Tech</v>
      </c>
      <c r="D34">
        <f>IFERROR(SUMIFS([1]!Tabelle18[value_points_company],[1]!Tabelle18[company_id],Tabelle8[[#This Row],[company_id]]),0)</f>
        <v>0</v>
      </c>
      <c r="E34">
        <f>COUNTA([1]!Tabelle4[value_id])*3</f>
        <v>54</v>
      </c>
      <c r="F34" s="1">
        <f>IFERROR(Tabelle8[[#This Row],[values_raw_points]]/Tabelle8[[#This Row],[values_max_points]],0)</f>
        <v>0</v>
      </c>
      <c r="G34">
        <f>IFERROR(SUMIFS([1]!Tabelle728[score_0_3],[1]!Tabelle728[company_id],Tabelle8[[#This Row],[company_id]]),0)</f>
        <v>0</v>
      </c>
      <c r="H34" s="1">
        <f>IFERROR((Tabelle8[[#This Row],[gov_points_sum]]/(COUNTA([1]!Tabelle6[gov_crit_id])*3))*100,0)</f>
        <v>0</v>
      </c>
    </row>
    <row r="35" spans="1:8" x14ac:dyDescent="0.25">
      <c r="A35">
        <v>34</v>
      </c>
      <c r="B35" t="str">
        <f>_xlfn.XLOOKUP(Tabelle8[[#This Row],[company_id]],'[1]00_DAX_Master'!A:A,'[1]00_DAX_Master'!B:B)</f>
        <v>Siemens</v>
      </c>
      <c r="C35" t="str">
        <f>_xlfn.XLOOKUP(Tabelle8[[#This Row],[company_id]],'[1]00_DAX_Master'!A:A,'[1]00_DAX_Master'!D:D)</f>
        <v>Industrie</v>
      </c>
      <c r="D35">
        <f>IFERROR(SUMIFS([1]!Tabelle18[value_points_company],[1]!Tabelle18[company_id],Tabelle8[[#This Row],[company_id]]),0)</f>
        <v>23</v>
      </c>
      <c r="E35">
        <f>COUNTA([1]!Tabelle4[value_id])*3</f>
        <v>54</v>
      </c>
      <c r="F35" s="1">
        <f>IFERROR(Tabelle8[[#This Row],[values_raw_points]]/Tabelle8[[#This Row],[values_max_points]],0)</f>
        <v>0.42592592592592593</v>
      </c>
      <c r="G35">
        <f>IFERROR(SUMIFS([1]!Tabelle728[score_0_3],[1]!Tabelle728[company_id],Tabelle8[[#This Row],[company_id]]),0)</f>
        <v>8</v>
      </c>
      <c r="H35" s="1">
        <f>IFERROR((Tabelle8[[#This Row],[gov_points_sum]]/(COUNTA([1]!Tabelle6[gov_crit_id])*3))*100,0)</f>
        <v>38.095238095238095</v>
      </c>
    </row>
    <row r="36" spans="1:8" x14ac:dyDescent="0.25">
      <c r="A36">
        <v>35</v>
      </c>
      <c r="B36" t="str">
        <f>_xlfn.XLOOKUP(Tabelle8[[#This Row],[company_id]],'[1]00_DAX_Master'!A:A,'[1]00_DAX_Master'!B:B)</f>
        <v>Siemens Energy</v>
      </c>
      <c r="C36" t="str">
        <f>_xlfn.XLOOKUP(Tabelle8[[#This Row],[company_id]],'[1]00_DAX_Master'!A:A,'[1]00_DAX_Master'!D:D)</f>
        <v>Industrie</v>
      </c>
      <c r="D36">
        <f>IFERROR(SUMIFS([1]!Tabelle18[value_points_company],[1]!Tabelle18[company_id],Tabelle8[[#This Row],[company_id]]),0)</f>
        <v>0</v>
      </c>
      <c r="E36">
        <f>COUNTA([1]!Tabelle4[value_id])*3</f>
        <v>54</v>
      </c>
      <c r="F36" s="1">
        <f>IFERROR(Tabelle8[[#This Row],[values_raw_points]]/Tabelle8[[#This Row],[values_max_points]],0)</f>
        <v>0</v>
      </c>
      <c r="G36">
        <f>IFERROR(SUMIFS([1]!Tabelle728[score_0_3],[1]!Tabelle728[company_id],Tabelle8[[#This Row],[company_id]]),0)</f>
        <v>0</v>
      </c>
      <c r="H36" s="1">
        <f>IFERROR((Tabelle8[[#This Row],[gov_points_sum]]/(COUNTA([1]!Tabelle6[gov_crit_id])*3))*100,0)</f>
        <v>0</v>
      </c>
    </row>
    <row r="37" spans="1:8" x14ac:dyDescent="0.25">
      <c r="A37">
        <v>36</v>
      </c>
      <c r="B37" t="str">
        <f>_xlfn.XLOOKUP(Tabelle8[[#This Row],[company_id]],'[1]00_DAX_Master'!A:A,'[1]00_DAX_Master'!B:B)</f>
        <v>Siemens Healthineers</v>
      </c>
      <c r="C37" t="str">
        <f>_xlfn.XLOOKUP(Tabelle8[[#This Row],[company_id]],'[1]00_DAX_Master'!A:A,'[1]00_DAX_Master'!D:D)</f>
        <v>Tech</v>
      </c>
      <c r="D37">
        <f>IFERROR(SUMIFS([1]!Tabelle18[value_points_company],[1]!Tabelle18[company_id],Tabelle8[[#This Row],[company_id]]),0)</f>
        <v>26</v>
      </c>
      <c r="E37">
        <f>COUNTA([1]!Tabelle4[value_id])*3</f>
        <v>54</v>
      </c>
      <c r="F37" s="1">
        <f>IFERROR(Tabelle8[[#This Row],[values_raw_points]]/Tabelle8[[#This Row],[values_max_points]],0)</f>
        <v>0.48148148148148145</v>
      </c>
      <c r="G37">
        <f>IFERROR(SUMIFS([1]!Tabelle728[score_0_3],[1]!Tabelle728[company_id],Tabelle8[[#This Row],[company_id]]),0)</f>
        <v>5</v>
      </c>
      <c r="H37" s="1">
        <f>IFERROR((Tabelle8[[#This Row],[gov_points_sum]]/(COUNTA([1]!Tabelle6[gov_crit_id])*3))*100,0)</f>
        <v>23.809523809523807</v>
      </c>
    </row>
    <row r="38" spans="1:8" x14ac:dyDescent="0.25">
      <c r="A38">
        <v>37</v>
      </c>
      <c r="B38" t="str">
        <f>_xlfn.XLOOKUP(Tabelle8[[#This Row],[company_id]],'[1]00_DAX_Master'!A:A,'[1]00_DAX_Master'!B:B)</f>
        <v>Symrise</v>
      </c>
      <c r="C38" t="str">
        <f>_xlfn.XLOOKUP(Tabelle8[[#This Row],[company_id]],'[1]00_DAX_Master'!A:A,'[1]00_DAX_Master'!D:D)</f>
        <v>Consumer</v>
      </c>
      <c r="D38">
        <f>IFERROR(SUMIFS([1]!Tabelle18[value_points_company],[1]!Tabelle18[company_id],Tabelle8[[#This Row],[company_id]]),0)</f>
        <v>0</v>
      </c>
      <c r="E38">
        <f>COUNTA([1]!Tabelle4[value_id])*3</f>
        <v>54</v>
      </c>
      <c r="F38" s="1">
        <f>IFERROR(Tabelle8[[#This Row],[values_raw_points]]/Tabelle8[[#This Row],[values_max_points]],0)</f>
        <v>0</v>
      </c>
      <c r="G38">
        <f>IFERROR(SUMIFS([1]!Tabelle728[score_0_3],[1]!Tabelle728[company_id],Tabelle8[[#This Row],[company_id]]),0)</f>
        <v>0</v>
      </c>
      <c r="H38" s="1">
        <f>IFERROR((Tabelle8[[#This Row],[gov_points_sum]]/(COUNTA([1]!Tabelle6[gov_crit_id])*3))*100,0)</f>
        <v>0</v>
      </c>
    </row>
    <row r="39" spans="1:8" x14ac:dyDescent="0.25">
      <c r="A39">
        <v>38</v>
      </c>
      <c r="B39" t="str">
        <f>_xlfn.XLOOKUP(Tabelle8[[#This Row],[company_id]],'[1]00_DAX_Master'!A:A,'[1]00_DAX_Master'!B:B)</f>
        <v>Volkswagen</v>
      </c>
      <c r="C39" t="str">
        <f>_xlfn.XLOOKUP(Tabelle8[[#This Row],[company_id]],'[1]00_DAX_Master'!A:A,'[1]00_DAX_Master'!D:D)</f>
        <v>Industrie</v>
      </c>
      <c r="D39">
        <f>IFERROR(SUMIFS([1]!Tabelle18[value_points_company],[1]!Tabelle18[company_id],Tabelle8[[#This Row],[company_id]]),0)</f>
        <v>10</v>
      </c>
      <c r="E39">
        <f>COUNTA([1]!Tabelle4[value_id])*3</f>
        <v>54</v>
      </c>
      <c r="F39" s="1">
        <f>IFERROR(Tabelle8[[#This Row],[values_raw_points]]/Tabelle8[[#This Row],[values_max_points]],0)</f>
        <v>0.18518518518518517</v>
      </c>
      <c r="G39">
        <f>IFERROR(SUMIFS([1]!Tabelle728[score_0_3],[1]!Tabelle728[company_id],Tabelle8[[#This Row],[company_id]]),0)</f>
        <v>0</v>
      </c>
      <c r="H39" s="1">
        <f>IFERROR((Tabelle8[[#This Row],[gov_points_sum]]/(COUNTA([1]!Tabelle6[gov_crit_id])*3))*100,0)</f>
        <v>0</v>
      </c>
    </row>
    <row r="40" spans="1:8" x14ac:dyDescent="0.25">
      <c r="A40">
        <v>39</v>
      </c>
      <c r="B40" t="str">
        <f>_xlfn.XLOOKUP(Tabelle8[[#This Row],[company_id]],'[1]00_DAX_Master'!A:A,'[1]00_DAX_Master'!B:B)</f>
        <v>Vonovia</v>
      </c>
      <c r="C40" t="str">
        <f>_xlfn.XLOOKUP(Tabelle8[[#This Row],[company_id]],'[1]00_DAX_Master'!A:A,'[1]00_DAX_Master'!D:D)</f>
        <v>Consumer</v>
      </c>
      <c r="D40">
        <f>IFERROR(SUMIFS([1]!Tabelle18[value_points_company],[1]!Tabelle18[company_id],Tabelle8[[#This Row],[company_id]]),0)</f>
        <v>0</v>
      </c>
      <c r="E40">
        <f>COUNTA([1]!Tabelle4[value_id])*3</f>
        <v>54</v>
      </c>
      <c r="F40" s="1">
        <f>IFERROR(Tabelle8[[#This Row],[values_raw_points]]/Tabelle8[[#This Row],[values_max_points]],0)</f>
        <v>0</v>
      </c>
      <c r="G40">
        <f>IFERROR(SUMIFS([1]!Tabelle728[score_0_3],[1]!Tabelle728[company_id],Tabelle8[[#This Row],[company_id]]),0)</f>
        <v>0</v>
      </c>
      <c r="H40" s="1">
        <f>IFERROR((Tabelle8[[#This Row],[gov_points_sum]]/(COUNTA([1]!Tabelle6[gov_crit_id])*3))*100,0)</f>
        <v>0</v>
      </c>
    </row>
    <row r="41" spans="1:8" x14ac:dyDescent="0.25">
      <c r="A41">
        <v>40</v>
      </c>
      <c r="B41" t="str">
        <f>_xlfn.XLOOKUP(Tabelle8[[#This Row],[company_id]],'[1]00_DAX_Master'!A:A,'[1]00_DAX_Master'!B:B)</f>
        <v>Zalando</v>
      </c>
      <c r="C41" t="str">
        <f>_xlfn.XLOOKUP(Tabelle8[[#This Row],[company_id]],'[1]00_DAX_Master'!A:A,'[1]00_DAX_Master'!D:D)</f>
        <v>Consumer</v>
      </c>
      <c r="D41">
        <f>IFERROR(SUMIFS([1]!Tabelle18[value_points_company],[1]!Tabelle18[company_id],Tabelle8[[#This Row],[company_id]]),0)</f>
        <v>32</v>
      </c>
      <c r="E41">
        <f>COUNTA([1]!Tabelle4[value_id])*3</f>
        <v>54</v>
      </c>
      <c r="F41" s="1">
        <f>IFERROR(Tabelle8[[#This Row],[values_raw_points]]/Tabelle8[[#This Row],[values_max_points]],0)</f>
        <v>0.59259259259259256</v>
      </c>
      <c r="G41">
        <f>IFERROR(SUMIFS([1]!Tabelle728[score_0_3],[1]!Tabelle728[company_id],Tabelle8[[#This Row],[company_id]]),0)</f>
        <v>10</v>
      </c>
      <c r="H41" s="1">
        <f>IFERROR((Tabelle8[[#This Row],[gov_points_sum]]/(COUNTA([1]!Tabelle6[gov_crit_id])*3))*100,0)</f>
        <v>47.619047619047613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2026-04-19T10:12:38Z</dcterms:modified>
</cp:coreProperties>
</file>