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5D34E079-25DB-465D-8ED1-D97D7D91BCEC}"/>
  <bookViews>
    <workbookView xWindow="345" yWindow="3780" windowWidth="43200" windowHeight="11295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1" i="1" l="1"/>
  <c r="F721" i="1" s="1"/>
  <c r="D721" i="1"/>
  <c r="C721" i="1" s="1"/>
  <c r="E720" i="1"/>
  <c r="F720" i="1" s="1"/>
  <c r="D720" i="1"/>
  <c r="C720" i="1"/>
  <c r="E719" i="1"/>
  <c r="F719" i="1" s="1"/>
  <c r="D719" i="1"/>
  <c r="C719" i="1" s="1"/>
  <c r="E718" i="1"/>
  <c r="F718" i="1" s="1"/>
  <c r="D718" i="1"/>
  <c r="C718" i="1" s="1"/>
  <c r="E717" i="1"/>
  <c r="F717" i="1" s="1"/>
  <c r="D717" i="1"/>
  <c r="C717" i="1" s="1"/>
  <c r="E716" i="1"/>
  <c r="F716" i="1" s="1"/>
  <c r="D716" i="1"/>
  <c r="C716" i="1"/>
  <c r="E715" i="1"/>
  <c r="F715" i="1" s="1"/>
  <c r="D715" i="1"/>
  <c r="C715" i="1" s="1"/>
  <c r="E714" i="1"/>
  <c r="F714" i="1" s="1"/>
  <c r="D714" i="1"/>
  <c r="C714" i="1" s="1"/>
  <c r="E713" i="1"/>
  <c r="F713" i="1" s="1"/>
  <c r="D713" i="1"/>
  <c r="C713" i="1" s="1"/>
  <c r="E712" i="1"/>
  <c r="F712" i="1" s="1"/>
  <c r="D712" i="1"/>
  <c r="C712" i="1" s="1"/>
  <c r="E711" i="1"/>
  <c r="F711" i="1" s="1"/>
  <c r="D711" i="1"/>
  <c r="C711" i="1" s="1"/>
  <c r="E710" i="1"/>
  <c r="F710" i="1" s="1"/>
  <c r="G710" i="1" s="1" a="1"/>
  <c r="G710" i="1" s="1"/>
  <c r="D710" i="1"/>
  <c r="C710" i="1" s="1"/>
  <c r="E709" i="1"/>
  <c r="F709" i="1" s="1"/>
  <c r="H709" i="1" s="1" a="1"/>
  <c r="H709" i="1" s="1"/>
  <c r="D709" i="1"/>
  <c r="C709" i="1"/>
  <c r="H708" i="1" a="1"/>
  <c r="H708" i="1" s="1"/>
  <c r="E708" i="1"/>
  <c r="F708" i="1" s="1"/>
  <c r="G708" i="1" s="1" a="1"/>
  <c r="G708" i="1" s="1"/>
  <c r="D708" i="1"/>
  <c r="C708" i="1" s="1"/>
  <c r="G707" i="1" a="1"/>
  <c r="G707" i="1" s="1"/>
  <c r="E707" i="1"/>
  <c r="F707" i="1" s="1"/>
  <c r="H707" i="1" s="1" a="1"/>
  <c r="H707" i="1" s="1"/>
  <c r="D707" i="1"/>
  <c r="C707" i="1"/>
  <c r="E706" i="1"/>
  <c r="F706" i="1" s="1"/>
  <c r="G706" i="1" s="1" a="1"/>
  <c r="G706" i="1" s="1"/>
  <c r="D706" i="1"/>
  <c r="C706" i="1" s="1"/>
  <c r="E705" i="1"/>
  <c r="F705" i="1" s="1"/>
  <c r="H705" i="1" s="1" a="1"/>
  <c r="H705" i="1" s="1"/>
  <c r="D705" i="1"/>
  <c r="C705" i="1"/>
  <c r="H704" i="1" a="1"/>
  <c r="H704" i="1" s="1"/>
  <c r="E704" i="1"/>
  <c r="F704" i="1" s="1"/>
  <c r="G704" i="1" s="1" a="1"/>
  <c r="G704" i="1" s="1"/>
  <c r="D704" i="1"/>
  <c r="C704" i="1"/>
  <c r="H703" i="1" a="1"/>
  <c r="H703" i="1" s="1"/>
  <c r="E703" i="1"/>
  <c r="F703" i="1" s="1"/>
  <c r="G703" i="1" s="1" a="1"/>
  <c r="G703" i="1" s="1"/>
  <c r="D703" i="1"/>
  <c r="C703" i="1"/>
  <c r="H702" i="1" a="1"/>
  <c r="H702" i="1" s="1"/>
  <c r="E702" i="1"/>
  <c r="F702" i="1" s="1"/>
  <c r="G702" i="1" s="1" a="1"/>
  <c r="G702" i="1" s="1"/>
  <c r="D702" i="1"/>
  <c r="C702" i="1" s="1"/>
  <c r="E701" i="1"/>
  <c r="F701" i="1" s="1"/>
  <c r="H701" i="1" s="1" a="1"/>
  <c r="H701" i="1" s="1"/>
  <c r="D701" i="1"/>
  <c r="C701" i="1" s="1"/>
  <c r="E700" i="1"/>
  <c r="F700" i="1" s="1"/>
  <c r="D700" i="1"/>
  <c r="C700" i="1" s="1"/>
  <c r="E699" i="1"/>
  <c r="F699" i="1" s="1"/>
  <c r="D699" i="1"/>
  <c r="C699" i="1"/>
  <c r="H698" i="1" a="1"/>
  <c r="H698" i="1" s="1"/>
  <c r="E698" i="1"/>
  <c r="F698" i="1" s="1"/>
  <c r="G698" i="1" s="1" a="1"/>
  <c r="G698" i="1" s="1"/>
  <c r="D698" i="1"/>
  <c r="C698" i="1"/>
  <c r="H697" i="1" a="1"/>
  <c r="H697" i="1" s="1"/>
  <c r="E697" i="1"/>
  <c r="F697" i="1" s="1"/>
  <c r="G697" i="1" s="1" a="1"/>
  <c r="G697" i="1" s="1"/>
  <c r="D697" i="1"/>
  <c r="C697" i="1"/>
  <c r="H696" i="1" a="1"/>
  <c r="H696" i="1" s="1"/>
  <c r="E696" i="1"/>
  <c r="F696" i="1" s="1"/>
  <c r="G696" i="1" s="1" a="1"/>
  <c r="G696" i="1" s="1"/>
  <c r="D696" i="1"/>
  <c r="C696" i="1" s="1"/>
  <c r="E695" i="1"/>
  <c r="F695" i="1" s="1"/>
  <c r="D695" i="1"/>
  <c r="C695" i="1" s="1"/>
  <c r="E694" i="1"/>
  <c r="F694" i="1" s="1"/>
  <c r="D694" i="1"/>
  <c r="C694" i="1"/>
  <c r="G693" i="1" a="1"/>
  <c r="G693" i="1" s="1"/>
  <c r="E693" i="1"/>
  <c r="F693" i="1" s="1"/>
  <c r="H693" i="1" s="1" a="1"/>
  <c r="H693" i="1" s="1"/>
  <c r="D693" i="1"/>
  <c r="C693" i="1"/>
  <c r="G692" i="1" a="1"/>
  <c r="G692" i="1" s="1"/>
  <c r="E692" i="1"/>
  <c r="F692" i="1" s="1"/>
  <c r="H692" i="1" s="1" a="1"/>
  <c r="H692" i="1" s="1"/>
  <c r="D692" i="1"/>
  <c r="C692" i="1" s="1"/>
  <c r="E691" i="1"/>
  <c r="F691" i="1" s="1"/>
  <c r="D691" i="1"/>
  <c r="C691" i="1"/>
  <c r="G690" i="1" a="1"/>
  <c r="G690" i="1" s="1"/>
  <c r="F690" i="1"/>
  <c r="H690" i="1" s="1" a="1"/>
  <c r="H690" i="1" s="1"/>
  <c r="E690" i="1"/>
  <c r="D690" i="1"/>
  <c r="C690" i="1" s="1"/>
  <c r="F689" i="1"/>
  <c r="E689" i="1"/>
  <c r="D689" i="1"/>
  <c r="C689" i="1"/>
  <c r="F688" i="1"/>
  <c r="H688" i="1" s="1" a="1"/>
  <c r="H688" i="1" s="1"/>
  <c r="E688" i="1"/>
  <c r="D688" i="1"/>
  <c r="C688" i="1"/>
  <c r="H687" i="1" a="1"/>
  <c r="H687" i="1" s="1"/>
  <c r="F687" i="1"/>
  <c r="G687" i="1" s="1" a="1"/>
  <c r="G687" i="1" s="1"/>
  <c r="E687" i="1"/>
  <c r="D687" i="1"/>
  <c r="C687" i="1" s="1"/>
  <c r="E686" i="1"/>
  <c r="F686" i="1" s="1"/>
  <c r="G686" i="1" s="1" a="1"/>
  <c r="G686" i="1" s="1"/>
  <c r="D686" i="1"/>
  <c r="C686" i="1" s="1"/>
  <c r="E685" i="1"/>
  <c r="F685" i="1" s="1"/>
  <c r="H685" i="1" s="1" a="1"/>
  <c r="H685" i="1" s="1"/>
  <c r="D685" i="1"/>
  <c r="C685" i="1" s="1"/>
  <c r="F684" i="1"/>
  <c r="E684" i="1"/>
  <c r="D684" i="1"/>
  <c r="C684" i="1" s="1"/>
  <c r="E683" i="1"/>
  <c r="F683" i="1" s="1"/>
  <c r="D683" i="1"/>
  <c r="C683" i="1" s="1"/>
  <c r="G682" i="1" a="1"/>
  <c r="G682" i="1" s="1"/>
  <c r="F682" i="1"/>
  <c r="H682" i="1" s="1" a="1"/>
  <c r="H682" i="1" s="1"/>
  <c r="E682" i="1"/>
  <c r="D682" i="1"/>
  <c r="C682" i="1" s="1"/>
  <c r="H681" i="1" a="1"/>
  <c r="H681" i="1" s="1"/>
  <c r="F681" i="1"/>
  <c r="G681" i="1" s="1" a="1"/>
  <c r="G681" i="1" s="1"/>
  <c r="E681" i="1"/>
  <c r="D681" i="1"/>
  <c r="C681" i="1"/>
  <c r="H680" i="1" a="1"/>
  <c r="H680" i="1" s="1"/>
  <c r="F680" i="1"/>
  <c r="G680" i="1" s="1" a="1"/>
  <c r="G680" i="1" s="1"/>
  <c r="E680" i="1"/>
  <c r="D680" i="1"/>
  <c r="C680" i="1"/>
  <c r="H679" i="1" a="1"/>
  <c r="H679" i="1" s="1"/>
  <c r="F679" i="1"/>
  <c r="G679" i="1" s="1" a="1"/>
  <c r="G679" i="1" s="1"/>
  <c r="E679" i="1"/>
  <c r="D679" i="1"/>
  <c r="C679" i="1" s="1"/>
  <c r="H678" i="1" a="1"/>
  <c r="H678" i="1" s="1"/>
  <c r="E678" i="1"/>
  <c r="F678" i="1" s="1"/>
  <c r="G678" i="1" s="1" a="1"/>
  <c r="G678" i="1" s="1"/>
  <c r="D678" i="1"/>
  <c r="C678" i="1"/>
  <c r="E677" i="1"/>
  <c r="F677" i="1" s="1"/>
  <c r="D677" i="1"/>
  <c r="C677" i="1" s="1"/>
  <c r="F676" i="1"/>
  <c r="E676" i="1"/>
  <c r="D676" i="1"/>
  <c r="C676" i="1" s="1"/>
  <c r="F675" i="1"/>
  <c r="E675" i="1"/>
  <c r="D675" i="1"/>
  <c r="C675" i="1"/>
  <c r="F674" i="1"/>
  <c r="E674" i="1"/>
  <c r="D674" i="1"/>
  <c r="C674" i="1" s="1"/>
  <c r="F673" i="1"/>
  <c r="H673" i="1" s="1" a="1"/>
  <c r="H673" i="1" s="1"/>
  <c r="E673" i="1"/>
  <c r="D673" i="1"/>
  <c r="C673" i="1"/>
  <c r="G672" i="1" a="1"/>
  <c r="G672" i="1" s="1"/>
  <c r="F672" i="1"/>
  <c r="H672" i="1" s="1" a="1"/>
  <c r="H672" i="1" s="1"/>
  <c r="E672" i="1"/>
  <c r="D672" i="1"/>
  <c r="C672" i="1"/>
  <c r="H671" i="1" a="1"/>
  <c r="H671" i="1" s="1"/>
  <c r="F671" i="1"/>
  <c r="G671" i="1" s="1" a="1"/>
  <c r="G671" i="1" s="1"/>
  <c r="E671" i="1"/>
  <c r="D671" i="1"/>
  <c r="C671" i="1" s="1"/>
  <c r="E670" i="1"/>
  <c r="F670" i="1" s="1"/>
  <c r="G670" i="1" s="1" a="1"/>
  <c r="G670" i="1" s="1"/>
  <c r="D670" i="1"/>
  <c r="C670" i="1" s="1"/>
  <c r="E669" i="1"/>
  <c r="F669" i="1" s="1"/>
  <c r="D669" i="1"/>
  <c r="C669" i="1" s="1"/>
  <c r="E668" i="1"/>
  <c r="F668" i="1" s="1"/>
  <c r="D668" i="1"/>
  <c r="C668" i="1" s="1"/>
  <c r="E667" i="1"/>
  <c r="F667" i="1" s="1"/>
  <c r="D667" i="1"/>
  <c r="C667" i="1" s="1"/>
  <c r="F666" i="1"/>
  <c r="H666" i="1" s="1" a="1"/>
  <c r="H666" i="1" s="1"/>
  <c r="E666" i="1"/>
  <c r="D666" i="1"/>
  <c r="C666" i="1" s="1"/>
  <c r="G665" i="1" a="1"/>
  <c r="G665" i="1" s="1"/>
  <c r="F665" i="1"/>
  <c r="H665" i="1" s="1" a="1"/>
  <c r="H665" i="1" s="1"/>
  <c r="E665" i="1"/>
  <c r="D665" i="1"/>
  <c r="C665" i="1"/>
  <c r="H664" i="1" a="1"/>
  <c r="H664" i="1" s="1"/>
  <c r="G664" i="1" a="1"/>
  <c r="G664" i="1" s="1"/>
  <c r="E664" i="1"/>
  <c r="F664" i="1" s="1"/>
  <c r="D664" i="1"/>
  <c r="C664" i="1"/>
  <c r="H663" i="1" a="1"/>
  <c r="H663" i="1" s="1"/>
  <c r="F663" i="1"/>
  <c r="G663" i="1" s="1" a="1"/>
  <c r="G663" i="1" s="1"/>
  <c r="E663" i="1"/>
  <c r="D663" i="1"/>
  <c r="C663" i="1" s="1"/>
  <c r="H662" i="1" a="1"/>
  <c r="H662" i="1" s="1"/>
  <c r="E662" i="1"/>
  <c r="F662" i="1" s="1"/>
  <c r="G662" i="1" s="1" a="1"/>
  <c r="G662" i="1" s="1"/>
  <c r="D662" i="1"/>
  <c r="C662" i="1" s="1"/>
  <c r="G661" i="1" a="1"/>
  <c r="G661" i="1" s="1"/>
  <c r="E661" i="1"/>
  <c r="F661" i="1" s="1"/>
  <c r="H661" i="1" s="1" a="1"/>
  <c r="H661" i="1" s="1"/>
  <c r="D661" i="1"/>
  <c r="C661" i="1" s="1"/>
  <c r="F660" i="1"/>
  <c r="E660" i="1"/>
  <c r="D660" i="1"/>
  <c r="C660" i="1" s="1"/>
  <c r="E659" i="1"/>
  <c r="F659" i="1" s="1"/>
  <c r="D659" i="1"/>
  <c r="C659" i="1" s="1"/>
  <c r="F658" i="1"/>
  <c r="H658" i="1" s="1" a="1"/>
  <c r="H658" i="1" s="1"/>
  <c r="E658" i="1"/>
  <c r="D658" i="1"/>
  <c r="C658" i="1" s="1"/>
  <c r="F657" i="1"/>
  <c r="E657" i="1"/>
  <c r="D657" i="1"/>
  <c r="C657" i="1"/>
  <c r="E656" i="1"/>
  <c r="F656" i="1" s="1"/>
  <c r="D656" i="1"/>
  <c r="C656" i="1"/>
  <c r="H655" i="1" a="1"/>
  <c r="H655" i="1" s="1"/>
  <c r="F655" i="1"/>
  <c r="G655" i="1" s="1" a="1"/>
  <c r="G655" i="1" s="1"/>
  <c r="E655" i="1"/>
  <c r="D655" i="1"/>
  <c r="C655" i="1" s="1"/>
  <c r="E654" i="1"/>
  <c r="F654" i="1" s="1"/>
  <c r="D654" i="1"/>
  <c r="C654" i="1" s="1"/>
  <c r="H653" i="1" a="1"/>
  <c r="H653" i="1" s="1"/>
  <c r="G653" i="1" a="1"/>
  <c r="G653" i="1" s="1"/>
  <c r="E653" i="1"/>
  <c r="F653" i="1" s="1"/>
  <c r="D653" i="1"/>
  <c r="C653" i="1" s="1"/>
  <c r="E652" i="1"/>
  <c r="F652" i="1" s="1"/>
  <c r="D652" i="1"/>
  <c r="C652" i="1" s="1"/>
  <c r="E651" i="1"/>
  <c r="F651" i="1" s="1"/>
  <c r="D651" i="1"/>
  <c r="C651" i="1"/>
  <c r="G650" i="1" a="1"/>
  <c r="G650" i="1" s="1"/>
  <c r="F650" i="1"/>
  <c r="H650" i="1" s="1" a="1"/>
  <c r="H650" i="1" s="1"/>
  <c r="E650" i="1"/>
  <c r="D650" i="1"/>
  <c r="C650" i="1" s="1"/>
  <c r="F649" i="1"/>
  <c r="H649" i="1" s="1" a="1"/>
  <c r="H649" i="1" s="1"/>
  <c r="E649" i="1"/>
  <c r="D649" i="1"/>
  <c r="C649" i="1"/>
  <c r="H648" i="1" a="1"/>
  <c r="H648" i="1" s="1"/>
  <c r="G648" i="1" a="1"/>
  <c r="G648" i="1" s="1"/>
  <c r="E648" i="1"/>
  <c r="F648" i="1" s="1"/>
  <c r="D648" i="1"/>
  <c r="C648" i="1"/>
  <c r="H647" i="1" a="1"/>
  <c r="H647" i="1" s="1"/>
  <c r="F647" i="1"/>
  <c r="G647" i="1" s="1" a="1"/>
  <c r="G647" i="1" s="1"/>
  <c r="E647" i="1"/>
  <c r="D647" i="1"/>
  <c r="C647" i="1" s="1"/>
  <c r="E646" i="1"/>
  <c r="F646" i="1" s="1"/>
  <c r="D646" i="1"/>
  <c r="C646" i="1" s="1"/>
  <c r="G645" i="1" a="1"/>
  <c r="G645" i="1" s="1"/>
  <c r="E645" i="1"/>
  <c r="F645" i="1" s="1"/>
  <c r="H645" i="1" s="1" a="1"/>
  <c r="H645" i="1" s="1"/>
  <c r="D645" i="1"/>
  <c r="C645" i="1" s="1"/>
  <c r="F644" i="1"/>
  <c r="E644" i="1"/>
  <c r="D644" i="1"/>
  <c r="C644" i="1" s="1"/>
  <c r="E643" i="1"/>
  <c r="F643" i="1" s="1"/>
  <c r="D643" i="1"/>
  <c r="C643" i="1"/>
  <c r="F642" i="1"/>
  <c r="E642" i="1"/>
  <c r="D642" i="1"/>
  <c r="C642" i="1" s="1"/>
  <c r="F641" i="1"/>
  <c r="E641" i="1"/>
  <c r="D641" i="1"/>
  <c r="C641" i="1"/>
  <c r="E640" i="1"/>
  <c r="F640" i="1" s="1"/>
  <c r="D640" i="1"/>
  <c r="C640" i="1"/>
  <c r="H639" i="1" a="1"/>
  <c r="H639" i="1" s="1"/>
  <c r="F639" i="1"/>
  <c r="G639" i="1" s="1" a="1"/>
  <c r="G639" i="1" s="1"/>
  <c r="E639" i="1"/>
  <c r="D639" i="1"/>
  <c r="C639" i="1" s="1"/>
  <c r="E638" i="1"/>
  <c r="F638" i="1" s="1"/>
  <c r="D638" i="1"/>
  <c r="C638" i="1" s="1"/>
  <c r="E637" i="1"/>
  <c r="F637" i="1" s="1"/>
  <c r="D637" i="1"/>
  <c r="C637" i="1" s="1"/>
  <c r="E636" i="1"/>
  <c r="F636" i="1" s="1"/>
  <c r="G636" i="1" s="1" a="1"/>
  <c r="G636" i="1" s="1"/>
  <c r="D636" i="1"/>
  <c r="C636" i="1" s="1"/>
  <c r="E635" i="1"/>
  <c r="F635" i="1" s="1"/>
  <c r="D635" i="1"/>
  <c r="C635" i="1" s="1"/>
  <c r="F634" i="1"/>
  <c r="E634" i="1"/>
  <c r="D634" i="1"/>
  <c r="C634" i="1" s="1"/>
  <c r="F633" i="1"/>
  <c r="E633" i="1"/>
  <c r="D633" i="1"/>
  <c r="C633" i="1"/>
  <c r="F632" i="1"/>
  <c r="E632" i="1"/>
  <c r="D632" i="1"/>
  <c r="C632" i="1"/>
  <c r="F631" i="1"/>
  <c r="E631" i="1"/>
  <c r="D631" i="1"/>
  <c r="C631" i="1"/>
  <c r="E630" i="1"/>
  <c r="F630" i="1" s="1"/>
  <c r="D630" i="1"/>
  <c r="C630" i="1"/>
  <c r="E629" i="1"/>
  <c r="F629" i="1" s="1"/>
  <c r="H629" i="1" s="1" a="1"/>
  <c r="H629" i="1" s="1"/>
  <c r="D629" i="1"/>
  <c r="C629" i="1" s="1"/>
  <c r="E628" i="1"/>
  <c r="F628" i="1" s="1"/>
  <c r="D628" i="1"/>
  <c r="C628" i="1"/>
  <c r="E627" i="1"/>
  <c r="F627" i="1" s="1"/>
  <c r="D627" i="1"/>
  <c r="C627" i="1"/>
  <c r="F626" i="1"/>
  <c r="H626" i="1" s="1" a="1"/>
  <c r="H626" i="1" s="1"/>
  <c r="E626" i="1"/>
  <c r="D626" i="1"/>
  <c r="C626" i="1" s="1"/>
  <c r="H625" i="1" a="1"/>
  <c r="H625" i="1" s="1"/>
  <c r="G625" i="1" a="1"/>
  <c r="G625" i="1" s="1"/>
  <c r="F625" i="1"/>
  <c r="E625" i="1"/>
  <c r="D625" i="1"/>
  <c r="C625" i="1"/>
  <c r="H624" i="1" a="1"/>
  <c r="H624" i="1" s="1"/>
  <c r="E624" i="1"/>
  <c r="F624" i="1" s="1"/>
  <c r="G624" i="1" s="1" a="1"/>
  <c r="G624" i="1" s="1"/>
  <c r="D624" i="1"/>
  <c r="C624" i="1"/>
  <c r="H623" i="1" a="1"/>
  <c r="H623" i="1" s="1"/>
  <c r="F623" i="1"/>
  <c r="G623" i="1" s="1" a="1"/>
  <c r="G623" i="1" s="1"/>
  <c r="E623" i="1"/>
  <c r="D623" i="1"/>
  <c r="C623" i="1"/>
  <c r="H622" i="1" a="1"/>
  <c r="H622" i="1" s="1"/>
  <c r="G622" i="1" a="1"/>
  <c r="G622" i="1" s="1"/>
  <c r="E622" i="1"/>
  <c r="F622" i="1" s="1"/>
  <c r="D622" i="1"/>
  <c r="C622" i="1"/>
  <c r="H621" i="1" a="1"/>
  <c r="H621" i="1" s="1"/>
  <c r="G621" i="1" a="1"/>
  <c r="G621" i="1" s="1"/>
  <c r="E621" i="1"/>
  <c r="F621" i="1" s="1"/>
  <c r="D621" i="1"/>
  <c r="C621" i="1" s="1"/>
  <c r="E620" i="1"/>
  <c r="F620" i="1" s="1"/>
  <c r="D620" i="1"/>
  <c r="C620" i="1"/>
  <c r="F619" i="1"/>
  <c r="E619" i="1"/>
  <c r="D619" i="1"/>
  <c r="C619" i="1" s="1"/>
  <c r="G618" i="1" a="1"/>
  <c r="G618" i="1" s="1"/>
  <c r="F618" i="1"/>
  <c r="H618" i="1" s="1" a="1"/>
  <c r="H618" i="1" s="1"/>
  <c r="E618" i="1"/>
  <c r="D618" i="1"/>
  <c r="C618" i="1" s="1"/>
  <c r="G617" i="1" a="1"/>
  <c r="G617" i="1" s="1"/>
  <c r="E617" i="1"/>
  <c r="F617" i="1" s="1"/>
  <c r="H617" i="1" s="1" a="1"/>
  <c r="H617" i="1" s="1"/>
  <c r="D617" i="1"/>
  <c r="C617" i="1"/>
  <c r="H616" i="1" a="1"/>
  <c r="H616" i="1" s="1"/>
  <c r="F616" i="1"/>
  <c r="G616" i="1" s="1" a="1"/>
  <c r="G616" i="1" s="1"/>
  <c r="E616" i="1"/>
  <c r="D616" i="1"/>
  <c r="C616" i="1"/>
  <c r="H615" i="1" a="1"/>
  <c r="H615" i="1" s="1"/>
  <c r="F615" i="1"/>
  <c r="G615" i="1" s="1" a="1"/>
  <c r="G615" i="1" s="1"/>
  <c r="E615" i="1"/>
  <c r="D615" i="1"/>
  <c r="C615" i="1" s="1"/>
  <c r="H614" i="1" a="1"/>
  <c r="H614" i="1" s="1"/>
  <c r="G614" i="1" a="1"/>
  <c r="G614" i="1" s="1"/>
  <c r="E614" i="1"/>
  <c r="F614" i="1" s="1"/>
  <c r="D614" i="1"/>
  <c r="C614" i="1" s="1"/>
  <c r="G613" i="1" a="1"/>
  <c r="G613" i="1" s="1"/>
  <c r="F613" i="1"/>
  <c r="H613" i="1" s="1" a="1"/>
  <c r="H613" i="1" s="1"/>
  <c r="E613" i="1"/>
  <c r="D613" i="1"/>
  <c r="C613" i="1" s="1"/>
  <c r="F612" i="1"/>
  <c r="E612" i="1"/>
  <c r="D612" i="1"/>
  <c r="C612" i="1"/>
  <c r="E611" i="1"/>
  <c r="F611" i="1" s="1"/>
  <c r="D611" i="1"/>
  <c r="C611" i="1"/>
  <c r="G610" i="1" a="1"/>
  <c r="G610" i="1" s="1"/>
  <c r="F610" i="1"/>
  <c r="H610" i="1" s="1" a="1"/>
  <c r="H610" i="1" s="1"/>
  <c r="E610" i="1"/>
  <c r="D610" i="1"/>
  <c r="C610" i="1" s="1"/>
  <c r="E609" i="1"/>
  <c r="F609" i="1" s="1"/>
  <c r="D609" i="1"/>
  <c r="C609" i="1"/>
  <c r="F608" i="1"/>
  <c r="E608" i="1"/>
  <c r="D608" i="1"/>
  <c r="C608" i="1"/>
  <c r="F607" i="1"/>
  <c r="E607" i="1"/>
  <c r="D607" i="1"/>
  <c r="C607" i="1" s="1"/>
  <c r="G606" i="1" a="1"/>
  <c r="G606" i="1" s="1"/>
  <c r="E606" i="1"/>
  <c r="F606" i="1" s="1"/>
  <c r="H606" i="1" s="1" a="1"/>
  <c r="H606" i="1" s="1"/>
  <c r="D606" i="1"/>
  <c r="C606" i="1"/>
  <c r="E605" i="1"/>
  <c r="F605" i="1" s="1"/>
  <c r="D605" i="1"/>
  <c r="C605" i="1" s="1"/>
  <c r="H604" i="1" a="1"/>
  <c r="H604" i="1" s="1"/>
  <c r="E604" i="1"/>
  <c r="F604" i="1" s="1"/>
  <c r="G604" i="1" s="1" a="1"/>
  <c r="G604" i="1" s="1"/>
  <c r="D604" i="1"/>
  <c r="C604" i="1" s="1"/>
  <c r="E603" i="1"/>
  <c r="F603" i="1" s="1"/>
  <c r="D603" i="1"/>
  <c r="C603" i="1" s="1"/>
  <c r="F602" i="1"/>
  <c r="E602" i="1"/>
  <c r="D602" i="1"/>
  <c r="C602" i="1" s="1"/>
  <c r="E601" i="1"/>
  <c r="F601" i="1" s="1"/>
  <c r="H601" i="1" s="1" a="1"/>
  <c r="H601" i="1" s="1"/>
  <c r="D601" i="1"/>
  <c r="C601" i="1"/>
  <c r="E600" i="1"/>
  <c r="F600" i="1" s="1"/>
  <c r="D600" i="1"/>
  <c r="C600" i="1"/>
  <c r="F599" i="1"/>
  <c r="E599" i="1"/>
  <c r="D599" i="1"/>
  <c r="C599" i="1" s="1"/>
  <c r="H598" i="1" a="1"/>
  <c r="H598" i="1" s="1"/>
  <c r="G598" i="1" a="1"/>
  <c r="G598" i="1" s="1"/>
  <c r="E598" i="1"/>
  <c r="F598" i="1" s="1"/>
  <c r="D598" i="1"/>
  <c r="C598" i="1" s="1"/>
  <c r="E597" i="1"/>
  <c r="F597" i="1" s="1"/>
  <c r="D597" i="1"/>
  <c r="C597" i="1" s="1"/>
  <c r="E596" i="1"/>
  <c r="F596" i="1" s="1"/>
  <c r="D596" i="1"/>
  <c r="C596" i="1"/>
  <c r="E595" i="1"/>
  <c r="F595" i="1" s="1"/>
  <c r="D595" i="1"/>
  <c r="C595" i="1"/>
  <c r="H594" i="1" a="1"/>
  <c r="H594" i="1" s="1"/>
  <c r="G594" i="1" a="1"/>
  <c r="G594" i="1" s="1"/>
  <c r="F594" i="1"/>
  <c r="E594" i="1"/>
  <c r="D594" i="1"/>
  <c r="C594" i="1" s="1"/>
  <c r="E593" i="1"/>
  <c r="F593" i="1" s="1"/>
  <c r="D593" i="1"/>
  <c r="C593" i="1"/>
  <c r="F592" i="1"/>
  <c r="G592" i="1" s="1" a="1"/>
  <c r="G592" i="1" s="1"/>
  <c r="E592" i="1"/>
  <c r="D592" i="1"/>
  <c r="C592" i="1" s="1"/>
  <c r="H591" i="1" a="1"/>
  <c r="H591" i="1" s="1"/>
  <c r="F591" i="1"/>
  <c r="G591" i="1" s="1" a="1"/>
  <c r="G591" i="1" s="1"/>
  <c r="E591" i="1"/>
  <c r="D591" i="1"/>
  <c r="C591" i="1" s="1"/>
  <c r="E590" i="1"/>
  <c r="F590" i="1" s="1"/>
  <c r="D590" i="1"/>
  <c r="C590" i="1" s="1"/>
  <c r="H589" i="1" a="1"/>
  <c r="H589" i="1" s="1"/>
  <c r="F589" i="1"/>
  <c r="G589" i="1" s="1" a="1"/>
  <c r="G589" i="1" s="1"/>
  <c r="E589" i="1"/>
  <c r="D589" i="1"/>
  <c r="C589" i="1" s="1"/>
  <c r="E588" i="1"/>
  <c r="F588" i="1" s="1"/>
  <c r="D588" i="1"/>
  <c r="C588" i="1" s="1"/>
  <c r="F587" i="1"/>
  <c r="H587" i="1" s="1" a="1"/>
  <c r="H587" i="1" s="1"/>
  <c r="E587" i="1"/>
  <c r="D587" i="1"/>
  <c r="C587" i="1"/>
  <c r="F586" i="1"/>
  <c r="H586" i="1" s="1" a="1"/>
  <c r="H586" i="1" s="1"/>
  <c r="E586" i="1"/>
  <c r="D586" i="1"/>
  <c r="C586" i="1" s="1"/>
  <c r="E585" i="1"/>
  <c r="F585" i="1" s="1"/>
  <c r="G585" i="1" s="1" a="1"/>
  <c r="G585" i="1" s="1"/>
  <c r="D585" i="1"/>
  <c r="C585" i="1"/>
  <c r="E584" i="1"/>
  <c r="F584" i="1" s="1"/>
  <c r="D584" i="1"/>
  <c r="C584" i="1" s="1"/>
  <c r="F583" i="1"/>
  <c r="G583" i="1" s="1" a="1"/>
  <c r="G583" i="1" s="1"/>
  <c r="E583" i="1"/>
  <c r="D583" i="1"/>
  <c r="C583" i="1" s="1"/>
  <c r="H582" i="1" a="1"/>
  <c r="H582" i="1" s="1"/>
  <c r="E582" i="1"/>
  <c r="F582" i="1" s="1"/>
  <c r="G582" i="1" s="1" a="1"/>
  <c r="G582" i="1" s="1"/>
  <c r="D582" i="1"/>
  <c r="C582" i="1"/>
  <c r="E581" i="1"/>
  <c r="F581" i="1" s="1"/>
  <c r="D581" i="1"/>
  <c r="C581" i="1" s="1"/>
  <c r="F580" i="1"/>
  <c r="E580" i="1"/>
  <c r="D580" i="1"/>
  <c r="C580" i="1" s="1"/>
  <c r="G579" i="1" a="1"/>
  <c r="G579" i="1" s="1"/>
  <c r="F579" i="1"/>
  <c r="H579" i="1" s="1" a="1"/>
  <c r="H579" i="1" s="1"/>
  <c r="E579" i="1"/>
  <c r="D579" i="1"/>
  <c r="C579" i="1"/>
  <c r="H578" i="1" a="1"/>
  <c r="H578" i="1" s="1"/>
  <c r="F578" i="1"/>
  <c r="G578" i="1" s="1" a="1"/>
  <c r="G578" i="1" s="1"/>
  <c r="E578" i="1"/>
  <c r="D578" i="1"/>
  <c r="C578" i="1" s="1"/>
  <c r="E577" i="1"/>
  <c r="F577" i="1" s="1"/>
  <c r="H577" i="1" s="1" a="1"/>
  <c r="H577" i="1" s="1"/>
  <c r="D577" i="1"/>
  <c r="C577" i="1"/>
  <c r="E576" i="1"/>
  <c r="F576" i="1" s="1"/>
  <c r="G576" i="1" s="1" a="1"/>
  <c r="G576" i="1" s="1"/>
  <c r="D576" i="1"/>
  <c r="C576" i="1" s="1"/>
  <c r="G575" i="1" a="1"/>
  <c r="G575" i="1" s="1"/>
  <c r="E575" i="1"/>
  <c r="F575" i="1" s="1"/>
  <c r="H575" i="1" s="1" a="1"/>
  <c r="H575" i="1" s="1"/>
  <c r="D575" i="1"/>
  <c r="C575" i="1"/>
  <c r="H574" i="1" a="1"/>
  <c r="H574" i="1" s="1"/>
  <c r="F574" i="1"/>
  <c r="G574" i="1" s="1" a="1"/>
  <c r="G574" i="1" s="1"/>
  <c r="E574" i="1"/>
  <c r="D574" i="1"/>
  <c r="C574" i="1" s="1"/>
  <c r="H573" i="1" a="1"/>
  <c r="H573" i="1" s="1"/>
  <c r="F573" i="1"/>
  <c r="G573" i="1" s="1" a="1"/>
  <c r="G573" i="1" s="1"/>
  <c r="E573" i="1"/>
  <c r="D573" i="1"/>
  <c r="C573" i="1" s="1"/>
  <c r="F572" i="1"/>
  <c r="H572" i="1" s="1" a="1"/>
  <c r="H572" i="1" s="1"/>
  <c r="E572" i="1"/>
  <c r="D572" i="1"/>
  <c r="C572" i="1"/>
  <c r="H571" i="1" a="1"/>
  <c r="H571" i="1" s="1"/>
  <c r="F571" i="1"/>
  <c r="G571" i="1" s="1" a="1"/>
  <c r="G571" i="1" s="1"/>
  <c r="E571" i="1"/>
  <c r="D571" i="1"/>
  <c r="C571" i="1" s="1"/>
  <c r="E570" i="1"/>
  <c r="F570" i="1" s="1"/>
  <c r="D570" i="1"/>
  <c r="C570" i="1"/>
  <c r="E569" i="1"/>
  <c r="F569" i="1" s="1"/>
  <c r="D569" i="1"/>
  <c r="C569" i="1"/>
  <c r="G568" i="1" a="1"/>
  <c r="G568" i="1" s="1"/>
  <c r="E568" i="1"/>
  <c r="F568" i="1" s="1"/>
  <c r="H568" i="1" s="1" a="1"/>
  <c r="H568" i="1" s="1"/>
  <c r="D568" i="1"/>
  <c r="C568" i="1"/>
  <c r="G567" i="1" a="1"/>
  <c r="G567" i="1" s="1"/>
  <c r="F567" i="1"/>
  <c r="H567" i="1" s="1" a="1"/>
  <c r="H567" i="1" s="1"/>
  <c r="E567" i="1"/>
  <c r="D567" i="1"/>
  <c r="C567" i="1"/>
  <c r="F566" i="1"/>
  <c r="E566" i="1"/>
  <c r="D566" i="1"/>
  <c r="C566" i="1" s="1"/>
  <c r="H565" i="1" a="1"/>
  <c r="H565" i="1" s="1"/>
  <c r="F565" i="1"/>
  <c r="G565" i="1" s="1" a="1"/>
  <c r="G565" i="1" s="1"/>
  <c r="E565" i="1"/>
  <c r="D565" i="1"/>
  <c r="C565" i="1"/>
  <c r="E564" i="1"/>
  <c r="F564" i="1" s="1"/>
  <c r="D564" i="1"/>
  <c r="C564" i="1"/>
  <c r="E563" i="1"/>
  <c r="F563" i="1" s="1"/>
  <c r="H563" i="1" s="1" a="1"/>
  <c r="H563" i="1" s="1"/>
  <c r="D563" i="1"/>
  <c r="C563" i="1"/>
  <c r="H562" i="1" a="1"/>
  <c r="H562" i="1" s="1"/>
  <c r="G562" i="1"/>
  <c r="G562" i="1" a="1"/>
  <c r="E562" i="1"/>
  <c r="F562" i="1" s="1"/>
  <c r="D562" i="1"/>
  <c r="C562" i="1"/>
  <c r="E561" i="1"/>
  <c r="F561" i="1" s="1"/>
  <c r="G561" i="1" s="1" a="1"/>
  <c r="G561" i="1" s="1"/>
  <c r="D561" i="1"/>
  <c r="C561" i="1" s="1"/>
  <c r="H560" i="1" a="1"/>
  <c r="H560" i="1" s="1"/>
  <c r="E560" i="1"/>
  <c r="F560" i="1" s="1"/>
  <c r="G560" i="1" s="1" a="1"/>
  <c r="G560" i="1" s="1"/>
  <c r="D560" i="1"/>
  <c r="C560" i="1" s="1"/>
  <c r="F559" i="1"/>
  <c r="E559" i="1"/>
  <c r="D559" i="1"/>
  <c r="C559" i="1"/>
  <c r="F558" i="1"/>
  <c r="E558" i="1"/>
  <c r="D558" i="1"/>
  <c r="C558" i="1" s="1"/>
  <c r="H557" i="1" a="1"/>
  <c r="H557" i="1" s="1"/>
  <c r="E557" i="1"/>
  <c r="F557" i="1" s="1"/>
  <c r="G557" i="1" s="1" a="1"/>
  <c r="G557" i="1" s="1"/>
  <c r="D557" i="1"/>
  <c r="C557" i="1"/>
  <c r="H556" i="1" a="1"/>
  <c r="H556" i="1" s="1"/>
  <c r="E556" i="1"/>
  <c r="F556" i="1" s="1"/>
  <c r="G556" i="1" s="1" a="1"/>
  <c r="G556" i="1" s="1"/>
  <c r="D556" i="1"/>
  <c r="C556" i="1"/>
  <c r="F555" i="1"/>
  <c r="E555" i="1"/>
  <c r="D555" i="1"/>
  <c r="C555" i="1"/>
  <c r="H554" i="1" a="1"/>
  <c r="H554" i="1" s="1"/>
  <c r="E554" i="1"/>
  <c r="F554" i="1" s="1"/>
  <c r="G554" i="1" s="1" a="1"/>
  <c r="G554" i="1" s="1"/>
  <c r="D554" i="1"/>
  <c r="C554" i="1" s="1"/>
  <c r="F553" i="1"/>
  <c r="E553" i="1"/>
  <c r="D553" i="1"/>
  <c r="C553" i="1"/>
  <c r="G552" i="1" a="1"/>
  <c r="G552" i="1" s="1"/>
  <c r="E552" i="1"/>
  <c r="F552" i="1" s="1"/>
  <c r="H552" i="1" s="1" a="1"/>
  <c r="H552" i="1" s="1"/>
  <c r="D552" i="1"/>
  <c r="C552" i="1"/>
  <c r="H551" i="1" a="1"/>
  <c r="H551" i="1" s="1"/>
  <c r="G551" i="1" a="1"/>
  <c r="G551" i="1" s="1"/>
  <c r="E551" i="1"/>
  <c r="F551" i="1" s="1"/>
  <c r="D551" i="1"/>
  <c r="C551" i="1"/>
  <c r="H550" i="1"/>
  <c r="G550" i="1" a="1"/>
  <c r="G550" i="1" s="1"/>
  <c r="E550" i="1"/>
  <c r="F550" i="1" s="1"/>
  <c r="H550" i="1" s="1" a="1"/>
  <c r="D550" i="1"/>
  <c r="C550" i="1"/>
  <c r="E549" i="1"/>
  <c r="F549" i="1" s="1"/>
  <c r="G549" i="1" s="1" a="1"/>
  <c r="G549" i="1" s="1"/>
  <c r="D549" i="1"/>
  <c r="C549" i="1"/>
  <c r="F548" i="1"/>
  <c r="E548" i="1"/>
  <c r="D548" i="1"/>
  <c r="C548" i="1"/>
  <c r="H547" i="1"/>
  <c r="H547" i="1" a="1"/>
  <c r="G547" i="1" a="1"/>
  <c r="G547" i="1" s="1"/>
  <c r="E547" i="1"/>
  <c r="F547" i="1" s="1"/>
  <c r="D547" i="1"/>
  <c r="C547" i="1" s="1"/>
  <c r="H546" i="1"/>
  <c r="G546" i="1" a="1"/>
  <c r="G546" i="1" s="1"/>
  <c r="E546" i="1"/>
  <c r="F546" i="1" s="1"/>
  <c r="H546" i="1" s="1" a="1"/>
  <c r="D546" i="1"/>
  <c r="C546" i="1"/>
  <c r="H545" i="1" a="1"/>
  <c r="H545" i="1" s="1"/>
  <c r="G545" i="1" a="1"/>
  <c r="G545" i="1" s="1"/>
  <c r="E545" i="1"/>
  <c r="F545" i="1" s="1"/>
  <c r="D545" i="1"/>
  <c r="C545" i="1"/>
  <c r="F544" i="1"/>
  <c r="E544" i="1"/>
  <c r="D544" i="1"/>
  <c r="C544" i="1" s="1"/>
  <c r="H543" i="1" a="1"/>
  <c r="H543" i="1" s="1"/>
  <c r="G543" i="1" a="1"/>
  <c r="G543" i="1" s="1"/>
  <c r="E543" i="1"/>
  <c r="F543" i="1" s="1"/>
  <c r="D543" i="1"/>
  <c r="C543" i="1"/>
  <c r="F542" i="1"/>
  <c r="E542" i="1"/>
  <c r="D542" i="1"/>
  <c r="C542" i="1"/>
  <c r="H541" i="1" a="1"/>
  <c r="H541" i="1" s="1"/>
  <c r="E541" i="1"/>
  <c r="F541" i="1" s="1"/>
  <c r="G541" i="1" s="1" a="1"/>
  <c r="G541" i="1" s="1"/>
  <c r="D541" i="1"/>
  <c r="C541" i="1" s="1"/>
  <c r="E540" i="1"/>
  <c r="F540" i="1" s="1"/>
  <c r="D540" i="1"/>
  <c r="C540" i="1" s="1"/>
  <c r="H539" i="1" a="1"/>
  <c r="H539" i="1" s="1"/>
  <c r="G539" i="1" a="1"/>
  <c r="G539" i="1" s="1"/>
  <c r="E539" i="1"/>
  <c r="F539" i="1" s="1"/>
  <c r="D539" i="1"/>
  <c r="C539" i="1" s="1"/>
  <c r="G538" i="1" a="1"/>
  <c r="G538" i="1" s="1"/>
  <c r="E538" i="1"/>
  <c r="F538" i="1" s="1"/>
  <c r="H538" i="1" s="1" a="1"/>
  <c r="H538" i="1" s="1"/>
  <c r="D538" i="1"/>
  <c r="C538" i="1" s="1"/>
  <c r="H537" i="1"/>
  <c r="H537" i="1" a="1"/>
  <c r="E537" i="1"/>
  <c r="F537" i="1" s="1"/>
  <c r="G537" i="1" s="1" a="1"/>
  <c r="G537" i="1" s="1"/>
  <c r="D537" i="1"/>
  <c r="C537" i="1"/>
  <c r="E536" i="1"/>
  <c r="F536" i="1" s="1"/>
  <c r="D536" i="1"/>
  <c r="C536" i="1" s="1"/>
  <c r="H535" i="1"/>
  <c r="H535" i="1" a="1"/>
  <c r="G535" i="1" a="1"/>
  <c r="G535" i="1" s="1"/>
  <c r="E535" i="1"/>
  <c r="F535" i="1" s="1"/>
  <c r="D535" i="1"/>
  <c r="C535" i="1" s="1"/>
  <c r="E534" i="1"/>
  <c r="F534" i="1" s="1"/>
  <c r="D534" i="1"/>
  <c r="C534" i="1" s="1"/>
  <c r="E533" i="1"/>
  <c r="F533" i="1" s="1"/>
  <c r="G533" i="1" s="1" a="1"/>
  <c r="G533" i="1" s="1"/>
  <c r="D533" i="1"/>
  <c r="C533" i="1" s="1"/>
  <c r="F532" i="1"/>
  <c r="E532" i="1"/>
  <c r="D532" i="1"/>
  <c r="C532" i="1" s="1"/>
  <c r="E531" i="1"/>
  <c r="F531" i="1" s="1"/>
  <c r="D531" i="1"/>
  <c r="C531" i="1" s="1"/>
  <c r="E530" i="1"/>
  <c r="F530" i="1" s="1"/>
  <c r="D530" i="1"/>
  <c r="C530" i="1" s="1"/>
  <c r="G529" i="1" a="1"/>
  <c r="G529" i="1" s="1"/>
  <c r="E529" i="1"/>
  <c r="F529" i="1" s="1"/>
  <c r="H529" i="1" s="1" a="1"/>
  <c r="H529" i="1" s="1"/>
  <c r="D529" i="1"/>
  <c r="C529" i="1" s="1"/>
  <c r="E528" i="1"/>
  <c r="F528" i="1" s="1"/>
  <c r="D528" i="1"/>
  <c r="C528" i="1" s="1"/>
  <c r="H527" i="1" a="1"/>
  <c r="H527" i="1" s="1"/>
  <c r="G527" i="1" a="1"/>
  <c r="G527" i="1" s="1"/>
  <c r="E527" i="1"/>
  <c r="F527" i="1" s="1"/>
  <c r="D527" i="1"/>
  <c r="C527" i="1"/>
  <c r="F526" i="1"/>
  <c r="E526" i="1"/>
  <c r="D526" i="1"/>
  <c r="C526" i="1"/>
  <c r="G525" i="1" a="1"/>
  <c r="G525" i="1" s="1"/>
  <c r="E525" i="1"/>
  <c r="F525" i="1" s="1"/>
  <c r="H525" i="1" s="1" a="1"/>
  <c r="H525" i="1" s="1"/>
  <c r="D525" i="1"/>
  <c r="C525" i="1"/>
  <c r="H524" i="1"/>
  <c r="G524" i="1"/>
  <c r="G524" i="1" a="1"/>
  <c r="F524" i="1"/>
  <c r="H524" i="1" s="1" a="1"/>
  <c r="E524" i="1"/>
  <c r="D524" i="1"/>
  <c r="C524" i="1"/>
  <c r="G523" i="1" a="1"/>
  <c r="G523" i="1" s="1"/>
  <c r="E523" i="1"/>
  <c r="F523" i="1" s="1"/>
  <c r="H523" i="1" s="1" a="1"/>
  <c r="H523" i="1" s="1"/>
  <c r="D523" i="1"/>
  <c r="C523" i="1"/>
  <c r="E522" i="1"/>
  <c r="F522" i="1" s="1"/>
  <c r="D522" i="1"/>
  <c r="C522" i="1" s="1"/>
  <c r="E521" i="1"/>
  <c r="F521" i="1" s="1"/>
  <c r="D521" i="1"/>
  <c r="C521" i="1"/>
  <c r="E520" i="1"/>
  <c r="F520" i="1" s="1"/>
  <c r="D520" i="1"/>
  <c r="C520" i="1" s="1"/>
  <c r="H519" i="1" a="1"/>
  <c r="H519" i="1" s="1"/>
  <c r="G519" i="1" a="1"/>
  <c r="G519" i="1" s="1"/>
  <c r="E519" i="1"/>
  <c r="F519" i="1" s="1"/>
  <c r="D519" i="1"/>
  <c r="C519" i="1"/>
  <c r="F518" i="1"/>
  <c r="E518" i="1"/>
  <c r="D518" i="1"/>
  <c r="C518" i="1" s="1"/>
  <c r="G517" i="1" a="1"/>
  <c r="G517" i="1" s="1"/>
  <c r="E517" i="1"/>
  <c r="F517" i="1" s="1"/>
  <c r="H517" i="1" s="1" a="1"/>
  <c r="H517" i="1" s="1"/>
  <c r="D517" i="1"/>
  <c r="C517" i="1"/>
  <c r="F516" i="1"/>
  <c r="E516" i="1"/>
  <c r="D516" i="1"/>
  <c r="C516" i="1"/>
  <c r="E515" i="1"/>
  <c r="F515" i="1" s="1"/>
  <c r="G515" i="1" s="1" a="1"/>
  <c r="G515" i="1" s="1"/>
  <c r="D515" i="1"/>
  <c r="C515" i="1" s="1"/>
  <c r="G514" i="1" a="1"/>
  <c r="G514" i="1" s="1"/>
  <c r="E514" i="1"/>
  <c r="F514" i="1" s="1"/>
  <c r="H514" i="1" s="1" a="1"/>
  <c r="H514" i="1" s="1"/>
  <c r="D514" i="1"/>
  <c r="C514" i="1"/>
  <c r="H513" i="1" a="1"/>
  <c r="H513" i="1" s="1"/>
  <c r="G513" i="1" a="1"/>
  <c r="G513" i="1" s="1"/>
  <c r="E513" i="1"/>
  <c r="F513" i="1" s="1"/>
  <c r="D513" i="1"/>
  <c r="C513" i="1" s="1"/>
  <c r="H512" i="1"/>
  <c r="G512" i="1" a="1"/>
  <c r="G512" i="1" s="1"/>
  <c r="F512" i="1"/>
  <c r="H512" i="1" s="1" a="1"/>
  <c r="E512" i="1"/>
  <c r="D512" i="1"/>
  <c r="C512" i="1" s="1"/>
  <c r="H511" i="1" a="1"/>
  <c r="H511" i="1" s="1"/>
  <c r="G511" i="1" a="1"/>
  <c r="G511" i="1" s="1"/>
  <c r="E511" i="1"/>
  <c r="F511" i="1" s="1"/>
  <c r="D511" i="1"/>
  <c r="C511" i="1"/>
  <c r="F510" i="1"/>
  <c r="E510" i="1"/>
  <c r="D510" i="1"/>
  <c r="C510" i="1" s="1"/>
  <c r="H509" i="1"/>
  <c r="H509" i="1" a="1"/>
  <c r="E509" i="1"/>
  <c r="F509" i="1" s="1"/>
  <c r="G509" i="1" s="1" a="1"/>
  <c r="G509" i="1" s="1"/>
  <c r="D509" i="1"/>
  <c r="C509" i="1"/>
  <c r="F508" i="1"/>
  <c r="E508" i="1"/>
  <c r="D508" i="1"/>
  <c r="C508" i="1"/>
  <c r="H507" i="1" a="1"/>
  <c r="H507" i="1" s="1"/>
  <c r="E507" i="1"/>
  <c r="F507" i="1" s="1"/>
  <c r="G507" i="1" s="1" a="1"/>
  <c r="G507" i="1" s="1"/>
  <c r="D507" i="1"/>
  <c r="C507" i="1" s="1"/>
  <c r="G506" i="1"/>
  <c r="G506" i="1" a="1"/>
  <c r="E506" i="1"/>
  <c r="F506" i="1" s="1"/>
  <c r="H506" i="1" s="1" a="1"/>
  <c r="H506" i="1" s="1"/>
  <c r="D506" i="1"/>
  <c r="C506" i="1"/>
  <c r="E505" i="1"/>
  <c r="F505" i="1" s="1"/>
  <c r="H505" i="1" s="1" a="1"/>
  <c r="H505" i="1" s="1"/>
  <c r="D505" i="1"/>
  <c r="C505" i="1"/>
  <c r="E504" i="1"/>
  <c r="F504" i="1" s="1"/>
  <c r="D504" i="1"/>
  <c r="C504" i="1" s="1"/>
  <c r="H503" i="1" a="1"/>
  <c r="H503" i="1" s="1"/>
  <c r="G503" i="1" a="1"/>
  <c r="G503" i="1" s="1"/>
  <c r="E503" i="1"/>
  <c r="F503" i="1" s="1"/>
  <c r="D503" i="1"/>
  <c r="C503" i="1"/>
  <c r="F502" i="1"/>
  <c r="E502" i="1"/>
  <c r="D502" i="1"/>
  <c r="C502" i="1"/>
  <c r="E501" i="1"/>
  <c r="F501" i="1" s="1"/>
  <c r="D501" i="1"/>
  <c r="C501" i="1"/>
  <c r="F500" i="1"/>
  <c r="E500" i="1"/>
  <c r="D500" i="1"/>
  <c r="C500" i="1"/>
  <c r="E499" i="1"/>
  <c r="F499" i="1" s="1"/>
  <c r="D499" i="1"/>
  <c r="C499" i="1" s="1"/>
  <c r="F498" i="1"/>
  <c r="E498" i="1"/>
  <c r="D498" i="1"/>
  <c r="C498" i="1"/>
  <c r="G497" i="1" a="1"/>
  <c r="G497" i="1" s="1"/>
  <c r="E497" i="1"/>
  <c r="F497" i="1" s="1"/>
  <c r="H497" i="1" s="1" a="1"/>
  <c r="H497" i="1" s="1"/>
  <c r="D497" i="1"/>
  <c r="C497" i="1" s="1"/>
  <c r="E496" i="1"/>
  <c r="F496" i="1" s="1"/>
  <c r="D496" i="1"/>
  <c r="C496" i="1"/>
  <c r="H495" i="1" a="1"/>
  <c r="H495" i="1" s="1"/>
  <c r="E495" i="1"/>
  <c r="F495" i="1" s="1"/>
  <c r="G495" i="1" s="1" a="1"/>
  <c r="G495" i="1" s="1"/>
  <c r="D495" i="1"/>
  <c r="C495" i="1" s="1"/>
  <c r="F494" i="1"/>
  <c r="E494" i="1"/>
  <c r="D494" i="1"/>
  <c r="C494" i="1"/>
  <c r="H493" i="1"/>
  <c r="H493" i="1" a="1"/>
  <c r="G493" i="1" a="1"/>
  <c r="G493" i="1" s="1"/>
  <c r="E493" i="1"/>
  <c r="F493" i="1" s="1"/>
  <c r="D493" i="1"/>
  <c r="C493" i="1" s="1"/>
  <c r="G492" i="1" a="1"/>
  <c r="G492" i="1" s="1"/>
  <c r="F492" i="1"/>
  <c r="H492" i="1" s="1" a="1"/>
  <c r="H492" i="1" s="1"/>
  <c r="E492" i="1"/>
  <c r="D492" i="1"/>
  <c r="C492" i="1"/>
  <c r="E491" i="1"/>
  <c r="F491" i="1" s="1"/>
  <c r="D491" i="1"/>
  <c r="C491" i="1"/>
  <c r="H490" i="1"/>
  <c r="G490" i="1" a="1"/>
  <c r="G490" i="1" s="1"/>
  <c r="E490" i="1"/>
  <c r="F490" i="1" s="1"/>
  <c r="H490" i="1" s="1" a="1"/>
  <c r="D490" i="1"/>
  <c r="C490" i="1"/>
  <c r="G489" i="1" a="1"/>
  <c r="G489" i="1" s="1"/>
  <c r="E489" i="1"/>
  <c r="F489" i="1" s="1"/>
  <c r="H489" i="1" s="1" a="1"/>
  <c r="H489" i="1" s="1"/>
  <c r="D489" i="1"/>
  <c r="C489" i="1"/>
  <c r="H488" i="1"/>
  <c r="G488" i="1" a="1"/>
  <c r="G488" i="1" s="1"/>
  <c r="E488" i="1"/>
  <c r="F488" i="1" s="1"/>
  <c r="H488" i="1" s="1" a="1"/>
  <c r="D488" i="1"/>
  <c r="C488" i="1" s="1"/>
  <c r="H487" i="1"/>
  <c r="H487" i="1" a="1"/>
  <c r="G487" i="1" a="1"/>
  <c r="G487" i="1" s="1"/>
  <c r="E487" i="1"/>
  <c r="F487" i="1" s="1"/>
  <c r="D487" i="1"/>
  <c r="C487" i="1"/>
  <c r="E486" i="1"/>
  <c r="F486" i="1" s="1"/>
  <c r="D486" i="1"/>
  <c r="C486" i="1"/>
  <c r="H485" i="1" a="1"/>
  <c r="H485" i="1" s="1"/>
  <c r="G485" i="1" a="1"/>
  <c r="G485" i="1" s="1"/>
  <c r="E485" i="1"/>
  <c r="F485" i="1" s="1"/>
  <c r="D485" i="1"/>
  <c r="C485" i="1" s="1"/>
  <c r="G484" i="1" a="1"/>
  <c r="G484" i="1" s="1"/>
  <c r="F484" i="1"/>
  <c r="H484" i="1" s="1" a="1"/>
  <c r="H484" i="1" s="1"/>
  <c r="E484" i="1"/>
  <c r="D484" i="1"/>
  <c r="C484" i="1" s="1"/>
  <c r="H483" i="1" a="1"/>
  <c r="H483" i="1" s="1"/>
  <c r="G483" i="1" a="1"/>
  <c r="G483" i="1" s="1"/>
  <c r="E483" i="1"/>
  <c r="F483" i="1" s="1"/>
  <c r="D483" i="1"/>
  <c r="C483" i="1" s="1"/>
  <c r="H482" i="1"/>
  <c r="G482" i="1"/>
  <c r="G482" i="1" a="1"/>
  <c r="F482" i="1"/>
  <c r="H482" i="1" s="1" a="1"/>
  <c r="E482" i="1"/>
  <c r="D482" i="1"/>
  <c r="C482" i="1" s="1"/>
  <c r="H481" i="1" a="1"/>
  <c r="H481" i="1" s="1"/>
  <c r="G481" i="1" a="1"/>
  <c r="G481" i="1" s="1"/>
  <c r="E481" i="1"/>
  <c r="F481" i="1" s="1"/>
  <c r="D481" i="1"/>
  <c r="C481" i="1"/>
  <c r="F480" i="1"/>
  <c r="E480" i="1"/>
  <c r="D480" i="1"/>
  <c r="C480" i="1" s="1"/>
  <c r="H479" i="1" a="1"/>
  <c r="H479" i="1" s="1"/>
  <c r="G479" i="1" a="1"/>
  <c r="G479" i="1" s="1"/>
  <c r="E479" i="1"/>
  <c r="F479" i="1" s="1"/>
  <c r="D479" i="1"/>
  <c r="C479" i="1" s="1"/>
  <c r="E478" i="1"/>
  <c r="F478" i="1" s="1"/>
  <c r="D478" i="1"/>
  <c r="C478" i="1"/>
  <c r="H477" i="1" a="1"/>
  <c r="H477" i="1" s="1"/>
  <c r="G477" i="1" a="1"/>
  <c r="G477" i="1" s="1"/>
  <c r="E477" i="1"/>
  <c r="F477" i="1" s="1"/>
  <c r="D477" i="1"/>
  <c r="C477" i="1" s="1"/>
  <c r="E476" i="1"/>
  <c r="F476" i="1" s="1"/>
  <c r="H476" i="1" s="1" a="1"/>
  <c r="H476" i="1" s="1"/>
  <c r="D476" i="1"/>
  <c r="C476" i="1"/>
  <c r="H475" i="1" a="1"/>
  <c r="H475" i="1" s="1"/>
  <c r="G475" i="1" a="1"/>
  <c r="G475" i="1" s="1"/>
  <c r="E475" i="1"/>
  <c r="F475" i="1" s="1"/>
  <c r="D475" i="1"/>
  <c r="C475" i="1"/>
  <c r="E474" i="1"/>
  <c r="F474" i="1" s="1"/>
  <c r="H474" i="1" s="1" a="1"/>
  <c r="H474" i="1" s="1"/>
  <c r="D474" i="1"/>
  <c r="C474" i="1"/>
  <c r="H473" i="1"/>
  <c r="H473" i="1" a="1"/>
  <c r="G473" i="1" a="1"/>
  <c r="G473" i="1" s="1"/>
  <c r="E473" i="1"/>
  <c r="F473" i="1" s="1"/>
  <c r="D473" i="1"/>
  <c r="C473" i="1"/>
  <c r="H472" i="1"/>
  <c r="G472" i="1"/>
  <c r="G472" i="1" a="1"/>
  <c r="E472" i="1"/>
  <c r="F472" i="1" s="1"/>
  <c r="H472" i="1" s="1" a="1"/>
  <c r="D472" i="1"/>
  <c r="C472" i="1" s="1"/>
  <c r="G471" i="1" a="1"/>
  <c r="G471" i="1" s="1"/>
  <c r="E471" i="1"/>
  <c r="F471" i="1" s="1"/>
  <c r="H471" i="1" s="1" a="1"/>
  <c r="H471" i="1" s="1"/>
  <c r="D471" i="1"/>
  <c r="C471" i="1" s="1"/>
  <c r="E470" i="1"/>
  <c r="F470" i="1" s="1"/>
  <c r="D470" i="1"/>
  <c r="C470" i="1" s="1"/>
  <c r="E469" i="1"/>
  <c r="F469" i="1" s="1"/>
  <c r="G469" i="1" s="1" a="1"/>
  <c r="G469" i="1" s="1"/>
  <c r="D469" i="1"/>
  <c r="C469" i="1" s="1"/>
  <c r="F468" i="1"/>
  <c r="E468" i="1"/>
  <c r="D468" i="1"/>
  <c r="C468" i="1" s="1"/>
  <c r="E467" i="1"/>
  <c r="F467" i="1" s="1"/>
  <c r="D467" i="1"/>
  <c r="C467" i="1" s="1"/>
  <c r="E466" i="1"/>
  <c r="F466" i="1" s="1"/>
  <c r="D466" i="1"/>
  <c r="C466" i="1" s="1"/>
  <c r="H465" i="1" a="1"/>
  <c r="H465" i="1" s="1"/>
  <c r="E465" i="1"/>
  <c r="F465" i="1" s="1"/>
  <c r="G465" i="1" s="1" a="1"/>
  <c r="G465" i="1" s="1"/>
  <c r="D465" i="1"/>
  <c r="C465" i="1" s="1"/>
  <c r="E464" i="1"/>
  <c r="F464" i="1" s="1"/>
  <c r="D464" i="1"/>
  <c r="C464" i="1"/>
  <c r="E463" i="1"/>
  <c r="F463" i="1" s="1"/>
  <c r="D463" i="1"/>
  <c r="C463" i="1"/>
  <c r="F462" i="1"/>
  <c r="E462" i="1"/>
  <c r="D462" i="1"/>
  <c r="C462" i="1"/>
  <c r="F461" i="1"/>
  <c r="G461" i="1" s="1" a="1"/>
  <c r="G461" i="1" s="1"/>
  <c r="E461" i="1"/>
  <c r="D461" i="1"/>
  <c r="C461" i="1"/>
  <c r="H460" i="1" a="1"/>
  <c r="H460" i="1" s="1"/>
  <c r="G460" i="1"/>
  <c r="G460" i="1" a="1"/>
  <c r="E460" i="1"/>
  <c r="F460" i="1" s="1"/>
  <c r="D460" i="1"/>
  <c r="C460" i="1" s="1"/>
  <c r="G459" i="1" a="1"/>
  <c r="G459" i="1" s="1"/>
  <c r="E459" i="1"/>
  <c r="F459" i="1" s="1"/>
  <c r="H459" i="1" s="1" a="1"/>
  <c r="H459" i="1" s="1"/>
  <c r="D459" i="1"/>
  <c r="C459" i="1" s="1"/>
  <c r="E458" i="1"/>
  <c r="F458" i="1" s="1"/>
  <c r="D458" i="1"/>
  <c r="C458" i="1" s="1"/>
  <c r="E457" i="1"/>
  <c r="F457" i="1" s="1"/>
  <c r="D457" i="1"/>
  <c r="C457" i="1"/>
  <c r="E456" i="1"/>
  <c r="F456" i="1" s="1"/>
  <c r="G456" i="1" s="1" a="1"/>
  <c r="G456" i="1" s="1"/>
  <c r="D456" i="1"/>
  <c r="C456" i="1" s="1"/>
  <c r="G455" i="1" a="1"/>
  <c r="G455" i="1" s="1"/>
  <c r="F455" i="1"/>
  <c r="H455" i="1" s="1" a="1"/>
  <c r="H455" i="1" s="1"/>
  <c r="E455" i="1"/>
  <c r="D455" i="1"/>
  <c r="C455" i="1"/>
  <c r="H454" i="1" a="1"/>
  <c r="H454" i="1" s="1"/>
  <c r="E454" i="1"/>
  <c r="F454" i="1" s="1"/>
  <c r="G454" i="1" s="1" a="1"/>
  <c r="G454" i="1" s="1"/>
  <c r="D454" i="1"/>
  <c r="C454" i="1" s="1"/>
  <c r="E453" i="1"/>
  <c r="F453" i="1" s="1"/>
  <c r="D453" i="1"/>
  <c r="C453" i="1" s="1"/>
  <c r="H452" i="1" a="1"/>
  <c r="H452" i="1" s="1"/>
  <c r="G452" i="1" a="1"/>
  <c r="G452" i="1" s="1"/>
  <c r="E452" i="1"/>
  <c r="F452" i="1" s="1"/>
  <c r="D452" i="1"/>
  <c r="C452" i="1" s="1"/>
  <c r="H451" i="1" a="1"/>
  <c r="H451" i="1" s="1"/>
  <c r="F451" i="1"/>
  <c r="G451" i="1" s="1" a="1"/>
  <c r="G451" i="1" s="1"/>
  <c r="E451" i="1"/>
  <c r="D451" i="1"/>
  <c r="C451" i="1"/>
  <c r="H450" i="1"/>
  <c r="E450" i="1"/>
  <c r="F450" i="1" s="1"/>
  <c r="H450" i="1" s="1" a="1"/>
  <c r="D450" i="1"/>
  <c r="C450" i="1" s="1"/>
  <c r="E449" i="1"/>
  <c r="F449" i="1" s="1"/>
  <c r="H449" i="1" s="1" a="1"/>
  <c r="H449" i="1" s="1"/>
  <c r="D449" i="1"/>
  <c r="C449" i="1" s="1"/>
  <c r="H448" i="1"/>
  <c r="H448" i="1" a="1"/>
  <c r="E448" i="1"/>
  <c r="F448" i="1" s="1"/>
  <c r="G448" i="1" s="1" a="1"/>
  <c r="G448" i="1" s="1"/>
  <c r="D448" i="1"/>
  <c r="C448" i="1" s="1"/>
  <c r="F447" i="1"/>
  <c r="G447" i="1" s="1" a="1"/>
  <c r="G447" i="1" s="1"/>
  <c r="E447" i="1"/>
  <c r="D447" i="1"/>
  <c r="C447" i="1" s="1"/>
  <c r="H446" i="1" a="1"/>
  <c r="H446" i="1" s="1"/>
  <c r="G446" i="1" a="1"/>
  <c r="G446" i="1" s="1"/>
  <c r="E446" i="1"/>
  <c r="F446" i="1" s="1"/>
  <c r="D446" i="1"/>
  <c r="C446" i="1" s="1"/>
  <c r="F445" i="1"/>
  <c r="E445" i="1"/>
  <c r="D445" i="1"/>
  <c r="C445" i="1"/>
  <c r="G444" i="1" a="1"/>
  <c r="G444" i="1" s="1"/>
  <c r="E444" i="1"/>
  <c r="F444" i="1" s="1"/>
  <c r="H444" i="1" s="1" a="1"/>
  <c r="H444" i="1" s="1"/>
  <c r="D444" i="1"/>
  <c r="C444" i="1" s="1"/>
  <c r="E443" i="1"/>
  <c r="F443" i="1" s="1"/>
  <c r="D443" i="1"/>
  <c r="C443" i="1" s="1"/>
  <c r="H442" i="1"/>
  <c r="H442" i="1" a="1"/>
  <c r="G442" i="1" a="1"/>
  <c r="G442" i="1" s="1"/>
  <c r="E442" i="1"/>
  <c r="F442" i="1" s="1"/>
  <c r="D442" i="1"/>
  <c r="C442" i="1" s="1"/>
  <c r="H441" i="1" a="1"/>
  <c r="H441" i="1" s="1"/>
  <c r="G441" i="1"/>
  <c r="E441" i="1"/>
  <c r="F441" i="1" s="1"/>
  <c r="G441" i="1" s="1" a="1"/>
  <c r="D441" i="1"/>
  <c r="C441" i="1" s="1"/>
  <c r="H440" i="1" a="1"/>
  <c r="H440" i="1" s="1"/>
  <c r="G440" i="1" a="1"/>
  <c r="G440" i="1" s="1"/>
  <c r="E440" i="1"/>
  <c r="F440" i="1" s="1"/>
  <c r="D440" i="1"/>
  <c r="C440" i="1" s="1"/>
  <c r="H439" i="1" a="1"/>
  <c r="H439" i="1" s="1"/>
  <c r="G439" i="1" a="1"/>
  <c r="G439" i="1" s="1"/>
  <c r="F439" i="1"/>
  <c r="E439" i="1"/>
  <c r="D439" i="1"/>
  <c r="C439" i="1"/>
  <c r="H438" i="1"/>
  <c r="G438" i="1" a="1"/>
  <c r="G438" i="1" s="1"/>
  <c r="E438" i="1"/>
  <c r="F438" i="1" s="1"/>
  <c r="H438" i="1" s="1" a="1"/>
  <c r="D438" i="1"/>
  <c r="C438" i="1" s="1"/>
  <c r="H437" i="1" a="1"/>
  <c r="H437" i="1" s="1"/>
  <c r="E437" i="1"/>
  <c r="F437" i="1" s="1"/>
  <c r="G437" i="1" s="1" a="1"/>
  <c r="G437" i="1" s="1"/>
  <c r="D437" i="1"/>
  <c r="C437" i="1" s="1"/>
  <c r="H436" i="1" a="1"/>
  <c r="H436" i="1" s="1"/>
  <c r="G436" i="1" a="1"/>
  <c r="G436" i="1" s="1"/>
  <c r="E436" i="1"/>
  <c r="F436" i="1" s="1"/>
  <c r="D436" i="1"/>
  <c r="C436" i="1" s="1"/>
  <c r="G435" i="1" a="1"/>
  <c r="G435" i="1" s="1"/>
  <c r="F435" i="1"/>
  <c r="H435" i="1" s="1" a="1"/>
  <c r="H435" i="1" s="1"/>
  <c r="E435" i="1"/>
  <c r="D435" i="1"/>
  <c r="C435" i="1"/>
  <c r="G434" i="1" a="1"/>
  <c r="G434" i="1" s="1"/>
  <c r="E434" i="1"/>
  <c r="F434" i="1" s="1"/>
  <c r="H434" i="1" s="1" a="1"/>
  <c r="H434" i="1" s="1"/>
  <c r="D434" i="1"/>
  <c r="C434" i="1" s="1"/>
  <c r="H433" i="1" a="1"/>
  <c r="H433" i="1" s="1"/>
  <c r="E433" i="1"/>
  <c r="F433" i="1" s="1"/>
  <c r="G433" i="1" s="1" a="1"/>
  <c r="G433" i="1" s="1"/>
  <c r="D433" i="1"/>
  <c r="C433" i="1" s="1"/>
  <c r="H432" i="1"/>
  <c r="H432" i="1" a="1"/>
  <c r="E432" i="1"/>
  <c r="F432" i="1" s="1"/>
  <c r="G432" i="1" s="1" a="1"/>
  <c r="G432" i="1" s="1"/>
  <c r="D432" i="1"/>
  <c r="C432" i="1" s="1"/>
  <c r="E431" i="1"/>
  <c r="F431" i="1" s="1"/>
  <c r="D431" i="1"/>
  <c r="C431" i="1" s="1"/>
  <c r="H430" i="1"/>
  <c r="H430" i="1" a="1"/>
  <c r="E430" i="1"/>
  <c r="F430" i="1" s="1"/>
  <c r="G430" i="1" s="1" a="1"/>
  <c r="G430" i="1" s="1"/>
  <c r="D430" i="1"/>
  <c r="C430" i="1" s="1"/>
  <c r="F429" i="1"/>
  <c r="H429" i="1" s="1" a="1"/>
  <c r="H429" i="1" s="1"/>
  <c r="E429" i="1"/>
  <c r="D429" i="1"/>
  <c r="C429" i="1" s="1"/>
  <c r="H428" i="1"/>
  <c r="H428" i="1" a="1"/>
  <c r="G428" i="1" a="1"/>
  <c r="G428" i="1" s="1"/>
  <c r="E428" i="1"/>
  <c r="F428" i="1" s="1"/>
  <c r="D428" i="1"/>
  <c r="C428" i="1" s="1"/>
  <c r="H427" i="1"/>
  <c r="G427" i="1" a="1"/>
  <c r="G427" i="1" s="1"/>
  <c r="E427" i="1"/>
  <c r="F427" i="1" s="1"/>
  <c r="H427" i="1" s="1" a="1"/>
  <c r="D427" i="1"/>
  <c r="C427" i="1"/>
  <c r="H426" i="1" a="1"/>
  <c r="H426" i="1" s="1"/>
  <c r="G426" i="1"/>
  <c r="G426" i="1" a="1"/>
  <c r="E426" i="1"/>
  <c r="F426" i="1" s="1"/>
  <c r="D426" i="1"/>
  <c r="C426" i="1" s="1"/>
  <c r="E425" i="1"/>
  <c r="F425" i="1" s="1"/>
  <c r="G425" i="1" s="1" a="1"/>
  <c r="G425" i="1" s="1"/>
  <c r="D425" i="1"/>
  <c r="C425" i="1"/>
  <c r="H424" i="1" a="1"/>
  <c r="H424" i="1" s="1"/>
  <c r="G424" i="1" a="1"/>
  <c r="G424" i="1" s="1"/>
  <c r="E424" i="1"/>
  <c r="F424" i="1" s="1"/>
  <c r="D424" i="1"/>
  <c r="C424" i="1" s="1"/>
  <c r="H423" i="1"/>
  <c r="H423" i="1" a="1"/>
  <c r="G423" i="1" a="1"/>
  <c r="G423" i="1" s="1"/>
  <c r="F423" i="1"/>
  <c r="E423" i="1"/>
  <c r="D423" i="1"/>
  <c r="C423" i="1"/>
  <c r="H422" i="1" a="1"/>
  <c r="H422" i="1" s="1"/>
  <c r="G422" i="1" a="1"/>
  <c r="G422" i="1" s="1"/>
  <c r="E422" i="1"/>
  <c r="F422" i="1" s="1"/>
  <c r="D422" i="1"/>
  <c r="C422" i="1" s="1"/>
  <c r="E421" i="1"/>
  <c r="F421" i="1" s="1"/>
  <c r="H421" i="1" s="1" a="1"/>
  <c r="H421" i="1" s="1"/>
  <c r="D421" i="1"/>
  <c r="C421" i="1" s="1"/>
  <c r="E420" i="1"/>
  <c r="F420" i="1" s="1"/>
  <c r="D420" i="1"/>
  <c r="C420" i="1" s="1"/>
  <c r="F419" i="1"/>
  <c r="E419" i="1"/>
  <c r="D419" i="1"/>
  <c r="C419" i="1" s="1"/>
  <c r="H418" i="1"/>
  <c r="G418" i="1" a="1"/>
  <c r="G418" i="1" s="1"/>
  <c r="E418" i="1"/>
  <c r="F418" i="1" s="1"/>
  <c r="H418" i="1" s="1" a="1"/>
  <c r="D418" i="1"/>
  <c r="C418" i="1" s="1"/>
  <c r="E417" i="1"/>
  <c r="F417" i="1" s="1"/>
  <c r="D417" i="1"/>
  <c r="C417" i="1"/>
  <c r="H416" i="1" a="1"/>
  <c r="H416" i="1" s="1"/>
  <c r="G416" i="1"/>
  <c r="E416" i="1"/>
  <c r="F416" i="1" s="1"/>
  <c r="G416" i="1" s="1" a="1"/>
  <c r="D416" i="1"/>
  <c r="C416" i="1" s="1"/>
  <c r="F415" i="1"/>
  <c r="E415" i="1"/>
  <c r="D415" i="1"/>
  <c r="C415" i="1" s="1"/>
  <c r="G414" i="1" a="1"/>
  <c r="G414" i="1" s="1"/>
  <c r="E414" i="1"/>
  <c r="F414" i="1" s="1"/>
  <c r="H414" i="1" s="1" a="1"/>
  <c r="H414" i="1" s="1"/>
  <c r="D414" i="1"/>
  <c r="C414" i="1" s="1"/>
  <c r="E413" i="1"/>
  <c r="F413" i="1" s="1"/>
  <c r="H413" i="1" s="1" a="1"/>
  <c r="H413" i="1" s="1"/>
  <c r="D413" i="1"/>
  <c r="C413" i="1" s="1"/>
  <c r="H412" i="1"/>
  <c r="H412" i="1" a="1"/>
  <c r="G412" i="1" a="1"/>
  <c r="G412" i="1" s="1"/>
  <c r="E412" i="1"/>
  <c r="F412" i="1" s="1"/>
  <c r="D412" i="1"/>
  <c r="C412" i="1" s="1"/>
  <c r="F411" i="1"/>
  <c r="E411" i="1"/>
  <c r="D411" i="1"/>
  <c r="C411" i="1" s="1"/>
  <c r="H410" i="1" a="1"/>
  <c r="H410" i="1" s="1"/>
  <c r="G410" i="1" a="1"/>
  <c r="G410" i="1" s="1"/>
  <c r="E410" i="1"/>
  <c r="F410" i="1" s="1"/>
  <c r="D410" i="1"/>
  <c r="C410" i="1" s="1"/>
  <c r="H409" i="1" a="1"/>
  <c r="H409" i="1" s="1"/>
  <c r="E409" i="1"/>
  <c r="F409" i="1" s="1"/>
  <c r="G409" i="1" s="1" a="1"/>
  <c r="G409" i="1" s="1"/>
  <c r="D409" i="1"/>
  <c r="C409" i="1" s="1"/>
  <c r="H408" i="1"/>
  <c r="H408" i="1" a="1"/>
  <c r="G408" i="1" a="1"/>
  <c r="G408" i="1" s="1"/>
  <c r="E408" i="1"/>
  <c r="F408" i="1" s="1"/>
  <c r="D408" i="1"/>
  <c r="C408" i="1" s="1"/>
  <c r="H407" i="1" a="1"/>
  <c r="H407" i="1" s="1"/>
  <c r="G407" i="1"/>
  <c r="G407" i="1" a="1"/>
  <c r="F407" i="1"/>
  <c r="E407" i="1"/>
  <c r="D407" i="1"/>
  <c r="C407" i="1"/>
  <c r="H406" i="1"/>
  <c r="H406" i="1" a="1"/>
  <c r="G406" i="1"/>
  <c r="G406" i="1" a="1"/>
  <c r="E406" i="1"/>
  <c r="F406" i="1" s="1"/>
  <c r="D406" i="1"/>
  <c r="C406" i="1" s="1"/>
  <c r="H405" i="1" a="1"/>
  <c r="H405" i="1" s="1"/>
  <c r="F405" i="1"/>
  <c r="G405" i="1" s="1" a="1"/>
  <c r="G405" i="1" s="1"/>
  <c r="E405" i="1"/>
  <c r="D405" i="1"/>
  <c r="C405" i="1"/>
  <c r="H404" i="1" a="1"/>
  <c r="H404" i="1" s="1"/>
  <c r="G404" i="1" a="1"/>
  <c r="G404" i="1" s="1"/>
  <c r="E404" i="1"/>
  <c r="F404" i="1" s="1"/>
  <c r="D404" i="1"/>
  <c r="C404" i="1" s="1"/>
  <c r="E403" i="1"/>
  <c r="F403" i="1" s="1"/>
  <c r="H403" i="1" s="1" a="1"/>
  <c r="H403" i="1" s="1"/>
  <c r="D403" i="1"/>
  <c r="C403" i="1" s="1"/>
  <c r="H402" i="1" a="1"/>
  <c r="H402" i="1" s="1"/>
  <c r="G402" i="1" a="1"/>
  <c r="G402" i="1" s="1"/>
  <c r="E402" i="1"/>
  <c r="F402" i="1" s="1"/>
  <c r="D402" i="1"/>
  <c r="C402" i="1" s="1"/>
  <c r="H401" i="1" a="1"/>
  <c r="H401" i="1" s="1"/>
  <c r="F401" i="1"/>
  <c r="G401" i="1" s="1" a="1"/>
  <c r="G401" i="1" s="1"/>
  <c r="E401" i="1"/>
  <c r="D401" i="1"/>
  <c r="C401" i="1" s="1"/>
  <c r="E400" i="1"/>
  <c r="F400" i="1" s="1"/>
  <c r="D400" i="1"/>
  <c r="C400" i="1"/>
  <c r="G399" i="1" a="1"/>
  <c r="G399" i="1" s="1"/>
  <c r="F399" i="1"/>
  <c r="H399" i="1" s="1" a="1"/>
  <c r="H399" i="1" s="1"/>
  <c r="E399" i="1"/>
  <c r="D399" i="1"/>
  <c r="C399" i="1"/>
  <c r="E398" i="1"/>
  <c r="F398" i="1" s="1"/>
  <c r="D398" i="1"/>
  <c r="C398" i="1" s="1"/>
  <c r="G397" i="1" a="1"/>
  <c r="G397" i="1" s="1"/>
  <c r="E397" i="1"/>
  <c r="F397" i="1" s="1"/>
  <c r="H397" i="1" s="1" a="1"/>
  <c r="H397" i="1" s="1"/>
  <c r="D397" i="1"/>
  <c r="C397" i="1" s="1"/>
  <c r="E396" i="1"/>
  <c r="F396" i="1" s="1"/>
  <c r="D396" i="1"/>
  <c r="C396" i="1"/>
  <c r="E395" i="1"/>
  <c r="F395" i="1" s="1"/>
  <c r="D395" i="1"/>
  <c r="C395" i="1"/>
  <c r="G394" i="1"/>
  <c r="E394" i="1"/>
  <c r="F394" i="1" s="1"/>
  <c r="G394" i="1" s="1" a="1"/>
  <c r="D394" i="1"/>
  <c r="C394" i="1"/>
  <c r="H393" i="1"/>
  <c r="H393" i="1" a="1"/>
  <c r="G393" i="1"/>
  <c r="G393" i="1" a="1"/>
  <c r="E393" i="1"/>
  <c r="F393" i="1" s="1"/>
  <c r="D393" i="1"/>
  <c r="C393" i="1"/>
  <c r="H392" i="1"/>
  <c r="H392" i="1" a="1"/>
  <c r="G392" i="1"/>
  <c r="G392" i="1" a="1"/>
  <c r="E392" i="1"/>
  <c r="F392" i="1" s="1"/>
  <c r="D392" i="1"/>
  <c r="C392" i="1" s="1"/>
  <c r="H391" i="1"/>
  <c r="F391" i="1"/>
  <c r="H391" i="1" s="1" a="1"/>
  <c r="E391" i="1"/>
  <c r="D391" i="1"/>
  <c r="C391" i="1" s="1"/>
  <c r="H390" i="1" a="1"/>
  <c r="H390" i="1" s="1"/>
  <c r="G390" i="1" a="1"/>
  <c r="G390" i="1" s="1"/>
  <c r="E390" i="1"/>
  <c r="F390" i="1" s="1"/>
  <c r="D390" i="1"/>
  <c r="C390" i="1"/>
  <c r="H389" i="1" a="1"/>
  <c r="H389" i="1" s="1"/>
  <c r="G389" i="1"/>
  <c r="G389" i="1" a="1"/>
  <c r="F389" i="1"/>
  <c r="E389" i="1"/>
  <c r="D389" i="1"/>
  <c r="C389" i="1"/>
  <c r="H388" i="1" a="1"/>
  <c r="H388" i="1" s="1"/>
  <c r="E388" i="1"/>
  <c r="F388" i="1" s="1"/>
  <c r="G388" i="1" s="1" a="1"/>
  <c r="G388" i="1" s="1"/>
  <c r="D388" i="1"/>
  <c r="C388" i="1" s="1"/>
  <c r="H387" i="1"/>
  <c r="G387" i="1" a="1"/>
  <c r="G387" i="1" s="1"/>
  <c r="E387" i="1"/>
  <c r="F387" i="1" s="1"/>
  <c r="H387" i="1" s="1" a="1"/>
  <c r="D387" i="1"/>
  <c r="C387" i="1" s="1"/>
  <c r="E386" i="1"/>
  <c r="F386" i="1" s="1"/>
  <c r="D386" i="1"/>
  <c r="C386" i="1" s="1"/>
  <c r="E385" i="1"/>
  <c r="F385" i="1" s="1"/>
  <c r="D385" i="1"/>
  <c r="C385" i="1"/>
  <c r="E384" i="1"/>
  <c r="F384" i="1" s="1"/>
  <c r="D384" i="1"/>
  <c r="C384" i="1" s="1"/>
  <c r="H383" i="1" a="1"/>
  <c r="H383" i="1" s="1"/>
  <c r="G383" i="1"/>
  <c r="G383" i="1" a="1"/>
  <c r="E383" i="1"/>
  <c r="F383" i="1" s="1"/>
  <c r="D383" i="1"/>
  <c r="C383" i="1"/>
  <c r="E382" i="1"/>
  <c r="F382" i="1" s="1"/>
  <c r="G382" i="1" s="1" a="1"/>
  <c r="G382" i="1" s="1"/>
  <c r="D382" i="1"/>
  <c r="C382" i="1" s="1"/>
  <c r="H381" i="1" a="1"/>
  <c r="H381" i="1" s="1"/>
  <c r="G381" i="1"/>
  <c r="G381" i="1" a="1"/>
  <c r="F381" i="1"/>
  <c r="E381" i="1"/>
  <c r="D381" i="1"/>
  <c r="C381" i="1"/>
  <c r="H380" i="1"/>
  <c r="H380" i="1" a="1"/>
  <c r="G380" i="1"/>
  <c r="F380" i="1"/>
  <c r="G380" i="1" s="1" a="1"/>
  <c r="E380" i="1"/>
  <c r="D380" i="1"/>
  <c r="C380" i="1" s="1"/>
  <c r="F379" i="1"/>
  <c r="E379" i="1"/>
  <c r="D379" i="1"/>
  <c r="C379" i="1"/>
  <c r="H378" i="1"/>
  <c r="H378" i="1" a="1"/>
  <c r="G378" i="1"/>
  <c r="G378" i="1" a="1"/>
  <c r="E378" i="1"/>
  <c r="F378" i="1" s="1"/>
  <c r="D378" i="1"/>
  <c r="C378" i="1" s="1"/>
  <c r="F377" i="1"/>
  <c r="E377" i="1"/>
  <c r="D377" i="1"/>
  <c r="C377" i="1" s="1"/>
  <c r="G376" i="1"/>
  <c r="G376" i="1" a="1"/>
  <c r="F376" i="1"/>
  <c r="H376" i="1" s="1" a="1"/>
  <c r="H376" i="1" s="1"/>
  <c r="E376" i="1"/>
  <c r="D376" i="1"/>
  <c r="C376" i="1" s="1"/>
  <c r="E375" i="1"/>
  <c r="F375" i="1" s="1"/>
  <c r="H375" i="1" s="1" a="1"/>
  <c r="H375" i="1" s="1"/>
  <c r="D375" i="1"/>
  <c r="C375" i="1"/>
  <c r="E374" i="1"/>
  <c r="F374" i="1" s="1"/>
  <c r="D374" i="1"/>
  <c r="C374" i="1" s="1"/>
  <c r="H373" i="1"/>
  <c r="G373" i="1"/>
  <c r="G373" i="1" a="1"/>
  <c r="F373" i="1"/>
  <c r="H373" i="1" s="1" a="1"/>
  <c r="E373" i="1"/>
  <c r="D373" i="1"/>
  <c r="C373" i="1" s="1"/>
  <c r="H372" i="1"/>
  <c r="F372" i="1"/>
  <c r="H372" i="1" s="1" a="1"/>
  <c r="E372" i="1"/>
  <c r="D372" i="1"/>
  <c r="C372" i="1" s="1"/>
  <c r="E371" i="1"/>
  <c r="F371" i="1" s="1"/>
  <c r="D371" i="1"/>
  <c r="C371" i="1" s="1"/>
  <c r="G370" i="1" a="1"/>
  <c r="G370" i="1" s="1"/>
  <c r="E370" i="1"/>
  <c r="F370" i="1" s="1"/>
  <c r="H370" i="1" s="1" a="1"/>
  <c r="H370" i="1" s="1"/>
  <c r="D370" i="1"/>
  <c r="C370" i="1" s="1"/>
  <c r="E369" i="1"/>
  <c r="F369" i="1" s="1"/>
  <c r="D369" i="1"/>
  <c r="C369" i="1"/>
  <c r="H368" i="1"/>
  <c r="H368" i="1" a="1"/>
  <c r="G368" i="1"/>
  <c r="F368" i="1"/>
  <c r="G368" i="1" s="1" a="1"/>
  <c r="E368" i="1"/>
  <c r="D368" i="1"/>
  <c r="C368" i="1" s="1"/>
  <c r="H367" i="1"/>
  <c r="H367" i="1" a="1"/>
  <c r="G367" i="1" a="1"/>
  <c r="G367" i="1" s="1"/>
  <c r="E367" i="1"/>
  <c r="F367" i="1" s="1"/>
  <c r="D367" i="1"/>
  <c r="C367" i="1" s="1"/>
  <c r="G366" i="1" a="1"/>
  <c r="G366" i="1" s="1"/>
  <c r="E366" i="1"/>
  <c r="F366" i="1" s="1"/>
  <c r="H366" i="1" s="1" a="1"/>
  <c r="H366" i="1" s="1"/>
  <c r="D366" i="1"/>
  <c r="C366" i="1" s="1"/>
  <c r="H365" i="1"/>
  <c r="H365" i="1" a="1"/>
  <c r="G365" i="1"/>
  <c r="F365" i="1"/>
  <c r="G365" i="1" s="1" a="1"/>
  <c r="E365" i="1"/>
  <c r="D365" i="1"/>
  <c r="C365" i="1"/>
  <c r="G364" i="1" a="1"/>
  <c r="G364" i="1" s="1"/>
  <c r="F364" i="1"/>
  <c r="H364" i="1" s="1" a="1"/>
  <c r="H364" i="1" s="1"/>
  <c r="E364" i="1"/>
  <c r="D364" i="1"/>
  <c r="C364" i="1" s="1"/>
  <c r="H363" i="1"/>
  <c r="H363" i="1" a="1"/>
  <c r="G363" i="1"/>
  <c r="G363" i="1" a="1"/>
  <c r="E363" i="1"/>
  <c r="F363" i="1" s="1"/>
  <c r="D363" i="1"/>
  <c r="C363" i="1"/>
  <c r="G362" i="1" a="1"/>
  <c r="G362" i="1" s="1"/>
  <c r="F362" i="1"/>
  <c r="H362" i="1" s="1" a="1"/>
  <c r="H362" i="1" s="1"/>
  <c r="E362" i="1"/>
  <c r="D362" i="1"/>
  <c r="C362" i="1" s="1"/>
  <c r="H361" i="1" a="1"/>
  <c r="H361" i="1" s="1"/>
  <c r="F361" i="1"/>
  <c r="G361" i="1" s="1" a="1"/>
  <c r="G361" i="1" s="1"/>
  <c r="E361" i="1"/>
  <c r="D361" i="1"/>
  <c r="C361" i="1" s="1"/>
  <c r="H360" i="1" a="1"/>
  <c r="H360" i="1" s="1"/>
  <c r="G360" i="1" a="1"/>
  <c r="G360" i="1" s="1"/>
  <c r="E360" i="1"/>
  <c r="F360" i="1" s="1"/>
  <c r="D360" i="1"/>
  <c r="C360" i="1" s="1"/>
  <c r="E359" i="1"/>
  <c r="F359" i="1" s="1"/>
  <c r="D359" i="1"/>
  <c r="C359" i="1"/>
  <c r="F358" i="1"/>
  <c r="E358" i="1"/>
  <c r="D358" i="1"/>
  <c r="C358" i="1" s="1"/>
  <c r="G357" i="1" a="1"/>
  <c r="G357" i="1" s="1"/>
  <c r="E357" i="1"/>
  <c r="F357" i="1" s="1"/>
  <c r="H357" i="1" s="1" a="1"/>
  <c r="H357" i="1" s="1"/>
  <c r="D357" i="1"/>
  <c r="C357" i="1" s="1"/>
  <c r="F356" i="1"/>
  <c r="H356" i="1" s="1" a="1"/>
  <c r="H356" i="1" s="1"/>
  <c r="E356" i="1"/>
  <c r="D356" i="1"/>
  <c r="C356" i="1" s="1"/>
  <c r="F355" i="1"/>
  <c r="G355" i="1" s="1" a="1"/>
  <c r="G355" i="1" s="1"/>
  <c r="E355" i="1"/>
  <c r="D355" i="1"/>
  <c r="C355" i="1" s="1"/>
  <c r="G354" i="1" a="1"/>
  <c r="G354" i="1" s="1"/>
  <c r="E354" i="1"/>
  <c r="F354" i="1" s="1"/>
  <c r="H354" i="1" s="1" a="1"/>
  <c r="H354" i="1" s="1"/>
  <c r="D354" i="1"/>
  <c r="C354" i="1" s="1"/>
  <c r="H353" i="1"/>
  <c r="H353" i="1" a="1"/>
  <c r="G353" i="1"/>
  <c r="F353" i="1"/>
  <c r="G353" i="1" s="1" a="1"/>
  <c r="E353" i="1"/>
  <c r="D353" i="1"/>
  <c r="C353" i="1" s="1"/>
  <c r="E352" i="1"/>
  <c r="F352" i="1" s="1"/>
  <c r="D352" i="1"/>
  <c r="C352" i="1" s="1"/>
  <c r="E351" i="1"/>
  <c r="F351" i="1" s="1"/>
  <c r="D351" i="1"/>
  <c r="C351" i="1" s="1"/>
  <c r="G350" i="1" a="1"/>
  <c r="G350" i="1" s="1"/>
  <c r="E350" i="1"/>
  <c r="F350" i="1" s="1"/>
  <c r="H350" i="1" s="1" a="1"/>
  <c r="H350" i="1" s="1"/>
  <c r="D350" i="1"/>
  <c r="C350" i="1" s="1"/>
  <c r="F349" i="1"/>
  <c r="E349" i="1"/>
  <c r="D349" i="1"/>
  <c r="C349" i="1"/>
  <c r="H348" i="1"/>
  <c r="H348" i="1" a="1"/>
  <c r="G348" i="1"/>
  <c r="F348" i="1"/>
  <c r="G348" i="1" s="1" a="1"/>
  <c r="E348" i="1"/>
  <c r="D348" i="1"/>
  <c r="C348" i="1" s="1"/>
  <c r="H347" i="1" a="1"/>
  <c r="H347" i="1" s="1"/>
  <c r="G347" i="1" a="1"/>
  <c r="G347" i="1" s="1"/>
  <c r="F347" i="1"/>
  <c r="E347" i="1"/>
  <c r="D347" i="1"/>
  <c r="C347" i="1" s="1"/>
  <c r="H346" i="1" a="1"/>
  <c r="H346" i="1" s="1"/>
  <c r="G346" i="1"/>
  <c r="G346" i="1" a="1"/>
  <c r="E346" i="1"/>
  <c r="F346" i="1" s="1"/>
  <c r="D346" i="1"/>
  <c r="C346" i="1" s="1"/>
  <c r="H345" i="1" a="1"/>
  <c r="H345" i="1" s="1"/>
  <c r="E345" i="1"/>
  <c r="F345" i="1" s="1"/>
  <c r="G345" i="1" s="1" a="1"/>
  <c r="G345" i="1" s="1"/>
  <c r="D345" i="1"/>
  <c r="C345" i="1" s="1"/>
  <c r="H344" i="1"/>
  <c r="G344" i="1"/>
  <c r="G344" i="1" a="1"/>
  <c r="F344" i="1"/>
  <c r="H344" i="1" s="1" a="1"/>
  <c r="E344" i="1"/>
  <c r="D344" i="1"/>
  <c r="C344" i="1" s="1"/>
  <c r="E343" i="1"/>
  <c r="F343" i="1" s="1"/>
  <c r="D343" i="1"/>
  <c r="C343" i="1"/>
  <c r="E342" i="1"/>
  <c r="F342" i="1" s="1"/>
  <c r="D342" i="1"/>
  <c r="C342" i="1" s="1"/>
  <c r="E341" i="1"/>
  <c r="F341" i="1" s="1"/>
  <c r="D341" i="1"/>
  <c r="C341" i="1"/>
  <c r="F340" i="1"/>
  <c r="H340" i="1" s="1" a="1"/>
  <c r="H340" i="1" s="1"/>
  <c r="E340" i="1"/>
  <c r="D340" i="1"/>
  <c r="C340" i="1" s="1"/>
  <c r="H339" i="1"/>
  <c r="H339" i="1" a="1"/>
  <c r="G339" i="1" a="1"/>
  <c r="G339" i="1" s="1"/>
  <c r="F339" i="1"/>
  <c r="E339" i="1"/>
  <c r="D339" i="1"/>
  <c r="C339" i="1"/>
  <c r="H338" i="1" a="1"/>
  <c r="H338" i="1" s="1"/>
  <c r="G338" i="1" a="1"/>
  <c r="G338" i="1" s="1"/>
  <c r="F338" i="1"/>
  <c r="E338" i="1"/>
  <c r="D338" i="1"/>
  <c r="C338" i="1" s="1"/>
  <c r="G337" i="1"/>
  <c r="E337" i="1"/>
  <c r="F337" i="1" s="1"/>
  <c r="G337" i="1" s="1" a="1"/>
  <c r="D337" i="1"/>
  <c r="C337" i="1" s="1"/>
  <c r="H336" i="1" a="1"/>
  <c r="H336" i="1" s="1"/>
  <c r="G336" i="1" a="1"/>
  <c r="G336" i="1" s="1"/>
  <c r="E336" i="1"/>
  <c r="F336" i="1" s="1"/>
  <c r="D336" i="1"/>
  <c r="C336" i="1" s="1"/>
  <c r="H335" i="1" a="1"/>
  <c r="H335" i="1" s="1"/>
  <c r="G335" i="1" a="1"/>
  <c r="G335" i="1" s="1"/>
  <c r="E335" i="1"/>
  <c r="F335" i="1" s="1"/>
  <c r="D335" i="1"/>
  <c r="C335" i="1" s="1"/>
  <c r="E334" i="1"/>
  <c r="F334" i="1" s="1"/>
  <c r="H334" i="1" s="1" a="1"/>
  <c r="H334" i="1" s="1"/>
  <c r="D334" i="1"/>
  <c r="C334" i="1" s="1"/>
  <c r="H333" i="1" a="1"/>
  <c r="H333" i="1" s="1"/>
  <c r="G333" i="1" a="1"/>
  <c r="G333" i="1" s="1"/>
  <c r="F333" i="1"/>
  <c r="E333" i="1"/>
  <c r="D333" i="1"/>
  <c r="C333" i="1"/>
  <c r="H332" i="1"/>
  <c r="H332" i="1" a="1"/>
  <c r="F332" i="1"/>
  <c r="G332" i="1" s="1" a="1"/>
  <c r="G332" i="1" s="1"/>
  <c r="E332" i="1"/>
  <c r="D332" i="1"/>
  <c r="C332" i="1" s="1"/>
  <c r="H331" i="1" a="1"/>
  <c r="H331" i="1" s="1"/>
  <c r="F331" i="1"/>
  <c r="G331" i="1" s="1" a="1"/>
  <c r="G331" i="1" s="1"/>
  <c r="E331" i="1"/>
  <c r="D331" i="1"/>
  <c r="C331" i="1"/>
  <c r="H330" i="1" a="1"/>
  <c r="H330" i="1" s="1"/>
  <c r="E330" i="1"/>
  <c r="F330" i="1" s="1"/>
  <c r="G330" i="1" s="1" a="1"/>
  <c r="G330" i="1" s="1"/>
  <c r="D330" i="1"/>
  <c r="C330" i="1" s="1"/>
  <c r="E329" i="1"/>
  <c r="F329" i="1" s="1"/>
  <c r="D329" i="1"/>
  <c r="C329" i="1" s="1"/>
  <c r="G328" i="1"/>
  <c r="G328" i="1" a="1"/>
  <c r="F328" i="1"/>
  <c r="H328" i="1" s="1" a="1"/>
  <c r="H328" i="1" s="1"/>
  <c r="E328" i="1"/>
  <c r="D328" i="1"/>
  <c r="C328" i="1" s="1"/>
  <c r="F327" i="1"/>
  <c r="E327" i="1"/>
  <c r="D327" i="1"/>
  <c r="C327" i="1" s="1"/>
  <c r="G326" i="1" a="1"/>
  <c r="G326" i="1" s="1"/>
  <c r="F326" i="1"/>
  <c r="H326" i="1" s="1" a="1"/>
  <c r="H326" i="1" s="1"/>
  <c r="E326" i="1"/>
  <c r="D326" i="1"/>
  <c r="C326" i="1" s="1"/>
  <c r="F325" i="1"/>
  <c r="E325" i="1"/>
  <c r="D325" i="1"/>
  <c r="C325" i="1"/>
  <c r="F324" i="1"/>
  <c r="E324" i="1"/>
  <c r="D324" i="1"/>
  <c r="C324" i="1" s="1"/>
  <c r="F323" i="1"/>
  <c r="E323" i="1"/>
  <c r="D323" i="1"/>
  <c r="C323" i="1" s="1"/>
  <c r="F322" i="1"/>
  <c r="H322" i="1" s="1" a="1"/>
  <c r="H322" i="1" s="1"/>
  <c r="E322" i="1"/>
  <c r="D322" i="1"/>
  <c r="C322" i="1" s="1"/>
  <c r="H321" i="1" a="1"/>
  <c r="H321" i="1" s="1"/>
  <c r="G321" i="1"/>
  <c r="G321" i="1" a="1"/>
  <c r="F321" i="1"/>
  <c r="E321" i="1"/>
  <c r="D321" i="1"/>
  <c r="C321" i="1" s="1"/>
  <c r="E320" i="1"/>
  <c r="F320" i="1" s="1"/>
  <c r="D320" i="1"/>
  <c r="C320" i="1" s="1"/>
  <c r="H319" i="1" a="1"/>
  <c r="H319" i="1" s="1"/>
  <c r="G319" i="1"/>
  <c r="F319" i="1"/>
  <c r="G319" i="1" s="1" a="1"/>
  <c r="E319" i="1"/>
  <c r="D319" i="1"/>
  <c r="C319" i="1" s="1"/>
  <c r="E318" i="1"/>
  <c r="F318" i="1" s="1"/>
  <c r="D318" i="1"/>
  <c r="C318" i="1"/>
  <c r="E317" i="1"/>
  <c r="F317" i="1" s="1"/>
  <c r="D317" i="1"/>
  <c r="C317" i="1" s="1"/>
  <c r="H316" i="1" a="1"/>
  <c r="H316" i="1" s="1"/>
  <c r="G316" i="1" a="1"/>
  <c r="G316" i="1" s="1"/>
  <c r="E316" i="1"/>
  <c r="F316" i="1" s="1"/>
  <c r="D316" i="1"/>
  <c r="C316" i="1"/>
  <c r="E315" i="1"/>
  <c r="F315" i="1" s="1"/>
  <c r="D315" i="1"/>
  <c r="C315" i="1" s="1"/>
  <c r="E314" i="1"/>
  <c r="F314" i="1" s="1"/>
  <c r="D314" i="1"/>
  <c r="C314" i="1"/>
  <c r="E313" i="1"/>
  <c r="F313" i="1" s="1"/>
  <c r="D313" i="1"/>
  <c r="C313" i="1" s="1"/>
  <c r="H312" i="1"/>
  <c r="H312" i="1" a="1"/>
  <c r="G312" i="1" a="1"/>
  <c r="G312" i="1" s="1"/>
  <c r="E312" i="1"/>
  <c r="F312" i="1" s="1"/>
  <c r="D312" i="1"/>
  <c r="C312" i="1" s="1"/>
  <c r="G311" i="1" a="1"/>
  <c r="G311" i="1" s="1"/>
  <c r="E311" i="1"/>
  <c r="F311" i="1" s="1"/>
  <c r="H311" i="1" s="1" a="1"/>
  <c r="H311" i="1" s="1"/>
  <c r="D311" i="1"/>
  <c r="C311" i="1"/>
  <c r="E310" i="1"/>
  <c r="F310" i="1" s="1"/>
  <c r="D310" i="1"/>
  <c r="C310" i="1"/>
  <c r="F309" i="1"/>
  <c r="H309" i="1" s="1" a="1"/>
  <c r="H309" i="1" s="1"/>
  <c r="E309" i="1"/>
  <c r="D309" i="1"/>
  <c r="C309" i="1"/>
  <c r="H308" i="1" a="1"/>
  <c r="H308" i="1" s="1"/>
  <c r="G308" i="1"/>
  <c r="G308" i="1" a="1"/>
  <c r="E308" i="1"/>
  <c r="F308" i="1" s="1"/>
  <c r="D308" i="1"/>
  <c r="C308" i="1" s="1"/>
  <c r="E307" i="1"/>
  <c r="F307" i="1" s="1"/>
  <c r="D307" i="1"/>
  <c r="C307" i="1"/>
  <c r="H306" i="1" a="1"/>
  <c r="H306" i="1" s="1"/>
  <c r="G306" i="1" a="1"/>
  <c r="G306" i="1" s="1"/>
  <c r="E306" i="1"/>
  <c r="F306" i="1" s="1"/>
  <c r="D306" i="1"/>
  <c r="C306" i="1"/>
  <c r="F305" i="1"/>
  <c r="H305" i="1" s="1" a="1"/>
  <c r="H305" i="1" s="1"/>
  <c r="E305" i="1"/>
  <c r="D305" i="1"/>
  <c r="C305" i="1" s="1"/>
  <c r="H304" i="1" a="1"/>
  <c r="H304" i="1" s="1"/>
  <c r="G304" i="1" a="1"/>
  <c r="G304" i="1" s="1"/>
  <c r="E304" i="1"/>
  <c r="F304" i="1" s="1"/>
  <c r="D304" i="1"/>
  <c r="C304" i="1" s="1"/>
  <c r="F303" i="1"/>
  <c r="E303" i="1"/>
  <c r="D303" i="1"/>
  <c r="C303" i="1" s="1"/>
  <c r="H302" i="1" a="1"/>
  <c r="H302" i="1" s="1"/>
  <c r="G302" i="1"/>
  <c r="G302" i="1" a="1"/>
  <c r="E302" i="1"/>
  <c r="F302" i="1" s="1"/>
  <c r="D302" i="1"/>
  <c r="C302" i="1"/>
  <c r="H301" i="1" a="1"/>
  <c r="H301" i="1" s="1"/>
  <c r="G301" i="1" a="1"/>
  <c r="G301" i="1" s="1"/>
  <c r="E301" i="1"/>
  <c r="F301" i="1" s="1"/>
  <c r="D301" i="1"/>
  <c r="C301" i="1"/>
  <c r="E300" i="1"/>
  <c r="F300" i="1" s="1"/>
  <c r="D300" i="1"/>
  <c r="C300" i="1"/>
  <c r="F299" i="1"/>
  <c r="E299" i="1"/>
  <c r="D299" i="1"/>
  <c r="C299" i="1"/>
  <c r="E298" i="1"/>
  <c r="F298" i="1" s="1"/>
  <c r="D298" i="1"/>
  <c r="C298" i="1" s="1"/>
  <c r="H297" i="1" a="1"/>
  <c r="H297" i="1" s="1"/>
  <c r="E297" i="1"/>
  <c r="F297" i="1" s="1"/>
  <c r="G297" i="1" s="1" a="1"/>
  <c r="G297" i="1" s="1"/>
  <c r="D297" i="1"/>
  <c r="C297" i="1"/>
  <c r="E296" i="1"/>
  <c r="F296" i="1" s="1"/>
  <c r="D296" i="1"/>
  <c r="C296" i="1" s="1"/>
  <c r="F295" i="1"/>
  <c r="G295" i="1" s="1" a="1"/>
  <c r="G295" i="1" s="1"/>
  <c r="E295" i="1"/>
  <c r="D295" i="1"/>
  <c r="C295" i="1" s="1"/>
  <c r="H294" i="1" a="1"/>
  <c r="H294" i="1" s="1"/>
  <c r="G294" i="1"/>
  <c r="G294" i="1" a="1"/>
  <c r="E294" i="1"/>
  <c r="F294" i="1" s="1"/>
  <c r="D294" i="1"/>
  <c r="C294" i="1"/>
  <c r="H293" i="1"/>
  <c r="H293" i="1" a="1"/>
  <c r="E293" i="1"/>
  <c r="F293" i="1" s="1"/>
  <c r="G293" i="1" s="1" a="1"/>
  <c r="G293" i="1" s="1"/>
  <c r="D293" i="1"/>
  <c r="C293" i="1"/>
  <c r="E292" i="1"/>
  <c r="F292" i="1" s="1"/>
  <c r="D292" i="1"/>
  <c r="C292" i="1"/>
  <c r="F291" i="1"/>
  <c r="H291" i="1" s="1" a="1"/>
  <c r="H291" i="1" s="1"/>
  <c r="E291" i="1"/>
  <c r="D291" i="1"/>
  <c r="C291" i="1"/>
  <c r="E290" i="1"/>
  <c r="F290" i="1" s="1"/>
  <c r="D290" i="1"/>
  <c r="C290" i="1" s="1"/>
  <c r="H289" i="1"/>
  <c r="H289" i="1" a="1"/>
  <c r="G289" i="1"/>
  <c r="E289" i="1"/>
  <c r="F289" i="1" s="1"/>
  <c r="G289" i="1" s="1" a="1"/>
  <c r="D289" i="1"/>
  <c r="C289" i="1"/>
  <c r="G288" i="1" a="1"/>
  <c r="G288" i="1" s="1"/>
  <c r="E288" i="1"/>
  <c r="F288" i="1" s="1"/>
  <c r="H288" i="1" s="1" a="1"/>
  <c r="H288" i="1" s="1"/>
  <c r="D288" i="1"/>
  <c r="C288" i="1" s="1"/>
  <c r="F287" i="1"/>
  <c r="H287" i="1" s="1" a="1"/>
  <c r="H287" i="1" s="1"/>
  <c r="E287" i="1"/>
  <c r="D287" i="1"/>
  <c r="C287" i="1" s="1"/>
  <c r="E286" i="1"/>
  <c r="F286" i="1" s="1"/>
  <c r="D286" i="1"/>
  <c r="C286" i="1"/>
  <c r="E285" i="1"/>
  <c r="F285" i="1" s="1"/>
  <c r="H285" i="1" s="1" a="1"/>
  <c r="H285" i="1" s="1"/>
  <c r="D285" i="1"/>
  <c r="C285" i="1"/>
  <c r="H284" i="1" a="1"/>
  <c r="H284" i="1" s="1"/>
  <c r="G284" i="1"/>
  <c r="G284" i="1" a="1"/>
  <c r="E284" i="1"/>
  <c r="F284" i="1" s="1"/>
  <c r="D284" i="1"/>
  <c r="C284" i="1"/>
  <c r="F283" i="1"/>
  <c r="E283" i="1"/>
  <c r="D283" i="1"/>
  <c r="C283" i="1" s="1"/>
  <c r="H282" i="1"/>
  <c r="E282" i="1"/>
  <c r="F282" i="1" s="1"/>
  <c r="H282" i="1" s="1" a="1"/>
  <c r="D282" i="1"/>
  <c r="C282" i="1"/>
  <c r="F281" i="1"/>
  <c r="E281" i="1"/>
  <c r="D281" i="1"/>
  <c r="C281" i="1"/>
  <c r="H280" i="1" a="1"/>
  <c r="H280" i="1" s="1"/>
  <c r="E280" i="1"/>
  <c r="F280" i="1" s="1"/>
  <c r="G280" i="1" s="1" a="1"/>
  <c r="G280" i="1" s="1"/>
  <c r="D280" i="1"/>
  <c r="C280" i="1" s="1"/>
  <c r="H279" i="1"/>
  <c r="H279" i="1" a="1"/>
  <c r="G279" i="1"/>
  <c r="G279" i="1" a="1"/>
  <c r="E279" i="1"/>
  <c r="F279" i="1" s="1"/>
  <c r="D279" i="1"/>
  <c r="C279" i="1"/>
  <c r="E278" i="1"/>
  <c r="F278" i="1" s="1"/>
  <c r="D278" i="1"/>
  <c r="C278" i="1" s="1"/>
  <c r="F277" i="1"/>
  <c r="E277" i="1"/>
  <c r="D277" i="1"/>
  <c r="C277" i="1" s="1"/>
  <c r="H276" i="1" a="1"/>
  <c r="H276" i="1" s="1"/>
  <c r="G276" i="1"/>
  <c r="G276" i="1" a="1"/>
  <c r="E276" i="1"/>
  <c r="F276" i="1" s="1"/>
  <c r="D276" i="1"/>
  <c r="C276" i="1"/>
  <c r="F275" i="1"/>
  <c r="E275" i="1"/>
  <c r="D275" i="1"/>
  <c r="C275" i="1"/>
  <c r="E274" i="1"/>
  <c r="F274" i="1" s="1"/>
  <c r="D274" i="1"/>
  <c r="C274" i="1"/>
  <c r="H273" i="1" a="1"/>
  <c r="H273" i="1" s="1"/>
  <c r="G273" i="1" a="1"/>
  <c r="G273" i="1" s="1"/>
  <c r="F273" i="1"/>
  <c r="E273" i="1"/>
  <c r="D273" i="1"/>
  <c r="C273" i="1" s="1"/>
  <c r="H272" i="1" a="1"/>
  <c r="H272" i="1" s="1"/>
  <c r="G272" i="1" a="1"/>
  <c r="G272" i="1" s="1"/>
  <c r="E272" i="1"/>
  <c r="F272" i="1" s="1"/>
  <c r="D272" i="1"/>
  <c r="C272" i="1" s="1"/>
  <c r="E271" i="1"/>
  <c r="F271" i="1" s="1"/>
  <c r="D271" i="1"/>
  <c r="C271" i="1"/>
  <c r="H270" i="1" a="1"/>
  <c r="H270" i="1" s="1"/>
  <c r="G270" i="1" a="1"/>
  <c r="G270" i="1" s="1"/>
  <c r="E270" i="1"/>
  <c r="F270" i="1" s="1"/>
  <c r="D270" i="1"/>
  <c r="C270" i="1"/>
  <c r="H269" i="1" a="1"/>
  <c r="H269" i="1" s="1"/>
  <c r="E269" i="1"/>
  <c r="F269" i="1" s="1"/>
  <c r="G269" i="1" s="1" a="1"/>
  <c r="G269" i="1" s="1"/>
  <c r="D269" i="1"/>
  <c r="C269" i="1"/>
  <c r="E268" i="1"/>
  <c r="F268" i="1" s="1"/>
  <c r="H268" i="1" s="1" a="1"/>
  <c r="H268" i="1" s="1"/>
  <c r="D268" i="1"/>
  <c r="C268" i="1" s="1"/>
  <c r="G267" i="1" a="1"/>
  <c r="G267" i="1" s="1"/>
  <c r="F267" i="1"/>
  <c r="H267" i="1" s="1" a="1"/>
  <c r="H267" i="1" s="1"/>
  <c r="E267" i="1"/>
  <c r="D267" i="1"/>
  <c r="C267" i="1" s="1"/>
  <c r="H266" i="1"/>
  <c r="H266" i="1" a="1"/>
  <c r="G266" i="1" a="1"/>
  <c r="G266" i="1" s="1"/>
  <c r="E266" i="1"/>
  <c r="F266" i="1" s="1"/>
  <c r="D266" i="1"/>
  <c r="C266" i="1"/>
  <c r="H265" i="1" a="1"/>
  <c r="H265" i="1" s="1"/>
  <c r="F265" i="1"/>
  <c r="G265" i="1" s="1" a="1"/>
  <c r="G265" i="1" s="1"/>
  <c r="E265" i="1"/>
  <c r="D265" i="1"/>
  <c r="C265" i="1"/>
  <c r="E264" i="1"/>
  <c r="F264" i="1" s="1"/>
  <c r="D264" i="1"/>
  <c r="C264" i="1" s="1"/>
  <c r="E263" i="1"/>
  <c r="F263" i="1" s="1"/>
  <c r="D263" i="1"/>
  <c r="C263" i="1" s="1"/>
  <c r="H262" i="1"/>
  <c r="H262" i="1" a="1"/>
  <c r="G262" i="1" a="1"/>
  <c r="G262" i="1" s="1"/>
  <c r="E262" i="1"/>
  <c r="F262" i="1" s="1"/>
  <c r="D262" i="1"/>
  <c r="C262" i="1" s="1"/>
  <c r="H261" i="1" a="1"/>
  <c r="H261" i="1" s="1"/>
  <c r="G261" i="1"/>
  <c r="E261" i="1"/>
  <c r="F261" i="1" s="1"/>
  <c r="G261" i="1" s="1" a="1"/>
  <c r="D261" i="1"/>
  <c r="C261" i="1" s="1"/>
  <c r="H260" i="1" a="1"/>
  <c r="H260" i="1" s="1"/>
  <c r="E260" i="1"/>
  <c r="F260" i="1" s="1"/>
  <c r="G260" i="1" s="1" a="1"/>
  <c r="G260" i="1" s="1"/>
  <c r="D260" i="1"/>
  <c r="C260" i="1"/>
  <c r="F259" i="1"/>
  <c r="H259" i="1" s="1" a="1"/>
  <c r="H259" i="1" s="1"/>
  <c r="E259" i="1"/>
  <c r="D259" i="1"/>
  <c r="C259" i="1"/>
  <c r="H258" i="1"/>
  <c r="G258" i="1"/>
  <c r="G258" i="1" a="1"/>
  <c r="E258" i="1"/>
  <c r="F258" i="1" s="1"/>
  <c r="H258" i="1" s="1" a="1"/>
  <c r="D258" i="1"/>
  <c r="C258" i="1" s="1"/>
  <c r="H257" i="1"/>
  <c r="H257" i="1" a="1"/>
  <c r="G257" i="1" a="1"/>
  <c r="G257" i="1" s="1"/>
  <c r="F257" i="1"/>
  <c r="E257" i="1"/>
  <c r="D257" i="1"/>
  <c r="C257" i="1"/>
  <c r="E256" i="1"/>
  <c r="F256" i="1" s="1"/>
  <c r="D256" i="1"/>
  <c r="C256" i="1"/>
  <c r="E255" i="1"/>
  <c r="F255" i="1" s="1"/>
  <c r="H255" i="1" s="1" a="1"/>
  <c r="H255" i="1" s="1"/>
  <c r="D255" i="1"/>
  <c r="C255" i="1" s="1"/>
  <c r="H254" i="1" a="1"/>
  <c r="H254" i="1" s="1"/>
  <c r="G254" i="1"/>
  <c r="E254" i="1"/>
  <c r="F254" i="1" s="1"/>
  <c r="G254" i="1" s="1" a="1"/>
  <c r="D254" i="1"/>
  <c r="C254" i="1"/>
  <c r="E253" i="1"/>
  <c r="F253" i="1" s="1"/>
  <c r="D253" i="1"/>
  <c r="C253" i="1" s="1"/>
  <c r="H252" i="1"/>
  <c r="H252" i="1" a="1"/>
  <c r="G252" i="1"/>
  <c r="G252" i="1" a="1"/>
  <c r="E252" i="1"/>
  <c r="F252" i="1" s="1"/>
  <c r="D252" i="1"/>
  <c r="C252" i="1" s="1"/>
  <c r="E251" i="1"/>
  <c r="F251" i="1" s="1"/>
  <c r="D251" i="1"/>
  <c r="C251" i="1"/>
  <c r="H250" i="1" a="1"/>
  <c r="H250" i="1" s="1"/>
  <c r="G250" i="1"/>
  <c r="G250" i="1" a="1"/>
  <c r="E250" i="1"/>
  <c r="F250" i="1" s="1"/>
  <c r="D250" i="1"/>
  <c r="C250" i="1"/>
  <c r="H249" i="1" a="1"/>
  <c r="H249" i="1" s="1"/>
  <c r="E249" i="1"/>
  <c r="F249" i="1" s="1"/>
  <c r="G249" i="1" s="1" a="1"/>
  <c r="G249" i="1" s="1"/>
  <c r="D249" i="1"/>
  <c r="C249" i="1" s="1"/>
  <c r="H248" i="1" a="1"/>
  <c r="H248" i="1" s="1"/>
  <c r="G248" i="1" a="1"/>
  <c r="G248" i="1" s="1"/>
  <c r="E248" i="1"/>
  <c r="F248" i="1" s="1"/>
  <c r="D248" i="1"/>
  <c r="C248" i="1" s="1"/>
  <c r="E247" i="1"/>
  <c r="F247" i="1" s="1"/>
  <c r="D247" i="1"/>
  <c r="C247" i="1"/>
  <c r="H246" i="1" a="1"/>
  <c r="H246" i="1" s="1"/>
  <c r="G246" i="1"/>
  <c r="G246" i="1" a="1"/>
  <c r="E246" i="1"/>
  <c r="F246" i="1" s="1"/>
  <c r="D246" i="1"/>
  <c r="C246" i="1"/>
  <c r="H245" i="1" a="1"/>
  <c r="H245" i="1" s="1"/>
  <c r="G245" i="1"/>
  <c r="G245" i="1" a="1"/>
  <c r="F245" i="1"/>
  <c r="E245" i="1"/>
  <c r="D245" i="1"/>
  <c r="C245" i="1"/>
  <c r="G244" i="1" a="1"/>
  <c r="G244" i="1" s="1"/>
  <c r="E244" i="1"/>
  <c r="F244" i="1" s="1"/>
  <c r="H244" i="1" s="1" a="1"/>
  <c r="H244" i="1" s="1"/>
  <c r="D244" i="1"/>
  <c r="C244" i="1" s="1"/>
  <c r="F243" i="1"/>
  <c r="H243" i="1" s="1" a="1"/>
  <c r="H243" i="1" s="1"/>
  <c r="E243" i="1"/>
  <c r="D243" i="1"/>
  <c r="C243" i="1"/>
  <c r="H242" i="1" a="1"/>
  <c r="H242" i="1" s="1"/>
  <c r="E242" i="1"/>
  <c r="F242" i="1" s="1"/>
  <c r="G242" i="1" s="1" a="1"/>
  <c r="G242" i="1" s="1"/>
  <c r="D242" i="1"/>
  <c r="C242" i="1" s="1"/>
  <c r="H241" i="1"/>
  <c r="H241" i="1" a="1"/>
  <c r="G241" i="1" a="1"/>
  <c r="G241" i="1" s="1"/>
  <c r="F241" i="1"/>
  <c r="E241" i="1"/>
  <c r="D241" i="1"/>
  <c r="C241" i="1" s="1"/>
  <c r="G240" i="1" a="1"/>
  <c r="G240" i="1" s="1"/>
  <c r="E240" i="1"/>
  <c r="F240" i="1" s="1"/>
  <c r="H240" i="1" s="1" a="1"/>
  <c r="H240" i="1" s="1"/>
  <c r="D240" i="1"/>
  <c r="C240" i="1"/>
  <c r="F239" i="1"/>
  <c r="G239" i="1" s="1" a="1"/>
  <c r="G239" i="1" s="1"/>
  <c r="E239" i="1"/>
  <c r="D239" i="1"/>
  <c r="C239" i="1" s="1"/>
  <c r="H238" i="1" a="1"/>
  <c r="H238" i="1" s="1"/>
  <c r="G238" i="1"/>
  <c r="G238" i="1" a="1"/>
  <c r="E238" i="1"/>
  <c r="F238" i="1" s="1"/>
  <c r="D238" i="1"/>
  <c r="C238" i="1"/>
  <c r="G237" i="1" a="1"/>
  <c r="G237" i="1" s="1"/>
  <c r="E237" i="1"/>
  <c r="F237" i="1" s="1"/>
  <c r="H237" i="1" s="1" a="1"/>
  <c r="H237" i="1" s="1"/>
  <c r="D237" i="1"/>
  <c r="C237" i="1"/>
  <c r="H236" i="1"/>
  <c r="E236" i="1"/>
  <c r="F236" i="1" s="1"/>
  <c r="H236" i="1" s="1" a="1"/>
  <c r="D236" i="1"/>
  <c r="C236" i="1" s="1"/>
  <c r="H235" i="1" a="1"/>
  <c r="H235" i="1" s="1"/>
  <c r="G235" i="1"/>
  <c r="G235" i="1" a="1"/>
  <c r="F235" i="1"/>
  <c r="E235" i="1"/>
  <c r="D235" i="1"/>
  <c r="C235" i="1" s="1"/>
  <c r="E234" i="1"/>
  <c r="F234" i="1" s="1"/>
  <c r="D234" i="1"/>
  <c r="C234" i="1"/>
  <c r="E233" i="1"/>
  <c r="F233" i="1" s="1"/>
  <c r="D233" i="1"/>
  <c r="C233" i="1"/>
  <c r="H232" i="1"/>
  <c r="H232" i="1" a="1"/>
  <c r="G232" i="1"/>
  <c r="E232" i="1"/>
  <c r="F232" i="1" s="1"/>
  <c r="G232" i="1" s="1" a="1"/>
  <c r="D232" i="1"/>
  <c r="C232" i="1" s="1"/>
  <c r="E231" i="1"/>
  <c r="F231" i="1" s="1"/>
  <c r="G231" i="1" s="1" a="1"/>
  <c r="G231" i="1" s="1"/>
  <c r="D231" i="1"/>
  <c r="C231" i="1" s="1"/>
  <c r="H230" i="1"/>
  <c r="H230" i="1" a="1"/>
  <c r="G230" i="1" a="1"/>
  <c r="G230" i="1" s="1"/>
  <c r="E230" i="1"/>
  <c r="F230" i="1" s="1"/>
  <c r="D230" i="1"/>
  <c r="C230" i="1" s="1"/>
  <c r="H229" i="1" a="1"/>
  <c r="H229" i="1" s="1"/>
  <c r="G229" i="1" a="1"/>
  <c r="G229" i="1" s="1"/>
  <c r="F229" i="1"/>
  <c r="E229" i="1"/>
  <c r="D229" i="1"/>
  <c r="C229" i="1"/>
  <c r="H228" i="1" a="1"/>
  <c r="H228" i="1" s="1"/>
  <c r="E228" i="1"/>
  <c r="F228" i="1" s="1"/>
  <c r="G228" i="1" s="1" a="1"/>
  <c r="G228" i="1" s="1"/>
  <c r="D228" i="1"/>
  <c r="C228" i="1"/>
  <c r="F227" i="1"/>
  <c r="H227" i="1" s="1" a="1"/>
  <c r="H227" i="1" s="1"/>
  <c r="E227" i="1"/>
  <c r="D227" i="1"/>
  <c r="C227" i="1" s="1"/>
  <c r="E226" i="1"/>
  <c r="F226" i="1" s="1"/>
  <c r="D226" i="1"/>
  <c r="C226" i="1" s="1"/>
  <c r="E225" i="1"/>
  <c r="F225" i="1" s="1"/>
  <c r="G225" i="1" s="1" a="1"/>
  <c r="G225" i="1" s="1"/>
  <c r="D225" i="1"/>
  <c r="C225" i="1" s="1"/>
  <c r="H224" i="1"/>
  <c r="H224" i="1" a="1"/>
  <c r="G224" i="1" a="1"/>
  <c r="G224" i="1" s="1"/>
  <c r="E224" i="1"/>
  <c r="F224" i="1" s="1"/>
  <c r="D224" i="1"/>
  <c r="C224" i="1" s="1"/>
  <c r="F223" i="1"/>
  <c r="E223" i="1"/>
  <c r="D223" i="1"/>
  <c r="C223" i="1" s="1"/>
  <c r="H222" i="1" a="1"/>
  <c r="H222" i="1" s="1"/>
  <c r="E222" i="1"/>
  <c r="F222" i="1" s="1"/>
  <c r="G222" i="1" s="1" a="1"/>
  <c r="G222" i="1" s="1"/>
  <c r="D222" i="1"/>
  <c r="C222" i="1" s="1"/>
  <c r="F221" i="1"/>
  <c r="H221" i="1" s="1" a="1"/>
  <c r="H221" i="1" s="1"/>
  <c r="E221" i="1"/>
  <c r="D221" i="1"/>
  <c r="C221" i="1"/>
  <c r="H220" i="1" a="1"/>
  <c r="H220" i="1" s="1"/>
  <c r="G220" i="1" a="1"/>
  <c r="G220" i="1" s="1"/>
  <c r="E220" i="1"/>
  <c r="F220" i="1" s="1"/>
  <c r="D220" i="1"/>
  <c r="C220" i="1"/>
  <c r="F219" i="1"/>
  <c r="E219" i="1"/>
  <c r="D219" i="1"/>
  <c r="C219" i="1" s="1"/>
  <c r="E218" i="1"/>
  <c r="F218" i="1" s="1"/>
  <c r="H218" i="1" s="1" a="1"/>
  <c r="H218" i="1" s="1"/>
  <c r="D218" i="1"/>
  <c r="C218" i="1"/>
  <c r="H217" i="1"/>
  <c r="H217" i="1" a="1"/>
  <c r="G217" i="1"/>
  <c r="F217" i="1"/>
  <c r="G217" i="1" s="1" a="1"/>
  <c r="E217" i="1"/>
  <c r="D217" i="1"/>
  <c r="C217" i="1" s="1"/>
  <c r="H216" i="1"/>
  <c r="G216" i="1" a="1"/>
  <c r="G216" i="1" s="1"/>
  <c r="E216" i="1"/>
  <c r="F216" i="1" s="1"/>
  <c r="H216" i="1" s="1" a="1"/>
  <c r="D216" i="1"/>
  <c r="C216" i="1" s="1"/>
  <c r="E215" i="1"/>
  <c r="F215" i="1" s="1"/>
  <c r="H215" i="1" s="1" a="1"/>
  <c r="H215" i="1" s="1"/>
  <c r="D215" i="1"/>
  <c r="C215" i="1" s="1"/>
  <c r="H214" i="1" a="1"/>
  <c r="H214" i="1" s="1"/>
  <c r="G214" i="1"/>
  <c r="G214" i="1" a="1"/>
  <c r="E214" i="1"/>
  <c r="F214" i="1" s="1"/>
  <c r="D214" i="1"/>
  <c r="C214" i="1"/>
  <c r="H213" i="1" a="1"/>
  <c r="H213" i="1" s="1"/>
  <c r="G213" i="1" a="1"/>
  <c r="G213" i="1" s="1"/>
  <c r="F213" i="1"/>
  <c r="E213" i="1"/>
  <c r="D213" i="1"/>
  <c r="C213" i="1"/>
  <c r="E212" i="1"/>
  <c r="F212" i="1" s="1"/>
  <c r="D212" i="1"/>
  <c r="C212" i="1" s="1"/>
  <c r="E211" i="1"/>
  <c r="F211" i="1" s="1"/>
  <c r="D211" i="1"/>
  <c r="C211" i="1"/>
  <c r="H210" i="1" a="1"/>
  <c r="H210" i="1" s="1"/>
  <c r="G210" i="1"/>
  <c r="G210" i="1" a="1"/>
  <c r="E210" i="1"/>
  <c r="F210" i="1" s="1"/>
  <c r="D210" i="1"/>
  <c r="C210" i="1" s="1"/>
  <c r="F209" i="1"/>
  <c r="E209" i="1"/>
  <c r="D209" i="1"/>
  <c r="C209" i="1" s="1"/>
  <c r="E208" i="1"/>
  <c r="F208" i="1" s="1"/>
  <c r="H208" i="1" s="1" a="1"/>
  <c r="H208" i="1" s="1"/>
  <c r="D208" i="1"/>
  <c r="C208" i="1"/>
  <c r="H207" i="1" a="1"/>
  <c r="H207" i="1" s="1"/>
  <c r="G207" i="1"/>
  <c r="F207" i="1"/>
  <c r="G207" i="1" s="1" a="1"/>
  <c r="E207" i="1"/>
  <c r="D207" i="1"/>
  <c r="C207" i="1"/>
  <c r="H206" i="1" a="1"/>
  <c r="H206" i="1" s="1"/>
  <c r="G206" i="1" a="1"/>
  <c r="G206" i="1" s="1"/>
  <c r="E206" i="1"/>
  <c r="F206" i="1" s="1"/>
  <c r="D206" i="1"/>
  <c r="C206" i="1"/>
  <c r="E205" i="1"/>
  <c r="F205" i="1" s="1"/>
  <c r="G205" i="1" s="1" a="1"/>
  <c r="G205" i="1" s="1"/>
  <c r="D205" i="1"/>
  <c r="C205" i="1"/>
  <c r="E204" i="1"/>
  <c r="F204" i="1" s="1"/>
  <c r="H204" i="1" s="1" a="1"/>
  <c r="H204" i="1" s="1"/>
  <c r="D204" i="1"/>
  <c r="C204" i="1"/>
  <c r="H203" i="1"/>
  <c r="H203" i="1" a="1"/>
  <c r="G203" i="1"/>
  <c r="G203" i="1" a="1"/>
  <c r="F203" i="1"/>
  <c r="E203" i="1"/>
  <c r="D203" i="1"/>
  <c r="C203" i="1"/>
  <c r="H202" i="1" a="1"/>
  <c r="H202" i="1" s="1"/>
  <c r="E202" i="1"/>
  <c r="F202" i="1" s="1"/>
  <c r="G202" i="1" s="1" a="1"/>
  <c r="G202" i="1" s="1"/>
  <c r="D202" i="1"/>
  <c r="C202" i="1" s="1"/>
  <c r="F201" i="1"/>
  <c r="H201" i="1" s="1" a="1"/>
  <c r="H201" i="1" s="1"/>
  <c r="E201" i="1"/>
  <c r="D201" i="1"/>
  <c r="C201" i="1"/>
  <c r="E200" i="1"/>
  <c r="F200" i="1" s="1"/>
  <c r="G200" i="1" s="1" a="1"/>
  <c r="G200" i="1" s="1"/>
  <c r="D200" i="1"/>
  <c r="C200" i="1"/>
  <c r="E199" i="1"/>
  <c r="F199" i="1" s="1"/>
  <c r="H199" i="1" s="1" a="1"/>
  <c r="H199" i="1" s="1"/>
  <c r="D199" i="1"/>
  <c r="C199" i="1" s="1"/>
  <c r="H198" i="1"/>
  <c r="H198" i="1" a="1"/>
  <c r="G198" i="1"/>
  <c r="G198" i="1" a="1"/>
  <c r="E198" i="1"/>
  <c r="F198" i="1" s="1"/>
  <c r="D198" i="1"/>
  <c r="C198" i="1"/>
  <c r="E197" i="1"/>
  <c r="F197" i="1" s="1"/>
  <c r="D197" i="1"/>
  <c r="C197" i="1"/>
  <c r="G196" i="1" a="1"/>
  <c r="G196" i="1" s="1"/>
  <c r="E196" i="1"/>
  <c r="F196" i="1" s="1"/>
  <c r="H196" i="1" s="1" a="1"/>
  <c r="H196" i="1" s="1"/>
  <c r="D196" i="1"/>
  <c r="C196" i="1"/>
  <c r="E195" i="1"/>
  <c r="F195" i="1" s="1"/>
  <c r="D195" i="1"/>
  <c r="C195" i="1"/>
  <c r="E194" i="1"/>
  <c r="F194" i="1" s="1"/>
  <c r="D194" i="1"/>
  <c r="C194" i="1" s="1"/>
  <c r="F193" i="1"/>
  <c r="H193" i="1" s="1" a="1"/>
  <c r="H193" i="1" s="1"/>
  <c r="E193" i="1"/>
  <c r="D193" i="1"/>
  <c r="C193" i="1"/>
  <c r="E192" i="1"/>
  <c r="F192" i="1" s="1"/>
  <c r="H192" i="1" s="1" a="1"/>
  <c r="H192" i="1" s="1"/>
  <c r="D192" i="1"/>
  <c r="C192" i="1"/>
  <c r="E191" i="1"/>
  <c r="F191" i="1" s="1"/>
  <c r="H191" i="1" s="1" a="1"/>
  <c r="H191" i="1" s="1"/>
  <c r="D191" i="1"/>
  <c r="C191" i="1" s="1"/>
  <c r="E190" i="1"/>
  <c r="F190" i="1" s="1"/>
  <c r="D190" i="1"/>
  <c r="C190" i="1"/>
  <c r="F189" i="1"/>
  <c r="H189" i="1" s="1" a="1"/>
  <c r="H189" i="1" s="1"/>
  <c r="E189" i="1"/>
  <c r="D189" i="1"/>
  <c r="C189" i="1" s="1"/>
  <c r="H188" i="1" a="1"/>
  <c r="H188" i="1" s="1"/>
  <c r="G188" i="1"/>
  <c r="G188" i="1" a="1"/>
  <c r="E188" i="1"/>
  <c r="F188" i="1" s="1"/>
  <c r="D188" i="1"/>
  <c r="C188" i="1"/>
  <c r="E187" i="1"/>
  <c r="F187" i="1" s="1"/>
  <c r="D187" i="1"/>
  <c r="C187" i="1"/>
  <c r="E186" i="1"/>
  <c r="F186" i="1" s="1"/>
  <c r="D186" i="1"/>
  <c r="C186" i="1"/>
  <c r="H185" i="1" a="1"/>
  <c r="H185" i="1" s="1"/>
  <c r="G185" i="1"/>
  <c r="F185" i="1"/>
  <c r="G185" i="1" s="1" a="1"/>
  <c r="E185" i="1"/>
  <c r="D185" i="1"/>
  <c r="C185" i="1" s="1"/>
  <c r="G184" i="1"/>
  <c r="E184" i="1"/>
  <c r="F184" i="1" s="1"/>
  <c r="G184" i="1" s="1" a="1"/>
  <c r="D184" i="1"/>
  <c r="C184" i="1" s="1"/>
  <c r="H183" i="1"/>
  <c r="G183" i="1" a="1"/>
  <c r="G183" i="1" s="1"/>
  <c r="E183" i="1"/>
  <c r="F183" i="1" s="1"/>
  <c r="H183" i="1" s="1" a="1"/>
  <c r="D183" i="1"/>
  <c r="C183" i="1"/>
  <c r="H182" i="1" a="1"/>
  <c r="H182" i="1" s="1"/>
  <c r="E182" i="1"/>
  <c r="F182" i="1" s="1"/>
  <c r="G182" i="1" s="1" a="1"/>
  <c r="G182" i="1" s="1"/>
  <c r="D182" i="1"/>
  <c r="C182" i="1" s="1"/>
  <c r="H181" i="1" a="1"/>
  <c r="H181" i="1" s="1"/>
  <c r="G181" i="1" a="1"/>
  <c r="G181" i="1" s="1"/>
  <c r="F181" i="1"/>
  <c r="E181" i="1"/>
  <c r="D181" i="1"/>
  <c r="C181" i="1"/>
  <c r="G180" i="1" a="1"/>
  <c r="G180" i="1" s="1"/>
  <c r="E180" i="1"/>
  <c r="F180" i="1" s="1"/>
  <c r="H180" i="1" s="1" a="1"/>
  <c r="H180" i="1" s="1"/>
  <c r="D180" i="1"/>
  <c r="C180" i="1" s="1"/>
  <c r="F179" i="1"/>
  <c r="H179" i="1" s="1" a="1"/>
  <c r="H179" i="1" s="1"/>
  <c r="E179" i="1"/>
  <c r="D179" i="1"/>
  <c r="C179" i="1"/>
  <c r="E178" i="1"/>
  <c r="F178" i="1" s="1"/>
  <c r="H178" i="1" s="1" a="1"/>
  <c r="H178" i="1" s="1"/>
  <c r="D178" i="1"/>
  <c r="C178" i="1"/>
  <c r="H177" i="1"/>
  <c r="H177" i="1" a="1"/>
  <c r="E177" i="1"/>
  <c r="F177" i="1" s="1"/>
  <c r="G177" i="1" s="1" a="1"/>
  <c r="G177" i="1" s="1"/>
  <c r="D177" i="1"/>
  <c r="C177" i="1" s="1"/>
  <c r="E176" i="1"/>
  <c r="F176" i="1" s="1"/>
  <c r="H176" i="1" s="1" a="1"/>
  <c r="H176" i="1" s="1"/>
  <c r="D176" i="1"/>
  <c r="C176" i="1"/>
  <c r="H175" i="1" a="1"/>
  <c r="H175" i="1" s="1"/>
  <c r="E175" i="1"/>
  <c r="F175" i="1" s="1"/>
  <c r="G175" i="1" s="1" a="1"/>
  <c r="G175" i="1" s="1"/>
  <c r="D175" i="1"/>
  <c r="C175" i="1" s="1"/>
  <c r="H174" i="1" a="1"/>
  <c r="H174" i="1" s="1"/>
  <c r="G174" i="1"/>
  <c r="G174" i="1" a="1"/>
  <c r="E174" i="1"/>
  <c r="F174" i="1" s="1"/>
  <c r="D174" i="1"/>
  <c r="C174" i="1"/>
  <c r="E173" i="1"/>
  <c r="F173" i="1" s="1"/>
  <c r="D173" i="1"/>
  <c r="C173" i="1"/>
  <c r="E172" i="1"/>
  <c r="F172" i="1" s="1"/>
  <c r="H172" i="1" s="1" a="1"/>
  <c r="H172" i="1" s="1"/>
  <c r="D172" i="1"/>
  <c r="C172" i="1" s="1"/>
  <c r="F171" i="1"/>
  <c r="H171" i="1" s="1" a="1"/>
  <c r="H171" i="1" s="1"/>
  <c r="E171" i="1"/>
  <c r="D171" i="1"/>
  <c r="C171" i="1" s="1"/>
  <c r="H170" i="1"/>
  <c r="H170" i="1" a="1"/>
  <c r="G170" i="1" a="1"/>
  <c r="G170" i="1" s="1"/>
  <c r="E170" i="1"/>
  <c r="F170" i="1" s="1"/>
  <c r="D170" i="1"/>
  <c r="C170" i="1"/>
  <c r="H169" i="1"/>
  <c r="G169" i="1" a="1"/>
  <c r="G169" i="1" s="1"/>
  <c r="F169" i="1"/>
  <c r="H169" i="1" s="1" a="1"/>
  <c r="E169" i="1"/>
  <c r="D169" i="1"/>
  <c r="C169" i="1" s="1"/>
  <c r="G168" i="1"/>
  <c r="E168" i="1"/>
  <c r="F168" i="1" s="1"/>
  <c r="G168" i="1" s="1" a="1"/>
  <c r="D168" i="1"/>
  <c r="C168" i="1" s="1"/>
  <c r="H167" i="1" a="1"/>
  <c r="H167" i="1" s="1"/>
  <c r="E167" i="1"/>
  <c r="F167" i="1" s="1"/>
  <c r="G167" i="1" s="1" a="1"/>
  <c r="G167" i="1" s="1"/>
  <c r="D167" i="1"/>
  <c r="C167" i="1"/>
  <c r="H166" i="1"/>
  <c r="H166" i="1" a="1"/>
  <c r="G166" i="1" a="1"/>
  <c r="G166" i="1" s="1"/>
  <c r="E166" i="1"/>
  <c r="F166" i="1" s="1"/>
  <c r="D166" i="1"/>
  <c r="C166" i="1" s="1"/>
  <c r="H165" i="1" a="1"/>
  <c r="H165" i="1" s="1"/>
  <c r="G165" i="1" a="1"/>
  <c r="G165" i="1" s="1"/>
  <c r="E165" i="1"/>
  <c r="F165" i="1" s="1"/>
  <c r="D165" i="1"/>
  <c r="C165" i="1" s="1"/>
  <c r="H164" i="1" a="1"/>
  <c r="H164" i="1" s="1"/>
  <c r="G164" i="1" a="1"/>
  <c r="G164" i="1" s="1"/>
  <c r="E164" i="1"/>
  <c r="F164" i="1" s="1"/>
  <c r="D164" i="1"/>
  <c r="C164" i="1"/>
  <c r="F163" i="1"/>
  <c r="H163" i="1" s="1" a="1"/>
  <c r="H163" i="1" s="1"/>
  <c r="E163" i="1"/>
  <c r="D163" i="1"/>
  <c r="C163" i="1"/>
  <c r="H162" i="1"/>
  <c r="G162" i="1" a="1"/>
  <c r="G162" i="1" s="1"/>
  <c r="E162" i="1"/>
  <c r="F162" i="1" s="1"/>
  <c r="H162" i="1" s="1" a="1"/>
  <c r="D162" i="1"/>
  <c r="C162" i="1" s="1"/>
  <c r="E161" i="1"/>
  <c r="F161" i="1" s="1"/>
  <c r="D161" i="1"/>
  <c r="C161" i="1" s="1"/>
  <c r="H160" i="1" a="1"/>
  <c r="H160" i="1" s="1"/>
  <c r="G160" i="1" a="1"/>
  <c r="G160" i="1" s="1"/>
  <c r="E160" i="1"/>
  <c r="F160" i="1" s="1"/>
  <c r="D160" i="1"/>
  <c r="C160" i="1" s="1"/>
  <c r="F159" i="1"/>
  <c r="H159" i="1" s="1" a="1"/>
  <c r="H159" i="1" s="1"/>
  <c r="E159" i="1"/>
  <c r="D159" i="1"/>
  <c r="C159" i="1"/>
  <c r="G158" i="1" a="1"/>
  <c r="G158" i="1" s="1"/>
  <c r="E158" i="1"/>
  <c r="F158" i="1" s="1"/>
  <c r="H158" i="1" s="1" a="1"/>
  <c r="H158" i="1" s="1"/>
  <c r="D158" i="1"/>
  <c r="C158" i="1" s="1"/>
  <c r="H157" i="1"/>
  <c r="E157" i="1"/>
  <c r="F157" i="1" s="1"/>
  <c r="H157" i="1" s="1" a="1"/>
  <c r="D157" i="1"/>
  <c r="C157" i="1" s="1"/>
  <c r="H156" i="1" a="1"/>
  <c r="H156" i="1" s="1"/>
  <c r="G156" i="1"/>
  <c r="E156" i="1"/>
  <c r="F156" i="1" s="1"/>
  <c r="G156" i="1" s="1" a="1"/>
  <c r="D156" i="1"/>
  <c r="C156" i="1" s="1"/>
  <c r="G155" i="1" a="1"/>
  <c r="G155" i="1" s="1"/>
  <c r="E155" i="1"/>
  <c r="F155" i="1" s="1"/>
  <c r="H155" i="1" s="1" a="1"/>
  <c r="H155" i="1" s="1"/>
  <c r="D155" i="1"/>
  <c r="C155" i="1"/>
  <c r="G154" i="1" a="1"/>
  <c r="G154" i="1" s="1"/>
  <c r="E154" i="1"/>
  <c r="F154" i="1" s="1"/>
  <c r="H154" i="1" s="1" a="1"/>
  <c r="H154" i="1" s="1"/>
  <c r="D154" i="1"/>
  <c r="C154" i="1"/>
  <c r="H153" i="1" a="1"/>
  <c r="H153" i="1" s="1"/>
  <c r="F153" i="1"/>
  <c r="G153" i="1" s="1" a="1"/>
  <c r="G153" i="1" s="1"/>
  <c r="E153" i="1"/>
  <c r="D153" i="1"/>
  <c r="C153" i="1" s="1"/>
  <c r="H152" i="1"/>
  <c r="H152" i="1" a="1"/>
  <c r="G152" i="1"/>
  <c r="E152" i="1"/>
  <c r="F152" i="1" s="1"/>
  <c r="G152" i="1" s="1" a="1"/>
  <c r="D152" i="1"/>
  <c r="C152" i="1"/>
  <c r="G151" i="1" a="1"/>
  <c r="G151" i="1" s="1"/>
  <c r="E151" i="1"/>
  <c r="F151" i="1" s="1"/>
  <c r="H151" i="1" s="1" a="1"/>
  <c r="H151" i="1" s="1"/>
  <c r="D151" i="1"/>
  <c r="C151" i="1"/>
  <c r="H150" i="1" a="1"/>
  <c r="H150" i="1" s="1"/>
  <c r="G150" i="1" a="1"/>
  <c r="G150" i="1" s="1"/>
  <c r="E150" i="1"/>
  <c r="F150" i="1" s="1"/>
  <c r="D150" i="1"/>
  <c r="C150" i="1"/>
  <c r="F149" i="1"/>
  <c r="G149" i="1" s="1" a="1"/>
  <c r="G149" i="1" s="1"/>
  <c r="E149" i="1"/>
  <c r="D149" i="1"/>
  <c r="C149" i="1"/>
  <c r="E148" i="1"/>
  <c r="F148" i="1" s="1"/>
  <c r="H148" i="1" s="1" a="1"/>
  <c r="H148" i="1" s="1"/>
  <c r="D148" i="1"/>
  <c r="C148" i="1" s="1"/>
  <c r="H147" i="1"/>
  <c r="H147" i="1" a="1"/>
  <c r="G147" i="1"/>
  <c r="E147" i="1"/>
  <c r="F147" i="1" s="1"/>
  <c r="G147" i="1" s="1" a="1"/>
  <c r="D147" i="1"/>
  <c r="C147" i="1" s="1"/>
  <c r="E146" i="1"/>
  <c r="F146" i="1" s="1"/>
  <c r="H146" i="1" s="1" a="1"/>
  <c r="H146" i="1" s="1"/>
  <c r="D146" i="1"/>
  <c r="C146" i="1"/>
  <c r="E145" i="1"/>
  <c r="F145" i="1" s="1"/>
  <c r="D145" i="1"/>
  <c r="C145" i="1"/>
  <c r="E144" i="1"/>
  <c r="F144" i="1" s="1"/>
  <c r="G144" i="1" s="1" a="1"/>
  <c r="G144" i="1" s="1"/>
  <c r="D144" i="1"/>
  <c r="C144" i="1" s="1"/>
  <c r="H143" i="1"/>
  <c r="G143" i="1" a="1"/>
  <c r="G143" i="1" s="1"/>
  <c r="F143" i="1"/>
  <c r="H143" i="1" s="1" a="1"/>
  <c r="E143" i="1"/>
  <c r="D143" i="1"/>
  <c r="C143" i="1"/>
  <c r="H142" i="1" a="1"/>
  <c r="H142" i="1" s="1"/>
  <c r="G142" i="1" a="1"/>
  <c r="G142" i="1" s="1"/>
  <c r="E142" i="1"/>
  <c r="F142" i="1" s="1"/>
  <c r="D142" i="1"/>
  <c r="C142" i="1"/>
  <c r="E141" i="1"/>
  <c r="F141" i="1" s="1"/>
  <c r="G141" i="1" s="1" a="1"/>
  <c r="G141" i="1" s="1"/>
  <c r="D141" i="1"/>
  <c r="C141" i="1"/>
  <c r="H140" i="1" a="1"/>
  <c r="H140" i="1" s="1"/>
  <c r="G140" i="1" a="1"/>
  <c r="G140" i="1" s="1"/>
  <c r="E140" i="1"/>
  <c r="F140" i="1" s="1"/>
  <c r="D140" i="1"/>
  <c r="C140" i="1" s="1"/>
  <c r="G139" i="1"/>
  <c r="F139" i="1"/>
  <c r="G139" i="1" s="1" a="1"/>
  <c r="E139" i="1"/>
  <c r="D139" i="1"/>
  <c r="C139" i="1" s="1"/>
  <c r="H138" i="1" a="1"/>
  <c r="H138" i="1" s="1"/>
  <c r="G138" i="1" a="1"/>
  <c r="G138" i="1" s="1"/>
  <c r="E138" i="1"/>
  <c r="F138" i="1" s="1"/>
  <c r="D138" i="1"/>
  <c r="C138" i="1" s="1"/>
  <c r="H137" i="1"/>
  <c r="E137" i="1"/>
  <c r="F137" i="1" s="1"/>
  <c r="H137" i="1" s="1" a="1"/>
  <c r="D137" i="1"/>
  <c r="C137" i="1" s="1"/>
  <c r="G136" i="1" a="1"/>
  <c r="G136" i="1" s="1"/>
  <c r="E136" i="1"/>
  <c r="F136" i="1" s="1"/>
  <c r="H136" i="1" s="1" a="1"/>
  <c r="H136" i="1" s="1"/>
  <c r="D136" i="1"/>
  <c r="C136" i="1" s="1"/>
  <c r="F135" i="1"/>
  <c r="E135" i="1"/>
  <c r="D135" i="1"/>
  <c r="C135" i="1" s="1"/>
  <c r="E134" i="1"/>
  <c r="F134" i="1" s="1"/>
  <c r="H134" i="1" s="1" a="1"/>
  <c r="H134" i="1" s="1"/>
  <c r="D134" i="1"/>
  <c r="C134" i="1"/>
  <c r="E133" i="1"/>
  <c r="F133" i="1" s="1"/>
  <c r="D133" i="1"/>
  <c r="C133" i="1"/>
  <c r="H132" i="1" a="1"/>
  <c r="H132" i="1" s="1"/>
  <c r="E132" i="1"/>
  <c r="F132" i="1" s="1"/>
  <c r="G132" i="1" s="1" a="1"/>
  <c r="G132" i="1" s="1"/>
  <c r="D132" i="1"/>
  <c r="C132" i="1"/>
  <c r="H131" i="1"/>
  <c r="H131" i="1" a="1"/>
  <c r="G131" i="1"/>
  <c r="F131" i="1"/>
  <c r="G131" i="1" s="1" a="1"/>
  <c r="E131" i="1"/>
  <c r="D131" i="1"/>
  <c r="C131" i="1" s="1"/>
  <c r="H130" i="1" a="1"/>
  <c r="H130" i="1" s="1"/>
  <c r="E130" i="1"/>
  <c r="F130" i="1" s="1"/>
  <c r="G130" i="1" s="1" a="1"/>
  <c r="G130" i="1" s="1"/>
  <c r="D130" i="1"/>
  <c r="C130" i="1"/>
  <c r="G129" i="1" a="1"/>
  <c r="G129" i="1" s="1"/>
  <c r="F129" i="1"/>
  <c r="H129" i="1" s="1" a="1"/>
  <c r="H129" i="1" s="1"/>
  <c r="E129" i="1"/>
  <c r="D129" i="1"/>
  <c r="C129" i="1"/>
  <c r="H128" i="1" a="1"/>
  <c r="H128" i="1" s="1"/>
  <c r="G128" i="1"/>
  <c r="G128" i="1" a="1"/>
  <c r="E128" i="1"/>
  <c r="F128" i="1" s="1"/>
  <c r="D128" i="1"/>
  <c r="C128" i="1"/>
  <c r="E127" i="1"/>
  <c r="F127" i="1" s="1"/>
  <c r="D127" i="1"/>
  <c r="C127" i="1" s="1"/>
  <c r="E126" i="1"/>
  <c r="F126" i="1" s="1"/>
  <c r="H126" i="1" s="1" a="1"/>
  <c r="H126" i="1" s="1"/>
  <c r="D126" i="1"/>
  <c r="C126" i="1"/>
  <c r="E125" i="1"/>
  <c r="F125" i="1" s="1"/>
  <c r="H125" i="1" s="1" a="1"/>
  <c r="H125" i="1" s="1"/>
  <c r="D125" i="1"/>
  <c r="C125" i="1" s="1"/>
  <c r="H124" i="1" a="1"/>
  <c r="H124" i="1" s="1"/>
  <c r="E124" i="1"/>
  <c r="F124" i="1" s="1"/>
  <c r="G124" i="1" s="1" a="1"/>
  <c r="G124" i="1" s="1"/>
  <c r="D124" i="1"/>
  <c r="C124" i="1" s="1"/>
  <c r="E123" i="1"/>
  <c r="F123" i="1" s="1"/>
  <c r="H123" i="1" s="1" a="1"/>
  <c r="H123" i="1" s="1"/>
  <c r="D123" i="1"/>
  <c r="C123" i="1"/>
  <c r="E122" i="1"/>
  <c r="F122" i="1" s="1"/>
  <c r="D122" i="1"/>
  <c r="C122" i="1"/>
  <c r="E121" i="1"/>
  <c r="F121" i="1" s="1"/>
  <c r="D121" i="1"/>
  <c r="C121" i="1"/>
  <c r="H120" i="1" a="1"/>
  <c r="H120" i="1" s="1"/>
  <c r="G120" i="1" a="1"/>
  <c r="G120" i="1" s="1"/>
  <c r="E120" i="1"/>
  <c r="F120" i="1" s="1"/>
  <c r="D120" i="1"/>
  <c r="C120" i="1"/>
  <c r="H119" i="1"/>
  <c r="G119" i="1" a="1"/>
  <c r="G119" i="1" s="1"/>
  <c r="F119" i="1"/>
  <c r="H119" i="1" s="1" a="1"/>
  <c r="E119" i="1"/>
  <c r="D119" i="1"/>
  <c r="C119" i="1" s="1"/>
  <c r="E118" i="1"/>
  <c r="F118" i="1" s="1"/>
  <c r="D118" i="1"/>
  <c r="C118" i="1"/>
  <c r="F117" i="1"/>
  <c r="E117" i="1"/>
  <c r="D117" i="1"/>
  <c r="C117" i="1" s="1"/>
  <c r="H116" i="1" a="1"/>
  <c r="H116" i="1" s="1"/>
  <c r="G116" i="1" a="1"/>
  <c r="G116" i="1" s="1"/>
  <c r="E116" i="1"/>
  <c r="F116" i="1" s="1"/>
  <c r="D116" i="1"/>
  <c r="C116" i="1" s="1"/>
  <c r="H115" i="1" a="1"/>
  <c r="H115" i="1" s="1"/>
  <c r="E115" i="1"/>
  <c r="F115" i="1" s="1"/>
  <c r="G115" i="1" s="1" a="1"/>
  <c r="G115" i="1" s="1"/>
  <c r="D115" i="1"/>
  <c r="C115" i="1"/>
  <c r="H114" i="1" a="1"/>
  <c r="H114" i="1" s="1"/>
  <c r="G114" i="1" a="1"/>
  <c r="G114" i="1" s="1"/>
  <c r="E114" i="1"/>
  <c r="F114" i="1" s="1"/>
  <c r="D114" i="1"/>
  <c r="C114" i="1" s="1"/>
  <c r="H113" i="1" a="1"/>
  <c r="H113" i="1" s="1"/>
  <c r="G113" i="1" a="1"/>
  <c r="G113" i="1" s="1"/>
  <c r="E113" i="1"/>
  <c r="F113" i="1" s="1"/>
  <c r="D113" i="1"/>
  <c r="C113" i="1" s="1"/>
  <c r="E112" i="1"/>
  <c r="F112" i="1" s="1"/>
  <c r="H112" i="1" s="1" a="1"/>
  <c r="H112" i="1" s="1"/>
  <c r="D112" i="1"/>
  <c r="C112" i="1" s="1"/>
  <c r="F111" i="1"/>
  <c r="H111" i="1" s="1" a="1"/>
  <c r="H111" i="1" s="1"/>
  <c r="E111" i="1"/>
  <c r="D111" i="1"/>
  <c r="C111" i="1"/>
  <c r="E110" i="1"/>
  <c r="F110" i="1" s="1"/>
  <c r="H110" i="1" s="1" a="1"/>
  <c r="H110" i="1" s="1"/>
  <c r="D110" i="1"/>
  <c r="C110" i="1"/>
  <c r="H109" i="1"/>
  <c r="H109" i="1" a="1"/>
  <c r="F109" i="1"/>
  <c r="G109" i="1" s="1" a="1"/>
  <c r="G109" i="1" s="1"/>
  <c r="E109" i="1"/>
  <c r="D109" i="1"/>
  <c r="C109" i="1"/>
  <c r="E108" i="1"/>
  <c r="F108" i="1" s="1"/>
  <c r="D108" i="1"/>
  <c r="C108" i="1"/>
  <c r="H107" i="1" a="1"/>
  <c r="H107" i="1" s="1"/>
  <c r="G107" i="1"/>
  <c r="F107" i="1"/>
  <c r="G107" i="1" s="1" a="1"/>
  <c r="E107" i="1"/>
  <c r="D107" i="1"/>
  <c r="C107" i="1" s="1"/>
  <c r="E106" i="1"/>
  <c r="F106" i="1" s="1"/>
  <c r="D106" i="1"/>
  <c r="C106" i="1"/>
  <c r="E105" i="1"/>
  <c r="F105" i="1" s="1"/>
  <c r="G105" i="1" s="1" a="1"/>
  <c r="G105" i="1" s="1"/>
  <c r="D105" i="1"/>
  <c r="C105" i="1"/>
  <c r="E104" i="1"/>
  <c r="F104" i="1" s="1"/>
  <c r="H104" i="1" s="1" a="1"/>
  <c r="H104" i="1" s="1"/>
  <c r="D104" i="1"/>
  <c r="C104" i="1"/>
  <c r="H103" i="1" a="1"/>
  <c r="H103" i="1" s="1"/>
  <c r="G103" i="1" a="1"/>
  <c r="G103" i="1" s="1"/>
  <c r="F103" i="1"/>
  <c r="E103" i="1"/>
  <c r="D103" i="1"/>
  <c r="C103" i="1"/>
  <c r="E102" i="1"/>
  <c r="F102" i="1" s="1"/>
  <c r="H102" i="1" s="1" a="1"/>
  <c r="H102" i="1" s="1"/>
  <c r="D102" i="1"/>
  <c r="C102" i="1" s="1"/>
  <c r="F101" i="1"/>
  <c r="E101" i="1"/>
  <c r="D101" i="1"/>
  <c r="C101" i="1"/>
  <c r="E100" i="1"/>
  <c r="F100" i="1" s="1"/>
  <c r="G100" i="1" s="1" a="1"/>
  <c r="G100" i="1" s="1"/>
  <c r="D100" i="1"/>
  <c r="C100" i="1"/>
  <c r="E99" i="1"/>
  <c r="F99" i="1" s="1"/>
  <c r="G99" i="1" s="1" a="1"/>
  <c r="G99" i="1" s="1"/>
  <c r="D99" i="1"/>
  <c r="C99" i="1" s="1"/>
  <c r="H98" i="1"/>
  <c r="H98" i="1" a="1"/>
  <c r="G98" i="1"/>
  <c r="E98" i="1"/>
  <c r="F98" i="1" s="1"/>
  <c r="G98" i="1" s="1" a="1"/>
  <c r="D98" i="1"/>
  <c r="C98" i="1" s="1"/>
  <c r="H97" i="1" a="1"/>
  <c r="H97" i="1" s="1"/>
  <c r="G97" i="1" a="1"/>
  <c r="G97" i="1" s="1"/>
  <c r="F97" i="1"/>
  <c r="E97" i="1"/>
  <c r="D97" i="1"/>
  <c r="C97" i="1" s="1"/>
  <c r="H96" i="1" a="1"/>
  <c r="H96" i="1" s="1"/>
  <c r="G96" i="1" a="1"/>
  <c r="G96" i="1" s="1"/>
  <c r="E96" i="1"/>
  <c r="F96" i="1" s="1"/>
  <c r="D96" i="1"/>
  <c r="C96" i="1" s="1"/>
  <c r="E95" i="1"/>
  <c r="F95" i="1" s="1"/>
  <c r="D95" i="1"/>
  <c r="C95" i="1" s="1"/>
  <c r="H94" i="1"/>
  <c r="G94" i="1" a="1"/>
  <c r="G94" i="1" s="1"/>
  <c r="E94" i="1"/>
  <c r="F94" i="1" s="1"/>
  <c r="H94" i="1" s="1" a="1"/>
  <c r="D94" i="1"/>
  <c r="C94" i="1"/>
  <c r="E93" i="1"/>
  <c r="F93" i="1" s="1"/>
  <c r="D93" i="1"/>
  <c r="C93" i="1" s="1"/>
  <c r="H92" i="1"/>
  <c r="H92" i="1" a="1"/>
  <c r="G92" i="1" a="1"/>
  <c r="G92" i="1" s="1"/>
  <c r="E92" i="1"/>
  <c r="F92" i="1" s="1"/>
  <c r="D92" i="1"/>
  <c r="C92" i="1" s="1"/>
  <c r="H91" i="1" a="1"/>
  <c r="H91" i="1" s="1"/>
  <c r="E91" i="1"/>
  <c r="F91" i="1" s="1"/>
  <c r="G91" i="1" s="1" a="1"/>
  <c r="G91" i="1" s="1"/>
  <c r="D91" i="1"/>
  <c r="C91" i="1"/>
  <c r="E90" i="1"/>
  <c r="F90" i="1" s="1"/>
  <c r="G90" i="1" s="1" a="1"/>
  <c r="G90" i="1" s="1"/>
  <c r="D90" i="1"/>
  <c r="C90" i="1"/>
  <c r="F89" i="1"/>
  <c r="E89" i="1"/>
  <c r="D89" i="1"/>
  <c r="C89" i="1" s="1"/>
  <c r="H88" i="1"/>
  <c r="H88" i="1" a="1"/>
  <c r="G88" i="1" a="1"/>
  <c r="G88" i="1" s="1"/>
  <c r="E88" i="1"/>
  <c r="F88" i="1" s="1"/>
  <c r="D88" i="1"/>
  <c r="C88" i="1"/>
  <c r="F87" i="1"/>
  <c r="E87" i="1"/>
  <c r="D87" i="1"/>
  <c r="C87" i="1" s="1"/>
  <c r="H86" i="1"/>
  <c r="H86" i="1" a="1"/>
  <c r="E86" i="1"/>
  <c r="F86" i="1" s="1"/>
  <c r="G86" i="1" s="1" a="1"/>
  <c r="G86" i="1" s="1"/>
  <c r="D86" i="1"/>
  <c r="C86" i="1"/>
  <c r="H85" i="1" a="1"/>
  <c r="H85" i="1" s="1"/>
  <c r="F85" i="1"/>
  <c r="G85" i="1" s="1" a="1"/>
  <c r="G85" i="1" s="1"/>
  <c r="E85" i="1"/>
  <c r="D85" i="1"/>
  <c r="C85" i="1" s="1"/>
  <c r="F84" i="1"/>
  <c r="E84" i="1"/>
  <c r="D84" i="1"/>
  <c r="C84" i="1"/>
  <c r="H83" i="1"/>
  <c r="H83" i="1" a="1"/>
  <c r="G83" i="1" a="1"/>
  <c r="G83" i="1" s="1"/>
  <c r="E83" i="1"/>
  <c r="F83" i="1" s="1"/>
  <c r="D83" i="1"/>
  <c r="C83" i="1"/>
  <c r="H82" i="1" a="1"/>
  <c r="H82" i="1" s="1"/>
  <c r="G82" i="1" a="1"/>
  <c r="G82" i="1" s="1"/>
  <c r="E82" i="1"/>
  <c r="F82" i="1" s="1"/>
  <c r="D82" i="1"/>
  <c r="C82" i="1"/>
  <c r="F81" i="1"/>
  <c r="H81" i="1" s="1" a="1"/>
  <c r="H81" i="1" s="1"/>
  <c r="E81" i="1"/>
  <c r="D81" i="1"/>
  <c r="C81" i="1" s="1"/>
  <c r="F80" i="1"/>
  <c r="E80" i="1"/>
  <c r="D80" i="1"/>
  <c r="C80" i="1"/>
  <c r="H79" i="1" a="1"/>
  <c r="H79" i="1" s="1"/>
  <c r="F79" i="1"/>
  <c r="G79" i="1" s="1" a="1"/>
  <c r="G79" i="1" s="1"/>
  <c r="E79" i="1"/>
  <c r="D79" i="1"/>
  <c r="C79" i="1"/>
  <c r="E78" i="1"/>
  <c r="F78" i="1" s="1"/>
  <c r="H78" i="1" s="1" a="1"/>
  <c r="H78" i="1" s="1"/>
  <c r="D78" i="1"/>
  <c r="C78" i="1"/>
  <c r="E77" i="1"/>
  <c r="F77" i="1" s="1"/>
  <c r="D77" i="1"/>
  <c r="C77" i="1" s="1"/>
  <c r="F76" i="1"/>
  <c r="E76" i="1"/>
  <c r="D76" i="1"/>
  <c r="C76" i="1"/>
  <c r="E75" i="1"/>
  <c r="F75" i="1" s="1"/>
  <c r="D75" i="1"/>
  <c r="C75" i="1"/>
  <c r="G74" i="1" a="1"/>
  <c r="G74" i="1" s="1"/>
  <c r="E74" i="1"/>
  <c r="F74" i="1" s="1"/>
  <c r="H74" i="1" s="1" a="1"/>
  <c r="H74" i="1" s="1"/>
  <c r="D74" i="1"/>
  <c r="C74" i="1"/>
  <c r="E73" i="1"/>
  <c r="F73" i="1" s="1"/>
  <c r="G73" i="1" s="1" a="1"/>
  <c r="G73" i="1" s="1"/>
  <c r="D73" i="1"/>
  <c r="C73" i="1"/>
  <c r="F72" i="1"/>
  <c r="E72" i="1"/>
  <c r="D72" i="1"/>
  <c r="C72" i="1"/>
  <c r="E71" i="1"/>
  <c r="F71" i="1" s="1"/>
  <c r="H71" i="1" s="1" a="1"/>
  <c r="H71" i="1" s="1"/>
  <c r="D71" i="1"/>
  <c r="C71" i="1" s="1"/>
  <c r="E70" i="1"/>
  <c r="F70" i="1" s="1"/>
  <c r="G70" i="1" s="1" a="1"/>
  <c r="G70" i="1" s="1"/>
  <c r="D70" i="1"/>
  <c r="C70" i="1"/>
  <c r="H69" i="1" a="1"/>
  <c r="H69" i="1" s="1"/>
  <c r="F69" i="1"/>
  <c r="G69" i="1" s="1" a="1"/>
  <c r="G69" i="1" s="1"/>
  <c r="E69" i="1"/>
  <c r="D69" i="1"/>
  <c r="C69" i="1"/>
  <c r="H68" i="1" a="1"/>
  <c r="H68" i="1" s="1"/>
  <c r="F68" i="1"/>
  <c r="G68" i="1" s="1" a="1"/>
  <c r="G68" i="1" s="1"/>
  <c r="E68" i="1"/>
  <c r="D68" i="1"/>
  <c r="C68" i="1"/>
  <c r="E67" i="1"/>
  <c r="F67" i="1" s="1"/>
  <c r="H67" i="1" s="1" a="1"/>
  <c r="H67" i="1" s="1"/>
  <c r="D67" i="1"/>
  <c r="C67" i="1"/>
  <c r="H66" i="1" a="1"/>
  <c r="H66" i="1" s="1"/>
  <c r="G66" i="1" a="1"/>
  <c r="G66" i="1" s="1"/>
  <c r="E66" i="1"/>
  <c r="F66" i="1" s="1"/>
  <c r="D66" i="1"/>
  <c r="C66" i="1"/>
  <c r="H65" i="1" a="1"/>
  <c r="H65" i="1" s="1"/>
  <c r="F65" i="1"/>
  <c r="G65" i="1" s="1" a="1"/>
  <c r="G65" i="1" s="1"/>
  <c r="E65" i="1"/>
  <c r="D65" i="1"/>
  <c r="C65" i="1" s="1"/>
  <c r="F64" i="1"/>
  <c r="H64" i="1" s="1" a="1"/>
  <c r="H64" i="1" s="1"/>
  <c r="E64" i="1"/>
  <c r="D64" i="1"/>
  <c r="C64" i="1"/>
  <c r="G63" i="1" a="1"/>
  <c r="G63" i="1" s="1"/>
  <c r="E63" i="1"/>
  <c r="F63" i="1" s="1"/>
  <c r="H63" i="1" s="1" a="1"/>
  <c r="H63" i="1" s="1"/>
  <c r="D63" i="1"/>
  <c r="C63" i="1"/>
  <c r="E62" i="1"/>
  <c r="F62" i="1" s="1"/>
  <c r="D62" i="1"/>
  <c r="C62" i="1"/>
  <c r="E61" i="1"/>
  <c r="F61" i="1" s="1"/>
  <c r="G61" i="1" s="1" a="1"/>
  <c r="G61" i="1" s="1"/>
  <c r="D61" i="1"/>
  <c r="C61" i="1"/>
  <c r="E60" i="1"/>
  <c r="F60" i="1" s="1"/>
  <c r="D60" i="1"/>
  <c r="C60" i="1"/>
  <c r="H59" i="1" a="1"/>
  <c r="H59" i="1" s="1"/>
  <c r="E59" i="1"/>
  <c r="F59" i="1" s="1"/>
  <c r="G59" i="1" s="1" a="1"/>
  <c r="G59" i="1" s="1"/>
  <c r="D59" i="1"/>
  <c r="C59" i="1"/>
  <c r="F58" i="1"/>
  <c r="H58" i="1" s="1" a="1"/>
  <c r="H58" i="1" s="1"/>
  <c r="E58" i="1"/>
  <c r="D58" i="1"/>
  <c r="C58" i="1"/>
  <c r="H57" i="1" a="1"/>
  <c r="H57" i="1" s="1"/>
  <c r="E57" i="1"/>
  <c r="F57" i="1" s="1"/>
  <c r="G57" i="1" s="1" a="1"/>
  <c r="G57" i="1" s="1"/>
  <c r="D57" i="1"/>
  <c r="C57" i="1"/>
  <c r="F56" i="1"/>
  <c r="H56" i="1" s="1" a="1"/>
  <c r="H56" i="1" s="1"/>
  <c r="E56" i="1"/>
  <c r="D56" i="1"/>
  <c r="C56" i="1"/>
  <c r="H55" i="1" a="1"/>
  <c r="H55" i="1" s="1"/>
  <c r="G55" i="1" a="1"/>
  <c r="G55" i="1" s="1"/>
  <c r="E55" i="1"/>
  <c r="F55" i="1" s="1"/>
  <c r="D55" i="1"/>
  <c r="C55" i="1"/>
  <c r="E54" i="1"/>
  <c r="F54" i="1" s="1"/>
  <c r="D54" i="1"/>
  <c r="C54" i="1"/>
  <c r="H53" i="1" a="1"/>
  <c r="H53" i="1" s="1"/>
  <c r="G53" i="1" a="1"/>
  <c r="G53" i="1" s="1"/>
  <c r="E53" i="1"/>
  <c r="F53" i="1" s="1"/>
  <c r="D53" i="1"/>
  <c r="C53" i="1"/>
  <c r="E52" i="1"/>
  <c r="F52" i="1" s="1"/>
  <c r="D52" i="1"/>
  <c r="C52" i="1"/>
  <c r="E51" i="1"/>
  <c r="F51" i="1" s="1"/>
  <c r="H51" i="1" s="1" a="1"/>
  <c r="H51" i="1" s="1"/>
  <c r="D51" i="1"/>
  <c r="C51" i="1"/>
  <c r="E50" i="1"/>
  <c r="F50" i="1" s="1"/>
  <c r="D50" i="1"/>
  <c r="C50" i="1"/>
  <c r="H49" i="1" a="1"/>
  <c r="H49" i="1" s="1"/>
  <c r="E49" i="1"/>
  <c r="F49" i="1" s="1"/>
  <c r="G49" i="1" s="1" a="1"/>
  <c r="G49" i="1" s="1"/>
  <c r="D49" i="1"/>
  <c r="C49" i="1"/>
  <c r="E48" i="1"/>
  <c r="F48" i="1" s="1"/>
  <c r="D48" i="1"/>
  <c r="C48" i="1"/>
  <c r="E47" i="1"/>
  <c r="F47" i="1" s="1"/>
  <c r="H47" i="1" s="1" a="1"/>
  <c r="H47" i="1" s="1"/>
  <c r="D47" i="1"/>
  <c r="C47" i="1"/>
  <c r="F46" i="1"/>
  <c r="H46" i="1" s="1" a="1"/>
  <c r="H46" i="1" s="1"/>
  <c r="E46" i="1"/>
  <c r="D46" i="1"/>
  <c r="C46" i="1"/>
  <c r="E45" i="1"/>
  <c r="F45" i="1" s="1"/>
  <c r="H45" i="1" s="1" a="1"/>
  <c r="H45" i="1" s="1"/>
  <c r="D45" i="1"/>
  <c r="C45" i="1"/>
  <c r="E44" i="1"/>
  <c r="F44" i="1" s="1"/>
  <c r="D44" i="1"/>
  <c r="C44" i="1"/>
  <c r="H43" i="1" a="1"/>
  <c r="H43" i="1" s="1"/>
  <c r="G43" i="1" a="1"/>
  <c r="G43" i="1" s="1"/>
  <c r="E43" i="1"/>
  <c r="F43" i="1" s="1"/>
  <c r="D43" i="1"/>
  <c r="C43" i="1"/>
  <c r="F42" i="1"/>
  <c r="H42" i="1" s="1" a="1"/>
  <c r="H42" i="1" s="1"/>
  <c r="E42" i="1"/>
  <c r="D42" i="1"/>
  <c r="C42" i="1"/>
  <c r="E41" i="1"/>
  <c r="F41" i="1" s="1"/>
  <c r="H41" i="1" s="1" a="1"/>
  <c r="H41" i="1" s="1"/>
  <c r="D41" i="1"/>
  <c r="C41" i="1"/>
  <c r="E40" i="1"/>
  <c r="F40" i="1" s="1"/>
  <c r="D40" i="1"/>
  <c r="C40" i="1"/>
  <c r="H39" i="1" a="1"/>
  <c r="H39" i="1" s="1"/>
  <c r="G39" i="1" a="1"/>
  <c r="G39" i="1" s="1"/>
  <c r="E39" i="1"/>
  <c r="F39" i="1" s="1"/>
  <c r="D39" i="1"/>
  <c r="C39" i="1"/>
  <c r="E38" i="1"/>
  <c r="F38" i="1" s="1"/>
  <c r="D38" i="1"/>
  <c r="C38" i="1"/>
  <c r="H37" i="1" a="1"/>
  <c r="H37" i="1" s="1"/>
  <c r="E37" i="1"/>
  <c r="F37" i="1" s="1"/>
  <c r="G37" i="1" s="1" a="1"/>
  <c r="G37" i="1" s="1"/>
  <c r="D37" i="1"/>
  <c r="C37" i="1"/>
  <c r="G36" i="1" a="1"/>
  <c r="G36" i="1" s="1"/>
  <c r="F36" i="1"/>
  <c r="H36" i="1" s="1" a="1"/>
  <c r="H36" i="1" s="1"/>
  <c r="E36" i="1"/>
  <c r="D36" i="1"/>
  <c r="C36" i="1"/>
  <c r="E35" i="1"/>
  <c r="F35" i="1" s="1"/>
  <c r="H35" i="1" s="1" a="1"/>
  <c r="H35" i="1" s="1"/>
  <c r="D35" i="1"/>
  <c r="C35" i="1" s="1"/>
  <c r="F34" i="1"/>
  <c r="H34" i="1" s="1" a="1"/>
  <c r="H34" i="1" s="1"/>
  <c r="E34" i="1"/>
  <c r="D34" i="1"/>
  <c r="C34" i="1"/>
  <c r="H33" i="1" a="1"/>
  <c r="H33" i="1" s="1"/>
  <c r="G33" i="1" a="1"/>
  <c r="G33" i="1" s="1"/>
  <c r="E33" i="1"/>
  <c r="F33" i="1" s="1"/>
  <c r="D33" i="1"/>
  <c r="C33" i="1" s="1"/>
  <c r="E32" i="1"/>
  <c r="F32" i="1" s="1"/>
  <c r="D32" i="1"/>
  <c r="C32" i="1"/>
  <c r="G31" i="1" a="1"/>
  <c r="G31" i="1" s="1"/>
  <c r="E31" i="1"/>
  <c r="F31" i="1" s="1"/>
  <c r="H31" i="1" s="1" a="1"/>
  <c r="H31" i="1" s="1"/>
  <c r="D31" i="1"/>
  <c r="C31" i="1"/>
  <c r="E30" i="1"/>
  <c r="F30" i="1" s="1"/>
  <c r="D30" i="1"/>
  <c r="C30" i="1"/>
  <c r="E29" i="1"/>
  <c r="F29" i="1" s="1"/>
  <c r="G29" i="1" s="1" a="1"/>
  <c r="G29" i="1" s="1"/>
  <c r="D29" i="1"/>
  <c r="C29" i="1"/>
  <c r="E28" i="1"/>
  <c r="F28" i="1" s="1"/>
  <c r="D28" i="1"/>
  <c r="C28" i="1"/>
  <c r="H27" i="1" a="1"/>
  <c r="H27" i="1" s="1"/>
  <c r="E27" i="1"/>
  <c r="F27" i="1" s="1"/>
  <c r="G27" i="1" s="1" a="1"/>
  <c r="G27" i="1" s="1"/>
  <c r="D27" i="1"/>
  <c r="C27" i="1"/>
  <c r="F26" i="1"/>
  <c r="H26" i="1" s="1" a="1"/>
  <c r="H26" i="1" s="1"/>
  <c r="E26" i="1"/>
  <c r="D26" i="1"/>
  <c r="C26" i="1"/>
  <c r="H25" i="1" a="1"/>
  <c r="H25" i="1" s="1"/>
  <c r="E25" i="1"/>
  <c r="F25" i="1" s="1"/>
  <c r="G25" i="1" s="1" a="1"/>
  <c r="G25" i="1" s="1"/>
  <c r="D25" i="1"/>
  <c r="C25" i="1"/>
  <c r="F24" i="1"/>
  <c r="H24" i="1" s="1" a="1"/>
  <c r="H24" i="1" s="1"/>
  <c r="E24" i="1"/>
  <c r="D24" i="1"/>
  <c r="C24" i="1"/>
  <c r="H23" i="1" a="1"/>
  <c r="H23" i="1" s="1"/>
  <c r="G23" i="1" a="1"/>
  <c r="G23" i="1" s="1"/>
  <c r="E23" i="1"/>
  <c r="F23" i="1" s="1"/>
  <c r="D23" i="1"/>
  <c r="C23" i="1" s="1"/>
  <c r="E22" i="1"/>
  <c r="F22" i="1" s="1"/>
  <c r="D22" i="1"/>
  <c r="C22" i="1"/>
  <c r="H21" i="1" a="1"/>
  <c r="H21" i="1" s="1"/>
  <c r="G21" i="1" a="1"/>
  <c r="G21" i="1" s="1"/>
  <c r="E21" i="1"/>
  <c r="F21" i="1" s="1"/>
  <c r="D21" i="1"/>
  <c r="C21" i="1"/>
  <c r="E20" i="1"/>
  <c r="F20" i="1" s="1"/>
  <c r="D20" i="1"/>
  <c r="C20" i="1"/>
  <c r="E19" i="1"/>
  <c r="F19" i="1" s="1"/>
  <c r="H19" i="1" s="1" a="1"/>
  <c r="H19" i="1" s="1"/>
  <c r="D19" i="1"/>
  <c r="C19" i="1" s="1"/>
  <c r="E18" i="1"/>
  <c r="F18" i="1" s="1"/>
  <c r="D18" i="1"/>
  <c r="C18" i="1"/>
  <c r="H17" i="1" a="1"/>
  <c r="H17" i="1" s="1"/>
  <c r="E17" i="1"/>
  <c r="F17" i="1" s="1"/>
  <c r="G17" i="1" s="1" a="1"/>
  <c r="G17" i="1" s="1"/>
  <c r="D17" i="1"/>
  <c r="C17" i="1"/>
  <c r="E16" i="1"/>
  <c r="F16" i="1" s="1"/>
  <c r="D16" i="1"/>
  <c r="C16" i="1"/>
  <c r="H15" i="1" a="1"/>
  <c r="H15" i="1" s="1"/>
  <c r="E15" i="1"/>
  <c r="F15" i="1" s="1"/>
  <c r="G15" i="1" s="1" a="1"/>
  <c r="G15" i="1" s="1"/>
  <c r="D15" i="1"/>
  <c r="C15" i="1"/>
  <c r="F14" i="1"/>
  <c r="H14" i="1" s="1" a="1"/>
  <c r="H14" i="1" s="1"/>
  <c r="E14" i="1"/>
  <c r="D14" i="1"/>
  <c r="C14" i="1"/>
  <c r="E13" i="1"/>
  <c r="F13" i="1" s="1"/>
  <c r="H13" i="1" s="1" a="1"/>
  <c r="H13" i="1" s="1"/>
  <c r="D13" i="1"/>
  <c r="C13" i="1" s="1"/>
  <c r="E12" i="1"/>
  <c r="F12" i="1" s="1"/>
  <c r="D12" i="1"/>
  <c r="C12" i="1"/>
  <c r="H11" i="1" a="1"/>
  <c r="H11" i="1" s="1"/>
  <c r="G11" i="1" a="1"/>
  <c r="G11" i="1" s="1"/>
  <c r="E11" i="1"/>
  <c r="F11" i="1" s="1"/>
  <c r="D11" i="1"/>
  <c r="C11" i="1" s="1"/>
  <c r="F10" i="1"/>
  <c r="H10" i="1" s="1" a="1"/>
  <c r="H10" i="1" s="1"/>
  <c r="E10" i="1"/>
  <c r="D10" i="1"/>
  <c r="C10" i="1"/>
  <c r="E9" i="1"/>
  <c r="F9" i="1" s="1"/>
  <c r="H9" i="1" s="1" a="1"/>
  <c r="H9" i="1" s="1"/>
  <c r="D9" i="1"/>
  <c r="C9" i="1"/>
  <c r="E8" i="1"/>
  <c r="F8" i="1" s="1"/>
  <c r="D8" i="1"/>
  <c r="C8" i="1"/>
  <c r="G7" i="1" a="1"/>
  <c r="G7" i="1" s="1"/>
  <c r="E7" i="1"/>
  <c r="F7" i="1" s="1"/>
  <c r="H7" i="1" s="1" a="1"/>
  <c r="H7" i="1" s="1"/>
  <c r="D7" i="1"/>
  <c r="C7" i="1"/>
  <c r="E6" i="1"/>
  <c r="F6" i="1" s="1"/>
  <c r="D6" i="1"/>
  <c r="C6" i="1"/>
  <c r="H5" i="1" a="1"/>
  <c r="H5" i="1" s="1"/>
  <c r="E5" i="1"/>
  <c r="F5" i="1" s="1"/>
  <c r="G5" i="1" s="1" a="1"/>
  <c r="G5" i="1" s="1"/>
  <c r="D5" i="1"/>
  <c r="C5" i="1"/>
  <c r="G4" i="1" a="1"/>
  <c r="G4" i="1" s="1"/>
  <c r="F4" i="1"/>
  <c r="H4" i="1" s="1" a="1"/>
  <c r="H4" i="1" s="1"/>
  <c r="E4" i="1"/>
  <c r="D4" i="1"/>
  <c r="C4" i="1"/>
  <c r="E3" i="1"/>
  <c r="F3" i="1" s="1"/>
  <c r="H3" i="1" s="1" a="1"/>
  <c r="H3" i="1" s="1"/>
  <c r="D3" i="1"/>
  <c r="C3" i="1" s="1"/>
  <c r="F2" i="1"/>
  <c r="H2" i="1" s="1" a="1"/>
  <c r="H2" i="1" s="1"/>
  <c r="E2" i="1"/>
  <c r="D2" i="1"/>
  <c r="C2" i="1"/>
  <c r="H12" i="1" l="1" a="1"/>
  <c r="H12" i="1" s="1"/>
  <c r="G12" i="1" a="1"/>
  <c r="G12" i="1" s="1"/>
  <c r="H22" i="1" a="1"/>
  <c r="H22" i="1" s="1"/>
  <c r="G22" i="1" a="1"/>
  <c r="G22" i="1" s="1"/>
  <c r="H95" i="1" a="1"/>
  <c r="H95" i="1" s="1"/>
  <c r="G95" i="1" a="1"/>
  <c r="G95" i="1" s="1"/>
  <c r="H62" i="1" a="1"/>
  <c r="H62" i="1" s="1"/>
  <c r="G62" i="1" a="1"/>
  <c r="G62" i="1" s="1"/>
  <c r="H40" i="1" a="1"/>
  <c r="H40" i="1" s="1"/>
  <c r="G40" i="1" a="1"/>
  <c r="G40" i="1" s="1"/>
  <c r="H75" i="1" a="1"/>
  <c r="H75" i="1" s="1"/>
  <c r="G75" i="1" a="1"/>
  <c r="G75" i="1" s="1"/>
  <c r="G127" i="1" a="1"/>
  <c r="G127" i="1" s="1"/>
  <c r="H127" i="1" a="1"/>
  <c r="H127" i="1" s="1"/>
  <c r="H54" i="1" a="1"/>
  <c r="H54" i="1" s="1"/>
  <c r="G54" i="1" a="1"/>
  <c r="G54" i="1" s="1"/>
  <c r="H32" i="1" a="1"/>
  <c r="H32" i="1" s="1"/>
  <c r="G32" i="1" a="1"/>
  <c r="G32" i="1" s="1"/>
  <c r="H50" i="1" a="1"/>
  <c r="H50" i="1" s="1"/>
  <c r="G50" i="1" a="1"/>
  <c r="G50" i="1" s="1"/>
  <c r="H77" i="1" a="1"/>
  <c r="H77" i="1" s="1"/>
  <c r="G77" i="1" a="1"/>
  <c r="G77" i="1" s="1"/>
  <c r="H44" i="1" a="1"/>
  <c r="H44" i="1" s="1"/>
  <c r="G44" i="1" a="1"/>
  <c r="G44" i="1" s="1"/>
  <c r="H28" i="1" a="1"/>
  <c r="H28" i="1" s="1"/>
  <c r="G28" i="1" a="1"/>
  <c r="G28" i="1" s="1"/>
  <c r="H20" i="1" a="1"/>
  <c r="H20" i="1" s="1"/>
  <c r="G20" i="1" a="1"/>
  <c r="G20" i="1" s="1"/>
  <c r="H6" i="1" a="1"/>
  <c r="H6" i="1" s="1"/>
  <c r="G6" i="1" a="1"/>
  <c r="G6" i="1" s="1"/>
  <c r="H38" i="1" a="1"/>
  <c r="H38" i="1" s="1"/>
  <c r="G38" i="1" a="1"/>
  <c r="G38" i="1" s="1"/>
  <c r="H52" i="1" a="1"/>
  <c r="H52" i="1" s="1"/>
  <c r="G52" i="1" a="1"/>
  <c r="G52" i="1" s="1"/>
  <c r="H60" i="1" a="1"/>
  <c r="H60" i="1" s="1"/>
  <c r="G60" i="1" a="1"/>
  <c r="G60" i="1" s="1"/>
  <c r="H16" i="1" a="1"/>
  <c r="H16" i="1" s="1"/>
  <c r="G16" i="1" a="1"/>
  <c r="G16" i="1" s="1"/>
  <c r="H8" i="1" a="1"/>
  <c r="H8" i="1" s="1"/>
  <c r="G8" i="1" a="1"/>
  <c r="G8" i="1" s="1"/>
  <c r="H18" i="1" a="1"/>
  <c r="H18" i="1" s="1"/>
  <c r="G18" i="1" a="1"/>
  <c r="G18" i="1" s="1"/>
  <c r="H30" i="1" a="1"/>
  <c r="H30" i="1" s="1"/>
  <c r="G30" i="1" a="1"/>
  <c r="G30" i="1" s="1"/>
  <c r="H48" i="1" a="1"/>
  <c r="H48" i="1" s="1"/>
  <c r="G48" i="1" a="1"/>
  <c r="G48" i="1" s="1"/>
  <c r="G201" i="1" a="1"/>
  <c r="G201" i="1" s="1"/>
  <c r="H76" i="1" a="1"/>
  <c r="H76" i="1" s="1"/>
  <c r="G76" i="1" a="1"/>
  <c r="G76" i="1" s="1"/>
  <c r="G102" i="1" a="1"/>
  <c r="G102" i="1" s="1"/>
  <c r="G112" i="1" a="1"/>
  <c r="G112" i="1" s="1"/>
  <c r="H73" i="1" a="1"/>
  <c r="H73" i="1" s="1"/>
  <c r="H141" i="1" a="1"/>
  <c r="H141" i="1" s="1"/>
  <c r="H144" i="1" a="1"/>
  <c r="H144" i="1" s="1"/>
  <c r="G3" i="1" a="1"/>
  <c r="G3" i="1" s="1"/>
  <c r="H29" i="1" a="1"/>
  <c r="H29" i="1" s="1"/>
  <c r="G35" i="1" a="1"/>
  <c r="G35" i="1" s="1"/>
  <c r="H61" i="1" a="1"/>
  <c r="H61" i="1" s="1"/>
  <c r="G64" i="1" a="1"/>
  <c r="G64" i="1" s="1"/>
  <c r="G123" i="1" a="1"/>
  <c r="G123" i="1" s="1"/>
  <c r="G9" i="1" a="1"/>
  <c r="G9" i="1" s="1"/>
  <c r="G41" i="1" a="1"/>
  <c r="G41" i="1" s="1"/>
  <c r="G67" i="1" a="1"/>
  <c r="G67" i="1" s="1"/>
  <c r="G193" i="1" a="1"/>
  <c r="G193" i="1" s="1"/>
  <c r="H247" i="1" a="1"/>
  <c r="H247" i="1" s="1"/>
  <c r="G247" i="1" a="1"/>
  <c r="G247" i="1" s="1"/>
  <c r="G47" i="1" a="1"/>
  <c r="G47" i="1" s="1"/>
  <c r="H70" i="1" a="1"/>
  <c r="H70" i="1" s="1"/>
  <c r="H80" i="1" a="1"/>
  <c r="H80" i="1" s="1"/>
  <c r="G80" i="1" a="1"/>
  <c r="G80" i="1" s="1"/>
  <c r="H89" i="1" a="1"/>
  <c r="H89" i="1" s="1"/>
  <c r="G89" i="1" a="1"/>
  <c r="G89" i="1" s="1"/>
  <c r="H106" i="1" a="1"/>
  <c r="H106" i="1" s="1"/>
  <c r="G106" i="1" a="1"/>
  <c r="G106" i="1" s="1"/>
  <c r="G134" i="1" a="1"/>
  <c r="G134" i="1" s="1"/>
  <c r="H233" i="1" a="1"/>
  <c r="H233" i="1" s="1"/>
  <c r="G233" i="1" a="1"/>
  <c r="G233" i="1" s="1"/>
  <c r="H251" i="1" a="1"/>
  <c r="H251" i="1" s="1"/>
  <c r="G251" i="1" a="1"/>
  <c r="G251" i="1" s="1"/>
  <c r="G255" i="1" a="1"/>
  <c r="G255" i="1" s="1"/>
  <c r="H209" i="1" a="1"/>
  <c r="H209" i="1" s="1"/>
  <c r="G209" i="1" a="1"/>
  <c r="G209" i="1" s="1"/>
  <c r="H225" i="1" a="1"/>
  <c r="H225" i="1" s="1"/>
  <c r="G359" i="1" a="1"/>
  <c r="G359" i="1" s="1"/>
  <c r="H359" i="1" a="1"/>
  <c r="H359" i="1" s="1"/>
  <c r="H374" i="1" a="1"/>
  <c r="H374" i="1" s="1"/>
  <c r="G374" i="1" a="1"/>
  <c r="G374" i="1" s="1"/>
  <c r="G24" i="1" a="1"/>
  <c r="G24" i="1" s="1"/>
  <c r="G56" i="1" a="1"/>
  <c r="G56" i="1" s="1"/>
  <c r="H99" i="1" a="1"/>
  <c r="H99" i="1" s="1"/>
  <c r="H145" i="1" a="1"/>
  <c r="H145" i="1" s="1"/>
  <c r="G145" i="1" a="1"/>
  <c r="G145" i="1" s="1"/>
  <c r="G159" i="1" a="1"/>
  <c r="G159" i="1" s="1"/>
  <c r="H194" i="1" a="1"/>
  <c r="H194" i="1" s="1"/>
  <c r="G194" i="1" a="1"/>
  <c r="G194" i="1" s="1"/>
  <c r="H105" i="1" a="1"/>
  <c r="H105" i="1" s="1"/>
  <c r="H135" i="1" a="1"/>
  <c r="H135" i="1" s="1"/>
  <c r="G135" i="1" a="1"/>
  <c r="G135" i="1" s="1"/>
  <c r="H186" i="1" a="1"/>
  <c r="H186" i="1" s="1"/>
  <c r="G186" i="1" a="1"/>
  <c r="G186" i="1" s="1"/>
  <c r="H226" i="1" a="1"/>
  <c r="H226" i="1" s="1"/>
  <c r="G226" i="1" a="1"/>
  <c r="G226" i="1" s="1"/>
  <c r="H234" i="1" a="1"/>
  <c r="H234" i="1" s="1"/>
  <c r="G234" i="1" a="1"/>
  <c r="G234" i="1" s="1"/>
  <c r="G263" i="1" a="1"/>
  <c r="G263" i="1" s="1"/>
  <c r="H263" i="1" a="1"/>
  <c r="H263" i="1" s="1"/>
  <c r="G271" i="1" a="1"/>
  <c r="G271" i="1" s="1"/>
  <c r="H271" i="1" a="1"/>
  <c r="H271" i="1" s="1"/>
  <c r="H93" i="1" a="1"/>
  <c r="H93" i="1" s="1"/>
  <c r="G93" i="1" a="1"/>
  <c r="G93" i="1" s="1"/>
  <c r="G10" i="1" a="1"/>
  <c r="G10" i="1" s="1"/>
  <c r="G13" i="1" a="1"/>
  <c r="G13" i="1" s="1"/>
  <c r="G78" i="1" a="1"/>
  <c r="G78" i="1" s="1"/>
  <c r="G117" i="1" a="1"/>
  <c r="G117" i="1" s="1"/>
  <c r="H117" i="1" a="1"/>
  <c r="H117" i="1" s="1"/>
  <c r="G195" i="1" a="1"/>
  <c r="G195" i="1" s="1"/>
  <c r="H195" i="1" a="1"/>
  <c r="H195" i="1" s="1"/>
  <c r="H343" i="1" a="1"/>
  <c r="H343" i="1" s="1"/>
  <c r="G343" i="1" a="1"/>
  <c r="G343" i="1" s="1"/>
  <c r="G58" i="1" a="1"/>
  <c r="G58" i="1" s="1"/>
  <c r="G42" i="1" a="1"/>
  <c r="G42" i="1" s="1"/>
  <c r="G45" i="1" a="1"/>
  <c r="G45" i="1" s="1"/>
  <c r="G71" i="1" a="1"/>
  <c r="G71" i="1" s="1"/>
  <c r="G19" i="1" a="1"/>
  <c r="G19" i="1" s="1"/>
  <c r="G51" i="1" a="1"/>
  <c r="G51" i="1" s="1"/>
  <c r="G81" i="1" a="1"/>
  <c r="G81" i="1" s="1"/>
  <c r="H90" i="1" a="1"/>
  <c r="H90" i="1" s="1"/>
  <c r="H121" i="1" a="1"/>
  <c r="H121" i="1" s="1"/>
  <c r="G121" i="1" a="1"/>
  <c r="G121" i="1" s="1"/>
  <c r="G125" i="1" a="1"/>
  <c r="G125" i="1" s="1"/>
  <c r="H139" i="1" a="1"/>
  <c r="H139" i="1" s="1"/>
  <c r="G146" i="1" a="1"/>
  <c r="G146" i="1" s="1"/>
  <c r="H187" i="1" a="1"/>
  <c r="H187" i="1" s="1"/>
  <c r="G187" i="1" a="1"/>
  <c r="G187" i="1" s="1"/>
  <c r="G199" i="1" a="1"/>
  <c r="G199" i="1" s="1"/>
  <c r="H84" i="1" a="1"/>
  <c r="H84" i="1" s="1"/>
  <c r="G84" i="1" a="1"/>
  <c r="G84" i="1" s="1"/>
  <c r="H87" i="1" a="1"/>
  <c r="H87" i="1" s="1"/>
  <c r="G87" i="1" a="1"/>
  <c r="G87" i="1" s="1"/>
  <c r="H118" i="1" a="1"/>
  <c r="H118" i="1" s="1"/>
  <c r="G118" i="1" a="1"/>
  <c r="G118" i="1" s="1"/>
  <c r="G172" i="1" a="1"/>
  <c r="G172" i="1" s="1"/>
  <c r="H231" i="1" a="1"/>
  <c r="H231" i="1" s="1"/>
  <c r="H253" i="1" a="1"/>
  <c r="H253" i="1" s="1"/>
  <c r="G253" i="1" a="1"/>
  <c r="G253" i="1" s="1"/>
  <c r="G26" i="1" a="1"/>
  <c r="G26" i="1" s="1"/>
  <c r="G2" i="1" a="1"/>
  <c r="G2" i="1" s="1"/>
  <c r="G34" i="1" a="1"/>
  <c r="G34" i="1" s="1"/>
  <c r="H108" i="1" a="1"/>
  <c r="H108" i="1" s="1"/>
  <c r="G108" i="1" a="1"/>
  <c r="G108" i="1" s="1"/>
  <c r="G122" i="1" a="1"/>
  <c r="G122" i="1" s="1"/>
  <c r="H122" i="1" a="1"/>
  <c r="H122" i="1" s="1"/>
  <c r="G157" i="1" a="1"/>
  <c r="G157" i="1" s="1"/>
  <c r="G161" i="1" a="1"/>
  <c r="G161" i="1" s="1"/>
  <c r="H161" i="1" a="1"/>
  <c r="H161" i="1" s="1"/>
  <c r="H211" i="1" a="1"/>
  <c r="H211" i="1" s="1"/>
  <c r="G211" i="1" a="1"/>
  <c r="G211" i="1" s="1"/>
  <c r="G223" i="1" a="1"/>
  <c r="G223" i="1" s="1"/>
  <c r="H223" i="1" a="1"/>
  <c r="H223" i="1" s="1"/>
  <c r="H72" i="1" a="1"/>
  <c r="H72" i="1" s="1"/>
  <c r="G72" i="1" a="1"/>
  <c r="G72" i="1" s="1"/>
  <c r="G14" i="1" a="1"/>
  <c r="G14" i="1" s="1"/>
  <c r="G46" i="1" a="1"/>
  <c r="G46" i="1" s="1"/>
  <c r="H101" i="1" a="1"/>
  <c r="H101" i="1" s="1"/>
  <c r="G101" i="1" a="1"/>
  <c r="G101" i="1" s="1"/>
  <c r="H239" i="1" a="1"/>
  <c r="H239" i="1" s="1"/>
  <c r="H133" i="1" a="1"/>
  <c r="H133" i="1" s="1"/>
  <c r="G133" i="1" a="1"/>
  <c r="G133" i="1" s="1"/>
  <c r="H173" i="1" a="1"/>
  <c r="H173" i="1" s="1"/>
  <c r="G173" i="1" a="1"/>
  <c r="G173" i="1" s="1"/>
  <c r="H197" i="1" a="1"/>
  <c r="H197" i="1" s="1"/>
  <c r="G197" i="1" a="1"/>
  <c r="G197" i="1" s="1"/>
  <c r="H212" i="1" a="1"/>
  <c r="H212" i="1" s="1"/>
  <c r="G212" i="1" a="1"/>
  <c r="G212" i="1" s="1"/>
  <c r="G310" i="1" a="1"/>
  <c r="G310" i="1" s="1"/>
  <c r="H310" i="1" a="1"/>
  <c r="H310" i="1" s="1"/>
  <c r="G190" i="1" a="1"/>
  <c r="G190" i="1" s="1"/>
  <c r="H190" i="1" a="1"/>
  <c r="H190" i="1" s="1"/>
  <c r="G236" i="1" a="1"/>
  <c r="G236" i="1" s="1"/>
  <c r="H290" i="1" a="1"/>
  <c r="H290" i="1" s="1"/>
  <c r="G290" i="1" a="1"/>
  <c r="G290" i="1" s="1"/>
  <c r="G264" i="1" a="1"/>
  <c r="G264" i="1" s="1"/>
  <c r="H264" i="1" a="1"/>
  <c r="H264" i="1" s="1"/>
  <c r="H274" i="1" a="1"/>
  <c r="H274" i="1" s="1"/>
  <c r="G274" i="1" a="1"/>
  <c r="G274" i="1" s="1"/>
  <c r="H277" i="1" a="1"/>
  <c r="H277" i="1" s="1"/>
  <c r="G277" i="1" a="1"/>
  <c r="G277" i="1" s="1"/>
  <c r="H307" i="1" a="1"/>
  <c r="H307" i="1" s="1"/>
  <c r="G307" i="1" a="1"/>
  <c r="G307" i="1" s="1"/>
  <c r="H325" i="1" a="1"/>
  <c r="H325" i="1" s="1"/>
  <c r="G325" i="1" a="1"/>
  <c r="G325" i="1" s="1"/>
  <c r="H329" i="1" a="1"/>
  <c r="H329" i="1" s="1"/>
  <c r="G329" i="1" a="1"/>
  <c r="G329" i="1" s="1"/>
  <c r="G287" i="1" a="1"/>
  <c r="G287" i="1" s="1"/>
  <c r="H298" i="1" a="1"/>
  <c r="H298" i="1" s="1"/>
  <c r="G298" i="1" a="1"/>
  <c r="G298" i="1" s="1"/>
  <c r="H351" i="1" a="1"/>
  <c r="H351" i="1" s="1"/>
  <c r="G351" i="1" a="1"/>
  <c r="G351" i="1" s="1"/>
  <c r="H386" i="1" a="1"/>
  <c r="H386" i="1" s="1"/>
  <c r="G386" i="1" a="1"/>
  <c r="G386" i="1" s="1"/>
  <c r="H100" i="1" a="1"/>
  <c r="H100" i="1" s="1"/>
  <c r="G110" i="1" a="1"/>
  <c r="G110" i="1" s="1"/>
  <c r="G137" i="1" a="1"/>
  <c r="G137" i="1" s="1"/>
  <c r="H149" i="1" a="1"/>
  <c r="H149" i="1" s="1"/>
  <c r="G178" i="1" a="1"/>
  <c r="G178" i="1" s="1"/>
  <c r="G191" i="1" a="1"/>
  <c r="G191" i="1" s="1"/>
  <c r="G215" i="1" a="1"/>
  <c r="G215" i="1" s="1"/>
  <c r="H371" i="1" a="1"/>
  <c r="H371" i="1" s="1"/>
  <c r="G371" i="1" a="1"/>
  <c r="G371" i="1" s="1"/>
  <c r="H256" i="1" a="1"/>
  <c r="H256" i="1" s="1"/>
  <c r="G256" i="1" a="1"/>
  <c r="G256" i="1" s="1"/>
  <c r="G278" i="1" a="1"/>
  <c r="G278" i="1" s="1"/>
  <c r="H278" i="1" a="1"/>
  <c r="H278" i="1" s="1"/>
  <c r="G281" i="1" a="1"/>
  <c r="G281" i="1" s="1"/>
  <c r="H281" i="1" a="1"/>
  <c r="H281" i="1" s="1"/>
  <c r="H315" i="1" a="1"/>
  <c r="H315" i="1" s="1"/>
  <c r="G315" i="1" a="1"/>
  <c r="G315" i="1" s="1"/>
  <c r="H352" i="1" a="1"/>
  <c r="H352" i="1" s="1"/>
  <c r="G352" i="1" a="1"/>
  <c r="G352" i="1" s="1"/>
  <c r="H379" i="1" a="1"/>
  <c r="H379" i="1" s="1"/>
  <c r="G379" i="1" a="1"/>
  <c r="G379" i="1" s="1"/>
  <c r="G204" i="1" a="1"/>
  <c r="G204" i="1" s="1"/>
  <c r="G218" i="1" a="1"/>
  <c r="G218" i="1" s="1"/>
  <c r="G268" i="1" a="1"/>
  <c r="G268" i="1" s="1"/>
  <c r="H275" i="1" a="1"/>
  <c r="H275" i="1" s="1"/>
  <c r="G275" i="1" a="1"/>
  <c r="G275" i="1" s="1"/>
  <c r="G291" i="1" a="1"/>
  <c r="G291" i="1" s="1"/>
  <c r="G322" i="1" a="1"/>
  <c r="G322" i="1" s="1"/>
  <c r="H337" i="1" a="1"/>
  <c r="H337" i="1" s="1"/>
  <c r="G340" i="1" a="1"/>
  <c r="G340" i="1" s="1"/>
  <c r="H382" i="1" a="1"/>
  <c r="H382" i="1" s="1"/>
  <c r="H431" i="1" a="1"/>
  <c r="H431" i="1" s="1"/>
  <c r="G431" i="1" a="1"/>
  <c r="G431" i="1" s="1"/>
  <c r="G221" i="1" a="1"/>
  <c r="G221" i="1" s="1"/>
  <c r="G227" i="1" a="1"/>
  <c r="G227" i="1" s="1"/>
  <c r="G243" i="1" a="1"/>
  <c r="G243" i="1" s="1"/>
  <c r="G259" i="1" a="1"/>
  <c r="G259" i="1" s="1"/>
  <c r="G305" i="1" a="1"/>
  <c r="G305" i="1" s="1"/>
  <c r="G419" i="1" a="1"/>
  <c r="G419" i="1" s="1"/>
  <c r="H419" i="1" a="1"/>
  <c r="H419" i="1" s="1"/>
  <c r="G285" i="1" a="1"/>
  <c r="G285" i="1" s="1"/>
  <c r="H292" i="1" a="1"/>
  <c r="H292" i="1" s="1"/>
  <c r="G292" i="1" a="1"/>
  <c r="G292" i="1" s="1"/>
  <c r="G163" i="1" a="1"/>
  <c r="G163" i="1" s="1"/>
  <c r="H168" i="1" a="1"/>
  <c r="H168" i="1" s="1"/>
  <c r="G176" i="1" a="1"/>
  <c r="G176" i="1" s="1"/>
  <c r="H184" i="1" a="1"/>
  <c r="H184" i="1" s="1"/>
  <c r="G189" i="1" a="1"/>
  <c r="G189" i="1" s="1"/>
  <c r="G192" i="1" a="1"/>
  <c r="G192" i="1" s="1"/>
  <c r="G282" i="1" a="1"/>
  <c r="G282" i="1" s="1"/>
  <c r="H295" i="1" a="1"/>
  <c r="H295" i="1" s="1"/>
  <c r="G320" i="1" a="1"/>
  <c r="G320" i="1" s="1"/>
  <c r="H320" i="1" a="1"/>
  <c r="H320" i="1" s="1"/>
  <c r="G323" i="1" a="1"/>
  <c r="G323" i="1" s="1"/>
  <c r="H323" i="1" a="1"/>
  <c r="H323" i="1" s="1"/>
  <c r="H327" i="1" a="1"/>
  <c r="H327" i="1" s="1"/>
  <c r="G327" i="1" a="1"/>
  <c r="G327" i="1" s="1"/>
  <c r="G334" i="1" a="1"/>
  <c r="G334" i="1" s="1"/>
  <c r="H415" i="1" a="1"/>
  <c r="H415" i="1" s="1"/>
  <c r="G415" i="1" a="1"/>
  <c r="G415" i="1" s="1"/>
  <c r="H219" i="1" a="1"/>
  <c r="H219" i="1" s="1"/>
  <c r="G219" i="1" a="1"/>
  <c r="G219" i="1" s="1"/>
  <c r="H358" i="1" a="1"/>
  <c r="H358" i="1" s="1"/>
  <c r="G358" i="1" a="1"/>
  <c r="G358" i="1" s="1"/>
  <c r="H377" i="1" a="1"/>
  <c r="H377" i="1" s="1"/>
  <c r="G377" i="1" a="1"/>
  <c r="G377" i="1" s="1"/>
  <c r="H205" i="1" a="1"/>
  <c r="H205" i="1" s="1"/>
  <c r="G111" i="1" a="1"/>
  <c r="G111" i="1" s="1"/>
  <c r="G126" i="1" a="1"/>
  <c r="G126" i="1" s="1"/>
  <c r="G148" i="1" a="1"/>
  <c r="G148" i="1" s="1"/>
  <c r="G171" i="1" a="1"/>
  <c r="G171" i="1" s="1"/>
  <c r="G179" i="1" a="1"/>
  <c r="G179" i="1" s="1"/>
  <c r="G208" i="1" a="1"/>
  <c r="G208" i="1" s="1"/>
  <c r="G296" i="1" a="1"/>
  <c r="G296" i="1" s="1"/>
  <c r="H296" i="1" a="1"/>
  <c r="H296" i="1" s="1"/>
  <c r="G342" i="1" a="1"/>
  <c r="G342" i="1" s="1"/>
  <c r="H342" i="1" a="1"/>
  <c r="H342" i="1" s="1"/>
  <c r="H200" i="1" a="1"/>
  <c r="H200" i="1" s="1"/>
  <c r="H300" i="1" a="1"/>
  <c r="H300" i="1" s="1"/>
  <c r="G300" i="1" a="1"/>
  <c r="G300" i="1" s="1"/>
  <c r="H303" i="1" a="1"/>
  <c r="H303" i="1" s="1"/>
  <c r="G303" i="1" a="1"/>
  <c r="G303" i="1" s="1"/>
  <c r="G309" i="1" a="1"/>
  <c r="G309" i="1" s="1"/>
  <c r="G313" i="1" a="1"/>
  <c r="G313" i="1" s="1"/>
  <c r="H313" i="1" a="1"/>
  <c r="H313" i="1" s="1"/>
  <c r="H317" i="1" a="1"/>
  <c r="H317" i="1" s="1"/>
  <c r="G317" i="1" a="1"/>
  <c r="G317" i="1" s="1"/>
  <c r="H324" i="1" a="1"/>
  <c r="H324" i="1" s="1"/>
  <c r="G324" i="1" a="1"/>
  <c r="G324" i="1" s="1"/>
  <c r="G104" i="1" a="1"/>
  <c r="G104" i="1" s="1"/>
  <c r="H283" i="1" a="1"/>
  <c r="H283" i="1" s="1"/>
  <c r="G283" i="1" a="1"/>
  <c r="G283" i="1" s="1"/>
  <c r="G286" i="1" a="1"/>
  <c r="G286" i="1" s="1"/>
  <c r="H286" i="1" a="1"/>
  <c r="H286" i="1" s="1"/>
  <c r="H349" i="1" a="1"/>
  <c r="H349" i="1" s="1"/>
  <c r="G349" i="1" a="1"/>
  <c r="G349" i="1" s="1"/>
  <c r="H369" i="1" a="1"/>
  <c r="H369" i="1" s="1"/>
  <c r="G369" i="1" a="1"/>
  <c r="G369" i="1" s="1"/>
  <c r="H384" i="1" a="1"/>
  <c r="H384" i="1" s="1"/>
  <c r="G384" i="1" a="1"/>
  <c r="G384" i="1" s="1"/>
  <c r="H395" i="1" a="1"/>
  <c r="H395" i="1" s="1"/>
  <c r="G395" i="1" a="1"/>
  <c r="G395" i="1" s="1"/>
  <c r="H314" i="1" a="1"/>
  <c r="H314" i="1" s="1"/>
  <c r="G314" i="1" a="1"/>
  <c r="G314" i="1" s="1"/>
  <c r="G385" i="1" a="1"/>
  <c r="G385" i="1" s="1"/>
  <c r="H385" i="1" a="1"/>
  <c r="H385" i="1" s="1"/>
  <c r="H394" i="1" a="1"/>
  <c r="H394" i="1" s="1"/>
  <c r="H411" i="1" a="1"/>
  <c r="H411" i="1" s="1"/>
  <c r="G411" i="1" a="1"/>
  <c r="G411" i="1" s="1"/>
  <c r="H355" i="1" a="1"/>
  <c r="H355" i="1" s="1"/>
  <c r="H466" i="1" a="1"/>
  <c r="H466" i="1" s="1"/>
  <c r="G466" i="1" a="1"/>
  <c r="G466" i="1" s="1"/>
  <c r="H420" i="1" a="1"/>
  <c r="H420" i="1" s="1"/>
  <c r="G420" i="1" a="1"/>
  <c r="G420" i="1" s="1"/>
  <c r="H536" i="1" a="1"/>
  <c r="H536" i="1" s="1"/>
  <c r="G536" i="1" a="1"/>
  <c r="G536" i="1" s="1"/>
  <c r="G356" i="1" a="1"/>
  <c r="G356" i="1" s="1"/>
  <c r="G403" i="1" a="1"/>
  <c r="G403" i="1" s="1"/>
  <c r="G421" i="1" a="1"/>
  <c r="G421" i="1" s="1"/>
  <c r="H299" i="1" a="1"/>
  <c r="H299" i="1" s="1"/>
  <c r="G299" i="1" a="1"/>
  <c r="G299" i="1" s="1"/>
  <c r="H318" i="1" a="1"/>
  <c r="H318" i="1" s="1"/>
  <c r="G318" i="1" a="1"/>
  <c r="G318" i="1" s="1"/>
  <c r="G396" i="1" a="1"/>
  <c r="G396" i="1" s="1"/>
  <c r="H396" i="1" a="1"/>
  <c r="H396" i="1" s="1"/>
  <c r="H468" i="1" a="1"/>
  <c r="H468" i="1" s="1"/>
  <c r="G468" i="1" a="1"/>
  <c r="G468" i="1" s="1"/>
  <c r="H417" i="1" a="1"/>
  <c r="H417" i="1" s="1"/>
  <c r="G417" i="1" a="1"/>
  <c r="G417" i="1" s="1"/>
  <c r="H453" i="1" a="1"/>
  <c r="H453" i="1" s="1"/>
  <c r="G453" i="1" a="1"/>
  <c r="G453" i="1" s="1"/>
  <c r="H341" i="1" a="1"/>
  <c r="H341" i="1" s="1"/>
  <c r="G341" i="1" a="1"/>
  <c r="G341" i="1" s="1"/>
  <c r="G413" i="1" a="1"/>
  <c r="G413" i="1" s="1"/>
  <c r="H463" i="1" a="1"/>
  <c r="H463" i="1" s="1"/>
  <c r="G463" i="1" a="1"/>
  <c r="G463" i="1" s="1"/>
  <c r="H502" i="1" a="1"/>
  <c r="H502" i="1" s="1"/>
  <c r="G502" i="1" a="1"/>
  <c r="G502" i="1" s="1"/>
  <c r="G372" i="1" a="1"/>
  <c r="G372" i="1" s="1"/>
  <c r="G375" i="1" a="1"/>
  <c r="G375" i="1" s="1"/>
  <c r="H425" i="1" a="1"/>
  <c r="H425" i="1" s="1"/>
  <c r="H445" i="1" a="1"/>
  <c r="H445" i="1" s="1"/>
  <c r="G445" i="1" a="1"/>
  <c r="G445" i="1" s="1"/>
  <c r="H464" i="1" a="1"/>
  <c r="H464" i="1" s="1"/>
  <c r="G464" i="1" a="1"/>
  <c r="G464" i="1" s="1"/>
  <c r="G391" i="1" a="1"/>
  <c r="G391" i="1" s="1"/>
  <c r="G429" i="1" a="1"/>
  <c r="G429" i="1" s="1"/>
  <c r="H398" i="1" a="1"/>
  <c r="H398" i="1" s="1"/>
  <c r="G398" i="1" a="1"/>
  <c r="G398" i="1" s="1"/>
  <c r="H462" i="1" a="1"/>
  <c r="H462" i="1" s="1"/>
  <c r="G462" i="1" a="1"/>
  <c r="G462" i="1" s="1"/>
  <c r="H486" i="1" a="1"/>
  <c r="H486" i="1" s="1"/>
  <c r="G486" i="1" a="1"/>
  <c r="G486" i="1" s="1"/>
  <c r="H522" i="1" a="1"/>
  <c r="H522" i="1" s="1"/>
  <c r="G522" i="1" a="1"/>
  <c r="G522" i="1" s="1"/>
  <c r="H530" i="1" a="1"/>
  <c r="H530" i="1" s="1"/>
  <c r="G530" i="1" a="1"/>
  <c r="G530" i="1" s="1"/>
  <c r="G449" i="1" a="1"/>
  <c r="G449" i="1" s="1"/>
  <c r="H456" i="1" a="1"/>
  <c r="H456" i="1" s="1"/>
  <c r="H480" i="1" a="1"/>
  <c r="H480" i="1" s="1"/>
  <c r="G480" i="1" a="1"/>
  <c r="G480" i="1" s="1"/>
  <c r="H499" i="1" a="1"/>
  <c r="H499" i="1" s="1"/>
  <c r="G499" i="1" a="1"/>
  <c r="G499" i="1" s="1"/>
  <c r="H542" i="1" a="1"/>
  <c r="H542" i="1" s="1"/>
  <c r="G542" i="1" a="1"/>
  <c r="G542" i="1" s="1"/>
  <c r="H570" i="1" a="1"/>
  <c r="H570" i="1" s="1"/>
  <c r="G570" i="1" a="1"/>
  <c r="G570" i="1" s="1"/>
  <c r="H605" i="1" a="1"/>
  <c r="H605" i="1" s="1"/>
  <c r="G605" i="1" a="1"/>
  <c r="G605" i="1" s="1"/>
  <c r="H469" i="1" a="1"/>
  <c r="H469" i="1" s="1"/>
  <c r="G476" i="1" a="1"/>
  <c r="G476" i="1" s="1"/>
  <c r="H566" i="1" a="1"/>
  <c r="H566" i="1" s="1"/>
  <c r="G566" i="1" a="1"/>
  <c r="G566" i="1" s="1"/>
  <c r="H443" i="1" a="1"/>
  <c r="H443" i="1" s="1"/>
  <c r="G443" i="1" a="1"/>
  <c r="G443" i="1" s="1"/>
  <c r="H515" i="1" a="1"/>
  <c r="H515" i="1" s="1"/>
  <c r="H590" i="1" a="1"/>
  <c r="H590" i="1" s="1"/>
  <c r="G590" i="1" a="1"/>
  <c r="G590" i="1" s="1"/>
  <c r="H400" i="1" a="1"/>
  <c r="H400" i="1" s="1"/>
  <c r="G400" i="1" a="1"/>
  <c r="G400" i="1" s="1"/>
  <c r="G450" i="1" a="1"/>
  <c r="G450" i="1" s="1"/>
  <c r="G457" i="1" a="1"/>
  <c r="G457" i="1" s="1"/>
  <c r="H457" i="1" a="1"/>
  <c r="H457" i="1" s="1"/>
  <c r="H534" i="1" a="1"/>
  <c r="H534" i="1" s="1"/>
  <c r="G534" i="1" a="1"/>
  <c r="G534" i="1" s="1"/>
  <c r="H508" i="1" a="1"/>
  <c r="H508" i="1" s="1"/>
  <c r="G508" i="1" a="1"/>
  <c r="G508" i="1" s="1"/>
  <c r="G558" i="1" a="1"/>
  <c r="G558" i="1" s="1"/>
  <c r="H558" i="1" a="1"/>
  <c r="H558" i="1" s="1"/>
  <c r="H461" i="1" a="1"/>
  <c r="H461" i="1" s="1"/>
  <c r="H496" i="1" a="1"/>
  <c r="H496" i="1" s="1"/>
  <c r="G496" i="1" a="1"/>
  <c r="G496" i="1" s="1"/>
  <c r="H500" i="1" a="1"/>
  <c r="H500" i="1" s="1"/>
  <c r="G500" i="1" a="1"/>
  <c r="G500" i="1" s="1"/>
  <c r="H458" i="1" a="1"/>
  <c r="H458" i="1" s="1"/>
  <c r="G458" i="1" a="1"/>
  <c r="G458" i="1" s="1"/>
  <c r="H516" i="1" a="1"/>
  <c r="H516" i="1" s="1"/>
  <c r="G516" i="1" a="1"/>
  <c r="G516" i="1" s="1"/>
  <c r="H447" i="1" a="1"/>
  <c r="H447" i="1" s="1"/>
  <c r="G501" i="1" a="1"/>
  <c r="G501" i="1" s="1"/>
  <c r="H501" i="1" a="1"/>
  <c r="H501" i="1" s="1"/>
  <c r="G559" i="1" a="1"/>
  <c r="G559" i="1" s="1"/>
  <c r="H559" i="1" a="1"/>
  <c r="H559" i="1" s="1"/>
  <c r="H478" i="1" a="1"/>
  <c r="H478" i="1" s="1"/>
  <c r="G478" i="1" a="1"/>
  <c r="G478" i="1" s="1"/>
  <c r="H540" i="1" a="1"/>
  <c r="H540" i="1" s="1"/>
  <c r="G540" i="1" a="1"/>
  <c r="G540" i="1" s="1"/>
  <c r="H555" i="1" a="1"/>
  <c r="H555" i="1" s="1"/>
  <c r="G555" i="1" a="1"/>
  <c r="G555" i="1" s="1"/>
  <c r="H608" i="1" a="1"/>
  <c r="H608" i="1" s="1"/>
  <c r="G608" i="1" a="1"/>
  <c r="G608" i="1" s="1"/>
  <c r="H510" i="1" a="1"/>
  <c r="H510" i="1" s="1"/>
  <c r="G510" i="1" a="1"/>
  <c r="G510" i="1" s="1"/>
  <c r="H532" i="1" a="1"/>
  <c r="H532" i="1" s="1"/>
  <c r="G532" i="1" a="1"/>
  <c r="G532" i="1" s="1"/>
  <c r="H640" i="1" a="1"/>
  <c r="H640" i="1" s="1"/>
  <c r="G640" i="1" a="1"/>
  <c r="G640" i="1" s="1"/>
  <c r="H521" i="1" a="1"/>
  <c r="H521" i="1" s="1"/>
  <c r="G521" i="1" a="1"/>
  <c r="G521" i="1" s="1"/>
  <c r="H544" i="1" a="1"/>
  <c r="H544" i="1" s="1"/>
  <c r="G544" i="1" a="1"/>
  <c r="G544" i="1" s="1"/>
  <c r="H609" i="1" a="1"/>
  <c r="H609" i="1" s="1"/>
  <c r="G609" i="1" a="1"/>
  <c r="G609" i="1" s="1"/>
  <c r="H630" i="1" a="1"/>
  <c r="H630" i="1" s="1"/>
  <c r="G630" i="1" a="1"/>
  <c r="G630" i="1" s="1"/>
  <c r="G474" i="1" a="1"/>
  <c r="G474" i="1" s="1"/>
  <c r="H528" i="1" a="1"/>
  <c r="H528" i="1" s="1"/>
  <c r="G528" i="1" a="1"/>
  <c r="G528" i="1" s="1"/>
  <c r="H635" i="1" a="1"/>
  <c r="H635" i="1" s="1"/>
  <c r="G635" i="1" a="1"/>
  <c r="G635" i="1" s="1"/>
  <c r="G646" i="1" a="1"/>
  <c r="G646" i="1" s="1"/>
  <c r="H646" i="1" a="1"/>
  <c r="H646" i="1" s="1"/>
  <c r="H518" i="1" a="1"/>
  <c r="H518" i="1" s="1"/>
  <c r="G518" i="1" a="1"/>
  <c r="G518" i="1" s="1"/>
  <c r="H533" i="1" a="1"/>
  <c r="H533" i="1" s="1"/>
  <c r="G580" i="1" a="1"/>
  <c r="G580" i="1" s="1"/>
  <c r="H580" i="1" a="1"/>
  <c r="H580" i="1" s="1"/>
  <c r="H600" i="1" a="1"/>
  <c r="H600" i="1" s="1"/>
  <c r="G600" i="1" a="1"/>
  <c r="G600" i="1" s="1"/>
  <c r="H636" i="1" a="1"/>
  <c r="H636" i="1" s="1"/>
  <c r="H656" i="1" a="1"/>
  <c r="H656" i="1" s="1"/>
  <c r="G656" i="1" a="1"/>
  <c r="G656" i="1" s="1"/>
  <c r="H548" i="1" a="1"/>
  <c r="H548" i="1" s="1"/>
  <c r="G548" i="1" a="1"/>
  <c r="G548" i="1" s="1"/>
  <c r="H564" i="1" a="1"/>
  <c r="H564" i="1" s="1"/>
  <c r="G564" i="1" a="1"/>
  <c r="G564" i="1" s="1"/>
  <c r="H595" i="1" a="1"/>
  <c r="H595" i="1" s="1"/>
  <c r="G595" i="1" a="1"/>
  <c r="G595" i="1" s="1"/>
  <c r="G586" i="1" a="1"/>
  <c r="G586" i="1" s="1"/>
  <c r="H611" i="1" a="1"/>
  <c r="H611" i="1" s="1"/>
  <c r="G611" i="1" a="1"/>
  <c r="G611" i="1" s="1"/>
  <c r="H619" i="1" a="1"/>
  <c r="H619" i="1" s="1"/>
  <c r="G619" i="1" a="1"/>
  <c r="G619" i="1" s="1"/>
  <c r="G577" i="1" a="1"/>
  <c r="G577" i="1" s="1"/>
  <c r="G596" i="1" a="1"/>
  <c r="G596" i="1" s="1"/>
  <c r="H596" i="1" a="1"/>
  <c r="H596" i="1" s="1"/>
  <c r="G601" i="1" a="1"/>
  <c r="G601" i="1" s="1"/>
  <c r="H632" i="1" a="1"/>
  <c r="H632" i="1" s="1"/>
  <c r="G632" i="1" a="1"/>
  <c r="G632" i="1" s="1"/>
  <c r="G505" i="1" a="1"/>
  <c r="G505" i="1" s="1"/>
  <c r="H526" i="1" a="1"/>
  <c r="H526" i="1" s="1"/>
  <c r="G526" i="1" a="1"/>
  <c r="G526" i="1" s="1"/>
  <c r="H549" i="1" a="1"/>
  <c r="H549" i="1" s="1"/>
  <c r="H561" i="1" a="1"/>
  <c r="H561" i="1" s="1"/>
  <c r="G607" i="1" a="1"/>
  <c r="G607" i="1" s="1"/>
  <c r="H607" i="1" a="1"/>
  <c r="H607" i="1" s="1"/>
  <c r="H643" i="1" a="1"/>
  <c r="H643" i="1" s="1"/>
  <c r="G643" i="1" a="1"/>
  <c r="G643" i="1" s="1"/>
  <c r="H667" i="1" a="1"/>
  <c r="H667" i="1" s="1"/>
  <c r="G667" i="1" a="1"/>
  <c r="G667" i="1" s="1"/>
  <c r="H470" i="1" a="1"/>
  <c r="H470" i="1" s="1"/>
  <c r="G470" i="1" a="1"/>
  <c r="G470" i="1" s="1"/>
  <c r="H491" i="1" a="1"/>
  <c r="H491" i="1" s="1"/>
  <c r="G491" i="1" a="1"/>
  <c r="G491" i="1" s="1"/>
  <c r="H494" i="1" a="1"/>
  <c r="H494" i="1" s="1"/>
  <c r="G494" i="1" a="1"/>
  <c r="G494" i="1" s="1"/>
  <c r="H498" i="1" a="1"/>
  <c r="H498" i="1" s="1"/>
  <c r="G498" i="1" a="1"/>
  <c r="G498" i="1" s="1"/>
  <c r="H592" i="1" a="1"/>
  <c r="H592" i="1" s="1"/>
  <c r="H597" i="1" a="1"/>
  <c r="H597" i="1" s="1"/>
  <c r="G597" i="1" a="1"/>
  <c r="G597" i="1" s="1"/>
  <c r="G620" i="1" a="1"/>
  <c r="G620" i="1" s="1"/>
  <c r="H620" i="1" a="1"/>
  <c r="H620" i="1" s="1"/>
  <c r="H553" i="1" a="1"/>
  <c r="H553" i="1" s="1"/>
  <c r="G553" i="1" a="1"/>
  <c r="G553" i="1" s="1"/>
  <c r="H569" i="1" a="1"/>
  <c r="H569" i="1" s="1"/>
  <c r="G569" i="1" a="1"/>
  <c r="G569" i="1" s="1"/>
  <c r="G612" i="1" a="1"/>
  <c r="G612" i="1" s="1"/>
  <c r="H612" i="1" a="1"/>
  <c r="H612" i="1" s="1"/>
  <c r="G628" i="1" a="1"/>
  <c r="G628" i="1" s="1"/>
  <c r="H628" i="1" a="1"/>
  <c r="H628" i="1" s="1"/>
  <c r="G467" i="1" a="1"/>
  <c r="G467" i="1" s="1"/>
  <c r="H467" i="1" a="1"/>
  <c r="H467" i="1" s="1"/>
  <c r="H520" i="1" a="1"/>
  <c r="H520" i="1" s="1"/>
  <c r="G520" i="1" a="1"/>
  <c r="G520" i="1" s="1"/>
  <c r="H602" i="1" a="1"/>
  <c r="H602" i="1" s="1"/>
  <c r="G602" i="1" a="1"/>
  <c r="G602" i="1" s="1"/>
  <c r="G649" i="1" a="1"/>
  <c r="G649" i="1" s="1"/>
  <c r="H659" i="1" a="1"/>
  <c r="H659" i="1" s="1"/>
  <c r="G659" i="1" a="1"/>
  <c r="G659" i="1" s="1"/>
  <c r="H669" i="1" a="1"/>
  <c r="H669" i="1" s="1"/>
  <c r="G669" i="1" a="1"/>
  <c r="G669" i="1" s="1"/>
  <c r="H603" i="1" a="1"/>
  <c r="H603" i="1" s="1"/>
  <c r="G603" i="1" a="1"/>
  <c r="G603" i="1" s="1"/>
  <c r="H641" i="1" a="1"/>
  <c r="H641" i="1" s="1"/>
  <c r="G641" i="1" a="1"/>
  <c r="G641" i="1" s="1"/>
  <c r="H674" i="1" a="1"/>
  <c r="H674" i="1" s="1"/>
  <c r="G674" i="1" a="1"/>
  <c r="G674" i="1" s="1"/>
  <c r="H531" i="1" a="1"/>
  <c r="H531" i="1" s="1"/>
  <c r="G531" i="1" a="1"/>
  <c r="G531" i="1" s="1"/>
  <c r="G572" i="1" a="1"/>
  <c r="G572" i="1" s="1"/>
  <c r="G599" i="1" a="1"/>
  <c r="G599" i="1" s="1"/>
  <c r="H599" i="1" a="1"/>
  <c r="H599" i="1" s="1"/>
  <c r="H637" i="1" a="1"/>
  <c r="H637" i="1" s="1"/>
  <c r="G637" i="1" a="1"/>
  <c r="G637" i="1" s="1"/>
  <c r="H660" i="1" a="1"/>
  <c r="H660" i="1" s="1"/>
  <c r="G660" i="1" a="1"/>
  <c r="G660" i="1" s="1"/>
  <c r="H683" i="1" a="1"/>
  <c r="H683" i="1" s="1"/>
  <c r="G683" i="1" a="1"/>
  <c r="G683" i="1" s="1"/>
  <c r="G563" i="1" a="1"/>
  <c r="G563" i="1" s="1"/>
  <c r="H583" i="1" a="1"/>
  <c r="H583" i="1" s="1"/>
  <c r="G629" i="1" a="1"/>
  <c r="G629" i="1" s="1"/>
  <c r="H576" i="1" a="1"/>
  <c r="H576" i="1" s="1"/>
  <c r="G638" i="1" a="1"/>
  <c r="G638" i="1" s="1"/>
  <c r="H638" i="1" a="1"/>
  <c r="H638" i="1" s="1"/>
  <c r="H642" i="1" a="1"/>
  <c r="H642" i="1" s="1"/>
  <c r="G642" i="1" a="1"/>
  <c r="G642" i="1" s="1"/>
  <c r="G689" i="1" a="1"/>
  <c r="G689" i="1" s="1"/>
  <c r="H689" i="1" a="1"/>
  <c r="H689" i="1" s="1"/>
  <c r="H584" i="1" a="1"/>
  <c r="H584" i="1" s="1"/>
  <c r="G584" i="1" a="1"/>
  <c r="G584" i="1" s="1"/>
  <c r="G588" i="1" a="1"/>
  <c r="G588" i="1" s="1"/>
  <c r="H588" i="1" a="1"/>
  <c r="H588" i="1" s="1"/>
  <c r="H633" i="1" a="1"/>
  <c r="H633" i="1" s="1"/>
  <c r="G633" i="1" a="1"/>
  <c r="G633" i="1" s="1"/>
  <c r="H651" i="1" a="1"/>
  <c r="H651" i="1" s="1"/>
  <c r="G651" i="1" a="1"/>
  <c r="G651" i="1" s="1"/>
  <c r="H694" i="1" a="1"/>
  <c r="H694" i="1" s="1"/>
  <c r="G694" i="1" a="1"/>
  <c r="G694" i="1" s="1"/>
  <c r="H699" i="1" a="1"/>
  <c r="H699" i="1" s="1"/>
  <c r="G699" i="1" a="1"/>
  <c r="G699" i="1" s="1"/>
  <c r="H504" i="1" a="1"/>
  <c r="H504" i="1" s="1"/>
  <c r="G504" i="1" a="1"/>
  <c r="G504" i="1" s="1"/>
  <c r="H652" i="1" a="1"/>
  <c r="H652" i="1" s="1"/>
  <c r="G652" i="1" a="1"/>
  <c r="G652" i="1" s="1"/>
  <c r="G695" i="1" a="1"/>
  <c r="G695" i="1" s="1"/>
  <c r="H695" i="1" a="1"/>
  <c r="H695" i="1" s="1"/>
  <c r="H634" i="1" a="1"/>
  <c r="H634" i="1" s="1"/>
  <c r="G634" i="1" a="1"/>
  <c r="G634" i="1" s="1"/>
  <c r="H657" i="1" a="1"/>
  <c r="H657" i="1" s="1"/>
  <c r="G657" i="1" a="1"/>
  <c r="G657" i="1" s="1"/>
  <c r="H581" i="1" a="1"/>
  <c r="H581" i="1" s="1"/>
  <c r="G581" i="1" a="1"/>
  <c r="G581" i="1" s="1"/>
  <c r="H585" i="1" a="1"/>
  <c r="H585" i="1" s="1"/>
  <c r="H593" i="1" a="1"/>
  <c r="H593" i="1" s="1"/>
  <c r="G593" i="1" a="1"/>
  <c r="G593" i="1" s="1"/>
  <c r="G626" i="1" a="1"/>
  <c r="G626" i="1" s="1"/>
  <c r="H677" i="1" a="1"/>
  <c r="H677" i="1" s="1"/>
  <c r="G677" i="1" a="1"/>
  <c r="G677" i="1" s="1"/>
  <c r="G631" i="1" a="1"/>
  <c r="G631" i="1" s="1"/>
  <c r="H631" i="1" a="1"/>
  <c r="H631" i="1" s="1"/>
  <c r="H691" i="1" a="1"/>
  <c r="H691" i="1" s="1"/>
  <c r="G691" i="1" a="1"/>
  <c r="G691" i="1" s="1"/>
  <c r="H627" i="1" a="1"/>
  <c r="H627" i="1" s="1"/>
  <c r="G627" i="1" a="1"/>
  <c r="G627" i="1" s="1"/>
  <c r="H668" i="1" a="1"/>
  <c r="H668" i="1" s="1"/>
  <c r="G668" i="1" a="1"/>
  <c r="G668" i="1" s="1"/>
  <c r="G654" i="1" a="1"/>
  <c r="G654" i="1" s="1"/>
  <c r="H654" i="1" a="1"/>
  <c r="H654" i="1" s="1"/>
  <c r="H686" i="1" a="1"/>
  <c r="H686" i="1" s="1"/>
  <c r="H675" i="1" a="1"/>
  <c r="H675" i="1" s="1"/>
  <c r="G675" i="1" a="1"/>
  <c r="G675" i="1" s="1"/>
  <c r="H717" i="1" a="1"/>
  <c r="H717" i="1" s="1"/>
  <c r="G717" i="1" a="1"/>
  <c r="G717" i="1" s="1"/>
  <c r="H644" i="1" a="1"/>
  <c r="H644" i="1" s="1"/>
  <c r="G644" i="1" a="1"/>
  <c r="G644" i="1" s="1"/>
  <c r="H676" i="1" a="1"/>
  <c r="H676" i="1" s="1"/>
  <c r="G676" i="1" a="1"/>
  <c r="G676" i="1" s="1"/>
  <c r="G700" i="1" a="1"/>
  <c r="G700" i="1" s="1"/>
  <c r="H700" i="1" a="1"/>
  <c r="H700" i="1" s="1"/>
  <c r="G587" i="1" a="1"/>
  <c r="G587" i="1" s="1"/>
  <c r="G658" i="1" a="1"/>
  <c r="G658" i="1" s="1"/>
  <c r="H684" i="1" a="1"/>
  <c r="H684" i="1" s="1"/>
  <c r="G684" i="1" a="1"/>
  <c r="G684" i="1" s="1"/>
  <c r="G711" i="1" a="1"/>
  <c r="G711" i="1" s="1"/>
  <c r="H711" i="1" a="1"/>
  <c r="H711" i="1" s="1"/>
  <c r="G688" i="1" a="1"/>
  <c r="G688" i="1" s="1"/>
  <c r="H670" i="1" a="1"/>
  <c r="H670" i="1" s="1"/>
  <c r="G673" i="1" a="1"/>
  <c r="G673" i="1" s="1"/>
  <c r="G701" i="1" a="1"/>
  <c r="G701" i="1" s="1"/>
  <c r="G666" i="1" a="1"/>
  <c r="G666" i="1" s="1"/>
  <c r="G685" i="1" a="1"/>
  <c r="G685" i="1" s="1"/>
  <c r="H715" i="1" a="1"/>
  <c r="H715" i="1" s="1"/>
  <c r="G715" i="1" a="1"/>
  <c r="G715" i="1" s="1"/>
  <c r="H706" i="1" a="1"/>
  <c r="H706" i="1" s="1"/>
  <c r="H710" i="1" a="1"/>
  <c r="H710" i="1" s="1"/>
  <c r="H716" i="1" a="1"/>
  <c r="H716" i="1" s="1"/>
  <c r="G716" i="1" a="1"/>
  <c r="G716" i="1" s="1"/>
  <c r="H718" i="1" a="1"/>
  <c r="H718" i="1" s="1"/>
  <c r="G718" i="1" a="1"/>
  <c r="G718" i="1" s="1"/>
  <c r="H712" i="1" a="1"/>
  <c r="H712" i="1" s="1"/>
  <c r="G712" i="1" a="1"/>
  <c r="G712" i="1" s="1"/>
  <c r="H719" i="1" a="1"/>
  <c r="H719" i="1" s="1"/>
  <c r="G719" i="1" a="1"/>
  <c r="G719" i="1" s="1"/>
  <c r="H713" i="1" a="1"/>
  <c r="H713" i="1" s="1"/>
  <c r="G713" i="1" a="1"/>
  <c r="G713" i="1" s="1"/>
  <c r="G705" i="1" a="1"/>
  <c r="G705" i="1" s="1"/>
  <c r="H720" i="1" a="1"/>
  <c r="H720" i="1" s="1"/>
  <c r="G720" i="1" a="1"/>
  <c r="G720" i="1" s="1"/>
  <c r="G709" i="1" a="1"/>
  <c r="G709" i="1" s="1"/>
  <c r="H714" i="1" a="1"/>
  <c r="H714" i="1" s="1"/>
  <c r="G714" i="1" a="1"/>
  <c r="G714" i="1" s="1"/>
  <c r="H721" i="1" a="1"/>
  <c r="H721" i="1" s="1"/>
  <c r="G721" i="1" a="1"/>
  <c r="G7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<sst xmlns="http://schemas.openxmlformats.org/spreadsheetml/2006/main" count="728" uniqueCount="26">
  <si>
    <t>company_id</t>
  </si>
  <si>
    <t>value_id</t>
  </si>
  <si>
    <t>value_present_company</t>
  </si>
  <si>
    <t>binding_level_company</t>
  </si>
  <si>
    <t>value_points_company</t>
  </si>
  <si>
    <t>doc_id_strongest</t>
  </si>
  <si>
    <t>evidence_location_strongest</t>
  </si>
  <si>
    <t>evidence_quote_strongest</t>
  </si>
  <si>
    <t>VAL_01</t>
  </si>
  <si>
    <t>VAL_02</t>
  </si>
  <si>
    <t>VAL_03</t>
  </si>
  <si>
    <t>VAL_04</t>
  </si>
  <si>
    <t>VAL_05</t>
  </si>
  <si>
    <t>VAL_06</t>
  </si>
  <si>
    <t>VAL_07</t>
  </si>
  <si>
    <t>VAL_08</t>
  </si>
  <si>
    <t>VAL_09</t>
  </si>
  <si>
    <t>VAL_10</t>
  </si>
  <si>
    <t>VAL_11</t>
  </si>
  <si>
    <t>VAL_12</t>
  </si>
  <si>
    <t>VAL_13</t>
  </si>
  <si>
    <t>VAL_14</t>
  </si>
  <si>
    <t>VAL_15</t>
  </si>
  <si>
    <t>VAL_16</t>
  </si>
  <si>
    <t>VAL_17</t>
  </si>
  <si>
    <t>VAL_18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</si>
</sst>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0" borderId="8" xfId="0" applyBorder="1"/>
  </cellXfs>
  <cellStyles count="1">
    <cellStyle name="Standard" xfId="0" builtinId="0"/>
  </cellStyles>
  <dxfs count="7"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DEBOOK/V1_Codebuch_08042026_FINAL.xlsx" TargetMode="External"/><Relationship Id="rId2" Type="http://schemas.openxmlformats.org/officeDocument/2006/relationships/externalLinkPath" Target="https://iubhfs-my.sharepoint.com/personal/florian_klawun_iu-study_org/Documents/IU%20Study/Marketing/19_Thesis/Anhang/CODEBOOK/V1_Codebuch_08042026_FINAL.xlsx" TargetMode="External"/><Relationship Id="rId1" Type="http://schemas.openxmlformats.org/officeDocument/2006/relationships/externalLinkPath" Target="/personal/florian_klawun_iu-study_org/Documents/IU%20Study/Marketing/19_Thesis/Anhang/CODEBOOK/V1_Codebuch_0804202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_DAX_Master"/>
      <sheetName val="01_Document_Log"/>
      <sheetName val="02_Values_Codebook"/>
      <sheetName val="04_Governance_Codebook"/>
      <sheetName val="03_Values_Coding"/>
      <sheetName val="05_Governance_Coding"/>
      <sheetName val="07_Boundary_Cases"/>
      <sheetName val="03b_Values_Company_Level"/>
      <sheetName val="05b_Governance_Company_Level"/>
      <sheetName val="06_Derived_Indices"/>
      <sheetName val="07a_Analyse_Jaccard"/>
      <sheetName val="07b_Analyse_deskriptiv"/>
      <sheetName val="07c_Analyse_Cluster"/>
      <sheetName val="Tabelle2"/>
      <sheetName val="07d_Analyse_Zusammenhänge"/>
      <sheetName val="07e_Analyse_Sensitivität"/>
      <sheetName val="08_Codebook_Changelog"/>
      <sheetName val="09_Coding_Memos"/>
      <sheetName val="99_Lookups"/>
      <sheetName val="30_Values_Coding_PILOT"/>
      <sheetName val="31_Values_Coding_RE"/>
      <sheetName val="50_Governance_Coding_PILOT"/>
      <sheetName val="51_Governance_Coding_RE"/>
      <sheetName val="80_Regelkonsolidierung_Pil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D01A5-60A7-414C-A2F2-440957A903FC}" name="Tabelle18" displayName="Tabelle18" ref="A1:H721" totalsRowShown="0">
  <autoFilter ref="A1:H721" xr:uid="{B14D01A5-60A7-414C-A2F2-440957A903FC}"/>
  <tableColumns count="8">
    <tableColumn id="1" xr3:uid="{FF624CA3-B735-4E07-880B-468471DAC3C4}" name="company_id" dataDxfId="6"/>
    <tableColumn id="2" xr3:uid="{406DDF69-763D-48F9-BEE7-CF4AC540C63C}" name="value_id"/>
    <tableColumn id="3" xr3:uid="{032C14C3-0C42-42A4-9A3B-2F63C26784FC}" name="value_present_company" dataDxfId="5">
      <calculatedColumnFormula>IF(Tabelle18[[#This Row],[binding_level_company]]&gt;=1,1,0)</calculatedColumnFormula>
    </tableColumn>
    <tableColumn id="4" xr3:uid="{31748913-DA9B-46DC-B840-60B6410401AB}" name="binding_level_company" dataDxfId="4">
      <calculatedColumnFormula>IFERROR(_xlfn.MAXIFS([1]!Tabelle5[binding_level],[1]!Tabelle5[company_id],Tabelle18[[#This Row],[company_id]],[1]!Tabelle5[value_id],Tabelle18[[#This Row],[value_id]],[1]!Tabelle5[value_present],1),0)</calculatedColumnFormula>
    </tableColumn>
    <tableColumn id="5" xr3:uid="{4583385A-5146-4673-86CB-4E7681C640EE}" name="value_points_company" dataDxfId="3">
      <calculatedColumnFormula>IFERROR(_xlfn.MAXIFS([1]!Tabelle5[value_points],[1]!Tabelle5[company_id],Tabelle18[[#This Row],[company_id]],[1]!Tabelle5[value_id],Tabelle18[[#This Row],[value_id]]),0)</calculatedColumnFormula>
    </tableColumn>
    <tableColumn id="6" xr3:uid="{89A8E074-7E23-4F36-9747-0D2D1C0B2807}" name="doc_id_strongest" dataDxfId="2">
      <calculatedColumnFormula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calculatedColumnFormula>
    </tableColumn>
    <tableColumn id="7" xr3:uid="{FEFA3EAE-3191-4F48-B1FE-1D267345431F}" name="evidence_location_strongest" dataDxfId="1">
      <calculatedColumnFormula array="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calculatedColumnFormula>
    </tableColumn>
    <tableColumn id="8" xr3:uid="{602C9E73-CFDF-44FF-AA6A-32E3BB758F14}" name="evidence_quote_strongest" dataDxfId="0">
      <calculatedColumnFormula array="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N26" sqref="N26"/>
    </sheetView>
  </sheetViews>
  <sheetFormatPr baseColWidth="10" defaultColWidth="9.140625" defaultRowHeight="15" x14ac:dyDescent="0.25"/>
  <sheetData>
    <row r="1" spans="1: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3">
        <f>IF(Tabelle18[[#This Row],[binding_level_company]]&gt;=1,1,0)</f>
        <v>0</v>
      </c>
      <c r="D2" s="3">
        <f>IFERROR(_xlfn.MAXIFS([1]!Tabelle5[binding_level],[1]!Tabelle5[company_id],Tabelle18[[#This Row],[company_id]],[1]!Tabelle5[value_id],Tabelle18[[#This Row],[value_id]],[1]!Tabelle5[value_present],1),0)</f>
        <v>0</v>
      </c>
      <c r="E2" s="3">
        <f>IFERROR(_xlfn.MAXIFS([1]!Tabelle5[value_points],[1]!Tabelle5[company_id],Tabelle18[[#This Row],[company_id]],[1]!Tabelle5[value_id],Tabelle18[[#This Row],[value_id]]),0)</f>
        <v>0</v>
      </c>
      <c r="F2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" s="2" t="str" cm="1">
        <f t="array" ref="G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" s="4" t="str" cm="1">
        <f t="array" ref="H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" spans="1:8" x14ac:dyDescent="0.25">
      <c r="A3" s="5">
        <v>1</v>
      </c>
      <c r="B3" t="s">
        <v>9</v>
      </c>
      <c r="C3" s="6">
        <f>IF(Tabelle18[[#This Row],[binding_level_company]]&gt;=1,1,0)</f>
        <v>0</v>
      </c>
      <c r="D3" s="6">
        <f>IFERROR(_xlfn.MAXIFS([1]!Tabelle5[binding_level],[1]!Tabelle5[company_id],Tabelle18[[#This Row],[company_id]],[1]!Tabelle5[value_id],Tabelle18[[#This Row],[value_id]],[1]!Tabelle5[value_present],1),0)</f>
        <v>0</v>
      </c>
      <c r="E3" s="6">
        <f>IFERROR(_xlfn.MAXIFS([1]!Tabelle5[value_points],[1]!Tabelle5[company_id],Tabelle18[[#This Row],[company_id]],[1]!Tabelle5[value_id],Tabelle18[[#This Row],[value_id]]),0)</f>
        <v>0</v>
      </c>
      <c r="F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" t="str" cm="1">
        <f t="array" ref="G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" s="7" t="str" cm="1">
        <f t="array" ref="H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" spans="1:8" x14ac:dyDescent="0.25">
      <c r="A4" s="5">
        <v>1</v>
      </c>
      <c r="B4" t="s">
        <v>10</v>
      </c>
      <c r="C4" s="6">
        <f>IF(Tabelle18[[#This Row],[binding_level_company]]&gt;=1,1,0)</f>
        <v>0</v>
      </c>
      <c r="D4" s="6">
        <f>IFERROR(_xlfn.MAXIFS([1]!Tabelle5[binding_level],[1]!Tabelle5[company_id],Tabelle18[[#This Row],[company_id]],[1]!Tabelle5[value_id],Tabelle18[[#This Row],[value_id]],[1]!Tabelle5[value_present],1),0)</f>
        <v>0</v>
      </c>
      <c r="E4" s="6">
        <f>IFERROR(_xlfn.MAXIFS([1]!Tabelle5[value_points],[1]!Tabelle5[company_id],Tabelle18[[#This Row],[company_id]],[1]!Tabelle5[value_id],Tabelle18[[#This Row],[value_id]]),0)</f>
        <v>0</v>
      </c>
      <c r="F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" t="str" cm="1">
        <f t="array" ref="G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" s="7" t="str" cm="1">
        <f t="array" ref="H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" spans="1:8" x14ac:dyDescent="0.25">
      <c r="A5" s="5">
        <v>1</v>
      </c>
      <c r="B5" t="s">
        <v>11</v>
      </c>
      <c r="C5" s="6">
        <f>IF(Tabelle18[[#This Row],[binding_level_company]]&gt;=1,1,0)</f>
        <v>0</v>
      </c>
      <c r="D5" s="6">
        <f>IFERROR(_xlfn.MAXIFS([1]!Tabelle5[binding_level],[1]!Tabelle5[company_id],Tabelle18[[#This Row],[company_id]],[1]!Tabelle5[value_id],Tabelle18[[#This Row],[value_id]],[1]!Tabelle5[value_present],1),0)</f>
        <v>0</v>
      </c>
      <c r="E5" s="6">
        <f>IFERROR(_xlfn.MAXIFS([1]!Tabelle5[value_points],[1]!Tabelle5[company_id],Tabelle18[[#This Row],[company_id]],[1]!Tabelle5[value_id],Tabelle18[[#This Row],[value_id]]),0)</f>
        <v>0</v>
      </c>
      <c r="F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" t="str" cm="1">
        <f t="array" ref="G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" s="7" t="str" cm="1">
        <f t="array" ref="H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" spans="1:8" x14ac:dyDescent="0.25">
      <c r="A6" s="5">
        <v>1</v>
      </c>
      <c r="B6" t="s">
        <v>12</v>
      </c>
      <c r="C6" s="6">
        <f>IF(Tabelle18[[#This Row],[binding_level_company]]&gt;=1,1,0)</f>
        <v>0</v>
      </c>
      <c r="D6" s="6">
        <f>IFERROR(_xlfn.MAXIFS([1]!Tabelle5[binding_level],[1]!Tabelle5[company_id],Tabelle18[[#This Row],[company_id]],[1]!Tabelle5[value_id],Tabelle18[[#This Row],[value_id]],[1]!Tabelle5[value_present],1),0)</f>
        <v>0</v>
      </c>
      <c r="E6" s="6">
        <f>IFERROR(_xlfn.MAXIFS([1]!Tabelle5[value_points],[1]!Tabelle5[company_id],Tabelle18[[#This Row],[company_id]],[1]!Tabelle5[value_id],Tabelle18[[#This Row],[value_id]]),0)</f>
        <v>0</v>
      </c>
      <c r="F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" t="str" cm="1">
        <f t="array" ref="G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" s="7" t="str" cm="1">
        <f t="array" ref="H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" spans="1:8" x14ac:dyDescent="0.25">
      <c r="A7" s="5">
        <v>1</v>
      </c>
      <c r="B7" t="s">
        <v>13</v>
      </c>
      <c r="C7" s="6">
        <f>IF(Tabelle18[[#This Row],[binding_level_company]]&gt;=1,1,0)</f>
        <v>0</v>
      </c>
      <c r="D7" s="6">
        <f>IFERROR(_xlfn.MAXIFS([1]!Tabelle5[binding_level],[1]!Tabelle5[company_id],Tabelle18[[#This Row],[company_id]],[1]!Tabelle5[value_id],Tabelle18[[#This Row],[value_id]],[1]!Tabelle5[value_present],1),0)</f>
        <v>0</v>
      </c>
      <c r="E7" s="6">
        <f>IFERROR(_xlfn.MAXIFS([1]!Tabelle5[value_points],[1]!Tabelle5[company_id],Tabelle18[[#This Row],[company_id]],[1]!Tabelle5[value_id],Tabelle18[[#This Row],[value_id]]),0)</f>
        <v>0</v>
      </c>
      <c r="F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" t="str" cm="1">
        <f t="array" ref="G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" s="7" t="str" cm="1">
        <f t="array" ref="H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8" spans="1:8" x14ac:dyDescent="0.25">
      <c r="A8" s="5">
        <v>1</v>
      </c>
      <c r="B8" t="s">
        <v>14</v>
      </c>
      <c r="C8" s="6">
        <f>IF(Tabelle18[[#This Row],[binding_level_company]]&gt;=1,1,0)</f>
        <v>0</v>
      </c>
      <c r="D8" s="6">
        <f>IFERROR(_xlfn.MAXIFS([1]!Tabelle5[binding_level],[1]!Tabelle5[company_id],Tabelle18[[#This Row],[company_id]],[1]!Tabelle5[value_id],Tabelle18[[#This Row],[value_id]],[1]!Tabelle5[value_present],1),0)</f>
        <v>0</v>
      </c>
      <c r="E8" s="6">
        <f>IFERROR(_xlfn.MAXIFS([1]!Tabelle5[value_points],[1]!Tabelle5[company_id],Tabelle18[[#This Row],[company_id]],[1]!Tabelle5[value_id],Tabelle18[[#This Row],[value_id]]),0)</f>
        <v>0</v>
      </c>
      <c r="F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8" t="str" cm="1">
        <f t="array" ref="G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8" s="7" t="str" cm="1">
        <f t="array" ref="H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9" spans="1:8" x14ac:dyDescent="0.25">
      <c r="A9" s="5">
        <v>1</v>
      </c>
      <c r="B9" t="s">
        <v>15</v>
      </c>
      <c r="C9" s="6">
        <f>IF(Tabelle18[[#This Row],[binding_level_company]]&gt;=1,1,0)</f>
        <v>0</v>
      </c>
      <c r="D9" s="6">
        <f>IFERROR(_xlfn.MAXIFS([1]!Tabelle5[binding_level],[1]!Tabelle5[company_id],Tabelle18[[#This Row],[company_id]],[1]!Tabelle5[value_id],Tabelle18[[#This Row],[value_id]],[1]!Tabelle5[value_present],1),0)</f>
        <v>0</v>
      </c>
      <c r="E9" s="6">
        <f>IFERROR(_xlfn.MAXIFS([1]!Tabelle5[value_points],[1]!Tabelle5[company_id],Tabelle18[[#This Row],[company_id]],[1]!Tabelle5[value_id],Tabelle18[[#This Row],[value_id]]),0)</f>
        <v>0</v>
      </c>
      <c r="F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9" t="str" cm="1">
        <f t="array" ref="G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9" s="7" t="str" cm="1">
        <f t="array" ref="H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0" spans="1:8" x14ac:dyDescent="0.25">
      <c r="A10" s="5">
        <v>1</v>
      </c>
      <c r="B10" t="s">
        <v>16</v>
      </c>
      <c r="C10" s="6">
        <f>IF(Tabelle18[[#This Row],[binding_level_company]]&gt;=1,1,0)</f>
        <v>0</v>
      </c>
      <c r="D10" s="6">
        <f>IFERROR(_xlfn.MAXIFS([1]!Tabelle5[binding_level],[1]!Tabelle5[company_id],Tabelle18[[#This Row],[company_id]],[1]!Tabelle5[value_id],Tabelle18[[#This Row],[value_id]],[1]!Tabelle5[value_present],1),0)</f>
        <v>0</v>
      </c>
      <c r="E10" s="6">
        <f>IFERROR(_xlfn.MAXIFS([1]!Tabelle5[value_points],[1]!Tabelle5[company_id],Tabelle18[[#This Row],[company_id]],[1]!Tabelle5[value_id],Tabelle18[[#This Row],[value_id]]),0)</f>
        <v>0</v>
      </c>
      <c r="F1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0" t="str" cm="1">
        <f t="array" ref="G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0" s="7" t="str" cm="1">
        <f t="array" ref="H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1" spans="1:8" x14ac:dyDescent="0.25">
      <c r="A11" s="5">
        <v>1</v>
      </c>
      <c r="B11" t="s">
        <v>17</v>
      </c>
      <c r="C11" s="6">
        <f>IF(Tabelle18[[#This Row],[binding_level_company]]&gt;=1,1,0)</f>
        <v>0</v>
      </c>
      <c r="D11" s="6">
        <f>IFERROR(_xlfn.MAXIFS([1]!Tabelle5[binding_level],[1]!Tabelle5[company_id],Tabelle18[[#This Row],[company_id]],[1]!Tabelle5[value_id],Tabelle18[[#This Row],[value_id]],[1]!Tabelle5[value_present],1),0)</f>
        <v>0</v>
      </c>
      <c r="E11" s="6">
        <f>IFERROR(_xlfn.MAXIFS([1]!Tabelle5[value_points],[1]!Tabelle5[company_id],Tabelle18[[#This Row],[company_id]],[1]!Tabelle5[value_id],Tabelle18[[#This Row],[value_id]]),0)</f>
        <v>0</v>
      </c>
      <c r="F1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1" t="str" cm="1">
        <f t="array" ref="G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1" s="7" t="str" cm="1">
        <f t="array" ref="H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2" spans="1:8" x14ac:dyDescent="0.25">
      <c r="A12" s="5">
        <v>1</v>
      </c>
      <c r="B12" t="s">
        <v>18</v>
      </c>
      <c r="C12" s="6">
        <f>IF(Tabelle18[[#This Row],[binding_level_company]]&gt;=1,1,0)</f>
        <v>0</v>
      </c>
      <c r="D12" s="6">
        <f>IFERROR(_xlfn.MAXIFS([1]!Tabelle5[binding_level],[1]!Tabelle5[company_id],Tabelle18[[#This Row],[company_id]],[1]!Tabelle5[value_id],Tabelle18[[#This Row],[value_id]],[1]!Tabelle5[value_present],1),0)</f>
        <v>0</v>
      </c>
      <c r="E12" s="6">
        <f>IFERROR(_xlfn.MAXIFS([1]!Tabelle5[value_points],[1]!Tabelle5[company_id],Tabelle18[[#This Row],[company_id]],[1]!Tabelle5[value_id],Tabelle18[[#This Row],[value_id]]),0)</f>
        <v>0</v>
      </c>
      <c r="F1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2" t="str" cm="1">
        <f t="array" ref="G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2" s="7" t="str" cm="1">
        <f t="array" ref="H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" spans="1:8" x14ac:dyDescent="0.25">
      <c r="A13" s="5">
        <v>1</v>
      </c>
      <c r="B13" t="s">
        <v>19</v>
      </c>
      <c r="C13" s="6">
        <f>IF(Tabelle18[[#This Row],[binding_level_company]]&gt;=1,1,0)</f>
        <v>0</v>
      </c>
      <c r="D13" s="6">
        <f>IFERROR(_xlfn.MAXIFS([1]!Tabelle5[binding_level],[1]!Tabelle5[company_id],Tabelle18[[#This Row],[company_id]],[1]!Tabelle5[value_id],Tabelle18[[#This Row],[value_id]],[1]!Tabelle5[value_present],1),0)</f>
        <v>0</v>
      </c>
      <c r="E13" s="6">
        <f>IFERROR(_xlfn.MAXIFS([1]!Tabelle5[value_points],[1]!Tabelle5[company_id],Tabelle18[[#This Row],[company_id]],[1]!Tabelle5[value_id],Tabelle18[[#This Row],[value_id]]),0)</f>
        <v>0</v>
      </c>
      <c r="F1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" t="str" cm="1">
        <f t="array" ref="G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" s="7" t="str" cm="1">
        <f t="array" ref="H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" spans="1:8" x14ac:dyDescent="0.25">
      <c r="A14" s="5">
        <v>1</v>
      </c>
      <c r="B14" t="s">
        <v>20</v>
      </c>
      <c r="C14" s="6">
        <f>IF(Tabelle18[[#This Row],[binding_level_company]]&gt;=1,1,0)</f>
        <v>0</v>
      </c>
      <c r="D14" s="6">
        <f>IFERROR(_xlfn.MAXIFS([1]!Tabelle5[binding_level],[1]!Tabelle5[company_id],Tabelle18[[#This Row],[company_id]],[1]!Tabelle5[value_id],Tabelle18[[#This Row],[value_id]],[1]!Tabelle5[value_present],1),0)</f>
        <v>0</v>
      </c>
      <c r="E14" s="6">
        <f>IFERROR(_xlfn.MAXIFS([1]!Tabelle5[value_points],[1]!Tabelle5[company_id],Tabelle18[[#This Row],[company_id]],[1]!Tabelle5[value_id],Tabelle18[[#This Row],[value_id]]),0)</f>
        <v>0</v>
      </c>
      <c r="F1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4" t="str" cm="1">
        <f t="array" ref="G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4" s="7" t="str" cm="1">
        <f t="array" ref="H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5" spans="1:8" x14ac:dyDescent="0.25">
      <c r="A15" s="5">
        <v>1</v>
      </c>
      <c r="B15" t="s">
        <v>21</v>
      </c>
      <c r="C15" s="6">
        <f>IF(Tabelle18[[#This Row],[binding_level_company]]&gt;=1,1,0)</f>
        <v>0</v>
      </c>
      <c r="D15" s="6">
        <f>IFERROR(_xlfn.MAXIFS([1]!Tabelle5[binding_level],[1]!Tabelle5[company_id],Tabelle18[[#This Row],[company_id]],[1]!Tabelle5[value_id],Tabelle18[[#This Row],[value_id]],[1]!Tabelle5[value_present],1),0)</f>
        <v>0</v>
      </c>
      <c r="E15" s="6">
        <f>IFERROR(_xlfn.MAXIFS([1]!Tabelle5[value_points],[1]!Tabelle5[company_id],Tabelle18[[#This Row],[company_id]],[1]!Tabelle5[value_id],Tabelle18[[#This Row],[value_id]]),0)</f>
        <v>0</v>
      </c>
      <c r="F1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5" t="str" cm="1">
        <f t="array" ref="G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5" s="7" t="str" cm="1">
        <f t="array" ref="H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6" spans="1:8" x14ac:dyDescent="0.25">
      <c r="A16" s="5">
        <v>1</v>
      </c>
      <c r="B16" t="s">
        <v>22</v>
      </c>
      <c r="C16" s="6">
        <f>IF(Tabelle18[[#This Row],[binding_level_company]]&gt;=1,1,0)</f>
        <v>0</v>
      </c>
      <c r="D16" s="6">
        <f>IFERROR(_xlfn.MAXIFS([1]!Tabelle5[binding_level],[1]!Tabelle5[company_id],Tabelle18[[#This Row],[company_id]],[1]!Tabelle5[value_id],Tabelle18[[#This Row],[value_id]],[1]!Tabelle5[value_present],1),0)</f>
        <v>0</v>
      </c>
      <c r="E16" s="6">
        <f>IFERROR(_xlfn.MAXIFS([1]!Tabelle5[value_points],[1]!Tabelle5[company_id],Tabelle18[[#This Row],[company_id]],[1]!Tabelle5[value_id],Tabelle18[[#This Row],[value_id]]),0)</f>
        <v>0</v>
      </c>
      <c r="F1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6" t="str" cm="1">
        <f t="array" ref="G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6" s="7" t="str" cm="1">
        <f t="array" ref="H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7" spans="1:8" x14ac:dyDescent="0.25">
      <c r="A17" s="5">
        <v>1</v>
      </c>
      <c r="B17" t="s">
        <v>23</v>
      </c>
      <c r="C17" s="6">
        <f>IF(Tabelle18[[#This Row],[binding_level_company]]&gt;=1,1,0)</f>
        <v>0</v>
      </c>
      <c r="D17" s="6">
        <f>IFERROR(_xlfn.MAXIFS([1]!Tabelle5[binding_level],[1]!Tabelle5[company_id],Tabelle18[[#This Row],[company_id]],[1]!Tabelle5[value_id],Tabelle18[[#This Row],[value_id]],[1]!Tabelle5[value_present],1),0)</f>
        <v>0</v>
      </c>
      <c r="E17" s="6">
        <f>IFERROR(_xlfn.MAXIFS([1]!Tabelle5[value_points],[1]!Tabelle5[company_id],Tabelle18[[#This Row],[company_id]],[1]!Tabelle5[value_id],Tabelle18[[#This Row],[value_id]]),0)</f>
        <v>0</v>
      </c>
      <c r="F1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7" t="str" cm="1">
        <f t="array" ref="G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7" s="7" t="str" cm="1">
        <f t="array" ref="H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8" spans="1:8" x14ac:dyDescent="0.25">
      <c r="A18" s="5">
        <v>1</v>
      </c>
      <c r="B18" t="s">
        <v>24</v>
      </c>
      <c r="C18" s="6">
        <f>IF(Tabelle18[[#This Row],[binding_level_company]]&gt;=1,1,0)</f>
        <v>0</v>
      </c>
      <c r="D18" s="6">
        <f>IFERROR(_xlfn.MAXIFS([1]!Tabelle5[binding_level],[1]!Tabelle5[company_id],Tabelle18[[#This Row],[company_id]],[1]!Tabelle5[value_id],Tabelle18[[#This Row],[value_id]],[1]!Tabelle5[value_present],1),0)</f>
        <v>0</v>
      </c>
      <c r="E18" s="6">
        <f>IFERROR(_xlfn.MAXIFS([1]!Tabelle5[value_points],[1]!Tabelle5[company_id],Tabelle18[[#This Row],[company_id]],[1]!Tabelle5[value_id],Tabelle18[[#This Row],[value_id]]),0)</f>
        <v>0</v>
      </c>
      <c r="F1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8" t="str" cm="1">
        <f t="array" ref="G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8" s="7" t="str" cm="1">
        <f t="array" ref="H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" spans="1:8" ht="15.75" thickBot="1" x14ac:dyDescent="0.3">
      <c r="A19" s="8">
        <v>1</v>
      </c>
      <c r="B19" s="9" t="s">
        <v>25</v>
      </c>
      <c r="C19" s="10">
        <f>IF(Tabelle18[[#This Row],[binding_level_company]]&gt;=1,1,0)</f>
        <v>0</v>
      </c>
      <c r="D19" s="10">
        <f>IFERROR(_xlfn.MAXIFS([1]!Tabelle5[binding_level],[1]!Tabelle5[company_id],Tabelle18[[#This Row],[company_id]],[1]!Tabelle5[value_id],Tabelle18[[#This Row],[value_id]],[1]!Tabelle5[value_present],1),0)</f>
        <v>0</v>
      </c>
      <c r="E19" s="10">
        <f>IFERROR(_xlfn.MAXIFS([1]!Tabelle5[value_points],[1]!Tabelle5[company_id],Tabelle18[[#This Row],[company_id]],[1]!Tabelle5[value_id],Tabelle18[[#This Row],[value_id]]),0)</f>
        <v>0</v>
      </c>
      <c r="F19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" s="9" t="str" cm="1">
        <f t="array" ref="G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" s="11" t="str" cm="1">
        <f t="array" ref="H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0" spans="1:8" x14ac:dyDescent="0.25">
      <c r="A20" s="1">
        <v>2</v>
      </c>
      <c r="B20" s="2" t="s">
        <v>8</v>
      </c>
      <c r="C20" s="3">
        <f>IF(Tabelle18[[#This Row],[binding_level_company]]&gt;=1,1,0)</f>
        <v>1</v>
      </c>
      <c r="D20" s="3">
        <f>IFERROR(_xlfn.MAXIFS([1]!Tabelle5[binding_level],[1]!Tabelle5[company_id],Tabelle18[[#This Row],[company_id]],[1]!Tabelle5[value_id],Tabelle18[[#This Row],[value_id]],[1]!Tabelle5[value_present],1),0)</f>
        <v>2</v>
      </c>
      <c r="E20" s="3">
        <f>IFERROR(_xlfn.MAXIFS([1]!Tabelle5[value_points],[1]!Tabelle5[company_id],Tabelle18[[#This Row],[company_id]],[1]!Tabelle5[value_id],Tabelle18[[#This Row],[value_id]]),0)</f>
        <v>2</v>
      </c>
      <c r="F20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20" s="2" t="str" cm="1">
        <f t="array" ref="G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20" s="4" t="str" cm="1">
        <f t="array" ref="H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“Use artificial intelligence to make decisions about personal, moral or political issues.”</v>
      </c>
    </row>
    <row r="21" spans="1:8" x14ac:dyDescent="0.25">
      <c r="A21" s="5">
        <v>2</v>
      </c>
      <c r="B21" t="s">
        <v>9</v>
      </c>
      <c r="C21" s="6">
        <f>IF(Tabelle18[[#This Row],[binding_level_company]]&gt;=1,1,0)</f>
        <v>1</v>
      </c>
      <c r="D21" s="6">
        <f>IFERROR(_xlfn.MAXIFS([1]!Tabelle5[binding_level],[1]!Tabelle5[company_id],Tabelle18[[#This Row],[company_id]],[1]!Tabelle5[value_id],Tabelle18[[#This Row],[value_id]],[1]!Tabelle5[value_present],1),0)</f>
        <v>1</v>
      </c>
      <c r="E21" s="6">
        <f>IFERROR(_xlfn.MAXIFS([1]!Tabelle5[value_points],[1]!Tabelle5[company_id],Tabelle18[[#This Row],[company_id]],[1]!Tabelle5[value_id],Tabelle18[[#This Row],[value_id]]),0)</f>
        <v>1</v>
      </c>
      <c r="F2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</v>
      </c>
      <c r="G21" t="str" cm="1">
        <f t="array" ref="G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Our approach to Artificial Intelligence (AI)</v>
      </c>
      <c r="H21" s="7" t="str" cm="1">
        <f t="array" ref="H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“takes responsibility for their function and consequences”</v>
      </c>
    </row>
    <row r="22" spans="1:8" x14ac:dyDescent="0.25">
      <c r="A22" s="5">
        <v>2</v>
      </c>
      <c r="B22" t="s">
        <v>10</v>
      </c>
      <c r="C22" s="6">
        <f>IF(Tabelle18[[#This Row],[binding_level_company]]&gt;=1,1,0)</f>
        <v>1</v>
      </c>
      <c r="D22" s="6">
        <f>IFERROR(_xlfn.MAXIFS([1]!Tabelle5[binding_level],[1]!Tabelle5[company_id],Tabelle18[[#This Row],[company_id]],[1]!Tabelle5[value_id],Tabelle18[[#This Row],[value_id]],[1]!Tabelle5[value_present],1),0)</f>
        <v>2</v>
      </c>
      <c r="E22" s="6">
        <f>IFERROR(_xlfn.MAXIFS([1]!Tabelle5[value_points],[1]!Tabelle5[company_id],Tabelle18[[#This Row],[company_id]],[1]!Tabelle5[value_id],Tabelle18[[#This Row],[value_id]]),0)</f>
        <v>2</v>
      </c>
      <c r="F2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22" t="str" cm="1">
        <f t="array" ref="G2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22" s="7" t="str" cm="1">
        <f t="array" ref="H2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“without informing the users, and without explaining its purposes, inputs and outputs”</v>
      </c>
    </row>
    <row r="23" spans="1:8" x14ac:dyDescent="0.25">
      <c r="A23" s="5">
        <v>2</v>
      </c>
      <c r="B23" t="s">
        <v>11</v>
      </c>
      <c r="C23" s="6">
        <f>IF(Tabelle18[[#This Row],[binding_level_company]]&gt;=1,1,0)</f>
        <v>1</v>
      </c>
      <c r="D23" s="6">
        <f>IFERROR(_xlfn.MAXIFS([1]!Tabelle5[binding_level],[1]!Tabelle5[company_id],Tabelle18[[#This Row],[company_id]],[1]!Tabelle5[value_id],Tabelle18[[#This Row],[value_id]],[1]!Tabelle5[value_present],1),0)</f>
        <v>2</v>
      </c>
      <c r="E23" s="6">
        <f>IFERROR(_xlfn.MAXIFS([1]!Tabelle5[value_points],[1]!Tabelle5[company_id],Tabelle18[[#This Row],[company_id]],[1]!Tabelle5[value_id],Tabelle18[[#This Row],[value_id]]),0)</f>
        <v>2</v>
      </c>
      <c r="F2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23" t="str" cm="1">
        <f t="array" ref="G2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23" s="7" t="str" cm="1">
        <f t="array" ref="H2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“without informing the users, and without explaining its purposes, inputs and outputs”</v>
      </c>
    </row>
    <row r="24" spans="1:8" x14ac:dyDescent="0.25">
      <c r="A24" s="5">
        <v>2</v>
      </c>
      <c r="B24" t="s">
        <v>12</v>
      </c>
      <c r="C24" s="6">
        <f>IF(Tabelle18[[#This Row],[binding_level_company]]&gt;=1,1,0)</f>
        <v>1</v>
      </c>
      <c r="D24" s="6">
        <f>IFERROR(_xlfn.MAXIFS([1]!Tabelle5[binding_level],[1]!Tabelle5[company_id],Tabelle18[[#This Row],[company_id]],[1]!Tabelle5[value_id],Tabelle18[[#This Row],[value_id]],[1]!Tabelle5[value_present],1),0)</f>
        <v>3</v>
      </c>
      <c r="E24" s="6">
        <f>IFERROR(_xlfn.MAXIFS([1]!Tabelle5[value_points],[1]!Tabelle5[company_id],Tabelle18[[#This Row],[company_id]],[1]!Tabelle5[value_id],Tabelle18[[#This Row],[value_id]]),0)</f>
        <v>3</v>
      </c>
      <c r="F2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24" t="str" cm="1">
        <f t="array" ref="G2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24" s="7" t="str" cm="1">
        <f t="array" ref="H2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“Regularly review artificial intelligence systems to ensure fairness and prevent biases.”</v>
      </c>
    </row>
    <row r="25" spans="1:8" x14ac:dyDescent="0.25">
      <c r="A25" s="5">
        <v>2</v>
      </c>
      <c r="B25" t="s">
        <v>13</v>
      </c>
      <c r="C25" s="6">
        <f>IF(Tabelle18[[#This Row],[binding_level_company]]&gt;=1,1,0)</f>
        <v>1</v>
      </c>
      <c r="D25" s="6">
        <f>IFERROR(_xlfn.MAXIFS([1]!Tabelle5[binding_level],[1]!Tabelle5[company_id],Tabelle18[[#This Row],[company_id]],[1]!Tabelle5[value_id],Tabelle18[[#This Row],[value_id]],[1]!Tabelle5[value_present],1),0)</f>
        <v>2</v>
      </c>
      <c r="E25" s="6">
        <f>IFERROR(_xlfn.MAXIFS([1]!Tabelle5[value_points],[1]!Tabelle5[company_id],Tabelle18[[#This Row],[company_id]],[1]!Tabelle5[value_id],Tabelle18[[#This Row],[value_id]]),0)</f>
        <v>2</v>
      </c>
      <c r="F2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25" t="str" cm="1">
        <f t="array" ref="G2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25" s="7" t="str" cm="1">
        <f t="array" ref="H2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“This includes respecting human rights and privacy.”; “Take measures to protect the personal information we manage and share.”</v>
      </c>
    </row>
    <row r="26" spans="1:8" x14ac:dyDescent="0.25">
      <c r="A26" s="5">
        <v>2</v>
      </c>
      <c r="B26" t="s">
        <v>14</v>
      </c>
      <c r="C26" s="6">
        <f>IF(Tabelle18[[#This Row],[binding_level_company]]&gt;=1,1,0)</f>
        <v>0</v>
      </c>
      <c r="D26" s="6">
        <f>IFERROR(_xlfn.MAXIFS([1]!Tabelle5[binding_level],[1]!Tabelle5[company_id],Tabelle18[[#This Row],[company_id]],[1]!Tabelle5[value_id],Tabelle18[[#This Row],[value_id]],[1]!Tabelle5[value_present],1),0)</f>
        <v>0</v>
      </c>
      <c r="E26" s="6">
        <f>IFERROR(_xlfn.MAXIFS([1]!Tabelle5[value_points],[1]!Tabelle5[company_id],Tabelle18[[#This Row],[company_id]],[1]!Tabelle5[value_id],Tabelle18[[#This Row],[value_id]]),0)</f>
        <v>0</v>
      </c>
      <c r="F2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6" t="str" cm="1">
        <f t="array" ref="G2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6" s="7" t="str" cm="1">
        <f t="array" ref="H2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" spans="1:8" x14ac:dyDescent="0.25">
      <c r="A27" s="5">
        <v>2</v>
      </c>
      <c r="B27" t="s">
        <v>15</v>
      </c>
      <c r="C27" s="6">
        <f>IF(Tabelle18[[#This Row],[binding_level_company]]&gt;=1,1,0)</f>
        <v>1</v>
      </c>
      <c r="D27" s="6">
        <f>IFERROR(_xlfn.MAXIFS([1]!Tabelle5[binding_level],[1]!Tabelle5[company_id],Tabelle18[[#This Row],[company_id]],[1]!Tabelle5[value_id],Tabelle18[[#This Row],[value_id]],[1]!Tabelle5[value_present],1),0)</f>
        <v>1</v>
      </c>
      <c r="E27" s="6">
        <f>IFERROR(_xlfn.MAXIFS([1]!Tabelle5[value_points],[1]!Tabelle5[company_id],Tabelle18[[#This Row],[company_id]],[1]!Tabelle5[value_id],Tabelle18[[#This Row],[value_id]]),0)</f>
        <v>1</v>
      </c>
      <c r="F2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</v>
      </c>
      <c r="G27" t="str" cm="1">
        <f t="array" ref="G2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Our approach to Artificial Intelligence (AI)</v>
      </c>
      <c r="H27" s="7" t="str" cm="1">
        <f t="array" ref="H2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“Safety is our top priority”</v>
      </c>
    </row>
    <row r="28" spans="1:8" x14ac:dyDescent="0.25">
      <c r="A28" s="5">
        <v>2</v>
      </c>
      <c r="B28" t="s">
        <v>16</v>
      </c>
      <c r="C28" s="6">
        <f>IF(Tabelle18[[#This Row],[binding_level_company]]&gt;=1,1,0)</f>
        <v>1</v>
      </c>
      <c r="D28" s="6">
        <f>IFERROR(_xlfn.MAXIFS([1]!Tabelle5[binding_level],[1]!Tabelle5[company_id],Tabelle18[[#This Row],[company_id]],[1]!Tabelle5[value_id],Tabelle18[[#This Row],[value_id]],[1]!Tabelle5[value_present],1),0)</f>
        <v>1</v>
      </c>
      <c r="E28" s="6">
        <f>IFERROR(_xlfn.MAXIFS([1]!Tabelle5[value_points],[1]!Tabelle5[company_id],Tabelle18[[#This Row],[company_id]],[1]!Tabelle5[value_id],Tabelle18[[#This Row],[value_id]]),0)</f>
        <v>1</v>
      </c>
      <c r="F2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</v>
      </c>
      <c r="G28" t="str" cm="1">
        <f t="array" ref="G2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Our approach to Artificial Intelligence (AI)</v>
      </c>
      <c r="H28" s="7" t="str" cm="1">
        <f t="array" ref="H2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“highest standards of reliability and dependability”</v>
      </c>
    </row>
    <row r="29" spans="1:8" x14ac:dyDescent="0.25">
      <c r="A29" s="5">
        <v>2</v>
      </c>
      <c r="B29" t="s">
        <v>17</v>
      </c>
      <c r="C29" s="6">
        <f>IF(Tabelle18[[#This Row],[binding_level_company]]&gt;=1,1,0)</f>
        <v>0</v>
      </c>
      <c r="D29" s="6">
        <f>IFERROR(_xlfn.MAXIFS([1]!Tabelle5[binding_level],[1]!Tabelle5[company_id],Tabelle18[[#This Row],[company_id]],[1]!Tabelle5[value_id],Tabelle18[[#This Row],[value_id]],[1]!Tabelle5[value_present],1),0)</f>
        <v>0</v>
      </c>
      <c r="E29" s="6">
        <f>IFERROR(_xlfn.MAXIFS([1]!Tabelle5[value_points],[1]!Tabelle5[company_id],Tabelle18[[#This Row],[company_id]],[1]!Tabelle5[value_id],Tabelle18[[#This Row],[value_id]]),0)</f>
        <v>0</v>
      </c>
      <c r="F2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9" t="str" cm="1">
        <f t="array" ref="G2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9" s="7" t="str" cm="1">
        <f t="array" ref="H2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0" spans="1:8" x14ac:dyDescent="0.25">
      <c r="A30" s="5">
        <v>2</v>
      </c>
      <c r="B30" t="s">
        <v>18</v>
      </c>
      <c r="C30" s="6">
        <f>IF(Tabelle18[[#This Row],[binding_level_company]]&gt;=1,1,0)</f>
        <v>0</v>
      </c>
      <c r="D30" s="6">
        <f>IFERROR(_xlfn.MAXIFS([1]!Tabelle5[binding_level],[1]!Tabelle5[company_id],Tabelle18[[#This Row],[company_id]],[1]!Tabelle5[value_id],Tabelle18[[#This Row],[value_id]],[1]!Tabelle5[value_present],1),0)</f>
        <v>0</v>
      </c>
      <c r="E30" s="6">
        <f>IFERROR(_xlfn.MAXIFS([1]!Tabelle5[value_points],[1]!Tabelle5[company_id],Tabelle18[[#This Row],[company_id]],[1]!Tabelle5[value_id],Tabelle18[[#This Row],[value_id]]),0)</f>
        <v>0</v>
      </c>
      <c r="F3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0" t="str" cm="1">
        <f t="array" ref="G3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0" s="7" t="str" cm="1">
        <f t="array" ref="H3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" spans="1:8" x14ac:dyDescent="0.25">
      <c r="A31" s="5">
        <v>2</v>
      </c>
      <c r="B31" t="s">
        <v>19</v>
      </c>
      <c r="C31" s="6">
        <f>IF(Tabelle18[[#This Row],[binding_level_company]]&gt;=1,1,0)</f>
        <v>1</v>
      </c>
      <c r="D31" s="6">
        <f>IFERROR(_xlfn.MAXIFS([1]!Tabelle5[binding_level],[1]!Tabelle5[company_id],Tabelle18[[#This Row],[company_id]],[1]!Tabelle5[value_id],Tabelle18[[#This Row],[value_id]],[1]!Tabelle5[value_present],1),0)</f>
        <v>1</v>
      </c>
      <c r="E31" s="6">
        <f>IFERROR(_xlfn.MAXIFS([1]!Tabelle5[value_points],[1]!Tabelle5[company_id],Tabelle18[[#This Row],[company_id]],[1]!Tabelle5[value_id],Tabelle18[[#This Row],[value_id]]),0)</f>
        <v>1</v>
      </c>
      <c r="F3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</v>
      </c>
      <c r="G31" t="str" cm="1">
        <f t="array" ref="G3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Our approach to Artificial Intelligence (AI)</v>
      </c>
      <c r="H31" s="7" t="str" cm="1">
        <f t="array" ref="H3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“enhance societal wellbeing”; “contribute to our sustainability goals by respecting the planet”</v>
      </c>
    </row>
    <row r="32" spans="1:8" x14ac:dyDescent="0.25">
      <c r="A32" s="5">
        <v>2</v>
      </c>
      <c r="B32" t="s">
        <v>20</v>
      </c>
      <c r="C32" s="6">
        <f>IF(Tabelle18[[#This Row],[binding_level_company]]&gt;=1,1,0)</f>
        <v>1</v>
      </c>
      <c r="D32" s="6">
        <f>IFERROR(_xlfn.MAXIFS([1]!Tabelle5[binding_level],[1]!Tabelle5[company_id],Tabelle18[[#This Row],[company_id]],[1]!Tabelle5[value_id],Tabelle18[[#This Row],[value_id]],[1]!Tabelle5[value_present],1),0)</f>
        <v>1</v>
      </c>
      <c r="E32" s="6">
        <f>IFERROR(_xlfn.MAXIFS([1]!Tabelle5[value_points],[1]!Tabelle5[company_id],Tabelle18[[#This Row],[company_id]],[1]!Tabelle5[value_id],Tabelle18[[#This Row],[value_id]]),0)</f>
        <v>1</v>
      </c>
      <c r="F3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</v>
      </c>
      <c r="G32" t="str" cm="1">
        <f t="array" ref="G3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Our approach to Artificial Intelligence (AI)</v>
      </c>
      <c r="H32" s="7" t="str" cm="1">
        <f t="array" ref="H3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“enhance societal wellbeing”</v>
      </c>
    </row>
    <row r="33" spans="1:8" x14ac:dyDescent="0.25">
      <c r="A33" s="5">
        <v>2</v>
      </c>
      <c r="B33" t="s">
        <v>21</v>
      </c>
      <c r="C33" s="6">
        <f>IF(Tabelle18[[#This Row],[binding_level_company]]&gt;=1,1,0)</f>
        <v>1</v>
      </c>
      <c r="D33" s="6">
        <f>IFERROR(_xlfn.MAXIFS([1]!Tabelle5[binding_level],[1]!Tabelle5[company_id],Tabelle18[[#This Row],[company_id]],[1]!Tabelle5[value_id],Tabelle18[[#This Row],[value_id]],[1]!Tabelle5[value_present],1),0)</f>
        <v>2</v>
      </c>
      <c r="E33" s="6">
        <f>IFERROR(_xlfn.MAXIFS([1]!Tabelle5[value_points],[1]!Tabelle5[company_id],Tabelle18[[#This Row],[company_id]],[1]!Tabelle5[value_id],Tabelle18[[#This Row],[value_id]]),0)</f>
        <v>2</v>
      </c>
      <c r="F3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33" t="str" cm="1">
        <f t="array" ref="G3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33" s="7" t="str" cm="1">
        <f t="array" ref="H3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“using digital technologies legally, responsibly and ethically”</v>
      </c>
    </row>
    <row r="34" spans="1:8" x14ac:dyDescent="0.25">
      <c r="A34" s="5">
        <v>2</v>
      </c>
      <c r="B34" t="s">
        <v>22</v>
      </c>
      <c r="C34" s="6">
        <f>IF(Tabelle18[[#This Row],[binding_level_company]]&gt;=1,1,0)</f>
        <v>1</v>
      </c>
      <c r="D34" s="6">
        <f>IFERROR(_xlfn.MAXIFS([1]!Tabelle5[binding_level],[1]!Tabelle5[company_id],Tabelle18[[#This Row],[company_id]],[1]!Tabelle5[value_id],Tabelle18[[#This Row],[value_id]],[1]!Tabelle5[value_present],1),0)</f>
        <v>2</v>
      </c>
      <c r="E34" s="6">
        <f>IFERROR(_xlfn.MAXIFS([1]!Tabelle5[value_points],[1]!Tabelle5[company_id],Tabelle18[[#This Row],[company_id]],[1]!Tabelle5[value_id],Tabelle18[[#This Row],[value_id]]),0)</f>
        <v>2</v>
      </c>
      <c r="F3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34" t="str" cm="1">
        <f t="array" ref="G3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34" s="7" t="str" cm="1">
        <f t="array" ref="H3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“using digital technologies legally, responsibly and ethically”</v>
      </c>
    </row>
    <row r="35" spans="1:8" x14ac:dyDescent="0.25">
      <c r="A35" s="5">
        <v>2</v>
      </c>
      <c r="B35" t="s">
        <v>23</v>
      </c>
      <c r="C35" s="6">
        <f>IF(Tabelle18[[#This Row],[binding_level_company]]&gt;=1,1,0)</f>
        <v>0</v>
      </c>
      <c r="D35" s="6">
        <f>IFERROR(_xlfn.MAXIFS([1]!Tabelle5[binding_level],[1]!Tabelle5[company_id],Tabelle18[[#This Row],[company_id]],[1]!Tabelle5[value_id],Tabelle18[[#This Row],[value_id]],[1]!Tabelle5[value_present],1),0)</f>
        <v>0</v>
      </c>
      <c r="E35" s="6">
        <f>IFERROR(_xlfn.MAXIFS([1]!Tabelle5[value_points],[1]!Tabelle5[company_id],Tabelle18[[#This Row],[company_id]],[1]!Tabelle5[value_id],Tabelle18[[#This Row],[value_id]]),0)</f>
        <v>0</v>
      </c>
      <c r="F3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" t="str" cm="1">
        <f t="array" ref="G3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" s="7" t="str" cm="1">
        <f t="array" ref="H3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" spans="1:8" x14ac:dyDescent="0.25">
      <c r="A36" s="5">
        <v>2</v>
      </c>
      <c r="B36" t="s">
        <v>24</v>
      </c>
      <c r="C36" s="6">
        <f>IF(Tabelle18[[#This Row],[binding_level_company]]&gt;=1,1,0)</f>
        <v>0</v>
      </c>
      <c r="D36" s="6">
        <f>IFERROR(_xlfn.MAXIFS([1]!Tabelle5[binding_level],[1]!Tabelle5[company_id],Tabelle18[[#This Row],[company_id]],[1]!Tabelle5[value_id],Tabelle18[[#This Row],[value_id]],[1]!Tabelle5[value_present],1),0)</f>
        <v>0</v>
      </c>
      <c r="E36" s="6">
        <f>IFERROR(_xlfn.MAXIFS([1]!Tabelle5[value_points],[1]!Tabelle5[company_id],Tabelle18[[#This Row],[company_id]],[1]!Tabelle5[value_id],Tabelle18[[#This Row],[value_id]]),0)</f>
        <v>0</v>
      </c>
      <c r="F3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" t="str" cm="1">
        <f t="array" ref="G3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" s="7" t="str" cm="1">
        <f t="array" ref="H3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" spans="1:8" ht="15.75" thickBot="1" x14ac:dyDescent="0.3">
      <c r="A37" s="8">
        <v>2</v>
      </c>
      <c r="B37" s="9" t="s">
        <v>25</v>
      </c>
      <c r="C37" s="10">
        <f>IF(Tabelle18[[#This Row],[binding_level_company]]&gt;=1,1,0)</f>
        <v>1</v>
      </c>
      <c r="D37" s="10">
        <f>IFERROR(_xlfn.MAXIFS([1]!Tabelle5[binding_level],[1]!Tabelle5[company_id],Tabelle18[[#This Row],[company_id]],[1]!Tabelle5[value_id],Tabelle18[[#This Row],[value_id]],[1]!Tabelle5[value_present],1),0)</f>
        <v>2</v>
      </c>
      <c r="E37" s="10">
        <f>IFERROR(_xlfn.MAXIFS([1]!Tabelle5[value_points],[1]!Tabelle5[company_id],Tabelle18[[#This Row],[company_id]],[1]!Tabelle5[value_id],Tabelle18[[#This Row],[value_id]]),0)</f>
        <v>2</v>
      </c>
      <c r="F37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</v>
      </c>
      <c r="G37" s="9" t="str" cm="1">
        <f t="array" ref="G3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31, Digital Ethics</v>
      </c>
      <c r="H37" s="11" t="str" cm="1">
        <f t="array" ref="H3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“This includes respecting human rights and privacy.”</v>
      </c>
    </row>
    <row r="38" spans="1:8" x14ac:dyDescent="0.25">
      <c r="A38" s="1">
        <v>3</v>
      </c>
      <c r="B38" s="2" t="s">
        <v>8</v>
      </c>
      <c r="C38" s="3">
        <f>IF(Tabelle18[[#This Row],[binding_level_company]]&gt;=1,1,0)</f>
        <v>1</v>
      </c>
      <c r="D38" s="3">
        <f>IFERROR(_xlfn.MAXIFS([1]!Tabelle5[binding_level],[1]!Tabelle5[company_id],Tabelle18[[#This Row],[company_id]],[1]!Tabelle5[value_id],Tabelle18[[#This Row],[value_id]],[1]!Tabelle5[value_present],1),0)</f>
        <v>3</v>
      </c>
      <c r="E38" s="3">
        <f>IFERROR(_xlfn.MAXIFS([1]!Tabelle5[value_points],[1]!Tabelle5[company_id],Tabelle18[[#This Row],[company_id]],[1]!Tabelle5[value_id],Tabelle18[[#This Row],[value_id]]),0)</f>
        <v>3</v>
      </c>
      <c r="F38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</v>
      </c>
      <c r="G38" s="2" t="str" cm="1">
        <f t="array" ref="G3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Data Ethics</v>
      </c>
      <c r="H38" s="4" t="str" cm="1">
        <f t="array" ref="H3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“our usage of AI systems is human centric”; “Human Agency and Control”; “risk-based approach to implementing the appropriate level of human involvement”</v>
      </c>
    </row>
    <row r="39" spans="1:8" x14ac:dyDescent="0.25">
      <c r="A39" s="5">
        <v>3</v>
      </c>
      <c r="B39" t="s">
        <v>9</v>
      </c>
      <c r="C39" s="6">
        <f>IF(Tabelle18[[#This Row],[binding_level_company]]&gt;=1,1,0)</f>
        <v>1</v>
      </c>
      <c r="D39" s="6">
        <f>IFERROR(_xlfn.MAXIFS([1]!Tabelle5[binding_level],[1]!Tabelle5[company_id],Tabelle18[[#This Row],[company_id]],[1]!Tabelle5[value_id],Tabelle18[[#This Row],[value_id]],[1]!Tabelle5[value_present],1),0)</f>
        <v>3</v>
      </c>
      <c r="E39" s="6">
        <f>IFERROR(_xlfn.MAXIFS([1]!Tabelle5[value_points],[1]!Tabelle5[company_id],Tabelle18[[#This Row],[company_id]],[1]!Tabelle5[value_id],Tabelle18[[#This Row],[value_id]]),0)</f>
        <v>3</v>
      </c>
      <c r="F3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39" t="str" cm="1">
        <f t="array" ref="G3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Prinzip 3 Accountability, Accuracy &amp; Proficiency</v>
      </c>
      <c r="H39" s="7" t="str" cm="1">
        <f t="array" ref="H3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monitor AI systems in production”</v>
      </c>
    </row>
    <row r="40" spans="1:8" x14ac:dyDescent="0.25">
      <c r="A40" s="5">
        <v>3</v>
      </c>
      <c r="B40" t="s">
        <v>10</v>
      </c>
      <c r="C40" s="6">
        <f>IF(Tabelle18[[#This Row],[binding_level_company]]&gt;=1,1,0)</f>
        <v>1</v>
      </c>
      <c r="D40" s="6">
        <f>IFERROR(_xlfn.MAXIFS([1]!Tabelle5[binding_level],[1]!Tabelle5[company_id],Tabelle18[[#This Row],[company_id]],[1]!Tabelle5[value_id],Tabelle18[[#This Row],[value_id]],[1]!Tabelle5[value_present],1),0)</f>
        <v>2</v>
      </c>
      <c r="E40" s="6">
        <f>IFERROR(_xlfn.MAXIFS([1]!Tabelle5[value_points],[1]!Tabelle5[company_id],Tabelle18[[#This Row],[company_id]],[1]!Tabelle5[value_id],Tabelle18[[#This Row],[value_id]]),0)</f>
        <v>2</v>
      </c>
      <c r="F4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40" t="str" cm="1">
        <f t="array" ref="G4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Prinzip 2 Transparency</v>
      </c>
      <c r="H40" s="7" t="str" cm="1">
        <f t="array" ref="H4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openly communicate the purpose of our AI systems.”; “we inform customers whenever they interact directly with an AI system”</v>
      </c>
    </row>
    <row r="41" spans="1:8" x14ac:dyDescent="0.25">
      <c r="A41" s="5">
        <v>3</v>
      </c>
      <c r="B41" t="s">
        <v>11</v>
      </c>
      <c r="C41" s="6">
        <f>IF(Tabelle18[[#This Row],[binding_level_company]]&gt;=1,1,0)</f>
        <v>1</v>
      </c>
      <c r="D41" s="6">
        <f>IFERROR(_xlfn.MAXIFS([1]!Tabelle5[binding_level],[1]!Tabelle5[company_id],Tabelle18[[#This Row],[company_id]],[1]!Tabelle5[value_id],Tabelle18[[#This Row],[value_id]],[1]!Tabelle5[value_present],1),0)</f>
        <v>2</v>
      </c>
      <c r="E41" s="6">
        <f>IFERROR(_xlfn.MAXIFS([1]!Tabelle5[value_points],[1]!Tabelle5[company_id],Tabelle18[[#This Row],[company_id]],[1]!Tabelle5[value_id],Tabelle18[[#This Row],[value_id]]),0)</f>
        <v>2</v>
      </c>
      <c r="F4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41" t="str" cm="1">
        <f t="array" ref="G4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Prinzip 2 Transparency</v>
      </c>
      <c r="H41" s="7" t="str" cm="1">
        <f t="array" ref="H4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“risk-based approach to attain suitable levels of interpretability”</v>
      </c>
    </row>
    <row r="42" spans="1:8" x14ac:dyDescent="0.25">
      <c r="A42" s="5">
        <v>3</v>
      </c>
      <c r="B42" t="s">
        <v>12</v>
      </c>
      <c r="C42" s="6">
        <f>IF(Tabelle18[[#This Row],[binding_level_company]]&gt;=1,1,0)</f>
        <v>1</v>
      </c>
      <c r="D42" s="6">
        <f>IFERROR(_xlfn.MAXIFS([1]!Tabelle5[binding_level],[1]!Tabelle5[company_id],Tabelle18[[#This Row],[company_id]],[1]!Tabelle5[value_id],Tabelle18[[#This Row],[value_id]],[1]!Tabelle5[value_present],1),0)</f>
        <v>3</v>
      </c>
      <c r="E42" s="6">
        <f>IFERROR(_xlfn.MAXIFS([1]!Tabelle5[value_points],[1]!Tabelle5[company_id],Tabelle18[[#This Row],[company_id]],[1]!Tabelle5[value_id],Tabelle18[[#This Row],[value_id]]),0)</f>
        <v>3</v>
      </c>
      <c r="F4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42" t="str" cm="1">
        <f t="array" ref="G4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Prinzip 5 Non-Discrimination</v>
      </c>
      <c r="H42" s="7" t="str" cm="1">
        <f t="array" ref="H4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commit to avoiding both direct and indirect discrimination”; “mitigate potential bias both in the data itself as well as in each individual model”</v>
      </c>
    </row>
    <row r="43" spans="1:8" x14ac:dyDescent="0.25">
      <c r="A43" s="5">
        <v>3</v>
      </c>
      <c r="B43" t="s">
        <v>13</v>
      </c>
      <c r="C43" s="6">
        <f>IF(Tabelle18[[#This Row],[binding_level_company]]&gt;=1,1,0)</f>
        <v>1</v>
      </c>
      <c r="D43" s="6">
        <f>IFERROR(_xlfn.MAXIFS([1]!Tabelle5[binding_level],[1]!Tabelle5[company_id],Tabelle18[[#This Row],[company_id]],[1]!Tabelle5[value_id],Tabelle18[[#This Row],[value_id]],[1]!Tabelle5[value_present],1),0)</f>
        <v>3</v>
      </c>
      <c r="E43" s="6">
        <f>IFERROR(_xlfn.MAXIFS([1]!Tabelle5[value_points],[1]!Tabelle5[company_id],Tabelle18[[#This Row],[company_id]],[1]!Tabelle5[value_id],Tabelle18[[#This Row],[value_id]]),0)</f>
        <v>3</v>
      </c>
      <c r="F4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43" t="str" cm="1">
        <f t="array" ref="G4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Prinzip 6 Data Privacy</v>
      </c>
      <c r="H43" s="7" t="str" cm="1">
        <f t="array" ref="H4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“perform a dedicated privacy risk assessment”</v>
      </c>
    </row>
    <row r="44" spans="1:8" x14ac:dyDescent="0.25">
      <c r="A44" s="5">
        <v>3</v>
      </c>
      <c r="B44" t="s">
        <v>14</v>
      </c>
      <c r="C44" s="6">
        <f>IF(Tabelle18[[#This Row],[binding_level_company]]&gt;=1,1,0)</f>
        <v>1</v>
      </c>
      <c r="D44" s="6">
        <f>IFERROR(_xlfn.MAXIFS([1]!Tabelle5[binding_level],[1]!Tabelle5[company_id],Tabelle18[[#This Row],[company_id]],[1]!Tabelle5[value_id],Tabelle18[[#This Row],[value_id]],[1]!Tabelle5[value_present],1),0)</f>
        <v>2</v>
      </c>
      <c r="E44" s="6">
        <f>IFERROR(_xlfn.MAXIFS([1]!Tabelle5[value_points],[1]!Tabelle5[company_id],Tabelle18[[#This Row],[company_id]],[1]!Tabelle5[value_id],Tabelle18[[#This Row],[value_id]]),0)</f>
        <v>2</v>
      </c>
      <c r="F4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44" t="str" cm="1">
        <f t="array" ref="G4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Prinzip 4 Security &amp; Resilience</v>
      </c>
      <c r="H44" s="7" t="str" cm="1">
        <f t="array" ref="H4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“state-of-the-art cybersecurity and resilience measures”</v>
      </c>
    </row>
    <row r="45" spans="1:8" x14ac:dyDescent="0.25">
      <c r="A45" s="5">
        <v>3</v>
      </c>
      <c r="B45" t="s">
        <v>15</v>
      </c>
      <c r="C45" s="6">
        <f>IF(Tabelle18[[#This Row],[binding_level_company]]&gt;=1,1,0)</f>
        <v>1</v>
      </c>
      <c r="D45" s="6">
        <f>IFERROR(_xlfn.MAXIFS([1]!Tabelle5[binding_level],[1]!Tabelle5[company_id],Tabelle18[[#This Row],[company_id]],[1]!Tabelle5[value_id],Tabelle18[[#This Row],[value_id]],[1]!Tabelle5[value_present],1),0)</f>
        <v>2</v>
      </c>
      <c r="E45" s="6">
        <f>IFERROR(_xlfn.MAXIFS([1]!Tabelle5[value_points],[1]!Tabelle5[company_id],Tabelle18[[#This Row],[company_id]],[1]!Tabelle5[value_id],Tabelle18[[#This Row],[value_id]]),0)</f>
        <v>2</v>
      </c>
      <c r="F4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45" t="str" cm="1">
        <f t="array" ref="G4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2–3, Prinzipienliste / Prinzip 1 Prohibited AI</v>
      </c>
      <c r="H45" s="7" t="str" cm="1">
        <f t="array" ref="H4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“Prohibited AI”</v>
      </c>
    </row>
    <row r="46" spans="1:8" x14ac:dyDescent="0.25">
      <c r="A46" s="5">
        <v>3</v>
      </c>
      <c r="B46" t="s">
        <v>16</v>
      </c>
      <c r="C46" s="6">
        <f>IF(Tabelle18[[#This Row],[binding_level_company]]&gt;=1,1,0)</f>
        <v>1</v>
      </c>
      <c r="D46" s="6">
        <f>IFERROR(_xlfn.MAXIFS([1]!Tabelle5[binding_level],[1]!Tabelle5[company_id],Tabelle18[[#This Row],[company_id]],[1]!Tabelle5[value_id],Tabelle18[[#This Row],[value_id]],[1]!Tabelle5[value_present],1),0)</f>
        <v>3</v>
      </c>
      <c r="E46" s="6">
        <f>IFERROR(_xlfn.MAXIFS([1]!Tabelle5[value_points],[1]!Tabelle5[company_id],Tabelle18[[#This Row],[company_id]],[1]!Tabelle5[value_id],Tabelle18[[#This Row],[value_id]]),0)</f>
        <v>3</v>
      </c>
      <c r="F4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46" t="str" cm="1">
        <f t="array" ref="G4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3–4, Prinzip 3 und 4</v>
      </c>
      <c r="H46" s="7" t="str" cm="1">
        <f t="array" ref="H4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“state-of-the-art cybersecurity and resilience measures”</v>
      </c>
    </row>
    <row r="47" spans="1:8" x14ac:dyDescent="0.25">
      <c r="A47" s="5">
        <v>3</v>
      </c>
      <c r="B47" t="s">
        <v>17</v>
      </c>
      <c r="C47" s="6">
        <f>IF(Tabelle18[[#This Row],[binding_level_company]]&gt;=1,1,0)</f>
        <v>0</v>
      </c>
      <c r="D47" s="6">
        <f>IFERROR(_xlfn.MAXIFS([1]!Tabelle5[binding_level],[1]!Tabelle5[company_id],Tabelle18[[#This Row],[company_id]],[1]!Tabelle5[value_id],Tabelle18[[#This Row],[value_id]],[1]!Tabelle5[value_present],1),0)</f>
        <v>0</v>
      </c>
      <c r="E47" s="6">
        <f>IFERROR(_xlfn.MAXIFS([1]!Tabelle5[value_points],[1]!Tabelle5[company_id],Tabelle18[[#This Row],[company_id]],[1]!Tabelle5[value_id],Tabelle18[[#This Row],[value_id]]),0)</f>
        <v>0</v>
      </c>
      <c r="F4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" t="str" cm="1">
        <f t="array" ref="G4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" s="7" t="str" cm="1">
        <f t="array" ref="H4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8" spans="1:8" x14ac:dyDescent="0.25">
      <c r="A48" s="5">
        <v>3</v>
      </c>
      <c r="B48" t="s">
        <v>18</v>
      </c>
      <c r="C48" s="6">
        <f>IF(Tabelle18[[#This Row],[binding_level_company]]&gt;=1,1,0)</f>
        <v>1</v>
      </c>
      <c r="D48" s="6">
        <f>IFERROR(_xlfn.MAXIFS([1]!Tabelle5[binding_level],[1]!Tabelle5[company_id],Tabelle18[[#This Row],[company_id]],[1]!Tabelle5[value_id],Tabelle18[[#This Row],[value_id]],[1]!Tabelle5[value_present],1),0)</f>
        <v>1</v>
      </c>
      <c r="E48" s="6">
        <f>IFERROR(_xlfn.MAXIFS([1]!Tabelle5[value_points],[1]!Tabelle5[company_id],Tabelle18[[#This Row],[company_id]],[1]!Tabelle5[value_id],Tabelle18[[#This Row],[value_id]]),0)</f>
        <v>1</v>
      </c>
      <c r="F4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21</v>
      </c>
      <c r="G48" t="str" cm="1">
        <f t="array" ref="G4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Responsible AI can accelerate growth</v>
      </c>
      <c r="H48" s="7" t="str" cm="1">
        <f t="array" ref="H4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“fair, transparent, inclusive and respectful to all stakeholders”</v>
      </c>
    </row>
    <row r="49" spans="1:8" x14ac:dyDescent="0.25">
      <c r="A49" s="5">
        <v>3</v>
      </c>
      <c r="B49" t="s">
        <v>19</v>
      </c>
      <c r="C49" s="6">
        <f>IF(Tabelle18[[#This Row],[binding_level_company]]&gt;=1,1,0)</f>
        <v>1</v>
      </c>
      <c r="D49" s="6">
        <f>IFERROR(_xlfn.MAXIFS([1]!Tabelle5[binding_level],[1]!Tabelle5[company_id],Tabelle18[[#This Row],[company_id]],[1]!Tabelle5[value_id],Tabelle18[[#This Row],[value_id]],[1]!Tabelle5[value_present],1),0)</f>
        <v>1</v>
      </c>
      <c r="E49" s="6">
        <f>IFERROR(_xlfn.MAXIFS([1]!Tabelle5[value_points],[1]!Tabelle5[company_id],Tabelle18[[#This Row],[company_id]],[1]!Tabelle5[value_id],Tabelle18[[#This Row],[value_id]]),0)</f>
        <v>1</v>
      </c>
      <c r="F4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21</v>
      </c>
      <c r="G49" t="str" cm="1">
        <f t="array" ref="G4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1; S. 3</v>
      </c>
      <c r="H49" s="7" t="str" cm="1">
        <f t="array" ref="H4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 can only sustain its growth by respecting environmental, social and governance standards”; “managing the environmental and social impact of AI development”</v>
      </c>
    </row>
    <row r="50" spans="1:8" x14ac:dyDescent="0.25">
      <c r="A50" s="5">
        <v>3</v>
      </c>
      <c r="B50" t="s">
        <v>20</v>
      </c>
      <c r="C50" s="6">
        <f>IF(Tabelle18[[#This Row],[binding_level_company]]&gt;=1,1,0)</f>
        <v>1</v>
      </c>
      <c r="D50" s="6">
        <f>IFERROR(_xlfn.MAXIFS([1]!Tabelle5[binding_level],[1]!Tabelle5[company_id],Tabelle18[[#This Row],[company_id]],[1]!Tabelle5[value_id],Tabelle18[[#This Row],[value_id]],[1]!Tabelle5[value_present],1),0)</f>
        <v>1</v>
      </c>
      <c r="E50" s="6">
        <f>IFERROR(_xlfn.MAXIFS([1]!Tabelle5[value_points],[1]!Tabelle5[company_id],Tabelle18[[#This Row],[company_id]],[1]!Tabelle5[value_id],Tabelle18[[#This Row],[value_id]]),0)</f>
        <v>1</v>
      </c>
      <c r="F5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21</v>
      </c>
      <c r="G50" t="str" cm="1">
        <f t="array" ref="G5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How can these tools be used responsibly? / Our contribution</v>
      </c>
      <c r="H50" s="7" t="str" cm="1">
        <f t="array" ref="H5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“align with human values and serve the public good”</v>
      </c>
    </row>
    <row r="51" spans="1:8" x14ac:dyDescent="0.25">
      <c r="A51" s="5">
        <v>3</v>
      </c>
      <c r="B51" t="s">
        <v>21</v>
      </c>
      <c r="C51" s="6">
        <f>IF(Tabelle18[[#This Row],[binding_level_company]]&gt;=1,1,0)</f>
        <v>1</v>
      </c>
      <c r="D51" s="6">
        <f>IFERROR(_xlfn.MAXIFS([1]!Tabelle5[binding_level],[1]!Tabelle5[company_id],Tabelle18[[#This Row],[company_id]],[1]!Tabelle5[value_id],Tabelle18[[#This Row],[value_id]],[1]!Tabelle5[value_present],1),0)</f>
        <v>2</v>
      </c>
      <c r="E51" s="6">
        <f>IFERROR(_xlfn.MAXIFS([1]!Tabelle5[value_points],[1]!Tabelle5[company_id],Tabelle18[[#This Row],[company_id]],[1]!Tabelle5[value_id],Tabelle18[[#This Row],[value_id]]),0)</f>
        <v>2</v>
      </c>
      <c r="F5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51" t="str" cm="1">
        <f t="array" ref="G5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Prinzipien-Einleitung</v>
      </c>
      <c r="H51" s="7" t="str" cm="1">
        <f t="array" ref="H5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“may only be used in line with applicable laws and Allianz standards”</v>
      </c>
    </row>
    <row r="52" spans="1:8" x14ac:dyDescent="0.25">
      <c r="A52" s="5">
        <v>3</v>
      </c>
      <c r="B52" t="s">
        <v>22</v>
      </c>
      <c r="C52" s="6">
        <f>IF(Tabelle18[[#This Row],[binding_level_company]]&gt;=1,1,0)</f>
        <v>1</v>
      </c>
      <c r="D52" s="6">
        <f>IFERROR(_xlfn.MAXIFS([1]!Tabelle5[binding_level],[1]!Tabelle5[company_id],Tabelle18[[#This Row],[company_id]],[1]!Tabelle5[value_id],Tabelle18[[#This Row],[value_id]],[1]!Tabelle5[value_present],1),0)</f>
        <v>2</v>
      </c>
      <c r="E52" s="6">
        <f>IFERROR(_xlfn.MAXIFS([1]!Tabelle5[value_points],[1]!Tabelle5[company_id],Tabelle18[[#This Row],[company_id]],[1]!Tabelle5[value_id],Tabelle18[[#This Row],[value_id]]),0)</f>
        <v>2</v>
      </c>
      <c r="F5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52" t="str" cm="1">
        <f t="array" ref="G5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Einleitung / RAI approach</v>
      </c>
      <c r="H52" s="7" t="str" cm="1">
        <f t="array" ref="H5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“maintaining the highest standards of integrity and responsibility”</v>
      </c>
    </row>
    <row r="53" spans="1:8" x14ac:dyDescent="0.25">
      <c r="A53" s="5">
        <v>3</v>
      </c>
      <c r="B53" t="s">
        <v>23</v>
      </c>
      <c r="C53" s="6">
        <f>IF(Tabelle18[[#This Row],[binding_level_company]]&gt;=1,1,0)</f>
        <v>1</v>
      </c>
      <c r="D53" s="6">
        <f>IFERROR(_xlfn.MAXIFS([1]!Tabelle5[binding_level],[1]!Tabelle5[company_id],Tabelle18[[#This Row],[company_id]],[1]!Tabelle5[value_id],Tabelle18[[#This Row],[value_id]],[1]!Tabelle5[value_present],1),0)</f>
        <v>2</v>
      </c>
      <c r="E53" s="6">
        <f>IFERROR(_xlfn.MAXIFS([1]!Tabelle5[value_points],[1]!Tabelle5[company_id],Tabelle18[[#This Row],[company_id]],[1]!Tabelle5[value_id],Tabelle18[[#This Row],[value_id]]),0)</f>
        <v>2</v>
      </c>
      <c r="F5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</v>
      </c>
      <c r="G53" t="str" cm="1">
        <f t="array" ref="G5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Prinzip 7 Data Governance</v>
      </c>
      <c r="H53" s="7" t="str" cm="1">
        <f t="array" ref="H5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“data quality has to be ensured”</v>
      </c>
    </row>
    <row r="54" spans="1:8" x14ac:dyDescent="0.25">
      <c r="A54" s="5">
        <v>3</v>
      </c>
      <c r="B54" t="s">
        <v>24</v>
      </c>
      <c r="C54" s="6">
        <f>IF(Tabelle18[[#This Row],[binding_level_company]]&gt;=1,1,0)</f>
        <v>0</v>
      </c>
      <c r="D54" s="6">
        <f>IFERROR(_xlfn.MAXIFS([1]!Tabelle5[binding_level],[1]!Tabelle5[company_id],Tabelle18[[#This Row],[company_id]],[1]!Tabelle5[value_id],Tabelle18[[#This Row],[value_id]],[1]!Tabelle5[value_present],1),0)</f>
        <v>0</v>
      </c>
      <c r="E54" s="6">
        <f>IFERROR(_xlfn.MAXIFS([1]!Tabelle5[value_points],[1]!Tabelle5[company_id],Tabelle18[[#This Row],[company_id]],[1]!Tabelle5[value_id],Tabelle18[[#This Row],[value_id]]),0)</f>
        <v>0</v>
      </c>
      <c r="F5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4" t="str" cm="1">
        <f t="array" ref="G5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4" s="7" t="str" cm="1">
        <f t="array" ref="H5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5" spans="1:8" ht="15.75" thickBot="1" x14ac:dyDescent="0.3">
      <c r="A55" s="8">
        <v>3</v>
      </c>
      <c r="B55" s="9" t="s">
        <v>25</v>
      </c>
      <c r="C55" s="10">
        <f>IF(Tabelle18[[#This Row],[binding_level_company]]&gt;=1,1,0)</f>
        <v>1</v>
      </c>
      <c r="D55" s="10">
        <f>IFERROR(_xlfn.MAXIFS([1]!Tabelle5[binding_level],[1]!Tabelle5[company_id],Tabelle18[[#This Row],[company_id]],[1]!Tabelle5[value_id],Tabelle18[[#This Row],[value_id]],[1]!Tabelle5[value_present],1),0)</f>
        <v>1</v>
      </c>
      <c r="E55" s="10">
        <f>IFERROR(_xlfn.MAXIFS([1]!Tabelle5[value_points],[1]!Tabelle5[company_id],Tabelle18[[#This Row],[company_id]],[1]!Tabelle5[value_id],Tabelle18[[#This Row],[value_id]]),0)</f>
        <v>1</v>
      </c>
      <c r="F55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21</v>
      </c>
      <c r="G55" s="9" t="str" cm="1">
        <f t="array" ref="G5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2–3</v>
      </c>
      <c r="H55" s="11" t="str" cm="1">
        <f t="array" ref="H5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“societal and human rights challenges”; “human rights, data protection and cybersecurity”</v>
      </c>
    </row>
    <row r="56" spans="1:8" x14ac:dyDescent="0.25">
      <c r="A56" s="1">
        <v>4</v>
      </c>
      <c r="B56" s="2" t="s">
        <v>8</v>
      </c>
      <c r="C56" s="3">
        <f>IF(Tabelle18[[#This Row],[binding_level_company]]&gt;=1,1,0)</f>
        <v>1</v>
      </c>
      <c r="D56" s="3">
        <f>IFERROR(_xlfn.MAXIFS([1]!Tabelle5[binding_level],[1]!Tabelle5[company_id],Tabelle18[[#This Row],[company_id]],[1]!Tabelle5[value_id],Tabelle18[[#This Row],[value_id]],[1]!Tabelle5[value_present],1),0)</f>
        <v>2</v>
      </c>
      <c r="E56" s="3">
        <f>IFERROR(_xlfn.MAXIFS([1]!Tabelle5[value_points],[1]!Tabelle5[company_id],Tabelle18[[#This Row],[company_id]],[1]!Tabelle5[value_id],Tabelle18[[#This Row],[value_id]]),0)</f>
        <v>2</v>
      </c>
      <c r="F56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56" s="2" t="str" cm="1">
        <f t="array" ref="G5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Prinzip 3 Accountable</v>
      </c>
      <c r="H56" s="4" t="str" cm="1">
        <f t="array" ref="H5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“subject to human oversight and accountability mechanisms”; “AI is not used to make autonomous decisions that have a material impact on employees”</v>
      </c>
    </row>
    <row r="57" spans="1:8" x14ac:dyDescent="0.25">
      <c r="A57" s="5">
        <v>4</v>
      </c>
      <c r="B57" t="s">
        <v>9</v>
      </c>
      <c r="C57" s="6">
        <f>IF(Tabelle18[[#This Row],[binding_level_company]]&gt;=1,1,0)</f>
        <v>1</v>
      </c>
      <c r="D57" s="6">
        <f>IFERROR(_xlfn.MAXIFS([1]!Tabelle5[binding_level],[1]!Tabelle5[company_id],Tabelle18[[#This Row],[company_id]],[1]!Tabelle5[value_id],Tabelle18[[#This Row],[value_id]],[1]!Tabelle5[value_present],1),0)</f>
        <v>2</v>
      </c>
      <c r="E57" s="6">
        <f>IFERROR(_xlfn.MAXIFS([1]!Tabelle5[value_points],[1]!Tabelle5[company_id],Tabelle18[[#This Row],[company_id]],[1]!Tabelle5[value_id],Tabelle18[[#This Row],[value_id]]),0)</f>
        <v>2</v>
      </c>
      <c r="F5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57" t="str" cm="1">
        <f t="array" ref="G5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1, BASF’s Commitment to Responsible AI; S. 2, Prinzip 3</v>
      </c>
      <c r="H57" s="7" t="str" cm="1">
        <f t="array" ref="H5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“subject to human oversight and accountability mechanisms”; “developing, deploying, and using AI systems ethically and accountably”</v>
      </c>
    </row>
    <row r="58" spans="1:8" x14ac:dyDescent="0.25">
      <c r="A58" s="5">
        <v>4</v>
      </c>
      <c r="B58" t="s">
        <v>10</v>
      </c>
      <c r="C58" s="6">
        <f>IF(Tabelle18[[#This Row],[binding_level_company]]&gt;=1,1,0)</f>
        <v>1</v>
      </c>
      <c r="D58" s="6">
        <f>IFERROR(_xlfn.MAXIFS([1]!Tabelle5[binding_level],[1]!Tabelle5[company_id],Tabelle18[[#This Row],[company_id]],[1]!Tabelle5[value_id],Tabelle18[[#This Row],[value_id]],[1]!Tabelle5[value_present],1),0)</f>
        <v>2</v>
      </c>
      <c r="E58" s="6">
        <f>IFERROR(_xlfn.MAXIFS([1]!Tabelle5[value_points],[1]!Tabelle5[company_id],Tabelle18[[#This Row],[company_id]],[1]!Tabelle5[value_id],Tabelle18[[#This Row],[value_id]]),0)</f>
        <v>2</v>
      </c>
      <c r="F5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58" t="str" cm="1">
        <f t="array" ref="G5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Prinzip 2 Transparent</v>
      </c>
      <c r="H58" s="7" t="str" cm="1">
        <f t="array" ref="H5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“decision-making processes that are comprehensible to stakeholders”</v>
      </c>
    </row>
    <row r="59" spans="1:8" x14ac:dyDescent="0.25">
      <c r="A59" s="5">
        <v>4</v>
      </c>
      <c r="B59" t="s">
        <v>11</v>
      </c>
      <c r="C59" s="6">
        <f>IF(Tabelle18[[#This Row],[binding_level_company]]&gt;=1,1,0)</f>
        <v>0</v>
      </c>
      <c r="D59" s="6">
        <f>IFERROR(_xlfn.MAXIFS([1]!Tabelle5[binding_level],[1]!Tabelle5[company_id],Tabelle18[[#This Row],[company_id]],[1]!Tabelle5[value_id],Tabelle18[[#This Row],[value_id]],[1]!Tabelle5[value_present],1),0)</f>
        <v>0</v>
      </c>
      <c r="E59" s="6">
        <f>IFERROR(_xlfn.MAXIFS([1]!Tabelle5[value_points],[1]!Tabelle5[company_id],Tabelle18[[#This Row],[company_id]],[1]!Tabelle5[value_id],Tabelle18[[#This Row],[value_id]]),0)</f>
        <v>0</v>
      </c>
      <c r="F5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9" t="str" cm="1">
        <f t="array" ref="G5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9" s="7" t="str" cm="1">
        <f t="array" ref="H5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0" spans="1:8" x14ac:dyDescent="0.25">
      <c r="A60" s="5">
        <v>4</v>
      </c>
      <c r="B60" t="s">
        <v>12</v>
      </c>
      <c r="C60" s="6">
        <f>IF(Tabelle18[[#This Row],[binding_level_company]]&gt;=1,1,0)</f>
        <v>1</v>
      </c>
      <c r="D60" s="6">
        <f>IFERROR(_xlfn.MAXIFS([1]!Tabelle5[binding_level],[1]!Tabelle5[company_id],Tabelle18[[#This Row],[company_id]],[1]!Tabelle5[value_id],Tabelle18[[#This Row],[value_id]],[1]!Tabelle5[value_present],1),0)</f>
        <v>2</v>
      </c>
      <c r="E60" s="6">
        <f>IFERROR(_xlfn.MAXIFS([1]!Tabelle5[value_points],[1]!Tabelle5[company_id],Tabelle18[[#This Row],[company_id]],[1]!Tabelle5[value_id],Tabelle18[[#This Row],[value_id]]),0)</f>
        <v>2</v>
      </c>
      <c r="F6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60" t="str" cm="1">
        <f t="array" ref="G6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Prinzip 4 Fair and Unbiased</v>
      </c>
      <c r="H60" s="7" t="str" cm="1">
        <f t="array" ref="H6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“just and equitable for all individuals and groups”</v>
      </c>
    </row>
    <row r="61" spans="1:8" x14ac:dyDescent="0.25">
      <c r="A61" s="5">
        <v>4</v>
      </c>
      <c r="B61" t="s">
        <v>13</v>
      </c>
      <c r="C61" s="6">
        <f>IF(Tabelle18[[#This Row],[binding_level_company]]&gt;=1,1,0)</f>
        <v>1</v>
      </c>
      <c r="D61" s="6">
        <f>IFERROR(_xlfn.MAXIFS([1]!Tabelle5[binding_level],[1]!Tabelle5[company_id],Tabelle18[[#This Row],[company_id]],[1]!Tabelle5[value_id],Tabelle18[[#This Row],[value_id]],[1]!Tabelle5[value_present],1),0)</f>
        <v>2</v>
      </c>
      <c r="E61" s="6">
        <f>IFERROR(_xlfn.MAXIFS([1]!Tabelle5[value_points],[1]!Tabelle5[company_id],Tabelle18[[#This Row],[company_id]],[1]!Tabelle5[value_id],Tabelle18[[#This Row],[value_id]]),0)</f>
        <v>2</v>
      </c>
      <c r="F6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61" t="str" cm="1">
        <f t="array" ref="G6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Prinzip 6 Privacy Preserving</v>
      </c>
      <c r="H61" s="7" t="str" cm="1">
        <f t="array" ref="H6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“essential human right of an individual's privacy throughout the entire life cycle”</v>
      </c>
    </row>
    <row r="62" spans="1:8" x14ac:dyDescent="0.25">
      <c r="A62" s="5">
        <v>4</v>
      </c>
      <c r="B62" t="s">
        <v>14</v>
      </c>
      <c r="C62" s="6">
        <f>IF(Tabelle18[[#This Row],[binding_level_company]]&gt;=1,1,0)</f>
        <v>1</v>
      </c>
      <c r="D62" s="6">
        <f>IFERROR(_xlfn.MAXIFS([1]!Tabelle5[binding_level],[1]!Tabelle5[company_id],Tabelle18[[#This Row],[company_id]],[1]!Tabelle5[value_id],Tabelle18[[#This Row],[value_id]],[1]!Tabelle5[value_present],1),0)</f>
        <v>2</v>
      </c>
      <c r="E62" s="6">
        <f>IFERROR(_xlfn.MAXIFS([1]!Tabelle5[value_points],[1]!Tabelle5[company_id],Tabelle18[[#This Row],[company_id]],[1]!Tabelle5[value_id],Tabelle18[[#This Row],[value_id]]),0)</f>
        <v>2</v>
      </c>
      <c r="F6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62" t="str" cm="1">
        <f t="array" ref="G6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Prinzip 5 Secure</v>
      </c>
      <c r="H62" s="7" t="str" cm="1">
        <f t="array" ref="H6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“integrity, confidentiality, availability and authenticity”</v>
      </c>
    </row>
    <row r="63" spans="1:8" x14ac:dyDescent="0.25">
      <c r="A63" s="5">
        <v>4</v>
      </c>
      <c r="B63" t="s">
        <v>15</v>
      </c>
      <c r="C63" s="6">
        <f>IF(Tabelle18[[#This Row],[binding_level_company]]&gt;=1,1,0)</f>
        <v>1</v>
      </c>
      <c r="D63" s="6">
        <f>IFERROR(_xlfn.MAXIFS([1]!Tabelle5[binding_level],[1]!Tabelle5[company_id],Tabelle18[[#This Row],[company_id]],[1]!Tabelle5[value_id],Tabelle18[[#This Row],[value_id]],[1]!Tabelle5[value_present],1),0)</f>
        <v>2</v>
      </c>
      <c r="E63" s="6">
        <f>IFERROR(_xlfn.MAXIFS([1]!Tabelle5[value_points],[1]!Tabelle5[company_id],Tabelle18[[#This Row],[company_id]],[1]!Tabelle5[value_id],Tabelle18[[#This Row],[value_id]]),0)</f>
        <v>2</v>
      </c>
      <c r="F6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63" t="str" cm="1">
        <f t="array" ref="G6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1; S. 2, Prinzip 1 und 7</v>
      </c>
      <c r="H63" s="7" t="str" cm="1">
        <f t="array" ref="H6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“strictly prohibiting AI in applications related to ‘Prohibited Practices’”; “prioritizing the well-being and safety of individuals and communities”; “focus on reliability, accuracy, and safety”</v>
      </c>
    </row>
    <row r="64" spans="1:8" x14ac:dyDescent="0.25">
      <c r="A64" s="5">
        <v>4</v>
      </c>
      <c r="B64" t="s">
        <v>16</v>
      </c>
      <c r="C64" s="6">
        <f>IF(Tabelle18[[#This Row],[binding_level_company]]&gt;=1,1,0)</f>
        <v>1</v>
      </c>
      <c r="D64" s="6">
        <f>IFERROR(_xlfn.MAXIFS([1]!Tabelle5[binding_level],[1]!Tabelle5[company_id],Tabelle18[[#This Row],[company_id]],[1]!Tabelle5[value_id],Tabelle18[[#This Row],[value_id]],[1]!Tabelle5[value_present],1),0)</f>
        <v>2</v>
      </c>
      <c r="E64" s="6">
        <f>IFERROR(_xlfn.MAXIFS([1]!Tabelle5[value_points],[1]!Tabelle5[company_id],Tabelle18[[#This Row],[company_id]],[1]!Tabelle5[value_id],Tabelle18[[#This Row],[value_id]]),0)</f>
        <v>2</v>
      </c>
      <c r="F6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64" t="str" cm="1">
        <f t="array" ref="G6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Prinzip 7 Robust &amp; Safe</v>
      </c>
      <c r="H64" s="7" t="str" cm="1">
        <f t="array" ref="H6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“focus on reliability, accuracy, and safety”</v>
      </c>
    </row>
    <row r="65" spans="1:8" x14ac:dyDescent="0.25">
      <c r="A65" s="5">
        <v>4</v>
      </c>
      <c r="B65" t="s">
        <v>17</v>
      </c>
      <c r="C65" s="6">
        <f>IF(Tabelle18[[#This Row],[binding_level_company]]&gt;=1,1,0)</f>
        <v>0</v>
      </c>
      <c r="D65" s="6">
        <f>IFERROR(_xlfn.MAXIFS([1]!Tabelle5[binding_level],[1]!Tabelle5[company_id],Tabelle18[[#This Row],[company_id]],[1]!Tabelle5[value_id],Tabelle18[[#This Row],[value_id]],[1]!Tabelle5[value_present],1),0)</f>
        <v>0</v>
      </c>
      <c r="E65" s="6">
        <f>IFERROR(_xlfn.MAXIFS([1]!Tabelle5[value_points],[1]!Tabelle5[company_id],Tabelle18[[#This Row],[company_id]],[1]!Tabelle5[value_id],Tabelle18[[#This Row],[value_id]]),0)</f>
        <v>0</v>
      </c>
      <c r="F6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" t="str" cm="1">
        <f t="array" ref="G6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" s="7" t="str" cm="1">
        <f t="array" ref="H6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" spans="1:8" x14ac:dyDescent="0.25">
      <c r="A66" s="5">
        <v>4</v>
      </c>
      <c r="B66" t="s">
        <v>18</v>
      </c>
      <c r="C66" s="6">
        <f>IF(Tabelle18[[#This Row],[binding_level_company]]&gt;=1,1,0)</f>
        <v>1</v>
      </c>
      <c r="D66" s="6">
        <f>IFERROR(_xlfn.MAXIFS([1]!Tabelle5[binding_level],[1]!Tabelle5[company_id],Tabelle18[[#This Row],[company_id]],[1]!Tabelle5[value_id],Tabelle18[[#This Row],[value_id]],[1]!Tabelle5[value_present],1),0)</f>
        <v>2</v>
      </c>
      <c r="E66" s="6">
        <f>IFERROR(_xlfn.MAXIFS([1]!Tabelle5[value_points],[1]!Tabelle5[company_id],Tabelle18[[#This Row],[company_id]],[1]!Tabelle5[value_id],Tabelle18[[#This Row],[value_id]]),0)</f>
        <v>2</v>
      </c>
      <c r="F6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</v>
      </c>
      <c r="G66" t="str" cm="1">
        <f t="array" ref="G6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49, Digital responsibility</v>
      </c>
      <c r="H66" s="7" t="str" cm="1">
        <f t="array" ref="H6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“using them inclusively, to empower our employees, customers and other stakeholders”</v>
      </c>
    </row>
    <row r="67" spans="1:8" x14ac:dyDescent="0.25">
      <c r="A67" s="5">
        <v>4</v>
      </c>
      <c r="B67" t="s">
        <v>19</v>
      </c>
      <c r="C67" s="6">
        <f>IF(Tabelle18[[#This Row],[binding_level_company]]&gt;=1,1,0)</f>
        <v>0</v>
      </c>
      <c r="D67" s="6">
        <f>IFERROR(_xlfn.MAXIFS([1]!Tabelle5[binding_level],[1]!Tabelle5[company_id],Tabelle18[[#This Row],[company_id]],[1]!Tabelle5[value_id],Tabelle18[[#This Row],[value_id]],[1]!Tabelle5[value_present],1),0)</f>
        <v>0</v>
      </c>
      <c r="E67" s="6">
        <f>IFERROR(_xlfn.MAXIFS([1]!Tabelle5[value_points],[1]!Tabelle5[company_id],Tabelle18[[#This Row],[company_id]],[1]!Tabelle5[value_id],Tabelle18[[#This Row],[value_id]]),0)</f>
        <v>0</v>
      </c>
      <c r="F6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7" t="str" cm="1">
        <f t="array" ref="G6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7" s="7" t="str" cm="1">
        <f t="array" ref="H6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" spans="1:8" x14ac:dyDescent="0.25">
      <c r="A68" s="5">
        <v>4</v>
      </c>
      <c r="B68" t="s">
        <v>20</v>
      </c>
      <c r="C68" s="6">
        <f>IF(Tabelle18[[#This Row],[binding_level_company]]&gt;=1,1,0)</f>
        <v>1</v>
      </c>
      <c r="D68" s="6">
        <f>IFERROR(_xlfn.MAXIFS([1]!Tabelle5[binding_level],[1]!Tabelle5[company_id],Tabelle18[[#This Row],[company_id]],[1]!Tabelle5[value_id],Tabelle18[[#This Row],[value_id]],[1]!Tabelle5[value_present],1),0)</f>
        <v>1</v>
      </c>
      <c r="E68" s="6">
        <f>IFERROR(_xlfn.MAXIFS([1]!Tabelle5[value_points],[1]!Tabelle5[company_id],Tabelle18[[#This Row],[company_id]],[1]!Tabelle5[value_id],Tabelle18[[#This Row],[value_id]]),0)</f>
        <v>1</v>
      </c>
      <c r="F6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</v>
      </c>
      <c r="G68" t="str" cm="1">
        <f t="array" ref="G6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49, Digital responsibility</v>
      </c>
      <c r="H68" s="7" t="str" cm="1">
        <f t="array" ref="H6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“to empower our employees, customers and other stakeholders”</v>
      </c>
    </row>
    <row r="69" spans="1:8" x14ac:dyDescent="0.25">
      <c r="A69" s="5">
        <v>4</v>
      </c>
      <c r="B69" t="s">
        <v>21</v>
      </c>
      <c r="C69" s="6">
        <f>IF(Tabelle18[[#This Row],[binding_level_company]]&gt;=1,1,0)</f>
        <v>1</v>
      </c>
      <c r="D69" s="6">
        <f>IFERROR(_xlfn.MAXIFS([1]!Tabelle5[binding_level],[1]!Tabelle5[company_id],Tabelle18[[#This Row],[company_id]],[1]!Tabelle5[value_id],Tabelle18[[#This Row],[value_id]],[1]!Tabelle5[value_present],1),0)</f>
        <v>2</v>
      </c>
      <c r="E69" s="6">
        <f>IFERROR(_xlfn.MAXIFS([1]!Tabelle5[value_points],[1]!Tabelle5[company_id],Tabelle18[[#This Row],[company_id]],[1]!Tabelle5[value_id],Tabelle18[[#This Row],[value_id]]),0)</f>
        <v>2</v>
      </c>
      <c r="F6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69" t="str" cm="1">
        <f t="array" ref="G6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1, BASF’s Commitment to Responsible AI</v>
      </c>
      <c r="H69" s="7" t="str" cm="1">
        <f t="array" ref="H6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“strictly prohibiting AI in applications related to ‘Prohibited Practices’”</v>
      </c>
    </row>
    <row r="70" spans="1:8" x14ac:dyDescent="0.25">
      <c r="A70" s="5">
        <v>4</v>
      </c>
      <c r="B70" t="s">
        <v>22</v>
      </c>
      <c r="C70" s="6">
        <f>IF(Tabelle18[[#This Row],[binding_level_company]]&gt;=1,1,0)</f>
        <v>1</v>
      </c>
      <c r="D70" s="6">
        <f>IFERROR(_xlfn.MAXIFS([1]!Tabelle5[binding_level],[1]!Tabelle5[company_id],Tabelle18[[#This Row],[company_id]],[1]!Tabelle5[value_id],Tabelle18[[#This Row],[value_id]],[1]!Tabelle5[value_present],1),0)</f>
        <v>2</v>
      </c>
      <c r="E70" s="6">
        <f>IFERROR(_xlfn.MAXIFS([1]!Tabelle5[value_points],[1]!Tabelle5[company_id],Tabelle18[[#This Row],[company_id]],[1]!Tabelle5[value_id],Tabelle18[[#This Row],[value_id]]),0)</f>
        <v>2</v>
      </c>
      <c r="F7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70" t="str" cm="1">
        <f t="array" ref="G7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1–2</v>
      </c>
      <c r="H70" s="7" t="str" cm="1">
        <f t="array" ref="H7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“developing, deploying, and using AI systems ethically and accountably”; “prioritizing the well-being and safety of individuals and communities”</v>
      </c>
    </row>
    <row r="71" spans="1:8" x14ac:dyDescent="0.25">
      <c r="A71" s="5">
        <v>4</v>
      </c>
      <c r="B71" t="s">
        <v>23</v>
      </c>
      <c r="C71" s="6">
        <f>IF(Tabelle18[[#This Row],[binding_level_company]]&gt;=1,1,0)</f>
        <v>1</v>
      </c>
      <c r="D71" s="6">
        <f>IFERROR(_xlfn.MAXIFS([1]!Tabelle5[binding_level],[1]!Tabelle5[company_id],Tabelle18[[#This Row],[company_id]],[1]!Tabelle5[value_id],Tabelle18[[#This Row],[value_id]],[1]!Tabelle5[value_present],1),0)</f>
        <v>1</v>
      </c>
      <c r="E71" s="6">
        <f>IFERROR(_xlfn.MAXIFS([1]!Tabelle5[value_points],[1]!Tabelle5[company_id],Tabelle18[[#This Row],[company_id]],[1]!Tabelle5[value_id],Tabelle18[[#This Row],[value_id]]),0)</f>
        <v>1</v>
      </c>
      <c r="F7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71" t="str" cm="1">
        <f t="array" ref="G7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1, Einleitung</v>
      </c>
      <c r="H71" s="7" t="str" cm="1">
        <f t="array" ref="H7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focus on strong data and AI governance”</v>
      </c>
    </row>
    <row r="72" spans="1:8" x14ac:dyDescent="0.25">
      <c r="A72" s="5">
        <v>4</v>
      </c>
      <c r="B72" t="s">
        <v>24</v>
      </c>
      <c r="C72" s="6">
        <f>IF(Tabelle18[[#This Row],[binding_level_company]]&gt;=1,1,0)</f>
        <v>0</v>
      </c>
      <c r="D72" s="6">
        <f>IFERROR(_xlfn.MAXIFS([1]!Tabelle5[binding_level],[1]!Tabelle5[company_id],Tabelle18[[#This Row],[company_id]],[1]!Tabelle5[value_id],Tabelle18[[#This Row],[value_id]],[1]!Tabelle5[value_present],1),0)</f>
        <v>0</v>
      </c>
      <c r="E72" s="6">
        <f>IFERROR(_xlfn.MAXIFS([1]!Tabelle5[value_points],[1]!Tabelle5[company_id],Tabelle18[[#This Row],[company_id]],[1]!Tabelle5[value_id],Tabelle18[[#This Row],[value_id]]),0)</f>
        <v>0</v>
      </c>
      <c r="F7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2" t="str" cm="1">
        <f t="array" ref="G7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2" s="7" t="str" cm="1">
        <f t="array" ref="H7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3" spans="1:8" ht="15.75" thickBot="1" x14ac:dyDescent="0.3">
      <c r="A73" s="8">
        <v>4</v>
      </c>
      <c r="B73" s="9" t="s">
        <v>25</v>
      </c>
      <c r="C73" s="10">
        <f>IF(Tabelle18[[#This Row],[binding_level_company]]&gt;=1,1,0)</f>
        <v>1</v>
      </c>
      <c r="D73" s="10">
        <f>IFERROR(_xlfn.MAXIFS([1]!Tabelle5[binding_level],[1]!Tabelle5[company_id],Tabelle18[[#This Row],[company_id]],[1]!Tabelle5[value_id],Tabelle18[[#This Row],[value_id]],[1]!Tabelle5[value_present],1),0)</f>
        <v>2</v>
      </c>
      <c r="E73" s="10">
        <f>IFERROR(_xlfn.MAXIFS([1]!Tabelle5[value_points],[1]!Tabelle5[company_id],Tabelle18[[#This Row],[company_id]],[1]!Tabelle5[value_id],Tabelle18[[#This Row],[value_id]]),0)</f>
        <v>2</v>
      </c>
      <c r="F73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</v>
      </c>
      <c r="G73" s="9" t="str" cm="1">
        <f t="array" ref="G7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Prinzip 1 und 6</v>
      </c>
      <c r="H73" s="11" t="str" cm="1">
        <f t="array" ref="H7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“essential human right of an individual's privacy throughout the entire life cycle”; “prioritizing the well-being and safety of individuals and communities”</v>
      </c>
    </row>
    <row r="74" spans="1:8" x14ac:dyDescent="0.25">
      <c r="A74" s="1">
        <v>5</v>
      </c>
      <c r="B74" s="2" t="s">
        <v>8</v>
      </c>
      <c r="C74" s="3">
        <f>IF(Tabelle18[[#This Row],[binding_level_company]]&gt;=1,1,0)</f>
        <v>1</v>
      </c>
      <c r="D74" s="3">
        <f>IFERROR(_xlfn.MAXIFS([1]!Tabelle5[binding_level],[1]!Tabelle5[company_id],Tabelle18[[#This Row],[company_id]],[1]!Tabelle5[value_id],Tabelle18[[#This Row],[value_id]],[1]!Tabelle5[value_present],1),0)</f>
        <v>3</v>
      </c>
      <c r="E74" s="3">
        <f>IFERROR(_xlfn.MAXIFS([1]!Tabelle5[value_points],[1]!Tabelle5[company_id],Tabelle18[[#This Row],[company_id]],[1]!Tabelle5[value_id],Tabelle18[[#This Row],[value_id]]),0)</f>
        <v>3</v>
      </c>
      <c r="F74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30</v>
      </c>
      <c r="G74" s="2" t="str" cm="1">
        <f t="array" ref="G7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 „Much-needed Treatments“; S. 8 „Powered by People“</v>
      </c>
      <c r="H74" s="4" t="str" cm="1">
        <f t="array" ref="H7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“validated by human review”; “AI is a complementary tool rather than a replacement for human judgment.”</v>
      </c>
    </row>
    <row r="75" spans="1:8" x14ac:dyDescent="0.25">
      <c r="A75" s="5">
        <v>5</v>
      </c>
      <c r="B75" t="s">
        <v>9</v>
      </c>
      <c r="C75" s="6">
        <f>IF(Tabelle18[[#This Row],[binding_level_company]]&gt;=1,1,0)</f>
        <v>1</v>
      </c>
      <c r="D75" s="6">
        <f>IFERROR(_xlfn.MAXIFS([1]!Tabelle5[binding_level],[1]!Tabelle5[company_id],Tabelle18[[#This Row],[company_id]],[1]!Tabelle5[value_id],Tabelle18[[#This Row],[value_id]],[1]!Tabelle5[value_present],1),0)</f>
        <v>2</v>
      </c>
      <c r="E75" s="6">
        <f>IFERROR(_xlfn.MAXIFS([1]!Tabelle5[value_points],[1]!Tabelle5[company_id],Tabelle18[[#This Row],[company_id]],[1]!Tabelle5[value_id],Tabelle18[[#This Row],[value_id]]),0)</f>
        <v>2</v>
      </c>
      <c r="F7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28</v>
      </c>
      <c r="G75" t="str" cm="1">
        <f t="array" ref="G7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 Regel 5; S. 1–2 Fußzeile/Kopfbereich</v>
      </c>
      <c r="H75" s="7" t="str" cm="1">
        <f t="array" ref="H7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“Critically assess output to the best of your knowledge”</v>
      </c>
    </row>
    <row r="76" spans="1:8" x14ac:dyDescent="0.25">
      <c r="A76" s="5">
        <v>5</v>
      </c>
      <c r="B76" t="s">
        <v>10</v>
      </c>
      <c r="C76" s="6">
        <f>IF(Tabelle18[[#This Row],[binding_level_company]]&gt;=1,1,0)</f>
        <v>1</v>
      </c>
      <c r="D76" s="6">
        <f>IFERROR(_xlfn.MAXIFS([1]!Tabelle5[binding_level],[1]!Tabelle5[company_id],Tabelle18[[#This Row],[company_id]],[1]!Tabelle5[value_id],Tabelle18[[#This Row],[value_id]],[1]!Tabelle5[value_present],1),0)</f>
        <v>2</v>
      </c>
      <c r="E76" s="6">
        <f>IFERROR(_xlfn.MAXIFS([1]!Tabelle5[value_points],[1]!Tabelle5[company_id],Tabelle18[[#This Row],[company_id]],[1]!Tabelle5[value_id],Tabelle18[[#This Row],[value_id]]),0)</f>
        <v>2</v>
      </c>
      <c r="F7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28</v>
      </c>
      <c r="G76" t="str" cm="1">
        <f t="array" ref="G7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1, Follow best practices</v>
      </c>
      <c r="H76" s="7" t="str" cm="1">
        <f t="array" ref="H7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“Be transparent that a genAI tool was used in your work”</v>
      </c>
    </row>
    <row r="77" spans="1:8" x14ac:dyDescent="0.25">
      <c r="A77" s="5">
        <v>5</v>
      </c>
      <c r="B77" t="s">
        <v>11</v>
      </c>
      <c r="C77" s="6">
        <f>IF(Tabelle18[[#This Row],[binding_level_company]]&gt;=1,1,0)</f>
        <v>0</v>
      </c>
      <c r="D77" s="6">
        <f>IFERROR(_xlfn.MAXIFS([1]!Tabelle5[binding_level],[1]!Tabelle5[company_id],Tabelle18[[#This Row],[company_id]],[1]!Tabelle5[value_id],Tabelle18[[#This Row],[value_id]],[1]!Tabelle5[value_present],1),0)</f>
        <v>0</v>
      </c>
      <c r="E77" s="6">
        <f>IFERROR(_xlfn.MAXIFS([1]!Tabelle5[value_points],[1]!Tabelle5[company_id],Tabelle18[[#This Row],[company_id]],[1]!Tabelle5[value_id],Tabelle18[[#This Row],[value_id]]),0)</f>
        <v>0</v>
      </c>
      <c r="F7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7" t="str" cm="1">
        <f t="array" ref="G7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7" s="7" t="str" cm="1">
        <f t="array" ref="H7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8" spans="1:8" x14ac:dyDescent="0.25">
      <c r="A78" s="5">
        <v>5</v>
      </c>
      <c r="B78" t="s">
        <v>12</v>
      </c>
      <c r="C78" s="6">
        <f>IF(Tabelle18[[#This Row],[binding_level_company]]&gt;=1,1,0)</f>
        <v>1</v>
      </c>
      <c r="D78" s="6">
        <f>IFERROR(_xlfn.MAXIFS([1]!Tabelle5[binding_level],[1]!Tabelle5[company_id],Tabelle18[[#This Row],[company_id]],[1]!Tabelle5[value_id],Tabelle18[[#This Row],[value_id]],[1]!Tabelle5[value_present],1),0)</f>
        <v>2</v>
      </c>
      <c r="E78" s="6">
        <f>IFERROR(_xlfn.MAXIFS([1]!Tabelle5[value_points],[1]!Tabelle5[company_id],Tabelle18[[#This Row],[company_id]],[1]!Tabelle5[value_id],Tabelle18[[#This Row],[value_id]]),0)</f>
        <v>2</v>
      </c>
      <c r="F7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27</v>
      </c>
      <c r="G78" t="str" cm="1">
        <f t="array" ref="G7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</v>
      </c>
      <c r="H78" s="7" t="str" cm="1">
        <f t="array" ref="H7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“fairness”</v>
      </c>
    </row>
    <row r="79" spans="1:8" x14ac:dyDescent="0.25">
      <c r="A79" s="5">
        <v>5</v>
      </c>
      <c r="B79" t="s">
        <v>13</v>
      </c>
      <c r="C79" s="6">
        <f>IF(Tabelle18[[#This Row],[binding_level_company]]&gt;=1,1,0)</f>
        <v>1</v>
      </c>
      <c r="D79" s="6">
        <f>IFERROR(_xlfn.MAXIFS([1]!Tabelle5[binding_level],[1]!Tabelle5[company_id],Tabelle18[[#This Row],[company_id]],[1]!Tabelle5[value_id],Tabelle18[[#This Row],[value_id]],[1]!Tabelle5[value_present],1),0)</f>
        <v>3</v>
      </c>
      <c r="E79" s="6">
        <f>IFERROR(_xlfn.MAXIFS([1]!Tabelle5[value_points],[1]!Tabelle5[company_id],Tabelle18[[#This Row],[company_id]],[1]!Tabelle5[value_id],Tabelle18[[#This Row],[value_id]]),0)</f>
        <v>3</v>
      </c>
      <c r="F7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28</v>
      </c>
      <c r="G79" t="str" cm="1">
        <f t="array" ref="G7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 Regel 1; S. 2 Data Privacy Rules/Examples</v>
      </c>
      <c r="H79" s="7" t="str" cm="1">
        <f t="array" ref="H7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“Do not enter personal data nor use any personal data provided as output.”;“Obtain a prior data privacy assessment when using AI for HR-related purposes”;“Examples where prior data privacy assessment is required”</v>
      </c>
    </row>
    <row r="80" spans="1:8" x14ac:dyDescent="0.25">
      <c r="A80" s="5">
        <v>5</v>
      </c>
      <c r="B80" t="s">
        <v>14</v>
      </c>
      <c r="C80" s="6">
        <f>IF(Tabelle18[[#This Row],[binding_level_company]]&gt;=1,1,0)</f>
        <v>1</v>
      </c>
      <c r="D80" s="6">
        <f>IFERROR(_xlfn.MAXIFS([1]!Tabelle5[binding_level],[1]!Tabelle5[company_id],Tabelle18[[#This Row],[company_id]],[1]!Tabelle5[value_id],Tabelle18[[#This Row],[value_id]],[1]!Tabelle5[value_present],1),0)</f>
        <v>1</v>
      </c>
      <c r="E80" s="6">
        <f>IFERROR(_xlfn.MAXIFS([1]!Tabelle5[value_points],[1]!Tabelle5[company_id],Tabelle18[[#This Row],[company_id]],[1]!Tabelle5[value_id],Tabelle18[[#This Row],[value_id]]),0)</f>
        <v>1</v>
      </c>
      <c r="F8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31</v>
      </c>
      <c r="G80" t="str" cm="1">
        <f t="array" ref="G8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Antwort Jagat</v>
      </c>
      <c r="H80" s="7" t="str" cm="1">
        <f t="array" ref="H8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“implemented specific technical measures to secure the data”</v>
      </c>
    </row>
    <row r="81" spans="1:8" x14ac:dyDescent="0.25">
      <c r="A81" s="5">
        <v>5</v>
      </c>
      <c r="B81" t="s">
        <v>15</v>
      </c>
      <c r="C81" s="6">
        <f>IF(Tabelle18[[#This Row],[binding_level_company]]&gt;=1,1,0)</f>
        <v>1</v>
      </c>
      <c r="D81" s="6">
        <f>IFERROR(_xlfn.MAXIFS([1]!Tabelle5[binding_level],[1]!Tabelle5[company_id],Tabelle18[[#This Row],[company_id]],[1]!Tabelle5[value_id],Tabelle18[[#This Row],[value_id]],[1]!Tabelle5[value_present],1),0)</f>
        <v>2</v>
      </c>
      <c r="E81" s="6">
        <f>IFERROR(_xlfn.MAXIFS([1]!Tabelle5[value_points],[1]!Tabelle5[company_id],Tabelle18[[#This Row],[company_id]],[1]!Tabelle5[value_id],Tabelle18[[#This Row],[value_id]]),0)</f>
        <v>2</v>
      </c>
      <c r="F8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28</v>
      </c>
      <c r="G81" t="str" cm="1">
        <f t="array" ref="G8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 Regeln 4 und 6</v>
      </c>
      <c r="H81" s="7" t="str" cm="1">
        <f t="array" ref="H8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“Do not use material potentially protected by personality rights in your prompt.”; “Do not use output as the sole basis for critical decisions”</v>
      </c>
    </row>
    <row r="82" spans="1:8" x14ac:dyDescent="0.25">
      <c r="A82" s="5">
        <v>5</v>
      </c>
      <c r="B82" t="s">
        <v>16</v>
      </c>
      <c r="C82" s="6">
        <f>IF(Tabelle18[[#This Row],[binding_level_company]]&gt;=1,1,0)</f>
        <v>1</v>
      </c>
      <c r="D82" s="6">
        <f>IFERROR(_xlfn.MAXIFS([1]!Tabelle5[binding_level],[1]!Tabelle5[company_id],Tabelle18[[#This Row],[company_id]],[1]!Tabelle5[value_id],Tabelle18[[#This Row],[value_id]],[1]!Tabelle5[value_present],1),0)</f>
        <v>3</v>
      </c>
      <c r="E82" s="6">
        <f>IFERROR(_xlfn.MAXIFS([1]!Tabelle5[value_points],[1]!Tabelle5[company_id],Tabelle18[[#This Row],[company_id]],[1]!Tabelle5[value_id],Tabelle18[[#This Row],[value_id]]),0)</f>
        <v>3</v>
      </c>
      <c r="F8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30</v>
      </c>
      <c r="G82" t="str" cm="1">
        <f t="array" ref="G8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 „Much-needed Treatments“</v>
      </c>
      <c r="H82" s="7" t="str" cm="1">
        <f t="array" ref="H8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“validated by human review”</v>
      </c>
    </row>
    <row r="83" spans="1:8" x14ac:dyDescent="0.25">
      <c r="A83" s="5">
        <v>5</v>
      </c>
      <c r="B83" t="s">
        <v>17</v>
      </c>
      <c r="C83" s="6">
        <f>IF(Tabelle18[[#This Row],[binding_level_company]]&gt;=1,1,0)</f>
        <v>0</v>
      </c>
      <c r="D83" s="6">
        <f>IFERROR(_xlfn.MAXIFS([1]!Tabelle5[binding_level],[1]!Tabelle5[company_id],Tabelle18[[#This Row],[company_id]],[1]!Tabelle5[value_id],Tabelle18[[#This Row],[value_id]],[1]!Tabelle5[value_present],1),0)</f>
        <v>0</v>
      </c>
      <c r="E83" s="6">
        <f>IFERROR(_xlfn.MAXIFS([1]!Tabelle5[value_points],[1]!Tabelle5[company_id],Tabelle18[[#This Row],[company_id]],[1]!Tabelle5[value_id],Tabelle18[[#This Row],[value_id]]),0)</f>
        <v>0</v>
      </c>
      <c r="F8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83" t="str" cm="1">
        <f t="array" ref="G8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83" s="7" t="str" cm="1">
        <f t="array" ref="H8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84" spans="1:8" x14ac:dyDescent="0.25">
      <c r="A84" s="5">
        <v>5</v>
      </c>
      <c r="B84" t="s">
        <v>18</v>
      </c>
      <c r="C84" s="6">
        <f>IF(Tabelle18[[#This Row],[binding_level_company]]&gt;=1,1,0)</f>
        <v>1</v>
      </c>
      <c r="D84" s="6">
        <f>IFERROR(_xlfn.MAXIFS([1]!Tabelle5[binding_level],[1]!Tabelle5[company_id],Tabelle18[[#This Row],[company_id]],[1]!Tabelle5[value_id],Tabelle18[[#This Row],[value_id]],[1]!Tabelle5[value_present],1),0)</f>
        <v>1</v>
      </c>
      <c r="E84" s="6">
        <f>IFERROR(_xlfn.MAXIFS([1]!Tabelle5[value_points],[1]!Tabelle5[company_id],Tabelle18[[#This Row],[company_id]],[1]!Tabelle5[value_id],Tabelle18[[#This Row],[value_id]]),0)</f>
        <v>1</v>
      </c>
      <c r="F8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31</v>
      </c>
      <c r="G84" t="str" cm="1">
        <f t="array" ref="G8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2–3</v>
      </c>
      <c r="H84" s="7" t="str" cm="1">
        <f t="array" ref="H8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“do not disproportionally affect already disadvantaged or vulnerable groups”; “ensuring their accessibility to as many people as possible”</v>
      </c>
    </row>
    <row r="85" spans="1:8" x14ac:dyDescent="0.25">
      <c r="A85" s="5">
        <v>5</v>
      </c>
      <c r="B85" t="s">
        <v>19</v>
      </c>
      <c r="C85" s="6">
        <f>IF(Tabelle18[[#This Row],[binding_level_company]]&gt;=1,1,0)</f>
        <v>1</v>
      </c>
      <c r="D85" s="6">
        <f>IFERROR(_xlfn.MAXIFS([1]!Tabelle5[binding_level],[1]!Tabelle5[company_id],Tabelle18[[#This Row],[company_id]],[1]!Tabelle5[value_id],Tabelle18[[#This Row],[value_id]],[1]!Tabelle5[value_present],1),0)</f>
        <v>1</v>
      </c>
      <c r="E85" s="6">
        <f>IFERROR(_xlfn.MAXIFS([1]!Tabelle5[value_points],[1]!Tabelle5[company_id],Tabelle18[[#This Row],[company_id]],[1]!Tabelle5[value_id],Tabelle18[[#This Row],[value_id]]),0)</f>
        <v>1</v>
      </c>
      <c r="F8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30</v>
      </c>
      <c r="G85" t="str" cm="1">
        <f t="array" ref="G8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„Data-driven Decisions“</v>
      </c>
      <c r="H85" s="7" t="str" cm="1">
        <f t="array" ref="H8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“more sustainable farming practices”</v>
      </c>
    </row>
    <row r="86" spans="1:8" x14ac:dyDescent="0.25">
      <c r="A86" s="5">
        <v>5</v>
      </c>
      <c r="B86" t="s">
        <v>20</v>
      </c>
      <c r="C86" s="6">
        <f>IF(Tabelle18[[#This Row],[binding_level_company]]&gt;=1,1,0)</f>
        <v>1</v>
      </c>
      <c r="D86" s="6">
        <f>IFERROR(_xlfn.MAXIFS([1]!Tabelle5[binding_level],[1]!Tabelle5[company_id],Tabelle18[[#This Row],[company_id]],[1]!Tabelle5[value_id],Tabelle18[[#This Row],[value_id]],[1]!Tabelle5[value_present],1),0)</f>
        <v>1</v>
      </c>
      <c r="E86" s="6">
        <f>IFERROR(_xlfn.MAXIFS([1]!Tabelle5[value_points],[1]!Tabelle5[company_id],Tabelle18[[#This Row],[company_id]],[1]!Tabelle5[value_id],Tabelle18[[#This Row],[value_id]]),0)</f>
        <v>1</v>
      </c>
      <c r="F8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27</v>
      </c>
      <c r="G86" t="str" cm="1">
        <f t="array" ref="G8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</v>
      </c>
      <c r="H86" s="7" t="str" cm="1">
        <f t="array" ref="H8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“promote individual and collective wellbeing”</v>
      </c>
    </row>
    <row r="87" spans="1:8" x14ac:dyDescent="0.25">
      <c r="A87" s="5">
        <v>5</v>
      </c>
      <c r="B87" t="s">
        <v>21</v>
      </c>
      <c r="C87" s="6">
        <f>IF(Tabelle18[[#This Row],[binding_level_company]]&gt;=1,1,0)</f>
        <v>1</v>
      </c>
      <c r="D87" s="6">
        <f>IFERROR(_xlfn.MAXIFS([1]!Tabelle5[binding_level],[1]!Tabelle5[company_id],Tabelle18[[#This Row],[company_id]],[1]!Tabelle5[value_id],Tabelle18[[#This Row],[value_id]],[1]!Tabelle5[value_present],1),0)</f>
        <v>3</v>
      </c>
      <c r="E87" s="6">
        <f>IFERROR(_xlfn.MAXIFS([1]!Tabelle5[value_points],[1]!Tabelle5[company_id],Tabelle18[[#This Row],[company_id]],[1]!Tabelle5[value_id],Tabelle18[[#This Row],[value_id]]),0)</f>
        <v>3</v>
      </c>
      <c r="F8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28</v>
      </c>
      <c r="G87" t="str" cm="1">
        <f t="array" ref="G8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 Regel 2; S. 2 Examples</v>
      </c>
      <c r="H87" s="7" t="str" cm="1">
        <f t="array" ref="H8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“Uncontrolled use in compliance-relevant processes (e.g. GxP and GISC) is prohibited.”; “after mandatory consultation with Quality Assurance”; “Examples where prior data privacy assessment is required”</v>
      </c>
    </row>
    <row r="88" spans="1:8" x14ac:dyDescent="0.25">
      <c r="A88" s="5">
        <v>5</v>
      </c>
      <c r="B88" t="s">
        <v>22</v>
      </c>
      <c r="C88" s="6">
        <f>IF(Tabelle18[[#This Row],[binding_level_company]]&gt;=1,1,0)</f>
        <v>1</v>
      </c>
      <c r="D88" s="6">
        <f>IFERROR(_xlfn.MAXIFS([1]!Tabelle5[binding_level],[1]!Tabelle5[company_id],Tabelle18[[#This Row],[company_id]],[1]!Tabelle5[value_id],Tabelle18[[#This Row],[value_id]],[1]!Tabelle5[value_present],1),0)</f>
        <v>2</v>
      </c>
      <c r="E88" s="6">
        <f>IFERROR(_xlfn.MAXIFS([1]!Tabelle5[value_points],[1]!Tabelle5[company_id],Tabelle18[[#This Row],[company_id]],[1]!Tabelle5[value_id],Tabelle18[[#This Row],[value_id]]),0)</f>
        <v>2</v>
      </c>
      <c r="F8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28</v>
      </c>
      <c r="G88" t="str" cm="1">
        <f t="array" ref="G8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 Regeln 4 und 5</v>
      </c>
      <c r="H88" s="7" t="str" cm="1">
        <f t="array" ref="H8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“Do not use material potentially protected by personality rights in your prompt.”; “Critically assess output to the best of your knowledge”</v>
      </c>
    </row>
    <row r="89" spans="1:8" x14ac:dyDescent="0.25">
      <c r="A89" s="5">
        <v>5</v>
      </c>
      <c r="B89" t="s">
        <v>23</v>
      </c>
      <c r="C89" s="6">
        <f>IF(Tabelle18[[#This Row],[binding_level_company]]&gt;=1,1,0)</f>
        <v>1</v>
      </c>
      <c r="D89" s="6">
        <f>IFERROR(_xlfn.MAXIFS([1]!Tabelle5[binding_level],[1]!Tabelle5[company_id],Tabelle18[[#This Row],[company_id]],[1]!Tabelle5[value_id],Tabelle18[[#This Row],[value_id]],[1]!Tabelle5[value_present],1),0)</f>
        <v>3</v>
      </c>
      <c r="E89" s="6">
        <f>IFERROR(_xlfn.MAXIFS([1]!Tabelle5[value_points],[1]!Tabelle5[company_id],Tabelle18[[#This Row],[company_id]],[1]!Tabelle5[value_id],Tabelle18[[#This Row],[value_id]]),0)</f>
        <v>3</v>
      </c>
      <c r="F8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27</v>
      </c>
      <c r="G89" t="str" cm="1">
        <f t="array" ref="G8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</v>
      </c>
      <c r="H89" s="7" t="str" cm="1">
        <f t="array" ref="H8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“clear relevance, provenance, diversity, and sufficient quality in data sources.; “We verify the data sets used for AI training are representative”; “do not use poor, incomplete or non-verified data”</v>
      </c>
    </row>
    <row r="90" spans="1:8" x14ac:dyDescent="0.25">
      <c r="A90" s="5">
        <v>5</v>
      </c>
      <c r="B90" t="s">
        <v>24</v>
      </c>
      <c r="C90" s="6">
        <f>IF(Tabelle18[[#This Row],[binding_level_company]]&gt;=1,1,0)</f>
        <v>1</v>
      </c>
      <c r="D90" s="6">
        <f>IFERROR(_xlfn.MAXIFS([1]!Tabelle5[binding_level],[1]!Tabelle5[company_id],Tabelle18[[#This Row],[company_id]],[1]!Tabelle5[value_id],Tabelle18[[#This Row],[value_id]],[1]!Tabelle5[value_present],1),0)</f>
        <v>2</v>
      </c>
      <c r="E90" s="6">
        <f>IFERROR(_xlfn.MAXIFS([1]!Tabelle5[value_points],[1]!Tabelle5[company_id],Tabelle18[[#This Row],[company_id]],[1]!Tabelle5[value_id],Tabelle18[[#This Row],[value_id]]),0)</f>
        <v>2</v>
      </c>
      <c r="F9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28</v>
      </c>
      <c r="G90" t="str" cm="1">
        <f t="array" ref="G9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 Approved tools; Regel 3</v>
      </c>
      <c r="H90" s="7" t="str" cm="1">
        <f t="array" ref="H9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“Only use Bayer-approved tools with business data and for business-related purposes.”; “Do not enter, refer to, or imitate brands, logos, or copyrighted works”</v>
      </c>
    </row>
    <row r="91" spans="1:8" ht="15.75" thickBot="1" x14ac:dyDescent="0.3">
      <c r="A91" s="8">
        <v>5</v>
      </c>
      <c r="B91" s="9" t="s">
        <v>25</v>
      </c>
      <c r="C91" s="10">
        <f>IF(Tabelle18[[#This Row],[binding_level_company]]&gt;=1,1,0)</f>
        <v>0</v>
      </c>
      <c r="D91" s="10">
        <f>IFERROR(_xlfn.MAXIFS([1]!Tabelle5[binding_level],[1]!Tabelle5[company_id],Tabelle18[[#This Row],[company_id]],[1]!Tabelle5[value_id],Tabelle18[[#This Row],[value_id]],[1]!Tabelle5[value_present],1),0)</f>
        <v>0</v>
      </c>
      <c r="E91" s="10">
        <f>IFERROR(_xlfn.MAXIFS([1]!Tabelle5[value_points],[1]!Tabelle5[company_id],Tabelle18[[#This Row],[company_id]],[1]!Tabelle5[value_id],Tabelle18[[#This Row],[value_id]]),0)</f>
        <v>0</v>
      </c>
      <c r="F91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91" s="9" t="str" cm="1">
        <f t="array" ref="G9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91" s="11" t="str" cm="1">
        <f t="array" ref="H9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92" spans="1:8" x14ac:dyDescent="0.25">
      <c r="A92" s="1">
        <v>6</v>
      </c>
      <c r="B92" s="2" t="s">
        <v>8</v>
      </c>
      <c r="C92" s="3">
        <f>IF(Tabelle18[[#This Row],[binding_level_company]]&gt;=1,1,0)</f>
        <v>0</v>
      </c>
      <c r="D92" s="3">
        <f>IFERROR(_xlfn.MAXIFS([1]!Tabelle5[binding_level],[1]!Tabelle5[company_id],Tabelle18[[#This Row],[company_id]],[1]!Tabelle5[value_id],Tabelle18[[#This Row],[value_id]],[1]!Tabelle5[value_present],1),0)</f>
        <v>0</v>
      </c>
      <c r="E92" s="3">
        <f>IFERROR(_xlfn.MAXIFS([1]!Tabelle5[value_points],[1]!Tabelle5[company_id],Tabelle18[[#This Row],[company_id]],[1]!Tabelle5[value_id],Tabelle18[[#This Row],[value_id]]),0)</f>
        <v>0</v>
      </c>
      <c r="F92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92" s="2" t="str" cm="1">
        <f t="array" ref="G9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92" s="4" t="str" cm="1">
        <f t="array" ref="H9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93" spans="1:8" x14ac:dyDescent="0.25">
      <c r="A93" s="5">
        <v>6</v>
      </c>
      <c r="B93" t="s">
        <v>9</v>
      </c>
      <c r="C93" s="6">
        <f>IF(Tabelle18[[#This Row],[binding_level_company]]&gt;=1,1,0)</f>
        <v>0</v>
      </c>
      <c r="D93" s="6">
        <f>IFERROR(_xlfn.MAXIFS([1]!Tabelle5[binding_level],[1]!Tabelle5[company_id],Tabelle18[[#This Row],[company_id]],[1]!Tabelle5[value_id],Tabelle18[[#This Row],[value_id]],[1]!Tabelle5[value_present],1),0)</f>
        <v>0</v>
      </c>
      <c r="E93" s="6">
        <f>IFERROR(_xlfn.MAXIFS([1]!Tabelle5[value_points],[1]!Tabelle5[company_id],Tabelle18[[#This Row],[company_id]],[1]!Tabelle5[value_id],Tabelle18[[#This Row],[value_id]]),0)</f>
        <v>0</v>
      </c>
      <c r="F9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93" t="str" cm="1">
        <f t="array" ref="G9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93" s="7" t="str" cm="1">
        <f t="array" ref="H9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94" spans="1:8" x14ac:dyDescent="0.25">
      <c r="A94" s="5">
        <v>6</v>
      </c>
      <c r="B94" t="s">
        <v>10</v>
      </c>
      <c r="C94" s="6">
        <f>IF(Tabelle18[[#This Row],[binding_level_company]]&gt;=1,1,0)</f>
        <v>1</v>
      </c>
      <c r="D94" s="6">
        <f>IFERROR(_xlfn.MAXIFS([1]!Tabelle5[binding_level],[1]!Tabelle5[company_id],Tabelle18[[#This Row],[company_id]],[1]!Tabelle5[value_id],Tabelle18[[#This Row],[value_id]],[1]!Tabelle5[value_present],1),0)</f>
        <v>3</v>
      </c>
      <c r="E94" s="6">
        <f>IFERROR(_xlfn.MAXIFS([1]!Tabelle5[value_points],[1]!Tabelle5[company_id],Tabelle18[[#This Row],[company_id]],[1]!Tabelle5[value_id],Tabelle18[[#This Row],[value_id]]),0)</f>
        <v>3</v>
      </c>
      <c r="F9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34</v>
      </c>
      <c r="G94" t="str" cm="1">
        <f t="array" ref="G9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202</v>
      </c>
      <c r="H94" s="7" t="str" cm="1">
        <f t="array" ref="H9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“secure environment with a high level of transparency”</v>
      </c>
    </row>
    <row r="95" spans="1:8" x14ac:dyDescent="0.25">
      <c r="A95" s="5">
        <v>6</v>
      </c>
      <c r="B95" t="s">
        <v>11</v>
      </c>
      <c r="C95" s="6">
        <f>IF(Tabelle18[[#This Row],[binding_level_company]]&gt;=1,1,0)</f>
        <v>0</v>
      </c>
      <c r="D95" s="6">
        <f>IFERROR(_xlfn.MAXIFS([1]!Tabelle5[binding_level],[1]!Tabelle5[company_id],Tabelle18[[#This Row],[company_id]],[1]!Tabelle5[value_id],Tabelle18[[#This Row],[value_id]],[1]!Tabelle5[value_present],1),0)</f>
        <v>0</v>
      </c>
      <c r="E95" s="6">
        <f>IFERROR(_xlfn.MAXIFS([1]!Tabelle5[value_points],[1]!Tabelle5[company_id],Tabelle18[[#This Row],[company_id]],[1]!Tabelle5[value_id],Tabelle18[[#This Row],[value_id]]),0)</f>
        <v>0</v>
      </c>
      <c r="F9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95" t="str" cm="1">
        <f t="array" ref="G9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95" s="7" t="str" cm="1">
        <f t="array" ref="H9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96" spans="1:8" x14ac:dyDescent="0.25">
      <c r="A96" s="5">
        <v>6</v>
      </c>
      <c r="B96" t="s">
        <v>12</v>
      </c>
      <c r="C96" s="6">
        <f>IF(Tabelle18[[#This Row],[binding_level_company]]&gt;=1,1,0)</f>
        <v>1</v>
      </c>
      <c r="D96" s="6">
        <f>IFERROR(_xlfn.MAXIFS([1]!Tabelle5[binding_level],[1]!Tabelle5[company_id],Tabelle18[[#This Row],[company_id]],[1]!Tabelle5[value_id],Tabelle18[[#This Row],[value_id]],[1]!Tabelle5[value_present],1),0)</f>
        <v>3</v>
      </c>
      <c r="E96" s="6">
        <f>IFERROR(_xlfn.MAXIFS([1]!Tabelle5[value_points],[1]!Tabelle5[company_id],Tabelle18[[#This Row],[company_id]],[1]!Tabelle5[value_id],Tabelle18[[#This Row],[value_id]]),0)</f>
        <v>3</v>
      </c>
      <c r="F9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34</v>
      </c>
      <c r="G96" t="str" cm="1">
        <f t="array" ref="G9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35</v>
      </c>
      <c r="H96" s="7" t="str" cm="1">
        <f t="array" ref="H9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“take better account of the diversity of phototypes</v>
      </c>
    </row>
    <row r="97" spans="1:8" x14ac:dyDescent="0.25">
      <c r="A97" s="5">
        <v>6</v>
      </c>
      <c r="B97" t="s">
        <v>13</v>
      </c>
      <c r="C97" s="6">
        <f>IF(Tabelle18[[#This Row],[binding_level_company]]&gt;=1,1,0)</f>
        <v>1</v>
      </c>
      <c r="D97" s="6">
        <f>IFERROR(_xlfn.MAXIFS([1]!Tabelle5[binding_level],[1]!Tabelle5[company_id],Tabelle18[[#This Row],[company_id]],[1]!Tabelle5[value_id],Tabelle18[[#This Row],[value_id]],[1]!Tabelle5[value_present],1),0)</f>
        <v>1</v>
      </c>
      <c r="E97" s="6">
        <f>IFERROR(_xlfn.MAXIFS([1]!Tabelle5[value_points],[1]!Tabelle5[company_id],Tabelle18[[#This Row],[company_id]],[1]!Tabelle5[value_id],Tabelle18[[#This Row],[value_id]]),0)</f>
        <v>1</v>
      </c>
      <c r="F9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36</v>
      </c>
      <c r="G97" t="str" cm="1">
        <f t="array" ref="G9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97" s="7" t="str" cm="1">
        <f t="array" ref="H9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“handling personal data”</v>
      </c>
    </row>
    <row r="98" spans="1:8" x14ac:dyDescent="0.25">
      <c r="A98" s="5">
        <v>6</v>
      </c>
      <c r="B98" t="s">
        <v>14</v>
      </c>
      <c r="C98" s="6">
        <f>IF(Tabelle18[[#This Row],[binding_level_company]]&gt;=1,1,0)</f>
        <v>1</v>
      </c>
      <c r="D98" s="6">
        <f>IFERROR(_xlfn.MAXIFS([1]!Tabelle5[binding_level],[1]!Tabelle5[company_id],Tabelle18[[#This Row],[company_id]],[1]!Tabelle5[value_id],Tabelle18[[#This Row],[value_id]],[1]!Tabelle5[value_present],1),0)</f>
        <v>3</v>
      </c>
      <c r="E98" s="6">
        <f>IFERROR(_xlfn.MAXIFS([1]!Tabelle5[value_points],[1]!Tabelle5[company_id],Tabelle18[[#This Row],[company_id]],[1]!Tabelle5[value_id],Tabelle18[[#This Row],[value_id]]),0)</f>
        <v>3</v>
      </c>
      <c r="F9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34</v>
      </c>
      <c r="G98" t="str" cm="1">
        <f t="array" ref="G9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202</v>
      </c>
      <c r="H98" s="7" t="str" cm="1">
        <f t="array" ref="H9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“secure environment”; “general framework for the further strategic development of AI”</v>
      </c>
    </row>
    <row r="99" spans="1:8" x14ac:dyDescent="0.25">
      <c r="A99" s="5">
        <v>6</v>
      </c>
      <c r="B99" t="s">
        <v>15</v>
      </c>
      <c r="C99" s="6">
        <f>IF(Tabelle18[[#This Row],[binding_level_company]]&gt;=1,1,0)</f>
        <v>0</v>
      </c>
      <c r="D99" s="6">
        <f>IFERROR(_xlfn.MAXIFS([1]!Tabelle5[binding_level],[1]!Tabelle5[company_id],Tabelle18[[#This Row],[company_id]],[1]!Tabelle5[value_id],Tabelle18[[#This Row],[value_id]],[1]!Tabelle5[value_present],1),0)</f>
        <v>0</v>
      </c>
      <c r="E99" s="6">
        <f>IFERROR(_xlfn.MAXIFS([1]!Tabelle5[value_points],[1]!Tabelle5[company_id],Tabelle18[[#This Row],[company_id]],[1]!Tabelle5[value_id],Tabelle18[[#This Row],[value_id]]),0)</f>
        <v>0</v>
      </c>
      <c r="F9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99" t="str" cm="1">
        <f t="array" ref="G9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99" s="7" t="str" cm="1">
        <f t="array" ref="H9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00" spans="1:8" x14ac:dyDescent="0.25">
      <c r="A100" s="5">
        <v>6</v>
      </c>
      <c r="B100" t="s">
        <v>16</v>
      </c>
      <c r="C100" s="6">
        <f>IF(Tabelle18[[#This Row],[binding_level_company]]&gt;=1,1,0)</f>
        <v>1</v>
      </c>
      <c r="D100" s="6">
        <f>IFERROR(_xlfn.MAXIFS([1]!Tabelle5[binding_level],[1]!Tabelle5[company_id],Tabelle18[[#This Row],[company_id]],[1]!Tabelle5[value_id],Tabelle18[[#This Row],[value_id]],[1]!Tabelle5[value_present],1),0)</f>
        <v>3</v>
      </c>
      <c r="E100" s="6">
        <f>IFERROR(_xlfn.MAXIFS([1]!Tabelle5[value_points],[1]!Tabelle5[company_id],Tabelle18[[#This Row],[company_id]],[1]!Tabelle5[value_id],Tabelle18[[#This Row],[value_id]]),0)</f>
        <v>3</v>
      </c>
      <c r="F10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34</v>
      </c>
      <c r="G100" t="str" cm="1">
        <f t="array" ref="G10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35</v>
      </c>
      <c r="H100" s="7" t="str" cm="1">
        <f t="array" ref="H10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“introduced our innovative AI-controlled wrinkle analysis wrinkle.ai as a standardized test procedure”; “The evaluated results provide a robust basis”; “guaranteeing both precise and consistent measurement results.”</v>
      </c>
    </row>
    <row r="101" spans="1:8" x14ac:dyDescent="0.25">
      <c r="A101" s="5">
        <v>6</v>
      </c>
      <c r="B101" t="s">
        <v>17</v>
      </c>
      <c r="C101" s="6">
        <f>IF(Tabelle18[[#This Row],[binding_level_company]]&gt;=1,1,0)</f>
        <v>0</v>
      </c>
      <c r="D101" s="6">
        <f>IFERROR(_xlfn.MAXIFS([1]!Tabelle5[binding_level],[1]!Tabelle5[company_id],Tabelle18[[#This Row],[company_id]],[1]!Tabelle5[value_id],Tabelle18[[#This Row],[value_id]],[1]!Tabelle5[value_present],1),0)</f>
        <v>0</v>
      </c>
      <c r="E101" s="6">
        <f>IFERROR(_xlfn.MAXIFS([1]!Tabelle5[value_points],[1]!Tabelle5[company_id],Tabelle18[[#This Row],[company_id]],[1]!Tabelle5[value_id],Tabelle18[[#This Row],[value_id]]),0)</f>
        <v>0</v>
      </c>
      <c r="F10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01" t="str" cm="1">
        <f t="array" ref="G10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01" s="7" t="str" cm="1">
        <f t="array" ref="H10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02" spans="1:8" x14ac:dyDescent="0.25">
      <c r="A102" s="5">
        <v>6</v>
      </c>
      <c r="B102" t="s">
        <v>18</v>
      </c>
      <c r="C102" s="6">
        <f>IF(Tabelle18[[#This Row],[binding_level_company]]&gt;=1,1,0)</f>
        <v>0</v>
      </c>
      <c r="D102" s="6">
        <f>IFERROR(_xlfn.MAXIFS([1]!Tabelle5[binding_level],[1]!Tabelle5[company_id],Tabelle18[[#This Row],[company_id]],[1]!Tabelle5[value_id],Tabelle18[[#This Row],[value_id]],[1]!Tabelle5[value_present],1),0)</f>
        <v>0</v>
      </c>
      <c r="E102" s="6">
        <f>IFERROR(_xlfn.MAXIFS([1]!Tabelle5[value_points],[1]!Tabelle5[company_id],Tabelle18[[#This Row],[company_id]],[1]!Tabelle5[value_id],Tabelle18[[#This Row],[value_id]]),0)</f>
        <v>0</v>
      </c>
      <c r="F10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02" t="str" cm="1">
        <f t="array" ref="G10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02" s="7" t="str" cm="1">
        <f t="array" ref="H10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03" spans="1:8" x14ac:dyDescent="0.25">
      <c r="A103" s="5">
        <v>6</v>
      </c>
      <c r="B103" t="s">
        <v>19</v>
      </c>
      <c r="C103" s="6">
        <f>IF(Tabelle18[[#This Row],[binding_level_company]]&gt;=1,1,0)</f>
        <v>1</v>
      </c>
      <c r="D103" s="6">
        <f>IFERROR(_xlfn.MAXIFS([1]!Tabelle5[binding_level],[1]!Tabelle5[company_id],Tabelle18[[#This Row],[company_id]],[1]!Tabelle5[value_id],Tabelle18[[#This Row],[value_id]],[1]!Tabelle5[value_present],1),0)</f>
        <v>3</v>
      </c>
      <c r="E103" s="6">
        <f>IFERROR(_xlfn.MAXIFS([1]!Tabelle5[value_points],[1]!Tabelle5[company_id],Tabelle18[[#This Row],[company_id]],[1]!Tabelle5[value_id],Tabelle18[[#This Row],[value_id]]),0)</f>
        <v>3</v>
      </c>
      <c r="F10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34</v>
      </c>
      <c r="G103" t="str" cm="1">
        <f t="array" ref="G10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12; S. 34</v>
      </c>
      <c r="H103" s="7" t="str" cm="1">
        <f t="array" ref="H10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“optimize the speed, quality, and sustainability of our formula development”; “a blend of particularly sustainable ingredients”</v>
      </c>
    </row>
    <row r="104" spans="1:8" x14ac:dyDescent="0.25">
      <c r="A104" s="5">
        <v>6</v>
      </c>
      <c r="B104" t="s">
        <v>20</v>
      </c>
      <c r="C104" s="6">
        <f>IF(Tabelle18[[#This Row],[binding_level_company]]&gt;=1,1,0)</f>
        <v>1</v>
      </c>
      <c r="D104" s="6">
        <f>IFERROR(_xlfn.MAXIFS([1]!Tabelle5[binding_level],[1]!Tabelle5[company_id],Tabelle18[[#This Row],[company_id]],[1]!Tabelle5[value_id],Tabelle18[[#This Row],[value_id]],[1]!Tabelle5[value_present],1),0)</f>
        <v>1</v>
      </c>
      <c r="E104" s="6">
        <f>IFERROR(_xlfn.MAXIFS([1]!Tabelle5[value_points],[1]!Tabelle5[company_id],Tabelle18[[#This Row],[company_id]],[1]!Tabelle5[value_id],Tabelle18[[#This Row],[value_id]]),0)</f>
        <v>1</v>
      </c>
      <c r="F10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36</v>
      </c>
      <c r="G104" t="str" cm="1">
        <f t="array" ref="G10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2–3</v>
      </c>
      <c r="H104" s="7" t="str" cm="1">
        <f t="array" ref="H10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“make work more humane and meaningful”; “amplify the existing strengths of our employees”</v>
      </c>
    </row>
    <row r="105" spans="1:8" x14ac:dyDescent="0.25">
      <c r="A105" s="5">
        <v>6</v>
      </c>
      <c r="B105" t="s">
        <v>21</v>
      </c>
      <c r="C105" s="6">
        <f>IF(Tabelle18[[#This Row],[binding_level_company]]&gt;=1,1,0)</f>
        <v>0</v>
      </c>
      <c r="D105" s="6">
        <f>IFERROR(_xlfn.MAXIFS([1]!Tabelle5[binding_level],[1]!Tabelle5[company_id],Tabelle18[[#This Row],[company_id]],[1]!Tabelle5[value_id],Tabelle18[[#This Row],[value_id]],[1]!Tabelle5[value_present],1),0)</f>
        <v>0</v>
      </c>
      <c r="E105" s="6">
        <f>IFERROR(_xlfn.MAXIFS([1]!Tabelle5[value_points],[1]!Tabelle5[company_id],Tabelle18[[#This Row],[company_id]],[1]!Tabelle5[value_id],Tabelle18[[#This Row],[value_id]]),0)</f>
        <v>0</v>
      </c>
      <c r="F10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05" t="str" cm="1">
        <f t="array" ref="G10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05" s="7" t="str" cm="1">
        <f t="array" ref="H10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06" spans="1:8" x14ac:dyDescent="0.25">
      <c r="A106" s="5">
        <v>6</v>
      </c>
      <c r="B106" t="s">
        <v>22</v>
      </c>
      <c r="C106" s="6">
        <f>IF(Tabelle18[[#This Row],[binding_level_company]]&gt;=1,1,0)</f>
        <v>1</v>
      </c>
      <c r="D106" s="6">
        <f>IFERROR(_xlfn.MAXIFS([1]!Tabelle5[binding_level],[1]!Tabelle5[company_id],Tabelle18[[#This Row],[company_id]],[1]!Tabelle5[value_id],Tabelle18[[#This Row],[value_id]],[1]!Tabelle5[value_present],1),0)</f>
        <v>2</v>
      </c>
      <c r="E106" s="6">
        <f>IFERROR(_xlfn.MAXIFS([1]!Tabelle5[value_points],[1]!Tabelle5[company_id],Tabelle18[[#This Row],[company_id]],[1]!Tabelle5[value_id],Tabelle18[[#This Row],[value_id]]),0)</f>
        <v>2</v>
      </c>
      <c r="F10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34</v>
      </c>
      <c r="G106" t="str" cm="1">
        <f t="array" ref="G10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12</v>
      </c>
      <c r="H106" s="7" t="str" cm="1">
        <f t="array" ref="H10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“never to use AI to create human skin”</v>
      </c>
    </row>
    <row r="107" spans="1:8" x14ac:dyDescent="0.25">
      <c r="A107" s="5">
        <v>6</v>
      </c>
      <c r="B107" t="s">
        <v>23</v>
      </c>
      <c r="C107" s="6">
        <f>IF(Tabelle18[[#This Row],[binding_level_company]]&gt;=1,1,0)</f>
        <v>1</v>
      </c>
      <c r="D107" s="6">
        <f>IFERROR(_xlfn.MAXIFS([1]!Tabelle5[binding_level],[1]!Tabelle5[company_id],Tabelle18[[#This Row],[company_id]],[1]!Tabelle5[value_id],Tabelle18[[#This Row],[value_id]],[1]!Tabelle5[value_present],1),0)</f>
        <v>3</v>
      </c>
      <c r="E107" s="6">
        <f>IFERROR(_xlfn.MAXIFS([1]!Tabelle5[value_points],[1]!Tabelle5[company_id],Tabelle18[[#This Row],[company_id]],[1]!Tabelle5[value_id],Tabelle18[[#This Row],[value_id]]),0)</f>
        <v>3</v>
      </c>
      <c r="F10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34</v>
      </c>
      <c r="G107" t="str" cm="1">
        <f t="array" ref="G10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35</v>
      </c>
      <c r="H107" s="7" t="str" cm="1">
        <f t="array" ref="H10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“expand the algorithm using valid data for melanin-rich skin types"; “The more high-quality data is available”</v>
      </c>
    </row>
    <row r="108" spans="1:8" x14ac:dyDescent="0.25">
      <c r="A108" s="5">
        <v>6</v>
      </c>
      <c r="B108" t="s">
        <v>24</v>
      </c>
      <c r="C108" s="6">
        <f>IF(Tabelle18[[#This Row],[binding_level_company]]&gt;=1,1,0)</f>
        <v>0</v>
      </c>
      <c r="D108" s="6">
        <f>IFERROR(_xlfn.MAXIFS([1]!Tabelle5[binding_level],[1]!Tabelle5[company_id],Tabelle18[[#This Row],[company_id]],[1]!Tabelle5[value_id],Tabelle18[[#This Row],[value_id]],[1]!Tabelle5[value_present],1),0)</f>
        <v>0</v>
      </c>
      <c r="E108" s="6">
        <f>IFERROR(_xlfn.MAXIFS([1]!Tabelle5[value_points],[1]!Tabelle5[company_id],Tabelle18[[#This Row],[company_id]],[1]!Tabelle5[value_id],Tabelle18[[#This Row],[value_id]]),0)</f>
        <v>0</v>
      </c>
      <c r="F10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08" t="str" cm="1">
        <f t="array" ref="G10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08" s="7" t="str" cm="1">
        <f t="array" ref="H10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09" spans="1:8" ht="15.75" thickBot="1" x14ac:dyDescent="0.3">
      <c r="A109" s="8">
        <v>6</v>
      </c>
      <c r="B109" s="9" t="s">
        <v>25</v>
      </c>
      <c r="C109" s="10">
        <f>IF(Tabelle18[[#This Row],[binding_level_company]]&gt;=1,1,0)</f>
        <v>0</v>
      </c>
      <c r="D109" s="10">
        <f>IFERROR(_xlfn.MAXIFS([1]!Tabelle5[binding_level],[1]!Tabelle5[company_id],Tabelle18[[#This Row],[company_id]],[1]!Tabelle5[value_id],Tabelle18[[#This Row],[value_id]],[1]!Tabelle5[value_present],1),0)</f>
        <v>0</v>
      </c>
      <c r="E109" s="10">
        <f>IFERROR(_xlfn.MAXIFS([1]!Tabelle5[value_points],[1]!Tabelle5[company_id],Tabelle18[[#This Row],[company_id]],[1]!Tabelle5[value_id],Tabelle18[[#This Row],[value_id]]),0)</f>
        <v>0</v>
      </c>
      <c r="F109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09" s="9" t="str" cm="1">
        <f t="array" ref="G10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09" s="11" t="str" cm="1">
        <f t="array" ref="H10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10" spans="1:8" x14ac:dyDescent="0.25">
      <c r="A110" s="1">
        <v>7</v>
      </c>
      <c r="B110" s="2" t="s">
        <v>8</v>
      </c>
      <c r="C110" s="3">
        <f>IF(Tabelle18[[#This Row],[binding_level_company]]&gt;=1,1,0)</f>
        <v>1</v>
      </c>
      <c r="D110" s="3">
        <f>IFERROR(_xlfn.MAXIFS([1]!Tabelle5[binding_level],[1]!Tabelle5[company_id],Tabelle18[[#This Row],[company_id]],[1]!Tabelle5[value_id],Tabelle18[[#This Row],[value_id]],[1]!Tabelle5[value_present],1),0)</f>
        <v>2</v>
      </c>
      <c r="E110" s="3">
        <f>IFERROR(_xlfn.MAXIFS([1]!Tabelle5[value_points],[1]!Tabelle5[company_id],Tabelle18[[#This Row],[company_id]],[1]!Tabelle5[value_id],Tabelle18[[#This Row],[value_id]]),0)</f>
        <v>2</v>
      </c>
      <c r="F110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0" s="2" t="str" cm="1">
        <f t="array" ref="G1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2; S. 8; S. 9</v>
      </c>
      <c r="H110" s="4" t="str" cm="1">
        <f t="array" ref="H1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“implements appropriate human monitoring”; “humans can overrule algorithmic decisions”</v>
      </c>
    </row>
    <row r="111" spans="1:8" x14ac:dyDescent="0.25">
      <c r="A111" s="5">
        <v>7</v>
      </c>
      <c r="B111" t="s">
        <v>9</v>
      </c>
      <c r="C111" s="6">
        <f>IF(Tabelle18[[#This Row],[binding_level_company]]&gt;=1,1,0)</f>
        <v>1</v>
      </c>
      <c r="D111" s="6">
        <f>IFERROR(_xlfn.MAXIFS([1]!Tabelle5[binding_level],[1]!Tabelle5[company_id],Tabelle18[[#This Row],[company_id]],[1]!Tabelle5[value_id],Tabelle18[[#This Row],[value_id]],[1]!Tabelle5[value_present],1),0)</f>
        <v>3</v>
      </c>
      <c r="E111" s="6">
        <f>IFERROR(_xlfn.MAXIFS([1]!Tabelle5[value_points],[1]!Tabelle5[company_id],Tabelle18[[#This Row],[company_id]],[1]!Tabelle5[value_id],Tabelle18[[#This Row],[value_id]]),0)</f>
        <v>3</v>
      </c>
      <c r="F11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1" t="str" cm="1">
        <f t="array" ref="G1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</v>
      </c>
      <c r="H111" s="7" t="str" cm="1">
        <f t="array" ref="H1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“identify, assess, report and mitigate risks”</v>
      </c>
    </row>
    <row r="112" spans="1:8" x14ac:dyDescent="0.25">
      <c r="A112" s="5">
        <v>7</v>
      </c>
      <c r="B112" t="s">
        <v>10</v>
      </c>
      <c r="C112" s="6">
        <f>IF(Tabelle18[[#This Row],[binding_level_company]]&gt;=1,1,0)</f>
        <v>1</v>
      </c>
      <c r="D112" s="6">
        <f>IFERROR(_xlfn.MAXIFS([1]!Tabelle5[binding_level],[1]!Tabelle5[company_id],Tabelle18[[#This Row],[company_id]],[1]!Tabelle5[value_id],Tabelle18[[#This Row],[value_id]],[1]!Tabelle5[value_present],1),0)</f>
        <v>1</v>
      </c>
      <c r="E112" s="6">
        <f>IFERROR(_xlfn.MAXIFS([1]!Tabelle5[value_points],[1]!Tabelle5[company_id],Tabelle18[[#This Row],[company_id]],[1]!Tabelle5[value_id],Tabelle18[[#This Row],[value_id]]),0)</f>
        <v>1</v>
      </c>
      <c r="F11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2" t="str" cm="1">
        <f t="array" ref="G1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12" s="7" t="str" cm="1">
        <f t="array" ref="H1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“open communication where respective technologies are used”</v>
      </c>
    </row>
    <row r="113" spans="1:8" x14ac:dyDescent="0.25">
      <c r="A113" s="5">
        <v>7</v>
      </c>
      <c r="B113" t="s">
        <v>11</v>
      </c>
      <c r="C113" s="6">
        <f>IF(Tabelle18[[#This Row],[binding_level_company]]&gt;=1,1,0)</f>
        <v>1</v>
      </c>
      <c r="D113" s="6">
        <f>IFERROR(_xlfn.MAXIFS([1]!Tabelle5[binding_level],[1]!Tabelle5[company_id],Tabelle18[[#This Row],[company_id]],[1]!Tabelle5[value_id],Tabelle18[[#This Row],[value_id]],[1]!Tabelle5[value_present],1),0)</f>
        <v>1</v>
      </c>
      <c r="E113" s="6">
        <f>IFERROR(_xlfn.MAXIFS([1]!Tabelle5[value_points],[1]!Tabelle5[company_id],Tabelle18[[#This Row],[company_id]],[1]!Tabelle5[value_id],Tabelle18[[#This Row],[value_id]]),0)</f>
        <v>1</v>
      </c>
      <c r="F11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3" t="str" cm="1">
        <f t="array" ref="G1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13" s="7" t="str" cm="1">
        <f t="array" ref="H1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“aims for explainability of AI applications”</v>
      </c>
    </row>
    <row r="114" spans="1:8" x14ac:dyDescent="0.25">
      <c r="A114" s="5">
        <v>7</v>
      </c>
      <c r="B114" t="s">
        <v>12</v>
      </c>
      <c r="C114" s="6">
        <f>IF(Tabelle18[[#This Row],[binding_level_company]]&gt;=1,1,0)</f>
        <v>1</v>
      </c>
      <c r="D114" s="6">
        <f>IFERROR(_xlfn.MAXIFS([1]!Tabelle5[binding_level],[1]!Tabelle5[company_id],Tabelle18[[#This Row],[company_id]],[1]!Tabelle5[value_id],Tabelle18[[#This Row],[value_id]],[1]!Tabelle5[value_present],1),0)</f>
        <v>1</v>
      </c>
      <c r="E114" s="6">
        <f>IFERROR(_xlfn.MAXIFS([1]!Tabelle5[value_points],[1]!Tabelle5[company_id],Tabelle18[[#This Row],[company_id]],[1]!Tabelle5[value_id],Tabelle18[[#This Row],[value_id]]),0)</f>
        <v>1</v>
      </c>
      <c r="F11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4" t="str" cm="1">
        <f t="array" ref="G1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14" s="7" t="str" cm="1">
        <f t="array" ref="H1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“respects human dignity”; “sets out to build fair AI applications”</v>
      </c>
    </row>
    <row r="115" spans="1:8" x14ac:dyDescent="0.25">
      <c r="A115" s="5">
        <v>7</v>
      </c>
      <c r="B115" t="s">
        <v>13</v>
      </c>
      <c r="C115" s="6">
        <f>IF(Tabelle18[[#This Row],[binding_level_company]]&gt;=1,1,0)</f>
        <v>1</v>
      </c>
      <c r="D115" s="6">
        <f>IFERROR(_xlfn.MAXIFS([1]!Tabelle5[binding_level],[1]!Tabelle5[company_id],Tabelle18[[#This Row],[company_id]],[1]!Tabelle5[value_id],Tabelle18[[#This Row],[value_id]],[1]!Tabelle5[value_present],1),0)</f>
        <v>2</v>
      </c>
      <c r="E115" s="6">
        <f>IFERROR(_xlfn.MAXIFS([1]!Tabelle5[value_points],[1]!Tabelle5[company_id],Tabelle18[[#This Row],[company_id]],[1]!Tabelle5[value_id],Tabelle18[[#This Row],[value_id]]),0)</f>
        <v>2</v>
      </c>
      <c r="F11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5" t="str" cm="1">
        <f t="array" ref="G1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15" s="7" t="str" cm="1">
        <f t="array" ref="H1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“extends its state-of-the-art data privacy”</v>
      </c>
    </row>
    <row r="116" spans="1:8" x14ac:dyDescent="0.25">
      <c r="A116" s="5">
        <v>7</v>
      </c>
      <c r="B116" t="s">
        <v>14</v>
      </c>
      <c r="C116" s="6">
        <f>IF(Tabelle18[[#This Row],[binding_level_company]]&gt;=1,1,0)</f>
        <v>1</v>
      </c>
      <c r="D116" s="6">
        <f>IFERROR(_xlfn.MAXIFS([1]!Tabelle5[binding_level],[1]!Tabelle5[company_id],Tabelle18[[#This Row],[company_id]],[1]!Tabelle5[value_id],Tabelle18[[#This Row],[value_id]],[1]!Tabelle5[value_present],1),0)</f>
        <v>2</v>
      </c>
      <c r="E116" s="6">
        <f>IFERROR(_xlfn.MAXIFS([1]!Tabelle5[value_points],[1]!Tabelle5[company_id],Tabelle18[[#This Row],[company_id]],[1]!Tabelle5[value_id],Tabelle18[[#This Row],[value_id]]),0)</f>
        <v>2</v>
      </c>
      <c r="F11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6" t="str" cm="1">
        <f t="array" ref="G1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16" s="7" t="str" cm="1">
        <f t="array" ref="H1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“data security measures to cover storage and processing in AI applications”</v>
      </c>
    </row>
    <row r="117" spans="1:8" x14ac:dyDescent="0.25">
      <c r="A117" s="5">
        <v>7</v>
      </c>
      <c r="B117" t="s">
        <v>15</v>
      </c>
      <c r="C117" s="6">
        <f>IF(Tabelle18[[#This Row],[binding_level_company]]&gt;=1,1,0)</f>
        <v>1</v>
      </c>
      <c r="D117" s="6">
        <f>IFERROR(_xlfn.MAXIFS([1]!Tabelle5[binding_level],[1]!Tabelle5[company_id],Tabelle18[[#This Row],[company_id]],[1]!Tabelle5[value_id],Tabelle18[[#This Row],[value_id]],[1]!Tabelle5[value_present],1),0)</f>
        <v>2</v>
      </c>
      <c r="E117" s="6">
        <f>IFERROR(_xlfn.MAXIFS([1]!Tabelle5[value_points],[1]!Tabelle5[company_id],Tabelle18[[#This Row],[company_id]],[1]!Tabelle5[value_id],Tabelle18[[#This Row],[value_id]]),0)</f>
        <v>2</v>
      </c>
      <c r="F11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7" t="str" cm="1">
        <f t="array" ref="G1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2; S. 9</v>
      </c>
      <c r="H117" s="7" t="str" cm="1">
        <f t="array" ref="H1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“safety standards designed to decrease the risk of unintended consequences and errors”; “help customers to drive safely, park and stay connected”</v>
      </c>
    </row>
    <row r="118" spans="1:8" x14ac:dyDescent="0.25">
      <c r="A118" s="5">
        <v>7</v>
      </c>
      <c r="B118" t="s">
        <v>16</v>
      </c>
      <c r="C118" s="6">
        <f>IF(Tabelle18[[#This Row],[binding_level_company]]&gt;=1,1,0)</f>
        <v>1</v>
      </c>
      <c r="D118" s="6">
        <f>IFERROR(_xlfn.MAXIFS([1]!Tabelle5[binding_level],[1]!Tabelle5[company_id],Tabelle18[[#This Row],[company_id]],[1]!Tabelle5[value_id],Tabelle18[[#This Row],[value_id]],[1]!Tabelle5[value_present],1),0)</f>
        <v>2</v>
      </c>
      <c r="E118" s="6">
        <f>IFERROR(_xlfn.MAXIFS([1]!Tabelle5[value_points],[1]!Tabelle5[company_id],Tabelle18[[#This Row],[company_id]],[1]!Tabelle5[value_id],Tabelle18[[#This Row],[value_id]]),0)</f>
        <v>2</v>
      </c>
      <c r="F11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18" t="str" cm="1">
        <f t="array" ref="G1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18" s="7" t="str" cm="1">
        <f t="array" ref="H1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“aims to develop robust AI applications”</v>
      </c>
    </row>
    <row r="119" spans="1:8" x14ac:dyDescent="0.25">
      <c r="A119" s="5">
        <v>7</v>
      </c>
      <c r="B119" t="s">
        <v>17</v>
      </c>
      <c r="C119" s="6">
        <f>IF(Tabelle18[[#This Row],[binding_level_company]]&gt;=1,1,0)</f>
        <v>0</v>
      </c>
      <c r="D119" s="6">
        <f>IFERROR(_xlfn.MAXIFS([1]!Tabelle5[binding_level],[1]!Tabelle5[company_id],Tabelle18[[#This Row],[company_id]],[1]!Tabelle5[value_id],Tabelle18[[#This Row],[value_id]],[1]!Tabelle5[value_present],1),0)</f>
        <v>0</v>
      </c>
      <c r="E119" s="6">
        <f>IFERROR(_xlfn.MAXIFS([1]!Tabelle5[value_points],[1]!Tabelle5[company_id],Tabelle18[[#This Row],[company_id]],[1]!Tabelle5[value_id],Tabelle18[[#This Row],[value_id]]),0)</f>
        <v>0</v>
      </c>
      <c r="F11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19" t="str" cm="1">
        <f t="array" ref="G1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19" s="7" t="str" cm="1">
        <f t="array" ref="H1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20" spans="1:8" x14ac:dyDescent="0.25">
      <c r="A120" s="5">
        <v>7</v>
      </c>
      <c r="B120" t="s">
        <v>18</v>
      </c>
      <c r="C120" s="6">
        <f>IF(Tabelle18[[#This Row],[binding_level_company]]&gt;=1,1,0)</f>
        <v>0</v>
      </c>
      <c r="D120" s="6">
        <f>IFERROR(_xlfn.MAXIFS([1]!Tabelle5[binding_level],[1]!Tabelle5[company_id],Tabelle18[[#This Row],[company_id]],[1]!Tabelle5[value_id],Tabelle18[[#This Row],[value_id]],[1]!Tabelle5[value_present],1),0)</f>
        <v>0</v>
      </c>
      <c r="E120" s="6">
        <f>IFERROR(_xlfn.MAXIFS([1]!Tabelle5[value_points],[1]!Tabelle5[company_id],Tabelle18[[#This Row],[company_id]],[1]!Tabelle5[value_id],Tabelle18[[#This Row],[value_id]]),0)</f>
        <v>0</v>
      </c>
      <c r="F12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20" t="str" cm="1">
        <f t="array" ref="G1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20" s="7" t="str" cm="1">
        <f t="array" ref="H1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21" spans="1:8" x14ac:dyDescent="0.25">
      <c r="A121" s="5">
        <v>7</v>
      </c>
      <c r="B121" t="s">
        <v>19</v>
      </c>
      <c r="C121" s="6">
        <f>IF(Tabelle18[[#This Row],[binding_level_company]]&gt;=1,1,0)</f>
        <v>1</v>
      </c>
      <c r="D121" s="6">
        <f>IFERROR(_xlfn.MAXIFS([1]!Tabelle5[binding_level],[1]!Tabelle5[company_id],Tabelle18[[#This Row],[company_id]],[1]!Tabelle5[value_id],Tabelle18[[#This Row],[value_id]],[1]!Tabelle5[value_present],1),0)</f>
        <v>1</v>
      </c>
      <c r="E121" s="6">
        <f>IFERROR(_xlfn.MAXIFS([1]!Tabelle5[value_points],[1]!Tabelle5[company_id],Tabelle18[[#This Row],[company_id]],[1]!Tabelle5[value_id],Tabelle18[[#This Row],[value_id]]),0)</f>
        <v>1</v>
      </c>
      <c r="F12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21" t="str" cm="1">
        <f t="array" ref="G1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2; S. 8</v>
      </c>
      <c r="H121" s="7" t="str" cm="1">
        <f t="array" ref="H1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“climate change and environmental protection”; “approximately 1,200 MWh of thermal energy”</v>
      </c>
    </row>
    <row r="122" spans="1:8" x14ac:dyDescent="0.25">
      <c r="A122" s="5">
        <v>7</v>
      </c>
      <c r="B122" t="s">
        <v>20</v>
      </c>
      <c r="C122" s="6">
        <f>IF(Tabelle18[[#This Row],[binding_level_company]]&gt;=1,1,0)</f>
        <v>1</v>
      </c>
      <c r="D122" s="6">
        <f>IFERROR(_xlfn.MAXIFS([1]!Tabelle5[binding_level],[1]!Tabelle5[company_id],Tabelle18[[#This Row],[company_id]],[1]!Tabelle5[value_id],Tabelle18[[#This Row],[value_id]],[1]!Tabelle5[value_present],1),0)</f>
        <v>1</v>
      </c>
      <c r="E122" s="6">
        <f>IFERROR(_xlfn.MAXIFS([1]!Tabelle5[value_points],[1]!Tabelle5[company_id],Tabelle18[[#This Row],[company_id]],[1]!Tabelle5[value_id],Tabelle18[[#This Row],[value_id]]),0)</f>
        <v>1</v>
      </c>
      <c r="F12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22" t="str" cm="1">
        <f t="array" ref="G12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22" s="7" t="str" cm="1">
        <f t="array" ref="H12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“promote the well-being of customers, employees and partners”</v>
      </c>
    </row>
    <row r="123" spans="1:8" x14ac:dyDescent="0.25">
      <c r="A123" s="5">
        <v>7</v>
      </c>
      <c r="B123" t="s">
        <v>21</v>
      </c>
      <c r="C123" s="6">
        <f>IF(Tabelle18[[#This Row],[binding_level_company]]&gt;=1,1,0)</f>
        <v>1</v>
      </c>
      <c r="D123" s="6">
        <f>IFERROR(_xlfn.MAXIFS([1]!Tabelle5[binding_level],[1]!Tabelle5[company_id],Tabelle18[[#This Row],[company_id]],[1]!Tabelle5[value_id],Tabelle18[[#This Row],[value_id]],[1]!Tabelle5[value_present],1),0)</f>
        <v>1</v>
      </c>
      <c r="E123" s="6">
        <f>IFERROR(_xlfn.MAXIFS([1]!Tabelle5[value_points],[1]!Tabelle5[company_id],Tabelle18[[#This Row],[company_id]],[1]!Tabelle5[value_id],Tabelle18[[#This Row],[value_id]]),0)</f>
        <v>1</v>
      </c>
      <c r="F12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23" t="str" cm="1">
        <f t="array" ref="G12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23" s="7" t="str" cm="1">
        <f t="array" ref="H12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“preventing non-compliance by AI applications”</v>
      </c>
    </row>
    <row r="124" spans="1:8" x14ac:dyDescent="0.25">
      <c r="A124" s="5">
        <v>7</v>
      </c>
      <c r="B124" t="s">
        <v>22</v>
      </c>
      <c r="C124" s="6">
        <f>IF(Tabelle18[[#This Row],[binding_level_company]]&gt;=1,1,0)</f>
        <v>0</v>
      </c>
      <c r="D124" s="6">
        <f>IFERROR(_xlfn.MAXIFS([1]!Tabelle5[binding_level],[1]!Tabelle5[company_id],Tabelle18[[#This Row],[company_id]],[1]!Tabelle5[value_id],Tabelle18[[#This Row],[value_id]],[1]!Tabelle5[value_present],1),0)</f>
        <v>0</v>
      </c>
      <c r="E124" s="6">
        <f>IFERROR(_xlfn.MAXIFS([1]!Tabelle5[value_points],[1]!Tabelle5[company_id],Tabelle18[[#This Row],[company_id]],[1]!Tabelle5[value_id],Tabelle18[[#This Row],[value_id]]),0)</f>
        <v>0</v>
      </c>
      <c r="F12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24" t="str" cm="1">
        <f t="array" ref="G12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24" s="7" t="str" cm="1">
        <f t="array" ref="H12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25" spans="1:8" x14ac:dyDescent="0.25">
      <c r="A125" s="5">
        <v>7</v>
      </c>
      <c r="B125" t="s">
        <v>23</v>
      </c>
      <c r="C125" s="6">
        <f>IF(Tabelle18[[#This Row],[binding_level_company]]&gt;=1,1,0)</f>
        <v>1</v>
      </c>
      <c r="D125" s="6">
        <f>IFERROR(_xlfn.MAXIFS([1]!Tabelle5[binding_level],[1]!Tabelle5[company_id],Tabelle18[[#This Row],[company_id]],[1]!Tabelle5[value_id],Tabelle18[[#This Row],[value_id]],[1]!Tabelle5[value_present],1),0)</f>
        <v>2</v>
      </c>
      <c r="E125" s="6">
        <f>IFERROR(_xlfn.MAXIFS([1]!Tabelle5[value_points],[1]!Tabelle5[company_id],Tabelle18[[#This Row],[company_id]],[1]!Tabelle5[value_id],Tabelle18[[#This Row],[value_id]]),0)</f>
        <v>2</v>
      </c>
      <c r="F12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25" t="str" cm="1">
        <f t="array" ref="G12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2; S. 4</v>
      </c>
      <c r="H125" s="7" t="str" cm="1">
        <f t="array" ref="H12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“Privacy and data governance”; “checked – in real time – for linguistic quality, similarity and consistency”</v>
      </c>
    </row>
    <row r="126" spans="1:8" x14ac:dyDescent="0.25">
      <c r="A126" s="5">
        <v>7</v>
      </c>
      <c r="B126" t="s">
        <v>24</v>
      </c>
      <c r="C126" s="6">
        <f>IF(Tabelle18[[#This Row],[binding_level_company]]&gt;=1,1,0)</f>
        <v>1</v>
      </c>
      <c r="D126" s="6">
        <f>IFERROR(_xlfn.MAXIFS([1]!Tabelle5[binding_level],[1]!Tabelle5[company_id],Tabelle18[[#This Row],[company_id]],[1]!Tabelle5[value_id],Tabelle18[[#This Row],[value_id]],[1]!Tabelle5[value_present],1),0)</f>
        <v>2</v>
      </c>
      <c r="E126" s="6">
        <f>IFERROR(_xlfn.MAXIFS([1]!Tabelle5[value_points],[1]!Tabelle5[company_id],Tabelle18[[#This Row],[company_id]],[1]!Tabelle5[value_id],Tabelle18[[#This Row],[value_id]]),0)</f>
        <v>2</v>
      </c>
      <c r="F12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26" t="str" cm="1">
        <f t="array" ref="G12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</v>
      </c>
      <c r="H126" s="7" t="str" cm="1">
        <f t="array" ref="H12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“not permitted for reasons of information protection”</v>
      </c>
    </row>
    <row r="127" spans="1:8" ht="15.75" thickBot="1" x14ac:dyDescent="0.3">
      <c r="A127" s="8">
        <v>7</v>
      </c>
      <c r="B127" s="9" t="s">
        <v>25</v>
      </c>
      <c r="C127" s="10">
        <f>IF(Tabelle18[[#This Row],[binding_level_company]]&gt;=1,1,0)</f>
        <v>1</v>
      </c>
      <c r="D127" s="10">
        <f>IFERROR(_xlfn.MAXIFS([1]!Tabelle5[binding_level],[1]!Tabelle5[company_id],Tabelle18[[#This Row],[company_id]],[1]!Tabelle5[value_id],Tabelle18[[#This Row],[value_id]],[1]!Tabelle5[value_present],1),0)</f>
        <v>1</v>
      </c>
      <c r="E127" s="10">
        <f>IFERROR(_xlfn.MAXIFS([1]!Tabelle5[value_points],[1]!Tabelle5[company_id],Tabelle18[[#This Row],[company_id]],[1]!Tabelle5[value_id],Tabelle18[[#This Row],[value_id]]),0)</f>
        <v>1</v>
      </c>
      <c r="F127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37</v>
      </c>
      <c r="G127" s="9" t="str" cm="1">
        <f t="array" ref="G12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27" s="11" t="str" cm="1">
        <f t="array" ref="H12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“goals in the areas of human rights and sustainability”</v>
      </c>
    </row>
    <row r="128" spans="1:8" x14ac:dyDescent="0.25">
      <c r="A128" s="1">
        <v>8</v>
      </c>
      <c r="B128" s="2" t="s">
        <v>8</v>
      </c>
      <c r="C128" s="3">
        <f>IF(Tabelle18[[#This Row],[binding_level_company]]&gt;=1,1,0)</f>
        <v>0</v>
      </c>
      <c r="D128" s="3">
        <f>IFERROR(_xlfn.MAXIFS([1]!Tabelle5[binding_level],[1]!Tabelle5[company_id],Tabelle18[[#This Row],[company_id]],[1]!Tabelle5[value_id],Tabelle18[[#This Row],[value_id]],[1]!Tabelle5[value_present],1),0)</f>
        <v>0</v>
      </c>
      <c r="E128" s="3">
        <f>IFERROR(_xlfn.MAXIFS([1]!Tabelle5[value_points],[1]!Tabelle5[company_id],Tabelle18[[#This Row],[company_id]],[1]!Tabelle5[value_id],Tabelle18[[#This Row],[value_id]]),0)</f>
        <v>0</v>
      </c>
      <c r="F128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28" s="2" t="str" cm="1">
        <f t="array" ref="G12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28" s="4" t="str" cm="1">
        <f t="array" ref="H12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29" spans="1:8" x14ac:dyDescent="0.25">
      <c r="A129" s="5">
        <v>8</v>
      </c>
      <c r="B129" t="s">
        <v>9</v>
      </c>
      <c r="C129" s="6">
        <f>IF(Tabelle18[[#This Row],[binding_level_company]]&gt;=1,1,0)</f>
        <v>0</v>
      </c>
      <c r="D129" s="6">
        <f>IFERROR(_xlfn.MAXIFS([1]!Tabelle5[binding_level],[1]!Tabelle5[company_id],Tabelle18[[#This Row],[company_id]],[1]!Tabelle5[value_id],Tabelle18[[#This Row],[value_id]],[1]!Tabelle5[value_present],1),0)</f>
        <v>0</v>
      </c>
      <c r="E129" s="6">
        <f>IFERROR(_xlfn.MAXIFS([1]!Tabelle5[value_points],[1]!Tabelle5[company_id],Tabelle18[[#This Row],[company_id]],[1]!Tabelle5[value_id],Tabelle18[[#This Row],[value_id]]),0)</f>
        <v>0</v>
      </c>
      <c r="F12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29" t="str" cm="1">
        <f t="array" ref="G12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29" s="7" t="str" cm="1">
        <f t="array" ref="H12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0" spans="1:8" x14ac:dyDescent="0.25">
      <c r="A130" s="5">
        <v>8</v>
      </c>
      <c r="B130" t="s">
        <v>10</v>
      </c>
      <c r="C130" s="6">
        <f>IF(Tabelle18[[#This Row],[binding_level_company]]&gt;=1,1,0)</f>
        <v>0</v>
      </c>
      <c r="D130" s="6">
        <f>IFERROR(_xlfn.MAXIFS([1]!Tabelle5[binding_level],[1]!Tabelle5[company_id],Tabelle18[[#This Row],[company_id]],[1]!Tabelle5[value_id],Tabelle18[[#This Row],[value_id]],[1]!Tabelle5[value_present],1),0)</f>
        <v>0</v>
      </c>
      <c r="E130" s="6">
        <f>IFERROR(_xlfn.MAXIFS([1]!Tabelle5[value_points],[1]!Tabelle5[company_id],Tabelle18[[#This Row],[company_id]],[1]!Tabelle5[value_id],Tabelle18[[#This Row],[value_id]]),0)</f>
        <v>0</v>
      </c>
      <c r="F13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0" t="str" cm="1">
        <f t="array" ref="G13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0" s="7" t="str" cm="1">
        <f t="array" ref="H13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1" spans="1:8" x14ac:dyDescent="0.25">
      <c r="A131" s="5">
        <v>8</v>
      </c>
      <c r="B131" t="s">
        <v>11</v>
      </c>
      <c r="C131" s="6">
        <f>IF(Tabelle18[[#This Row],[binding_level_company]]&gt;=1,1,0)</f>
        <v>0</v>
      </c>
      <c r="D131" s="6">
        <f>IFERROR(_xlfn.MAXIFS([1]!Tabelle5[binding_level],[1]!Tabelle5[company_id],Tabelle18[[#This Row],[company_id]],[1]!Tabelle5[value_id],Tabelle18[[#This Row],[value_id]],[1]!Tabelle5[value_present],1),0)</f>
        <v>0</v>
      </c>
      <c r="E131" s="6">
        <f>IFERROR(_xlfn.MAXIFS([1]!Tabelle5[value_points],[1]!Tabelle5[company_id],Tabelle18[[#This Row],[company_id]],[1]!Tabelle5[value_id],Tabelle18[[#This Row],[value_id]]),0)</f>
        <v>0</v>
      </c>
      <c r="F13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1" t="str" cm="1">
        <f t="array" ref="G13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1" s="7" t="str" cm="1">
        <f t="array" ref="H13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2" spans="1:8" x14ac:dyDescent="0.25">
      <c r="A132" s="5">
        <v>8</v>
      </c>
      <c r="B132" t="s">
        <v>12</v>
      </c>
      <c r="C132" s="6">
        <f>IF(Tabelle18[[#This Row],[binding_level_company]]&gt;=1,1,0)</f>
        <v>0</v>
      </c>
      <c r="D132" s="6">
        <f>IFERROR(_xlfn.MAXIFS([1]!Tabelle5[binding_level],[1]!Tabelle5[company_id],Tabelle18[[#This Row],[company_id]],[1]!Tabelle5[value_id],Tabelle18[[#This Row],[value_id]],[1]!Tabelle5[value_present],1),0)</f>
        <v>0</v>
      </c>
      <c r="E132" s="6">
        <f>IFERROR(_xlfn.MAXIFS([1]!Tabelle5[value_points],[1]!Tabelle5[company_id],Tabelle18[[#This Row],[company_id]],[1]!Tabelle5[value_id],Tabelle18[[#This Row],[value_id]]),0)</f>
        <v>0</v>
      </c>
      <c r="F13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2" t="str" cm="1">
        <f t="array" ref="G13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2" s="7" t="str" cm="1">
        <f t="array" ref="H13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3" spans="1:8" x14ac:dyDescent="0.25">
      <c r="A133" s="5">
        <v>8</v>
      </c>
      <c r="B133" t="s">
        <v>13</v>
      </c>
      <c r="C133" s="6">
        <f>IF(Tabelle18[[#This Row],[binding_level_company]]&gt;=1,1,0)</f>
        <v>0</v>
      </c>
      <c r="D133" s="6">
        <f>IFERROR(_xlfn.MAXIFS([1]!Tabelle5[binding_level],[1]!Tabelle5[company_id],Tabelle18[[#This Row],[company_id]],[1]!Tabelle5[value_id],Tabelle18[[#This Row],[value_id]],[1]!Tabelle5[value_present],1),0)</f>
        <v>0</v>
      </c>
      <c r="E133" s="6">
        <f>IFERROR(_xlfn.MAXIFS([1]!Tabelle5[value_points],[1]!Tabelle5[company_id],Tabelle18[[#This Row],[company_id]],[1]!Tabelle5[value_id],Tabelle18[[#This Row],[value_id]]),0)</f>
        <v>0</v>
      </c>
      <c r="F13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3" t="str" cm="1">
        <f t="array" ref="G13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3" s="7" t="str" cm="1">
        <f t="array" ref="H13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4" spans="1:8" x14ac:dyDescent="0.25">
      <c r="A134" s="5">
        <v>8</v>
      </c>
      <c r="B134" t="s">
        <v>14</v>
      </c>
      <c r="C134" s="6">
        <f>IF(Tabelle18[[#This Row],[binding_level_company]]&gt;=1,1,0)</f>
        <v>0</v>
      </c>
      <c r="D134" s="6">
        <f>IFERROR(_xlfn.MAXIFS([1]!Tabelle5[binding_level],[1]!Tabelle5[company_id],Tabelle18[[#This Row],[company_id]],[1]!Tabelle5[value_id],Tabelle18[[#This Row],[value_id]],[1]!Tabelle5[value_present],1),0)</f>
        <v>0</v>
      </c>
      <c r="E134" s="6">
        <f>IFERROR(_xlfn.MAXIFS([1]!Tabelle5[value_points],[1]!Tabelle5[company_id],Tabelle18[[#This Row],[company_id]],[1]!Tabelle5[value_id],Tabelle18[[#This Row],[value_id]]),0)</f>
        <v>0</v>
      </c>
      <c r="F13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4" t="str" cm="1">
        <f t="array" ref="G13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4" s="7" t="str" cm="1">
        <f t="array" ref="H13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5" spans="1:8" x14ac:dyDescent="0.25">
      <c r="A135" s="5">
        <v>8</v>
      </c>
      <c r="B135" t="s">
        <v>15</v>
      </c>
      <c r="C135" s="6">
        <f>IF(Tabelle18[[#This Row],[binding_level_company]]&gt;=1,1,0)</f>
        <v>0</v>
      </c>
      <c r="D135" s="6">
        <f>IFERROR(_xlfn.MAXIFS([1]!Tabelle5[binding_level],[1]!Tabelle5[company_id],Tabelle18[[#This Row],[company_id]],[1]!Tabelle5[value_id],Tabelle18[[#This Row],[value_id]],[1]!Tabelle5[value_present],1),0)</f>
        <v>0</v>
      </c>
      <c r="E135" s="6">
        <f>IFERROR(_xlfn.MAXIFS([1]!Tabelle5[value_points],[1]!Tabelle5[company_id],Tabelle18[[#This Row],[company_id]],[1]!Tabelle5[value_id],Tabelle18[[#This Row],[value_id]]),0)</f>
        <v>0</v>
      </c>
      <c r="F13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5" t="str" cm="1">
        <f t="array" ref="G13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5" s="7" t="str" cm="1">
        <f t="array" ref="H13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6" spans="1:8" x14ac:dyDescent="0.25">
      <c r="A136" s="5">
        <v>8</v>
      </c>
      <c r="B136" t="s">
        <v>16</v>
      </c>
      <c r="C136" s="6">
        <f>IF(Tabelle18[[#This Row],[binding_level_company]]&gt;=1,1,0)</f>
        <v>0</v>
      </c>
      <c r="D136" s="6">
        <f>IFERROR(_xlfn.MAXIFS([1]!Tabelle5[binding_level],[1]!Tabelle5[company_id],Tabelle18[[#This Row],[company_id]],[1]!Tabelle5[value_id],Tabelle18[[#This Row],[value_id]],[1]!Tabelle5[value_present],1),0)</f>
        <v>0</v>
      </c>
      <c r="E136" s="6">
        <f>IFERROR(_xlfn.MAXIFS([1]!Tabelle5[value_points],[1]!Tabelle5[company_id],Tabelle18[[#This Row],[company_id]],[1]!Tabelle5[value_id],Tabelle18[[#This Row],[value_id]]),0)</f>
        <v>0</v>
      </c>
      <c r="F13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6" t="str" cm="1">
        <f t="array" ref="G13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6" s="7" t="str" cm="1">
        <f t="array" ref="H13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7" spans="1:8" x14ac:dyDescent="0.25">
      <c r="A137" s="5">
        <v>8</v>
      </c>
      <c r="B137" t="s">
        <v>17</v>
      </c>
      <c r="C137" s="6">
        <f>IF(Tabelle18[[#This Row],[binding_level_company]]&gt;=1,1,0)</f>
        <v>0</v>
      </c>
      <c r="D137" s="6">
        <f>IFERROR(_xlfn.MAXIFS([1]!Tabelle5[binding_level],[1]!Tabelle5[company_id],Tabelle18[[#This Row],[company_id]],[1]!Tabelle5[value_id],Tabelle18[[#This Row],[value_id]],[1]!Tabelle5[value_present],1),0)</f>
        <v>0</v>
      </c>
      <c r="E137" s="6">
        <f>IFERROR(_xlfn.MAXIFS([1]!Tabelle5[value_points],[1]!Tabelle5[company_id],Tabelle18[[#This Row],[company_id]],[1]!Tabelle5[value_id],Tabelle18[[#This Row],[value_id]]),0)</f>
        <v>0</v>
      </c>
      <c r="F13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7" t="str" cm="1">
        <f t="array" ref="G13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7" s="7" t="str" cm="1">
        <f t="array" ref="H13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8" spans="1:8" x14ac:dyDescent="0.25">
      <c r="A138" s="5">
        <v>8</v>
      </c>
      <c r="B138" t="s">
        <v>18</v>
      </c>
      <c r="C138" s="6">
        <f>IF(Tabelle18[[#This Row],[binding_level_company]]&gt;=1,1,0)</f>
        <v>0</v>
      </c>
      <c r="D138" s="6">
        <f>IFERROR(_xlfn.MAXIFS([1]!Tabelle5[binding_level],[1]!Tabelle5[company_id],Tabelle18[[#This Row],[company_id]],[1]!Tabelle5[value_id],Tabelle18[[#This Row],[value_id]],[1]!Tabelle5[value_present],1),0)</f>
        <v>0</v>
      </c>
      <c r="E138" s="6">
        <f>IFERROR(_xlfn.MAXIFS([1]!Tabelle5[value_points],[1]!Tabelle5[company_id],Tabelle18[[#This Row],[company_id]],[1]!Tabelle5[value_id],Tabelle18[[#This Row],[value_id]]),0)</f>
        <v>0</v>
      </c>
      <c r="F13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8" t="str" cm="1">
        <f t="array" ref="G13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8" s="7" t="str" cm="1">
        <f t="array" ref="H13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39" spans="1:8" x14ac:dyDescent="0.25">
      <c r="A139" s="5">
        <v>8</v>
      </c>
      <c r="B139" t="s">
        <v>19</v>
      </c>
      <c r="C139" s="6">
        <f>IF(Tabelle18[[#This Row],[binding_level_company]]&gt;=1,1,0)</f>
        <v>0</v>
      </c>
      <c r="D139" s="6">
        <f>IFERROR(_xlfn.MAXIFS([1]!Tabelle5[binding_level],[1]!Tabelle5[company_id],Tabelle18[[#This Row],[company_id]],[1]!Tabelle5[value_id],Tabelle18[[#This Row],[value_id]],[1]!Tabelle5[value_present],1),0)</f>
        <v>0</v>
      </c>
      <c r="E139" s="6">
        <f>IFERROR(_xlfn.MAXIFS([1]!Tabelle5[value_points],[1]!Tabelle5[company_id],Tabelle18[[#This Row],[company_id]],[1]!Tabelle5[value_id],Tabelle18[[#This Row],[value_id]]),0)</f>
        <v>0</v>
      </c>
      <c r="F13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39" t="str" cm="1">
        <f t="array" ref="G13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39" s="7" t="str" cm="1">
        <f t="array" ref="H13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0" spans="1:8" x14ac:dyDescent="0.25">
      <c r="A140" s="5">
        <v>8</v>
      </c>
      <c r="B140" t="s">
        <v>20</v>
      </c>
      <c r="C140" s="6">
        <f>IF(Tabelle18[[#This Row],[binding_level_company]]&gt;=1,1,0)</f>
        <v>0</v>
      </c>
      <c r="D140" s="6">
        <f>IFERROR(_xlfn.MAXIFS([1]!Tabelle5[binding_level],[1]!Tabelle5[company_id],Tabelle18[[#This Row],[company_id]],[1]!Tabelle5[value_id],Tabelle18[[#This Row],[value_id]],[1]!Tabelle5[value_present],1),0)</f>
        <v>0</v>
      </c>
      <c r="E140" s="6">
        <f>IFERROR(_xlfn.MAXIFS([1]!Tabelle5[value_points],[1]!Tabelle5[company_id],Tabelle18[[#This Row],[company_id]],[1]!Tabelle5[value_id],Tabelle18[[#This Row],[value_id]]),0)</f>
        <v>0</v>
      </c>
      <c r="F14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40" t="str" cm="1">
        <f t="array" ref="G14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40" s="7" t="str" cm="1">
        <f t="array" ref="H14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1" spans="1:8" x14ac:dyDescent="0.25">
      <c r="A141" s="5">
        <v>8</v>
      </c>
      <c r="B141" t="s">
        <v>21</v>
      </c>
      <c r="C141" s="6">
        <f>IF(Tabelle18[[#This Row],[binding_level_company]]&gt;=1,1,0)</f>
        <v>0</v>
      </c>
      <c r="D141" s="6">
        <f>IFERROR(_xlfn.MAXIFS([1]!Tabelle5[binding_level],[1]!Tabelle5[company_id],Tabelle18[[#This Row],[company_id]],[1]!Tabelle5[value_id],Tabelle18[[#This Row],[value_id]],[1]!Tabelle5[value_present],1),0)</f>
        <v>0</v>
      </c>
      <c r="E141" s="6">
        <f>IFERROR(_xlfn.MAXIFS([1]!Tabelle5[value_points],[1]!Tabelle5[company_id],Tabelle18[[#This Row],[company_id]],[1]!Tabelle5[value_id],Tabelle18[[#This Row],[value_id]]),0)</f>
        <v>0</v>
      </c>
      <c r="F14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41" t="str" cm="1">
        <f t="array" ref="G14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41" s="7" t="str" cm="1">
        <f t="array" ref="H14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2" spans="1:8" x14ac:dyDescent="0.25">
      <c r="A142" s="5">
        <v>8</v>
      </c>
      <c r="B142" t="s">
        <v>22</v>
      </c>
      <c r="C142" s="6">
        <f>IF(Tabelle18[[#This Row],[binding_level_company]]&gt;=1,1,0)</f>
        <v>0</v>
      </c>
      <c r="D142" s="6">
        <f>IFERROR(_xlfn.MAXIFS([1]!Tabelle5[binding_level],[1]!Tabelle5[company_id],Tabelle18[[#This Row],[company_id]],[1]!Tabelle5[value_id],Tabelle18[[#This Row],[value_id]],[1]!Tabelle5[value_present],1),0)</f>
        <v>0</v>
      </c>
      <c r="E142" s="6">
        <f>IFERROR(_xlfn.MAXIFS([1]!Tabelle5[value_points],[1]!Tabelle5[company_id],Tabelle18[[#This Row],[company_id]],[1]!Tabelle5[value_id],Tabelle18[[#This Row],[value_id]]),0)</f>
        <v>0</v>
      </c>
      <c r="F14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42" t="str" cm="1">
        <f t="array" ref="G14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42" s="7" t="str" cm="1">
        <f t="array" ref="H14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3" spans="1:8" x14ac:dyDescent="0.25">
      <c r="A143" s="5">
        <v>8</v>
      </c>
      <c r="B143" t="s">
        <v>23</v>
      </c>
      <c r="C143" s="6">
        <f>IF(Tabelle18[[#This Row],[binding_level_company]]&gt;=1,1,0)</f>
        <v>0</v>
      </c>
      <c r="D143" s="6">
        <f>IFERROR(_xlfn.MAXIFS([1]!Tabelle5[binding_level],[1]!Tabelle5[company_id],Tabelle18[[#This Row],[company_id]],[1]!Tabelle5[value_id],Tabelle18[[#This Row],[value_id]],[1]!Tabelle5[value_present],1),0)</f>
        <v>0</v>
      </c>
      <c r="E143" s="6">
        <f>IFERROR(_xlfn.MAXIFS([1]!Tabelle5[value_points],[1]!Tabelle5[company_id],Tabelle18[[#This Row],[company_id]],[1]!Tabelle5[value_id],Tabelle18[[#This Row],[value_id]]),0)</f>
        <v>0</v>
      </c>
      <c r="F14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43" t="str" cm="1">
        <f t="array" ref="G14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43" s="7" t="str" cm="1">
        <f t="array" ref="H14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4" spans="1:8" x14ac:dyDescent="0.25">
      <c r="A144" s="5">
        <v>8</v>
      </c>
      <c r="B144" t="s">
        <v>24</v>
      </c>
      <c r="C144" s="6">
        <f>IF(Tabelle18[[#This Row],[binding_level_company]]&gt;=1,1,0)</f>
        <v>0</v>
      </c>
      <c r="D144" s="6">
        <f>IFERROR(_xlfn.MAXIFS([1]!Tabelle5[binding_level],[1]!Tabelle5[company_id],Tabelle18[[#This Row],[company_id]],[1]!Tabelle5[value_id],Tabelle18[[#This Row],[value_id]],[1]!Tabelle5[value_present],1),0)</f>
        <v>0</v>
      </c>
      <c r="E144" s="6">
        <f>IFERROR(_xlfn.MAXIFS([1]!Tabelle5[value_points],[1]!Tabelle5[company_id],Tabelle18[[#This Row],[company_id]],[1]!Tabelle5[value_id],Tabelle18[[#This Row],[value_id]]),0)</f>
        <v>0</v>
      </c>
      <c r="F14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44" t="str" cm="1">
        <f t="array" ref="G14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44" s="7" t="str" cm="1">
        <f t="array" ref="H14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5" spans="1:8" ht="15.75" thickBot="1" x14ac:dyDescent="0.3">
      <c r="A145" s="8">
        <v>8</v>
      </c>
      <c r="B145" s="9" t="s">
        <v>25</v>
      </c>
      <c r="C145" s="10">
        <f>IF(Tabelle18[[#This Row],[binding_level_company]]&gt;=1,1,0)</f>
        <v>0</v>
      </c>
      <c r="D145" s="10">
        <f>IFERROR(_xlfn.MAXIFS([1]!Tabelle5[binding_level],[1]!Tabelle5[company_id],Tabelle18[[#This Row],[company_id]],[1]!Tabelle5[value_id],Tabelle18[[#This Row],[value_id]],[1]!Tabelle5[value_present],1),0)</f>
        <v>0</v>
      </c>
      <c r="E145" s="10">
        <f>IFERROR(_xlfn.MAXIFS([1]!Tabelle5[value_points],[1]!Tabelle5[company_id],Tabelle18[[#This Row],[company_id]],[1]!Tabelle5[value_id],Tabelle18[[#This Row],[value_id]]),0)</f>
        <v>0</v>
      </c>
      <c r="F145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45" s="9" t="str" cm="1">
        <f t="array" ref="G14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45" s="11" t="str" cm="1">
        <f t="array" ref="H14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46" spans="1:8" x14ac:dyDescent="0.25">
      <c r="A146" s="1">
        <v>9</v>
      </c>
      <c r="B146" s="2" t="s">
        <v>8</v>
      </c>
      <c r="C146" s="3">
        <f>IF(Tabelle18[[#This Row],[binding_level_company]]&gt;=1,1,0)</f>
        <v>1</v>
      </c>
      <c r="D146" s="3">
        <f>IFERROR(_xlfn.MAXIFS([1]!Tabelle5[binding_level],[1]!Tabelle5[company_id],Tabelle18[[#This Row],[company_id]],[1]!Tabelle5[value_id],Tabelle18[[#This Row],[value_id]],[1]!Tabelle5[value_present],1),0)</f>
        <v>3</v>
      </c>
      <c r="E146" s="3">
        <f>IFERROR(_xlfn.MAXIFS([1]!Tabelle5[value_points],[1]!Tabelle5[company_id],Tabelle18[[#This Row],[company_id]],[1]!Tabelle5[value_id],Tabelle18[[#This Row],[value_id]]),0)</f>
        <v>3</v>
      </c>
      <c r="F146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46" s="2" t="str" cm="1">
        <f t="array" ref="G14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46" s="4" t="str" cm="1">
        <f t="array" ref="H14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“human control”; “intervention options and mandatory testing</v>
      </c>
    </row>
    <row r="147" spans="1:8" x14ac:dyDescent="0.25">
      <c r="A147" s="5">
        <v>9</v>
      </c>
      <c r="B147" t="s">
        <v>9</v>
      </c>
      <c r="C147" s="6">
        <f>IF(Tabelle18[[#This Row],[binding_level_company]]&gt;=1,1,0)</f>
        <v>1</v>
      </c>
      <c r="D147" s="6">
        <f>IFERROR(_xlfn.MAXIFS([1]!Tabelle5[binding_level],[1]!Tabelle5[company_id],Tabelle18[[#This Row],[company_id]],[1]!Tabelle5[value_id],Tabelle18[[#This Row],[value_id]],[1]!Tabelle5[value_present],1),0)</f>
        <v>2</v>
      </c>
      <c r="E147" s="6">
        <f>IFERROR(_xlfn.MAXIFS([1]!Tabelle5[value_points],[1]!Tabelle5[company_id],Tabelle18[[#This Row],[company_id]],[1]!Tabelle5[value_id],Tabelle18[[#This Row],[value_id]]),0)</f>
        <v>2</v>
      </c>
      <c r="F14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48</v>
      </c>
      <c r="G147" t="str" cm="1">
        <f t="array" ref="G14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</v>
      </c>
      <c r="H147" s="7" t="str" cm="1">
        <f t="array" ref="H14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“Responsibility can never be outsourced.”</v>
      </c>
    </row>
    <row r="148" spans="1:8" x14ac:dyDescent="0.25">
      <c r="A148" s="5">
        <v>9</v>
      </c>
      <c r="B148" t="s">
        <v>10</v>
      </c>
      <c r="C148" s="6">
        <f>IF(Tabelle18[[#This Row],[binding_level_company]]&gt;=1,1,0)</f>
        <v>1</v>
      </c>
      <c r="D148" s="6">
        <f>IFERROR(_xlfn.MAXIFS([1]!Tabelle5[binding_level],[1]!Tabelle5[company_id],Tabelle18[[#This Row],[company_id]],[1]!Tabelle5[value_id],Tabelle18[[#This Row],[value_id]],[1]!Tabelle5[value_present],1),0)</f>
        <v>3</v>
      </c>
      <c r="E148" s="6">
        <f>IFERROR(_xlfn.MAXIFS([1]!Tabelle5[value_points],[1]!Tabelle5[company_id],Tabelle18[[#This Row],[company_id]],[1]!Tabelle5[value_id],Tabelle18[[#This Row],[value_id]]),0)</f>
        <v>3</v>
      </c>
      <c r="F14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48" t="str" cm="1">
        <f t="array" ref="G14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1–2</v>
      </c>
      <c r="H148" s="7" t="str" cm="1">
        <f t="array" ref="H14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“make the use of AI and ML transparent”; “transparency about the interaction with an AI system is created on the front end</v>
      </c>
    </row>
    <row r="149" spans="1:8" x14ac:dyDescent="0.25">
      <c r="A149" s="5">
        <v>9</v>
      </c>
      <c r="B149" t="s">
        <v>11</v>
      </c>
      <c r="C149" s="6">
        <f>IF(Tabelle18[[#This Row],[binding_level_company]]&gt;=1,1,0)</f>
        <v>1</v>
      </c>
      <c r="D149" s="6">
        <f>IFERROR(_xlfn.MAXIFS([1]!Tabelle5[binding_level],[1]!Tabelle5[company_id],Tabelle18[[#This Row],[company_id]],[1]!Tabelle5[value_id],Tabelle18[[#This Row],[value_id]],[1]!Tabelle5[value_present],1),0)</f>
        <v>2</v>
      </c>
      <c r="E149" s="6">
        <f>IFERROR(_xlfn.MAXIFS([1]!Tabelle5[value_points],[1]!Tabelle5[company_id],Tabelle18[[#This Row],[company_id]],[1]!Tabelle5[value_id],Tabelle18[[#This Row],[value_id]]),0)</f>
        <v>2</v>
      </c>
      <c r="F14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49" t="str" cm="1">
        <f t="array" ref="G14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1; S. 3</v>
      </c>
      <c r="H149" s="7" t="str" cm="1">
        <f t="array" ref="H14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 systems must process employee data in a comprehensible way.”; “It covers aspects of traceability, reproducibility and explainability.”</v>
      </c>
    </row>
    <row r="150" spans="1:8" x14ac:dyDescent="0.25">
      <c r="A150" s="5">
        <v>9</v>
      </c>
      <c r="B150" t="s">
        <v>12</v>
      </c>
      <c r="C150" s="6">
        <f>IF(Tabelle18[[#This Row],[binding_level_company]]&gt;=1,1,0)</f>
        <v>1</v>
      </c>
      <c r="D150" s="6">
        <f>IFERROR(_xlfn.MAXIFS([1]!Tabelle5[binding_level],[1]!Tabelle5[company_id],Tabelle18[[#This Row],[company_id]],[1]!Tabelle5[value_id],Tabelle18[[#This Row],[value_id]],[1]!Tabelle5[value_present],1),0)</f>
        <v>2</v>
      </c>
      <c r="E150" s="6">
        <f>IFERROR(_xlfn.MAXIFS([1]!Tabelle5[value_points],[1]!Tabelle5[company_id],Tabelle18[[#This Row],[company_id]],[1]!Tabelle5[value_id],Tabelle18[[#This Row],[value_id]]),0)</f>
        <v>2</v>
      </c>
      <c r="F15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50" t="str" cm="1">
        <f t="array" ref="G15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50" s="7" t="str" cm="1">
        <f t="array" ref="H15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“quality standards are aligned in such a way that discrimination is avoided”</v>
      </c>
    </row>
    <row r="151" spans="1:8" x14ac:dyDescent="0.25">
      <c r="A151" s="5">
        <v>9</v>
      </c>
      <c r="B151" t="s">
        <v>13</v>
      </c>
      <c r="C151" s="6">
        <f>IF(Tabelle18[[#This Row],[binding_level_company]]&gt;=1,1,0)</f>
        <v>1</v>
      </c>
      <c r="D151" s="6">
        <f>IFERROR(_xlfn.MAXIFS([1]!Tabelle5[binding_level],[1]!Tabelle5[company_id],Tabelle18[[#This Row],[company_id]],[1]!Tabelle5[value_id],Tabelle18[[#This Row],[value_id]],[1]!Tabelle5[value_present],1),0)</f>
        <v>2</v>
      </c>
      <c r="E151" s="6">
        <f>IFERROR(_xlfn.MAXIFS([1]!Tabelle5[value_points],[1]!Tabelle5[company_id],Tabelle18[[#This Row],[company_id]],[1]!Tabelle5[value_id],Tabelle18[[#This Row],[value_id]]),0)</f>
        <v>2</v>
      </c>
      <c r="F15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51" t="str" cm="1">
        <f t="array" ref="G15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1–2</v>
      </c>
      <c r="H151" s="7" t="str" cm="1">
        <f t="array" ref="H15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“personal rights of our employees are respected and protected”; “Article 9 (1) of GDPR also applies to AI systems”</v>
      </c>
    </row>
    <row r="152" spans="1:8" x14ac:dyDescent="0.25">
      <c r="A152" s="5">
        <v>9</v>
      </c>
      <c r="B152" t="s">
        <v>14</v>
      </c>
      <c r="C152" s="6">
        <f>IF(Tabelle18[[#This Row],[binding_level_company]]&gt;=1,1,0)</f>
        <v>1</v>
      </c>
      <c r="D152" s="6">
        <f>IFERROR(_xlfn.MAXIFS([1]!Tabelle5[binding_level],[1]!Tabelle5[company_id],Tabelle18[[#This Row],[company_id]],[1]!Tabelle5[value_id],Tabelle18[[#This Row],[value_id]],[1]!Tabelle5[value_present],1),0)</f>
        <v>2</v>
      </c>
      <c r="E152" s="6">
        <f>IFERROR(_xlfn.MAXIFS([1]!Tabelle5[value_points],[1]!Tabelle5[company_id],Tabelle18[[#This Row],[company_id]],[1]!Tabelle5[value_id],Tabelle18[[#This Row],[value_id]]),0)</f>
        <v>2</v>
      </c>
      <c r="F15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52" t="str" cm="1">
        <f t="array" ref="G15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52" s="7" t="str" cm="1">
        <f t="array" ref="H15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“includes fairness, transparency, robustness, security</v>
      </c>
    </row>
    <row r="153" spans="1:8" x14ac:dyDescent="0.25">
      <c r="A153" s="5">
        <v>9</v>
      </c>
      <c r="B153" t="s">
        <v>15</v>
      </c>
      <c r="C153" s="6">
        <f>IF(Tabelle18[[#This Row],[binding_level_company]]&gt;=1,1,0)</f>
        <v>1</v>
      </c>
      <c r="D153" s="6">
        <f>IFERROR(_xlfn.MAXIFS([1]!Tabelle5[binding_level],[1]!Tabelle5[company_id],Tabelle18[[#This Row],[company_id]],[1]!Tabelle5[value_id],Tabelle18[[#This Row],[value_id]],[1]!Tabelle5[value_present],1),0)</f>
        <v>2</v>
      </c>
      <c r="E153" s="6">
        <f>IFERROR(_xlfn.MAXIFS([1]!Tabelle5[value_points],[1]!Tabelle5[company_id],Tabelle18[[#This Row],[company_id]],[1]!Tabelle5[value_id],Tabelle18[[#This Row],[value_id]]),0)</f>
        <v>2</v>
      </c>
      <c r="F15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53" t="str" cm="1">
        <f t="array" ref="G15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1–2</v>
      </c>
      <c r="H153" s="7" t="str" cm="1">
        <f t="array" ref="H15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“errors and misuse can be avoided”; “Any manipulative, exploitative and social control practices are not used”</v>
      </c>
    </row>
    <row r="154" spans="1:8" x14ac:dyDescent="0.25">
      <c r="A154" s="5">
        <v>9</v>
      </c>
      <c r="B154" t="s">
        <v>16</v>
      </c>
      <c r="C154" s="6">
        <f>IF(Tabelle18[[#This Row],[binding_level_company]]&gt;=1,1,0)</f>
        <v>1</v>
      </c>
      <c r="D154" s="6">
        <f>IFERROR(_xlfn.MAXIFS([1]!Tabelle5[binding_level],[1]!Tabelle5[company_id],Tabelle18[[#This Row],[company_id]],[1]!Tabelle5[value_id],Tabelle18[[#This Row],[value_id]],[1]!Tabelle5[value_present],1),0)</f>
        <v>2</v>
      </c>
      <c r="E154" s="6">
        <f>IFERROR(_xlfn.MAXIFS([1]!Tabelle5[value_points],[1]!Tabelle5[company_id],Tabelle18[[#This Row],[company_id]],[1]!Tabelle5[value_id],Tabelle18[[#This Row],[value_id]]),0)</f>
        <v>2</v>
      </c>
      <c r="F15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54" t="str" cm="1">
        <f t="array" ref="G15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54" s="7" t="str" cm="1">
        <f t="array" ref="H15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“includes fairness, transparency, robustness”</v>
      </c>
    </row>
    <row r="155" spans="1:8" x14ac:dyDescent="0.25">
      <c r="A155" s="5">
        <v>9</v>
      </c>
      <c r="B155" t="s">
        <v>17</v>
      </c>
      <c r="C155" s="6">
        <f>IF(Tabelle18[[#This Row],[binding_level_company]]&gt;=1,1,0)</f>
        <v>0</v>
      </c>
      <c r="D155" s="6">
        <f>IFERROR(_xlfn.MAXIFS([1]!Tabelle5[binding_level],[1]!Tabelle5[company_id],Tabelle18[[#This Row],[company_id]],[1]!Tabelle5[value_id],Tabelle18[[#This Row],[value_id]],[1]!Tabelle5[value_present],1),0)</f>
        <v>0</v>
      </c>
      <c r="E155" s="6">
        <f>IFERROR(_xlfn.MAXIFS([1]!Tabelle5[value_points],[1]!Tabelle5[company_id],Tabelle18[[#This Row],[company_id]],[1]!Tabelle5[value_id],Tabelle18[[#This Row],[value_id]]),0)</f>
        <v>0</v>
      </c>
      <c r="F15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55" t="str" cm="1">
        <f t="array" ref="G15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55" s="7" t="str" cm="1">
        <f t="array" ref="H15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56" spans="1:8" x14ac:dyDescent="0.25">
      <c r="A156" s="5">
        <v>9</v>
      </c>
      <c r="B156" t="s">
        <v>18</v>
      </c>
      <c r="C156" s="6">
        <f>IF(Tabelle18[[#This Row],[binding_level_company]]&gt;=1,1,0)</f>
        <v>0</v>
      </c>
      <c r="D156" s="6">
        <f>IFERROR(_xlfn.MAXIFS([1]!Tabelle5[binding_level],[1]!Tabelle5[company_id],Tabelle18[[#This Row],[company_id]],[1]!Tabelle5[value_id],Tabelle18[[#This Row],[value_id]],[1]!Tabelle5[value_present],1),0)</f>
        <v>0</v>
      </c>
      <c r="E156" s="6">
        <f>IFERROR(_xlfn.MAXIFS([1]!Tabelle5[value_points],[1]!Tabelle5[company_id],Tabelle18[[#This Row],[company_id]],[1]!Tabelle5[value_id],Tabelle18[[#This Row],[value_id]]),0)</f>
        <v>0</v>
      </c>
      <c r="F15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56" t="str" cm="1">
        <f t="array" ref="G15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56" s="7" t="str" cm="1">
        <f t="array" ref="H15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57" spans="1:8" x14ac:dyDescent="0.25">
      <c r="A157" s="5">
        <v>9</v>
      </c>
      <c r="B157" t="s">
        <v>19</v>
      </c>
      <c r="C157" s="6">
        <f>IF(Tabelle18[[#This Row],[binding_level_company]]&gt;=1,1,0)</f>
        <v>0</v>
      </c>
      <c r="D157" s="6">
        <f>IFERROR(_xlfn.MAXIFS([1]!Tabelle5[binding_level],[1]!Tabelle5[company_id],Tabelle18[[#This Row],[company_id]],[1]!Tabelle5[value_id],Tabelle18[[#This Row],[value_id]],[1]!Tabelle5[value_present],1),0)</f>
        <v>0</v>
      </c>
      <c r="E157" s="6">
        <f>IFERROR(_xlfn.MAXIFS([1]!Tabelle5[value_points],[1]!Tabelle5[company_id],Tabelle18[[#This Row],[company_id]],[1]!Tabelle5[value_id],Tabelle18[[#This Row],[value_id]]),0)</f>
        <v>0</v>
      </c>
      <c r="F15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57" t="str" cm="1">
        <f t="array" ref="G15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57" s="7" t="str" cm="1">
        <f t="array" ref="H15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58" spans="1:8" x14ac:dyDescent="0.25">
      <c r="A158" s="5">
        <v>9</v>
      </c>
      <c r="B158" t="s">
        <v>20</v>
      </c>
      <c r="C158" s="6">
        <f>IF(Tabelle18[[#This Row],[binding_level_company]]&gt;=1,1,0)</f>
        <v>0</v>
      </c>
      <c r="D158" s="6">
        <f>IFERROR(_xlfn.MAXIFS([1]!Tabelle5[binding_level],[1]!Tabelle5[company_id],Tabelle18[[#This Row],[company_id]],[1]!Tabelle5[value_id],Tabelle18[[#This Row],[value_id]],[1]!Tabelle5[value_present],1),0)</f>
        <v>0</v>
      </c>
      <c r="E158" s="6">
        <f>IFERROR(_xlfn.MAXIFS([1]!Tabelle5[value_points],[1]!Tabelle5[company_id],Tabelle18[[#This Row],[company_id]],[1]!Tabelle5[value_id],Tabelle18[[#This Row],[value_id]]),0)</f>
        <v>0</v>
      </c>
      <c r="F15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58" t="str" cm="1">
        <f t="array" ref="G15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58" s="7" t="str" cm="1">
        <f t="array" ref="H15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59" spans="1:8" x14ac:dyDescent="0.25">
      <c r="A159" s="5">
        <v>9</v>
      </c>
      <c r="B159" t="s">
        <v>21</v>
      </c>
      <c r="C159" s="6">
        <f>IF(Tabelle18[[#This Row],[binding_level_company]]&gt;=1,1,0)</f>
        <v>1</v>
      </c>
      <c r="D159" s="6">
        <f>IFERROR(_xlfn.MAXIFS([1]!Tabelle5[binding_level],[1]!Tabelle5[company_id],Tabelle18[[#This Row],[company_id]],[1]!Tabelle5[value_id],Tabelle18[[#This Row],[value_id]],[1]!Tabelle5[value_present],1),0)</f>
        <v>2</v>
      </c>
      <c r="E159" s="6">
        <f>IFERROR(_xlfn.MAXIFS([1]!Tabelle5[value_points],[1]!Tabelle5[company_id],Tabelle18[[#This Row],[company_id]],[1]!Tabelle5[value_id],Tabelle18[[#This Row],[value_id]]),0)</f>
        <v>2</v>
      </c>
      <c r="F15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59" t="str" cm="1">
        <f t="array" ref="G15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</v>
      </c>
      <c r="H159" s="7" t="str" cm="1">
        <f t="array" ref="H15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“must take into account the fundamental rights … applicable laws and democratic values</v>
      </c>
    </row>
    <row r="160" spans="1:8" x14ac:dyDescent="0.25">
      <c r="A160" s="5">
        <v>9</v>
      </c>
      <c r="B160" t="s">
        <v>22</v>
      </c>
      <c r="C160" s="6">
        <f>IF(Tabelle18[[#This Row],[binding_level_company]]&gt;=1,1,0)</f>
        <v>1</v>
      </c>
      <c r="D160" s="6">
        <f>IFERROR(_xlfn.MAXIFS([1]!Tabelle5[binding_level],[1]!Tabelle5[company_id],Tabelle18[[#This Row],[company_id]],[1]!Tabelle5[value_id],Tabelle18[[#This Row],[value_id]],[1]!Tabelle5[value_present],1),0)</f>
        <v>2</v>
      </c>
      <c r="E160" s="6">
        <f>IFERROR(_xlfn.MAXIFS([1]!Tabelle5[value_points],[1]!Tabelle5[company_id],Tabelle18[[#This Row],[company_id]],[1]!Tabelle5[value_id],Tabelle18[[#This Row],[value_id]]),0)</f>
        <v>2</v>
      </c>
      <c r="F16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60" t="str" cm="1">
        <f t="array" ref="G16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</v>
      </c>
      <c r="H160" s="7" t="str" cm="1">
        <f t="array" ref="H16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“Any manipulative, exploitative and social control practices are not used”; “used in a trustworthy and responsible manner”</v>
      </c>
    </row>
    <row r="161" spans="1:8" x14ac:dyDescent="0.25">
      <c r="A161" s="5">
        <v>9</v>
      </c>
      <c r="B161" t="s">
        <v>23</v>
      </c>
      <c r="C161" s="6">
        <f>IF(Tabelle18[[#This Row],[binding_level_company]]&gt;=1,1,0)</f>
        <v>1</v>
      </c>
      <c r="D161" s="6">
        <f>IFERROR(_xlfn.MAXIFS([1]!Tabelle5[binding_level],[1]!Tabelle5[company_id],Tabelle18[[#This Row],[company_id]],[1]!Tabelle5[value_id],Tabelle18[[#This Row],[value_id]],[1]!Tabelle5[value_present],1),0)</f>
        <v>1</v>
      </c>
      <c r="E161" s="6">
        <f>IFERROR(_xlfn.MAXIFS([1]!Tabelle5[value_points],[1]!Tabelle5[company_id],Tabelle18[[#This Row],[company_id]],[1]!Tabelle5[value_id],Tabelle18[[#This Row],[value_id]]),0)</f>
        <v>1</v>
      </c>
      <c r="F16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48</v>
      </c>
      <c r="G161" t="str" cm="1">
        <f t="array" ref="G16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</v>
      </c>
      <c r="H161" s="7" t="str" cm="1">
        <f t="array" ref="H16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 high level of data quality is a prerequisite”</v>
      </c>
    </row>
    <row r="162" spans="1:8" x14ac:dyDescent="0.25">
      <c r="A162" s="5">
        <v>9</v>
      </c>
      <c r="B162" t="s">
        <v>24</v>
      </c>
      <c r="C162" s="6">
        <f>IF(Tabelle18[[#This Row],[binding_level_company]]&gt;=1,1,0)</f>
        <v>1</v>
      </c>
      <c r="D162" s="6">
        <f>IFERROR(_xlfn.MAXIFS([1]!Tabelle5[binding_level],[1]!Tabelle5[company_id],Tabelle18[[#This Row],[company_id]],[1]!Tabelle5[value_id],Tabelle18[[#This Row],[value_id]],[1]!Tabelle5[value_present],1),0)</f>
        <v>1</v>
      </c>
      <c r="E162" s="6">
        <f>IFERROR(_xlfn.MAXIFS([1]!Tabelle5[value_points],[1]!Tabelle5[company_id],Tabelle18[[#This Row],[company_id]],[1]!Tabelle5[value_id],Tabelle18[[#This Row],[value_id]]),0)</f>
        <v>1</v>
      </c>
      <c r="F16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62" t="str" cm="1">
        <f t="array" ref="G16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</v>
      </c>
      <c r="H162" s="7" t="str" cm="1">
        <f t="array" ref="H16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“both the protection of personal data and business secrets”</v>
      </c>
    </row>
    <row r="163" spans="1:8" ht="15.75" thickBot="1" x14ac:dyDescent="0.3">
      <c r="A163" s="8">
        <v>9</v>
      </c>
      <c r="B163" s="9" t="s">
        <v>25</v>
      </c>
      <c r="C163" s="10">
        <f>IF(Tabelle18[[#This Row],[binding_level_company]]&gt;=1,1,0)</f>
        <v>1</v>
      </c>
      <c r="D163" s="10">
        <f>IFERROR(_xlfn.MAXIFS([1]!Tabelle5[binding_level],[1]!Tabelle5[company_id],Tabelle18[[#This Row],[company_id]],[1]!Tabelle5[value_id],Tabelle18[[#This Row],[value_id]],[1]!Tabelle5[value_present],1),0)</f>
        <v>2</v>
      </c>
      <c r="E163" s="10">
        <f>IFERROR(_xlfn.MAXIFS([1]!Tabelle5[value_points],[1]!Tabelle5[company_id],Tabelle18[[#This Row],[company_id]],[1]!Tabelle5[value_id],Tabelle18[[#This Row],[value_id]]),0)</f>
        <v>2</v>
      </c>
      <c r="F163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46</v>
      </c>
      <c r="G163" s="9" t="str" cm="1">
        <f t="array" ref="G16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</v>
      </c>
      <c r="H163" s="11" t="str" cm="1">
        <f t="array" ref="H16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 systems must take into account the fundamental rights of those affected”</v>
      </c>
    </row>
    <row r="164" spans="1:8" x14ac:dyDescent="0.25">
      <c r="A164" s="1">
        <v>10</v>
      </c>
      <c r="B164" s="2" t="s">
        <v>8</v>
      </c>
      <c r="C164" s="3">
        <f>IF(Tabelle18[[#This Row],[binding_level_company]]&gt;=1,1,0)</f>
        <v>0</v>
      </c>
      <c r="D164" s="3">
        <f>IFERROR(_xlfn.MAXIFS([1]!Tabelle5[binding_level],[1]!Tabelle5[company_id],Tabelle18[[#This Row],[company_id]],[1]!Tabelle5[value_id],Tabelle18[[#This Row],[value_id]],[1]!Tabelle5[value_present],1),0)</f>
        <v>0</v>
      </c>
      <c r="E164" s="3">
        <f>IFERROR(_xlfn.MAXIFS([1]!Tabelle5[value_points],[1]!Tabelle5[company_id],Tabelle18[[#This Row],[company_id]],[1]!Tabelle5[value_id],Tabelle18[[#This Row],[value_id]]),0)</f>
        <v>0</v>
      </c>
      <c r="F164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64" s="2" t="str" cm="1">
        <f t="array" ref="G16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64" s="4" t="str" cm="1">
        <f t="array" ref="H16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65" spans="1:8" x14ac:dyDescent="0.25">
      <c r="A165" s="5">
        <v>10</v>
      </c>
      <c r="B165" t="s">
        <v>9</v>
      </c>
      <c r="C165" s="6">
        <f>IF(Tabelle18[[#This Row],[binding_level_company]]&gt;=1,1,0)</f>
        <v>1</v>
      </c>
      <c r="D165" s="6">
        <f>IFERROR(_xlfn.MAXIFS([1]!Tabelle5[binding_level],[1]!Tabelle5[company_id],Tabelle18[[#This Row],[company_id]],[1]!Tabelle5[value_id],Tabelle18[[#This Row],[value_id]],[1]!Tabelle5[value_present],1),0)</f>
        <v>2</v>
      </c>
      <c r="E165" s="6">
        <f>IFERROR(_xlfn.MAXIFS([1]!Tabelle5[value_points],[1]!Tabelle5[company_id],Tabelle18[[#This Row],[company_id]],[1]!Tabelle5[value_id],Tabelle18[[#This Row],[value_id]]),0)</f>
        <v>2</v>
      </c>
      <c r="F16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53</v>
      </c>
      <c r="G165" t="str" cm="1">
        <f t="array" ref="G16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</v>
      </c>
      <c r="H165" s="7" t="str" cm="1">
        <f t="array" ref="H16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“it will be done in an accountable”</v>
      </c>
    </row>
    <row r="166" spans="1:8" x14ac:dyDescent="0.25">
      <c r="A166" s="5">
        <v>10</v>
      </c>
      <c r="B166" t="s">
        <v>10</v>
      </c>
      <c r="C166" s="6">
        <f>IF(Tabelle18[[#This Row],[binding_level_company]]&gt;=1,1,0)</f>
        <v>1</v>
      </c>
      <c r="D166" s="6">
        <f>IFERROR(_xlfn.MAXIFS([1]!Tabelle5[binding_level],[1]!Tabelle5[company_id],Tabelle18[[#This Row],[company_id]],[1]!Tabelle5[value_id],Tabelle18[[#This Row],[value_id]],[1]!Tabelle5[value_present],1),0)</f>
        <v>1</v>
      </c>
      <c r="E166" s="6">
        <f>IFERROR(_xlfn.MAXIFS([1]!Tabelle5[value_points],[1]!Tabelle5[company_id],Tabelle18[[#This Row],[company_id]],[1]!Tabelle5[value_id],Tabelle18[[#This Row],[value_id]]),0)</f>
        <v>1</v>
      </c>
      <c r="F16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52</v>
      </c>
      <c r="G166" t="str" cm="1">
        <f t="array" ref="G16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40</v>
      </c>
      <c r="H166" s="7" t="str" cm="1">
        <f t="array" ref="H16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“operate transparently under various conditions”</v>
      </c>
    </row>
    <row r="167" spans="1:8" x14ac:dyDescent="0.25">
      <c r="A167" s="5">
        <v>10</v>
      </c>
      <c r="B167" t="s">
        <v>11</v>
      </c>
      <c r="C167" s="6">
        <f>IF(Tabelle18[[#This Row],[binding_level_company]]&gt;=1,1,0)</f>
        <v>1</v>
      </c>
      <c r="D167" s="6">
        <f>IFERROR(_xlfn.MAXIFS([1]!Tabelle5[binding_level],[1]!Tabelle5[company_id],Tabelle18[[#This Row],[company_id]],[1]!Tabelle5[value_id],Tabelle18[[#This Row],[value_id]],[1]!Tabelle5[value_present],1),0)</f>
        <v>2</v>
      </c>
      <c r="E167" s="6">
        <f>IFERROR(_xlfn.MAXIFS([1]!Tabelle5[value_points],[1]!Tabelle5[company_id],Tabelle18[[#This Row],[company_id]],[1]!Tabelle5[value_id],Tabelle18[[#This Row],[value_id]]),0)</f>
        <v>2</v>
      </c>
      <c r="F16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53</v>
      </c>
      <c r="G167" t="str" cm="1">
        <f t="array" ref="G16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</v>
      </c>
      <c r="H167" s="7" t="str" cm="1">
        <f t="array" ref="H16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“fair”</v>
      </c>
    </row>
    <row r="168" spans="1:8" x14ac:dyDescent="0.25">
      <c r="A168" s="5">
        <v>10</v>
      </c>
      <c r="B168" t="s">
        <v>12</v>
      </c>
      <c r="C168" s="6">
        <f>IF(Tabelle18[[#This Row],[binding_level_company]]&gt;=1,1,0)</f>
        <v>1</v>
      </c>
      <c r="D168" s="6">
        <f>IFERROR(_xlfn.MAXIFS([1]!Tabelle5[binding_level],[1]!Tabelle5[company_id],Tabelle18[[#This Row],[company_id]],[1]!Tabelle5[value_id],Tabelle18[[#This Row],[value_id]],[1]!Tabelle5[value_present],1),0)</f>
        <v>2</v>
      </c>
      <c r="E168" s="6">
        <f>IFERROR(_xlfn.MAXIFS([1]!Tabelle5[value_points],[1]!Tabelle5[company_id],Tabelle18[[#This Row],[company_id]],[1]!Tabelle5[value_id],Tabelle18[[#This Row],[value_id]]),0)</f>
        <v>2</v>
      </c>
      <c r="F16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53</v>
      </c>
      <c r="G168" t="str" cm="1">
        <f t="array" ref="G16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</v>
      </c>
      <c r="H168" s="7" t="str" cm="1">
        <f t="array" ref="H16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“explainable”</v>
      </c>
    </row>
    <row r="169" spans="1:8" x14ac:dyDescent="0.25">
      <c r="A169" s="5">
        <v>10</v>
      </c>
      <c r="B169" t="s">
        <v>13</v>
      </c>
      <c r="C169" s="6">
        <f>IF(Tabelle18[[#This Row],[binding_level_company]]&gt;=1,1,0)</f>
        <v>0</v>
      </c>
      <c r="D169" s="6">
        <f>IFERROR(_xlfn.MAXIFS([1]!Tabelle5[binding_level],[1]!Tabelle5[company_id],Tabelle18[[#This Row],[company_id]],[1]!Tabelle5[value_id],Tabelle18[[#This Row],[value_id]],[1]!Tabelle5[value_present],1),0)</f>
        <v>0</v>
      </c>
      <c r="E169" s="6">
        <f>IFERROR(_xlfn.MAXIFS([1]!Tabelle5[value_points],[1]!Tabelle5[company_id],Tabelle18[[#This Row],[company_id]],[1]!Tabelle5[value_id],Tabelle18[[#This Row],[value_id]]),0)</f>
        <v>0</v>
      </c>
      <c r="F16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69" t="str" cm="1">
        <f t="array" ref="G16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69" s="7" t="str" cm="1">
        <f t="array" ref="H16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70" spans="1:8" x14ac:dyDescent="0.25">
      <c r="A170" s="5">
        <v>10</v>
      </c>
      <c r="B170" t="s">
        <v>14</v>
      </c>
      <c r="C170" s="6">
        <f>IF(Tabelle18[[#This Row],[binding_level_company]]&gt;=1,1,0)</f>
        <v>0</v>
      </c>
      <c r="D170" s="6">
        <f>IFERROR(_xlfn.MAXIFS([1]!Tabelle5[binding_level],[1]!Tabelle5[company_id],Tabelle18[[#This Row],[company_id]],[1]!Tabelle5[value_id],Tabelle18[[#This Row],[value_id]],[1]!Tabelle5[value_present],1),0)</f>
        <v>0</v>
      </c>
      <c r="E170" s="6">
        <f>IFERROR(_xlfn.MAXIFS([1]!Tabelle5[value_points],[1]!Tabelle5[company_id],Tabelle18[[#This Row],[company_id]],[1]!Tabelle5[value_id],Tabelle18[[#This Row],[value_id]]),0)</f>
        <v>0</v>
      </c>
      <c r="F17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70" t="str" cm="1">
        <f t="array" ref="G17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70" s="7" t="str" cm="1">
        <f t="array" ref="H17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71" spans="1:8" x14ac:dyDescent="0.25">
      <c r="A171" s="5">
        <v>10</v>
      </c>
      <c r="B171" t="s">
        <v>15</v>
      </c>
      <c r="C171" s="6">
        <f>IF(Tabelle18[[#This Row],[binding_level_company]]&gt;=1,1,0)</f>
        <v>1</v>
      </c>
      <c r="D171" s="6">
        <f>IFERROR(_xlfn.MAXIFS([1]!Tabelle5[binding_level],[1]!Tabelle5[company_id],Tabelle18[[#This Row],[company_id]],[1]!Tabelle5[value_id],Tabelle18[[#This Row],[value_id]],[1]!Tabelle5[value_present],1),0)</f>
        <v>1</v>
      </c>
      <c r="E171" s="6">
        <f>IFERROR(_xlfn.MAXIFS([1]!Tabelle5[value_points],[1]!Tabelle5[company_id],Tabelle18[[#This Row],[company_id]],[1]!Tabelle5[value_id],Tabelle18[[#This Row],[value_id]]),0)</f>
        <v>1</v>
      </c>
      <c r="F17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52</v>
      </c>
      <c r="G171" t="str" cm="1">
        <f t="array" ref="G17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40</v>
      </c>
      <c r="H171" s="7" t="str" cm="1">
        <f t="array" ref="H17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“prevent its uncontrolled use”</v>
      </c>
    </row>
    <row r="172" spans="1:8" x14ac:dyDescent="0.25">
      <c r="A172" s="5">
        <v>10</v>
      </c>
      <c r="B172" t="s">
        <v>16</v>
      </c>
      <c r="C172" s="6">
        <f>IF(Tabelle18[[#This Row],[binding_level_company]]&gt;=1,1,0)</f>
        <v>0</v>
      </c>
      <c r="D172" s="6">
        <f>IFERROR(_xlfn.MAXIFS([1]!Tabelle5[binding_level],[1]!Tabelle5[company_id],Tabelle18[[#This Row],[company_id]],[1]!Tabelle5[value_id],Tabelle18[[#This Row],[value_id]],[1]!Tabelle5[value_present],1),0)</f>
        <v>0</v>
      </c>
      <c r="E172" s="6">
        <f>IFERROR(_xlfn.MAXIFS([1]!Tabelle5[value_points],[1]!Tabelle5[company_id],Tabelle18[[#This Row],[company_id]],[1]!Tabelle5[value_id],Tabelle18[[#This Row],[value_id]]),0)</f>
        <v>0</v>
      </c>
      <c r="F17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72" t="str" cm="1">
        <f t="array" ref="G17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72" s="7" t="str" cm="1">
        <f t="array" ref="H17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73" spans="1:8" x14ac:dyDescent="0.25">
      <c r="A173" s="5">
        <v>10</v>
      </c>
      <c r="B173" t="s">
        <v>17</v>
      </c>
      <c r="C173" s="6">
        <f>IF(Tabelle18[[#This Row],[binding_level_company]]&gt;=1,1,0)</f>
        <v>0</v>
      </c>
      <c r="D173" s="6">
        <f>IFERROR(_xlfn.MAXIFS([1]!Tabelle5[binding_level],[1]!Tabelle5[company_id],Tabelle18[[#This Row],[company_id]],[1]!Tabelle5[value_id],Tabelle18[[#This Row],[value_id]],[1]!Tabelle5[value_present],1),0)</f>
        <v>0</v>
      </c>
      <c r="E173" s="6">
        <f>IFERROR(_xlfn.MAXIFS([1]!Tabelle5[value_points],[1]!Tabelle5[company_id],Tabelle18[[#This Row],[company_id]],[1]!Tabelle5[value_id],Tabelle18[[#This Row],[value_id]]),0)</f>
        <v>0</v>
      </c>
      <c r="F17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73" t="str" cm="1">
        <f t="array" ref="G17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73" s="7" t="str" cm="1">
        <f t="array" ref="H17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74" spans="1:8" x14ac:dyDescent="0.25">
      <c r="A174" s="5">
        <v>10</v>
      </c>
      <c r="B174" t="s">
        <v>18</v>
      </c>
      <c r="C174" s="6">
        <f>IF(Tabelle18[[#This Row],[binding_level_company]]&gt;=1,1,0)</f>
        <v>0</v>
      </c>
      <c r="D174" s="6">
        <f>IFERROR(_xlfn.MAXIFS([1]!Tabelle5[binding_level],[1]!Tabelle5[company_id],Tabelle18[[#This Row],[company_id]],[1]!Tabelle5[value_id],Tabelle18[[#This Row],[value_id]],[1]!Tabelle5[value_present],1),0)</f>
        <v>0</v>
      </c>
      <c r="E174" s="6">
        <f>IFERROR(_xlfn.MAXIFS([1]!Tabelle5[value_points],[1]!Tabelle5[company_id],Tabelle18[[#This Row],[company_id]],[1]!Tabelle5[value_id],Tabelle18[[#This Row],[value_id]]),0)</f>
        <v>0</v>
      </c>
      <c r="F17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74" t="str" cm="1">
        <f t="array" ref="G17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74" s="7" t="str" cm="1">
        <f t="array" ref="H17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75" spans="1:8" x14ac:dyDescent="0.25">
      <c r="A175" s="5">
        <v>10</v>
      </c>
      <c r="B175" t="s">
        <v>19</v>
      </c>
      <c r="C175" s="6">
        <f>IF(Tabelle18[[#This Row],[binding_level_company]]&gt;=1,1,0)</f>
        <v>0</v>
      </c>
      <c r="D175" s="6">
        <f>IFERROR(_xlfn.MAXIFS([1]!Tabelle5[binding_level],[1]!Tabelle5[company_id],Tabelle18[[#This Row],[company_id]],[1]!Tabelle5[value_id],Tabelle18[[#This Row],[value_id]],[1]!Tabelle5[value_present],1),0)</f>
        <v>0</v>
      </c>
      <c r="E175" s="6">
        <f>IFERROR(_xlfn.MAXIFS([1]!Tabelle5[value_points],[1]!Tabelle5[company_id],Tabelle18[[#This Row],[company_id]],[1]!Tabelle5[value_id],Tabelle18[[#This Row],[value_id]]),0)</f>
        <v>0</v>
      </c>
      <c r="F17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75" t="str" cm="1">
        <f t="array" ref="G17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75" s="7" t="str" cm="1">
        <f t="array" ref="H17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76" spans="1:8" x14ac:dyDescent="0.25">
      <c r="A176" s="5">
        <v>10</v>
      </c>
      <c r="B176" t="s">
        <v>20</v>
      </c>
      <c r="C176" s="6">
        <f>IF(Tabelle18[[#This Row],[binding_level_company]]&gt;=1,1,0)</f>
        <v>1</v>
      </c>
      <c r="D176" s="6">
        <f>IFERROR(_xlfn.MAXIFS([1]!Tabelle5[binding_level],[1]!Tabelle5[company_id],Tabelle18[[#This Row],[company_id]],[1]!Tabelle5[value_id],Tabelle18[[#This Row],[value_id]],[1]!Tabelle5[value_present],1),0)</f>
        <v>1</v>
      </c>
      <c r="E176" s="6">
        <f>IFERROR(_xlfn.MAXIFS([1]!Tabelle5[value_points],[1]!Tabelle5[company_id],Tabelle18[[#This Row],[company_id]],[1]!Tabelle5[value_id],Tabelle18[[#This Row],[value_id]]),0)</f>
        <v>1</v>
      </c>
      <c r="F17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52</v>
      </c>
      <c r="G176" t="str" cm="1">
        <f t="array" ref="G17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40</v>
      </c>
      <c r="H176" s="7" t="str" cm="1">
        <f t="array" ref="H17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“benefits for our stakeholders … and society at large”; “prioritize human well-being"</v>
      </c>
    </row>
    <row r="177" spans="1:8" x14ac:dyDescent="0.25">
      <c r="A177" s="5">
        <v>10</v>
      </c>
      <c r="B177" t="s">
        <v>21</v>
      </c>
      <c r="C177" s="6">
        <f>IF(Tabelle18[[#This Row],[binding_level_company]]&gt;=1,1,0)</f>
        <v>1</v>
      </c>
      <c r="D177" s="6">
        <f>IFERROR(_xlfn.MAXIFS([1]!Tabelle5[binding_level],[1]!Tabelle5[company_id],Tabelle18[[#This Row],[company_id]],[1]!Tabelle5[value_id],Tabelle18[[#This Row],[value_id]],[1]!Tabelle5[value_present],1),0)</f>
        <v>2</v>
      </c>
      <c r="E177" s="6">
        <f>IFERROR(_xlfn.MAXIFS([1]!Tabelle5[value_points],[1]!Tabelle5[company_id],Tabelle18[[#This Row],[company_id]],[1]!Tabelle5[value_id],Tabelle18[[#This Row],[value_id]]),0)</f>
        <v>2</v>
      </c>
      <c r="F17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53</v>
      </c>
      <c r="G177" t="str" cm="1">
        <f t="array" ref="G17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</v>
      </c>
      <c r="H177" s="7" t="str" cm="1">
        <f t="array" ref="H17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“complies with all applicable national and international laws and regulations”</v>
      </c>
    </row>
    <row r="178" spans="1:8" x14ac:dyDescent="0.25">
      <c r="A178" s="5">
        <v>10</v>
      </c>
      <c r="B178" t="s">
        <v>22</v>
      </c>
      <c r="C178" s="6">
        <f>IF(Tabelle18[[#This Row],[binding_level_company]]&gt;=1,1,0)</f>
        <v>1</v>
      </c>
      <c r="D178" s="6">
        <f>IFERROR(_xlfn.MAXIFS([1]!Tabelle5[binding_level],[1]!Tabelle5[company_id],Tabelle18[[#This Row],[company_id]],[1]!Tabelle5[value_id],Tabelle18[[#This Row],[value_id]],[1]!Tabelle5[value_present],1),0)</f>
        <v>2</v>
      </c>
      <c r="E178" s="6">
        <f>IFERROR(_xlfn.MAXIFS([1]!Tabelle5[value_points],[1]!Tabelle5[company_id],Tabelle18[[#This Row],[company_id]],[1]!Tabelle5[value_id],Tabelle18[[#This Row],[value_id]]),0)</f>
        <v>2</v>
      </c>
      <c r="F17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53</v>
      </c>
      <c r="G178" t="str" cm="1">
        <f t="array" ref="G17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</v>
      </c>
      <c r="H178" s="7" t="str" cm="1">
        <f t="array" ref="H17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“will respect ethical standards”</v>
      </c>
    </row>
    <row r="179" spans="1:8" x14ac:dyDescent="0.25">
      <c r="A179" s="5">
        <v>10</v>
      </c>
      <c r="B179" t="s">
        <v>23</v>
      </c>
      <c r="C179" s="6">
        <f>IF(Tabelle18[[#This Row],[binding_level_company]]&gt;=1,1,0)</f>
        <v>0</v>
      </c>
      <c r="D179" s="6">
        <f>IFERROR(_xlfn.MAXIFS([1]!Tabelle5[binding_level],[1]!Tabelle5[company_id],Tabelle18[[#This Row],[company_id]],[1]!Tabelle5[value_id],Tabelle18[[#This Row],[value_id]],[1]!Tabelle5[value_present],1),0)</f>
        <v>0</v>
      </c>
      <c r="E179" s="6">
        <f>IFERROR(_xlfn.MAXIFS([1]!Tabelle5[value_points],[1]!Tabelle5[company_id],Tabelle18[[#This Row],[company_id]],[1]!Tabelle5[value_id],Tabelle18[[#This Row],[value_id]]),0)</f>
        <v>0</v>
      </c>
      <c r="F17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79" t="str" cm="1">
        <f t="array" ref="G17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79" s="7" t="str" cm="1">
        <f t="array" ref="H17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80" spans="1:8" x14ac:dyDescent="0.25">
      <c r="A180" s="5">
        <v>10</v>
      </c>
      <c r="B180" t="s">
        <v>24</v>
      </c>
      <c r="C180" s="6">
        <f>IF(Tabelle18[[#This Row],[binding_level_company]]&gt;=1,1,0)</f>
        <v>0</v>
      </c>
      <c r="D180" s="6">
        <f>IFERROR(_xlfn.MAXIFS([1]!Tabelle5[binding_level],[1]!Tabelle5[company_id],Tabelle18[[#This Row],[company_id]],[1]!Tabelle5[value_id],Tabelle18[[#This Row],[value_id]],[1]!Tabelle5[value_present],1),0)</f>
        <v>0</v>
      </c>
      <c r="E180" s="6">
        <f>IFERROR(_xlfn.MAXIFS([1]!Tabelle5[value_points],[1]!Tabelle5[company_id],Tabelle18[[#This Row],[company_id]],[1]!Tabelle5[value_id],Tabelle18[[#This Row],[value_id]]),0)</f>
        <v>0</v>
      </c>
      <c r="F18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80" t="str" cm="1">
        <f t="array" ref="G18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80" s="7" t="str" cm="1">
        <f t="array" ref="H18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81" spans="1:8" ht="15.75" thickBot="1" x14ac:dyDescent="0.3">
      <c r="A181" s="8">
        <v>10</v>
      </c>
      <c r="B181" s="9" t="s">
        <v>25</v>
      </c>
      <c r="C181" s="10">
        <f>IF(Tabelle18[[#This Row],[binding_level_company]]&gt;=1,1,0)</f>
        <v>0</v>
      </c>
      <c r="D181" s="10">
        <f>IFERROR(_xlfn.MAXIFS([1]!Tabelle5[binding_level],[1]!Tabelle5[company_id],Tabelle18[[#This Row],[company_id]],[1]!Tabelle5[value_id],Tabelle18[[#This Row],[value_id]],[1]!Tabelle5[value_present],1),0)</f>
        <v>0</v>
      </c>
      <c r="E181" s="10">
        <f>IFERROR(_xlfn.MAXIFS([1]!Tabelle5[value_points],[1]!Tabelle5[company_id],Tabelle18[[#This Row],[company_id]],[1]!Tabelle5[value_id],Tabelle18[[#This Row],[value_id]]),0)</f>
        <v>0</v>
      </c>
      <c r="F181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81" s="9" t="str" cm="1">
        <f t="array" ref="G18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81" s="11" t="str" cm="1">
        <f t="array" ref="H18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82" spans="1:8" x14ac:dyDescent="0.25">
      <c r="A182" s="1">
        <v>11</v>
      </c>
      <c r="B182" s="2" t="s">
        <v>8</v>
      </c>
      <c r="C182" s="3">
        <f>IF(Tabelle18[[#This Row],[binding_level_company]]&gt;=1,1,0)</f>
        <v>0</v>
      </c>
      <c r="D182" s="3">
        <f>IFERROR(_xlfn.MAXIFS([1]!Tabelle5[binding_level],[1]!Tabelle5[company_id],Tabelle18[[#This Row],[company_id]],[1]!Tabelle5[value_id],Tabelle18[[#This Row],[value_id]],[1]!Tabelle5[value_present],1),0)</f>
        <v>0</v>
      </c>
      <c r="E182" s="3">
        <f>IFERROR(_xlfn.MAXIFS([1]!Tabelle5[value_points],[1]!Tabelle5[company_id],Tabelle18[[#This Row],[company_id]],[1]!Tabelle5[value_id],Tabelle18[[#This Row],[value_id]]),0)</f>
        <v>0</v>
      </c>
      <c r="F182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82" s="2" t="str" cm="1">
        <f t="array" ref="G18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82" s="4" t="str" cm="1">
        <f t="array" ref="H18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83" spans="1:8" x14ac:dyDescent="0.25">
      <c r="A183" s="5">
        <v>11</v>
      </c>
      <c r="B183" t="s">
        <v>9</v>
      </c>
      <c r="C183" s="6">
        <f>IF(Tabelle18[[#This Row],[binding_level_company]]&gt;=1,1,0)</f>
        <v>0</v>
      </c>
      <c r="D183" s="6">
        <f>IFERROR(_xlfn.MAXIFS([1]!Tabelle5[binding_level],[1]!Tabelle5[company_id],Tabelle18[[#This Row],[company_id]],[1]!Tabelle5[value_id],Tabelle18[[#This Row],[value_id]],[1]!Tabelle5[value_present],1),0)</f>
        <v>0</v>
      </c>
      <c r="E183" s="6">
        <f>IFERROR(_xlfn.MAXIFS([1]!Tabelle5[value_points],[1]!Tabelle5[company_id],Tabelle18[[#This Row],[company_id]],[1]!Tabelle5[value_id],Tabelle18[[#This Row],[value_id]]),0)</f>
        <v>0</v>
      </c>
      <c r="F18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83" t="str" cm="1">
        <f t="array" ref="G18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83" s="7" t="str" cm="1">
        <f t="array" ref="H18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84" spans="1:8" x14ac:dyDescent="0.25">
      <c r="A184" s="5">
        <v>11</v>
      </c>
      <c r="B184" t="s">
        <v>10</v>
      </c>
      <c r="C184" s="6">
        <f>IF(Tabelle18[[#This Row],[binding_level_company]]&gt;=1,1,0)</f>
        <v>0</v>
      </c>
      <c r="D184" s="6">
        <f>IFERROR(_xlfn.MAXIFS([1]!Tabelle5[binding_level],[1]!Tabelle5[company_id],Tabelle18[[#This Row],[company_id]],[1]!Tabelle5[value_id],Tabelle18[[#This Row],[value_id]],[1]!Tabelle5[value_present],1),0)</f>
        <v>0</v>
      </c>
      <c r="E184" s="6">
        <f>IFERROR(_xlfn.MAXIFS([1]!Tabelle5[value_points],[1]!Tabelle5[company_id],Tabelle18[[#This Row],[company_id]],[1]!Tabelle5[value_id],Tabelle18[[#This Row],[value_id]]),0)</f>
        <v>0</v>
      </c>
      <c r="F18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84" t="str" cm="1">
        <f t="array" ref="G18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84" s="7" t="str" cm="1">
        <f t="array" ref="H18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85" spans="1:8" x14ac:dyDescent="0.25">
      <c r="A185" s="5">
        <v>11</v>
      </c>
      <c r="B185" t="s">
        <v>11</v>
      </c>
      <c r="C185" s="6">
        <f>IF(Tabelle18[[#This Row],[binding_level_company]]&gt;=1,1,0)</f>
        <v>1</v>
      </c>
      <c r="D185" s="6">
        <f>IFERROR(_xlfn.MAXIFS([1]!Tabelle5[binding_level],[1]!Tabelle5[company_id],Tabelle18[[#This Row],[company_id]],[1]!Tabelle5[value_id],Tabelle18[[#This Row],[value_id]],[1]!Tabelle5[value_present],1),0)</f>
        <v>1</v>
      </c>
      <c r="E185" s="6">
        <f>IFERROR(_xlfn.MAXIFS([1]!Tabelle5[value_points],[1]!Tabelle5[company_id],Tabelle18[[#This Row],[company_id]],[1]!Tabelle5[value_id],Tabelle18[[#This Row],[value_id]]),0)</f>
        <v>1</v>
      </c>
      <c r="F18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56</v>
      </c>
      <c r="G185" t="str" cm="1">
        <f t="array" ref="G18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33, Abschnitt „2.5.2 Handling data“</v>
      </c>
      <c r="H185" s="7" t="str" cm="1">
        <f t="array" ref="H18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“explainability”</v>
      </c>
    </row>
    <row r="186" spans="1:8" x14ac:dyDescent="0.25">
      <c r="A186" s="5">
        <v>11</v>
      </c>
      <c r="B186" t="s">
        <v>12</v>
      </c>
      <c r="C186" s="6">
        <f>IF(Tabelle18[[#This Row],[binding_level_company]]&gt;=1,1,0)</f>
        <v>1</v>
      </c>
      <c r="D186" s="6">
        <f>IFERROR(_xlfn.MAXIFS([1]!Tabelle5[binding_level],[1]!Tabelle5[company_id],Tabelle18[[#This Row],[company_id]],[1]!Tabelle5[value_id],Tabelle18[[#This Row],[value_id]],[1]!Tabelle5[value_present],1),0)</f>
        <v>1</v>
      </c>
      <c r="E186" s="6">
        <f>IFERROR(_xlfn.MAXIFS([1]!Tabelle5[value_points],[1]!Tabelle5[company_id],Tabelle18[[#This Row],[company_id]],[1]!Tabelle5[value_id],Tabelle18[[#This Row],[value_id]]),0)</f>
        <v>1</v>
      </c>
      <c r="F18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56</v>
      </c>
      <c r="G186" t="str" cm="1">
        <f t="array" ref="G18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33, Abschnitt „2.5.2 Handling data“</v>
      </c>
      <c r="H186" s="7" t="str" cm="1">
        <f t="array" ref="H18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“equal opportunities”</v>
      </c>
    </row>
    <row r="187" spans="1:8" x14ac:dyDescent="0.25">
      <c r="A187" s="5">
        <v>11</v>
      </c>
      <c r="B187" t="s">
        <v>13</v>
      </c>
      <c r="C187" s="6">
        <f>IF(Tabelle18[[#This Row],[binding_level_company]]&gt;=1,1,0)</f>
        <v>1</v>
      </c>
      <c r="D187" s="6">
        <f>IFERROR(_xlfn.MAXIFS([1]!Tabelle5[binding_level],[1]!Tabelle5[company_id],Tabelle18[[#This Row],[company_id]],[1]!Tabelle5[value_id],Tabelle18[[#This Row],[value_id]],[1]!Tabelle5[value_present],1),0)</f>
        <v>1</v>
      </c>
      <c r="E187" s="6">
        <f>IFERROR(_xlfn.MAXIFS([1]!Tabelle5[value_points],[1]!Tabelle5[company_id],Tabelle18[[#This Row],[company_id]],[1]!Tabelle5[value_id],Tabelle18[[#This Row],[value_id]]),0)</f>
        <v>1</v>
      </c>
      <c r="F18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56</v>
      </c>
      <c r="G187" t="str" cm="1">
        <f t="array" ref="G18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33, Abschnitt „2.5.2 Handling data“</v>
      </c>
      <c r="H187" s="7" t="str" cm="1">
        <f t="array" ref="H18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“protection of privacy”</v>
      </c>
    </row>
    <row r="188" spans="1:8" x14ac:dyDescent="0.25">
      <c r="A188" s="5">
        <v>11</v>
      </c>
      <c r="B188" t="s">
        <v>14</v>
      </c>
      <c r="C188" s="6">
        <f>IF(Tabelle18[[#This Row],[binding_level_company]]&gt;=1,1,0)</f>
        <v>1</v>
      </c>
      <c r="D188" s="6">
        <f>IFERROR(_xlfn.MAXIFS([1]!Tabelle5[binding_level],[1]!Tabelle5[company_id],Tabelle18[[#This Row],[company_id]],[1]!Tabelle5[value_id],Tabelle18[[#This Row],[value_id]],[1]!Tabelle5[value_present],1),0)</f>
        <v>1</v>
      </c>
      <c r="E188" s="6">
        <f>IFERROR(_xlfn.MAXIFS([1]!Tabelle5[value_points],[1]!Tabelle5[company_id],Tabelle18[[#This Row],[company_id]],[1]!Tabelle5[value_id],Tabelle18[[#This Row],[value_id]]),0)</f>
        <v>1</v>
      </c>
      <c r="F18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56</v>
      </c>
      <c r="G188" t="str" cm="1">
        <f t="array" ref="G18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33, Abschnitt „2.5.2 Handling data“</v>
      </c>
      <c r="H188" s="7" t="str" cm="1">
        <f t="array" ref="H18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“security”</v>
      </c>
    </row>
    <row r="189" spans="1:8" x14ac:dyDescent="0.25">
      <c r="A189" s="5">
        <v>11</v>
      </c>
      <c r="B189" t="s">
        <v>15</v>
      </c>
      <c r="C189" s="6">
        <f>IF(Tabelle18[[#This Row],[binding_level_company]]&gt;=1,1,0)</f>
        <v>0</v>
      </c>
      <c r="D189" s="6">
        <f>IFERROR(_xlfn.MAXIFS([1]!Tabelle5[binding_level],[1]!Tabelle5[company_id],Tabelle18[[#This Row],[company_id]],[1]!Tabelle5[value_id],Tabelle18[[#This Row],[value_id]],[1]!Tabelle5[value_present],1),0)</f>
        <v>0</v>
      </c>
      <c r="E189" s="6">
        <f>IFERROR(_xlfn.MAXIFS([1]!Tabelle5[value_points],[1]!Tabelle5[company_id],Tabelle18[[#This Row],[company_id]],[1]!Tabelle5[value_id],Tabelle18[[#This Row],[value_id]]),0)</f>
        <v>0</v>
      </c>
      <c r="F18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89" t="str" cm="1">
        <f t="array" ref="G18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89" s="7" t="str" cm="1">
        <f t="array" ref="H18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0" spans="1:8" x14ac:dyDescent="0.25">
      <c r="A190" s="5">
        <v>11</v>
      </c>
      <c r="B190" t="s">
        <v>16</v>
      </c>
      <c r="C190" s="6">
        <f>IF(Tabelle18[[#This Row],[binding_level_company]]&gt;=1,1,0)</f>
        <v>1</v>
      </c>
      <c r="D190" s="6">
        <f>IFERROR(_xlfn.MAXIFS([1]!Tabelle5[binding_level],[1]!Tabelle5[company_id],Tabelle18[[#This Row],[company_id]],[1]!Tabelle5[value_id],Tabelle18[[#This Row],[value_id]],[1]!Tabelle5[value_present],1),0)</f>
        <v>1</v>
      </c>
      <c r="E190" s="6">
        <f>IFERROR(_xlfn.MAXIFS([1]!Tabelle5[value_points],[1]!Tabelle5[company_id],Tabelle18[[#This Row],[company_id]],[1]!Tabelle5[value_id],Tabelle18[[#This Row],[value_id]]),0)</f>
        <v>1</v>
      </c>
      <c r="F19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56</v>
      </c>
      <c r="G190" t="str" cm="1">
        <f t="array" ref="G19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33, Abschnitt „2.5.2 Handling data“</v>
      </c>
      <c r="H190" s="7" t="str" cm="1">
        <f t="array" ref="H19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“reliability”</v>
      </c>
    </row>
    <row r="191" spans="1:8" x14ac:dyDescent="0.25">
      <c r="A191" s="5">
        <v>11</v>
      </c>
      <c r="B191" t="s">
        <v>17</v>
      </c>
      <c r="C191" s="6">
        <f>IF(Tabelle18[[#This Row],[binding_level_company]]&gt;=1,1,0)</f>
        <v>0</v>
      </c>
      <c r="D191" s="6">
        <f>IFERROR(_xlfn.MAXIFS([1]!Tabelle5[binding_level],[1]!Tabelle5[company_id],Tabelle18[[#This Row],[company_id]],[1]!Tabelle5[value_id],Tabelle18[[#This Row],[value_id]],[1]!Tabelle5[value_present],1),0)</f>
        <v>0</v>
      </c>
      <c r="E191" s="6">
        <f>IFERROR(_xlfn.MAXIFS([1]!Tabelle5[value_points],[1]!Tabelle5[company_id],Tabelle18[[#This Row],[company_id]],[1]!Tabelle5[value_id],Tabelle18[[#This Row],[value_id]]),0)</f>
        <v>0</v>
      </c>
      <c r="F19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1" t="str" cm="1">
        <f t="array" ref="G19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1" s="7" t="str" cm="1">
        <f t="array" ref="H19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2" spans="1:8" x14ac:dyDescent="0.25">
      <c r="A192" s="5">
        <v>11</v>
      </c>
      <c r="B192" t="s">
        <v>18</v>
      </c>
      <c r="C192" s="6">
        <f>IF(Tabelle18[[#This Row],[binding_level_company]]&gt;=1,1,0)</f>
        <v>0</v>
      </c>
      <c r="D192" s="6">
        <f>IFERROR(_xlfn.MAXIFS([1]!Tabelle5[binding_level],[1]!Tabelle5[company_id],Tabelle18[[#This Row],[company_id]],[1]!Tabelle5[value_id],Tabelle18[[#This Row],[value_id]],[1]!Tabelle5[value_present],1),0)</f>
        <v>0</v>
      </c>
      <c r="E192" s="6">
        <f>IFERROR(_xlfn.MAXIFS([1]!Tabelle5[value_points],[1]!Tabelle5[company_id],Tabelle18[[#This Row],[company_id]],[1]!Tabelle5[value_id],Tabelle18[[#This Row],[value_id]]),0)</f>
        <v>0</v>
      </c>
      <c r="F19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2" t="str" cm="1">
        <f t="array" ref="G19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2" s="7" t="str" cm="1">
        <f t="array" ref="H19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3" spans="1:8" x14ac:dyDescent="0.25">
      <c r="A193" s="5">
        <v>11</v>
      </c>
      <c r="B193" t="s">
        <v>19</v>
      </c>
      <c r="C193" s="6">
        <f>IF(Tabelle18[[#This Row],[binding_level_company]]&gt;=1,1,0)</f>
        <v>0</v>
      </c>
      <c r="D193" s="6">
        <f>IFERROR(_xlfn.MAXIFS([1]!Tabelle5[binding_level],[1]!Tabelle5[company_id],Tabelle18[[#This Row],[company_id]],[1]!Tabelle5[value_id],Tabelle18[[#This Row],[value_id]],[1]!Tabelle5[value_present],1),0)</f>
        <v>0</v>
      </c>
      <c r="E193" s="6">
        <f>IFERROR(_xlfn.MAXIFS([1]!Tabelle5[value_points],[1]!Tabelle5[company_id],Tabelle18[[#This Row],[company_id]],[1]!Tabelle5[value_id],Tabelle18[[#This Row],[value_id]]),0)</f>
        <v>0</v>
      </c>
      <c r="F19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3" t="str" cm="1">
        <f t="array" ref="G19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3" s="7" t="str" cm="1">
        <f t="array" ref="H19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4" spans="1:8" x14ac:dyDescent="0.25">
      <c r="A194" s="5">
        <v>11</v>
      </c>
      <c r="B194" t="s">
        <v>20</v>
      </c>
      <c r="C194" s="6">
        <f>IF(Tabelle18[[#This Row],[binding_level_company]]&gt;=1,1,0)</f>
        <v>0</v>
      </c>
      <c r="D194" s="6">
        <f>IFERROR(_xlfn.MAXIFS([1]!Tabelle5[binding_level],[1]!Tabelle5[company_id],Tabelle18[[#This Row],[company_id]],[1]!Tabelle5[value_id],Tabelle18[[#This Row],[value_id]],[1]!Tabelle5[value_present],1),0)</f>
        <v>0</v>
      </c>
      <c r="E194" s="6">
        <f>IFERROR(_xlfn.MAXIFS([1]!Tabelle5[value_points],[1]!Tabelle5[company_id],Tabelle18[[#This Row],[company_id]],[1]!Tabelle5[value_id],Tabelle18[[#This Row],[value_id]]),0)</f>
        <v>0</v>
      </c>
      <c r="F19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4" t="str" cm="1">
        <f t="array" ref="G19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4" s="7" t="str" cm="1">
        <f t="array" ref="H19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5" spans="1:8" x14ac:dyDescent="0.25">
      <c r="A195" s="5">
        <v>11</v>
      </c>
      <c r="B195" t="s">
        <v>21</v>
      </c>
      <c r="C195" s="6">
        <f>IF(Tabelle18[[#This Row],[binding_level_company]]&gt;=1,1,0)</f>
        <v>0</v>
      </c>
      <c r="D195" s="6">
        <f>IFERROR(_xlfn.MAXIFS([1]!Tabelle5[binding_level],[1]!Tabelle5[company_id],Tabelle18[[#This Row],[company_id]],[1]!Tabelle5[value_id],Tabelle18[[#This Row],[value_id]],[1]!Tabelle5[value_present],1),0)</f>
        <v>0</v>
      </c>
      <c r="E195" s="6">
        <f>IFERROR(_xlfn.MAXIFS([1]!Tabelle5[value_points],[1]!Tabelle5[company_id],Tabelle18[[#This Row],[company_id]],[1]!Tabelle5[value_id],Tabelle18[[#This Row],[value_id]]),0)</f>
        <v>0</v>
      </c>
      <c r="F19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5" t="str" cm="1">
        <f t="array" ref="G19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5" s="7" t="str" cm="1">
        <f t="array" ref="H19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6" spans="1:8" x14ac:dyDescent="0.25">
      <c r="A196" s="5">
        <v>11</v>
      </c>
      <c r="B196" t="s">
        <v>22</v>
      </c>
      <c r="C196" s="6">
        <f>IF(Tabelle18[[#This Row],[binding_level_company]]&gt;=1,1,0)</f>
        <v>1</v>
      </c>
      <c r="D196" s="6">
        <f>IFERROR(_xlfn.MAXIFS([1]!Tabelle5[binding_level],[1]!Tabelle5[company_id],Tabelle18[[#This Row],[company_id]],[1]!Tabelle5[value_id],Tabelle18[[#This Row],[value_id]],[1]!Tabelle5[value_present],1),0)</f>
        <v>1</v>
      </c>
      <c r="E196" s="6">
        <f>IFERROR(_xlfn.MAXIFS([1]!Tabelle5[value_points],[1]!Tabelle5[company_id],Tabelle18[[#This Row],[company_id]],[1]!Tabelle5[value_id],Tabelle18[[#This Row],[value_id]]),0)</f>
        <v>1</v>
      </c>
      <c r="F19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56</v>
      </c>
      <c r="G196" t="str" cm="1">
        <f t="array" ref="G19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33, Abschnitt „2.5.2 Handling data“</v>
      </c>
      <c r="H196" s="7" t="str" cm="1">
        <f t="array" ref="H19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“responsible use of artificial intelligence”</v>
      </c>
    </row>
    <row r="197" spans="1:8" x14ac:dyDescent="0.25">
      <c r="A197" s="5">
        <v>11</v>
      </c>
      <c r="B197" t="s">
        <v>23</v>
      </c>
      <c r="C197" s="6">
        <f>IF(Tabelle18[[#This Row],[binding_level_company]]&gt;=1,1,0)</f>
        <v>0</v>
      </c>
      <c r="D197" s="6">
        <f>IFERROR(_xlfn.MAXIFS([1]!Tabelle5[binding_level],[1]!Tabelle5[company_id],Tabelle18[[#This Row],[company_id]],[1]!Tabelle5[value_id],Tabelle18[[#This Row],[value_id]],[1]!Tabelle5[value_present],1),0)</f>
        <v>0</v>
      </c>
      <c r="E197" s="6">
        <f>IFERROR(_xlfn.MAXIFS([1]!Tabelle5[value_points],[1]!Tabelle5[company_id],Tabelle18[[#This Row],[company_id]],[1]!Tabelle5[value_id],Tabelle18[[#This Row],[value_id]]),0)</f>
        <v>0</v>
      </c>
      <c r="F19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7" t="str" cm="1">
        <f t="array" ref="G19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7" s="7" t="str" cm="1">
        <f t="array" ref="H19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8" spans="1:8" x14ac:dyDescent="0.25">
      <c r="A198" s="5">
        <v>11</v>
      </c>
      <c r="B198" t="s">
        <v>24</v>
      </c>
      <c r="C198" s="6">
        <f>IF(Tabelle18[[#This Row],[binding_level_company]]&gt;=1,1,0)</f>
        <v>0</v>
      </c>
      <c r="D198" s="6">
        <f>IFERROR(_xlfn.MAXIFS([1]!Tabelle5[binding_level],[1]!Tabelle5[company_id],Tabelle18[[#This Row],[company_id]],[1]!Tabelle5[value_id],Tabelle18[[#This Row],[value_id]],[1]!Tabelle5[value_present],1),0)</f>
        <v>0</v>
      </c>
      <c r="E198" s="6">
        <f>IFERROR(_xlfn.MAXIFS([1]!Tabelle5[value_points],[1]!Tabelle5[company_id],Tabelle18[[#This Row],[company_id]],[1]!Tabelle5[value_id],Tabelle18[[#This Row],[value_id]]),0)</f>
        <v>0</v>
      </c>
      <c r="F19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8" t="str" cm="1">
        <f t="array" ref="G19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8" s="7" t="str" cm="1">
        <f t="array" ref="H19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199" spans="1:8" ht="15.75" thickBot="1" x14ac:dyDescent="0.3">
      <c r="A199" s="8">
        <v>11</v>
      </c>
      <c r="B199" s="9" t="s">
        <v>25</v>
      </c>
      <c r="C199" s="10">
        <f>IF(Tabelle18[[#This Row],[binding_level_company]]&gt;=1,1,0)</f>
        <v>0</v>
      </c>
      <c r="D199" s="10">
        <f>IFERROR(_xlfn.MAXIFS([1]!Tabelle5[binding_level],[1]!Tabelle5[company_id],Tabelle18[[#This Row],[company_id]],[1]!Tabelle5[value_id],Tabelle18[[#This Row],[value_id]],[1]!Tabelle5[value_present],1),0)</f>
        <v>0</v>
      </c>
      <c r="E199" s="10">
        <f>IFERROR(_xlfn.MAXIFS([1]!Tabelle5[value_points],[1]!Tabelle5[company_id],Tabelle18[[#This Row],[company_id]],[1]!Tabelle5[value_id],Tabelle18[[#This Row],[value_id]]),0)</f>
        <v>0</v>
      </c>
      <c r="F199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199" s="9" t="str" cm="1">
        <f t="array" ref="G19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199" s="11" t="str" cm="1">
        <f t="array" ref="H19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00" spans="1:8" x14ac:dyDescent="0.25">
      <c r="A200" s="1">
        <v>12</v>
      </c>
      <c r="B200" s="2" t="s">
        <v>8</v>
      </c>
      <c r="C200" s="3">
        <f>IF(Tabelle18[[#This Row],[binding_level_company]]&gt;=1,1,0)</f>
        <v>1</v>
      </c>
      <c r="D200" s="3">
        <f>IFERROR(_xlfn.MAXIFS([1]!Tabelle5[binding_level],[1]!Tabelle5[company_id],Tabelle18[[#This Row],[company_id]],[1]!Tabelle5[value_id],Tabelle18[[#This Row],[value_id]],[1]!Tabelle5[value_present],1),0)</f>
        <v>3</v>
      </c>
      <c r="E200" s="3">
        <f>IFERROR(_xlfn.MAXIFS([1]!Tabelle5[value_points],[1]!Tabelle5[company_id],Tabelle18[[#This Row],[company_id]],[1]!Tabelle5[value_id],Tabelle18[[#This Row],[value_id]]),0)</f>
        <v>3</v>
      </c>
      <c r="F200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64</v>
      </c>
      <c r="G200" s="2" t="str" cm="1">
        <f t="array" ref="G20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132, “Digitization and innovation”</v>
      </c>
      <c r="H200" s="4" t="str" cm="1">
        <f t="array" ref="H20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“formation of an Artificial Intelligence Oversight Forum (AIOF)”</v>
      </c>
    </row>
    <row r="201" spans="1:8" x14ac:dyDescent="0.25">
      <c r="A201" s="5">
        <v>12</v>
      </c>
      <c r="B201" t="s">
        <v>9</v>
      </c>
      <c r="C201" s="6">
        <f>IF(Tabelle18[[#This Row],[binding_level_company]]&gt;=1,1,0)</f>
        <v>1</v>
      </c>
      <c r="D201" s="6">
        <f>IFERROR(_xlfn.MAXIFS([1]!Tabelle5[binding_level],[1]!Tabelle5[company_id],Tabelle18[[#This Row],[company_id]],[1]!Tabelle5[value_id],Tabelle18[[#This Row],[value_id]],[1]!Tabelle5[value_present],1),0)</f>
        <v>1</v>
      </c>
      <c r="E201" s="6">
        <f>IFERROR(_xlfn.MAXIFS([1]!Tabelle5[value_points],[1]!Tabelle5[company_id],Tabelle18[[#This Row],[company_id]],[1]!Tabelle5[value_id],Tabelle18[[#This Row],[value_id]]),0)</f>
        <v>1</v>
      </c>
      <c r="F20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1" t="str" cm="1">
        <f t="array" ref="G20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10</v>
      </c>
      <c r="H201" s="7" t="str" cm="1">
        <f t="array" ref="H20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“Establish clear accountability and ownership for AI solutions”</v>
      </c>
    </row>
    <row r="202" spans="1:8" x14ac:dyDescent="0.25">
      <c r="A202" s="5">
        <v>12</v>
      </c>
      <c r="B202" t="s">
        <v>10</v>
      </c>
      <c r="C202" s="6">
        <f>IF(Tabelle18[[#This Row],[binding_level_company]]&gt;=1,1,0)</f>
        <v>1</v>
      </c>
      <c r="D202" s="6">
        <f>IFERROR(_xlfn.MAXIFS([1]!Tabelle5[binding_level],[1]!Tabelle5[company_id],Tabelle18[[#This Row],[company_id]],[1]!Tabelle5[value_id],Tabelle18[[#This Row],[value_id]],[1]!Tabelle5[value_present],1),0)</f>
        <v>1</v>
      </c>
      <c r="E202" s="6">
        <f>IFERROR(_xlfn.MAXIFS([1]!Tabelle5[value_points],[1]!Tabelle5[company_id],Tabelle18[[#This Row],[company_id]],[1]!Tabelle5[value_id],Tabelle18[[#This Row],[value_id]]),0)</f>
        <v>1</v>
      </c>
      <c r="F20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2" t="str" cm="1">
        <f t="array" ref="G20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Abschnitt 10</v>
      </c>
      <c r="H202" s="7" t="str" cm="1">
        <f t="array" ref="H20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“transparency and Explainability of AI Models and workflows”</v>
      </c>
    </row>
    <row r="203" spans="1:8" x14ac:dyDescent="0.25">
      <c r="A203" s="5">
        <v>12</v>
      </c>
      <c r="B203" t="s">
        <v>11</v>
      </c>
      <c r="C203" s="6">
        <f>IF(Tabelle18[[#This Row],[binding_level_company]]&gt;=1,1,0)</f>
        <v>1</v>
      </c>
      <c r="D203" s="6">
        <f>IFERROR(_xlfn.MAXIFS([1]!Tabelle5[binding_level],[1]!Tabelle5[company_id],Tabelle18[[#This Row],[company_id]],[1]!Tabelle5[value_id],Tabelle18[[#This Row],[value_id]],[1]!Tabelle5[value_present],1),0)</f>
        <v>1</v>
      </c>
      <c r="E203" s="6">
        <f>IFERROR(_xlfn.MAXIFS([1]!Tabelle5[value_points],[1]!Tabelle5[company_id],Tabelle18[[#This Row],[company_id]],[1]!Tabelle5[value_id],Tabelle18[[#This Row],[value_id]]),0)</f>
        <v>1</v>
      </c>
      <c r="F20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3" t="str" cm="1">
        <f t="array" ref="G20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Abschnitt 10</v>
      </c>
      <c r="H203" s="7" t="str" cm="1">
        <f t="array" ref="H20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“transparency and Explainability of AI Models and workflows”</v>
      </c>
    </row>
    <row r="204" spans="1:8" x14ac:dyDescent="0.25">
      <c r="A204" s="5">
        <v>12</v>
      </c>
      <c r="B204" t="s">
        <v>12</v>
      </c>
      <c r="C204" s="6">
        <f>IF(Tabelle18[[#This Row],[binding_level_company]]&gt;=1,1,0)</f>
        <v>1</v>
      </c>
      <c r="D204" s="6">
        <f>IFERROR(_xlfn.MAXIFS([1]!Tabelle5[binding_level],[1]!Tabelle5[company_id],Tabelle18[[#This Row],[company_id]],[1]!Tabelle5[value_id],Tabelle18[[#This Row],[value_id]],[1]!Tabelle5[value_present],1),0)</f>
        <v>1</v>
      </c>
      <c r="E204" s="6">
        <f>IFERROR(_xlfn.MAXIFS([1]!Tabelle5[value_points],[1]!Tabelle5[company_id],Tabelle18[[#This Row],[company_id]],[1]!Tabelle5[value_id],Tabelle18[[#This Row],[value_id]]),0)</f>
        <v>1</v>
      </c>
      <c r="F20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4" t="str" cm="1">
        <f t="array" ref="G20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10</v>
      </c>
      <c r="H204" s="7" t="str" cm="1">
        <f t="array" ref="H20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“Strive to make AI solutions fair”</v>
      </c>
    </row>
    <row r="205" spans="1:8" x14ac:dyDescent="0.25">
      <c r="A205" s="5">
        <v>12</v>
      </c>
      <c r="B205" t="s">
        <v>13</v>
      </c>
      <c r="C205" s="6">
        <f>IF(Tabelle18[[#This Row],[binding_level_company]]&gt;=1,1,0)</f>
        <v>1</v>
      </c>
      <c r="D205" s="6">
        <f>IFERROR(_xlfn.MAXIFS([1]!Tabelle5[binding_level],[1]!Tabelle5[company_id],Tabelle18[[#This Row],[company_id]],[1]!Tabelle5[value_id],Tabelle18[[#This Row],[value_id]],[1]!Tabelle5[value_present],1),0)</f>
        <v>1</v>
      </c>
      <c r="E205" s="6">
        <f>IFERROR(_xlfn.MAXIFS([1]!Tabelle5[value_points],[1]!Tabelle5[company_id],Tabelle18[[#This Row],[company_id]],[1]!Tabelle5[value_id],Tabelle18[[#This Row],[value_id]]),0)</f>
        <v>1</v>
      </c>
      <c r="F20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5" t="str" cm="1">
        <f t="array" ref="G20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Abschnitt 10</v>
      </c>
      <c r="H205" s="7" t="str" cm="1">
        <f t="array" ref="H20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“complying with applicable data protection laws”</v>
      </c>
    </row>
    <row r="206" spans="1:8" x14ac:dyDescent="0.25">
      <c r="A206" s="5">
        <v>12</v>
      </c>
      <c r="B206" t="s">
        <v>14</v>
      </c>
      <c r="C206" s="6">
        <f>IF(Tabelle18[[#This Row],[binding_level_company]]&gt;=1,1,0)</f>
        <v>1</v>
      </c>
      <c r="D206" s="6">
        <f>IFERROR(_xlfn.MAXIFS([1]!Tabelle5[binding_level],[1]!Tabelle5[company_id],Tabelle18[[#This Row],[company_id]],[1]!Tabelle5[value_id],Tabelle18[[#This Row],[value_id]],[1]!Tabelle5[value_present],1),0)</f>
        <v>1</v>
      </c>
      <c r="E206" s="6">
        <f>IFERROR(_xlfn.MAXIFS([1]!Tabelle5[value_points],[1]!Tabelle5[company_id],Tabelle18[[#This Row],[company_id]],[1]!Tabelle5[value_id],Tabelle18[[#This Row],[value_id]]),0)</f>
        <v>1</v>
      </c>
      <c r="F20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6" t="str" cm="1">
        <f t="array" ref="G20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10</v>
      </c>
      <c r="H206" s="7" t="str" cm="1">
        <f t="array" ref="H20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“prevent Information Security risks and threats”</v>
      </c>
    </row>
    <row r="207" spans="1:8" x14ac:dyDescent="0.25">
      <c r="A207" s="5">
        <v>12</v>
      </c>
      <c r="B207" t="s">
        <v>15</v>
      </c>
      <c r="C207" s="6">
        <f>IF(Tabelle18[[#This Row],[binding_level_company]]&gt;=1,1,0)</f>
        <v>1</v>
      </c>
      <c r="D207" s="6">
        <f>IFERROR(_xlfn.MAXIFS([1]!Tabelle5[binding_level],[1]!Tabelle5[company_id],Tabelle18[[#This Row],[company_id]],[1]!Tabelle5[value_id],Tabelle18[[#This Row],[value_id]],[1]!Tabelle5[value_present],1),0)</f>
        <v>1</v>
      </c>
      <c r="E207" s="6">
        <f>IFERROR(_xlfn.MAXIFS([1]!Tabelle5[value_points],[1]!Tabelle5[company_id],Tabelle18[[#This Row],[company_id]],[1]!Tabelle5[value_id],Tabelle18[[#This Row],[value_id]]),0)</f>
        <v>1</v>
      </c>
      <c r="F20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7" t="str" cm="1">
        <f t="array" ref="G20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10</v>
      </c>
      <c r="H207" s="7" t="str" cm="1">
        <f t="array" ref="H20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“avoid potential risks and issues around safety and abuse”</v>
      </c>
    </row>
    <row r="208" spans="1:8" x14ac:dyDescent="0.25">
      <c r="A208" s="5">
        <v>12</v>
      </c>
      <c r="B208" t="s">
        <v>16</v>
      </c>
      <c r="C208" s="6">
        <f>IF(Tabelle18[[#This Row],[binding_level_company]]&gt;=1,1,0)</f>
        <v>1</v>
      </c>
      <c r="D208" s="6">
        <f>IFERROR(_xlfn.MAXIFS([1]!Tabelle5[binding_level],[1]!Tabelle5[company_id],Tabelle18[[#This Row],[company_id]],[1]!Tabelle5[value_id],Tabelle18[[#This Row],[value_id]],[1]!Tabelle5[value_present],1),0)</f>
        <v>1</v>
      </c>
      <c r="E208" s="6">
        <f>IFERROR(_xlfn.MAXIFS([1]!Tabelle5[value_points],[1]!Tabelle5[company_id],Tabelle18[[#This Row],[company_id]],[1]!Tabelle5[value_id],Tabelle18[[#This Row],[value_id]]),0)</f>
        <v>1</v>
      </c>
      <c r="F20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08" t="str" cm="1">
        <f t="array" ref="G20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10</v>
      </c>
      <c r="H208" s="7" t="str" cm="1">
        <f t="array" ref="H20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“Security, Safety &amp; Technical Robustness.”</v>
      </c>
    </row>
    <row r="209" spans="1:8" x14ac:dyDescent="0.25">
      <c r="A209" s="5">
        <v>12</v>
      </c>
      <c r="B209" t="s">
        <v>17</v>
      </c>
      <c r="C209" s="6">
        <f>IF(Tabelle18[[#This Row],[binding_level_company]]&gt;=1,1,0)</f>
        <v>0</v>
      </c>
      <c r="D209" s="6">
        <f>IFERROR(_xlfn.MAXIFS([1]!Tabelle5[binding_level],[1]!Tabelle5[company_id],Tabelle18[[#This Row],[company_id]],[1]!Tabelle5[value_id],Tabelle18[[#This Row],[value_id]],[1]!Tabelle5[value_present],1),0)</f>
        <v>0</v>
      </c>
      <c r="E209" s="6">
        <f>IFERROR(_xlfn.MAXIFS([1]!Tabelle5[value_points],[1]!Tabelle5[company_id],Tabelle18[[#This Row],[company_id]],[1]!Tabelle5[value_id],Tabelle18[[#This Row],[value_id]]),0)</f>
        <v>0</v>
      </c>
      <c r="F20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09" t="str" cm="1">
        <f t="array" ref="G20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09" s="7" t="str" cm="1">
        <f t="array" ref="H20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10" spans="1:8" x14ac:dyDescent="0.25">
      <c r="A210" s="5">
        <v>12</v>
      </c>
      <c r="B210" t="s">
        <v>18</v>
      </c>
      <c r="C210" s="6">
        <f>IF(Tabelle18[[#This Row],[binding_level_company]]&gt;=1,1,0)</f>
        <v>1</v>
      </c>
      <c r="D210" s="6">
        <f>IFERROR(_xlfn.MAXIFS([1]!Tabelle5[binding_level],[1]!Tabelle5[company_id],Tabelle18[[#This Row],[company_id]],[1]!Tabelle5[value_id],Tabelle18[[#This Row],[value_id]],[1]!Tabelle5[value_present],1),0)</f>
        <v>1</v>
      </c>
      <c r="E210" s="6">
        <f>IFERROR(_xlfn.MAXIFS([1]!Tabelle5[value_points],[1]!Tabelle5[company_id],Tabelle18[[#This Row],[company_id]],[1]!Tabelle5[value_id],Tabelle18[[#This Row],[value_id]]),0)</f>
        <v>1</v>
      </c>
      <c r="F21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10" t="str" cm="1">
        <f t="array" ref="G2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10</v>
      </c>
      <c r="H210" s="7" t="str" cm="1">
        <f t="array" ref="H2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“innovate responsibly and inclusively and to consider accessibility”</v>
      </c>
    </row>
    <row r="211" spans="1:8" x14ac:dyDescent="0.25">
      <c r="A211" s="5">
        <v>12</v>
      </c>
      <c r="B211" t="s">
        <v>19</v>
      </c>
      <c r="C211" s="6">
        <f>IF(Tabelle18[[#This Row],[binding_level_company]]&gt;=1,1,0)</f>
        <v>0</v>
      </c>
      <c r="D211" s="6">
        <f>IFERROR(_xlfn.MAXIFS([1]!Tabelle5[binding_level],[1]!Tabelle5[company_id],Tabelle18[[#This Row],[company_id]],[1]!Tabelle5[value_id],Tabelle18[[#This Row],[value_id]],[1]!Tabelle5[value_present],1),0)</f>
        <v>0</v>
      </c>
      <c r="E211" s="6">
        <f>IFERROR(_xlfn.MAXIFS([1]!Tabelle5[value_points],[1]!Tabelle5[company_id],Tabelle18[[#This Row],[company_id]],[1]!Tabelle5[value_id],Tabelle18[[#This Row],[value_id]]),0)</f>
        <v>0</v>
      </c>
      <c r="F21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11" t="str" cm="1">
        <f t="array" ref="G2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11" s="7" t="str" cm="1">
        <f t="array" ref="H2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12" spans="1:8" x14ac:dyDescent="0.25">
      <c r="A212" s="5">
        <v>12</v>
      </c>
      <c r="B212" t="s">
        <v>20</v>
      </c>
      <c r="C212" s="6">
        <f>IF(Tabelle18[[#This Row],[binding_level_company]]&gt;=1,1,0)</f>
        <v>0</v>
      </c>
      <c r="D212" s="6">
        <f>IFERROR(_xlfn.MAXIFS([1]!Tabelle5[binding_level],[1]!Tabelle5[company_id],Tabelle18[[#This Row],[company_id]],[1]!Tabelle5[value_id],Tabelle18[[#This Row],[value_id]],[1]!Tabelle5[value_present],1),0)</f>
        <v>0</v>
      </c>
      <c r="E212" s="6">
        <f>IFERROR(_xlfn.MAXIFS([1]!Tabelle5[value_points],[1]!Tabelle5[company_id],Tabelle18[[#This Row],[company_id]],[1]!Tabelle5[value_id],Tabelle18[[#This Row],[value_id]]),0)</f>
        <v>0</v>
      </c>
      <c r="F21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12" t="str" cm="1">
        <f t="array" ref="G2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12" s="7" t="str" cm="1">
        <f t="array" ref="H2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13" spans="1:8" x14ac:dyDescent="0.25">
      <c r="A213" s="5">
        <v>12</v>
      </c>
      <c r="B213" t="s">
        <v>21</v>
      </c>
      <c r="C213" s="6">
        <f>IF(Tabelle18[[#This Row],[binding_level_company]]&gt;=1,1,0)</f>
        <v>1</v>
      </c>
      <c r="D213" s="6">
        <f>IFERROR(_xlfn.MAXIFS([1]!Tabelle5[binding_level],[1]!Tabelle5[company_id],Tabelle18[[#This Row],[company_id]],[1]!Tabelle5[value_id],Tabelle18[[#This Row],[value_id]],[1]!Tabelle5[value_present],1),0)</f>
        <v>1</v>
      </c>
      <c r="E213" s="6">
        <f>IFERROR(_xlfn.MAXIFS([1]!Tabelle5[value_points],[1]!Tabelle5[company_id],Tabelle18[[#This Row],[company_id]],[1]!Tabelle5[value_id],Tabelle18[[#This Row],[value_id]]),0)</f>
        <v>1</v>
      </c>
      <c r="F21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13" t="str" cm="1">
        <f t="array" ref="G2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10</v>
      </c>
      <c r="H213" s="7" t="str" cm="1">
        <f t="array" ref="H2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“committed to fully complying with all AI regulations”</v>
      </c>
    </row>
    <row r="214" spans="1:8" x14ac:dyDescent="0.25">
      <c r="A214" s="5">
        <v>12</v>
      </c>
      <c r="B214" t="s">
        <v>22</v>
      </c>
      <c r="C214" s="6">
        <f>IF(Tabelle18[[#This Row],[binding_level_company]]&gt;=1,1,0)</f>
        <v>1</v>
      </c>
      <c r="D214" s="6">
        <f>IFERROR(_xlfn.MAXIFS([1]!Tabelle5[binding_level],[1]!Tabelle5[company_id],Tabelle18[[#This Row],[company_id]],[1]!Tabelle5[value_id],Tabelle18[[#This Row],[value_id]],[1]!Tabelle5[value_present],1),0)</f>
        <v>1</v>
      </c>
      <c r="E214" s="6">
        <f>IFERROR(_xlfn.MAXIFS([1]!Tabelle5[value_points],[1]!Tabelle5[company_id],Tabelle18[[#This Row],[company_id]],[1]!Tabelle5[value_id],Tabelle18[[#This Row],[value_id]]),0)</f>
        <v>1</v>
      </c>
      <c r="F21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62</v>
      </c>
      <c r="G214" t="str" cm="1">
        <f t="array" ref="G2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Abschnitt 10</v>
      </c>
      <c r="H214" s="7" t="str" cm="1">
        <f t="array" ref="H2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“aligned at all times with Deutsche Bank’s values”</v>
      </c>
    </row>
    <row r="215" spans="1:8" x14ac:dyDescent="0.25">
      <c r="A215" s="5">
        <v>12</v>
      </c>
      <c r="B215" t="s">
        <v>23</v>
      </c>
      <c r="C215" s="6">
        <f>IF(Tabelle18[[#This Row],[binding_level_company]]&gt;=1,1,0)</f>
        <v>1</v>
      </c>
      <c r="D215" s="6">
        <f>IFERROR(_xlfn.MAXIFS([1]!Tabelle5[binding_level],[1]!Tabelle5[company_id],Tabelle18[[#This Row],[company_id]],[1]!Tabelle5[value_id],Tabelle18[[#This Row],[value_id]],[1]!Tabelle5[value_present],1),0)</f>
        <v>1</v>
      </c>
      <c r="E215" s="6">
        <f>IFERROR(_xlfn.MAXIFS([1]!Tabelle5[value_points],[1]!Tabelle5[company_id],Tabelle18[[#This Row],[company_id]],[1]!Tabelle5[value_id],Tabelle18[[#This Row],[value_id]]),0)</f>
        <v>1</v>
      </c>
      <c r="F21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69</v>
      </c>
      <c r="G215" t="str" cm="1">
        <f t="array" ref="G2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7, Abschnitt 2.1.1</v>
      </c>
      <c r="H215" s="7" t="str" cm="1">
        <f t="array" ref="H2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“training and live data being high-quality and reliable”</v>
      </c>
    </row>
    <row r="216" spans="1:8" x14ac:dyDescent="0.25">
      <c r="A216" s="5">
        <v>12</v>
      </c>
      <c r="B216" t="s">
        <v>24</v>
      </c>
      <c r="C216" s="6">
        <f>IF(Tabelle18[[#This Row],[binding_level_company]]&gt;=1,1,0)</f>
        <v>1</v>
      </c>
      <c r="D216" s="6">
        <f>IFERROR(_xlfn.MAXIFS([1]!Tabelle5[binding_level],[1]!Tabelle5[company_id],Tabelle18[[#This Row],[company_id]],[1]!Tabelle5[value_id],Tabelle18[[#This Row],[value_id]],[1]!Tabelle5[value_present],1),0)</f>
        <v>1</v>
      </c>
      <c r="E216" s="6">
        <f>IFERROR(_xlfn.MAXIFS([1]!Tabelle5[value_points],[1]!Tabelle5[company_id],Tabelle18[[#This Row],[company_id]],[1]!Tabelle5[value_id],Tabelle18[[#This Row],[value_id]]),0)</f>
        <v>1</v>
      </c>
      <c r="F21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69</v>
      </c>
      <c r="G216" t="str" cm="1">
        <f t="array" ref="G2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21, Abschnitt 4.4</v>
      </c>
      <c r="H216" s="7" t="str" cm="1">
        <f t="array" ref="H2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“data confidentiality, outsourcing and product liability”</v>
      </c>
    </row>
    <row r="217" spans="1:8" ht="15.75" thickBot="1" x14ac:dyDescent="0.3">
      <c r="A217" s="8">
        <v>12</v>
      </c>
      <c r="B217" s="9" t="s">
        <v>25</v>
      </c>
      <c r="C217" s="10">
        <f>IF(Tabelle18[[#This Row],[binding_level_company]]&gt;=1,1,0)</f>
        <v>0</v>
      </c>
      <c r="D217" s="10">
        <f>IFERROR(_xlfn.MAXIFS([1]!Tabelle5[binding_level],[1]!Tabelle5[company_id],Tabelle18[[#This Row],[company_id]],[1]!Tabelle5[value_id],Tabelle18[[#This Row],[value_id]],[1]!Tabelle5[value_present],1),0)</f>
        <v>0</v>
      </c>
      <c r="E217" s="10">
        <f>IFERROR(_xlfn.MAXIFS([1]!Tabelle5[value_points],[1]!Tabelle5[company_id],Tabelle18[[#This Row],[company_id]],[1]!Tabelle5[value_id],Tabelle18[[#This Row],[value_id]]),0)</f>
        <v>0</v>
      </c>
      <c r="F217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17" s="9" t="str" cm="1">
        <f t="array" ref="G2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17" s="11" t="str" cm="1">
        <f t="array" ref="H2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18" spans="1:8" x14ac:dyDescent="0.25">
      <c r="A218" s="1">
        <v>13</v>
      </c>
      <c r="B218" s="2" t="s">
        <v>8</v>
      </c>
      <c r="C218" s="3">
        <f>IF(Tabelle18[[#This Row],[binding_level_company]]&gt;=1,1,0)</f>
        <v>0</v>
      </c>
      <c r="D218" s="3">
        <f>IFERROR(_xlfn.MAXIFS([1]!Tabelle5[binding_level],[1]!Tabelle5[company_id],Tabelle18[[#This Row],[company_id]],[1]!Tabelle5[value_id],Tabelle18[[#This Row],[value_id]],[1]!Tabelle5[value_present],1),0)</f>
        <v>0</v>
      </c>
      <c r="E218" s="3">
        <f>IFERROR(_xlfn.MAXIFS([1]!Tabelle5[value_points],[1]!Tabelle5[company_id],Tabelle18[[#This Row],[company_id]],[1]!Tabelle5[value_id],Tabelle18[[#This Row],[value_id]]),0)</f>
        <v>0</v>
      </c>
      <c r="F218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18" s="2" t="str" cm="1">
        <f t="array" ref="G2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18" s="4" t="str" cm="1">
        <f t="array" ref="H2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19" spans="1:8" x14ac:dyDescent="0.25">
      <c r="A219" s="5">
        <v>13</v>
      </c>
      <c r="B219" t="s">
        <v>9</v>
      </c>
      <c r="C219" s="6">
        <f>IF(Tabelle18[[#This Row],[binding_level_company]]&gt;=1,1,0)</f>
        <v>0</v>
      </c>
      <c r="D219" s="6">
        <f>IFERROR(_xlfn.MAXIFS([1]!Tabelle5[binding_level],[1]!Tabelle5[company_id],Tabelle18[[#This Row],[company_id]],[1]!Tabelle5[value_id],Tabelle18[[#This Row],[value_id]],[1]!Tabelle5[value_present],1),0)</f>
        <v>0</v>
      </c>
      <c r="E219" s="6">
        <f>IFERROR(_xlfn.MAXIFS([1]!Tabelle5[value_points],[1]!Tabelle5[company_id],Tabelle18[[#This Row],[company_id]],[1]!Tabelle5[value_id],Tabelle18[[#This Row],[value_id]]),0)</f>
        <v>0</v>
      </c>
      <c r="F21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19" t="str" cm="1">
        <f t="array" ref="G2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19" s="7" t="str" cm="1">
        <f t="array" ref="H2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20" spans="1:8" x14ac:dyDescent="0.25">
      <c r="A220" s="5">
        <v>13</v>
      </c>
      <c r="B220" t="s">
        <v>10</v>
      </c>
      <c r="C220" s="6">
        <f>IF(Tabelle18[[#This Row],[binding_level_company]]&gt;=1,1,0)</f>
        <v>1</v>
      </c>
      <c r="D220" s="6">
        <f>IFERROR(_xlfn.MAXIFS([1]!Tabelle5[binding_level],[1]!Tabelle5[company_id],Tabelle18[[#This Row],[company_id]],[1]!Tabelle5[value_id],Tabelle18[[#This Row],[value_id]],[1]!Tabelle5[value_present],1),0)</f>
        <v>1</v>
      </c>
      <c r="E220" s="6">
        <f>IFERROR(_xlfn.MAXIFS([1]!Tabelle5[value_points],[1]!Tabelle5[company_id],Tabelle18[[#This Row],[company_id]],[1]!Tabelle5[value_id],Tabelle18[[#This Row],[value_id]]),0)</f>
        <v>1</v>
      </c>
      <c r="F22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73</v>
      </c>
      <c r="G220" t="str" cm="1">
        <f t="array" ref="G2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9, Q2; S. 23, Q18.2</v>
      </c>
      <c r="H220" s="7" t="str" cm="1">
        <f t="array" ref="H2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“guaranteeing transparency, stability, and investor protection at all times”; “more transparency as regards the derivation of ‘synthetic data’"</v>
      </c>
    </row>
    <row r="221" spans="1:8" x14ac:dyDescent="0.25">
      <c r="A221" s="5">
        <v>13</v>
      </c>
      <c r="B221" t="s">
        <v>11</v>
      </c>
      <c r="C221" s="6">
        <f>IF(Tabelle18[[#This Row],[binding_level_company]]&gt;=1,1,0)</f>
        <v>1</v>
      </c>
      <c r="D221" s="6">
        <f>IFERROR(_xlfn.MAXIFS([1]!Tabelle5[binding_level],[1]!Tabelle5[company_id],Tabelle18[[#This Row],[company_id]],[1]!Tabelle5[value_id],Tabelle18[[#This Row],[value_id]],[1]!Tabelle5[value_present],1),0)</f>
        <v>1</v>
      </c>
      <c r="E221" s="6">
        <f>IFERROR(_xlfn.MAXIFS([1]!Tabelle5[value_points],[1]!Tabelle5[company_id],Tabelle18[[#This Row],[company_id]],[1]!Tabelle5[value_id],Tabelle18[[#This Row],[value_id]]),0)</f>
        <v>1</v>
      </c>
      <c r="F22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73</v>
      </c>
      <c r="G221" t="str" cm="1">
        <f t="array" ref="G2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9, Q3</v>
      </c>
      <c r="H221" s="7" t="str" cm="1">
        <f t="array" ref="H2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“outcomes difficult to understand (the ‘black box’ problem)”</v>
      </c>
    </row>
    <row r="222" spans="1:8" x14ac:dyDescent="0.25">
      <c r="A222" s="5">
        <v>13</v>
      </c>
      <c r="B222" t="s">
        <v>12</v>
      </c>
      <c r="C222" s="6">
        <f>IF(Tabelle18[[#This Row],[binding_level_company]]&gt;=1,1,0)</f>
        <v>1</v>
      </c>
      <c r="D222" s="6">
        <f>IFERROR(_xlfn.MAXIFS([1]!Tabelle5[binding_level],[1]!Tabelle5[company_id],Tabelle18[[#This Row],[company_id]],[1]!Tabelle5[value_id],Tabelle18[[#This Row],[value_id]],[1]!Tabelle5[value_present],1),0)</f>
        <v>1</v>
      </c>
      <c r="E222" s="6">
        <f>IFERROR(_xlfn.MAXIFS([1]!Tabelle5[value_points],[1]!Tabelle5[company_id],Tabelle18[[#This Row],[company_id]],[1]!Tabelle5[value_id],Tabelle18[[#This Row],[value_id]]),0)</f>
        <v>1</v>
      </c>
      <c r="F22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73</v>
      </c>
      <c r="G222" t="str" cm="1">
        <f t="array" ref="G22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9, Q3</v>
      </c>
      <c r="H222" s="7" t="str" cm="1">
        <f t="array" ref="H22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 models can perpetuate existing biases present in the data”</v>
      </c>
    </row>
    <row r="223" spans="1:8" x14ac:dyDescent="0.25">
      <c r="A223" s="5">
        <v>13</v>
      </c>
      <c r="B223" t="s">
        <v>13</v>
      </c>
      <c r="C223" s="6">
        <f>IF(Tabelle18[[#This Row],[binding_level_company]]&gt;=1,1,0)</f>
        <v>0</v>
      </c>
      <c r="D223" s="6">
        <f>IFERROR(_xlfn.MAXIFS([1]!Tabelle5[binding_level],[1]!Tabelle5[company_id],Tabelle18[[#This Row],[company_id]],[1]!Tabelle5[value_id],Tabelle18[[#This Row],[value_id]],[1]!Tabelle5[value_present],1),0)</f>
        <v>0</v>
      </c>
      <c r="E223" s="6">
        <f>IFERROR(_xlfn.MAXIFS([1]!Tabelle5[value_points],[1]!Tabelle5[company_id],Tabelle18[[#This Row],[company_id]],[1]!Tabelle5[value_id],Tabelle18[[#This Row],[value_id]]),0)</f>
        <v>0</v>
      </c>
      <c r="F22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23" t="str" cm="1">
        <f t="array" ref="G22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23" s="7" t="str" cm="1">
        <f t="array" ref="H22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24" spans="1:8" x14ac:dyDescent="0.25">
      <c r="A224" s="5">
        <v>13</v>
      </c>
      <c r="B224" t="s">
        <v>14</v>
      </c>
      <c r="C224" s="6">
        <f>IF(Tabelle18[[#This Row],[binding_level_company]]&gt;=1,1,0)</f>
        <v>0</v>
      </c>
      <c r="D224" s="6">
        <f>IFERROR(_xlfn.MAXIFS([1]!Tabelle5[binding_level],[1]!Tabelle5[company_id],Tabelle18[[#This Row],[company_id]],[1]!Tabelle5[value_id],Tabelle18[[#This Row],[value_id]],[1]!Tabelle5[value_present],1),0)</f>
        <v>0</v>
      </c>
      <c r="E224" s="6">
        <f>IFERROR(_xlfn.MAXIFS([1]!Tabelle5[value_points],[1]!Tabelle5[company_id],Tabelle18[[#This Row],[company_id]],[1]!Tabelle5[value_id],Tabelle18[[#This Row],[value_id]]),0)</f>
        <v>0</v>
      </c>
      <c r="F22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24" t="str" cm="1">
        <f t="array" ref="G22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24" s="7" t="str" cm="1">
        <f t="array" ref="H22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25" spans="1:8" x14ac:dyDescent="0.25">
      <c r="A225" s="5">
        <v>13</v>
      </c>
      <c r="B225" t="s">
        <v>15</v>
      </c>
      <c r="C225" s="6">
        <f>IF(Tabelle18[[#This Row],[binding_level_company]]&gt;=1,1,0)</f>
        <v>0</v>
      </c>
      <c r="D225" s="6">
        <f>IFERROR(_xlfn.MAXIFS([1]!Tabelle5[binding_level],[1]!Tabelle5[company_id],Tabelle18[[#This Row],[company_id]],[1]!Tabelle5[value_id],Tabelle18[[#This Row],[value_id]],[1]!Tabelle5[value_present],1),0)</f>
        <v>0</v>
      </c>
      <c r="E225" s="6">
        <f>IFERROR(_xlfn.MAXIFS([1]!Tabelle5[value_points],[1]!Tabelle5[company_id],Tabelle18[[#This Row],[company_id]],[1]!Tabelle5[value_id],Tabelle18[[#This Row],[value_id]]),0)</f>
        <v>0</v>
      </c>
      <c r="F22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25" t="str" cm="1">
        <f t="array" ref="G22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25" s="7" t="str" cm="1">
        <f t="array" ref="H22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26" spans="1:8" x14ac:dyDescent="0.25">
      <c r="A226" s="5">
        <v>13</v>
      </c>
      <c r="B226" t="s">
        <v>16</v>
      </c>
      <c r="C226" s="6">
        <f>IF(Tabelle18[[#This Row],[binding_level_company]]&gt;=1,1,0)</f>
        <v>1</v>
      </c>
      <c r="D226" s="6">
        <f>IFERROR(_xlfn.MAXIFS([1]!Tabelle5[binding_level],[1]!Tabelle5[company_id],Tabelle18[[#This Row],[company_id]],[1]!Tabelle5[value_id],Tabelle18[[#This Row],[value_id]],[1]!Tabelle5[value_present],1),0)</f>
        <v>1</v>
      </c>
      <c r="E226" s="6">
        <f>IFERROR(_xlfn.MAXIFS([1]!Tabelle5[value_points],[1]!Tabelle5[company_id],Tabelle18[[#This Row],[company_id]],[1]!Tabelle5[value_id],Tabelle18[[#This Row],[value_id]]),0)</f>
        <v>1</v>
      </c>
      <c r="F22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73</v>
      </c>
      <c r="G226" t="str" cm="1">
        <f t="array" ref="G22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22, Q15; S. 27, Q26</v>
      </c>
      <c r="H226" s="7" t="str" cm="1">
        <f t="array" ref="H22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“High data (information) quality is at the heart of reliable and useful AI”; “ensure reliable and trustworthy application"</v>
      </c>
    </row>
    <row r="227" spans="1:8" x14ac:dyDescent="0.25">
      <c r="A227" s="5">
        <v>13</v>
      </c>
      <c r="B227" t="s">
        <v>17</v>
      </c>
      <c r="C227" s="6">
        <f>IF(Tabelle18[[#This Row],[binding_level_company]]&gt;=1,1,0)</f>
        <v>0</v>
      </c>
      <c r="D227" s="6">
        <f>IFERROR(_xlfn.MAXIFS([1]!Tabelle5[binding_level],[1]!Tabelle5[company_id],Tabelle18[[#This Row],[company_id]],[1]!Tabelle5[value_id],Tabelle18[[#This Row],[value_id]],[1]!Tabelle5[value_present],1),0)</f>
        <v>0</v>
      </c>
      <c r="E227" s="6">
        <f>IFERROR(_xlfn.MAXIFS([1]!Tabelle5[value_points],[1]!Tabelle5[company_id],Tabelle18[[#This Row],[company_id]],[1]!Tabelle5[value_id],Tabelle18[[#This Row],[value_id]]),0)</f>
        <v>0</v>
      </c>
      <c r="F22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27" t="str" cm="1">
        <f t="array" ref="G22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27" s="7" t="str" cm="1">
        <f t="array" ref="H22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28" spans="1:8" x14ac:dyDescent="0.25">
      <c r="A228" s="5">
        <v>13</v>
      </c>
      <c r="B228" t="s">
        <v>18</v>
      </c>
      <c r="C228" s="6">
        <f>IF(Tabelle18[[#This Row],[binding_level_company]]&gt;=1,1,0)</f>
        <v>0</v>
      </c>
      <c r="D228" s="6">
        <f>IFERROR(_xlfn.MAXIFS([1]!Tabelle5[binding_level],[1]!Tabelle5[company_id],Tabelle18[[#This Row],[company_id]],[1]!Tabelle5[value_id],Tabelle18[[#This Row],[value_id]],[1]!Tabelle5[value_present],1),0)</f>
        <v>0</v>
      </c>
      <c r="E228" s="6">
        <f>IFERROR(_xlfn.MAXIFS([1]!Tabelle5[value_points],[1]!Tabelle5[company_id],Tabelle18[[#This Row],[company_id]],[1]!Tabelle5[value_id],Tabelle18[[#This Row],[value_id]]),0)</f>
        <v>0</v>
      </c>
      <c r="F22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28" t="str" cm="1">
        <f t="array" ref="G22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28" s="7" t="str" cm="1">
        <f t="array" ref="H22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29" spans="1:8" x14ac:dyDescent="0.25">
      <c r="A229" s="5">
        <v>13</v>
      </c>
      <c r="B229" t="s">
        <v>19</v>
      </c>
      <c r="C229" s="6">
        <f>IF(Tabelle18[[#This Row],[binding_level_company]]&gt;=1,1,0)</f>
        <v>0</v>
      </c>
      <c r="D229" s="6">
        <f>IFERROR(_xlfn.MAXIFS([1]!Tabelle5[binding_level],[1]!Tabelle5[company_id],Tabelle18[[#This Row],[company_id]],[1]!Tabelle5[value_id],Tabelle18[[#This Row],[value_id]],[1]!Tabelle5[value_present],1),0)</f>
        <v>0</v>
      </c>
      <c r="E229" s="6">
        <f>IFERROR(_xlfn.MAXIFS([1]!Tabelle5[value_points],[1]!Tabelle5[company_id],Tabelle18[[#This Row],[company_id]],[1]!Tabelle5[value_id],Tabelle18[[#This Row],[value_id]]),0)</f>
        <v>0</v>
      </c>
      <c r="F22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29" t="str" cm="1">
        <f t="array" ref="G22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29" s="7" t="str" cm="1">
        <f t="array" ref="H22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0" spans="1:8" x14ac:dyDescent="0.25">
      <c r="A230" s="5">
        <v>13</v>
      </c>
      <c r="B230" t="s">
        <v>20</v>
      </c>
      <c r="C230" s="6">
        <f>IF(Tabelle18[[#This Row],[binding_level_company]]&gt;=1,1,0)</f>
        <v>0</v>
      </c>
      <c r="D230" s="6">
        <f>IFERROR(_xlfn.MAXIFS([1]!Tabelle5[binding_level],[1]!Tabelle5[company_id],Tabelle18[[#This Row],[company_id]],[1]!Tabelle5[value_id],Tabelle18[[#This Row],[value_id]],[1]!Tabelle5[value_present],1),0)</f>
        <v>0</v>
      </c>
      <c r="E230" s="6">
        <f>IFERROR(_xlfn.MAXIFS([1]!Tabelle5[value_points],[1]!Tabelle5[company_id],Tabelle18[[#This Row],[company_id]],[1]!Tabelle5[value_id],Tabelle18[[#This Row],[value_id]]),0)</f>
        <v>0</v>
      </c>
      <c r="F23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0" t="str" cm="1">
        <f t="array" ref="G23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0" s="7" t="str" cm="1">
        <f t="array" ref="H23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1" spans="1:8" x14ac:dyDescent="0.25">
      <c r="A231" s="5">
        <v>13</v>
      </c>
      <c r="B231" t="s">
        <v>21</v>
      </c>
      <c r="C231" s="6">
        <f>IF(Tabelle18[[#This Row],[binding_level_company]]&gt;=1,1,0)</f>
        <v>1</v>
      </c>
      <c r="D231" s="6">
        <f>IFERROR(_xlfn.MAXIFS([1]!Tabelle5[binding_level],[1]!Tabelle5[company_id],Tabelle18[[#This Row],[company_id]],[1]!Tabelle5[value_id],Tabelle18[[#This Row],[value_id]],[1]!Tabelle5[value_present],1),0)</f>
        <v>2</v>
      </c>
      <c r="E231" s="6">
        <f>IFERROR(_xlfn.MAXIFS([1]!Tabelle5[value_points],[1]!Tabelle5[company_id],Tabelle18[[#This Row],[company_id]],[1]!Tabelle5[value_id],Tabelle18[[#This Row],[value_id]]),0)</f>
        <v>2</v>
      </c>
      <c r="F23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74</v>
      </c>
      <c r="G231" t="str" cm="1">
        <f t="array" ref="G23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23, Abschnitt 10</v>
      </c>
      <c r="H231" s="7" t="str" cm="1">
        <f t="array" ref="H23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 xml:space="preserve">“including use of Information in AI solutions is properly licensed”; “Customers are required to have the appropriate NDDU license in place”; </v>
      </c>
    </row>
    <row r="232" spans="1:8" x14ac:dyDescent="0.25">
      <c r="A232" s="5">
        <v>13</v>
      </c>
      <c r="B232" t="s">
        <v>22</v>
      </c>
      <c r="C232" s="6">
        <f>IF(Tabelle18[[#This Row],[binding_level_company]]&gt;=1,1,0)</f>
        <v>0</v>
      </c>
      <c r="D232" s="6">
        <f>IFERROR(_xlfn.MAXIFS([1]!Tabelle5[binding_level],[1]!Tabelle5[company_id],Tabelle18[[#This Row],[company_id]],[1]!Tabelle5[value_id],Tabelle18[[#This Row],[value_id]],[1]!Tabelle5[value_present],1),0)</f>
        <v>0</v>
      </c>
      <c r="E232" s="6">
        <f>IFERROR(_xlfn.MAXIFS([1]!Tabelle5[value_points],[1]!Tabelle5[company_id],Tabelle18[[#This Row],[company_id]],[1]!Tabelle5[value_id],Tabelle18[[#This Row],[value_id]]),0)</f>
        <v>0</v>
      </c>
      <c r="F23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2" t="str" cm="1">
        <f t="array" ref="G23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2" s="7" t="str" cm="1">
        <f t="array" ref="H23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3" spans="1:8" x14ac:dyDescent="0.25">
      <c r="A233" s="5">
        <v>13</v>
      </c>
      <c r="B233" t="s">
        <v>23</v>
      </c>
      <c r="C233" s="6">
        <f>IF(Tabelle18[[#This Row],[binding_level_company]]&gt;=1,1,0)</f>
        <v>1</v>
      </c>
      <c r="D233" s="6">
        <f>IFERROR(_xlfn.MAXIFS([1]!Tabelle5[binding_level],[1]!Tabelle5[company_id],Tabelle18[[#This Row],[company_id]],[1]!Tabelle5[value_id],Tabelle18[[#This Row],[value_id]],[1]!Tabelle5[value_present],1),0)</f>
        <v>1</v>
      </c>
      <c r="E233" s="6">
        <f>IFERROR(_xlfn.MAXIFS([1]!Tabelle5[value_points],[1]!Tabelle5[company_id],Tabelle18[[#This Row],[company_id]],[1]!Tabelle5[value_id],Tabelle18[[#This Row],[value_id]]),0)</f>
        <v>1</v>
      </c>
      <c r="F23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73</v>
      </c>
      <c r="G233" t="str" cm="1">
        <f t="array" ref="G23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9, Q3; S. 22, Q15</v>
      </c>
      <c r="H233" s="7" t="str" cm="1">
        <f t="array" ref="H23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 solid data governance”; “clear and strict data governance is being set-up and maintained”</v>
      </c>
    </row>
    <row r="234" spans="1:8" x14ac:dyDescent="0.25">
      <c r="A234" s="5">
        <v>13</v>
      </c>
      <c r="B234" t="s">
        <v>24</v>
      </c>
      <c r="C234" s="6">
        <f>IF(Tabelle18[[#This Row],[binding_level_company]]&gt;=1,1,0)</f>
        <v>0</v>
      </c>
      <c r="D234" s="6">
        <f>IFERROR(_xlfn.MAXIFS([1]!Tabelle5[binding_level],[1]!Tabelle5[company_id],Tabelle18[[#This Row],[company_id]],[1]!Tabelle5[value_id],Tabelle18[[#This Row],[value_id]],[1]!Tabelle5[value_present],1),0)</f>
        <v>0</v>
      </c>
      <c r="E234" s="6">
        <f>IFERROR(_xlfn.MAXIFS([1]!Tabelle5[value_points],[1]!Tabelle5[company_id],Tabelle18[[#This Row],[company_id]],[1]!Tabelle5[value_id],Tabelle18[[#This Row],[value_id]]),0)</f>
        <v>0</v>
      </c>
      <c r="F23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4" t="str" cm="1">
        <f t="array" ref="G23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4" s="7" t="str" cm="1">
        <f t="array" ref="H23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5" spans="1:8" ht="15.75" thickBot="1" x14ac:dyDescent="0.3">
      <c r="A235" s="8">
        <v>13</v>
      </c>
      <c r="B235" s="9" t="s">
        <v>25</v>
      </c>
      <c r="C235" s="10">
        <f>IF(Tabelle18[[#This Row],[binding_level_company]]&gt;=1,1,0)</f>
        <v>0</v>
      </c>
      <c r="D235" s="10">
        <f>IFERROR(_xlfn.MAXIFS([1]!Tabelle5[binding_level],[1]!Tabelle5[company_id],Tabelle18[[#This Row],[company_id]],[1]!Tabelle5[value_id],Tabelle18[[#This Row],[value_id]],[1]!Tabelle5[value_present],1),0)</f>
        <v>0</v>
      </c>
      <c r="E235" s="10">
        <f>IFERROR(_xlfn.MAXIFS([1]!Tabelle5[value_points],[1]!Tabelle5[company_id],Tabelle18[[#This Row],[company_id]],[1]!Tabelle5[value_id],Tabelle18[[#This Row],[value_id]]),0)</f>
        <v>0</v>
      </c>
      <c r="F235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5" s="9" t="str" cm="1">
        <f t="array" ref="G23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5" s="11" t="str" cm="1">
        <f t="array" ref="H23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6" spans="1:8" x14ac:dyDescent="0.25">
      <c r="A236" s="1">
        <v>14</v>
      </c>
      <c r="B236" s="2" t="s">
        <v>8</v>
      </c>
      <c r="C236" s="3">
        <f>IF(Tabelle18[[#This Row],[binding_level_company]]&gt;=1,1,0)</f>
        <v>0</v>
      </c>
      <c r="D236" s="3">
        <f>IFERROR(_xlfn.MAXIFS([1]!Tabelle5[binding_level],[1]!Tabelle5[company_id],Tabelle18[[#This Row],[company_id]],[1]!Tabelle5[value_id],Tabelle18[[#This Row],[value_id]],[1]!Tabelle5[value_present],1),0)</f>
        <v>0</v>
      </c>
      <c r="E236" s="3">
        <f>IFERROR(_xlfn.MAXIFS([1]!Tabelle5[value_points],[1]!Tabelle5[company_id],Tabelle18[[#This Row],[company_id]],[1]!Tabelle5[value_id],Tabelle18[[#This Row],[value_id]]),0)</f>
        <v>0</v>
      </c>
      <c r="F236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6" s="2" t="str" cm="1">
        <f t="array" ref="G23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6" s="4" t="str" cm="1">
        <f t="array" ref="H23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7" spans="1:8" x14ac:dyDescent="0.25">
      <c r="A237" s="5">
        <v>14</v>
      </c>
      <c r="B237" t="s">
        <v>9</v>
      </c>
      <c r="C237" s="6">
        <f>IF(Tabelle18[[#This Row],[binding_level_company]]&gt;=1,1,0)</f>
        <v>0</v>
      </c>
      <c r="D237" s="6">
        <f>IFERROR(_xlfn.MAXIFS([1]!Tabelle5[binding_level],[1]!Tabelle5[company_id],Tabelle18[[#This Row],[company_id]],[1]!Tabelle5[value_id],Tabelle18[[#This Row],[value_id]],[1]!Tabelle5[value_present],1),0)</f>
        <v>0</v>
      </c>
      <c r="E237" s="6">
        <f>IFERROR(_xlfn.MAXIFS([1]!Tabelle5[value_points],[1]!Tabelle5[company_id],Tabelle18[[#This Row],[company_id]],[1]!Tabelle5[value_id],Tabelle18[[#This Row],[value_id]]),0)</f>
        <v>0</v>
      </c>
      <c r="F23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7" t="str" cm="1">
        <f t="array" ref="G23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7" s="7" t="str" cm="1">
        <f t="array" ref="H23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8" spans="1:8" x14ac:dyDescent="0.25">
      <c r="A238" s="5">
        <v>14</v>
      </c>
      <c r="B238" t="s">
        <v>10</v>
      </c>
      <c r="C238" s="6">
        <f>IF(Tabelle18[[#This Row],[binding_level_company]]&gt;=1,1,0)</f>
        <v>0</v>
      </c>
      <c r="D238" s="6">
        <f>IFERROR(_xlfn.MAXIFS([1]!Tabelle5[binding_level],[1]!Tabelle5[company_id],Tabelle18[[#This Row],[company_id]],[1]!Tabelle5[value_id],Tabelle18[[#This Row],[value_id]],[1]!Tabelle5[value_present],1),0)</f>
        <v>0</v>
      </c>
      <c r="E238" s="6">
        <f>IFERROR(_xlfn.MAXIFS([1]!Tabelle5[value_points],[1]!Tabelle5[company_id],Tabelle18[[#This Row],[company_id]],[1]!Tabelle5[value_id],Tabelle18[[#This Row],[value_id]]),0)</f>
        <v>0</v>
      </c>
      <c r="F23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8" t="str" cm="1">
        <f t="array" ref="G23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8" s="7" t="str" cm="1">
        <f t="array" ref="H23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39" spans="1:8" x14ac:dyDescent="0.25">
      <c r="A239" s="5">
        <v>14</v>
      </c>
      <c r="B239" t="s">
        <v>11</v>
      </c>
      <c r="C239" s="6">
        <f>IF(Tabelle18[[#This Row],[binding_level_company]]&gt;=1,1,0)</f>
        <v>0</v>
      </c>
      <c r="D239" s="6">
        <f>IFERROR(_xlfn.MAXIFS([1]!Tabelle5[binding_level],[1]!Tabelle5[company_id],Tabelle18[[#This Row],[company_id]],[1]!Tabelle5[value_id],Tabelle18[[#This Row],[value_id]],[1]!Tabelle5[value_present],1),0)</f>
        <v>0</v>
      </c>
      <c r="E239" s="6">
        <f>IFERROR(_xlfn.MAXIFS([1]!Tabelle5[value_points],[1]!Tabelle5[company_id],Tabelle18[[#This Row],[company_id]],[1]!Tabelle5[value_id],Tabelle18[[#This Row],[value_id]]),0)</f>
        <v>0</v>
      </c>
      <c r="F23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39" t="str" cm="1">
        <f t="array" ref="G23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39" s="7" t="str" cm="1">
        <f t="array" ref="H23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0" spans="1:8" x14ac:dyDescent="0.25">
      <c r="A240" s="5">
        <v>14</v>
      </c>
      <c r="B240" t="s">
        <v>12</v>
      </c>
      <c r="C240" s="6">
        <f>IF(Tabelle18[[#This Row],[binding_level_company]]&gt;=1,1,0)</f>
        <v>0</v>
      </c>
      <c r="D240" s="6">
        <f>IFERROR(_xlfn.MAXIFS([1]!Tabelle5[binding_level],[1]!Tabelle5[company_id],Tabelle18[[#This Row],[company_id]],[1]!Tabelle5[value_id],Tabelle18[[#This Row],[value_id]],[1]!Tabelle5[value_present],1),0)</f>
        <v>0</v>
      </c>
      <c r="E240" s="6">
        <f>IFERROR(_xlfn.MAXIFS([1]!Tabelle5[value_points],[1]!Tabelle5[company_id],Tabelle18[[#This Row],[company_id]],[1]!Tabelle5[value_id],Tabelle18[[#This Row],[value_id]]),0)</f>
        <v>0</v>
      </c>
      <c r="F24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0" t="str" cm="1">
        <f t="array" ref="G24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0" s="7" t="str" cm="1">
        <f t="array" ref="H24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1" spans="1:8" x14ac:dyDescent="0.25">
      <c r="A241" s="5">
        <v>14</v>
      </c>
      <c r="B241" t="s">
        <v>13</v>
      </c>
      <c r="C241" s="6">
        <f>IF(Tabelle18[[#This Row],[binding_level_company]]&gt;=1,1,0)</f>
        <v>0</v>
      </c>
      <c r="D241" s="6">
        <f>IFERROR(_xlfn.MAXIFS([1]!Tabelle5[binding_level],[1]!Tabelle5[company_id],Tabelle18[[#This Row],[company_id]],[1]!Tabelle5[value_id],Tabelle18[[#This Row],[value_id]],[1]!Tabelle5[value_present],1),0)</f>
        <v>0</v>
      </c>
      <c r="E241" s="6">
        <f>IFERROR(_xlfn.MAXIFS([1]!Tabelle5[value_points],[1]!Tabelle5[company_id],Tabelle18[[#This Row],[company_id]],[1]!Tabelle5[value_id],Tabelle18[[#This Row],[value_id]]),0)</f>
        <v>0</v>
      </c>
      <c r="F24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1" t="str" cm="1">
        <f t="array" ref="G24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1" s="7" t="str" cm="1">
        <f t="array" ref="H24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2" spans="1:8" x14ac:dyDescent="0.25">
      <c r="A242" s="5">
        <v>14</v>
      </c>
      <c r="B242" t="s">
        <v>14</v>
      </c>
      <c r="C242" s="6">
        <f>IF(Tabelle18[[#This Row],[binding_level_company]]&gt;=1,1,0)</f>
        <v>0</v>
      </c>
      <c r="D242" s="6">
        <f>IFERROR(_xlfn.MAXIFS([1]!Tabelle5[binding_level],[1]!Tabelle5[company_id],Tabelle18[[#This Row],[company_id]],[1]!Tabelle5[value_id],Tabelle18[[#This Row],[value_id]],[1]!Tabelle5[value_present],1),0)</f>
        <v>0</v>
      </c>
      <c r="E242" s="6">
        <f>IFERROR(_xlfn.MAXIFS([1]!Tabelle5[value_points],[1]!Tabelle5[company_id],Tabelle18[[#This Row],[company_id]],[1]!Tabelle5[value_id],Tabelle18[[#This Row],[value_id]]),0)</f>
        <v>0</v>
      </c>
      <c r="F24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2" t="str" cm="1">
        <f t="array" ref="G24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2" s="7" t="str" cm="1">
        <f t="array" ref="H24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3" spans="1:8" x14ac:dyDescent="0.25">
      <c r="A243" s="5">
        <v>14</v>
      </c>
      <c r="B243" t="s">
        <v>15</v>
      </c>
      <c r="C243" s="6">
        <f>IF(Tabelle18[[#This Row],[binding_level_company]]&gt;=1,1,0)</f>
        <v>0</v>
      </c>
      <c r="D243" s="6">
        <f>IFERROR(_xlfn.MAXIFS([1]!Tabelle5[binding_level],[1]!Tabelle5[company_id],Tabelle18[[#This Row],[company_id]],[1]!Tabelle5[value_id],Tabelle18[[#This Row],[value_id]],[1]!Tabelle5[value_present],1),0)</f>
        <v>0</v>
      </c>
      <c r="E243" s="6">
        <f>IFERROR(_xlfn.MAXIFS([1]!Tabelle5[value_points],[1]!Tabelle5[company_id],Tabelle18[[#This Row],[company_id]],[1]!Tabelle5[value_id],Tabelle18[[#This Row],[value_id]]),0)</f>
        <v>0</v>
      </c>
      <c r="F24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3" t="str" cm="1">
        <f t="array" ref="G24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3" s="7" t="str" cm="1">
        <f t="array" ref="H24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4" spans="1:8" x14ac:dyDescent="0.25">
      <c r="A244" s="5">
        <v>14</v>
      </c>
      <c r="B244" t="s">
        <v>16</v>
      </c>
      <c r="C244" s="6">
        <f>IF(Tabelle18[[#This Row],[binding_level_company]]&gt;=1,1,0)</f>
        <v>0</v>
      </c>
      <c r="D244" s="6">
        <f>IFERROR(_xlfn.MAXIFS([1]!Tabelle5[binding_level],[1]!Tabelle5[company_id],Tabelle18[[#This Row],[company_id]],[1]!Tabelle5[value_id],Tabelle18[[#This Row],[value_id]],[1]!Tabelle5[value_present],1),0)</f>
        <v>0</v>
      </c>
      <c r="E244" s="6">
        <f>IFERROR(_xlfn.MAXIFS([1]!Tabelle5[value_points],[1]!Tabelle5[company_id],Tabelle18[[#This Row],[company_id]],[1]!Tabelle5[value_id],Tabelle18[[#This Row],[value_id]]),0)</f>
        <v>0</v>
      </c>
      <c r="F24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4" t="str" cm="1">
        <f t="array" ref="G24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4" s="7" t="str" cm="1">
        <f t="array" ref="H24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5" spans="1:8" x14ac:dyDescent="0.25">
      <c r="A245" s="5">
        <v>14</v>
      </c>
      <c r="B245" t="s">
        <v>17</v>
      </c>
      <c r="C245" s="6">
        <f>IF(Tabelle18[[#This Row],[binding_level_company]]&gt;=1,1,0)</f>
        <v>0</v>
      </c>
      <c r="D245" s="6">
        <f>IFERROR(_xlfn.MAXIFS([1]!Tabelle5[binding_level],[1]!Tabelle5[company_id],Tabelle18[[#This Row],[company_id]],[1]!Tabelle5[value_id],Tabelle18[[#This Row],[value_id]],[1]!Tabelle5[value_present],1),0)</f>
        <v>0</v>
      </c>
      <c r="E245" s="6">
        <f>IFERROR(_xlfn.MAXIFS([1]!Tabelle5[value_points],[1]!Tabelle5[company_id],Tabelle18[[#This Row],[company_id]],[1]!Tabelle5[value_id],Tabelle18[[#This Row],[value_id]]),0)</f>
        <v>0</v>
      </c>
      <c r="F24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5" t="str" cm="1">
        <f t="array" ref="G24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5" s="7" t="str" cm="1">
        <f t="array" ref="H24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6" spans="1:8" x14ac:dyDescent="0.25">
      <c r="A246" s="5">
        <v>14</v>
      </c>
      <c r="B246" t="s">
        <v>18</v>
      </c>
      <c r="C246" s="6">
        <f>IF(Tabelle18[[#This Row],[binding_level_company]]&gt;=1,1,0)</f>
        <v>0</v>
      </c>
      <c r="D246" s="6">
        <f>IFERROR(_xlfn.MAXIFS([1]!Tabelle5[binding_level],[1]!Tabelle5[company_id],Tabelle18[[#This Row],[company_id]],[1]!Tabelle5[value_id],Tabelle18[[#This Row],[value_id]],[1]!Tabelle5[value_present],1),0)</f>
        <v>0</v>
      </c>
      <c r="E246" s="6">
        <f>IFERROR(_xlfn.MAXIFS([1]!Tabelle5[value_points],[1]!Tabelle5[company_id],Tabelle18[[#This Row],[company_id]],[1]!Tabelle5[value_id],Tabelle18[[#This Row],[value_id]]),0)</f>
        <v>0</v>
      </c>
      <c r="F24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6" t="str" cm="1">
        <f t="array" ref="G24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6" s="7" t="str" cm="1">
        <f t="array" ref="H24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7" spans="1:8" x14ac:dyDescent="0.25">
      <c r="A247" s="5">
        <v>14</v>
      </c>
      <c r="B247" t="s">
        <v>19</v>
      </c>
      <c r="C247" s="6">
        <f>IF(Tabelle18[[#This Row],[binding_level_company]]&gt;=1,1,0)</f>
        <v>0</v>
      </c>
      <c r="D247" s="6">
        <f>IFERROR(_xlfn.MAXIFS([1]!Tabelle5[binding_level],[1]!Tabelle5[company_id],Tabelle18[[#This Row],[company_id]],[1]!Tabelle5[value_id],Tabelle18[[#This Row],[value_id]],[1]!Tabelle5[value_present],1),0)</f>
        <v>0</v>
      </c>
      <c r="E247" s="6">
        <f>IFERROR(_xlfn.MAXIFS([1]!Tabelle5[value_points],[1]!Tabelle5[company_id],Tabelle18[[#This Row],[company_id]],[1]!Tabelle5[value_id],Tabelle18[[#This Row],[value_id]]),0)</f>
        <v>0</v>
      </c>
      <c r="F24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7" t="str" cm="1">
        <f t="array" ref="G24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7" s="7" t="str" cm="1">
        <f t="array" ref="H24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8" spans="1:8" x14ac:dyDescent="0.25">
      <c r="A248" s="5">
        <v>14</v>
      </c>
      <c r="B248" t="s">
        <v>20</v>
      </c>
      <c r="C248" s="6">
        <f>IF(Tabelle18[[#This Row],[binding_level_company]]&gt;=1,1,0)</f>
        <v>0</v>
      </c>
      <c r="D248" s="6">
        <f>IFERROR(_xlfn.MAXIFS([1]!Tabelle5[binding_level],[1]!Tabelle5[company_id],Tabelle18[[#This Row],[company_id]],[1]!Tabelle5[value_id],Tabelle18[[#This Row],[value_id]],[1]!Tabelle5[value_present],1),0)</f>
        <v>0</v>
      </c>
      <c r="E248" s="6">
        <f>IFERROR(_xlfn.MAXIFS([1]!Tabelle5[value_points],[1]!Tabelle5[company_id],Tabelle18[[#This Row],[company_id]],[1]!Tabelle5[value_id],Tabelle18[[#This Row],[value_id]]),0)</f>
        <v>0</v>
      </c>
      <c r="F24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8" t="str" cm="1">
        <f t="array" ref="G24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8" s="7" t="str" cm="1">
        <f t="array" ref="H24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49" spans="1:8" x14ac:dyDescent="0.25">
      <c r="A249" s="5">
        <v>14</v>
      </c>
      <c r="B249" t="s">
        <v>21</v>
      </c>
      <c r="C249" s="6">
        <f>IF(Tabelle18[[#This Row],[binding_level_company]]&gt;=1,1,0)</f>
        <v>0</v>
      </c>
      <c r="D249" s="6">
        <f>IFERROR(_xlfn.MAXIFS([1]!Tabelle5[binding_level],[1]!Tabelle5[company_id],Tabelle18[[#This Row],[company_id]],[1]!Tabelle5[value_id],Tabelle18[[#This Row],[value_id]],[1]!Tabelle5[value_present],1),0)</f>
        <v>0</v>
      </c>
      <c r="E249" s="6">
        <f>IFERROR(_xlfn.MAXIFS([1]!Tabelle5[value_points],[1]!Tabelle5[company_id],Tabelle18[[#This Row],[company_id]],[1]!Tabelle5[value_id],Tabelle18[[#This Row],[value_id]]),0)</f>
        <v>0</v>
      </c>
      <c r="F24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49" t="str" cm="1">
        <f t="array" ref="G24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49" s="7" t="str" cm="1">
        <f t="array" ref="H24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50" spans="1:8" x14ac:dyDescent="0.25">
      <c r="A250" s="5">
        <v>14</v>
      </c>
      <c r="B250" t="s">
        <v>22</v>
      </c>
      <c r="C250" s="6">
        <f>IF(Tabelle18[[#This Row],[binding_level_company]]&gt;=1,1,0)</f>
        <v>0</v>
      </c>
      <c r="D250" s="6">
        <f>IFERROR(_xlfn.MAXIFS([1]!Tabelle5[binding_level],[1]!Tabelle5[company_id],Tabelle18[[#This Row],[company_id]],[1]!Tabelle5[value_id],Tabelle18[[#This Row],[value_id]],[1]!Tabelle5[value_present],1),0)</f>
        <v>0</v>
      </c>
      <c r="E250" s="6">
        <f>IFERROR(_xlfn.MAXIFS([1]!Tabelle5[value_points],[1]!Tabelle5[company_id],Tabelle18[[#This Row],[company_id]],[1]!Tabelle5[value_id],Tabelle18[[#This Row],[value_id]]),0)</f>
        <v>0</v>
      </c>
      <c r="F25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50" t="str" cm="1">
        <f t="array" ref="G25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50" s="7" t="str" cm="1">
        <f t="array" ref="H25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51" spans="1:8" x14ac:dyDescent="0.25">
      <c r="A251" s="5">
        <v>14</v>
      </c>
      <c r="B251" t="s">
        <v>23</v>
      </c>
      <c r="C251" s="6">
        <f>IF(Tabelle18[[#This Row],[binding_level_company]]&gt;=1,1,0)</f>
        <v>0</v>
      </c>
      <c r="D251" s="6">
        <f>IFERROR(_xlfn.MAXIFS([1]!Tabelle5[binding_level],[1]!Tabelle5[company_id],Tabelle18[[#This Row],[company_id]],[1]!Tabelle5[value_id],Tabelle18[[#This Row],[value_id]],[1]!Tabelle5[value_present],1),0)</f>
        <v>0</v>
      </c>
      <c r="E251" s="6">
        <f>IFERROR(_xlfn.MAXIFS([1]!Tabelle5[value_points],[1]!Tabelle5[company_id],Tabelle18[[#This Row],[company_id]],[1]!Tabelle5[value_id],Tabelle18[[#This Row],[value_id]]),0)</f>
        <v>0</v>
      </c>
      <c r="F25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51" t="str" cm="1">
        <f t="array" ref="G25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51" s="7" t="str" cm="1">
        <f t="array" ref="H25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52" spans="1:8" x14ac:dyDescent="0.25">
      <c r="A252" s="5">
        <v>14</v>
      </c>
      <c r="B252" t="s">
        <v>24</v>
      </c>
      <c r="C252" s="6">
        <f>IF(Tabelle18[[#This Row],[binding_level_company]]&gt;=1,1,0)</f>
        <v>0</v>
      </c>
      <c r="D252" s="6">
        <f>IFERROR(_xlfn.MAXIFS([1]!Tabelle5[binding_level],[1]!Tabelle5[company_id],Tabelle18[[#This Row],[company_id]],[1]!Tabelle5[value_id],Tabelle18[[#This Row],[value_id]],[1]!Tabelle5[value_present],1),0)</f>
        <v>0</v>
      </c>
      <c r="E252" s="6">
        <f>IFERROR(_xlfn.MAXIFS([1]!Tabelle5[value_points],[1]!Tabelle5[company_id],Tabelle18[[#This Row],[company_id]],[1]!Tabelle5[value_id],Tabelle18[[#This Row],[value_id]]),0)</f>
        <v>0</v>
      </c>
      <c r="F25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52" t="str" cm="1">
        <f t="array" ref="G25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52" s="7" t="str" cm="1">
        <f t="array" ref="H25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53" spans="1:8" ht="15.75" thickBot="1" x14ac:dyDescent="0.3">
      <c r="A253" s="8">
        <v>14</v>
      </c>
      <c r="B253" s="9" t="s">
        <v>25</v>
      </c>
      <c r="C253" s="10">
        <f>IF(Tabelle18[[#This Row],[binding_level_company]]&gt;=1,1,0)</f>
        <v>0</v>
      </c>
      <c r="D253" s="10">
        <f>IFERROR(_xlfn.MAXIFS([1]!Tabelle5[binding_level],[1]!Tabelle5[company_id],Tabelle18[[#This Row],[company_id]],[1]!Tabelle5[value_id],Tabelle18[[#This Row],[value_id]],[1]!Tabelle5[value_present],1),0)</f>
        <v>0</v>
      </c>
      <c r="E253" s="10">
        <f>IFERROR(_xlfn.MAXIFS([1]!Tabelle5[value_points],[1]!Tabelle5[company_id],Tabelle18[[#This Row],[company_id]],[1]!Tabelle5[value_id],Tabelle18[[#This Row],[value_id]]),0)</f>
        <v>0</v>
      </c>
      <c r="F253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53" s="9" t="str" cm="1">
        <f t="array" ref="G25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53" s="11" t="str" cm="1">
        <f t="array" ref="H25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54" spans="1:8" x14ac:dyDescent="0.25">
      <c r="A254" s="1">
        <v>15</v>
      </c>
      <c r="B254" s="2" t="s">
        <v>8</v>
      </c>
      <c r="C254" s="3">
        <f>IF(Tabelle18[[#This Row],[binding_level_company]]&gt;=1,1,0)</f>
        <v>1</v>
      </c>
      <c r="D254" s="3">
        <f>IFERROR(_xlfn.MAXIFS([1]!Tabelle5[binding_level],[1]!Tabelle5[company_id],Tabelle18[[#This Row],[company_id]],[1]!Tabelle5[value_id],Tabelle18[[#This Row],[value_id]],[1]!Tabelle5[value_present],1),0)</f>
        <v>3</v>
      </c>
      <c r="E254" s="3">
        <f>IFERROR(_xlfn.MAXIFS([1]!Tabelle5[value_points],[1]!Tabelle5[company_id],Tabelle18[[#This Row],[company_id]],[1]!Tabelle5[value_id],Tabelle18[[#This Row],[value_id]]),0)</f>
        <v>3</v>
      </c>
      <c r="F254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54" s="2" t="str" cm="1">
        <f t="array" ref="G25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9, Abschnitt 7</v>
      </c>
      <c r="H254" s="4" t="str" cm="1">
        <f t="array" ref="H25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“deactivate and stop AI systems at any time (kill switch)”</v>
      </c>
    </row>
    <row r="255" spans="1:8" x14ac:dyDescent="0.25">
      <c r="A255" s="5">
        <v>15</v>
      </c>
      <c r="B255" t="s">
        <v>9</v>
      </c>
      <c r="C255" s="6">
        <f>IF(Tabelle18[[#This Row],[binding_level_company]]&gt;=1,1,0)</f>
        <v>1</v>
      </c>
      <c r="D255" s="6">
        <f>IFERROR(_xlfn.MAXIFS([1]!Tabelle5[binding_level],[1]!Tabelle5[company_id],Tabelle18[[#This Row],[company_id]],[1]!Tabelle5[value_id],Tabelle18[[#This Row],[value_id]],[1]!Tabelle5[value_present],1),0)</f>
        <v>3</v>
      </c>
      <c r="E255" s="6">
        <f>IFERROR(_xlfn.MAXIFS([1]!Tabelle5[value_points],[1]!Tabelle5[company_id],Tabelle18[[#This Row],[company_id]],[1]!Tabelle5[value_id],Tabelle18[[#This Row],[value_id]]),0)</f>
        <v>3</v>
      </c>
      <c r="F25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55" t="str" cm="1">
        <f t="array" ref="G25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Abschnitt 1</v>
      </c>
      <c r="H255" s="7" t="str" cm="1">
        <f t="array" ref="H25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“clear definition of who is responsible for which AI system or feature”</v>
      </c>
    </row>
    <row r="256" spans="1:8" x14ac:dyDescent="0.25">
      <c r="A256" s="5">
        <v>15</v>
      </c>
      <c r="B256" t="s">
        <v>10</v>
      </c>
      <c r="C256" s="6">
        <f>IF(Tabelle18[[#This Row],[binding_level_company]]&gt;=1,1,0)</f>
        <v>1</v>
      </c>
      <c r="D256" s="6">
        <f>IFERROR(_xlfn.MAXIFS([1]!Tabelle5[binding_level],[1]!Tabelle5[company_id],Tabelle18[[#This Row],[company_id]],[1]!Tabelle5[value_id],Tabelle18[[#This Row],[value_id]],[1]!Tabelle5[value_present],1),0)</f>
        <v>3</v>
      </c>
      <c r="E256" s="6">
        <f>IFERROR(_xlfn.MAXIFS([1]!Tabelle5[value_points],[1]!Tabelle5[company_id],Tabelle18[[#This Row],[company_id]],[1]!Tabelle5[value_id],Tabelle18[[#This Row],[value_id]]),0)</f>
        <v>3</v>
      </c>
      <c r="F25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56" t="str" cm="1">
        <f t="array" ref="G25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Abschnitt 4; S. 8, Abschnitt 6</v>
      </c>
      <c r="H256" s="7" t="str" cm="1">
        <f t="array" ref="H25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 no case we hide it when the customer’s counterpart is an AI”; “transparent, auditable, fair, and fully documented”</v>
      </c>
    </row>
    <row r="257" spans="1:8" x14ac:dyDescent="0.25">
      <c r="A257" s="5">
        <v>15</v>
      </c>
      <c r="B257" t="s">
        <v>11</v>
      </c>
      <c r="C257" s="6">
        <f>IF(Tabelle18[[#This Row],[binding_level_company]]&gt;=1,1,0)</f>
        <v>1</v>
      </c>
      <c r="D257" s="6">
        <f>IFERROR(_xlfn.MAXIFS([1]!Tabelle5[binding_level],[1]!Tabelle5[company_id],Tabelle18[[#This Row],[company_id]],[1]!Tabelle5[value_id],Tabelle18[[#This Row],[value_id]],[1]!Tabelle5[value_present],1),0)</f>
        <v>3</v>
      </c>
      <c r="E257" s="6">
        <f>IFERROR(_xlfn.MAXIFS([1]!Tabelle5[value_points],[1]!Tabelle5[company_id],Tabelle18[[#This Row],[company_id]],[1]!Tabelle5[value_id],Tabelle18[[#This Row],[value_id]]),0)</f>
        <v>3</v>
      </c>
      <c r="F25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57" t="str" cm="1">
        <f t="array" ref="G25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8, Abschnitt 6</v>
      </c>
      <c r="H257" s="7" t="str" cm="1">
        <f t="array" ref="H25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“prevent so called ‘Black Boxes’”</v>
      </c>
    </row>
    <row r="258" spans="1:8" x14ac:dyDescent="0.25">
      <c r="A258" s="5">
        <v>15</v>
      </c>
      <c r="B258" t="s">
        <v>12</v>
      </c>
      <c r="C258" s="6">
        <f>IF(Tabelle18[[#This Row],[binding_level_company]]&gt;=1,1,0)</f>
        <v>1</v>
      </c>
      <c r="D258" s="6">
        <f>IFERROR(_xlfn.MAXIFS([1]!Tabelle5[binding_level],[1]!Tabelle5[company_id],Tabelle18[[#This Row],[company_id]],[1]!Tabelle5[value_id],Tabelle18[[#This Row],[value_id]],[1]!Tabelle5[value_present],1),0)</f>
        <v>3</v>
      </c>
      <c r="E258" s="6">
        <f>IFERROR(_xlfn.MAXIFS([1]!Tabelle5[value_points],[1]!Tabelle5[company_id],Tabelle18[[#This Row],[company_id]],[1]!Tabelle5[value_id],Tabelle18[[#This Row],[value_id]]),0)</f>
        <v>3</v>
      </c>
      <c r="F25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58" t="str" cm="1">
        <f t="array" ref="G25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8, Abschnitt 6; S. 9, Abschnitt 7</v>
      </c>
      <c r="H258" s="7" t="str" cm="1">
        <f t="array" ref="H25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“transparent, auditable, fair, and fully documented”; “remove inappropriate data to avoid bias”</v>
      </c>
    </row>
    <row r="259" spans="1:8" x14ac:dyDescent="0.25">
      <c r="A259" s="5">
        <v>15</v>
      </c>
      <c r="B259" t="s">
        <v>13</v>
      </c>
      <c r="C259" s="6">
        <f>IF(Tabelle18[[#This Row],[binding_level_company]]&gt;=1,1,0)</f>
        <v>1</v>
      </c>
      <c r="D259" s="6">
        <f>IFERROR(_xlfn.MAXIFS([1]!Tabelle5[binding_level],[1]!Tabelle5[company_id],Tabelle18[[#This Row],[company_id]],[1]!Tabelle5[value_id],Tabelle18[[#This Row],[value_id]],[1]!Tabelle5[value_present],1),0)</f>
        <v>3</v>
      </c>
      <c r="E259" s="6">
        <f>IFERROR(_xlfn.MAXIFS([1]!Tabelle5[value_points],[1]!Tabelle5[company_id],Tabelle18[[#This Row],[company_id]],[1]!Tabelle5[value_id],Tabelle18[[#This Row],[value_id]]),0)</f>
        <v>3</v>
      </c>
      <c r="F25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59" t="str" cm="1">
        <f t="array" ref="G25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Abschnitt 4; S. 7, Abschnitt 5; S. 8, Abschnitt 6</v>
      </c>
      <c r="H259" s="7" t="str" cm="1">
        <f t="array" ref="H25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“how and to which extent they can choose the way of further processing their personal data”; “privacy und security by design”; “We never process privacy-relevant data without legal permission”</v>
      </c>
    </row>
    <row r="260" spans="1:8" x14ac:dyDescent="0.25">
      <c r="A260" s="5">
        <v>15</v>
      </c>
      <c r="B260" t="s">
        <v>14</v>
      </c>
      <c r="C260" s="6">
        <f>IF(Tabelle18[[#This Row],[binding_level_company]]&gt;=1,1,0)</f>
        <v>1</v>
      </c>
      <c r="D260" s="6">
        <f>IFERROR(_xlfn.MAXIFS([1]!Tabelle5[binding_level],[1]!Tabelle5[company_id],Tabelle18[[#This Row],[company_id]],[1]!Tabelle5[value_id],Tabelle18[[#This Row],[value_id]],[1]!Tabelle5[value_present],1),0)</f>
        <v>3</v>
      </c>
      <c r="E260" s="6">
        <f>IFERROR(_xlfn.MAXIFS([1]!Tabelle5[value_points],[1]!Tabelle5[company_id],Tabelle18[[#This Row],[company_id]],[1]!Tabelle5[value_id],Tabelle18[[#This Row],[value_id]]),0)</f>
        <v>3</v>
      </c>
      <c r="F26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60" t="str" cm="1">
        <f t="array" ref="G26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Abschnitt 2; S. 7, Abschnitt 5; S. 8, Abschnitt 6</v>
      </c>
      <c r="H260" s="7" t="str" cm="1">
        <f t="array" ref="H26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“security, robustness, etc.”; “privacy und security by design”; “full overview of how customer related data is used and who has access"</v>
      </c>
    </row>
    <row r="261" spans="1:8" x14ac:dyDescent="0.25">
      <c r="A261" s="5">
        <v>15</v>
      </c>
      <c r="B261" t="s">
        <v>15</v>
      </c>
      <c r="C261" s="6">
        <f>IF(Tabelle18[[#This Row],[binding_level_company]]&gt;=1,1,0)</f>
        <v>1</v>
      </c>
      <c r="D261" s="6">
        <f>IFERROR(_xlfn.MAXIFS([1]!Tabelle5[binding_level],[1]!Tabelle5[company_id],Tabelle18[[#This Row],[company_id]],[1]!Tabelle5[value_id],Tabelle18[[#This Row],[value_id]],[1]!Tabelle5[value_present],1),0)</f>
        <v>3</v>
      </c>
      <c r="E261" s="6">
        <f>IFERROR(_xlfn.MAXIFS([1]!Tabelle5[value_points],[1]!Tabelle5[company_id],Tabelle18[[#This Row],[company_id]],[1]!Tabelle5[value_id],Tabelle18[[#This Row],[value_id]]),0)</f>
        <v>3</v>
      </c>
      <c r="F26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61" t="str" cm="1">
        <f t="array" ref="G26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8, Abschnitt 6; S. 9, Abschnitt 7</v>
      </c>
      <c r="H261" s="7" t="str" cm="1">
        <f t="array" ref="H26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“systems shall not unintentionally harm the users”; “we rather stop the AI system”</v>
      </c>
    </row>
    <row r="262" spans="1:8" x14ac:dyDescent="0.25">
      <c r="A262" s="5">
        <v>15</v>
      </c>
      <c r="B262" t="s">
        <v>16</v>
      </c>
      <c r="C262" s="6">
        <f>IF(Tabelle18[[#This Row],[binding_level_company]]&gt;=1,1,0)</f>
        <v>1</v>
      </c>
      <c r="D262" s="6">
        <f>IFERROR(_xlfn.MAXIFS([1]!Tabelle5[binding_level],[1]!Tabelle5[company_id],Tabelle18[[#This Row],[company_id]],[1]!Tabelle5[value_id],Tabelle18[[#This Row],[value_id]],[1]!Tabelle5[value_present],1),0)</f>
        <v>3</v>
      </c>
      <c r="E262" s="6">
        <f>IFERROR(_xlfn.MAXIFS([1]!Tabelle5[value_points],[1]!Tabelle5[company_id],Tabelle18[[#This Row],[company_id]],[1]!Tabelle5[value_id],Tabelle18[[#This Row],[value_id]]),0)</f>
        <v>3</v>
      </c>
      <c r="F26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62" t="str" cm="1">
        <f t="array" ref="G26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Abschnitt 2; S. 8, Abschnitt 6; S. 9, Abschnitt 7</v>
      </c>
      <c r="H262" s="7" t="str" cm="1">
        <f t="array" ref="H26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“security, robustness, etc.”; “we rather stop the AI system”; “risks and chances scenarios or reliable disaster scenarios”</v>
      </c>
    </row>
    <row r="263" spans="1:8" x14ac:dyDescent="0.25">
      <c r="A263" s="5">
        <v>15</v>
      </c>
      <c r="B263" t="s">
        <v>17</v>
      </c>
      <c r="C263" s="6">
        <f>IF(Tabelle18[[#This Row],[binding_level_company]]&gt;=1,1,0)</f>
        <v>1</v>
      </c>
      <c r="D263" s="6">
        <f>IFERROR(_xlfn.MAXIFS([1]!Tabelle5[binding_level],[1]!Tabelle5[company_id],Tabelle18[[#This Row],[company_id]],[1]!Tabelle5[value_id],Tabelle18[[#This Row],[value_id]],[1]!Tabelle5[value_present],1),0)</f>
        <v>3</v>
      </c>
      <c r="E263" s="6">
        <f>IFERROR(_xlfn.MAXIFS([1]!Tabelle5[value_points],[1]!Tabelle5[company_id],Tabelle18[[#This Row],[company_id]],[1]!Tabelle5[value_id],Tabelle18[[#This Row],[value_id]]),0)</f>
        <v>3</v>
      </c>
      <c r="F26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94</v>
      </c>
      <c r="G263" t="str" cm="1">
        <f t="array" ref="G26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41</v>
      </c>
      <c r="H263" s="7" t="str" cm="1">
        <f t="array" ref="H26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“must be possible to reverse any delegation”</v>
      </c>
    </row>
    <row r="264" spans="1:8" x14ac:dyDescent="0.25">
      <c r="A264" s="5">
        <v>15</v>
      </c>
      <c r="B264" t="s">
        <v>18</v>
      </c>
      <c r="C264" s="6">
        <f>IF(Tabelle18[[#This Row],[binding_level_company]]&gt;=1,1,0)</f>
        <v>1</v>
      </c>
      <c r="D264" s="6">
        <f>IFERROR(_xlfn.MAXIFS([1]!Tabelle5[binding_level],[1]!Tabelle5[company_id],Tabelle18[[#This Row],[company_id]],[1]!Tabelle5[value_id],Tabelle18[[#This Row],[value_id]],[1]!Tabelle5[value_present],1),0)</f>
        <v>3</v>
      </c>
      <c r="E264" s="6">
        <f>IFERROR(_xlfn.MAXIFS([1]!Tabelle5[value_points],[1]!Tabelle5[company_id],Tabelle18[[#This Row],[company_id]],[1]!Tabelle5[value_id],Tabelle18[[#This Row],[value_id]]),0)</f>
        <v>3</v>
      </c>
      <c r="F26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94</v>
      </c>
      <c r="G264" t="str" cm="1">
        <f t="array" ref="G26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13-14</v>
      </c>
      <c r="H264" s="7" t="str" cm="1">
        <f t="array" ref="H26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“people of all ages and people with disabilities”</v>
      </c>
    </row>
    <row r="265" spans="1:8" x14ac:dyDescent="0.25">
      <c r="A265" s="5">
        <v>15</v>
      </c>
      <c r="B265" t="s">
        <v>19</v>
      </c>
      <c r="C265" s="6">
        <f>IF(Tabelle18[[#This Row],[binding_level_company]]&gt;=1,1,0)</f>
        <v>1</v>
      </c>
      <c r="D265" s="6">
        <f>IFERROR(_xlfn.MAXIFS([1]!Tabelle5[binding_level],[1]!Tabelle5[company_id],Tabelle18[[#This Row],[company_id]],[1]!Tabelle5[value_id],Tabelle18[[#This Row],[value_id]],[1]!Tabelle5[value_present],1),0)</f>
        <v>2</v>
      </c>
      <c r="E265" s="6">
        <f>IFERROR(_xlfn.MAXIFS([1]!Tabelle5[value_points],[1]!Tabelle5[company_id],Tabelle18[[#This Row],[company_id]],[1]!Tabelle5[value_id],Tabelle18[[#This Row],[value_id]]),0)</f>
        <v>2</v>
      </c>
      <c r="F26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94</v>
      </c>
      <c r="G265" t="str" cm="1">
        <f t="array" ref="G26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47</v>
      </c>
      <c r="H265" s="7" t="str" cm="1">
        <f t="array" ref="H26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“align your developments with the Sustainable Development Goals”</v>
      </c>
    </row>
    <row r="266" spans="1:8" x14ac:dyDescent="0.25">
      <c r="A266" s="5">
        <v>15</v>
      </c>
      <c r="B266" t="s">
        <v>20</v>
      </c>
      <c r="C266" s="6">
        <f>IF(Tabelle18[[#This Row],[binding_level_company]]&gt;=1,1,0)</f>
        <v>1</v>
      </c>
      <c r="D266" s="6">
        <f>IFERROR(_xlfn.MAXIFS([1]!Tabelle5[binding_level],[1]!Tabelle5[company_id],Tabelle18[[#This Row],[company_id]],[1]!Tabelle5[value_id],Tabelle18[[#This Row],[value_id]],[1]!Tabelle5[value_present],1),0)</f>
        <v>2</v>
      </c>
      <c r="E266" s="6">
        <f>IFERROR(_xlfn.MAXIFS([1]!Tabelle5[value_points],[1]!Tabelle5[company_id],Tabelle18[[#This Row],[company_id]],[1]!Tabelle5[value_id],Tabelle18[[#This Row],[value_id]]),0)</f>
        <v>2</v>
      </c>
      <c r="F26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66" t="str" cm="1">
        <f t="array" ref="G26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Abschnitt 3; S. 11, Abschnitt 9</v>
      </c>
      <c r="H266" s="7" t="str" cm="1">
        <f t="array" ref="H26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“serve a useful purpose towards our customers”; “enabling our colleagues and employees”</v>
      </c>
    </row>
    <row r="267" spans="1:8" x14ac:dyDescent="0.25">
      <c r="A267" s="5">
        <v>15</v>
      </c>
      <c r="B267" t="s">
        <v>21</v>
      </c>
      <c r="C267" s="6">
        <f>IF(Tabelle18[[#This Row],[binding_level_company]]&gt;=1,1,0)</f>
        <v>1</v>
      </c>
      <c r="D267" s="6">
        <f>IFERROR(_xlfn.MAXIFS([1]!Tabelle5[binding_level],[1]!Tabelle5[company_id],Tabelle18[[#This Row],[company_id]],[1]!Tabelle5[value_id],Tabelle18[[#This Row],[value_id]],[1]!Tabelle5[value_present],1),0)</f>
        <v>3</v>
      </c>
      <c r="E267" s="6">
        <f>IFERROR(_xlfn.MAXIFS([1]!Tabelle5[value_points],[1]!Tabelle5[company_id],Tabelle18[[#This Row],[company_id]],[1]!Tabelle5[value_id],Tabelle18[[#This Row],[value_id]]),0)</f>
        <v>3</v>
      </c>
      <c r="F26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91</v>
      </c>
      <c r="G267" t="str" cm="1">
        <f t="array" ref="G26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“Responsible use of artificial intelligence” / “AIICARE Check”</v>
      </c>
      <c r="H267" s="7" t="str" cm="1">
        <f t="array" ref="H26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joined the EU Commission’s AI Pact”; “Does the AI meet all relevant legal and internal requirements”</v>
      </c>
    </row>
    <row r="268" spans="1:8" x14ac:dyDescent="0.25">
      <c r="A268" s="5">
        <v>15</v>
      </c>
      <c r="B268" t="s">
        <v>22</v>
      </c>
      <c r="C268" s="6">
        <f>IF(Tabelle18[[#This Row],[binding_level_company]]&gt;=1,1,0)</f>
        <v>1</v>
      </c>
      <c r="D268" s="6">
        <f>IFERROR(_xlfn.MAXIFS([1]!Tabelle5[binding_level],[1]!Tabelle5[company_id],Tabelle18[[#This Row],[company_id]],[1]!Tabelle5[value_id],Tabelle18[[#This Row],[value_id]],[1]!Tabelle5[value_present],1),0)</f>
        <v>3</v>
      </c>
      <c r="E268" s="6">
        <f>IFERROR(_xlfn.MAXIFS([1]!Tabelle5[value_points],[1]!Tabelle5[company_id],Tabelle18[[#This Row],[company_id]],[1]!Tabelle5[value_id],Tabelle18[[#This Row],[value_id]]),0)</f>
        <v>3</v>
      </c>
      <c r="F26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91</v>
      </c>
      <c r="G268" t="str" cm="1">
        <f t="array" ref="G26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1–2, AI-Abschnitt / AI*ICARE Check</v>
      </c>
      <c r="H268" s="7" t="str" cm="1">
        <f t="array" ref="H26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“introduce AI guidelines on digital ethics”; “integrated into our Supplier Code of Conduct”; “legal and in line with our corporate values?”</v>
      </c>
    </row>
    <row r="269" spans="1:8" x14ac:dyDescent="0.25">
      <c r="A269" s="5">
        <v>15</v>
      </c>
      <c r="B269" t="s">
        <v>23</v>
      </c>
      <c r="C269" s="6">
        <f>IF(Tabelle18[[#This Row],[binding_level_company]]&gt;=1,1,0)</f>
        <v>1</v>
      </c>
      <c r="D269" s="6">
        <f>IFERROR(_xlfn.MAXIFS([1]!Tabelle5[binding_level],[1]!Tabelle5[company_id],Tabelle18[[#This Row],[company_id]],[1]!Tabelle5[value_id],Tabelle18[[#This Row],[value_id]],[1]!Tabelle5[value_present],1),0)</f>
        <v>3</v>
      </c>
      <c r="E269" s="6">
        <f>IFERROR(_xlfn.MAXIFS([1]!Tabelle5[value_points],[1]!Tabelle5[company_id],Tabelle18[[#This Row],[company_id]],[1]!Tabelle5[value_id],Tabelle18[[#This Row],[value_id]]),0)</f>
        <v>3</v>
      </c>
      <c r="F26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86</v>
      </c>
      <c r="G269" t="str" cm="1">
        <f t="array" ref="G26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7, Abschnitt 5; S. 9, Abschnitt 7</v>
      </c>
      <c r="H269" s="7" t="str" cm="1">
        <f t="array" ref="H26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“remove inappropriate data to avoid bias”; “diverse and appropriate data input”; “full overview of how customer related data is used and who has access”</v>
      </c>
    </row>
    <row r="270" spans="1:8" x14ac:dyDescent="0.25">
      <c r="A270" s="5">
        <v>15</v>
      </c>
      <c r="B270" t="s">
        <v>24</v>
      </c>
      <c r="C270" s="6">
        <f>IF(Tabelle18[[#This Row],[binding_level_company]]&gt;=1,1,0)</f>
        <v>1</v>
      </c>
      <c r="D270" s="6">
        <f>IFERROR(_xlfn.MAXIFS([1]!Tabelle5[binding_level],[1]!Tabelle5[company_id],Tabelle18[[#This Row],[company_id]],[1]!Tabelle5[value_id],Tabelle18[[#This Row],[value_id]],[1]!Tabelle5[value_present],1),0)</f>
        <v>2</v>
      </c>
      <c r="E270" s="6">
        <f>IFERROR(_xlfn.MAXIFS([1]!Tabelle5[value_points],[1]!Tabelle5[company_id],Tabelle18[[#This Row],[company_id]],[1]!Tabelle5[value_id],Tabelle18[[#This Row],[value_id]]),0)</f>
        <v>2</v>
      </c>
      <c r="F27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93</v>
      </c>
      <c r="G270" t="str" cm="1">
        <f t="array" ref="G27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ChatGPT Framework</v>
      </c>
      <c r="H270" s="7" t="str" cm="1">
        <f t="array" ref="H27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“neither internal nor personal data!”</v>
      </c>
    </row>
    <row r="271" spans="1:8" ht="15.75" thickBot="1" x14ac:dyDescent="0.3">
      <c r="A271" s="8">
        <v>15</v>
      </c>
      <c r="B271" s="9" t="s">
        <v>25</v>
      </c>
      <c r="C271" s="10">
        <f>IF(Tabelle18[[#This Row],[binding_level_company]]&gt;=1,1,0)</f>
        <v>1</v>
      </c>
      <c r="D271" s="10">
        <f>IFERROR(_xlfn.MAXIFS([1]!Tabelle5[binding_level],[1]!Tabelle5[company_id],Tabelle18[[#This Row],[company_id]],[1]!Tabelle5[value_id],Tabelle18[[#This Row],[value_id]],[1]!Tabelle5[value_present],1),0)</f>
        <v>1</v>
      </c>
      <c r="E271" s="10">
        <f>IFERROR(_xlfn.MAXIFS([1]!Tabelle5[value_points],[1]!Tabelle5[company_id],Tabelle18[[#This Row],[company_id]],[1]!Tabelle5[value_id],Tabelle18[[#This Row],[value_id]]),0)</f>
        <v>1</v>
      </c>
      <c r="F271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96</v>
      </c>
      <c r="G271" s="9" t="str" cm="1">
        <f t="array" ref="G27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111 Digital values – Deep Dive</v>
      </c>
      <c r="H271" s="11" t="str" cm="1">
        <f t="array" ref="H27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“principles for Green AI”; “respecting and promoting human rights and taking responsibility”</v>
      </c>
    </row>
    <row r="272" spans="1:8" x14ac:dyDescent="0.25">
      <c r="A272" s="1">
        <v>16</v>
      </c>
      <c r="B272" s="2" t="s">
        <v>8</v>
      </c>
      <c r="C272" s="3">
        <f>IF(Tabelle18[[#This Row],[binding_level_company]]&gt;=1,1,0)</f>
        <v>0</v>
      </c>
      <c r="D272" s="3">
        <f>IFERROR(_xlfn.MAXIFS([1]!Tabelle5[binding_level],[1]!Tabelle5[company_id],Tabelle18[[#This Row],[company_id]],[1]!Tabelle5[value_id],Tabelle18[[#This Row],[value_id]],[1]!Tabelle5[value_present],1),0)</f>
        <v>0</v>
      </c>
      <c r="E272" s="3">
        <f>IFERROR(_xlfn.MAXIFS([1]!Tabelle5[value_points],[1]!Tabelle5[company_id],Tabelle18[[#This Row],[company_id]],[1]!Tabelle5[value_id],Tabelle18[[#This Row],[value_id]]),0)</f>
        <v>0</v>
      </c>
      <c r="F272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2" s="2" t="str" cm="1">
        <f t="array" ref="G27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2" s="4" t="str" cm="1">
        <f t="array" ref="H27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3" spans="1:8" x14ac:dyDescent="0.25">
      <c r="A273" s="5">
        <v>16</v>
      </c>
      <c r="B273" t="s">
        <v>9</v>
      </c>
      <c r="C273" s="6">
        <f>IF(Tabelle18[[#This Row],[binding_level_company]]&gt;=1,1,0)</f>
        <v>0</v>
      </c>
      <c r="D273" s="6">
        <f>IFERROR(_xlfn.MAXIFS([1]!Tabelle5[binding_level],[1]!Tabelle5[company_id],Tabelle18[[#This Row],[company_id]],[1]!Tabelle5[value_id],Tabelle18[[#This Row],[value_id]],[1]!Tabelle5[value_present],1),0)</f>
        <v>0</v>
      </c>
      <c r="E273" s="6">
        <f>IFERROR(_xlfn.MAXIFS([1]!Tabelle5[value_points],[1]!Tabelle5[company_id],Tabelle18[[#This Row],[company_id]],[1]!Tabelle5[value_id],Tabelle18[[#This Row],[value_id]]),0)</f>
        <v>0</v>
      </c>
      <c r="F27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3" t="str" cm="1">
        <f t="array" ref="G27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3" s="7" t="str" cm="1">
        <f t="array" ref="H27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4" spans="1:8" x14ac:dyDescent="0.25">
      <c r="A274" s="5">
        <v>16</v>
      </c>
      <c r="B274" t="s">
        <v>10</v>
      </c>
      <c r="C274" s="6">
        <f>IF(Tabelle18[[#This Row],[binding_level_company]]&gt;=1,1,0)</f>
        <v>0</v>
      </c>
      <c r="D274" s="6">
        <f>IFERROR(_xlfn.MAXIFS([1]!Tabelle5[binding_level],[1]!Tabelle5[company_id],Tabelle18[[#This Row],[company_id]],[1]!Tabelle5[value_id],Tabelle18[[#This Row],[value_id]],[1]!Tabelle5[value_present],1),0)</f>
        <v>0</v>
      </c>
      <c r="E274" s="6">
        <f>IFERROR(_xlfn.MAXIFS([1]!Tabelle5[value_points],[1]!Tabelle5[company_id],Tabelle18[[#This Row],[company_id]],[1]!Tabelle5[value_id],Tabelle18[[#This Row],[value_id]]),0)</f>
        <v>0</v>
      </c>
      <c r="F27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4" t="str" cm="1">
        <f t="array" ref="G27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4" s="7" t="str" cm="1">
        <f t="array" ref="H27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5" spans="1:8" x14ac:dyDescent="0.25">
      <c r="A275" s="5">
        <v>16</v>
      </c>
      <c r="B275" t="s">
        <v>11</v>
      </c>
      <c r="C275" s="6">
        <f>IF(Tabelle18[[#This Row],[binding_level_company]]&gt;=1,1,0)</f>
        <v>0</v>
      </c>
      <c r="D275" s="6">
        <f>IFERROR(_xlfn.MAXIFS([1]!Tabelle5[binding_level],[1]!Tabelle5[company_id],Tabelle18[[#This Row],[company_id]],[1]!Tabelle5[value_id],Tabelle18[[#This Row],[value_id]],[1]!Tabelle5[value_present],1),0)</f>
        <v>0</v>
      </c>
      <c r="E275" s="6">
        <f>IFERROR(_xlfn.MAXIFS([1]!Tabelle5[value_points],[1]!Tabelle5[company_id],Tabelle18[[#This Row],[company_id]],[1]!Tabelle5[value_id],Tabelle18[[#This Row],[value_id]]),0)</f>
        <v>0</v>
      </c>
      <c r="F27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5" t="str" cm="1">
        <f t="array" ref="G27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5" s="7" t="str" cm="1">
        <f t="array" ref="H27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6" spans="1:8" x14ac:dyDescent="0.25">
      <c r="A276" s="5">
        <v>16</v>
      </c>
      <c r="B276" t="s">
        <v>12</v>
      </c>
      <c r="C276" s="6">
        <f>IF(Tabelle18[[#This Row],[binding_level_company]]&gt;=1,1,0)</f>
        <v>0</v>
      </c>
      <c r="D276" s="6">
        <f>IFERROR(_xlfn.MAXIFS([1]!Tabelle5[binding_level],[1]!Tabelle5[company_id],Tabelle18[[#This Row],[company_id]],[1]!Tabelle5[value_id],Tabelle18[[#This Row],[value_id]],[1]!Tabelle5[value_present],1),0)</f>
        <v>0</v>
      </c>
      <c r="E276" s="6">
        <f>IFERROR(_xlfn.MAXIFS([1]!Tabelle5[value_points],[1]!Tabelle5[company_id],Tabelle18[[#This Row],[company_id]],[1]!Tabelle5[value_id],Tabelle18[[#This Row],[value_id]]),0)</f>
        <v>0</v>
      </c>
      <c r="F27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6" t="str" cm="1">
        <f t="array" ref="G27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6" s="7" t="str" cm="1">
        <f t="array" ref="H27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7" spans="1:8" x14ac:dyDescent="0.25">
      <c r="A277" s="5">
        <v>16</v>
      </c>
      <c r="B277" t="s">
        <v>13</v>
      </c>
      <c r="C277" s="6">
        <f>IF(Tabelle18[[#This Row],[binding_level_company]]&gt;=1,1,0)</f>
        <v>0</v>
      </c>
      <c r="D277" s="6">
        <f>IFERROR(_xlfn.MAXIFS([1]!Tabelle5[binding_level],[1]!Tabelle5[company_id],Tabelle18[[#This Row],[company_id]],[1]!Tabelle5[value_id],Tabelle18[[#This Row],[value_id]],[1]!Tabelle5[value_present],1),0)</f>
        <v>0</v>
      </c>
      <c r="E277" s="6">
        <f>IFERROR(_xlfn.MAXIFS([1]!Tabelle5[value_points],[1]!Tabelle5[company_id],Tabelle18[[#This Row],[company_id]],[1]!Tabelle5[value_id],Tabelle18[[#This Row],[value_id]]),0)</f>
        <v>0</v>
      </c>
      <c r="F27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7" t="str" cm="1">
        <f t="array" ref="G27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7" s="7" t="str" cm="1">
        <f t="array" ref="H27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8" spans="1:8" x14ac:dyDescent="0.25">
      <c r="A278" s="5">
        <v>16</v>
      </c>
      <c r="B278" t="s">
        <v>14</v>
      </c>
      <c r="C278" s="6">
        <f>IF(Tabelle18[[#This Row],[binding_level_company]]&gt;=1,1,0)</f>
        <v>0</v>
      </c>
      <c r="D278" s="6">
        <f>IFERROR(_xlfn.MAXIFS([1]!Tabelle5[binding_level],[1]!Tabelle5[company_id],Tabelle18[[#This Row],[company_id]],[1]!Tabelle5[value_id],Tabelle18[[#This Row],[value_id]],[1]!Tabelle5[value_present],1),0)</f>
        <v>0</v>
      </c>
      <c r="E278" s="6">
        <f>IFERROR(_xlfn.MAXIFS([1]!Tabelle5[value_points],[1]!Tabelle5[company_id],Tabelle18[[#This Row],[company_id]],[1]!Tabelle5[value_id],Tabelle18[[#This Row],[value_id]]),0)</f>
        <v>0</v>
      </c>
      <c r="F27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8" t="str" cm="1">
        <f t="array" ref="G27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8" s="7" t="str" cm="1">
        <f t="array" ref="H27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79" spans="1:8" x14ac:dyDescent="0.25">
      <c r="A279" s="5">
        <v>16</v>
      </c>
      <c r="B279" t="s">
        <v>15</v>
      </c>
      <c r="C279" s="6">
        <f>IF(Tabelle18[[#This Row],[binding_level_company]]&gt;=1,1,0)</f>
        <v>0</v>
      </c>
      <c r="D279" s="6">
        <f>IFERROR(_xlfn.MAXIFS([1]!Tabelle5[binding_level],[1]!Tabelle5[company_id],Tabelle18[[#This Row],[company_id]],[1]!Tabelle5[value_id],Tabelle18[[#This Row],[value_id]],[1]!Tabelle5[value_present],1),0)</f>
        <v>0</v>
      </c>
      <c r="E279" s="6">
        <f>IFERROR(_xlfn.MAXIFS([1]!Tabelle5[value_points],[1]!Tabelle5[company_id],Tabelle18[[#This Row],[company_id]],[1]!Tabelle5[value_id],Tabelle18[[#This Row],[value_id]]),0)</f>
        <v>0</v>
      </c>
      <c r="F27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79" t="str" cm="1">
        <f t="array" ref="G27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79" s="7" t="str" cm="1">
        <f t="array" ref="H27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0" spans="1:8" x14ac:dyDescent="0.25">
      <c r="A280" s="5">
        <v>16</v>
      </c>
      <c r="B280" t="s">
        <v>16</v>
      </c>
      <c r="C280" s="6">
        <f>IF(Tabelle18[[#This Row],[binding_level_company]]&gt;=1,1,0)</f>
        <v>0</v>
      </c>
      <c r="D280" s="6">
        <f>IFERROR(_xlfn.MAXIFS([1]!Tabelle5[binding_level],[1]!Tabelle5[company_id],Tabelle18[[#This Row],[company_id]],[1]!Tabelle5[value_id],Tabelle18[[#This Row],[value_id]],[1]!Tabelle5[value_present],1),0)</f>
        <v>0</v>
      </c>
      <c r="E280" s="6">
        <f>IFERROR(_xlfn.MAXIFS([1]!Tabelle5[value_points],[1]!Tabelle5[company_id],Tabelle18[[#This Row],[company_id]],[1]!Tabelle5[value_id],Tabelle18[[#This Row],[value_id]]),0)</f>
        <v>0</v>
      </c>
      <c r="F28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0" t="str" cm="1">
        <f t="array" ref="G28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0" s="7" t="str" cm="1">
        <f t="array" ref="H28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1" spans="1:8" x14ac:dyDescent="0.25">
      <c r="A281" s="5">
        <v>16</v>
      </c>
      <c r="B281" t="s">
        <v>17</v>
      </c>
      <c r="C281" s="6">
        <f>IF(Tabelle18[[#This Row],[binding_level_company]]&gt;=1,1,0)</f>
        <v>0</v>
      </c>
      <c r="D281" s="6">
        <f>IFERROR(_xlfn.MAXIFS([1]!Tabelle5[binding_level],[1]!Tabelle5[company_id],Tabelle18[[#This Row],[company_id]],[1]!Tabelle5[value_id],Tabelle18[[#This Row],[value_id]],[1]!Tabelle5[value_present],1),0)</f>
        <v>0</v>
      </c>
      <c r="E281" s="6">
        <f>IFERROR(_xlfn.MAXIFS([1]!Tabelle5[value_points],[1]!Tabelle5[company_id],Tabelle18[[#This Row],[company_id]],[1]!Tabelle5[value_id],Tabelle18[[#This Row],[value_id]]),0)</f>
        <v>0</v>
      </c>
      <c r="F28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1" t="str" cm="1">
        <f t="array" ref="G28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1" s="7" t="str" cm="1">
        <f t="array" ref="H28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2" spans="1:8" x14ac:dyDescent="0.25">
      <c r="A282" s="5">
        <v>16</v>
      </c>
      <c r="B282" t="s">
        <v>18</v>
      </c>
      <c r="C282" s="6">
        <f>IF(Tabelle18[[#This Row],[binding_level_company]]&gt;=1,1,0)</f>
        <v>0</v>
      </c>
      <c r="D282" s="6">
        <f>IFERROR(_xlfn.MAXIFS([1]!Tabelle5[binding_level],[1]!Tabelle5[company_id],Tabelle18[[#This Row],[company_id]],[1]!Tabelle5[value_id],Tabelle18[[#This Row],[value_id]],[1]!Tabelle5[value_present],1),0)</f>
        <v>0</v>
      </c>
      <c r="E282" s="6">
        <f>IFERROR(_xlfn.MAXIFS([1]!Tabelle5[value_points],[1]!Tabelle5[company_id],Tabelle18[[#This Row],[company_id]],[1]!Tabelle5[value_id],Tabelle18[[#This Row],[value_id]]),0)</f>
        <v>0</v>
      </c>
      <c r="F28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2" t="str" cm="1">
        <f t="array" ref="G28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2" s="7" t="str" cm="1">
        <f t="array" ref="H28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3" spans="1:8" x14ac:dyDescent="0.25">
      <c r="A283" s="5">
        <v>16</v>
      </c>
      <c r="B283" t="s">
        <v>19</v>
      </c>
      <c r="C283" s="6">
        <f>IF(Tabelle18[[#This Row],[binding_level_company]]&gt;=1,1,0)</f>
        <v>0</v>
      </c>
      <c r="D283" s="6">
        <f>IFERROR(_xlfn.MAXIFS([1]!Tabelle5[binding_level],[1]!Tabelle5[company_id],Tabelle18[[#This Row],[company_id]],[1]!Tabelle5[value_id],Tabelle18[[#This Row],[value_id]],[1]!Tabelle5[value_present],1),0)</f>
        <v>0</v>
      </c>
      <c r="E283" s="6">
        <f>IFERROR(_xlfn.MAXIFS([1]!Tabelle5[value_points],[1]!Tabelle5[company_id],Tabelle18[[#This Row],[company_id]],[1]!Tabelle5[value_id],Tabelle18[[#This Row],[value_id]]),0)</f>
        <v>0</v>
      </c>
      <c r="F28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3" t="str" cm="1">
        <f t="array" ref="G28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3" s="7" t="str" cm="1">
        <f t="array" ref="H28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4" spans="1:8" x14ac:dyDescent="0.25">
      <c r="A284" s="5">
        <v>16</v>
      </c>
      <c r="B284" t="s">
        <v>20</v>
      </c>
      <c r="C284" s="6">
        <f>IF(Tabelle18[[#This Row],[binding_level_company]]&gt;=1,1,0)</f>
        <v>0</v>
      </c>
      <c r="D284" s="6">
        <f>IFERROR(_xlfn.MAXIFS([1]!Tabelle5[binding_level],[1]!Tabelle5[company_id],Tabelle18[[#This Row],[company_id]],[1]!Tabelle5[value_id],Tabelle18[[#This Row],[value_id]],[1]!Tabelle5[value_present],1),0)</f>
        <v>0</v>
      </c>
      <c r="E284" s="6">
        <f>IFERROR(_xlfn.MAXIFS([1]!Tabelle5[value_points],[1]!Tabelle5[company_id],Tabelle18[[#This Row],[company_id]],[1]!Tabelle5[value_id],Tabelle18[[#This Row],[value_id]]),0)</f>
        <v>0</v>
      </c>
      <c r="F28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4" t="str" cm="1">
        <f t="array" ref="G28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4" s="7" t="str" cm="1">
        <f t="array" ref="H28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5" spans="1:8" x14ac:dyDescent="0.25">
      <c r="A285" s="5">
        <v>16</v>
      </c>
      <c r="B285" t="s">
        <v>21</v>
      </c>
      <c r="C285" s="6">
        <f>IF(Tabelle18[[#This Row],[binding_level_company]]&gt;=1,1,0)</f>
        <v>0</v>
      </c>
      <c r="D285" s="6">
        <f>IFERROR(_xlfn.MAXIFS([1]!Tabelle5[binding_level],[1]!Tabelle5[company_id],Tabelle18[[#This Row],[company_id]],[1]!Tabelle5[value_id],Tabelle18[[#This Row],[value_id]],[1]!Tabelle5[value_present],1),0)</f>
        <v>0</v>
      </c>
      <c r="E285" s="6">
        <f>IFERROR(_xlfn.MAXIFS([1]!Tabelle5[value_points],[1]!Tabelle5[company_id],Tabelle18[[#This Row],[company_id]],[1]!Tabelle5[value_id],Tabelle18[[#This Row],[value_id]]),0)</f>
        <v>0</v>
      </c>
      <c r="F28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5" t="str" cm="1">
        <f t="array" ref="G28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5" s="7" t="str" cm="1">
        <f t="array" ref="H28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6" spans="1:8" x14ac:dyDescent="0.25">
      <c r="A286" s="5">
        <v>16</v>
      </c>
      <c r="B286" t="s">
        <v>22</v>
      </c>
      <c r="C286" s="6">
        <f>IF(Tabelle18[[#This Row],[binding_level_company]]&gt;=1,1,0)</f>
        <v>0</v>
      </c>
      <c r="D286" s="6">
        <f>IFERROR(_xlfn.MAXIFS([1]!Tabelle5[binding_level],[1]!Tabelle5[company_id],Tabelle18[[#This Row],[company_id]],[1]!Tabelle5[value_id],Tabelle18[[#This Row],[value_id]],[1]!Tabelle5[value_present],1),0)</f>
        <v>0</v>
      </c>
      <c r="E286" s="6">
        <f>IFERROR(_xlfn.MAXIFS([1]!Tabelle5[value_points],[1]!Tabelle5[company_id],Tabelle18[[#This Row],[company_id]],[1]!Tabelle5[value_id],Tabelle18[[#This Row],[value_id]]),0)</f>
        <v>0</v>
      </c>
      <c r="F28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6" t="str" cm="1">
        <f t="array" ref="G28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6" s="7" t="str" cm="1">
        <f t="array" ref="H28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7" spans="1:8" x14ac:dyDescent="0.25">
      <c r="A287" s="5">
        <v>16</v>
      </c>
      <c r="B287" t="s">
        <v>23</v>
      </c>
      <c r="C287" s="6">
        <f>IF(Tabelle18[[#This Row],[binding_level_company]]&gt;=1,1,0)</f>
        <v>0</v>
      </c>
      <c r="D287" s="6">
        <f>IFERROR(_xlfn.MAXIFS([1]!Tabelle5[binding_level],[1]!Tabelle5[company_id],Tabelle18[[#This Row],[company_id]],[1]!Tabelle5[value_id],Tabelle18[[#This Row],[value_id]],[1]!Tabelle5[value_present],1),0)</f>
        <v>0</v>
      </c>
      <c r="E287" s="6">
        <f>IFERROR(_xlfn.MAXIFS([1]!Tabelle5[value_points],[1]!Tabelle5[company_id],Tabelle18[[#This Row],[company_id]],[1]!Tabelle5[value_id],Tabelle18[[#This Row],[value_id]]),0)</f>
        <v>0</v>
      </c>
      <c r="F28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7" t="str" cm="1">
        <f t="array" ref="G28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7" s="7" t="str" cm="1">
        <f t="array" ref="H28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8" spans="1:8" x14ac:dyDescent="0.25">
      <c r="A288" s="5">
        <v>16</v>
      </c>
      <c r="B288" t="s">
        <v>24</v>
      </c>
      <c r="C288" s="6">
        <f>IF(Tabelle18[[#This Row],[binding_level_company]]&gt;=1,1,0)</f>
        <v>0</v>
      </c>
      <c r="D288" s="6">
        <f>IFERROR(_xlfn.MAXIFS([1]!Tabelle5[binding_level],[1]!Tabelle5[company_id],Tabelle18[[#This Row],[company_id]],[1]!Tabelle5[value_id],Tabelle18[[#This Row],[value_id]],[1]!Tabelle5[value_present],1),0)</f>
        <v>0</v>
      </c>
      <c r="E288" s="6">
        <f>IFERROR(_xlfn.MAXIFS([1]!Tabelle5[value_points],[1]!Tabelle5[company_id],Tabelle18[[#This Row],[company_id]],[1]!Tabelle5[value_id],Tabelle18[[#This Row],[value_id]]),0)</f>
        <v>0</v>
      </c>
      <c r="F28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8" t="str" cm="1">
        <f t="array" ref="G28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8" s="7" t="str" cm="1">
        <f t="array" ref="H28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89" spans="1:8" ht="15.75" thickBot="1" x14ac:dyDescent="0.3">
      <c r="A289" s="8">
        <v>16</v>
      </c>
      <c r="B289" s="9" t="s">
        <v>25</v>
      </c>
      <c r="C289" s="10">
        <f>IF(Tabelle18[[#This Row],[binding_level_company]]&gt;=1,1,0)</f>
        <v>0</v>
      </c>
      <c r="D289" s="10">
        <f>IFERROR(_xlfn.MAXIFS([1]!Tabelle5[binding_level],[1]!Tabelle5[company_id],Tabelle18[[#This Row],[company_id]],[1]!Tabelle5[value_id],Tabelle18[[#This Row],[value_id]],[1]!Tabelle5[value_present],1),0)</f>
        <v>0</v>
      </c>
      <c r="E289" s="10">
        <f>IFERROR(_xlfn.MAXIFS([1]!Tabelle5[value_points],[1]!Tabelle5[company_id],Tabelle18[[#This Row],[company_id]],[1]!Tabelle5[value_id],Tabelle18[[#This Row],[value_id]]),0)</f>
        <v>0</v>
      </c>
      <c r="F289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289" s="9" t="str" cm="1">
        <f t="array" ref="G28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289" s="11" t="str" cm="1">
        <f t="array" ref="H28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290" spans="1:8" x14ac:dyDescent="0.25">
      <c r="A290" s="1">
        <v>17</v>
      </c>
      <c r="B290" s="2" t="s">
        <v>8</v>
      </c>
      <c r="C290" s="3">
        <f>IF(Tabelle18[[#This Row],[binding_level_company]]&gt;=1,1,0)</f>
        <v>1</v>
      </c>
      <c r="D290" s="3">
        <f>IFERROR(_xlfn.MAXIFS([1]!Tabelle5[binding_level],[1]!Tabelle5[company_id],Tabelle18[[#This Row],[company_id]],[1]!Tabelle5[value_id],Tabelle18[[#This Row],[value_id]],[1]!Tabelle5[value_present],1),0)</f>
        <v>3</v>
      </c>
      <c r="E290" s="3">
        <f>IFERROR(_xlfn.MAXIFS([1]!Tabelle5[value_points],[1]!Tabelle5[company_id],Tabelle18[[#This Row],[company_id]],[1]!Tabelle5[value_id],Tabelle18[[#This Row],[value_id]]),0)</f>
        <v>3</v>
      </c>
      <c r="F290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0" s="2" t="str" cm="1">
        <f t="array" ref="G29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HUMAN-CENTRIC APPROACH / GUIDELINE; S. 4 WHEN DEVELOPING OR PROCURING AI</v>
      </c>
      <c r="H290" s="4" t="str" cm="1">
        <f t="array" ref="H29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“Humans shall always be placed at the centre”; “sufficient safeguards and human oversight"; “humans maintain meaningful control”</v>
      </c>
    </row>
    <row r="291" spans="1:8" x14ac:dyDescent="0.25">
      <c r="A291" s="5">
        <v>17</v>
      </c>
      <c r="B291" t="s">
        <v>9</v>
      </c>
      <c r="C291" s="6">
        <f>IF(Tabelle18[[#This Row],[binding_level_company]]&gt;=1,1,0)</f>
        <v>1</v>
      </c>
      <c r="D291" s="6">
        <f>IFERROR(_xlfn.MAXIFS([1]!Tabelle5[binding_level],[1]!Tabelle5[company_id],Tabelle18[[#This Row],[company_id]],[1]!Tabelle5[value_id],Tabelle18[[#This Row],[value_id]],[1]!Tabelle5[value_present],1),0)</f>
        <v>2</v>
      </c>
      <c r="E291" s="6">
        <f>IFERROR(_xlfn.MAXIFS([1]!Tabelle5[value_points],[1]!Tabelle5[company_id],Tabelle18[[#This Row],[company_id]],[1]!Tabelle5[value_id],Tabelle18[[#This Row],[value_id]]),0)</f>
        <v>2</v>
      </c>
      <c r="F29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1" t="str" cm="1">
        <f t="array" ref="G29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 GUIDELINE / WHEN DEVELOPING OR PROCURING AI</v>
      </c>
      <c r="H291" s="7" t="str" cm="1">
        <f t="array" ref="H29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are accountable for the decision to use an AI system”; “humans maintain meaningful control”</v>
      </c>
    </row>
    <row r="292" spans="1:8" x14ac:dyDescent="0.25">
      <c r="A292" s="5">
        <v>17</v>
      </c>
      <c r="B292" t="s">
        <v>10</v>
      </c>
      <c r="C292" s="6">
        <f>IF(Tabelle18[[#This Row],[binding_level_company]]&gt;=1,1,0)</f>
        <v>1</v>
      </c>
      <c r="D292" s="6">
        <f>IFERROR(_xlfn.MAXIFS([1]!Tabelle5[binding_level],[1]!Tabelle5[company_id],Tabelle18[[#This Row],[company_id]],[1]!Tabelle5[value_id],Tabelle18[[#This Row],[value_id]],[1]!Tabelle5[value_present],1),0)</f>
        <v>3</v>
      </c>
      <c r="E292" s="6">
        <f>IFERROR(_xlfn.MAXIFS([1]!Tabelle5[value_points],[1]!Tabelle5[company_id],Tabelle18[[#This Row],[company_id]],[1]!Tabelle5[value_id],Tabelle18[[#This Row],[value_id]]),0)</f>
        <v>3</v>
      </c>
      <c r="F29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2" t="str" cm="1">
        <f t="array" ref="G29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 WHEN USING / DEVELOPING OR PROCURING AI; S. 5 WHEN DEVELOPING OR PROCURING AI</v>
      </c>
      <c r="H292" s="7" t="str" cm="1">
        <f t="array" ref="H29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disclose the use of AI as a source”; “We document data sets and processes”; Entwicklung/Beschaffung von KI muss privacy by design, Nutzerkontrollen und rechtliche Basis sicherstellen.</v>
      </c>
    </row>
    <row r="293" spans="1:8" x14ac:dyDescent="0.25">
      <c r="A293" s="5">
        <v>17</v>
      </c>
      <c r="B293" t="s">
        <v>11</v>
      </c>
      <c r="C293" s="6">
        <f>IF(Tabelle18[[#This Row],[binding_level_company]]&gt;=1,1,0)</f>
        <v>1</v>
      </c>
      <c r="D293" s="6">
        <f>IFERROR(_xlfn.MAXIFS([1]!Tabelle5[binding_level],[1]!Tabelle5[company_id],Tabelle18[[#This Row],[company_id]],[1]!Tabelle5[value_id],Tabelle18[[#This Row],[value_id]],[1]!Tabelle5[value_present],1),0)</f>
        <v>3</v>
      </c>
      <c r="E293" s="6">
        <f>IFERROR(_xlfn.MAXIFS([1]!Tabelle5[value_points],[1]!Tabelle5[company_id],Tabelle18[[#This Row],[company_id]],[1]!Tabelle5[value_id],Tabelle18[[#This Row],[value_id]]),0)</f>
        <v>3</v>
      </c>
      <c r="F29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3" t="str" cm="1">
        <f t="array" ref="G29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WHEN DEVELOPING OR PROCURING AI</v>
      </c>
      <c r="H293" s="7" t="str" cm="1">
        <f t="array" ref="H29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“can be understood by the people affected”</v>
      </c>
    </row>
    <row r="294" spans="1:8" x14ac:dyDescent="0.25">
      <c r="A294" s="5">
        <v>17</v>
      </c>
      <c r="B294" t="s">
        <v>12</v>
      </c>
      <c r="C294" s="6">
        <f>IF(Tabelle18[[#This Row],[binding_level_company]]&gt;=1,1,0)</f>
        <v>1</v>
      </c>
      <c r="D294" s="6">
        <f>IFERROR(_xlfn.MAXIFS([1]!Tabelle5[binding_level],[1]!Tabelle5[company_id],Tabelle18[[#This Row],[company_id]],[1]!Tabelle5[value_id],Tabelle18[[#This Row],[value_id]],[1]!Tabelle5[value_present],1),0)</f>
        <v>3</v>
      </c>
      <c r="E294" s="6">
        <f>IFERROR(_xlfn.MAXIFS([1]!Tabelle5[value_points],[1]!Tabelle5[company_id],Tabelle18[[#This Row],[company_id]],[1]!Tabelle5[value_id],Tabelle18[[#This Row],[value_id]]),0)</f>
        <v>3</v>
      </c>
      <c r="F29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4" t="str" cm="1">
        <f t="array" ref="G29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FAIRNESS... / GUIDELINE</v>
      </c>
      <c r="H294" s="7" t="str" cm="1">
        <f t="array" ref="H29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“treat everyone fairly and avoid discrimination and exclusion”; “Double-checking is sensible”</v>
      </c>
    </row>
    <row r="295" spans="1:8" x14ac:dyDescent="0.25">
      <c r="A295" s="5">
        <v>17</v>
      </c>
      <c r="B295" t="s">
        <v>13</v>
      </c>
      <c r="C295" s="6">
        <f>IF(Tabelle18[[#This Row],[binding_level_company]]&gt;=1,1,0)</f>
        <v>1</v>
      </c>
      <c r="D295" s="6">
        <f>IFERROR(_xlfn.MAXIFS([1]!Tabelle5[binding_level],[1]!Tabelle5[company_id],Tabelle18[[#This Row],[company_id]],[1]!Tabelle5[value_id],Tabelle18[[#This Row],[value_id]],[1]!Tabelle5[value_present],1),0)</f>
        <v>3</v>
      </c>
      <c r="E295" s="6">
        <f>IFERROR(_xlfn.MAXIFS([1]!Tabelle5[value_points],[1]!Tabelle5[company_id],Tabelle18[[#This Row],[company_id]],[1]!Tabelle5[value_id],Tabelle18[[#This Row],[value_id]]),0)</f>
        <v>3</v>
      </c>
      <c r="F29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5" t="str" cm="1">
        <f t="array" ref="G29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WHEN USING AI / WHEN DEVELOPING OR PROCURING AI</v>
      </c>
      <c r="H295" s="7" t="str" cm="1">
        <f t="array" ref="H29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“unless the use of the specific system has been explicitly whitelisted”; “AI systems must comply with applicable privacy laws”</v>
      </c>
    </row>
    <row r="296" spans="1:8" x14ac:dyDescent="0.25">
      <c r="A296" s="5">
        <v>17</v>
      </c>
      <c r="B296" t="s">
        <v>14</v>
      </c>
      <c r="C296" s="6">
        <f>IF(Tabelle18[[#This Row],[binding_level_company]]&gt;=1,1,0)</f>
        <v>1</v>
      </c>
      <c r="D296" s="6">
        <f>IFERROR(_xlfn.MAXIFS([1]!Tabelle5[binding_level],[1]!Tabelle5[company_id],Tabelle18[[#This Row],[company_id]],[1]!Tabelle5[value_id],Tabelle18[[#This Row],[value_id]],[1]!Tabelle5[value_present],1),0)</f>
        <v>3</v>
      </c>
      <c r="E296" s="6">
        <f>IFERROR(_xlfn.MAXIFS([1]!Tabelle5[value_points],[1]!Tabelle5[company_id],Tabelle18[[#This Row],[company_id]],[1]!Tabelle5[value_id],Tabelle18[[#This Row],[value_id]]),0)</f>
        <v>3</v>
      </c>
      <c r="F29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6" t="str" cm="1">
        <f t="array" ref="G29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SECURITY, SAFETY AND RELIABILITY / WHEN USING AI</v>
      </c>
      <c r="H296" s="7" t="str" cm="1">
        <f t="array" ref="H29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“resilient against adversarial attacks”; “consult with IT or cybersecurity team”</v>
      </c>
    </row>
    <row r="297" spans="1:8" x14ac:dyDescent="0.25">
      <c r="A297" s="5">
        <v>17</v>
      </c>
      <c r="B297" t="s">
        <v>15</v>
      </c>
      <c r="C297" s="6">
        <f>IF(Tabelle18[[#This Row],[binding_level_company]]&gt;=1,1,0)</f>
        <v>1</v>
      </c>
      <c r="D297" s="6">
        <f>IFERROR(_xlfn.MAXIFS([1]!Tabelle5[binding_level],[1]!Tabelle5[company_id],Tabelle18[[#This Row],[company_id]],[1]!Tabelle5[value_id],Tabelle18[[#This Row],[value_id]],[1]!Tabelle5[value_present],1),0)</f>
        <v>3</v>
      </c>
      <c r="E297" s="6">
        <f>IFERROR(_xlfn.MAXIFS([1]!Tabelle5[value_points],[1]!Tabelle5[company_id],Tabelle18[[#This Row],[company_id]],[1]!Tabelle5[value_id],Tabelle18[[#This Row],[value_id]]),0)</f>
        <v>3</v>
      </c>
      <c r="F29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7" t="str" cm="1">
        <f t="array" ref="G29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GUIDELINE; S. 4 SECURITY, SAFETY AND RELIABILITY</v>
      </c>
      <c r="H297" s="7" t="str" cm="1">
        <f t="array" ref="H29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“sufficient safeguards and human oversight”; “resilient against adversarial attacks”</v>
      </c>
    </row>
    <row r="298" spans="1:8" x14ac:dyDescent="0.25">
      <c r="A298" s="5">
        <v>17</v>
      </c>
      <c r="B298" t="s">
        <v>16</v>
      </c>
      <c r="C298" s="6">
        <f>IF(Tabelle18[[#This Row],[binding_level_company]]&gt;=1,1,0)</f>
        <v>1</v>
      </c>
      <c r="D298" s="6">
        <f>IFERROR(_xlfn.MAXIFS([1]!Tabelle5[binding_level],[1]!Tabelle5[company_id],Tabelle18[[#This Row],[company_id]],[1]!Tabelle5[value_id],Tabelle18[[#This Row],[value_id]],[1]!Tabelle5[value_present],1),0)</f>
        <v>3</v>
      </c>
      <c r="E298" s="6">
        <f>IFERROR(_xlfn.MAXIFS([1]!Tabelle5[value_points],[1]!Tabelle5[company_id],Tabelle18[[#This Row],[company_id]],[1]!Tabelle5[value_id],Tabelle18[[#This Row],[value_id]]),0)</f>
        <v>3</v>
      </c>
      <c r="F29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8" t="str" cm="1">
        <f t="array" ref="G29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SECURITY, SAFETY AND RELIABILITY</v>
      </c>
      <c r="H298" s="7" t="str" cm="1">
        <f t="array" ref="H29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“resilient against adversarial attacks”</v>
      </c>
    </row>
    <row r="299" spans="1:8" x14ac:dyDescent="0.25">
      <c r="A299" s="5">
        <v>17</v>
      </c>
      <c r="B299" t="s">
        <v>17</v>
      </c>
      <c r="C299" s="6">
        <f>IF(Tabelle18[[#This Row],[binding_level_company]]&gt;=1,1,0)</f>
        <v>1</v>
      </c>
      <c r="D299" s="6">
        <f>IFERROR(_xlfn.MAXIFS([1]!Tabelle5[binding_level],[1]!Tabelle5[company_id],Tabelle18[[#This Row],[company_id]],[1]!Tabelle5[value_id],Tabelle18[[#This Row],[value_id]],[1]!Tabelle5[value_present],1),0)</f>
        <v>2</v>
      </c>
      <c r="E299" s="6">
        <f>IFERROR(_xlfn.MAXIFS([1]!Tabelle5[value_points],[1]!Tabelle5[company_id],Tabelle18[[#This Row],[company_id]],[1]!Tabelle5[value_id],Tabelle18[[#This Row],[value_id]]),0)</f>
        <v>2</v>
      </c>
      <c r="F29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299" t="str" cm="1">
        <f t="array" ref="G29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WHEN DEVELOPING OR PROCURING AI</v>
      </c>
      <c r="H299" s="7" t="str" cm="1">
        <f t="array" ref="H29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“reporting and redress mechanisms should be available”</v>
      </c>
    </row>
    <row r="300" spans="1:8" x14ac:dyDescent="0.25">
      <c r="A300" s="5">
        <v>17</v>
      </c>
      <c r="B300" t="s">
        <v>18</v>
      </c>
      <c r="C300" s="6">
        <f>IF(Tabelle18[[#This Row],[binding_level_company]]&gt;=1,1,0)</f>
        <v>1</v>
      </c>
      <c r="D300" s="6">
        <f>IFERROR(_xlfn.MAXIFS([1]!Tabelle5[binding_level],[1]!Tabelle5[company_id],Tabelle18[[#This Row],[company_id]],[1]!Tabelle5[value_id],Tabelle18[[#This Row],[value_id]],[1]!Tabelle5[value_present],1),0)</f>
        <v>3</v>
      </c>
      <c r="E300" s="6">
        <f>IFERROR(_xlfn.MAXIFS([1]!Tabelle5[value_points],[1]!Tabelle5[company_id],Tabelle18[[#This Row],[company_id]],[1]!Tabelle5[value_id],Tabelle18[[#This Row],[value_id]]),0)</f>
        <v>3</v>
      </c>
      <c r="F30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300" t="str" cm="1">
        <f t="array" ref="G30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WHEN DEVELOPING OR PROCURING AI</v>
      </c>
      <c r="H300" s="7" t="str" cm="1">
        <f t="array" ref="H30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“inclusive design processes involving relevant stakeholders”</v>
      </c>
    </row>
    <row r="301" spans="1:8" x14ac:dyDescent="0.25">
      <c r="A301" s="5">
        <v>17</v>
      </c>
      <c r="B301" t="s">
        <v>19</v>
      </c>
      <c r="C301" s="6">
        <f>IF(Tabelle18[[#This Row],[binding_level_company]]&gt;=1,1,0)</f>
        <v>0</v>
      </c>
      <c r="D301" s="6">
        <f>IFERROR(_xlfn.MAXIFS([1]!Tabelle5[binding_level],[1]!Tabelle5[company_id],Tabelle18[[#This Row],[company_id]],[1]!Tabelle5[value_id],Tabelle18[[#This Row],[value_id]],[1]!Tabelle5[value_present],1),0)</f>
        <v>0</v>
      </c>
      <c r="E301" s="6">
        <f>IFERROR(_xlfn.MAXIFS([1]!Tabelle5[value_points],[1]!Tabelle5[company_id],Tabelle18[[#This Row],[company_id]],[1]!Tabelle5[value_id],Tabelle18[[#This Row],[value_id]]),0)</f>
        <v>0</v>
      </c>
      <c r="F30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01" t="str" cm="1">
        <f t="array" ref="G30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01" s="7" t="str" cm="1">
        <f t="array" ref="H30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02" spans="1:8" x14ac:dyDescent="0.25">
      <c r="A302" s="5">
        <v>17</v>
      </c>
      <c r="B302" t="s">
        <v>20</v>
      </c>
      <c r="C302" s="6">
        <f>IF(Tabelle18[[#This Row],[binding_level_company]]&gt;=1,1,0)</f>
        <v>1</v>
      </c>
      <c r="D302" s="6">
        <f>IFERROR(_xlfn.MAXIFS([1]!Tabelle5[binding_level],[1]!Tabelle5[company_id],Tabelle18[[#This Row],[company_id]],[1]!Tabelle5[value_id],Tabelle18[[#This Row],[value_id]],[1]!Tabelle5[value_present],1),0)</f>
        <v>1</v>
      </c>
      <c r="E302" s="6">
        <f>IFERROR(_xlfn.MAXIFS([1]!Tabelle5[value_points],[1]!Tabelle5[company_id],Tabelle18[[#This Row],[company_id]],[1]!Tabelle5[value_id],Tabelle18[[#This Row],[value_id]]),0)</f>
        <v>1</v>
      </c>
      <c r="F30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302" t="str" cm="1">
        <f t="array" ref="G30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SOCIAL AWARENESS</v>
      </c>
      <c r="H302" s="7" t="str" cm="1">
        <f t="array" ref="H30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“promote its use for the benefit of our society”</v>
      </c>
    </row>
    <row r="303" spans="1:8" x14ac:dyDescent="0.25">
      <c r="A303" s="5">
        <v>17</v>
      </c>
      <c r="B303" t="s">
        <v>21</v>
      </c>
      <c r="C303" s="6">
        <f>IF(Tabelle18[[#This Row],[binding_level_company]]&gt;=1,1,0)</f>
        <v>1</v>
      </c>
      <c r="D303" s="6">
        <f>IFERROR(_xlfn.MAXIFS([1]!Tabelle5[binding_level],[1]!Tabelle5[company_id],Tabelle18[[#This Row],[company_id]],[1]!Tabelle5[value_id],Tabelle18[[#This Row],[value_id]],[1]!Tabelle5[value_present],1),0)</f>
        <v>3</v>
      </c>
      <c r="E303" s="6">
        <f>IFERROR(_xlfn.MAXIFS([1]!Tabelle5[value_points],[1]!Tabelle5[company_id],Tabelle18[[#This Row],[company_id]],[1]!Tabelle5[value_id],Tabelle18[[#This Row],[value_id]]),0)</f>
        <v>3</v>
      </c>
      <c r="F30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303" t="str" cm="1">
        <f t="array" ref="G30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Einleitung; S. 5 WHEN DEVELOPING OR PROCURING AI</v>
      </c>
      <c r="H303" s="7" t="str" cm="1">
        <f t="array" ref="H30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“have to be complied with when using, developing or interacting with AI”; “AI systems must comply with applicable privacy laws"</v>
      </c>
    </row>
    <row r="304" spans="1:8" x14ac:dyDescent="0.25">
      <c r="A304" s="5">
        <v>17</v>
      </c>
      <c r="B304" t="s">
        <v>22</v>
      </c>
      <c r="C304" s="6">
        <f>IF(Tabelle18[[#This Row],[binding_level_company]]&gt;=1,1,0)</f>
        <v>1</v>
      </c>
      <c r="D304" s="6">
        <f>IFERROR(_xlfn.MAXIFS([1]!Tabelle5[binding_level],[1]!Tabelle5[company_id],Tabelle18[[#This Row],[company_id]],[1]!Tabelle5[value_id],Tabelle18[[#This Row],[value_id]],[1]!Tabelle5[value_present],1),0)</f>
        <v>2</v>
      </c>
      <c r="E304" s="6">
        <f>IFERROR(_xlfn.MAXIFS([1]!Tabelle5[value_points],[1]!Tabelle5[company_id],Tabelle18[[#This Row],[company_id]],[1]!Tabelle5[value_id],Tabelle18[[#This Row],[value_id]]),0)</f>
        <v>2</v>
      </c>
      <c r="F30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304" t="str" cm="1">
        <f t="array" ref="G30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Einleitung</v>
      </c>
      <c r="H304" s="7" t="str" cm="1">
        <f t="array" ref="H30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“binding principles for the responsible, ethical and safe use”</v>
      </c>
    </row>
    <row r="305" spans="1:8" x14ac:dyDescent="0.25">
      <c r="A305" s="5">
        <v>17</v>
      </c>
      <c r="B305" t="s">
        <v>23</v>
      </c>
      <c r="C305" s="6">
        <f>IF(Tabelle18[[#This Row],[binding_level_company]]&gt;=1,1,0)</f>
        <v>1</v>
      </c>
      <c r="D305" s="6">
        <f>IFERROR(_xlfn.MAXIFS([1]!Tabelle5[binding_level],[1]!Tabelle5[company_id],Tabelle18[[#This Row],[company_id]],[1]!Tabelle5[value_id],Tabelle18[[#This Row],[value_id]],[1]!Tabelle5[value_present],1),0)</f>
        <v>3</v>
      </c>
      <c r="E305" s="6">
        <f>IFERROR(_xlfn.MAXIFS([1]!Tabelle5[value_points],[1]!Tabelle5[company_id],Tabelle18[[#This Row],[company_id]],[1]!Tabelle5[value_id],Tabelle18[[#This Row],[value_id]]),0)</f>
        <v>3</v>
      </c>
      <c r="F30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305" t="str" cm="1">
        <f t="array" ref="G30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 GUIDELINE / WHEN DEVELOPING OR PROCURING AI</v>
      </c>
      <c r="H305" s="7" t="str" cm="1">
        <f t="array" ref="H30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“Double-checking is sensible”; “We document data sets and processes”</v>
      </c>
    </row>
    <row r="306" spans="1:8" x14ac:dyDescent="0.25">
      <c r="A306" s="5">
        <v>17</v>
      </c>
      <c r="B306" t="s">
        <v>24</v>
      </c>
      <c r="C306" s="6">
        <f>IF(Tabelle18[[#This Row],[binding_level_company]]&gt;=1,1,0)</f>
        <v>1</v>
      </c>
      <c r="D306" s="6">
        <f>IFERROR(_xlfn.MAXIFS([1]!Tabelle5[binding_level],[1]!Tabelle5[company_id],Tabelle18[[#This Row],[company_id]],[1]!Tabelle5[value_id],Tabelle18[[#This Row],[value_id]],[1]!Tabelle5[value_present],1),0)</f>
        <v>3</v>
      </c>
      <c r="E306" s="6">
        <f>IFERROR(_xlfn.MAXIFS([1]!Tabelle5[value_points],[1]!Tabelle5[company_id],Tabelle18[[#This Row],[company_id]],[1]!Tabelle5[value_id],Tabelle18[[#This Row],[value_id]]),0)</f>
        <v>3</v>
      </c>
      <c r="F30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306" t="str" cm="1">
        <f t="array" ref="G30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WHEN USING AI</v>
      </c>
      <c r="H306" s="7" t="str" cm="1">
        <f t="array" ref="H30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“unless the use of the specific system has been explicitly whitelisted”</v>
      </c>
    </row>
    <row r="307" spans="1:8" ht="15.75" thickBot="1" x14ac:dyDescent="0.3">
      <c r="A307" s="8">
        <v>17</v>
      </c>
      <c r="B307" s="9" t="s">
        <v>25</v>
      </c>
      <c r="C307" s="10">
        <f>IF(Tabelle18[[#This Row],[binding_level_company]]&gt;=1,1,0)</f>
        <v>1</v>
      </c>
      <c r="D307" s="10">
        <f>IFERROR(_xlfn.MAXIFS([1]!Tabelle5[binding_level],[1]!Tabelle5[company_id],Tabelle18[[#This Row],[company_id]],[1]!Tabelle5[value_id],Tabelle18[[#This Row],[value_id]],[1]!Tabelle5[value_present],1),0)</f>
        <v>3</v>
      </c>
      <c r="E307" s="10">
        <f>IFERROR(_xlfn.MAXIFS([1]!Tabelle5[value_points],[1]!Tabelle5[company_id],Tabelle18[[#This Row],[company_id]],[1]!Tabelle5[value_id],Tabelle18[[#This Row],[value_id]]),0)</f>
        <v>3</v>
      </c>
      <c r="F307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102</v>
      </c>
      <c r="G307" s="9" t="str" cm="1">
        <f t="array" ref="G30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WHEN DEVELOPING OR PROCURING AI</v>
      </c>
      <c r="H307" s="11" t="str" cm="1">
        <f t="array" ref="H30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“People should never be treated as a mere object.”</v>
      </c>
    </row>
    <row r="308" spans="1:8" x14ac:dyDescent="0.25">
      <c r="A308" s="1">
        <v>18</v>
      </c>
      <c r="B308" s="2" t="s">
        <v>8</v>
      </c>
      <c r="C308" s="3">
        <f>IF(Tabelle18[[#This Row],[binding_level_company]]&gt;=1,1,0)</f>
        <v>0</v>
      </c>
      <c r="D308" s="3">
        <f>IFERROR(_xlfn.MAXIFS([1]!Tabelle5[binding_level],[1]!Tabelle5[company_id],Tabelle18[[#This Row],[company_id]],[1]!Tabelle5[value_id],Tabelle18[[#This Row],[value_id]],[1]!Tabelle5[value_present],1),0)</f>
        <v>0</v>
      </c>
      <c r="E308" s="3">
        <f>IFERROR(_xlfn.MAXIFS([1]!Tabelle5[value_points],[1]!Tabelle5[company_id],Tabelle18[[#This Row],[company_id]],[1]!Tabelle5[value_id],Tabelle18[[#This Row],[value_id]]),0)</f>
        <v>0</v>
      </c>
      <c r="F308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08" s="2" t="str" cm="1">
        <f t="array" ref="G30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08" s="4" t="str" cm="1">
        <f t="array" ref="H30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09" spans="1:8" x14ac:dyDescent="0.25">
      <c r="A309" s="5">
        <v>18</v>
      </c>
      <c r="B309" t="s">
        <v>9</v>
      </c>
      <c r="C309" s="6">
        <f>IF(Tabelle18[[#This Row],[binding_level_company]]&gt;=1,1,0)</f>
        <v>0</v>
      </c>
      <c r="D309" s="6">
        <f>IFERROR(_xlfn.MAXIFS([1]!Tabelle5[binding_level],[1]!Tabelle5[company_id],Tabelle18[[#This Row],[company_id]],[1]!Tabelle5[value_id],Tabelle18[[#This Row],[value_id]],[1]!Tabelle5[value_present],1),0)</f>
        <v>0</v>
      </c>
      <c r="E309" s="6">
        <f>IFERROR(_xlfn.MAXIFS([1]!Tabelle5[value_points],[1]!Tabelle5[company_id],Tabelle18[[#This Row],[company_id]],[1]!Tabelle5[value_id],Tabelle18[[#This Row],[value_id]]),0)</f>
        <v>0</v>
      </c>
      <c r="F30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09" t="str" cm="1">
        <f t="array" ref="G30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09" s="7" t="str" cm="1">
        <f t="array" ref="H30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0" spans="1:8" x14ac:dyDescent="0.25">
      <c r="A310" s="5">
        <v>18</v>
      </c>
      <c r="B310" t="s">
        <v>10</v>
      </c>
      <c r="C310" s="6">
        <f>IF(Tabelle18[[#This Row],[binding_level_company]]&gt;=1,1,0)</f>
        <v>0</v>
      </c>
      <c r="D310" s="6">
        <f>IFERROR(_xlfn.MAXIFS([1]!Tabelle5[binding_level],[1]!Tabelle5[company_id],Tabelle18[[#This Row],[company_id]],[1]!Tabelle5[value_id],Tabelle18[[#This Row],[value_id]],[1]!Tabelle5[value_present],1),0)</f>
        <v>0</v>
      </c>
      <c r="E310" s="6">
        <f>IFERROR(_xlfn.MAXIFS([1]!Tabelle5[value_points],[1]!Tabelle5[company_id],Tabelle18[[#This Row],[company_id]],[1]!Tabelle5[value_id],Tabelle18[[#This Row],[value_id]]),0)</f>
        <v>0</v>
      </c>
      <c r="F31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0" t="str" cm="1">
        <f t="array" ref="G3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0" s="7" t="str" cm="1">
        <f t="array" ref="H3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1" spans="1:8" x14ac:dyDescent="0.25">
      <c r="A311" s="5">
        <v>18</v>
      </c>
      <c r="B311" t="s">
        <v>11</v>
      </c>
      <c r="C311" s="6">
        <f>IF(Tabelle18[[#This Row],[binding_level_company]]&gt;=1,1,0)</f>
        <v>0</v>
      </c>
      <c r="D311" s="6">
        <f>IFERROR(_xlfn.MAXIFS([1]!Tabelle5[binding_level],[1]!Tabelle5[company_id],Tabelle18[[#This Row],[company_id]],[1]!Tabelle5[value_id],Tabelle18[[#This Row],[value_id]],[1]!Tabelle5[value_present],1),0)</f>
        <v>0</v>
      </c>
      <c r="E311" s="6">
        <f>IFERROR(_xlfn.MAXIFS([1]!Tabelle5[value_points],[1]!Tabelle5[company_id],Tabelle18[[#This Row],[company_id]],[1]!Tabelle5[value_id],Tabelle18[[#This Row],[value_id]]),0)</f>
        <v>0</v>
      </c>
      <c r="F31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1" t="str" cm="1">
        <f t="array" ref="G3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1" s="7" t="str" cm="1">
        <f t="array" ref="H3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2" spans="1:8" x14ac:dyDescent="0.25">
      <c r="A312" s="5">
        <v>18</v>
      </c>
      <c r="B312" t="s">
        <v>12</v>
      </c>
      <c r="C312" s="6">
        <f>IF(Tabelle18[[#This Row],[binding_level_company]]&gt;=1,1,0)</f>
        <v>0</v>
      </c>
      <c r="D312" s="6">
        <f>IFERROR(_xlfn.MAXIFS([1]!Tabelle5[binding_level],[1]!Tabelle5[company_id],Tabelle18[[#This Row],[company_id]],[1]!Tabelle5[value_id],Tabelle18[[#This Row],[value_id]],[1]!Tabelle5[value_present],1),0)</f>
        <v>0</v>
      </c>
      <c r="E312" s="6">
        <f>IFERROR(_xlfn.MAXIFS([1]!Tabelle5[value_points],[1]!Tabelle5[company_id],Tabelle18[[#This Row],[company_id]],[1]!Tabelle5[value_id],Tabelle18[[#This Row],[value_id]]),0)</f>
        <v>0</v>
      </c>
      <c r="F31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2" t="str" cm="1">
        <f t="array" ref="G3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2" s="7" t="str" cm="1">
        <f t="array" ref="H3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3" spans="1:8" x14ac:dyDescent="0.25">
      <c r="A313" s="5">
        <v>18</v>
      </c>
      <c r="B313" t="s">
        <v>13</v>
      </c>
      <c r="C313" s="6">
        <f>IF(Tabelle18[[#This Row],[binding_level_company]]&gt;=1,1,0)</f>
        <v>0</v>
      </c>
      <c r="D313" s="6">
        <f>IFERROR(_xlfn.MAXIFS([1]!Tabelle5[binding_level],[1]!Tabelle5[company_id],Tabelle18[[#This Row],[company_id]],[1]!Tabelle5[value_id],Tabelle18[[#This Row],[value_id]],[1]!Tabelle5[value_present],1),0)</f>
        <v>0</v>
      </c>
      <c r="E313" s="6">
        <f>IFERROR(_xlfn.MAXIFS([1]!Tabelle5[value_points],[1]!Tabelle5[company_id],Tabelle18[[#This Row],[company_id]],[1]!Tabelle5[value_id],Tabelle18[[#This Row],[value_id]]),0)</f>
        <v>0</v>
      </c>
      <c r="F31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3" t="str" cm="1">
        <f t="array" ref="G3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3" s="7" t="str" cm="1">
        <f t="array" ref="H3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4" spans="1:8" x14ac:dyDescent="0.25">
      <c r="A314" s="5">
        <v>18</v>
      </c>
      <c r="B314" t="s">
        <v>14</v>
      </c>
      <c r="C314" s="6">
        <f>IF(Tabelle18[[#This Row],[binding_level_company]]&gt;=1,1,0)</f>
        <v>0</v>
      </c>
      <c r="D314" s="6">
        <f>IFERROR(_xlfn.MAXIFS([1]!Tabelle5[binding_level],[1]!Tabelle5[company_id],Tabelle18[[#This Row],[company_id]],[1]!Tabelle5[value_id],Tabelle18[[#This Row],[value_id]],[1]!Tabelle5[value_present],1),0)</f>
        <v>0</v>
      </c>
      <c r="E314" s="6">
        <f>IFERROR(_xlfn.MAXIFS([1]!Tabelle5[value_points],[1]!Tabelle5[company_id],Tabelle18[[#This Row],[company_id]],[1]!Tabelle5[value_id],Tabelle18[[#This Row],[value_id]]),0)</f>
        <v>0</v>
      </c>
      <c r="F31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4" t="str" cm="1">
        <f t="array" ref="G3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4" s="7" t="str" cm="1">
        <f t="array" ref="H3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5" spans="1:8" x14ac:dyDescent="0.25">
      <c r="A315" s="5">
        <v>18</v>
      </c>
      <c r="B315" t="s">
        <v>15</v>
      </c>
      <c r="C315" s="6">
        <f>IF(Tabelle18[[#This Row],[binding_level_company]]&gt;=1,1,0)</f>
        <v>0</v>
      </c>
      <c r="D315" s="6">
        <f>IFERROR(_xlfn.MAXIFS([1]!Tabelle5[binding_level],[1]!Tabelle5[company_id],Tabelle18[[#This Row],[company_id]],[1]!Tabelle5[value_id],Tabelle18[[#This Row],[value_id]],[1]!Tabelle5[value_present],1),0)</f>
        <v>0</v>
      </c>
      <c r="E315" s="6">
        <f>IFERROR(_xlfn.MAXIFS([1]!Tabelle5[value_points],[1]!Tabelle5[company_id],Tabelle18[[#This Row],[company_id]],[1]!Tabelle5[value_id],Tabelle18[[#This Row],[value_id]]),0)</f>
        <v>0</v>
      </c>
      <c r="F31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5" t="str" cm="1">
        <f t="array" ref="G3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5" s="7" t="str" cm="1">
        <f t="array" ref="H3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6" spans="1:8" x14ac:dyDescent="0.25">
      <c r="A316" s="5">
        <v>18</v>
      </c>
      <c r="B316" t="s">
        <v>16</v>
      </c>
      <c r="C316" s="6">
        <f>IF(Tabelle18[[#This Row],[binding_level_company]]&gt;=1,1,0)</f>
        <v>0</v>
      </c>
      <c r="D316" s="6">
        <f>IFERROR(_xlfn.MAXIFS([1]!Tabelle5[binding_level],[1]!Tabelle5[company_id],Tabelle18[[#This Row],[company_id]],[1]!Tabelle5[value_id],Tabelle18[[#This Row],[value_id]],[1]!Tabelle5[value_present],1),0)</f>
        <v>0</v>
      </c>
      <c r="E316" s="6">
        <f>IFERROR(_xlfn.MAXIFS([1]!Tabelle5[value_points],[1]!Tabelle5[company_id],Tabelle18[[#This Row],[company_id]],[1]!Tabelle5[value_id],Tabelle18[[#This Row],[value_id]]),0)</f>
        <v>0</v>
      </c>
      <c r="F31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6" t="str" cm="1">
        <f t="array" ref="G3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6" s="7" t="str" cm="1">
        <f t="array" ref="H3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7" spans="1:8" x14ac:dyDescent="0.25">
      <c r="A317" s="5">
        <v>18</v>
      </c>
      <c r="B317" t="s">
        <v>17</v>
      </c>
      <c r="C317" s="6">
        <f>IF(Tabelle18[[#This Row],[binding_level_company]]&gt;=1,1,0)</f>
        <v>0</v>
      </c>
      <c r="D317" s="6">
        <f>IFERROR(_xlfn.MAXIFS([1]!Tabelle5[binding_level],[1]!Tabelle5[company_id],Tabelle18[[#This Row],[company_id]],[1]!Tabelle5[value_id],Tabelle18[[#This Row],[value_id]],[1]!Tabelle5[value_present],1),0)</f>
        <v>0</v>
      </c>
      <c r="E317" s="6">
        <f>IFERROR(_xlfn.MAXIFS([1]!Tabelle5[value_points],[1]!Tabelle5[company_id],Tabelle18[[#This Row],[company_id]],[1]!Tabelle5[value_id],Tabelle18[[#This Row],[value_id]]),0)</f>
        <v>0</v>
      </c>
      <c r="F31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7" t="str" cm="1">
        <f t="array" ref="G3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7" s="7" t="str" cm="1">
        <f t="array" ref="H3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8" spans="1:8" x14ac:dyDescent="0.25">
      <c r="A318" s="5">
        <v>18</v>
      </c>
      <c r="B318" t="s">
        <v>18</v>
      </c>
      <c r="C318" s="6">
        <f>IF(Tabelle18[[#This Row],[binding_level_company]]&gt;=1,1,0)</f>
        <v>0</v>
      </c>
      <c r="D318" s="6">
        <f>IFERROR(_xlfn.MAXIFS([1]!Tabelle5[binding_level],[1]!Tabelle5[company_id],Tabelle18[[#This Row],[company_id]],[1]!Tabelle5[value_id],Tabelle18[[#This Row],[value_id]],[1]!Tabelle5[value_present],1),0)</f>
        <v>0</v>
      </c>
      <c r="E318" s="6">
        <f>IFERROR(_xlfn.MAXIFS([1]!Tabelle5[value_points],[1]!Tabelle5[company_id],Tabelle18[[#This Row],[company_id]],[1]!Tabelle5[value_id],Tabelle18[[#This Row],[value_id]]),0)</f>
        <v>0</v>
      </c>
      <c r="F31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8" t="str" cm="1">
        <f t="array" ref="G3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8" s="7" t="str" cm="1">
        <f t="array" ref="H3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19" spans="1:8" x14ac:dyDescent="0.25">
      <c r="A319" s="5">
        <v>18</v>
      </c>
      <c r="B319" t="s">
        <v>19</v>
      </c>
      <c r="C319" s="6">
        <f>IF(Tabelle18[[#This Row],[binding_level_company]]&gt;=1,1,0)</f>
        <v>0</v>
      </c>
      <c r="D319" s="6">
        <f>IFERROR(_xlfn.MAXIFS([1]!Tabelle5[binding_level],[1]!Tabelle5[company_id],Tabelle18[[#This Row],[company_id]],[1]!Tabelle5[value_id],Tabelle18[[#This Row],[value_id]],[1]!Tabelle5[value_present],1),0)</f>
        <v>0</v>
      </c>
      <c r="E319" s="6">
        <f>IFERROR(_xlfn.MAXIFS([1]!Tabelle5[value_points],[1]!Tabelle5[company_id],Tabelle18[[#This Row],[company_id]],[1]!Tabelle5[value_id],Tabelle18[[#This Row],[value_id]]),0)</f>
        <v>0</v>
      </c>
      <c r="F31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19" t="str" cm="1">
        <f t="array" ref="G3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19" s="7" t="str" cm="1">
        <f t="array" ref="H3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20" spans="1:8" x14ac:dyDescent="0.25">
      <c r="A320" s="5">
        <v>18</v>
      </c>
      <c r="B320" t="s">
        <v>20</v>
      </c>
      <c r="C320" s="6">
        <f>IF(Tabelle18[[#This Row],[binding_level_company]]&gt;=1,1,0)</f>
        <v>0</v>
      </c>
      <c r="D320" s="6">
        <f>IFERROR(_xlfn.MAXIFS([1]!Tabelle5[binding_level],[1]!Tabelle5[company_id],Tabelle18[[#This Row],[company_id]],[1]!Tabelle5[value_id],Tabelle18[[#This Row],[value_id]],[1]!Tabelle5[value_present],1),0)</f>
        <v>0</v>
      </c>
      <c r="E320" s="6">
        <f>IFERROR(_xlfn.MAXIFS([1]!Tabelle5[value_points],[1]!Tabelle5[company_id],Tabelle18[[#This Row],[company_id]],[1]!Tabelle5[value_id],Tabelle18[[#This Row],[value_id]]),0)</f>
        <v>0</v>
      </c>
      <c r="F32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20" t="str" cm="1">
        <f t="array" ref="G3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20" s="7" t="str" cm="1">
        <f t="array" ref="H3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21" spans="1:8" x14ac:dyDescent="0.25">
      <c r="A321" s="5">
        <v>18</v>
      </c>
      <c r="B321" t="s">
        <v>21</v>
      </c>
      <c r="C321" s="6">
        <f>IF(Tabelle18[[#This Row],[binding_level_company]]&gt;=1,1,0)</f>
        <v>0</v>
      </c>
      <c r="D321" s="6">
        <f>IFERROR(_xlfn.MAXIFS([1]!Tabelle5[binding_level],[1]!Tabelle5[company_id],Tabelle18[[#This Row],[company_id]],[1]!Tabelle5[value_id],Tabelle18[[#This Row],[value_id]],[1]!Tabelle5[value_present],1),0)</f>
        <v>0</v>
      </c>
      <c r="E321" s="6">
        <f>IFERROR(_xlfn.MAXIFS([1]!Tabelle5[value_points],[1]!Tabelle5[company_id],Tabelle18[[#This Row],[company_id]],[1]!Tabelle5[value_id],Tabelle18[[#This Row],[value_id]]),0)</f>
        <v>0</v>
      </c>
      <c r="F32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21" t="str" cm="1">
        <f t="array" ref="G3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21" s="7" t="str" cm="1">
        <f t="array" ref="H3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22" spans="1:8" x14ac:dyDescent="0.25">
      <c r="A322" s="5">
        <v>18</v>
      </c>
      <c r="B322" t="s">
        <v>22</v>
      </c>
      <c r="C322" s="6">
        <f>IF(Tabelle18[[#This Row],[binding_level_company]]&gt;=1,1,0)</f>
        <v>0</v>
      </c>
      <c r="D322" s="6">
        <f>IFERROR(_xlfn.MAXIFS([1]!Tabelle5[binding_level],[1]!Tabelle5[company_id],Tabelle18[[#This Row],[company_id]],[1]!Tabelle5[value_id],Tabelle18[[#This Row],[value_id]],[1]!Tabelle5[value_present],1),0)</f>
        <v>0</v>
      </c>
      <c r="E322" s="6">
        <f>IFERROR(_xlfn.MAXIFS([1]!Tabelle5[value_points],[1]!Tabelle5[company_id],Tabelle18[[#This Row],[company_id]],[1]!Tabelle5[value_id],Tabelle18[[#This Row],[value_id]]),0)</f>
        <v>0</v>
      </c>
      <c r="F32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22" t="str" cm="1">
        <f t="array" ref="G32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22" s="7" t="str" cm="1">
        <f t="array" ref="H32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23" spans="1:8" x14ac:dyDescent="0.25">
      <c r="A323" s="5">
        <v>18</v>
      </c>
      <c r="B323" t="s">
        <v>23</v>
      </c>
      <c r="C323" s="6">
        <f>IF(Tabelle18[[#This Row],[binding_level_company]]&gt;=1,1,0)</f>
        <v>0</v>
      </c>
      <c r="D323" s="6">
        <f>IFERROR(_xlfn.MAXIFS([1]!Tabelle5[binding_level],[1]!Tabelle5[company_id],Tabelle18[[#This Row],[company_id]],[1]!Tabelle5[value_id],Tabelle18[[#This Row],[value_id]],[1]!Tabelle5[value_present],1),0)</f>
        <v>0</v>
      </c>
      <c r="E323" s="6">
        <f>IFERROR(_xlfn.MAXIFS([1]!Tabelle5[value_points],[1]!Tabelle5[company_id],Tabelle18[[#This Row],[company_id]],[1]!Tabelle5[value_id],Tabelle18[[#This Row],[value_id]]),0)</f>
        <v>0</v>
      </c>
      <c r="F32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23" t="str" cm="1">
        <f t="array" ref="G32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23" s="7" t="str" cm="1">
        <f t="array" ref="H32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24" spans="1:8" x14ac:dyDescent="0.25">
      <c r="A324" s="5">
        <v>18</v>
      </c>
      <c r="B324" t="s">
        <v>24</v>
      </c>
      <c r="C324" s="6">
        <f>IF(Tabelle18[[#This Row],[binding_level_company]]&gt;=1,1,0)</f>
        <v>0</v>
      </c>
      <c r="D324" s="6">
        <f>IFERROR(_xlfn.MAXIFS([1]!Tabelle5[binding_level],[1]!Tabelle5[company_id],Tabelle18[[#This Row],[company_id]],[1]!Tabelle5[value_id],Tabelle18[[#This Row],[value_id]],[1]!Tabelle5[value_present],1),0)</f>
        <v>0</v>
      </c>
      <c r="E324" s="6">
        <f>IFERROR(_xlfn.MAXIFS([1]!Tabelle5[value_points],[1]!Tabelle5[company_id],Tabelle18[[#This Row],[company_id]],[1]!Tabelle5[value_id],Tabelle18[[#This Row],[value_id]]),0)</f>
        <v>0</v>
      </c>
      <c r="F32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24" t="str" cm="1">
        <f t="array" ref="G32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24" s="7" t="str" cm="1">
        <f t="array" ref="H32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25" spans="1:8" ht="15.75" thickBot="1" x14ac:dyDescent="0.3">
      <c r="A325" s="8">
        <v>18</v>
      </c>
      <c r="B325" s="9" t="s">
        <v>25</v>
      </c>
      <c r="C325" s="10">
        <f>IF(Tabelle18[[#This Row],[binding_level_company]]&gt;=1,1,0)</f>
        <v>0</v>
      </c>
      <c r="D325" s="10">
        <f>IFERROR(_xlfn.MAXIFS([1]!Tabelle5[binding_level],[1]!Tabelle5[company_id],Tabelle18[[#This Row],[company_id]],[1]!Tabelle5[value_id],Tabelle18[[#This Row],[value_id]],[1]!Tabelle5[value_present],1),0)</f>
        <v>0</v>
      </c>
      <c r="E325" s="10">
        <f>IFERROR(_xlfn.MAXIFS([1]!Tabelle5[value_points],[1]!Tabelle5[company_id],Tabelle18[[#This Row],[company_id]],[1]!Tabelle5[value_id],Tabelle18[[#This Row],[value_id]]),0)</f>
        <v>0</v>
      </c>
      <c r="F325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25" s="9" t="str" cm="1">
        <f t="array" ref="G32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25" s="11" t="str" cm="1">
        <f t="array" ref="H32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26" spans="1:8" x14ac:dyDescent="0.25">
      <c r="A326" s="1">
        <v>19</v>
      </c>
      <c r="B326" s="2" t="s">
        <v>8</v>
      </c>
      <c r="C326" s="3">
        <f>IF(Tabelle18[[#This Row],[binding_level_company]]&gt;=1,1,0)</f>
        <v>1</v>
      </c>
      <c r="D326" s="3">
        <f>IFERROR(_xlfn.MAXIFS([1]!Tabelle5[binding_level],[1]!Tabelle5[company_id],Tabelle18[[#This Row],[company_id]],[1]!Tabelle5[value_id],Tabelle18[[#This Row],[value_id]],[1]!Tabelle5[value_present],1),0)</f>
        <v>3</v>
      </c>
      <c r="E326" s="3">
        <f>IFERROR(_xlfn.MAXIFS([1]!Tabelle5[value_points],[1]!Tabelle5[company_id],Tabelle18[[#This Row],[company_id]],[1]!Tabelle5[value_id],Tabelle18[[#This Row],[value_id]]),0)</f>
        <v>3</v>
      </c>
      <c r="F326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26" s="2" t="str" cm="1">
        <f t="array" ref="G32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8, DIGITAL COMPETENCE; S. 9, DIGITAL PARTICIPATION</v>
      </c>
      <c r="H326" s="4" t="str" cm="1">
        <f t="array" ref="H32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“critically examining and evaluating its results”; “humans stay in control of critical decisions”</v>
      </c>
    </row>
    <row r="327" spans="1:8" x14ac:dyDescent="0.25">
      <c r="A327" s="5">
        <v>19</v>
      </c>
      <c r="B327" t="s">
        <v>9</v>
      </c>
      <c r="C327" s="6">
        <f>IF(Tabelle18[[#This Row],[binding_level_company]]&gt;=1,1,0)</f>
        <v>1</v>
      </c>
      <c r="D327" s="6">
        <f>IFERROR(_xlfn.MAXIFS([1]!Tabelle5[binding_level],[1]!Tabelle5[company_id],Tabelle18[[#This Row],[company_id]],[1]!Tabelle5[value_id],Tabelle18[[#This Row],[value_id]],[1]!Tabelle5[value_present],1),0)</f>
        <v>3</v>
      </c>
      <c r="E327" s="6">
        <f>IFERROR(_xlfn.MAXIFS([1]!Tabelle5[value_points],[1]!Tabelle5[company_id],Tabelle18[[#This Row],[company_id]],[1]!Tabelle5[value_id],Tabelle18[[#This Row],[value_id]]),0)</f>
        <v>3</v>
      </c>
      <c r="F32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27" t="str" cm="1">
        <f t="array" ref="G32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10, CUSTOMER-CENTRIC INNOVATION</v>
      </c>
      <c r="H327" s="7" t="str" cm="1">
        <f t="array" ref="H32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“assigned by name”</v>
      </c>
    </row>
    <row r="328" spans="1:8" x14ac:dyDescent="0.25">
      <c r="A328" s="5">
        <v>19</v>
      </c>
      <c r="B328" t="s">
        <v>10</v>
      </c>
      <c r="C328" s="6">
        <f>IF(Tabelle18[[#This Row],[binding_level_company]]&gt;=1,1,0)</f>
        <v>1</v>
      </c>
      <c r="D328" s="6">
        <f>IFERROR(_xlfn.MAXIFS([1]!Tabelle5[binding_level],[1]!Tabelle5[company_id],Tabelle18[[#This Row],[company_id]],[1]!Tabelle5[value_id],Tabelle18[[#This Row],[value_id]],[1]!Tabelle5[value_present],1),0)</f>
        <v>2</v>
      </c>
      <c r="E328" s="6">
        <f>IFERROR(_xlfn.MAXIFS([1]!Tabelle5[value_points],[1]!Tabelle5[company_id],Tabelle18[[#This Row],[company_id]],[1]!Tabelle5[value_id],Tabelle18[[#This Row],[value_id]]),0)</f>
        <v>2</v>
      </c>
      <c r="F32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28" t="str" cm="1">
        <f t="array" ref="G32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11, FAIRNESS AND TRANSPARENCY</v>
      </c>
      <c r="H328" s="7" t="str" cm="1">
        <f t="array" ref="H32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“clearly label AI-generated content”</v>
      </c>
    </row>
    <row r="329" spans="1:8" x14ac:dyDescent="0.25">
      <c r="A329" s="5">
        <v>19</v>
      </c>
      <c r="B329" t="s">
        <v>11</v>
      </c>
      <c r="C329" s="6">
        <f>IF(Tabelle18[[#This Row],[binding_level_company]]&gt;=1,1,0)</f>
        <v>0</v>
      </c>
      <c r="D329" s="6">
        <f>IFERROR(_xlfn.MAXIFS([1]!Tabelle5[binding_level],[1]!Tabelle5[company_id],Tabelle18[[#This Row],[company_id]],[1]!Tabelle5[value_id],Tabelle18[[#This Row],[value_id]],[1]!Tabelle5[value_present],1),0)</f>
        <v>0</v>
      </c>
      <c r="E329" s="6">
        <f>IFERROR(_xlfn.MAXIFS([1]!Tabelle5[value_points],[1]!Tabelle5[company_id],Tabelle18[[#This Row],[company_id]],[1]!Tabelle5[value_id],Tabelle18[[#This Row],[value_id]]),0)</f>
        <v>0</v>
      </c>
      <c r="F32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29" t="str" cm="1">
        <f t="array" ref="G32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29" s="7" t="str" cm="1">
        <f t="array" ref="H32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30" spans="1:8" x14ac:dyDescent="0.25">
      <c r="A330" s="5">
        <v>19</v>
      </c>
      <c r="B330" t="s">
        <v>12</v>
      </c>
      <c r="C330" s="6">
        <f>IF(Tabelle18[[#This Row],[binding_level_company]]&gt;=1,1,0)</f>
        <v>1</v>
      </c>
      <c r="D330" s="6">
        <f>IFERROR(_xlfn.MAXIFS([1]!Tabelle5[binding_level],[1]!Tabelle5[company_id],Tabelle18[[#This Row],[company_id]],[1]!Tabelle5[value_id],Tabelle18[[#This Row],[value_id]],[1]!Tabelle5[value_present],1),0)</f>
        <v>2</v>
      </c>
      <c r="E330" s="6">
        <f>IFERROR(_xlfn.MAXIFS([1]!Tabelle5[value_points],[1]!Tabelle5[company_id],Tabelle18[[#This Row],[company_id]],[1]!Tabelle5[value_id],Tabelle18[[#This Row],[value_id]]),0)</f>
        <v>2</v>
      </c>
      <c r="F33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0" t="str" cm="1">
        <f t="array" ref="G33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11, FAIRNESS AND TRANSPARENCY</v>
      </c>
      <c r="H330" s="7" t="str" cm="1">
        <f t="array" ref="H33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“strictly prohibited”</v>
      </c>
    </row>
    <row r="331" spans="1:8" x14ac:dyDescent="0.25">
      <c r="A331" s="5">
        <v>19</v>
      </c>
      <c r="B331" t="s">
        <v>13</v>
      </c>
      <c r="C331" s="6">
        <f>IF(Tabelle18[[#This Row],[binding_level_company]]&gt;=1,1,0)</f>
        <v>1</v>
      </c>
      <c r="D331" s="6">
        <f>IFERROR(_xlfn.MAXIFS([1]!Tabelle5[binding_level],[1]!Tabelle5[company_id],Tabelle18[[#This Row],[company_id]],[1]!Tabelle5[value_id],Tabelle18[[#This Row],[value_id]],[1]!Tabelle5[value_present],1),0)</f>
        <v>3</v>
      </c>
      <c r="E331" s="6">
        <f>IFERROR(_xlfn.MAXIFS([1]!Tabelle5[value_points],[1]!Tabelle5[company_id],Tabelle18[[#This Row],[company_id]],[1]!Tabelle5[value_id],Tabelle18[[#This Row],[value_id]]),0)</f>
        <v>3</v>
      </c>
      <c r="F33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1" t="str" cm="1">
        <f t="array" ref="G33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12, DATA PROTECTION...</v>
      </c>
      <c r="H331" s="7" t="str" cm="1">
        <f t="array" ref="H33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 accordance with applicable data protection laws”; “security and data protection by design”</v>
      </c>
    </row>
    <row r="332" spans="1:8" x14ac:dyDescent="0.25">
      <c r="A332" s="5">
        <v>19</v>
      </c>
      <c r="B332" t="s">
        <v>14</v>
      </c>
      <c r="C332" s="6">
        <f>IF(Tabelle18[[#This Row],[binding_level_company]]&gt;=1,1,0)</f>
        <v>1</v>
      </c>
      <c r="D332" s="6">
        <f>IFERROR(_xlfn.MAXIFS([1]!Tabelle5[binding_level],[1]!Tabelle5[company_id],Tabelle18[[#This Row],[company_id]],[1]!Tabelle5[value_id],Tabelle18[[#This Row],[value_id]],[1]!Tabelle5[value_present],1),0)</f>
        <v>3</v>
      </c>
      <c r="E332" s="6">
        <f>IFERROR(_xlfn.MAXIFS([1]!Tabelle5[value_points],[1]!Tabelle5[company_id],Tabelle18[[#This Row],[company_id]],[1]!Tabelle5[value_id],Tabelle18[[#This Row],[value_id]]),0)</f>
        <v>3</v>
      </c>
      <c r="F33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2" t="str" cm="1">
        <f t="array" ref="G33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12, DATA PROTECTION...</v>
      </c>
      <c r="H332" s="7" t="str" cm="1">
        <f t="array" ref="H33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“protect confidential information”; “continuously monitor our digital systems and AI technologies”</v>
      </c>
    </row>
    <row r="333" spans="1:8" x14ac:dyDescent="0.25">
      <c r="A333" s="5">
        <v>19</v>
      </c>
      <c r="B333" t="s">
        <v>15</v>
      </c>
      <c r="C333" s="6">
        <f>IF(Tabelle18[[#This Row],[binding_level_company]]&gt;=1,1,0)</f>
        <v>1</v>
      </c>
      <c r="D333" s="6">
        <f>IFERROR(_xlfn.MAXIFS([1]!Tabelle5[binding_level],[1]!Tabelle5[company_id],Tabelle18[[#This Row],[company_id]],[1]!Tabelle5[value_id],Tabelle18[[#This Row],[value_id]],[1]!Tabelle5[value_present],1),0)</f>
        <v>2</v>
      </c>
      <c r="E333" s="6">
        <f>IFERROR(_xlfn.MAXIFS([1]!Tabelle5[value_points],[1]!Tabelle5[company_id],Tabelle18[[#This Row],[company_id]],[1]!Tabelle5[value_id],Tabelle18[[#This Row],[value_id]]),0)</f>
        <v>2</v>
      </c>
      <c r="F33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3" t="str" cm="1">
        <f t="array" ref="G33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9, DIGITAL PARTICIPATION</v>
      </c>
      <c r="H333" s="7" t="str" cm="1">
        <f t="array" ref="H33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“humans stay in control of critical decisions”</v>
      </c>
    </row>
    <row r="334" spans="1:8" x14ac:dyDescent="0.25">
      <c r="A334" s="5">
        <v>19</v>
      </c>
      <c r="B334" t="s">
        <v>16</v>
      </c>
      <c r="C334" s="6">
        <f>IF(Tabelle18[[#This Row],[binding_level_company]]&gt;=1,1,0)</f>
        <v>0</v>
      </c>
      <c r="D334" s="6">
        <f>IFERROR(_xlfn.MAXIFS([1]!Tabelle5[binding_level],[1]!Tabelle5[company_id],Tabelle18[[#This Row],[company_id]],[1]!Tabelle5[value_id],Tabelle18[[#This Row],[value_id]],[1]!Tabelle5[value_present],1),0)</f>
        <v>0</v>
      </c>
      <c r="E334" s="6">
        <f>IFERROR(_xlfn.MAXIFS([1]!Tabelle5[value_points],[1]!Tabelle5[company_id],Tabelle18[[#This Row],[company_id]],[1]!Tabelle5[value_id],Tabelle18[[#This Row],[value_id]]),0)</f>
        <v>0</v>
      </c>
      <c r="F33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34" t="str" cm="1">
        <f t="array" ref="G33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34" s="7" t="str" cm="1">
        <f t="array" ref="H33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35" spans="1:8" x14ac:dyDescent="0.25">
      <c r="A335" s="5">
        <v>19</v>
      </c>
      <c r="B335" t="s">
        <v>17</v>
      </c>
      <c r="C335" s="6">
        <f>IF(Tabelle18[[#This Row],[binding_level_company]]&gt;=1,1,0)</f>
        <v>0</v>
      </c>
      <c r="D335" s="6">
        <f>IFERROR(_xlfn.MAXIFS([1]!Tabelle5[binding_level],[1]!Tabelle5[company_id],Tabelle18[[#This Row],[company_id]],[1]!Tabelle5[value_id],Tabelle18[[#This Row],[value_id]],[1]!Tabelle5[value_present],1),0)</f>
        <v>0</v>
      </c>
      <c r="E335" s="6">
        <f>IFERROR(_xlfn.MAXIFS([1]!Tabelle5[value_points],[1]!Tabelle5[company_id],Tabelle18[[#This Row],[company_id]],[1]!Tabelle5[value_id],Tabelle18[[#This Row],[value_id]]),0)</f>
        <v>0</v>
      </c>
      <c r="F33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35" t="str" cm="1">
        <f t="array" ref="G33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35" s="7" t="str" cm="1">
        <f t="array" ref="H33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36" spans="1:8" x14ac:dyDescent="0.25">
      <c r="A336" s="5">
        <v>19</v>
      </c>
      <c r="B336" t="s">
        <v>18</v>
      </c>
      <c r="C336" s="6">
        <f>IF(Tabelle18[[#This Row],[binding_level_company]]&gt;=1,1,0)</f>
        <v>1</v>
      </c>
      <c r="D336" s="6">
        <f>IFERROR(_xlfn.MAXIFS([1]!Tabelle5[binding_level],[1]!Tabelle5[company_id],Tabelle18[[#This Row],[company_id]],[1]!Tabelle5[value_id],Tabelle18[[#This Row],[value_id]],[1]!Tabelle5[value_present],1),0)</f>
        <v>1</v>
      </c>
      <c r="E336" s="6">
        <f>IFERROR(_xlfn.MAXIFS([1]!Tabelle5[value_points],[1]!Tabelle5[company_id],Tabelle18[[#This Row],[company_id]],[1]!Tabelle5[value_id],Tabelle18[[#This Row],[value_id]]),0)</f>
        <v>1</v>
      </c>
      <c r="F33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6" t="str" cm="1">
        <f t="array" ref="G33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9, DIGITAL PARTICIPATION</v>
      </c>
      <c r="H336" s="7" t="str" cm="1">
        <f t="array" ref="H33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“help to overcome language barriers”</v>
      </c>
    </row>
    <row r="337" spans="1:8" x14ac:dyDescent="0.25">
      <c r="A337" s="5">
        <v>19</v>
      </c>
      <c r="B337" t="s">
        <v>19</v>
      </c>
      <c r="C337" s="6">
        <f>IF(Tabelle18[[#This Row],[binding_level_company]]&gt;=1,1,0)</f>
        <v>1</v>
      </c>
      <c r="D337" s="6">
        <f>IFERROR(_xlfn.MAXIFS([1]!Tabelle5[binding_level],[1]!Tabelle5[company_id],Tabelle18[[#This Row],[company_id]],[1]!Tabelle5[value_id],Tabelle18[[#This Row],[value_id]],[1]!Tabelle5[value_present],1),0)</f>
        <v>3</v>
      </c>
      <c r="E337" s="6">
        <f>IFERROR(_xlfn.MAXIFS([1]!Tabelle5[value_points],[1]!Tabelle5[company_id],Tabelle18[[#This Row],[company_id]],[1]!Tabelle5[value_id],Tabelle18[[#This Row],[value_id]]),0)</f>
        <v>3</v>
      </c>
      <c r="F33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7" t="str" cm="1">
        <f t="array" ref="G33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6, SUSTAINABILITY</v>
      </c>
      <c r="H337" s="7" t="str" cm="1">
        <f t="array" ref="H33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“This applies in particular to the responsible use of AI.”; “follow high energy efficiency standards”</v>
      </c>
    </row>
    <row r="338" spans="1:8" x14ac:dyDescent="0.25">
      <c r="A338" s="5">
        <v>19</v>
      </c>
      <c r="B338" t="s">
        <v>20</v>
      </c>
      <c r="C338" s="6">
        <f>IF(Tabelle18[[#This Row],[binding_level_company]]&gt;=1,1,0)</f>
        <v>1</v>
      </c>
      <c r="D338" s="6">
        <f>IFERROR(_xlfn.MAXIFS([1]!Tabelle5[binding_level],[1]!Tabelle5[company_id],Tabelle18[[#This Row],[company_id]],[1]!Tabelle5[value_id],Tabelle18[[#This Row],[value_id]],[1]!Tabelle5[value_present],1),0)</f>
        <v>1</v>
      </c>
      <c r="E338" s="6">
        <f>IFERROR(_xlfn.MAXIFS([1]!Tabelle5[value_points],[1]!Tabelle5[company_id],Tabelle18[[#This Row],[company_id]],[1]!Tabelle5[value_id],Tabelle18[[#This Row],[value_id]]),0)</f>
        <v>1</v>
      </c>
      <c r="F33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8" t="str" cm="1">
        <f t="array" ref="G33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7, ATTRACTIVE, DIGITAL WORKPLACE</v>
      </c>
      <c r="H338" s="7" t="str" cm="1">
        <f t="array" ref="H33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“protect our employees from information overload”</v>
      </c>
    </row>
    <row r="339" spans="1:8" x14ac:dyDescent="0.25">
      <c r="A339" s="5">
        <v>19</v>
      </c>
      <c r="B339" t="s">
        <v>21</v>
      </c>
      <c r="C339" s="6">
        <f>IF(Tabelle18[[#This Row],[binding_level_company]]&gt;=1,1,0)</f>
        <v>1</v>
      </c>
      <c r="D339" s="6">
        <f>IFERROR(_xlfn.MAXIFS([1]!Tabelle5[binding_level],[1]!Tabelle5[company_id],Tabelle18[[#This Row],[company_id]],[1]!Tabelle5[value_id],Tabelle18[[#This Row],[value_id]],[1]!Tabelle5[value_present],1),0)</f>
        <v>3</v>
      </c>
      <c r="E339" s="6">
        <f>IFERROR(_xlfn.MAXIFS([1]!Tabelle5[value_points],[1]!Tabelle5[company_id],Tabelle18[[#This Row],[company_id]],[1]!Tabelle5[value_id],Tabelle18[[#This Row],[value_id]]),0)</f>
        <v>3</v>
      </c>
      <c r="F33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39" t="str" cm="1">
        <f t="array" ref="G33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GEA VALUES; S. 12, DATA PROTECTION...</v>
      </c>
      <c r="H339" s="7" t="str" cm="1">
        <f t="array" ref="H33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define clear guardrails for the use of AI systems”; “in accordance with applicable data protection laws</v>
      </c>
    </row>
    <row r="340" spans="1:8" x14ac:dyDescent="0.25">
      <c r="A340" s="5">
        <v>19</v>
      </c>
      <c r="B340" t="s">
        <v>22</v>
      </c>
      <c r="C340" s="6">
        <f>IF(Tabelle18[[#This Row],[binding_level_company]]&gt;=1,1,0)</f>
        <v>1</v>
      </c>
      <c r="D340" s="6">
        <f>IFERROR(_xlfn.MAXIFS([1]!Tabelle5[binding_level],[1]!Tabelle5[company_id],Tabelle18[[#This Row],[company_id]],[1]!Tabelle5[value_id],Tabelle18[[#This Row],[value_id]],[1]!Tabelle5[value_present],1),0)</f>
        <v>2</v>
      </c>
      <c r="E340" s="6">
        <f>IFERROR(_xlfn.MAXIFS([1]!Tabelle5[value_points],[1]!Tabelle5[company_id],Tabelle18[[#This Row],[company_id]],[1]!Tabelle5[value_id],Tabelle18[[#This Row],[value_id]]),0)</f>
        <v>2</v>
      </c>
      <c r="F34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40" t="str" cm="1">
        <f t="array" ref="G34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5, GEA VALUES; S. 11, FAIRNESS AND TRANSPARENCY</v>
      </c>
      <c r="H340" s="7" t="str" cm="1">
        <f t="array" ref="H34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define clear guardrails for the use of AI systems”; “strictly prohibited”</v>
      </c>
    </row>
    <row r="341" spans="1:8" x14ac:dyDescent="0.25">
      <c r="A341" s="5">
        <v>19</v>
      </c>
      <c r="B341" t="s">
        <v>23</v>
      </c>
      <c r="C341" s="6">
        <f>IF(Tabelle18[[#This Row],[binding_level_company]]&gt;=1,1,0)</f>
        <v>0</v>
      </c>
      <c r="D341" s="6">
        <f>IFERROR(_xlfn.MAXIFS([1]!Tabelle5[binding_level],[1]!Tabelle5[company_id],Tabelle18[[#This Row],[company_id]],[1]!Tabelle5[value_id],Tabelle18[[#This Row],[value_id]],[1]!Tabelle5[value_present],1),0)</f>
        <v>0</v>
      </c>
      <c r="E341" s="6">
        <f>IFERROR(_xlfn.MAXIFS([1]!Tabelle5[value_points],[1]!Tabelle5[company_id],Tabelle18[[#This Row],[company_id]],[1]!Tabelle5[value_id],Tabelle18[[#This Row],[value_id]]),0)</f>
        <v>0</v>
      </c>
      <c r="F34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41" t="str" cm="1">
        <f t="array" ref="G34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41" s="7" t="str" cm="1">
        <f t="array" ref="H34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42" spans="1:8" x14ac:dyDescent="0.25">
      <c r="A342" s="5">
        <v>19</v>
      </c>
      <c r="B342" t="s">
        <v>24</v>
      </c>
      <c r="C342" s="6">
        <f>IF(Tabelle18[[#This Row],[binding_level_company]]&gt;=1,1,0)</f>
        <v>1</v>
      </c>
      <c r="D342" s="6">
        <f>IFERROR(_xlfn.MAXIFS([1]!Tabelle5[binding_level],[1]!Tabelle5[company_id],Tabelle18[[#This Row],[company_id]],[1]!Tabelle5[value_id],Tabelle18[[#This Row],[value_id]],[1]!Tabelle5[value_present],1),0)</f>
        <v>2</v>
      </c>
      <c r="E342" s="6">
        <f>IFERROR(_xlfn.MAXIFS([1]!Tabelle5[value_points],[1]!Tabelle5[company_id],Tabelle18[[#This Row],[company_id]],[1]!Tabelle5[value_id],Tabelle18[[#This Row],[value_id]]),0)</f>
        <v>2</v>
      </c>
      <c r="F34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113</v>
      </c>
      <c r="G342" t="str" cm="1">
        <f t="array" ref="G34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12, DATA PROTECTION...</v>
      </c>
      <c r="H342" s="7" t="str" cm="1">
        <f t="array" ref="H34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“protect confidential information”</v>
      </c>
    </row>
    <row r="343" spans="1:8" ht="15.75" thickBot="1" x14ac:dyDescent="0.3">
      <c r="A343" s="8">
        <v>19</v>
      </c>
      <c r="B343" s="9" t="s">
        <v>25</v>
      </c>
      <c r="C343" s="10">
        <f>IF(Tabelle18[[#This Row],[binding_level_company]]&gt;=1,1,0)</f>
        <v>0</v>
      </c>
      <c r="D343" s="10">
        <f>IFERROR(_xlfn.MAXIFS([1]!Tabelle5[binding_level],[1]!Tabelle5[company_id],Tabelle18[[#This Row],[company_id]],[1]!Tabelle5[value_id],Tabelle18[[#This Row],[value_id]],[1]!Tabelle5[value_present],1),0)</f>
        <v>0</v>
      </c>
      <c r="E343" s="10">
        <f>IFERROR(_xlfn.MAXIFS([1]!Tabelle5[value_points],[1]!Tabelle5[company_id],Tabelle18[[#This Row],[company_id]],[1]!Tabelle5[value_id],Tabelle18[[#This Row],[value_id]]),0)</f>
        <v>0</v>
      </c>
      <c r="F343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43" s="9" t="str" cm="1">
        <f t="array" ref="G34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43" s="11" t="str" cm="1">
        <f t="array" ref="H34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44" spans="1:8" x14ac:dyDescent="0.25">
      <c r="A344" s="1">
        <v>20</v>
      </c>
      <c r="B344" s="2" t="s">
        <v>8</v>
      </c>
      <c r="C344" s="3">
        <f>IF(Tabelle18[[#This Row],[binding_level_company]]&gt;=1,1,0)</f>
        <v>0</v>
      </c>
      <c r="D344" s="3">
        <f>IFERROR(_xlfn.MAXIFS([1]!Tabelle5[binding_level],[1]!Tabelle5[company_id],Tabelle18[[#This Row],[company_id]],[1]!Tabelle5[value_id],Tabelle18[[#This Row],[value_id]],[1]!Tabelle5[value_present],1),0)</f>
        <v>0</v>
      </c>
      <c r="E344" s="3">
        <f>IFERROR(_xlfn.MAXIFS([1]!Tabelle5[value_points],[1]!Tabelle5[company_id],Tabelle18[[#This Row],[company_id]],[1]!Tabelle5[value_id],Tabelle18[[#This Row],[value_id]]),0)</f>
        <v>0</v>
      </c>
      <c r="F344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44" s="2" t="str" cm="1">
        <f t="array" ref="G34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44" s="4" t="str" cm="1">
        <f t="array" ref="H34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45" spans="1:8" x14ac:dyDescent="0.25">
      <c r="A345" s="5">
        <v>20</v>
      </c>
      <c r="B345" t="s">
        <v>9</v>
      </c>
      <c r="C345" s="6">
        <f>IF(Tabelle18[[#This Row],[binding_level_company]]&gt;=1,1,0)</f>
        <v>0</v>
      </c>
      <c r="D345" s="6">
        <f>IFERROR(_xlfn.MAXIFS([1]!Tabelle5[binding_level],[1]!Tabelle5[company_id],Tabelle18[[#This Row],[company_id]],[1]!Tabelle5[value_id],Tabelle18[[#This Row],[value_id]],[1]!Tabelle5[value_present],1),0)</f>
        <v>0</v>
      </c>
      <c r="E345" s="6">
        <f>IFERROR(_xlfn.MAXIFS([1]!Tabelle5[value_points],[1]!Tabelle5[company_id],Tabelle18[[#This Row],[company_id]],[1]!Tabelle5[value_id],Tabelle18[[#This Row],[value_id]]),0)</f>
        <v>0</v>
      </c>
      <c r="F34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45" t="str" cm="1">
        <f t="array" ref="G34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45" s="7" t="str" cm="1">
        <f t="array" ref="H34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46" spans="1:8" x14ac:dyDescent="0.25">
      <c r="A346" s="5">
        <v>20</v>
      </c>
      <c r="B346" t="s">
        <v>10</v>
      </c>
      <c r="C346" s="6">
        <f>IF(Tabelle18[[#This Row],[binding_level_company]]&gt;=1,1,0)</f>
        <v>1</v>
      </c>
      <c r="D346" s="6">
        <f>IFERROR(_xlfn.MAXIFS([1]!Tabelle5[binding_level],[1]!Tabelle5[company_id],Tabelle18[[#This Row],[company_id]],[1]!Tabelle5[value_id],Tabelle18[[#This Row],[value_id]],[1]!Tabelle5[value_present],1),0)</f>
        <v>1</v>
      </c>
      <c r="E346" s="6">
        <f>IFERROR(_xlfn.MAXIFS([1]!Tabelle5[value_points],[1]!Tabelle5[company_id],Tabelle18[[#This Row],[company_id]],[1]!Tabelle5[value_id],Tabelle18[[#This Row],[value_id]]),0)</f>
        <v>1</v>
      </c>
      <c r="F34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122</v>
      </c>
      <c r="G346" t="str" cm="1">
        <f t="array" ref="G34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Abschnitt 2</v>
      </c>
      <c r="H346" s="7" t="str" cm="1">
        <f t="array" ref="H34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ensure transparency, security”</v>
      </c>
    </row>
    <row r="347" spans="1:8" x14ac:dyDescent="0.25">
      <c r="A347" s="5">
        <v>20</v>
      </c>
      <c r="B347" t="s">
        <v>11</v>
      </c>
      <c r="C347" s="6">
        <f>IF(Tabelle18[[#This Row],[binding_level_company]]&gt;=1,1,0)</f>
        <v>0</v>
      </c>
      <c r="D347" s="6">
        <f>IFERROR(_xlfn.MAXIFS([1]!Tabelle5[binding_level],[1]!Tabelle5[company_id],Tabelle18[[#This Row],[company_id]],[1]!Tabelle5[value_id],Tabelle18[[#This Row],[value_id]],[1]!Tabelle5[value_present],1),0)</f>
        <v>0</v>
      </c>
      <c r="E347" s="6">
        <f>IFERROR(_xlfn.MAXIFS([1]!Tabelle5[value_points],[1]!Tabelle5[company_id],Tabelle18[[#This Row],[company_id]],[1]!Tabelle5[value_id],Tabelle18[[#This Row],[value_id]]),0)</f>
        <v>0</v>
      </c>
      <c r="F34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47" t="str" cm="1">
        <f t="array" ref="G34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47" s="7" t="str" cm="1">
        <f t="array" ref="H34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48" spans="1:8" x14ac:dyDescent="0.25">
      <c r="A348" s="5">
        <v>20</v>
      </c>
      <c r="B348" t="s">
        <v>12</v>
      </c>
      <c r="C348" s="6">
        <f>IF(Tabelle18[[#This Row],[binding_level_company]]&gt;=1,1,0)</f>
        <v>0</v>
      </c>
      <c r="D348" s="6">
        <f>IFERROR(_xlfn.MAXIFS([1]!Tabelle5[binding_level],[1]!Tabelle5[company_id],Tabelle18[[#This Row],[company_id]],[1]!Tabelle5[value_id],Tabelle18[[#This Row],[value_id]],[1]!Tabelle5[value_present],1),0)</f>
        <v>0</v>
      </c>
      <c r="E348" s="6">
        <f>IFERROR(_xlfn.MAXIFS([1]!Tabelle5[value_points],[1]!Tabelle5[company_id],Tabelle18[[#This Row],[company_id]],[1]!Tabelle5[value_id],Tabelle18[[#This Row],[value_id]]),0)</f>
        <v>0</v>
      </c>
      <c r="F34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48" t="str" cm="1">
        <f t="array" ref="G34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48" s="7" t="str" cm="1">
        <f t="array" ref="H34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49" spans="1:8" x14ac:dyDescent="0.25">
      <c r="A349" s="5">
        <v>20</v>
      </c>
      <c r="B349" t="s">
        <v>13</v>
      </c>
      <c r="C349" s="6">
        <f>IF(Tabelle18[[#This Row],[binding_level_company]]&gt;=1,1,0)</f>
        <v>1</v>
      </c>
      <c r="D349" s="6">
        <f>IFERROR(_xlfn.MAXIFS([1]!Tabelle5[binding_level],[1]!Tabelle5[company_id],Tabelle18[[#This Row],[company_id]],[1]!Tabelle5[value_id],Tabelle18[[#This Row],[value_id]],[1]!Tabelle5[value_present],1),0)</f>
        <v>1</v>
      </c>
      <c r="E349" s="6">
        <f>IFERROR(_xlfn.MAXIFS([1]!Tabelle5[value_points],[1]!Tabelle5[company_id],Tabelle18[[#This Row],[company_id]],[1]!Tabelle5[value_id],Tabelle18[[#This Row],[value_id]]),0)</f>
        <v>1</v>
      </c>
      <c r="F34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122</v>
      </c>
      <c r="G349" t="str" cm="1">
        <f t="array" ref="G34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Abschnitt 2</v>
      </c>
      <c r="H349" s="7" t="str" cm="1">
        <f t="array" ref="H34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“strict compliance with data protection regulations”; “appropriate technical and organisational measures”</v>
      </c>
    </row>
    <row r="350" spans="1:8" x14ac:dyDescent="0.25">
      <c r="A350" s="5">
        <v>20</v>
      </c>
      <c r="B350" t="s">
        <v>14</v>
      </c>
      <c r="C350" s="6">
        <f>IF(Tabelle18[[#This Row],[binding_level_company]]&gt;=1,1,0)</f>
        <v>1</v>
      </c>
      <c r="D350" s="6">
        <f>IFERROR(_xlfn.MAXIFS([1]!Tabelle5[binding_level],[1]!Tabelle5[company_id],Tabelle18[[#This Row],[company_id]],[1]!Tabelle5[value_id],Tabelle18[[#This Row],[value_id]],[1]!Tabelle5[value_present],1),0)</f>
        <v>1</v>
      </c>
      <c r="E350" s="6">
        <f>IFERROR(_xlfn.MAXIFS([1]!Tabelle5[value_points],[1]!Tabelle5[company_id],Tabelle18[[#This Row],[company_id]],[1]!Tabelle5[value_id],Tabelle18[[#This Row],[value_id]]),0)</f>
        <v>1</v>
      </c>
      <c r="F35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122</v>
      </c>
      <c r="G350" t="str" cm="1">
        <f t="array" ref="G35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Abschnitt 2</v>
      </c>
      <c r="H350" s="7" t="str" cm="1">
        <f t="array" ref="H35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ensure transparency, security”</v>
      </c>
    </row>
    <row r="351" spans="1:8" x14ac:dyDescent="0.25">
      <c r="A351" s="5">
        <v>20</v>
      </c>
      <c r="B351" t="s">
        <v>15</v>
      </c>
      <c r="C351" s="6">
        <f>IF(Tabelle18[[#This Row],[binding_level_company]]&gt;=1,1,0)</f>
        <v>0</v>
      </c>
      <c r="D351" s="6">
        <f>IFERROR(_xlfn.MAXIFS([1]!Tabelle5[binding_level],[1]!Tabelle5[company_id],Tabelle18[[#This Row],[company_id]],[1]!Tabelle5[value_id],Tabelle18[[#This Row],[value_id]],[1]!Tabelle5[value_present],1),0)</f>
        <v>0</v>
      </c>
      <c r="E351" s="6">
        <f>IFERROR(_xlfn.MAXIFS([1]!Tabelle5[value_points],[1]!Tabelle5[company_id],Tabelle18[[#This Row],[company_id]],[1]!Tabelle5[value_id],Tabelle18[[#This Row],[value_id]]),0)</f>
        <v>0</v>
      </c>
      <c r="F35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1" t="str" cm="1">
        <f t="array" ref="G35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1" s="7" t="str" cm="1">
        <f t="array" ref="H35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52" spans="1:8" x14ac:dyDescent="0.25">
      <c r="A352" s="5">
        <v>20</v>
      </c>
      <c r="B352" t="s">
        <v>16</v>
      </c>
      <c r="C352" s="6">
        <f>IF(Tabelle18[[#This Row],[binding_level_company]]&gt;=1,1,0)</f>
        <v>0</v>
      </c>
      <c r="D352" s="6">
        <f>IFERROR(_xlfn.MAXIFS([1]!Tabelle5[binding_level],[1]!Tabelle5[company_id],Tabelle18[[#This Row],[company_id]],[1]!Tabelle5[value_id],Tabelle18[[#This Row],[value_id]],[1]!Tabelle5[value_present],1),0)</f>
        <v>0</v>
      </c>
      <c r="E352" s="6">
        <f>IFERROR(_xlfn.MAXIFS([1]!Tabelle5[value_points],[1]!Tabelle5[company_id],Tabelle18[[#This Row],[company_id]],[1]!Tabelle5[value_id],Tabelle18[[#This Row],[value_id]]),0)</f>
        <v>0</v>
      </c>
      <c r="F35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2" t="str" cm="1">
        <f t="array" ref="G35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2" s="7" t="str" cm="1">
        <f t="array" ref="H35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53" spans="1:8" x14ac:dyDescent="0.25">
      <c r="A353" s="5">
        <v>20</v>
      </c>
      <c r="B353" t="s">
        <v>17</v>
      </c>
      <c r="C353" s="6">
        <f>IF(Tabelle18[[#This Row],[binding_level_company]]&gt;=1,1,0)</f>
        <v>0</v>
      </c>
      <c r="D353" s="6">
        <f>IFERROR(_xlfn.MAXIFS([1]!Tabelle5[binding_level],[1]!Tabelle5[company_id],Tabelle18[[#This Row],[company_id]],[1]!Tabelle5[value_id],Tabelle18[[#This Row],[value_id]],[1]!Tabelle5[value_present],1),0)</f>
        <v>0</v>
      </c>
      <c r="E353" s="6">
        <f>IFERROR(_xlfn.MAXIFS([1]!Tabelle5[value_points],[1]!Tabelle5[company_id],Tabelle18[[#This Row],[company_id]],[1]!Tabelle5[value_id],Tabelle18[[#This Row],[value_id]]),0)</f>
        <v>0</v>
      </c>
      <c r="F35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3" t="str" cm="1">
        <f t="array" ref="G35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3" s="7" t="str" cm="1">
        <f t="array" ref="H35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54" spans="1:8" x14ac:dyDescent="0.25">
      <c r="A354" s="5">
        <v>20</v>
      </c>
      <c r="B354" t="s">
        <v>18</v>
      </c>
      <c r="C354" s="6">
        <f>IF(Tabelle18[[#This Row],[binding_level_company]]&gt;=1,1,0)</f>
        <v>0</v>
      </c>
      <c r="D354" s="6">
        <f>IFERROR(_xlfn.MAXIFS([1]!Tabelle5[binding_level],[1]!Tabelle5[company_id],Tabelle18[[#This Row],[company_id]],[1]!Tabelle5[value_id],Tabelle18[[#This Row],[value_id]],[1]!Tabelle5[value_present],1),0)</f>
        <v>0</v>
      </c>
      <c r="E354" s="6">
        <f>IFERROR(_xlfn.MAXIFS([1]!Tabelle5[value_points],[1]!Tabelle5[company_id],Tabelle18[[#This Row],[company_id]],[1]!Tabelle5[value_id],Tabelle18[[#This Row],[value_id]]),0)</f>
        <v>0</v>
      </c>
      <c r="F35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4" t="str" cm="1">
        <f t="array" ref="G35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4" s="7" t="str" cm="1">
        <f t="array" ref="H35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55" spans="1:8" x14ac:dyDescent="0.25">
      <c r="A355" s="5">
        <v>20</v>
      </c>
      <c r="B355" t="s">
        <v>19</v>
      </c>
      <c r="C355" s="6">
        <f>IF(Tabelle18[[#This Row],[binding_level_company]]&gt;=1,1,0)</f>
        <v>0</v>
      </c>
      <c r="D355" s="6">
        <f>IFERROR(_xlfn.MAXIFS([1]!Tabelle5[binding_level],[1]!Tabelle5[company_id],Tabelle18[[#This Row],[company_id]],[1]!Tabelle5[value_id],Tabelle18[[#This Row],[value_id]],[1]!Tabelle5[value_present],1),0)</f>
        <v>0</v>
      </c>
      <c r="E355" s="6">
        <f>IFERROR(_xlfn.MAXIFS([1]!Tabelle5[value_points],[1]!Tabelle5[company_id],Tabelle18[[#This Row],[company_id]],[1]!Tabelle5[value_id],Tabelle18[[#This Row],[value_id]]),0)</f>
        <v>0</v>
      </c>
      <c r="F35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5" t="str" cm="1">
        <f t="array" ref="G35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5" s="7" t="str" cm="1">
        <f t="array" ref="H35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56" spans="1:8" x14ac:dyDescent="0.25">
      <c r="A356" s="5">
        <v>20</v>
      </c>
      <c r="B356" t="s">
        <v>20</v>
      </c>
      <c r="C356" s="6">
        <f>IF(Tabelle18[[#This Row],[binding_level_company]]&gt;=1,1,0)</f>
        <v>0</v>
      </c>
      <c r="D356" s="6">
        <f>IFERROR(_xlfn.MAXIFS([1]!Tabelle5[binding_level],[1]!Tabelle5[company_id],Tabelle18[[#This Row],[company_id]],[1]!Tabelle5[value_id],Tabelle18[[#This Row],[value_id]],[1]!Tabelle5[value_present],1),0)</f>
        <v>0</v>
      </c>
      <c r="E356" s="6">
        <f>IFERROR(_xlfn.MAXIFS([1]!Tabelle5[value_points],[1]!Tabelle5[company_id],Tabelle18[[#This Row],[company_id]],[1]!Tabelle5[value_id],Tabelle18[[#This Row],[value_id]]),0)</f>
        <v>0</v>
      </c>
      <c r="F35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6" t="str" cm="1">
        <f t="array" ref="G35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6" s="7" t="str" cm="1">
        <f t="array" ref="H35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57" spans="1:8" x14ac:dyDescent="0.25">
      <c r="A357" s="5">
        <v>20</v>
      </c>
      <c r="B357" t="s">
        <v>21</v>
      </c>
      <c r="C357" s="6">
        <f>IF(Tabelle18[[#This Row],[binding_level_company]]&gt;=1,1,0)</f>
        <v>1</v>
      </c>
      <c r="D357" s="6">
        <f>IFERROR(_xlfn.MAXIFS([1]!Tabelle5[binding_level],[1]!Tabelle5[company_id],Tabelle18[[#This Row],[company_id]],[1]!Tabelle5[value_id],Tabelle18[[#This Row],[value_id]],[1]!Tabelle5[value_present],1),0)</f>
        <v>1</v>
      </c>
      <c r="E357" s="6">
        <f>IFERROR(_xlfn.MAXIFS([1]!Tabelle5[value_points],[1]!Tabelle5[company_id],Tabelle18[[#This Row],[company_id]],[1]!Tabelle5[value_id],Tabelle18[[#This Row],[value_id]]),0)</f>
        <v>1</v>
      </c>
      <c r="F35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122</v>
      </c>
      <c r="G357" t="str" cm="1">
        <f t="array" ref="G35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Abschnitt 2</v>
      </c>
      <c r="H357" s="7" t="str" cm="1">
        <f t="array" ref="H35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“strict compliance with data protection regulations”</v>
      </c>
    </row>
    <row r="358" spans="1:8" x14ac:dyDescent="0.25">
      <c r="A358" s="5">
        <v>20</v>
      </c>
      <c r="B358" t="s">
        <v>22</v>
      </c>
      <c r="C358" s="6">
        <f>IF(Tabelle18[[#This Row],[binding_level_company]]&gt;=1,1,0)</f>
        <v>1</v>
      </c>
      <c r="D358" s="6">
        <f>IFERROR(_xlfn.MAXIFS([1]!Tabelle5[binding_level],[1]!Tabelle5[company_id],Tabelle18[[#This Row],[company_id]],[1]!Tabelle5[value_id],Tabelle18[[#This Row],[value_id]],[1]!Tabelle5[value_present],1),0)</f>
        <v>1</v>
      </c>
      <c r="E358" s="6">
        <f>IFERROR(_xlfn.MAXIFS([1]!Tabelle5[value_points],[1]!Tabelle5[company_id],Tabelle18[[#This Row],[company_id]],[1]!Tabelle5[value_id],Tabelle18[[#This Row],[value_id]]),0)</f>
        <v>1</v>
      </c>
      <c r="F35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122</v>
      </c>
      <c r="G358" t="str" cm="1">
        <f t="array" ref="G35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Abschnitt 2</v>
      </c>
      <c r="H358" s="7" t="str" cm="1">
        <f t="array" ref="H35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“responsible use”</v>
      </c>
    </row>
    <row r="359" spans="1:8" x14ac:dyDescent="0.25">
      <c r="A359" s="5">
        <v>20</v>
      </c>
      <c r="B359" t="s">
        <v>23</v>
      </c>
      <c r="C359" s="6">
        <f>IF(Tabelle18[[#This Row],[binding_level_company]]&gt;=1,1,0)</f>
        <v>0</v>
      </c>
      <c r="D359" s="6">
        <f>IFERROR(_xlfn.MAXIFS([1]!Tabelle5[binding_level],[1]!Tabelle5[company_id],Tabelle18[[#This Row],[company_id]],[1]!Tabelle5[value_id],Tabelle18[[#This Row],[value_id]],[1]!Tabelle5[value_present],1),0)</f>
        <v>0</v>
      </c>
      <c r="E359" s="6">
        <f>IFERROR(_xlfn.MAXIFS([1]!Tabelle5[value_points],[1]!Tabelle5[company_id],Tabelle18[[#This Row],[company_id]],[1]!Tabelle5[value_id],Tabelle18[[#This Row],[value_id]]),0)</f>
        <v>0</v>
      </c>
      <c r="F35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59" t="str" cm="1">
        <f t="array" ref="G35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59" s="7" t="str" cm="1">
        <f t="array" ref="H35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0" spans="1:8" x14ac:dyDescent="0.25">
      <c r="A360" s="5">
        <v>20</v>
      </c>
      <c r="B360" t="s">
        <v>24</v>
      </c>
      <c r="C360" s="6">
        <f>IF(Tabelle18[[#This Row],[binding_level_company]]&gt;=1,1,0)</f>
        <v>0</v>
      </c>
      <c r="D360" s="6">
        <f>IFERROR(_xlfn.MAXIFS([1]!Tabelle5[binding_level],[1]!Tabelle5[company_id],Tabelle18[[#This Row],[company_id]],[1]!Tabelle5[value_id],Tabelle18[[#This Row],[value_id]],[1]!Tabelle5[value_present],1),0)</f>
        <v>0</v>
      </c>
      <c r="E360" s="6">
        <f>IFERROR(_xlfn.MAXIFS([1]!Tabelle5[value_points],[1]!Tabelle5[company_id],Tabelle18[[#This Row],[company_id]],[1]!Tabelle5[value_id],Tabelle18[[#This Row],[value_id]]),0)</f>
        <v>0</v>
      </c>
      <c r="F36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0" t="str" cm="1">
        <f t="array" ref="G36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0" s="7" t="str" cm="1">
        <f t="array" ref="H36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1" spans="1:8" ht="15.75" thickBot="1" x14ac:dyDescent="0.3">
      <c r="A361" s="8">
        <v>20</v>
      </c>
      <c r="B361" s="9" t="s">
        <v>25</v>
      </c>
      <c r="C361" s="10">
        <f>IF(Tabelle18[[#This Row],[binding_level_company]]&gt;=1,1,0)</f>
        <v>0</v>
      </c>
      <c r="D361" s="10">
        <f>IFERROR(_xlfn.MAXIFS([1]!Tabelle5[binding_level],[1]!Tabelle5[company_id],Tabelle18[[#This Row],[company_id]],[1]!Tabelle5[value_id],Tabelle18[[#This Row],[value_id]],[1]!Tabelle5[value_present],1),0)</f>
        <v>0</v>
      </c>
      <c r="E361" s="10">
        <f>IFERROR(_xlfn.MAXIFS([1]!Tabelle5[value_points],[1]!Tabelle5[company_id],Tabelle18[[#This Row],[company_id]],[1]!Tabelle5[value_id],Tabelle18[[#This Row],[value_id]]),0)</f>
        <v>0</v>
      </c>
      <c r="F361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1" s="9" t="str" cm="1">
        <f t="array" ref="G36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1" s="11" t="str" cm="1">
        <f t="array" ref="H36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2" spans="1:8" x14ac:dyDescent="0.25">
      <c r="A362" s="1">
        <v>21</v>
      </c>
      <c r="B362" s="2" t="s">
        <v>8</v>
      </c>
      <c r="C362" s="3">
        <f>IF(Tabelle18[[#This Row],[binding_level_company]]&gt;=1,1,0)</f>
        <v>0</v>
      </c>
      <c r="D362" s="3">
        <f>IFERROR(_xlfn.MAXIFS([1]!Tabelle5[binding_level],[1]!Tabelle5[company_id],Tabelle18[[#This Row],[company_id]],[1]!Tabelle5[value_id],Tabelle18[[#This Row],[value_id]],[1]!Tabelle5[value_present],1),0)</f>
        <v>0</v>
      </c>
      <c r="E362" s="3">
        <f>IFERROR(_xlfn.MAXIFS([1]!Tabelle5[value_points],[1]!Tabelle5[company_id],Tabelle18[[#This Row],[company_id]],[1]!Tabelle5[value_id],Tabelle18[[#This Row],[value_id]]),0)</f>
        <v>0</v>
      </c>
      <c r="F362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2" s="2" t="str" cm="1">
        <f t="array" ref="G36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2" s="4" t="str" cm="1">
        <f t="array" ref="H36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3" spans="1:8" x14ac:dyDescent="0.25">
      <c r="A363" s="5">
        <v>21</v>
      </c>
      <c r="B363" t="s">
        <v>9</v>
      </c>
      <c r="C363" s="6">
        <f>IF(Tabelle18[[#This Row],[binding_level_company]]&gt;=1,1,0)</f>
        <v>0</v>
      </c>
      <c r="D363" s="6">
        <f>IFERROR(_xlfn.MAXIFS([1]!Tabelle5[binding_level],[1]!Tabelle5[company_id],Tabelle18[[#This Row],[company_id]],[1]!Tabelle5[value_id],Tabelle18[[#This Row],[value_id]],[1]!Tabelle5[value_present],1),0)</f>
        <v>0</v>
      </c>
      <c r="E363" s="6">
        <f>IFERROR(_xlfn.MAXIFS([1]!Tabelle5[value_points],[1]!Tabelle5[company_id],Tabelle18[[#This Row],[company_id]],[1]!Tabelle5[value_id],Tabelle18[[#This Row],[value_id]]),0)</f>
        <v>0</v>
      </c>
      <c r="F36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3" t="str" cm="1">
        <f t="array" ref="G36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3" s="7" t="str" cm="1">
        <f t="array" ref="H36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4" spans="1:8" x14ac:dyDescent="0.25">
      <c r="A364" s="5">
        <v>21</v>
      </c>
      <c r="B364" t="s">
        <v>10</v>
      </c>
      <c r="C364" s="6">
        <f>IF(Tabelle18[[#This Row],[binding_level_company]]&gt;=1,1,0)</f>
        <v>0</v>
      </c>
      <c r="D364" s="6">
        <f>IFERROR(_xlfn.MAXIFS([1]!Tabelle5[binding_level],[1]!Tabelle5[company_id],Tabelle18[[#This Row],[company_id]],[1]!Tabelle5[value_id],Tabelle18[[#This Row],[value_id]],[1]!Tabelle5[value_present],1),0)</f>
        <v>0</v>
      </c>
      <c r="E364" s="6">
        <f>IFERROR(_xlfn.MAXIFS([1]!Tabelle5[value_points],[1]!Tabelle5[company_id],Tabelle18[[#This Row],[company_id]],[1]!Tabelle5[value_id],Tabelle18[[#This Row],[value_id]]),0)</f>
        <v>0</v>
      </c>
      <c r="F36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4" t="str" cm="1">
        <f t="array" ref="G36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4" s="7" t="str" cm="1">
        <f t="array" ref="H36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5" spans="1:8" x14ac:dyDescent="0.25">
      <c r="A365" s="5">
        <v>21</v>
      </c>
      <c r="B365" t="s">
        <v>11</v>
      </c>
      <c r="C365" s="6">
        <f>IF(Tabelle18[[#This Row],[binding_level_company]]&gt;=1,1,0)</f>
        <v>0</v>
      </c>
      <c r="D365" s="6">
        <f>IFERROR(_xlfn.MAXIFS([1]!Tabelle5[binding_level],[1]!Tabelle5[company_id],Tabelle18[[#This Row],[company_id]],[1]!Tabelle5[value_id],Tabelle18[[#This Row],[value_id]],[1]!Tabelle5[value_present],1),0)</f>
        <v>0</v>
      </c>
      <c r="E365" s="6">
        <f>IFERROR(_xlfn.MAXIFS([1]!Tabelle5[value_points],[1]!Tabelle5[company_id],Tabelle18[[#This Row],[company_id]],[1]!Tabelle5[value_id],Tabelle18[[#This Row],[value_id]]),0)</f>
        <v>0</v>
      </c>
      <c r="F36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5" t="str" cm="1">
        <f t="array" ref="G36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5" s="7" t="str" cm="1">
        <f t="array" ref="H36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6" spans="1:8" x14ac:dyDescent="0.25">
      <c r="A366" s="5">
        <v>21</v>
      </c>
      <c r="B366" t="s">
        <v>12</v>
      </c>
      <c r="C366" s="6">
        <f>IF(Tabelle18[[#This Row],[binding_level_company]]&gt;=1,1,0)</f>
        <v>0</v>
      </c>
      <c r="D366" s="6">
        <f>IFERROR(_xlfn.MAXIFS([1]!Tabelle5[binding_level],[1]!Tabelle5[company_id],Tabelle18[[#This Row],[company_id]],[1]!Tabelle5[value_id],Tabelle18[[#This Row],[value_id]],[1]!Tabelle5[value_present],1),0)</f>
        <v>0</v>
      </c>
      <c r="E366" s="6">
        <f>IFERROR(_xlfn.MAXIFS([1]!Tabelle5[value_points],[1]!Tabelle5[company_id],Tabelle18[[#This Row],[company_id]],[1]!Tabelle5[value_id],Tabelle18[[#This Row],[value_id]]),0)</f>
        <v>0</v>
      </c>
      <c r="F36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6" t="str" cm="1">
        <f t="array" ref="G36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6" s="7" t="str" cm="1">
        <f t="array" ref="H36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7" spans="1:8" x14ac:dyDescent="0.25">
      <c r="A367" s="5">
        <v>21</v>
      </c>
      <c r="B367" t="s">
        <v>13</v>
      </c>
      <c r="C367" s="6">
        <f>IF(Tabelle18[[#This Row],[binding_level_company]]&gt;=1,1,0)</f>
        <v>0</v>
      </c>
      <c r="D367" s="6">
        <f>IFERROR(_xlfn.MAXIFS([1]!Tabelle5[binding_level],[1]!Tabelle5[company_id],Tabelle18[[#This Row],[company_id]],[1]!Tabelle5[value_id],Tabelle18[[#This Row],[value_id]],[1]!Tabelle5[value_present],1),0)</f>
        <v>0</v>
      </c>
      <c r="E367" s="6">
        <f>IFERROR(_xlfn.MAXIFS([1]!Tabelle5[value_points],[1]!Tabelle5[company_id],Tabelle18[[#This Row],[company_id]],[1]!Tabelle5[value_id],Tabelle18[[#This Row],[value_id]]),0)</f>
        <v>0</v>
      </c>
      <c r="F36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7" t="str" cm="1">
        <f t="array" ref="G36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7" s="7" t="str" cm="1">
        <f t="array" ref="H36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8" spans="1:8" x14ac:dyDescent="0.25">
      <c r="A368" s="5">
        <v>21</v>
      </c>
      <c r="B368" t="s">
        <v>14</v>
      </c>
      <c r="C368" s="6">
        <f>IF(Tabelle18[[#This Row],[binding_level_company]]&gt;=1,1,0)</f>
        <v>0</v>
      </c>
      <c r="D368" s="6">
        <f>IFERROR(_xlfn.MAXIFS([1]!Tabelle5[binding_level],[1]!Tabelle5[company_id],Tabelle18[[#This Row],[company_id]],[1]!Tabelle5[value_id],Tabelle18[[#This Row],[value_id]],[1]!Tabelle5[value_present],1),0)</f>
        <v>0</v>
      </c>
      <c r="E368" s="6">
        <f>IFERROR(_xlfn.MAXIFS([1]!Tabelle5[value_points],[1]!Tabelle5[company_id],Tabelle18[[#This Row],[company_id]],[1]!Tabelle5[value_id],Tabelle18[[#This Row],[value_id]]),0)</f>
        <v>0</v>
      </c>
      <c r="F36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8" t="str" cm="1">
        <f t="array" ref="G36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8" s="7" t="str" cm="1">
        <f t="array" ref="H36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69" spans="1:8" x14ac:dyDescent="0.25">
      <c r="A369" s="5">
        <v>21</v>
      </c>
      <c r="B369" t="s">
        <v>15</v>
      </c>
      <c r="C369" s="6">
        <f>IF(Tabelle18[[#This Row],[binding_level_company]]&gt;=1,1,0)</f>
        <v>0</v>
      </c>
      <c r="D369" s="6">
        <f>IFERROR(_xlfn.MAXIFS([1]!Tabelle5[binding_level],[1]!Tabelle5[company_id],Tabelle18[[#This Row],[company_id]],[1]!Tabelle5[value_id],Tabelle18[[#This Row],[value_id]],[1]!Tabelle5[value_present],1),0)</f>
        <v>0</v>
      </c>
      <c r="E369" s="6">
        <f>IFERROR(_xlfn.MAXIFS([1]!Tabelle5[value_points],[1]!Tabelle5[company_id],Tabelle18[[#This Row],[company_id]],[1]!Tabelle5[value_id],Tabelle18[[#This Row],[value_id]]),0)</f>
        <v>0</v>
      </c>
      <c r="F36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69" t="str" cm="1">
        <f t="array" ref="G36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69" s="7" t="str" cm="1">
        <f t="array" ref="H36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0" spans="1:8" x14ac:dyDescent="0.25">
      <c r="A370" s="5">
        <v>21</v>
      </c>
      <c r="B370" t="s">
        <v>16</v>
      </c>
      <c r="C370" s="6">
        <f>IF(Tabelle18[[#This Row],[binding_level_company]]&gt;=1,1,0)</f>
        <v>0</v>
      </c>
      <c r="D370" s="6">
        <f>IFERROR(_xlfn.MAXIFS([1]!Tabelle5[binding_level],[1]!Tabelle5[company_id],Tabelle18[[#This Row],[company_id]],[1]!Tabelle5[value_id],Tabelle18[[#This Row],[value_id]],[1]!Tabelle5[value_present],1),0)</f>
        <v>0</v>
      </c>
      <c r="E370" s="6">
        <f>IFERROR(_xlfn.MAXIFS([1]!Tabelle5[value_points],[1]!Tabelle5[company_id],Tabelle18[[#This Row],[company_id]],[1]!Tabelle5[value_id],Tabelle18[[#This Row],[value_id]]),0)</f>
        <v>0</v>
      </c>
      <c r="F37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0" t="str" cm="1">
        <f t="array" ref="G37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0" s="7" t="str" cm="1">
        <f t="array" ref="H37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1" spans="1:8" x14ac:dyDescent="0.25">
      <c r="A371" s="5">
        <v>21</v>
      </c>
      <c r="B371" t="s">
        <v>17</v>
      </c>
      <c r="C371" s="6">
        <f>IF(Tabelle18[[#This Row],[binding_level_company]]&gt;=1,1,0)</f>
        <v>0</v>
      </c>
      <c r="D371" s="6">
        <f>IFERROR(_xlfn.MAXIFS([1]!Tabelle5[binding_level],[1]!Tabelle5[company_id],Tabelle18[[#This Row],[company_id]],[1]!Tabelle5[value_id],Tabelle18[[#This Row],[value_id]],[1]!Tabelle5[value_present],1),0)</f>
        <v>0</v>
      </c>
      <c r="E371" s="6">
        <f>IFERROR(_xlfn.MAXIFS([1]!Tabelle5[value_points],[1]!Tabelle5[company_id],Tabelle18[[#This Row],[company_id]],[1]!Tabelle5[value_id],Tabelle18[[#This Row],[value_id]]),0)</f>
        <v>0</v>
      </c>
      <c r="F37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1" t="str" cm="1">
        <f t="array" ref="G37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1" s="7" t="str" cm="1">
        <f t="array" ref="H37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2" spans="1:8" x14ac:dyDescent="0.25">
      <c r="A372" s="5">
        <v>21</v>
      </c>
      <c r="B372" t="s">
        <v>18</v>
      </c>
      <c r="C372" s="6">
        <f>IF(Tabelle18[[#This Row],[binding_level_company]]&gt;=1,1,0)</f>
        <v>0</v>
      </c>
      <c r="D372" s="6">
        <f>IFERROR(_xlfn.MAXIFS([1]!Tabelle5[binding_level],[1]!Tabelle5[company_id],Tabelle18[[#This Row],[company_id]],[1]!Tabelle5[value_id],Tabelle18[[#This Row],[value_id]],[1]!Tabelle5[value_present],1),0)</f>
        <v>0</v>
      </c>
      <c r="E372" s="6">
        <f>IFERROR(_xlfn.MAXIFS([1]!Tabelle5[value_points],[1]!Tabelle5[company_id],Tabelle18[[#This Row],[company_id]],[1]!Tabelle5[value_id],Tabelle18[[#This Row],[value_id]]),0)</f>
        <v>0</v>
      </c>
      <c r="F37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2" t="str" cm="1">
        <f t="array" ref="G37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2" s="7" t="str" cm="1">
        <f t="array" ref="H37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3" spans="1:8" x14ac:dyDescent="0.25">
      <c r="A373" s="5">
        <v>21</v>
      </c>
      <c r="B373" t="s">
        <v>19</v>
      </c>
      <c r="C373" s="6">
        <f>IF(Tabelle18[[#This Row],[binding_level_company]]&gt;=1,1,0)</f>
        <v>0</v>
      </c>
      <c r="D373" s="6">
        <f>IFERROR(_xlfn.MAXIFS([1]!Tabelle5[binding_level],[1]!Tabelle5[company_id],Tabelle18[[#This Row],[company_id]],[1]!Tabelle5[value_id],Tabelle18[[#This Row],[value_id]],[1]!Tabelle5[value_present],1),0)</f>
        <v>0</v>
      </c>
      <c r="E373" s="6">
        <f>IFERROR(_xlfn.MAXIFS([1]!Tabelle5[value_points],[1]!Tabelle5[company_id],Tabelle18[[#This Row],[company_id]],[1]!Tabelle5[value_id],Tabelle18[[#This Row],[value_id]]),0)</f>
        <v>0</v>
      </c>
      <c r="F37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3" t="str" cm="1">
        <f t="array" ref="G37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3" s="7" t="str" cm="1">
        <f t="array" ref="H37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4" spans="1:8" x14ac:dyDescent="0.25">
      <c r="A374" s="5">
        <v>21</v>
      </c>
      <c r="B374" t="s">
        <v>20</v>
      </c>
      <c r="C374" s="6">
        <f>IF(Tabelle18[[#This Row],[binding_level_company]]&gt;=1,1,0)</f>
        <v>0</v>
      </c>
      <c r="D374" s="6">
        <f>IFERROR(_xlfn.MAXIFS([1]!Tabelle5[binding_level],[1]!Tabelle5[company_id],Tabelle18[[#This Row],[company_id]],[1]!Tabelle5[value_id],Tabelle18[[#This Row],[value_id]],[1]!Tabelle5[value_present],1),0)</f>
        <v>0</v>
      </c>
      <c r="E374" s="6">
        <f>IFERROR(_xlfn.MAXIFS([1]!Tabelle5[value_points],[1]!Tabelle5[company_id],Tabelle18[[#This Row],[company_id]],[1]!Tabelle5[value_id],Tabelle18[[#This Row],[value_id]]),0)</f>
        <v>0</v>
      </c>
      <c r="F37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4" t="str" cm="1">
        <f t="array" ref="G37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4" s="7" t="str" cm="1">
        <f t="array" ref="H37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5" spans="1:8" x14ac:dyDescent="0.25">
      <c r="A375" s="5">
        <v>21</v>
      </c>
      <c r="B375" t="s">
        <v>21</v>
      </c>
      <c r="C375" s="6">
        <f>IF(Tabelle18[[#This Row],[binding_level_company]]&gt;=1,1,0)</f>
        <v>0</v>
      </c>
      <c r="D375" s="6">
        <f>IFERROR(_xlfn.MAXIFS([1]!Tabelle5[binding_level],[1]!Tabelle5[company_id],Tabelle18[[#This Row],[company_id]],[1]!Tabelle5[value_id],Tabelle18[[#This Row],[value_id]],[1]!Tabelle5[value_present],1),0)</f>
        <v>0</v>
      </c>
      <c r="E375" s="6">
        <f>IFERROR(_xlfn.MAXIFS([1]!Tabelle5[value_points],[1]!Tabelle5[company_id],Tabelle18[[#This Row],[company_id]],[1]!Tabelle5[value_id],Tabelle18[[#This Row],[value_id]]),0)</f>
        <v>0</v>
      </c>
      <c r="F37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5" t="str" cm="1">
        <f t="array" ref="G37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5" s="7" t="str" cm="1">
        <f t="array" ref="H37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6" spans="1:8" x14ac:dyDescent="0.25">
      <c r="A376" s="5">
        <v>21</v>
      </c>
      <c r="B376" t="s">
        <v>22</v>
      </c>
      <c r="C376" s="6">
        <f>IF(Tabelle18[[#This Row],[binding_level_company]]&gt;=1,1,0)</f>
        <v>0</v>
      </c>
      <c r="D376" s="6">
        <f>IFERROR(_xlfn.MAXIFS([1]!Tabelle5[binding_level],[1]!Tabelle5[company_id],Tabelle18[[#This Row],[company_id]],[1]!Tabelle5[value_id],Tabelle18[[#This Row],[value_id]],[1]!Tabelle5[value_present],1),0)</f>
        <v>0</v>
      </c>
      <c r="E376" s="6">
        <f>IFERROR(_xlfn.MAXIFS([1]!Tabelle5[value_points],[1]!Tabelle5[company_id],Tabelle18[[#This Row],[company_id]],[1]!Tabelle5[value_id],Tabelle18[[#This Row],[value_id]]),0)</f>
        <v>0</v>
      </c>
      <c r="F37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6" t="str" cm="1">
        <f t="array" ref="G37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6" s="7" t="str" cm="1">
        <f t="array" ref="H37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7" spans="1:8" x14ac:dyDescent="0.25">
      <c r="A377" s="5">
        <v>21</v>
      </c>
      <c r="B377" t="s">
        <v>23</v>
      </c>
      <c r="C377" s="6">
        <f>IF(Tabelle18[[#This Row],[binding_level_company]]&gt;=1,1,0)</f>
        <v>0</v>
      </c>
      <c r="D377" s="6">
        <f>IFERROR(_xlfn.MAXIFS([1]!Tabelle5[binding_level],[1]!Tabelle5[company_id],Tabelle18[[#This Row],[company_id]],[1]!Tabelle5[value_id],Tabelle18[[#This Row],[value_id]],[1]!Tabelle5[value_present],1),0)</f>
        <v>0</v>
      </c>
      <c r="E377" s="6">
        <f>IFERROR(_xlfn.MAXIFS([1]!Tabelle5[value_points],[1]!Tabelle5[company_id],Tabelle18[[#This Row],[company_id]],[1]!Tabelle5[value_id],Tabelle18[[#This Row],[value_id]]),0)</f>
        <v>0</v>
      </c>
      <c r="F37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7" t="str" cm="1">
        <f t="array" ref="G37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7" s="7" t="str" cm="1">
        <f t="array" ref="H37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8" spans="1:8" x14ac:dyDescent="0.25">
      <c r="A378" s="5">
        <v>21</v>
      </c>
      <c r="B378" t="s">
        <v>24</v>
      </c>
      <c r="C378" s="6">
        <f>IF(Tabelle18[[#This Row],[binding_level_company]]&gt;=1,1,0)</f>
        <v>0</v>
      </c>
      <c r="D378" s="6">
        <f>IFERROR(_xlfn.MAXIFS([1]!Tabelle5[binding_level],[1]!Tabelle5[company_id],Tabelle18[[#This Row],[company_id]],[1]!Tabelle5[value_id],Tabelle18[[#This Row],[value_id]],[1]!Tabelle5[value_present],1),0)</f>
        <v>0</v>
      </c>
      <c r="E378" s="6">
        <f>IFERROR(_xlfn.MAXIFS([1]!Tabelle5[value_points],[1]!Tabelle5[company_id],Tabelle18[[#This Row],[company_id]],[1]!Tabelle5[value_id],Tabelle18[[#This Row],[value_id]]),0)</f>
        <v>0</v>
      </c>
      <c r="F37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8" t="str" cm="1">
        <f t="array" ref="G37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8" s="7" t="str" cm="1">
        <f t="array" ref="H37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79" spans="1:8" ht="15.75" thickBot="1" x14ac:dyDescent="0.3">
      <c r="A379" s="8">
        <v>21</v>
      </c>
      <c r="B379" s="9" t="s">
        <v>25</v>
      </c>
      <c r="C379" s="10">
        <f>IF(Tabelle18[[#This Row],[binding_level_company]]&gt;=1,1,0)</f>
        <v>0</v>
      </c>
      <c r="D379" s="10">
        <f>IFERROR(_xlfn.MAXIFS([1]!Tabelle5[binding_level],[1]!Tabelle5[company_id],Tabelle18[[#This Row],[company_id]],[1]!Tabelle5[value_id],Tabelle18[[#This Row],[value_id]],[1]!Tabelle5[value_present],1),0)</f>
        <v>0</v>
      </c>
      <c r="E379" s="10">
        <f>IFERROR(_xlfn.MAXIFS([1]!Tabelle5[value_points],[1]!Tabelle5[company_id],Tabelle18[[#This Row],[company_id]],[1]!Tabelle5[value_id],Tabelle18[[#This Row],[value_id]]),0)</f>
        <v>0</v>
      </c>
      <c r="F379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79" s="9" t="str" cm="1">
        <f t="array" ref="G37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79" s="11" t="str" cm="1">
        <f t="array" ref="H37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80" spans="1:8" x14ac:dyDescent="0.25">
      <c r="A380" s="1">
        <v>22</v>
      </c>
      <c r="B380" s="2" t="s">
        <v>8</v>
      </c>
      <c r="C380" s="3">
        <f>IF(Tabelle18[[#This Row],[binding_level_company]]&gt;=1,1,0)</f>
        <v>1</v>
      </c>
      <c r="D380" s="3">
        <f>IFERROR(_xlfn.MAXIFS([1]!Tabelle5[binding_level],[1]!Tabelle5[company_id],Tabelle18[[#This Row],[company_id]],[1]!Tabelle5[value_id],Tabelle18[[#This Row],[value_id]],[1]!Tabelle5[value_present],1),0)</f>
        <v>2</v>
      </c>
      <c r="E380" s="3">
        <f>IFERROR(_xlfn.MAXIFS([1]!Tabelle5[value_points],[1]!Tabelle5[company_id],Tabelle18[[#This Row],[company_id]],[1]!Tabelle5[value_id],Tabelle18[[#This Row],[value_id]]),0)</f>
        <v>2</v>
      </c>
      <c r="F380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132</v>
      </c>
      <c r="G380" s="2" t="str" cm="1">
        <f t="array" ref="G38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18, DIGITAL SAFETY &amp; ETHICS</v>
      </c>
      <c r="H380" s="4" t="str" cm="1">
        <f t="array" ref="H38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“clear oversight mechanisms”</v>
      </c>
    </row>
    <row r="381" spans="1:8" x14ac:dyDescent="0.25">
      <c r="A381" s="5">
        <v>22</v>
      </c>
      <c r="B381" t="s">
        <v>9</v>
      </c>
      <c r="C381" s="6">
        <f>IF(Tabelle18[[#This Row],[binding_level_company]]&gt;=1,1,0)</f>
        <v>1</v>
      </c>
      <c r="D381" s="6">
        <f>IFERROR(_xlfn.MAXIFS([1]!Tabelle5[binding_level],[1]!Tabelle5[company_id],Tabelle18[[#This Row],[company_id]],[1]!Tabelle5[value_id],Tabelle18[[#This Row],[value_id]],[1]!Tabelle5[value_present],1),0)</f>
        <v>2</v>
      </c>
      <c r="E381" s="6">
        <f>IFERROR(_xlfn.MAXIFS([1]!Tabelle5[value_points],[1]!Tabelle5[company_id],Tabelle18[[#This Row],[company_id]],[1]!Tabelle5[value_id],Tabelle18[[#This Row],[value_id]]),0)</f>
        <v>2</v>
      </c>
      <c r="F38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132</v>
      </c>
      <c r="G381" t="str" cm="1">
        <f t="array" ref="G38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18, DIGITAL SAFETY &amp; ETHICS</v>
      </c>
      <c r="H381" s="7" t="str" cm="1">
        <f t="array" ref="H38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“accountability”</v>
      </c>
    </row>
    <row r="382" spans="1:8" x14ac:dyDescent="0.25">
      <c r="A382" s="5">
        <v>22</v>
      </c>
      <c r="B382" t="s">
        <v>10</v>
      </c>
      <c r="C382" s="6">
        <f>IF(Tabelle18[[#This Row],[binding_level_company]]&gt;=1,1,0)</f>
        <v>1</v>
      </c>
      <c r="D382" s="6">
        <f>IFERROR(_xlfn.MAXIFS([1]!Tabelle5[binding_level],[1]!Tabelle5[company_id],Tabelle18[[#This Row],[company_id]],[1]!Tabelle5[value_id],Tabelle18[[#This Row],[value_id]],[1]!Tabelle5[value_present],1),0)</f>
        <v>2</v>
      </c>
      <c r="E382" s="6">
        <f>IFERROR(_xlfn.MAXIFS([1]!Tabelle5[value_points],[1]!Tabelle5[company_id],Tabelle18[[#This Row],[company_id]],[1]!Tabelle5[value_id],Tabelle18[[#This Row],[value_id]]),0)</f>
        <v>2</v>
      </c>
      <c r="F38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132</v>
      </c>
      <c r="G382" t="str" cm="1">
        <f t="array" ref="G38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18, DIGITAL SAFETY &amp; ETHICS</v>
      </c>
      <c r="H382" s="7" t="str" cm="1">
        <f t="array" ref="H38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“must respect fundamental principles of transparency”</v>
      </c>
    </row>
    <row r="383" spans="1:8" x14ac:dyDescent="0.25">
      <c r="A383" s="5">
        <v>22</v>
      </c>
      <c r="B383" t="s">
        <v>11</v>
      </c>
      <c r="C383" s="6">
        <f>IF(Tabelle18[[#This Row],[binding_level_company]]&gt;=1,1,0)</f>
        <v>0</v>
      </c>
      <c r="D383" s="6">
        <f>IFERROR(_xlfn.MAXIFS([1]!Tabelle5[binding_level],[1]!Tabelle5[company_id],Tabelle18[[#This Row],[company_id]],[1]!Tabelle5[value_id],Tabelle18[[#This Row],[value_id]],[1]!Tabelle5[value_present],1),0)</f>
        <v>0</v>
      </c>
      <c r="E383" s="6">
        <f>IFERROR(_xlfn.MAXIFS([1]!Tabelle5[value_points],[1]!Tabelle5[company_id],Tabelle18[[#This Row],[company_id]],[1]!Tabelle5[value_id],Tabelle18[[#This Row],[value_id]]),0)</f>
        <v>0</v>
      </c>
      <c r="F38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83" t="str" cm="1">
        <f t="array" ref="G38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83" s="7" t="str" cm="1">
        <f t="array" ref="H38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84" spans="1:8" x14ac:dyDescent="0.25">
      <c r="A384" s="5">
        <v>22</v>
      </c>
      <c r="B384" t="s">
        <v>12</v>
      </c>
      <c r="C384" s="6">
        <f>IF(Tabelle18[[#This Row],[binding_level_company]]&gt;=1,1,0)</f>
        <v>0</v>
      </c>
      <c r="D384" s="6">
        <f>IFERROR(_xlfn.MAXIFS([1]!Tabelle5[binding_level],[1]!Tabelle5[company_id],Tabelle18[[#This Row],[company_id]],[1]!Tabelle5[value_id],Tabelle18[[#This Row],[value_id]],[1]!Tabelle5[value_present],1),0)</f>
        <v>0</v>
      </c>
      <c r="E384" s="6">
        <f>IFERROR(_xlfn.MAXIFS([1]!Tabelle5[value_points],[1]!Tabelle5[company_id],Tabelle18[[#This Row],[company_id]],[1]!Tabelle5[value_id],Tabelle18[[#This Row],[value_id]]),0)</f>
        <v>0</v>
      </c>
      <c r="F38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84" t="str" cm="1">
        <f t="array" ref="G38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84" s="7" t="str" cm="1">
        <f t="array" ref="H38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85" spans="1:8" x14ac:dyDescent="0.25">
      <c r="A385" s="5">
        <v>22</v>
      </c>
      <c r="B385" t="s">
        <v>13</v>
      </c>
      <c r="C385" s="6">
        <f>IF(Tabelle18[[#This Row],[binding_level_company]]&gt;=1,1,0)</f>
        <v>0</v>
      </c>
      <c r="D385" s="6">
        <f>IFERROR(_xlfn.MAXIFS([1]!Tabelle5[binding_level],[1]!Tabelle5[company_id],Tabelle18[[#This Row],[company_id]],[1]!Tabelle5[value_id],Tabelle18[[#This Row],[value_id]],[1]!Tabelle5[value_present],1),0)</f>
        <v>0</v>
      </c>
      <c r="E385" s="6">
        <f>IFERROR(_xlfn.MAXIFS([1]!Tabelle5[value_points],[1]!Tabelle5[company_id],Tabelle18[[#This Row],[company_id]],[1]!Tabelle5[value_id],Tabelle18[[#This Row],[value_id]]),0)</f>
        <v>0</v>
      </c>
      <c r="F38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85" t="str" cm="1">
        <f t="array" ref="G38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85" s="7" t="str" cm="1">
        <f t="array" ref="H38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86" spans="1:8" x14ac:dyDescent="0.25">
      <c r="A386" s="5">
        <v>22</v>
      </c>
      <c r="B386" t="s">
        <v>14</v>
      </c>
      <c r="C386" s="6">
        <f>IF(Tabelle18[[#This Row],[binding_level_company]]&gt;=1,1,0)</f>
        <v>0</v>
      </c>
      <c r="D386" s="6">
        <f>IFERROR(_xlfn.MAXIFS([1]!Tabelle5[binding_level],[1]!Tabelle5[company_id],Tabelle18[[#This Row],[company_id]],[1]!Tabelle5[value_id],Tabelle18[[#This Row],[value_id]],[1]!Tabelle5[value_present],1),0)</f>
        <v>0</v>
      </c>
      <c r="E386" s="6">
        <f>IFERROR(_xlfn.MAXIFS([1]!Tabelle5[value_points],[1]!Tabelle5[company_id],Tabelle18[[#This Row],[company_id]],[1]!Tabelle5[value_id],Tabelle18[[#This Row],[value_id]]),0)</f>
        <v>0</v>
      </c>
      <c r="F38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86" t="str" cm="1">
        <f t="array" ref="G38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86" s="7" t="str" cm="1">
        <f t="array" ref="H38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87" spans="1:8" x14ac:dyDescent="0.25">
      <c r="A387" s="5">
        <v>22</v>
      </c>
      <c r="B387" t="s">
        <v>15</v>
      </c>
      <c r="C387" s="6">
        <f>IF(Tabelle18[[#This Row],[binding_level_company]]&gt;=1,1,0)</f>
        <v>1</v>
      </c>
      <c r="D387" s="6">
        <f>IFERROR(_xlfn.MAXIFS([1]!Tabelle5[binding_level],[1]!Tabelle5[company_id],Tabelle18[[#This Row],[company_id]],[1]!Tabelle5[value_id],Tabelle18[[#This Row],[value_id]],[1]!Tabelle5[value_present],1),0)</f>
        <v>2</v>
      </c>
      <c r="E387" s="6">
        <f>IFERROR(_xlfn.MAXIFS([1]!Tabelle5[value_points],[1]!Tabelle5[company_id],Tabelle18[[#This Row],[company_id]],[1]!Tabelle5[value_id],Tabelle18[[#This Row],[value_id]]),0)</f>
        <v>2</v>
      </c>
      <c r="F38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132</v>
      </c>
      <c r="G387" t="str" cm="1">
        <f t="array" ref="G38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18, DIGITAL SAFETY &amp; ETHICS</v>
      </c>
      <c r="H387" s="7" t="str" cm="1">
        <f t="array" ref="H38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“mitigate associated risks”</v>
      </c>
    </row>
    <row r="388" spans="1:8" x14ac:dyDescent="0.25">
      <c r="A388" s="5">
        <v>22</v>
      </c>
      <c r="B388" t="s">
        <v>16</v>
      </c>
      <c r="C388" s="6">
        <f>IF(Tabelle18[[#This Row],[binding_level_company]]&gt;=1,1,0)</f>
        <v>1</v>
      </c>
      <c r="D388" s="6">
        <f>IFERROR(_xlfn.MAXIFS([1]!Tabelle5[binding_level],[1]!Tabelle5[company_id],Tabelle18[[#This Row],[company_id]],[1]!Tabelle5[value_id],Tabelle18[[#This Row],[value_id]],[1]!Tabelle5[value_present],1),0)</f>
        <v>2</v>
      </c>
      <c r="E388" s="6">
        <f>IFERROR(_xlfn.MAXIFS([1]!Tabelle5[value_points],[1]!Tabelle5[company_id],Tabelle18[[#This Row],[company_id]],[1]!Tabelle5[value_id],Tabelle18[[#This Row],[value_id]]),0)</f>
        <v>2</v>
      </c>
      <c r="F38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132</v>
      </c>
      <c r="G388" t="str" cm="1">
        <f t="array" ref="G38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18, DIGITAL SAFETY &amp; ETHICS</v>
      </c>
      <c r="H388" s="7" t="str" cm="1">
        <f t="array" ref="H38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“accuracy”</v>
      </c>
    </row>
    <row r="389" spans="1:8" x14ac:dyDescent="0.25">
      <c r="A389" s="5">
        <v>22</v>
      </c>
      <c r="B389" t="s">
        <v>17</v>
      </c>
      <c r="C389" s="6">
        <f>IF(Tabelle18[[#This Row],[binding_level_company]]&gt;=1,1,0)</f>
        <v>0</v>
      </c>
      <c r="D389" s="6">
        <f>IFERROR(_xlfn.MAXIFS([1]!Tabelle5[binding_level],[1]!Tabelle5[company_id],Tabelle18[[#This Row],[company_id]],[1]!Tabelle5[value_id],Tabelle18[[#This Row],[value_id]],[1]!Tabelle5[value_present],1),0)</f>
        <v>0</v>
      </c>
      <c r="E389" s="6">
        <f>IFERROR(_xlfn.MAXIFS([1]!Tabelle5[value_points],[1]!Tabelle5[company_id],Tabelle18[[#This Row],[company_id]],[1]!Tabelle5[value_id],Tabelle18[[#This Row],[value_id]]),0)</f>
        <v>0</v>
      </c>
      <c r="F38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89" t="str" cm="1">
        <f t="array" ref="G38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89" s="7" t="str" cm="1">
        <f t="array" ref="H38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0" spans="1:8" x14ac:dyDescent="0.25">
      <c r="A390" s="5">
        <v>22</v>
      </c>
      <c r="B390" t="s">
        <v>18</v>
      </c>
      <c r="C390" s="6">
        <f>IF(Tabelle18[[#This Row],[binding_level_company]]&gt;=1,1,0)</f>
        <v>0</v>
      </c>
      <c r="D390" s="6">
        <f>IFERROR(_xlfn.MAXIFS([1]!Tabelle5[binding_level],[1]!Tabelle5[company_id],Tabelle18[[#This Row],[company_id]],[1]!Tabelle5[value_id],Tabelle18[[#This Row],[value_id]],[1]!Tabelle5[value_present],1),0)</f>
        <v>0</v>
      </c>
      <c r="E390" s="6">
        <f>IFERROR(_xlfn.MAXIFS([1]!Tabelle5[value_points],[1]!Tabelle5[company_id],Tabelle18[[#This Row],[company_id]],[1]!Tabelle5[value_id],Tabelle18[[#This Row],[value_id]]),0)</f>
        <v>0</v>
      </c>
      <c r="F39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90" t="str" cm="1">
        <f t="array" ref="G39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90" s="7" t="str" cm="1">
        <f t="array" ref="H39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1" spans="1:8" x14ac:dyDescent="0.25">
      <c r="A391" s="5">
        <v>22</v>
      </c>
      <c r="B391" t="s">
        <v>19</v>
      </c>
      <c r="C391" s="6">
        <f>IF(Tabelle18[[#This Row],[binding_level_company]]&gt;=1,1,0)</f>
        <v>0</v>
      </c>
      <c r="D391" s="6">
        <f>IFERROR(_xlfn.MAXIFS([1]!Tabelle5[binding_level],[1]!Tabelle5[company_id],Tabelle18[[#This Row],[company_id]],[1]!Tabelle5[value_id],Tabelle18[[#This Row],[value_id]],[1]!Tabelle5[value_present],1),0)</f>
        <v>0</v>
      </c>
      <c r="E391" s="6">
        <f>IFERROR(_xlfn.MAXIFS([1]!Tabelle5[value_points],[1]!Tabelle5[company_id],Tabelle18[[#This Row],[company_id]],[1]!Tabelle5[value_id],Tabelle18[[#This Row],[value_id]]),0)</f>
        <v>0</v>
      </c>
      <c r="F39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91" t="str" cm="1">
        <f t="array" ref="G39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91" s="7" t="str" cm="1">
        <f t="array" ref="H39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2" spans="1:8" x14ac:dyDescent="0.25">
      <c r="A392" s="5">
        <v>22</v>
      </c>
      <c r="B392" t="s">
        <v>20</v>
      </c>
      <c r="C392" s="6">
        <f>IF(Tabelle18[[#This Row],[binding_level_company]]&gt;=1,1,0)</f>
        <v>0</v>
      </c>
      <c r="D392" s="6">
        <f>IFERROR(_xlfn.MAXIFS([1]!Tabelle5[binding_level],[1]!Tabelle5[company_id],Tabelle18[[#This Row],[company_id]],[1]!Tabelle5[value_id],Tabelle18[[#This Row],[value_id]],[1]!Tabelle5[value_present],1),0)</f>
        <v>0</v>
      </c>
      <c r="E392" s="6">
        <f>IFERROR(_xlfn.MAXIFS([1]!Tabelle5[value_points],[1]!Tabelle5[company_id],Tabelle18[[#This Row],[company_id]],[1]!Tabelle5[value_id],Tabelle18[[#This Row],[value_id]]),0)</f>
        <v>0</v>
      </c>
      <c r="F39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92" t="str" cm="1">
        <f t="array" ref="G39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92" s="7" t="str" cm="1">
        <f t="array" ref="H39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3" spans="1:8" x14ac:dyDescent="0.25">
      <c r="A393" s="5">
        <v>22</v>
      </c>
      <c r="B393" t="s">
        <v>21</v>
      </c>
      <c r="C393" s="6">
        <f>IF(Tabelle18[[#This Row],[binding_level_company]]&gt;=1,1,0)</f>
        <v>0</v>
      </c>
      <c r="D393" s="6">
        <f>IFERROR(_xlfn.MAXIFS([1]!Tabelle5[binding_level],[1]!Tabelle5[company_id],Tabelle18[[#This Row],[company_id]],[1]!Tabelle5[value_id],Tabelle18[[#This Row],[value_id]],[1]!Tabelle5[value_present],1),0)</f>
        <v>0</v>
      </c>
      <c r="E393" s="6">
        <f>IFERROR(_xlfn.MAXIFS([1]!Tabelle5[value_points],[1]!Tabelle5[company_id],Tabelle18[[#This Row],[company_id]],[1]!Tabelle5[value_id],Tabelle18[[#This Row],[value_id]]),0)</f>
        <v>0</v>
      </c>
      <c r="F39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93" t="str" cm="1">
        <f t="array" ref="G39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93" s="7" t="str" cm="1">
        <f t="array" ref="H39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4" spans="1:8" x14ac:dyDescent="0.25">
      <c r="A394" s="5">
        <v>22</v>
      </c>
      <c r="B394" t="s">
        <v>22</v>
      </c>
      <c r="C394" s="6">
        <f>IF(Tabelle18[[#This Row],[binding_level_company]]&gt;=1,1,0)</f>
        <v>1</v>
      </c>
      <c r="D394" s="6">
        <f>IFERROR(_xlfn.MAXIFS([1]!Tabelle5[binding_level],[1]!Tabelle5[company_id],Tabelle18[[#This Row],[company_id]],[1]!Tabelle5[value_id],Tabelle18[[#This Row],[value_id]],[1]!Tabelle5[value_present],1),0)</f>
        <v>1</v>
      </c>
      <c r="E394" s="6">
        <f>IFERROR(_xlfn.MAXIFS([1]!Tabelle5[value_points],[1]!Tabelle5[company_id],Tabelle18[[#This Row],[company_id]],[1]!Tabelle5[value_id],Tabelle18[[#This Row],[value_id]]),0)</f>
        <v>1</v>
      </c>
      <c r="F39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132</v>
      </c>
      <c r="G394" t="str" cm="1">
        <f t="array" ref="G39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18, DIGITAL SAFETY &amp; ETHICS</v>
      </c>
      <c r="H394" s="7" t="str" cm="1">
        <f t="array" ref="H39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“with it also comes great responsibility”</v>
      </c>
    </row>
    <row r="395" spans="1:8" x14ac:dyDescent="0.25">
      <c r="A395" s="5">
        <v>22</v>
      </c>
      <c r="B395" t="s">
        <v>23</v>
      </c>
      <c r="C395" s="6">
        <f>IF(Tabelle18[[#This Row],[binding_level_company]]&gt;=1,1,0)</f>
        <v>0</v>
      </c>
      <c r="D395" s="6">
        <f>IFERROR(_xlfn.MAXIFS([1]!Tabelle5[binding_level],[1]!Tabelle5[company_id],Tabelle18[[#This Row],[company_id]],[1]!Tabelle5[value_id],Tabelle18[[#This Row],[value_id]],[1]!Tabelle5[value_present],1),0)</f>
        <v>0</v>
      </c>
      <c r="E395" s="6">
        <f>IFERROR(_xlfn.MAXIFS([1]!Tabelle5[value_points],[1]!Tabelle5[company_id],Tabelle18[[#This Row],[company_id]],[1]!Tabelle5[value_id],Tabelle18[[#This Row],[value_id]]),0)</f>
        <v>0</v>
      </c>
      <c r="F39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95" t="str" cm="1">
        <f t="array" ref="G39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95" s="7" t="str" cm="1">
        <f t="array" ref="H39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6" spans="1:8" x14ac:dyDescent="0.25">
      <c r="A396" s="5">
        <v>22</v>
      </c>
      <c r="B396" t="s">
        <v>24</v>
      </c>
      <c r="C396" s="6">
        <f>IF(Tabelle18[[#This Row],[binding_level_company]]&gt;=1,1,0)</f>
        <v>0</v>
      </c>
      <c r="D396" s="6">
        <f>IFERROR(_xlfn.MAXIFS([1]!Tabelle5[binding_level],[1]!Tabelle5[company_id],Tabelle18[[#This Row],[company_id]],[1]!Tabelle5[value_id],Tabelle18[[#This Row],[value_id]],[1]!Tabelle5[value_present],1),0)</f>
        <v>0</v>
      </c>
      <c r="E396" s="6">
        <f>IFERROR(_xlfn.MAXIFS([1]!Tabelle5[value_points],[1]!Tabelle5[company_id],Tabelle18[[#This Row],[company_id]],[1]!Tabelle5[value_id],Tabelle18[[#This Row],[value_id]]),0)</f>
        <v>0</v>
      </c>
      <c r="F39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96" t="str" cm="1">
        <f t="array" ref="G39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96" s="7" t="str" cm="1">
        <f t="array" ref="H39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7" spans="1:8" ht="15.75" thickBot="1" x14ac:dyDescent="0.3">
      <c r="A397" s="8">
        <v>22</v>
      </c>
      <c r="B397" s="9" t="s">
        <v>25</v>
      </c>
      <c r="C397" s="10">
        <f>IF(Tabelle18[[#This Row],[binding_level_company]]&gt;=1,1,0)</f>
        <v>0</v>
      </c>
      <c r="D397" s="10">
        <f>IFERROR(_xlfn.MAXIFS([1]!Tabelle5[binding_level],[1]!Tabelle5[company_id],Tabelle18[[#This Row],[company_id]],[1]!Tabelle5[value_id],Tabelle18[[#This Row],[value_id]],[1]!Tabelle5[value_present],1),0)</f>
        <v>0</v>
      </c>
      <c r="E397" s="10">
        <f>IFERROR(_xlfn.MAXIFS([1]!Tabelle5[value_points],[1]!Tabelle5[company_id],Tabelle18[[#This Row],[company_id]],[1]!Tabelle5[value_id],Tabelle18[[#This Row],[value_id]]),0)</f>
        <v>0</v>
      </c>
      <c r="F397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397" s="9" t="str" cm="1">
        <f t="array" ref="G39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397" s="11" t="str" cm="1">
        <f t="array" ref="H39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398" spans="1:8" x14ac:dyDescent="0.25">
      <c r="A398" s="1">
        <v>23</v>
      </c>
      <c r="B398" s="2" t="s">
        <v>8</v>
      </c>
      <c r="C398" s="3">
        <f>IF(Tabelle18[[#This Row],[binding_level_company]]&gt;=1,1,0)</f>
        <v>1</v>
      </c>
      <c r="D398" s="3">
        <f>IFERROR(_xlfn.MAXIFS([1]!Tabelle5[binding_level],[1]!Tabelle5[company_id],Tabelle18[[#This Row],[company_id]],[1]!Tabelle5[value_id],Tabelle18[[#This Row],[value_id]],[1]!Tabelle5[value_present],1),0)</f>
        <v>3</v>
      </c>
      <c r="E398" s="3">
        <f>IFERROR(_xlfn.MAXIFS([1]!Tabelle5[value_points],[1]!Tabelle5[company_id],Tabelle18[[#This Row],[company_id]],[1]!Tabelle5[value_id],Tabelle18[[#This Row],[value_id]]),0)</f>
        <v>3</v>
      </c>
      <c r="F398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398" s="2" t="str" cm="1">
        <f t="array" ref="G39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„Human-centric AI“; S. 4, „Executing human oversight“</v>
      </c>
      <c r="H398" s="4" t="str" cm="1">
        <f t="array" ref="H39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“preserve people’s autonomy”; “Technology should always adapt to people”; “employees can turn if they want to receive guidance”</v>
      </c>
    </row>
    <row r="399" spans="1:8" x14ac:dyDescent="0.25">
      <c r="A399" s="5">
        <v>23</v>
      </c>
      <c r="B399" t="s">
        <v>9</v>
      </c>
      <c r="C399" s="6">
        <f>IF(Tabelle18[[#This Row],[binding_level_company]]&gt;=1,1,0)</f>
        <v>1</v>
      </c>
      <c r="D399" s="6">
        <f>IFERROR(_xlfn.MAXIFS([1]!Tabelle5[binding_level],[1]!Tabelle5[company_id],Tabelle18[[#This Row],[company_id]],[1]!Tabelle5[value_id],Tabelle18[[#This Row],[value_id]],[1]!Tabelle5[value_present],1),0)</f>
        <v>3</v>
      </c>
      <c r="E399" s="6">
        <f>IFERROR(_xlfn.MAXIFS([1]!Tabelle5[value_points],[1]!Tabelle5[company_id],Tabelle18[[#This Row],[company_id]],[1]!Tabelle5[value_id],Tabelle18[[#This Row],[value_id]]),0)</f>
        <v>3</v>
      </c>
      <c r="F39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399" t="str" cm="1">
        <f t="array" ref="G39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„Responsible and transparent use of AI“; S. 4, „Executing human oversight“</v>
      </c>
      <c r="H399" s="7" t="str" cm="1">
        <f t="array" ref="H39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“provide accountability”; “Digital Council will inspect and resolve the case”; “team works in a tandem formation with two employees from the tech and compliance side</v>
      </c>
    </row>
    <row r="400" spans="1:8" x14ac:dyDescent="0.25">
      <c r="A400" s="5">
        <v>23</v>
      </c>
      <c r="B400" t="s">
        <v>10</v>
      </c>
      <c r="C400" s="6">
        <f>IF(Tabelle18[[#This Row],[binding_level_company]]&gt;=1,1,0)</f>
        <v>1</v>
      </c>
      <c r="D400" s="6">
        <f>IFERROR(_xlfn.MAXIFS([1]!Tabelle5[binding_level],[1]!Tabelle5[company_id],Tabelle18[[#This Row],[company_id]],[1]!Tabelle5[value_id],Tabelle18[[#This Row],[value_id]],[1]!Tabelle5[value_present],1),0)</f>
        <v>1</v>
      </c>
      <c r="E400" s="6">
        <f>IFERROR(_xlfn.MAXIFS([1]!Tabelle5[value_points],[1]!Tabelle5[company_id],Tabelle18[[#This Row],[company_id]],[1]!Tabelle5[value_id],Tabelle18[[#This Row],[value_id]]),0)</f>
        <v>1</v>
      </c>
      <c r="F40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00" t="str" cm="1">
        <f t="array" ref="G40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„Responsible and transparent use of AI“</v>
      </c>
      <c r="H400" s="7" t="str" cm="1">
        <f t="array" ref="H40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“indicate where AI is actually being used”</v>
      </c>
    </row>
    <row r="401" spans="1:8" x14ac:dyDescent="0.25">
      <c r="A401" s="5">
        <v>23</v>
      </c>
      <c r="B401" t="s">
        <v>11</v>
      </c>
      <c r="C401" s="6">
        <f>IF(Tabelle18[[#This Row],[binding_level_company]]&gt;=1,1,0)</f>
        <v>1</v>
      </c>
      <c r="D401" s="6">
        <f>IFERROR(_xlfn.MAXIFS([1]!Tabelle5[binding_level],[1]!Tabelle5[company_id],Tabelle18[[#This Row],[company_id]],[1]!Tabelle5[value_id],Tabelle18[[#This Row],[value_id]],[1]!Tabelle5[value_present],1),0)</f>
        <v>3</v>
      </c>
      <c r="E401" s="6">
        <f>IFERROR(_xlfn.MAXIFS([1]!Tabelle5[value_points],[1]!Tabelle5[company_id],Tabelle18[[#This Row],[company_id]],[1]!Tabelle5[value_id],Tabelle18[[#This Row],[value_id]]),0)</f>
        <v>3</v>
      </c>
      <c r="F40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01" t="str" cm="1">
        <f t="array" ref="G40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„Responsible and transparent use of AI“; S. 4, „Upskilling“</v>
      </c>
      <c r="H401" s="7" t="str" cm="1">
        <f t="array" ref="H40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“how AI-based solutions arrive at their results”; “toolkits with tutorials and code samples to make AI explainable”</v>
      </c>
    </row>
    <row r="402" spans="1:8" x14ac:dyDescent="0.25">
      <c r="A402" s="5">
        <v>23</v>
      </c>
      <c r="B402" t="s">
        <v>12</v>
      </c>
      <c r="C402" s="6">
        <f>IF(Tabelle18[[#This Row],[binding_level_company]]&gt;=1,1,0)</f>
        <v>1</v>
      </c>
      <c r="D402" s="6">
        <f>IFERROR(_xlfn.MAXIFS([1]!Tabelle5[binding_level],[1]!Tabelle5[company_id],Tabelle18[[#This Row],[company_id]],[1]!Tabelle5[value_id],Tabelle18[[#This Row],[value_id]],[1]!Tabelle5[value_present],1),0)</f>
        <v>2</v>
      </c>
      <c r="E402" s="6">
        <f>IFERROR(_xlfn.MAXIFS([1]!Tabelle5[value_points],[1]!Tabelle5[company_id],Tabelle18[[#This Row],[company_id]],[1]!Tabelle5[value_id],Tabelle18[[#This Row],[value_id]]),0)</f>
        <v>2</v>
      </c>
      <c r="F40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02" t="str" cm="1">
        <f t="array" ref="G40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„Responsible and transparent use of AI“; S. 3, „Inclusion“</v>
      </c>
      <c r="H402" s="7" t="str" cm="1">
        <f t="array" ref="H40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“avoid unintended bias”; “Non-discriminatory practices are the standard we embrace”</v>
      </c>
    </row>
    <row r="403" spans="1:8" x14ac:dyDescent="0.25">
      <c r="A403" s="5">
        <v>23</v>
      </c>
      <c r="B403" t="s">
        <v>13</v>
      </c>
      <c r="C403" s="6">
        <f>IF(Tabelle18[[#This Row],[binding_level_company]]&gt;=1,1,0)</f>
        <v>1</v>
      </c>
      <c r="D403" s="6">
        <f>IFERROR(_xlfn.MAXIFS([1]!Tabelle5[binding_level],[1]!Tabelle5[company_id],Tabelle18[[#This Row],[company_id]],[1]!Tabelle5[value_id],Tabelle18[[#This Row],[value_id]],[1]!Tabelle5[value_present],1),0)</f>
        <v>1</v>
      </c>
      <c r="E403" s="6">
        <f>IFERROR(_xlfn.MAXIFS([1]!Tabelle5[value_points],[1]!Tabelle5[company_id],Tabelle18[[#This Row],[company_id]],[1]!Tabelle5[value_id],Tabelle18[[#This Row],[value_id]]),0)</f>
        <v>1</v>
      </c>
      <c r="F40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03" t="str" cm="1">
        <f t="array" ref="G40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„AI for privacy and data protection“</v>
      </c>
      <c r="H403" s="7" t="str" cm="1">
        <f t="array" ref="H40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“data can be processed locally in devices”</v>
      </c>
    </row>
    <row r="404" spans="1:8" x14ac:dyDescent="0.25">
      <c r="A404" s="5">
        <v>23</v>
      </c>
      <c r="B404" t="s">
        <v>14</v>
      </c>
      <c r="C404" s="6">
        <f>IF(Tabelle18[[#This Row],[binding_level_company]]&gt;=1,1,0)</f>
        <v>1</v>
      </c>
      <c r="D404" s="6">
        <f>IFERROR(_xlfn.MAXIFS([1]!Tabelle5[binding_level],[1]!Tabelle5[company_id],Tabelle18[[#This Row],[company_id]],[1]!Tabelle5[value_id],Tabelle18[[#This Row],[value_id]],[1]!Tabelle5[value_present],1),0)</f>
        <v>1</v>
      </c>
      <c r="E404" s="6">
        <f>IFERROR(_xlfn.MAXIFS([1]!Tabelle5[value_points],[1]!Tabelle5[company_id],Tabelle18[[#This Row],[company_id]],[1]!Tabelle5[value_id],Tabelle18[[#This Row],[value_id]]),0)</f>
        <v>1</v>
      </c>
      <c r="F40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04" t="str" cm="1">
        <f t="array" ref="G40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„Safety and security“</v>
      </c>
      <c r="H404" s="7" t="str" cm="1">
        <f t="array" ref="H40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“hardware-based security solutions will be crucial”</v>
      </c>
    </row>
    <row r="405" spans="1:8" x14ac:dyDescent="0.25">
      <c r="A405" s="5">
        <v>23</v>
      </c>
      <c r="B405" t="s">
        <v>15</v>
      </c>
      <c r="C405" s="6">
        <f>IF(Tabelle18[[#This Row],[binding_level_company]]&gt;=1,1,0)</f>
        <v>1</v>
      </c>
      <c r="D405" s="6">
        <f>IFERROR(_xlfn.MAXIFS([1]!Tabelle5[binding_level],[1]!Tabelle5[company_id],Tabelle18[[#This Row],[company_id]],[1]!Tabelle5[value_id],Tabelle18[[#This Row],[value_id]],[1]!Tabelle5[value_present],1),0)</f>
        <v>1</v>
      </c>
      <c r="E405" s="6">
        <f>IFERROR(_xlfn.MAXIFS([1]!Tabelle5[value_points],[1]!Tabelle5[company_id],Tabelle18[[#This Row],[company_id]],[1]!Tabelle5[value_id],Tabelle18[[#This Row],[value_id]]),0)</f>
        <v>1</v>
      </c>
      <c r="F40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05" t="str" cm="1">
        <f t="array" ref="G40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„Safety and security“</v>
      </c>
      <c r="H405" s="7" t="str" cm="1">
        <f t="array" ref="H40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“ensure the safety of our customers’ products”</v>
      </c>
    </row>
    <row r="406" spans="1:8" x14ac:dyDescent="0.25">
      <c r="A406" s="5">
        <v>23</v>
      </c>
      <c r="B406" t="s">
        <v>16</v>
      </c>
      <c r="C406" s="6">
        <f>IF(Tabelle18[[#This Row],[binding_level_company]]&gt;=1,1,0)</f>
        <v>0</v>
      </c>
      <c r="D406" s="6">
        <f>IFERROR(_xlfn.MAXIFS([1]!Tabelle5[binding_level],[1]!Tabelle5[company_id],Tabelle18[[#This Row],[company_id]],[1]!Tabelle5[value_id],Tabelle18[[#This Row],[value_id]],[1]!Tabelle5[value_present],1),0)</f>
        <v>0</v>
      </c>
      <c r="E406" s="6">
        <f>IFERROR(_xlfn.MAXIFS([1]!Tabelle5[value_points],[1]!Tabelle5[company_id],Tabelle18[[#This Row],[company_id]],[1]!Tabelle5[value_id],Tabelle18[[#This Row],[value_id]]),0)</f>
        <v>0</v>
      </c>
      <c r="F40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06" t="str" cm="1">
        <f t="array" ref="G40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06" s="7" t="str" cm="1">
        <f t="array" ref="H40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07" spans="1:8" x14ac:dyDescent="0.25">
      <c r="A407" s="5">
        <v>23</v>
      </c>
      <c r="B407" t="s">
        <v>17</v>
      </c>
      <c r="C407" s="6">
        <f>IF(Tabelle18[[#This Row],[binding_level_company]]&gt;=1,1,0)</f>
        <v>0</v>
      </c>
      <c r="D407" s="6">
        <f>IFERROR(_xlfn.MAXIFS([1]!Tabelle5[binding_level],[1]!Tabelle5[company_id],Tabelle18[[#This Row],[company_id]],[1]!Tabelle5[value_id],Tabelle18[[#This Row],[value_id]],[1]!Tabelle5[value_present],1),0)</f>
        <v>0</v>
      </c>
      <c r="E407" s="6">
        <f>IFERROR(_xlfn.MAXIFS([1]!Tabelle5[value_points],[1]!Tabelle5[company_id],Tabelle18[[#This Row],[company_id]],[1]!Tabelle5[value_id],Tabelle18[[#This Row],[value_id]]),0)</f>
        <v>0</v>
      </c>
      <c r="F40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07" t="str" cm="1">
        <f t="array" ref="G40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07" s="7" t="str" cm="1">
        <f t="array" ref="H40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08" spans="1:8" x14ac:dyDescent="0.25">
      <c r="A408" s="5">
        <v>23</v>
      </c>
      <c r="B408" t="s">
        <v>18</v>
      </c>
      <c r="C408" s="6">
        <f>IF(Tabelle18[[#This Row],[binding_level_company]]&gt;=1,1,0)</f>
        <v>0</v>
      </c>
      <c r="D408" s="6">
        <f>IFERROR(_xlfn.MAXIFS([1]!Tabelle5[binding_level],[1]!Tabelle5[company_id],Tabelle18[[#This Row],[company_id]],[1]!Tabelle5[value_id],Tabelle18[[#This Row],[value_id]],[1]!Tabelle5[value_present],1),0)</f>
        <v>0</v>
      </c>
      <c r="E408" s="6">
        <f>IFERROR(_xlfn.MAXIFS([1]!Tabelle5[value_points],[1]!Tabelle5[company_id],Tabelle18[[#This Row],[company_id]],[1]!Tabelle5[value_id],Tabelle18[[#This Row],[value_id]]),0)</f>
        <v>0</v>
      </c>
      <c r="F40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08" t="str" cm="1">
        <f t="array" ref="G40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08" s="7" t="str" cm="1">
        <f t="array" ref="H40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09" spans="1:8" x14ac:dyDescent="0.25">
      <c r="A409" s="5">
        <v>23</v>
      </c>
      <c r="B409" t="s">
        <v>19</v>
      </c>
      <c r="C409" s="6">
        <f>IF(Tabelle18[[#This Row],[binding_level_company]]&gt;=1,1,0)</f>
        <v>1</v>
      </c>
      <c r="D409" s="6">
        <f>IFERROR(_xlfn.MAXIFS([1]!Tabelle5[binding_level],[1]!Tabelle5[company_id],Tabelle18[[#This Row],[company_id]],[1]!Tabelle5[value_id],Tabelle18[[#This Row],[value_id]],[1]!Tabelle5[value_present],1),0)</f>
        <v>2</v>
      </c>
      <c r="E409" s="6">
        <f>IFERROR(_xlfn.MAXIFS([1]!Tabelle5[value_points],[1]!Tabelle5[company_id],Tabelle18[[#This Row],[company_id]],[1]!Tabelle5[value_id],Tabelle18[[#This Row],[value_id]]),0)</f>
        <v>2</v>
      </c>
      <c r="F40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09" t="str" cm="1">
        <f t="array" ref="G40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„Sustainability“</v>
      </c>
      <c r="H409" s="7" t="str" cm="1">
        <f t="array" ref="H40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“The use of AI must also be measured against this”</v>
      </c>
    </row>
    <row r="410" spans="1:8" x14ac:dyDescent="0.25">
      <c r="A410" s="5">
        <v>23</v>
      </c>
      <c r="B410" t="s">
        <v>20</v>
      </c>
      <c r="C410" s="6">
        <f>IF(Tabelle18[[#This Row],[binding_level_company]]&gt;=1,1,0)</f>
        <v>1</v>
      </c>
      <c r="D410" s="6">
        <f>IFERROR(_xlfn.MAXIFS([1]!Tabelle5[binding_level],[1]!Tabelle5[company_id],Tabelle18[[#This Row],[company_id]],[1]!Tabelle5[value_id],Tabelle18[[#This Row],[value_id]],[1]!Tabelle5[value_present],1),0)</f>
        <v>1</v>
      </c>
      <c r="E410" s="6">
        <f>IFERROR(_xlfn.MAXIFS([1]!Tabelle5[value_points],[1]!Tabelle5[company_id],Tabelle18[[#This Row],[company_id]],[1]!Tabelle5[value_id],Tabelle18[[#This Row],[value_id]]),0)</f>
        <v>1</v>
      </c>
      <c r="F41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10" t="str" cm="1">
        <f t="array" ref="G4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„Responsible AI – what we aim at“; S. 3, „Human-centric AI“</v>
      </c>
      <c r="H410" s="7" t="str" cm="1">
        <f t="array" ref="H4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“make our lives easier, safer and greener”; “preserve people’s autonomy”</v>
      </c>
    </row>
    <row r="411" spans="1:8" x14ac:dyDescent="0.25">
      <c r="A411" s="5">
        <v>23</v>
      </c>
      <c r="B411" t="s">
        <v>21</v>
      </c>
      <c r="C411" s="6">
        <f>IF(Tabelle18[[#This Row],[binding_level_company]]&gt;=1,1,0)</f>
        <v>1</v>
      </c>
      <c r="D411" s="6">
        <f>IFERROR(_xlfn.MAXIFS([1]!Tabelle5[binding_level],[1]!Tabelle5[company_id],Tabelle18[[#This Row],[company_id]],[1]!Tabelle5[value_id],Tabelle18[[#This Row],[value_id]],[1]!Tabelle5[value_present],1),0)</f>
        <v>1</v>
      </c>
      <c r="E411" s="6">
        <f>IFERROR(_xlfn.MAXIFS([1]!Tabelle5[value_points],[1]!Tabelle5[company_id],Tabelle18[[#This Row],[company_id]],[1]!Tabelle5[value_id],Tabelle18[[#This Row],[value_id]]),0)</f>
        <v>1</v>
      </c>
      <c r="F41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11" t="str" cm="1">
        <f t="array" ref="G4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„Inclusion“</v>
      </c>
      <c r="H411" s="7" t="str" cm="1">
        <f t="array" ref="H4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“committed to the rule of law, respects human rights”</v>
      </c>
    </row>
    <row r="412" spans="1:8" x14ac:dyDescent="0.25">
      <c r="A412" s="5">
        <v>23</v>
      </c>
      <c r="B412" t="s">
        <v>22</v>
      </c>
      <c r="C412" s="6">
        <f>IF(Tabelle18[[#This Row],[binding_level_company]]&gt;=1,1,0)</f>
        <v>1</v>
      </c>
      <c r="D412" s="6">
        <f>IFERROR(_xlfn.MAXIFS([1]!Tabelle5[binding_level],[1]!Tabelle5[company_id],Tabelle18[[#This Row],[company_id]],[1]!Tabelle5[value_id],Tabelle18[[#This Row],[value_id]],[1]!Tabelle5[value_present],1),0)</f>
        <v>3</v>
      </c>
      <c r="E412" s="6">
        <f>IFERROR(_xlfn.MAXIFS([1]!Tabelle5[value_points],[1]!Tabelle5[company_id],Tabelle18[[#This Row],[company_id]],[1]!Tabelle5[value_id],Tabelle18[[#This Row],[value_id]]),0)</f>
        <v>3</v>
      </c>
      <c r="F41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12" t="str" cm="1">
        <f t="array" ref="G4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4, „Responsible AI by design“</v>
      </c>
      <c r="H412" s="7" t="str" cm="1">
        <f t="array" ref="H4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implement the boundaries for responsible AI in our operations”; “embedded processes which help to identify risks throughout the AI project life cycle”</v>
      </c>
    </row>
    <row r="413" spans="1:8" x14ac:dyDescent="0.25">
      <c r="A413" s="5">
        <v>23</v>
      </c>
      <c r="B413" t="s">
        <v>23</v>
      </c>
      <c r="C413" s="6">
        <f>IF(Tabelle18[[#This Row],[binding_level_company]]&gt;=1,1,0)</f>
        <v>0</v>
      </c>
      <c r="D413" s="6">
        <f>IFERROR(_xlfn.MAXIFS([1]!Tabelle5[binding_level],[1]!Tabelle5[company_id],Tabelle18[[#This Row],[company_id]],[1]!Tabelle5[value_id],Tabelle18[[#This Row],[value_id]],[1]!Tabelle5[value_present],1),0)</f>
        <v>0</v>
      </c>
      <c r="E413" s="6">
        <f>IFERROR(_xlfn.MAXIFS([1]!Tabelle5[value_points],[1]!Tabelle5[company_id],Tabelle18[[#This Row],[company_id]],[1]!Tabelle5[value_id],Tabelle18[[#This Row],[value_id]]),0)</f>
        <v>0</v>
      </c>
      <c r="F41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13" t="str" cm="1">
        <f t="array" ref="G4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13" s="7" t="str" cm="1">
        <f t="array" ref="H4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14" spans="1:8" x14ac:dyDescent="0.25">
      <c r="A414" s="5">
        <v>23</v>
      </c>
      <c r="B414" t="s">
        <v>24</v>
      </c>
      <c r="C414" s="6">
        <f>IF(Tabelle18[[#This Row],[binding_level_company]]&gt;=1,1,0)</f>
        <v>0</v>
      </c>
      <c r="D414" s="6">
        <f>IFERROR(_xlfn.MAXIFS([1]!Tabelle5[binding_level],[1]!Tabelle5[company_id],Tabelle18[[#This Row],[company_id]],[1]!Tabelle5[value_id],Tabelle18[[#This Row],[value_id]],[1]!Tabelle5[value_present],1),0)</f>
        <v>0</v>
      </c>
      <c r="E414" s="6">
        <f>IFERROR(_xlfn.MAXIFS([1]!Tabelle5[value_points],[1]!Tabelle5[company_id],Tabelle18[[#This Row],[company_id]],[1]!Tabelle5[value_id],Tabelle18[[#This Row],[value_id]]),0)</f>
        <v>0</v>
      </c>
      <c r="F41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14" t="str" cm="1">
        <f t="array" ref="G4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14" s="7" t="str" cm="1">
        <f t="array" ref="H4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15" spans="1:8" ht="15.75" thickBot="1" x14ac:dyDescent="0.3">
      <c r="A415" s="8">
        <v>23</v>
      </c>
      <c r="B415" s="9" t="s">
        <v>25</v>
      </c>
      <c r="C415" s="10">
        <f>IF(Tabelle18[[#This Row],[binding_level_company]]&gt;=1,1,0)</f>
        <v>1</v>
      </c>
      <c r="D415" s="10">
        <f>IFERROR(_xlfn.MAXIFS([1]!Tabelle5[binding_level],[1]!Tabelle5[company_id],Tabelle18[[#This Row],[company_id]],[1]!Tabelle5[value_id],Tabelle18[[#This Row],[value_id]],[1]!Tabelle5[value_present],1),0)</f>
        <v>1</v>
      </c>
      <c r="E415" s="10">
        <f>IFERROR(_xlfn.MAXIFS([1]!Tabelle5[value_points],[1]!Tabelle5[company_id],Tabelle18[[#This Row],[company_id]],[1]!Tabelle5[value_id],Tabelle18[[#This Row],[value_id]]),0)</f>
        <v>1</v>
      </c>
      <c r="F415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142</v>
      </c>
      <c r="G415" s="9" t="str" cm="1">
        <f t="array" ref="G4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„Inclusion“</v>
      </c>
      <c r="H415" s="11" t="str" cm="1">
        <f t="array" ref="H4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“committed to the rule of law, respects human rights”</v>
      </c>
    </row>
    <row r="416" spans="1:8" x14ac:dyDescent="0.25">
      <c r="A416" s="1">
        <v>24</v>
      </c>
      <c r="B416" s="2" t="s">
        <v>8</v>
      </c>
      <c r="C416" s="3">
        <f>IF(Tabelle18[[#This Row],[binding_level_company]]&gt;=1,1,0)</f>
        <v>1</v>
      </c>
      <c r="D416" s="3">
        <f>IFERROR(_xlfn.MAXIFS([1]!Tabelle5[binding_level],[1]!Tabelle5[company_id],Tabelle18[[#This Row],[company_id]],[1]!Tabelle5[value_id],Tabelle18[[#This Row],[value_id]],[1]!Tabelle5[value_present],1),0)</f>
        <v>1</v>
      </c>
      <c r="E416" s="3">
        <f>IFERROR(_xlfn.MAXIFS([1]!Tabelle5[value_points],[1]!Tabelle5[company_id],Tabelle18[[#This Row],[company_id]],[1]!Tabelle5[value_id],Tabelle18[[#This Row],[value_id]]),0)</f>
        <v>1</v>
      </c>
      <c r="F416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16" s="2" t="str" cm="1">
        <f t="array" ref="G4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„1st principle: responsible use“</v>
      </c>
      <c r="H416" s="4" t="str" cm="1">
        <f t="array" ref="H4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“Humans remain in control”</v>
      </c>
    </row>
    <row r="417" spans="1:8" x14ac:dyDescent="0.25">
      <c r="A417" s="5">
        <v>24</v>
      </c>
      <c r="B417" t="s">
        <v>9</v>
      </c>
      <c r="C417" s="6">
        <f>IF(Tabelle18[[#This Row],[binding_level_company]]&gt;=1,1,0)</f>
        <v>0</v>
      </c>
      <c r="D417" s="6">
        <f>IFERROR(_xlfn.MAXIFS([1]!Tabelle5[binding_level],[1]!Tabelle5[company_id],Tabelle18[[#This Row],[company_id]],[1]!Tabelle5[value_id],Tabelle18[[#This Row],[value_id]],[1]!Tabelle5[value_present],1),0)</f>
        <v>0</v>
      </c>
      <c r="E417" s="6">
        <f>IFERROR(_xlfn.MAXIFS([1]!Tabelle5[value_points],[1]!Tabelle5[company_id],Tabelle18[[#This Row],[company_id]],[1]!Tabelle5[value_id],Tabelle18[[#This Row],[value_id]]),0)</f>
        <v>0</v>
      </c>
      <c r="F41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17" t="str" cm="1">
        <f t="array" ref="G4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17" s="7" t="str" cm="1">
        <f t="array" ref="H4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18" spans="1:8" x14ac:dyDescent="0.25">
      <c r="A418" s="5">
        <v>24</v>
      </c>
      <c r="B418" t="s">
        <v>10</v>
      </c>
      <c r="C418" s="6">
        <f>IF(Tabelle18[[#This Row],[binding_level_company]]&gt;=1,1,0)</f>
        <v>1</v>
      </c>
      <c r="D418" s="6">
        <f>IFERROR(_xlfn.MAXIFS([1]!Tabelle5[binding_level],[1]!Tabelle5[company_id],Tabelle18[[#This Row],[company_id]],[1]!Tabelle5[value_id],Tabelle18[[#This Row],[value_id]],[1]!Tabelle5[value_present],1),0)</f>
        <v>1</v>
      </c>
      <c r="E418" s="6">
        <f>IFERROR(_xlfn.MAXIFS([1]!Tabelle5[value_points],[1]!Tabelle5[company_id],Tabelle18[[#This Row],[company_id]],[1]!Tabelle5[value_id],Tabelle18[[#This Row],[value_id]]),0)</f>
        <v>1</v>
      </c>
      <c r="F41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18" t="str" cm="1">
        <f t="array" ref="G4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„2nd principle: explainability“ / „1st principle: responsible use“</v>
      </c>
      <c r="H418" s="7" t="str" cm="1">
        <f t="array" ref="H4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 high level of transparency”; “preceded by a transparent evaluation process”</v>
      </c>
    </row>
    <row r="419" spans="1:8" x14ac:dyDescent="0.25">
      <c r="A419" s="5">
        <v>24</v>
      </c>
      <c r="B419" t="s">
        <v>11</v>
      </c>
      <c r="C419" s="6">
        <f>IF(Tabelle18[[#This Row],[binding_level_company]]&gt;=1,1,0)</f>
        <v>1</v>
      </c>
      <c r="D419" s="6">
        <f>IFERROR(_xlfn.MAXIFS([1]!Tabelle5[binding_level],[1]!Tabelle5[company_id],Tabelle18[[#This Row],[company_id]],[1]!Tabelle5[value_id],Tabelle18[[#This Row],[value_id]],[1]!Tabelle5[value_present],1),0)</f>
        <v>1</v>
      </c>
      <c r="E419" s="6">
        <f>IFERROR(_xlfn.MAXIFS([1]!Tabelle5[value_points],[1]!Tabelle5[company_id],Tabelle18[[#This Row],[company_id]],[1]!Tabelle5[value_id],Tabelle18[[#This Row],[value_id]]),0)</f>
        <v>1</v>
      </c>
      <c r="F41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19" t="str" cm="1">
        <f t="array" ref="G4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„2nd principle: explainability“</v>
      </c>
      <c r="H419" s="7" t="str" cm="1">
        <f t="array" ref="H4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support explainable Artificial Intelligence”</v>
      </c>
    </row>
    <row r="420" spans="1:8" x14ac:dyDescent="0.25">
      <c r="A420" s="5">
        <v>24</v>
      </c>
      <c r="B420" t="s">
        <v>12</v>
      </c>
      <c r="C420" s="6">
        <f>IF(Tabelle18[[#This Row],[binding_level_company]]&gt;=1,1,0)</f>
        <v>1</v>
      </c>
      <c r="D420" s="6">
        <f>IFERROR(_xlfn.MAXIFS([1]!Tabelle5[binding_level],[1]!Tabelle5[company_id],Tabelle18[[#This Row],[company_id]],[1]!Tabelle5[value_id],Tabelle18[[#This Row],[value_id]],[1]!Tabelle5[value_present],1),0)</f>
        <v>1</v>
      </c>
      <c r="E420" s="6">
        <f>IFERROR(_xlfn.MAXIFS([1]!Tabelle5[value_points],[1]!Tabelle5[company_id],Tabelle18[[#This Row],[company_id]],[1]!Tabelle5[value_id],Tabelle18[[#This Row],[value_id]]),0)</f>
        <v>1</v>
      </c>
      <c r="F42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20" t="str" cm="1">
        <f t="array" ref="G4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„2nd principle: explainability“ / „1st principle: responsible use“</v>
      </c>
      <c r="H420" s="7" t="str" cm="1">
        <f t="array" ref="H4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“explain any possible unintended bias – and eliminate it”; “data set representative and of high enough quality”</v>
      </c>
    </row>
    <row r="421" spans="1:8" x14ac:dyDescent="0.25">
      <c r="A421" s="5">
        <v>24</v>
      </c>
      <c r="B421" t="s">
        <v>13</v>
      </c>
      <c r="C421" s="6">
        <f>IF(Tabelle18[[#This Row],[binding_level_company]]&gt;=1,1,0)</f>
        <v>1</v>
      </c>
      <c r="D421" s="6">
        <f>IFERROR(_xlfn.MAXIFS([1]!Tabelle5[binding_level],[1]!Tabelle5[company_id],Tabelle18[[#This Row],[company_id]],[1]!Tabelle5[value_id],Tabelle18[[#This Row],[value_id]],[1]!Tabelle5[value_present],1),0)</f>
        <v>3</v>
      </c>
      <c r="E421" s="6">
        <f>IFERROR(_xlfn.MAXIFS([1]!Tabelle5[value_points],[1]!Tabelle5[company_id],Tabelle18[[#This Row],[company_id]],[1]!Tabelle5[value_id],Tabelle18[[#This Row],[value_id]]),0)</f>
        <v>3</v>
      </c>
      <c r="F42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21" t="str" cm="1">
        <f t="array" ref="G4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„3rd principle: protection of privacy“</v>
      </c>
      <c r="H421" s="7" t="str" cm="1">
        <f t="array" ref="H4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“privacy protection from the design phase onwards”; “we use artificial or anonymized data sets”</v>
      </c>
    </row>
    <row r="422" spans="1:8" x14ac:dyDescent="0.25">
      <c r="A422" s="5">
        <v>24</v>
      </c>
      <c r="B422" t="s">
        <v>14</v>
      </c>
      <c r="C422" s="6">
        <f>IF(Tabelle18[[#This Row],[binding_level_company]]&gt;=1,1,0)</f>
        <v>1</v>
      </c>
      <c r="D422" s="6">
        <f>IFERROR(_xlfn.MAXIFS([1]!Tabelle5[binding_level],[1]!Tabelle5[company_id],Tabelle18[[#This Row],[company_id]],[1]!Tabelle5[value_id],Tabelle18[[#This Row],[value_id]],[1]!Tabelle5[value_present],1),0)</f>
        <v>1</v>
      </c>
      <c r="E422" s="6">
        <f>IFERROR(_xlfn.MAXIFS([1]!Tabelle5[value_points],[1]!Tabelle5[company_id],Tabelle18[[#This Row],[company_id]],[1]!Tabelle5[value_id],Tabelle18[[#This Row],[value_id]]),0)</f>
        <v>1</v>
      </c>
      <c r="F42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149</v>
      </c>
      <c r="G422" t="str" cm="1">
        <f t="array" ref="G42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52, „04.5.2 Artificial Intelligence“</v>
      </c>
      <c r="H422" s="7" t="str" cm="1">
        <f t="array" ref="H42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“Security”</v>
      </c>
    </row>
    <row r="423" spans="1:8" x14ac:dyDescent="0.25">
      <c r="A423" s="5">
        <v>24</v>
      </c>
      <c r="B423" t="s">
        <v>15</v>
      </c>
      <c r="C423" s="6">
        <f>IF(Tabelle18[[#This Row],[binding_level_company]]&gt;=1,1,0)</f>
        <v>1</v>
      </c>
      <c r="D423" s="6">
        <f>IFERROR(_xlfn.MAXIFS([1]!Tabelle5[binding_level],[1]!Tabelle5[company_id],Tabelle18[[#This Row],[company_id]],[1]!Tabelle5[value_id],Tabelle18[[#This Row],[value_id]],[1]!Tabelle5[value_present],1),0)</f>
        <v>3</v>
      </c>
      <c r="E423" s="6">
        <f>IFERROR(_xlfn.MAXIFS([1]!Tabelle5[value_points],[1]!Tabelle5[company_id],Tabelle18[[#This Row],[company_id]],[1]!Tabelle5[value_id],Tabelle18[[#This Row],[value_id]]),0)</f>
        <v>3</v>
      </c>
      <c r="F42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23" t="str" cm="1">
        <f t="array" ref="G42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„4th principle: safety and reliability“</v>
      </c>
      <c r="H423" s="7" t="str" cm="1">
        <f t="array" ref="H42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“develop safe and reliable Artificial Intelligence”</v>
      </c>
    </row>
    <row r="424" spans="1:8" x14ac:dyDescent="0.25">
      <c r="A424" s="5">
        <v>24</v>
      </c>
      <c r="B424" t="s">
        <v>16</v>
      </c>
      <c r="C424" s="6">
        <f>IF(Tabelle18[[#This Row],[binding_level_company]]&gt;=1,1,0)</f>
        <v>1</v>
      </c>
      <c r="D424" s="6">
        <f>IFERROR(_xlfn.MAXIFS([1]!Tabelle5[binding_level],[1]!Tabelle5[company_id],Tabelle18[[#This Row],[company_id]],[1]!Tabelle5[value_id],Tabelle18[[#This Row],[value_id]],[1]!Tabelle5[value_present],1),0)</f>
        <v>3</v>
      </c>
      <c r="E424" s="6">
        <f>IFERROR(_xlfn.MAXIFS([1]!Tabelle5[value_points],[1]!Tabelle5[company_id],Tabelle18[[#This Row],[company_id]],[1]!Tabelle5[value_id],Tabelle18[[#This Row],[value_id]]),0)</f>
        <v>3</v>
      </c>
      <c r="F42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24" t="str" cm="1">
        <f t="array" ref="G42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3, „4th principle: safety and reliability“</v>
      </c>
      <c r="H424" s="7" t="str" cm="1">
        <f t="array" ref="H42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develop and test our AI technologies”; “scientifically validated and accepted algorithms”; “reliable AI is safety-relevant”</v>
      </c>
    </row>
    <row r="425" spans="1:8" x14ac:dyDescent="0.25">
      <c r="A425" s="5">
        <v>24</v>
      </c>
      <c r="B425" t="s">
        <v>17</v>
      </c>
      <c r="C425" s="6">
        <f>IF(Tabelle18[[#This Row],[binding_level_company]]&gt;=1,1,0)</f>
        <v>0</v>
      </c>
      <c r="D425" s="6">
        <f>IFERROR(_xlfn.MAXIFS([1]!Tabelle5[binding_level],[1]!Tabelle5[company_id],Tabelle18[[#This Row],[company_id]],[1]!Tabelle5[value_id],Tabelle18[[#This Row],[value_id]],[1]!Tabelle5[value_present],1),0)</f>
        <v>0</v>
      </c>
      <c r="E425" s="6">
        <f>IFERROR(_xlfn.MAXIFS([1]!Tabelle5[value_points],[1]!Tabelle5[company_id],Tabelle18[[#This Row],[company_id]],[1]!Tabelle5[value_id],Tabelle18[[#This Row],[value_id]]),0)</f>
        <v>0</v>
      </c>
      <c r="F42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25" t="str" cm="1">
        <f t="array" ref="G42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25" s="7" t="str" cm="1">
        <f t="array" ref="H42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26" spans="1:8" x14ac:dyDescent="0.25">
      <c r="A426" s="5">
        <v>24</v>
      </c>
      <c r="B426" t="s">
        <v>18</v>
      </c>
      <c r="C426" s="6">
        <f>IF(Tabelle18[[#This Row],[binding_level_company]]&gt;=1,1,0)</f>
        <v>0</v>
      </c>
      <c r="D426" s="6">
        <f>IFERROR(_xlfn.MAXIFS([1]!Tabelle5[binding_level],[1]!Tabelle5[company_id],Tabelle18[[#This Row],[company_id]],[1]!Tabelle5[value_id],Tabelle18[[#This Row],[value_id]],[1]!Tabelle5[value_present],1),0)</f>
        <v>0</v>
      </c>
      <c r="E426" s="6">
        <f>IFERROR(_xlfn.MAXIFS([1]!Tabelle5[value_points],[1]!Tabelle5[company_id],Tabelle18[[#This Row],[company_id]],[1]!Tabelle5[value_id],Tabelle18[[#This Row],[value_id]]),0)</f>
        <v>0</v>
      </c>
      <c r="F42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26" t="str" cm="1">
        <f t="array" ref="G42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26" s="7" t="str" cm="1">
        <f t="array" ref="H42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27" spans="1:8" x14ac:dyDescent="0.25">
      <c r="A427" s="5">
        <v>24</v>
      </c>
      <c r="B427" t="s">
        <v>19</v>
      </c>
      <c r="C427" s="6">
        <f>IF(Tabelle18[[#This Row],[binding_level_company]]&gt;=1,1,0)</f>
        <v>0</v>
      </c>
      <c r="D427" s="6">
        <f>IFERROR(_xlfn.MAXIFS([1]!Tabelle5[binding_level],[1]!Tabelle5[company_id],Tabelle18[[#This Row],[company_id]],[1]!Tabelle5[value_id],Tabelle18[[#This Row],[value_id]],[1]!Tabelle5[value_present],1),0)</f>
        <v>0</v>
      </c>
      <c r="E427" s="6">
        <f>IFERROR(_xlfn.MAXIFS([1]!Tabelle5[value_points],[1]!Tabelle5[company_id],Tabelle18[[#This Row],[company_id]],[1]!Tabelle5[value_id],Tabelle18[[#This Row],[value_id]]),0)</f>
        <v>0</v>
      </c>
      <c r="F42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27" t="str" cm="1">
        <f t="array" ref="G42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27" s="7" t="str" cm="1">
        <f t="array" ref="H42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28" spans="1:8" x14ac:dyDescent="0.25">
      <c r="A428" s="5">
        <v>24</v>
      </c>
      <c r="B428" t="s">
        <v>20</v>
      </c>
      <c r="C428" s="6">
        <f>IF(Tabelle18[[#This Row],[binding_level_company]]&gt;=1,1,0)</f>
        <v>1</v>
      </c>
      <c r="D428" s="6">
        <f>IFERROR(_xlfn.MAXIFS([1]!Tabelle5[binding_level],[1]!Tabelle5[company_id],Tabelle18[[#This Row],[company_id]],[1]!Tabelle5[value_id],Tabelle18[[#This Row],[value_id]],[1]!Tabelle5[value_present],1),0)</f>
        <v>1</v>
      </c>
      <c r="E428" s="6">
        <f>IFERROR(_xlfn.MAXIFS([1]!Tabelle5[value_points],[1]!Tabelle5[company_id],Tabelle18[[#This Row],[company_id]],[1]!Tabelle5[value_id],Tabelle18[[#This Row],[value_id]]),0)</f>
        <v>1</v>
      </c>
      <c r="F42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28" t="str" cm="1">
        <f t="array" ref="G42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„1st principle: responsible use“</v>
      </c>
      <c r="H428" s="7" t="str" cm="1">
        <f t="array" ref="H42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“it should deliver genuine added value”</v>
      </c>
    </row>
    <row r="429" spans="1:8" x14ac:dyDescent="0.25">
      <c r="A429" s="5">
        <v>24</v>
      </c>
      <c r="B429" t="s">
        <v>21</v>
      </c>
      <c r="C429" s="6">
        <f>IF(Tabelle18[[#This Row],[binding_level_company]]&gt;=1,1,0)</f>
        <v>1</v>
      </c>
      <c r="D429" s="6">
        <f>IFERROR(_xlfn.MAXIFS([1]!Tabelle5[binding_level],[1]!Tabelle5[company_id],Tabelle18[[#This Row],[company_id]],[1]!Tabelle5[value_id],Tabelle18[[#This Row],[value_id]],[1]!Tabelle5[value_present],1),0)</f>
        <v>2</v>
      </c>
      <c r="E429" s="6">
        <f>IFERROR(_xlfn.MAXIFS([1]!Tabelle5[value_points],[1]!Tabelle5[company_id],Tabelle18[[#This Row],[company_id]],[1]!Tabelle5[value_id],Tabelle18[[#This Row],[value_id]]),0)</f>
        <v>2</v>
      </c>
      <c r="F42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29" t="str" cm="1">
        <f t="array" ref="G42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1, Schlussabsatz; S. 3, „3rd principle: protection of privacy“</v>
      </c>
      <c r="H429" s="7" t="str" cm="1">
        <f t="array" ref="H42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“ensure compliance with legal requirements and ethical standards”; “Legal requirements are always mandatory”</v>
      </c>
    </row>
    <row r="430" spans="1:8" x14ac:dyDescent="0.25">
      <c r="A430" s="5">
        <v>24</v>
      </c>
      <c r="B430" t="s">
        <v>22</v>
      </c>
      <c r="C430" s="6">
        <f>IF(Tabelle18[[#This Row],[binding_level_company]]&gt;=1,1,0)</f>
        <v>1</v>
      </c>
      <c r="D430" s="6">
        <f>IFERROR(_xlfn.MAXIFS([1]!Tabelle5[binding_level],[1]!Tabelle5[company_id],Tabelle18[[#This Row],[company_id]],[1]!Tabelle5[value_id],Tabelle18[[#This Row],[value_id]],[1]!Tabelle5[value_present],1),0)</f>
        <v>1</v>
      </c>
      <c r="E430" s="6">
        <f>IFERROR(_xlfn.MAXIFS([1]!Tabelle5[value_points],[1]!Tabelle5[company_id],Tabelle18[[#This Row],[company_id]],[1]!Tabelle5[value_id],Tabelle18[[#This Row],[value_id]]),0)</f>
        <v>1</v>
      </c>
      <c r="F43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149</v>
      </c>
      <c r="G430" t="str" cm="1">
        <f t="array" ref="G43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52, „04.5.2 Artificial Intelligence“</v>
      </c>
      <c r="H430" s="7" t="str" cm="1">
        <f t="array" ref="H43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“What matters is how we responsibly manage AI use.”; “responsible development and use of Artificial Intelligence”</v>
      </c>
    </row>
    <row r="431" spans="1:8" x14ac:dyDescent="0.25">
      <c r="A431" s="5">
        <v>24</v>
      </c>
      <c r="B431" t="s">
        <v>23</v>
      </c>
      <c r="C431" s="6">
        <f>IF(Tabelle18[[#This Row],[binding_level_company]]&gt;=1,1,0)</f>
        <v>1</v>
      </c>
      <c r="D431" s="6">
        <f>IFERROR(_xlfn.MAXIFS([1]!Tabelle5[binding_level],[1]!Tabelle5[company_id],Tabelle18[[#This Row],[company_id]],[1]!Tabelle5[value_id],Tabelle18[[#This Row],[value_id]],[1]!Tabelle5[value_present],1),0)</f>
        <v>3</v>
      </c>
      <c r="E431" s="6">
        <f>IFERROR(_xlfn.MAXIFS([1]!Tabelle5[value_points],[1]!Tabelle5[company_id],Tabelle18[[#This Row],[company_id]],[1]!Tabelle5[value_id],Tabelle18[[#This Row],[value_id]]),0)</f>
        <v>3</v>
      </c>
      <c r="F43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148</v>
      </c>
      <c r="G431" t="str" cm="1">
        <f t="array" ref="G43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2, „1st principle: responsible use“</v>
      </c>
      <c r="H431" s="7" t="str" cm="1">
        <f t="array" ref="H43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“data set representative and of high enough quality”; “preceded by a transparent evaluation process”</v>
      </c>
    </row>
    <row r="432" spans="1:8" x14ac:dyDescent="0.25">
      <c r="A432" s="5">
        <v>24</v>
      </c>
      <c r="B432" t="s">
        <v>24</v>
      </c>
      <c r="C432" s="6">
        <f>IF(Tabelle18[[#This Row],[binding_level_company]]&gt;=1,1,0)</f>
        <v>0</v>
      </c>
      <c r="D432" s="6">
        <f>IFERROR(_xlfn.MAXIFS([1]!Tabelle5[binding_level],[1]!Tabelle5[company_id],Tabelle18[[#This Row],[company_id]],[1]!Tabelle5[value_id],Tabelle18[[#This Row],[value_id]],[1]!Tabelle5[value_present],1),0)</f>
        <v>0</v>
      </c>
      <c r="E432" s="6">
        <f>IFERROR(_xlfn.MAXIFS([1]!Tabelle5[value_points],[1]!Tabelle5[company_id],Tabelle18[[#This Row],[company_id]],[1]!Tabelle5[value_id],Tabelle18[[#This Row],[value_id]]),0)</f>
        <v>0</v>
      </c>
      <c r="F43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32" t="str" cm="1">
        <f t="array" ref="G43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32" s="7" t="str" cm="1">
        <f t="array" ref="H43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33" spans="1:8" ht="15.75" thickBot="1" x14ac:dyDescent="0.3">
      <c r="A433" s="8">
        <v>24</v>
      </c>
      <c r="B433" s="9" t="s">
        <v>25</v>
      </c>
      <c r="C433" s="10">
        <f>IF(Tabelle18[[#This Row],[binding_level_company]]&gt;=1,1,0)</f>
        <v>0</v>
      </c>
      <c r="D433" s="10">
        <f>IFERROR(_xlfn.MAXIFS([1]!Tabelle5[binding_level],[1]!Tabelle5[company_id],Tabelle18[[#This Row],[company_id]],[1]!Tabelle5[value_id],Tabelle18[[#This Row],[value_id]],[1]!Tabelle5[value_present],1),0)</f>
        <v>0</v>
      </c>
      <c r="E433" s="10">
        <f>IFERROR(_xlfn.MAXIFS([1]!Tabelle5[value_points],[1]!Tabelle5[company_id],Tabelle18[[#This Row],[company_id]],[1]!Tabelle5[value_id],Tabelle18[[#This Row],[value_id]]),0)</f>
        <v>0</v>
      </c>
      <c r="F433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33" s="9" t="str" cm="1">
        <f t="array" ref="G43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33" s="11" t="str" cm="1">
        <f t="array" ref="H43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34" spans="1:8" x14ac:dyDescent="0.25">
      <c r="A434" s="1">
        <v>25</v>
      </c>
      <c r="B434" s="2" t="s">
        <v>8</v>
      </c>
      <c r="C434" s="3">
        <f>IF(Tabelle18[[#This Row],[binding_level_company]]&gt;=1,1,0)</f>
        <v>1</v>
      </c>
      <c r="D434" s="3">
        <f>IFERROR(_xlfn.MAXIFS([1]!Tabelle5[binding_level],[1]!Tabelle5[company_id],Tabelle18[[#This Row],[company_id]],[1]!Tabelle5[value_id],Tabelle18[[#This Row],[value_id]],[1]!Tabelle5[value_present],1),0)</f>
        <v>3</v>
      </c>
      <c r="E434" s="3">
        <f>IFERROR(_xlfn.MAXIFS([1]!Tabelle5[value_points],[1]!Tabelle5[company_id],Tabelle18[[#This Row],[company_id]],[1]!Tabelle5[value_id],Tabelle18[[#This Row],[value_id]]),0)</f>
        <v>3</v>
      </c>
      <c r="F434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34" s="2" t="str" cm="1">
        <f t="array" ref="G43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5/S. 8 „Autonomy“; S. 10/S. 20 „Controllability“</v>
      </c>
      <c r="H434" s="4" t="str" cm="1">
        <f t="array" ref="H43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respect the autonomy of every single human”; “human intervention is always possible"</v>
      </c>
    </row>
    <row r="435" spans="1:8" x14ac:dyDescent="0.25">
      <c r="A435" s="5">
        <v>25</v>
      </c>
      <c r="B435" t="s">
        <v>9</v>
      </c>
      <c r="C435" s="6">
        <f>IF(Tabelle18[[#This Row],[binding_level_company]]&gt;=1,1,0)</f>
        <v>1</v>
      </c>
      <c r="D435" s="6">
        <f>IFERROR(_xlfn.MAXIFS([1]!Tabelle5[binding_level],[1]!Tabelle5[company_id],Tabelle18[[#This Row],[company_id]],[1]!Tabelle5[value_id],Tabelle18[[#This Row],[value_id]],[1]!Tabelle5[value_present],1),0)</f>
        <v>3</v>
      </c>
      <c r="E435" s="6">
        <f>IFERROR(_xlfn.MAXIFS([1]!Tabelle5[value_points],[1]!Tabelle5[company_id],Tabelle18[[#This Row],[company_id]],[1]!Tabelle5[value_id],Tabelle18[[#This Row],[value_id]]),0)</f>
        <v>3</v>
      </c>
      <c r="F43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35" t="str" cm="1">
        <f t="array" ref="G43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9/S. 18 „Responsibility“; S. 10 „Accountability“</v>
      </c>
      <c r="H435" s="7" t="str" cm="1">
        <f t="array" ref="H43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“Responsibility can neither be delegated to the algorithmic system”; “We assign clear responsibilities for our digital offerings.”;“We assign clear responsibilities for our digital offerings.”</v>
      </c>
    </row>
    <row r="436" spans="1:8" x14ac:dyDescent="0.25">
      <c r="A436" s="5">
        <v>25</v>
      </c>
      <c r="B436" t="s">
        <v>10</v>
      </c>
      <c r="C436" s="6">
        <f>IF(Tabelle18[[#This Row],[binding_level_company]]&gt;=1,1,0)</f>
        <v>1</v>
      </c>
      <c r="D436" s="6">
        <f>IFERROR(_xlfn.MAXIFS([1]!Tabelle5[binding_level],[1]!Tabelle5[company_id],Tabelle18[[#This Row],[company_id]],[1]!Tabelle5[value_id],Tabelle18[[#This Row],[value_id]],[1]!Tabelle5[value_present],1),0)</f>
        <v>3</v>
      </c>
      <c r="E436" s="6">
        <f>IFERROR(_xlfn.MAXIFS([1]!Tabelle5[value_points],[1]!Tabelle5[company_id],Tabelle18[[#This Row],[company_id]],[1]!Tabelle5[value_id],Tabelle18[[#This Row],[value_id]]),0)</f>
        <v>3</v>
      </c>
      <c r="F43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36" t="str" cm="1">
        <f t="array" ref="G43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 „Transparency“; S. 21–22 „Traceability/Interactivity/Comprehensibility“</v>
      </c>
      <c r="H436" s="7" t="str" cm="1">
        <f t="array" ref="H43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strive for the greatest possible transparency”; “users of our digital services can contact us directly”;“users of our digital services can contact us directly”</v>
      </c>
    </row>
    <row r="437" spans="1:8" x14ac:dyDescent="0.25">
      <c r="A437" s="5">
        <v>25</v>
      </c>
      <c r="B437" t="s">
        <v>11</v>
      </c>
      <c r="C437" s="6">
        <f>IF(Tabelle18[[#This Row],[binding_level_company]]&gt;=1,1,0)</f>
        <v>1</v>
      </c>
      <c r="D437" s="6">
        <f>IFERROR(_xlfn.MAXIFS([1]!Tabelle5[binding_level],[1]!Tabelle5[company_id],Tabelle18[[#This Row],[company_id]],[1]!Tabelle5[value_id],Tabelle18[[#This Row],[value_id]],[1]!Tabelle5[value_present],1),0)</f>
        <v>3</v>
      </c>
      <c r="E437" s="6">
        <f>IFERROR(_xlfn.MAXIFS([1]!Tabelle5[value_points],[1]!Tabelle5[company_id],Tabelle18[[#This Row],[company_id]],[1]!Tabelle5[value_id],Tabelle18[[#This Row],[value_id]]),0)</f>
        <v>3</v>
      </c>
      <c r="F43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37" t="str" cm="1">
        <f t="array" ref="G43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 „Explainability“</v>
      </c>
      <c r="H437" s="7" t="str" cm="1">
        <f t="array" ref="H43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explain our algorithmic systems.”; “understand how the results of algorithm-based processes are achieved”</v>
      </c>
    </row>
    <row r="438" spans="1:8" x14ac:dyDescent="0.25">
      <c r="A438" s="5">
        <v>25</v>
      </c>
      <c r="B438" t="s">
        <v>12</v>
      </c>
      <c r="C438" s="6">
        <f>IF(Tabelle18[[#This Row],[binding_level_company]]&gt;=1,1,0)</f>
        <v>1</v>
      </c>
      <c r="D438" s="6">
        <f>IFERROR(_xlfn.MAXIFS([1]!Tabelle5[binding_level],[1]!Tabelle5[company_id],Tabelle18[[#This Row],[company_id]],[1]!Tabelle5[value_id],Tabelle18[[#This Row],[value_id]],[1]!Tabelle5[value_present],1),0)</f>
        <v>2</v>
      </c>
      <c r="E438" s="6">
        <f>IFERROR(_xlfn.MAXIFS([1]!Tabelle5[value_points],[1]!Tabelle5[company_id],Tabelle18[[#This Row],[company_id]],[1]!Tabelle5[value_id],Tabelle18[[#This Row],[value_id]]),0)</f>
        <v>2</v>
      </c>
      <c r="F43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38" t="str" cm="1">
        <f t="array" ref="G43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7 „Justice – Impartiality“</v>
      </c>
      <c r="H438" s="7" t="str" cm="1">
        <f t="array" ref="H43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actively combat prejudice in our digital offerings.”</v>
      </c>
    </row>
    <row r="439" spans="1:8" x14ac:dyDescent="0.25">
      <c r="A439" s="5">
        <v>25</v>
      </c>
      <c r="B439" t="s">
        <v>13</v>
      </c>
      <c r="C439" s="6">
        <f>IF(Tabelle18[[#This Row],[binding_level_company]]&gt;=1,1,0)</f>
        <v>1</v>
      </c>
      <c r="D439" s="6">
        <f>IFERROR(_xlfn.MAXIFS([1]!Tabelle5[binding_level],[1]!Tabelle5[company_id],Tabelle18[[#This Row],[company_id]],[1]!Tabelle5[value_id],Tabelle18[[#This Row],[value_id]],[1]!Tabelle5[value_present],1),0)</f>
        <v>2</v>
      </c>
      <c r="E439" s="6">
        <f>IFERROR(_xlfn.MAXIFS([1]!Tabelle5[value_points],[1]!Tabelle5[company_id],Tabelle18[[#This Row],[company_id]],[1]!Tabelle5[value_id],Tabelle18[[#This Row],[value_id]]),0)</f>
        <v>2</v>
      </c>
      <c r="F43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39" t="str" cm="1">
        <f t="array" ref="G43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 „Privacy“</v>
      </c>
      <c r="H439" s="7" t="str" cm="1">
        <f t="array" ref="H43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protect the privacy of those who provide data.”</v>
      </c>
    </row>
    <row r="440" spans="1:8" x14ac:dyDescent="0.25">
      <c r="A440" s="5">
        <v>25</v>
      </c>
      <c r="B440" t="s">
        <v>14</v>
      </c>
      <c r="C440" s="6">
        <f>IF(Tabelle18[[#This Row],[binding_level_company]]&gt;=1,1,0)</f>
        <v>1</v>
      </c>
      <c r="D440" s="6">
        <f>IFERROR(_xlfn.MAXIFS([1]!Tabelle5[binding_level],[1]!Tabelle5[company_id],Tabelle18[[#This Row],[company_id]],[1]!Tabelle5[value_id],Tabelle18[[#This Row],[value_id]],[1]!Tabelle5[value_present],1),0)</f>
        <v>3</v>
      </c>
      <c r="E440" s="6">
        <f>IFERROR(_xlfn.MAXIFS([1]!Tabelle5[value_points],[1]!Tabelle5[company_id],Tabelle18[[#This Row],[company_id]],[1]!Tabelle5[value_id],Tabelle18[[#This Row],[value_id]]),0)</f>
        <v>3</v>
      </c>
      <c r="F44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0" t="str" cm="1">
        <f t="array" ref="G44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 „Security“</v>
      </c>
      <c r="H440" s="7" t="str" cm="1">
        <f t="array" ref="H44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“implement technical protection measures”</v>
      </c>
    </row>
    <row r="441" spans="1:8" x14ac:dyDescent="0.25">
      <c r="A441" s="5">
        <v>25</v>
      </c>
      <c r="B441" t="s">
        <v>15</v>
      </c>
      <c r="C441" s="6">
        <f>IF(Tabelle18[[#This Row],[binding_level_company]]&gt;=1,1,0)</f>
        <v>1</v>
      </c>
      <c r="D441" s="6">
        <f>IFERROR(_xlfn.MAXIFS([1]!Tabelle5[binding_level],[1]!Tabelle5[company_id],Tabelle18[[#This Row],[company_id]],[1]!Tabelle5[value_id],Tabelle18[[#This Row],[value_id]],[1]!Tabelle5[value_present],1),0)</f>
        <v>2</v>
      </c>
      <c r="E441" s="6">
        <f>IFERROR(_xlfn.MAXIFS([1]!Tabelle5[value_points],[1]!Tabelle5[company_id],Tabelle18[[#This Row],[company_id]],[1]!Tabelle5[value_id],Tabelle18[[#This Row],[value_id]]),0)</f>
        <v>2</v>
      </c>
      <c r="F44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1" t="str" cm="1">
        <f t="array" ref="G44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10 „Non-Maleficence“</v>
      </c>
      <c r="H441" s="7" t="str" cm="1">
        <f t="array" ref="H44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avoid doing harm through our digital offerings.”</v>
      </c>
    </row>
    <row r="442" spans="1:8" x14ac:dyDescent="0.25">
      <c r="A442" s="5">
        <v>25</v>
      </c>
      <c r="B442" t="s">
        <v>16</v>
      </c>
      <c r="C442" s="6">
        <f>IF(Tabelle18[[#This Row],[binding_level_company]]&gt;=1,1,0)</f>
        <v>1</v>
      </c>
      <c r="D442" s="6">
        <f>IFERROR(_xlfn.MAXIFS([1]!Tabelle5[binding_level],[1]!Tabelle5[company_id],Tabelle18[[#This Row],[company_id]],[1]!Tabelle5[value_id],Tabelle18[[#This Row],[value_id]],[1]!Tabelle5[value_present],1),0)</f>
        <v>3</v>
      </c>
      <c r="E442" s="6">
        <f>IFERROR(_xlfn.MAXIFS([1]!Tabelle5[value_points],[1]!Tabelle5[company_id],Tabelle18[[#This Row],[company_id]],[1]!Tabelle5[value_id],Tabelle18[[#This Row],[value_id]]),0)</f>
        <v>3</v>
      </c>
      <c r="F44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2" t="str" cm="1">
        <f t="array" ref="G44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19 „Reliability“</v>
      </c>
      <c r="H442" s="7" t="str" cm="1">
        <f t="array" ref="H44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“regularly check the constancy within their data chain and algorithmic systems”</v>
      </c>
    </row>
    <row r="443" spans="1:8" x14ac:dyDescent="0.25">
      <c r="A443" s="5">
        <v>25</v>
      </c>
      <c r="B443" t="s">
        <v>17</v>
      </c>
      <c r="C443" s="6">
        <f>IF(Tabelle18[[#This Row],[binding_level_company]]&gt;=1,1,0)</f>
        <v>0</v>
      </c>
      <c r="D443" s="6">
        <f>IFERROR(_xlfn.MAXIFS([1]!Tabelle5[binding_level],[1]!Tabelle5[company_id],Tabelle18[[#This Row],[company_id]],[1]!Tabelle5[value_id],Tabelle18[[#This Row],[value_id]],[1]!Tabelle5[value_present],1),0)</f>
        <v>0</v>
      </c>
      <c r="E443" s="6">
        <f>IFERROR(_xlfn.MAXIFS([1]!Tabelle5[value_points],[1]!Tabelle5[company_id],Tabelle18[[#This Row],[company_id]],[1]!Tabelle5[value_id],Tabelle18[[#This Row],[value_id]]),0)</f>
        <v>0</v>
      </c>
      <c r="F44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43" t="str" cm="1">
        <f t="array" ref="G44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43" s="7" t="str" cm="1">
        <f t="array" ref="H44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44" spans="1:8" x14ac:dyDescent="0.25">
      <c r="A444" s="5">
        <v>25</v>
      </c>
      <c r="B444" t="s">
        <v>18</v>
      </c>
      <c r="C444" s="6">
        <f>IF(Tabelle18[[#This Row],[binding_level_company]]&gt;=1,1,0)</f>
        <v>1</v>
      </c>
      <c r="D444" s="6">
        <f>IFERROR(_xlfn.MAXIFS([1]!Tabelle5[binding_level],[1]!Tabelle5[company_id],Tabelle18[[#This Row],[company_id]],[1]!Tabelle5[value_id],Tabelle18[[#This Row],[value_id]],[1]!Tabelle5[value_present],1),0)</f>
        <v>2</v>
      </c>
      <c r="E444" s="6">
        <f>IFERROR(_xlfn.MAXIFS([1]!Tabelle5[value_points],[1]!Tabelle5[company_id],Tabelle18[[#This Row],[company_id]],[1]!Tabelle5[value_id],Tabelle18[[#This Row],[value_id]]),0)</f>
        <v>2</v>
      </c>
      <c r="F44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4" t="str" cm="1">
        <f t="array" ref="G44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14 „Equality“</v>
      </c>
      <c r="H444" s="7" t="str" cm="1">
        <f t="array" ref="H44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“high-contrast presentations or read aloud elements”</v>
      </c>
    </row>
    <row r="445" spans="1:8" x14ac:dyDescent="0.25">
      <c r="A445" s="5">
        <v>25</v>
      </c>
      <c r="B445" t="s">
        <v>19</v>
      </c>
      <c r="C445" s="6">
        <f>IF(Tabelle18[[#This Row],[binding_level_company]]&gt;=1,1,0)</f>
        <v>1</v>
      </c>
      <c r="D445" s="6">
        <f>IFERROR(_xlfn.MAXIFS([1]!Tabelle5[binding_level],[1]!Tabelle5[company_id],Tabelle18[[#This Row],[company_id]],[1]!Tabelle5[value_id],Tabelle18[[#This Row],[value_id]],[1]!Tabelle5[value_present],1),0)</f>
        <v>2</v>
      </c>
      <c r="E445" s="6">
        <f>IFERROR(_xlfn.MAXIFS([1]!Tabelle5[value_points],[1]!Tabelle5[company_id],Tabelle18[[#This Row],[company_id]],[1]!Tabelle5[value_id],Tabelle18[[#This Row],[value_id]]),0)</f>
        <v>2</v>
      </c>
      <c r="F44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5" t="str" cm="1">
        <f t="array" ref="G44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 „Sustainability“; S. 17 Appendix „Sustainability“</v>
      </c>
      <c r="H445" s="7" t="str" cm="1">
        <f t="array" ref="H44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“design them to be sustainable”; “regularly review the potential impact”</v>
      </c>
    </row>
    <row r="446" spans="1:8" x14ac:dyDescent="0.25">
      <c r="A446" s="5">
        <v>25</v>
      </c>
      <c r="B446" t="s">
        <v>20</v>
      </c>
      <c r="C446" s="6">
        <f>IF(Tabelle18[[#This Row],[binding_level_company]]&gt;=1,1,0)</f>
        <v>1</v>
      </c>
      <c r="D446" s="6">
        <f>IFERROR(_xlfn.MAXIFS([1]!Tabelle5[binding_level],[1]!Tabelle5[company_id],Tabelle18[[#This Row],[company_id]],[1]!Tabelle5[value_id],Tabelle18[[#This Row],[value_id]],[1]!Tabelle5[value_present],1),0)</f>
        <v>2</v>
      </c>
      <c r="E446" s="6">
        <f>IFERROR(_xlfn.MAXIFS([1]!Tabelle5[value_points],[1]!Tabelle5[company_id],Tabelle18[[#This Row],[company_id]],[1]!Tabelle5[value_id],Tabelle18[[#This Row],[value_id]]),0)</f>
        <v>2</v>
      </c>
      <c r="F44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6" t="str" cm="1">
        <f t="array" ref="G44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 „Beneficence“</v>
      </c>
      <c r="H446" s="7" t="str" cm="1">
        <f t="array" ref="H44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“promote the well-being of individuals and society”</v>
      </c>
    </row>
    <row r="447" spans="1:8" x14ac:dyDescent="0.25">
      <c r="A447" s="5">
        <v>25</v>
      </c>
      <c r="B447" t="s">
        <v>21</v>
      </c>
      <c r="C447" s="6">
        <f>IF(Tabelle18[[#This Row],[binding_level_company]]&gt;=1,1,0)</f>
        <v>1</v>
      </c>
      <c r="D447" s="6">
        <f>IFERROR(_xlfn.MAXIFS([1]!Tabelle5[binding_level],[1]!Tabelle5[company_id],Tabelle18[[#This Row],[company_id]],[1]!Tabelle5[value_id],Tabelle18[[#This Row],[value_id]],[1]!Tabelle5[value_present],1),0)</f>
        <v>2</v>
      </c>
      <c r="E447" s="6">
        <f>IFERROR(_xlfn.MAXIFS([1]!Tabelle5[value_points],[1]!Tabelle5[company_id],Tabelle18[[#This Row],[company_id]],[1]!Tabelle5[value_id],Tabelle18[[#This Row],[value_id]]),0)</f>
        <v>2</v>
      </c>
      <c r="F44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7" t="str" cm="1">
        <f t="array" ref="G44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 „Preamble – Terms of Use“</v>
      </c>
      <c r="H447" s="7" t="str" cm="1">
        <f t="array" ref="H44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“linked to applicable law”; “apply to the development, commercialization, or utilization of all our digital products and processes”</v>
      </c>
    </row>
    <row r="448" spans="1:8" x14ac:dyDescent="0.25">
      <c r="A448" s="5">
        <v>25</v>
      </c>
      <c r="B448" t="s">
        <v>22</v>
      </c>
      <c r="C448" s="6">
        <f>IF(Tabelle18[[#This Row],[binding_level_company]]&gt;=1,1,0)</f>
        <v>1</v>
      </c>
      <c r="D448" s="6">
        <f>IFERROR(_xlfn.MAXIFS([1]!Tabelle5[binding_level],[1]!Tabelle5[company_id],Tabelle18[[#This Row],[company_id]],[1]!Tabelle5[value_id],Tabelle18[[#This Row],[value_id]],[1]!Tabelle5[value_present],1),0)</f>
        <v>2</v>
      </c>
      <c r="E448" s="6">
        <f>IFERROR(_xlfn.MAXIFS([1]!Tabelle5[value_points],[1]!Tabelle5[company_id],Tabelle18[[#This Row],[company_id]],[1]!Tabelle5[value_id],Tabelle18[[#This Row],[value_id]]),0)</f>
        <v>2</v>
      </c>
      <c r="F44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8" t="str" cm="1">
        <f t="array" ref="G44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3–4 „Preamble“</v>
      </c>
      <c r="H448" s="7" t="str" cm="1">
        <f t="array" ref="H44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“developed 20 digital-ethical principles”; “apply to the development, commercialization, or utilization of all our digital products and processes”</v>
      </c>
    </row>
    <row r="449" spans="1:8" x14ac:dyDescent="0.25">
      <c r="A449" s="5">
        <v>25</v>
      </c>
      <c r="B449" t="s">
        <v>23</v>
      </c>
      <c r="C449" s="6">
        <f>IF(Tabelle18[[#This Row],[binding_level_company]]&gt;=1,1,0)</f>
        <v>1</v>
      </c>
      <c r="D449" s="6">
        <f>IFERROR(_xlfn.MAXIFS([1]!Tabelle5[binding_level],[1]!Tabelle5[company_id],Tabelle18[[#This Row],[company_id]],[1]!Tabelle5[value_id],Tabelle18[[#This Row],[value_id]],[1]!Tabelle5[value_present],1),0)</f>
        <v>3</v>
      </c>
      <c r="E449" s="6">
        <f>IFERROR(_xlfn.MAXIFS([1]!Tabelle5[value_points],[1]!Tabelle5[company_id],Tabelle18[[#This Row],[company_id]],[1]!Tabelle5[value_id],Tabelle18[[#This Row],[value_id]]),0)</f>
        <v>3</v>
      </c>
      <c r="F44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49" t="str" cm="1">
        <f t="array" ref="G44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7 „Proportionality“; S. 21 „Traceability“</v>
      </c>
      <c r="H449" s="7" t="str" cm="1">
        <f t="array" ref="H44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“only necessary data is collected”; “qualified and verified sources”; “qualified and verified sources”</v>
      </c>
    </row>
    <row r="450" spans="1:8" x14ac:dyDescent="0.25">
      <c r="A450" s="5">
        <v>25</v>
      </c>
      <c r="B450" t="s">
        <v>24</v>
      </c>
      <c r="C450" s="6">
        <f>IF(Tabelle18[[#This Row],[binding_level_company]]&gt;=1,1,0)</f>
        <v>0</v>
      </c>
      <c r="D450" s="6">
        <f>IFERROR(_xlfn.MAXIFS([1]!Tabelle5[binding_level],[1]!Tabelle5[company_id],Tabelle18[[#This Row],[company_id]],[1]!Tabelle5[value_id],Tabelle18[[#This Row],[value_id]],[1]!Tabelle5[value_present],1),0)</f>
        <v>0</v>
      </c>
      <c r="E450" s="6">
        <f>IFERROR(_xlfn.MAXIFS([1]!Tabelle5[value_points],[1]!Tabelle5[company_id],Tabelle18[[#This Row],[company_id]],[1]!Tabelle5[value_id],Tabelle18[[#This Row],[value_id]]),0)</f>
        <v>0</v>
      </c>
      <c r="F45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0" t="str" cm="1">
        <f t="array" ref="G45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0" s="7" t="str" cm="1">
        <f t="array" ref="H45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1" spans="1:8" ht="15.75" thickBot="1" x14ac:dyDescent="0.3">
      <c r="A451" s="8">
        <v>25</v>
      </c>
      <c r="B451" s="9" t="s">
        <v>25</v>
      </c>
      <c r="C451" s="10">
        <f>IF(Tabelle18[[#This Row],[binding_level_company]]&gt;=1,1,0)</f>
        <v>1</v>
      </c>
      <c r="D451" s="10">
        <f>IFERROR(_xlfn.MAXIFS([1]!Tabelle5[binding_level],[1]!Tabelle5[company_id],Tabelle18[[#This Row],[company_id]],[1]!Tabelle5[value_id],Tabelle18[[#This Row],[value_id]],[1]!Tabelle5[value_present],1),0)</f>
        <v>2</v>
      </c>
      <c r="E451" s="10">
        <f>IFERROR(_xlfn.MAXIFS([1]!Tabelle5[value_points],[1]!Tabelle5[company_id],Tabelle18[[#This Row],[company_id]],[1]!Tabelle5[value_id],Tabelle18[[#This Row],[value_id]]),0)</f>
        <v>2</v>
      </c>
      <c r="F451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154</v>
      </c>
      <c r="G451" s="9" t="str" cm="1">
        <f t="array" ref="G45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 „Preamble – Terms of Use“</v>
      </c>
      <c r="H451" s="11" t="str" cm="1">
        <f t="array" ref="H45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“an irrevocable commitment to human rights”</v>
      </c>
    </row>
    <row r="452" spans="1:8" x14ac:dyDescent="0.25">
      <c r="A452" s="1">
        <v>26</v>
      </c>
      <c r="B452" s="2" t="s">
        <v>8</v>
      </c>
      <c r="C452" s="3">
        <f>IF(Tabelle18[[#This Row],[binding_level_company]]&gt;=1,1,0)</f>
        <v>0</v>
      </c>
      <c r="D452" s="3">
        <f>IFERROR(_xlfn.MAXIFS([1]!Tabelle5[binding_level],[1]!Tabelle5[company_id],Tabelle18[[#This Row],[company_id]],[1]!Tabelle5[value_id],Tabelle18[[#This Row],[value_id]],[1]!Tabelle5[value_present],1),0)</f>
        <v>0</v>
      </c>
      <c r="E452" s="3">
        <f>IFERROR(_xlfn.MAXIFS([1]!Tabelle5[value_points],[1]!Tabelle5[company_id],Tabelle18[[#This Row],[company_id]],[1]!Tabelle5[value_id],Tabelle18[[#This Row],[value_id]]),0)</f>
        <v>0</v>
      </c>
      <c r="F452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2" s="2" t="str" cm="1">
        <f t="array" ref="G45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2" s="4" t="str" cm="1">
        <f t="array" ref="H45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3" spans="1:8" x14ac:dyDescent="0.25">
      <c r="A453" s="5">
        <v>26</v>
      </c>
      <c r="B453" t="s">
        <v>9</v>
      </c>
      <c r="C453" s="6">
        <f>IF(Tabelle18[[#This Row],[binding_level_company]]&gt;=1,1,0)</f>
        <v>0</v>
      </c>
      <c r="D453" s="6">
        <f>IFERROR(_xlfn.MAXIFS([1]!Tabelle5[binding_level],[1]!Tabelle5[company_id],Tabelle18[[#This Row],[company_id]],[1]!Tabelle5[value_id],Tabelle18[[#This Row],[value_id]],[1]!Tabelle5[value_present],1),0)</f>
        <v>0</v>
      </c>
      <c r="E453" s="6">
        <f>IFERROR(_xlfn.MAXIFS([1]!Tabelle5[value_points],[1]!Tabelle5[company_id],Tabelle18[[#This Row],[company_id]],[1]!Tabelle5[value_id],Tabelle18[[#This Row],[value_id]]),0)</f>
        <v>0</v>
      </c>
      <c r="F45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3" t="str" cm="1">
        <f t="array" ref="G45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3" s="7" t="str" cm="1">
        <f t="array" ref="H45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4" spans="1:8" x14ac:dyDescent="0.25">
      <c r="A454" s="5">
        <v>26</v>
      </c>
      <c r="B454" t="s">
        <v>10</v>
      </c>
      <c r="C454" s="6">
        <f>IF(Tabelle18[[#This Row],[binding_level_company]]&gt;=1,1,0)</f>
        <v>0</v>
      </c>
      <c r="D454" s="6">
        <f>IFERROR(_xlfn.MAXIFS([1]!Tabelle5[binding_level],[1]!Tabelle5[company_id],Tabelle18[[#This Row],[company_id]],[1]!Tabelle5[value_id],Tabelle18[[#This Row],[value_id]],[1]!Tabelle5[value_present],1),0)</f>
        <v>0</v>
      </c>
      <c r="E454" s="6">
        <f>IFERROR(_xlfn.MAXIFS([1]!Tabelle5[value_points],[1]!Tabelle5[company_id],Tabelle18[[#This Row],[company_id]],[1]!Tabelle5[value_id],Tabelle18[[#This Row],[value_id]]),0)</f>
        <v>0</v>
      </c>
      <c r="F45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4" t="str" cm="1">
        <f t="array" ref="G45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4" s="7" t="str" cm="1">
        <f t="array" ref="H45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5" spans="1:8" x14ac:dyDescent="0.25">
      <c r="A455" s="5">
        <v>26</v>
      </c>
      <c r="B455" t="s">
        <v>11</v>
      </c>
      <c r="C455" s="6">
        <f>IF(Tabelle18[[#This Row],[binding_level_company]]&gt;=1,1,0)</f>
        <v>0</v>
      </c>
      <c r="D455" s="6">
        <f>IFERROR(_xlfn.MAXIFS([1]!Tabelle5[binding_level],[1]!Tabelle5[company_id],Tabelle18[[#This Row],[company_id]],[1]!Tabelle5[value_id],Tabelle18[[#This Row],[value_id]],[1]!Tabelle5[value_present],1),0)</f>
        <v>0</v>
      </c>
      <c r="E455" s="6">
        <f>IFERROR(_xlfn.MAXIFS([1]!Tabelle5[value_points],[1]!Tabelle5[company_id],Tabelle18[[#This Row],[company_id]],[1]!Tabelle5[value_id],Tabelle18[[#This Row],[value_id]]),0)</f>
        <v>0</v>
      </c>
      <c r="F45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5" t="str" cm="1">
        <f t="array" ref="G45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5" s="7" t="str" cm="1">
        <f t="array" ref="H45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6" spans="1:8" x14ac:dyDescent="0.25">
      <c r="A456" s="5">
        <v>26</v>
      </c>
      <c r="B456" t="s">
        <v>12</v>
      </c>
      <c r="C456" s="6">
        <f>IF(Tabelle18[[#This Row],[binding_level_company]]&gt;=1,1,0)</f>
        <v>0</v>
      </c>
      <c r="D456" s="6">
        <f>IFERROR(_xlfn.MAXIFS([1]!Tabelle5[binding_level],[1]!Tabelle5[company_id],Tabelle18[[#This Row],[company_id]],[1]!Tabelle5[value_id],Tabelle18[[#This Row],[value_id]],[1]!Tabelle5[value_present],1),0)</f>
        <v>0</v>
      </c>
      <c r="E456" s="6">
        <f>IFERROR(_xlfn.MAXIFS([1]!Tabelle5[value_points],[1]!Tabelle5[company_id],Tabelle18[[#This Row],[company_id]],[1]!Tabelle5[value_id],Tabelle18[[#This Row],[value_id]]),0)</f>
        <v>0</v>
      </c>
      <c r="F45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6" t="str" cm="1">
        <f t="array" ref="G45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6" s="7" t="str" cm="1">
        <f t="array" ref="H45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7" spans="1:8" x14ac:dyDescent="0.25">
      <c r="A457" s="5">
        <v>26</v>
      </c>
      <c r="B457" t="s">
        <v>13</v>
      </c>
      <c r="C457" s="6">
        <f>IF(Tabelle18[[#This Row],[binding_level_company]]&gt;=1,1,0)</f>
        <v>0</v>
      </c>
      <c r="D457" s="6">
        <f>IFERROR(_xlfn.MAXIFS([1]!Tabelle5[binding_level],[1]!Tabelle5[company_id],Tabelle18[[#This Row],[company_id]],[1]!Tabelle5[value_id],Tabelle18[[#This Row],[value_id]],[1]!Tabelle5[value_present],1),0)</f>
        <v>0</v>
      </c>
      <c r="E457" s="6">
        <f>IFERROR(_xlfn.MAXIFS([1]!Tabelle5[value_points],[1]!Tabelle5[company_id],Tabelle18[[#This Row],[company_id]],[1]!Tabelle5[value_id],Tabelle18[[#This Row],[value_id]]),0)</f>
        <v>0</v>
      </c>
      <c r="F45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7" t="str" cm="1">
        <f t="array" ref="G45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7" s="7" t="str" cm="1">
        <f t="array" ref="H45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8" spans="1:8" x14ac:dyDescent="0.25">
      <c r="A458" s="5">
        <v>26</v>
      </c>
      <c r="B458" t="s">
        <v>14</v>
      </c>
      <c r="C458" s="6">
        <f>IF(Tabelle18[[#This Row],[binding_level_company]]&gt;=1,1,0)</f>
        <v>0</v>
      </c>
      <c r="D458" s="6">
        <f>IFERROR(_xlfn.MAXIFS([1]!Tabelle5[binding_level],[1]!Tabelle5[company_id],Tabelle18[[#This Row],[company_id]],[1]!Tabelle5[value_id],Tabelle18[[#This Row],[value_id]],[1]!Tabelle5[value_present],1),0)</f>
        <v>0</v>
      </c>
      <c r="E458" s="6">
        <f>IFERROR(_xlfn.MAXIFS([1]!Tabelle5[value_points],[1]!Tabelle5[company_id],Tabelle18[[#This Row],[company_id]],[1]!Tabelle5[value_id],Tabelle18[[#This Row],[value_id]]),0)</f>
        <v>0</v>
      </c>
      <c r="F45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8" t="str" cm="1">
        <f t="array" ref="G45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8" s="7" t="str" cm="1">
        <f t="array" ref="H45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59" spans="1:8" x14ac:dyDescent="0.25">
      <c r="A459" s="5">
        <v>26</v>
      </c>
      <c r="B459" t="s">
        <v>15</v>
      </c>
      <c r="C459" s="6">
        <f>IF(Tabelle18[[#This Row],[binding_level_company]]&gt;=1,1,0)</f>
        <v>0</v>
      </c>
      <c r="D459" s="6">
        <f>IFERROR(_xlfn.MAXIFS([1]!Tabelle5[binding_level],[1]!Tabelle5[company_id],Tabelle18[[#This Row],[company_id]],[1]!Tabelle5[value_id],Tabelle18[[#This Row],[value_id]],[1]!Tabelle5[value_present],1),0)</f>
        <v>0</v>
      </c>
      <c r="E459" s="6">
        <f>IFERROR(_xlfn.MAXIFS([1]!Tabelle5[value_points],[1]!Tabelle5[company_id],Tabelle18[[#This Row],[company_id]],[1]!Tabelle5[value_id],Tabelle18[[#This Row],[value_id]]),0)</f>
        <v>0</v>
      </c>
      <c r="F45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59" t="str" cm="1">
        <f t="array" ref="G45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59" s="7" t="str" cm="1">
        <f t="array" ref="H45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0" spans="1:8" x14ac:dyDescent="0.25">
      <c r="A460" s="5">
        <v>26</v>
      </c>
      <c r="B460" t="s">
        <v>16</v>
      </c>
      <c r="C460" s="6">
        <f>IF(Tabelle18[[#This Row],[binding_level_company]]&gt;=1,1,0)</f>
        <v>0</v>
      </c>
      <c r="D460" s="6">
        <f>IFERROR(_xlfn.MAXIFS([1]!Tabelle5[binding_level],[1]!Tabelle5[company_id],Tabelle18[[#This Row],[company_id]],[1]!Tabelle5[value_id],Tabelle18[[#This Row],[value_id]],[1]!Tabelle5[value_present],1),0)</f>
        <v>0</v>
      </c>
      <c r="E460" s="6">
        <f>IFERROR(_xlfn.MAXIFS([1]!Tabelle5[value_points],[1]!Tabelle5[company_id],Tabelle18[[#This Row],[company_id]],[1]!Tabelle5[value_id],Tabelle18[[#This Row],[value_id]]),0)</f>
        <v>0</v>
      </c>
      <c r="F46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0" t="str" cm="1">
        <f t="array" ref="G46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0" s="7" t="str" cm="1">
        <f t="array" ref="H46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1" spans="1:8" x14ac:dyDescent="0.25">
      <c r="A461" s="5">
        <v>26</v>
      </c>
      <c r="B461" t="s">
        <v>17</v>
      </c>
      <c r="C461" s="6">
        <f>IF(Tabelle18[[#This Row],[binding_level_company]]&gt;=1,1,0)</f>
        <v>0</v>
      </c>
      <c r="D461" s="6">
        <f>IFERROR(_xlfn.MAXIFS([1]!Tabelle5[binding_level],[1]!Tabelle5[company_id],Tabelle18[[#This Row],[company_id]],[1]!Tabelle5[value_id],Tabelle18[[#This Row],[value_id]],[1]!Tabelle5[value_present],1),0)</f>
        <v>0</v>
      </c>
      <c r="E461" s="6">
        <f>IFERROR(_xlfn.MAXIFS([1]!Tabelle5[value_points],[1]!Tabelle5[company_id],Tabelle18[[#This Row],[company_id]],[1]!Tabelle5[value_id],Tabelle18[[#This Row],[value_id]]),0)</f>
        <v>0</v>
      </c>
      <c r="F46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1" t="str" cm="1">
        <f t="array" ref="G46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1" s="7" t="str" cm="1">
        <f t="array" ref="H46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2" spans="1:8" x14ac:dyDescent="0.25">
      <c r="A462" s="5">
        <v>26</v>
      </c>
      <c r="B462" t="s">
        <v>18</v>
      </c>
      <c r="C462" s="6">
        <f>IF(Tabelle18[[#This Row],[binding_level_company]]&gt;=1,1,0)</f>
        <v>0</v>
      </c>
      <c r="D462" s="6">
        <f>IFERROR(_xlfn.MAXIFS([1]!Tabelle5[binding_level],[1]!Tabelle5[company_id],Tabelle18[[#This Row],[company_id]],[1]!Tabelle5[value_id],Tabelle18[[#This Row],[value_id]],[1]!Tabelle5[value_present],1),0)</f>
        <v>0</v>
      </c>
      <c r="E462" s="6">
        <f>IFERROR(_xlfn.MAXIFS([1]!Tabelle5[value_points],[1]!Tabelle5[company_id],Tabelle18[[#This Row],[company_id]],[1]!Tabelle5[value_id],Tabelle18[[#This Row],[value_id]]),0)</f>
        <v>0</v>
      </c>
      <c r="F46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2" t="str" cm="1">
        <f t="array" ref="G46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2" s="7" t="str" cm="1">
        <f t="array" ref="H46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3" spans="1:8" x14ac:dyDescent="0.25">
      <c r="A463" s="5">
        <v>26</v>
      </c>
      <c r="B463" t="s">
        <v>19</v>
      </c>
      <c r="C463" s="6">
        <f>IF(Tabelle18[[#This Row],[binding_level_company]]&gt;=1,1,0)</f>
        <v>0</v>
      </c>
      <c r="D463" s="6">
        <f>IFERROR(_xlfn.MAXIFS([1]!Tabelle5[binding_level],[1]!Tabelle5[company_id],Tabelle18[[#This Row],[company_id]],[1]!Tabelle5[value_id],Tabelle18[[#This Row],[value_id]],[1]!Tabelle5[value_present],1),0)</f>
        <v>0</v>
      </c>
      <c r="E463" s="6">
        <f>IFERROR(_xlfn.MAXIFS([1]!Tabelle5[value_points],[1]!Tabelle5[company_id],Tabelle18[[#This Row],[company_id]],[1]!Tabelle5[value_id],Tabelle18[[#This Row],[value_id]]),0)</f>
        <v>0</v>
      </c>
      <c r="F46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3" t="str" cm="1">
        <f t="array" ref="G46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3" s="7" t="str" cm="1">
        <f t="array" ref="H46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4" spans="1:8" x14ac:dyDescent="0.25">
      <c r="A464" s="5">
        <v>26</v>
      </c>
      <c r="B464" t="s">
        <v>20</v>
      </c>
      <c r="C464" s="6">
        <f>IF(Tabelle18[[#This Row],[binding_level_company]]&gt;=1,1,0)</f>
        <v>0</v>
      </c>
      <c r="D464" s="6">
        <f>IFERROR(_xlfn.MAXIFS([1]!Tabelle5[binding_level],[1]!Tabelle5[company_id],Tabelle18[[#This Row],[company_id]],[1]!Tabelle5[value_id],Tabelle18[[#This Row],[value_id]],[1]!Tabelle5[value_present],1),0)</f>
        <v>0</v>
      </c>
      <c r="E464" s="6">
        <f>IFERROR(_xlfn.MAXIFS([1]!Tabelle5[value_points],[1]!Tabelle5[company_id],Tabelle18[[#This Row],[company_id]],[1]!Tabelle5[value_id],Tabelle18[[#This Row],[value_id]]),0)</f>
        <v>0</v>
      </c>
      <c r="F46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4" t="str" cm="1">
        <f t="array" ref="G46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4" s="7" t="str" cm="1">
        <f t="array" ref="H46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5" spans="1:8" x14ac:dyDescent="0.25">
      <c r="A465" s="5">
        <v>26</v>
      </c>
      <c r="B465" t="s">
        <v>21</v>
      </c>
      <c r="C465" s="6">
        <f>IF(Tabelle18[[#This Row],[binding_level_company]]&gt;=1,1,0)</f>
        <v>0</v>
      </c>
      <c r="D465" s="6">
        <f>IFERROR(_xlfn.MAXIFS([1]!Tabelle5[binding_level],[1]!Tabelle5[company_id],Tabelle18[[#This Row],[company_id]],[1]!Tabelle5[value_id],Tabelle18[[#This Row],[value_id]],[1]!Tabelle5[value_present],1),0)</f>
        <v>0</v>
      </c>
      <c r="E465" s="6">
        <f>IFERROR(_xlfn.MAXIFS([1]!Tabelle5[value_points],[1]!Tabelle5[company_id],Tabelle18[[#This Row],[company_id]],[1]!Tabelle5[value_id],Tabelle18[[#This Row],[value_id]]),0)</f>
        <v>0</v>
      </c>
      <c r="F46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5" t="str" cm="1">
        <f t="array" ref="G46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5" s="7" t="str" cm="1">
        <f t="array" ref="H46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6" spans="1:8" x14ac:dyDescent="0.25">
      <c r="A466" s="5">
        <v>26</v>
      </c>
      <c r="B466" t="s">
        <v>22</v>
      </c>
      <c r="C466" s="6">
        <f>IF(Tabelle18[[#This Row],[binding_level_company]]&gt;=1,1,0)</f>
        <v>0</v>
      </c>
      <c r="D466" s="6">
        <f>IFERROR(_xlfn.MAXIFS([1]!Tabelle5[binding_level],[1]!Tabelle5[company_id],Tabelle18[[#This Row],[company_id]],[1]!Tabelle5[value_id],Tabelle18[[#This Row],[value_id]],[1]!Tabelle5[value_present],1),0)</f>
        <v>0</v>
      </c>
      <c r="E466" s="6">
        <f>IFERROR(_xlfn.MAXIFS([1]!Tabelle5[value_points],[1]!Tabelle5[company_id],Tabelle18[[#This Row],[company_id]],[1]!Tabelle5[value_id],Tabelle18[[#This Row],[value_id]]),0)</f>
        <v>0</v>
      </c>
      <c r="F46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6" t="str" cm="1">
        <f t="array" ref="G46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6" s="7" t="str" cm="1">
        <f t="array" ref="H46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7" spans="1:8" x14ac:dyDescent="0.25">
      <c r="A467" s="5">
        <v>26</v>
      </c>
      <c r="B467" t="s">
        <v>23</v>
      </c>
      <c r="C467" s="6">
        <f>IF(Tabelle18[[#This Row],[binding_level_company]]&gt;=1,1,0)</f>
        <v>0</v>
      </c>
      <c r="D467" s="6">
        <f>IFERROR(_xlfn.MAXIFS([1]!Tabelle5[binding_level],[1]!Tabelle5[company_id],Tabelle18[[#This Row],[company_id]],[1]!Tabelle5[value_id],Tabelle18[[#This Row],[value_id]],[1]!Tabelle5[value_present],1),0)</f>
        <v>0</v>
      </c>
      <c r="E467" s="6">
        <f>IFERROR(_xlfn.MAXIFS([1]!Tabelle5[value_points],[1]!Tabelle5[company_id],Tabelle18[[#This Row],[company_id]],[1]!Tabelle5[value_id],Tabelle18[[#This Row],[value_id]]),0)</f>
        <v>0</v>
      </c>
      <c r="F46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7" t="str" cm="1">
        <f t="array" ref="G46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7" s="7" t="str" cm="1">
        <f t="array" ref="H46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8" spans="1:8" x14ac:dyDescent="0.25">
      <c r="A468" s="5">
        <v>26</v>
      </c>
      <c r="B468" t="s">
        <v>24</v>
      </c>
      <c r="C468" s="6">
        <f>IF(Tabelle18[[#This Row],[binding_level_company]]&gt;=1,1,0)</f>
        <v>0</v>
      </c>
      <c r="D468" s="6">
        <f>IFERROR(_xlfn.MAXIFS([1]!Tabelle5[binding_level],[1]!Tabelle5[company_id],Tabelle18[[#This Row],[company_id]],[1]!Tabelle5[value_id],Tabelle18[[#This Row],[value_id]],[1]!Tabelle5[value_present],1),0)</f>
        <v>0</v>
      </c>
      <c r="E468" s="6">
        <f>IFERROR(_xlfn.MAXIFS([1]!Tabelle5[value_points],[1]!Tabelle5[company_id],Tabelle18[[#This Row],[company_id]],[1]!Tabelle5[value_id],Tabelle18[[#This Row],[value_id]]),0)</f>
        <v>0</v>
      </c>
      <c r="F46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8" t="str" cm="1">
        <f t="array" ref="G46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8" s="7" t="str" cm="1">
        <f t="array" ref="H46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69" spans="1:8" ht="15.75" thickBot="1" x14ac:dyDescent="0.3">
      <c r="A469" s="8">
        <v>26</v>
      </c>
      <c r="B469" s="9" t="s">
        <v>25</v>
      </c>
      <c r="C469" s="10">
        <f>IF(Tabelle18[[#This Row],[binding_level_company]]&gt;=1,1,0)</f>
        <v>0</v>
      </c>
      <c r="D469" s="10">
        <f>IFERROR(_xlfn.MAXIFS([1]!Tabelle5[binding_level],[1]!Tabelle5[company_id],Tabelle18[[#This Row],[company_id]],[1]!Tabelle5[value_id],Tabelle18[[#This Row],[value_id]],[1]!Tabelle5[value_present],1),0)</f>
        <v>0</v>
      </c>
      <c r="E469" s="10">
        <f>IFERROR(_xlfn.MAXIFS([1]!Tabelle5[value_points],[1]!Tabelle5[company_id],Tabelle18[[#This Row],[company_id]],[1]!Tabelle5[value_id],Tabelle18[[#This Row],[value_id]]),0)</f>
        <v>0</v>
      </c>
      <c r="F469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69" s="9" t="str" cm="1">
        <f t="array" ref="G46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69" s="11" t="str" cm="1">
        <f t="array" ref="H46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70" spans="1:8" x14ac:dyDescent="0.25">
      <c r="A470" s="1">
        <v>27</v>
      </c>
      <c r="B470" s="2" t="s">
        <v>8</v>
      </c>
      <c r="C470" s="3">
        <f>IF(Tabelle18[[#This Row],[binding_level_company]]&gt;=1,1,0)</f>
        <v>0</v>
      </c>
      <c r="D470" s="3">
        <f>IFERROR(_xlfn.MAXIFS([1]!Tabelle5[binding_level],[1]!Tabelle5[company_id],Tabelle18[[#This Row],[company_id]],[1]!Tabelle5[value_id],Tabelle18[[#This Row],[value_id]],[1]!Tabelle5[value_present],1),0)</f>
        <v>0</v>
      </c>
      <c r="E470" s="3">
        <f>IFERROR(_xlfn.MAXIFS([1]!Tabelle5[value_points],[1]!Tabelle5[company_id],Tabelle18[[#This Row],[company_id]],[1]!Tabelle5[value_id],Tabelle18[[#This Row],[value_id]]),0)</f>
        <v>0</v>
      </c>
      <c r="F470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0" s="2" t="str" cm="1">
        <f t="array" ref="G47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0" s="4" t="str" cm="1">
        <f t="array" ref="H47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71" spans="1:8" x14ac:dyDescent="0.25">
      <c r="A471" s="5">
        <v>27</v>
      </c>
      <c r="B471" t="s">
        <v>9</v>
      </c>
      <c r="C471" s="6">
        <f>IF(Tabelle18[[#This Row],[binding_level_company]]&gt;=1,1,0)</f>
        <v>0</v>
      </c>
      <c r="D471" s="6">
        <f>IFERROR(_xlfn.MAXIFS([1]!Tabelle5[binding_level],[1]!Tabelle5[company_id],Tabelle18[[#This Row],[company_id]],[1]!Tabelle5[value_id],Tabelle18[[#This Row],[value_id]],[1]!Tabelle5[value_present],1),0)</f>
        <v>0</v>
      </c>
      <c r="E471" s="6">
        <f>IFERROR(_xlfn.MAXIFS([1]!Tabelle5[value_points],[1]!Tabelle5[company_id],Tabelle18[[#This Row],[company_id]],[1]!Tabelle5[value_id],Tabelle18[[#This Row],[value_id]]),0)</f>
        <v>0</v>
      </c>
      <c r="F47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1" t="str" cm="1">
        <f t="array" ref="G47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1" s="7" t="str" cm="1">
        <f t="array" ref="H47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72" spans="1:8" x14ac:dyDescent="0.25">
      <c r="A472" s="5">
        <v>27</v>
      </c>
      <c r="B472" t="s">
        <v>10</v>
      </c>
      <c r="C472" s="6">
        <f>IF(Tabelle18[[#This Row],[binding_level_company]]&gt;=1,1,0)</f>
        <v>1</v>
      </c>
      <c r="D472" s="6">
        <f>IFERROR(_xlfn.MAXIFS([1]!Tabelle5[binding_level],[1]!Tabelle5[company_id],Tabelle18[[#This Row],[company_id]],[1]!Tabelle5[value_id],Tabelle18[[#This Row],[value_id]],[1]!Tabelle5[value_present],1),0)</f>
        <v>1</v>
      </c>
      <c r="E472" s="6">
        <f>IFERROR(_xlfn.MAXIFS([1]!Tabelle5[value_points],[1]!Tabelle5[company_id],Tabelle18[[#This Row],[company_id]],[1]!Tabelle5[value_id],Tabelle18[[#This Row],[value_id]]),0)</f>
        <v>1</v>
      </c>
      <c r="F47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163</v>
      </c>
      <c r="G472" t="str" cm="1">
        <f t="array" ref="G47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60 „Measures“</v>
      </c>
      <c r="H472" s="7" t="str" cm="1">
        <f t="array" ref="H47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“making our algorithms as transparent as possible”</v>
      </c>
    </row>
    <row r="473" spans="1:8" x14ac:dyDescent="0.25">
      <c r="A473" s="5">
        <v>27</v>
      </c>
      <c r="B473" t="s">
        <v>11</v>
      </c>
      <c r="C473" s="6">
        <f>IF(Tabelle18[[#This Row],[binding_level_company]]&gt;=1,1,0)</f>
        <v>1</v>
      </c>
      <c r="D473" s="6">
        <f>IFERROR(_xlfn.MAXIFS([1]!Tabelle5[binding_level],[1]!Tabelle5[company_id],Tabelle18[[#This Row],[company_id]],[1]!Tabelle5[value_id],Tabelle18[[#This Row],[value_id]],[1]!Tabelle5[value_present],1),0)</f>
        <v>2</v>
      </c>
      <c r="E473" s="6">
        <f>IFERROR(_xlfn.MAXIFS([1]!Tabelle5[value_points],[1]!Tabelle5[company_id],Tabelle18[[#This Row],[company_id]],[1]!Tabelle5[value_id],Tabelle18[[#This Row],[value_id]]),0)</f>
        <v>2</v>
      </c>
      <c r="F47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163</v>
      </c>
      <c r="G473" t="str" cm="1">
        <f t="array" ref="G47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60 „Measures“</v>
      </c>
      <c r="H473" s="7" t="str" cm="1">
        <f t="array" ref="H47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“techniques for illustrating the behaviour of AI systems”</v>
      </c>
    </row>
    <row r="474" spans="1:8" x14ac:dyDescent="0.25">
      <c r="A474" s="5">
        <v>27</v>
      </c>
      <c r="B474" t="s">
        <v>12</v>
      </c>
      <c r="C474" s="6">
        <f>IF(Tabelle18[[#This Row],[binding_level_company]]&gt;=1,1,0)</f>
        <v>1</v>
      </c>
      <c r="D474" s="6">
        <f>IFERROR(_xlfn.MAXIFS([1]!Tabelle5[binding_level],[1]!Tabelle5[company_id],Tabelle18[[#This Row],[company_id]],[1]!Tabelle5[value_id],Tabelle18[[#This Row],[value_id]],[1]!Tabelle5[value_present],1),0)</f>
        <v>3</v>
      </c>
      <c r="E474" s="6">
        <f>IFERROR(_xlfn.MAXIFS([1]!Tabelle5[value_points],[1]!Tabelle5[company_id],Tabelle18[[#This Row],[company_id]],[1]!Tabelle5[value_id],Tabelle18[[#This Row],[value_id]]),0)</f>
        <v>3</v>
      </c>
      <c r="F47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163</v>
      </c>
      <c r="G474" t="str" cm="1">
        <f t="array" ref="G47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60 „Measures“</v>
      </c>
      <c r="H474" s="7" t="str" cm="1">
        <f t="array" ref="H47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“avoid any type of discrimination through AI”; “age, sex, nationality or ethnic background”; “we check that our data resources cover all relevant demographic groups”</v>
      </c>
    </row>
    <row r="475" spans="1:8" x14ac:dyDescent="0.25">
      <c r="A475" s="5">
        <v>27</v>
      </c>
      <c r="B475" t="s">
        <v>13</v>
      </c>
      <c r="C475" s="6">
        <f>IF(Tabelle18[[#This Row],[binding_level_company]]&gt;=1,1,0)</f>
        <v>0</v>
      </c>
      <c r="D475" s="6">
        <f>IFERROR(_xlfn.MAXIFS([1]!Tabelle5[binding_level],[1]!Tabelle5[company_id],Tabelle18[[#This Row],[company_id]],[1]!Tabelle5[value_id],Tabelle18[[#This Row],[value_id]],[1]!Tabelle5[value_present],1),0)</f>
        <v>0</v>
      </c>
      <c r="E475" s="6">
        <f>IFERROR(_xlfn.MAXIFS([1]!Tabelle5[value_points],[1]!Tabelle5[company_id],Tabelle18[[#This Row],[company_id]],[1]!Tabelle5[value_id],Tabelle18[[#This Row],[value_id]]),0)</f>
        <v>0</v>
      </c>
      <c r="F47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5" t="str" cm="1">
        <f t="array" ref="G47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5" s="7" t="str" cm="1">
        <f t="array" ref="H47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76" spans="1:8" x14ac:dyDescent="0.25">
      <c r="A476" s="5">
        <v>27</v>
      </c>
      <c r="B476" t="s">
        <v>14</v>
      </c>
      <c r="C476" s="6">
        <f>IF(Tabelle18[[#This Row],[binding_level_company]]&gt;=1,1,0)</f>
        <v>0</v>
      </c>
      <c r="D476" s="6">
        <f>IFERROR(_xlfn.MAXIFS([1]!Tabelle5[binding_level],[1]!Tabelle5[company_id],Tabelle18[[#This Row],[company_id]],[1]!Tabelle5[value_id],Tabelle18[[#This Row],[value_id]],[1]!Tabelle5[value_present],1),0)</f>
        <v>0</v>
      </c>
      <c r="E476" s="6">
        <f>IFERROR(_xlfn.MAXIFS([1]!Tabelle5[value_points],[1]!Tabelle5[company_id],Tabelle18[[#This Row],[company_id]],[1]!Tabelle5[value_id],Tabelle18[[#This Row],[value_id]]),0)</f>
        <v>0</v>
      </c>
      <c r="F47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6" t="str" cm="1">
        <f t="array" ref="G47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6" s="7" t="str" cm="1">
        <f t="array" ref="H47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77" spans="1:8" x14ac:dyDescent="0.25">
      <c r="A477" s="5">
        <v>27</v>
      </c>
      <c r="B477" t="s">
        <v>15</v>
      </c>
      <c r="C477" s="6">
        <f>IF(Tabelle18[[#This Row],[binding_level_company]]&gt;=1,1,0)</f>
        <v>0</v>
      </c>
      <c r="D477" s="6">
        <f>IFERROR(_xlfn.MAXIFS([1]!Tabelle5[binding_level],[1]!Tabelle5[company_id],Tabelle18[[#This Row],[company_id]],[1]!Tabelle5[value_id],Tabelle18[[#This Row],[value_id]],[1]!Tabelle5[value_present],1),0)</f>
        <v>0</v>
      </c>
      <c r="E477" s="6">
        <f>IFERROR(_xlfn.MAXIFS([1]!Tabelle5[value_points],[1]!Tabelle5[company_id],Tabelle18[[#This Row],[company_id]],[1]!Tabelle5[value_id],Tabelle18[[#This Row],[value_id]]),0)</f>
        <v>0</v>
      </c>
      <c r="F47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7" t="str" cm="1">
        <f t="array" ref="G47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7" s="7" t="str" cm="1">
        <f t="array" ref="H47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78" spans="1:8" x14ac:dyDescent="0.25">
      <c r="A478" s="5">
        <v>27</v>
      </c>
      <c r="B478" t="s">
        <v>16</v>
      </c>
      <c r="C478" s="6">
        <f>IF(Tabelle18[[#This Row],[binding_level_company]]&gt;=1,1,0)</f>
        <v>0</v>
      </c>
      <c r="D478" s="6">
        <f>IFERROR(_xlfn.MAXIFS([1]!Tabelle5[binding_level],[1]!Tabelle5[company_id],Tabelle18[[#This Row],[company_id]],[1]!Tabelle5[value_id],Tabelle18[[#This Row],[value_id]],[1]!Tabelle5[value_present],1),0)</f>
        <v>0</v>
      </c>
      <c r="E478" s="6">
        <f>IFERROR(_xlfn.MAXIFS([1]!Tabelle5[value_points],[1]!Tabelle5[company_id],Tabelle18[[#This Row],[company_id]],[1]!Tabelle5[value_id],Tabelle18[[#This Row],[value_id]]),0)</f>
        <v>0</v>
      </c>
      <c r="F47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8" t="str" cm="1">
        <f t="array" ref="G47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8" s="7" t="str" cm="1">
        <f t="array" ref="H47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79" spans="1:8" x14ac:dyDescent="0.25">
      <c r="A479" s="5">
        <v>27</v>
      </c>
      <c r="B479" t="s">
        <v>17</v>
      </c>
      <c r="C479" s="6">
        <f>IF(Tabelle18[[#This Row],[binding_level_company]]&gt;=1,1,0)</f>
        <v>0</v>
      </c>
      <c r="D479" s="6">
        <f>IFERROR(_xlfn.MAXIFS([1]!Tabelle5[binding_level],[1]!Tabelle5[company_id],Tabelle18[[#This Row],[company_id]],[1]!Tabelle5[value_id],Tabelle18[[#This Row],[value_id]],[1]!Tabelle5[value_present],1),0)</f>
        <v>0</v>
      </c>
      <c r="E479" s="6">
        <f>IFERROR(_xlfn.MAXIFS([1]!Tabelle5[value_points],[1]!Tabelle5[company_id],Tabelle18[[#This Row],[company_id]],[1]!Tabelle5[value_id],Tabelle18[[#This Row],[value_id]]),0)</f>
        <v>0</v>
      </c>
      <c r="F47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79" t="str" cm="1">
        <f t="array" ref="G47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79" s="7" t="str" cm="1">
        <f t="array" ref="H47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80" spans="1:8" x14ac:dyDescent="0.25">
      <c r="A480" s="5">
        <v>27</v>
      </c>
      <c r="B480" t="s">
        <v>18</v>
      </c>
      <c r="C480" s="6">
        <f>IF(Tabelle18[[#This Row],[binding_level_company]]&gt;=1,1,0)</f>
        <v>0</v>
      </c>
      <c r="D480" s="6">
        <f>IFERROR(_xlfn.MAXIFS([1]!Tabelle5[binding_level],[1]!Tabelle5[company_id],Tabelle18[[#This Row],[company_id]],[1]!Tabelle5[value_id],Tabelle18[[#This Row],[value_id]],[1]!Tabelle5[value_present],1),0)</f>
        <v>0</v>
      </c>
      <c r="E480" s="6">
        <f>IFERROR(_xlfn.MAXIFS([1]!Tabelle5[value_points],[1]!Tabelle5[company_id],Tabelle18[[#This Row],[company_id]],[1]!Tabelle5[value_id],Tabelle18[[#This Row],[value_id]]),0)</f>
        <v>0</v>
      </c>
      <c r="F48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80" t="str" cm="1">
        <f t="array" ref="G48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80" s="7" t="str" cm="1">
        <f t="array" ref="H48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81" spans="1:8" x14ac:dyDescent="0.25">
      <c r="A481" s="5">
        <v>27</v>
      </c>
      <c r="B481" t="s">
        <v>19</v>
      </c>
      <c r="C481" s="6">
        <f>IF(Tabelle18[[#This Row],[binding_level_company]]&gt;=1,1,0)</f>
        <v>0</v>
      </c>
      <c r="D481" s="6">
        <f>IFERROR(_xlfn.MAXIFS([1]!Tabelle5[binding_level],[1]!Tabelle5[company_id],Tabelle18[[#This Row],[company_id]],[1]!Tabelle5[value_id],Tabelle18[[#This Row],[value_id]],[1]!Tabelle5[value_present],1),0)</f>
        <v>0</v>
      </c>
      <c r="E481" s="6">
        <f>IFERROR(_xlfn.MAXIFS([1]!Tabelle5[value_points],[1]!Tabelle5[company_id],Tabelle18[[#This Row],[company_id]],[1]!Tabelle5[value_id],Tabelle18[[#This Row],[value_id]]),0)</f>
        <v>0</v>
      </c>
      <c r="F48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81" t="str" cm="1">
        <f t="array" ref="G48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81" s="7" t="str" cm="1">
        <f t="array" ref="H48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82" spans="1:8" x14ac:dyDescent="0.25">
      <c r="A482" s="5">
        <v>27</v>
      </c>
      <c r="B482" t="s">
        <v>20</v>
      </c>
      <c r="C482" s="6">
        <f>IF(Tabelle18[[#This Row],[binding_level_company]]&gt;=1,1,0)</f>
        <v>1</v>
      </c>
      <c r="D482" s="6">
        <f>IFERROR(_xlfn.MAXIFS([1]!Tabelle5[binding_level],[1]!Tabelle5[company_id],Tabelle18[[#This Row],[company_id]],[1]!Tabelle5[value_id],Tabelle18[[#This Row],[value_id]],[1]!Tabelle5[value_present],1),0)</f>
        <v>1</v>
      </c>
      <c r="E482" s="6">
        <f>IFERROR(_xlfn.MAXIFS([1]!Tabelle5[value_points],[1]!Tabelle5[company_id],Tabelle18[[#This Row],[company_id]],[1]!Tabelle5[value_id],Tabelle18[[#This Row],[value_id]]),0)</f>
        <v>1</v>
      </c>
      <c r="F48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162</v>
      </c>
      <c r="G482" t="str" cm="1">
        <f t="array" ref="G48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 „Corporate responsibility strategy and governance“</v>
      </c>
      <c r="H482" s="7" t="str" cm="1">
        <f t="array" ref="H48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“offer insurance solutions that are tailored to our customers’ needs”; “easier and quicker for us to assess risks, settle claims”</v>
      </c>
    </row>
    <row r="483" spans="1:8" x14ac:dyDescent="0.25">
      <c r="A483" s="5">
        <v>27</v>
      </c>
      <c r="B483" t="s">
        <v>21</v>
      </c>
      <c r="C483" s="6">
        <f>IF(Tabelle18[[#This Row],[binding_level_company]]&gt;=1,1,0)</f>
        <v>1</v>
      </c>
      <c r="D483" s="6">
        <f>IFERROR(_xlfn.MAXIFS([1]!Tabelle5[binding_level],[1]!Tabelle5[company_id],Tabelle18[[#This Row],[company_id]],[1]!Tabelle5[value_id],Tabelle18[[#This Row],[value_id]],[1]!Tabelle5[value_present],1),0)</f>
        <v>2</v>
      </c>
      <c r="E483" s="6">
        <f>IFERROR(_xlfn.MAXIFS([1]!Tabelle5[value_points],[1]!Tabelle5[company_id],Tabelle18[[#This Row],[company_id]],[1]!Tabelle5[value_id],Tabelle18[[#This Row],[value_id]]),0)</f>
        <v>2</v>
      </c>
      <c r="F48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162</v>
      </c>
      <c r="G483" t="str" cm="1">
        <f t="array" ref="G48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 „Corporate responsibility strategy and governance“</v>
      </c>
      <c r="H483" s="7" t="str" cm="1">
        <f t="array" ref="H48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“Complying with data protection law is also of utmost importance”; “when using artificial intelligence to process personal data”</v>
      </c>
    </row>
    <row r="484" spans="1:8" x14ac:dyDescent="0.25">
      <c r="A484" s="5">
        <v>27</v>
      </c>
      <c r="B484" t="s">
        <v>22</v>
      </c>
      <c r="C484" s="6">
        <f>IF(Tabelle18[[#This Row],[binding_level_company]]&gt;=1,1,0)</f>
        <v>1</v>
      </c>
      <c r="D484" s="6">
        <f>IFERROR(_xlfn.MAXIFS([1]!Tabelle5[binding_level],[1]!Tabelle5[company_id],Tabelle18[[#This Row],[company_id]],[1]!Tabelle5[value_id],Tabelle18[[#This Row],[value_id]],[1]!Tabelle5[value_present],1),0)</f>
        <v>1</v>
      </c>
      <c r="E484" s="6">
        <f>IFERROR(_xlfn.MAXIFS([1]!Tabelle5[value_points],[1]!Tabelle5[company_id],Tabelle18[[#This Row],[company_id]],[1]!Tabelle5[value_id],Tabelle18[[#This Row],[value_id]]),0)</f>
        <v>1</v>
      </c>
      <c r="F48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163</v>
      </c>
      <c r="G484" t="str" cm="1">
        <f t="array" ref="G48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58 „Responsible digital transformation…“</v>
      </c>
      <c r="H484" s="7" t="str" cm="1">
        <f t="array" ref="H48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“The idea of ‘responsible artificial intelligence’ is the foundation”</v>
      </c>
    </row>
    <row r="485" spans="1:8" x14ac:dyDescent="0.25">
      <c r="A485" s="5">
        <v>27</v>
      </c>
      <c r="B485" t="s">
        <v>23</v>
      </c>
      <c r="C485" s="6">
        <f>IF(Tabelle18[[#This Row],[binding_level_company]]&gt;=1,1,0)</f>
        <v>1</v>
      </c>
      <c r="D485" s="6">
        <f>IFERROR(_xlfn.MAXIFS([1]!Tabelle5[binding_level],[1]!Tabelle5[company_id],Tabelle18[[#This Row],[company_id]],[1]!Tabelle5[value_id],Tabelle18[[#This Row],[value_id]],[1]!Tabelle5[value_present],1),0)</f>
        <v>3</v>
      </c>
      <c r="E485" s="6">
        <f>IFERROR(_xlfn.MAXIFS([1]!Tabelle5[value_points],[1]!Tabelle5[company_id],Tabelle18[[#This Row],[company_id]],[1]!Tabelle5[value_id],Tabelle18[[#This Row],[value_id]]),0)</f>
        <v>3</v>
      </c>
      <c r="F48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163</v>
      </c>
      <c r="G485" t="str" cm="1">
        <f t="array" ref="G48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60 „Measures“</v>
      </c>
      <c r="H485" s="7" t="str" cm="1">
        <f t="array" ref="H48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check that our data resources cover all relevant demographic groups”</v>
      </c>
    </row>
    <row r="486" spans="1:8" x14ac:dyDescent="0.25">
      <c r="A486" s="5">
        <v>27</v>
      </c>
      <c r="B486" t="s">
        <v>24</v>
      </c>
      <c r="C486" s="6">
        <f>IF(Tabelle18[[#This Row],[binding_level_company]]&gt;=1,1,0)</f>
        <v>0</v>
      </c>
      <c r="D486" s="6">
        <f>IFERROR(_xlfn.MAXIFS([1]!Tabelle5[binding_level],[1]!Tabelle5[company_id],Tabelle18[[#This Row],[company_id]],[1]!Tabelle5[value_id],Tabelle18[[#This Row],[value_id]],[1]!Tabelle5[value_present],1),0)</f>
        <v>0</v>
      </c>
      <c r="E486" s="6">
        <f>IFERROR(_xlfn.MAXIFS([1]!Tabelle5[value_points],[1]!Tabelle5[company_id],Tabelle18[[#This Row],[company_id]],[1]!Tabelle5[value_id],Tabelle18[[#This Row],[value_id]]),0)</f>
        <v>0</v>
      </c>
      <c r="F48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86" t="str" cm="1">
        <f t="array" ref="G48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86" s="7" t="str" cm="1">
        <f t="array" ref="H48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87" spans="1:8" ht="15.75" thickBot="1" x14ac:dyDescent="0.3">
      <c r="A487" s="8">
        <v>27</v>
      </c>
      <c r="B487" s="9" t="s">
        <v>25</v>
      </c>
      <c r="C487" s="10">
        <f>IF(Tabelle18[[#This Row],[binding_level_company]]&gt;=1,1,0)</f>
        <v>1</v>
      </c>
      <c r="D487" s="10">
        <f>IFERROR(_xlfn.MAXIFS([1]!Tabelle5[binding_level],[1]!Tabelle5[company_id],Tabelle18[[#This Row],[company_id]],[1]!Tabelle5[value_id],Tabelle18[[#This Row],[value_id]],[1]!Tabelle5[value_present],1),0)</f>
        <v>2</v>
      </c>
      <c r="E487" s="10">
        <f>IFERROR(_xlfn.MAXIFS([1]!Tabelle5[value_points],[1]!Tabelle5[company_id],Tabelle18[[#This Row],[company_id]],[1]!Tabelle5[value_id],Tabelle18[[#This Row],[value_id]]),0)</f>
        <v>2</v>
      </c>
      <c r="F487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163</v>
      </c>
      <c r="G487" s="9" t="str" cm="1">
        <f t="array" ref="G48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49 „Human rights“</v>
      </c>
      <c r="H487" s="11" t="str" cm="1">
        <f t="array" ref="H48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“human-rights-based strategy for using artificial intelligence”; “covers data protection, monitoring, discrimination, bias”</v>
      </c>
    </row>
    <row r="488" spans="1:8" x14ac:dyDescent="0.25">
      <c r="A488" s="1">
        <v>28</v>
      </c>
      <c r="B488" s="2" t="s">
        <v>8</v>
      </c>
      <c r="C488" s="3">
        <f>IF(Tabelle18[[#This Row],[binding_level_company]]&gt;=1,1,0)</f>
        <v>0</v>
      </c>
      <c r="D488" s="3">
        <f>IFERROR(_xlfn.MAXIFS([1]!Tabelle5[binding_level],[1]!Tabelle5[company_id],Tabelle18[[#This Row],[company_id]],[1]!Tabelle5[value_id],Tabelle18[[#This Row],[value_id]],[1]!Tabelle5[value_present],1),0)</f>
        <v>0</v>
      </c>
      <c r="E488" s="3">
        <f>IFERROR(_xlfn.MAXIFS([1]!Tabelle5[value_points],[1]!Tabelle5[company_id],Tabelle18[[#This Row],[company_id]],[1]!Tabelle5[value_id],Tabelle18[[#This Row],[value_id]]),0)</f>
        <v>0</v>
      </c>
      <c r="F488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88" s="2" t="str" cm="1">
        <f t="array" ref="G48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88" s="4" t="str" cm="1">
        <f t="array" ref="H48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89" spans="1:8" x14ac:dyDescent="0.25">
      <c r="A489" s="5">
        <v>28</v>
      </c>
      <c r="B489" t="s">
        <v>9</v>
      </c>
      <c r="C489" s="6">
        <f>IF(Tabelle18[[#This Row],[binding_level_company]]&gt;=1,1,0)</f>
        <v>0</v>
      </c>
      <c r="D489" s="6">
        <f>IFERROR(_xlfn.MAXIFS([1]!Tabelle5[binding_level],[1]!Tabelle5[company_id],Tabelle18[[#This Row],[company_id]],[1]!Tabelle5[value_id],Tabelle18[[#This Row],[value_id]],[1]!Tabelle5[value_present],1),0)</f>
        <v>0</v>
      </c>
      <c r="E489" s="6">
        <f>IFERROR(_xlfn.MAXIFS([1]!Tabelle5[value_points],[1]!Tabelle5[company_id],Tabelle18[[#This Row],[company_id]],[1]!Tabelle5[value_id],Tabelle18[[#This Row],[value_id]]),0)</f>
        <v>0</v>
      </c>
      <c r="F48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89" t="str" cm="1">
        <f t="array" ref="G48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89" s="7" t="str" cm="1">
        <f t="array" ref="H48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0" spans="1:8" x14ac:dyDescent="0.25">
      <c r="A490" s="5">
        <v>28</v>
      </c>
      <c r="B490" t="s">
        <v>10</v>
      </c>
      <c r="C490" s="6">
        <f>IF(Tabelle18[[#This Row],[binding_level_company]]&gt;=1,1,0)</f>
        <v>0</v>
      </c>
      <c r="D490" s="6">
        <f>IFERROR(_xlfn.MAXIFS([1]!Tabelle5[binding_level],[1]!Tabelle5[company_id],Tabelle18[[#This Row],[company_id]],[1]!Tabelle5[value_id],Tabelle18[[#This Row],[value_id]],[1]!Tabelle5[value_present],1),0)</f>
        <v>0</v>
      </c>
      <c r="E490" s="6">
        <f>IFERROR(_xlfn.MAXIFS([1]!Tabelle5[value_points],[1]!Tabelle5[company_id],Tabelle18[[#This Row],[company_id]],[1]!Tabelle5[value_id],Tabelle18[[#This Row],[value_id]]),0)</f>
        <v>0</v>
      </c>
      <c r="F49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0" t="str" cm="1">
        <f t="array" ref="G49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0" s="7" t="str" cm="1">
        <f t="array" ref="H49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1" spans="1:8" x14ac:dyDescent="0.25">
      <c r="A491" s="5">
        <v>28</v>
      </c>
      <c r="B491" t="s">
        <v>11</v>
      </c>
      <c r="C491" s="6">
        <f>IF(Tabelle18[[#This Row],[binding_level_company]]&gt;=1,1,0)</f>
        <v>0</v>
      </c>
      <c r="D491" s="6">
        <f>IFERROR(_xlfn.MAXIFS([1]!Tabelle5[binding_level],[1]!Tabelle5[company_id],Tabelle18[[#This Row],[company_id]],[1]!Tabelle5[value_id],Tabelle18[[#This Row],[value_id]],[1]!Tabelle5[value_present],1),0)</f>
        <v>0</v>
      </c>
      <c r="E491" s="6">
        <f>IFERROR(_xlfn.MAXIFS([1]!Tabelle5[value_points],[1]!Tabelle5[company_id],Tabelle18[[#This Row],[company_id]],[1]!Tabelle5[value_id],Tabelle18[[#This Row],[value_id]]),0)</f>
        <v>0</v>
      </c>
      <c r="F49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1" t="str" cm="1">
        <f t="array" ref="G49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1" s="7" t="str" cm="1">
        <f t="array" ref="H49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2" spans="1:8" x14ac:dyDescent="0.25">
      <c r="A492" s="5">
        <v>28</v>
      </c>
      <c r="B492" t="s">
        <v>12</v>
      </c>
      <c r="C492" s="6">
        <f>IF(Tabelle18[[#This Row],[binding_level_company]]&gt;=1,1,0)</f>
        <v>0</v>
      </c>
      <c r="D492" s="6">
        <f>IFERROR(_xlfn.MAXIFS([1]!Tabelle5[binding_level],[1]!Tabelle5[company_id],Tabelle18[[#This Row],[company_id]],[1]!Tabelle5[value_id],Tabelle18[[#This Row],[value_id]],[1]!Tabelle5[value_present],1),0)</f>
        <v>0</v>
      </c>
      <c r="E492" s="6">
        <f>IFERROR(_xlfn.MAXIFS([1]!Tabelle5[value_points],[1]!Tabelle5[company_id],Tabelle18[[#This Row],[company_id]],[1]!Tabelle5[value_id],Tabelle18[[#This Row],[value_id]]),0)</f>
        <v>0</v>
      </c>
      <c r="F49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2" t="str" cm="1">
        <f t="array" ref="G49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2" s="7" t="str" cm="1">
        <f t="array" ref="H49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3" spans="1:8" x14ac:dyDescent="0.25">
      <c r="A493" s="5">
        <v>28</v>
      </c>
      <c r="B493" t="s">
        <v>13</v>
      </c>
      <c r="C493" s="6">
        <f>IF(Tabelle18[[#This Row],[binding_level_company]]&gt;=1,1,0)</f>
        <v>0</v>
      </c>
      <c r="D493" s="6">
        <f>IFERROR(_xlfn.MAXIFS([1]!Tabelle5[binding_level],[1]!Tabelle5[company_id],Tabelle18[[#This Row],[company_id]],[1]!Tabelle5[value_id],Tabelle18[[#This Row],[value_id]],[1]!Tabelle5[value_present],1),0)</f>
        <v>0</v>
      </c>
      <c r="E493" s="6">
        <f>IFERROR(_xlfn.MAXIFS([1]!Tabelle5[value_points],[1]!Tabelle5[company_id],Tabelle18[[#This Row],[company_id]],[1]!Tabelle5[value_id],Tabelle18[[#This Row],[value_id]]),0)</f>
        <v>0</v>
      </c>
      <c r="F49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3" t="str" cm="1">
        <f t="array" ref="G49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3" s="7" t="str" cm="1">
        <f t="array" ref="H49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4" spans="1:8" x14ac:dyDescent="0.25">
      <c r="A494" s="5">
        <v>28</v>
      </c>
      <c r="B494" t="s">
        <v>14</v>
      </c>
      <c r="C494" s="6">
        <f>IF(Tabelle18[[#This Row],[binding_level_company]]&gt;=1,1,0)</f>
        <v>0</v>
      </c>
      <c r="D494" s="6">
        <f>IFERROR(_xlfn.MAXIFS([1]!Tabelle5[binding_level],[1]!Tabelle5[company_id],Tabelle18[[#This Row],[company_id]],[1]!Tabelle5[value_id],Tabelle18[[#This Row],[value_id]],[1]!Tabelle5[value_present],1),0)</f>
        <v>0</v>
      </c>
      <c r="E494" s="6">
        <f>IFERROR(_xlfn.MAXIFS([1]!Tabelle5[value_points],[1]!Tabelle5[company_id],Tabelle18[[#This Row],[company_id]],[1]!Tabelle5[value_id],Tabelle18[[#This Row],[value_id]]),0)</f>
        <v>0</v>
      </c>
      <c r="F49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4" t="str" cm="1">
        <f t="array" ref="G49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4" s="7" t="str" cm="1">
        <f t="array" ref="H49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5" spans="1:8" x14ac:dyDescent="0.25">
      <c r="A495" s="5">
        <v>28</v>
      </c>
      <c r="B495" t="s">
        <v>15</v>
      </c>
      <c r="C495" s="6">
        <f>IF(Tabelle18[[#This Row],[binding_level_company]]&gt;=1,1,0)</f>
        <v>0</v>
      </c>
      <c r="D495" s="6">
        <f>IFERROR(_xlfn.MAXIFS([1]!Tabelle5[binding_level],[1]!Tabelle5[company_id],Tabelle18[[#This Row],[company_id]],[1]!Tabelle5[value_id],Tabelle18[[#This Row],[value_id]],[1]!Tabelle5[value_present],1),0)</f>
        <v>0</v>
      </c>
      <c r="E495" s="6">
        <f>IFERROR(_xlfn.MAXIFS([1]!Tabelle5[value_points],[1]!Tabelle5[company_id],Tabelle18[[#This Row],[company_id]],[1]!Tabelle5[value_id],Tabelle18[[#This Row],[value_id]]),0)</f>
        <v>0</v>
      </c>
      <c r="F49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5" t="str" cm="1">
        <f t="array" ref="G49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5" s="7" t="str" cm="1">
        <f t="array" ref="H49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6" spans="1:8" x14ac:dyDescent="0.25">
      <c r="A496" s="5">
        <v>28</v>
      </c>
      <c r="B496" t="s">
        <v>16</v>
      </c>
      <c r="C496" s="6">
        <f>IF(Tabelle18[[#This Row],[binding_level_company]]&gt;=1,1,0)</f>
        <v>0</v>
      </c>
      <c r="D496" s="6">
        <f>IFERROR(_xlfn.MAXIFS([1]!Tabelle5[binding_level],[1]!Tabelle5[company_id],Tabelle18[[#This Row],[company_id]],[1]!Tabelle5[value_id],Tabelle18[[#This Row],[value_id]],[1]!Tabelle5[value_present],1),0)</f>
        <v>0</v>
      </c>
      <c r="E496" s="6">
        <f>IFERROR(_xlfn.MAXIFS([1]!Tabelle5[value_points],[1]!Tabelle5[company_id],Tabelle18[[#This Row],[company_id]],[1]!Tabelle5[value_id],Tabelle18[[#This Row],[value_id]]),0)</f>
        <v>0</v>
      </c>
      <c r="F49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6" t="str" cm="1">
        <f t="array" ref="G49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6" s="7" t="str" cm="1">
        <f t="array" ref="H49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7" spans="1:8" x14ac:dyDescent="0.25">
      <c r="A497" s="5">
        <v>28</v>
      </c>
      <c r="B497" t="s">
        <v>17</v>
      </c>
      <c r="C497" s="6">
        <f>IF(Tabelle18[[#This Row],[binding_level_company]]&gt;=1,1,0)</f>
        <v>0</v>
      </c>
      <c r="D497" s="6">
        <f>IFERROR(_xlfn.MAXIFS([1]!Tabelle5[binding_level],[1]!Tabelle5[company_id],Tabelle18[[#This Row],[company_id]],[1]!Tabelle5[value_id],Tabelle18[[#This Row],[value_id]],[1]!Tabelle5[value_present],1),0)</f>
        <v>0</v>
      </c>
      <c r="E497" s="6">
        <f>IFERROR(_xlfn.MAXIFS([1]!Tabelle5[value_points],[1]!Tabelle5[company_id],Tabelle18[[#This Row],[company_id]],[1]!Tabelle5[value_id],Tabelle18[[#This Row],[value_id]]),0)</f>
        <v>0</v>
      </c>
      <c r="F49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7" t="str" cm="1">
        <f t="array" ref="G49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7" s="7" t="str" cm="1">
        <f t="array" ref="H49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8" spans="1:8" x14ac:dyDescent="0.25">
      <c r="A498" s="5">
        <v>28</v>
      </c>
      <c r="B498" t="s">
        <v>18</v>
      </c>
      <c r="C498" s="6">
        <f>IF(Tabelle18[[#This Row],[binding_level_company]]&gt;=1,1,0)</f>
        <v>0</v>
      </c>
      <c r="D498" s="6">
        <f>IFERROR(_xlfn.MAXIFS([1]!Tabelle5[binding_level],[1]!Tabelle5[company_id],Tabelle18[[#This Row],[company_id]],[1]!Tabelle5[value_id],Tabelle18[[#This Row],[value_id]],[1]!Tabelle5[value_present],1),0)</f>
        <v>0</v>
      </c>
      <c r="E498" s="6">
        <f>IFERROR(_xlfn.MAXIFS([1]!Tabelle5[value_points],[1]!Tabelle5[company_id],Tabelle18[[#This Row],[company_id]],[1]!Tabelle5[value_id],Tabelle18[[#This Row],[value_id]]),0)</f>
        <v>0</v>
      </c>
      <c r="F49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8" t="str" cm="1">
        <f t="array" ref="G49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8" s="7" t="str" cm="1">
        <f t="array" ref="H49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499" spans="1:8" x14ac:dyDescent="0.25">
      <c r="A499" s="5">
        <v>28</v>
      </c>
      <c r="B499" t="s">
        <v>19</v>
      </c>
      <c r="C499" s="6">
        <f>IF(Tabelle18[[#This Row],[binding_level_company]]&gt;=1,1,0)</f>
        <v>0</v>
      </c>
      <c r="D499" s="6">
        <f>IFERROR(_xlfn.MAXIFS([1]!Tabelle5[binding_level],[1]!Tabelle5[company_id],Tabelle18[[#This Row],[company_id]],[1]!Tabelle5[value_id],Tabelle18[[#This Row],[value_id]],[1]!Tabelle5[value_present],1),0)</f>
        <v>0</v>
      </c>
      <c r="E499" s="6">
        <f>IFERROR(_xlfn.MAXIFS([1]!Tabelle5[value_points],[1]!Tabelle5[company_id],Tabelle18[[#This Row],[company_id]],[1]!Tabelle5[value_id],Tabelle18[[#This Row],[value_id]]),0)</f>
        <v>0</v>
      </c>
      <c r="F49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499" t="str" cm="1">
        <f t="array" ref="G49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499" s="7" t="str" cm="1">
        <f t="array" ref="H49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0" spans="1:8" x14ac:dyDescent="0.25">
      <c r="A500" s="5">
        <v>28</v>
      </c>
      <c r="B500" t="s">
        <v>20</v>
      </c>
      <c r="C500" s="6">
        <f>IF(Tabelle18[[#This Row],[binding_level_company]]&gt;=1,1,0)</f>
        <v>0</v>
      </c>
      <c r="D500" s="6">
        <f>IFERROR(_xlfn.MAXIFS([1]!Tabelle5[binding_level],[1]!Tabelle5[company_id],Tabelle18[[#This Row],[company_id]],[1]!Tabelle5[value_id],Tabelle18[[#This Row],[value_id]],[1]!Tabelle5[value_present],1),0)</f>
        <v>0</v>
      </c>
      <c r="E500" s="6">
        <f>IFERROR(_xlfn.MAXIFS([1]!Tabelle5[value_points],[1]!Tabelle5[company_id],Tabelle18[[#This Row],[company_id]],[1]!Tabelle5[value_id],Tabelle18[[#This Row],[value_id]]),0)</f>
        <v>0</v>
      </c>
      <c r="F50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0" t="str" cm="1">
        <f t="array" ref="G50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0" s="7" t="str" cm="1">
        <f t="array" ref="H50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1" spans="1:8" x14ac:dyDescent="0.25">
      <c r="A501" s="5">
        <v>28</v>
      </c>
      <c r="B501" t="s">
        <v>21</v>
      </c>
      <c r="C501" s="6">
        <f>IF(Tabelle18[[#This Row],[binding_level_company]]&gt;=1,1,0)</f>
        <v>0</v>
      </c>
      <c r="D501" s="6">
        <f>IFERROR(_xlfn.MAXIFS([1]!Tabelle5[binding_level],[1]!Tabelle5[company_id],Tabelle18[[#This Row],[company_id]],[1]!Tabelle5[value_id],Tabelle18[[#This Row],[value_id]],[1]!Tabelle5[value_present],1),0)</f>
        <v>0</v>
      </c>
      <c r="E501" s="6">
        <f>IFERROR(_xlfn.MAXIFS([1]!Tabelle5[value_points],[1]!Tabelle5[company_id],Tabelle18[[#This Row],[company_id]],[1]!Tabelle5[value_id],Tabelle18[[#This Row],[value_id]]),0)</f>
        <v>0</v>
      </c>
      <c r="F50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1" t="str" cm="1">
        <f t="array" ref="G50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1" s="7" t="str" cm="1">
        <f t="array" ref="H50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2" spans="1:8" x14ac:dyDescent="0.25">
      <c r="A502" s="5">
        <v>28</v>
      </c>
      <c r="B502" t="s">
        <v>22</v>
      </c>
      <c r="C502" s="6">
        <f>IF(Tabelle18[[#This Row],[binding_level_company]]&gt;=1,1,0)</f>
        <v>0</v>
      </c>
      <c r="D502" s="6">
        <f>IFERROR(_xlfn.MAXIFS([1]!Tabelle5[binding_level],[1]!Tabelle5[company_id],Tabelle18[[#This Row],[company_id]],[1]!Tabelle5[value_id],Tabelle18[[#This Row],[value_id]],[1]!Tabelle5[value_present],1),0)</f>
        <v>0</v>
      </c>
      <c r="E502" s="6">
        <f>IFERROR(_xlfn.MAXIFS([1]!Tabelle5[value_points],[1]!Tabelle5[company_id],Tabelle18[[#This Row],[company_id]],[1]!Tabelle5[value_id],Tabelle18[[#This Row],[value_id]]),0)</f>
        <v>0</v>
      </c>
      <c r="F50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2" t="str" cm="1">
        <f t="array" ref="G50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2" s="7" t="str" cm="1">
        <f t="array" ref="H50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3" spans="1:8" x14ac:dyDescent="0.25">
      <c r="A503" s="5">
        <v>28</v>
      </c>
      <c r="B503" t="s">
        <v>23</v>
      </c>
      <c r="C503" s="6">
        <f>IF(Tabelle18[[#This Row],[binding_level_company]]&gt;=1,1,0)</f>
        <v>0</v>
      </c>
      <c r="D503" s="6">
        <f>IFERROR(_xlfn.MAXIFS([1]!Tabelle5[binding_level],[1]!Tabelle5[company_id],Tabelle18[[#This Row],[company_id]],[1]!Tabelle5[value_id],Tabelle18[[#This Row],[value_id]],[1]!Tabelle5[value_present],1),0)</f>
        <v>0</v>
      </c>
      <c r="E503" s="6">
        <f>IFERROR(_xlfn.MAXIFS([1]!Tabelle5[value_points],[1]!Tabelle5[company_id],Tabelle18[[#This Row],[company_id]],[1]!Tabelle5[value_id],Tabelle18[[#This Row],[value_id]]),0)</f>
        <v>0</v>
      </c>
      <c r="F50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3" t="str" cm="1">
        <f t="array" ref="G50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3" s="7" t="str" cm="1">
        <f t="array" ref="H50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4" spans="1:8" x14ac:dyDescent="0.25">
      <c r="A504" s="5">
        <v>28</v>
      </c>
      <c r="B504" t="s">
        <v>24</v>
      </c>
      <c r="C504" s="6">
        <f>IF(Tabelle18[[#This Row],[binding_level_company]]&gt;=1,1,0)</f>
        <v>0</v>
      </c>
      <c r="D504" s="6">
        <f>IFERROR(_xlfn.MAXIFS([1]!Tabelle5[binding_level],[1]!Tabelle5[company_id],Tabelle18[[#This Row],[company_id]],[1]!Tabelle5[value_id],Tabelle18[[#This Row],[value_id]],[1]!Tabelle5[value_present],1),0)</f>
        <v>0</v>
      </c>
      <c r="E504" s="6">
        <f>IFERROR(_xlfn.MAXIFS([1]!Tabelle5[value_points],[1]!Tabelle5[company_id],Tabelle18[[#This Row],[company_id]],[1]!Tabelle5[value_id],Tabelle18[[#This Row],[value_id]]),0)</f>
        <v>0</v>
      </c>
      <c r="F50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4" t="str" cm="1">
        <f t="array" ref="G50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4" s="7" t="str" cm="1">
        <f t="array" ref="H50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5" spans="1:8" ht="15.75" thickBot="1" x14ac:dyDescent="0.3">
      <c r="A505" s="8">
        <v>28</v>
      </c>
      <c r="B505" s="9" t="s">
        <v>25</v>
      </c>
      <c r="C505" s="10">
        <f>IF(Tabelle18[[#This Row],[binding_level_company]]&gt;=1,1,0)</f>
        <v>0</v>
      </c>
      <c r="D505" s="10">
        <f>IFERROR(_xlfn.MAXIFS([1]!Tabelle5[binding_level],[1]!Tabelle5[company_id],Tabelle18[[#This Row],[company_id]],[1]!Tabelle5[value_id],Tabelle18[[#This Row],[value_id]],[1]!Tabelle5[value_present],1),0)</f>
        <v>0</v>
      </c>
      <c r="E505" s="10">
        <f>IFERROR(_xlfn.MAXIFS([1]!Tabelle5[value_points],[1]!Tabelle5[company_id],Tabelle18[[#This Row],[company_id]],[1]!Tabelle5[value_id],Tabelle18[[#This Row],[value_id]]),0)</f>
        <v>0</v>
      </c>
      <c r="F505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5" s="9" t="str" cm="1">
        <f t="array" ref="G50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5" s="11" t="str" cm="1">
        <f t="array" ref="H50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6" spans="1:8" x14ac:dyDescent="0.25">
      <c r="A506" s="1">
        <v>29</v>
      </c>
      <c r="B506" s="2" t="s">
        <v>8</v>
      </c>
      <c r="C506" s="3">
        <f>IF(Tabelle18[[#This Row],[binding_level_company]]&gt;=1,1,0)</f>
        <v>0</v>
      </c>
      <c r="D506" s="3">
        <f>IFERROR(_xlfn.MAXIFS([1]!Tabelle5[binding_level],[1]!Tabelle5[company_id],Tabelle18[[#This Row],[company_id]],[1]!Tabelle5[value_id],Tabelle18[[#This Row],[value_id]],[1]!Tabelle5[value_present],1),0)</f>
        <v>0</v>
      </c>
      <c r="E506" s="3">
        <f>IFERROR(_xlfn.MAXIFS([1]!Tabelle5[value_points],[1]!Tabelle5[company_id],Tabelle18[[#This Row],[company_id]],[1]!Tabelle5[value_id],Tabelle18[[#This Row],[value_id]]),0)</f>
        <v>0</v>
      </c>
      <c r="F506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6" s="2" t="str" cm="1">
        <f t="array" ref="G50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6" s="4" t="str" cm="1">
        <f t="array" ref="H50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7" spans="1:8" x14ac:dyDescent="0.25">
      <c r="A507" s="5">
        <v>29</v>
      </c>
      <c r="B507" t="s">
        <v>9</v>
      </c>
      <c r="C507" s="6">
        <f>IF(Tabelle18[[#This Row],[binding_level_company]]&gt;=1,1,0)</f>
        <v>0</v>
      </c>
      <c r="D507" s="6">
        <f>IFERROR(_xlfn.MAXIFS([1]!Tabelle5[binding_level],[1]!Tabelle5[company_id],Tabelle18[[#This Row],[company_id]],[1]!Tabelle5[value_id],Tabelle18[[#This Row],[value_id]],[1]!Tabelle5[value_present],1),0)</f>
        <v>0</v>
      </c>
      <c r="E507" s="6">
        <f>IFERROR(_xlfn.MAXIFS([1]!Tabelle5[value_points],[1]!Tabelle5[company_id],Tabelle18[[#This Row],[company_id]],[1]!Tabelle5[value_id],Tabelle18[[#This Row],[value_id]]),0)</f>
        <v>0</v>
      </c>
      <c r="F50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7" t="str" cm="1">
        <f t="array" ref="G50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7" s="7" t="str" cm="1">
        <f t="array" ref="H50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8" spans="1:8" x14ac:dyDescent="0.25">
      <c r="A508" s="5">
        <v>29</v>
      </c>
      <c r="B508" t="s">
        <v>10</v>
      </c>
      <c r="C508" s="6">
        <f>IF(Tabelle18[[#This Row],[binding_level_company]]&gt;=1,1,0)</f>
        <v>0</v>
      </c>
      <c r="D508" s="6">
        <f>IFERROR(_xlfn.MAXIFS([1]!Tabelle5[binding_level],[1]!Tabelle5[company_id],Tabelle18[[#This Row],[company_id]],[1]!Tabelle5[value_id],Tabelle18[[#This Row],[value_id]],[1]!Tabelle5[value_present],1),0)</f>
        <v>0</v>
      </c>
      <c r="E508" s="6">
        <f>IFERROR(_xlfn.MAXIFS([1]!Tabelle5[value_points],[1]!Tabelle5[company_id],Tabelle18[[#This Row],[company_id]],[1]!Tabelle5[value_id],Tabelle18[[#This Row],[value_id]]),0)</f>
        <v>0</v>
      </c>
      <c r="F50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8" t="str" cm="1">
        <f t="array" ref="G50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8" s="7" t="str" cm="1">
        <f t="array" ref="H50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09" spans="1:8" x14ac:dyDescent="0.25">
      <c r="A509" s="5">
        <v>29</v>
      </c>
      <c r="B509" t="s">
        <v>11</v>
      </c>
      <c r="C509" s="6">
        <f>IF(Tabelle18[[#This Row],[binding_level_company]]&gt;=1,1,0)</f>
        <v>0</v>
      </c>
      <c r="D509" s="6">
        <f>IFERROR(_xlfn.MAXIFS([1]!Tabelle5[binding_level],[1]!Tabelle5[company_id],Tabelle18[[#This Row],[company_id]],[1]!Tabelle5[value_id],Tabelle18[[#This Row],[value_id]],[1]!Tabelle5[value_present],1),0)</f>
        <v>0</v>
      </c>
      <c r="E509" s="6">
        <f>IFERROR(_xlfn.MAXIFS([1]!Tabelle5[value_points],[1]!Tabelle5[company_id],Tabelle18[[#This Row],[company_id]],[1]!Tabelle5[value_id],Tabelle18[[#This Row],[value_id]]),0)</f>
        <v>0</v>
      </c>
      <c r="F50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09" t="str" cm="1">
        <f t="array" ref="G50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09" s="7" t="str" cm="1">
        <f t="array" ref="H50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0" spans="1:8" x14ac:dyDescent="0.25">
      <c r="A510" s="5">
        <v>29</v>
      </c>
      <c r="B510" t="s">
        <v>12</v>
      </c>
      <c r="C510" s="6">
        <f>IF(Tabelle18[[#This Row],[binding_level_company]]&gt;=1,1,0)</f>
        <v>0</v>
      </c>
      <c r="D510" s="6">
        <f>IFERROR(_xlfn.MAXIFS([1]!Tabelle5[binding_level],[1]!Tabelle5[company_id],Tabelle18[[#This Row],[company_id]],[1]!Tabelle5[value_id],Tabelle18[[#This Row],[value_id]],[1]!Tabelle5[value_present],1),0)</f>
        <v>0</v>
      </c>
      <c r="E510" s="6">
        <f>IFERROR(_xlfn.MAXIFS([1]!Tabelle5[value_points],[1]!Tabelle5[company_id],Tabelle18[[#This Row],[company_id]],[1]!Tabelle5[value_id],Tabelle18[[#This Row],[value_id]]),0)</f>
        <v>0</v>
      </c>
      <c r="F51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0" t="str" cm="1">
        <f t="array" ref="G5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0" s="7" t="str" cm="1">
        <f t="array" ref="H5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1" spans="1:8" x14ac:dyDescent="0.25">
      <c r="A511" s="5">
        <v>29</v>
      </c>
      <c r="B511" t="s">
        <v>13</v>
      </c>
      <c r="C511" s="6">
        <f>IF(Tabelle18[[#This Row],[binding_level_company]]&gt;=1,1,0)</f>
        <v>0</v>
      </c>
      <c r="D511" s="6">
        <f>IFERROR(_xlfn.MAXIFS([1]!Tabelle5[binding_level],[1]!Tabelle5[company_id],Tabelle18[[#This Row],[company_id]],[1]!Tabelle5[value_id],Tabelle18[[#This Row],[value_id]],[1]!Tabelle5[value_present],1),0)</f>
        <v>0</v>
      </c>
      <c r="E511" s="6">
        <f>IFERROR(_xlfn.MAXIFS([1]!Tabelle5[value_points],[1]!Tabelle5[company_id],Tabelle18[[#This Row],[company_id]],[1]!Tabelle5[value_id],Tabelle18[[#This Row],[value_id]]),0)</f>
        <v>0</v>
      </c>
      <c r="F51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1" t="str" cm="1">
        <f t="array" ref="G5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1" s="7" t="str" cm="1">
        <f t="array" ref="H5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2" spans="1:8" x14ac:dyDescent="0.25">
      <c r="A512" s="5">
        <v>29</v>
      </c>
      <c r="B512" t="s">
        <v>14</v>
      </c>
      <c r="C512" s="6">
        <f>IF(Tabelle18[[#This Row],[binding_level_company]]&gt;=1,1,0)</f>
        <v>0</v>
      </c>
      <c r="D512" s="6">
        <f>IFERROR(_xlfn.MAXIFS([1]!Tabelle5[binding_level],[1]!Tabelle5[company_id],Tabelle18[[#This Row],[company_id]],[1]!Tabelle5[value_id],Tabelle18[[#This Row],[value_id]],[1]!Tabelle5[value_present],1),0)</f>
        <v>0</v>
      </c>
      <c r="E512" s="6">
        <f>IFERROR(_xlfn.MAXIFS([1]!Tabelle5[value_points],[1]!Tabelle5[company_id],Tabelle18[[#This Row],[company_id]],[1]!Tabelle5[value_id],Tabelle18[[#This Row],[value_id]]),0)</f>
        <v>0</v>
      </c>
      <c r="F51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2" t="str" cm="1">
        <f t="array" ref="G5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2" s="7" t="str" cm="1">
        <f t="array" ref="H5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3" spans="1:8" x14ac:dyDescent="0.25">
      <c r="A513" s="5">
        <v>29</v>
      </c>
      <c r="B513" t="s">
        <v>15</v>
      </c>
      <c r="C513" s="6">
        <f>IF(Tabelle18[[#This Row],[binding_level_company]]&gt;=1,1,0)</f>
        <v>0</v>
      </c>
      <c r="D513" s="6">
        <f>IFERROR(_xlfn.MAXIFS([1]!Tabelle5[binding_level],[1]!Tabelle5[company_id],Tabelle18[[#This Row],[company_id]],[1]!Tabelle5[value_id],Tabelle18[[#This Row],[value_id]],[1]!Tabelle5[value_present],1),0)</f>
        <v>0</v>
      </c>
      <c r="E513" s="6">
        <f>IFERROR(_xlfn.MAXIFS([1]!Tabelle5[value_points],[1]!Tabelle5[company_id],Tabelle18[[#This Row],[company_id]],[1]!Tabelle5[value_id],Tabelle18[[#This Row],[value_id]]),0)</f>
        <v>0</v>
      </c>
      <c r="F51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3" t="str" cm="1">
        <f t="array" ref="G5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3" s="7" t="str" cm="1">
        <f t="array" ref="H5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4" spans="1:8" x14ac:dyDescent="0.25">
      <c r="A514" s="5">
        <v>29</v>
      </c>
      <c r="B514" t="s">
        <v>16</v>
      </c>
      <c r="C514" s="6">
        <f>IF(Tabelle18[[#This Row],[binding_level_company]]&gt;=1,1,0)</f>
        <v>0</v>
      </c>
      <c r="D514" s="6">
        <f>IFERROR(_xlfn.MAXIFS([1]!Tabelle5[binding_level],[1]!Tabelle5[company_id],Tabelle18[[#This Row],[company_id]],[1]!Tabelle5[value_id],Tabelle18[[#This Row],[value_id]],[1]!Tabelle5[value_present],1),0)</f>
        <v>0</v>
      </c>
      <c r="E514" s="6">
        <f>IFERROR(_xlfn.MAXIFS([1]!Tabelle5[value_points],[1]!Tabelle5[company_id],Tabelle18[[#This Row],[company_id]],[1]!Tabelle5[value_id],Tabelle18[[#This Row],[value_id]]),0)</f>
        <v>0</v>
      </c>
      <c r="F51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4" t="str" cm="1">
        <f t="array" ref="G5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4" s="7" t="str" cm="1">
        <f t="array" ref="H5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5" spans="1:8" x14ac:dyDescent="0.25">
      <c r="A515" s="5">
        <v>29</v>
      </c>
      <c r="B515" t="s">
        <v>17</v>
      </c>
      <c r="C515" s="6">
        <f>IF(Tabelle18[[#This Row],[binding_level_company]]&gt;=1,1,0)</f>
        <v>0</v>
      </c>
      <c r="D515" s="6">
        <f>IFERROR(_xlfn.MAXIFS([1]!Tabelle5[binding_level],[1]!Tabelle5[company_id],Tabelle18[[#This Row],[company_id]],[1]!Tabelle5[value_id],Tabelle18[[#This Row],[value_id]],[1]!Tabelle5[value_present],1),0)</f>
        <v>0</v>
      </c>
      <c r="E515" s="6">
        <f>IFERROR(_xlfn.MAXIFS([1]!Tabelle5[value_points],[1]!Tabelle5[company_id],Tabelle18[[#This Row],[company_id]],[1]!Tabelle5[value_id],Tabelle18[[#This Row],[value_id]]),0)</f>
        <v>0</v>
      </c>
      <c r="F51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5" t="str" cm="1">
        <f t="array" ref="G5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5" s="7" t="str" cm="1">
        <f t="array" ref="H5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6" spans="1:8" x14ac:dyDescent="0.25">
      <c r="A516" s="5">
        <v>29</v>
      </c>
      <c r="B516" t="s">
        <v>18</v>
      </c>
      <c r="C516" s="6">
        <f>IF(Tabelle18[[#This Row],[binding_level_company]]&gt;=1,1,0)</f>
        <v>0</v>
      </c>
      <c r="D516" s="6">
        <f>IFERROR(_xlfn.MAXIFS([1]!Tabelle5[binding_level],[1]!Tabelle5[company_id],Tabelle18[[#This Row],[company_id]],[1]!Tabelle5[value_id],Tabelle18[[#This Row],[value_id]],[1]!Tabelle5[value_present],1),0)</f>
        <v>0</v>
      </c>
      <c r="E516" s="6">
        <f>IFERROR(_xlfn.MAXIFS([1]!Tabelle5[value_points],[1]!Tabelle5[company_id],Tabelle18[[#This Row],[company_id]],[1]!Tabelle5[value_id],Tabelle18[[#This Row],[value_id]]),0)</f>
        <v>0</v>
      </c>
      <c r="F51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6" t="str" cm="1">
        <f t="array" ref="G5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6" s="7" t="str" cm="1">
        <f t="array" ref="H5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7" spans="1:8" x14ac:dyDescent="0.25">
      <c r="A517" s="5">
        <v>29</v>
      </c>
      <c r="B517" t="s">
        <v>19</v>
      </c>
      <c r="C517" s="6">
        <f>IF(Tabelle18[[#This Row],[binding_level_company]]&gt;=1,1,0)</f>
        <v>0</v>
      </c>
      <c r="D517" s="6">
        <f>IFERROR(_xlfn.MAXIFS([1]!Tabelle5[binding_level],[1]!Tabelle5[company_id],Tabelle18[[#This Row],[company_id]],[1]!Tabelle5[value_id],Tabelle18[[#This Row],[value_id]],[1]!Tabelle5[value_present],1),0)</f>
        <v>0</v>
      </c>
      <c r="E517" s="6">
        <f>IFERROR(_xlfn.MAXIFS([1]!Tabelle5[value_points],[1]!Tabelle5[company_id],Tabelle18[[#This Row],[company_id]],[1]!Tabelle5[value_id],Tabelle18[[#This Row],[value_id]]),0)</f>
        <v>0</v>
      </c>
      <c r="F51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7" t="str" cm="1">
        <f t="array" ref="G5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7" s="7" t="str" cm="1">
        <f t="array" ref="H5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8" spans="1:8" x14ac:dyDescent="0.25">
      <c r="A518" s="5">
        <v>29</v>
      </c>
      <c r="B518" t="s">
        <v>20</v>
      </c>
      <c r="C518" s="6">
        <f>IF(Tabelle18[[#This Row],[binding_level_company]]&gt;=1,1,0)</f>
        <v>0</v>
      </c>
      <c r="D518" s="6">
        <f>IFERROR(_xlfn.MAXIFS([1]!Tabelle5[binding_level],[1]!Tabelle5[company_id],Tabelle18[[#This Row],[company_id]],[1]!Tabelle5[value_id],Tabelle18[[#This Row],[value_id]],[1]!Tabelle5[value_present],1),0)</f>
        <v>0</v>
      </c>
      <c r="E518" s="6">
        <f>IFERROR(_xlfn.MAXIFS([1]!Tabelle5[value_points],[1]!Tabelle5[company_id],Tabelle18[[#This Row],[company_id]],[1]!Tabelle5[value_id],Tabelle18[[#This Row],[value_id]]),0)</f>
        <v>0</v>
      </c>
      <c r="F51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8" t="str" cm="1">
        <f t="array" ref="G5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8" s="7" t="str" cm="1">
        <f t="array" ref="H5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19" spans="1:8" x14ac:dyDescent="0.25">
      <c r="A519" s="5">
        <v>29</v>
      </c>
      <c r="B519" t="s">
        <v>21</v>
      </c>
      <c r="C519" s="6">
        <f>IF(Tabelle18[[#This Row],[binding_level_company]]&gt;=1,1,0)</f>
        <v>0</v>
      </c>
      <c r="D519" s="6">
        <f>IFERROR(_xlfn.MAXIFS([1]!Tabelle5[binding_level],[1]!Tabelle5[company_id],Tabelle18[[#This Row],[company_id]],[1]!Tabelle5[value_id],Tabelle18[[#This Row],[value_id]],[1]!Tabelle5[value_present],1),0)</f>
        <v>0</v>
      </c>
      <c r="E519" s="6">
        <f>IFERROR(_xlfn.MAXIFS([1]!Tabelle5[value_points],[1]!Tabelle5[company_id],Tabelle18[[#This Row],[company_id]],[1]!Tabelle5[value_id],Tabelle18[[#This Row],[value_id]]),0)</f>
        <v>0</v>
      </c>
      <c r="F51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19" t="str" cm="1">
        <f t="array" ref="G5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19" s="7" t="str" cm="1">
        <f t="array" ref="H5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0" spans="1:8" x14ac:dyDescent="0.25">
      <c r="A520" s="5">
        <v>29</v>
      </c>
      <c r="B520" t="s">
        <v>22</v>
      </c>
      <c r="C520" s="6">
        <f>IF(Tabelle18[[#This Row],[binding_level_company]]&gt;=1,1,0)</f>
        <v>0</v>
      </c>
      <c r="D520" s="6">
        <f>IFERROR(_xlfn.MAXIFS([1]!Tabelle5[binding_level],[1]!Tabelle5[company_id],Tabelle18[[#This Row],[company_id]],[1]!Tabelle5[value_id],Tabelle18[[#This Row],[value_id]],[1]!Tabelle5[value_present],1),0)</f>
        <v>0</v>
      </c>
      <c r="E520" s="6">
        <f>IFERROR(_xlfn.MAXIFS([1]!Tabelle5[value_points],[1]!Tabelle5[company_id],Tabelle18[[#This Row],[company_id]],[1]!Tabelle5[value_id],Tabelle18[[#This Row],[value_id]]),0)</f>
        <v>0</v>
      </c>
      <c r="F52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0" t="str" cm="1">
        <f t="array" ref="G5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0" s="7" t="str" cm="1">
        <f t="array" ref="H5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1" spans="1:8" x14ac:dyDescent="0.25">
      <c r="A521" s="5">
        <v>29</v>
      </c>
      <c r="B521" t="s">
        <v>23</v>
      </c>
      <c r="C521" s="6">
        <f>IF(Tabelle18[[#This Row],[binding_level_company]]&gt;=1,1,0)</f>
        <v>0</v>
      </c>
      <c r="D521" s="6">
        <f>IFERROR(_xlfn.MAXIFS([1]!Tabelle5[binding_level],[1]!Tabelle5[company_id],Tabelle18[[#This Row],[company_id]],[1]!Tabelle5[value_id],Tabelle18[[#This Row],[value_id]],[1]!Tabelle5[value_present],1),0)</f>
        <v>0</v>
      </c>
      <c r="E521" s="6">
        <f>IFERROR(_xlfn.MAXIFS([1]!Tabelle5[value_points],[1]!Tabelle5[company_id],Tabelle18[[#This Row],[company_id]],[1]!Tabelle5[value_id],Tabelle18[[#This Row],[value_id]]),0)</f>
        <v>0</v>
      </c>
      <c r="F52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1" t="str" cm="1">
        <f t="array" ref="G5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1" s="7" t="str" cm="1">
        <f t="array" ref="H5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2" spans="1:8" x14ac:dyDescent="0.25">
      <c r="A522" s="5">
        <v>29</v>
      </c>
      <c r="B522" t="s">
        <v>24</v>
      </c>
      <c r="C522" s="6">
        <f>IF(Tabelle18[[#This Row],[binding_level_company]]&gt;=1,1,0)</f>
        <v>0</v>
      </c>
      <c r="D522" s="6">
        <f>IFERROR(_xlfn.MAXIFS([1]!Tabelle5[binding_level],[1]!Tabelle5[company_id],Tabelle18[[#This Row],[company_id]],[1]!Tabelle5[value_id],Tabelle18[[#This Row],[value_id]],[1]!Tabelle5[value_present],1),0)</f>
        <v>0</v>
      </c>
      <c r="E522" s="6">
        <f>IFERROR(_xlfn.MAXIFS([1]!Tabelle5[value_points],[1]!Tabelle5[company_id],Tabelle18[[#This Row],[company_id]],[1]!Tabelle5[value_id],Tabelle18[[#This Row],[value_id]]),0)</f>
        <v>0</v>
      </c>
      <c r="F52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2" t="str" cm="1">
        <f t="array" ref="G52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2" s="7" t="str" cm="1">
        <f t="array" ref="H52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3" spans="1:8" ht="15.75" thickBot="1" x14ac:dyDescent="0.3">
      <c r="A523" s="8">
        <v>29</v>
      </c>
      <c r="B523" s="9" t="s">
        <v>25</v>
      </c>
      <c r="C523" s="10">
        <f>IF(Tabelle18[[#This Row],[binding_level_company]]&gt;=1,1,0)</f>
        <v>0</v>
      </c>
      <c r="D523" s="10">
        <f>IFERROR(_xlfn.MAXIFS([1]!Tabelle5[binding_level],[1]!Tabelle5[company_id],Tabelle18[[#This Row],[company_id]],[1]!Tabelle5[value_id],Tabelle18[[#This Row],[value_id]],[1]!Tabelle5[value_present],1),0)</f>
        <v>0</v>
      </c>
      <c r="E523" s="10">
        <f>IFERROR(_xlfn.MAXIFS([1]!Tabelle5[value_points],[1]!Tabelle5[company_id],Tabelle18[[#This Row],[company_id]],[1]!Tabelle5[value_id],Tabelle18[[#This Row],[value_id]]),0)</f>
        <v>0</v>
      </c>
      <c r="F523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3" s="9" t="str" cm="1">
        <f t="array" ref="G52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3" s="11" t="str" cm="1">
        <f t="array" ref="H52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4" spans="1:8" x14ac:dyDescent="0.25">
      <c r="A524" s="1">
        <v>30</v>
      </c>
      <c r="B524" s="2" t="s">
        <v>8</v>
      </c>
      <c r="C524" s="3">
        <f>IF(Tabelle18[[#This Row],[binding_level_company]]&gt;=1,1,0)</f>
        <v>0</v>
      </c>
      <c r="D524" s="3">
        <f>IFERROR(_xlfn.MAXIFS([1]!Tabelle5[binding_level],[1]!Tabelle5[company_id],Tabelle18[[#This Row],[company_id]],[1]!Tabelle5[value_id],Tabelle18[[#This Row],[value_id]],[1]!Tabelle5[value_present],1),0)</f>
        <v>0</v>
      </c>
      <c r="E524" s="3">
        <f>IFERROR(_xlfn.MAXIFS([1]!Tabelle5[value_points],[1]!Tabelle5[company_id],Tabelle18[[#This Row],[company_id]],[1]!Tabelle5[value_id],Tabelle18[[#This Row],[value_id]]),0)</f>
        <v>0</v>
      </c>
      <c r="F524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4" s="2" t="str" cm="1">
        <f t="array" ref="G52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4" s="4" t="str" cm="1">
        <f t="array" ref="H52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5" spans="1:8" x14ac:dyDescent="0.25">
      <c r="A525" s="5">
        <v>30</v>
      </c>
      <c r="B525" t="s">
        <v>9</v>
      </c>
      <c r="C525" s="6">
        <f>IF(Tabelle18[[#This Row],[binding_level_company]]&gt;=1,1,0)</f>
        <v>0</v>
      </c>
      <c r="D525" s="6">
        <f>IFERROR(_xlfn.MAXIFS([1]!Tabelle5[binding_level],[1]!Tabelle5[company_id],Tabelle18[[#This Row],[company_id]],[1]!Tabelle5[value_id],Tabelle18[[#This Row],[value_id]],[1]!Tabelle5[value_present],1),0)</f>
        <v>0</v>
      </c>
      <c r="E525" s="6">
        <f>IFERROR(_xlfn.MAXIFS([1]!Tabelle5[value_points],[1]!Tabelle5[company_id],Tabelle18[[#This Row],[company_id]],[1]!Tabelle5[value_id],Tabelle18[[#This Row],[value_id]]),0)</f>
        <v>0</v>
      </c>
      <c r="F52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5" t="str" cm="1">
        <f t="array" ref="G52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5" s="7" t="str" cm="1">
        <f t="array" ref="H52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6" spans="1:8" x14ac:dyDescent="0.25">
      <c r="A526" s="5">
        <v>30</v>
      </c>
      <c r="B526" t="s">
        <v>10</v>
      </c>
      <c r="C526" s="6">
        <f>IF(Tabelle18[[#This Row],[binding_level_company]]&gt;=1,1,0)</f>
        <v>0</v>
      </c>
      <c r="D526" s="6">
        <f>IFERROR(_xlfn.MAXIFS([1]!Tabelle5[binding_level],[1]!Tabelle5[company_id],Tabelle18[[#This Row],[company_id]],[1]!Tabelle5[value_id],Tabelle18[[#This Row],[value_id]],[1]!Tabelle5[value_present],1),0)</f>
        <v>0</v>
      </c>
      <c r="E526" s="6">
        <f>IFERROR(_xlfn.MAXIFS([1]!Tabelle5[value_points],[1]!Tabelle5[company_id],Tabelle18[[#This Row],[company_id]],[1]!Tabelle5[value_id],Tabelle18[[#This Row],[value_id]]),0)</f>
        <v>0</v>
      </c>
      <c r="F52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6" t="str" cm="1">
        <f t="array" ref="G52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6" s="7" t="str" cm="1">
        <f t="array" ref="H52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7" spans="1:8" x14ac:dyDescent="0.25">
      <c r="A527" s="5">
        <v>30</v>
      </c>
      <c r="B527" t="s">
        <v>11</v>
      </c>
      <c r="C527" s="6">
        <f>IF(Tabelle18[[#This Row],[binding_level_company]]&gt;=1,1,0)</f>
        <v>0</v>
      </c>
      <c r="D527" s="6">
        <f>IFERROR(_xlfn.MAXIFS([1]!Tabelle5[binding_level],[1]!Tabelle5[company_id],Tabelle18[[#This Row],[company_id]],[1]!Tabelle5[value_id],Tabelle18[[#This Row],[value_id]],[1]!Tabelle5[value_present],1),0)</f>
        <v>0</v>
      </c>
      <c r="E527" s="6">
        <f>IFERROR(_xlfn.MAXIFS([1]!Tabelle5[value_points],[1]!Tabelle5[company_id],Tabelle18[[#This Row],[company_id]],[1]!Tabelle5[value_id],Tabelle18[[#This Row],[value_id]]),0)</f>
        <v>0</v>
      </c>
      <c r="F52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7" t="str" cm="1">
        <f t="array" ref="G52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7" s="7" t="str" cm="1">
        <f t="array" ref="H52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8" spans="1:8" x14ac:dyDescent="0.25">
      <c r="A528" s="5">
        <v>30</v>
      </c>
      <c r="B528" t="s">
        <v>12</v>
      </c>
      <c r="C528" s="6">
        <f>IF(Tabelle18[[#This Row],[binding_level_company]]&gt;=1,1,0)</f>
        <v>0</v>
      </c>
      <c r="D528" s="6">
        <f>IFERROR(_xlfn.MAXIFS([1]!Tabelle5[binding_level],[1]!Tabelle5[company_id],Tabelle18[[#This Row],[company_id]],[1]!Tabelle5[value_id],Tabelle18[[#This Row],[value_id]],[1]!Tabelle5[value_present],1),0)</f>
        <v>0</v>
      </c>
      <c r="E528" s="6">
        <f>IFERROR(_xlfn.MAXIFS([1]!Tabelle5[value_points],[1]!Tabelle5[company_id],Tabelle18[[#This Row],[company_id]],[1]!Tabelle5[value_id],Tabelle18[[#This Row],[value_id]]),0)</f>
        <v>0</v>
      </c>
      <c r="F52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8" t="str" cm="1">
        <f t="array" ref="G52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8" s="7" t="str" cm="1">
        <f t="array" ref="H52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29" spans="1:8" x14ac:dyDescent="0.25">
      <c r="A529" s="5">
        <v>30</v>
      </c>
      <c r="B529" t="s">
        <v>13</v>
      </c>
      <c r="C529" s="6">
        <f>IF(Tabelle18[[#This Row],[binding_level_company]]&gt;=1,1,0)</f>
        <v>0</v>
      </c>
      <c r="D529" s="6">
        <f>IFERROR(_xlfn.MAXIFS([1]!Tabelle5[binding_level],[1]!Tabelle5[company_id],Tabelle18[[#This Row],[company_id]],[1]!Tabelle5[value_id],Tabelle18[[#This Row],[value_id]],[1]!Tabelle5[value_present],1),0)</f>
        <v>0</v>
      </c>
      <c r="E529" s="6">
        <f>IFERROR(_xlfn.MAXIFS([1]!Tabelle5[value_points],[1]!Tabelle5[company_id],Tabelle18[[#This Row],[company_id]],[1]!Tabelle5[value_id],Tabelle18[[#This Row],[value_id]]),0)</f>
        <v>0</v>
      </c>
      <c r="F52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29" t="str" cm="1">
        <f t="array" ref="G52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29" s="7" t="str" cm="1">
        <f t="array" ref="H52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0" spans="1:8" x14ac:dyDescent="0.25">
      <c r="A530" s="5">
        <v>30</v>
      </c>
      <c r="B530" t="s">
        <v>14</v>
      </c>
      <c r="C530" s="6">
        <f>IF(Tabelle18[[#This Row],[binding_level_company]]&gt;=1,1,0)</f>
        <v>0</v>
      </c>
      <c r="D530" s="6">
        <f>IFERROR(_xlfn.MAXIFS([1]!Tabelle5[binding_level],[1]!Tabelle5[company_id],Tabelle18[[#This Row],[company_id]],[1]!Tabelle5[value_id],Tabelle18[[#This Row],[value_id]],[1]!Tabelle5[value_present],1),0)</f>
        <v>0</v>
      </c>
      <c r="E530" s="6">
        <f>IFERROR(_xlfn.MAXIFS([1]!Tabelle5[value_points],[1]!Tabelle5[company_id],Tabelle18[[#This Row],[company_id]],[1]!Tabelle5[value_id],Tabelle18[[#This Row],[value_id]]),0)</f>
        <v>0</v>
      </c>
      <c r="F53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0" t="str" cm="1">
        <f t="array" ref="G53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0" s="7" t="str" cm="1">
        <f t="array" ref="H53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1" spans="1:8" x14ac:dyDescent="0.25">
      <c r="A531" s="5">
        <v>30</v>
      </c>
      <c r="B531" t="s">
        <v>15</v>
      </c>
      <c r="C531" s="6">
        <f>IF(Tabelle18[[#This Row],[binding_level_company]]&gt;=1,1,0)</f>
        <v>0</v>
      </c>
      <c r="D531" s="6">
        <f>IFERROR(_xlfn.MAXIFS([1]!Tabelle5[binding_level],[1]!Tabelle5[company_id],Tabelle18[[#This Row],[company_id]],[1]!Tabelle5[value_id],Tabelle18[[#This Row],[value_id]],[1]!Tabelle5[value_present],1),0)</f>
        <v>0</v>
      </c>
      <c r="E531" s="6">
        <f>IFERROR(_xlfn.MAXIFS([1]!Tabelle5[value_points],[1]!Tabelle5[company_id],Tabelle18[[#This Row],[company_id]],[1]!Tabelle5[value_id],Tabelle18[[#This Row],[value_id]]),0)</f>
        <v>0</v>
      </c>
      <c r="F53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1" t="str" cm="1">
        <f t="array" ref="G53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1" s="7" t="str" cm="1">
        <f t="array" ref="H53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2" spans="1:8" x14ac:dyDescent="0.25">
      <c r="A532" s="5">
        <v>30</v>
      </c>
      <c r="B532" t="s">
        <v>16</v>
      </c>
      <c r="C532" s="6">
        <f>IF(Tabelle18[[#This Row],[binding_level_company]]&gt;=1,1,0)</f>
        <v>0</v>
      </c>
      <c r="D532" s="6">
        <f>IFERROR(_xlfn.MAXIFS([1]!Tabelle5[binding_level],[1]!Tabelle5[company_id],Tabelle18[[#This Row],[company_id]],[1]!Tabelle5[value_id],Tabelle18[[#This Row],[value_id]],[1]!Tabelle5[value_present],1),0)</f>
        <v>0</v>
      </c>
      <c r="E532" s="6">
        <f>IFERROR(_xlfn.MAXIFS([1]!Tabelle5[value_points],[1]!Tabelle5[company_id],Tabelle18[[#This Row],[company_id]],[1]!Tabelle5[value_id],Tabelle18[[#This Row],[value_id]]),0)</f>
        <v>0</v>
      </c>
      <c r="F53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2" t="str" cm="1">
        <f t="array" ref="G53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2" s="7" t="str" cm="1">
        <f t="array" ref="H53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3" spans="1:8" x14ac:dyDescent="0.25">
      <c r="A533" s="5">
        <v>30</v>
      </c>
      <c r="B533" t="s">
        <v>17</v>
      </c>
      <c r="C533" s="6">
        <f>IF(Tabelle18[[#This Row],[binding_level_company]]&gt;=1,1,0)</f>
        <v>0</v>
      </c>
      <c r="D533" s="6">
        <f>IFERROR(_xlfn.MAXIFS([1]!Tabelle5[binding_level],[1]!Tabelle5[company_id],Tabelle18[[#This Row],[company_id]],[1]!Tabelle5[value_id],Tabelle18[[#This Row],[value_id]],[1]!Tabelle5[value_present],1),0)</f>
        <v>0</v>
      </c>
      <c r="E533" s="6">
        <f>IFERROR(_xlfn.MAXIFS([1]!Tabelle5[value_points],[1]!Tabelle5[company_id],Tabelle18[[#This Row],[company_id]],[1]!Tabelle5[value_id],Tabelle18[[#This Row],[value_id]]),0)</f>
        <v>0</v>
      </c>
      <c r="F53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3" t="str" cm="1">
        <f t="array" ref="G53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3" s="7" t="str" cm="1">
        <f t="array" ref="H53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4" spans="1:8" x14ac:dyDescent="0.25">
      <c r="A534" s="5">
        <v>30</v>
      </c>
      <c r="B534" t="s">
        <v>18</v>
      </c>
      <c r="C534" s="6">
        <f>IF(Tabelle18[[#This Row],[binding_level_company]]&gt;=1,1,0)</f>
        <v>0</v>
      </c>
      <c r="D534" s="6">
        <f>IFERROR(_xlfn.MAXIFS([1]!Tabelle5[binding_level],[1]!Tabelle5[company_id],Tabelle18[[#This Row],[company_id]],[1]!Tabelle5[value_id],Tabelle18[[#This Row],[value_id]],[1]!Tabelle5[value_present],1),0)</f>
        <v>0</v>
      </c>
      <c r="E534" s="6">
        <f>IFERROR(_xlfn.MAXIFS([1]!Tabelle5[value_points],[1]!Tabelle5[company_id],Tabelle18[[#This Row],[company_id]],[1]!Tabelle5[value_id],Tabelle18[[#This Row],[value_id]]),0)</f>
        <v>0</v>
      </c>
      <c r="F53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4" t="str" cm="1">
        <f t="array" ref="G53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4" s="7" t="str" cm="1">
        <f t="array" ref="H53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5" spans="1:8" x14ac:dyDescent="0.25">
      <c r="A535" s="5">
        <v>30</v>
      </c>
      <c r="B535" t="s">
        <v>19</v>
      </c>
      <c r="C535" s="6">
        <f>IF(Tabelle18[[#This Row],[binding_level_company]]&gt;=1,1,0)</f>
        <v>0</v>
      </c>
      <c r="D535" s="6">
        <f>IFERROR(_xlfn.MAXIFS([1]!Tabelle5[binding_level],[1]!Tabelle5[company_id],Tabelle18[[#This Row],[company_id]],[1]!Tabelle5[value_id],Tabelle18[[#This Row],[value_id]],[1]!Tabelle5[value_present],1),0)</f>
        <v>0</v>
      </c>
      <c r="E535" s="6">
        <f>IFERROR(_xlfn.MAXIFS([1]!Tabelle5[value_points],[1]!Tabelle5[company_id],Tabelle18[[#This Row],[company_id]],[1]!Tabelle5[value_id],Tabelle18[[#This Row],[value_id]]),0)</f>
        <v>0</v>
      </c>
      <c r="F53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5" t="str" cm="1">
        <f t="array" ref="G53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5" s="7" t="str" cm="1">
        <f t="array" ref="H53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6" spans="1:8" x14ac:dyDescent="0.25">
      <c r="A536" s="5">
        <v>30</v>
      </c>
      <c r="B536" t="s">
        <v>20</v>
      </c>
      <c r="C536" s="6">
        <f>IF(Tabelle18[[#This Row],[binding_level_company]]&gt;=1,1,0)</f>
        <v>0</v>
      </c>
      <c r="D536" s="6">
        <f>IFERROR(_xlfn.MAXIFS([1]!Tabelle5[binding_level],[1]!Tabelle5[company_id],Tabelle18[[#This Row],[company_id]],[1]!Tabelle5[value_id],Tabelle18[[#This Row],[value_id]],[1]!Tabelle5[value_present],1),0)</f>
        <v>0</v>
      </c>
      <c r="E536" s="6">
        <f>IFERROR(_xlfn.MAXIFS([1]!Tabelle5[value_points],[1]!Tabelle5[company_id],Tabelle18[[#This Row],[company_id]],[1]!Tabelle5[value_id],Tabelle18[[#This Row],[value_id]]),0)</f>
        <v>0</v>
      </c>
      <c r="F53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6" t="str" cm="1">
        <f t="array" ref="G53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6" s="7" t="str" cm="1">
        <f t="array" ref="H53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7" spans="1:8" x14ac:dyDescent="0.25">
      <c r="A537" s="5">
        <v>30</v>
      </c>
      <c r="B537" t="s">
        <v>21</v>
      </c>
      <c r="C537" s="6">
        <f>IF(Tabelle18[[#This Row],[binding_level_company]]&gt;=1,1,0)</f>
        <v>0</v>
      </c>
      <c r="D537" s="6">
        <f>IFERROR(_xlfn.MAXIFS([1]!Tabelle5[binding_level],[1]!Tabelle5[company_id],Tabelle18[[#This Row],[company_id]],[1]!Tabelle5[value_id],Tabelle18[[#This Row],[value_id]],[1]!Tabelle5[value_present],1),0)</f>
        <v>0</v>
      </c>
      <c r="E537" s="6">
        <f>IFERROR(_xlfn.MAXIFS([1]!Tabelle5[value_points],[1]!Tabelle5[company_id],Tabelle18[[#This Row],[company_id]],[1]!Tabelle5[value_id],Tabelle18[[#This Row],[value_id]]),0)</f>
        <v>0</v>
      </c>
      <c r="F53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7" t="str" cm="1">
        <f t="array" ref="G53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7" s="7" t="str" cm="1">
        <f t="array" ref="H53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8" spans="1:8" x14ac:dyDescent="0.25">
      <c r="A538" s="5">
        <v>30</v>
      </c>
      <c r="B538" t="s">
        <v>22</v>
      </c>
      <c r="C538" s="6">
        <f>IF(Tabelle18[[#This Row],[binding_level_company]]&gt;=1,1,0)</f>
        <v>0</v>
      </c>
      <c r="D538" s="6">
        <f>IFERROR(_xlfn.MAXIFS([1]!Tabelle5[binding_level],[1]!Tabelle5[company_id],Tabelle18[[#This Row],[company_id]],[1]!Tabelle5[value_id],Tabelle18[[#This Row],[value_id]],[1]!Tabelle5[value_present],1),0)</f>
        <v>0</v>
      </c>
      <c r="E538" s="6">
        <f>IFERROR(_xlfn.MAXIFS([1]!Tabelle5[value_points],[1]!Tabelle5[company_id],Tabelle18[[#This Row],[company_id]],[1]!Tabelle5[value_id],Tabelle18[[#This Row],[value_id]]),0)</f>
        <v>0</v>
      </c>
      <c r="F53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8" t="str" cm="1">
        <f t="array" ref="G53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8" s="7" t="str" cm="1">
        <f t="array" ref="H53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39" spans="1:8" x14ac:dyDescent="0.25">
      <c r="A539" s="5">
        <v>30</v>
      </c>
      <c r="B539" t="s">
        <v>23</v>
      </c>
      <c r="C539" s="6">
        <f>IF(Tabelle18[[#This Row],[binding_level_company]]&gt;=1,1,0)</f>
        <v>0</v>
      </c>
      <c r="D539" s="6">
        <f>IFERROR(_xlfn.MAXIFS([1]!Tabelle5[binding_level],[1]!Tabelle5[company_id],Tabelle18[[#This Row],[company_id]],[1]!Tabelle5[value_id],Tabelle18[[#This Row],[value_id]],[1]!Tabelle5[value_present],1),0)</f>
        <v>0</v>
      </c>
      <c r="E539" s="6">
        <f>IFERROR(_xlfn.MAXIFS([1]!Tabelle5[value_points],[1]!Tabelle5[company_id],Tabelle18[[#This Row],[company_id]],[1]!Tabelle5[value_id],Tabelle18[[#This Row],[value_id]]),0)</f>
        <v>0</v>
      </c>
      <c r="F53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39" t="str" cm="1">
        <f t="array" ref="G53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39" s="7" t="str" cm="1">
        <f t="array" ref="H53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40" spans="1:8" x14ac:dyDescent="0.25">
      <c r="A540" s="5">
        <v>30</v>
      </c>
      <c r="B540" t="s">
        <v>24</v>
      </c>
      <c r="C540" s="6">
        <f>IF(Tabelle18[[#This Row],[binding_level_company]]&gt;=1,1,0)</f>
        <v>0</v>
      </c>
      <c r="D540" s="6">
        <f>IFERROR(_xlfn.MAXIFS([1]!Tabelle5[binding_level],[1]!Tabelle5[company_id],Tabelle18[[#This Row],[company_id]],[1]!Tabelle5[value_id],Tabelle18[[#This Row],[value_id]],[1]!Tabelle5[value_present],1),0)</f>
        <v>0</v>
      </c>
      <c r="E540" s="6">
        <f>IFERROR(_xlfn.MAXIFS([1]!Tabelle5[value_points],[1]!Tabelle5[company_id],Tabelle18[[#This Row],[company_id]],[1]!Tabelle5[value_id],Tabelle18[[#This Row],[value_id]]),0)</f>
        <v>0</v>
      </c>
      <c r="F54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40" t="str" cm="1">
        <f t="array" ref="G54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40" s="7" t="str" cm="1">
        <f t="array" ref="H54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41" spans="1:8" ht="15.75" thickBot="1" x14ac:dyDescent="0.3">
      <c r="A541" s="8">
        <v>30</v>
      </c>
      <c r="B541" s="9" t="s">
        <v>25</v>
      </c>
      <c r="C541" s="10">
        <f>IF(Tabelle18[[#This Row],[binding_level_company]]&gt;=1,1,0)</f>
        <v>0</v>
      </c>
      <c r="D541" s="10">
        <f>IFERROR(_xlfn.MAXIFS([1]!Tabelle5[binding_level],[1]!Tabelle5[company_id],Tabelle18[[#This Row],[company_id]],[1]!Tabelle5[value_id],Tabelle18[[#This Row],[value_id]],[1]!Tabelle5[value_present],1),0)</f>
        <v>0</v>
      </c>
      <c r="E541" s="10">
        <f>IFERROR(_xlfn.MAXIFS([1]!Tabelle5[value_points],[1]!Tabelle5[company_id],Tabelle18[[#This Row],[company_id]],[1]!Tabelle5[value_id],Tabelle18[[#This Row],[value_id]]),0)</f>
        <v>0</v>
      </c>
      <c r="F541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41" s="9" t="str" cm="1">
        <f t="array" ref="G54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41" s="11" t="str" cm="1">
        <f t="array" ref="H54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42" spans="1:8" x14ac:dyDescent="0.25">
      <c r="A542" s="1">
        <v>31</v>
      </c>
      <c r="B542" s="2" t="s">
        <v>8</v>
      </c>
      <c r="C542" s="3">
        <f>IF(Tabelle18[[#This Row],[binding_level_company]]&gt;=1,1,0)</f>
        <v>1</v>
      </c>
      <c r="D542" s="3">
        <f>IFERROR(_xlfn.MAXIFS([1]!Tabelle5[binding_level],[1]!Tabelle5[company_id],Tabelle18[[#This Row],[company_id]],[1]!Tabelle5[value_id],Tabelle18[[#This Row],[value_id]],[1]!Tabelle5[value_present],1),0)</f>
        <v>2</v>
      </c>
      <c r="E542" s="3">
        <f>IFERROR(_xlfn.MAXIFS([1]!Tabelle5[value_points],[1]!Tabelle5[company_id],Tabelle18[[#This Row],[company_id]],[1]!Tabelle5[value_id],Tabelle18[[#This Row],[value_id]]),0)</f>
        <v>2</v>
      </c>
      <c r="F542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42" s="2" t="str" cm="1">
        <f t="array" ref="G54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„Human-Centricity“ / Einleitung</v>
      </c>
      <c r="H542" s="4" t="str" cm="1">
        <f t="array" ref="H54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“our AI standards place people firmly at the heart of the process”; “AI systems are always controlled and supervised”</v>
      </c>
    </row>
    <row r="543" spans="1:8" x14ac:dyDescent="0.25">
      <c r="A543" s="5">
        <v>31</v>
      </c>
      <c r="B543" t="s">
        <v>9</v>
      </c>
      <c r="C543" s="6">
        <f>IF(Tabelle18[[#This Row],[binding_level_company]]&gt;=1,1,0)</f>
        <v>0</v>
      </c>
      <c r="D543" s="6">
        <f>IFERROR(_xlfn.MAXIFS([1]!Tabelle5[binding_level],[1]!Tabelle5[company_id],Tabelle18[[#This Row],[company_id]],[1]!Tabelle5[value_id],Tabelle18[[#This Row],[value_id]],[1]!Tabelle5[value_present],1),0)</f>
        <v>0</v>
      </c>
      <c r="E543" s="6">
        <f>IFERROR(_xlfn.MAXIFS([1]!Tabelle5[value_points],[1]!Tabelle5[company_id],Tabelle18[[#This Row],[company_id]],[1]!Tabelle5[value_id],Tabelle18[[#This Row],[value_id]]),0)</f>
        <v>0</v>
      </c>
      <c r="F54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43" t="str" cm="1">
        <f t="array" ref="G54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43" s="7" t="str" cm="1">
        <f t="array" ref="H54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44" spans="1:8" x14ac:dyDescent="0.25">
      <c r="A544" s="5">
        <v>31</v>
      </c>
      <c r="B544" t="s">
        <v>10</v>
      </c>
      <c r="C544" s="6">
        <f>IF(Tabelle18[[#This Row],[binding_level_company]]&gt;=1,1,0)</f>
        <v>1</v>
      </c>
      <c r="D544" s="6">
        <f>IFERROR(_xlfn.MAXIFS([1]!Tabelle5[binding_level],[1]!Tabelle5[company_id],Tabelle18[[#This Row],[company_id]],[1]!Tabelle5[value_id],Tabelle18[[#This Row],[value_id]],[1]!Tabelle5[value_present],1),0)</f>
        <v>2</v>
      </c>
      <c r="E544" s="6">
        <f>IFERROR(_xlfn.MAXIFS([1]!Tabelle5[value_points],[1]!Tabelle5[company_id],Tabelle18[[#This Row],[company_id]],[1]!Tabelle5[value_id],Tabelle18[[#This Row],[value_id]]),0)</f>
        <v>2</v>
      </c>
      <c r="F54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44" t="str" cm="1">
        <f t="array" ref="G54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„Transparency &amp; Explainability“</v>
      </c>
      <c r="H544" s="7" t="str" cm="1">
        <f t="array" ref="H54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“purpose, application, and results of our AI are comprehensible”</v>
      </c>
    </row>
    <row r="545" spans="1:8" x14ac:dyDescent="0.25">
      <c r="A545" s="5">
        <v>31</v>
      </c>
      <c r="B545" t="s">
        <v>11</v>
      </c>
      <c r="C545" s="6">
        <f>IF(Tabelle18[[#This Row],[binding_level_company]]&gt;=1,1,0)</f>
        <v>1</v>
      </c>
      <c r="D545" s="6">
        <f>IFERROR(_xlfn.MAXIFS([1]!Tabelle5[binding_level],[1]!Tabelle5[company_id],Tabelle18[[#This Row],[company_id]],[1]!Tabelle5[value_id],Tabelle18[[#This Row],[value_id]],[1]!Tabelle5[value_present],1),0)</f>
        <v>2</v>
      </c>
      <c r="E545" s="6">
        <f>IFERROR(_xlfn.MAXIFS([1]!Tabelle5[value_points],[1]!Tabelle5[company_id],Tabelle18[[#This Row],[company_id]],[1]!Tabelle5[value_id],Tabelle18[[#This Row],[value_id]]),0)</f>
        <v>2</v>
      </c>
      <c r="F54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45" t="str" cm="1">
        <f t="array" ref="G54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„Transparency &amp; Explainability“</v>
      </c>
      <c r="H545" s="7" t="str" cm="1">
        <f t="array" ref="H54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“understandable, and communicated openly”</v>
      </c>
    </row>
    <row r="546" spans="1:8" x14ac:dyDescent="0.25">
      <c r="A546" s="5">
        <v>31</v>
      </c>
      <c r="B546" t="s">
        <v>12</v>
      </c>
      <c r="C546" s="6">
        <f>IF(Tabelle18[[#This Row],[binding_level_company]]&gt;=1,1,0)</f>
        <v>1</v>
      </c>
      <c r="D546" s="6">
        <f>IFERROR(_xlfn.MAXIFS([1]!Tabelle5[binding_level],[1]!Tabelle5[company_id],Tabelle18[[#This Row],[company_id]],[1]!Tabelle5[value_id],Tabelle18[[#This Row],[value_id]],[1]!Tabelle5[value_present],1),0)</f>
        <v>2</v>
      </c>
      <c r="E546" s="6">
        <f>IFERROR(_xlfn.MAXIFS([1]!Tabelle5[value_points],[1]!Tabelle5[company_id],Tabelle18[[#This Row],[company_id]],[1]!Tabelle5[value_id],Tabelle18[[#This Row],[value_id]]),0)</f>
        <v>2</v>
      </c>
      <c r="F54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46" t="str" cm="1">
        <f t="array" ref="G54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„Diversity, Equity &amp; Inclusion“</v>
      </c>
      <c r="H546" s="7" t="str" cm="1">
        <f t="array" ref="H54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“actively prevents discrimination”</v>
      </c>
    </row>
    <row r="547" spans="1:8" x14ac:dyDescent="0.25">
      <c r="A547" s="5">
        <v>31</v>
      </c>
      <c r="B547" t="s">
        <v>13</v>
      </c>
      <c r="C547" s="6">
        <f>IF(Tabelle18[[#This Row],[binding_level_company]]&gt;=1,1,0)</f>
        <v>1</v>
      </c>
      <c r="D547" s="6">
        <f>IFERROR(_xlfn.MAXIFS([1]!Tabelle5[binding_level],[1]!Tabelle5[company_id],Tabelle18[[#This Row],[company_id]],[1]!Tabelle5[value_id],Tabelle18[[#This Row],[value_id]],[1]!Tabelle5[value_present],1),0)</f>
        <v>3</v>
      </c>
      <c r="E547" s="6">
        <f>IFERROR(_xlfn.MAXIFS([1]!Tabelle5[value_points],[1]!Tabelle5[company_id],Tabelle18[[#This Row],[company_id]],[1]!Tabelle5[value_id],Tabelle18[[#This Row],[value_id]]),0)</f>
        <v>3</v>
      </c>
      <c r="F54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47" t="str" cm="1">
        <f t="array" ref="G54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„Data Protection &amp; Cybersecurity“</v>
      </c>
      <c r="H547" s="7" t="str" cm="1">
        <f t="array" ref="H54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“follow a ‘privacy/security by design’ approach”</v>
      </c>
    </row>
    <row r="548" spans="1:8" x14ac:dyDescent="0.25">
      <c r="A548" s="5">
        <v>31</v>
      </c>
      <c r="B548" t="s">
        <v>14</v>
      </c>
      <c r="C548" s="6">
        <f>IF(Tabelle18[[#This Row],[binding_level_company]]&gt;=1,1,0)</f>
        <v>1</v>
      </c>
      <c r="D548" s="6">
        <f>IFERROR(_xlfn.MAXIFS([1]!Tabelle5[binding_level],[1]!Tabelle5[company_id],Tabelle18[[#This Row],[company_id]],[1]!Tabelle5[value_id],Tabelle18[[#This Row],[value_id]],[1]!Tabelle5[value_present],1),0)</f>
        <v>3</v>
      </c>
      <c r="E548" s="6">
        <f>IFERROR(_xlfn.MAXIFS([1]!Tabelle5[value_points],[1]!Tabelle5[company_id],Tabelle18[[#This Row],[company_id]],[1]!Tabelle5[value_id],Tabelle18[[#This Row],[value_id]]),0)</f>
        <v>3</v>
      </c>
      <c r="F54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48" t="str" cm="1">
        <f t="array" ref="G54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„Reliability, Safety &amp; Quality“ / „Data Protection &amp; Cybersecurity“</v>
      </c>
      <c r="H548" s="7" t="str" cm="1">
        <f t="array" ref="H54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“secure AI infrastructure”; “follow a ‘privacy/security by design’ approach”</v>
      </c>
    </row>
    <row r="549" spans="1:8" x14ac:dyDescent="0.25">
      <c r="A549" s="5">
        <v>31</v>
      </c>
      <c r="B549" t="s">
        <v>15</v>
      </c>
      <c r="C549" s="6">
        <f>IF(Tabelle18[[#This Row],[binding_level_company]]&gt;=1,1,0)</f>
        <v>1</v>
      </c>
      <c r="D549" s="6">
        <f>IFERROR(_xlfn.MAXIFS([1]!Tabelle5[binding_level],[1]!Tabelle5[company_id],Tabelle18[[#This Row],[company_id]],[1]!Tabelle5[value_id],Tabelle18[[#This Row],[value_id]],[1]!Tabelle5[value_present],1),0)</f>
        <v>3</v>
      </c>
      <c r="E549" s="6">
        <f>IFERROR(_xlfn.MAXIFS([1]!Tabelle5[value_points],[1]!Tabelle5[company_id],Tabelle18[[#This Row],[company_id]],[1]!Tabelle5[value_id],Tabelle18[[#This Row],[value_id]]),0)</f>
        <v>3</v>
      </c>
      <c r="F54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49" t="str" cm="1">
        <f t="array" ref="G54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„Reliability, Safety &amp; Quality“</v>
      </c>
      <c r="H549" s="7" t="str" cm="1">
        <f t="array" ref="H54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“ongoing testing, high-quality data, and continuous monitoring”</v>
      </c>
    </row>
    <row r="550" spans="1:8" x14ac:dyDescent="0.25">
      <c r="A550" s="5">
        <v>31</v>
      </c>
      <c r="B550" t="s">
        <v>16</v>
      </c>
      <c r="C550" s="6">
        <f>IF(Tabelle18[[#This Row],[binding_level_company]]&gt;=1,1,0)</f>
        <v>1</v>
      </c>
      <c r="D550" s="6">
        <f>IFERROR(_xlfn.MAXIFS([1]!Tabelle5[binding_level],[1]!Tabelle5[company_id],Tabelle18[[#This Row],[company_id]],[1]!Tabelle5[value_id],Tabelle18[[#This Row],[value_id]],[1]!Tabelle5[value_present],1),0)</f>
        <v>3</v>
      </c>
      <c r="E550" s="6">
        <f>IFERROR(_xlfn.MAXIFS([1]!Tabelle5[value_points],[1]!Tabelle5[company_id],Tabelle18[[#This Row],[company_id]],[1]!Tabelle5[value_id],Tabelle18[[#This Row],[value_id]]),0)</f>
        <v>3</v>
      </c>
      <c r="F55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50" t="str" cm="1">
        <f t="array" ref="G55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„Reliability, Safety &amp; Quality“</v>
      </c>
      <c r="H550" s="7" t="str" cm="1">
        <f t="array" ref="H55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“ongoing testing, high-quality data, and continuous monitoring”</v>
      </c>
    </row>
    <row r="551" spans="1:8" x14ac:dyDescent="0.25">
      <c r="A551" s="5">
        <v>31</v>
      </c>
      <c r="B551" t="s">
        <v>17</v>
      </c>
      <c r="C551" s="6">
        <f>IF(Tabelle18[[#This Row],[binding_level_company]]&gt;=1,1,0)</f>
        <v>0</v>
      </c>
      <c r="D551" s="6">
        <f>IFERROR(_xlfn.MAXIFS([1]!Tabelle5[binding_level],[1]!Tabelle5[company_id],Tabelle18[[#This Row],[company_id]],[1]!Tabelle5[value_id],Tabelle18[[#This Row],[value_id]],[1]!Tabelle5[value_present],1),0)</f>
        <v>0</v>
      </c>
      <c r="E551" s="6">
        <f>IFERROR(_xlfn.MAXIFS([1]!Tabelle5[value_points],[1]!Tabelle5[company_id],Tabelle18[[#This Row],[company_id]],[1]!Tabelle5[value_id],Tabelle18[[#This Row],[value_id]]),0)</f>
        <v>0</v>
      </c>
      <c r="F55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51" t="str" cm="1">
        <f t="array" ref="G55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51" s="7" t="str" cm="1">
        <f t="array" ref="H55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52" spans="1:8" x14ac:dyDescent="0.25">
      <c r="A552" s="5">
        <v>31</v>
      </c>
      <c r="B552" t="s">
        <v>18</v>
      </c>
      <c r="C552" s="6">
        <f>IF(Tabelle18[[#This Row],[binding_level_company]]&gt;=1,1,0)</f>
        <v>0</v>
      </c>
      <c r="D552" s="6">
        <f>IFERROR(_xlfn.MAXIFS([1]!Tabelle5[binding_level],[1]!Tabelle5[company_id],Tabelle18[[#This Row],[company_id]],[1]!Tabelle5[value_id],Tabelle18[[#This Row],[value_id]],[1]!Tabelle5[value_present],1),0)</f>
        <v>0</v>
      </c>
      <c r="E552" s="6">
        <f>IFERROR(_xlfn.MAXIFS([1]!Tabelle5[value_points],[1]!Tabelle5[company_id],Tabelle18[[#This Row],[company_id]],[1]!Tabelle5[value_id],Tabelle18[[#This Row],[value_id]]),0)</f>
        <v>0</v>
      </c>
      <c r="F55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52" t="str" cm="1">
        <f t="array" ref="G55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52" s="7" t="str" cm="1">
        <f t="array" ref="H55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53" spans="1:8" x14ac:dyDescent="0.25">
      <c r="A553" s="5">
        <v>31</v>
      </c>
      <c r="B553" t="s">
        <v>19</v>
      </c>
      <c r="C553" s="6">
        <f>IF(Tabelle18[[#This Row],[binding_level_company]]&gt;=1,1,0)</f>
        <v>1</v>
      </c>
      <c r="D553" s="6">
        <f>IFERROR(_xlfn.MAXIFS([1]!Tabelle5[binding_level],[1]!Tabelle5[company_id],Tabelle18[[#This Row],[company_id]],[1]!Tabelle5[value_id],Tabelle18[[#This Row],[value_id]],[1]!Tabelle5[value_present],1),0)</f>
        <v>1</v>
      </c>
      <c r="E553" s="6">
        <f>IFERROR(_xlfn.MAXIFS([1]!Tabelle5[value_points],[1]!Tabelle5[company_id],Tabelle18[[#This Row],[company_id]],[1]!Tabelle5[value_id],Tabelle18[[#This Row],[value_id]]),0)</f>
        <v>1</v>
      </c>
      <c r="F55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53" t="str" cm="1">
        <f t="array" ref="G55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Einleitung / Schlussabsatz</v>
      </c>
      <c r="H553" s="7" t="str" cm="1">
        <f t="array" ref="H55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“towards a more sustainable energy future”; “AI supports our efforts to become climate neutral by 2040”</v>
      </c>
    </row>
    <row r="554" spans="1:8" x14ac:dyDescent="0.25">
      <c r="A554" s="5">
        <v>31</v>
      </c>
      <c r="B554" t="s">
        <v>20</v>
      </c>
      <c r="C554" s="6">
        <f>IF(Tabelle18[[#This Row],[binding_level_company]]&gt;=1,1,0)</f>
        <v>1</v>
      </c>
      <c r="D554" s="6">
        <f>IFERROR(_xlfn.MAXIFS([1]!Tabelle5[binding_level],[1]!Tabelle5[company_id],Tabelle18[[#This Row],[company_id]],[1]!Tabelle5[value_id],Tabelle18[[#This Row],[value_id]],[1]!Tabelle5[value_present],1),0)</f>
        <v>1</v>
      </c>
      <c r="E554" s="6">
        <f>IFERROR(_xlfn.MAXIFS([1]!Tabelle5[value_points],[1]!Tabelle5[company_id],Tabelle18[[#This Row],[company_id]],[1]!Tabelle5[value_id],Tabelle18[[#This Row],[value_id]]),0)</f>
        <v>1</v>
      </c>
      <c r="F55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54" t="str" cm="1">
        <f t="array" ref="G55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„Human-Centricity“ / Schlussabsatz</v>
      </c>
      <c r="H554" s="7" t="str" cm="1">
        <f t="array" ref="H55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“the well-being of all stakeholders”; “ensure a reliable and efficient energy supply”</v>
      </c>
    </row>
    <row r="555" spans="1:8" x14ac:dyDescent="0.25">
      <c r="A555" s="5">
        <v>31</v>
      </c>
      <c r="B555" t="s">
        <v>21</v>
      </c>
      <c r="C555" s="6">
        <f>IF(Tabelle18[[#This Row],[binding_level_company]]&gt;=1,1,0)</f>
        <v>1</v>
      </c>
      <c r="D555" s="6">
        <f>IFERROR(_xlfn.MAXIFS([1]!Tabelle5[binding_level],[1]!Tabelle5[company_id],Tabelle18[[#This Row],[company_id]],[1]!Tabelle5[value_id],Tabelle18[[#This Row],[value_id]],[1]!Tabelle5[value_present],1),0)</f>
        <v>2</v>
      </c>
      <c r="E555" s="6">
        <f>IFERROR(_xlfn.MAXIFS([1]!Tabelle5[value_points],[1]!Tabelle5[company_id],Tabelle18[[#This Row],[company_id]],[1]!Tabelle5[value_id],Tabelle18[[#This Row],[value_id]]),0)</f>
        <v>2</v>
      </c>
      <c r="F55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55" t="str" cm="1">
        <f t="array" ref="G55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„Data Protection &amp; Cybersecurity“</v>
      </c>
      <c r="H555" s="7" t="str" cm="1">
        <f t="array" ref="H55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“comply with legal requirements”</v>
      </c>
    </row>
    <row r="556" spans="1:8" x14ac:dyDescent="0.25">
      <c r="A556" s="5">
        <v>31</v>
      </c>
      <c r="B556" t="s">
        <v>22</v>
      </c>
      <c r="C556" s="6">
        <f>IF(Tabelle18[[#This Row],[binding_level_company]]&gt;=1,1,0)</f>
        <v>1</v>
      </c>
      <c r="D556" s="6">
        <f>IFERROR(_xlfn.MAXIFS([1]!Tabelle5[binding_level],[1]!Tabelle5[company_id],Tabelle18[[#This Row],[company_id]],[1]!Tabelle5[value_id],Tabelle18[[#This Row],[value_id]],[1]!Tabelle5[value_present],1),0)</f>
        <v>1</v>
      </c>
      <c r="E556" s="6">
        <f>IFERROR(_xlfn.MAXIFS([1]!Tabelle5[value_points],[1]!Tabelle5[company_id],Tabelle18[[#This Row],[company_id]],[1]!Tabelle5[value_id],Tabelle18[[#This Row],[value_id]]),0)</f>
        <v>1</v>
      </c>
      <c r="F55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56" t="str" cm="1">
        <f t="array" ref="G55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Zwischenüberschrift „Where integrity meets innovation“</v>
      </c>
      <c r="H556" s="7" t="str" cm="1">
        <f t="array" ref="H55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“Where integrity meets innovation”</v>
      </c>
    </row>
    <row r="557" spans="1:8" x14ac:dyDescent="0.25">
      <c r="A557" s="5">
        <v>31</v>
      </c>
      <c r="B557" t="s">
        <v>23</v>
      </c>
      <c r="C557" s="6">
        <f>IF(Tabelle18[[#This Row],[binding_level_company]]&gt;=1,1,0)</f>
        <v>1</v>
      </c>
      <c r="D557" s="6">
        <f>IFERROR(_xlfn.MAXIFS([1]!Tabelle5[binding_level],[1]!Tabelle5[company_id],Tabelle18[[#This Row],[company_id]],[1]!Tabelle5[value_id],Tabelle18[[#This Row],[value_id]],[1]!Tabelle5[value_present],1),0)</f>
        <v>3</v>
      </c>
      <c r="E557" s="6">
        <f>IFERROR(_xlfn.MAXIFS([1]!Tabelle5[value_points],[1]!Tabelle5[company_id],Tabelle18[[#This Row],[company_id]],[1]!Tabelle5[value_id],Tabelle18[[#This Row],[value_id]]),0)</f>
        <v>3</v>
      </c>
      <c r="F55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57" t="str" cm="1">
        <f t="array" ref="G55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„Reliability, Safety &amp; Quality“</v>
      </c>
      <c r="H557" s="7" t="str" cm="1">
        <f t="array" ref="H55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“ongoing testing, high-quality data, and continuous monitoring”; “high-quality data”</v>
      </c>
    </row>
    <row r="558" spans="1:8" x14ac:dyDescent="0.25">
      <c r="A558" s="5">
        <v>31</v>
      </c>
      <c r="B558" t="s">
        <v>24</v>
      </c>
      <c r="C558" s="6">
        <f>IF(Tabelle18[[#This Row],[binding_level_company]]&gt;=1,1,0)</f>
        <v>0</v>
      </c>
      <c r="D558" s="6">
        <f>IFERROR(_xlfn.MAXIFS([1]!Tabelle5[binding_level],[1]!Tabelle5[company_id],Tabelle18[[#This Row],[company_id]],[1]!Tabelle5[value_id],Tabelle18[[#This Row],[value_id]],[1]!Tabelle5[value_present],1),0)</f>
        <v>0</v>
      </c>
      <c r="E558" s="6">
        <f>IFERROR(_xlfn.MAXIFS([1]!Tabelle5[value_points],[1]!Tabelle5[company_id],Tabelle18[[#This Row],[company_id]],[1]!Tabelle5[value_id],Tabelle18[[#This Row],[value_id]]),0)</f>
        <v>0</v>
      </c>
      <c r="F55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58" t="str" cm="1">
        <f t="array" ref="G55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58" s="7" t="str" cm="1">
        <f t="array" ref="H55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59" spans="1:8" ht="15.75" thickBot="1" x14ac:dyDescent="0.3">
      <c r="A559" s="8">
        <v>31</v>
      </c>
      <c r="B559" s="9" t="s">
        <v>25</v>
      </c>
      <c r="C559" s="10">
        <f>IF(Tabelle18[[#This Row],[binding_level_company]]&gt;=1,1,0)</f>
        <v>1</v>
      </c>
      <c r="D559" s="10">
        <f>IFERROR(_xlfn.MAXIFS([1]!Tabelle5[binding_level],[1]!Tabelle5[company_id],Tabelle18[[#This Row],[company_id]],[1]!Tabelle5[value_id],Tabelle18[[#This Row],[value_id]],[1]!Tabelle5[value_present],1),0)</f>
        <v>1</v>
      </c>
      <c r="E559" s="10">
        <f>IFERROR(_xlfn.MAXIFS([1]!Tabelle5[value_points],[1]!Tabelle5[company_id],Tabelle18[[#This Row],[company_id]],[1]!Tabelle5[value_id],Tabelle18[[#This Row],[value_id]]),0)</f>
        <v>1</v>
      </c>
      <c r="F559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184</v>
      </c>
      <c r="G559" s="9" t="str" cm="1">
        <f t="array" ref="G55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 „Human-Centricity“</v>
      </c>
      <c r="H559" s="11" t="str" cm="1">
        <f t="array" ref="H55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“based on fundamental values, human rights”</v>
      </c>
    </row>
    <row r="560" spans="1:8" x14ac:dyDescent="0.25">
      <c r="A560" s="1">
        <v>32</v>
      </c>
      <c r="B560" s="2" t="s">
        <v>8</v>
      </c>
      <c r="C560" s="3">
        <f>IF(Tabelle18[[#This Row],[binding_level_company]]&gt;=1,1,0)</f>
        <v>1</v>
      </c>
      <c r="D560" s="3">
        <f>IFERROR(_xlfn.MAXIFS([1]!Tabelle5[binding_level],[1]!Tabelle5[company_id],Tabelle18[[#This Row],[company_id]],[1]!Tabelle5[value_id],Tabelle18[[#This Row],[value_id]],[1]!Tabelle5[value_present],1),0)</f>
        <v>3</v>
      </c>
      <c r="E560" s="3">
        <f>IFERROR(_xlfn.MAXIFS([1]!Tabelle5[value_points],[1]!Tabelle5[company_id],Tabelle18[[#This Row],[company_id]],[1]!Tabelle5[value_id],Tabelle18[[#This Row],[value_id]]),0)</f>
        <v>3</v>
      </c>
      <c r="F560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0" s="2" t="str" cm="1">
        <f t="array" ref="G56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10 „Principle 6“</v>
      </c>
      <c r="H560" s="4" t="str" cm="1">
        <f t="array" ref="H56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“Human oversight shall be achieved”</v>
      </c>
    </row>
    <row r="561" spans="1:8" x14ac:dyDescent="0.25">
      <c r="A561" s="5">
        <v>32</v>
      </c>
      <c r="B561" t="s">
        <v>9</v>
      </c>
      <c r="C561" s="6">
        <f>IF(Tabelle18[[#This Row],[binding_level_company]]&gt;=1,1,0)</f>
        <v>1</v>
      </c>
      <c r="D561" s="6">
        <f>IFERROR(_xlfn.MAXIFS([1]!Tabelle5[binding_level],[1]!Tabelle5[company_id],Tabelle18[[#This Row],[company_id]],[1]!Tabelle5[value_id],Tabelle18[[#This Row],[value_id]],[1]!Tabelle5[value_present],1),0)</f>
        <v>3</v>
      </c>
      <c r="E561" s="6">
        <f>IFERROR(_xlfn.MAXIFS([1]!Tabelle5[value_points],[1]!Tabelle5[company_id],Tabelle18[[#This Row],[company_id]],[1]!Tabelle5[value_id],Tabelle18[[#This Row],[value_id]]),0)</f>
        <v>3</v>
      </c>
      <c r="F56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1" t="str" cm="1">
        <f t="array" ref="G56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 „Principle 8“; S. 6 „Roles and Responsibilities“</v>
      </c>
      <c r="H561" s="7" t="str" cm="1">
        <f t="array" ref="H56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“responsibility must always be attributable to actors”; “Accountable for approving high-risk use cases”; “first point of contact for any AI Ethics related queries”</v>
      </c>
    </row>
    <row r="562" spans="1:8" x14ac:dyDescent="0.25">
      <c r="A562" s="5">
        <v>32</v>
      </c>
      <c r="B562" t="s">
        <v>10</v>
      </c>
      <c r="C562" s="6">
        <f>IF(Tabelle18[[#This Row],[binding_level_company]]&gt;=1,1,0)</f>
        <v>1</v>
      </c>
      <c r="D562" s="6">
        <f>IFERROR(_xlfn.MAXIFS([1]!Tabelle5[binding_level],[1]!Tabelle5[company_id],Tabelle18[[#This Row],[company_id]],[1]!Tabelle5[value_id],Tabelle18[[#This Row],[value_id]],[1]!Tabelle5[value_present],1),0)</f>
        <v>3</v>
      </c>
      <c r="E562" s="6">
        <f>IFERROR(_xlfn.MAXIFS([1]!Tabelle5[value_points],[1]!Tabelle5[company_id],Tabelle18[[#This Row],[company_id]],[1]!Tabelle5[value_id],Tabelle18[[#This Row],[value_id]]),0)</f>
        <v>3</v>
      </c>
      <c r="F56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2" t="str" cm="1">
        <f t="array" ref="G56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10-11 „Principle 7“</v>
      </c>
      <c r="H562" s="7" t="str" cm="1">
        <f t="array" ref="H56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“must be communicated clearly”; “End-users must always be aware”;  “promptly documented … and shared with other actors”</v>
      </c>
    </row>
    <row r="563" spans="1:8" x14ac:dyDescent="0.25">
      <c r="A563" s="5">
        <v>32</v>
      </c>
      <c r="B563" t="s">
        <v>11</v>
      </c>
      <c r="C563" s="6">
        <f>IF(Tabelle18[[#This Row],[binding_level_company]]&gt;=1,1,0)</f>
        <v>1</v>
      </c>
      <c r="D563" s="6">
        <f>IFERROR(_xlfn.MAXIFS([1]!Tabelle5[binding_level],[1]!Tabelle5[company_id],Tabelle18[[#This Row],[company_id]],[1]!Tabelle5[value_id],Tabelle18[[#This Row],[value_id]],[1]!Tabelle5[value_present],1),0)</f>
        <v>3</v>
      </c>
      <c r="E563" s="6">
        <f>IFERROR(_xlfn.MAXIFS([1]!Tabelle5[value_points],[1]!Tabelle5[company_id],Tabelle18[[#This Row],[company_id]],[1]!Tabelle5[value_id],Tabelle18[[#This Row],[value_id]]),0)</f>
        <v>3</v>
      </c>
      <c r="F56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3" t="str" cm="1">
        <f t="array" ref="G56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 „Principle 7.3 Explainability“</v>
      </c>
      <c r="H563" s="7" t="str" cm="1">
        <f t="array" ref="H56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“explanation of how a decision was made”</v>
      </c>
    </row>
    <row r="564" spans="1:8" x14ac:dyDescent="0.25">
      <c r="A564" s="5">
        <v>32</v>
      </c>
      <c r="B564" t="s">
        <v>12</v>
      </c>
      <c r="C564" s="6">
        <f>IF(Tabelle18[[#This Row],[binding_level_company]]&gt;=1,1,0)</f>
        <v>1</v>
      </c>
      <c r="D564" s="6">
        <f>IFERROR(_xlfn.MAXIFS([1]!Tabelle5[binding_level],[1]!Tabelle5[company_id],Tabelle18[[#This Row],[company_id]],[1]!Tabelle5[value_id],Tabelle18[[#This Row],[value_id]],[1]!Tabelle5[value_present],1),0)</f>
        <v>3</v>
      </c>
      <c r="E564" s="6">
        <f>IFERROR(_xlfn.MAXIFS([1]!Tabelle5[value_points],[1]!Tabelle5[company_id],Tabelle18[[#This Row],[company_id]],[1]!Tabelle5[value_id],Tabelle18[[#This Row],[value_id]]),0)</f>
        <v>3</v>
      </c>
      <c r="F56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4" t="str" cm="1">
        <f t="array" ref="G56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8–9 „Principle 3“</v>
      </c>
      <c r="H564" s="7" t="str" cm="1">
        <f t="array" ref="H56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“avoid discriminatory or biased outcomes”; “enable the affected individuals to evaluate the outputs and object”; “SAP will implement corrective measures”</v>
      </c>
    </row>
    <row r="565" spans="1:8" x14ac:dyDescent="0.25">
      <c r="A565" s="5">
        <v>32</v>
      </c>
      <c r="B565" t="s">
        <v>13</v>
      </c>
      <c r="C565" s="6">
        <f>IF(Tabelle18[[#This Row],[binding_level_company]]&gt;=1,1,0)</f>
        <v>1</v>
      </c>
      <c r="D565" s="6">
        <f>IFERROR(_xlfn.MAXIFS([1]!Tabelle5[binding_level],[1]!Tabelle5[company_id],Tabelle18[[#This Row],[company_id]],[1]!Tabelle5[value_id],Tabelle18[[#This Row],[value_id]],[1]!Tabelle5[value_present],1),0)</f>
        <v>3</v>
      </c>
      <c r="E565" s="6">
        <f>IFERROR(_xlfn.MAXIFS([1]!Tabelle5[value_points],[1]!Tabelle5[company_id],Tabelle18[[#This Row],[company_id]],[1]!Tabelle5[value_id],Tabelle18[[#This Row],[value_id]]),0)</f>
        <v>3</v>
      </c>
      <c r="F56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189</v>
      </c>
      <c r="G565" t="str" cm="1">
        <f t="array" ref="G56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6; S. 16</v>
      </c>
      <c r="H565" s="7" t="str" cm="1">
        <f t="array" ref="H56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“Implement safeguards to protect personal data used to train AI models.”; “shall comply with applicable data protection, and privacy laws.”</v>
      </c>
    </row>
    <row r="566" spans="1:8" x14ac:dyDescent="0.25">
      <c r="A566" s="5">
        <v>32</v>
      </c>
      <c r="B566" t="s">
        <v>14</v>
      </c>
      <c r="C566" s="6">
        <f>IF(Tabelle18[[#This Row],[binding_level_company]]&gt;=1,1,0)</f>
        <v>1</v>
      </c>
      <c r="D566" s="6">
        <f>IFERROR(_xlfn.MAXIFS([1]!Tabelle5[binding_level],[1]!Tabelle5[company_id],Tabelle18[[#This Row],[company_id]],[1]!Tabelle5[value_id],Tabelle18[[#This Row],[value_id]],[1]!Tabelle5[value_present],1),0)</f>
        <v>3</v>
      </c>
      <c r="E566" s="6">
        <f>IFERROR(_xlfn.MAXIFS([1]!Tabelle5[value_points],[1]!Tabelle5[company_id],Tabelle18[[#This Row],[company_id]],[1]!Tabelle5[value_id],Tabelle18[[#This Row],[value_id]]),0)</f>
        <v>3</v>
      </c>
      <c r="F56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6" t="str" cm="1">
        <f t="array" ref="G56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 „Principle 2“</v>
      </c>
      <c r="H566" s="7" t="str" cm="1">
        <f t="array" ref="H56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“Safety and security measures must be guaranteed”; “AI systems must be tested extensively”</v>
      </c>
    </row>
    <row r="567" spans="1:8" x14ac:dyDescent="0.25">
      <c r="A567" s="5">
        <v>32</v>
      </c>
      <c r="B567" t="s">
        <v>15</v>
      </c>
      <c r="C567" s="6">
        <f>IF(Tabelle18[[#This Row],[binding_level_company]]&gt;=1,1,0)</f>
        <v>1</v>
      </c>
      <c r="D567" s="6">
        <f>IFERROR(_xlfn.MAXIFS([1]!Tabelle5[binding_level],[1]!Tabelle5[company_id],Tabelle18[[#This Row],[company_id]],[1]!Tabelle5[value_id],Tabelle18[[#This Row],[value_id]],[1]!Tabelle5[value_present],1),0)</f>
        <v>3</v>
      </c>
      <c r="E567" s="6">
        <f>IFERROR(_xlfn.MAXIFS([1]!Tabelle5[value_points],[1]!Tabelle5[company_id],Tabelle18[[#This Row],[company_id]],[1]!Tabelle5[value_id],Tabelle18[[#This Row],[value_id]]),0)</f>
        <v>3</v>
      </c>
      <c r="F56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7" t="str" cm="1">
        <f t="array" ref="G56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7-8 „Principle 1–2“</v>
      </c>
      <c r="H567" s="7" t="str" cm="1">
        <f t="array" ref="H56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“Impact classification mechanisms and measures to prevent harm shall be defined”; “prohibits continuation of the design and development”; “Safety and security measures must be guaranteed”</v>
      </c>
    </row>
    <row r="568" spans="1:8" x14ac:dyDescent="0.25">
      <c r="A568" s="5">
        <v>32</v>
      </c>
      <c r="B568" t="s">
        <v>16</v>
      </c>
      <c r="C568" s="6">
        <f>IF(Tabelle18[[#This Row],[binding_level_company]]&gt;=1,1,0)</f>
        <v>1</v>
      </c>
      <c r="D568" s="6">
        <f>IFERROR(_xlfn.MAXIFS([1]!Tabelle5[binding_level],[1]!Tabelle5[company_id],Tabelle18[[#This Row],[company_id]],[1]!Tabelle5[value_id],Tabelle18[[#This Row],[value_id]],[1]!Tabelle5[value_present],1),0)</f>
        <v>3</v>
      </c>
      <c r="E568" s="6">
        <f>IFERROR(_xlfn.MAXIFS([1]!Tabelle5[value_points],[1]!Tabelle5[company_id],Tabelle18[[#This Row],[company_id]],[1]!Tabelle5[value_id],Tabelle18[[#This Row],[value_id]]),0)</f>
        <v>3</v>
      </c>
      <c r="F56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8" t="str" cm="1">
        <f t="array" ref="G56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 „Principle 2“</v>
      </c>
      <c r="H568" s="7" t="str" cm="1">
        <f t="array" ref="H56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 systems must be tested extensively”; “AI system should be monitored continuously”</v>
      </c>
    </row>
    <row r="569" spans="1:8" x14ac:dyDescent="0.25">
      <c r="A569" s="5">
        <v>32</v>
      </c>
      <c r="B569" t="s">
        <v>17</v>
      </c>
      <c r="C569" s="6">
        <f>IF(Tabelle18[[#This Row],[binding_level_company]]&gt;=1,1,0)</f>
        <v>1</v>
      </c>
      <c r="D569" s="6">
        <f>IFERROR(_xlfn.MAXIFS([1]!Tabelle5[binding_level],[1]!Tabelle5[company_id],Tabelle18[[#This Row],[company_id]],[1]!Tabelle5[value_id],Tabelle18[[#This Row],[value_id]],[1]!Tabelle5[value_present],1),0)</f>
        <v>3</v>
      </c>
      <c r="E569" s="6">
        <f>IFERROR(_xlfn.MAXIFS([1]!Tabelle5[value_points],[1]!Tabelle5[company_id],Tabelle18[[#This Row],[company_id]],[1]!Tabelle5[value_id],Tabelle18[[#This Row],[value_id]]),0)</f>
        <v>3</v>
      </c>
      <c r="F56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69" t="str" cm="1">
        <f t="array" ref="G56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 „Principle 3.2“; S. 12 „Governance“</v>
      </c>
      <c r="H569" s="7" t="str" cm="1">
        <f t="array" ref="H56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“enable the affected individuals to evaluate the outputs and object”; “have a right to challenge”; “they can use the Speak Out tool”</v>
      </c>
    </row>
    <row r="570" spans="1:8" x14ac:dyDescent="0.25">
      <c r="A570" s="5">
        <v>32</v>
      </c>
      <c r="B570" t="s">
        <v>18</v>
      </c>
      <c r="C570" s="6">
        <f>IF(Tabelle18[[#This Row],[binding_level_company]]&gt;=1,1,0)</f>
        <v>1</v>
      </c>
      <c r="D570" s="6">
        <f>IFERROR(_xlfn.MAXIFS([1]!Tabelle5[binding_level],[1]!Tabelle5[company_id],Tabelle18[[#This Row],[company_id]],[1]!Tabelle5[value_id],Tabelle18[[#This Row],[value_id]],[1]!Tabelle5[value_present],1),0)</f>
        <v>3</v>
      </c>
      <c r="E570" s="6">
        <f>IFERROR(_xlfn.MAXIFS([1]!Tabelle5[value_points],[1]!Tabelle5[company_id],Tabelle18[[#This Row],[company_id]],[1]!Tabelle5[value_id],Tabelle18[[#This Row],[value_id]]),0)</f>
        <v>3</v>
      </c>
      <c r="F57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189</v>
      </c>
      <c r="G570" t="str" cm="1">
        <f t="array" ref="G57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16</v>
      </c>
      <c r="H570" s="7" t="str" cm="1">
        <f t="array" ref="H57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“following relevant accessibility standards”</v>
      </c>
    </row>
    <row r="571" spans="1:8" x14ac:dyDescent="0.25">
      <c r="A571" s="5">
        <v>32</v>
      </c>
      <c r="B571" t="s">
        <v>19</v>
      </c>
      <c r="C571" s="6">
        <f>IF(Tabelle18[[#This Row],[binding_level_company]]&gt;=1,1,0)</f>
        <v>1</v>
      </c>
      <c r="D571" s="6">
        <f>IFERROR(_xlfn.MAXIFS([1]!Tabelle5[binding_level],[1]!Tabelle5[company_id],Tabelle18[[#This Row],[company_id]],[1]!Tabelle5[value_id],Tabelle18[[#This Row],[value_id]],[1]!Tabelle5[value_present],1),0)</f>
        <v>2</v>
      </c>
      <c r="E571" s="6">
        <f>IFERROR(_xlfn.MAXIFS([1]!Tabelle5[value_points],[1]!Tabelle5[company_id],Tabelle18[[#This Row],[company_id]],[1]!Tabelle5[value_id],Tabelle18[[#This Row],[value_id]]),0)</f>
        <v>2</v>
      </c>
      <c r="F57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71" t="str" cm="1">
        <f t="array" ref="G57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 „Principle 4“</v>
      </c>
      <c r="H571" s="7" t="str" cm="1">
        <f t="array" ref="H57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 systems should foster environmental, economic, and social sustainability”</v>
      </c>
    </row>
    <row r="572" spans="1:8" x14ac:dyDescent="0.25">
      <c r="A572" s="5">
        <v>32</v>
      </c>
      <c r="B572" t="s">
        <v>20</v>
      </c>
      <c r="C572" s="6">
        <f>IF(Tabelle18[[#This Row],[binding_level_company]]&gt;=1,1,0)</f>
        <v>1</v>
      </c>
      <c r="D572" s="6">
        <f>IFERROR(_xlfn.MAXIFS([1]!Tabelle5[binding_level],[1]!Tabelle5[company_id],Tabelle18[[#This Row],[company_id]],[1]!Tabelle5[value_id],Tabelle18[[#This Row],[value_id]],[1]!Tabelle5[value_present],1),0)</f>
        <v>1</v>
      </c>
      <c r="E572" s="6">
        <f>IFERROR(_xlfn.MAXIFS([1]!Tabelle5[value_points],[1]!Tabelle5[company_id],Tabelle18[[#This Row],[company_id]],[1]!Tabelle5[value_id],Tabelle18[[#This Row],[value_id]]),0)</f>
        <v>1</v>
      </c>
      <c r="F57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189</v>
      </c>
      <c r="G572" t="str" cm="1">
        <f t="array" ref="G57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</v>
      </c>
      <c r="H572" s="7" t="str" cm="1">
        <f t="array" ref="H57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“strengthen the benefits of users and society in business”</v>
      </c>
    </row>
    <row r="573" spans="1:8" x14ac:dyDescent="0.25">
      <c r="A573" s="5">
        <v>32</v>
      </c>
      <c r="B573" t="s">
        <v>21</v>
      </c>
      <c r="C573" s="6">
        <f>IF(Tabelle18[[#This Row],[binding_level_company]]&gt;=1,1,0)</f>
        <v>1</v>
      </c>
      <c r="D573" s="6">
        <f>IFERROR(_xlfn.MAXIFS([1]!Tabelle5[binding_level],[1]!Tabelle5[company_id],Tabelle18[[#This Row],[company_id]],[1]!Tabelle5[value_id],Tabelle18[[#This Row],[value_id]],[1]!Tabelle5[value_present],1),0)</f>
        <v>3</v>
      </c>
      <c r="E573" s="6">
        <f>IFERROR(_xlfn.MAXIFS([1]!Tabelle5[value_points],[1]!Tabelle5[company_id],Tabelle18[[#This Row],[company_id]],[1]!Tabelle5[value_id],Tabelle18[[#This Row],[value_id]]),0)</f>
        <v>3</v>
      </c>
      <c r="F57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189</v>
      </c>
      <c r="G573" t="str" cm="1">
        <f t="array" ref="G57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6; S. 16</v>
      </c>
      <c r="H573" s="7" t="str" cm="1">
        <f t="array" ref="H57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“defines intent, expectations and obligations for employees”; “shall comply with applicable data protection, and privacy laws.”</v>
      </c>
    </row>
    <row r="574" spans="1:8" x14ac:dyDescent="0.25">
      <c r="A574" s="5">
        <v>32</v>
      </c>
      <c r="B574" t="s">
        <v>22</v>
      </c>
      <c r="C574" s="6">
        <f>IF(Tabelle18[[#This Row],[binding_level_company]]&gt;=1,1,0)</f>
        <v>1</v>
      </c>
      <c r="D574" s="6">
        <f>IFERROR(_xlfn.MAXIFS([1]!Tabelle5[binding_level],[1]!Tabelle5[company_id],Tabelle18[[#This Row],[company_id]],[1]!Tabelle5[value_id],Tabelle18[[#This Row],[value_id]],[1]!Tabelle5[value_present],1),0)</f>
        <v>2</v>
      </c>
      <c r="E574" s="6">
        <f>IFERROR(_xlfn.MAXIFS([1]!Tabelle5[value_points],[1]!Tabelle5[company_id],Tabelle18[[#This Row],[company_id]],[1]!Tabelle5[value_id],Tabelle18[[#This Row],[value_id]]),0)</f>
        <v>2</v>
      </c>
      <c r="F57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74" t="str" cm="1">
        <f t="array" ref="G57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 „Introduction“</v>
      </c>
      <c r="H574" s="7" t="str" cm="1">
        <f t="array" ref="H57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“ethical development, deployment, use, and sale of AI systems”</v>
      </c>
    </row>
    <row r="575" spans="1:8" x14ac:dyDescent="0.25">
      <c r="A575" s="5">
        <v>32</v>
      </c>
      <c r="B575" t="s">
        <v>23</v>
      </c>
      <c r="C575" s="6">
        <f>IF(Tabelle18[[#This Row],[binding_level_company]]&gt;=1,1,0)</f>
        <v>1</v>
      </c>
      <c r="D575" s="6">
        <f>IFERROR(_xlfn.MAXIFS([1]!Tabelle5[binding_level],[1]!Tabelle5[company_id],Tabelle18[[#This Row],[company_id]],[1]!Tabelle5[value_id],Tabelle18[[#This Row],[value_id]],[1]!Tabelle5[value_present],1),0)</f>
        <v>3</v>
      </c>
      <c r="E575" s="6">
        <f>IFERROR(_xlfn.MAXIFS([1]!Tabelle5[value_points],[1]!Tabelle5[company_id],Tabelle18[[#This Row],[company_id]],[1]!Tabelle5[value_id],Tabelle18[[#This Row],[value_id]]),0)</f>
        <v>3</v>
      </c>
      <c r="F57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75" t="str" cm="1">
        <f t="array" ref="G57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 „Principle 3.1 Data“; S. 10–11 „Documentation“</v>
      </c>
      <c r="H575" s="7" t="str" cm="1">
        <f t="array" ref="H57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“representative, relevant, accurate, and generalizable”; “promptly documented … and shared with other actors”</v>
      </c>
    </row>
    <row r="576" spans="1:8" x14ac:dyDescent="0.25">
      <c r="A576" s="5">
        <v>32</v>
      </c>
      <c r="B576" t="s">
        <v>24</v>
      </c>
      <c r="C576" s="6">
        <f>IF(Tabelle18[[#This Row],[binding_level_company]]&gt;=1,1,0)</f>
        <v>0</v>
      </c>
      <c r="D576" s="6">
        <f>IFERROR(_xlfn.MAXIFS([1]!Tabelle5[binding_level],[1]!Tabelle5[company_id],Tabelle18[[#This Row],[company_id]],[1]!Tabelle5[value_id],Tabelle18[[#This Row],[value_id]],[1]!Tabelle5[value_present],1),0)</f>
        <v>0</v>
      </c>
      <c r="E576" s="6">
        <f>IFERROR(_xlfn.MAXIFS([1]!Tabelle5[value_points],[1]!Tabelle5[company_id],Tabelle18[[#This Row],[company_id]],[1]!Tabelle5[value_id],Tabelle18[[#This Row],[value_id]]),0)</f>
        <v>0</v>
      </c>
      <c r="F57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76" t="str" cm="1">
        <f t="array" ref="G57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76" s="7" t="str" cm="1">
        <f t="array" ref="H57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77" spans="1:8" ht="15.75" thickBot="1" x14ac:dyDescent="0.3">
      <c r="A577" s="8">
        <v>32</v>
      </c>
      <c r="B577" s="9" t="s">
        <v>25</v>
      </c>
      <c r="C577" s="10">
        <f>IF(Tabelle18[[#This Row],[binding_level_company]]&gt;=1,1,0)</f>
        <v>1</v>
      </c>
      <c r="D577" s="10">
        <f>IFERROR(_xlfn.MAXIFS([1]!Tabelle5[binding_level],[1]!Tabelle5[company_id],Tabelle18[[#This Row],[company_id]],[1]!Tabelle5[value_id],Tabelle18[[#This Row],[value_id]],[1]!Tabelle5[value_present],1),0)</f>
        <v>3</v>
      </c>
      <c r="E577" s="10">
        <f>IFERROR(_xlfn.MAXIFS([1]!Tabelle5[value_points],[1]!Tabelle5[company_id],Tabelle18[[#This Row],[company_id]],[1]!Tabelle5[value_id],Tabelle18[[#This Row],[value_id]]),0)</f>
        <v>3</v>
      </c>
      <c r="F577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188</v>
      </c>
      <c r="G577" s="9" t="str" cm="1">
        <f t="array" ref="G57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 „Introduction“; S. 7 „Principle 1“</v>
      </c>
      <c r="H577" s="11" t="str" cm="1">
        <f t="array" ref="H57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“uphold and support the Universal Declaration of Human Rights”; “Human rights and fundamental freedoms must be respected”; “prohibits continuation of the design and development”</v>
      </c>
    </row>
    <row r="578" spans="1:8" x14ac:dyDescent="0.25">
      <c r="A578" s="1">
        <v>33</v>
      </c>
      <c r="B578" s="2" t="s">
        <v>8</v>
      </c>
      <c r="C578" s="3">
        <f>IF(Tabelle18[[#This Row],[binding_level_company]]&gt;=1,1,0)</f>
        <v>0</v>
      </c>
      <c r="D578" s="3">
        <f>IFERROR(_xlfn.MAXIFS([1]!Tabelle5[binding_level],[1]!Tabelle5[company_id],Tabelle18[[#This Row],[company_id]],[1]!Tabelle5[value_id],Tabelle18[[#This Row],[value_id]],[1]!Tabelle5[value_present],1),0)</f>
        <v>0</v>
      </c>
      <c r="E578" s="3">
        <f>IFERROR(_xlfn.MAXIFS([1]!Tabelle5[value_points],[1]!Tabelle5[company_id],Tabelle18[[#This Row],[company_id]],[1]!Tabelle5[value_id],Tabelle18[[#This Row],[value_id]]),0)</f>
        <v>0</v>
      </c>
      <c r="F578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78" s="2" t="str" cm="1">
        <f t="array" ref="G57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78" s="4" t="str" cm="1">
        <f t="array" ref="H57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79" spans="1:8" x14ac:dyDescent="0.25">
      <c r="A579" s="5">
        <v>33</v>
      </c>
      <c r="B579" t="s">
        <v>9</v>
      </c>
      <c r="C579" s="6">
        <f>IF(Tabelle18[[#This Row],[binding_level_company]]&gt;=1,1,0)</f>
        <v>0</v>
      </c>
      <c r="D579" s="6">
        <f>IFERROR(_xlfn.MAXIFS([1]!Tabelle5[binding_level],[1]!Tabelle5[company_id],Tabelle18[[#This Row],[company_id]],[1]!Tabelle5[value_id],Tabelle18[[#This Row],[value_id]],[1]!Tabelle5[value_present],1),0)</f>
        <v>0</v>
      </c>
      <c r="E579" s="6">
        <f>IFERROR(_xlfn.MAXIFS([1]!Tabelle5[value_points],[1]!Tabelle5[company_id],Tabelle18[[#This Row],[company_id]],[1]!Tabelle5[value_id],Tabelle18[[#This Row],[value_id]]),0)</f>
        <v>0</v>
      </c>
      <c r="F57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79" t="str" cm="1">
        <f t="array" ref="G57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79" s="7" t="str" cm="1">
        <f t="array" ref="H57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0" spans="1:8" x14ac:dyDescent="0.25">
      <c r="A580" s="5">
        <v>33</v>
      </c>
      <c r="B580" t="s">
        <v>10</v>
      </c>
      <c r="C580" s="6">
        <f>IF(Tabelle18[[#This Row],[binding_level_company]]&gt;=1,1,0)</f>
        <v>0</v>
      </c>
      <c r="D580" s="6">
        <f>IFERROR(_xlfn.MAXIFS([1]!Tabelle5[binding_level],[1]!Tabelle5[company_id],Tabelle18[[#This Row],[company_id]],[1]!Tabelle5[value_id],Tabelle18[[#This Row],[value_id]],[1]!Tabelle5[value_present],1),0)</f>
        <v>0</v>
      </c>
      <c r="E580" s="6">
        <f>IFERROR(_xlfn.MAXIFS([1]!Tabelle5[value_points],[1]!Tabelle5[company_id],Tabelle18[[#This Row],[company_id]],[1]!Tabelle5[value_id],Tabelle18[[#This Row],[value_id]]),0)</f>
        <v>0</v>
      </c>
      <c r="F58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0" t="str" cm="1">
        <f t="array" ref="G58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0" s="7" t="str" cm="1">
        <f t="array" ref="H58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1" spans="1:8" x14ac:dyDescent="0.25">
      <c r="A581" s="5">
        <v>33</v>
      </c>
      <c r="B581" t="s">
        <v>11</v>
      </c>
      <c r="C581" s="6">
        <f>IF(Tabelle18[[#This Row],[binding_level_company]]&gt;=1,1,0)</f>
        <v>0</v>
      </c>
      <c r="D581" s="6">
        <f>IFERROR(_xlfn.MAXIFS([1]!Tabelle5[binding_level],[1]!Tabelle5[company_id],Tabelle18[[#This Row],[company_id]],[1]!Tabelle5[value_id],Tabelle18[[#This Row],[value_id]],[1]!Tabelle5[value_present],1),0)</f>
        <v>0</v>
      </c>
      <c r="E581" s="6">
        <f>IFERROR(_xlfn.MAXIFS([1]!Tabelle5[value_points],[1]!Tabelle5[company_id],Tabelle18[[#This Row],[company_id]],[1]!Tabelle5[value_id],Tabelle18[[#This Row],[value_id]]),0)</f>
        <v>0</v>
      </c>
      <c r="F58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1" t="str" cm="1">
        <f t="array" ref="G58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1" s="7" t="str" cm="1">
        <f t="array" ref="H58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2" spans="1:8" x14ac:dyDescent="0.25">
      <c r="A582" s="5">
        <v>33</v>
      </c>
      <c r="B582" t="s">
        <v>12</v>
      </c>
      <c r="C582" s="6">
        <f>IF(Tabelle18[[#This Row],[binding_level_company]]&gt;=1,1,0)</f>
        <v>0</v>
      </c>
      <c r="D582" s="6">
        <f>IFERROR(_xlfn.MAXIFS([1]!Tabelle5[binding_level],[1]!Tabelle5[company_id],Tabelle18[[#This Row],[company_id]],[1]!Tabelle5[value_id],Tabelle18[[#This Row],[value_id]],[1]!Tabelle5[value_present],1),0)</f>
        <v>0</v>
      </c>
      <c r="E582" s="6">
        <f>IFERROR(_xlfn.MAXIFS([1]!Tabelle5[value_points],[1]!Tabelle5[company_id],Tabelle18[[#This Row],[company_id]],[1]!Tabelle5[value_id],Tabelle18[[#This Row],[value_id]]),0)</f>
        <v>0</v>
      </c>
      <c r="F58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2" t="str" cm="1">
        <f t="array" ref="G58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2" s="7" t="str" cm="1">
        <f t="array" ref="H58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3" spans="1:8" x14ac:dyDescent="0.25">
      <c r="A583" s="5">
        <v>33</v>
      </c>
      <c r="B583" t="s">
        <v>13</v>
      </c>
      <c r="C583" s="6">
        <f>IF(Tabelle18[[#This Row],[binding_level_company]]&gt;=1,1,0)</f>
        <v>0</v>
      </c>
      <c r="D583" s="6">
        <f>IFERROR(_xlfn.MAXIFS([1]!Tabelle5[binding_level],[1]!Tabelle5[company_id],Tabelle18[[#This Row],[company_id]],[1]!Tabelle5[value_id],Tabelle18[[#This Row],[value_id]],[1]!Tabelle5[value_present],1),0)</f>
        <v>0</v>
      </c>
      <c r="E583" s="6">
        <f>IFERROR(_xlfn.MAXIFS([1]!Tabelle5[value_points],[1]!Tabelle5[company_id],Tabelle18[[#This Row],[company_id]],[1]!Tabelle5[value_id],Tabelle18[[#This Row],[value_id]]),0)</f>
        <v>0</v>
      </c>
      <c r="F58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3" t="str" cm="1">
        <f t="array" ref="G58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3" s="7" t="str" cm="1">
        <f t="array" ref="H58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4" spans="1:8" x14ac:dyDescent="0.25">
      <c r="A584" s="5">
        <v>33</v>
      </c>
      <c r="B584" t="s">
        <v>14</v>
      </c>
      <c r="C584" s="6">
        <f>IF(Tabelle18[[#This Row],[binding_level_company]]&gt;=1,1,0)</f>
        <v>0</v>
      </c>
      <c r="D584" s="6">
        <f>IFERROR(_xlfn.MAXIFS([1]!Tabelle5[binding_level],[1]!Tabelle5[company_id],Tabelle18[[#This Row],[company_id]],[1]!Tabelle5[value_id],Tabelle18[[#This Row],[value_id]],[1]!Tabelle5[value_present],1),0)</f>
        <v>0</v>
      </c>
      <c r="E584" s="6">
        <f>IFERROR(_xlfn.MAXIFS([1]!Tabelle5[value_points],[1]!Tabelle5[company_id],Tabelle18[[#This Row],[company_id]],[1]!Tabelle5[value_id],Tabelle18[[#This Row],[value_id]]),0)</f>
        <v>0</v>
      </c>
      <c r="F58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4" t="str" cm="1">
        <f t="array" ref="G58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4" s="7" t="str" cm="1">
        <f t="array" ref="H58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5" spans="1:8" x14ac:dyDescent="0.25">
      <c r="A585" s="5">
        <v>33</v>
      </c>
      <c r="B585" t="s">
        <v>15</v>
      </c>
      <c r="C585" s="6">
        <f>IF(Tabelle18[[#This Row],[binding_level_company]]&gt;=1,1,0)</f>
        <v>0</v>
      </c>
      <c r="D585" s="6">
        <f>IFERROR(_xlfn.MAXIFS([1]!Tabelle5[binding_level],[1]!Tabelle5[company_id],Tabelle18[[#This Row],[company_id]],[1]!Tabelle5[value_id],Tabelle18[[#This Row],[value_id]],[1]!Tabelle5[value_present],1),0)</f>
        <v>0</v>
      </c>
      <c r="E585" s="6">
        <f>IFERROR(_xlfn.MAXIFS([1]!Tabelle5[value_points],[1]!Tabelle5[company_id],Tabelle18[[#This Row],[company_id]],[1]!Tabelle5[value_id],Tabelle18[[#This Row],[value_id]]),0)</f>
        <v>0</v>
      </c>
      <c r="F58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5" t="str" cm="1">
        <f t="array" ref="G58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5" s="7" t="str" cm="1">
        <f t="array" ref="H58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6" spans="1:8" x14ac:dyDescent="0.25">
      <c r="A586" s="5">
        <v>33</v>
      </c>
      <c r="B586" t="s">
        <v>16</v>
      </c>
      <c r="C586" s="6">
        <f>IF(Tabelle18[[#This Row],[binding_level_company]]&gt;=1,1,0)</f>
        <v>0</v>
      </c>
      <c r="D586" s="6">
        <f>IFERROR(_xlfn.MAXIFS([1]!Tabelle5[binding_level],[1]!Tabelle5[company_id],Tabelle18[[#This Row],[company_id]],[1]!Tabelle5[value_id],Tabelle18[[#This Row],[value_id]],[1]!Tabelle5[value_present],1),0)</f>
        <v>0</v>
      </c>
      <c r="E586" s="6">
        <f>IFERROR(_xlfn.MAXIFS([1]!Tabelle5[value_points],[1]!Tabelle5[company_id],Tabelle18[[#This Row],[company_id]],[1]!Tabelle5[value_id],Tabelle18[[#This Row],[value_id]]),0)</f>
        <v>0</v>
      </c>
      <c r="F58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6" t="str" cm="1">
        <f t="array" ref="G58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6" s="7" t="str" cm="1">
        <f t="array" ref="H58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7" spans="1:8" x14ac:dyDescent="0.25">
      <c r="A587" s="5">
        <v>33</v>
      </c>
      <c r="B587" t="s">
        <v>17</v>
      </c>
      <c r="C587" s="6">
        <f>IF(Tabelle18[[#This Row],[binding_level_company]]&gt;=1,1,0)</f>
        <v>0</v>
      </c>
      <c r="D587" s="6">
        <f>IFERROR(_xlfn.MAXIFS([1]!Tabelle5[binding_level],[1]!Tabelle5[company_id],Tabelle18[[#This Row],[company_id]],[1]!Tabelle5[value_id],Tabelle18[[#This Row],[value_id]],[1]!Tabelle5[value_present],1),0)</f>
        <v>0</v>
      </c>
      <c r="E587" s="6">
        <f>IFERROR(_xlfn.MAXIFS([1]!Tabelle5[value_points],[1]!Tabelle5[company_id],Tabelle18[[#This Row],[company_id]],[1]!Tabelle5[value_id],Tabelle18[[#This Row],[value_id]]),0)</f>
        <v>0</v>
      </c>
      <c r="F58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7" t="str" cm="1">
        <f t="array" ref="G58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7" s="7" t="str" cm="1">
        <f t="array" ref="H58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8" spans="1:8" x14ac:dyDescent="0.25">
      <c r="A588" s="5">
        <v>33</v>
      </c>
      <c r="B588" t="s">
        <v>18</v>
      </c>
      <c r="C588" s="6">
        <f>IF(Tabelle18[[#This Row],[binding_level_company]]&gt;=1,1,0)</f>
        <v>0</v>
      </c>
      <c r="D588" s="6">
        <f>IFERROR(_xlfn.MAXIFS([1]!Tabelle5[binding_level],[1]!Tabelle5[company_id],Tabelle18[[#This Row],[company_id]],[1]!Tabelle5[value_id],Tabelle18[[#This Row],[value_id]],[1]!Tabelle5[value_present],1),0)</f>
        <v>0</v>
      </c>
      <c r="E588" s="6">
        <f>IFERROR(_xlfn.MAXIFS([1]!Tabelle5[value_points],[1]!Tabelle5[company_id],Tabelle18[[#This Row],[company_id]],[1]!Tabelle5[value_id],Tabelle18[[#This Row],[value_id]]),0)</f>
        <v>0</v>
      </c>
      <c r="F58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8" t="str" cm="1">
        <f t="array" ref="G58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8" s="7" t="str" cm="1">
        <f t="array" ref="H58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89" spans="1:8" x14ac:dyDescent="0.25">
      <c r="A589" s="5">
        <v>33</v>
      </c>
      <c r="B589" t="s">
        <v>19</v>
      </c>
      <c r="C589" s="6">
        <f>IF(Tabelle18[[#This Row],[binding_level_company]]&gt;=1,1,0)</f>
        <v>0</v>
      </c>
      <c r="D589" s="6">
        <f>IFERROR(_xlfn.MAXIFS([1]!Tabelle5[binding_level],[1]!Tabelle5[company_id],Tabelle18[[#This Row],[company_id]],[1]!Tabelle5[value_id],Tabelle18[[#This Row],[value_id]],[1]!Tabelle5[value_present],1),0)</f>
        <v>0</v>
      </c>
      <c r="E589" s="6">
        <f>IFERROR(_xlfn.MAXIFS([1]!Tabelle5[value_points],[1]!Tabelle5[company_id],Tabelle18[[#This Row],[company_id]],[1]!Tabelle5[value_id],Tabelle18[[#This Row],[value_id]]),0)</f>
        <v>0</v>
      </c>
      <c r="F58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89" t="str" cm="1">
        <f t="array" ref="G58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89" s="7" t="str" cm="1">
        <f t="array" ref="H58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90" spans="1:8" x14ac:dyDescent="0.25">
      <c r="A590" s="5">
        <v>33</v>
      </c>
      <c r="B590" t="s">
        <v>20</v>
      </c>
      <c r="C590" s="6">
        <f>IF(Tabelle18[[#This Row],[binding_level_company]]&gt;=1,1,0)</f>
        <v>0</v>
      </c>
      <c r="D590" s="6">
        <f>IFERROR(_xlfn.MAXIFS([1]!Tabelle5[binding_level],[1]!Tabelle5[company_id],Tabelle18[[#This Row],[company_id]],[1]!Tabelle5[value_id],Tabelle18[[#This Row],[value_id]],[1]!Tabelle5[value_present],1),0)</f>
        <v>0</v>
      </c>
      <c r="E590" s="6">
        <f>IFERROR(_xlfn.MAXIFS([1]!Tabelle5[value_points],[1]!Tabelle5[company_id],Tabelle18[[#This Row],[company_id]],[1]!Tabelle5[value_id],Tabelle18[[#This Row],[value_id]]),0)</f>
        <v>0</v>
      </c>
      <c r="F59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90" t="str" cm="1">
        <f t="array" ref="G59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90" s="7" t="str" cm="1">
        <f t="array" ref="H59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91" spans="1:8" x14ac:dyDescent="0.25">
      <c r="A591" s="5">
        <v>33</v>
      </c>
      <c r="B591" t="s">
        <v>21</v>
      </c>
      <c r="C591" s="6">
        <f>IF(Tabelle18[[#This Row],[binding_level_company]]&gt;=1,1,0)</f>
        <v>0</v>
      </c>
      <c r="D591" s="6">
        <f>IFERROR(_xlfn.MAXIFS([1]!Tabelle5[binding_level],[1]!Tabelle5[company_id],Tabelle18[[#This Row],[company_id]],[1]!Tabelle5[value_id],Tabelle18[[#This Row],[value_id]],[1]!Tabelle5[value_present],1),0)</f>
        <v>0</v>
      </c>
      <c r="E591" s="6">
        <f>IFERROR(_xlfn.MAXIFS([1]!Tabelle5[value_points],[1]!Tabelle5[company_id],Tabelle18[[#This Row],[company_id]],[1]!Tabelle5[value_id],Tabelle18[[#This Row],[value_id]]),0)</f>
        <v>0</v>
      </c>
      <c r="F59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91" t="str" cm="1">
        <f t="array" ref="G59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91" s="7" t="str" cm="1">
        <f t="array" ref="H59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92" spans="1:8" x14ac:dyDescent="0.25">
      <c r="A592" s="5">
        <v>33</v>
      </c>
      <c r="B592" t="s">
        <v>22</v>
      </c>
      <c r="C592" s="6">
        <f>IF(Tabelle18[[#This Row],[binding_level_company]]&gt;=1,1,0)</f>
        <v>0</v>
      </c>
      <c r="D592" s="6">
        <f>IFERROR(_xlfn.MAXIFS([1]!Tabelle5[binding_level],[1]!Tabelle5[company_id],Tabelle18[[#This Row],[company_id]],[1]!Tabelle5[value_id],Tabelle18[[#This Row],[value_id]],[1]!Tabelle5[value_present],1),0)</f>
        <v>0</v>
      </c>
      <c r="E592" s="6">
        <f>IFERROR(_xlfn.MAXIFS([1]!Tabelle5[value_points],[1]!Tabelle5[company_id],Tabelle18[[#This Row],[company_id]],[1]!Tabelle5[value_id],Tabelle18[[#This Row],[value_id]]),0)</f>
        <v>0</v>
      </c>
      <c r="F59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92" t="str" cm="1">
        <f t="array" ref="G59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92" s="7" t="str" cm="1">
        <f t="array" ref="H59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93" spans="1:8" x14ac:dyDescent="0.25">
      <c r="A593" s="5">
        <v>33</v>
      </c>
      <c r="B593" t="s">
        <v>23</v>
      </c>
      <c r="C593" s="6">
        <f>IF(Tabelle18[[#This Row],[binding_level_company]]&gt;=1,1,0)</f>
        <v>0</v>
      </c>
      <c r="D593" s="6">
        <f>IFERROR(_xlfn.MAXIFS([1]!Tabelle5[binding_level],[1]!Tabelle5[company_id],Tabelle18[[#This Row],[company_id]],[1]!Tabelle5[value_id],Tabelle18[[#This Row],[value_id]],[1]!Tabelle5[value_present],1),0)</f>
        <v>0</v>
      </c>
      <c r="E593" s="6">
        <f>IFERROR(_xlfn.MAXIFS([1]!Tabelle5[value_points],[1]!Tabelle5[company_id],Tabelle18[[#This Row],[company_id]],[1]!Tabelle5[value_id],Tabelle18[[#This Row],[value_id]]),0)</f>
        <v>0</v>
      </c>
      <c r="F59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93" t="str" cm="1">
        <f t="array" ref="G59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93" s="7" t="str" cm="1">
        <f t="array" ref="H59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94" spans="1:8" x14ac:dyDescent="0.25">
      <c r="A594" s="5">
        <v>33</v>
      </c>
      <c r="B594" t="s">
        <v>24</v>
      </c>
      <c r="C594" s="6">
        <f>IF(Tabelle18[[#This Row],[binding_level_company]]&gt;=1,1,0)</f>
        <v>0</v>
      </c>
      <c r="D594" s="6">
        <f>IFERROR(_xlfn.MAXIFS([1]!Tabelle5[binding_level],[1]!Tabelle5[company_id],Tabelle18[[#This Row],[company_id]],[1]!Tabelle5[value_id],Tabelle18[[#This Row],[value_id]],[1]!Tabelle5[value_present],1),0)</f>
        <v>0</v>
      </c>
      <c r="E594" s="6">
        <f>IFERROR(_xlfn.MAXIFS([1]!Tabelle5[value_points],[1]!Tabelle5[company_id],Tabelle18[[#This Row],[company_id]],[1]!Tabelle5[value_id],Tabelle18[[#This Row],[value_id]]),0)</f>
        <v>0</v>
      </c>
      <c r="F59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94" t="str" cm="1">
        <f t="array" ref="G59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94" s="7" t="str" cm="1">
        <f t="array" ref="H59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95" spans="1:8" ht="15.75" thickBot="1" x14ac:dyDescent="0.3">
      <c r="A595" s="8">
        <v>33</v>
      </c>
      <c r="B595" s="9" t="s">
        <v>25</v>
      </c>
      <c r="C595" s="10">
        <f>IF(Tabelle18[[#This Row],[binding_level_company]]&gt;=1,1,0)</f>
        <v>0</v>
      </c>
      <c r="D595" s="10">
        <f>IFERROR(_xlfn.MAXIFS([1]!Tabelle5[binding_level],[1]!Tabelle5[company_id],Tabelle18[[#This Row],[company_id]],[1]!Tabelle5[value_id],Tabelle18[[#This Row],[value_id]],[1]!Tabelle5[value_present],1),0)</f>
        <v>0</v>
      </c>
      <c r="E595" s="10">
        <f>IFERROR(_xlfn.MAXIFS([1]!Tabelle5[value_points],[1]!Tabelle5[company_id],Tabelle18[[#This Row],[company_id]],[1]!Tabelle5[value_id],Tabelle18[[#This Row],[value_id]]),0)</f>
        <v>0</v>
      </c>
      <c r="F595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595" s="9" t="str" cm="1">
        <f t="array" ref="G59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595" s="11" t="str" cm="1">
        <f t="array" ref="H59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596" spans="1:8" x14ac:dyDescent="0.25">
      <c r="A596" s="1">
        <v>34</v>
      </c>
      <c r="B596" s="2" t="s">
        <v>8</v>
      </c>
      <c r="C596" s="3">
        <f>IF(Tabelle18[[#This Row],[binding_level_company]]&gt;=1,1,0)</f>
        <v>1</v>
      </c>
      <c r="D596" s="3">
        <f>IFERROR(_xlfn.MAXIFS([1]!Tabelle5[binding_level],[1]!Tabelle5[company_id],Tabelle18[[#This Row],[company_id]],[1]!Tabelle5[value_id],Tabelle18[[#This Row],[value_id]],[1]!Tabelle5[value_present],1),0)</f>
        <v>2</v>
      </c>
      <c r="E596" s="3">
        <f>IFERROR(_xlfn.MAXIFS([1]!Tabelle5[value_points],[1]!Tabelle5[company_id],Tabelle18[[#This Row],[company_id]],[1]!Tabelle5[value_id],Tabelle18[[#This Row],[value_id]]),0)</f>
        <v>2</v>
      </c>
      <c r="F596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596" s="2" t="str" cm="1">
        <f t="array" ref="G59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42; S. 43</v>
      </c>
      <c r="H596" s="4" t="str" cm="1">
        <f t="array" ref="H59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“enable effective human control and decision-making”; “integrate our Responsible AI Principles and controls into our product and solutions development, procurement, and risk management processes”</v>
      </c>
    </row>
    <row r="597" spans="1:8" x14ac:dyDescent="0.25">
      <c r="A597" s="5">
        <v>34</v>
      </c>
      <c r="B597" t="s">
        <v>9</v>
      </c>
      <c r="C597" s="6">
        <f>IF(Tabelle18[[#This Row],[binding_level_company]]&gt;=1,1,0)</f>
        <v>1</v>
      </c>
      <c r="D597" s="6">
        <f>IFERROR(_xlfn.MAXIFS([1]!Tabelle5[binding_level],[1]!Tabelle5[company_id],Tabelle18[[#This Row],[company_id]],[1]!Tabelle5[value_id],Tabelle18[[#This Row],[value_id]],[1]!Tabelle5[value_present],1),0)</f>
        <v>2</v>
      </c>
      <c r="E597" s="6">
        <f>IFERROR(_xlfn.MAXIFS([1]!Tabelle5[value_points],[1]!Tabelle5[company_id],Tabelle18[[#This Row],[company_id]],[1]!Tabelle5[value_id],Tabelle18[[#This Row],[value_id]]),0)</f>
        <v>2</v>
      </c>
      <c r="F59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597" t="str" cm="1">
        <f t="array" ref="G59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42; S. 43</v>
      </c>
      <c r="H597" s="7" t="str" cm="1">
        <f t="array" ref="H59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“Make policies and processes clear and accessible”; “integrate our Responsible AI Principles and controls into our product and solutions development, procurement, and risk management processes”</v>
      </c>
    </row>
    <row r="598" spans="1:8" x14ac:dyDescent="0.25">
      <c r="A598" s="5">
        <v>34</v>
      </c>
      <c r="B598" t="s">
        <v>10</v>
      </c>
      <c r="C598" s="6">
        <f>IF(Tabelle18[[#This Row],[binding_level_company]]&gt;=1,1,0)</f>
        <v>1</v>
      </c>
      <c r="D598" s="6">
        <f>IFERROR(_xlfn.MAXIFS([1]!Tabelle5[binding_level],[1]!Tabelle5[company_id],Tabelle18[[#This Row],[company_id]],[1]!Tabelle5[value_id],Tabelle18[[#This Row],[value_id]],[1]!Tabelle5[value_present],1),0)</f>
        <v>2</v>
      </c>
      <c r="E598" s="6">
        <f>IFERROR(_xlfn.MAXIFS([1]!Tabelle5[value_points],[1]!Tabelle5[company_id],Tabelle18[[#This Row],[company_id]],[1]!Tabelle5[value_id],Tabelle18[[#This Row],[value_id]]),0)</f>
        <v>2</v>
      </c>
      <c r="F59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598" t="str" cm="1">
        <f t="array" ref="G59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42; S. 43</v>
      </c>
      <c r="H598" s="7" t="str" cm="1">
        <f t="array" ref="H59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“Endorse transparency and explainable AI”; “integrate our Responsible AI Principles and controls into our product and solutions development, procurement, and risk management processes”</v>
      </c>
    </row>
    <row r="599" spans="1:8" x14ac:dyDescent="0.25">
      <c r="A599" s="5">
        <v>34</v>
      </c>
      <c r="B599" t="s">
        <v>11</v>
      </c>
      <c r="C599" s="6">
        <f>IF(Tabelle18[[#This Row],[binding_level_company]]&gt;=1,1,0)</f>
        <v>1</v>
      </c>
      <c r="D599" s="6">
        <f>IFERROR(_xlfn.MAXIFS([1]!Tabelle5[binding_level],[1]!Tabelle5[company_id],Tabelle18[[#This Row],[company_id]],[1]!Tabelle5[value_id],Tabelle18[[#This Row],[value_id]],[1]!Tabelle5[value_present],1),0)</f>
        <v>1</v>
      </c>
      <c r="E599" s="6">
        <f>IFERROR(_xlfn.MAXIFS([1]!Tabelle5[value_points],[1]!Tabelle5[company_id],Tabelle18[[#This Row],[company_id]],[1]!Tabelle5[value_id],Tabelle18[[#This Row],[value_id]]),0)</f>
        <v>1</v>
      </c>
      <c r="F59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599" t="str" cm="1">
        <f t="array" ref="G59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</v>
      </c>
      <c r="H599" s="7" t="str" cm="1">
        <f t="array" ref="H59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“explaining the rationale of AI solutions”</v>
      </c>
    </row>
    <row r="600" spans="1:8" x14ac:dyDescent="0.25">
      <c r="A600" s="5">
        <v>34</v>
      </c>
      <c r="B600" t="s">
        <v>12</v>
      </c>
      <c r="C600" s="6">
        <f>IF(Tabelle18[[#This Row],[binding_level_company]]&gt;=1,1,0)</f>
        <v>1</v>
      </c>
      <c r="D600" s="6">
        <f>IFERROR(_xlfn.MAXIFS([1]!Tabelle5[binding_level],[1]!Tabelle5[company_id],Tabelle18[[#This Row],[company_id]],[1]!Tabelle5[value_id],Tabelle18[[#This Row],[value_id]],[1]!Tabelle5[value_present],1),0)</f>
        <v>1</v>
      </c>
      <c r="E600" s="6">
        <f>IFERROR(_xlfn.MAXIFS([1]!Tabelle5[value_points],[1]!Tabelle5[company_id],Tabelle18[[#This Row],[company_id]],[1]!Tabelle5[value_id],Tabelle18[[#This Row],[value_id]]),0)</f>
        <v>1</v>
      </c>
      <c r="F60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0" t="str" cm="1">
        <f t="array" ref="G60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</v>
      </c>
      <c r="H600" s="7" t="str" cm="1">
        <f t="array" ref="H60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“Ensure diversity, fairness, and inclusion”</v>
      </c>
    </row>
    <row r="601" spans="1:8" x14ac:dyDescent="0.25">
      <c r="A601" s="5">
        <v>34</v>
      </c>
      <c r="B601" t="s">
        <v>13</v>
      </c>
      <c r="C601" s="6">
        <f>IF(Tabelle18[[#This Row],[binding_level_company]]&gt;=1,1,0)</f>
        <v>1</v>
      </c>
      <c r="D601" s="6">
        <f>IFERROR(_xlfn.MAXIFS([1]!Tabelle5[binding_level],[1]!Tabelle5[company_id],Tabelle18[[#This Row],[company_id]],[1]!Tabelle5[value_id],Tabelle18[[#This Row],[value_id]],[1]!Tabelle5[value_present],1),0)</f>
        <v>3</v>
      </c>
      <c r="E601" s="6">
        <f>IFERROR(_xlfn.MAXIFS([1]!Tabelle5[value_points],[1]!Tabelle5[company_id],Tabelle18[[#This Row],[company_id]],[1]!Tabelle5[value_id],Tabelle18[[#This Row],[value_id]]),0)</f>
        <v>3</v>
      </c>
      <c r="F60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1" t="str" cm="1">
        <f t="array" ref="G60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42; S. 49</v>
      </c>
      <c r="H601" s="7" t="str" cm="1">
        <f t="array" ref="H60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“Promote comprehensive data governance and privacy”; “introduced an AI developer questionnaire”;“adding an AI questionnaire”</v>
      </c>
    </row>
    <row r="602" spans="1:8" x14ac:dyDescent="0.25">
      <c r="A602" s="5">
        <v>34</v>
      </c>
      <c r="B602" t="s">
        <v>14</v>
      </c>
      <c r="C602" s="6">
        <f>IF(Tabelle18[[#This Row],[binding_level_company]]&gt;=1,1,0)</f>
        <v>1</v>
      </c>
      <c r="D602" s="6">
        <f>IFERROR(_xlfn.MAXIFS([1]!Tabelle5[binding_level],[1]!Tabelle5[company_id],Tabelle18[[#This Row],[company_id]],[1]!Tabelle5[value_id],Tabelle18[[#This Row],[value_id]],[1]!Tabelle5[value_present],1),0)</f>
        <v>2</v>
      </c>
      <c r="E602" s="6">
        <f>IFERROR(_xlfn.MAXIFS([1]!Tabelle5[value_points],[1]!Tabelle5[company_id],Tabelle18[[#This Row],[company_id]],[1]!Tabelle5[value_id],Tabelle18[[#This Row],[value_id]]),0)</f>
        <v>2</v>
      </c>
      <c r="F60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2" t="str" cm="1">
        <f t="array" ref="G60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</v>
      </c>
      <c r="H602" s="7" t="str" cm="1">
        <f t="array" ref="H60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“standards for security and safety”; “central internal Generative AI platform solutions”</v>
      </c>
    </row>
    <row r="603" spans="1:8" x14ac:dyDescent="0.25">
      <c r="A603" s="5">
        <v>34</v>
      </c>
      <c r="B603" t="s">
        <v>15</v>
      </c>
      <c r="C603" s="6">
        <f>IF(Tabelle18[[#This Row],[binding_level_company]]&gt;=1,1,0)</f>
        <v>1</v>
      </c>
      <c r="D603" s="6">
        <f>IFERROR(_xlfn.MAXIFS([1]!Tabelle5[binding_level],[1]!Tabelle5[company_id],Tabelle18[[#This Row],[company_id]],[1]!Tabelle5[value_id],Tabelle18[[#This Row],[value_id]],[1]!Tabelle5[value_present],1),0)</f>
        <v>1</v>
      </c>
      <c r="E603" s="6">
        <f>IFERROR(_xlfn.MAXIFS([1]!Tabelle5[value_points],[1]!Tabelle5[company_id],Tabelle18[[#This Row],[company_id]],[1]!Tabelle5[value_id],Tabelle18[[#This Row],[value_id]]),0)</f>
        <v>1</v>
      </c>
      <c r="F60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3" t="str" cm="1">
        <f t="array" ref="G60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41</v>
      </c>
      <c r="H603" s="7" t="str" cm="1">
        <f t="array" ref="H60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“address these risks at an early stage”</v>
      </c>
    </row>
    <row r="604" spans="1:8" x14ac:dyDescent="0.25">
      <c r="A604" s="5">
        <v>34</v>
      </c>
      <c r="B604" t="s">
        <v>16</v>
      </c>
      <c r="C604" s="6">
        <f>IF(Tabelle18[[#This Row],[binding_level_company]]&gt;=1,1,0)</f>
        <v>1</v>
      </c>
      <c r="D604" s="6">
        <f>IFERROR(_xlfn.MAXIFS([1]!Tabelle5[binding_level],[1]!Tabelle5[company_id],Tabelle18[[#This Row],[company_id]],[1]!Tabelle5[value_id],Tabelle18[[#This Row],[value_id]],[1]!Tabelle5[value_present],1),0)</f>
        <v>2</v>
      </c>
      <c r="E604" s="6">
        <f>IFERROR(_xlfn.MAXIFS([1]!Tabelle5[value_points],[1]!Tabelle5[company_id],Tabelle18[[#This Row],[company_id]],[1]!Tabelle5[value_id],Tabelle18[[#This Row],[value_id]]),0)</f>
        <v>2</v>
      </c>
      <c r="F60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4" t="str" cm="1">
        <f t="array" ref="G60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42; S. 43</v>
      </c>
      <c r="H604" s="7" t="str" cm="1">
        <f t="array" ref="H60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“accuracy, reliability, and robustness”; “integrate our Responsible AI Principles and controls into our product and solutions development, procurement, and risk management processes”; “mandated and conducted an audit on Trustworthy AI”</v>
      </c>
    </row>
    <row r="605" spans="1:8" x14ac:dyDescent="0.25">
      <c r="A605" s="5">
        <v>34</v>
      </c>
      <c r="B605" t="s">
        <v>17</v>
      </c>
      <c r="C605" s="6">
        <f>IF(Tabelle18[[#This Row],[binding_level_company]]&gt;=1,1,0)</f>
        <v>0</v>
      </c>
      <c r="D605" s="6">
        <f>IFERROR(_xlfn.MAXIFS([1]!Tabelle5[binding_level],[1]!Tabelle5[company_id],Tabelle18[[#This Row],[company_id]],[1]!Tabelle5[value_id],Tabelle18[[#This Row],[value_id]],[1]!Tabelle5[value_present],1),0)</f>
        <v>0</v>
      </c>
      <c r="E605" s="6">
        <f>IFERROR(_xlfn.MAXIFS([1]!Tabelle5[value_points],[1]!Tabelle5[company_id],Tabelle18[[#This Row],[company_id]],[1]!Tabelle5[value_id],Tabelle18[[#This Row],[value_id]]),0)</f>
        <v>0</v>
      </c>
      <c r="F60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05" t="str" cm="1">
        <f t="array" ref="G60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05" s="7" t="str" cm="1">
        <f t="array" ref="H60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06" spans="1:8" x14ac:dyDescent="0.25">
      <c r="A606" s="5">
        <v>34</v>
      </c>
      <c r="B606" t="s">
        <v>18</v>
      </c>
      <c r="C606" s="6">
        <f>IF(Tabelle18[[#This Row],[binding_level_company]]&gt;=1,1,0)</f>
        <v>1</v>
      </c>
      <c r="D606" s="6">
        <f>IFERROR(_xlfn.MAXIFS([1]!Tabelle5[binding_level],[1]!Tabelle5[company_id],Tabelle18[[#This Row],[company_id]],[1]!Tabelle5[value_id],Tabelle18[[#This Row],[value_id]],[1]!Tabelle5[value_present],1),0)</f>
        <v>1</v>
      </c>
      <c r="E606" s="6">
        <f>IFERROR(_xlfn.MAXIFS([1]!Tabelle5[value_points],[1]!Tabelle5[company_id],Tabelle18[[#This Row],[company_id]],[1]!Tabelle5[value_id],Tabelle18[[#This Row],[value_id]]),0)</f>
        <v>1</v>
      </c>
      <c r="F60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6" t="str" cm="1">
        <f t="array" ref="G60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</v>
      </c>
      <c r="H606" s="7" t="str" cm="1">
        <f t="array" ref="H60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“foster inclusiveness and shared benefit”</v>
      </c>
    </row>
    <row r="607" spans="1:8" x14ac:dyDescent="0.25">
      <c r="A607" s="5">
        <v>34</v>
      </c>
      <c r="B607" t="s">
        <v>19</v>
      </c>
      <c r="C607" s="6">
        <f>IF(Tabelle18[[#This Row],[binding_level_company]]&gt;=1,1,0)</f>
        <v>1</v>
      </c>
      <c r="D607" s="6">
        <f>IFERROR(_xlfn.MAXIFS([1]!Tabelle5[binding_level],[1]!Tabelle5[company_id],Tabelle18[[#This Row],[company_id]],[1]!Tabelle5[value_id],Tabelle18[[#This Row],[value_id]],[1]!Tabelle5[value_present],1),0)</f>
        <v>1</v>
      </c>
      <c r="E607" s="6">
        <f>IFERROR(_xlfn.MAXIFS([1]!Tabelle5[value_points],[1]!Tabelle5[company_id],Tabelle18[[#This Row],[company_id]],[1]!Tabelle5[value_id],Tabelle18[[#This Row],[value_id]]),0)</f>
        <v>1</v>
      </c>
      <c r="F60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7" t="str" cm="1">
        <f t="array" ref="G60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</v>
      </c>
      <c r="H607" s="7" t="str" cm="1">
        <f t="array" ref="H60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“positive economic, societal, and environmental impact”</v>
      </c>
    </row>
    <row r="608" spans="1:8" x14ac:dyDescent="0.25">
      <c r="A608" s="5">
        <v>34</v>
      </c>
      <c r="B608" t="s">
        <v>20</v>
      </c>
      <c r="C608" s="6">
        <f>IF(Tabelle18[[#This Row],[binding_level_company]]&gt;=1,1,0)</f>
        <v>1</v>
      </c>
      <c r="D608" s="6">
        <f>IFERROR(_xlfn.MAXIFS([1]!Tabelle5[binding_level],[1]!Tabelle5[company_id],Tabelle18[[#This Row],[company_id]],[1]!Tabelle5[value_id],Tabelle18[[#This Row],[value_id]],[1]!Tabelle5[value_present],1),0)</f>
        <v>1</v>
      </c>
      <c r="E608" s="6">
        <f>IFERROR(_xlfn.MAXIFS([1]!Tabelle5[value_points],[1]!Tabelle5[company_id],Tabelle18[[#This Row],[company_id]],[1]!Tabelle5[value_id],Tabelle18[[#This Row],[value_id]]),0)</f>
        <v>1</v>
      </c>
      <c r="F60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8" t="str" cm="1">
        <f t="array" ref="G60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41–42</v>
      </c>
      <c r="H608" s="7" t="str" cm="1">
        <f t="array" ref="H60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“achieve positive sustainability impacts”; “positive economic, societal, and environmental impact”</v>
      </c>
    </row>
    <row r="609" spans="1:8" x14ac:dyDescent="0.25">
      <c r="A609" s="5">
        <v>34</v>
      </c>
      <c r="B609" t="s">
        <v>21</v>
      </c>
      <c r="C609" s="6">
        <f>IF(Tabelle18[[#This Row],[binding_level_company]]&gt;=1,1,0)</f>
        <v>1</v>
      </c>
      <c r="D609" s="6">
        <f>IFERROR(_xlfn.MAXIFS([1]!Tabelle5[binding_level],[1]!Tabelle5[company_id],Tabelle18[[#This Row],[company_id]],[1]!Tabelle5[value_id],Tabelle18[[#This Row],[value_id]],[1]!Tabelle5[value_present],1),0)</f>
        <v>2</v>
      </c>
      <c r="E609" s="6">
        <f>IFERROR(_xlfn.MAXIFS([1]!Tabelle5[value_points],[1]!Tabelle5[company_id],Tabelle18[[#This Row],[company_id]],[1]!Tabelle5[value_id],Tabelle18[[#This Row],[value_id]]),0)</f>
        <v>2</v>
      </c>
      <c r="F60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09" t="str" cm="1">
        <f t="array" ref="G60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41; S. 43; S. 49</v>
      </c>
      <c r="H609" s="7" t="str" cm="1">
        <f t="array" ref="H60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“legal requirements, like the EU AI Act”; “integrate our Responsible AI Principles and controls into our product and solutions development, procurement, and risk management processes”; “mandatory milestone in the global Siemens Product Lifecycle Management (PLM) process”</v>
      </c>
    </row>
    <row r="610" spans="1:8" x14ac:dyDescent="0.25">
      <c r="A610" s="5">
        <v>34</v>
      </c>
      <c r="B610" t="s">
        <v>22</v>
      </c>
      <c r="C610" s="6">
        <f>IF(Tabelle18[[#This Row],[binding_level_company]]&gt;=1,1,0)</f>
        <v>1</v>
      </c>
      <c r="D610" s="6">
        <f>IFERROR(_xlfn.MAXIFS([1]!Tabelle5[binding_level],[1]!Tabelle5[company_id],Tabelle18[[#This Row],[company_id]],[1]!Tabelle5[value_id],Tabelle18[[#This Row],[value_id]],[1]!Tabelle5[value_present],1),0)</f>
        <v>1</v>
      </c>
      <c r="E610" s="6">
        <f>IFERROR(_xlfn.MAXIFS([1]!Tabelle5[value_points],[1]!Tabelle5[company_id],Tabelle18[[#This Row],[company_id]],[1]!Tabelle5[value_id],Tabelle18[[#This Row],[value_id]]),0)</f>
        <v>1</v>
      </c>
      <c r="F61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10" t="str" cm="1">
        <f t="array" ref="G6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</v>
      </c>
      <c r="H610" s="7" t="str" cm="1">
        <f t="array" ref="H6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“Promote the ethical use of AI technologies”</v>
      </c>
    </row>
    <row r="611" spans="1:8" x14ac:dyDescent="0.25">
      <c r="A611" s="5">
        <v>34</v>
      </c>
      <c r="B611" t="s">
        <v>23</v>
      </c>
      <c r="C611" s="6">
        <f>IF(Tabelle18[[#This Row],[binding_level_company]]&gt;=1,1,0)</f>
        <v>1</v>
      </c>
      <c r="D611" s="6">
        <f>IFERROR(_xlfn.MAXIFS([1]!Tabelle5[binding_level],[1]!Tabelle5[company_id],Tabelle18[[#This Row],[company_id]],[1]!Tabelle5[value_id],Tabelle18[[#This Row],[value_id]],[1]!Tabelle5[value_present],1),0)</f>
        <v>1</v>
      </c>
      <c r="E611" s="6">
        <f>IFERROR(_xlfn.MAXIFS([1]!Tabelle5[value_points],[1]!Tabelle5[company_id],Tabelle18[[#This Row],[company_id]],[1]!Tabelle5[value_id],Tabelle18[[#This Row],[value_id]]),0)</f>
        <v>1</v>
      </c>
      <c r="F61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201</v>
      </c>
      <c r="G611" t="str" cm="1">
        <f t="array" ref="G6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42</v>
      </c>
      <c r="H611" s="7" t="str" cm="1">
        <f t="array" ref="H6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“(quality) control, and accountability of their data”</v>
      </c>
    </row>
    <row r="612" spans="1:8" x14ac:dyDescent="0.25">
      <c r="A612" s="5">
        <v>34</v>
      </c>
      <c r="B612" t="s">
        <v>24</v>
      </c>
      <c r="C612" s="6">
        <f>IF(Tabelle18[[#This Row],[binding_level_company]]&gt;=1,1,0)</f>
        <v>0</v>
      </c>
      <c r="D612" s="6">
        <f>IFERROR(_xlfn.MAXIFS([1]!Tabelle5[binding_level],[1]!Tabelle5[company_id],Tabelle18[[#This Row],[company_id]],[1]!Tabelle5[value_id],Tabelle18[[#This Row],[value_id]],[1]!Tabelle5[value_present],1),0)</f>
        <v>0</v>
      </c>
      <c r="E612" s="6">
        <f>IFERROR(_xlfn.MAXIFS([1]!Tabelle5[value_points],[1]!Tabelle5[company_id],Tabelle18[[#This Row],[company_id]],[1]!Tabelle5[value_id],Tabelle18[[#This Row],[value_id]]),0)</f>
        <v>0</v>
      </c>
      <c r="F61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2" t="str" cm="1">
        <f t="array" ref="G6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2" s="7" t="str" cm="1">
        <f t="array" ref="H6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13" spans="1:8" ht="15.75" thickBot="1" x14ac:dyDescent="0.3">
      <c r="A613" s="8">
        <v>34</v>
      </c>
      <c r="B613" s="9" t="s">
        <v>25</v>
      </c>
      <c r="C613" s="10">
        <f>IF(Tabelle18[[#This Row],[binding_level_company]]&gt;=1,1,0)</f>
        <v>0</v>
      </c>
      <c r="D613" s="10">
        <f>IFERROR(_xlfn.MAXIFS([1]!Tabelle5[binding_level],[1]!Tabelle5[company_id],Tabelle18[[#This Row],[company_id]],[1]!Tabelle5[value_id],Tabelle18[[#This Row],[value_id]],[1]!Tabelle5[value_present],1),0)</f>
        <v>0</v>
      </c>
      <c r="E613" s="10">
        <f>IFERROR(_xlfn.MAXIFS([1]!Tabelle5[value_points],[1]!Tabelle5[company_id],Tabelle18[[#This Row],[company_id]],[1]!Tabelle5[value_id],Tabelle18[[#This Row],[value_id]]),0)</f>
        <v>0</v>
      </c>
      <c r="F613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3" s="9" t="str" cm="1">
        <f t="array" ref="G6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3" s="11" t="str" cm="1">
        <f t="array" ref="H6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14" spans="1:8" x14ac:dyDescent="0.25">
      <c r="A614" s="1">
        <v>35</v>
      </c>
      <c r="B614" s="2" t="s">
        <v>8</v>
      </c>
      <c r="C614" s="3">
        <f>IF(Tabelle18[[#This Row],[binding_level_company]]&gt;=1,1,0)</f>
        <v>0</v>
      </c>
      <c r="D614" s="3">
        <f>IFERROR(_xlfn.MAXIFS([1]!Tabelle5[binding_level],[1]!Tabelle5[company_id],Tabelle18[[#This Row],[company_id]],[1]!Tabelle5[value_id],Tabelle18[[#This Row],[value_id]],[1]!Tabelle5[value_present],1),0)</f>
        <v>0</v>
      </c>
      <c r="E614" s="3">
        <f>IFERROR(_xlfn.MAXIFS([1]!Tabelle5[value_points],[1]!Tabelle5[company_id],Tabelle18[[#This Row],[company_id]],[1]!Tabelle5[value_id],Tabelle18[[#This Row],[value_id]]),0)</f>
        <v>0</v>
      </c>
      <c r="F614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4" s="2" t="str" cm="1">
        <f t="array" ref="G6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4" s="4" t="str" cm="1">
        <f t="array" ref="H6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15" spans="1:8" x14ac:dyDescent="0.25">
      <c r="A615" s="5">
        <v>35</v>
      </c>
      <c r="B615" t="s">
        <v>9</v>
      </c>
      <c r="C615" s="6">
        <f>IF(Tabelle18[[#This Row],[binding_level_company]]&gt;=1,1,0)</f>
        <v>0</v>
      </c>
      <c r="D615" s="6">
        <f>IFERROR(_xlfn.MAXIFS([1]!Tabelle5[binding_level],[1]!Tabelle5[company_id],Tabelle18[[#This Row],[company_id]],[1]!Tabelle5[value_id],Tabelle18[[#This Row],[value_id]],[1]!Tabelle5[value_present],1),0)</f>
        <v>0</v>
      </c>
      <c r="E615" s="6">
        <f>IFERROR(_xlfn.MAXIFS([1]!Tabelle5[value_points],[1]!Tabelle5[company_id],Tabelle18[[#This Row],[company_id]],[1]!Tabelle5[value_id],Tabelle18[[#This Row],[value_id]]),0)</f>
        <v>0</v>
      </c>
      <c r="F61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5" t="str" cm="1">
        <f t="array" ref="G6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5" s="7" t="str" cm="1">
        <f t="array" ref="H6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16" spans="1:8" x14ac:dyDescent="0.25">
      <c r="A616" s="5">
        <v>35</v>
      </c>
      <c r="B616" t="s">
        <v>10</v>
      </c>
      <c r="C616" s="6">
        <f>IF(Tabelle18[[#This Row],[binding_level_company]]&gt;=1,1,0)</f>
        <v>0</v>
      </c>
      <c r="D616" s="6">
        <f>IFERROR(_xlfn.MAXIFS([1]!Tabelle5[binding_level],[1]!Tabelle5[company_id],Tabelle18[[#This Row],[company_id]],[1]!Tabelle5[value_id],Tabelle18[[#This Row],[value_id]],[1]!Tabelle5[value_present],1),0)</f>
        <v>0</v>
      </c>
      <c r="E616" s="6">
        <f>IFERROR(_xlfn.MAXIFS([1]!Tabelle5[value_points],[1]!Tabelle5[company_id],Tabelle18[[#This Row],[company_id]],[1]!Tabelle5[value_id],Tabelle18[[#This Row],[value_id]]),0)</f>
        <v>0</v>
      </c>
      <c r="F61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6" t="str" cm="1">
        <f t="array" ref="G6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6" s="7" t="str" cm="1">
        <f t="array" ref="H6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17" spans="1:8" x14ac:dyDescent="0.25">
      <c r="A617" s="5">
        <v>35</v>
      </c>
      <c r="B617" t="s">
        <v>11</v>
      </c>
      <c r="C617" s="6">
        <f>IF(Tabelle18[[#This Row],[binding_level_company]]&gt;=1,1,0)</f>
        <v>0</v>
      </c>
      <c r="D617" s="6">
        <f>IFERROR(_xlfn.MAXIFS([1]!Tabelle5[binding_level],[1]!Tabelle5[company_id],Tabelle18[[#This Row],[company_id]],[1]!Tabelle5[value_id],Tabelle18[[#This Row],[value_id]],[1]!Tabelle5[value_present],1),0)</f>
        <v>0</v>
      </c>
      <c r="E617" s="6">
        <f>IFERROR(_xlfn.MAXIFS([1]!Tabelle5[value_points],[1]!Tabelle5[company_id],Tabelle18[[#This Row],[company_id]],[1]!Tabelle5[value_id],Tabelle18[[#This Row],[value_id]]),0)</f>
        <v>0</v>
      </c>
      <c r="F61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7" t="str" cm="1">
        <f t="array" ref="G6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7" s="7" t="str" cm="1">
        <f t="array" ref="H6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18" spans="1:8" x14ac:dyDescent="0.25">
      <c r="A618" s="5">
        <v>35</v>
      </c>
      <c r="B618" t="s">
        <v>12</v>
      </c>
      <c r="C618" s="6">
        <f>IF(Tabelle18[[#This Row],[binding_level_company]]&gt;=1,1,0)</f>
        <v>0</v>
      </c>
      <c r="D618" s="6">
        <f>IFERROR(_xlfn.MAXIFS([1]!Tabelle5[binding_level],[1]!Tabelle5[company_id],Tabelle18[[#This Row],[company_id]],[1]!Tabelle5[value_id],Tabelle18[[#This Row],[value_id]],[1]!Tabelle5[value_present],1),0)</f>
        <v>0</v>
      </c>
      <c r="E618" s="6">
        <f>IFERROR(_xlfn.MAXIFS([1]!Tabelle5[value_points],[1]!Tabelle5[company_id],Tabelle18[[#This Row],[company_id]],[1]!Tabelle5[value_id],Tabelle18[[#This Row],[value_id]]),0)</f>
        <v>0</v>
      </c>
      <c r="F61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8" t="str" cm="1">
        <f t="array" ref="G6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8" s="7" t="str" cm="1">
        <f t="array" ref="H6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19" spans="1:8" x14ac:dyDescent="0.25">
      <c r="A619" s="5">
        <v>35</v>
      </c>
      <c r="B619" t="s">
        <v>13</v>
      </c>
      <c r="C619" s="6">
        <f>IF(Tabelle18[[#This Row],[binding_level_company]]&gt;=1,1,0)</f>
        <v>0</v>
      </c>
      <c r="D619" s="6">
        <f>IFERROR(_xlfn.MAXIFS([1]!Tabelle5[binding_level],[1]!Tabelle5[company_id],Tabelle18[[#This Row],[company_id]],[1]!Tabelle5[value_id],Tabelle18[[#This Row],[value_id]],[1]!Tabelle5[value_present],1),0)</f>
        <v>0</v>
      </c>
      <c r="E619" s="6">
        <f>IFERROR(_xlfn.MAXIFS([1]!Tabelle5[value_points],[1]!Tabelle5[company_id],Tabelle18[[#This Row],[company_id]],[1]!Tabelle5[value_id],Tabelle18[[#This Row],[value_id]]),0)</f>
        <v>0</v>
      </c>
      <c r="F61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19" t="str" cm="1">
        <f t="array" ref="G6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19" s="7" t="str" cm="1">
        <f t="array" ref="H6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0" spans="1:8" x14ac:dyDescent="0.25">
      <c r="A620" s="5">
        <v>35</v>
      </c>
      <c r="B620" t="s">
        <v>14</v>
      </c>
      <c r="C620" s="6">
        <f>IF(Tabelle18[[#This Row],[binding_level_company]]&gt;=1,1,0)</f>
        <v>0</v>
      </c>
      <c r="D620" s="6">
        <f>IFERROR(_xlfn.MAXIFS([1]!Tabelle5[binding_level],[1]!Tabelle5[company_id],Tabelle18[[#This Row],[company_id]],[1]!Tabelle5[value_id],Tabelle18[[#This Row],[value_id]],[1]!Tabelle5[value_present],1),0)</f>
        <v>0</v>
      </c>
      <c r="E620" s="6">
        <f>IFERROR(_xlfn.MAXIFS([1]!Tabelle5[value_points],[1]!Tabelle5[company_id],Tabelle18[[#This Row],[company_id]],[1]!Tabelle5[value_id],Tabelle18[[#This Row],[value_id]]),0)</f>
        <v>0</v>
      </c>
      <c r="F62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0" t="str" cm="1">
        <f t="array" ref="G6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0" s="7" t="str" cm="1">
        <f t="array" ref="H6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1" spans="1:8" x14ac:dyDescent="0.25">
      <c r="A621" s="5">
        <v>35</v>
      </c>
      <c r="B621" t="s">
        <v>15</v>
      </c>
      <c r="C621" s="6">
        <f>IF(Tabelle18[[#This Row],[binding_level_company]]&gt;=1,1,0)</f>
        <v>0</v>
      </c>
      <c r="D621" s="6">
        <f>IFERROR(_xlfn.MAXIFS([1]!Tabelle5[binding_level],[1]!Tabelle5[company_id],Tabelle18[[#This Row],[company_id]],[1]!Tabelle5[value_id],Tabelle18[[#This Row],[value_id]],[1]!Tabelle5[value_present],1),0)</f>
        <v>0</v>
      </c>
      <c r="E621" s="6">
        <f>IFERROR(_xlfn.MAXIFS([1]!Tabelle5[value_points],[1]!Tabelle5[company_id],Tabelle18[[#This Row],[company_id]],[1]!Tabelle5[value_id],Tabelle18[[#This Row],[value_id]]),0)</f>
        <v>0</v>
      </c>
      <c r="F62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1" t="str" cm="1">
        <f t="array" ref="G6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1" s="7" t="str" cm="1">
        <f t="array" ref="H6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2" spans="1:8" x14ac:dyDescent="0.25">
      <c r="A622" s="5">
        <v>35</v>
      </c>
      <c r="B622" t="s">
        <v>16</v>
      </c>
      <c r="C622" s="6">
        <f>IF(Tabelle18[[#This Row],[binding_level_company]]&gt;=1,1,0)</f>
        <v>0</v>
      </c>
      <c r="D622" s="6">
        <f>IFERROR(_xlfn.MAXIFS([1]!Tabelle5[binding_level],[1]!Tabelle5[company_id],Tabelle18[[#This Row],[company_id]],[1]!Tabelle5[value_id],Tabelle18[[#This Row],[value_id]],[1]!Tabelle5[value_present],1),0)</f>
        <v>0</v>
      </c>
      <c r="E622" s="6">
        <f>IFERROR(_xlfn.MAXIFS([1]!Tabelle5[value_points],[1]!Tabelle5[company_id],Tabelle18[[#This Row],[company_id]],[1]!Tabelle5[value_id],Tabelle18[[#This Row],[value_id]]),0)</f>
        <v>0</v>
      </c>
      <c r="F62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2" t="str" cm="1">
        <f t="array" ref="G62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2" s="7" t="str" cm="1">
        <f t="array" ref="H62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3" spans="1:8" x14ac:dyDescent="0.25">
      <c r="A623" s="5">
        <v>35</v>
      </c>
      <c r="B623" t="s">
        <v>17</v>
      </c>
      <c r="C623" s="6">
        <f>IF(Tabelle18[[#This Row],[binding_level_company]]&gt;=1,1,0)</f>
        <v>0</v>
      </c>
      <c r="D623" s="6">
        <f>IFERROR(_xlfn.MAXIFS([1]!Tabelle5[binding_level],[1]!Tabelle5[company_id],Tabelle18[[#This Row],[company_id]],[1]!Tabelle5[value_id],Tabelle18[[#This Row],[value_id]],[1]!Tabelle5[value_present],1),0)</f>
        <v>0</v>
      </c>
      <c r="E623" s="6">
        <f>IFERROR(_xlfn.MAXIFS([1]!Tabelle5[value_points],[1]!Tabelle5[company_id],Tabelle18[[#This Row],[company_id]],[1]!Tabelle5[value_id],Tabelle18[[#This Row],[value_id]]),0)</f>
        <v>0</v>
      </c>
      <c r="F62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3" t="str" cm="1">
        <f t="array" ref="G62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3" s="7" t="str" cm="1">
        <f t="array" ref="H62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4" spans="1:8" x14ac:dyDescent="0.25">
      <c r="A624" s="5">
        <v>35</v>
      </c>
      <c r="B624" t="s">
        <v>18</v>
      </c>
      <c r="C624" s="6">
        <f>IF(Tabelle18[[#This Row],[binding_level_company]]&gt;=1,1,0)</f>
        <v>0</v>
      </c>
      <c r="D624" s="6">
        <f>IFERROR(_xlfn.MAXIFS([1]!Tabelle5[binding_level],[1]!Tabelle5[company_id],Tabelle18[[#This Row],[company_id]],[1]!Tabelle5[value_id],Tabelle18[[#This Row],[value_id]],[1]!Tabelle5[value_present],1),0)</f>
        <v>0</v>
      </c>
      <c r="E624" s="6">
        <f>IFERROR(_xlfn.MAXIFS([1]!Tabelle5[value_points],[1]!Tabelle5[company_id],Tabelle18[[#This Row],[company_id]],[1]!Tabelle5[value_id],Tabelle18[[#This Row],[value_id]]),0)</f>
        <v>0</v>
      </c>
      <c r="F62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4" t="str" cm="1">
        <f t="array" ref="G62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4" s="7" t="str" cm="1">
        <f t="array" ref="H62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5" spans="1:8" x14ac:dyDescent="0.25">
      <c r="A625" s="5">
        <v>35</v>
      </c>
      <c r="B625" t="s">
        <v>19</v>
      </c>
      <c r="C625" s="6">
        <f>IF(Tabelle18[[#This Row],[binding_level_company]]&gt;=1,1,0)</f>
        <v>0</v>
      </c>
      <c r="D625" s="6">
        <f>IFERROR(_xlfn.MAXIFS([1]!Tabelle5[binding_level],[1]!Tabelle5[company_id],Tabelle18[[#This Row],[company_id]],[1]!Tabelle5[value_id],Tabelle18[[#This Row],[value_id]],[1]!Tabelle5[value_present],1),0)</f>
        <v>0</v>
      </c>
      <c r="E625" s="6">
        <f>IFERROR(_xlfn.MAXIFS([1]!Tabelle5[value_points],[1]!Tabelle5[company_id],Tabelle18[[#This Row],[company_id]],[1]!Tabelle5[value_id],Tabelle18[[#This Row],[value_id]]),0)</f>
        <v>0</v>
      </c>
      <c r="F62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5" t="str" cm="1">
        <f t="array" ref="G62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5" s="7" t="str" cm="1">
        <f t="array" ref="H62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6" spans="1:8" x14ac:dyDescent="0.25">
      <c r="A626" s="5">
        <v>35</v>
      </c>
      <c r="B626" t="s">
        <v>20</v>
      </c>
      <c r="C626" s="6">
        <f>IF(Tabelle18[[#This Row],[binding_level_company]]&gt;=1,1,0)</f>
        <v>0</v>
      </c>
      <c r="D626" s="6">
        <f>IFERROR(_xlfn.MAXIFS([1]!Tabelle5[binding_level],[1]!Tabelle5[company_id],Tabelle18[[#This Row],[company_id]],[1]!Tabelle5[value_id],Tabelle18[[#This Row],[value_id]],[1]!Tabelle5[value_present],1),0)</f>
        <v>0</v>
      </c>
      <c r="E626" s="6">
        <f>IFERROR(_xlfn.MAXIFS([1]!Tabelle5[value_points],[1]!Tabelle5[company_id],Tabelle18[[#This Row],[company_id]],[1]!Tabelle5[value_id],Tabelle18[[#This Row],[value_id]]),0)</f>
        <v>0</v>
      </c>
      <c r="F62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6" t="str" cm="1">
        <f t="array" ref="G62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6" s="7" t="str" cm="1">
        <f t="array" ref="H62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7" spans="1:8" x14ac:dyDescent="0.25">
      <c r="A627" s="5">
        <v>35</v>
      </c>
      <c r="B627" t="s">
        <v>21</v>
      </c>
      <c r="C627" s="6">
        <f>IF(Tabelle18[[#This Row],[binding_level_company]]&gt;=1,1,0)</f>
        <v>0</v>
      </c>
      <c r="D627" s="6">
        <f>IFERROR(_xlfn.MAXIFS([1]!Tabelle5[binding_level],[1]!Tabelle5[company_id],Tabelle18[[#This Row],[company_id]],[1]!Tabelle5[value_id],Tabelle18[[#This Row],[value_id]],[1]!Tabelle5[value_present],1),0)</f>
        <v>0</v>
      </c>
      <c r="E627" s="6">
        <f>IFERROR(_xlfn.MAXIFS([1]!Tabelle5[value_points],[1]!Tabelle5[company_id],Tabelle18[[#This Row],[company_id]],[1]!Tabelle5[value_id],Tabelle18[[#This Row],[value_id]]),0)</f>
        <v>0</v>
      </c>
      <c r="F62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7" t="str" cm="1">
        <f t="array" ref="G62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7" s="7" t="str" cm="1">
        <f t="array" ref="H62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8" spans="1:8" x14ac:dyDescent="0.25">
      <c r="A628" s="5">
        <v>35</v>
      </c>
      <c r="B628" t="s">
        <v>22</v>
      </c>
      <c r="C628" s="6">
        <f>IF(Tabelle18[[#This Row],[binding_level_company]]&gt;=1,1,0)</f>
        <v>0</v>
      </c>
      <c r="D628" s="6">
        <f>IFERROR(_xlfn.MAXIFS([1]!Tabelle5[binding_level],[1]!Tabelle5[company_id],Tabelle18[[#This Row],[company_id]],[1]!Tabelle5[value_id],Tabelle18[[#This Row],[value_id]],[1]!Tabelle5[value_present],1),0)</f>
        <v>0</v>
      </c>
      <c r="E628" s="6">
        <f>IFERROR(_xlfn.MAXIFS([1]!Tabelle5[value_points],[1]!Tabelle5[company_id],Tabelle18[[#This Row],[company_id]],[1]!Tabelle5[value_id],Tabelle18[[#This Row],[value_id]]),0)</f>
        <v>0</v>
      </c>
      <c r="F62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8" t="str" cm="1">
        <f t="array" ref="G62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8" s="7" t="str" cm="1">
        <f t="array" ref="H62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29" spans="1:8" x14ac:dyDescent="0.25">
      <c r="A629" s="5">
        <v>35</v>
      </c>
      <c r="B629" t="s">
        <v>23</v>
      </c>
      <c r="C629" s="6">
        <f>IF(Tabelle18[[#This Row],[binding_level_company]]&gt;=1,1,0)</f>
        <v>0</v>
      </c>
      <c r="D629" s="6">
        <f>IFERROR(_xlfn.MAXIFS([1]!Tabelle5[binding_level],[1]!Tabelle5[company_id],Tabelle18[[#This Row],[company_id]],[1]!Tabelle5[value_id],Tabelle18[[#This Row],[value_id]],[1]!Tabelle5[value_present],1),0)</f>
        <v>0</v>
      </c>
      <c r="E629" s="6">
        <f>IFERROR(_xlfn.MAXIFS([1]!Tabelle5[value_points],[1]!Tabelle5[company_id],Tabelle18[[#This Row],[company_id]],[1]!Tabelle5[value_id],Tabelle18[[#This Row],[value_id]]),0)</f>
        <v>0</v>
      </c>
      <c r="F62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29" t="str" cm="1">
        <f t="array" ref="G62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29" s="7" t="str" cm="1">
        <f t="array" ref="H62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30" spans="1:8" x14ac:dyDescent="0.25">
      <c r="A630" s="5">
        <v>35</v>
      </c>
      <c r="B630" t="s">
        <v>24</v>
      </c>
      <c r="C630" s="6">
        <f>IF(Tabelle18[[#This Row],[binding_level_company]]&gt;=1,1,0)</f>
        <v>0</v>
      </c>
      <c r="D630" s="6">
        <f>IFERROR(_xlfn.MAXIFS([1]!Tabelle5[binding_level],[1]!Tabelle5[company_id],Tabelle18[[#This Row],[company_id]],[1]!Tabelle5[value_id],Tabelle18[[#This Row],[value_id]],[1]!Tabelle5[value_present],1),0)</f>
        <v>0</v>
      </c>
      <c r="E630" s="6">
        <f>IFERROR(_xlfn.MAXIFS([1]!Tabelle5[value_points],[1]!Tabelle5[company_id],Tabelle18[[#This Row],[company_id]],[1]!Tabelle5[value_id],Tabelle18[[#This Row],[value_id]]),0)</f>
        <v>0</v>
      </c>
      <c r="F63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30" t="str" cm="1">
        <f t="array" ref="G63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30" s="7" t="str" cm="1">
        <f t="array" ref="H63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31" spans="1:8" ht="15.75" thickBot="1" x14ac:dyDescent="0.3">
      <c r="A631" s="8">
        <v>35</v>
      </c>
      <c r="B631" s="9" t="s">
        <v>25</v>
      </c>
      <c r="C631" s="10">
        <f>IF(Tabelle18[[#This Row],[binding_level_company]]&gt;=1,1,0)</f>
        <v>0</v>
      </c>
      <c r="D631" s="10">
        <f>IFERROR(_xlfn.MAXIFS([1]!Tabelle5[binding_level],[1]!Tabelle5[company_id],Tabelle18[[#This Row],[company_id]],[1]!Tabelle5[value_id],Tabelle18[[#This Row],[value_id]],[1]!Tabelle5[value_present],1),0)</f>
        <v>0</v>
      </c>
      <c r="E631" s="10">
        <f>IFERROR(_xlfn.MAXIFS([1]!Tabelle5[value_points],[1]!Tabelle5[company_id],Tabelle18[[#This Row],[company_id]],[1]!Tabelle5[value_id],Tabelle18[[#This Row],[value_id]]),0)</f>
        <v>0</v>
      </c>
      <c r="F631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31" s="9" t="str" cm="1">
        <f t="array" ref="G63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31" s="11" t="str" cm="1">
        <f t="array" ref="H63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32" spans="1:8" x14ac:dyDescent="0.25">
      <c r="A632" s="1">
        <v>36</v>
      </c>
      <c r="B632" s="2" t="s">
        <v>8</v>
      </c>
      <c r="C632" s="3">
        <f>IF(Tabelle18[[#This Row],[binding_level_company]]&gt;=1,1,0)</f>
        <v>1</v>
      </c>
      <c r="D632" s="3">
        <f>IFERROR(_xlfn.MAXIFS([1]!Tabelle5[binding_level],[1]!Tabelle5[company_id],Tabelle18[[#This Row],[company_id]],[1]!Tabelle5[value_id],Tabelle18[[#This Row],[value_id]],[1]!Tabelle5[value_present],1),0)</f>
        <v>1</v>
      </c>
      <c r="E632" s="3">
        <f>IFERROR(_xlfn.MAXIFS([1]!Tabelle5[value_points],[1]!Tabelle5[company_id],Tabelle18[[#This Row],[company_id]],[1]!Tabelle5[value_id],Tabelle18[[#This Row],[value_id]]),0)</f>
        <v>1</v>
      </c>
      <c r="F632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32" s="2" t="str" cm="1">
        <f t="array" ref="G63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</v>
      </c>
      <c r="H632" s="4" t="str" cm="1">
        <f t="array" ref="H63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“healthcare professionals together with AI solutions are a strong team.”</v>
      </c>
    </row>
    <row r="633" spans="1:8" x14ac:dyDescent="0.25">
      <c r="A633" s="5">
        <v>36</v>
      </c>
      <c r="B633" t="s">
        <v>9</v>
      </c>
      <c r="C633" s="6">
        <f>IF(Tabelle18[[#This Row],[binding_level_company]]&gt;=1,1,0)</f>
        <v>1</v>
      </c>
      <c r="D633" s="6">
        <f>IFERROR(_xlfn.MAXIFS([1]!Tabelle5[binding_level],[1]!Tabelle5[company_id],Tabelle18[[#This Row],[company_id]],[1]!Tabelle5[value_id],Tabelle18[[#This Row],[value_id]],[1]!Tabelle5[value_present],1),0)</f>
        <v>2</v>
      </c>
      <c r="E633" s="6">
        <f>IFERROR(_xlfn.MAXIFS([1]!Tabelle5[value_points],[1]!Tabelle5[company_id],Tabelle18[[#This Row],[company_id]],[1]!Tabelle5[value_id],Tabelle18[[#This Row],[value_id]]),0)</f>
        <v>2</v>
      </c>
      <c r="F63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33" t="str" cm="1">
        <f t="array" ref="G63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9</v>
      </c>
      <c r="H633" s="7" t="str" cm="1">
        <f t="array" ref="H63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“Our AI factory is run by a strict corporate policy”; “are mandatory for Siemens Healthineers worldwide”</v>
      </c>
    </row>
    <row r="634" spans="1:8" x14ac:dyDescent="0.25">
      <c r="A634" s="5">
        <v>36</v>
      </c>
      <c r="B634" t="s">
        <v>10</v>
      </c>
      <c r="C634" s="6">
        <f>IF(Tabelle18[[#This Row],[binding_level_company]]&gt;=1,1,0)</f>
        <v>1</v>
      </c>
      <c r="D634" s="6">
        <f>IFERROR(_xlfn.MAXIFS([1]!Tabelle5[binding_level],[1]!Tabelle5[company_id],Tabelle18[[#This Row],[company_id]],[1]!Tabelle5[value_id],Tabelle18[[#This Row],[value_id]],[1]!Tabelle5[value_present],1),0)</f>
        <v>1</v>
      </c>
      <c r="E634" s="6">
        <f>IFERROR(_xlfn.MAXIFS([1]!Tabelle5[value_points],[1]!Tabelle5[company_id],Tabelle18[[#This Row],[company_id]],[1]!Tabelle5[value_id],Tabelle18[[#This Row],[value_id]]),0)</f>
        <v>1</v>
      </c>
      <c r="F63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34" t="str" cm="1">
        <f t="array" ref="G63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</v>
      </c>
      <c r="H634" s="7" t="str" cm="1">
        <f t="array" ref="H63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“AI development needs to be transparent.”; “speak honestly about the capabilities of our AI solutions.”</v>
      </c>
    </row>
    <row r="635" spans="1:8" x14ac:dyDescent="0.25">
      <c r="A635" s="5">
        <v>36</v>
      </c>
      <c r="B635" t="s">
        <v>11</v>
      </c>
      <c r="C635" s="6">
        <f>IF(Tabelle18[[#This Row],[binding_level_company]]&gt;=1,1,0)</f>
        <v>0</v>
      </c>
      <c r="D635" s="6">
        <f>IFERROR(_xlfn.MAXIFS([1]!Tabelle5[binding_level],[1]!Tabelle5[company_id],Tabelle18[[#This Row],[company_id]],[1]!Tabelle5[value_id],Tabelle18[[#This Row],[value_id]],[1]!Tabelle5[value_present],1),0)</f>
        <v>0</v>
      </c>
      <c r="E635" s="6">
        <f>IFERROR(_xlfn.MAXIFS([1]!Tabelle5[value_points],[1]!Tabelle5[company_id],Tabelle18[[#This Row],[company_id]],[1]!Tabelle5[value_id],Tabelle18[[#This Row],[value_id]]),0)</f>
        <v>0</v>
      </c>
      <c r="F63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35" t="str" cm="1">
        <f t="array" ref="G63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35" s="7" t="str" cm="1">
        <f t="array" ref="H63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36" spans="1:8" x14ac:dyDescent="0.25">
      <c r="A636" s="5">
        <v>36</v>
      </c>
      <c r="B636" t="s">
        <v>12</v>
      </c>
      <c r="C636" s="6">
        <f>IF(Tabelle18[[#This Row],[binding_level_company]]&gt;=1,1,0)</f>
        <v>0</v>
      </c>
      <c r="D636" s="6">
        <f>IFERROR(_xlfn.MAXIFS([1]!Tabelle5[binding_level],[1]!Tabelle5[company_id],Tabelle18[[#This Row],[company_id]],[1]!Tabelle5[value_id],Tabelle18[[#This Row],[value_id]],[1]!Tabelle5[value_present],1),0)</f>
        <v>0</v>
      </c>
      <c r="E636" s="6">
        <f>IFERROR(_xlfn.MAXIFS([1]!Tabelle5[value_points],[1]!Tabelle5[company_id],Tabelle18[[#This Row],[company_id]],[1]!Tabelle5[value_id],Tabelle18[[#This Row],[value_id]]),0)</f>
        <v>0</v>
      </c>
      <c r="F63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36" t="str" cm="1">
        <f t="array" ref="G63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36" s="7" t="str" cm="1">
        <f t="array" ref="H63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37" spans="1:8" x14ac:dyDescent="0.25">
      <c r="A637" s="5">
        <v>36</v>
      </c>
      <c r="B637" t="s">
        <v>13</v>
      </c>
      <c r="C637" s="6">
        <f>IF(Tabelle18[[#This Row],[binding_level_company]]&gt;=1,1,0)</f>
        <v>1</v>
      </c>
      <c r="D637" s="6">
        <f>IFERROR(_xlfn.MAXIFS([1]!Tabelle5[binding_level],[1]!Tabelle5[company_id],Tabelle18[[#This Row],[company_id]],[1]!Tabelle5[value_id],Tabelle18[[#This Row],[value_id]],[1]!Tabelle5[value_present],1),0)</f>
        <v>3</v>
      </c>
      <c r="E637" s="6">
        <f>IFERROR(_xlfn.MAXIFS([1]!Tabelle5[value_points],[1]!Tabelle5[company_id],Tabelle18[[#This Row],[company_id]],[1]!Tabelle5[value_id],Tabelle18[[#This Row],[value_id]]),0)</f>
        <v>3</v>
      </c>
      <c r="F63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37" t="str" cm="1">
        <f t="array" ref="G63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3; S. 9-10</v>
      </c>
      <c r="H637" s="7" t="str" cm="1">
        <f t="array" ref="H63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“rigorous anonymization process”; “are mandatory for Siemens Healthineers worldwide”; “right to grant or revoke consent”</v>
      </c>
    </row>
    <row r="638" spans="1:8" x14ac:dyDescent="0.25">
      <c r="A638" s="5">
        <v>36</v>
      </c>
      <c r="B638" t="s">
        <v>14</v>
      </c>
      <c r="C638" s="6">
        <f>IF(Tabelle18[[#This Row],[binding_level_company]]&gt;=1,1,0)</f>
        <v>1</v>
      </c>
      <c r="D638" s="6">
        <f>IFERROR(_xlfn.MAXIFS([1]!Tabelle5[binding_level],[1]!Tabelle5[company_id],Tabelle18[[#This Row],[company_id]],[1]!Tabelle5[value_id],Tabelle18[[#This Row],[value_id]],[1]!Tabelle5[value_present],1),0)</f>
        <v>3</v>
      </c>
      <c r="E638" s="6">
        <f>IFERROR(_xlfn.MAXIFS([1]!Tabelle5[value_points],[1]!Tabelle5[company_id],Tabelle18[[#This Row],[company_id]],[1]!Tabelle5[value_id],Tabelle18[[#This Row],[value_id]]),0)</f>
        <v>3</v>
      </c>
      <c r="F63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38" t="str" cm="1">
        <f t="array" ref="G63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4; S. 9-10</v>
      </c>
      <c r="H638" s="7" t="str" cm="1">
        <f t="array" ref="H63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“rigorous, standardized procedure”; “ISO-certified cybersecurity management system”; “secure development lifecycle (SDL)”</v>
      </c>
    </row>
    <row r="639" spans="1:8" x14ac:dyDescent="0.25">
      <c r="A639" s="5">
        <v>36</v>
      </c>
      <c r="B639" t="s">
        <v>15</v>
      </c>
      <c r="C639" s="6">
        <f>IF(Tabelle18[[#This Row],[binding_level_company]]&gt;=1,1,0)</f>
        <v>1</v>
      </c>
      <c r="D639" s="6">
        <f>IFERROR(_xlfn.MAXIFS([1]!Tabelle5[binding_level],[1]!Tabelle5[company_id],Tabelle18[[#This Row],[company_id]],[1]!Tabelle5[value_id],Tabelle18[[#This Row],[value_id]],[1]!Tabelle5[value_present],1),0)</f>
        <v>3</v>
      </c>
      <c r="E639" s="6">
        <f>IFERROR(_xlfn.MAXIFS([1]!Tabelle5[value_points],[1]!Tabelle5[company_id],Tabelle18[[#This Row],[company_id]],[1]!Tabelle5[value_id],Tabelle18[[#This Row],[value_id]]),0)</f>
        <v>3</v>
      </c>
      <c r="F63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39" t="str" cm="1">
        <f t="array" ref="G63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</v>
      </c>
      <c r="H639" s="7" t="str" cm="1">
        <f t="array" ref="H63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“government-regulated testing and approval process”</v>
      </c>
    </row>
    <row r="640" spans="1:8" x14ac:dyDescent="0.25">
      <c r="A640" s="5">
        <v>36</v>
      </c>
      <c r="B640" t="s">
        <v>16</v>
      </c>
      <c r="C640" s="6">
        <f>IF(Tabelle18[[#This Row],[binding_level_company]]&gt;=1,1,0)</f>
        <v>1</v>
      </c>
      <c r="D640" s="6">
        <f>IFERROR(_xlfn.MAXIFS([1]!Tabelle5[binding_level],[1]!Tabelle5[company_id],Tabelle18[[#This Row],[company_id]],[1]!Tabelle5[value_id],Tabelle18[[#This Row],[value_id]],[1]!Tabelle5[value_present],1),0)</f>
        <v>3</v>
      </c>
      <c r="E640" s="6">
        <f>IFERROR(_xlfn.MAXIFS([1]!Tabelle5[value_points],[1]!Tabelle5[company_id],Tabelle18[[#This Row],[company_id]],[1]!Tabelle5[value_id],Tabelle18[[#This Row],[value_id]]),0)</f>
        <v>3</v>
      </c>
      <c r="F64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40" t="str" cm="1">
        <f t="array" ref="G64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3; S. 6; S. 8</v>
      </c>
      <c r="H640" s="7" t="str" cm="1">
        <f t="array" ref="H64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“highest scientific standards.”; “thoroughly examine each data point”</v>
      </c>
    </row>
    <row r="641" spans="1:8" x14ac:dyDescent="0.25">
      <c r="A641" s="5">
        <v>36</v>
      </c>
      <c r="B641" t="s">
        <v>17</v>
      </c>
      <c r="C641" s="6">
        <f>IF(Tabelle18[[#This Row],[binding_level_company]]&gt;=1,1,0)</f>
        <v>0</v>
      </c>
      <c r="D641" s="6">
        <f>IFERROR(_xlfn.MAXIFS([1]!Tabelle5[binding_level],[1]!Tabelle5[company_id],Tabelle18[[#This Row],[company_id]],[1]!Tabelle5[value_id],Tabelle18[[#This Row],[value_id]],[1]!Tabelle5[value_present],1),0)</f>
        <v>0</v>
      </c>
      <c r="E641" s="6">
        <f>IFERROR(_xlfn.MAXIFS([1]!Tabelle5[value_points],[1]!Tabelle5[company_id],Tabelle18[[#This Row],[company_id]],[1]!Tabelle5[value_id],Tabelle18[[#This Row],[value_id]]),0)</f>
        <v>0</v>
      </c>
      <c r="F64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41" t="str" cm="1">
        <f t="array" ref="G64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41" s="7" t="str" cm="1">
        <f t="array" ref="H64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42" spans="1:8" x14ac:dyDescent="0.25">
      <c r="A642" s="5">
        <v>36</v>
      </c>
      <c r="B642" t="s">
        <v>18</v>
      </c>
      <c r="C642" s="6">
        <f>IF(Tabelle18[[#This Row],[binding_level_company]]&gt;=1,1,0)</f>
        <v>1</v>
      </c>
      <c r="D642" s="6">
        <f>IFERROR(_xlfn.MAXIFS([1]!Tabelle5[binding_level],[1]!Tabelle5[company_id],Tabelle18[[#This Row],[company_id]],[1]!Tabelle5[value_id],Tabelle18[[#This Row],[value_id]],[1]!Tabelle5[value_present],1),0)</f>
        <v>1</v>
      </c>
      <c r="E642" s="6">
        <f>IFERROR(_xlfn.MAXIFS([1]!Tabelle5[value_points],[1]!Tabelle5[company_id],Tabelle18[[#This Row],[company_id]],[1]!Tabelle5[value_id],Tabelle18[[#This Row],[value_id]]),0)</f>
        <v>1</v>
      </c>
      <c r="F64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42" t="str" cm="1">
        <f t="array" ref="G64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</v>
      </c>
      <c r="H642" s="7" t="str" cm="1">
        <f t="array" ref="H64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“make AI solutions accessible to patients everywhere.”</v>
      </c>
    </row>
    <row r="643" spans="1:8" x14ac:dyDescent="0.25">
      <c r="A643" s="5">
        <v>36</v>
      </c>
      <c r="B643" t="s">
        <v>19</v>
      </c>
      <c r="C643" s="6">
        <f>IF(Tabelle18[[#This Row],[binding_level_company]]&gt;=1,1,0)</f>
        <v>0</v>
      </c>
      <c r="D643" s="6">
        <f>IFERROR(_xlfn.MAXIFS([1]!Tabelle5[binding_level],[1]!Tabelle5[company_id],Tabelle18[[#This Row],[company_id]],[1]!Tabelle5[value_id],Tabelle18[[#This Row],[value_id]],[1]!Tabelle5[value_present],1),0)</f>
        <v>0</v>
      </c>
      <c r="E643" s="6">
        <f>IFERROR(_xlfn.MAXIFS([1]!Tabelle5[value_points],[1]!Tabelle5[company_id],Tabelle18[[#This Row],[company_id]],[1]!Tabelle5[value_id],Tabelle18[[#This Row],[value_id]]),0)</f>
        <v>0</v>
      </c>
      <c r="F64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43" t="str" cm="1">
        <f t="array" ref="G64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43" s="7" t="str" cm="1">
        <f t="array" ref="H64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44" spans="1:8" x14ac:dyDescent="0.25">
      <c r="A644" s="5">
        <v>36</v>
      </c>
      <c r="B644" t="s">
        <v>20</v>
      </c>
      <c r="C644" s="6">
        <f>IF(Tabelle18[[#This Row],[binding_level_company]]&gt;=1,1,0)</f>
        <v>1</v>
      </c>
      <c r="D644" s="6">
        <f>IFERROR(_xlfn.MAXIFS([1]!Tabelle5[binding_level],[1]!Tabelle5[company_id],Tabelle18[[#This Row],[company_id]],[1]!Tabelle5[value_id],Tabelle18[[#This Row],[value_id]],[1]!Tabelle5[value_present],1),0)</f>
        <v>1</v>
      </c>
      <c r="E644" s="6">
        <f>IFERROR(_xlfn.MAXIFS([1]!Tabelle5[value_points],[1]!Tabelle5[company_id],Tabelle18[[#This Row],[company_id]],[1]!Tabelle5[value_id],Tabelle18[[#This Row],[value_id]]),0)</f>
        <v>1</v>
      </c>
      <c r="F644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44" t="str" cm="1">
        <f t="array" ref="G64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8; S. 10</v>
      </c>
      <c r="H644" s="7" t="str" cm="1">
        <f t="array" ref="H64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“support patients’ desires for more personalized medicine”; “serves the public interest and our public health.”</v>
      </c>
    </row>
    <row r="645" spans="1:8" x14ac:dyDescent="0.25">
      <c r="A645" s="5">
        <v>36</v>
      </c>
      <c r="B645" t="s">
        <v>21</v>
      </c>
      <c r="C645" s="6">
        <f>IF(Tabelle18[[#This Row],[binding_level_company]]&gt;=1,1,0)</f>
        <v>1</v>
      </c>
      <c r="D645" s="6">
        <f>IFERROR(_xlfn.MAXIFS([1]!Tabelle5[binding_level],[1]!Tabelle5[company_id],Tabelle18[[#This Row],[company_id]],[1]!Tabelle5[value_id],Tabelle18[[#This Row],[value_id]],[1]!Tabelle5[value_present],1),0)</f>
        <v>3</v>
      </c>
      <c r="E645" s="6">
        <f>IFERROR(_xlfn.MAXIFS([1]!Tabelle5[value_points],[1]!Tabelle5[company_id],Tabelle18[[#This Row],[company_id]],[1]!Tabelle5[value_id],Tabelle18[[#This Row],[value_id]]),0)</f>
        <v>3</v>
      </c>
      <c r="F64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45" t="str" cm="1">
        <f t="array" ref="G64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6; S. 9</v>
      </c>
      <c r="H645" s="7" t="str" cm="1">
        <f t="array" ref="H64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“government-regulated testing and approval process”; “Our AI factory is run by a strict corporate policy”; “are mandatory for Siemens Healthineers worldwide”</v>
      </c>
    </row>
    <row r="646" spans="1:8" x14ac:dyDescent="0.25">
      <c r="A646" s="5">
        <v>36</v>
      </c>
      <c r="B646" t="s">
        <v>22</v>
      </c>
      <c r="C646" s="6">
        <f>IF(Tabelle18[[#This Row],[binding_level_company]]&gt;=1,1,0)</f>
        <v>1</v>
      </c>
      <c r="D646" s="6">
        <f>IFERROR(_xlfn.MAXIFS([1]!Tabelle5[binding_level],[1]!Tabelle5[company_id],Tabelle18[[#This Row],[company_id]],[1]!Tabelle5[value_id],Tabelle18[[#This Row],[value_id]],[1]!Tabelle5[value_present],1),0)</f>
        <v>2</v>
      </c>
      <c r="E646" s="6">
        <f>IFERROR(_xlfn.MAXIFS([1]!Tabelle5[value_points],[1]!Tabelle5[company_id],Tabelle18[[#This Row],[company_id]],[1]!Tabelle5[value_id],Tabelle18[[#This Row],[value_id]]),0)</f>
        <v>2</v>
      </c>
      <c r="F64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46" t="str" cm="1">
        <f t="array" ref="G64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8-9</v>
      </c>
      <c r="H646" s="7" t="str" cm="1">
        <f t="array" ref="H64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“balanced with ethical expectations and human values.”; “We only use data in a purpose-bound manner”</v>
      </c>
    </row>
    <row r="647" spans="1:8" x14ac:dyDescent="0.25">
      <c r="A647" s="5">
        <v>36</v>
      </c>
      <c r="B647" t="s">
        <v>23</v>
      </c>
      <c r="C647" s="6">
        <f>IF(Tabelle18[[#This Row],[binding_level_company]]&gt;=1,1,0)</f>
        <v>1</v>
      </c>
      <c r="D647" s="6">
        <f>IFERROR(_xlfn.MAXIFS([1]!Tabelle5[binding_level],[1]!Tabelle5[company_id],Tabelle18[[#This Row],[company_id]],[1]!Tabelle5[value_id],Tabelle18[[#This Row],[value_id]],[1]!Tabelle5[value_present],1),0)</f>
        <v>3</v>
      </c>
      <c r="E647" s="6">
        <f>IFERROR(_xlfn.MAXIFS([1]!Tabelle5[value_points],[1]!Tabelle5[company_id],Tabelle18[[#This Row],[company_id]],[1]!Tabelle5[value_id],Tabelle18[[#This Row],[value_id]]),0)</f>
        <v>3</v>
      </c>
      <c r="F64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221</v>
      </c>
      <c r="G647" t="str" cm="1">
        <f t="array" ref="G64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3-5</v>
      </c>
      <c r="H647" s="7" t="str" cm="1">
        <f t="array" ref="H64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“thoroughly examine each data point”; “rigorous, standardized procedure”; “Validate data”</v>
      </c>
    </row>
    <row r="648" spans="1:8" x14ac:dyDescent="0.25">
      <c r="A648" s="5">
        <v>36</v>
      </c>
      <c r="B648" t="s">
        <v>24</v>
      </c>
      <c r="C648" s="6">
        <f>IF(Tabelle18[[#This Row],[binding_level_company]]&gt;=1,1,0)</f>
        <v>0</v>
      </c>
      <c r="D648" s="6">
        <f>IFERROR(_xlfn.MAXIFS([1]!Tabelle5[binding_level],[1]!Tabelle5[company_id],Tabelle18[[#This Row],[company_id]],[1]!Tabelle5[value_id],Tabelle18[[#This Row],[value_id]],[1]!Tabelle5[value_present],1),0)</f>
        <v>0</v>
      </c>
      <c r="E648" s="6">
        <f>IFERROR(_xlfn.MAXIFS([1]!Tabelle5[value_points],[1]!Tabelle5[company_id],Tabelle18[[#This Row],[company_id]],[1]!Tabelle5[value_id],Tabelle18[[#This Row],[value_id]]),0)</f>
        <v>0</v>
      </c>
      <c r="F64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48" t="str" cm="1">
        <f t="array" ref="G64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48" s="7" t="str" cm="1">
        <f t="array" ref="H64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49" spans="1:8" ht="15.75" thickBot="1" x14ac:dyDescent="0.3">
      <c r="A649" s="8">
        <v>36</v>
      </c>
      <c r="B649" s="9" t="s">
        <v>25</v>
      </c>
      <c r="C649" s="10">
        <f>IF(Tabelle18[[#This Row],[binding_level_company]]&gt;=1,1,0)</f>
        <v>0</v>
      </c>
      <c r="D649" s="10">
        <f>IFERROR(_xlfn.MAXIFS([1]!Tabelle5[binding_level],[1]!Tabelle5[company_id],Tabelle18[[#This Row],[company_id]],[1]!Tabelle5[value_id],Tabelle18[[#This Row],[value_id]],[1]!Tabelle5[value_present],1),0)</f>
        <v>0</v>
      </c>
      <c r="E649" s="10">
        <f>IFERROR(_xlfn.MAXIFS([1]!Tabelle5[value_points],[1]!Tabelle5[company_id],Tabelle18[[#This Row],[company_id]],[1]!Tabelle5[value_id],Tabelle18[[#This Row],[value_id]]),0)</f>
        <v>0</v>
      </c>
      <c r="F649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49" s="9" t="str" cm="1">
        <f t="array" ref="G64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49" s="11" t="str" cm="1">
        <f t="array" ref="H64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0" spans="1:8" x14ac:dyDescent="0.25">
      <c r="A650" s="1">
        <v>37</v>
      </c>
      <c r="B650" s="2" t="s">
        <v>8</v>
      </c>
      <c r="C650" s="3">
        <f>IF(Tabelle18[[#This Row],[binding_level_company]]&gt;=1,1,0)</f>
        <v>0</v>
      </c>
      <c r="D650" s="3">
        <f>IFERROR(_xlfn.MAXIFS([1]!Tabelle5[binding_level],[1]!Tabelle5[company_id],Tabelle18[[#This Row],[company_id]],[1]!Tabelle5[value_id],Tabelle18[[#This Row],[value_id]],[1]!Tabelle5[value_present],1),0)</f>
        <v>0</v>
      </c>
      <c r="E650" s="3">
        <f>IFERROR(_xlfn.MAXIFS([1]!Tabelle5[value_points],[1]!Tabelle5[company_id],Tabelle18[[#This Row],[company_id]],[1]!Tabelle5[value_id],Tabelle18[[#This Row],[value_id]]),0)</f>
        <v>0</v>
      </c>
      <c r="F650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0" s="2" t="str" cm="1">
        <f t="array" ref="G65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0" s="4" t="str" cm="1">
        <f t="array" ref="H65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1" spans="1:8" x14ac:dyDescent="0.25">
      <c r="A651" s="5">
        <v>37</v>
      </c>
      <c r="B651" t="s">
        <v>9</v>
      </c>
      <c r="C651" s="6">
        <f>IF(Tabelle18[[#This Row],[binding_level_company]]&gt;=1,1,0)</f>
        <v>0</v>
      </c>
      <c r="D651" s="6">
        <f>IFERROR(_xlfn.MAXIFS([1]!Tabelle5[binding_level],[1]!Tabelle5[company_id],Tabelle18[[#This Row],[company_id]],[1]!Tabelle5[value_id],Tabelle18[[#This Row],[value_id]],[1]!Tabelle5[value_present],1),0)</f>
        <v>0</v>
      </c>
      <c r="E651" s="6">
        <f>IFERROR(_xlfn.MAXIFS([1]!Tabelle5[value_points],[1]!Tabelle5[company_id],Tabelle18[[#This Row],[company_id]],[1]!Tabelle5[value_id],Tabelle18[[#This Row],[value_id]]),0)</f>
        <v>0</v>
      </c>
      <c r="F65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1" t="str" cm="1">
        <f t="array" ref="G65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1" s="7" t="str" cm="1">
        <f t="array" ref="H65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2" spans="1:8" x14ac:dyDescent="0.25">
      <c r="A652" s="5">
        <v>37</v>
      </c>
      <c r="B652" t="s">
        <v>10</v>
      </c>
      <c r="C652" s="6">
        <f>IF(Tabelle18[[#This Row],[binding_level_company]]&gt;=1,1,0)</f>
        <v>0</v>
      </c>
      <c r="D652" s="6">
        <f>IFERROR(_xlfn.MAXIFS([1]!Tabelle5[binding_level],[1]!Tabelle5[company_id],Tabelle18[[#This Row],[company_id]],[1]!Tabelle5[value_id],Tabelle18[[#This Row],[value_id]],[1]!Tabelle5[value_present],1),0)</f>
        <v>0</v>
      </c>
      <c r="E652" s="6">
        <f>IFERROR(_xlfn.MAXIFS([1]!Tabelle5[value_points],[1]!Tabelle5[company_id],Tabelle18[[#This Row],[company_id]],[1]!Tabelle5[value_id],Tabelle18[[#This Row],[value_id]]),0)</f>
        <v>0</v>
      </c>
      <c r="F65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2" t="str" cm="1">
        <f t="array" ref="G65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2" s="7" t="str" cm="1">
        <f t="array" ref="H65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3" spans="1:8" x14ac:dyDescent="0.25">
      <c r="A653" s="5">
        <v>37</v>
      </c>
      <c r="B653" t="s">
        <v>11</v>
      </c>
      <c r="C653" s="6">
        <f>IF(Tabelle18[[#This Row],[binding_level_company]]&gt;=1,1,0)</f>
        <v>0</v>
      </c>
      <c r="D653" s="6">
        <f>IFERROR(_xlfn.MAXIFS([1]!Tabelle5[binding_level],[1]!Tabelle5[company_id],Tabelle18[[#This Row],[company_id]],[1]!Tabelle5[value_id],Tabelle18[[#This Row],[value_id]],[1]!Tabelle5[value_present],1),0)</f>
        <v>0</v>
      </c>
      <c r="E653" s="6">
        <f>IFERROR(_xlfn.MAXIFS([1]!Tabelle5[value_points],[1]!Tabelle5[company_id],Tabelle18[[#This Row],[company_id]],[1]!Tabelle5[value_id],Tabelle18[[#This Row],[value_id]]),0)</f>
        <v>0</v>
      </c>
      <c r="F65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3" t="str" cm="1">
        <f t="array" ref="G65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3" s="7" t="str" cm="1">
        <f t="array" ref="H65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4" spans="1:8" x14ac:dyDescent="0.25">
      <c r="A654" s="5">
        <v>37</v>
      </c>
      <c r="B654" t="s">
        <v>12</v>
      </c>
      <c r="C654" s="6">
        <f>IF(Tabelle18[[#This Row],[binding_level_company]]&gt;=1,1,0)</f>
        <v>0</v>
      </c>
      <c r="D654" s="6">
        <f>IFERROR(_xlfn.MAXIFS([1]!Tabelle5[binding_level],[1]!Tabelle5[company_id],Tabelle18[[#This Row],[company_id]],[1]!Tabelle5[value_id],Tabelle18[[#This Row],[value_id]],[1]!Tabelle5[value_present],1),0)</f>
        <v>0</v>
      </c>
      <c r="E654" s="6">
        <f>IFERROR(_xlfn.MAXIFS([1]!Tabelle5[value_points],[1]!Tabelle5[company_id],Tabelle18[[#This Row],[company_id]],[1]!Tabelle5[value_id],Tabelle18[[#This Row],[value_id]]),0)</f>
        <v>0</v>
      </c>
      <c r="F65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4" t="str" cm="1">
        <f t="array" ref="G65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4" s="7" t="str" cm="1">
        <f t="array" ref="H65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5" spans="1:8" x14ac:dyDescent="0.25">
      <c r="A655" s="5">
        <v>37</v>
      </c>
      <c r="B655" t="s">
        <v>13</v>
      </c>
      <c r="C655" s="6">
        <f>IF(Tabelle18[[#This Row],[binding_level_company]]&gt;=1,1,0)</f>
        <v>0</v>
      </c>
      <c r="D655" s="6">
        <f>IFERROR(_xlfn.MAXIFS([1]!Tabelle5[binding_level],[1]!Tabelle5[company_id],Tabelle18[[#This Row],[company_id]],[1]!Tabelle5[value_id],Tabelle18[[#This Row],[value_id]],[1]!Tabelle5[value_present],1),0)</f>
        <v>0</v>
      </c>
      <c r="E655" s="6">
        <f>IFERROR(_xlfn.MAXIFS([1]!Tabelle5[value_points],[1]!Tabelle5[company_id],Tabelle18[[#This Row],[company_id]],[1]!Tabelle5[value_id],Tabelle18[[#This Row],[value_id]]),0)</f>
        <v>0</v>
      </c>
      <c r="F65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5" t="str" cm="1">
        <f t="array" ref="G65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5" s="7" t="str" cm="1">
        <f t="array" ref="H65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6" spans="1:8" x14ac:dyDescent="0.25">
      <c r="A656" s="5">
        <v>37</v>
      </c>
      <c r="B656" t="s">
        <v>14</v>
      </c>
      <c r="C656" s="6">
        <f>IF(Tabelle18[[#This Row],[binding_level_company]]&gt;=1,1,0)</f>
        <v>0</v>
      </c>
      <c r="D656" s="6">
        <f>IFERROR(_xlfn.MAXIFS([1]!Tabelle5[binding_level],[1]!Tabelle5[company_id],Tabelle18[[#This Row],[company_id]],[1]!Tabelle5[value_id],Tabelle18[[#This Row],[value_id]],[1]!Tabelle5[value_present],1),0)</f>
        <v>0</v>
      </c>
      <c r="E656" s="6">
        <f>IFERROR(_xlfn.MAXIFS([1]!Tabelle5[value_points],[1]!Tabelle5[company_id],Tabelle18[[#This Row],[company_id]],[1]!Tabelle5[value_id],Tabelle18[[#This Row],[value_id]]),0)</f>
        <v>0</v>
      </c>
      <c r="F65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6" t="str" cm="1">
        <f t="array" ref="G65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6" s="7" t="str" cm="1">
        <f t="array" ref="H65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7" spans="1:8" x14ac:dyDescent="0.25">
      <c r="A657" s="5">
        <v>37</v>
      </c>
      <c r="B657" t="s">
        <v>15</v>
      </c>
      <c r="C657" s="6">
        <f>IF(Tabelle18[[#This Row],[binding_level_company]]&gt;=1,1,0)</f>
        <v>0</v>
      </c>
      <c r="D657" s="6">
        <f>IFERROR(_xlfn.MAXIFS([1]!Tabelle5[binding_level],[1]!Tabelle5[company_id],Tabelle18[[#This Row],[company_id]],[1]!Tabelle5[value_id],Tabelle18[[#This Row],[value_id]],[1]!Tabelle5[value_present],1),0)</f>
        <v>0</v>
      </c>
      <c r="E657" s="6">
        <f>IFERROR(_xlfn.MAXIFS([1]!Tabelle5[value_points],[1]!Tabelle5[company_id],Tabelle18[[#This Row],[company_id]],[1]!Tabelle5[value_id],Tabelle18[[#This Row],[value_id]]),0)</f>
        <v>0</v>
      </c>
      <c r="F65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7" t="str" cm="1">
        <f t="array" ref="G65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7" s="7" t="str" cm="1">
        <f t="array" ref="H65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8" spans="1:8" x14ac:dyDescent="0.25">
      <c r="A658" s="5">
        <v>37</v>
      </c>
      <c r="B658" t="s">
        <v>16</v>
      </c>
      <c r="C658" s="6">
        <f>IF(Tabelle18[[#This Row],[binding_level_company]]&gt;=1,1,0)</f>
        <v>0</v>
      </c>
      <c r="D658" s="6">
        <f>IFERROR(_xlfn.MAXIFS([1]!Tabelle5[binding_level],[1]!Tabelle5[company_id],Tabelle18[[#This Row],[company_id]],[1]!Tabelle5[value_id],Tabelle18[[#This Row],[value_id]],[1]!Tabelle5[value_present],1),0)</f>
        <v>0</v>
      </c>
      <c r="E658" s="6">
        <f>IFERROR(_xlfn.MAXIFS([1]!Tabelle5[value_points],[1]!Tabelle5[company_id],Tabelle18[[#This Row],[company_id]],[1]!Tabelle5[value_id],Tabelle18[[#This Row],[value_id]]),0)</f>
        <v>0</v>
      </c>
      <c r="F65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8" t="str" cm="1">
        <f t="array" ref="G65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8" s="7" t="str" cm="1">
        <f t="array" ref="H65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59" spans="1:8" x14ac:dyDescent="0.25">
      <c r="A659" s="5">
        <v>37</v>
      </c>
      <c r="B659" t="s">
        <v>17</v>
      </c>
      <c r="C659" s="6">
        <f>IF(Tabelle18[[#This Row],[binding_level_company]]&gt;=1,1,0)</f>
        <v>0</v>
      </c>
      <c r="D659" s="6">
        <f>IFERROR(_xlfn.MAXIFS([1]!Tabelle5[binding_level],[1]!Tabelle5[company_id],Tabelle18[[#This Row],[company_id]],[1]!Tabelle5[value_id],Tabelle18[[#This Row],[value_id]],[1]!Tabelle5[value_present],1),0)</f>
        <v>0</v>
      </c>
      <c r="E659" s="6">
        <f>IFERROR(_xlfn.MAXIFS([1]!Tabelle5[value_points],[1]!Tabelle5[company_id],Tabelle18[[#This Row],[company_id]],[1]!Tabelle5[value_id],Tabelle18[[#This Row],[value_id]]),0)</f>
        <v>0</v>
      </c>
      <c r="F65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59" t="str" cm="1">
        <f t="array" ref="G65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59" s="7" t="str" cm="1">
        <f t="array" ref="H65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0" spans="1:8" x14ac:dyDescent="0.25">
      <c r="A660" s="5">
        <v>37</v>
      </c>
      <c r="B660" t="s">
        <v>18</v>
      </c>
      <c r="C660" s="6">
        <f>IF(Tabelle18[[#This Row],[binding_level_company]]&gt;=1,1,0)</f>
        <v>0</v>
      </c>
      <c r="D660" s="6">
        <f>IFERROR(_xlfn.MAXIFS([1]!Tabelle5[binding_level],[1]!Tabelle5[company_id],Tabelle18[[#This Row],[company_id]],[1]!Tabelle5[value_id],Tabelle18[[#This Row],[value_id]],[1]!Tabelle5[value_present],1),0)</f>
        <v>0</v>
      </c>
      <c r="E660" s="6">
        <f>IFERROR(_xlfn.MAXIFS([1]!Tabelle5[value_points],[1]!Tabelle5[company_id],Tabelle18[[#This Row],[company_id]],[1]!Tabelle5[value_id],Tabelle18[[#This Row],[value_id]]),0)</f>
        <v>0</v>
      </c>
      <c r="F66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0" t="str" cm="1">
        <f t="array" ref="G66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0" s="7" t="str" cm="1">
        <f t="array" ref="H66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1" spans="1:8" x14ac:dyDescent="0.25">
      <c r="A661" s="5">
        <v>37</v>
      </c>
      <c r="B661" t="s">
        <v>19</v>
      </c>
      <c r="C661" s="6">
        <f>IF(Tabelle18[[#This Row],[binding_level_company]]&gt;=1,1,0)</f>
        <v>0</v>
      </c>
      <c r="D661" s="6">
        <f>IFERROR(_xlfn.MAXIFS([1]!Tabelle5[binding_level],[1]!Tabelle5[company_id],Tabelle18[[#This Row],[company_id]],[1]!Tabelle5[value_id],Tabelle18[[#This Row],[value_id]],[1]!Tabelle5[value_present],1),0)</f>
        <v>0</v>
      </c>
      <c r="E661" s="6">
        <f>IFERROR(_xlfn.MAXIFS([1]!Tabelle5[value_points],[1]!Tabelle5[company_id],Tabelle18[[#This Row],[company_id]],[1]!Tabelle5[value_id],Tabelle18[[#This Row],[value_id]]),0)</f>
        <v>0</v>
      </c>
      <c r="F66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1" t="str" cm="1">
        <f t="array" ref="G66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1" s="7" t="str" cm="1">
        <f t="array" ref="H66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2" spans="1:8" x14ac:dyDescent="0.25">
      <c r="A662" s="5">
        <v>37</v>
      </c>
      <c r="B662" t="s">
        <v>20</v>
      </c>
      <c r="C662" s="6">
        <f>IF(Tabelle18[[#This Row],[binding_level_company]]&gt;=1,1,0)</f>
        <v>0</v>
      </c>
      <c r="D662" s="6">
        <f>IFERROR(_xlfn.MAXIFS([1]!Tabelle5[binding_level],[1]!Tabelle5[company_id],Tabelle18[[#This Row],[company_id]],[1]!Tabelle5[value_id],Tabelle18[[#This Row],[value_id]],[1]!Tabelle5[value_present],1),0)</f>
        <v>0</v>
      </c>
      <c r="E662" s="6">
        <f>IFERROR(_xlfn.MAXIFS([1]!Tabelle5[value_points],[1]!Tabelle5[company_id],Tabelle18[[#This Row],[company_id]],[1]!Tabelle5[value_id],Tabelle18[[#This Row],[value_id]]),0)</f>
        <v>0</v>
      </c>
      <c r="F66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2" t="str" cm="1">
        <f t="array" ref="G66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2" s="7" t="str" cm="1">
        <f t="array" ref="H66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3" spans="1:8" x14ac:dyDescent="0.25">
      <c r="A663" s="5">
        <v>37</v>
      </c>
      <c r="B663" t="s">
        <v>21</v>
      </c>
      <c r="C663" s="6">
        <f>IF(Tabelle18[[#This Row],[binding_level_company]]&gt;=1,1,0)</f>
        <v>0</v>
      </c>
      <c r="D663" s="6">
        <f>IFERROR(_xlfn.MAXIFS([1]!Tabelle5[binding_level],[1]!Tabelle5[company_id],Tabelle18[[#This Row],[company_id]],[1]!Tabelle5[value_id],Tabelle18[[#This Row],[value_id]],[1]!Tabelle5[value_present],1),0)</f>
        <v>0</v>
      </c>
      <c r="E663" s="6">
        <f>IFERROR(_xlfn.MAXIFS([1]!Tabelle5[value_points],[1]!Tabelle5[company_id],Tabelle18[[#This Row],[company_id]],[1]!Tabelle5[value_id],Tabelle18[[#This Row],[value_id]]),0)</f>
        <v>0</v>
      </c>
      <c r="F66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3" t="str" cm="1">
        <f t="array" ref="G66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3" s="7" t="str" cm="1">
        <f t="array" ref="H66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4" spans="1:8" x14ac:dyDescent="0.25">
      <c r="A664" s="5">
        <v>37</v>
      </c>
      <c r="B664" t="s">
        <v>22</v>
      </c>
      <c r="C664" s="6">
        <f>IF(Tabelle18[[#This Row],[binding_level_company]]&gt;=1,1,0)</f>
        <v>0</v>
      </c>
      <c r="D664" s="6">
        <f>IFERROR(_xlfn.MAXIFS([1]!Tabelle5[binding_level],[1]!Tabelle5[company_id],Tabelle18[[#This Row],[company_id]],[1]!Tabelle5[value_id],Tabelle18[[#This Row],[value_id]],[1]!Tabelle5[value_present],1),0)</f>
        <v>0</v>
      </c>
      <c r="E664" s="6">
        <f>IFERROR(_xlfn.MAXIFS([1]!Tabelle5[value_points],[1]!Tabelle5[company_id],Tabelle18[[#This Row],[company_id]],[1]!Tabelle5[value_id],Tabelle18[[#This Row],[value_id]]),0)</f>
        <v>0</v>
      </c>
      <c r="F66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4" t="str" cm="1">
        <f t="array" ref="G66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4" s="7" t="str" cm="1">
        <f t="array" ref="H66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5" spans="1:8" x14ac:dyDescent="0.25">
      <c r="A665" s="5">
        <v>37</v>
      </c>
      <c r="B665" t="s">
        <v>23</v>
      </c>
      <c r="C665" s="6">
        <f>IF(Tabelle18[[#This Row],[binding_level_company]]&gt;=1,1,0)</f>
        <v>0</v>
      </c>
      <c r="D665" s="6">
        <f>IFERROR(_xlfn.MAXIFS([1]!Tabelle5[binding_level],[1]!Tabelle5[company_id],Tabelle18[[#This Row],[company_id]],[1]!Tabelle5[value_id],Tabelle18[[#This Row],[value_id]],[1]!Tabelle5[value_present],1),0)</f>
        <v>0</v>
      </c>
      <c r="E665" s="6">
        <f>IFERROR(_xlfn.MAXIFS([1]!Tabelle5[value_points],[1]!Tabelle5[company_id],Tabelle18[[#This Row],[company_id]],[1]!Tabelle5[value_id],Tabelle18[[#This Row],[value_id]]),0)</f>
        <v>0</v>
      </c>
      <c r="F66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5" t="str" cm="1">
        <f t="array" ref="G66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5" s="7" t="str" cm="1">
        <f t="array" ref="H66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6" spans="1:8" x14ac:dyDescent="0.25">
      <c r="A666" s="5">
        <v>37</v>
      </c>
      <c r="B666" t="s">
        <v>24</v>
      </c>
      <c r="C666" s="6">
        <f>IF(Tabelle18[[#This Row],[binding_level_company]]&gt;=1,1,0)</f>
        <v>0</v>
      </c>
      <c r="D666" s="6">
        <f>IFERROR(_xlfn.MAXIFS([1]!Tabelle5[binding_level],[1]!Tabelle5[company_id],Tabelle18[[#This Row],[company_id]],[1]!Tabelle5[value_id],Tabelle18[[#This Row],[value_id]],[1]!Tabelle5[value_present],1),0)</f>
        <v>0</v>
      </c>
      <c r="E666" s="6">
        <f>IFERROR(_xlfn.MAXIFS([1]!Tabelle5[value_points],[1]!Tabelle5[company_id],Tabelle18[[#This Row],[company_id]],[1]!Tabelle5[value_id],Tabelle18[[#This Row],[value_id]]),0)</f>
        <v>0</v>
      </c>
      <c r="F66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6" t="str" cm="1">
        <f t="array" ref="G66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6" s="7" t="str" cm="1">
        <f t="array" ref="H66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7" spans="1:8" ht="15.75" thickBot="1" x14ac:dyDescent="0.3">
      <c r="A667" s="8">
        <v>37</v>
      </c>
      <c r="B667" s="9" t="s">
        <v>25</v>
      </c>
      <c r="C667" s="10">
        <f>IF(Tabelle18[[#This Row],[binding_level_company]]&gt;=1,1,0)</f>
        <v>0</v>
      </c>
      <c r="D667" s="10">
        <f>IFERROR(_xlfn.MAXIFS([1]!Tabelle5[binding_level],[1]!Tabelle5[company_id],Tabelle18[[#This Row],[company_id]],[1]!Tabelle5[value_id],Tabelle18[[#This Row],[value_id]],[1]!Tabelle5[value_present],1),0)</f>
        <v>0</v>
      </c>
      <c r="E667" s="10">
        <f>IFERROR(_xlfn.MAXIFS([1]!Tabelle5[value_points],[1]!Tabelle5[company_id],Tabelle18[[#This Row],[company_id]],[1]!Tabelle5[value_id],Tabelle18[[#This Row],[value_id]]),0)</f>
        <v>0</v>
      </c>
      <c r="F667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67" s="9" t="str" cm="1">
        <f t="array" ref="G66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67" s="11" t="str" cm="1">
        <f t="array" ref="H66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68" spans="1:8" x14ac:dyDescent="0.25">
      <c r="A668" s="1">
        <v>38</v>
      </c>
      <c r="B668" s="2" t="s">
        <v>8</v>
      </c>
      <c r="C668" s="3">
        <f>IF(Tabelle18[[#This Row],[binding_level_company]]&gt;=1,1,0)</f>
        <v>1</v>
      </c>
      <c r="D668" s="3">
        <f>IFERROR(_xlfn.MAXIFS([1]!Tabelle5[binding_level],[1]!Tabelle5[company_id],Tabelle18[[#This Row],[company_id]],[1]!Tabelle5[value_id],Tabelle18[[#This Row],[value_id]],[1]!Tabelle5[value_present],1),0)</f>
        <v>1</v>
      </c>
      <c r="E668" s="3">
        <f>IFERROR(_xlfn.MAXIFS([1]!Tabelle5[value_points],[1]!Tabelle5[company_id],Tabelle18[[#This Row],[company_id]],[1]!Tabelle5[value_id],Tabelle18[[#This Row],[value_id]]),0)</f>
        <v>1</v>
      </c>
      <c r="F668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68" s="2" t="str" cm="1">
        <f t="array" ref="G66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68" s="4" t="str" cm="1">
        <f t="array" ref="H66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enable human oversight and accountability”</v>
      </c>
    </row>
    <row r="669" spans="1:8" x14ac:dyDescent="0.25">
      <c r="A669" s="5">
        <v>38</v>
      </c>
      <c r="B669" t="s">
        <v>9</v>
      </c>
      <c r="C669" s="6">
        <f>IF(Tabelle18[[#This Row],[binding_level_company]]&gt;=1,1,0)</f>
        <v>1</v>
      </c>
      <c r="D669" s="6">
        <f>IFERROR(_xlfn.MAXIFS([1]!Tabelle5[binding_level],[1]!Tabelle5[company_id],Tabelle18[[#This Row],[company_id]],[1]!Tabelle5[value_id],Tabelle18[[#This Row],[value_id]],[1]!Tabelle5[value_present],1),0)</f>
        <v>1</v>
      </c>
      <c r="E669" s="6">
        <f>IFERROR(_xlfn.MAXIFS([1]!Tabelle5[value_points],[1]!Tabelle5[company_id],Tabelle18[[#This Row],[company_id]],[1]!Tabelle5[value_id],Tabelle18[[#This Row],[value_id]]),0)</f>
        <v>1</v>
      </c>
      <c r="F66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69" t="str" cm="1">
        <f t="array" ref="G66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69" s="7" t="str" cm="1">
        <f t="array" ref="H66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enable human oversight and accountability”</v>
      </c>
    </row>
    <row r="670" spans="1:8" x14ac:dyDescent="0.25">
      <c r="A670" s="5">
        <v>38</v>
      </c>
      <c r="B670" t="s">
        <v>10</v>
      </c>
      <c r="C670" s="6">
        <f>IF(Tabelle18[[#This Row],[binding_level_company]]&gt;=1,1,0)</f>
        <v>1</v>
      </c>
      <c r="D670" s="6">
        <f>IFERROR(_xlfn.MAXIFS([1]!Tabelle5[binding_level],[1]!Tabelle5[company_id],Tabelle18[[#This Row],[company_id]],[1]!Tabelle5[value_id],Tabelle18[[#This Row],[value_id]],[1]!Tabelle5[value_present],1),0)</f>
        <v>1</v>
      </c>
      <c r="E670" s="6">
        <f>IFERROR(_xlfn.MAXIFS([1]!Tabelle5[value_points],[1]!Tabelle5[company_id],Tabelle18[[#This Row],[company_id]],[1]!Tabelle5[value_id],Tabelle18[[#This Row],[value_id]]),0)</f>
        <v>1</v>
      </c>
      <c r="F670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70" t="str" cm="1">
        <f t="array" ref="G67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70" s="7" t="str" cm="1">
        <f t="array" ref="H67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“make the usage and purpose of AI transparent”</v>
      </c>
    </row>
    <row r="671" spans="1:8" x14ac:dyDescent="0.25">
      <c r="A671" s="5">
        <v>38</v>
      </c>
      <c r="B671" t="s">
        <v>11</v>
      </c>
      <c r="C671" s="6">
        <f>IF(Tabelle18[[#This Row],[binding_level_company]]&gt;=1,1,0)</f>
        <v>0</v>
      </c>
      <c r="D671" s="6">
        <f>IFERROR(_xlfn.MAXIFS([1]!Tabelle5[binding_level],[1]!Tabelle5[company_id],Tabelle18[[#This Row],[company_id]],[1]!Tabelle5[value_id],Tabelle18[[#This Row],[value_id]],[1]!Tabelle5[value_present],1),0)</f>
        <v>0</v>
      </c>
      <c r="E671" s="6">
        <f>IFERROR(_xlfn.MAXIFS([1]!Tabelle5[value_points],[1]!Tabelle5[company_id],Tabelle18[[#This Row],[company_id]],[1]!Tabelle5[value_id],Tabelle18[[#This Row],[value_id]]),0)</f>
        <v>0</v>
      </c>
      <c r="F67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71" t="str" cm="1">
        <f t="array" ref="G67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71" s="7" t="str" cm="1">
        <f t="array" ref="H67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72" spans="1:8" x14ac:dyDescent="0.25">
      <c r="A672" s="5">
        <v>38</v>
      </c>
      <c r="B672" t="s">
        <v>12</v>
      </c>
      <c r="C672" s="6">
        <f>IF(Tabelle18[[#This Row],[binding_level_company]]&gt;=1,1,0)</f>
        <v>1</v>
      </c>
      <c r="D672" s="6">
        <f>IFERROR(_xlfn.MAXIFS([1]!Tabelle5[binding_level],[1]!Tabelle5[company_id],Tabelle18[[#This Row],[company_id]],[1]!Tabelle5[value_id],Tabelle18[[#This Row],[value_id]],[1]!Tabelle5[value_present],1),0)</f>
        <v>1</v>
      </c>
      <c r="E672" s="6">
        <f>IFERROR(_xlfn.MAXIFS([1]!Tabelle5[value_points],[1]!Tabelle5[company_id],Tabelle18[[#This Row],[company_id]],[1]!Tabelle5[value_id],Tabelle18[[#This Row],[value_id]]),0)</f>
        <v>1</v>
      </c>
      <c r="F67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72" t="str" cm="1">
        <f t="array" ref="G67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72" s="7" t="str" cm="1">
        <f t="array" ref="H67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“Our AI systems are in line with our values in diversity and fairness”</v>
      </c>
    </row>
    <row r="673" spans="1:8" x14ac:dyDescent="0.25">
      <c r="A673" s="5">
        <v>38</v>
      </c>
      <c r="B673" t="s">
        <v>13</v>
      </c>
      <c r="C673" s="6">
        <f>IF(Tabelle18[[#This Row],[binding_level_company]]&gt;=1,1,0)</f>
        <v>1</v>
      </c>
      <c r="D673" s="6">
        <f>IFERROR(_xlfn.MAXIFS([1]!Tabelle5[binding_level],[1]!Tabelle5[company_id],Tabelle18[[#This Row],[company_id]],[1]!Tabelle5[value_id],Tabelle18[[#This Row],[value_id]],[1]!Tabelle5[value_present],1),0)</f>
        <v>1</v>
      </c>
      <c r="E673" s="6">
        <f>IFERROR(_xlfn.MAXIFS([1]!Tabelle5[value_points],[1]!Tabelle5[company_id],Tabelle18[[#This Row],[company_id]],[1]!Tabelle5[value_id],Tabelle18[[#This Row],[value_id]]),0)</f>
        <v>1</v>
      </c>
      <c r="F673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73" t="str" cm="1">
        <f t="array" ref="G67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73" s="7" t="str" cm="1">
        <f t="array" ref="H67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respect and enable the protection of data within AI systems”</v>
      </c>
    </row>
    <row r="674" spans="1:8" x14ac:dyDescent="0.25">
      <c r="A674" s="5">
        <v>38</v>
      </c>
      <c r="B674" t="s">
        <v>14</v>
      </c>
      <c r="C674" s="6">
        <f>IF(Tabelle18[[#This Row],[binding_level_company]]&gt;=1,1,0)</f>
        <v>0</v>
      </c>
      <c r="D674" s="6">
        <f>IFERROR(_xlfn.MAXIFS([1]!Tabelle5[binding_level],[1]!Tabelle5[company_id],Tabelle18[[#This Row],[company_id]],[1]!Tabelle5[value_id],Tabelle18[[#This Row],[value_id]],[1]!Tabelle5[value_present],1),0)</f>
        <v>0</v>
      </c>
      <c r="E674" s="6">
        <f>IFERROR(_xlfn.MAXIFS([1]!Tabelle5[value_points],[1]!Tabelle5[company_id],Tabelle18[[#This Row],[company_id]],[1]!Tabelle5[value_id],Tabelle18[[#This Row],[value_id]]),0)</f>
        <v>0</v>
      </c>
      <c r="F67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74" t="str" cm="1">
        <f t="array" ref="G67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74" s="7" t="str" cm="1">
        <f t="array" ref="H67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75" spans="1:8" x14ac:dyDescent="0.25">
      <c r="A675" s="5">
        <v>38</v>
      </c>
      <c r="B675" t="s">
        <v>15</v>
      </c>
      <c r="C675" s="6">
        <f>IF(Tabelle18[[#This Row],[binding_level_company]]&gt;=1,1,0)</f>
        <v>1</v>
      </c>
      <c r="D675" s="6">
        <f>IFERROR(_xlfn.MAXIFS([1]!Tabelle5[binding_level],[1]!Tabelle5[company_id],Tabelle18[[#This Row],[company_id]],[1]!Tabelle5[value_id],Tabelle18[[#This Row],[value_id]],[1]!Tabelle5[value_present],1),0)</f>
        <v>1</v>
      </c>
      <c r="E675" s="6">
        <f>IFERROR(_xlfn.MAXIFS([1]!Tabelle5[value_points],[1]!Tabelle5[company_id],Tabelle18[[#This Row],[company_id]],[1]!Tabelle5[value_id],Tabelle18[[#This Row],[value_id]]),0)</f>
        <v>1</v>
      </c>
      <c r="F67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75" t="str" cm="1">
        <f t="array" ref="G67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75" s="7" t="str" cm="1">
        <f t="array" ref="H67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“ensure safety and technical robustness through clear and measurable criteria”</v>
      </c>
    </row>
    <row r="676" spans="1:8" x14ac:dyDescent="0.25">
      <c r="A676" s="5">
        <v>38</v>
      </c>
      <c r="B676" t="s">
        <v>16</v>
      </c>
      <c r="C676" s="6">
        <f>IF(Tabelle18[[#This Row],[binding_level_company]]&gt;=1,1,0)</f>
        <v>1</v>
      </c>
      <c r="D676" s="6">
        <f>IFERROR(_xlfn.MAXIFS([1]!Tabelle5[binding_level],[1]!Tabelle5[company_id],Tabelle18[[#This Row],[company_id]],[1]!Tabelle5[value_id],Tabelle18[[#This Row],[value_id]],[1]!Tabelle5[value_present],1),0)</f>
        <v>1</v>
      </c>
      <c r="E676" s="6">
        <f>IFERROR(_xlfn.MAXIFS([1]!Tabelle5[value_points],[1]!Tabelle5[company_id],Tabelle18[[#This Row],[company_id]],[1]!Tabelle5[value_id],Tabelle18[[#This Row],[value_id]]),0)</f>
        <v>1</v>
      </c>
      <c r="F67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76" t="str" cm="1">
        <f t="array" ref="G67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76" s="7" t="str" cm="1">
        <f t="array" ref="H67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“ensure safety and technical robustness through clear and measurable criteria”</v>
      </c>
    </row>
    <row r="677" spans="1:8" x14ac:dyDescent="0.25">
      <c r="A677" s="5">
        <v>38</v>
      </c>
      <c r="B677" t="s">
        <v>17</v>
      </c>
      <c r="C677" s="6">
        <f>IF(Tabelle18[[#This Row],[binding_level_company]]&gt;=1,1,0)</f>
        <v>0</v>
      </c>
      <c r="D677" s="6">
        <f>IFERROR(_xlfn.MAXIFS([1]!Tabelle5[binding_level],[1]!Tabelle5[company_id],Tabelle18[[#This Row],[company_id]],[1]!Tabelle5[value_id],Tabelle18[[#This Row],[value_id]],[1]!Tabelle5[value_present],1),0)</f>
        <v>0</v>
      </c>
      <c r="E677" s="6">
        <f>IFERROR(_xlfn.MAXIFS([1]!Tabelle5[value_points],[1]!Tabelle5[company_id],Tabelle18[[#This Row],[company_id]],[1]!Tabelle5[value_id],Tabelle18[[#This Row],[value_id]]),0)</f>
        <v>0</v>
      </c>
      <c r="F67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77" t="str" cm="1">
        <f t="array" ref="G67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77" s="7" t="str" cm="1">
        <f t="array" ref="H67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78" spans="1:8" x14ac:dyDescent="0.25">
      <c r="A678" s="5">
        <v>38</v>
      </c>
      <c r="B678" t="s">
        <v>18</v>
      </c>
      <c r="C678" s="6">
        <f>IF(Tabelle18[[#This Row],[binding_level_company]]&gt;=1,1,0)</f>
        <v>0</v>
      </c>
      <c r="D678" s="6">
        <f>IFERROR(_xlfn.MAXIFS([1]!Tabelle5[binding_level],[1]!Tabelle5[company_id],Tabelle18[[#This Row],[company_id]],[1]!Tabelle5[value_id],Tabelle18[[#This Row],[value_id]],[1]!Tabelle5[value_present],1),0)</f>
        <v>0</v>
      </c>
      <c r="E678" s="6">
        <f>IFERROR(_xlfn.MAXIFS([1]!Tabelle5[value_points],[1]!Tabelle5[company_id],Tabelle18[[#This Row],[company_id]],[1]!Tabelle5[value_id],Tabelle18[[#This Row],[value_id]]),0)</f>
        <v>0</v>
      </c>
      <c r="F67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78" t="str" cm="1">
        <f t="array" ref="G67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78" s="7" t="str" cm="1">
        <f t="array" ref="H67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79" spans="1:8" x14ac:dyDescent="0.25">
      <c r="A679" s="5">
        <v>38</v>
      </c>
      <c r="B679" t="s">
        <v>19</v>
      </c>
      <c r="C679" s="6">
        <f>IF(Tabelle18[[#This Row],[binding_level_company]]&gt;=1,1,0)</f>
        <v>1</v>
      </c>
      <c r="D679" s="6">
        <f>IFERROR(_xlfn.MAXIFS([1]!Tabelle5[binding_level],[1]!Tabelle5[company_id],Tabelle18[[#This Row],[company_id]],[1]!Tabelle5[value_id],Tabelle18[[#This Row],[value_id]],[1]!Tabelle5[value_present],1),0)</f>
        <v>1</v>
      </c>
      <c r="E679" s="6">
        <f>IFERROR(_xlfn.MAXIFS([1]!Tabelle5[value_points],[1]!Tabelle5[company_id],Tabelle18[[#This Row],[company_id]],[1]!Tabelle5[value_id],Tabelle18[[#This Row],[value_id]]),0)</f>
        <v>1</v>
      </c>
      <c r="F67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79" t="str" cm="1">
        <f t="array" ref="G67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79" s="7" t="str" cm="1">
        <f t="array" ref="H67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“Our AI systems are in line with our efforts for sustainability and the environment”</v>
      </c>
    </row>
    <row r="680" spans="1:8" x14ac:dyDescent="0.25">
      <c r="A680" s="5">
        <v>38</v>
      </c>
      <c r="B680" t="s">
        <v>20</v>
      </c>
      <c r="C680" s="6">
        <f>IF(Tabelle18[[#This Row],[binding_level_company]]&gt;=1,1,0)</f>
        <v>0</v>
      </c>
      <c r="D680" s="6">
        <f>IFERROR(_xlfn.MAXIFS([1]!Tabelle5[binding_level],[1]!Tabelle5[company_id],Tabelle18[[#This Row],[company_id]],[1]!Tabelle5[value_id],Tabelle18[[#This Row],[value_id]],[1]!Tabelle5[value_present],1),0)</f>
        <v>0</v>
      </c>
      <c r="E680" s="6">
        <f>IFERROR(_xlfn.MAXIFS([1]!Tabelle5[value_points],[1]!Tabelle5[company_id],Tabelle18[[#This Row],[company_id]],[1]!Tabelle5[value_id],Tabelle18[[#This Row],[value_id]]),0)</f>
        <v>0</v>
      </c>
      <c r="F68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0" t="str" cm="1">
        <f t="array" ref="G68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0" s="7" t="str" cm="1">
        <f t="array" ref="H68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1" spans="1:8" x14ac:dyDescent="0.25">
      <c r="A681" s="5">
        <v>38</v>
      </c>
      <c r="B681" t="s">
        <v>21</v>
      </c>
      <c r="C681" s="6">
        <f>IF(Tabelle18[[#This Row],[binding_level_company]]&gt;=1,1,0)</f>
        <v>0</v>
      </c>
      <c r="D681" s="6">
        <f>IFERROR(_xlfn.MAXIFS([1]!Tabelle5[binding_level],[1]!Tabelle5[company_id],Tabelle18[[#This Row],[company_id]],[1]!Tabelle5[value_id],Tabelle18[[#This Row],[value_id]],[1]!Tabelle5[value_present],1),0)</f>
        <v>0</v>
      </c>
      <c r="E681" s="6">
        <f>IFERROR(_xlfn.MAXIFS([1]!Tabelle5[value_points],[1]!Tabelle5[company_id],Tabelle18[[#This Row],[company_id]],[1]!Tabelle5[value_id],Tabelle18[[#This Row],[value_id]]),0)</f>
        <v>0</v>
      </c>
      <c r="F68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1" t="str" cm="1">
        <f t="array" ref="G68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1" s="7" t="str" cm="1">
        <f t="array" ref="H68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2" spans="1:8" x14ac:dyDescent="0.25">
      <c r="A682" s="5">
        <v>38</v>
      </c>
      <c r="B682" t="s">
        <v>22</v>
      </c>
      <c r="C682" s="6">
        <f>IF(Tabelle18[[#This Row],[binding_level_company]]&gt;=1,1,0)</f>
        <v>1</v>
      </c>
      <c r="D682" s="6">
        <f>IFERROR(_xlfn.MAXIFS([1]!Tabelle5[binding_level],[1]!Tabelle5[company_id],Tabelle18[[#This Row],[company_id]],[1]!Tabelle5[value_id],Tabelle18[[#This Row],[value_id]],[1]!Tabelle5[value_present],1),0)</f>
        <v>1</v>
      </c>
      <c r="E682" s="6">
        <f>IFERROR(_xlfn.MAXIFS([1]!Tabelle5[value_points],[1]!Tabelle5[company_id],Tabelle18[[#This Row],[company_id]],[1]!Tabelle5[value_id],Tabelle18[[#This Row],[value_id]]),0)</f>
        <v>1</v>
      </c>
      <c r="F68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82" t="str" cm="1">
        <f t="array" ref="G68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82" s="7" t="str" cm="1">
        <f t="array" ref="H68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“We respect human labor with careful and complementary introduction of AI systems”</v>
      </c>
    </row>
    <row r="683" spans="1:8" x14ac:dyDescent="0.25">
      <c r="A683" s="5">
        <v>38</v>
      </c>
      <c r="B683" t="s">
        <v>23</v>
      </c>
      <c r="C683" s="6">
        <f>IF(Tabelle18[[#This Row],[binding_level_company]]&gt;=1,1,0)</f>
        <v>0</v>
      </c>
      <c r="D683" s="6">
        <f>IFERROR(_xlfn.MAXIFS([1]!Tabelle5[binding_level],[1]!Tabelle5[company_id],Tabelle18[[#This Row],[company_id]],[1]!Tabelle5[value_id],Tabelle18[[#This Row],[value_id]],[1]!Tabelle5[value_present],1),0)</f>
        <v>0</v>
      </c>
      <c r="E683" s="6">
        <f>IFERROR(_xlfn.MAXIFS([1]!Tabelle5[value_points],[1]!Tabelle5[company_id],Tabelle18[[#This Row],[company_id]],[1]!Tabelle5[value_id],Tabelle18[[#This Row],[value_id]]),0)</f>
        <v>0</v>
      </c>
      <c r="F68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3" t="str" cm="1">
        <f t="array" ref="G68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3" s="7" t="str" cm="1">
        <f t="array" ref="H68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4" spans="1:8" x14ac:dyDescent="0.25">
      <c r="A684" s="5">
        <v>38</v>
      </c>
      <c r="B684" t="s">
        <v>24</v>
      </c>
      <c r="C684" s="6">
        <f>IF(Tabelle18[[#This Row],[binding_level_company]]&gt;=1,1,0)</f>
        <v>0</v>
      </c>
      <c r="D684" s="6">
        <f>IFERROR(_xlfn.MAXIFS([1]!Tabelle5[binding_level],[1]!Tabelle5[company_id],Tabelle18[[#This Row],[company_id]],[1]!Tabelle5[value_id],Tabelle18[[#This Row],[value_id]],[1]!Tabelle5[value_present],1),0)</f>
        <v>0</v>
      </c>
      <c r="E684" s="6">
        <f>IFERROR(_xlfn.MAXIFS([1]!Tabelle5[value_points],[1]!Tabelle5[company_id],Tabelle18[[#This Row],[company_id]],[1]!Tabelle5[value_id],Tabelle18[[#This Row],[value_id]]),0)</f>
        <v>0</v>
      </c>
      <c r="F68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4" t="str" cm="1">
        <f t="array" ref="G68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4" s="7" t="str" cm="1">
        <f t="array" ref="H68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5" spans="1:8" ht="15.75" thickBot="1" x14ac:dyDescent="0.3">
      <c r="A685" s="8">
        <v>38</v>
      </c>
      <c r="B685" s="9" t="s">
        <v>25</v>
      </c>
      <c r="C685" s="10">
        <f>IF(Tabelle18[[#This Row],[binding_level_company]]&gt;=1,1,0)</f>
        <v>1</v>
      </c>
      <c r="D685" s="10">
        <f>IFERROR(_xlfn.MAXIFS([1]!Tabelle5[binding_level],[1]!Tabelle5[company_id],Tabelle18[[#This Row],[company_id]],[1]!Tabelle5[value_id],Tabelle18[[#This Row],[value_id]],[1]!Tabelle5[value_present],1),0)</f>
        <v>1</v>
      </c>
      <c r="E685" s="10">
        <f>IFERROR(_xlfn.MAXIFS([1]!Tabelle5[value_points],[1]!Tabelle5[company_id],Tabelle18[[#This Row],[company_id]],[1]!Tabelle5[value_id],Tabelle18[[#This Row],[value_id]]),0)</f>
        <v>1</v>
      </c>
      <c r="F685" s="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227</v>
      </c>
      <c r="G685" s="9" t="str" cm="1">
        <f t="array" ref="G68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2.</v>
      </c>
      <c r="H685" s="11" t="str" cm="1">
        <f t="array" ref="H68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“Our commitments to society and human rights apply”</v>
      </c>
    </row>
    <row r="686" spans="1:8" x14ac:dyDescent="0.25">
      <c r="A686" s="1">
        <v>39</v>
      </c>
      <c r="B686" s="2" t="s">
        <v>8</v>
      </c>
      <c r="C686" s="3">
        <f>IF(Tabelle18[[#This Row],[binding_level_company]]&gt;=1,1,0)</f>
        <v>0</v>
      </c>
      <c r="D686" s="3">
        <f>IFERROR(_xlfn.MAXIFS([1]!Tabelle5[binding_level],[1]!Tabelle5[company_id],Tabelle18[[#This Row],[company_id]],[1]!Tabelle5[value_id],Tabelle18[[#This Row],[value_id]],[1]!Tabelle5[value_present],1),0)</f>
        <v>0</v>
      </c>
      <c r="E686" s="3">
        <f>IFERROR(_xlfn.MAXIFS([1]!Tabelle5[value_points],[1]!Tabelle5[company_id],Tabelle18[[#This Row],[company_id]],[1]!Tabelle5[value_id],Tabelle18[[#This Row],[value_id]]),0)</f>
        <v>0</v>
      </c>
      <c r="F686" s="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6" s="2" t="str" cm="1">
        <f t="array" ref="G68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6" s="4" t="str" cm="1">
        <f t="array" ref="H68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7" spans="1:8" x14ac:dyDescent="0.25">
      <c r="A687" s="5">
        <v>39</v>
      </c>
      <c r="B687" t="s">
        <v>9</v>
      </c>
      <c r="C687" s="6">
        <f>IF(Tabelle18[[#This Row],[binding_level_company]]&gt;=1,1,0)</f>
        <v>0</v>
      </c>
      <c r="D687" s="6">
        <f>IFERROR(_xlfn.MAXIFS([1]!Tabelle5[binding_level],[1]!Tabelle5[company_id],Tabelle18[[#This Row],[company_id]],[1]!Tabelle5[value_id],Tabelle18[[#This Row],[value_id]],[1]!Tabelle5[value_present],1),0)</f>
        <v>0</v>
      </c>
      <c r="E687" s="6">
        <f>IFERROR(_xlfn.MAXIFS([1]!Tabelle5[value_points],[1]!Tabelle5[company_id],Tabelle18[[#This Row],[company_id]],[1]!Tabelle5[value_id],Tabelle18[[#This Row],[value_id]]),0)</f>
        <v>0</v>
      </c>
      <c r="F68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7" t="str" cm="1">
        <f t="array" ref="G68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7" s="7" t="str" cm="1">
        <f t="array" ref="H68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8" spans="1:8" x14ac:dyDescent="0.25">
      <c r="A688" s="5">
        <v>39</v>
      </c>
      <c r="B688" t="s">
        <v>10</v>
      </c>
      <c r="C688" s="6">
        <f>IF(Tabelle18[[#This Row],[binding_level_company]]&gt;=1,1,0)</f>
        <v>0</v>
      </c>
      <c r="D688" s="6">
        <f>IFERROR(_xlfn.MAXIFS([1]!Tabelle5[binding_level],[1]!Tabelle5[company_id],Tabelle18[[#This Row],[company_id]],[1]!Tabelle5[value_id],Tabelle18[[#This Row],[value_id]],[1]!Tabelle5[value_present],1),0)</f>
        <v>0</v>
      </c>
      <c r="E688" s="6">
        <f>IFERROR(_xlfn.MAXIFS([1]!Tabelle5[value_points],[1]!Tabelle5[company_id],Tabelle18[[#This Row],[company_id]],[1]!Tabelle5[value_id],Tabelle18[[#This Row],[value_id]]),0)</f>
        <v>0</v>
      </c>
      <c r="F68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8" t="str" cm="1">
        <f t="array" ref="G68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8" s="7" t="str" cm="1">
        <f t="array" ref="H68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89" spans="1:8" x14ac:dyDescent="0.25">
      <c r="A689" s="5">
        <v>39</v>
      </c>
      <c r="B689" t="s">
        <v>11</v>
      </c>
      <c r="C689" s="6">
        <f>IF(Tabelle18[[#This Row],[binding_level_company]]&gt;=1,1,0)</f>
        <v>0</v>
      </c>
      <c r="D689" s="6">
        <f>IFERROR(_xlfn.MAXIFS([1]!Tabelle5[binding_level],[1]!Tabelle5[company_id],Tabelle18[[#This Row],[company_id]],[1]!Tabelle5[value_id],Tabelle18[[#This Row],[value_id]],[1]!Tabelle5[value_present],1),0)</f>
        <v>0</v>
      </c>
      <c r="E689" s="6">
        <f>IFERROR(_xlfn.MAXIFS([1]!Tabelle5[value_points],[1]!Tabelle5[company_id],Tabelle18[[#This Row],[company_id]],[1]!Tabelle5[value_id],Tabelle18[[#This Row],[value_id]]),0)</f>
        <v>0</v>
      </c>
      <c r="F68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89" t="str" cm="1">
        <f t="array" ref="G68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89" s="7" t="str" cm="1">
        <f t="array" ref="H68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0" spans="1:8" x14ac:dyDescent="0.25">
      <c r="A690" s="5">
        <v>39</v>
      </c>
      <c r="B690" t="s">
        <v>12</v>
      </c>
      <c r="C690" s="6">
        <f>IF(Tabelle18[[#This Row],[binding_level_company]]&gt;=1,1,0)</f>
        <v>0</v>
      </c>
      <c r="D690" s="6">
        <f>IFERROR(_xlfn.MAXIFS([1]!Tabelle5[binding_level],[1]!Tabelle5[company_id],Tabelle18[[#This Row],[company_id]],[1]!Tabelle5[value_id],Tabelle18[[#This Row],[value_id]],[1]!Tabelle5[value_present],1),0)</f>
        <v>0</v>
      </c>
      <c r="E690" s="6">
        <f>IFERROR(_xlfn.MAXIFS([1]!Tabelle5[value_points],[1]!Tabelle5[company_id],Tabelle18[[#This Row],[company_id]],[1]!Tabelle5[value_id],Tabelle18[[#This Row],[value_id]]),0)</f>
        <v>0</v>
      </c>
      <c r="F69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0" t="str" cm="1">
        <f t="array" ref="G69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0" s="7" t="str" cm="1">
        <f t="array" ref="H69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1" spans="1:8" x14ac:dyDescent="0.25">
      <c r="A691" s="5">
        <v>39</v>
      </c>
      <c r="B691" t="s">
        <v>13</v>
      </c>
      <c r="C691" s="6">
        <f>IF(Tabelle18[[#This Row],[binding_level_company]]&gt;=1,1,0)</f>
        <v>0</v>
      </c>
      <c r="D691" s="6">
        <f>IFERROR(_xlfn.MAXIFS([1]!Tabelle5[binding_level],[1]!Tabelle5[company_id],Tabelle18[[#This Row],[company_id]],[1]!Tabelle5[value_id],Tabelle18[[#This Row],[value_id]],[1]!Tabelle5[value_present],1),0)</f>
        <v>0</v>
      </c>
      <c r="E691" s="6">
        <f>IFERROR(_xlfn.MAXIFS([1]!Tabelle5[value_points],[1]!Tabelle5[company_id],Tabelle18[[#This Row],[company_id]],[1]!Tabelle5[value_id],Tabelle18[[#This Row],[value_id]]),0)</f>
        <v>0</v>
      </c>
      <c r="F69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1" t="str" cm="1">
        <f t="array" ref="G69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1" s="7" t="str" cm="1">
        <f t="array" ref="H69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2" spans="1:8" x14ac:dyDescent="0.25">
      <c r="A692" s="5">
        <v>39</v>
      </c>
      <c r="B692" t="s">
        <v>14</v>
      </c>
      <c r="C692" s="6">
        <f>IF(Tabelle18[[#This Row],[binding_level_company]]&gt;=1,1,0)</f>
        <v>0</v>
      </c>
      <c r="D692" s="6">
        <f>IFERROR(_xlfn.MAXIFS([1]!Tabelle5[binding_level],[1]!Tabelle5[company_id],Tabelle18[[#This Row],[company_id]],[1]!Tabelle5[value_id],Tabelle18[[#This Row],[value_id]],[1]!Tabelle5[value_present],1),0)</f>
        <v>0</v>
      </c>
      <c r="E692" s="6">
        <f>IFERROR(_xlfn.MAXIFS([1]!Tabelle5[value_points],[1]!Tabelle5[company_id],Tabelle18[[#This Row],[company_id]],[1]!Tabelle5[value_id],Tabelle18[[#This Row],[value_id]]),0)</f>
        <v>0</v>
      </c>
      <c r="F69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2" t="str" cm="1">
        <f t="array" ref="G69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2" s="7" t="str" cm="1">
        <f t="array" ref="H69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3" spans="1:8" x14ac:dyDescent="0.25">
      <c r="A693" s="5">
        <v>39</v>
      </c>
      <c r="B693" t="s">
        <v>15</v>
      </c>
      <c r="C693" s="6">
        <f>IF(Tabelle18[[#This Row],[binding_level_company]]&gt;=1,1,0)</f>
        <v>0</v>
      </c>
      <c r="D693" s="6">
        <f>IFERROR(_xlfn.MAXIFS([1]!Tabelle5[binding_level],[1]!Tabelle5[company_id],Tabelle18[[#This Row],[company_id]],[1]!Tabelle5[value_id],Tabelle18[[#This Row],[value_id]],[1]!Tabelle5[value_present],1),0)</f>
        <v>0</v>
      </c>
      <c r="E693" s="6">
        <f>IFERROR(_xlfn.MAXIFS([1]!Tabelle5[value_points],[1]!Tabelle5[company_id],Tabelle18[[#This Row],[company_id]],[1]!Tabelle5[value_id],Tabelle18[[#This Row],[value_id]]),0)</f>
        <v>0</v>
      </c>
      <c r="F69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3" t="str" cm="1">
        <f t="array" ref="G69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3" s="7" t="str" cm="1">
        <f t="array" ref="H69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4" spans="1:8" x14ac:dyDescent="0.25">
      <c r="A694" s="5">
        <v>39</v>
      </c>
      <c r="B694" t="s">
        <v>16</v>
      </c>
      <c r="C694" s="6">
        <f>IF(Tabelle18[[#This Row],[binding_level_company]]&gt;=1,1,0)</f>
        <v>0</v>
      </c>
      <c r="D694" s="6">
        <f>IFERROR(_xlfn.MAXIFS([1]!Tabelle5[binding_level],[1]!Tabelle5[company_id],Tabelle18[[#This Row],[company_id]],[1]!Tabelle5[value_id],Tabelle18[[#This Row],[value_id]],[1]!Tabelle5[value_present],1),0)</f>
        <v>0</v>
      </c>
      <c r="E694" s="6">
        <f>IFERROR(_xlfn.MAXIFS([1]!Tabelle5[value_points],[1]!Tabelle5[company_id],Tabelle18[[#This Row],[company_id]],[1]!Tabelle5[value_id],Tabelle18[[#This Row],[value_id]]),0)</f>
        <v>0</v>
      </c>
      <c r="F69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4" t="str" cm="1">
        <f t="array" ref="G69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4" s="7" t="str" cm="1">
        <f t="array" ref="H69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5" spans="1:8" x14ac:dyDescent="0.25">
      <c r="A695" s="5">
        <v>39</v>
      </c>
      <c r="B695" t="s">
        <v>17</v>
      </c>
      <c r="C695" s="6">
        <f>IF(Tabelle18[[#This Row],[binding_level_company]]&gt;=1,1,0)</f>
        <v>0</v>
      </c>
      <c r="D695" s="6">
        <f>IFERROR(_xlfn.MAXIFS([1]!Tabelle5[binding_level],[1]!Tabelle5[company_id],Tabelle18[[#This Row],[company_id]],[1]!Tabelle5[value_id],Tabelle18[[#This Row],[value_id]],[1]!Tabelle5[value_present],1),0)</f>
        <v>0</v>
      </c>
      <c r="E695" s="6">
        <f>IFERROR(_xlfn.MAXIFS([1]!Tabelle5[value_points],[1]!Tabelle5[company_id],Tabelle18[[#This Row],[company_id]],[1]!Tabelle5[value_id],Tabelle18[[#This Row],[value_id]]),0)</f>
        <v>0</v>
      </c>
      <c r="F69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5" t="str" cm="1">
        <f t="array" ref="G69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5" s="7" t="str" cm="1">
        <f t="array" ref="H69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6" spans="1:8" x14ac:dyDescent="0.25">
      <c r="A696" s="5">
        <v>39</v>
      </c>
      <c r="B696" t="s">
        <v>18</v>
      </c>
      <c r="C696" s="6">
        <f>IF(Tabelle18[[#This Row],[binding_level_company]]&gt;=1,1,0)</f>
        <v>0</v>
      </c>
      <c r="D696" s="6">
        <f>IFERROR(_xlfn.MAXIFS([1]!Tabelle5[binding_level],[1]!Tabelle5[company_id],Tabelle18[[#This Row],[company_id]],[1]!Tabelle5[value_id],Tabelle18[[#This Row],[value_id]],[1]!Tabelle5[value_present],1),0)</f>
        <v>0</v>
      </c>
      <c r="E696" s="6">
        <f>IFERROR(_xlfn.MAXIFS([1]!Tabelle5[value_points],[1]!Tabelle5[company_id],Tabelle18[[#This Row],[company_id]],[1]!Tabelle5[value_id],Tabelle18[[#This Row],[value_id]]),0)</f>
        <v>0</v>
      </c>
      <c r="F69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6" t="str" cm="1">
        <f t="array" ref="G69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6" s="7" t="str" cm="1">
        <f t="array" ref="H69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7" spans="1:8" x14ac:dyDescent="0.25">
      <c r="A697" s="5">
        <v>39</v>
      </c>
      <c r="B697" t="s">
        <v>19</v>
      </c>
      <c r="C697" s="6">
        <f>IF(Tabelle18[[#This Row],[binding_level_company]]&gt;=1,1,0)</f>
        <v>0</v>
      </c>
      <c r="D697" s="6">
        <f>IFERROR(_xlfn.MAXIFS([1]!Tabelle5[binding_level],[1]!Tabelle5[company_id],Tabelle18[[#This Row],[company_id]],[1]!Tabelle5[value_id],Tabelle18[[#This Row],[value_id]],[1]!Tabelle5[value_present],1),0)</f>
        <v>0</v>
      </c>
      <c r="E697" s="6">
        <f>IFERROR(_xlfn.MAXIFS([1]!Tabelle5[value_points],[1]!Tabelle5[company_id],Tabelle18[[#This Row],[company_id]],[1]!Tabelle5[value_id],Tabelle18[[#This Row],[value_id]]),0)</f>
        <v>0</v>
      </c>
      <c r="F697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7" t="str" cm="1">
        <f t="array" ref="G69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7" s="7" t="str" cm="1">
        <f t="array" ref="H69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8" spans="1:8" x14ac:dyDescent="0.25">
      <c r="A698" s="5">
        <v>39</v>
      </c>
      <c r="B698" t="s">
        <v>20</v>
      </c>
      <c r="C698" s="6">
        <f>IF(Tabelle18[[#This Row],[binding_level_company]]&gt;=1,1,0)</f>
        <v>0</v>
      </c>
      <c r="D698" s="6">
        <f>IFERROR(_xlfn.MAXIFS([1]!Tabelle5[binding_level],[1]!Tabelle5[company_id],Tabelle18[[#This Row],[company_id]],[1]!Tabelle5[value_id],Tabelle18[[#This Row],[value_id]],[1]!Tabelle5[value_present],1),0)</f>
        <v>0</v>
      </c>
      <c r="E698" s="6">
        <f>IFERROR(_xlfn.MAXIFS([1]!Tabelle5[value_points],[1]!Tabelle5[company_id],Tabelle18[[#This Row],[company_id]],[1]!Tabelle5[value_id],Tabelle18[[#This Row],[value_id]]),0)</f>
        <v>0</v>
      </c>
      <c r="F698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8" t="str" cm="1">
        <f t="array" ref="G69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8" s="7" t="str" cm="1">
        <f t="array" ref="H69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699" spans="1:8" x14ac:dyDescent="0.25">
      <c r="A699" s="5">
        <v>39</v>
      </c>
      <c r="B699" t="s">
        <v>21</v>
      </c>
      <c r="C699" s="6">
        <f>IF(Tabelle18[[#This Row],[binding_level_company]]&gt;=1,1,0)</f>
        <v>0</v>
      </c>
      <c r="D699" s="6">
        <f>IFERROR(_xlfn.MAXIFS([1]!Tabelle5[binding_level],[1]!Tabelle5[company_id],Tabelle18[[#This Row],[company_id]],[1]!Tabelle5[value_id],Tabelle18[[#This Row],[value_id]],[1]!Tabelle5[value_present],1),0)</f>
        <v>0</v>
      </c>
      <c r="E699" s="6">
        <f>IFERROR(_xlfn.MAXIFS([1]!Tabelle5[value_points],[1]!Tabelle5[company_id],Tabelle18[[#This Row],[company_id]],[1]!Tabelle5[value_id],Tabelle18[[#This Row],[value_id]]),0)</f>
        <v>0</v>
      </c>
      <c r="F69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699" t="str" cm="1">
        <f t="array" ref="G69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699" s="7" t="str" cm="1">
        <f t="array" ref="H69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00" spans="1:8" x14ac:dyDescent="0.25">
      <c r="A700" s="5">
        <v>39</v>
      </c>
      <c r="B700" t="s">
        <v>22</v>
      </c>
      <c r="C700" s="6">
        <f>IF(Tabelle18[[#This Row],[binding_level_company]]&gt;=1,1,0)</f>
        <v>0</v>
      </c>
      <c r="D700" s="6">
        <f>IFERROR(_xlfn.MAXIFS([1]!Tabelle5[binding_level],[1]!Tabelle5[company_id],Tabelle18[[#This Row],[company_id]],[1]!Tabelle5[value_id],Tabelle18[[#This Row],[value_id]],[1]!Tabelle5[value_present],1),0)</f>
        <v>0</v>
      </c>
      <c r="E700" s="6">
        <f>IFERROR(_xlfn.MAXIFS([1]!Tabelle5[value_points],[1]!Tabelle5[company_id],Tabelle18[[#This Row],[company_id]],[1]!Tabelle5[value_id],Tabelle18[[#This Row],[value_id]]),0)</f>
        <v>0</v>
      </c>
      <c r="F70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00" t="str" cm="1">
        <f t="array" ref="G70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00" s="7" t="str" cm="1">
        <f t="array" ref="H70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01" spans="1:8" x14ac:dyDescent="0.25">
      <c r="A701" s="5">
        <v>39</v>
      </c>
      <c r="B701" t="s">
        <v>23</v>
      </c>
      <c r="C701" s="6">
        <f>IF(Tabelle18[[#This Row],[binding_level_company]]&gt;=1,1,0)</f>
        <v>0</v>
      </c>
      <c r="D701" s="6">
        <f>IFERROR(_xlfn.MAXIFS([1]!Tabelle5[binding_level],[1]!Tabelle5[company_id],Tabelle18[[#This Row],[company_id]],[1]!Tabelle5[value_id],Tabelle18[[#This Row],[value_id]],[1]!Tabelle5[value_present],1),0)</f>
        <v>0</v>
      </c>
      <c r="E701" s="6">
        <f>IFERROR(_xlfn.MAXIFS([1]!Tabelle5[value_points],[1]!Tabelle5[company_id],Tabelle18[[#This Row],[company_id]],[1]!Tabelle5[value_id],Tabelle18[[#This Row],[value_id]]),0)</f>
        <v>0</v>
      </c>
      <c r="F701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01" t="str" cm="1">
        <f t="array" ref="G70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01" s="7" t="str" cm="1">
        <f t="array" ref="H70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02" spans="1:8" x14ac:dyDescent="0.25">
      <c r="A702" s="5">
        <v>39</v>
      </c>
      <c r="B702" t="s">
        <v>24</v>
      </c>
      <c r="C702" s="6">
        <f>IF(Tabelle18[[#This Row],[binding_level_company]]&gt;=1,1,0)</f>
        <v>0</v>
      </c>
      <c r="D702" s="6">
        <f>IFERROR(_xlfn.MAXIFS([1]!Tabelle5[binding_level],[1]!Tabelle5[company_id],Tabelle18[[#This Row],[company_id]],[1]!Tabelle5[value_id],Tabelle18[[#This Row],[value_id]],[1]!Tabelle5[value_present],1),0)</f>
        <v>0</v>
      </c>
      <c r="E702" s="6">
        <f>IFERROR(_xlfn.MAXIFS([1]!Tabelle5[value_points],[1]!Tabelle5[company_id],Tabelle18[[#This Row],[company_id]],[1]!Tabelle5[value_id],Tabelle18[[#This Row],[value_id]]),0)</f>
        <v>0</v>
      </c>
      <c r="F702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02" t="str" cm="1">
        <f t="array" ref="G70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02" s="7" t="str" cm="1">
        <f t="array" ref="H70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03" spans="1:8" ht="15.75" thickBot="1" x14ac:dyDescent="0.3">
      <c r="A703" s="8">
        <v>39</v>
      </c>
      <c r="B703" s="9" t="s">
        <v>25</v>
      </c>
      <c r="C703" s="10">
        <f>IF(Tabelle18[[#This Row],[binding_level_company]]&gt;=1,1,0)</f>
        <v>0</v>
      </c>
      <c r="D703" s="10">
        <f>IFERROR(_xlfn.MAXIFS([1]!Tabelle5[binding_level],[1]!Tabelle5[company_id],Tabelle18[[#This Row],[company_id]],[1]!Tabelle5[value_id],Tabelle18[[#This Row],[value_id]],[1]!Tabelle5[value_present],1),0)</f>
        <v>0</v>
      </c>
      <c r="E703" s="10">
        <f>IFERROR(_xlfn.MAXIFS([1]!Tabelle5[value_points],[1]!Tabelle5[company_id],Tabelle18[[#This Row],[company_id]],[1]!Tabelle5[value_id],Tabelle18[[#This Row],[value_id]]),0)</f>
        <v>0</v>
      </c>
      <c r="F703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03" s="9" t="str" cm="1">
        <f t="array" ref="G70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03" s="11" t="str" cm="1">
        <f t="array" ref="H70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04" spans="1:8" x14ac:dyDescent="0.25">
      <c r="A704" s="1">
        <v>40</v>
      </c>
      <c r="B704" s="2" t="s">
        <v>8</v>
      </c>
      <c r="C704" s="3">
        <f>IF(Tabelle18[[#This Row],[binding_level_company]]&gt;=1,1,0)</f>
        <v>1</v>
      </c>
      <c r="D704" s="3">
        <f>IFERROR(_xlfn.MAXIFS([1]!Tabelle5[binding_level],[1]!Tabelle5[company_id],Tabelle18[[#This Row],[company_id]],[1]!Tabelle5[value_id],Tabelle18[[#This Row],[value_id]],[1]!Tabelle5[value_present],1),0)</f>
        <v>3</v>
      </c>
      <c r="E704" s="3">
        <f>IFERROR(_xlfn.MAXIFS([1]!Tabelle5[value_points],[1]!Tabelle5[company_id],Tabelle18[[#This Row],[company_id]],[1]!Tabelle5[value_id],Tabelle18[[#This Row],[value_id]]),0)</f>
        <v>3</v>
      </c>
      <c r="F704" s="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04" s="2" t="str" cm="1">
        <f t="array" ref="G70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13</v>
      </c>
      <c r="H704" s="4" t="str" cm="1">
        <f t="array" ref="H70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“kontinuierliches Monitoring und frühzeitiges Eingreifen”</v>
      </c>
    </row>
    <row r="705" spans="1:8" x14ac:dyDescent="0.25">
      <c r="A705" s="5">
        <v>40</v>
      </c>
      <c r="B705" t="s">
        <v>9</v>
      </c>
      <c r="C705" s="6">
        <f>IF(Tabelle18[[#This Row],[binding_level_company]]&gt;=1,1,0)</f>
        <v>1</v>
      </c>
      <c r="D705" s="6">
        <f>IFERROR(_xlfn.MAXIFS([1]!Tabelle5[binding_level],[1]!Tabelle5[company_id],Tabelle18[[#This Row],[company_id]],[1]!Tabelle5[value_id],Tabelle18[[#This Row],[value_id]],[1]!Tabelle5[value_present],1),0)</f>
        <v>3</v>
      </c>
      <c r="E705" s="6">
        <f>IFERROR(_xlfn.MAXIFS([1]!Tabelle5[value_points],[1]!Tabelle5[company_id],Tabelle18[[#This Row],[company_id]],[1]!Tabelle5[value_id],Tabelle18[[#This Row],[value_id]]),0)</f>
        <v>3</v>
      </c>
      <c r="F705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05" t="str" cm="1">
        <f t="array" ref="G70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11; S. 14</v>
      </c>
      <c r="H705" s="7" t="str" cm="1">
        <f t="array" ref="H70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“Informationen und Verantwortliche für unsere Machine-Learning-Modelle”; “zentrale Team ‘Algorithmic Privacy &amp; Fairness’”</v>
      </c>
    </row>
    <row r="706" spans="1:8" x14ac:dyDescent="0.25">
      <c r="A706" s="5">
        <v>40</v>
      </c>
      <c r="B706" t="s">
        <v>10</v>
      </c>
      <c r="C706" s="6">
        <f>IF(Tabelle18[[#This Row],[binding_level_company]]&gt;=1,1,0)</f>
        <v>1</v>
      </c>
      <c r="D706" s="6">
        <f>IFERROR(_xlfn.MAXIFS([1]!Tabelle5[binding_level],[1]!Tabelle5[company_id],Tabelle18[[#This Row],[company_id]],[1]!Tabelle5[value_id],Tabelle18[[#This Row],[value_id]],[1]!Tabelle5[value_present],1),0)</f>
        <v>3</v>
      </c>
      <c r="E706" s="6">
        <f>IFERROR(_xlfn.MAXIFS([1]!Tabelle5[value_points],[1]!Tabelle5[company_id],Tabelle18[[#This Row],[company_id]],[1]!Tabelle5[value_id],Tabelle18[[#This Row],[value_id]]),0)</f>
        <v>3</v>
      </c>
      <c r="F706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06" t="str" cm="1">
        <f t="array" ref="G70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11; S. 21</v>
      </c>
      <c r="H706" s="7" t="str" cm="1">
        <f t="array" ref="H70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“mögliche Bias, dokumentieren die Ergebnisse intern transparent”; “Informationen und Verantwortliche für unsere Machine-Learning-Modelle”; “erklären innerhalb des Kaufprozesses, welche Daten wir verwendet haben”</v>
      </c>
    </row>
    <row r="707" spans="1:8" x14ac:dyDescent="0.25">
      <c r="A707" s="5">
        <v>40</v>
      </c>
      <c r="B707" t="s">
        <v>11</v>
      </c>
      <c r="C707" s="6">
        <f>IF(Tabelle18[[#This Row],[binding_level_company]]&gt;=1,1,0)</f>
        <v>1</v>
      </c>
      <c r="D707" s="6">
        <f>IFERROR(_xlfn.MAXIFS([1]!Tabelle5[binding_level],[1]!Tabelle5[company_id],Tabelle18[[#This Row],[company_id]],[1]!Tabelle5[value_id],Tabelle18[[#This Row],[value_id]],[1]!Tabelle5[value_present],1),0)</f>
        <v>3</v>
      </c>
      <c r="E707" s="6">
        <f>IFERROR(_xlfn.MAXIFS([1]!Tabelle5[value_points],[1]!Tabelle5[company_id],Tabelle18[[#This Row],[company_id]],[1]!Tabelle5[value_id],Tabelle18[[#This Row],[value_id]]),0)</f>
        <v>3</v>
      </c>
      <c r="F70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07" t="str" cm="1">
        <f t="array" ref="G70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21; S. 56</v>
      </c>
      <c r="H707" s="7" t="str" cm="1">
        <f t="array" ref="H70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“erklären innerhalb des Kaufprozesses, welche Daten wir verwendet haben”; “Weiterbildung ‘Verantwortungsvolle KI’”</v>
      </c>
    </row>
    <row r="708" spans="1:8" x14ac:dyDescent="0.25">
      <c r="A708" s="5">
        <v>40</v>
      </c>
      <c r="B708" t="s">
        <v>12</v>
      </c>
      <c r="C708" s="6">
        <f>IF(Tabelle18[[#This Row],[binding_level_company]]&gt;=1,1,0)</f>
        <v>1</v>
      </c>
      <c r="D708" s="6">
        <f>IFERROR(_xlfn.MAXIFS([1]!Tabelle5[binding_level],[1]!Tabelle5[company_id],Tabelle18[[#This Row],[company_id]],[1]!Tabelle5[value_id],Tabelle18[[#This Row],[value_id]],[1]!Tabelle5[value_present],1),0)</f>
        <v>3</v>
      </c>
      <c r="E708" s="6">
        <f>IFERROR(_xlfn.MAXIFS([1]!Tabelle5[value_points],[1]!Tabelle5[company_id],Tabelle18[[#This Row],[company_id]],[1]!Tabelle5[value_id],Tabelle18[[#This Row],[value_id]]),0)</f>
        <v>3</v>
      </c>
      <c r="F70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08" t="str" cm="1">
        <f t="array" ref="G70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10–14; S. 31; S. 43</v>
      </c>
      <c r="H708" s="7" t="str" cm="1">
        <f t="array" ref="H70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“jährlich eine Befragung zum Bewusstsein für die ethischen Risiken des maschinellen Lernens”; “mögliche Bias, dokumentieren die Ergebnisse intern transparent”; “potenzieller Schäden und der Sensibilität von Daten priorisieren”; “identifiziert, misst und korrigiert”</v>
      </c>
    </row>
    <row r="709" spans="1:8" x14ac:dyDescent="0.25">
      <c r="A709" s="5">
        <v>40</v>
      </c>
      <c r="B709" t="s">
        <v>13</v>
      </c>
      <c r="C709" s="6">
        <f>IF(Tabelle18[[#This Row],[binding_level_company]]&gt;=1,1,0)</f>
        <v>1</v>
      </c>
      <c r="D709" s="6">
        <f>IFERROR(_xlfn.MAXIFS([1]!Tabelle5[binding_level],[1]!Tabelle5[company_id],Tabelle18[[#This Row],[company_id]],[1]!Tabelle5[value_id],Tabelle18[[#This Row],[value_id]],[1]!Tabelle5[value_present],1),0)</f>
        <v>3</v>
      </c>
      <c r="E709" s="6">
        <f>IFERROR(_xlfn.MAXIFS([1]!Tabelle5[value_points],[1]!Tabelle5[company_id],Tabelle18[[#This Row],[company_id]],[1]!Tabelle5[value_id],Tabelle18[[#This Row],[value_id]]),0)</f>
        <v>3</v>
      </c>
      <c r="F70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09" t="str" cm="1">
        <f t="array" ref="G70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17; S. 31; S. 43</v>
      </c>
      <c r="H709" s="7" t="str" cm="1">
        <f t="array" ref="H70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“Pipeline zur Bewertung von Fairness und Datenschutz”; “Datenschutz-Schwachstellen von Machine-Learning-Modellen zu testen”; “kontinuierliche Überwachung ... Datenschutz-Schwachstellen und Fairness-Metriken”</v>
      </c>
    </row>
    <row r="710" spans="1:8" x14ac:dyDescent="0.25">
      <c r="A710" s="5">
        <v>40</v>
      </c>
      <c r="B710" t="s">
        <v>14</v>
      </c>
      <c r="C710" s="6">
        <f>IF(Tabelle18[[#This Row],[binding_level_company]]&gt;=1,1,0)</f>
        <v>0</v>
      </c>
      <c r="D710" s="6">
        <f>IFERROR(_xlfn.MAXIFS([1]!Tabelle5[binding_level],[1]!Tabelle5[company_id],Tabelle18[[#This Row],[company_id]],[1]!Tabelle5[value_id],Tabelle18[[#This Row],[value_id]],[1]!Tabelle5[value_present],1),0)</f>
        <v>0</v>
      </c>
      <c r="E710" s="6">
        <f>IFERROR(_xlfn.MAXIFS([1]!Tabelle5[value_points],[1]!Tabelle5[company_id],Tabelle18[[#This Row],[company_id]],[1]!Tabelle5[value_id],Tabelle18[[#This Row],[value_id]]),0)</f>
        <v>0</v>
      </c>
      <c r="F71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10" t="str" cm="1">
        <f t="array" ref="G71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10" s="7" t="str" cm="1">
        <f t="array" ref="H71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11" spans="1:8" x14ac:dyDescent="0.25">
      <c r="A711" s="5">
        <v>40</v>
      </c>
      <c r="B711" t="s">
        <v>15</v>
      </c>
      <c r="C711" s="6">
        <f>IF(Tabelle18[[#This Row],[binding_level_company]]&gt;=1,1,0)</f>
        <v>1</v>
      </c>
      <c r="D711" s="6">
        <f>IFERROR(_xlfn.MAXIFS([1]!Tabelle5[binding_level],[1]!Tabelle5[company_id],Tabelle18[[#This Row],[company_id]],[1]!Tabelle5[value_id],Tabelle18[[#This Row],[value_id]],[1]!Tabelle5[value_present],1),0)</f>
        <v>3</v>
      </c>
      <c r="E711" s="6">
        <f>IFERROR(_xlfn.MAXIFS([1]!Tabelle5[value_points],[1]!Tabelle5[company_id],Tabelle18[[#This Row],[company_id]],[1]!Tabelle5[value_id],Tabelle18[[#This Row],[value_id]]),0)</f>
        <v>3</v>
      </c>
      <c r="F711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11" t="str" cm="1">
        <f t="array" ref="G71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12; S. 40; S. 43</v>
      </c>
      <c r="H711" s="7" t="str" cm="1">
        <f t="array" ref="H71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“potenzieller Schäden und der Sensibilität von Daten priorisieren”; “Schadensquellen und Quellen von Verzerrungen”; “Schadensquellen und Quellen von Verzerrungen”</v>
      </c>
    </row>
    <row r="712" spans="1:8" x14ac:dyDescent="0.25">
      <c r="A712" s="5">
        <v>40</v>
      </c>
      <c r="B712" t="s">
        <v>16</v>
      </c>
      <c r="C712" s="6">
        <f>IF(Tabelle18[[#This Row],[binding_level_company]]&gt;=1,1,0)</f>
        <v>1</v>
      </c>
      <c r="D712" s="6">
        <f>IFERROR(_xlfn.MAXIFS([1]!Tabelle5[binding_level],[1]!Tabelle5[company_id],Tabelle18[[#This Row],[company_id]],[1]!Tabelle5[value_id],Tabelle18[[#This Row],[value_id]],[1]!Tabelle5[value_present],1),0)</f>
        <v>3</v>
      </c>
      <c r="E712" s="6">
        <f>IFERROR(_xlfn.MAXIFS([1]!Tabelle5[value_points],[1]!Tabelle5[company_id],Tabelle18[[#This Row],[company_id]],[1]!Tabelle5[value_id],Tabelle18[[#This Row],[value_id]]),0)</f>
        <v>3</v>
      </c>
      <c r="F712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12" t="str" cm="1">
        <f t="array" ref="G712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13; S. 31; S. 39</v>
      </c>
      <c r="H712" s="7" t="str" cm="1">
        <f t="array" ref="H712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“kontinuierliches Monitoring und frühzeitiges Eingreifen”; “kontinuierliche Überwachung ... Datenschutz-Schwachstellen und Fairness-Metriken”; “interne und externe Auditoren, die regelmäßig”</v>
      </c>
    </row>
    <row r="713" spans="1:8" x14ac:dyDescent="0.25">
      <c r="A713" s="5">
        <v>40</v>
      </c>
      <c r="B713" t="s">
        <v>17</v>
      </c>
      <c r="C713" s="6">
        <f>IF(Tabelle18[[#This Row],[binding_level_company]]&gt;=1,1,0)</f>
        <v>0</v>
      </c>
      <c r="D713" s="6">
        <f>IFERROR(_xlfn.MAXIFS([1]!Tabelle5[binding_level],[1]!Tabelle5[company_id],Tabelle18[[#This Row],[company_id]],[1]!Tabelle5[value_id],Tabelle18[[#This Row],[value_id]],[1]!Tabelle5[value_present],1),0)</f>
        <v>0</v>
      </c>
      <c r="E713" s="6">
        <f>IFERROR(_xlfn.MAXIFS([1]!Tabelle5[value_points],[1]!Tabelle5[company_id],Tabelle18[[#This Row],[company_id]],[1]!Tabelle5[value_id],Tabelle18[[#This Row],[value_id]]),0)</f>
        <v>0</v>
      </c>
      <c r="F713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13" t="str" cm="1">
        <f t="array" ref="G713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13" s="7" t="str" cm="1">
        <f t="array" ref="H713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14" spans="1:8" x14ac:dyDescent="0.25">
      <c r="A714" s="5">
        <v>40</v>
      </c>
      <c r="B714" t="s">
        <v>18</v>
      </c>
      <c r="C714" s="6">
        <f>IF(Tabelle18[[#This Row],[binding_level_company]]&gt;=1,1,0)</f>
        <v>0</v>
      </c>
      <c r="D714" s="6">
        <f>IFERROR(_xlfn.MAXIFS([1]!Tabelle5[binding_level],[1]!Tabelle5[company_id],Tabelle18[[#This Row],[company_id]],[1]!Tabelle5[value_id],Tabelle18[[#This Row],[value_id]],[1]!Tabelle5[value_present],1),0)</f>
        <v>0</v>
      </c>
      <c r="E714" s="6">
        <f>IFERROR(_xlfn.MAXIFS([1]!Tabelle5[value_points],[1]!Tabelle5[company_id],Tabelle18[[#This Row],[company_id]],[1]!Tabelle5[value_id],Tabelle18[[#This Row],[value_id]]),0)</f>
        <v>0</v>
      </c>
      <c r="F714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14" t="str" cm="1">
        <f t="array" ref="G714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14" s="7" t="str" cm="1">
        <f t="array" ref="H714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15" spans="1:8" x14ac:dyDescent="0.25">
      <c r="A715" s="5">
        <v>40</v>
      </c>
      <c r="B715" t="s">
        <v>19</v>
      </c>
      <c r="C715" s="6">
        <f>IF(Tabelle18[[#This Row],[binding_level_company]]&gt;=1,1,0)</f>
        <v>0</v>
      </c>
      <c r="D715" s="6">
        <f>IFERROR(_xlfn.MAXIFS([1]!Tabelle5[binding_level],[1]!Tabelle5[company_id],Tabelle18[[#This Row],[company_id]],[1]!Tabelle5[value_id],Tabelle18[[#This Row],[value_id]],[1]!Tabelle5[value_present],1),0)</f>
        <v>0</v>
      </c>
      <c r="E715" s="6">
        <f>IFERROR(_xlfn.MAXIFS([1]!Tabelle5[value_points],[1]!Tabelle5[company_id],Tabelle18[[#This Row],[company_id]],[1]!Tabelle5[value_id],Tabelle18[[#This Row],[value_id]]),0)</f>
        <v>0</v>
      </c>
      <c r="F715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15" t="str" cm="1">
        <f t="array" ref="G715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15" s="7" t="str" cm="1">
        <f t="array" ref="H715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16" spans="1:8" x14ac:dyDescent="0.25">
      <c r="A716" s="5">
        <v>40</v>
      </c>
      <c r="B716" t="s">
        <v>20</v>
      </c>
      <c r="C716" s="6">
        <f>IF(Tabelle18[[#This Row],[binding_level_company]]&gt;=1,1,0)</f>
        <v>0</v>
      </c>
      <c r="D716" s="6">
        <f>IFERROR(_xlfn.MAXIFS([1]!Tabelle5[binding_level],[1]!Tabelle5[company_id],Tabelle18[[#This Row],[company_id]],[1]!Tabelle5[value_id],Tabelle18[[#This Row],[value_id]],[1]!Tabelle5[value_present],1),0)</f>
        <v>0</v>
      </c>
      <c r="E716" s="6">
        <f>IFERROR(_xlfn.MAXIFS([1]!Tabelle5[value_points],[1]!Tabelle5[company_id],Tabelle18[[#This Row],[company_id]],[1]!Tabelle5[value_id],Tabelle18[[#This Row],[value_id]]),0)</f>
        <v>0</v>
      </c>
      <c r="F716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16" t="str" cm="1">
        <f t="array" ref="G716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16" s="7" t="str" cm="1">
        <f t="array" ref="H716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17" spans="1:8" x14ac:dyDescent="0.25">
      <c r="A717" s="5">
        <v>40</v>
      </c>
      <c r="B717" t="s">
        <v>21</v>
      </c>
      <c r="C717" s="6">
        <f>IF(Tabelle18[[#This Row],[binding_level_company]]&gt;=1,1,0)</f>
        <v>1</v>
      </c>
      <c r="D717" s="6">
        <f>IFERROR(_xlfn.MAXIFS([1]!Tabelle5[binding_level],[1]!Tabelle5[company_id],Tabelle18[[#This Row],[company_id]],[1]!Tabelle5[value_id],Tabelle18[[#This Row],[value_id]],[1]!Tabelle5[value_present],1),0)</f>
        <v>3</v>
      </c>
      <c r="E717" s="6">
        <f>IFERROR(_xlfn.MAXIFS([1]!Tabelle5[value_points],[1]!Tabelle5[company_id],Tabelle18[[#This Row],[company_id]],[1]!Tabelle5[value_id],Tabelle18[[#This Row],[value_id]]),0)</f>
        <v>3</v>
      </c>
      <c r="F717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17" t="str" cm="1">
        <f t="array" ref="G717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15; S. 23; S. 43; S. 44</v>
      </c>
      <c r="H717" s="7" t="str" cm="1">
        <f t="array" ref="H717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“Rechtssicherheit im Kontext der EU-Verordnung über Künstliche Intelligenz”; “abstrakte rechtliche Bestimmungen zum Datenschutz”; “zusätzliche AI-Governance-Maßnahmen”</v>
      </c>
    </row>
    <row r="718" spans="1:8" x14ac:dyDescent="0.25">
      <c r="A718" s="5">
        <v>40</v>
      </c>
      <c r="B718" t="s">
        <v>22</v>
      </c>
      <c r="C718" s="6">
        <f>IF(Tabelle18[[#This Row],[binding_level_company]]&gt;=1,1,0)</f>
        <v>1</v>
      </c>
      <c r="D718" s="6">
        <f>IFERROR(_xlfn.MAXIFS([1]!Tabelle5[binding_level],[1]!Tabelle5[company_id],Tabelle18[[#This Row],[company_id]],[1]!Tabelle5[value_id],Tabelle18[[#This Row],[value_id]],[1]!Tabelle5[value_present],1),0)</f>
        <v>2</v>
      </c>
      <c r="E718" s="6">
        <f>IFERROR(_xlfn.MAXIFS([1]!Tabelle5[value_points],[1]!Tabelle5[company_id],Tabelle18[[#This Row],[company_id]],[1]!Tabelle5[value_id],Tabelle18[[#This Row],[value_id]]),0)</f>
        <v>2</v>
      </c>
      <c r="F718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18" t="str" cm="1">
        <f t="array" ref="G718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43; S. 44; S. 56</v>
      </c>
      <c r="H718" s="7" t="str" cm="1">
        <f t="array" ref="H718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“zusätzliche AI-Governance-Maßnahmen”; “wie Fairness und Voreingenommenheit (Bias)”; “DIN-Normung für verantwortungsvolle ML-Entwicklung”</v>
      </c>
    </row>
    <row r="719" spans="1:8" x14ac:dyDescent="0.25">
      <c r="A719" s="5">
        <v>40</v>
      </c>
      <c r="B719" t="s">
        <v>23</v>
      </c>
      <c r="C719" s="6">
        <f>IF(Tabelle18[[#This Row],[binding_level_company]]&gt;=1,1,0)</f>
        <v>1</v>
      </c>
      <c r="D719" s="6">
        <f>IFERROR(_xlfn.MAXIFS([1]!Tabelle5[binding_level],[1]!Tabelle5[company_id],Tabelle18[[#This Row],[company_id]],[1]!Tabelle5[value_id],Tabelle18[[#This Row],[value_id]],[1]!Tabelle5[value_present],1),0)</f>
        <v>3</v>
      </c>
      <c r="E719" s="6">
        <f>IFERROR(_xlfn.MAXIFS([1]!Tabelle5[value_points],[1]!Tabelle5[company_id],Tabelle18[[#This Row],[company_id]],[1]!Tabelle5[value_id],Tabelle18[[#This Row],[value_id]]),0)</f>
        <v>3</v>
      </c>
      <c r="F719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>239</v>
      </c>
      <c r="G719" t="str" cm="1">
        <f t="array" ref="G719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>S. 11; S. 17; S. 31</v>
      </c>
      <c r="H719" s="7" t="str" cm="1">
        <f t="array" ref="H719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>“Dokumentationsmethoden für Datensätze”; “Pipeline zur Bewertung von Fairness und Datenschutz”; “kontinuierliche Überwachung ... Datenschutz-Schwachstellen und Fairness-Metriken”</v>
      </c>
    </row>
    <row r="720" spans="1:8" x14ac:dyDescent="0.25">
      <c r="A720" s="5">
        <v>40</v>
      </c>
      <c r="B720" t="s">
        <v>24</v>
      </c>
      <c r="C720" s="6">
        <f>IF(Tabelle18[[#This Row],[binding_level_company]]&gt;=1,1,0)</f>
        <v>0</v>
      </c>
      <c r="D720" s="6">
        <f>IFERROR(_xlfn.MAXIFS([1]!Tabelle5[binding_level],[1]!Tabelle5[company_id],Tabelle18[[#This Row],[company_id]],[1]!Tabelle5[value_id],Tabelle18[[#This Row],[value_id]],[1]!Tabelle5[value_present],1),0)</f>
        <v>0</v>
      </c>
      <c r="E720" s="6">
        <f>IFERROR(_xlfn.MAXIFS([1]!Tabelle5[value_points],[1]!Tabelle5[company_id],Tabelle18[[#This Row],[company_id]],[1]!Tabelle5[value_id],Tabelle18[[#This Row],[value_id]]),0)</f>
        <v>0</v>
      </c>
      <c r="F720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20" t="str" cm="1">
        <f t="array" ref="G720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20" s="7" t="str" cm="1">
        <f t="array" ref="H720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  <row r="721" spans="1:8" ht="15.75" thickBot="1" x14ac:dyDescent="0.3">
      <c r="A721" s="8">
        <v>40</v>
      </c>
      <c r="B721" s="9" t="s">
        <v>25</v>
      </c>
      <c r="C721" s="10">
        <f>IF(Tabelle18[[#This Row],[binding_level_company]]&gt;=1,1,0)</f>
        <v>0</v>
      </c>
      <c r="D721" s="10">
        <f>IFERROR(_xlfn.MAXIFS([1]!Tabelle5[binding_level],[1]!Tabelle5[company_id],Tabelle18[[#This Row],[company_id]],[1]!Tabelle5[value_id],Tabelle18[[#This Row],[value_id]],[1]!Tabelle5[value_present],1),0)</f>
        <v>0</v>
      </c>
      <c r="E721" s="10">
        <f>IFERROR(_xlfn.MAXIFS([1]!Tabelle5[value_points],[1]!Tabelle5[company_id],Tabelle18[[#This Row],[company_id]],[1]!Tabelle5[value_id],Tabelle18[[#This Row],[value_id]]),0)</f>
        <v>0</v>
      </c>
      <c r="F721" s="9" t="str">
        <f>IF(Tabelle18[[#This Row],[value_points_company]]=0,"",IFERROR(_xlfn.MINIFS([1]!Tabelle5[doc_id],[1]!Tabelle5[company_id],Tabelle18[[#This Row],[company_id]],[1]!Tabelle5[value_id],Tabelle18[[#This Row],[value_id]],[1]!Tabelle5[value_points],Tabelle18[[#This Row],[value_points_company]]),""))</f>
        <v/>
      </c>
      <c r="G721" s="9" t="str" cm="1">
        <f t="array" ref="G721">IF(Tabelle18[[#This Row],[doc_id_strongest]]="","",IFERROR(INDEX([1]!Tabelle5[evidence_location],MATCH(1,([1]!Tabelle5[company_id]=Tabelle18[[#This Row],[company_id]])*([1]!Tabelle5[value_id]=Tabelle18[[#This Row],[value_id]])*([1]!Tabelle5[doc_id]=Tabelle18[[#This Row],[doc_id_strongest]]),0)),""))</f>
        <v/>
      </c>
      <c r="H721" s="11" t="str" cm="1">
        <f t="array" ref="H721">IF(Tabelle18[[#This Row],[doc_id_strongest]]="","",IFERROR(INDEX([1]!Tabelle5[evidence_quote],MATCH(1,([1]!Tabelle5[company_id]=Tabelle18[[#This Row],[company_id]])*([1]!Tabelle5[value_id]=Tabelle18[[#This Row],[value_id]])*([1]!Tabelle5[doc_id]=Tabelle18[[#This Row],[doc_id_strongest]]),0)),""))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2026-04-19T10:11:20Z</dcterms:modified>
</cp:coreProperties>
</file>