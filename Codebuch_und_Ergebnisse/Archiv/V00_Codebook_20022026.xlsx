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flori\OneDrive - IU International University of Applied Sciences\IU Study\Marketing\19_Thesis\Recherche\Codebook\"/>
    </mc:Choice>
  </mc:AlternateContent>
  <xr:revisionPtr revIDLastSave="0" documentId="13_ncr:1_{49A97575-1ADF-422B-97AC-9D74149DA62B}" xr6:coauthVersionLast="47" xr6:coauthVersionMax="47" xr10:uidLastSave="{00000000-0000-0000-0000-000000000000}"/>
  <bookViews>
    <workbookView xWindow="28695" yWindow="0" windowWidth="29010" windowHeight="15585" xr2:uid="{F9AAA310-B95D-453B-B29F-7BBE9569B71F}"/>
  </bookViews>
  <sheets>
    <sheet name="00_DAX_Master" sheetId="1" r:id="rId1"/>
    <sheet name="01_Document_Log" sheetId="2" r:id="rId2"/>
    <sheet name="02_Values_Codebook" sheetId="3" r:id="rId3"/>
    <sheet name="03_Values_Coding" sheetId="4" r:id="rId4"/>
    <sheet name="03b_Values_Company_Level" sheetId="9" r:id="rId5"/>
    <sheet name="04_Governance_Codebook" sheetId="5" r:id="rId6"/>
    <sheet name="05_Governance_Coding" sheetId="6" r:id="rId7"/>
    <sheet name="06_Derived_Indices" sheetId="7" r:id="rId8"/>
    <sheet name="07_Boundary_Cases" sheetId="10" r:id="rId9"/>
    <sheet name="08_Codebook_Changelog" sheetId="11" r:id="rId10"/>
    <sheet name="09_Coding_Memos" sheetId="12" r:id="rId11"/>
    <sheet name="99_Lookups" sheetId="8"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7" l="1"/>
  <c r="C3" i="7"/>
  <c r="C4" i="7"/>
  <c r="C5" i="7"/>
  <c r="C6" i="7"/>
  <c r="C7" i="7"/>
  <c r="C8" i="7"/>
  <c r="C9" i="7"/>
  <c r="C10" i="7"/>
  <c r="C11" i="7"/>
  <c r="C12" i="7"/>
  <c r="C13" i="7"/>
  <c r="C14" i="7"/>
  <c r="C15" i="7"/>
  <c r="C16" i="7"/>
  <c r="C17" i="7"/>
  <c r="C18" i="7"/>
  <c r="C19" i="7"/>
  <c r="C20" i="7"/>
  <c r="C21" i="7"/>
  <c r="C22" i="7"/>
  <c r="C23" i="7"/>
  <c r="C24" i="7"/>
  <c r="C25" i="7"/>
  <c r="C26" i="7"/>
  <c r="C27" i="7"/>
  <c r="C28" i="7"/>
  <c r="C29" i="7"/>
  <c r="C30" i="7"/>
  <c r="C31" i="7"/>
  <c r="C32" i="7"/>
  <c r="C33" i="7"/>
  <c r="C34" i="7"/>
  <c r="C35" i="7"/>
  <c r="C36" i="7"/>
  <c r="C37" i="7"/>
  <c r="C38" i="7"/>
  <c r="C39" i="7"/>
  <c r="C40" i="7"/>
  <c r="C41" i="7"/>
  <c r="E2" i="9"/>
  <c r="E3" i="9"/>
  <c r="E4" i="9"/>
  <c r="E5" i="9"/>
  <c r="E6" i="9"/>
  <c r="E7" i="9"/>
  <c r="E8" i="9"/>
  <c r="E9" i="9"/>
  <c r="E10" i="9"/>
  <c r="E11" i="9"/>
  <c r="E12" i="9"/>
  <c r="E13" i="9"/>
  <c r="E14" i="9"/>
  <c r="E15" i="9"/>
  <c r="E16" i="9"/>
  <c r="E17" i="9"/>
  <c r="E18" i="9"/>
  <c r="E19" i="9"/>
  <c r="E20" i="9"/>
  <c r="E21" i="9"/>
  <c r="E22" i="9"/>
  <c r="E23" i="9"/>
  <c r="E24" i="9"/>
  <c r="E25" i="9"/>
  <c r="E26" i="9"/>
  <c r="E27" i="9"/>
  <c r="E28" i="9"/>
  <c r="E29" i="9"/>
  <c r="E30" i="9"/>
  <c r="E31" i="9"/>
  <c r="E32" i="9"/>
  <c r="E33" i="9"/>
  <c r="E34" i="9"/>
  <c r="E35" i="9"/>
  <c r="E36" i="9"/>
  <c r="E37" i="9"/>
  <c r="E38" i="9"/>
  <c r="E39" i="9"/>
  <c r="E40" i="9"/>
  <c r="E41" i="9"/>
  <c r="C2" i="9"/>
  <c r="C3" i="9"/>
  <c r="C4" i="9"/>
  <c r="C5" i="9"/>
  <c r="C6" i="9"/>
  <c r="C7" i="9"/>
  <c r="C8" i="9"/>
  <c r="C9" i="9"/>
  <c r="C10" i="9"/>
  <c r="C11" i="9"/>
  <c r="C12" i="9"/>
  <c r="C13" i="9"/>
  <c r="C14" i="9"/>
  <c r="C15" i="9"/>
  <c r="C16" i="9"/>
  <c r="C17" i="9"/>
  <c r="C18" i="9"/>
  <c r="C19" i="9"/>
  <c r="C20" i="9"/>
  <c r="C21" i="9"/>
  <c r="C22" i="9"/>
  <c r="C23" i="9"/>
  <c r="C24" i="9"/>
  <c r="C25" i="9"/>
  <c r="C26" i="9"/>
  <c r="C27" i="9"/>
  <c r="C28" i="9"/>
  <c r="C29" i="9"/>
  <c r="C30" i="9"/>
  <c r="C31" i="9"/>
  <c r="C32" i="9"/>
  <c r="C33" i="9"/>
  <c r="C34" i="9"/>
  <c r="C35" i="9"/>
  <c r="C36" i="9"/>
  <c r="C37" i="9"/>
  <c r="C38" i="9"/>
  <c r="C39" i="9"/>
  <c r="C40" i="9"/>
  <c r="C41" i="9"/>
  <c r="D2" i="9"/>
  <c r="D3" i="9"/>
  <c r="D4" i="9"/>
  <c r="D5" i="9"/>
  <c r="D6" i="9"/>
  <c r="D7" i="9"/>
  <c r="D8" i="9"/>
  <c r="D9" i="9"/>
  <c r="D10" i="9"/>
  <c r="D11" i="9"/>
  <c r="D12" i="9"/>
  <c r="D13" i="9"/>
  <c r="D14" i="9"/>
  <c r="D15" i="9"/>
  <c r="D16" i="9"/>
  <c r="D17" i="9"/>
  <c r="D18" i="9"/>
  <c r="D19" i="9"/>
  <c r="D20" i="9"/>
  <c r="D21" i="9"/>
  <c r="D22" i="9"/>
  <c r="D23" i="9"/>
  <c r="D24" i="9"/>
  <c r="D25" i="9"/>
  <c r="D26" i="9"/>
  <c r="D27" i="9"/>
  <c r="D28" i="9"/>
  <c r="D29" i="9"/>
  <c r="D30" i="9"/>
  <c r="D31" i="9"/>
  <c r="D32" i="9"/>
  <c r="D33" i="9"/>
  <c r="D34" i="9"/>
  <c r="D35" i="9"/>
  <c r="D36" i="9"/>
  <c r="D37" i="9"/>
  <c r="D38" i="9"/>
  <c r="D39" i="9"/>
  <c r="D40" i="9"/>
  <c r="D41" i="9"/>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F2" i="7"/>
  <c r="G2" i="7" s="1"/>
  <c r="F3" i="7"/>
  <c r="G3" i="7" s="1"/>
  <c r="F4" i="7"/>
  <c r="G4" i="7" s="1"/>
  <c r="F5" i="7"/>
  <c r="G5" i="7" s="1"/>
  <c r="F6" i="7"/>
  <c r="G6" i="7" s="1"/>
  <c r="F7" i="7"/>
  <c r="G7" i="7" s="1"/>
  <c r="F8" i="7"/>
  <c r="G8" i="7" s="1"/>
  <c r="F9" i="7"/>
  <c r="G9" i="7" s="1"/>
  <c r="F10" i="7"/>
  <c r="G10" i="7" s="1"/>
  <c r="F11" i="7"/>
  <c r="G11" i="7" s="1"/>
  <c r="F12" i="7"/>
  <c r="G12" i="7" s="1"/>
  <c r="F13" i="7"/>
  <c r="G13" i="7" s="1"/>
  <c r="F14" i="7"/>
  <c r="G14" i="7" s="1"/>
  <c r="F15" i="7"/>
  <c r="G15" i="7" s="1"/>
  <c r="F16" i="7"/>
  <c r="G16" i="7" s="1"/>
  <c r="F17" i="7"/>
  <c r="G17" i="7" s="1"/>
  <c r="F18" i="7"/>
  <c r="G18" i="7" s="1"/>
  <c r="F19" i="7"/>
  <c r="G19" i="7" s="1"/>
  <c r="F20" i="7"/>
  <c r="G20" i="7" s="1"/>
  <c r="F21" i="7"/>
  <c r="G21" i="7" s="1"/>
  <c r="F22" i="7"/>
  <c r="G22" i="7" s="1"/>
  <c r="F23" i="7"/>
  <c r="G23" i="7" s="1"/>
  <c r="F24" i="7"/>
  <c r="G24" i="7" s="1"/>
  <c r="F25" i="7"/>
  <c r="G25" i="7" s="1"/>
  <c r="F26" i="7"/>
  <c r="G26" i="7" s="1"/>
  <c r="F27" i="7"/>
  <c r="G27" i="7" s="1"/>
  <c r="F28" i="7"/>
  <c r="G28" i="7" s="1"/>
  <c r="F29" i="7"/>
  <c r="G29" i="7" s="1"/>
  <c r="F30" i="7"/>
  <c r="G30" i="7" s="1"/>
  <c r="F31" i="7"/>
  <c r="G31" i="7" s="1"/>
  <c r="F32" i="7"/>
  <c r="G32" i="7" s="1"/>
  <c r="F33" i="7"/>
  <c r="G33" i="7" s="1"/>
  <c r="F34" i="7"/>
  <c r="G34" i="7" s="1"/>
  <c r="F35" i="7"/>
  <c r="G35" i="7" s="1"/>
  <c r="F36" i="7"/>
  <c r="G36" i="7" s="1"/>
  <c r="F37" i="7"/>
  <c r="G37" i="7" s="1"/>
  <c r="F38" i="7"/>
  <c r="G38" i="7" s="1"/>
  <c r="F39" i="7"/>
  <c r="G39" i="7" s="1"/>
  <c r="F40" i="7"/>
  <c r="G40" i="7" s="1"/>
  <c r="F41" i="7"/>
  <c r="G41" i="7" s="1"/>
  <c r="D2" i="7"/>
  <c r="D3" i="7"/>
  <c r="D4" i="7"/>
  <c r="D5" i="7"/>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E2" i="7"/>
  <c r="E4" i="7"/>
  <c r="E24" i="7"/>
  <c r="E26" i="7"/>
  <c r="E40" i="7"/>
  <c r="K2" i="4"/>
  <c r="K3" i="4"/>
  <c r="E3" i="7" s="1"/>
  <c r="K4" i="4"/>
  <c r="K5" i="4"/>
  <c r="E5" i="7" s="1"/>
  <c r="K6" i="4"/>
  <c r="E6" i="7" s="1"/>
  <c r="K7" i="4"/>
  <c r="E7" i="7" s="1"/>
  <c r="K8" i="4"/>
  <c r="E8" i="7" s="1"/>
  <c r="K9" i="4"/>
  <c r="E9" i="7" s="1"/>
  <c r="K10" i="4"/>
  <c r="E10" i="7" s="1"/>
  <c r="K11" i="4"/>
  <c r="E11" i="7" s="1"/>
  <c r="K12" i="4"/>
  <c r="E12" i="7" s="1"/>
  <c r="K13" i="4"/>
  <c r="K14" i="4"/>
  <c r="K15" i="4"/>
  <c r="K16" i="4"/>
  <c r="E16" i="7" s="1"/>
  <c r="K17" i="4"/>
  <c r="K18" i="4"/>
  <c r="E18" i="7" s="1"/>
  <c r="K19" i="4"/>
  <c r="E19" i="7" s="1"/>
  <c r="K20" i="4"/>
  <c r="E20" i="7" s="1"/>
  <c r="K21" i="4"/>
  <c r="E21" i="7" s="1"/>
  <c r="K22" i="4"/>
  <c r="E22" i="7" s="1"/>
  <c r="K23" i="4"/>
  <c r="E23" i="7" s="1"/>
  <c r="K24" i="4"/>
  <c r="K25" i="4"/>
  <c r="E25" i="7" s="1"/>
  <c r="K26" i="4"/>
  <c r="K27" i="4"/>
  <c r="E27" i="7" s="1"/>
  <c r="K28" i="4"/>
  <c r="E28" i="7" s="1"/>
  <c r="K29" i="4"/>
  <c r="K30" i="4"/>
  <c r="K31" i="4"/>
  <c r="K32" i="4"/>
  <c r="E32" i="7" s="1"/>
  <c r="K33" i="4"/>
  <c r="K34" i="4"/>
  <c r="E34" i="7" s="1"/>
  <c r="K35" i="4"/>
  <c r="E35" i="7" s="1"/>
  <c r="K36" i="4"/>
  <c r="E36" i="7" s="1"/>
  <c r="K37" i="4"/>
  <c r="E37" i="7" s="1"/>
  <c r="K38" i="4"/>
  <c r="E38" i="7" s="1"/>
  <c r="K39" i="4"/>
  <c r="E39" i="7" s="1"/>
  <c r="K40" i="4"/>
  <c r="K41" i="4"/>
  <c r="E41" i="7" s="1"/>
  <c r="E17" i="7" l="1"/>
  <c r="E33" i="7"/>
  <c r="E15" i="7"/>
  <c r="E14" i="7"/>
  <c r="E13" i="7"/>
  <c r="E31" i="7"/>
  <c r="E30" i="7"/>
  <c r="E29" i="7"/>
</calcChain>
</file>

<file path=xl/sharedStrings.xml><?xml version="1.0" encoding="utf-8"?>
<sst xmlns="http://schemas.openxmlformats.org/spreadsheetml/2006/main" count="2080" uniqueCount="971">
  <si>
    <t>company_id</t>
  </si>
  <si>
    <t>company_name_official</t>
  </si>
  <si>
    <t>brand_short</t>
  </si>
  <si>
    <t>sector_cluster</t>
  </si>
  <si>
    <t>industry_detail</t>
  </si>
  <si>
    <t>hq_country</t>
  </si>
  <si>
    <t>dax_member_as_of_date</t>
  </si>
  <si>
    <t>notes_sampling</t>
  </si>
  <si>
    <t>doc_id</t>
  </si>
  <si>
    <t>doc_title</t>
  </si>
  <si>
    <t>doc_type</t>
  </si>
  <si>
    <t>publisher</t>
  </si>
  <si>
    <t>publication_date</t>
  </si>
  <si>
    <t>version</t>
  </si>
  <si>
    <t>language</t>
  </si>
  <si>
    <t>url</t>
  </si>
  <si>
    <t>access_date</t>
  </si>
  <si>
    <t>file_name_local</t>
  </si>
  <si>
    <t>inclusion_status</t>
  </si>
  <si>
    <t>exclusion_reason</t>
  </si>
  <si>
    <t>relevance_notes</t>
  </si>
  <si>
    <t>value_id</t>
  </si>
  <si>
    <t>value_name</t>
  </si>
  <si>
    <t>definition_short</t>
  </si>
  <si>
    <t>include_rules</t>
  </si>
  <si>
    <t>exclude_rules</t>
  </si>
  <si>
    <t>synonyms_terms</t>
  </si>
  <si>
    <t>example_phrases</t>
  </si>
  <si>
    <t>notes_boundary_cases</t>
  </si>
  <si>
    <t>value_present</t>
  </si>
  <si>
    <t>binding_level</t>
  </si>
  <si>
    <t>binding_justification</t>
  </si>
  <si>
    <t>evidence_quote</t>
  </si>
  <si>
    <t>evidence_location</t>
  </si>
  <si>
    <t>coder_confidence</t>
  </si>
  <si>
    <t>notes</t>
  </si>
  <si>
    <t>value_points</t>
  </si>
  <si>
    <t>gov_crit_id</t>
  </si>
  <si>
    <t>criterion_name</t>
  </si>
  <si>
    <t>score_0_definition</t>
  </si>
  <si>
    <t>score_1_definition</t>
  </si>
  <si>
    <t>score_2_definition</t>
  </si>
  <si>
    <t>score_3_definition</t>
  </si>
  <si>
    <t>evidence_minimum</t>
  </si>
  <si>
    <t>typical_evidence_terms</t>
  </si>
  <si>
    <t>doc_id_primary_evidence</t>
  </si>
  <si>
    <t>score_0_3</t>
  </si>
  <si>
    <t>why_not_higher</t>
  </si>
  <si>
    <t>values_raw_points</t>
  </si>
  <si>
    <t>values_max_points</t>
  </si>
  <si>
    <t>convergence_index_0_1</t>
  </si>
  <si>
    <t>gov_points_sum</t>
  </si>
  <si>
    <t>gov_index_0_100</t>
  </si>
  <si>
    <t>VAL_01</t>
  </si>
  <si>
    <t>Human Agency &amp; Oversight</t>
  </si>
  <si>
    <t>Menschen behalten Kontrolle/Überwachung über KI</t>
  </si>
  <si>
    <t>Wenn menschliche Kontrolle/Override/Review explizit gefordert</t>
  </si>
  <si>
    <t>Reine Floskel „human-centered“ ohne Mechanik</t>
  </si>
  <si>
    <t>human oversight; human-in-the-loop; human control; override; review</t>
  </si>
  <si>
    <t>human review; override; escalation to humans</t>
  </si>
  <si>
    <t>Unterscheide Wert vs Governance-Kriterium 'Eskalationswege'</t>
  </si>
  <si>
    <t>VAL_02</t>
  </si>
  <si>
    <t>Accountability &amp; Responsibility</t>
  </si>
  <si>
    <t>Zuständigkeit/Verantwortung für KI-Entscheidungen/Outcomes</t>
  </si>
  <si>
    <t>Wenn Verantwortliche Rollen/Verantwortungsprinzip genannt</t>
  </si>
  <si>
    <t>Reines „we take responsibility“ ohne Bezug zu KI</t>
  </si>
  <si>
    <t>responsibility; accountability; ownership; governance</t>
  </si>
  <si>
    <t>clear accountability; responsible for AI</t>
  </si>
  <si>
    <t>Kann mit GOV_01 (Zuständigkeiten) kollidieren – hier nur als Wert codieren</t>
  </si>
  <si>
    <t>VAL_03</t>
  </si>
  <si>
    <t>Transparency</t>
  </si>
  <si>
    <t>Nachvollziehbarkeit über Einsatz/Zweck/Entscheidungslogik</t>
  </si>
  <si>
    <t>Wenn Transparenzpflichten oder Offenlegung zu KI erwähnt</t>
  </si>
  <si>
    <t>Transparenz nur im Sinne von „Kommunikation“ ohne KI-Bezug</t>
  </si>
  <si>
    <t>transparency; disclosure; openness</t>
  </si>
  <si>
    <t>transparent use of AI; disclose AI involvement</t>
  </si>
  <si>
    <t>Abgrenzen zu Explainability (VAL_04)</t>
  </si>
  <si>
    <t>VAL_04</t>
  </si>
  <si>
    <t>Explainability</t>
  </si>
  <si>
    <t>Erklärbarkeit von KI-Entscheidungen/Outputs</t>
  </si>
  <si>
    <t>Wenn Erklärbarkeit/Interpretierbarkeit explizit gefordert</t>
  </si>
  <si>
    <t>„transparent“ ohne Erklärkomponente</t>
  </si>
  <si>
    <t>explainability; interpretability; explanation</t>
  </si>
  <si>
    <t>provide explanations; explain model outputs</t>
  </si>
  <si>
    <t>Technisch vs kommunikativ – beide zählen</t>
  </si>
  <si>
    <t>VAL_05</t>
  </si>
  <si>
    <t>Fairness &amp; Non-Discrimination</t>
  </si>
  <si>
    <t>Vermeidung unfairer Benachteiligung/Bias</t>
  </si>
  <si>
    <t>Wenn Bias/Benachteiligung/Anti-Diskriminierung bei KI genannt</t>
  </si>
  <si>
    <t>Allgemeine Diversity-Statements ohne KI-Bezug</t>
  </si>
  <si>
    <t>fairness; bias mitigation; non-discrimination; equity</t>
  </si>
  <si>
    <t>avoid bias; non-discriminatory outcomes</t>
  </si>
  <si>
    <t>VAL_06</t>
  </si>
  <si>
    <t>Privacy &amp; Data Protection</t>
  </si>
  <si>
    <t>Schutz personenbezogener Daten/Datensparsamkeit</t>
  </si>
  <si>
    <t>Wenn Datenschutz bei KI/Training/Use erwähnt</t>
  </si>
  <si>
    <t>Datenschutz rein allgemein ohne KI-Kontext</t>
  </si>
  <si>
    <t>privacy; data protection; GDPR; data minimization</t>
  </si>
  <si>
    <t>privacy by design; data minimization</t>
  </si>
  <si>
    <t>Kann auch als Governance (Tools/Checks) auftauchen – hier Wert</t>
  </si>
  <si>
    <t>VAL_07</t>
  </si>
  <si>
    <t>Security &amp; Cybersecurity</t>
  </si>
  <si>
    <t>Schutz vor Angriffen/Manipulation/Leakage</t>
  </si>
  <si>
    <t>Wenn Security für KI-Systeme oder Daten betont</t>
  </si>
  <si>
    <t>Allgemeine IT-Security ohne KI-Kontext (Grenzfall)</t>
  </si>
  <si>
    <t>security; cybersecurity; adversarial; secure-by-design</t>
  </si>
  <si>
    <t>protect against attacks; secure systems</t>
  </si>
  <si>
    <t>Grenzfall: Wenn nur IT allgemein -&gt; evtl. nicht codieren</t>
  </si>
  <si>
    <t>VAL_08</t>
  </si>
  <si>
    <t>Safety &amp; Harm Prevention</t>
  </si>
  <si>
    <t>Wenn Risiko/Schadensvermeidung durch KI erwähnt</t>
  </si>
  <si>
    <t>Nur „safe“ als Marketingwort</t>
  </si>
  <si>
    <t>safety; harm prevention; risk reduction</t>
  </si>
  <si>
    <t>avoid harm; safe AI</t>
  </si>
  <si>
    <t>Abgrenzen zu Robustness (VAL_09)</t>
  </si>
  <si>
    <t>VAL_09</t>
  </si>
  <si>
    <t>Technical Robustness &amp; Reliability</t>
  </si>
  <si>
    <t>Wenn Robustheit/Genauigkeit/Testing für KI betont</t>
  </si>
  <si>
    <t>Reine Qualitätsfloskel ohne Bezug</t>
  </si>
  <si>
    <t>robustness; reliability; resilience; testing</t>
  </si>
  <si>
    <t>robust and reliable; tested systems</t>
  </si>
  <si>
    <t>Kann in GOV_03 (Tools/Checks) konkret werden</t>
  </si>
  <si>
    <t>VAL_10</t>
  </si>
  <si>
    <t>Contestability &amp; Redress</t>
  </si>
  <si>
    <t>Wenn Betroffene Einspruch/Review/Redress bei KI-Entscheidungen haben</t>
  </si>
  <si>
    <t>Reine Customer-Service Aussagen ohne KI</t>
  </si>
  <si>
    <t>appeal; contest; redress; complaint</t>
  </si>
  <si>
    <t>right to contest; grievance mechanism</t>
  </si>
  <si>
    <t>Stark verwandt mit GOV_06 (Eskalation) – hier Wert</t>
  </si>
  <si>
    <t>VAL_11</t>
  </si>
  <si>
    <t>Inclusiveness &amp; Accessibility</t>
  </si>
  <si>
    <t>Einbezug/Barrierefreiheit/Teilhabe</t>
  </si>
  <si>
    <t>Wenn KI inklusiv/zugänglich gestaltet werden soll</t>
  </si>
  <si>
    <t>Allgemeine DEI ohne KI</t>
  </si>
  <si>
    <t>accessibility; inclusiveness; participation</t>
  </si>
  <si>
    <t>inclusive design; accessible AI</t>
  </si>
  <si>
    <t>Wenn nur HR-DEI -&gt; eher raus</t>
  </si>
  <si>
    <t>VAL_12</t>
  </si>
  <si>
    <t>Sustainability &amp; Environmental Well-being</t>
  </si>
  <si>
    <t>Ökologische Verantwortung (Energie/CO2) bei KI</t>
  </si>
  <si>
    <t>Wenn Umweltwirkung/Green AI/ESG im KI-Kontext genannt</t>
  </si>
  <si>
    <t>Nachhaltigkeit allgemein ohne KI</t>
  </si>
  <si>
    <t>sustainability; environmental impact; green AI</t>
  </si>
  <si>
    <t>reduce environmental footprint of AI</t>
  </si>
  <si>
    <t>DAX-Docs erwähnen oft ESG – KI-Bezug prüfen</t>
  </si>
  <si>
    <t>VAL_13</t>
  </si>
  <si>
    <t>Social Benefit &amp; Human Well-being</t>
  </si>
  <si>
    <t>KI soll gesellschaftlichen Nutzen stiften</t>
  </si>
  <si>
    <t>Wenn Nutzen/Well-being ausdrücklich Ziel ist</t>
  </si>
  <si>
    <t>Nur „innovation“ ohne Nutzenbezug</t>
  </si>
  <si>
    <t>societal benefit; well-being; public good</t>
  </si>
  <si>
    <t>benefit society; improve well-being</t>
  </si>
  <si>
    <t>Breit – im Pilot schärfen</t>
  </si>
  <si>
    <t>VAL_14</t>
  </si>
  <si>
    <t>Lawfulness &amp; Compliance</t>
  </si>
  <si>
    <t>Rechtskonformität (inkl. Regulierung)</t>
  </si>
  <si>
    <t>Wenn Einhaltung von Gesetzen/Regeln für KI betont</t>
  </si>
  <si>
    <t>Reines „we comply with laws“ ohne KI</t>
  </si>
  <si>
    <t>compliance; lawful; regulation; AI Act</t>
  </si>
  <si>
    <t>comply with AI regulations; lawful AI</t>
  </si>
  <si>
    <t>Kann in DAX-Docs sehr häufig sein – sauber KI-Bezug fordern</t>
  </si>
  <si>
    <t>VAL_15</t>
  </si>
  <si>
    <t>Ethical Use &amp; Integrity</t>
  </si>
  <si>
    <t>Moralische Integrität/ethische Grenzen für KI</t>
  </si>
  <si>
    <t>Wenn ethische Leitplanken/„do not“/Grenzen genannt</t>
  </si>
  <si>
    <t>Ethik nur als PR-Schmuck</t>
  </si>
  <si>
    <t>integrity; ethical use; principles</t>
  </si>
  <si>
    <t>ethical boundaries; responsible use</t>
  </si>
  <si>
    <t>Gut für „Ethics-Washing“-Diskussion später</t>
  </si>
  <si>
    <t>VAL_16</t>
  </si>
  <si>
    <t>Data Quality &amp; Governance</t>
  </si>
  <si>
    <t>Wenn Datenqualität/Lineage/Stewardship bei KI erwähnt</t>
  </si>
  <si>
    <t>Allgemeine Datenstrategie ohne KI</t>
  </si>
  <si>
    <t>data governance; data quality; lineage; stewardship</t>
  </si>
  <si>
    <t>high-quality data; governed data</t>
  </si>
  <si>
    <t>Überschneidung zu VAL_06 – hier Fokus Qualität/Stewardship</t>
  </si>
  <si>
    <t>VAL_17</t>
  </si>
  <si>
    <t>IP &amp; Confidentiality</t>
  </si>
  <si>
    <t>Schutz geistigen Eigentums/Vertraulichkeit bei KI</t>
  </si>
  <si>
    <t>Wenn IP/Secrets/Confidentiality im KI-Kontext vorkommt</t>
  </si>
  <si>
    <t>Allgemeine IP-Policy ohne KI</t>
  </si>
  <si>
    <t>IP; intellectual property; confidentiality; trade secrets</t>
  </si>
  <si>
    <t>protect IP; confidentiality in AI</t>
  </si>
  <si>
    <t>Je nach Branche relevant (Pharma/Industrie)</t>
  </si>
  <si>
    <t>VAL_18</t>
  </si>
  <si>
    <t>Human Rights</t>
  </si>
  <si>
    <t>Menschenrechte als Rahmen (UNGP etc.)</t>
  </si>
  <si>
    <t>Wenn Human Rights explizit als Leitprinzip genannt</t>
  </si>
  <si>
    <t>Allgemeine Werte ohne Human-Rights-Bezug</t>
  </si>
  <si>
    <t>human rights; dignity; UNGP</t>
  </si>
  <si>
    <t>respect human rights; protect dignity</t>
  </si>
  <si>
    <t>Nicht jedes Doc wird das haben – ok</t>
  </si>
  <si>
    <t>Vermeidung von Schäden (physisch, psychisch, sozial)</t>
  </si>
  <si>
    <t xml:space="preserve">Zuverlässigkeit, Stabilität, Fehlerresistenz </t>
  </si>
  <si>
    <t>Anfechtbarkeit, Beschwerde, Wiedergutmachung</t>
  </si>
  <si>
    <t>Datenqualität, Herkunft, Stewardship</t>
  </si>
  <si>
    <t>Achtung: Legal Compliance ist VAL_14, nicht hier</t>
  </si>
  <si>
    <t>GOV_01</t>
  </si>
  <si>
    <t>Zuständigkeiten</t>
  </si>
  <si>
    <t>Keine Rollen/Zuständigkeiten genannt</t>
  </si>
  <si>
    <t>Rollen/Verantwortung grob benannt (z.B. 'Ethics committee')</t>
  </si>
  <si>
    <t>Implementiert: Verantwortlichkeiten mit Reporting/Regelterminen/Belegen</t>
  </si>
  <si>
    <t>Rollentitel + klarer Bezug zu KI/AI-Governance</t>
  </si>
  <si>
    <t>owner; accountability; committee; board; RACI</t>
  </si>
  <si>
    <t>GOV_02</t>
  </si>
  <si>
    <t>Prozesse</t>
  </si>
  <si>
    <t>Kein Prozess erwähnt</t>
  </si>
  <si>
    <t>Prozessabsicht erwähnt (z.B. 'we review AI')</t>
  </si>
  <si>
    <t>Mind. ein Prozessschritt + Trigger + Verantwortliche</t>
  </si>
  <si>
    <t>AI lifecycle; approval; review; gating; SOP</t>
  </si>
  <si>
    <t>GOV_03</t>
  </si>
  <si>
    <t>Tools/Checks</t>
  </si>
  <si>
    <t>Keine Checks/Tools</t>
  </si>
  <si>
    <t>Checks allgemein erwähnt (z.B. 'risk assessment')</t>
  </si>
  <si>
    <t>Implementiert: Tooling im Betrieb + Pflicht/Protokoll + Ergebnisse berichtet</t>
  </si>
  <si>
    <t>Name des Checks/Tools + wann eingesetzt</t>
  </si>
  <si>
    <t>bias test; model card; DPIA; validation; monitoring</t>
  </si>
  <si>
    <t>GOV_04</t>
  </si>
  <si>
    <t>Audits</t>
  </si>
  <si>
    <t>Keine Audits</t>
  </si>
  <si>
    <t>Audit/Assessment erwähnt ohne Details</t>
  </si>
  <si>
    <t>Implementiert: Auditberichte/KPIs/Review-Zyklen nachweisbar</t>
  </si>
  <si>
    <t>Auditart + Frequenz oder Verantwortliche</t>
  </si>
  <si>
    <t>audit; assurance; internal control; external review</t>
  </si>
  <si>
    <t>GOV_05</t>
  </si>
  <si>
    <t>Schulungen</t>
  </si>
  <si>
    <t>Keine Trainings</t>
  </si>
  <si>
    <t>Training angekündigt/empfohlen</t>
  </si>
  <si>
    <t>Mind. Zielgruppe + Pflicht/Regelmäßigkeit</t>
  </si>
  <si>
    <t>training; awareness; mandatory; LMS; certification</t>
  </si>
  <si>
    <t>GOV_06</t>
  </si>
  <si>
    <t>Eskalationswege</t>
  </si>
  <si>
    <t>Keine Eskalation</t>
  </si>
  <si>
    <t>Kontakt/Ansprechpartner genannt</t>
  </si>
  <si>
    <t>Implementiert: geübter Prozess/Case-Handling/Reporting</t>
  </si>
  <si>
    <t>escalation; grievance; hotline; incident; ticket</t>
  </si>
  <si>
    <t>GOV_07</t>
  </si>
  <si>
    <t>Reporting</t>
  </si>
  <si>
    <t>Kein Reporting</t>
  </si>
  <si>
    <t>Reporting-Absicht erwähnt</t>
  </si>
  <si>
    <t>Implementiert: regelmäßige Reports/KPIs öffentlich oder intern belegt</t>
  </si>
  <si>
    <t>KPI/Reportgegenstand + Empfänger + Frequenz</t>
  </si>
  <si>
    <t>reporting; KPI; dashboard; disclosure; metrics</t>
  </si>
  <si>
    <t>Konkrete Rollen+Aufgaben beschrieben (Owner, Approver, RACI)</t>
  </si>
  <si>
    <t>Prozessschritte beschrieben (Lifecycle, Gateways, Freigaben)</t>
  </si>
  <si>
    <t>Konkrete Tools/Checks benannt (Bias test, model cards, DPIA)</t>
  </si>
  <si>
    <t>Audit-Mechanik beschrieben (intern/extern, Frequenz)</t>
  </si>
  <si>
    <t>Implementiert: Prozess mit Nachweisen (KPIs, regelmäßige Reviews, Prozessdokumente)</t>
  </si>
  <si>
    <t>Trainingsprogramm beschrieben (Zielgruppe, Inhalte, Pflichtgrad)</t>
  </si>
  <si>
    <t>Implementiert: Pflichttrainings + Nachweis (Completion, LMS, KPIs)</t>
  </si>
  <si>
    <t>Konkreter Eskalationsprozess beschrieben (Stufen, Fristen)</t>
  </si>
  <si>
    <t>Stufenlogik oder Mechanik (Ticket, Hotline, Committee)</t>
  </si>
  <si>
    <t>Reporting-Struktur beschrieben (Was, an wen, wie oft)</t>
  </si>
  <si>
    <t>Industrie</t>
  </si>
  <si>
    <t>Finance</t>
  </si>
  <si>
    <t>Tech</t>
  </si>
  <si>
    <t>Health</t>
  </si>
  <si>
    <t>Consumer</t>
  </si>
  <si>
    <t>Utilities</t>
  </si>
  <si>
    <t>Materials/Chemicals</t>
  </si>
  <si>
    <t>Other/Hybrid</t>
  </si>
  <si>
    <t>Sektoren</t>
  </si>
  <si>
    <t>Dokumententyp</t>
  </si>
  <si>
    <t>AI Principles</t>
  </si>
  <si>
    <t>AI Policy</t>
  </si>
  <si>
    <t>Responsible AI / Ethics</t>
  </si>
  <si>
    <t>Code of Conduct</t>
  </si>
  <si>
    <t>ESG/CSR Report</t>
  </si>
  <si>
    <t>Sustainability Report</t>
  </si>
  <si>
    <t>Annual Report</t>
  </si>
  <si>
    <t>Website Page</t>
  </si>
  <si>
    <t>Press Release</t>
  </si>
  <si>
    <t>Other</t>
  </si>
  <si>
    <t>Sprache</t>
  </si>
  <si>
    <t>DE</t>
  </si>
  <si>
    <t>EN</t>
  </si>
  <si>
    <t>DE/EN</t>
  </si>
  <si>
    <t>Andere</t>
  </si>
  <si>
    <t>Inkludierungsstatus</t>
  </si>
  <si>
    <t>Inkludiert</t>
  </si>
  <si>
    <t>Nicht inkudiert</t>
  </si>
  <si>
    <t>Nicht gefunden</t>
  </si>
  <si>
    <t>Ausschlussgrund</t>
  </si>
  <si>
    <t>Keine KI Relevanz</t>
  </si>
  <si>
    <t>Duplikat / Veraltete Version</t>
  </si>
  <si>
    <t>Paywalled / kein Zugriff</t>
  </si>
  <si>
    <t>Zu Vage (keine Kriterien, Regeln)</t>
  </si>
  <si>
    <t>PR ohne normative Substanz</t>
  </si>
  <si>
    <t>Kodierungskonfidenz</t>
  </si>
  <si>
    <t>Hoch</t>
  </si>
  <si>
    <t>Mittel</t>
  </si>
  <si>
    <t>Niedrig</t>
  </si>
  <si>
    <t>Bindigkeitsniveau</t>
  </si>
  <si>
    <t>Value_present</t>
  </si>
  <si>
    <t>Score_0_3</t>
  </si>
  <si>
    <t>value_present_company</t>
  </si>
  <si>
    <t>binding_level_company</t>
  </si>
  <si>
    <t>value_points_company</t>
  </si>
  <si>
    <t>doc_id_strongest</t>
  </si>
  <si>
    <t>evidence_location_strongest</t>
  </si>
  <si>
    <t>case_id</t>
  </si>
  <si>
    <t>date</t>
  </si>
  <si>
    <t>dimension(values/governance)</t>
  </si>
  <si>
    <t>value_id_or_gov_crit_id</t>
  </si>
  <si>
    <t>problem_description</t>
  </si>
  <si>
    <t>decision</t>
  </si>
  <si>
    <t>rule_added_to_codebook</t>
  </si>
  <si>
    <t>codebook_version</t>
  </si>
  <si>
    <t>change_type(add/modify/remove)</t>
  </si>
  <si>
    <t>item_id(value_id/gov_crit_id)</t>
  </si>
  <si>
    <t>what_changed</t>
  </si>
  <si>
    <t>why_changed</t>
  </si>
  <si>
    <t>impact_on_previous_coding(recode_needed yes/no)</t>
  </si>
  <si>
    <t>V0</t>
  </si>
  <si>
    <t>04.01.2026</t>
  </si>
  <si>
    <t>Initial Setup</t>
  </si>
  <si>
    <t>overall_notes</t>
  </si>
  <si>
    <t>key_documents_used</t>
  </si>
  <si>
    <t>areas_of_uncertainty</t>
  </si>
  <si>
    <t>follow_up_needed</t>
  </si>
  <si>
    <t>Adidas</t>
  </si>
  <si>
    <t>ADS</t>
  </si>
  <si>
    <t>Sportartikel</t>
  </si>
  <si>
    <t>Airbus</t>
  </si>
  <si>
    <t>22. Juni 1998</t>
  </si>
  <si>
    <t>AIR</t>
  </si>
  <si>
    <t>Luftfahrt, Raumfahrt, Rüstung</t>
  </si>
  <si>
    <t>20. Sep. 2021</t>
  </si>
  <si>
    <t>Allianz</t>
  </si>
  <si>
    <t>ALV</t>
  </si>
  <si>
    <t>Versicherungen</t>
  </si>
  <si>
    <t>1. Juli 1988</t>
  </si>
  <si>
    <t>BASF</t>
  </si>
  <si>
    <t>BAS</t>
  </si>
  <si>
    <t>Chemie</t>
  </si>
  <si>
    <t>Bayer</t>
  </si>
  <si>
    <t>BAYN</t>
  </si>
  <si>
    <t>Chemie, Pharma</t>
  </si>
  <si>
    <t>Beiersdorf</t>
  </si>
  <si>
    <t>BEI</t>
  </si>
  <si>
    <t>Konsumgüter (Produktion)</t>
  </si>
  <si>
    <t>20. Juni 2022</t>
  </si>
  <si>
    <t>BMW</t>
  </si>
  <si>
    <t>Automobil (Produktion)</t>
  </si>
  <si>
    <t>Brenntag</t>
  </si>
  <si>
    <t>BNR</t>
  </si>
  <si>
    <t>Chemie (Handel)</t>
  </si>
  <si>
    <t>Commerzbank</t>
  </si>
  <si>
    <t>CBK</t>
  </si>
  <si>
    <t>Banken</t>
  </si>
  <si>
    <t>27. Feb. 2023</t>
  </si>
  <si>
    <t>Continental</t>
  </si>
  <si>
    <t>CON</t>
  </si>
  <si>
    <t>Automobil (Zulieferer)</t>
  </si>
  <si>
    <t>24. Sep. 2012</t>
  </si>
  <si>
    <t>Daimler Truck</t>
  </si>
  <si>
    <t>DTG</t>
  </si>
  <si>
    <t>Nutzfahrzeuge (Produktion)</t>
  </si>
  <si>
    <t>21. März 2022</t>
  </si>
  <si>
    <t>Deutsche Bank</t>
  </si>
  <si>
    <t>DBK</t>
  </si>
  <si>
    <t>Deutsche Börse</t>
  </si>
  <si>
    <t>DB1</t>
  </si>
  <si>
    <t>Börsen</t>
  </si>
  <si>
    <t>23. Dez. 2002</t>
  </si>
  <si>
    <t>Deutsche Post</t>
  </si>
  <si>
    <t>DHL</t>
  </si>
  <si>
    <t>Logistik</t>
  </si>
  <si>
    <t>19. März 2001</t>
  </si>
  <si>
    <t>Deutsche Telekom</t>
  </si>
  <si>
    <t>DTE</t>
  </si>
  <si>
    <t>Telekommunikation</t>
  </si>
  <si>
    <t>18. Nov. 1996</t>
  </si>
  <si>
    <t>E.ON</t>
  </si>
  <si>
    <t>EOAN</t>
  </si>
  <si>
    <t>Energie (Versorgung)</t>
  </si>
  <si>
    <t>Fresenius</t>
  </si>
  <si>
    <t>FRE</t>
  </si>
  <si>
    <t>Medizintechnik, Kliniken</t>
  </si>
  <si>
    <t>23. März 2009</t>
  </si>
  <si>
    <t>Fresenius Medical Care</t>
  </si>
  <si>
    <t>FME</t>
  </si>
  <si>
    <t>Medizintechnik</t>
  </si>
  <si>
    <t>27. Dez. 2024</t>
  </si>
  <si>
    <t>GEA Group</t>
  </si>
  <si>
    <t>G1A</t>
  </si>
  <si>
    <t>Maschinenbau</t>
  </si>
  <si>
    <t>22. Sep. 2025</t>
  </si>
  <si>
    <t>Hannover Rück</t>
  </si>
  <si>
    <t>HNR1</t>
  </si>
  <si>
    <t>Heidelberg Materials</t>
  </si>
  <si>
    <t>HEI</t>
  </si>
  <si>
    <t>Baustoffe</t>
  </si>
  <si>
    <t>21. Juni 2010</t>
  </si>
  <si>
    <t>Henkel</t>
  </si>
  <si>
    <t>HEN3</t>
  </si>
  <si>
    <t>Konsumgüter, Chemie</t>
  </si>
  <si>
    <t>Infineon</t>
  </si>
  <si>
    <t>IFX</t>
  </si>
  <si>
    <t>Halbleiter</t>
  </si>
  <si>
    <t>21. Sep. 2009</t>
  </si>
  <si>
    <t>Mercedes-Benz Group</t>
  </si>
  <si>
    <t>MBG</t>
  </si>
  <si>
    <t>Merck</t>
  </si>
  <si>
    <t>MRK</t>
  </si>
  <si>
    <t>18. Juni 2007</t>
  </si>
  <si>
    <t>MTU Aero Engines</t>
  </si>
  <si>
    <t>MTX</t>
  </si>
  <si>
    <t>Luftfahrt</t>
  </si>
  <si>
    <t>23. Sep. 2019</t>
  </si>
  <si>
    <t>Münchener Rück</t>
  </si>
  <si>
    <t>MUV2</t>
  </si>
  <si>
    <t>23. Sep. 1996</t>
  </si>
  <si>
    <t>Porsche Automobil Holding</t>
  </si>
  <si>
    <t>PAH3</t>
  </si>
  <si>
    <t>Holding</t>
  </si>
  <si>
    <t>Qiagen</t>
  </si>
  <si>
    <t>QIA</t>
  </si>
  <si>
    <t>Biotechnologie</t>
  </si>
  <si>
    <t>Rheinmetall</t>
  </si>
  <si>
    <t>RHM</t>
  </si>
  <si>
    <t>Wehrtechnik, Automobil (Zulieferer)</t>
  </si>
  <si>
    <t>20. März 2023</t>
  </si>
  <si>
    <t>RWE</t>
  </si>
  <si>
    <t>SAP</t>
  </si>
  <si>
    <t>Software</t>
  </si>
  <si>
    <t>18. Sep. 1995</t>
  </si>
  <si>
    <t>Scout24</t>
  </si>
  <si>
    <t>G24</t>
  </si>
  <si>
    <t>Online-Marktplätze</t>
  </si>
  <si>
    <t>Siemens</t>
  </si>
  <si>
    <t>SIE</t>
  </si>
  <si>
    <t>Elektrotechnik</t>
  </si>
  <si>
    <t>Siemens Energy</t>
  </si>
  <si>
    <t>ENR</t>
  </si>
  <si>
    <t>Elektrotechnik, Energietechnik</t>
  </si>
  <si>
    <t>19. Sep. 2022</t>
  </si>
  <si>
    <t>Siemens Healthineers</t>
  </si>
  <si>
    <t>SHL</t>
  </si>
  <si>
    <t>Symrise</t>
  </si>
  <si>
    <t>SY1</t>
  </si>
  <si>
    <t>Lebensmittel, Chemie, Kosmetik, Konsumgüter, Duftstoffe, Aromen</t>
  </si>
  <si>
    <t>Volkswagen</t>
  </si>
  <si>
    <t>VOW3</t>
  </si>
  <si>
    <t>Vonovia</t>
  </si>
  <si>
    <t>VNA</t>
  </si>
  <si>
    <t>Immobilien</t>
  </si>
  <si>
    <t>21. Sep. 2015</t>
  </si>
  <si>
    <t>Zalando</t>
  </si>
  <si>
    <t>ZAL</t>
  </si>
  <si>
    <t>Versandhandel (Mode)</t>
  </si>
  <si>
    <r>
      <t> </t>
    </r>
    <r>
      <rPr>
        <sz val="11"/>
        <color theme="1"/>
        <rFont val="Arial"/>
        <family val="2"/>
      </rPr>
      <t>Bayern</t>
    </r>
  </si>
  <si>
    <r>
      <t> </t>
    </r>
    <r>
      <rPr>
        <sz val="11"/>
        <color theme="1"/>
        <rFont val="Arial"/>
        <family val="2"/>
      </rPr>
      <t>Niederlande</t>
    </r>
  </si>
  <si>
    <r>
      <t> </t>
    </r>
    <r>
      <rPr>
        <sz val="11"/>
        <color theme="1"/>
        <rFont val="Arial"/>
        <family val="2"/>
      </rPr>
      <t>Rheinland-Pfalz</t>
    </r>
  </si>
  <si>
    <r>
      <t> </t>
    </r>
    <r>
      <rPr>
        <sz val="11"/>
        <color theme="1"/>
        <rFont val="Arial"/>
        <family val="2"/>
      </rPr>
      <t>Nordrhein-Westfalen</t>
    </r>
  </si>
  <si>
    <r>
      <t> </t>
    </r>
    <r>
      <rPr>
        <sz val="11"/>
        <color theme="1"/>
        <rFont val="Arial"/>
        <family val="2"/>
      </rPr>
      <t>Hamburg</t>
    </r>
  </si>
  <si>
    <r>
      <t> </t>
    </r>
    <r>
      <rPr>
        <sz val="11"/>
        <color theme="1"/>
        <rFont val="Arial"/>
        <family val="2"/>
      </rPr>
      <t>Hessen</t>
    </r>
  </si>
  <si>
    <r>
      <t> </t>
    </r>
    <r>
      <rPr>
        <sz val="11"/>
        <color theme="1"/>
        <rFont val="Arial"/>
        <family val="2"/>
      </rPr>
      <t>Niedersachsen</t>
    </r>
  </si>
  <si>
    <r>
      <t> </t>
    </r>
    <r>
      <rPr>
        <sz val="11"/>
        <color theme="1"/>
        <rFont val="Arial"/>
        <family val="2"/>
      </rPr>
      <t>Baden-Württemberg</t>
    </r>
  </si>
  <si>
    <r>
      <t> </t>
    </r>
    <r>
      <rPr>
        <sz val="11"/>
        <color theme="1"/>
        <rFont val="Arial"/>
        <family val="2"/>
      </rPr>
      <t>Berlin und  Bayern</t>
    </r>
  </si>
  <si>
    <r>
      <t> </t>
    </r>
    <r>
      <rPr>
        <sz val="11"/>
        <color theme="1"/>
        <rFont val="Arial"/>
        <family val="2"/>
      </rPr>
      <t>Berlin</t>
    </r>
  </si>
  <si>
    <t>19. Juni 20001</t>
  </si>
  <si>
    <t>21. Dez. 19981</t>
  </si>
  <si>
    <t>Trotz intensiver Recherche auf offiziellen Konzernquellen und in Berichten gibt es keine öffentlich zugängliche KI‑Ethik‑ oder Responsible‑AI‑Policy von adidas</t>
  </si>
  <si>
    <t>Fair Play Code of Conduct</t>
  </si>
  <si>
    <t>adidas AG</t>
  </si>
  <si>
    <t>n.n.</t>
  </si>
  <si>
    <t>https://www.adidas-group.com/en/investors/corporate-governance/adidas-fair-play-code-of-conduct</t>
  </si>
  <si>
    <t>001_01_FairPlayCode_1602026.pdf</t>
  </si>
  <si>
    <t>Stellt umfassend die ethischen Erwartungen an alle adidas‑Mitarbeitenden dar (Antikorruption, Datenschutz, Verhalten), enthält Governance‑Mechanismen wie Schulungen und Berichtswege. Trotz fehlendem KI‑Bezug ist es das stärkste normative Dokument.</t>
  </si>
  <si>
    <t>Compliance Policy</t>
  </si>
  <si>
    <t>16.02.2026</t>
  </si>
  <si>
    <t>Erläutert konkret die Regeln zu Bestechung, Geschenken, Betrug, Wettbewerbsrecht und Interessenkonflikten sowie die Pflichten und Verfahren bei Verstößen. Wichtiges Governance‑Rahmenwerk, obwohl keine KI‑Themen adressiert werden.</t>
  </si>
  <si>
    <t>Human Rights Policy</t>
  </si>
  <si>
    <t>01.02.2024</t>
  </si>
  <si>
    <t>https://www.adidas-group.com/en/sustainability/transparency/policies</t>
  </si>
  <si>
    <t>ETHICAL COMMUNICATION GUIDELINES</t>
  </si>
  <si>
    <t>Adidas Foundation</t>
  </si>
  <si>
    <t>https://www.adidasfoundation.org/about/policies-and-guidelines</t>
  </si>
  <si>
    <t>004_01_Ethical_comms_guide_160226.pdf</t>
  </si>
  <si>
    <t>003_01_Human_Rights_Policy_160226.pdf</t>
  </si>
  <si>
    <t>Safeguarding Policy</t>
  </si>
  <si>
    <t>https://report.adidas-group.com/2024/en/to-our-shareholders/supervisory-board-report.html</t>
  </si>
  <si>
    <t>Supervisory Board Report 2024</t>
  </si>
  <si>
    <t>Adidas Group</t>
  </si>
  <si>
    <t>01.03.2025</t>
  </si>
  <si>
    <t>Integrated Management System Global Policy</t>
  </si>
  <si>
    <t xml:space="preserve">Adidas AG </t>
  </si>
  <si>
    <t>01.01.2026</t>
  </si>
  <si>
    <t xml:space="preserve">n.n </t>
  </si>
  <si>
    <t>https://www.adidas-group.com/de/nachhaltigkeit/transparenz/richtlinien?tag=Eigene+Standorte</t>
  </si>
  <si>
    <t>007_01_IMSGP_160226.pdf</t>
  </si>
  <si>
    <t>002_01_compliance_policy_160226.pdf</t>
  </si>
  <si>
    <t>005_SafeguardingPolicy_160226.pdf</t>
  </si>
  <si>
    <t>006_01_Supervisory_Report_2024_160226.pdf</t>
  </si>
  <si>
    <t>Keine öffentlichen, dedizierten „Responsible AI Policies“ im Sinne eines separaten Dokuments gefunden; die wichtigsten Aussagen sind in der Human‑rights‑Seite und im Digital‑Ethics‑Kapitel des Verhaltenskodex integriert.</t>
  </si>
  <si>
    <t>Airbus SE</t>
  </si>
  <si>
    <t>Our approach to Artificial Intelligence (AI)</t>
  </si>
  <si>
    <t>Airbus Code of Conduct – 2025 Edition</t>
  </si>
  <si>
    <t>Airbus Supplier Code of Conduct</t>
  </si>
  <si>
    <t>Airbus Ethics &amp; Compliance Anti‑Corruption Policy</t>
  </si>
  <si>
    <t>Pioneering sustainable aerospace (Sustainability publication 2025)</t>
  </si>
  <si>
    <t>Airbus Summit 2025 – Harnessing the power of responsible AI</t>
  </si>
  <si>
    <t>Information Notice of the 2025 Annual General Meeting</t>
  </si>
  <si>
    <t>008_02_AI_Approach_160226</t>
  </si>
  <si>
    <t>https://www.airbus.com/en/sustainability-draft/our-approach-to-sustainability/human-rights</t>
  </si>
  <si>
    <t>https://www.airbus.com/sites/g/files/jlcbta136/files/2025-04/2025-Airbus-Code-of-Conduct-EN.pdf</t>
  </si>
  <si>
    <t>009_02_Code-of-Conduct_160226.pdf</t>
  </si>
  <si>
    <t>https://www.airbus.com/en/innovation/digital-transformation/artificial-intelligence</t>
  </si>
  <si>
    <t>Artificial Intelligence</t>
  </si>
  <si>
    <t>015_02_AI_Website_160226</t>
  </si>
  <si>
    <t>Kein Bezug zur KI Ethikrichtlinien; beschreibt nur technischen/ wirtschaftlichen Einsatz von KI</t>
  </si>
  <si>
    <t>https://www.airbus.com/sites/g/files/jlcbta136/files/2021-07/Airbus-Supplier-Code-of-Conduct.pdf</t>
  </si>
  <si>
    <t>010_02_Supplier-Code-of-Conduct_160226.pdf</t>
  </si>
  <si>
    <t>https://www.airbus.com/sites/g/files/jlcbta136/files/2021-10/Airbus-Ethics-and-Compliance-Anti-Corruption-Policy.pdf</t>
  </si>
  <si>
    <t>011_02_Ethics-and-Compliance-Anti-Corruption-Policy_160226.pdf</t>
  </si>
  <si>
    <t>https://www.airbus.com/sites/g/files/jlcbta136/files/2025-04/2025_Airbus_Pioneering_sustainable_aerospace_publication.pdf</t>
  </si>
  <si>
    <t>012_02_Pioneering_sustainable_aerospace_publication_160226.pdf</t>
  </si>
  <si>
    <t>https://www.airbus.com/en/airbus-summit-2025/harnessing-the-power-of-responsible-ai</t>
  </si>
  <si>
    <t>25.03.2025</t>
  </si>
  <si>
    <t>013_02_Harnessing the power of responsible AI _160226pdf</t>
  </si>
  <si>
    <t>https://www.airbus.com/sites/g/files/jlcbta136/files/2025-03/information_notice.pdf</t>
  </si>
  <si>
    <t>014_02_Annual_General_Meeting_2025_160226.pdf</t>
  </si>
  <si>
    <t>15.04.2025</t>
  </si>
  <si>
    <t>Keine dedizierten öffentlichen „Allianz Standard for Responsible AI“‑Dokumente gefunden; der Standard wird nur intern erwähnt.</t>
  </si>
  <si>
    <t>Responsible Use of Artificial Intelligence (AI)</t>
  </si>
  <si>
    <t>Allianz Code of Conduct </t>
  </si>
  <si>
    <t>Privacy Statement – Data Ethics section</t>
  </si>
  <si>
    <t>Allianz Privacy Standard – Public Version</t>
  </si>
  <si>
    <t>Allianz Group Sustainability Report 2023 – Data ethics/AI governance sections</t>
  </si>
  <si>
    <t>Responsible AI: a sustainable approach to transformative technology</t>
  </si>
  <si>
    <t>Allianz SE</t>
  </si>
  <si>
    <t>Allianz Global Investors (subsidiary)</t>
  </si>
  <si>
    <t>https://www.allianz.com/en/about-us/strategy-values/responsible-use-of-artificial-intelligence.html</t>
  </si>
  <si>
    <t>016_03_Responsible Use of Artificial Intelligence_160226.pdf</t>
  </si>
  <si>
    <t>https://www.allianz.com/content/dam/onemarketing/azcom/Allianz_com/about-us/strategy-values/compliance/code-of-conduct/code-of-conduct-accessible.pdf</t>
  </si>
  <si>
    <t>017_03_code-of-conduct_160226.pdf</t>
  </si>
  <si>
    <t>https://www.allianz.com/en/privacy-statement.html</t>
  </si>
  <si>
    <t>018_03_Privacy Statement_160226.pdf</t>
  </si>
  <si>
    <t>https://www.allianzgloballife.com/content/dam/onemarketing/azgl/allianzgloballife/doc/31122019/en_gb/Allianz-Privacy-Standard_PUBLIC_EN.pdf</t>
  </si>
  <si>
    <t>1.0</t>
  </si>
  <si>
    <t>019_03_Privacy-Standard_PUBLIC_EN_160226.pdf</t>
  </si>
  <si>
    <t>https://www.allianz.com/content/dam/onemarketing/azcom/Allianz_com/sustainability/documents/Allianz_Group_Sustainability_Report_2023-web.pdf</t>
  </si>
  <si>
    <t>020_03_Sustainability_Report_2023_160226.pdf</t>
  </si>
  <si>
    <t>https://www.allianzgi.com/documents/Responsible-AI-a-sustainable-approach-to-transformative-technology</t>
  </si>
  <si>
    <t>021_03_Responsible_AI_160226.pdf</t>
  </si>
  <si>
    <t>Tochtergesellschaft der Allianz SE</t>
  </si>
  <si>
    <t>Es wurde keine öffentlich zugängliche, eigenständige „Data &amp; AI Policy“ von BASF gefunden. Hinweise auf eine interne Data‑&amp;‑AI‑Policy erscheinen im Responsible‑AI‑Text, sind aber nicht öffentlich abrufbar.</t>
  </si>
  <si>
    <t>Responsible AI at BASF</t>
  </si>
  <si>
    <t>BASF Code of Conduct</t>
  </si>
  <si>
    <t>Data protection @ BASF – Data processing in the BASF Group</t>
  </si>
  <si>
    <t>BASF Group’s Policy Statement on Human Rights</t>
  </si>
  <si>
    <t>Supplier Code of Conduct (Version 2024)</t>
  </si>
  <si>
    <t>BASF SE</t>
  </si>
  <si>
    <t>https://www.basf.com/global/en/who-we-are/digitalization/artificial-intelligence/Responsible-AI-at-BASF</t>
  </si>
  <si>
    <t>022_04_Responsible_AI_160226.pdf</t>
  </si>
  <si>
    <t>https://www.basf.com/dam/jcr:0304db1d-bcbb-3015-a965-62627c1b61d2/basf/www/global/documents/en/investor-relations/calendar-and-publications/reports/2025/BASF_Code-of-Conduct.pdf</t>
  </si>
  <si>
    <t>023_04_Code-of-Conduct_160226.pdf</t>
  </si>
  <si>
    <t>https://www.basf.com/global/en/legal/data-protection-at-basf</t>
  </si>
  <si>
    <t>024_04_Data protection_160226.pdf</t>
  </si>
  <si>
    <t>https://www.basf.com/dam/jcr:4944a24f-defc-4987-9dd6-d38dba24efd9/basf/www/global/documents/en/sustainability/we-value-people-and-treat-them-with-respect/human-rights/Human-Rights-Policy-Statement-BASF-Group.pdf</t>
  </si>
  <si>
    <t>025_04_Human-Rights-Policy-Statement_160226.pdf</t>
  </si>
  <si>
    <t>https://www.basf.com/dam/jcr:83c0af8a-4e46-37c0-945f-3fd15ff4fca3/basf/www/global/documents/en/about-us/suppliers-and-partners/supplier-code-of-conduct/Supplier_Code_of_conduct_Version%202024%20-%20English.pdf</t>
  </si>
  <si>
    <t>025_04_Supplier_Code_of_conduct_160226.pdf</t>
  </si>
  <si>
    <t>Bayer AG</t>
  </si>
  <si>
    <t>https://www.bayer.com/en/sustainability/bioethical-principles</t>
  </si>
  <si>
    <t>027_05_Bioethical Principles_160226.pdf</t>
  </si>
  <si>
    <t>Bioethical Principles – AI in the context of human healthcare</t>
  </si>
  <si>
    <t>Generative Artificial Intelligence (GenAI) Guidance and Rules – version 3</t>
  </si>
  <si>
    <t>Our Code of Conduct – Responsible use of Artificial Intelligence section</t>
  </si>
  <si>
    <t>Unleashing the Potential of AI – AI Ethics and Responsibility section</t>
  </si>
  <si>
    <t>Bioethics Council: Responsible innovation with ethical AI</t>
  </si>
  <si>
    <t>https://idnet.bayer.com/sites/idnet/files/final-en-genai-guidelines-and-rules-v3.pdf</t>
  </si>
  <si>
    <t>028_05_genai-guidelines_160226.pdf</t>
  </si>
  <si>
    <t>V3</t>
  </si>
  <si>
    <t>17.10.2024</t>
  </si>
  <si>
    <t>https://www.bayer.com/en/commitments/code-of-conduct</t>
  </si>
  <si>
    <t>029_05_Code of Conduct_160226.pdf</t>
  </si>
  <si>
    <t>https://www.bayer.com/en/innovation/unleashing-the-potential-of-ai</t>
  </si>
  <si>
    <t>030_05_Unleashing the Potential of AI_160226.pdf</t>
  </si>
  <si>
    <t>https://www.bayer.com/sites/default/files/interview-bioethics-council-meeting-ethics-of-generative-ai-2023.pdf</t>
  </si>
  <si>
    <t xml:space="preserve">Interview </t>
  </si>
  <si>
    <t>31_05_interview-bioethics-council-meeting_160226.pdf</t>
  </si>
  <si>
    <t>Mehrere relevante Dokumente gefunden.</t>
  </si>
  <si>
    <t>Verankert adidas’ Verpflichtung zu internationalen Menschenrechtsstandards und beschreibt Due‑Diligence‑Prozesse zur Identifizierung und Vermeidung negativer Auswirkungen. Relevante Werte wie Fairness, Gleichheit und Schutz vulnerabler Gruppen können später als Kontext für KI‑Ethik dienen.</t>
  </si>
  <si>
    <t>No public AI/Responsible AI guideline, policy or principles found (as of 2026‑02‑16)</t>
  </si>
  <si>
    <t>No public AI/Responsible AI guideline or principles found (as of 2026‑02‑16)</t>
  </si>
  <si>
    <t>No public AI policy or principles found (as of 2026‑02‑16)</t>
  </si>
  <si>
    <t>Die einzige explizite AI‑Policy‑Aussage stammt aus dem Annual Report 2024. Die Code‑of‑Conduct‑Dokumente und die Human‑Rights‑Policy enthalten relevante Leitplanken zu digitaler Verantwortung, Daten‑ und Menschenrechtsschutz, aber keine spezifischen KI‑Prinzipien</t>
  </si>
  <si>
    <t>Beiersdorf Code of Conduct 2024</t>
  </si>
  <si>
    <t>Declaration of Principles on Upholding Human Rights</t>
  </si>
  <si>
    <t>Beiersdorf Annual Report 2024 (Combined Management Report – digitalisation and AI section)</t>
  </si>
  <si>
    <t>Beiersdorf driving AI innovations – interview with Dirk Ploss (Hamburg News)</t>
  </si>
  <si>
    <t>Beiersdorf AG</t>
  </si>
  <si>
    <t>https://www.beiersdorf.com/-/media/Beiersdorf/landingpages/code-of-conduct/Beiersdorf-Code-of-Conduct-2024-EN.pdf</t>
  </si>
  <si>
    <t>032_06_Code-of-Conduct_160226.pdf</t>
  </si>
  <si>
    <t>https://www.beiersdorf.com/-/media/Beiersdorf/stories/news-and-stories/news/BW_Declaration_of_Principles_on_Upholding_Human_Rights.pdf</t>
  </si>
  <si>
    <t>033_06_Declaration of Principles on Upholding Human Rights_160226.pdf</t>
  </si>
  <si>
    <t>https://www.beiersdorf.com/~/media/Beiersdorf/investors/financial-publication/2025/annual-report/Beiersdorf-Annual-Report-2024.pdf</t>
  </si>
  <si>
    <t>https://hamburg-business.com/en/news/beiersdorf-driving-ai-innovations</t>
  </si>
  <si>
    <t>12.02.2025</t>
  </si>
  <si>
    <t>035_06_Hamburg Business_120626.pdf</t>
  </si>
  <si>
    <t>034_06_Annual-Report-2024_160226.pdf</t>
  </si>
  <si>
    <t>Marktkapitalisierung in Mio. € (Stand: 04.01.2026)</t>
  </si>
  <si>
    <t>BMW Group code of ethics for artificial intelligence</t>
  </si>
  <si>
    <t>BMW Group digital identity: Five guiding principles for dealing with digital technology</t>
  </si>
  <si>
    <t>We Are Compliance – BMW Group Code of Conduct (2025 edition)</t>
  </si>
  <si>
    <t>BMW Group Code on Human Rights and Working Conditions (2025)</t>
  </si>
  <si>
    <t>BMW Group Report 2024 – Sustainability Statement (selected sections)</t>
  </si>
  <si>
    <t>BMW Group</t>
  </si>
  <si>
    <t>12.10.2020</t>
  </si>
  <si>
    <t>https://www.press.bmwgroup.com/global/article/detail/T0318411EN/seven-principles-for-ai:-bmw-group-sets-out-code-of-ethics-for-the-use-of-artificial-intelligence?language=en</t>
  </si>
  <si>
    <t>037_07_Code_of_ethics_for_AI_160226.PDF</t>
  </si>
  <si>
    <t>https://www.bmwgroup.com/content/dam/grpw/websites/bmwgroup_com/innovation/downloadds/en/2024/Digitales_Selbstverstaendnis_EN.pdf</t>
  </si>
  <si>
    <t>Juni 2024</t>
  </si>
  <si>
    <t>038_07_Digitales_Selbstverstaendnis_160226.pdf</t>
  </si>
  <si>
    <t>https://www.bmwgroup.com/content/dam/grpw/websites/bmwgroup_com/company/downloads/en/2025/BMW_Group_Compliance_Code_of_Conduct_EN.pdf</t>
  </si>
  <si>
    <t>Dezember 2025</t>
  </si>
  <si>
    <t>039_07_Compliance_Code_of_Conduct_160226.pdf</t>
  </si>
  <si>
    <t>https://www.bmwgroup-werke.com/content/dam/grpw/websites/bmwgroup_com/company/downloads/en/2025/BMW_Group_Compliance_HumanRights_Code_EN.pdf</t>
  </si>
  <si>
    <t>040_07_Compliance_HumanRights_Code_160226.pdf</t>
  </si>
  <si>
    <t>https://www.bmwgroup.com/en/report/2024/downloads/BMW-Group-Report-2024-en.pdf</t>
  </si>
  <si>
    <t>041_07_ESG-Report-2024_160226.pdf</t>
  </si>
  <si>
    <t>No public AI policy found (as of 2026‑02‑16)</t>
  </si>
  <si>
    <t>Es konnten keine spezifischen öffentlichen KI‑Leitlinien oder Responsible‑AI‑Policies von Brenntag SE gefunden werden</t>
  </si>
  <si>
    <t>Brenntag SE</t>
  </si>
  <si>
    <t>17.02.2026</t>
  </si>
  <si>
    <t>Code of Business Conduct and Ethics</t>
  </si>
  <si>
    <t>Supplier Code of Conduct</t>
  </si>
  <si>
    <t>Group Sustainability Statement (FY 2024)</t>
  </si>
  <si>
    <t>Press Release: “Brenntag implements autonomous AI agents on its Salesforce platform as first customer in Germany”</t>
  </si>
  <si>
    <t>https://brenntagprod-media.e-spirit.cloud/06432017-be1f-41ce-8d1d-564e2a66d213/documents/global/compliance/brenntag_code-of-conduct_en.pdf</t>
  </si>
  <si>
    <t>042_08_code-of-conduct_170226.pdf</t>
  </si>
  <si>
    <t>https://brenntagprod-media.e-spirit.cloud/06432017-be1f-41ce-8d1d-564e2a66d213/documents/global/compliance/global_brenntag-supplier-code-of-conduct-2023_en.pdf</t>
  </si>
  <si>
    <t>https://brenntagprod-media.e-spirit.cloud/06432017-be1f-41ce-8d1d-564e2a66d213/documents/corporate/investor-relations/2024/annual-report-2024/brenntag_ar2024_group-sustainability-statement_en.pdf</t>
  </si>
  <si>
    <t>043_08_supplier-code-of-conduct_170226.pdf</t>
  </si>
  <si>
    <t>044_08_sustainability-statement_170226.pdf</t>
  </si>
  <si>
    <t>https://corporate.brenntag.com/en/media/news/brenntag-implements-autonomous-ai-agents-on-its-salesforce-platform-as-first-customer-in-germany.html</t>
  </si>
  <si>
    <t>05.11.2024</t>
  </si>
  <si>
    <t>045_08_Salesforce_Brenntag_170226.pdf</t>
  </si>
  <si>
    <t>Obwohl keine KI‑spezifischen Prinzipien erwähnt werden, legt der Verhaltenskodex den ethischen Rahmen und die organisatorischen Mechanismen (Compliance‑Management, Trainings, Whistleblowing) fest, die auch für KI‑Governance relevant sind.</t>
  </si>
  <si>
    <t>Die Richtlinie ist zwar nicht KI‑spezifisch, bildet aber einen wichtigen Governance‑Baustein für verantwortungsvolle Beschaffung und könnte im Kontext von Datenlieferanten und KI‑Systemen relevant sein.</t>
  </si>
  <si>
    <t>Obwohl keine expliziten AI‑Richtlinien vorhanden sind, liefert der Bericht Kontext zu Compliance, Datenschutz und Business‑Conduct‑Strategien, die als Umfeld für KI‑Regeln dienen können.</t>
  </si>
  <si>
    <t>No public AI/Responsible AI guideline, policy or principles found (as of 2026‑02‑17)</t>
  </si>
  <si>
    <t>Die zentrale AI-Quelle ist das Dokument „KI-Grundsätze im Commerzbank-Konzern“</t>
  </si>
  <si>
    <t>„KI‑Grundsätze im Commerzbank‑Konzern“ (Artificial Intelligence Principles)</t>
  </si>
  <si>
    <t>Artikel „AI principles – principle agreement will strengthen trust in AI“</t>
  </si>
  <si>
    <t>Whitepaper „Risk‑based approach to AI and Machine Learning“</t>
  </si>
  <si>
    <t>Code of Conduct („Yellow Compass“) – Version 2024</t>
  </si>
  <si>
    <t>ESG Framework – Acting responsibly, growing sustainably</t>
  </si>
  <si>
    <t xml:space="preserve">Commerzbank AG </t>
  </si>
  <si>
    <t>19.10.2023</t>
  </si>
  <si>
    <t>046_09_ki-grundsaetze_170226.pdf</t>
  </si>
  <si>
    <t>https://www.commerzbank.de/group/what-moves-us/2024-article-media/24-03/ki-grundsaetze.pdf</t>
  </si>
  <si>
    <t>08.05.2025</t>
  </si>
  <si>
    <t>https://www.commerzbank.de/group/what-drives-us/innovation-digital-transformation/2024-ai-principles.html</t>
  </si>
  <si>
    <t>047_09_Principle agreement_170226.pdf</t>
  </si>
  <si>
    <t>15.03.2023</t>
  </si>
  <si>
    <t>https://www.commerzbank.de/group/newsroom/publications/2023/position-paper-ai-act.pdf</t>
  </si>
  <si>
    <t>048_09_whitepaper-ai-act_170226.pdf</t>
  </si>
  <si>
    <t>https://core-p-001.sitecorecontenthub.cloud/api/public/content/8008521917234a78a40d4f10b91c2806?v=c4b71f08</t>
  </si>
  <si>
    <t>V2024</t>
  </si>
  <si>
    <t>049_09_Code of Conduct_170226.pdf</t>
  </si>
  <si>
    <t>https://www.commerzbank.de/ms/documents/en/esg-framework-pdf.pdf</t>
  </si>
  <si>
    <t>050_09_esg-framework_170226.pdf</t>
  </si>
  <si>
    <t>Also includes Responsible AI / Ethics</t>
  </si>
  <si>
    <t>Ethics regulations for artificial intelligence (press release)</t>
  </si>
  <si>
    <t>Continental AG</t>
  </si>
  <si>
    <t>Continental Code of Conduct</t>
  </si>
  <si>
    <t>Continental Business Partner Code of Conduct</t>
  </si>
  <si>
    <t>Turn Change Into Opportunity – Embrace Sustainability: Integrated Sustainability Report 2022</t>
  </si>
  <si>
    <t>Survey: Germans fear job losses due to artificial intelligence (press release)</t>
  </si>
  <si>
    <t>08.06.2020</t>
  </si>
  <si>
    <t>Version 01/01/2026</t>
  </si>
  <si>
    <t>Veersion Juli 2023</t>
  </si>
  <si>
    <t>Mehrere semi-relevante Dokumente gefunden.</t>
  </si>
  <si>
    <t>https://www.continental.com/en/press/press-releases/ai-code-of-ethics/</t>
  </si>
  <si>
    <t>051_10_Ethics Regulations for Artificial Intelligence_170226.pdf</t>
  </si>
  <si>
    <t>https://cdn.continental.com/fileadmin/__imported/sites/corporate/_international/english/hubpages/60_20company/20_20corporate_20governance/50_20compliance/coc_en.pdf</t>
  </si>
  <si>
    <t>052_10_coc_170226.pdf</t>
  </si>
  <si>
    <t>https://cdn.continental.com/fileadmin/__imported/sites/corporate/_international/german/hubpages/60_20unternehmen/20_20corporate_20governance/50_20compliance/brochure_bpcoc_en_with_signature.pdf</t>
  </si>
  <si>
    <t>053_10_bpcoc_170226.pdf</t>
  </si>
  <si>
    <t>Hat eine kleine AI Sektion</t>
  </si>
  <si>
    <t>https://www.continental.com/en/press/press-releases/germans-fear-job-losses-due-to-artificial-intelligence/</t>
  </si>
  <si>
    <t>28.03.2023</t>
  </si>
  <si>
    <t>054_10_Survey_170226.pdf</t>
  </si>
  <si>
    <t>https://www.continental.com/fileadmin/__imported/sites/corporate/_international/german/hubpages/10_20presse/studien_und_publikationen/continental_sustainability_report_2022.pdf</t>
  </si>
  <si>
    <t>055_10_sustainability_report_170226.pdf</t>
  </si>
  <si>
    <t>Referenzieren nur die AI Code of Ethics, aber geben selbst keine Inhalte über die Themen des CoE hinaus wieder: › Compliance with laws, regulations, Continental’s rules, standards and instructions › Workplace and fair working conditions › Health, safety, the environment, and product integrity › Employee diversity, anti-discrimination, fairness in the use of AI › Data protection and cybersecurity when using AI › Confidential information, intellectual property</t>
  </si>
  <si>
    <t xml:space="preserve">n.n. </t>
  </si>
  <si>
    <t>Keine eigenständigen, konzernweiten „Responsible AI Policy“ oder „AI Principles“ separat vom Code of Conduct/Integrity Code identifiziert</t>
  </si>
  <si>
    <t>Daimler Truck Code of Conduct – Guideline to doing the right thing</t>
  </si>
  <si>
    <t>Our Integrity Code (IC 0.2)</t>
  </si>
  <si>
    <t>Declaration of Principles on Social Responsibility and Human Rights at Daimler Truck</t>
  </si>
  <si>
    <t>Business Partner Standards – Doing the Right Thing Together</t>
  </si>
  <si>
    <t>Data Compliance Management System – Our commitment to data responsibility</t>
  </si>
  <si>
    <t>Daimler Truck Sustainability Report 2021 – Selected sections (automated driving &amp; AI)</t>
  </si>
  <si>
    <t>Daimler Truck Holding AG</t>
  </si>
  <si>
    <t>https://www.daimlertruck.com/fileadmin/user_upload/documents/company/compliance/Daimler-Truck-Code-of-Conduct-english.pdf</t>
  </si>
  <si>
    <t>https://dtsa.daimlertruck.com/assets/files/king_vi/Our%20Integrity%20Code_1%20April%202022.pdf</t>
  </si>
  <si>
    <t>https://www.daimlertruck.com/fileadmin/user_upload/documents/sustainability/social/2022_12_07_Broschuere_Grundsatzerklaerung-Menschenrechte-EN.pdf</t>
  </si>
  <si>
    <t>https://www.daimlertruck.com/fileadmin/user_upload/dokumente/unternehmen/compliance/Business_Partner_Standards.pdf</t>
  </si>
  <si>
    <t>https://www.daimlertruck.com/en/company/compliance/data-compliance</t>
  </si>
  <si>
    <t>056_11_Code-of-Conduct_170226.pdf</t>
  </si>
  <si>
    <t>1.4.2022</t>
  </si>
  <si>
    <t>057_11_Our Integrity Code_170226.pdf</t>
  </si>
  <si>
    <t>058_11_Grundsatzerklaerung-Menschenrechte_170226.pdf</t>
  </si>
  <si>
    <t>059_11_Business_Partner_Standards_170226.pdf</t>
  </si>
  <si>
    <t>060_11_Data Compliance Management System _170226.pdf</t>
  </si>
  <si>
    <t>https://www.daimlertruck.com/en/sustainability/reportings</t>
  </si>
  <si>
    <t>061_11_annual report-incl-esg_170226.pdf</t>
  </si>
  <si>
    <t>Dieses zentrale Compliance‑Dokument enthält ein eigenes Kapitel zu künstlicher Intelligenz. Es verpflichtet alle Beschäftigten zur verantwortungsvollen Nutzung von AI und formuliert konkrete Prinzipien wie Erklärbarkeit, Datenschutz, Sicherheit, Fairness und den Schutz von Beschäftigtenrechten. Die breite Verbindlichkeit und klare Verpflichtungen machen dieses Dokument zur wichtigsten Quelle</t>
  </si>
  <si>
    <t>Der Integritätskodex gilt konzernweit und erläutert in Abschnitt 3.5.3 „Artificial intelligence“ die AI‑Grundsätze. Er betont die Umsetzung „fordernder AI‑Prinzipien“ für verantwortungsvolle Entwicklung und Nutzung von AI, einschliesslich Erklärbarkeit, Datenschutz, Sicherheit und Verlässlichkeit</t>
  </si>
  <si>
    <t>No public AI policy or ethics found (as of 2026‑02‑17)</t>
  </si>
  <si>
    <t>Deutsche Bank Group Supplier Code of Conduct</t>
  </si>
  <si>
    <t>Deutsche Bank AG</t>
  </si>
  <si>
    <t>Deutsche Bank Code of Conduct – Our duty for a long‑term success</t>
  </si>
  <si>
    <t>Non‑Financial Report 2023 (Deutsche Bank Group)</t>
  </si>
  <si>
    <t>Statement on Human Rights</t>
  </si>
  <si>
    <t>Artificial Intelligence: seizing opportunities and recognizing risks</t>
  </si>
  <si>
    <t>How Artificial Intelligence is changing banking</t>
  </si>
  <si>
    <t>The responsible use of AI in financial services – From principles to practice (News article)</t>
  </si>
  <si>
    <t>Unleashing the potential of AI in securities services</t>
  </si>
  <si>
    <t>Adopting generative AI in banking (white paper with Kodex AI)</t>
  </si>
  <si>
    <t>Die konkretesten AI-Prinzipien lagen öffentlich am klarsten im Supplier Code of Conduct (AI &amp; Data Ethics Principles) sowie Governance-Hinweise (z. B. „AI Oversight Forum“) in ESG/IR-Reports vor; darüber hinaus keine weiteren belastbaren Policy-Dokumente.</t>
  </si>
  <si>
    <t>https://vendor-portal.db.com/Files/Documents1/SupplierCodeofConductMay2025.pdf</t>
  </si>
  <si>
    <t>https://investor-relations.db.com/files/documents/annual-reports/2024/Non-Financial-Report-2023.pdf</t>
  </si>
  <si>
    <t>https://investor-relations.db.com/files/documents/documents/code-of-business-conduct-and-ethics-for-deutsche-bank-group.pdf?language_id=1</t>
  </si>
  <si>
    <t>https://security.db.com/knowledge-bases/artificial-intelligence</t>
  </si>
  <si>
    <t>https://www.db.com/what-we-do/responsibility/sustainability/documents/2025-06-june/DB-Statement-on-Human-Rights-EN.pdf</t>
  </si>
  <si>
    <t>https://www.db.com/what-next/digital-disruption/better-than-humans/how-artificial-intelligence-is-changing-banking/index?language_id=1</t>
  </si>
  <si>
    <t>https://www.db.com/news/detail/20191112-the-responsible-use-of-ai-in-financial-services-from-principles-to-practice?language_id=1</t>
  </si>
  <si>
    <t>https://flow.db.com/files/documents/more/publications/white-papers-guides/Unleashing-the-potential-of-AI-in-securities-services.pdf</t>
  </si>
  <si>
    <t>https://flow.db.com/files/documents/more/publications/white-papers-guides/whitepaper-Adopting-Generative-AI-in-Banking.pdf</t>
  </si>
  <si>
    <t>062_12_SupplierCodeofConduct_170226.pdf</t>
  </si>
  <si>
    <t>Includes Responsible AI / AI Principles</t>
  </si>
  <si>
    <t>063_12_code-of-business-conduct-and-ethics-_170226.pdf</t>
  </si>
  <si>
    <t>064_12_Non-Financial-Report_170226.pdf</t>
  </si>
  <si>
    <t xml:space="preserve">Short Section on AI Oversight Forum </t>
  </si>
  <si>
    <t>065_12_Statement-on-Human-Rights_170226.pdf</t>
  </si>
  <si>
    <t>066_12_Artificial Intelligence Overview_170226.pdf</t>
  </si>
  <si>
    <t>Nur technische Erklärung, was KI eigentlich ist</t>
  </si>
  <si>
    <t>067_12_How Artificial Intelligence is changing banking_170226.pdf</t>
  </si>
  <si>
    <t>Kein Bezug zur Ethik oÄ</t>
  </si>
  <si>
    <t>12.11.2029</t>
  </si>
  <si>
    <t>068_12_The responsible use of AI in Financial services_170226.pdf</t>
  </si>
  <si>
    <t>069_12_Unleashing-the-potential-of-AI-in-securities-services_170226.pdf</t>
  </si>
  <si>
    <t>070_12_whitepaper-Adopting-Generative-AI-in-Banking_170226.pdf</t>
  </si>
  <si>
    <t>Es konnten keine eigenständigen Responsible‑AI‑Policies oder AI‑Ethics‑Guidelines für die Deutsche‑Börse‑Gruppe identifiziert werden</t>
  </si>
  <si>
    <t>Response to European Commission’s White Paper on artificial intelligence</t>
  </si>
  <si>
    <t>Deutsche Börse Group</t>
  </si>
  <si>
    <t>Response to IOSCO consultation on AI in capital markets</t>
  </si>
  <si>
    <t>Targeted consultation on artificial intelligence in the financial sector – contribution by Deutsche Börse Group</t>
  </si>
  <si>
    <t>Market Data Policy Guidelines and FAQ – Section 10: Use of DBAG information in AI solutions (Version 2_8)</t>
  </si>
  <si>
    <t>V2.8</t>
  </si>
  <si>
    <t>Code of Business Conduct</t>
  </si>
  <si>
    <t>Code of Conduct for Suppliers</t>
  </si>
  <si>
    <t>Human Rights Strategy Policy Statement</t>
  </si>
  <si>
    <t>Digital Finance – Deutsche Börse Group</t>
  </si>
  <si>
    <t>Press release: More than two-thirds of investment managers use AI</t>
  </si>
  <si>
    <t>https://www.deutsche-boerse.com/resource/blob/2095828/1649f1a7f54a924a0fb99f1b9bdd1694/data/20200610-db-response_en.pdf</t>
  </si>
  <si>
    <t>https://www.deutsche-boerse.com/resource/blob/4300280/dc0bd81c97cf978b924e43234f56f03d/data/20240426_DBG_response_IOSCO_AI_consultation.pdf</t>
  </si>
  <si>
    <t>https://www.deutsche-boerse.com/dbg-en/media/news-stories/press-releases/More-than-Two-thirds-of-Investment-Managers-Prominently-Using-AI-to-Support-Front-Office-SimCorp-Study-Reveals-4910704</t>
  </si>
  <si>
    <t>10.04.2025</t>
  </si>
  <si>
    <t>072_13_DBG_response_IOSCO Consultation_170226.pdf</t>
  </si>
  <si>
    <t>071_13_db-response_170226.pdf</t>
  </si>
  <si>
    <t>https://www.deutsche-boerse.com/resource/blob/4344538/c7fb1c04440815b6ea29f17d9d7d62f1/data/20240912_DBG_response_EC%20Targeted%20consultation%20on%20artificial%20intelligence%20in%20the%20financial%20sector.pdf</t>
  </si>
  <si>
    <t>13.09.2024</t>
  </si>
  <si>
    <t>073_13_DBG_response_EC_170226.pdf</t>
  </si>
  <si>
    <t>https://www.mds.deutsche-boerse.com/resource/blob/4028410/ee46a8181b463a0f413d0faa695c0001/data/Market%20Data%20Policy%20Guidelines%20and%20FAQ_V2_7.pdf</t>
  </si>
  <si>
    <t>24.09.2025</t>
  </si>
  <si>
    <t>074_13_Market Data Policy Guidelines_170226.pdf</t>
  </si>
  <si>
    <t>https://www.deutsche-boerse.com/resource/blob/45222/a244f5d7ff9f341689489b58f65a1dc0/data/code-of-business-conduct_en.pdf</t>
  </si>
  <si>
    <t>075_13_code-of-business-conduct_170226.pdf</t>
  </si>
  <si>
    <t>https://www.deutsche-boerse.com/resource/blob/160140/f940243aedc8611ac81e5c012777c7bd/data/code-of-coduct-suppliers_en.pdf</t>
  </si>
  <si>
    <t>12.11.2025</t>
  </si>
  <si>
    <t>076_13_code-of-coduct-suppliers_170226.pdf</t>
  </si>
  <si>
    <t>https://www.deutsche-boerse.com/resource/blob/3800562/9f347e74f9934e23edda9ecb28c85bc7/data/dbg-menschenrechtserklaerung_en.pdf</t>
  </si>
  <si>
    <t>09.12.2025</t>
  </si>
  <si>
    <t>077_13_dbg-menschenrechtserklaerung_170226.pdf</t>
  </si>
  <si>
    <t>https://www.deutsche-boerse.com/dbg-de/ueber-uns/regulierung/regulation-df</t>
  </si>
  <si>
    <t>078_13_Digital Finance_170226.pdf</t>
  </si>
  <si>
    <t>19.01.2026</t>
  </si>
  <si>
    <t>079_13_SimCorp Study_170226.pdf</t>
  </si>
  <si>
    <t>ieses Regelwerk ist das einzige formale Dokument der Deutsche‑Börse‑Gruppe, das den Einsatz von KI explizit adressiert. Abschnitt 10 definiert, was als „AI Solution“ gilt (z. B. Deep‑Learning‑Modelle, generative KI und LLMs) und verpflichtet Kunden, eine passende Non‑Display‑Data‑Usage‑Lizenz zu erwerben und robuste interne Kontrollsysteme zur Nachverfolgung der Datennutzung über alle Nutzungsebenen hinweg zu unterhalten</t>
  </si>
  <si>
    <t>Die Deutsche Börse beschreibt ihren Ansatz, AI graduell und in getesteten Proof‑of‑Concept‑Phasen einzuführen, um Transparenz, Stabilität und Anlegerschutz zu gewährleisten. Sie benennt konkrete Risiken (Bias, Black‑Box‑Eigenschaften, Halluzinationen) und betont die Bedeutung solider Daten‑Governance und eines eigenen AI‑Governance‑Rahmens. Diese Aussagen liefern Hinweise für verantwortungsvolle KI‑Einführung, auch wenn das Dokument keine formale Policy darstellt.</t>
  </si>
  <si>
    <t>19.02.2026</t>
  </si>
  <si>
    <t>DHL Group</t>
  </si>
  <si>
    <t>DHL Group Data Privacy Policy (Binding Corporate Rules)</t>
  </si>
  <si>
    <t>DHL Group Information Security Code of Practice for Partners</t>
  </si>
  <si>
    <t>DHL Group Code of Conduct</t>
  </si>
  <si>
    <t>DHL Group Supplier Code of Conduct</t>
  </si>
  <si>
    <t>Cyber Security (web page)</t>
  </si>
  <si>
    <t>DHL Group ESG Progress Report 2024 (Sustainability Report)</t>
  </si>
  <si>
    <t>No public AI/Responsible AI guideline, policy or principles found (as of 2026‑02‑19)</t>
  </si>
  <si>
    <t>V4</t>
  </si>
  <si>
    <t>https://group.dhl.com/en/data-protection.html#parsysPath_experiencefragment_879389856</t>
  </si>
  <si>
    <t>https://group.dhl.com/en/about-us/code-of-conduct.html</t>
  </si>
  <si>
    <t>https://group.dhl.com/content/dam/deutschepostdhl/en/media-center/responsibility/dhl-group-information-security-code-of-practice.pdf</t>
  </si>
  <si>
    <t>https://group.dhl.com/content/dam/deutschepostdhl/en/media-center/responsibility/DHL-Group-Supplier-Code-of-Conduct-v2020-5.pdf</t>
  </si>
  <si>
    <t>https://group.dhl.com/en/sustainability/governance/cyber-security.html</t>
  </si>
  <si>
    <t>https://reporting-hub.group.dhl.com/ecomaXL/files/DHL-Group_2024-Progress-Report-on-Sustainability.pdf</t>
  </si>
  <si>
    <t>080_14_Data protection_190226.pdf</t>
  </si>
  <si>
    <t>081_14_security-code-of-practice_190226.pdf</t>
  </si>
  <si>
    <t>V5</t>
  </si>
  <si>
    <t>083_14_Supplier-Code-of-Conduct-v2020-5.pdf</t>
  </si>
  <si>
    <t>082_code-of-conduct_190226.pdf</t>
  </si>
  <si>
    <t>084_14_Cyber security_190226.pdf</t>
  </si>
  <si>
    <t>085_14_Progress-Report-on-Sustainability_190226.pdf</t>
  </si>
  <si>
    <t>Trotz intensiver Recherche auf offiziellen Konzernquellen und in Berichten gibt es keine öffentlich zugängliche KI‑Ethik‑ oder Responsible‑AI‑Policy von der DHL Gruppe / Deutschen Post AG</t>
  </si>
  <si>
    <t>Alle relevanten AI‑Ethik‑Dokumente wurden gefunden</t>
  </si>
  <si>
    <t>Deutsche Telekom AG</t>
  </si>
  <si>
    <t>AI Guidelines – short version</t>
  </si>
  <si>
    <t>https://www.telekom.com/resource/blob/532446/f32ea4f5726ff3ed3902e97dd945fa14/dl-180710-ki-leitlinien-en-data.pdf</t>
  </si>
  <si>
    <t>Edition 2018</t>
  </si>
  <si>
    <t>Guidelines for Artificial Intelligence (article)</t>
  </si>
  <si>
    <t>https://www.telekom.com/en/company/digital-responsibility/details/artificial-intelligence-ai-guideline-524366</t>
  </si>
  <si>
    <t>Principles for Green Artificial Intelligence</t>
  </si>
  <si>
    <t>https://www.telekom.com/en/company/details/principles-for-green-artificial-intelligence-1077104</t>
  </si>
  <si>
    <t>Code of Conduct (Group)</t>
  </si>
  <si>
    <t>https://www.telekom.com/resource/blob/497150/54e0bd88d87bc50f70a523002ffcf208/dl-code-of-conduct-en-data.pdf</t>
  </si>
  <si>
    <t>Supplier Code of Conduct – Version 2024</t>
  </si>
  <si>
    <t>https://www.telekom.com/resource/blob/498830/7d0f6ce8b7f56c0664c262c3efdf3fe1/dl-240320-supplier-code-of-conduct-data.pdf</t>
  </si>
  <si>
    <t>Version 2024</t>
  </si>
  <si>
    <t>Digital Ethics – Our fields of action</t>
  </si>
  <si>
    <t>https://www.telekom.com/en/company/digital-responsibility/details/our-action-areas-digital-ethics-1008324</t>
  </si>
  <si>
    <t>The EU AI Act at Deutsche Telekom – Implementation article</t>
  </si>
  <si>
    <t>https://www.telekom.com/en/company/digital-responsibility/details/the-eu-ai-act-at-deutsche-telekom--1090710</t>
  </si>
  <si>
    <t>AI Manifesto – Works Council agreement</t>
  </si>
  <si>
    <t>https://www.telekom.com/en/company/digital-responsibility/details/artificial-intelligence-at-deutsche-telekom-1055154</t>
  </si>
  <si>
    <t>Professional Ethics for AI Engineering and Usage</t>
  </si>
  <si>
    <t>https://www.telekom.com/resource/blob/630952/37534d39c5184b251c235d93edfd6f91/dl-210702-professionsethik-data.pdf</t>
  </si>
  <si>
    <t>Edition 2021</t>
  </si>
  <si>
    <t>Privacy and Security Assessment (PSA) booklet</t>
  </si>
  <si>
    <t>https://www.telekom.com/resource/blob/622936/97f1cec97d290690f9aac921f8c5fa9e/dl-psa-booklet-en-data.pdf</t>
  </si>
  <si>
    <t>Corporate Responsibility Report 2024</t>
  </si>
  <si>
    <t>https://report.telekom.com/cr-report/2024/_assets/downloads/entire-dtag-cr24.pdf</t>
  </si>
  <si>
    <t>CR Report 2024</t>
  </si>
  <si>
    <t xml:space="preserve">2018‑04‑24 </t>
  </si>
  <si>
    <t>2018‑05‑11</t>
  </si>
  <si>
    <t>2024‑03‑20</t>
  </si>
  <si>
    <t xml:space="preserve">2026‑02‑19 </t>
  </si>
  <si>
    <t>2025‑</t>
  </si>
  <si>
    <t>2021‑07‑02</t>
  </si>
  <si>
    <t>086_15_ki-leitlinien-en_190226.pdf</t>
  </si>
  <si>
    <t>087_15_Guidelines for Artificial Intelligence_190226.pdf</t>
  </si>
  <si>
    <t>088_15_Principles for green artificial intelligence_190226.pdf</t>
  </si>
  <si>
    <t>089_15_code-of-conduct-en_190226.pdf</t>
  </si>
  <si>
    <t>090_15_supplier-code-of-conduct_190226.pdf</t>
  </si>
  <si>
    <t>092_15_The EU AI Act at Deutsche Telekom_190226.pdf</t>
  </si>
  <si>
    <t>091_Digital Ethics_190226.pdf</t>
  </si>
  <si>
    <t>095_15_psa-booklet-en_190226.pdf</t>
  </si>
  <si>
    <t>094_15_professionsethik_190226.pdf</t>
  </si>
  <si>
    <t>AI not without privacy-by-strategy</t>
  </si>
  <si>
    <t>097_15_AI not without privacy-by-strategy_190226.pdf</t>
  </si>
  <si>
    <t>https://www.telekom.com/en/company/management-unplugged/details/ai-not-without-privacy-by-strategy-1058604</t>
  </si>
  <si>
    <t>093_15_AI Manifesto_190226pdf</t>
  </si>
  <si>
    <t>096_15_entire-dtag-cr24_190226.pdf</t>
  </si>
  <si>
    <t>Trotz breit angelegter Suche wurden keine öffentlich zugänglichen Responsible‑AI‑Policies oder detaillierten AI‑Ethics‑Guidelines der E.ON SE identifiziert</t>
  </si>
  <si>
    <t>Code of Conduct – Acting responsibly at E.ON</t>
  </si>
  <si>
    <t>Supplier Code of Conduct (2023)</t>
  </si>
  <si>
    <t>Integrated Annual Report 2024 – Sustainability Statement</t>
  </si>
  <si>
    <t>20.02.2026</t>
  </si>
  <si>
    <t>No public AI/Responsible AI guideline, policy or principles found (as of 2026‑02‑20)</t>
  </si>
  <si>
    <t>E.ON SE</t>
  </si>
  <si>
    <t>https://www.eon.com/en/about-us/media/press-release/2025/eon-sets-standards-for-the-responsible-use-of-artificial-intelligence.html</t>
  </si>
  <si>
    <t>15.1.2025</t>
  </si>
  <si>
    <t>E.ON sets standards for the responsible use of artificial intelligence</t>
  </si>
  <si>
    <t>098_16_E.ON sets standards for the responsible use of artificial intelligence_200226.pdf</t>
  </si>
  <si>
    <t>Hier wird nur referenziert, dass es Leitlinien für KI gibt, aber nicht welche es sind. Das Originaldokument für die Leitlinien ist öffentlich nicht einsehbar.</t>
  </si>
  <si>
    <t>https://www.eon.se/content/dam/eon-se/swe-documents/swe-code-of-conduct-eng.pdf</t>
  </si>
  <si>
    <t>099_16_code-of-conduct_200226.pdf</t>
  </si>
  <si>
    <t>https://www.eon.hu/content/dam/eon/eon-hungary/documents/lablec/Beszallitok/supplier-code-of-conduct-2023.pdf</t>
  </si>
  <si>
    <t>100_16_supplier-code-of-conduct_200226.pdf</t>
  </si>
  <si>
    <t>101_16_GB24-gesamt_200226.pdf</t>
  </si>
  <si>
    <t>https://annualreport.eon.com/content/dam/eon-annualreport/documents/en/GB24-gesamt-EN_final.pdf</t>
  </si>
  <si>
    <t>Es konnten keine weiteren eigenständigen, öffentlich zugänglichen Responsible‑AI‑Policies oder KI‑Ethik‑Richtlinien ausser der AI‑Guidelines selbst gefunden werden. Interne Richtlinien werden zwar im ESG‑Bericht erwähnt, sind jedoch nicht öffentlich zugänglich.</t>
  </si>
  <si>
    <t>AI‑Guidelines: Responsible Use of Artificial Intelligence</t>
  </si>
  <si>
    <t>Fresenius Group Code of Conduct</t>
  </si>
  <si>
    <t>Non‑Financial Report 2023 – Digital Transformation section</t>
  </si>
  <si>
    <t>Ethical Foundation page</t>
  </si>
  <si>
    <t>Press Release: AI in Healthcare – SAP and Fresenius Accelerate Digital Healthcare Delivery</t>
  </si>
  <si>
    <t>Also Responsible Ai / Ethics, and AI Principles</t>
  </si>
  <si>
    <t>https://www.fresenius.com/sites/default/files/2025-07/05092025_AI_Guidelines_v2_EN_0.pdf</t>
  </si>
  <si>
    <t>https://www.fresenius.com/sites/default/files/2025-04/Fresenius_Group_Code_of_Conduct_EN_202502_0.pdf</t>
  </si>
  <si>
    <t>https://annualreport.fresenius.com/2023/non-financial-report/digital-transformation/</t>
  </si>
  <si>
    <t>https://www.fresenius.com/ethical-foundation</t>
  </si>
  <si>
    <t>https://www.fresenius.com/sites/default/files/2026-01/20260119_fse_pressrelease_cooperation_sap_0.pdf</t>
  </si>
  <si>
    <t>https://freseniusmedicalcare.com/en/about-us/compliance/our-code-of-ethics-and-business-conduct/</t>
  </si>
  <si>
    <t>05.09.2025</t>
  </si>
  <si>
    <t>102_17_AI_Guidelines_200226.pdf</t>
  </si>
  <si>
    <t>Ai Section ist nur Zusammenfassung der AI-Guidelines</t>
  </si>
  <si>
    <t>103_17_Group_Code_of_Conduct_200226.pdf</t>
  </si>
  <si>
    <t>104_17_Digital transformation_200226.pdf</t>
  </si>
  <si>
    <t>Kündigt nur die Erstellung der AI Guidelines an.</t>
  </si>
  <si>
    <t>105_17_Ethical Foundation_200226.pdf</t>
  </si>
  <si>
    <t>106_17_pressrelease_cooperation_sap_200226.pdf</t>
  </si>
  <si>
    <t xml:space="preserve">Trotz umfassender Recherche konnten keine öffentlich zugänglichen Responsible‑AI‑Policies oder KI‑Ethics‑Guidelines für Fresenius Medical Care identifiziert werden. </t>
  </si>
  <si>
    <t>Code of Ethics &amp; Business Conduct</t>
  </si>
  <si>
    <t>Compliance Overview – Global Compliance Program</t>
  </si>
  <si>
    <t>Compliance Brochure for Business Partners</t>
  </si>
  <si>
    <t>The Challenges and Benefits of Generative AI in Kidney Care</t>
  </si>
  <si>
    <t>Using Artificial Intelligence to Predict Patient Outcomes – Q&amp;A with Len Usvyat</t>
  </si>
  <si>
    <t>Press Release: Fresenius Medical Care Achieves Key AI Milestone with Apollo Database</t>
  </si>
  <si>
    <t>https://freseniusmedicalcare.com/en/about-us/compliance/compliance-overview</t>
  </si>
  <si>
    <t>https://freseniusmedicalcare.com/en/media/newsroom/fresenius-medical-care-achieves-key-ai-milestone-with-first-phase-completion-of-largest-global-dialysis-clinical-dataset/</t>
  </si>
  <si>
    <t>https://freseniusmedicalcare.com/en-us/insights/articles/using-artificial-intelligence-to-predict-patient-outcomes-qa-with-len-usvyat/</t>
  </si>
  <si>
    <t>https://freseniusmedicalcare.com/en/media/multimedia/publications/amr/amr-24-artificial-intelligence/</t>
  </si>
  <si>
    <t>107_18_FME_CoC_200226.pdf</t>
  </si>
  <si>
    <t>108_18_Compliance Overview_200226.pdf</t>
  </si>
  <si>
    <t>109_18_Business_Partner_Brochure_200226.pdf</t>
  </si>
  <si>
    <t>110_18_The Challenges and Benefits of Generative AI in Kidney Care_200226.pdf</t>
  </si>
  <si>
    <t>111_18_Using Artificial Intelligence to Predict Patient Outcomes_ Q&amp;A with Len Usvyat_200226.pdf</t>
  </si>
  <si>
    <t>26.10.2023</t>
  </si>
  <si>
    <t>112_18_Fresenius Medical Care Achieves Key AI Milestone_200226.pdf</t>
  </si>
  <si>
    <t>Es konnte keine separate Responsible‑AI‑Richtlinie gefunden werden. Die einzige explizite AI‑Governance‑Quelle ist die Corporate Digital Responsibility Policy</t>
  </si>
  <si>
    <t>Corporate Digital Responsibility Policy</t>
  </si>
  <si>
    <t>Information Security Policy</t>
  </si>
  <si>
    <t>Information Classification and Handling Policy (Confidentiality)</t>
  </si>
  <si>
    <t>Human Rights Policy / Human Rights Incident Management Policy</t>
  </si>
  <si>
    <t>GEA Code of Conduct for Suppliers and Subcontractors</t>
  </si>
  <si>
    <t>V 4.1</t>
  </si>
  <si>
    <t>Press release: GEA launches AI solution for more efficient engineer‑to‑order processes</t>
  </si>
  <si>
    <t>13.3.2025</t>
  </si>
  <si>
    <t>GEA accelerates digital transformation – new Software Excellence Initiative advances open‑source software development</t>
  </si>
  <si>
    <t>4.6.2025</t>
  </si>
  <si>
    <t>No public AI/Responsible AI guideline or principles found (as of 2026‑02‑20)</t>
  </si>
  <si>
    <t>https://cdn.gea.com/-/media/company/about-us/gea-digital/corporate-digital-responsibility-policy/gea-corporate-digital-responsibility-policy-en.pdf</t>
  </si>
  <si>
    <t>https://cdn.gea.com/-/media/company/about-us/information-security/information_security_policy.pdf</t>
  </si>
  <si>
    <t>https://cdn.gea.com/-/media/company/about-us/information-security/information_cassification_and_handling_policy_confidentiality.pdf</t>
  </si>
  <si>
    <t>https://cdn.gea.com/-/media/sustainability/human-rights-policy-en.pdf</t>
  </si>
  <si>
    <t>https://cdn.gea.com/-/media/suppliers/code-of-conduct/gea-code-of-conduct-for-suppliers-and-subcontractors-en.pdf</t>
  </si>
  <si>
    <t>https://www.gea.com/en/news/trade-press/2025/ai-solution-for-engineer-to-order-processes/</t>
  </si>
  <si>
    <t>https://www.gea.com/en/news/corporate/2025/gea-steps-up-digital-transformation/</t>
  </si>
  <si>
    <t>113_19_corporate-digital-responsibility-policy_200226.pdf</t>
  </si>
  <si>
    <t>20.03.2025</t>
  </si>
  <si>
    <t>114_19_information_security_policy_200226.pdf</t>
  </si>
  <si>
    <t>1.6.2024</t>
  </si>
  <si>
    <t>115_19_information_cassification_and_handling_policy_200226.pdf</t>
  </si>
  <si>
    <t>6.6.2025</t>
  </si>
  <si>
    <t>116_19_human-rights-policy_200226.pdf</t>
  </si>
  <si>
    <t>117_19_code-of-conduct-for-suppliers-and-subcontractors_200226.pdf</t>
  </si>
  <si>
    <t>118_19_GEA Introduces AI Solution_200226.pdf</t>
  </si>
  <si>
    <t>119_19_GEA accelerates digital transformation_200226.pdf</t>
  </si>
  <si>
    <t>Hannover Rück SE</t>
  </si>
  <si>
    <t>Kein eigenständiger Responsible‑AI‑Policy oder explizite AI‑Ethics‑Guideline auf Konzern‑Ebene gefunden.</t>
  </si>
  <si>
    <t>Diese Erklärung erwähnt ausdrücklich den Einsatz von KI zur Analyse unstrukturierter Daten und verpflichtet sich zu Transparenz, Sicherheit und verantwortungsvoller Nutzung. Sie enthält auch Hinweise zur teilautomatisierten Entscheidungsfindung und zum Schutz der Rechte der Betroffenen. Obwohl es keine umfassende AI‑Governance darstellt, ist es die einzige Quelle mit explizitem Bezug zu KI und sollte daher vorrangig kodiert werden.</t>
  </si>
  <si>
    <t>Code of Conduct: “Connected – outside, inside, and all‑around”</t>
  </si>
  <si>
    <t>Third‑Party Code of Conduct</t>
  </si>
  <si>
    <t>General Data Privacy Statement (GDPR)</t>
  </si>
  <si>
    <t>Solvency and Financial Condition Report 2023</t>
  </si>
  <si>
    <t>Sustainability Report 2023</t>
  </si>
  <si>
    <t>Human Rights and Supply Chain Policy Statement</t>
  </si>
  <si>
    <t>Artificial intelligence – a disruptive technology for the (re)insurance industry</t>
  </si>
  <si>
    <t>Data‑driven insurance – From data delusion to data solution (part 2)</t>
  </si>
  <si>
    <t>https://assets.hannover-re.com/asset/533267266226/document_phjain3i4t7t9aupp8710b861n/HNR_Code-of-Conduct_EN.pdf</t>
  </si>
  <si>
    <t>https://assets.hannover-re.com/asset/533267266226/document_1lgsfft8g55lhdv2sktd20td6o/third_party_code_of_conduct.pdf</t>
  </si>
  <si>
    <t>https://www.hannover-re.com/en/data-privacy/general-data-privacy-statement-pursuant-to-art-13-and-14-eu-general-data-protection-regulation-gdpr/</t>
  </si>
  <si>
    <t>https://d1qnw94usouwub.cloudfront.net/asset/533267266226/document_488r6iln1p44f2tqfh4ht1ri0i</t>
  </si>
  <si>
    <t>https://www.unepfi.org/wordpress/wp-content/uploads/2024/07/Sustainability-Report_2023_Hannover-Re.pdf</t>
  </si>
  <si>
    <t>https://d1qnw94usouwub.cloudfront.net/asset/533267266226/document_okp5h41pip36b6ovv17iadd013</t>
  </si>
  <si>
    <t>https://www.hannover-re.com/en/property-and-casualty/emerging-risks-insights/artificial-intelligence/</t>
  </si>
  <si>
    <t>https://assets.hannover-re.com/asset/533267266226/document_q1mkc0gt951rd2dfusioe7177a/2020_05_LH_ReCent_Medical_Data-Driven-Insurance_Part2_en.pdf</t>
  </si>
  <si>
    <t>120_20_Code-of-Conduct_200226.pdf</t>
  </si>
  <si>
    <t>121_20_third_party_code_of_conduct_200226.pdf</t>
  </si>
  <si>
    <t>122_20_General Data Privacy Statement_200226.pdf</t>
  </si>
  <si>
    <t>123_20_SFCR_HRG_200226.pdf</t>
  </si>
  <si>
    <t>124_20_Sustainability-Report_200226.pdf</t>
  </si>
  <si>
    <t>125_20_Human Rights Policy Statement_200226.pdf</t>
  </si>
  <si>
    <t>126_20_Artificial Intelligence in the Insurance Industry_200226.pdf</t>
  </si>
  <si>
    <t>127_20_Medical_Data-Driven-Insurance_200226.pdf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</si>
</sst>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8"/>
      <name val="Aptos Narrow"/>
      <family val="2"/>
      <scheme val="minor"/>
    </font>
    <font>
      <sz val="11"/>
      <color theme="1"/>
      <name val="Arial"/>
      <family val="2"/>
    </font>
  </fonts>
  <fills count="7">
    <fill>
      <patternFill patternType="none"/>
    </fill>
    <fill>
      <patternFill patternType="gray125"/>
    </fill>
    <fill>
      <patternFill patternType="solid">
        <fgColor theme="2"/>
        <bgColor indexed="64"/>
      </patternFill>
    </fill>
    <fill>
      <patternFill patternType="solid">
        <fgColor theme="3" tint="0.89999084444715716"/>
        <bgColor indexed="64"/>
      </patternFill>
    </fill>
    <fill>
      <patternFill patternType="gray0625">
        <bgColor theme="3" tint="0.89996032593768116"/>
      </patternFill>
    </fill>
    <fill>
      <patternFill patternType="solid">
        <fgColor theme="9" tint="0.79998168889431442"/>
        <bgColor indexed="64"/>
      </patternFill>
    </fill>
    <fill>
      <patternFill patternType="solid">
        <fgColor theme="5" tint="0.79998168889431442"/>
        <bgColor indexed="64"/>
      </patternFill>
    </fill>
  </fills>
  <borders count="2">
    <border>
      <left/>
      <right/>
      <top/>
      <bottom/>
      <diagonal/>
    </border>
    <border>
      <left/>
      <right/>
      <top style="thin">
        <color theme="4"/>
      </top>
      <bottom/>
      <diagonal/>
    </border>
  </borders>
  <cellStyleXfs count="1">
    <xf numFmtId="0" fontId="0" fillId="0" borderId="0"/>
  </cellStyleXfs>
  <cellXfs count="11">
    <xf numFmtId="0" fontId="0" fillId="0" borderId="0" xfId="0"/>
    <xf numFmtId="0" fontId="0" fillId="2" borderId="0" xfId="0" applyFill="1"/>
    <xf numFmtId="0" fontId="0" fillId="3" borderId="0" xfId="0" applyFill="1"/>
    <xf numFmtId="0" fontId="0" fillId="4" borderId="0" xfId="0" applyFill="1"/>
    <xf numFmtId="0" fontId="0" fillId="5" borderId="0" xfId="0" applyFill="1"/>
    <xf numFmtId="0" fontId="0" fillId="0" borderId="1" xfId="0" applyBorder="1"/>
    <xf numFmtId="4" fontId="0" fillId="0" borderId="0" xfId="0" applyNumberFormat="1"/>
    <xf numFmtId="0" fontId="0" fillId="6" borderId="0" xfId="0" applyFill="1"/>
    <xf numFmtId="17" fontId="0" fillId="0" borderId="0" xfId="0" applyNumberFormat="1"/>
    <xf numFmtId="17" fontId="0" fillId="5" borderId="0" xfId="0" applyNumberFormat="1" applyFill="1"/>
    <xf numFmtId="14" fontId="0" fillId="5" borderId="0" xfId="0" applyNumberFormat="1" applyFill="1"/>
  </cellXfs>
  <cellStyles count="1">
    <cellStyle name="Standard" xfId="0" builtinId="0"/>
  </cellStyles>
  <dxfs count="22">
    <dxf>
      <numFmt numFmtId="0" formatCode="General"/>
    </dxf>
    <dxf>
      <numFmt numFmtId="0" formatCode="General"/>
    </dxf>
    <dxf>
      <numFmt numFmtId="0" formatCode="General"/>
    </dxf>
    <dxf>
      <numFmt numFmtId="0" formatCode="General"/>
    </dxf>
    <dxf>
      <numFmt numFmtId="0" formatCode="General"/>
    </dxf>
    <dxf>
      <numFmt numFmtId="0" formatCode="General"/>
      <fill>
        <patternFill>
          <fgColor indexed="64"/>
          <bgColor theme="9" tint="0.79998168889431442"/>
        </patternFill>
      </fill>
    </dxf>
    <dxf>
      <numFmt numFmtId="0" formatCode="General"/>
      <fill>
        <patternFill patternType="solid">
          <fgColor indexed="64"/>
          <bgColor theme="9" tint="0.79998168889431442"/>
        </patternFill>
      </fill>
    </dxf>
    <dxf>
      <numFmt numFmtId="0" formatCode="General"/>
      <fill>
        <patternFill patternType="solid">
          <fgColor indexed="64"/>
          <bgColor theme="9" tint="0.79998168889431442"/>
        </patternFill>
      </fill>
    </dxf>
    <dxf>
      <numFmt numFmtId="0" formatCode="General"/>
      <fill>
        <patternFill patternType="solid">
          <fgColor indexed="64"/>
          <bgColor theme="9" tint="0.79998168889431442"/>
        </patternFill>
      </fill>
    </dxf>
    <dxf>
      <fill>
        <patternFill patternType="solid">
          <fgColor indexed="64"/>
          <bgColor theme="2"/>
        </patternFill>
      </fill>
    </dxf>
    <dxf>
      <fill>
        <patternFill patternType="solid">
          <fgColor indexed="64"/>
          <bgColor theme="2"/>
        </patternFill>
      </fill>
    </dxf>
    <dxf>
      <fill>
        <patternFill patternType="gray0625">
          <fgColor indexed="64"/>
          <bgColor theme="3" tint="0.899960325937681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numFmt numFmtId="4" formatCode="#,##0.00"/>
    </dxf>
    <dxf>
      <font>
        <b val="0"/>
        <i val="0"/>
        <strike val="0"/>
        <condense val="0"/>
        <extend val="0"/>
        <outline val="0"/>
        <shadow val="0"/>
        <u val="none"/>
        <vertAlign val="baseline"/>
        <sz val="11"/>
        <color theme="1"/>
        <name val="Aptos Narrow"/>
        <family val="2"/>
        <scheme val="minor"/>
      </font>
      <border diagonalUp="0" diagonalDown="0">
        <left/>
        <right/>
        <top style="thin">
          <color theme="4"/>
        </top>
        <bottom/>
        <vertical/>
        <horizontal/>
      </border>
    </dxf>
    <dxf>
      <font>
        <b val="0"/>
        <i val="0"/>
        <strike val="0"/>
        <condense val="0"/>
        <extend val="0"/>
        <outline val="0"/>
        <shadow val="0"/>
        <u val="none"/>
        <vertAlign val="baseline"/>
        <sz val="11"/>
        <color rgb="FF202122"/>
        <name val="Arial"/>
        <family val="2"/>
        <scheme val="none"/>
      </font>
      <fill>
        <patternFill patternType="solid">
          <fgColor indexed="64"/>
          <bgColor rgb="FFF8F9FA"/>
        </patternFill>
      </fill>
      <alignment horizontal="general" vertical="center" textRotation="0" wrapText="1" indent="0" justifyLastLine="0" shrinkToFit="0" readingOrder="0"/>
      <border diagonalUp="0" diagonalDown="0" outline="0">
        <left/>
        <right style="medium">
          <color rgb="FFA2A9B1"/>
        </right>
        <top style="medium">
          <color rgb="FFA2A9B1"/>
        </top>
        <bottom style="medium">
          <color rgb="FFA2A9B1"/>
        </bottom>
      </border>
    </dxf>
    <dxf>
      <fill>
        <patternFill patternType="solid">
          <fgColor indexed="64"/>
          <bgColor them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05F7CB6-F92F-4876-92F1-18C4F9419872}" name="Tabelle2" displayName="Tabelle2" ref="A1:I41" totalsRowShown="0">
  <autoFilter ref="A1:I41" xr:uid="{905F7CB6-F92F-4876-92F1-18C4F9419872}"/>
  <tableColumns count="9">
    <tableColumn id="1" xr3:uid="{F13703A1-9AD3-4A61-9D17-7267FEB917F7}" name="company_id"/>
    <tableColumn id="2" xr3:uid="{AE63EE6F-E741-40D6-BA35-90E2E306C996}" name="company_name_official"/>
    <tableColumn id="3" xr3:uid="{70DD3B3C-5891-451A-9F8A-39C550D68958}" name="brand_short"/>
    <tableColumn id="4" xr3:uid="{CD9E1FD4-9D85-4974-9C77-38AF61DF0079}" name="sector_cluster" dataDxfId="21"/>
    <tableColumn id="5" xr3:uid="{1B3C9A2D-DF88-4E06-B0EF-3525113D0681}" name="industry_detail" dataDxfId="20"/>
    <tableColumn id="6" xr3:uid="{967B7F66-7E83-4117-AF93-D44A5214E26B}" name="hq_country" dataDxfId="19"/>
    <tableColumn id="7" xr3:uid="{93FC8DC6-D939-4F19-8CD1-78BFAC7BF713}" name="dax_member_as_of_date"/>
    <tableColumn id="9" xr3:uid="{1AE89A45-B6BF-407A-BFE3-8B1D0FF7087C}" name="Marktkapitalisierung in Mio. € (Stand: 04.01.2026)" dataDxfId="18"/>
    <tableColumn id="8" xr3:uid="{C6FB5ECC-6866-44A0-944A-B0186B9868C8}" name="notes_sampling"/>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1268FB6-58B2-48BE-BA4C-58A56E8AD2A0}" name="Tabelle3" displayName="Tabelle3" ref="A1:N407" totalsRowShown="0">
  <autoFilter ref="A1:N407" xr:uid="{71268FB6-58B2-48BE-BA4C-58A56E8AD2A0}"/>
  <tableColumns count="14">
    <tableColumn id="1" xr3:uid="{7709EBB1-9160-4260-9962-34AFE64EBD42}" name="doc_id"/>
    <tableColumn id="2" xr3:uid="{3D167A6F-8F70-4AE0-B60C-5E99ED0E59DE}" name="company_id"/>
    <tableColumn id="3" xr3:uid="{CF63D659-45B5-4A5B-9D60-5DF55169654E}" name="doc_title"/>
    <tableColumn id="4" xr3:uid="{BE315387-A8E7-4AC6-B0E4-9331E3D7238D}" name="doc_type" dataDxfId="17"/>
    <tableColumn id="5" xr3:uid="{DFF57BFA-E5EE-45B5-A22E-F92199A52C35}" name="publisher"/>
    <tableColumn id="6" xr3:uid="{D919ADEF-DD4E-4853-A98F-9C9FA15F5AF2}" name="publication_date"/>
    <tableColumn id="7" xr3:uid="{105C54B4-A6F7-4E84-83A2-876962F796BD}" name="version"/>
    <tableColumn id="8" xr3:uid="{CE4D399E-8DED-4CBF-B4CC-CC5F4E57D376}" name="language" dataDxfId="16"/>
    <tableColumn id="9" xr3:uid="{BF8D90C3-6268-49B0-A825-24455A52EB45}" name="url"/>
    <tableColumn id="10" xr3:uid="{B75D7657-E985-46C5-9DE4-991A7B76E01B}" name="access_date"/>
    <tableColumn id="11" xr3:uid="{BEC38D1C-B91E-47D2-9FC8-BD142F3B6ED0}" name="file_name_local"/>
    <tableColumn id="12" xr3:uid="{B69DA6A0-8F42-4BBB-8975-BC40C2190B95}" name="inclusion_status"/>
    <tableColumn id="13" xr3:uid="{4450993E-0A8E-49AC-8432-B72C5D226B34}" name="exclusion_reason" dataDxfId="15"/>
    <tableColumn id="14" xr3:uid="{79CF5412-0617-46AD-89D2-35B9A81F31C8}" name="relevance_notes"/>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B0A811C-5BC7-46E4-8405-0246B591DBD6}" name="Tabelle4" displayName="Tabelle4" ref="A1:H29" totalsRowShown="0">
  <autoFilter ref="A1:H29" xr:uid="{7B0A811C-5BC7-46E4-8405-0246B591DBD6}"/>
  <tableColumns count="8">
    <tableColumn id="1" xr3:uid="{4D7BB10F-3BF6-4441-BE78-1C08237BB8E4}" name="value_id"/>
    <tableColumn id="2" xr3:uid="{6A69BBE3-69ED-467D-A0FE-8ECDCC89D78E}" name="value_name"/>
    <tableColumn id="3" xr3:uid="{41EA2E61-E6E8-444B-BDD5-2CA1E9D05EAF}" name="definition_short"/>
    <tableColumn id="4" xr3:uid="{3F93D639-9849-40EA-A331-7B37547E2CBF}" name="include_rules"/>
    <tableColumn id="5" xr3:uid="{1F9BF2E9-ABED-4295-BE84-5CD158E0CEA2}" name="exclude_rules"/>
    <tableColumn id="6" xr3:uid="{A63B0504-C8A1-46F4-ADD6-E8CF3B3FEEB0}" name="synonyms_terms"/>
    <tableColumn id="7" xr3:uid="{FD91BA0D-1033-480B-B466-98174210B2E9}" name="example_phrases"/>
    <tableColumn id="8" xr3:uid="{89B3ACB5-7B0F-4360-BA60-87828FDF9890}" name="notes_boundary_cases"/>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94649AF-DA1E-48ED-8099-0B33A67C2B55}" name="Tabelle5" displayName="Tabelle5" ref="A1:K572" totalsRowShown="0">
  <autoFilter ref="A1:K572" xr:uid="{794649AF-DA1E-48ED-8099-0B33A67C2B55}"/>
  <tableColumns count="11">
    <tableColumn id="1" xr3:uid="{B25DAA88-1496-4A1D-9CDC-F3F7FC263E6B}" name="company_id" dataDxfId="14"/>
    <tableColumn id="2" xr3:uid="{C403EEEA-311E-4936-9681-331B844B0893}" name="doc_id" dataDxfId="13"/>
    <tableColumn id="3" xr3:uid="{06C75828-DC84-408A-817F-C1DB23B8E593}" name="value_id" dataDxfId="12"/>
    <tableColumn id="4" xr3:uid="{F51FA92F-A9DB-48FF-894C-B05D1F7CB091}" name="value_present" dataDxfId="11"/>
    <tableColumn id="5" xr3:uid="{EDEB478B-823A-4414-9B33-6C8500F4A064}" name="binding_level" dataDxfId="10"/>
    <tableColumn id="6" xr3:uid="{7FDF1259-AC6F-4C3D-9585-2B499639CFA0}" name="binding_justification"/>
    <tableColumn id="7" xr3:uid="{CABA95D1-768F-4D99-88A4-F78F55F5A980}" name="evidence_quote"/>
    <tableColumn id="8" xr3:uid="{E6723090-EB1F-4F50-AD38-7C248DC9EFF2}" name="evidence_location"/>
    <tableColumn id="9" xr3:uid="{EBE231B4-6A9B-4E51-A1A0-67FC8BDF7FBB}" name="coder_confidence" dataDxfId="9"/>
    <tableColumn id="10" xr3:uid="{852F73B7-B49E-466F-B2C5-1DD6216E5DEF}" name="notes"/>
    <tableColumn id="11" xr3:uid="{804E6649-063F-44AA-B9CC-713F2123053D}" name="value_points" dataDxfId="8">
      <calculatedColumnFormula>Tabelle5[[#This Row],[value_present]]*Tabelle5[[#This Row],[binding_level]]</calculatedColumnFormula>
    </tableColumn>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64A48CE-06EE-42F4-94A6-51ACE53C974F}" name="Tabelle18" displayName="Tabelle18" ref="A1:G41" totalsRowShown="0">
  <autoFilter ref="A1:G41" xr:uid="{B64A48CE-06EE-42F4-94A6-51ACE53C974F}"/>
  <tableColumns count="7">
    <tableColumn id="1" xr3:uid="{B9E96A4C-98BD-43A4-9C59-CDF8496C81CD}" name="company_id"/>
    <tableColumn id="2" xr3:uid="{B50BDFE2-33C2-4AED-8AD7-8F6F08203132}" name="value_id"/>
    <tableColumn id="3" xr3:uid="{59FB6D8C-27CA-4103-A128-7A0F91F5EBC1}" name="value_present_company" dataDxfId="7">
      <calculatedColumnFormula>IF(Tabelle18[[#This Row],[binding_level_company]]&gt;=1,1,0)</calculatedColumnFormula>
    </tableColumn>
    <tableColumn id="4" xr3:uid="{57C3D191-F2E8-43DB-A883-B6EFD2FD0A34}" name="binding_level_company" dataDxfId="6">
      <calculatedColumnFormula>_xlfn.MAXIFS(Tabelle5[[#This Row],[binding_level]], Tabelle5[[#This Row],[company_id]],Tabelle18[[#This Row],[company_id]], Tabelle5[[#This Row],[value_id]], Tabelle18[[#This Row],[value_id]], Tabelle5[[#This Row],[value_present]],"1")</calculatedColumnFormula>
    </tableColumn>
    <tableColumn id="5" xr3:uid="{743B3508-7961-47CD-A4AB-390D694EF848}" name="value_points_company" dataDxfId="5">
      <calculatedColumnFormula>_xlfn.MAXIFS(Tabelle5[[#This Row],[value_points]], Tabelle5[[#This Row],[company_id]],Tabelle18[[#This Row],[company_id]], Tabelle5[[#This Row],[value_id]], Tabelle18[[#This Row],[value_id]], Tabelle5[[#This Row],[value_present]],"1")</calculatedColumnFormula>
    </tableColumn>
    <tableColumn id="6" xr3:uid="{34CBCA3B-E547-4918-AF42-CB723ABE3471}" name="doc_id_strongest"/>
    <tableColumn id="7" xr3:uid="{50811FE7-8B45-4ED5-9EE3-35F93B4A1C44}" name="evidence_location_strongest"/>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03C6045-F9E6-494C-AF06-57E384745887}" name="Tabelle6" displayName="Tabelle6" ref="A1:H8" totalsRowShown="0">
  <autoFilter ref="A1:H8" xr:uid="{303C6045-F9E6-494C-AF06-57E384745887}"/>
  <tableColumns count="8">
    <tableColumn id="1" xr3:uid="{06995F0F-90CF-464C-87F6-C6F5237AB4A7}" name="gov_crit_id"/>
    <tableColumn id="2" xr3:uid="{9A634668-8CD7-494D-A2AF-D696C8BDEC53}" name="criterion_name"/>
    <tableColumn id="3" xr3:uid="{BE5DEDD2-249C-493D-B056-F33F9E3B5AF0}" name="score_0_definition"/>
    <tableColumn id="4" xr3:uid="{7D39CA96-5B23-4059-94AF-311B94477FDC}" name="score_1_definition"/>
    <tableColumn id="5" xr3:uid="{8FC90C61-9D2E-4BDE-ABF1-9CA7B8EA3915}" name="score_2_definition"/>
    <tableColumn id="6" xr3:uid="{214B385D-55EC-4AF5-A4C3-ED9DF08F4E6A}" name="score_3_definition"/>
    <tableColumn id="7" xr3:uid="{4DB346F4-8C80-455E-A1C3-54857CA1B633}" name="evidence_minimum"/>
    <tableColumn id="8" xr3:uid="{F07BC023-DB6B-4D9D-B74E-CBB986207895}" name="typical_evidence_terms"/>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BF3CC75-2124-480E-A9D0-3C4C8CD282B3}" name="Tabelle7" displayName="Tabelle7" ref="A1:I210" totalsRowShown="0">
  <autoFilter ref="A1:I210" xr:uid="{5BF3CC75-2124-480E-A9D0-3C4C8CD282B3}"/>
  <tableColumns count="9">
    <tableColumn id="1" xr3:uid="{BF5C5559-EC90-409A-B29D-4F4C8531718E}" name="company_id"/>
    <tableColumn id="2" xr3:uid="{80A63A8B-8A78-4E29-BD7C-039B928A7C9C}" name="gov_crit_id"/>
    <tableColumn id="3" xr3:uid="{FD002F1F-FDA9-4017-99E4-E4D7D3ACC4F6}" name="doc_id_primary_evidence"/>
    <tableColumn id="4" xr3:uid="{0AE14E49-0279-4075-BA96-0A792C9B82DD}" name="score_0_3"/>
    <tableColumn id="5" xr3:uid="{743C646B-67CA-4EF5-BC0D-638DFD77C603}" name="evidence_quote"/>
    <tableColumn id="6" xr3:uid="{68E921FD-E152-4405-BCFC-92D451A3ED34}" name="evidence_location"/>
    <tableColumn id="7" xr3:uid="{8096C3A7-F132-4E19-9B62-F53669D1E8C6}" name="why_not_higher"/>
    <tableColumn id="8" xr3:uid="{5C3500B9-A904-4C39-A7E0-6D464083D68F}" name="coder_confidence"/>
    <tableColumn id="9" xr3:uid="{506FF6EE-0D40-41F0-B87F-B4FDD23DAA3C}" name="notes"/>
  </tableColumns>
  <tableStyleInfo name="TableStyleLight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300F797-EBDF-41AA-A94D-BD5CEF308E47}" name="Tabelle8" displayName="Tabelle8" ref="A1:G41" totalsRowShown="0">
  <autoFilter ref="A1:G41" xr:uid="{C300F797-EBDF-41AA-A94D-BD5CEF308E47}"/>
  <tableColumns count="7">
    <tableColumn id="1" xr3:uid="{A87505CC-BAEB-4999-83AD-57465CB9AF11}" name="company_id"/>
    <tableColumn id="2" xr3:uid="{507B5BA7-8172-4BFA-9DC8-176E5DF5B744}" name="sector_cluster"/>
    <tableColumn id="3" xr3:uid="{00B38A82-5FE2-4A9D-BD2C-75C7C716FA37}" name="values_raw_points" dataDxfId="4">
      <calculatedColumnFormula>SUMIF(Tabelle18[[#This Row],[value_points_company]],Tabelle5[[#This Row],[company_id]],Tabelle8[[#This Row],[company_id]])</calculatedColumnFormula>
    </tableColumn>
    <tableColumn id="4" xr3:uid="{07D74540-FCE8-45CD-81E0-9EBDC51759F0}" name="values_max_points" dataDxfId="3">
      <calculatedColumnFormula>(COUNTA('02_Values_Codebook'!A:A)-1)*3</calculatedColumnFormula>
    </tableColumn>
    <tableColumn id="5" xr3:uid="{5D9B4697-9784-4EF7-9C63-C3CE63563C3C}" name="convergence_index_0_1" dataDxfId="2">
      <calculatedColumnFormula>Tabelle8[[#This Row],[values_raw_points]]/Tabelle8[[#This Row],[values_max_points]]</calculatedColumnFormula>
    </tableColumn>
    <tableColumn id="6" xr3:uid="{606FD58E-B2AB-401F-B1F0-BA796F03FD52}" name="gov_points_sum" dataDxfId="1">
      <calculatedColumnFormula>SUMIF(Tabelle7[[#This Row],[score_0_3]],Tabelle7[[#This Row],[company_id]],Tabelle8[[#This Row],[company_id]])</calculatedColumnFormula>
    </tableColumn>
    <tableColumn id="7" xr3:uid="{F0AC04B4-A92E-4E8F-9B76-9B19CD8BC4DA}" name="gov_index_0_100" dataDxfId="0">
      <calculatedColumnFormula xml:space="preserve"> (Tabelle8[[#This Row],[gov_points_sum]]/21)*100</calculatedColumnFormula>
    </tableColumn>
  </tableColumns>
  <tableStyleInfo name="TableStyleLight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DB870605-C630-4F9E-ABF7-1A621B539F80}" name="Tabelle19" displayName="Tabelle19" ref="A1:J23" totalsRowShown="0">
  <autoFilter ref="A1:J23" xr:uid="{DB870605-C630-4F9E-ABF7-1A621B539F80}"/>
  <tableColumns count="10">
    <tableColumn id="1" xr3:uid="{7C8BAC63-A423-4EBF-85AB-670D21DA1424}" name="case_id"/>
    <tableColumn id="2" xr3:uid="{E87CD229-E600-418A-977A-3A0092884A74}" name="date"/>
    <tableColumn id="3" xr3:uid="{8393344E-1864-49F5-B549-489C7AD77B81}" name="company_id"/>
    <tableColumn id="4" xr3:uid="{FB835817-0AD2-4CF3-8946-3BEB45A1726A}" name="doc_id"/>
    <tableColumn id="5" xr3:uid="{B8D8A9C9-2F2C-4579-A689-593BDF3BB5CF}" name="dimension(values/governance)"/>
    <tableColumn id="6" xr3:uid="{D1C2B9FC-804B-4A3D-9D5A-66FFDBDBBE6D}" name="value_id_or_gov_crit_id"/>
    <tableColumn id="7" xr3:uid="{8F4776D8-1172-4E8F-849A-214834AC614C}" name="problem_description"/>
    <tableColumn id="8" xr3:uid="{B507322A-F87B-4342-8FD0-D1F222F80BCB}" name="decision"/>
    <tableColumn id="9" xr3:uid="{A0701B6F-A70A-4C58-8060-CC0AC64D3B47}" name="rule_added_to_codebook"/>
    <tableColumn id="10" xr3:uid="{5A835F72-F43C-4348-9622-D76A878A2C0D}" name="codebook_version"/>
  </tableColumns>
  <tableStyleInfo name="TableStyleLight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577634FD-84B3-471C-9CB5-84D399B709AF}" name="Tabelle20" displayName="Tabelle20" ref="A1:G13" totalsRowShown="0">
  <autoFilter ref="A1:G13" xr:uid="{577634FD-84B3-471C-9CB5-84D399B709AF}"/>
  <tableColumns count="7">
    <tableColumn id="1" xr3:uid="{FB2C78EA-E7D9-49EB-92E6-05FF7F48117D}" name="codebook_version"/>
    <tableColumn id="2" xr3:uid="{AB1578BF-373C-4703-A977-CE8BF06A7DFB}" name="date"/>
    <tableColumn id="3" xr3:uid="{97FF56D2-CEDE-4E78-8A33-7645F273F78D}" name="change_type(add/modify/remove)"/>
    <tableColumn id="4" xr3:uid="{ABD716F3-11BD-4F91-92F9-78BD91F09541}" name="item_id(value_id/gov_crit_id)"/>
    <tableColumn id="5" xr3:uid="{0A74C992-658C-423A-987F-B30958DD3C13}" name="what_changed"/>
    <tableColumn id="6" xr3:uid="{B686907A-7861-4F0C-BCF0-59162A50B687}" name="why_changed"/>
    <tableColumn id="7" xr3:uid="{F6679470-05AD-460D-9AF2-61DDF4DE14D4}" name="impact_on_previous_coding(recode_needed yes/no)"/>
  </tableColumns>
  <tableStyleInfo name="TableStyleLight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77CA7051-1183-4466-BE01-54A6931D8D9E}" name="Tabelle21" displayName="Tabelle21" ref="A1:E41" totalsRowShown="0">
  <autoFilter ref="A1:E41" xr:uid="{77CA7051-1183-4466-BE01-54A6931D8D9E}"/>
  <tableColumns count="5">
    <tableColumn id="1" xr3:uid="{D8A5DB88-0B1A-4FF5-A074-122BC6B37A42}" name="company_id"/>
    <tableColumn id="2" xr3:uid="{8B29CFA1-2B19-45F5-BA51-5F4F71BC46DC}" name="overall_notes"/>
    <tableColumn id="3" xr3:uid="{8EA9E8BF-0F77-4E41-94A6-552A7F35FB7C}" name="key_documents_used"/>
    <tableColumn id="4" xr3:uid="{8BB562BD-CE16-46F2-85DF-3CFE4A0B3297}" name="areas_of_uncertainty"/>
    <tableColumn id="5" xr3:uid="{D51E101B-62C1-4BBF-BEEC-4950D45C4E87}" name="follow_up_needed"/>
  </tableColumns>
  <tableStyleInfo name="TableStyleLight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BBD6ADE-5CDE-469D-A5F8-F4F7B51A2264}" name="Tabelle9" displayName="Tabelle9" ref="A1:A9" totalsRowShown="0">
  <autoFilter ref="A1:A9" xr:uid="{9BBD6ADE-5CDE-469D-A5F8-F4F7B51A2264}"/>
  <tableColumns count="1">
    <tableColumn id="1" xr3:uid="{358E3F9F-8340-4455-960D-1A6B1A199A94}" name="Sektoren"/>
  </tableColumns>
  <tableStyleInfo name="TableStyleLight8"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AF11BA6-DC82-4C08-AB40-6D3293BC9504}" name="Tabelle10" displayName="Tabelle10" ref="C1:C11" totalsRowShown="0">
  <autoFilter ref="C1:C11" xr:uid="{7AF11BA6-DC82-4C08-AB40-6D3293BC9504}"/>
  <tableColumns count="1">
    <tableColumn id="1" xr3:uid="{28A7C821-4137-4DD4-A6BF-7F27BF5C2B1D}" name="Dokumententyp"/>
  </tableColumns>
  <tableStyleInfo name="TableStyleLight8"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A07CFA5-DDFC-4557-8D4B-5432F6C185D4}" name="Tabelle11" displayName="Tabelle11" ref="E1:E5" totalsRowShown="0">
  <autoFilter ref="E1:E5" xr:uid="{5A07CFA5-DDFC-4557-8D4B-5432F6C185D4}"/>
  <tableColumns count="1">
    <tableColumn id="1" xr3:uid="{17E1C0AF-850C-4054-98A9-680F2DBD9C51}" name="Sprache"/>
  </tableColumns>
  <tableStyleInfo name="TableStyleLight8"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518B3DF1-8863-4DEB-BB7B-0CECB36DB8D4}" name="Tabelle12" displayName="Tabelle12" ref="G1:G4" totalsRowShown="0">
  <autoFilter ref="G1:G4" xr:uid="{518B3DF1-8863-4DEB-BB7B-0CECB36DB8D4}"/>
  <tableColumns count="1">
    <tableColumn id="1" xr3:uid="{7B0A6103-4604-484D-8818-44E43C6E3DF6}" name="Inkludierungsstatus"/>
  </tableColumns>
  <tableStyleInfo name="TableStyleLight8"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536FAD69-DF79-48A5-AD47-4FF0736AD218}" name="Tabelle13" displayName="Tabelle13" ref="I1:I7" totalsRowShown="0">
  <autoFilter ref="I1:I7" xr:uid="{536FAD69-DF79-48A5-AD47-4FF0736AD218}"/>
  <tableColumns count="1">
    <tableColumn id="1" xr3:uid="{96E22817-6B23-4C2A-96D2-7C1EF4AF930F}" name="Ausschlussgrund"/>
  </tableColumns>
  <tableStyleInfo name="TableStyleLight8"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13F1694A-031C-485A-9505-7DBFEE9D00F2}" name="Tabelle14" displayName="Tabelle14" ref="K1:K4" totalsRowShown="0">
  <autoFilter ref="K1:K4" xr:uid="{13F1694A-031C-485A-9505-7DBFEE9D00F2}"/>
  <tableColumns count="1">
    <tableColumn id="1" xr3:uid="{D16AC83B-5796-4B93-8319-4B9A6CE8CC2D}" name="Kodierungskonfidenz"/>
  </tableColumns>
  <tableStyleInfo name="TableStyleLight8"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4676E1C5-826D-40B0-9AE4-59554DE78A7A}" name="Tabelle15" displayName="Tabelle15" ref="M1:M4" totalsRowShown="0">
  <autoFilter ref="M1:M4" xr:uid="{4676E1C5-826D-40B0-9AE4-59554DE78A7A}"/>
  <tableColumns count="1">
    <tableColumn id="1" xr3:uid="{ACA7A75B-428C-468F-A87C-CC163947EC83}" name="Bindigkeitsniveau"/>
  </tableColumns>
  <tableStyleInfo name="TableStyleLight8"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2471D5AB-7EB3-4BDA-AD98-89690BCA4E10}" name="Tabelle16" displayName="Tabelle16" ref="O1:O3" totalsRowShown="0">
  <autoFilter ref="O1:O3" xr:uid="{2471D5AB-7EB3-4BDA-AD98-89690BCA4E10}"/>
  <tableColumns count="1">
    <tableColumn id="1" xr3:uid="{6FA35486-3F38-499E-8C7A-08CA6D5187F9}" name="Value_present"/>
  </tableColumns>
  <tableStyleInfo name="TableStyleLight8"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3552BF9B-E401-4F9A-BC34-9F0B4CE96371}" name="Tabelle17" displayName="Tabelle17" ref="Q1:Q5" totalsRowShown="0">
  <autoFilter ref="Q1:Q5" xr:uid="{3552BF9B-E401-4F9A-BC34-9F0B4CE96371}"/>
  <tableColumns count="1">
    <tableColumn id="1" xr3:uid="{D4A6D96B-2C53-476A-86CF-E427067FBE75}" name="Score_0_3"/>
  </tableColumns>
  <tableStyleInfo name="TableStyleLight8"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8" Type="http://schemas.openxmlformats.org/officeDocument/2006/relationships/table" Target="../tables/table18.xml"/><Relationship Id="rId3" Type="http://schemas.openxmlformats.org/officeDocument/2006/relationships/table" Target="../tables/table13.xml"/><Relationship Id="rId7" Type="http://schemas.openxmlformats.org/officeDocument/2006/relationships/table" Target="../tables/table17.xml"/><Relationship Id="rId2" Type="http://schemas.openxmlformats.org/officeDocument/2006/relationships/table" Target="../tables/table12.xml"/><Relationship Id="rId1" Type="http://schemas.openxmlformats.org/officeDocument/2006/relationships/printerSettings" Target="../printerSettings/printerSettings1.bin"/><Relationship Id="rId6" Type="http://schemas.openxmlformats.org/officeDocument/2006/relationships/table" Target="../tables/table16.xml"/><Relationship Id="rId5" Type="http://schemas.openxmlformats.org/officeDocument/2006/relationships/table" Target="../tables/table15.xml"/><Relationship Id="rId10" Type="http://schemas.openxmlformats.org/officeDocument/2006/relationships/table" Target="../tables/table20.xml"/><Relationship Id="rId4" Type="http://schemas.openxmlformats.org/officeDocument/2006/relationships/table" Target="../tables/table14.xml"/><Relationship Id="rId9" Type="http://schemas.openxmlformats.org/officeDocument/2006/relationships/table" Target="../tables/table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0E40C-2567-4F37-80E9-918F97463CB5}">
  <dimension ref="A1:I41"/>
  <sheetViews>
    <sheetView tabSelected="1" workbookViewId="0">
      <selection activeCell="E26" sqref="E26"/>
    </sheetView>
  </sheetViews>
  <sheetFormatPr baseColWidth="10" defaultRowHeight="15" x14ac:dyDescent="0.25"/>
  <cols>
    <col min="1" max="1" width="13.85546875" customWidth="1"/>
    <col min="2" max="2" width="24.7109375" bestFit="1" customWidth="1"/>
    <col min="3" max="3" width="14" bestFit="1" customWidth="1"/>
    <col min="4" max="4" width="16.140625" bestFit="1" customWidth="1"/>
    <col min="5" max="5" width="36.85546875" customWidth="1"/>
    <col min="6" max="6" width="20.7109375" bestFit="1" customWidth="1"/>
    <col min="7" max="7" width="25.5703125" bestFit="1" customWidth="1"/>
    <col min="8" max="8" width="25.5703125" customWidth="1"/>
    <col min="9" max="9" width="17.42578125" bestFit="1" customWidth="1"/>
  </cols>
  <sheetData>
    <row r="1" spans="1:9" x14ac:dyDescent="0.25">
      <c r="A1" t="s">
        <v>0</v>
      </c>
      <c r="B1" t="s">
        <v>1</v>
      </c>
      <c r="C1" t="s">
        <v>2</v>
      </c>
      <c r="D1" t="s">
        <v>3</v>
      </c>
      <c r="E1" t="s">
        <v>4</v>
      </c>
      <c r="F1" t="s">
        <v>5</v>
      </c>
      <c r="G1" t="s">
        <v>6</v>
      </c>
      <c r="H1" t="s">
        <v>603</v>
      </c>
      <c r="I1" t="s">
        <v>7</v>
      </c>
    </row>
    <row r="2" spans="1:9" x14ac:dyDescent="0.25">
      <c r="A2">
        <v>1</v>
      </c>
      <c r="B2" s="4" t="s">
        <v>320</v>
      </c>
      <c r="C2" t="s">
        <v>321</v>
      </c>
      <c r="D2" s="1" t="s">
        <v>257</v>
      </c>
      <c r="E2" t="s">
        <v>322</v>
      </c>
      <c r="F2" s="5" t="s">
        <v>451</v>
      </c>
      <c r="G2" t="s">
        <v>324</v>
      </c>
      <c r="H2" s="6">
        <v>28070.86</v>
      </c>
      <c r="I2" t="s">
        <v>463</v>
      </c>
    </row>
    <row r="3" spans="1:9" x14ac:dyDescent="0.25">
      <c r="A3">
        <v>2</v>
      </c>
      <c r="B3" s="4" t="s">
        <v>323</v>
      </c>
      <c r="C3" t="s">
        <v>325</v>
      </c>
      <c r="D3" s="1" t="s">
        <v>253</v>
      </c>
      <c r="E3" t="s">
        <v>326</v>
      </c>
      <c r="F3" s="5" t="s">
        <v>452</v>
      </c>
      <c r="G3" t="s">
        <v>327</v>
      </c>
      <c r="H3" s="6">
        <v>146046.49</v>
      </c>
      <c r="I3" t="s">
        <v>495</v>
      </c>
    </row>
    <row r="4" spans="1:9" x14ac:dyDescent="0.25">
      <c r="A4">
        <v>3</v>
      </c>
      <c r="B4" s="4" t="s">
        <v>328</v>
      </c>
      <c r="C4" t="s">
        <v>329</v>
      </c>
      <c r="D4" s="1" t="s">
        <v>254</v>
      </c>
      <c r="E4" t="s">
        <v>330</v>
      </c>
      <c r="F4" s="5" t="s">
        <v>451</v>
      </c>
      <c r="G4" t="s">
        <v>331</v>
      </c>
      <c r="H4" s="6">
        <v>138065.07999999999</v>
      </c>
      <c r="I4" t="s">
        <v>524</v>
      </c>
    </row>
    <row r="5" spans="1:9" x14ac:dyDescent="0.25">
      <c r="A5">
        <v>4</v>
      </c>
      <c r="B5" s="4" t="s">
        <v>332</v>
      </c>
      <c r="C5" t="s">
        <v>333</v>
      </c>
      <c r="D5" s="1" t="s">
        <v>259</v>
      </c>
      <c r="E5" t="s">
        <v>334</v>
      </c>
      <c r="F5" s="5" t="s">
        <v>453</v>
      </c>
      <c r="G5" t="s">
        <v>331</v>
      </c>
      <c r="H5" s="6">
        <v>36934</v>
      </c>
      <c r="I5" t="s">
        <v>547</v>
      </c>
    </row>
    <row r="6" spans="1:9" x14ac:dyDescent="0.25">
      <c r="A6">
        <v>5</v>
      </c>
      <c r="B6" s="4" t="s">
        <v>335</v>
      </c>
      <c r="C6" t="s">
        <v>336</v>
      </c>
      <c r="D6" s="1" t="s">
        <v>259</v>
      </c>
      <c r="E6" t="s">
        <v>337</v>
      </c>
      <c r="F6" s="5" t="s">
        <v>454</v>
      </c>
      <c r="G6" t="s">
        <v>331</v>
      </c>
      <c r="H6" s="6">
        <v>33814.35</v>
      </c>
      <c r="I6" t="s">
        <v>583</v>
      </c>
    </row>
    <row r="7" spans="1:9" x14ac:dyDescent="0.25">
      <c r="A7">
        <v>6</v>
      </c>
      <c r="B7" s="4" t="s">
        <v>338</v>
      </c>
      <c r="C7" t="s">
        <v>339</v>
      </c>
      <c r="D7" s="1" t="s">
        <v>257</v>
      </c>
      <c r="E7" t="s">
        <v>340</v>
      </c>
      <c r="F7" s="5" t="s">
        <v>455</v>
      </c>
      <c r="G7" t="s">
        <v>341</v>
      </c>
      <c r="H7" s="6">
        <v>19043.54</v>
      </c>
      <c r="I7" t="s">
        <v>588</v>
      </c>
    </row>
    <row r="8" spans="1:9" x14ac:dyDescent="0.25">
      <c r="A8">
        <v>7</v>
      </c>
      <c r="B8" s="4" t="s">
        <v>342</v>
      </c>
      <c r="C8" t="s">
        <v>342</v>
      </c>
      <c r="D8" s="1" t="s">
        <v>253</v>
      </c>
      <c r="E8" t="s">
        <v>343</v>
      </c>
      <c r="F8" s="5" t="s">
        <v>451</v>
      </c>
      <c r="G8" t="s">
        <v>331</v>
      </c>
      <c r="H8" s="6">
        <v>52864.52</v>
      </c>
      <c r="I8" t="s">
        <v>583</v>
      </c>
    </row>
    <row r="9" spans="1:9" x14ac:dyDescent="0.25">
      <c r="A9">
        <v>8</v>
      </c>
      <c r="B9" s="4" t="s">
        <v>344</v>
      </c>
      <c r="C9" t="s">
        <v>345</v>
      </c>
      <c r="D9" s="1" t="s">
        <v>259</v>
      </c>
      <c r="E9" t="s">
        <v>346</v>
      </c>
      <c r="F9" s="5" t="s">
        <v>454</v>
      </c>
      <c r="G9" t="s">
        <v>327</v>
      </c>
      <c r="H9" s="6">
        <v>6654.82</v>
      </c>
      <c r="I9" t="s">
        <v>624</v>
      </c>
    </row>
    <row r="10" spans="1:9" x14ac:dyDescent="0.25">
      <c r="A10">
        <v>9</v>
      </c>
      <c r="B10" s="4" t="s">
        <v>347</v>
      </c>
      <c r="C10" t="s">
        <v>348</v>
      </c>
      <c r="D10" s="1" t="s">
        <v>254</v>
      </c>
      <c r="E10" t="s">
        <v>349</v>
      </c>
      <c r="F10" s="5" t="s">
        <v>456</v>
      </c>
      <c r="G10" t="s">
        <v>350</v>
      </c>
      <c r="H10" s="6">
        <v>37853.56</v>
      </c>
      <c r="I10" t="s">
        <v>644</v>
      </c>
    </row>
    <row r="11" spans="1:9" x14ac:dyDescent="0.25">
      <c r="A11">
        <v>10</v>
      </c>
      <c r="B11" s="4" t="s">
        <v>351</v>
      </c>
      <c r="C11" t="s">
        <v>352</v>
      </c>
      <c r="D11" s="1" t="s">
        <v>253</v>
      </c>
      <c r="E11" t="s">
        <v>353</v>
      </c>
      <c r="F11" s="5" t="s">
        <v>457</v>
      </c>
      <c r="G11" t="s">
        <v>354</v>
      </c>
      <c r="H11" s="6">
        <v>12640.94</v>
      </c>
      <c r="I11" t="s">
        <v>675</v>
      </c>
    </row>
    <row r="12" spans="1:9" x14ac:dyDescent="0.25">
      <c r="A12">
        <v>11</v>
      </c>
      <c r="B12" s="4" t="s">
        <v>355</v>
      </c>
      <c r="C12" t="s">
        <v>356</v>
      </c>
      <c r="D12" s="1" t="s">
        <v>253</v>
      </c>
      <c r="E12" t="s">
        <v>357</v>
      </c>
      <c r="F12" s="5" t="s">
        <v>458</v>
      </c>
      <c r="G12" t="s">
        <v>358</v>
      </c>
      <c r="H12" s="6">
        <v>25660.46</v>
      </c>
      <c r="I12" t="s">
        <v>690</v>
      </c>
    </row>
    <row r="13" spans="1:9" x14ac:dyDescent="0.25">
      <c r="A13">
        <v>12</v>
      </c>
      <c r="B13" s="4" t="s">
        <v>359</v>
      </c>
      <c r="C13" t="s">
        <v>360</v>
      </c>
      <c r="D13" s="1" t="s">
        <v>254</v>
      </c>
      <c r="E13" t="s">
        <v>349</v>
      </c>
      <c r="F13" s="5" t="s">
        <v>456</v>
      </c>
      <c r="G13" t="s">
        <v>331</v>
      </c>
      <c r="H13" s="6">
        <v>57682.6</v>
      </c>
      <c r="I13" t="s">
        <v>724</v>
      </c>
    </row>
    <row r="14" spans="1:9" x14ac:dyDescent="0.25">
      <c r="A14">
        <v>13</v>
      </c>
      <c r="B14" s="4" t="s">
        <v>361</v>
      </c>
      <c r="C14" t="s">
        <v>362</v>
      </c>
      <c r="D14" s="1" t="s">
        <v>254</v>
      </c>
      <c r="E14" t="s">
        <v>363</v>
      </c>
      <c r="F14" s="5" t="s">
        <v>456</v>
      </c>
      <c r="G14" t="s">
        <v>364</v>
      </c>
      <c r="H14" s="6">
        <v>38233.440000000002</v>
      </c>
      <c r="I14" t="s">
        <v>748</v>
      </c>
    </row>
    <row r="15" spans="1:9" x14ac:dyDescent="0.25">
      <c r="A15">
        <v>14</v>
      </c>
      <c r="B15" s="4" t="s">
        <v>365</v>
      </c>
      <c r="C15" t="s">
        <v>366</v>
      </c>
      <c r="D15" s="1" t="s">
        <v>260</v>
      </c>
      <c r="E15" t="s">
        <v>367</v>
      </c>
      <c r="F15" s="5" t="s">
        <v>454</v>
      </c>
      <c r="G15" t="s">
        <v>368</v>
      </c>
      <c r="H15" s="6">
        <v>47026.95</v>
      </c>
      <c r="I15" t="s">
        <v>809</v>
      </c>
    </row>
    <row r="16" spans="1:9" x14ac:dyDescent="0.25">
      <c r="A16">
        <v>15</v>
      </c>
      <c r="B16" s="4" t="s">
        <v>369</v>
      </c>
      <c r="C16" t="s">
        <v>370</v>
      </c>
      <c r="D16" s="1" t="s">
        <v>258</v>
      </c>
      <c r="E16" t="s">
        <v>371</v>
      </c>
      <c r="F16" s="5" t="s">
        <v>454</v>
      </c>
      <c r="G16" t="s">
        <v>372</v>
      </c>
      <c r="H16" s="6">
        <v>126057.53</v>
      </c>
      <c r="I16" t="s">
        <v>810</v>
      </c>
    </row>
    <row r="17" spans="1:9" x14ac:dyDescent="0.25">
      <c r="A17">
        <v>16</v>
      </c>
      <c r="B17" s="4" t="s">
        <v>373</v>
      </c>
      <c r="C17" t="s">
        <v>374</v>
      </c>
      <c r="D17" s="1" t="s">
        <v>258</v>
      </c>
      <c r="E17" t="s">
        <v>375</v>
      </c>
      <c r="F17" s="5" t="s">
        <v>454</v>
      </c>
      <c r="G17" t="s">
        <v>461</v>
      </c>
      <c r="H17" s="6">
        <v>39186.39</v>
      </c>
      <c r="I17" t="s">
        <v>858</v>
      </c>
    </row>
    <row r="18" spans="1:9" x14ac:dyDescent="0.25">
      <c r="A18">
        <v>17</v>
      </c>
      <c r="B18" s="4" t="s">
        <v>376</v>
      </c>
      <c r="C18" t="s">
        <v>377</v>
      </c>
      <c r="D18" s="1" t="s">
        <v>255</v>
      </c>
      <c r="E18" t="s">
        <v>378</v>
      </c>
      <c r="F18" s="5" t="s">
        <v>456</v>
      </c>
      <c r="G18" t="s">
        <v>379</v>
      </c>
      <c r="H18" s="6">
        <v>25656.23</v>
      </c>
      <c r="I18" t="s">
        <v>876</v>
      </c>
    </row>
    <row r="19" spans="1:9" x14ac:dyDescent="0.25">
      <c r="A19">
        <v>18</v>
      </c>
      <c r="B19" s="4" t="s">
        <v>380</v>
      </c>
      <c r="C19" t="s">
        <v>381</v>
      </c>
      <c r="D19" s="1" t="s">
        <v>255</v>
      </c>
      <c r="E19" t="s">
        <v>382</v>
      </c>
      <c r="F19" s="5" t="s">
        <v>451</v>
      </c>
      <c r="G19" t="s">
        <v>383</v>
      </c>
      <c r="H19" s="6">
        <v>10987.23</v>
      </c>
      <c r="I19" t="s">
        <v>897</v>
      </c>
    </row>
    <row r="20" spans="1:9" x14ac:dyDescent="0.25">
      <c r="A20">
        <v>19</v>
      </c>
      <c r="B20" s="4" t="s">
        <v>384</v>
      </c>
      <c r="C20" t="s">
        <v>385</v>
      </c>
      <c r="D20" s="1" t="s">
        <v>253</v>
      </c>
      <c r="E20" t="s">
        <v>386</v>
      </c>
      <c r="F20" s="5" t="s">
        <v>454</v>
      </c>
      <c r="G20" t="s">
        <v>387</v>
      </c>
      <c r="H20" s="6">
        <v>8239.01</v>
      </c>
      <c r="I20" t="s">
        <v>915</v>
      </c>
    </row>
    <row r="21" spans="1:9" x14ac:dyDescent="0.25">
      <c r="A21">
        <v>20</v>
      </c>
      <c r="B21" s="4" t="s">
        <v>388</v>
      </c>
      <c r="C21" t="s">
        <v>389</v>
      </c>
      <c r="D21" s="1" t="s">
        <v>254</v>
      </c>
      <c r="E21" t="s">
        <v>330</v>
      </c>
      <c r="F21" s="5" t="s">
        <v>457</v>
      </c>
      <c r="G21" t="s">
        <v>358</v>
      </c>
      <c r="H21" s="6">
        <v>29852.05</v>
      </c>
      <c r="I21" t="s">
        <v>945</v>
      </c>
    </row>
    <row r="22" spans="1:9" x14ac:dyDescent="0.25">
      <c r="A22">
        <v>21</v>
      </c>
      <c r="B22" t="s">
        <v>390</v>
      </c>
      <c r="C22" t="s">
        <v>391</v>
      </c>
      <c r="D22" s="1" t="s">
        <v>259</v>
      </c>
      <c r="E22" t="s">
        <v>392</v>
      </c>
      <c r="F22" s="5" t="s">
        <v>458</v>
      </c>
      <c r="G22" t="s">
        <v>393</v>
      </c>
      <c r="H22" s="6">
        <v>36922.57</v>
      </c>
    </row>
    <row r="23" spans="1:9" x14ac:dyDescent="0.25">
      <c r="A23">
        <v>22</v>
      </c>
      <c r="B23" t="s">
        <v>394</v>
      </c>
      <c r="C23" t="s">
        <v>395</v>
      </c>
      <c r="D23" s="1" t="s">
        <v>259</v>
      </c>
      <c r="E23" t="s">
        <v>396</v>
      </c>
      <c r="F23" s="5" t="s">
        <v>454</v>
      </c>
      <c r="G23" t="s">
        <v>331</v>
      </c>
      <c r="H23" s="6">
        <v>25541.89</v>
      </c>
    </row>
    <row r="24" spans="1:9" x14ac:dyDescent="0.25">
      <c r="A24">
        <v>23</v>
      </c>
      <c r="B24" t="s">
        <v>397</v>
      </c>
      <c r="C24" t="s">
        <v>398</v>
      </c>
      <c r="D24" s="1" t="s">
        <v>255</v>
      </c>
      <c r="E24" t="s">
        <v>399</v>
      </c>
      <c r="F24" s="5" t="s">
        <v>451</v>
      </c>
      <c r="G24" t="s">
        <v>400</v>
      </c>
      <c r="H24" s="6">
        <v>45690.61</v>
      </c>
    </row>
    <row r="25" spans="1:9" x14ac:dyDescent="0.25">
      <c r="A25">
        <v>24</v>
      </c>
      <c r="B25" t="s">
        <v>401</v>
      </c>
      <c r="C25" t="s">
        <v>402</v>
      </c>
      <c r="D25" s="1" t="s">
        <v>253</v>
      </c>
      <c r="E25" t="s">
        <v>343</v>
      </c>
      <c r="F25" s="5" t="s">
        <v>458</v>
      </c>
      <c r="G25" t="s">
        <v>462</v>
      </c>
      <c r="H25" s="6">
        <v>53792.73</v>
      </c>
    </row>
    <row r="26" spans="1:9" x14ac:dyDescent="0.25">
      <c r="A26">
        <v>25</v>
      </c>
      <c r="B26" t="s">
        <v>403</v>
      </c>
      <c r="C26" t="s">
        <v>404</v>
      </c>
      <c r="D26" s="1" t="s">
        <v>259</v>
      </c>
      <c r="E26" t="s">
        <v>337</v>
      </c>
      <c r="F26" s="5" t="s">
        <v>456</v>
      </c>
      <c r="G26" t="s">
        <v>405</v>
      </c>
      <c r="H26" s="6">
        <v>49572.480000000003</v>
      </c>
    </row>
    <row r="27" spans="1:9" x14ac:dyDescent="0.25">
      <c r="A27">
        <v>26</v>
      </c>
      <c r="B27" t="s">
        <v>406</v>
      </c>
      <c r="C27" t="s">
        <v>407</v>
      </c>
      <c r="D27" s="1" t="s">
        <v>253</v>
      </c>
      <c r="E27" t="s">
        <v>408</v>
      </c>
      <c r="F27" s="5" t="s">
        <v>451</v>
      </c>
      <c r="G27" t="s">
        <v>409</v>
      </c>
      <c r="H27" s="6">
        <v>17772.21</v>
      </c>
    </row>
    <row r="28" spans="1:9" x14ac:dyDescent="0.25">
      <c r="A28">
        <v>27</v>
      </c>
      <c r="B28" t="s">
        <v>410</v>
      </c>
      <c r="C28" t="s">
        <v>411</v>
      </c>
      <c r="D28" s="1" t="s">
        <v>254</v>
      </c>
      <c r="E28" t="s">
        <v>330</v>
      </c>
      <c r="F28" s="5" t="s">
        <v>451</v>
      </c>
      <c r="G28" t="s">
        <v>412</v>
      </c>
      <c r="H28" s="6">
        <v>67763.8</v>
      </c>
    </row>
    <row r="29" spans="1:9" x14ac:dyDescent="0.25">
      <c r="A29">
        <v>28</v>
      </c>
      <c r="B29" t="s">
        <v>413</v>
      </c>
      <c r="C29" t="s">
        <v>414</v>
      </c>
      <c r="D29" s="1" t="s">
        <v>253</v>
      </c>
      <c r="E29" t="s">
        <v>415</v>
      </c>
      <c r="F29" s="5" t="s">
        <v>458</v>
      </c>
      <c r="G29" t="s">
        <v>327</v>
      </c>
      <c r="H29" s="6">
        <v>11369.72</v>
      </c>
    </row>
    <row r="30" spans="1:9" x14ac:dyDescent="0.25">
      <c r="A30">
        <v>29</v>
      </c>
      <c r="B30" t="s">
        <v>416</v>
      </c>
      <c r="C30" t="s">
        <v>417</v>
      </c>
      <c r="D30" s="1" t="s">
        <v>255</v>
      </c>
      <c r="E30" t="s">
        <v>418</v>
      </c>
      <c r="F30" s="5" t="s">
        <v>452</v>
      </c>
      <c r="G30" t="s">
        <v>327</v>
      </c>
      <c r="H30" s="6">
        <v>7781.46</v>
      </c>
    </row>
    <row r="31" spans="1:9" x14ac:dyDescent="0.25">
      <c r="A31">
        <v>30</v>
      </c>
      <c r="B31" t="s">
        <v>419</v>
      </c>
      <c r="C31" t="s">
        <v>420</v>
      </c>
      <c r="D31" s="1" t="s">
        <v>253</v>
      </c>
      <c r="E31" t="s">
        <v>421</v>
      </c>
      <c r="F31" s="5" t="s">
        <v>454</v>
      </c>
      <c r="G31" t="s">
        <v>422</v>
      </c>
      <c r="H31" s="6">
        <v>66606.820000000007</v>
      </c>
    </row>
    <row r="32" spans="1:9" x14ac:dyDescent="0.25">
      <c r="A32">
        <v>31</v>
      </c>
      <c r="B32" t="s">
        <v>423</v>
      </c>
      <c r="C32" t="s">
        <v>423</v>
      </c>
      <c r="D32" s="1" t="s">
        <v>258</v>
      </c>
      <c r="E32" t="s">
        <v>375</v>
      </c>
      <c r="F32" s="5" t="s">
        <v>454</v>
      </c>
      <c r="G32" t="s">
        <v>331</v>
      </c>
      <c r="H32" s="6">
        <v>30562.07</v>
      </c>
    </row>
    <row r="33" spans="1:8" x14ac:dyDescent="0.25">
      <c r="A33">
        <v>32</v>
      </c>
      <c r="B33" t="s">
        <v>424</v>
      </c>
      <c r="C33" t="s">
        <v>424</v>
      </c>
      <c r="D33" s="1" t="s">
        <v>255</v>
      </c>
      <c r="E33" t="s">
        <v>425</v>
      </c>
      <c r="F33" s="5" t="s">
        <v>458</v>
      </c>
      <c r="G33" t="s">
        <v>426</v>
      </c>
      <c r="H33" s="6">
        <v>220619.35</v>
      </c>
    </row>
    <row r="34" spans="1:8" x14ac:dyDescent="0.25">
      <c r="A34">
        <v>33</v>
      </c>
      <c r="B34" t="s">
        <v>427</v>
      </c>
      <c r="C34" t="s">
        <v>428</v>
      </c>
      <c r="D34" s="1" t="s">
        <v>255</v>
      </c>
      <c r="E34" t="s">
        <v>429</v>
      </c>
      <c r="F34" s="5" t="s">
        <v>451</v>
      </c>
      <c r="G34" t="s">
        <v>387</v>
      </c>
      <c r="H34" s="6">
        <v>5762.36</v>
      </c>
    </row>
    <row r="35" spans="1:8" x14ac:dyDescent="0.25">
      <c r="A35">
        <v>34</v>
      </c>
      <c r="B35" t="s">
        <v>430</v>
      </c>
      <c r="C35" t="s">
        <v>431</v>
      </c>
      <c r="D35" s="1" t="s">
        <v>253</v>
      </c>
      <c r="E35" t="s">
        <v>432</v>
      </c>
      <c r="F35" s="5" t="s">
        <v>459</v>
      </c>
      <c r="G35" t="s">
        <v>331</v>
      </c>
      <c r="H35" s="6">
        <v>173538.17</v>
      </c>
    </row>
    <row r="36" spans="1:8" x14ac:dyDescent="0.25">
      <c r="A36">
        <v>35</v>
      </c>
      <c r="B36" t="s">
        <v>433</v>
      </c>
      <c r="C36" t="s">
        <v>434</v>
      </c>
      <c r="D36" s="1" t="s">
        <v>253</v>
      </c>
      <c r="E36" t="s">
        <v>435</v>
      </c>
      <c r="F36" s="5" t="s">
        <v>451</v>
      </c>
      <c r="G36" t="s">
        <v>436</v>
      </c>
      <c r="H36" s="6">
        <v>95774.61</v>
      </c>
    </row>
    <row r="37" spans="1:8" x14ac:dyDescent="0.25">
      <c r="A37">
        <v>36</v>
      </c>
      <c r="B37" t="s">
        <v>437</v>
      </c>
      <c r="C37" t="s">
        <v>438</v>
      </c>
      <c r="D37" s="1" t="s">
        <v>255</v>
      </c>
      <c r="E37" t="s">
        <v>382</v>
      </c>
      <c r="F37" s="5" t="s">
        <v>451</v>
      </c>
      <c r="G37" t="s">
        <v>327</v>
      </c>
      <c r="H37" s="6">
        <v>46655.15</v>
      </c>
    </row>
    <row r="38" spans="1:8" x14ac:dyDescent="0.25">
      <c r="A38">
        <v>37</v>
      </c>
      <c r="B38" t="s">
        <v>439</v>
      </c>
      <c r="C38" t="s">
        <v>440</v>
      </c>
      <c r="D38" s="1" t="s">
        <v>257</v>
      </c>
      <c r="E38" t="s">
        <v>441</v>
      </c>
      <c r="F38" s="5" t="s">
        <v>457</v>
      </c>
      <c r="G38" t="s">
        <v>327</v>
      </c>
      <c r="H38" s="6">
        <v>8953.57</v>
      </c>
    </row>
    <row r="39" spans="1:8" x14ac:dyDescent="0.25">
      <c r="A39">
        <v>38</v>
      </c>
      <c r="B39" t="s">
        <v>442</v>
      </c>
      <c r="C39" t="s">
        <v>443</v>
      </c>
      <c r="D39" s="1" t="s">
        <v>253</v>
      </c>
      <c r="E39" t="s">
        <v>343</v>
      </c>
      <c r="F39" s="5" t="s">
        <v>457</v>
      </c>
      <c r="G39" t="s">
        <v>331</v>
      </c>
      <c r="H39" s="6">
        <v>48556.67</v>
      </c>
    </row>
    <row r="40" spans="1:8" x14ac:dyDescent="0.25">
      <c r="A40">
        <v>39</v>
      </c>
      <c r="B40" t="s">
        <v>444</v>
      </c>
      <c r="C40" t="s">
        <v>445</v>
      </c>
      <c r="D40" s="1" t="s">
        <v>257</v>
      </c>
      <c r="E40" t="s">
        <v>446</v>
      </c>
      <c r="F40" s="5" t="s">
        <v>454</v>
      </c>
      <c r="G40" t="s">
        <v>447</v>
      </c>
      <c r="H40" s="6">
        <v>19358.16</v>
      </c>
    </row>
    <row r="41" spans="1:8" x14ac:dyDescent="0.25">
      <c r="A41">
        <v>40</v>
      </c>
      <c r="B41" t="s">
        <v>448</v>
      </c>
      <c r="C41" t="s">
        <v>449</v>
      </c>
      <c r="D41" s="1" t="s">
        <v>257</v>
      </c>
      <c r="E41" t="s">
        <v>450</v>
      </c>
      <c r="F41" s="5" t="s">
        <v>460</v>
      </c>
      <c r="G41" t="s">
        <v>327</v>
      </c>
      <c r="H41" s="6">
        <v>6113.98</v>
      </c>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showInputMessage="1" showErrorMessage="1" xr:uid="{F8B64492-7699-4D8A-8B49-F3CF1582D36C}">
          <x14:formula1>
            <xm:f>'99_Lookups'!$A$2:$A$9</xm:f>
          </x14:formula1>
          <xm:sqref>D2:D41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A7120-F569-48B3-B7F6-CFE9F1CA7956}">
  <dimension ref="A1:N407"/>
  <sheetViews>
    <sheetView topLeftCell="A154" workbookViewId="0">
      <selection activeCell="F162" sqref="F162"/>
    </sheetView>
  </sheetViews>
  <sheetFormatPr baseColWidth="10" defaultRowHeight="15" x14ac:dyDescent="0.25"/>
  <cols>
    <col min="2" max="2" width="13.85546875" customWidth="1"/>
    <col min="3" max="3" width="22.28515625" customWidth="1"/>
    <col min="5" max="5" width="11.5703125" customWidth="1"/>
    <col min="6" max="6" width="18" customWidth="1"/>
    <col min="10" max="10" width="14" customWidth="1"/>
    <col min="11" max="11" width="34.5703125" customWidth="1"/>
    <col min="12" max="12" width="17.7109375" customWidth="1"/>
    <col min="13" max="13" width="19.140625" bestFit="1" customWidth="1"/>
    <col min="14" max="14" width="18.140625" bestFit="1" customWidth="1"/>
  </cols>
  <sheetData>
    <row r="1" spans="1:14" x14ac:dyDescent="0.25">
      <c r="A1" t="s">
        <v>8</v>
      </c>
      <c r="B1" t="s">
        <v>0</v>
      </c>
      <c r="C1" t="s">
        <v>9</v>
      </c>
      <c r="D1" t="s">
        <v>10</v>
      </c>
      <c r="E1" t="s">
        <v>11</v>
      </c>
      <c r="F1" t="s">
        <v>12</v>
      </c>
      <c r="G1" t="s">
        <v>13</v>
      </c>
      <c r="H1" t="s">
        <v>14</v>
      </c>
      <c r="I1" t="s">
        <v>15</v>
      </c>
      <c r="J1" t="s">
        <v>16</v>
      </c>
      <c r="K1" t="s">
        <v>17</v>
      </c>
      <c r="L1" t="s">
        <v>18</v>
      </c>
      <c r="M1" t="s">
        <v>19</v>
      </c>
      <c r="N1" t="s">
        <v>20</v>
      </c>
    </row>
    <row r="2" spans="1:14" x14ac:dyDescent="0.25">
      <c r="A2">
        <v>1</v>
      </c>
      <c r="B2">
        <v>1</v>
      </c>
      <c r="C2" t="s">
        <v>464</v>
      </c>
      <c r="D2" s="1" t="s">
        <v>266</v>
      </c>
      <c r="E2" t="s">
        <v>465</v>
      </c>
      <c r="F2" t="s">
        <v>466</v>
      </c>
      <c r="G2" t="s">
        <v>466</v>
      </c>
      <c r="H2" s="1" t="s">
        <v>275</v>
      </c>
      <c r="I2" t="s">
        <v>467</v>
      </c>
      <c r="J2" t="s">
        <v>471</v>
      </c>
      <c r="K2" t="s">
        <v>468</v>
      </c>
      <c r="L2" s="1" t="s">
        <v>280</v>
      </c>
      <c r="M2" s="1" t="s">
        <v>283</v>
      </c>
      <c r="N2" t="s">
        <v>469</v>
      </c>
    </row>
    <row r="3" spans="1:14" x14ac:dyDescent="0.25">
      <c r="A3">
        <v>2</v>
      </c>
      <c r="B3">
        <v>1</v>
      </c>
      <c r="C3" t="s">
        <v>470</v>
      </c>
      <c r="D3" s="1" t="s">
        <v>266</v>
      </c>
      <c r="E3" t="s">
        <v>465</v>
      </c>
      <c r="F3" t="s">
        <v>466</v>
      </c>
      <c r="G3" t="s">
        <v>466</v>
      </c>
      <c r="H3" s="1" t="s">
        <v>275</v>
      </c>
      <c r="I3" t="s">
        <v>467</v>
      </c>
      <c r="J3" t="s">
        <v>471</v>
      </c>
      <c r="K3" t="s">
        <v>492</v>
      </c>
      <c r="L3" s="1" t="s">
        <v>280</v>
      </c>
      <c r="M3" s="1" t="s">
        <v>283</v>
      </c>
      <c r="N3" t="s">
        <v>472</v>
      </c>
    </row>
    <row r="4" spans="1:14" x14ac:dyDescent="0.25">
      <c r="A4">
        <v>3</v>
      </c>
      <c r="B4">
        <v>1</v>
      </c>
      <c r="C4" t="s">
        <v>473</v>
      </c>
      <c r="D4" s="1" t="s">
        <v>272</v>
      </c>
      <c r="E4" t="s">
        <v>465</v>
      </c>
      <c r="F4" t="s">
        <v>474</v>
      </c>
      <c r="G4" t="s">
        <v>466</v>
      </c>
      <c r="H4" s="1" t="s">
        <v>275</v>
      </c>
      <c r="I4" t="s">
        <v>475</v>
      </c>
      <c r="J4" t="s">
        <v>471</v>
      </c>
      <c r="K4" t="s">
        <v>480</v>
      </c>
      <c r="L4" s="1" t="s">
        <v>280</v>
      </c>
      <c r="M4" s="1" t="s">
        <v>283</v>
      </c>
      <c r="N4" t="s">
        <v>584</v>
      </c>
    </row>
    <row r="5" spans="1:14" x14ac:dyDescent="0.25">
      <c r="A5">
        <v>4</v>
      </c>
      <c r="B5">
        <v>1</v>
      </c>
      <c r="C5" t="s">
        <v>476</v>
      </c>
      <c r="D5" s="1" t="s">
        <v>266</v>
      </c>
      <c r="E5" t="s">
        <v>477</v>
      </c>
      <c r="F5" t="s">
        <v>466</v>
      </c>
      <c r="G5" t="s">
        <v>466</v>
      </c>
      <c r="H5" s="1" t="s">
        <v>275</v>
      </c>
      <c r="I5" t="s">
        <v>478</v>
      </c>
      <c r="J5" t="s">
        <v>471</v>
      </c>
      <c r="K5" t="s">
        <v>479</v>
      </c>
      <c r="L5" s="1" t="s">
        <v>280</v>
      </c>
      <c r="M5" s="1" t="s">
        <v>283</v>
      </c>
    </row>
    <row r="6" spans="1:14" x14ac:dyDescent="0.25">
      <c r="A6">
        <v>5</v>
      </c>
      <c r="B6">
        <v>1</v>
      </c>
      <c r="C6" t="s">
        <v>481</v>
      </c>
      <c r="D6" s="1" t="s">
        <v>266</v>
      </c>
      <c r="E6" t="s">
        <v>477</v>
      </c>
      <c r="F6" t="s">
        <v>466</v>
      </c>
      <c r="G6" t="s">
        <v>466</v>
      </c>
      <c r="H6" s="1" t="s">
        <v>275</v>
      </c>
      <c r="I6" t="s">
        <v>478</v>
      </c>
      <c r="J6" t="s">
        <v>471</v>
      </c>
      <c r="K6" t="s">
        <v>493</v>
      </c>
      <c r="L6" s="1" t="s">
        <v>280</v>
      </c>
      <c r="M6" s="1" t="s">
        <v>283</v>
      </c>
    </row>
    <row r="7" spans="1:14" x14ac:dyDescent="0.25">
      <c r="A7">
        <v>6</v>
      </c>
      <c r="B7">
        <v>1</v>
      </c>
      <c r="C7" t="s">
        <v>483</v>
      </c>
      <c r="D7" s="1" t="s">
        <v>269</v>
      </c>
      <c r="E7" t="s">
        <v>484</v>
      </c>
      <c r="F7" t="s">
        <v>485</v>
      </c>
      <c r="G7" t="s">
        <v>466</v>
      </c>
      <c r="H7" s="1" t="s">
        <v>275</v>
      </c>
      <c r="I7" t="s">
        <v>482</v>
      </c>
      <c r="J7" t="s">
        <v>471</v>
      </c>
      <c r="K7" t="s">
        <v>494</v>
      </c>
      <c r="L7" s="1" t="s">
        <v>280</v>
      </c>
      <c r="M7" s="1" t="s">
        <v>283</v>
      </c>
    </row>
    <row r="8" spans="1:14" x14ac:dyDescent="0.25">
      <c r="A8">
        <v>7</v>
      </c>
      <c r="B8">
        <v>1</v>
      </c>
      <c r="C8" t="s">
        <v>486</v>
      </c>
      <c r="D8" s="1" t="s">
        <v>268</v>
      </c>
      <c r="E8" t="s">
        <v>487</v>
      </c>
      <c r="F8" t="s">
        <v>488</v>
      </c>
      <c r="G8" t="s">
        <v>689</v>
      </c>
      <c r="H8" s="1" t="s">
        <v>275</v>
      </c>
      <c r="I8" t="s">
        <v>490</v>
      </c>
      <c r="J8" t="s">
        <v>471</v>
      </c>
      <c r="K8" t="s">
        <v>491</v>
      </c>
      <c r="L8" s="1" t="s">
        <v>280</v>
      </c>
      <c r="M8" s="1" t="s">
        <v>283</v>
      </c>
    </row>
    <row r="9" spans="1:14" x14ac:dyDescent="0.25">
      <c r="A9" s="7"/>
      <c r="B9" s="7">
        <v>1</v>
      </c>
      <c r="C9" s="7"/>
      <c r="D9" s="7" t="s">
        <v>263</v>
      </c>
      <c r="E9" s="7" t="s">
        <v>487</v>
      </c>
      <c r="F9" s="7"/>
      <c r="G9" s="7"/>
      <c r="H9" s="7"/>
      <c r="I9" s="7"/>
      <c r="J9" s="7"/>
      <c r="K9" s="7"/>
      <c r="L9" s="7" t="s">
        <v>281</v>
      </c>
      <c r="M9" s="7"/>
      <c r="N9" s="7" t="s">
        <v>585</v>
      </c>
    </row>
    <row r="10" spans="1:14" x14ac:dyDescent="0.25">
      <c r="A10" s="7"/>
      <c r="B10" s="7">
        <v>1</v>
      </c>
      <c r="C10" s="7"/>
      <c r="D10" s="7" t="s">
        <v>264</v>
      </c>
      <c r="E10" s="7" t="s">
        <v>487</v>
      </c>
      <c r="F10" s="7"/>
      <c r="G10" s="7"/>
      <c r="H10" s="7"/>
      <c r="I10" s="7"/>
      <c r="J10" s="7"/>
      <c r="K10" s="7"/>
      <c r="L10" s="7" t="s">
        <v>281</v>
      </c>
      <c r="M10" s="7"/>
      <c r="N10" s="7" t="s">
        <v>585</v>
      </c>
    </row>
    <row r="11" spans="1:14" x14ac:dyDescent="0.25">
      <c r="A11" s="7"/>
      <c r="B11" s="7">
        <v>1</v>
      </c>
      <c r="C11" s="7"/>
      <c r="D11" s="7" t="s">
        <v>265</v>
      </c>
      <c r="E11" s="7" t="s">
        <v>487</v>
      </c>
      <c r="F11" s="7"/>
      <c r="G11" s="7"/>
      <c r="H11" s="7"/>
      <c r="I11" s="7"/>
      <c r="J11" s="7"/>
      <c r="K11" s="7"/>
      <c r="L11" s="7" t="s">
        <v>281</v>
      </c>
      <c r="M11" s="7"/>
      <c r="N11" s="7" t="s">
        <v>585</v>
      </c>
    </row>
    <row r="12" spans="1:14" x14ac:dyDescent="0.25">
      <c r="A12" s="4">
        <v>8</v>
      </c>
      <c r="B12" s="4">
        <v>2</v>
      </c>
      <c r="C12" s="4" t="s">
        <v>497</v>
      </c>
      <c r="D12" s="4" t="s">
        <v>264</v>
      </c>
      <c r="E12" s="4" t="s">
        <v>496</v>
      </c>
      <c r="F12" s="4" t="s">
        <v>466</v>
      </c>
      <c r="G12" s="4" t="s">
        <v>466</v>
      </c>
      <c r="H12" s="4" t="s">
        <v>275</v>
      </c>
      <c r="I12" s="4" t="s">
        <v>505</v>
      </c>
      <c r="J12" s="4" t="s">
        <v>471</v>
      </c>
      <c r="K12" s="4" t="s">
        <v>504</v>
      </c>
      <c r="L12" s="4" t="s">
        <v>279</v>
      </c>
      <c r="M12" s="4"/>
      <c r="N12" s="4"/>
    </row>
    <row r="13" spans="1:14" x14ac:dyDescent="0.25">
      <c r="A13" s="4">
        <v>9</v>
      </c>
      <c r="B13" s="4">
        <v>2</v>
      </c>
      <c r="C13" s="4" t="s">
        <v>498</v>
      </c>
      <c r="D13" s="4" t="s">
        <v>266</v>
      </c>
      <c r="E13" s="4" t="s">
        <v>496</v>
      </c>
      <c r="F13" s="4" t="s">
        <v>466</v>
      </c>
      <c r="G13" s="4" t="s">
        <v>466</v>
      </c>
      <c r="H13" s="4" t="s">
        <v>275</v>
      </c>
      <c r="I13" s="4" t="s">
        <v>506</v>
      </c>
      <c r="J13" s="4" t="s">
        <v>471</v>
      </c>
      <c r="K13" s="4" t="s">
        <v>507</v>
      </c>
      <c r="L13" s="4" t="s">
        <v>279</v>
      </c>
      <c r="M13" s="4"/>
      <c r="N13" s="4"/>
    </row>
    <row r="14" spans="1:14" x14ac:dyDescent="0.25">
      <c r="A14">
        <v>10</v>
      </c>
      <c r="B14">
        <v>2</v>
      </c>
      <c r="C14" t="s">
        <v>499</v>
      </c>
      <c r="D14" s="1" t="s">
        <v>266</v>
      </c>
      <c r="E14" t="s">
        <v>496</v>
      </c>
      <c r="F14" t="s">
        <v>466</v>
      </c>
      <c r="G14" t="s">
        <v>466</v>
      </c>
      <c r="H14" s="1" t="s">
        <v>275</v>
      </c>
      <c r="I14" t="s">
        <v>512</v>
      </c>
      <c r="J14" t="s">
        <v>471</v>
      </c>
      <c r="K14" t="s">
        <v>513</v>
      </c>
      <c r="L14" s="1" t="s">
        <v>280</v>
      </c>
      <c r="M14" s="1" t="s">
        <v>283</v>
      </c>
    </row>
    <row r="15" spans="1:14" x14ac:dyDescent="0.25">
      <c r="A15">
        <v>11</v>
      </c>
      <c r="B15">
        <v>2</v>
      </c>
      <c r="C15" t="s">
        <v>500</v>
      </c>
      <c r="D15" s="1" t="s">
        <v>272</v>
      </c>
      <c r="E15" t="s">
        <v>496</v>
      </c>
      <c r="F15" t="s">
        <v>466</v>
      </c>
      <c r="G15" t="s">
        <v>466</v>
      </c>
      <c r="H15" s="1" t="s">
        <v>275</v>
      </c>
      <c r="I15" t="s">
        <v>514</v>
      </c>
      <c r="J15" t="s">
        <v>471</v>
      </c>
      <c r="K15" t="s">
        <v>515</v>
      </c>
      <c r="L15" s="1" t="s">
        <v>280</v>
      </c>
      <c r="M15" s="1" t="s">
        <v>283</v>
      </c>
    </row>
    <row r="16" spans="1:14" x14ac:dyDescent="0.25">
      <c r="A16">
        <v>12</v>
      </c>
      <c r="B16">
        <v>2</v>
      </c>
      <c r="C16" t="s">
        <v>501</v>
      </c>
      <c r="D16" s="1" t="s">
        <v>268</v>
      </c>
      <c r="E16" t="s">
        <v>496</v>
      </c>
      <c r="F16">
        <v>2025</v>
      </c>
      <c r="G16" t="s">
        <v>466</v>
      </c>
      <c r="H16" s="1" t="s">
        <v>275</v>
      </c>
      <c r="I16" t="s">
        <v>516</v>
      </c>
      <c r="J16" t="s">
        <v>471</v>
      </c>
      <c r="K16" t="s">
        <v>517</v>
      </c>
      <c r="L16" s="1" t="s">
        <v>280</v>
      </c>
      <c r="M16" s="1" t="s">
        <v>283</v>
      </c>
    </row>
    <row r="17" spans="1:14" x14ac:dyDescent="0.25">
      <c r="A17">
        <v>13</v>
      </c>
      <c r="B17">
        <v>2</v>
      </c>
      <c r="C17" t="s">
        <v>502</v>
      </c>
      <c r="D17" s="1" t="s">
        <v>271</v>
      </c>
      <c r="E17" t="s">
        <v>496</v>
      </c>
      <c r="F17" t="s">
        <v>519</v>
      </c>
      <c r="G17" t="s">
        <v>466</v>
      </c>
      <c r="H17" s="1" t="s">
        <v>275</v>
      </c>
      <c r="I17" t="s">
        <v>518</v>
      </c>
      <c r="J17" t="s">
        <v>471</v>
      </c>
      <c r="K17" t="s">
        <v>520</v>
      </c>
      <c r="L17" s="1" t="s">
        <v>280</v>
      </c>
      <c r="M17" s="1" t="s">
        <v>287</v>
      </c>
    </row>
    <row r="18" spans="1:14" x14ac:dyDescent="0.25">
      <c r="A18">
        <v>14</v>
      </c>
      <c r="B18">
        <v>2</v>
      </c>
      <c r="C18" t="s">
        <v>503</v>
      </c>
      <c r="D18" s="1" t="s">
        <v>269</v>
      </c>
      <c r="E18" t="s">
        <v>496</v>
      </c>
      <c r="F18" t="s">
        <v>523</v>
      </c>
      <c r="G18" t="s">
        <v>466</v>
      </c>
      <c r="H18" s="1"/>
      <c r="I18" t="s">
        <v>521</v>
      </c>
      <c r="J18" t="s">
        <v>471</v>
      </c>
      <c r="K18" t="s">
        <v>522</v>
      </c>
      <c r="L18" s="1" t="s">
        <v>280</v>
      </c>
      <c r="M18" s="1" t="s">
        <v>283</v>
      </c>
    </row>
    <row r="19" spans="1:14" x14ac:dyDescent="0.25">
      <c r="A19">
        <v>15</v>
      </c>
      <c r="B19">
        <v>2</v>
      </c>
      <c r="C19" t="s">
        <v>509</v>
      </c>
      <c r="D19" s="1" t="s">
        <v>270</v>
      </c>
      <c r="E19" t="s">
        <v>496</v>
      </c>
      <c r="F19" t="s">
        <v>466</v>
      </c>
      <c r="G19" t="s">
        <v>466</v>
      </c>
      <c r="H19" s="1" t="s">
        <v>275</v>
      </c>
      <c r="I19" t="s">
        <v>508</v>
      </c>
      <c r="J19" t="s">
        <v>471</v>
      </c>
      <c r="K19" t="s">
        <v>510</v>
      </c>
      <c r="L19" s="1" t="s">
        <v>280</v>
      </c>
      <c r="M19" s="1" t="s">
        <v>287</v>
      </c>
      <c r="N19" t="s">
        <v>511</v>
      </c>
    </row>
    <row r="20" spans="1:14" x14ac:dyDescent="0.25">
      <c r="A20" s="7"/>
      <c r="B20" s="7">
        <v>2</v>
      </c>
      <c r="C20" s="7"/>
      <c r="D20" s="7" t="s">
        <v>263</v>
      </c>
      <c r="E20" s="7" t="s">
        <v>496</v>
      </c>
      <c r="F20" s="7"/>
      <c r="G20" s="7"/>
      <c r="H20" s="7"/>
      <c r="I20" s="7"/>
      <c r="J20" s="7"/>
      <c r="K20" s="7"/>
      <c r="L20" s="7" t="s">
        <v>281</v>
      </c>
      <c r="M20" s="7"/>
      <c r="N20" s="7" t="s">
        <v>586</v>
      </c>
    </row>
    <row r="21" spans="1:14" x14ac:dyDescent="0.25">
      <c r="A21" s="7"/>
      <c r="B21" s="7">
        <v>2</v>
      </c>
      <c r="C21" s="7"/>
      <c r="D21" s="7" t="s">
        <v>265</v>
      </c>
      <c r="E21" s="7" t="s">
        <v>496</v>
      </c>
      <c r="F21" s="7"/>
      <c r="G21" s="7"/>
      <c r="H21" s="7"/>
      <c r="I21" s="7"/>
      <c r="J21" s="7"/>
      <c r="K21" s="7"/>
      <c r="L21" s="7" t="s">
        <v>281</v>
      </c>
      <c r="M21" s="7"/>
      <c r="N21" s="7" t="s">
        <v>586</v>
      </c>
    </row>
    <row r="22" spans="1:14" x14ac:dyDescent="0.25">
      <c r="A22" s="4">
        <v>16</v>
      </c>
      <c r="B22" s="4">
        <v>3</v>
      </c>
      <c r="C22" s="4" t="s">
        <v>525</v>
      </c>
      <c r="D22" s="4" t="s">
        <v>265</v>
      </c>
      <c r="E22" s="4" t="s">
        <v>531</v>
      </c>
      <c r="F22" s="4" t="s">
        <v>466</v>
      </c>
      <c r="G22" s="4" t="s">
        <v>466</v>
      </c>
      <c r="H22" s="4" t="s">
        <v>275</v>
      </c>
      <c r="I22" s="4" t="s">
        <v>533</v>
      </c>
      <c r="J22" s="4" t="s">
        <v>471</v>
      </c>
      <c r="K22" s="4" t="s">
        <v>534</v>
      </c>
      <c r="L22" s="4" t="s">
        <v>279</v>
      </c>
      <c r="M22" s="4"/>
      <c r="N22" s="4"/>
    </row>
    <row r="23" spans="1:14" x14ac:dyDescent="0.25">
      <c r="A23" s="4">
        <v>17</v>
      </c>
      <c r="B23" s="4">
        <v>3</v>
      </c>
      <c r="C23" s="4" t="s">
        <v>526</v>
      </c>
      <c r="D23" s="4" t="s">
        <v>266</v>
      </c>
      <c r="E23" s="4" t="s">
        <v>531</v>
      </c>
      <c r="F23" s="4">
        <v>2025</v>
      </c>
      <c r="G23" s="4" t="s">
        <v>466</v>
      </c>
      <c r="H23" s="4" t="s">
        <v>275</v>
      </c>
      <c r="I23" s="4" t="s">
        <v>535</v>
      </c>
      <c r="J23" s="4" t="s">
        <v>471</v>
      </c>
      <c r="K23" s="4" t="s">
        <v>536</v>
      </c>
      <c r="L23" s="4" t="s">
        <v>279</v>
      </c>
      <c r="M23" s="4"/>
      <c r="N23" s="4"/>
    </row>
    <row r="24" spans="1:14" x14ac:dyDescent="0.25">
      <c r="A24" s="4">
        <v>18</v>
      </c>
      <c r="B24" s="4">
        <v>3</v>
      </c>
      <c r="C24" s="4" t="s">
        <v>527</v>
      </c>
      <c r="D24" s="4" t="s">
        <v>272</v>
      </c>
      <c r="E24" s="4" t="s">
        <v>531</v>
      </c>
      <c r="F24" s="4">
        <v>2025</v>
      </c>
      <c r="G24" s="4" t="s">
        <v>466</v>
      </c>
      <c r="H24" s="4" t="s">
        <v>275</v>
      </c>
      <c r="I24" s="4" t="s">
        <v>537</v>
      </c>
      <c r="J24" s="4" t="s">
        <v>471</v>
      </c>
      <c r="K24" s="4" t="s">
        <v>538</v>
      </c>
      <c r="L24" s="4" t="s">
        <v>279</v>
      </c>
      <c r="M24" s="4"/>
      <c r="N24" s="4"/>
    </row>
    <row r="25" spans="1:14" x14ac:dyDescent="0.25">
      <c r="A25">
        <v>19</v>
      </c>
      <c r="B25">
        <v>3</v>
      </c>
      <c r="C25" t="s">
        <v>528</v>
      </c>
      <c r="D25" s="1" t="s">
        <v>272</v>
      </c>
      <c r="E25" t="s">
        <v>531</v>
      </c>
      <c r="F25" s="8">
        <v>43221</v>
      </c>
      <c r="G25" t="s">
        <v>540</v>
      </c>
      <c r="H25" s="1" t="s">
        <v>275</v>
      </c>
      <c r="I25" t="s">
        <v>539</v>
      </c>
      <c r="J25" t="s">
        <v>471</v>
      </c>
      <c r="K25" t="s">
        <v>541</v>
      </c>
      <c r="L25" s="1" t="s">
        <v>280</v>
      </c>
      <c r="M25" s="1" t="s">
        <v>284</v>
      </c>
    </row>
    <row r="26" spans="1:14" x14ac:dyDescent="0.25">
      <c r="A26">
        <v>20</v>
      </c>
      <c r="B26">
        <v>3</v>
      </c>
      <c r="C26" t="s">
        <v>529</v>
      </c>
      <c r="D26" s="1" t="s">
        <v>268</v>
      </c>
      <c r="E26" t="s">
        <v>531</v>
      </c>
      <c r="F26">
        <v>2023</v>
      </c>
      <c r="G26" t="s">
        <v>466</v>
      </c>
      <c r="H26" s="1" t="s">
        <v>275</v>
      </c>
      <c r="I26" t="s">
        <v>542</v>
      </c>
      <c r="J26" t="s">
        <v>471</v>
      </c>
      <c r="K26" t="s">
        <v>543</v>
      </c>
      <c r="L26" s="1" t="s">
        <v>280</v>
      </c>
      <c r="M26" s="1" t="s">
        <v>284</v>
      </c>
    </row>
    <row r="27" spans="1:14" x14ac:dyDescent="0.25">
      <c r="A27" s="4">
        <v>21</v>
      </c>
      <c r="B27" s="4">
        <v>3</v>
      </c>
      <c r="C27" s="4" t="s">
        <v>530</v>
      </c>
      <c r="D27" s="4" t="s">
        <v>265</v>
      </c>
      <c r="E27" s="4" t="s">
        <v>532</v>
      </c>
      <c r="F27" s="4" t="s">
        <v>466</v>
      </c>
      <c r="G27" s="4" t="s">
        <v>466</v>
      </c>
      <c r="H27" s="4" t="s">
        <v>275</v>
      </c>
      <c r="I27" s="4" t="s">
        <v>544</v>
      </c>
      <c r="J27" s="4" t="s">
        <v>471</v>
      </c>
      <c r="K27" s="4" t="s">
        <v>545</v>
      </c>
      <c r="L27" s="4" t="s">
        <v>279</v>
      </c>
      <c r="M27" s="4"/>
      <c r="N27" s="4" t="s">
        <v>546</v>
      </c>
    </row>
    <row r="28" spans="1:14" x14ac:dyDescent="0.25">
      <c r="A28" s="7"/>
      <c r="B28" s="7">
        <v>3</v>
      </c>
      <c r="C28" s="7"/>
      <c r="D28" s="7" t="s">
        <v>263</v>
      </c>
      <c r="E28" s="7" t="s">
        <v>531</v>
      </c>
      <c r="F28" s="7"/>
      <c r="G28" s="7"/>
      <c r="H28" s="7"/>
      <c r="I28" s="7"/>
      <c r="J28" s="7"/>
      <c r="K28" s="7"/>
      <c r="L28" s="7" t="s">
        <v>281</v>
      </c>
      <c r="M28" s="7"/>
      <c r="N28" s="7" t="s">
        <v>587</v>
      </c>
    </row>
    <row r="29" spans="1:14" x14ac:dyDescent="0.25">
      <c r="A29" s="7"/>
      <c r="B29" s="7">
        <v>3</v>
      </c>
      <c r="C29" s="7"/>
      <c r="D29" s="7" t="s">
        <v>264</v>
      </c>
      <c r="E29" s="7" t="s">
        <v>531</v>
      </c>
      <c r="F29" s="7"/>
      <c r="G29" s="7"/>
      <c r="H29" s="7"/>
      <c r="I29" s="7"/>
      <c r="J29" s="7"/>
      <c r="K29" s="7"/>
      <c r="L29" s="7" t="s">
        <v>281</v>
      </c>
      <c r="M29" s="7"/>
      <c r="N29" s="7" t="s">
        <v>587</v>
      </c>
    </row>
    <row r="30" spans="1:14" x14ac:dyDescent="0.25">
      <c r="A30" s="4">
        <v>22</v>
      </c>
      <c r="B30" s="4">
        <v>4</v>
      </c>
      <c r="C30" s="4" t="s">
        <v>548</v>
      </c>
      <c r="D30" s="4" t="s">
        <v>265</v>
      </c>
      <c r="E30" s="4" t="s">
        <v>553</v>
      </c>
      <c r="F30" s="4" t="s">
        <v>466</v>
      </c>
      <c r="G30" s="4" t="s">
        <v>466</v>
      </c>
      <c r="H30" s="4" t="s">
        <v>275</v>
      </c>
      <c r="I30" s="4" t="s">
        <v>554</v>
      </c>
      <c r="J30" s="4" t="s">
        <v>471</v>
      </c>
      <c r="K30" s="4" t="s">
        <v>555</v>
      </c>
      <c r="L30" s="4" t="s">
        <v>279</v>
      </c>
      <c r="M30" s="4"/>
      <c r="N30" s="4"/>
    </row>
    <row r="31" spans="1:14" x14ac:dyDescent="0.25">
      <c r="A31" s="4">
        <v>23</v>
      </c>
      <c r="B31" s="4">
        <v>4</v>
      </c>
      <c r="C31" s="4" t="s">
        <v>549</v>
      </c>
      <c r="D31" s="4" t="s">
        <v>266</v>
      </c>
      <c r="E31" s="4" t="s">
        <v>553</v>
      </c>
      <c r="F31" s="4" t="s">
        <v>466</v>
      </c>
      <c r="G31" s="4" t="s">
        <v>466</v>
      </c>
      <c r="H31" s="4" t="s">
        <v>275</v>
      </c>
      <c r="I31" s="4" t="s">
        <v>556</v>
      </c>
      <c r="J31" s="4" t="s">
        <v>471</v>
      </c>
      <c r="K31" s="4" t="s">
        <v>557</v>
      </c>
      <c r="L31" s="4" t="s">
        <v>279</v>
      </c>
      <c r="M31" s="4"/>
      <c r="N31" s="4"/>
    </row>
    <row r="32" spans="1:14" x14ac:dyDescent="0.25">
      <c r="A32" s="4">
        <v>24</v>
      </c>
      <c r="B32" s="4">
        <v>4</v>
      </c>
      <c r="C32" s="4" t="s">
        <v>550</v>
      </c>
      <c r="D32" s="4" t="s">
        <v>272</v>
      </c>
      <c r="E32" s="4" t="s">
        <v>553</v>
      </c>
      <c r="F32" s="4" t="s">
        <v>466</v>
      </c>
      <c r="G32" s="4" t="s">
        <v>466</v>
      </c>
      <c r="H32" s="4" t="s">
        <v>275</v>
      </c>
      <c r="I32" s="4" t="s">
        <v>558</v>
      </c>
      <c r="J32" s="4" t="s">
        <v>471</v>
      </c>
      <c r="K32" s="4" t="s">
        <v>559</v>
      </c>
      <c r="L32" s="4" t="s">
        <v>279</v>
      </c>
      <c r="M32" s="4"/>
      <c r="N32" s="4"/>
    </row>
    <row r="33" spans="1:14" x14ac:dyDescent="0.25">
      <c r="A33">
        <v>25</v>
      </c>
      <c r="B33">
        <v>4</v>
      </c>
      <c r="C33" t="s">
        <v>551</v>
      </c>
      <c r="D33" s="1" t="s">
        <v>272</v>
      </c>
      <c r="E33" t="s">
        <v>553</v>
      </c>
      <c r="F33" t="s">
        <v>466</v>
      </c>
      <c r="G33" t="s">
        <v>466</v>
      </c>
      <c r="H33" s="1" t="s">
        <v>275</v>
      </c>
      <c r="I33" t="s">
        <v>560</v>
      </c>
      <c r="J33" t="s">
        <v>471</v>
      </c>
      <c r="K33" t="s">
        <v>561</v>
      </c>
      <c r="L33" s="1" t="s">
        <v>280</v>
      </c>
      <c r="M33" s="1" t="s">
        <v>283</v>
      </c>
    </row>
    <row r="34" spans="1:14" x14ac:dyDescent="0.25">
      <c r="A34">
        <v>26</v>
      </c>
      <c r="B34">
        <v>4</v>
      </c>
      <c r="C34" t="s">
        <v>552</v>
      </c>
      <c r="D34" s="1" t="s">
        <v>266</v>
      </c>
      <c r="E34" t="s">
        <v>553</v>
      </c>
      <c r="F34" s="8">
        <v>45474</v>
      </c>
      <c r="G34" t="s">
        <v>466</v>
      </c>
      <c r="H34" s="1" t="s">
        <v>275</v>
      </c>
      <c r="I34" t="s">
        <v>562</v>
      </c>
      <c r="J34" t="s">
        <v>471</v>
      </c>
      <c r="K34" t="s">
        <v>563</v>
      </c>
      <c r="L34" s="1" t="s">
        <v>280</v>
      </c>
      <c r="M34" s="1" t="s">
        <v>283</v>
      </c>
    </row>
    <row r="35" spans="1:14" x14ac:dyDescent="0.25">
      <c r="A35" s="7"/>
      <c r="B35" s="7">
        <v>4</v>
      </c>
      <c r="C35" s="7"/>
      <c r="D35" s="7" t="s">
        <v>263</v>
      </c>
      <c r="E35" s="7" t="s">
        <v>553</v>
      </c>
      <c r="F35" s="7"/>
      <c r="G35" s="7"/>
      <c r="H35" s="7"/>
      <c r="I35" s="7"/>
      <c r="J35" s="7"/>
      <c r="K35" s="7"/>
      <c r="L35" s="7" t="s">
        <v>281</v>
      </c>
      <c r="M35" s="7"/>
      <c r="N35" s="7" t="s">
        <v>587</v>
      </c>
    </row>
    <row r="36" spans="1:14" x14ac:dyDescent="0.25">
      <c r="A36" s="7"/>
      <c r="B36" s="7">
        <v>4</v>
      </c>
      <c r="C36" s="7"/>
      <c r="D36" s="7" t="s">
        <v>264</v>
      </c>
      <c r="E36" s="7" t="s">
        <v>553</v>
      </c>
      <c r="F36" s="7"/>
      <c r="G36" s="7"/>
      <c r="H36" s="7"/>
      <c r="I36" s="7"/>
      <c r="J36" s="7"/>
      <c r="K36" s="7"/>
      <c r="L36" s="7" t="s">
        <v>281</v>
      </c>
      <c r="M36" s="7"/>
      <c r="N36" s="7" t="s">
        <v>587</v>
      </c>
    </row>
    <row r="37" spans="1:14" x14ac:dyDescent="0.25">
      <c r="A37" s="4">
        <v>27</v>
      </c>
      <c r="B37" s="4">
        <v>5</v>
      </c>
      <c r="C37" s="4" t="s">
        <v>567</v>
      </c>
      <c r="D37" s="4" t="s">
        <v>263</v>
      </c>
      <c r="E37" s="4" t="s">
        <v>564</v>
      </c>
      <c r="F37" s="4" t="s">
        <v>466</v>
      </c>
      <c r="G37" s="4" t="s">
        <v>466</v>
      </c>
      <c r="H37" s="4" t="s">
        <v>275</v>
      </c>
      <c r="I37" s="4" t="s">
        <v>565</v>
      </c>
      <c r="J37" s="4" t="s">
        <v>471</v>
      </c>
      <c r="K37" s="4" t="s">
        <v>566</v>
      </c>
      <c r="L37" s="4" t="s">
        <v>279</v>
      </c>
      <c r="M37" s="4"/>
      <c r="N37" s="4"/>
    </row>
    <row r="38" spans="1:14" x14ac:dyDescent="0.25">
      <c r="A38" s="4">
        <v>28</v>
      </c>
      <c r="B38" s="4">
        <v>5</v>
      </c>
      <c r="C38" s="4" t="s">
        <v>568</v>
      </c>
      <c r="D38" s="4" t="s">
        <v>264</v>
      </c>
      <c r="E38" s="4" t="s">
        <v>564</v>
      </c>
      <c r="F38" s="4" t="s">
        <v>575</v>
      </c>
      <c r="G38" s="4" t="s">
        <v>574</v>
      </c>
      <c r="H38" s="4" t="s">
        <v>275</v>
      </c>
      <c r="I38" s="4" t="s">
        <v>572</v>
      </c>
      <c r="J38" s="4" t="s">
        <v>471</v>
      </c>
      <c r="K38" s="4" t="s">
        <v>573</v>
      </c>
      <c r="L38" s="4" t="s">
        <v>279</v>
      </c>
      <c r="M38" s="4"/>
      <c r="N38" s="4"/>
    </row>
    <row r="39" spans="1:14" x14ac:dyDescent="0.25">
      <c r="A39" s="4">
        <v>29</v>
      </c>
      <c r="B39" s="4">
        <v>5</v>
      </c>
      <c r="C39" s="4" t="s">
        <v>569</v>
      </c>
      <c r="D39" s="4" t="s">
        <v>266</v>
      </c>
      <c r="E39" s="4" t="s">
        <v>564</v>
      </c>
      <c r="F39" s="4" t="s">
        <v>466</v>
      </c>
      <c r="G39" s="4" t="s">
        <v>466</v>
      </c>
      <c r="H39" s="4" t="s">
        <v>275</v>
      </c>
      <c r="I39" s="4" t="s">
        <v>576</v>
      </c>
      <c r="J39" s="4" t="s">
        <v>471</v>
      </c>
      <c r="K39" s="4" t="s">
        <v>577</v>
      </c>
      <c r="L39" s="4" t="s">
        <v>279</v>
      </c>
      <c r="M39" s="4"/>
      <c r="N39" s="4"/>
    </row>
    <row r="40" spans="1:14" x14ac:dyDescent="0.25">
      <c r="A40" s="4">
        <v>30</v>
      </c>
      <c r="B40" s="4">
        <v>5</v>
      </c>
      <c r="C40" s="4" t="s">
        <v>570</v>
      </c>
      <c r="D40" s="4" t="s">
        <v>265</v>
      </c>
      <c r="E40" s="4" t="s">
        <v>564</v>
      </c>
      <c r="F40" s="4" t="s">
        <v>466</v>
      </c>
      <c r="G40" s="4" t="s">
        <v>466</v>
      </c>
      <c r="H40" s="4" t="s">
        <v>275</v>
      </c>
      <c r="I40" s="4" t="s">
        <v>578</v>
      </c>
      <c r="J40" s="4" t="s">
        <v>471</v>
      </c>
      <c r="K40" s="4" t="s">
        <v>579</v>
      </c>
      <c r="L40" s="4" t="s">
        <v>279</v>
      </c>
      <c r="M40" s="4"/>
      <c r="N40" s="4"/>
    </row>
    <row r="41" spans="1:14" x14ac:dyDescent="0.25">
      <c r="A41" s="4">
        <v>31</v>
      </c>
      <c r="B41" s="4">
        <v>5</v>
      </c>
      <c r="C41" s="4" t="s">
        <v>571</v>
      </c>
      <c r="D41" s="4" t="s">
        <v>272</v>
      </c>
      <c r="E41" s="4" t="s">
        <v>564</v>
      </c>
      <c r="F41" s="9">
        <v>45261</v>
      </c>
      <c r="G41" s="4" t="s">
        <v>466</v>
      </c>
      <c r="H41" s="4" t="s">
        <v>275</v>
      </c>
      <c r="I41" s="4" t="s">
        <v>580</v>
      </c>
      <c r="J41" s="4" t="s">
        <v>471</v>
      </c>
      <c r="K41" s="4" t="s">
        <v>582</v>
      </c>
      <c r="L41" s="4" t="s">
        <v>279</v>
      </c>
      <c r="M41" s="4"/>
      <c r="N41" s="4" t="s">
        <v>581</v>
      </c>
    </row>
    <row r="42" spans="1:14" x14ac:dyDescent="0.25">
      <c r="A42" s="4">
        <v>32</v>
      </c>
      <c r="B42" s="4">
        <v>6</v>
      </c>
      <c r="C42" s="4" t="s">
        <v>589</v>
      </c>
      <c r="D42" s="4" t="s">
        <v>266</v>
      </c>
      <c r="E42" s="4" t="s">
        <v>593</v>
      </c>
      <c r="F42" s="4">
        <v>2024</v>
      </c>
      <c r="G42" s="4" t="s">
        <v>466</v>
      </c>
      <c r="H42" s="4" t="s">
        <v>275</v>
      </c>
      <c r="I42" s="4" t="s">
        <v>594</v>
      </c>
      <c r="J42" s="4" t="s">
        <v>471</v>
      </c>
      <c r="K42" s="4" t="s">
        <v>595</v>
      </c>
      <c r="L42" s="4" t="s">
        <v>279</v>
      </c>
      <c r="M42" s="4"/>
      <c r="N42" s="4"/>
    </row>
    <row r="43" spans="1:14" x14ac:dyDescent="0.25">
      <c r="A43">
        <v>33</v>
      </c>
      <c r="B43">
        <v>6</v>
      </c>
      <c r="C43" t="s">
        <v>590</v>
      </c>
      <c r="D43" s="1" t="s">
        <v>267</v>
      </c>
      <c r="E43" t="s">
        <v>593</v>
      </c>
      <c r="F43">
        <v>2023</v>
      </c>
      <c r="G43" t="s">
        <v>466</v>
      </c>
      <c r="H43" s="1" t="s">
        <v>275</v>
      </c>
      <c r="I43" t="s">
        <v>596</v>
      </c>
      <c r="J43" t="s">
        <v>471</v>
      </c>
      <c r="K43" t="s">
        <v>597</v>
      </c>
      <c r="L43" s="1" t="s">
        <v>280</v>
      </c>
      <c r="M43" s="1" t="s">
        <v>283</v>
      </c>
    </row>
    <row r="44" spans="1:14" x14ac:dyDescent="0.25">
      <c r="A44" s="4">
        <v>34</v>
      </c>
      <c r="B44" s="4">
        <v>6</v>
      </c>
      <c r="C44" s="4" t="s">
        <v>591</v>
      </c>
      <c r="D44" s="4" t="s">
        <v>269</v>
      </c>
      <c r="E44" s="4" t="s">
        <v>593</v>
      </c>
      <c r="F44" s="4">
        <v>2024</v>
      </c>
      <c r="G44" s="4" t="s">
        <v>466</v>
      </c>
      <c r="H44" s="4" t="s">
        <v>275</v>
      </c>
      <c r="I44" s="4" t="s">
        <v>598</v>
      </c>
      <c r="J44" s="4" t="s">
        <v>471</v>
      </c>
      <c r="K44" s="4" t="s">
        <v>602</v>
      </c>
      <c r="L44" s="4" t="s">
        <v>279</v>
      </c>
      <c r="M44" s="4"/>
      <c r="N44" s="4"/>
    </row>
    <row r="45" spans="1:14" x14ac:dyDescent="0.25">
      <c r="A45" s="4">
        <v>36</v>
      </c>
      <c r="B45" s="4">
        <v>6</v>
      </c>
      <c r="C45" s="4" t="s">
        <v>592</v>
      </c>
      <c r="D45" s="4" t="s">
        <v>272</v>
      </c>
      <c r="E45" s="4" t="s">
        <v>593</v>
      </c>
      <c r="F45" s="4" t="s">
        <v>600</v>
      </c>
      <c r="G45" s="4" t="s">
        <v>466</v>
      </c>
      <c r="H45" s="4" t="s">
        <v>275</v>
      </c>
      <c r="I45" s="4" t="s">
        <v>599</v>
      </c>
      <c r="J45" s="4" t="s">
        <v>471</v>
      </c>
      <c r="K45" s="4" t="s">
        <v>601</v>
      </c>
      <c r="L45" s="4" t="s">
        <v>279</v>
      </c>
      <c r="M45" s="4"/>
      <c r="N45" s="4" t="s">
        <v>581</v>
      </c>
    </row>
    <row r="46" spans="1:14" x14ac:dyDescent="0.25">
      <c r="A46" s="7"/>
      <c r="B46" s="7">
        <v>6</v>
      </c>
      <c r="C46" s="7"/>
      <c r="D46" s="7" t="s">
        <v>263</v>
      </c>
      <c r="E46" s="7" t="s">
        <v>593</v>
      </c>
      <c r="F46" s="7"/>
      <c r="G46" s="7"/>
      <c r="H46" s="7"/>
      <c r="I46" s="7"/>
      <c r="J46" s="7"/>
      <c r="K46" s="7"/>
      <c r="L46" s="7" t="s">
        <v>281</v>
      </c>
      <c r="M46" s="7"/>
      <c r="N46" s="7" t="s">
        <v>585</v>
      </c>
    </row>
    <row r="47" spans="1:14" x14ac:dyDescent="0.25">
      <c r="A47" s="7"/>
      <c r="B47" s="7">
        <v>6</v>
      </c>
      <c r="C47" s="7"/>
      <c r="D47" s="7" t="s">
        <v>264</v>
      </c>
      <c r="E47" s="7" t="s">
        <v>593</v>
      </c>
      <c r="F47" s="7"/>
      <c r="G47" s="7"/>
      <c r="H47" s="7"/>
      <c r="I47" s="7"/>
      <c r="J47" s="7"/>
      <c r="K47" s="7"/>
      <c r="L47" s="7" t="s">
        <v>281</v>
      </c>
      <c r="M47" s="7"/>
      <c r="N47" s="7" t="s">
        <v>585</v>
      </c>
    </row>
    <row r="48" spans="1:14" x14ac:dyDescent="0.25">
      <c r="A48" s="7"/>
      <c r="B48" s="7">
        <v>6</v>
      </c>
      <c r="C48" s="7"/>
      <c r="D48" s="7" t="s">
        <v>265</v>
      </c>
      <c r="E48" s="7" t="s">
        <v>593</v>
      </c>
      <c r="F48" s="7"/>
      <c r="G48" s="7"/>
      <c r="H48" s="7"/>
      <c r="I48" s="7"/>
      <c r="J48" s="7"/>
      <c r="K48" s="7"/>
      <c r="L48" s="7" t="s">
        <v>281</v>
      </c>
      <c r="M48" s="7"/>
      <c r="N48" s="7" t="s">
        <v>585</v>
      </c>
    </row>
    <row r="49" spans="1:14" x14ac:dyDescent="0.25">
      <c r="A49" s="4">
        <v>37</v>
      </c>
      <c r="B49" s="4">
        <v>7</v>
      </c>
      <c r="C49" s="4" t="s">
        <v>604</v>
      </c>
      <c r="D49" s="4" t="s">
        <v>263</v>
      </c>
      <c r="E49" s="4" t="s">
        <v>609</v>
      </c>
      <c r="F49" s="4" t="s">
        <v>610</v>
      </c>
      <c r="G49" s="4" t="s">
        <v>466</v>
      </c>
      <c r="H49" s="4" t="s">
        <v>275</v>
      </c>
      <c r="I49" s="4" t="s">
        <v>611</v>
      </c>
      <c r="J49" s="4" t="s">
        <v>471</v>
      </c>
      <c r="K49" s="4" t="s">
        <v>612</v>
      </c>
      <c r="L49" s="4" t="s">
        <v>279</v>
      </c>
      <c r="M49" s="4"/>
      <c r="N49" s="4"/>
    </row>
    <row r="50" spans="1:14" x14ac:dyDescent="0.25">
      <c r="A50" s="4">
        <v>38</v>
      </c>
      <c r="B50" s="4">
        <v>7</v>
      </c>
      <c r="C50" s="4" t="s">
        <v>605</v>
      </c>
      <c r="D50" s="4" t="s">
        <v>265</v>
      </c>
      <c r="E50" s="4" t="s">
        <v>609</v>
      </c>
      <c r="F50" s="4" t="s">
        <v>614</v>
      </c>
      <c r="G50" s="4" t="s">
        <v>466</v>
      </c>
      <c r="H50" s="4" t="s">
        <v>275</v>
      </c>
      <c r="I50" s="4" t="s">
        <v>613</v>
      </c>
      <c r="J50" s="4" t="s">
        <v>471</v>
      </c>
      <c r="K50" s="4" t="s">
        <v>615</v>
      </c>
      <c r="L50" s="4" t="s">
        <v>279</v>
      </c>
      <c r="M50" s="4"/>
      <c r="N50" s="4"/>
    </row>
    <row r="51" spans="1:14" x14ac:dyDescent="0.25">
      <c r="A51">
        <v>39</v>
      </c>
      <c r="B51">
        <v>7</v>
      </c>
      <c r="C51" t="s">
        <v>606</v>
      </c>
      <c r="D51" s="1" t="s">
        <v>266</v>
      </c>
      <c r="E51" t="s">
        <v>609</v>
      </c>
      <c r="F51" t="s">
        <v>617</v>
      </c>
      <c r="G51" t="s">
        <v>466</v>
      </c>
      <c r="H51" s="1" t="s">
        <v>275</v>
      </c>
      <c r="I51" t="s">
        <v>616</v>
      </c>
      <c r="J51" t="s">
        <v>471</v>
      </c>
      <c r="K51" t="s">
        <v>618</v>
      </c>
      <c r="L51" s="1" t="s">
        <v>280</v>
      </c>
      <c r="M51" s="1" t="s">
        <v>283</v>
      </c>
    </row>
    <row r="52" spans="1:14" x14ac:dyDescent="0.25">
      <c r="A52">
        <v>40</v>
      </c>
      <c r="B52">
        <v>7</v>
      </c>
      <c r="C52" t="s">
        <v>608</v>
      </c>
      <c r="D52" s="1" t="s">
        <v>266</v>
      </c>
      <c r="E52" t="s">
        <v>609</v>
      </c>
      <c r="F52" t="s">
        <v>617</v>
      </c>
      <c r="G52" t="s">
        <v>466</v>
      </c>
      <c r="H52" s="1" t="s">
        <v>275</v>
      </c>
      <c r="I52" t="s">
        <v>619</v>
      </c>
      <c r="J52" t="s">
        <v>471</v>
      </c>
      <c r="K52" t="s">
        <v>620</v>
      </c>
      <c r="L52" s="1" t="s">
        <v>280</v>
      </c>
      <c r="M52" s="1" t="s">
        <v>283</v>
      </c>
    </row>
    <row r="53" spans="1:14" x14ac:dyDescent="0.25">
      <c r="A53">
        <v>41</v>
      </c>
      <c r="B53">
        <v>7</v>
      </c>
      <c r="C53" t="s">
        <v>607</v>
      </c>
      <c r="D53" s="1" t="s">
        <v>267</v>
      </c>
      <c r="E53" t="s">
        <v>609</v>
      </c>
      <c r="F53" t="s">
        <v>466</v>
      </c>
      <c r="G53" t="s">
        <v>466</v>
      </c>
      <c r="H53" s="1" t="s">
        <v>275</v>
      </c>
      <c r="I53" t="s">
        <v>621</v>
      </c>
      <c r="J53" t="s">
        <v>471</v>
      </c>
      <c r="K53" t="s">
        <v>622</v>
      </c>
      <c r="L53" s="1" t="s">
        <v>280</v>
      </c>
      <c r="M53" s="1" t="s">
        <v>283</v>
      </c>
    </row>
    <row r="54" spans="1:14" x14ac:dyDescent="0.25">
      <c r="A54" s="7"/>
      <c r="B54" s="7">
        <v>7</v>
      </c>
      <c r="C54" s="7"/>
      <c r="D54" s="7" t="s">
        <v>264</v>
      </c>
      <c r="E54" s="7" t="s">
        <v>609</v>
      </c>
      <c r="F54" s="7"/>
      <c r="G54" s="7"/>
      <c r="H54" s="7"/>
      <c r="I54" s="7"/>
      <c r="J54" s="7"/>
      <c r="K54" s="7"/>
      <c r="L54" s="7" t="s">
        <v>281</v>
      </c>
      <c r="M54" s="7"/>
      <c r="N54" s="7" t="s">
        <v>623</v>
      </c>
    </row>
    <row r="55" spans="1:14" x14ac:dyDescent="0.25">
      <c r="A55">
        <v>42</v>
      </c>
      <c r="B55">
        <v>8</v>
      </c>
      <c r="C55" t="s">
        <v>627</v>
      </c>
      <c r="D55" s="1" t="s">
        <v>266</v>
      </c>
      <c r="E55" t="s">
        <v>625</v>
      </c>
      <c r="F55">
        <v>2024</v>
      </c>
      <c r="G55" t="s">
        <v>466</v>
      </c>
      <c r="H55" s="1" t="s">
        <v>275</v>
      </c>
      <c r="I55" t="s">
        <v>631</v>
      </c>
      <c r="J55" t="s">
        <v>626</v>
      </c>
      <c r="K55" t="s">
        <v>632</v>
      </c>
      <c r="L55" s="1" t="s">
        <v>280</v>
      </c>
      <c r="M55" s="1" t="s">
        <v>283</v>
      </c>
      <c r="N55" t="s">
        <v>640</v>
      </c>
    </row>
    <row r="56" spans="1:14" x14ac:dyDescent="0.25">
      <c r="A56">
        <v>43</v>
      </c>
      <c r="B56">
        <v>8</v>
      </c>
      <c r="C56" t="s">
        <v>628</v>
      </c>
      <c r="D56" s="1" t="s">
        <v>266</v>
      </c>
      <c r="E56" t="s">
        <v>625</v>
      </c>
      <c r="F56">
        <v>2023</v>
      </c>
      <c r="G56" t="s">
        <v>466</v>
      </c>
      <c r="H56" s="1" t="s">
        <v>275</v>
      </c>
      <c r="I56" t="s">
        <v>633</v>
      </c>
      <c r="J56" t="s">
        <v>626</v>
      </c>
      <c r="K56" t="s">
        <v>635</v>
      </c>
      <c r="L56" s="1" t="s">
        <v>280</v>
      </c>
      <c r="M56" s="1" t="s">
        <v>283</v>
      </c>
      <c r="N56" t="s">
        <v>641</v>
      </c>
    </row>
    <row r="57" spans="1:14" x14ac:dyDescent="0.25">
      <c r="A57">
        <v>44</v>
      </c>
      <c r="B57">
        <v>8</v>
      </c>
      <c r="C57" t="s">
        <v>629</v>
      </c>
      <c r="D57" s="1" t="s">
        <v>268</v>
      </c>
      <c r="E57" t="s">
        <v>625</v>
      </c>
      <c r="F57" t="s">
        <v>466</v>
      </c>
      <c r="G57" t="s">
        <v>466</v>
      </c>
      <c r="H57" s="1" t="s">
        <v>275</v>
      </c>
      <c r="I57" t="s">
        <v>634</v>
      </c>
      <c r="J57" t="s">
        <v>626</v>
      </c>
      <c r="K57" t="s">
        <v>636</v>
      </c>
      <c r="L57" s="1" t="s">
        <v>280</v>
      </c>
      <c r="M57" s="1" t="s">
        <v>283</v>
      </c>
      <c r="N57" t="s">
        <v>642</v>
      </c>
    </row>
    <row r="58" spans="1:14" x14ac:dyDescent="0.25">
      <c r="A58">
        <v>45</v>
      </c>
      <c r="B58">
        <v>8</v>
      </c>
      <c r="C58" t="s">
        <v>630</v>
      </c>
      <c r="D58" s="1" t="s">
        <v>271</v>
      </c>
      <c r="E58" t="s">
        <v>625</v>
      </c>
      <c r="F58" t="s">
        <v>638</v>
      </c>
      <c r="G58" t="s">
        <v>466</v>
      </c>
      <c r="H58" s="1" t="s">
        <v>275</v>
      </c>
      <c r="I58" t="s">
        <v>637</v>
      </c>
      <c r="J58" t="s">
        <v>626</v>
      </c>
      <c r="K58" t="s">
        <v>639</v>
      </c>
      <c r="L58" s="1" t="s">
        <v>280</v>
      </c>
      <c r="M58" s="1" t="s">
        <v>287</v>
      </c>
    </row>
    <row r="59" spans="1:14" x14ac:dyDescent="0.25">
      <c r="A59" s="7"/>
      <c r="B59" s="7">
        <v>8</v>
      </c>
      <c r="C59" s="7"/>
      <c r="D59" s="7" t="s">
        <v>263</v>
      </c>
      <c r="E59" s="7" t="s">
        <v>625</v>
      </c>
      <c r="F59" s="7"/>
      <c r="G59" s="7"/>
      <c r="H59" s="7"/>
      <c r="I59" s="7"/>
      <c r="J59" s="7"/>
      <c r="K59" s="7"/>
      <c r="L59" s="7" t="s">
        <v>281</v>
      </c>
      <c r="M59" s="7"/>
      <c r="N59" s="7" t="s">
        <v>643</v>
      </c>
    </row>
    <row r="60" spans="1:14" x14ac:dyDescent="0.25">
      <c r="A60" s="7"/>
      <c r="B60" s="7">
        <v>8</v>
      </c>
      <c r="C60" s="7"/>
      <c r="D60" s="7" t="s">
        <v>264</v>
      </c>
      <c r="E60" s="7" t="s">
        <v>625</v>
      </c>
      <c r="F60" s="7"/>
      <c r="G60" s="7"/>
      <c r="H60" s="7"/>
      <c r="I60" s="7"/>
      <c r="J60" s="7"/>
      <c r="K60" s="7"/>
      <c r="L60" s="7" t="s">
        <v>281</v>
      </c>
      <c r="M60" s="7"/>
      <c r="N60" s="7" t="s">
        <v>643</v>
      </c>
    </row>
    <row r="61" spans="1:14" x14ac:dyDescent="0.25">
      <c r="A61" s="7"/>
      <c r="B61" s="7">
        <v>8</v>
      </c>
      <c r="C61" s="7"/>
      <c r="D61" s="7" t="s">
        <v>265</v>
      </c>
      <c r="E61" s="7" t="s">
        <v>625</v>
      </c>
      <c r="F61" s="7"/>
      <c r="G61" s="7"/>
      <c r="H61" s="7"/>
      <c r="I61" s="7"/>
      <c r="J61" s="7"/>
      <c r="K61" s="7"/>
      <c r="L61" s="7" t="s">
        <v>281</v>
      </c>
      <c r="M61" s="7"/>
      <c r="N61" s="7" t="s">
        <v>643</v>
      </c>
    </row>
    <row r="62" spans="1:14" x14ac:dyDescent="0.25">
      <c r="A62" s="4">
        <v>46</v>
      </c>
      <c r="B62" s="4">
        <v>9</v>
      </c>
      <c r="C62" s="4" t="s">
        <v>645</v>
      </c>
      <c r="D62" s="4" t="s">
        <v>263</v>
      </c>
      <c r="E62" s="4" t="s">
        <v>650</v>
      </c>
      <c r="F62" s="4" t="s">
        <v>651</v>
      </c>
      <c r="G62" s="4" t="s">
        <v>489</v>
      </c>
      <c r="H62" s="4" t="s">
        <v>276</v>
      </c>
      <c r="I62" s="4" t="s">
        <v>653</v>
      </c>
      <c r="J62" s="4" t="s">
        <v>626</v>
      </c>
      <c r="K62" s="4" t="s">
        <v>652</v>
      </c>
      <c r="L62" s="4" t="s">
        <v>279</v>
      </c>
      <c r="M62" s="4"/>
      <c r="N62" s="4" t="s">
        <v>665</v>
      </c>
    </row>
    <row r="63" spans="1:14" x14ac:dyDescent="0.25">
      <c r="A63">
        <v>47</v>
      </c>
      <c r="B63">
        <v>9</v>
      </c>
      <c r="C63" t="s">
        <v>646</v>
      </c>
      <c r="D63" s="1" t="s">
        <v>271</v>
      </c>
      <c r="E63" t="s">
        <v>650</v>
      </c>
      <c r="F63" t="s">
        <v>654</v>
      </c>
      <c r="G63" t="s">
        <v>466</v>
      </c>
      <c r="H63" s="1" t="s">
        <v>276</v>
      </c>
      <c r="I63" t="s">
        <v>655</v>
      </c>
      <c r="J63" t="s">
        <v>626</v>
      </c>
      <c r="K63" t="s">
        <v>656</v>
      </c>
      <c r="L63" s="1" t="s">
        <v>280</v>
      </c>
      <c r="M63" s="1" t="s">
        <v>287</v>
      </c>
    </row>
    <row r="64" spans="1:14" x14ac:dyDescent="0.25">
      <c r="A64" s="4">
        <v>48</v>
      </c>
      <c r="B64" s="4">
        <v>9</v>
      </c>
      <c r="C64" s="4" t="s">
        <v>647</v>
      </c>
      <c r="D64" s="4" t="s">
        <v>264</v>
      </c>
      <c r="E64" s="4" t="s">
        <v>650</v>
      </c>
      <c r="F64" s="4" t="s">
        <v>657</v>
      </c>
      <c r="G64" s="4" t="s">
        <v>489</v>
      </c>
      <c r="H64" s="4" t="s">
        <v>276</v>
      </c>
      <c r="I64" s="4" t="s">
        <v>658</v>
      </c>
      <c r="J64" s="4" t="s">
        <v>626</v>
      </c>
      <c r="K64" s="4" t="s">
        <v>659</v>
      </c>
      <c r="L64" s="4" t="s">
        <v>279</v>
      </c>
      <c r="M64" s="4"/>
      <c r="N64" s="4"/>
    </row>
    <row r="65" spans="1:14" x14ac:dyDescent="0.25">
      <c r="A65">
        <v>49</v>
      </c>
      <c r="B65">
        <v>9</v>
      </c>
      <c r="C65" t="s">
        <v>648</v>
      </c>
      <c r="D65" s="1" t="s">
        <v>266</v>
      </c>
      <c r="E65" t="s">
        <v>650</v>
      </c>
      <c r="F65">
        <v>2024</v>
      </c>
      <c r="G65" t="s">
        <v>661</v>
      </c>
      <c r="H65" s="1" t="s">
        <v>276</v>
      </c>
      <c r="I65" t="s">
        <v>660</v>
      </c>
      <c r="J65" t="s">
        <v>626</v>
      </c>
      <c r="K65" t="s">
        <v>662</v>
      </c>
      <c r="L65" s="1" t="s">
        <v>280</v>
      </c>
      <c r="M65" s="1" t="s">
        <v>283</v>
      </c>
    </row>
    <row r="66" spans="1:14" x14ac:dyDescent="0.25">
      <c r="A66">
        <v>50</v>
      </c>
      <c r="B66">
        <v>9</v>
      </c>
      <c r="C66" t="s">
        <v>649</v>
      </c>
      <c r="D66" s="1" t="s">
        <v>267</v>
      </c>
      <c r="E66" t="s">
        <v>650</v>
      </c>
      <c r="F66" t="s">
        <v>466</v>
      </c>
      <c r="G66" t="s">
        <v>466</v>
      </c>
      <c r="H66" s="1" t="s">
        <v>275</v>
      </c>
      <c r="I66" t="s">
        <v>663</v>
      </c>
      <c r="J66" t="s">
        <v>626</v>
      </c>
      <c r="K66" t="s">
        <v>664</v>
      </c>
      <c r="L66" s="1" t="s">
        <v>280</v>
      </c>
      <c r="M66" s="1" t="s">
        <v>283</v>
      </c>
    </row>
    <row r="67" spans="1:14" x14ac:dyDescent="0.25">
      <c r="A67">
        <v>51</v>
      </c>
      <c r="B67">
        <v>10</v>
      </c>
      <c r="C67" t="s">
        <v>666</v>
      </c>
      <c r="D67" s="1" t="s">
        <v>271</v>
      </c>
      <c r="E67" t="s">
        <v>667</v>
      </c>
      <c r="F67" t="s">
        <v>672</v>
      </c>
      <c r="G67" t="s">
        <v>466</v>
      </c>
      <c r="H67" s="1" t="s">
        <v>275</v>
      </c>
      <c r="I67" t="s">
        <v>676</v>
      </c>
      <c r="J67" t="s">
        <v>626</v>
      </c>
      <c r="K67" t="s">
        <v>677</v>
      </c>
      <c r="L67" s="1" t="s">
        <v>280</v>
      </c>
      <c r="M67" s="1" t="s">
        <v>287</v>
      </c>
    </row>
    <row r="68" spans="1:14" x14ac:dyDescent="0.25">
      <c r="A68" s="4">
        <v>52</v>
      </c>
      <c r="B68" s="4">
        <v>10</v>
      </c>
      <c r="C68" s="4" t="s">
        <v>668</v>
      </c>
      <c r="D68" s="4" t="s">
        <v>266</v>
      </c>
      <c r="E68" s="4" t="s">
        <v>667</v>
      </c>
      <c r="F68" s="9">
        <v>46023</v>
      </c>
      <c r="G68" s="9" t="s">
        <v>673</v>
      </c>
      <c r="H68" s="4" t="s">
        <v>275</v>
      </c>
      <c r="I68" s="4" t="s">
        <v>678</v>
      </c>
      <c r="J68" s="4" t="s">
        <v>626</v>
      </c>
      <c r="K68" s="4" t="s">
        <v>679</v>
      </c>
      <c r="L68" s="4" t="s">
        <v>279</v>
      </c>
      <c r="M68" s="4"/>
      <c r="N68" s="4"/>
    </row>
    <row r="69" spans="1:14" x14ac:dyDescent="0.25">
      <c r="A69" s="4">
        <v>53</v>
      </c>
      <c r="B69" s="4">
        <v>10</v>
      </c>
      <c r="C69" s="4" t="s">
        <v>669</v>
      </c>
      <c r="D69" s="4" t="s">
        <v>266</v>
      </c>
      <c r="E69" s="4" t="s">
        <v>667</v>
      </c>
      <c r="F69" s="4" t="s">
        <v>466</v>
      </c>
      <c r="G69" s="4" t="s">
        <v>674</v>
      </c>
      <c r="H69" s="4" t="s">
        <v>275</v>
      </c>
      <c r="I69" s="4" t="s">
        <v>680</v>
      </c>
      <c r="J69" s="4" t="s">
        <v>626</v>
      </c>
      <c r="K69" s="4" t="s">
        <v>681</v>
      </c>
      <c r="L69" s="4" t="s">
        <v>279</v>
      </c>
      <c r="M69" s="4"/>
      <c r="N69" s="4" t="s">
        <v>682</v>
      </c>
    </row>
    <row r="70" spans="1:14" x14ac:dyDescent="0.25">
      <c r="A70">
        <v>54</v>
      </c>
      <c r="B70">
        <v>10</v>
      </c>
      <c r="C70" t="s">
        <v>671</v>
      </c>
      <c r="D70" s="1" t="s">
        <v>271</v>
      </c>
      <c r="E70" t="s">
        <v>667</v>
      </c>
      <c r="F70" t="s">
        <v>684</v>
      </c>
      <c r="G70" t="s">
        <v>466</v>
      </c>
      <c r="H70" s="1" t="s">
        <v>275</v>
      </c>
      <c r="I70" t="s">
        <v>683</v>
      </c>
      <c r="J70" t="s">
        <v>626</v>
      </c>
      <c r="K70" t="s">
        <v>685</v>
      </c>
      <c r="L70" s="1" t="s">
        <v>280</v>
      </c>
      <c r="M70" s="1" t="s">
        <v>287</v>
      </c>
    </row>
    <row r="71" spans="1:14" x14ac:dyDescent="0.25">
      <c r="A71">
        <v>55</v>
      </c>
      <c r="B71">
        <v>10</v>
      </c>
      <c r="C71" t="s">
        <v>670</v>
      </c>
      <c r="D71" s="1" t="s">
        <v>268</v>
      </c>
      <c r="E71" t="s">
        <v>667</v>
      </c>
      <c r="F71">
        <v>2022</v>
      </c>
      <c r="G71" t="s">
        <v>466</v>
      </c>
      <c r="H71" s="1" t="s">
        <v>275</v>
      </c>
      <c r="I71" t="s">
        <v>686</v>
      </c>
      <c r="J71" t="s">
        <v>626</v>
      </c>
      <c r="K71" t="s">
        <v>687</v>
      </c>
      <c r="L71" s="1" t="s">
        <v>280</v>
      </c>
      <c r="M71" s="1" t="s">
        <v>284</v>
      </c>
      <c r="N71" t="s">
        <v>688</v>
      </c>
    </row>
    <row r="72" spans="1:14" x14ac:dyDescent="0.25">
      <c r="A72" s="7"/>
      <c r="B72" s="7">
        <v>10</v>
      </c>
      <c r="C72" s="7"/>
      <c r="D72" s="7" t="s">
        <v>263</v>
      </c>
      <c r="E72" s="7" t="s">
        <v>667</v>
      </c>
      <c r="F72" s="7"/>
      <c r="G72" s="7"/>
      <c r="H72" s="7"/>
      <c r="I72" s="7"/>
      <c r="J72" s="7"/>
      <c r="K72" s="7"/>
      <c r="L72" s="7" t="s">
        <v>281</v>
      </c>
      <c r="M72" s="7"/>
      <c r="N72" s="7" t="s">
        <v>643</v>
      </c>
    </row>
    <row r="73" spans="1:14" x14ac:dyDescent="0.25">
      <c r="A73" s="7"/>
      <c r="B73" s="7">
        <v>10</v>
      </c>
      <c r="C73" s="7"/>
      <c r="D73" s="7" t="s">
        <v>264</v>
      </c>
      <c r="E73" s="7" t="s">
        <v>667</v>
      </c>
      <c r="F73" s="7"/>
      <c r="G73" s="7"/>
      <c r="H73" s="7"/>
      <c r="I73" s="7"/>
      <c r="J73" s="7"/>
      <c r="K73" s="7"/>
      <c r="L73" s="7" t="s">
        <v>281</v>
      </c>
      <c r="M73" s="7"/>
      <c r="N73" s="7" t="s">
        <v>643</v>
      </c>
    </row>
    <row r="74" spans="1:14" x14ac:dyDescent="0.25">
      <c r="A74" s="7"/>
      <c r="B74" s="7">
        <v>10</v>
      </c>
      <c r="C74" s="7"/>
      <c r="D74" s="7" t="s">
        <v>265</v>
      </c>
      <c r="E74" s="7" t="s">
        <v>667</v>
      </c>
      <c r="F74" s="7"/>
      <c r="G74" s="7"/>
      <c r="H74" s="7"/>
      <c r="I74" s="7"/>
      <c r="J74" s="7"/>
      <c r="K74" s="7"/>
      <c r="L74" s="7" t="s">
        <v>281</v>
      </c>
      <c r="M74" s="7"/>
      <c r="N74" s="7" t="s">
        <v>643</v>
      </c>
    </row>
    <row r="75" spans="1:14" x14ac:dyDescent="0.25">
      <c r="A75" s="4">
        <v>56</v>
      </c>
      <c r="B75" s="4">
        <v>11</v>
      </c>
      <c r="C75" s="4" t="s">
        <v>691</v>
      </c>
      <c r="D75" s="4" t="s">
        <v>266</v>
      </c>
      <c r="E75" s="4" t="s">
        <v>697</v>
      </c>
      <c r="F75" s="4" t="s">
        <v>466</v>
      </c>
      <c r="G75" s="4" t="s">
        <v>466</v>
      </c>
      <c r="H75" s="4" t="s">
        <v>275</v>
      </c>
      <c r="I75" s="4" t="s">
        <v>698</v>
      </c>
      <c r="J75" s="4" t="s">
        <v>626</v>
      </c>
      <c r="K75" s="4" t="s">
        <v>703</v>
      </c>
      <c r="L75" s="4" t="s">
        <v>279</v>
      </c>
      <c r="M75" s="4"/>
      <c r="N75" s="4" t="s">
        <v>711</v>
      </c>
    </row>
    <row r="76" spans="1:14" x14ac:dyDescent="0.25">
      <c r="A76" s="4">
        <v>57</v>
      </c>
      <c r="B76" s="4">
        <v>11</v>
      </c>
      <c r="C76" s="4" t="s">
        <v>692</v>
      </c>
      <c r="D76" s="4" t="s">
        <v>263</v>
      </c>
      <c r="E76" s="4" t="s">
        <v>697</v>
      </c>
      <c r="F76" s="4" t="s">
        <v>704</v>
      </c>
      <c r="G76" s="4" t="s">
        <v>466</v>
      </c>
      <c r="H76" s="4" t="s">
        <v>275</v>
      </c>
      <c r="I76" s="4" t="s">
        <v>699</v>
      </c>
      <c r="J76" s="4" t="s">
        <v>626</v>
      </c>
      <c r="K76" s="4" t="s">
        <v>705</v>
      </c>
      <c r="L76" s="4" t="s">
        <v>279</v>
      </c>
      <c r="M76" s="4"/>
      <c r="N76" s="4" t="s">
        <v>712</v>
      </c>
    </row>
    <row r="77" spans="1:14" x14ac:dyDescent="0.25">
      <c r="A77">
        <v>58</v>
      </c>
      <c r="B77">
        <v>11</v>
      </c>
      <c r="C77" t="s">
        <v>693</v>
      </c>
      <c r="D77" s="1" t="s">
        <v>272</v>
      </c>
      <c r="E77" t="s">
        <v>697</v>
      </c>
      <c r="F77" s="8">
        <v>44866</v>
      </c>
      <c r="G77" t="s">
        <v>466</v>
      </c>
      <c r="H77" s="1" t="s">
        <v>275</v>
      </c>
      <c r="I77" t="s">
        <v>700</v>
      </c>
      <c r="J77" t="s">
        <v>626</v>
      </c>
      <c r="K77" t="s">
        <v>706</v>
      </c>
      <c r="L77" s="1" t="s">
        <v>280</v>
      </c>
      <c r="M77" s="1" t="s">
        <v>284</v>
      </c>
    </row>
    <row r="78" spans="1:14" x14ac:dyDescent="0.25">
      <c r="A78">
        <v>59</v>
      </c>
      <c r="B78">
        <v>11</v>
      </c>
      <c r="C78" t="s">
        <v>694</v>
      </c>
      <c r="D78" s="1" t="s">
        <v>266</v>
      </c>
      <c r="E78" t="s">
        <v>697</v>
      </c>
      <c r="F78" t="s">
        <v>466</v>
      </c>
      <c r="G78" t="s">
        <v>466</v>
      </c>
      <c r="H78" s="1" t="s">
        <v>275</v>
      </c>
      <c r="I78" t="s">
        <v>701</v>
      </c>
      <c r="J78" t="s">
        <v>626</v>
      </c>
      <c r="K78" t="s">
        <v>707</v>
      </c>
      <c r="L78" s="1" t="s">
        <v>280</v>
      </c>
      <c r="M78" s="1" t="s">
        <v>283</v>
      </c>
    </row>
    <row r="79" spans="1:14" x14ac:dyDescent="0.25">
      <c r="A79">
        <v>60</v>
      </c>
      <c r="B79">
        <v>11</v>
      </c>
      <c r="C79" t="s">
        <v>695</v>
      </c>
      <c r="D79" s="1" t="s">
        <v>272</v>
      </c>
      <c r="E79" t="s">
        <v>697</v>
      </c>
      <c r="F79" t="s">
        <v>466</v>
      </c>
      <c r="G79" t="s">
        <v>466</v>
      </c>
      <c r="H79" s="1" t="s">
        <v>275</v>
      </c>
      <c r="I79" t="s">
        <v>702</v>
      </c>
      <c r="J79" t="s">
        <v>626</v>
      </c>
      <c r="K79" t="s">
        <v>708</v>
      </c>
      <c r="L79" s="1" t="s">
        <v>280</v>
      </c>
      <c r="M79" s="1" t="s">
        <v>283</v>
      </c>
    </row>
    <row r="80" spans="1:14" x14ac:dyDescent="0.25">
      <c r="A80">
        <v>61</v>
      </c>
      <c r="B80">
        <v>11</v>
      </c>
      <c r="C80" t="s">
        <v>696</v>
      </c>
      <c r="D80" s="1" t="s">
        <v>267</v>
      </c>
      <c r="E80" t="s">
        <v>697</v>
      </c>
      <c r="F80" t="s">
        <v>466</v>
      </c>
      <c r="G80">
        <v>2024</v>
      </c>
      <c r="H80" s="1" t="s">
        <v>275</v>
      </c>
      <c r="I80" t="s">
        <v>709</v>
      </c>
      <c r="J80" t="s">
        <v>626</v>
      </c>
      <c r="K80" t="s">
        <v>710</v>
      </c>
      <c r="L80" s="1" t="s">
        <v>280</v>
      </c>
      <c r="M80" s="1" t="s">
        <v>283</v>
      </c>
    </row>
    <row r="81" spans="1:14" x14ac:dyDescent="0.25">
      <c r="A81" s="7"/>
      <c r="B81" s="7">
        <v>11</v>
      </c>
      <c r="C81" s="7"/>
      <c r="D81" s="7" t="s">
        <v>264</v>
      </c>
      <c r="E81" s="7" t="s">
        <v>697</v>
      </c>
      <c r="F81" s="7"/>
      <c r="G81" s="7"/>
      <c r="H81" s="7"/>
      <c r="I81" s="7"/>
      <c r="J81" s="7"/>
      <c r="K81" s="7"/>
      <c r="L81" s="7" t="s">
        <v>281</v>
      </c>
      <c r="M81" s="7"/>
      <c r="N81" s="7" t="s">
        <v>713</v>
      </c>
    </row>
    <row r="82" spans="1:14" x14ac:dyDescent="0.25">
      <c r="A82" s="7"/>
      <c r="B82" s="7">
        <v>11</v>
      </c>
      <c r="C82" s="7"/>
      <c r="D82" s="7" t="s">
        <v>265</v>
      </c>
      <c r="E82" s="7" t="s">
        <v>697</v>
      </c>
      <c r="F82" s="7"/>
      <c r="G82" s="7"/>
      <c r="H82" s="7"/>
      <c r="I82" s="7"/>
      <c r="J82" s="7"/>
      <c r="K82" s="7"/>
      <c r="L82" s="7" t="s">
        <v>281</v>
      </c>
      <c r="M82" s="7"/>
      <c r="N82" s="7" t="s">
        <v>713</v>
      </c>
    </row>
    <row r="83" spans="1:14" x14ac:dyDescent="0.25">
      <c r="A83" s="4">
        <v>62</v>
      </c>
      <c r="B83" s="4">
        <v>12</v>
      </c>
      <c r="C83" s="4" t="s">
        <v>714</v>
      </c>
      <c r="D83" s="4" t="s">
        <v>266</v>
      </c>
      <c r="E83" s="4" t="s">
        <v>715</v>
      </c>
      <c r="F83" s="9">
        <v>45778</v>
      </c>
      <c r="G83" s="4" t="s">
        <v>466</v>
      </c>
      <c r="H83" s="4" t="s">
        <v>275</v>
      </c>
      <c r="I83" s="4" t="s">
        <v>725</v>
      </c>
      <c r="J83" s="4" t="s">
        <v>626</v>
      </c>
      <c r="K83" s="4" t="s">
        <v>734</v>
      </c>
      <c r="L83" s="4" t="s">
        <v>279</v>
      </c>
      <c r="M83" s="4"/>
      <c r="N83" s="4" t="s">
        <v>735</v>
      </c>
    </row>
    <row r="84" spans="1:14" x14ac:dyDescent="0.25">
      <c r="A84">
        <v>63</v>
      </c>
      <c r="B84">
        <v>12</v>
      </c>
      <c r="C84" t="s">
        <v>716</v>
      </c>
      <c r="D84" s="1" t="s">
        <v>266</v>
      </c>
      <c r="E84" t="s">
        <v>715</v>
      </c>
      <c r="F84" t="s">
        <v>466</v>
      </c>
      <c r="G84" t="s">
        <v>466</v>
      </c>
      <c r="H84" s="1" t="s">
        <v>275</v>
      </c>
      <c r="I84" t="s">
        <v>727</v>
      </c>
      <c r="J84" t="s">
        <v>626</v>
      </c>
      <c r="K84" t="s">
        <v>736</v>
      </c>
      <c r="L84" s="1" t="s">
        <v>280</v>
      </c>
      <c r="M84" s="1" t="s">
        <v>283</v>
      </c>
    </row>
    <row r="85" spans="1:14" x14ac:dyDescent="0.25">
      <c r="A85" s="4">
        <v>64</v>
      </c>
      <c r="B85" s="4">
        <v>12</v>
      </c>
      <c r="C85" s="4" t="s">
        <v>717</v>
      </c>
      <c r="D85" s="4" t="s">
        <v>267</v>
      </c>
      <c r="E85" s="4" t="s">
        <v>715</v>
      </c>
      <c r="F85" s="4">
        <v>2023</v>
      </c>
      <c r="G85" s="4" t="s">
        <v>466</v>
      </c>
      <c r="H85" s="4" t="s">
        <v>275</v>
      </c>
      <c r="I85" s="4" t="s">
        <v>726</v>
      </c>
      <c r="J85" s="4" t="s">
        <v>626</v>
      </c>
      <c r="K85" s="4" t="s">
        <v>737</v>
      </c>
      <c r="L85" s="4" t="s">
        <v>279</v>
      </c>
      <c r="M85" s="4"/>
      <c r="N85" s="4" t="s">
        <v>738</v>
      </c>
    </row>
    <row r="86" spans="1:14" x14ac:dyDescent="0.25">
      <c r="A86">
        <v>65</v>
      </c>
      <c r="B86">
        <v>12</v>
      </c>
      <c r="C86" t="s">
        <v>718</v>
      </c>
      <c r="D86" s="1" t="s">
        <v>267</v>
      </c>
      <c r="E86" t="s">
        <v>715</v>
      </c>
      <c r="F86" t="s">
        <v>466</v>
      </c>
      <c r="G86" t="s">
        <v>466</v>
      </c>
      <c r="H86" s="1" t="s">
        <v>275</v>
      </c>
      <c r="I86" t="s">
        <v>729</v>
      </c>
      <c r="J86" t="s">
        <v>626</v>
      </c>
      <c r="K86" t="s">
        <v>739</v>
      </c>
      <c r="L86" s="1" t="s">
        <v>280</v>
      </c>
      <c r="M86" s="1" t="s">
        <v>283</v>
      </c>
    </row>
    <row r="87" spans="1:14" x14ac:dyDescent="0.25">
      <c r="A87">
        <v>66</v>
      </c>
      <c r="B87">
        <v>12</v>
      </c>
      <c r="C87" t="s">
        <v>719</v>
      </c>
      <c r="D87" s="1" t="s">
        <v>270</v>
      </c>
      <c r="E87" t="s">
        <v>715</v>
      </c>
      <c r="F87" t="s">
        <v>466</v>
      </c>
      <c r="G87" t="s">
        <v>466</v>
      </c>
      <c r="H87" s="1" t="s">
        <v>275</v>
      </c>
      <c r="I87" t="s">
        <v>728</v>
      </c>
      <c r="J87" t="s">
        <v>626</v>
      </c>
      <c r="K87" t="s">
        <v>740</v>
      </c>
      <c r="L87" s="1" t="s">
        <v>280</v>
      </c>
      <c r="M87" s="1" t="s">
        <v>286</v>
      </c>
      <c r="N87" t="s">
        <v>741</v>
      </c>
    </row>
    <row r="88" spans="1:14" x14ac:dyDescent="0.25">
      <c r="A88">
        <v>67</v>
      </c>
      <c r="B88">
        <v>12</v>
      </c>
      <c r="C88" t="s">
        <v>720</v>
      </c>
      <c r="D88" s="1" t="s">
        <v>270</v>
      </c>
      <c r="E88" t="s">
        <v>715</v>
      </c>
      <c r="F88" t="s">
        <v>466</v>
      </c>
      <c r="G88" t="s">
        <v>466</v>
      </c>
      <c r="H88" s="1" t="s">
        <v>275</v>
      </c>
      <c r="I88" t="s">
        <v>730</v>
      </c>
      <c r="J88" t="s">
        <v>626</v>
      </c>
      <c r="K88" t="s">
        <v>742</v>
      </c>
      <c r="L88" s="1" t="s">
        <v>280</v>
      </c>
      <c r="M88" s="1" t="s">
        <v>286</v>
      </c>
      <c r="N88" t="s">
        <v>743</v>
      </c>
    </row>
    <row r="89" spans="1:14" x14ac:dyDescent="0.25">
      <c r="A89">
        <v>68</v>
      </c>
      <c r="B89">
        <v>12</v>
      </c>
      <c r="C89" t="s">
        <v>721</v>
      </c>
      <c r="D89" s="1"/>
      <c r="E89" t="s">
        <v>715</v>
      </c>
      <c r="F89" t="s">
        <v>744</v>
      </c>
      <c r="G89" t="s">
        <v>466</v>
      </c>
      <c r="H89" s="1" t="s">
        <v>275</v>
      </c>
      <c r="I89" t="s">
        <v>731</v>
      </c>
      <c r="J89" t="s">
        <v>626</v>
      </c>
      <c r="K89" t="s">
        <v>745</v>
      </c>
      <c r="L89" s="1" t="s">
        <v>280</v>
      </c>
      <c r="M89" s="1" t="s">
        <v>286</v>
      </c>
    </row>
    <row r="90" spans="1:14" x14ac:dyDescent="0.25">
      <c r="A90" s="4">
        <v>69</v>
      </c>
      <c r="B90" s="4">
        <v>12</v>
      </c>
      <c r="C90" s="4" t="s">
        <v>722</v>
      </c>
      <c r="D90" s="4" t="s">
        <v>264</v>
      </c>
      <c r="E90" s="4" t="s">
        <v>715</v>
      </c>
      <c r="F90" s="9">
        <v>44348</v>
      </c>
      <c r="G90" s="4" t="s">
        <v>466</v>
      </c>
      <c r="H90" s="4" t="s">
        <v>275</v>
      </c>
      <c r="I90" s="4" t="s">
        <v>732</v>
      </c>
      <c r="J90" s="4" t="s">
        <v>626</v>
      </c>
      <c r="K90" s="4" t="s">
        <v>746</v>
      </c>
      <c r="L90" s="4" t="s">
        <v>279</v>
      </c>
      <c r="M90" s="4"/>
      <c r="N90" s="4"/>
    </row>
    <row r="91" spans="1:14" x14ac:dyDescent="0.25">
      <c r="A91" s="4">
        <v>70</v>
      </c>
      <c r="B91" s="4">
        <v>12</v>
      </c>
      <c r="C91" s="4" t="s">
        <v>723</v>
      </c>
      <c r="D91" s="4" t="s">
        <v>264</v>
      </c>
      <c r="E91" s="4" t="s">
        <v>715</v>
      </c>
      <c r="F91" s="4" t="s">
        <v>466</v>
      </c>
      <c r="G91" s="4" t="s">
        <v>466</v>
      </c>
      <c r="H91" s="4" t="s">
        <v>275</v>
      </c>
      <c r="I91" s="4" t="s">
        <v>733</v>
      </c>
      <c r="J91" s="4" t="s">
        <v>626</v>
      </c>
      <c r="K91" s="4" t="s">
        <v>747</v>
      </c>
      <c r="L91" s="4" t="s">
        <v>279</v>
      </c>
      <c r="M91" s="4"/>
      <c r="N91" s="4"/>
    </row>
    <row r="92" spans="1:14" x14ac:dyDescent="0.25">
      <c r="A92">
        <v>71</v>
      </c>
      <c r="B92">
        <v>13</v>
      </c>
      <c r="C92" t="s">
        <v>749</v>
      </c>
      <c r="D92" s="1" t="s">
        <v>272</v>
      </c>
      <c r="E92" t="s">
        <v>750</v>
      </c>
      <c r="F92" s="8">
        <v>43983</v>
      </c>
      <c r="G92" t="s">
        <v>466</v>
      </c>
      <c r="H92" s="1" t="s">
        <v>275</v>
      </c>
      <c r="I92" t="s">
        <v>760</v>
      </c>
      <c r="J92" t="s">
        <v>626</v>
      </c>
      <c r="K92" t="s">
        <v>765</v>
      </c>
      <c r="L92" s="1" t="s">
        <v>280</v>
      </c>
      <c r="M92" s="1" t="s">
        <v>284</v>
      </c>
    </row>
    <row r="93" spans="1:14" x14ac:dyDescent="0.25">
      <c r="A93">
        <v>72</v>
      </c>
      <c r="B93">
        <v>13</v>
      </c>
      <c r="C93" t="s">
        <v>751</v>
      </c>
      <c r="D93" s="1" t="s">
        <v>272</v>
      </c>
      <c r="E93" t="s">
        <v>750</v>
      </c>
      <c r="F93" t="s">
        <v>763</v>
      </c>
      <c r="G93" t="s">
        <v>466</v>
      </c>
      <c r="H93" s="1" t="s">
        <v>275</v>
      </c>
      <c r="I93" t="s">
        <v>761</v>
      </c>
      <c r="J93" t="s">
        <v>626</v>
      </c>
      <c r="K93" t="s">
        <v>764</v>
      </c>
      <c r="L93" s="1" t="s">
        <v>280</v>
      </c>
      <c r="M93" s="1"/>
    </row>
    <row r="94" spans="1:14" x14ac:dyDescent="0.25">
      <c r="A94" s="4">
        <v>73</v>
      </c>
      <c r="B94" s="4">
        <v>13</v>
      </c>
      <c r="C94" s="4" t="s">
        <v>752</v>
      </c>
      <c r="D94" s="4" t="s">
        <v>272</v>
      </c>
      <c r="E94" s="4" t="s">
        <v>750</v>
      </c>
      <c r="F94" s="4" t="s">
        <v>767</v>
      </c>
      <c r="G94" s="4" t="s">
        <v>466</v>
      </c>
      <c r="H94" s="4" t="s">
        <v>275</v>
      </c>
      <c r="I94" s="4" t="s">
        <v>766</v>
      </c>
      <c r="J94" s="4" t="s">
        <v>626</v>
      </c>
      <c r="K94" s="4" t="s">
        <v>768</v>
      </c>
      <c r="L94" s="4" t="s">
        <v>279</v>
      </c>
      <c r="M94" s="4"/>
      <c r="N94" s="4" t="s">
        <v>785</v>
      </c>
    </row>
    <row r="95" spans="1:14" x14ac:dyDescent="0.25">
      <c r="A95" s="4">
        <v>74</v>
      </c>
      <c r="B95" s="4">
        <v>13</v>
      </c>
      <c r="C95" s="4" t="s">
        <v>753</v>
      </c>
      <c r="D95" s="4" t="s">
        <v>272</v>
      </c>
      <c r="E95" s="4" t="s">
        <v>750</v>
      </c>
      <c r="F95" s="4" t="s">
        <v>770</v>
      </c>
      <c r="G95" s="4" t="s">
        <v>754</v>
      </c>
      <c r="H95" s="4" t="s">
        <v>275</v>
      </c>
      <c r="I95" s="4" t="s">
        <v>769</v>
      </c>
      <c r="J95" s="4" t="s">
        <v>626</v>
      </c>
      <c r="K95" s="4" t="s">
        <v>771</v>
      </c>
      <c r="L95" s="4" t="s">
        <v>279</v>
      </c>
      <c r="M95" s="4"/>
      <c r="N95" s="4" t="s">
        <v>784</v>
      </c>
    </row>
    <row r="96" spans="1:14" x14ac:dyDescent="0.25">
      <c r="A96">
        <v>75</v>
      </c>
      <c r="B96">
        <v>13</v>
      </c>
      <c r="C96" t="s">
        <v>755</v>
      </c>
      <c r="D96" s="1" t="s">
        <v>266</v>
      </c>
      <c r="E96" t="s">
        <v>750</v>
      </c>
      <c r="F96" t="s">
        <v>466</v>
      </c>
      <c r="G96" t="s">
        <v>466</v>
      </c>
      <c r="H96" s="1" t="s">
        <v>275</v>
      </c>
      <c r="I96" t="s">
        <v>772</v>
      </c>
      <c r="J96" t="s">
        <v>626</v>
      </c>
      <c r="K96" t="s">
        <v>773</v>
      </c>
      <c r="L96" s="1" t="s">
        <v>280</v>
      </c>
      <c r="M96" s="1" t="s">
        <v>283</v>
      </c>
    </row>
    <row r="97" spans="1:14" x14ac:dyDescent="0.25">
      <c r="A97">
        <v>76</v>
      </c>
      <c r="B97">
        <v>13</v>
      </c>
      <c r="C97" t="s">
        <v>756</v>
      </c>
      <c r="D97" s="1" t="s">
        <v>266</v>
      </c>
      <c r="E97" t="s">
        <v>750</v>
      </c>
      <c r="F97" t="s">
        <v>775</v>
      </c>
      <c r="G97" t="s">
        <v>466</v>
      </c>
      <c r="H97" s="1" t="s">
        <v>275</v>
      </c>
      <c r="I97" t="s">
        <v>774</v>
      </c>
      <c r="J97" t="s">
        <v>626</v>
      </c>
      <c r="K97" t="s">
        <v>776</v>
      </c>
      <c r="L97" s="1" t="s">
        <v>280</v>
      </c>
      <c r="M97" s="1" t="s">
        <v>283</v>
      </c>
    </row>
    <row r="98" spans="1:14" x14ac:dyDescent="0.25">
      <c r="A98">
        <v>77</v>
      </c>
      <c r="B98">
        <v>13</v>
      </c>
      <c r="C98" t="s">
        <v>757</v>
      </c>
      <c r="D98" s="1" t="s">
        <v>267</v>
      </c>
      <c r="E98" t="s">
        <v>750</v>
      </c>
      <c r="F98" t="s">
        <v>778</v>
      </c>
      <c r="G98" t="s">
        <v>466</v>
      </c>
      <c r="H98" s="1" t="s">
        <v>275</v>
      </c>
      <c r="I98" t="s">
        <v>777</v>
      </c>
      <c r="J98" t="s">
        <v>626</v>
      </c>
      <c r="K98" t="s">
        <v>779</v>
      </c>
      <c r="L98" s="1" t="s">
        <v>280</v>
      </c>
      <c r="M98" s="1" t="s">
        <v>283</v>
      </c>
    </row>
    <row r="99" spans="1:14" x14ac:dyDescent="0.25">
      <c r="A99">
        <v>78</v>
      </c>
      <c r="B99">
        <v>13</v>
      </c>
      <c r="C99" t="s">
        <v>758</v>
      </c>
      <c r="D99" s="1" t="s">
        <v>270</v>
      </c>
      <c r="E99" t="s">
        <v>750</v>
      </c>
      <c r="F99" t="s">
        <v>466</v>
      </c>
      <c r="G99" t="s">
        <v>466</v>
      </c>
      <c r="H99" s="1" t="s">
        <v>274</v>
      </c>
      <c r="I99" t="s">
        <v>780</v>
      </c>
      <c r="J99" t="s">
        <v>626</v>
      </c>
      <c r="K99" t="s">
        <v>781</v>
      </c>
      <c r="L99" s="1" t="s">
        <v>280</v>
      </c>
      <c r="M99" s="1" t="s">
        <v>283</v>
      </c>
    </row>
    <row r="100" spans="1:14" x14ac:dyDescent="0.25">
      <c r="A100">
        <v>79</v>
      </c>
      <c r="B100">
        <v>13</v>
      </c>
      <c r="C100" t="s">
        <v>759</v>
      </c>
      <c r="D100" s="1" t="s">
        <v>271</v>
      </c>
      <c r="E100" t="s">
        <v>750</v>
      </c>
      <c r="F100" t="s">
        <v>782</v>
      </c>
      <c r="G100" t="s">
        <v>466</v>
      </c>
      <c r="H100" s="1" t="s">
        <v>275</v>
      </c>
      <c r="I100" t="s">
        <v>762</v>
      </c>
      <c r="J100" t="s">
        <v>626</v>
      </c>
      <c r="K100" t="s">
        <v>783</v>
      </c>
      <c r="L100" s="1" t="s">
        <v>280</v>
      </c>
      <c r="M100" s="1" t="s">
        <v>287</v>
      </c>
    </row>
    <row r="101" spans="1:14" x14ac:dyDescent="0.25">
      <c r="A101" s="7"/>
      <c r="B101" s="7">
        <v>13</v>
      </c>
      <c r="C101" s="7"/>
      <c r="D101" s="7" t="s">
        <v>263</v>
      </c>
      <c r="E101" s="7" t="s">
        <v>750</v>
      </c>
      <c r="F101" s="7"/>
      <c r="G101" s="7"/>
      <c r="H101" s="7"/>
      <c r="I101" s="7"/>
      <c r="J101" s="7"/>
      <c r="K101" s="7"/>
      <c r="L101" s="7" t="s">
        <v>281</v>
      </c>
      <c r="M101" s="7"/>
      <c r="N101" s="7" t="s">
        <v>643</v>
      </c>
    </row>
    <row r="102" spans="1:14" x14ac:dyDescent="0.25">
      <c r="A102" s="7"/>
      <c r="B102" s="7">
        <v>13</v>
      </c>
      <c r="C102" s="7"/>
      <c r="D102" s="7" t="s">
        <v>264</v>
      </c>
      <c r="E102" s="7" t="s">
        <v>750</v>
      </c>
      <c r="F102" s="7"/>
      <c r="G102" s="7"/>
      <c r="H102" s="7"/>
      <c r="I102" s="7"/>
      <c r="J102" s="7"/>
      <c r="K102" s="7"/>
      <c r="L102" s="7" t="s">
        <v>281</v>
      </c>
      <c r="M102" s="7"/>
      <c r="N102" s="7" t="s">
        <v>643</v>
      </c>
    </row>
    <row r="103" spans="1:14" x14ac:dyDescent="0.25">
      <c r="A103" s="7"/>
      <c r="B103" s="7">
        <v>13</v>
      </c>
      <c r="C103" s="7"/>
      <c r="D103" s="7" t="s">
        <v>265</v>
      </c>
      <c r="E103" s="7" t="s">
        <v>750</v>
      </c>
      <c r="F103" s="7"/>
      <c r="G103" s="7"/>
      <c r="H103" s="7"/>
      <c r="I103" s="7"/>
      <c r="J103" s="7"/>
      <c r="K103" s="7"/>
      <c r="L103" s="7" t="s">
        <v>281</v>
      </c>
      <c r="M103" s="7"/>
      <c r="N103" s="7" t="s">
        <v>643</v>
      </c>
    </row>
    <row r="104" spans="1:14" x14ac:dyDescent="0.25">
      <c r="A104">
        <v>80</v>
      </c>
      <c r="B104">
        <v>14</v>
      </c>
      <c r="C104" t="s">
        <v>788</v>
      </c>
      <c r="D104" s="1" t="s">
        <v>272</v>
      </c>
      <c r="E104" t="s">
        <v>787</v>
      </c>
      <c r="F104" t="s">
        <v>466</v>
      </c>
      <c r="G104" t="s">
        <v>466</v>
      </c>
      <c r="H104" s="1" t="s">
        <v>275</v>
      </c>
      <c r="I104" t="s">
        <v>796</v>
      </c>
      <c r="J104" t="s">
        <v>786</v>
      </c>
      <c r="K104" t="s">
        <v>802</v>
      </c>
      <c r="L104" s="1" t="s">
        <v>280</v>
      </c>
      <c r="M104" s="1" t="s">
        <v>283</v>
      </c>
    </row>
    <row r="105" spans="1:14" x14ac:dyDescent="0.25">
      <c r="A105">
        <v>81</v>
      </c>
      <c r="B105">
        <v>14</v>
      </c>
      <c r="C105" t="s">
        <v>789</v>
      </c>
      <c r="D105" s="1" t="s">
        <v>272</v>
      </c>
      <c r="E105" t="s">
        <v>787</v>
      </c>
      <c r="F105" s="8">
        <v>45870</v>
      </c>
      <c r="G105" t="s">
        <v>795</v>
      </c>
      <c r="H105" s="1" t="s">
        <v>275</v>
      </c>
      <c r="I105" t="s">
        <v>798</v>
      </c>
      <c r="J105" t="s">
        <v>786</v>
      </c>
      <c r="K105" t="s">
        <v>803</v>
      </c>
      <c r="L105" s="1" t="s">
        <v>280</v>
      </c>
      <c r="M105" s="1" t="s">
        <v>283</v>
      </c>
    </row>
    <row r="106" spans="1:14" x14ac:dyDescent="0.25">
      <c r="A106">
        <v>82</v>
      </c>
      <c r="B106">
        <v>14</v>
      </c>
      <c r="C106" t="s">
        <v>790</v>
      </c>
      <c r="D106" s="1" t="s">
        <v>266</v>
      </c>
      <c r="E106" t="s">
        <v>787</v>
      </c>
      <c r="F106" t="s">
        <v>466</v>
      </c>
      <c r="G106" t="s">
        <v>466</v>
      </c>
      <c r="H106" s="1" t="s">
        <v>275</v>
      </c>
      <c r="I106" t="s">
        <v>797</v>
      </c>
      <c r="J106" t="s">
        <v>786</v>
      </c>
      <c r="K106" t="s">
        <v>806</v>
      </c>
      <c r="L106" s="1" t="s">
        <v>280</v>
      </c>
      <c r="M106" s="1" t="s">
        <v>283</v>
      </c>
    </row>
    <row r="107" spans="1:14" x14ac:dyDescent="0.25">
      <c r="A107">
        <v>83</v>
      </c>
      <c r="B107">
        <v>14</v>
      </c>
      <c r="C107" t="s">
        <v>791</v>
      </c>
      <c r="D107" s="1" t="s">
        <v>266</v>
      </c>
      <c r="E107" t="s">
        <v>787</v>
      </c>
      <c r="F107">
        <v>2020</v>
      </c>
      <c r="G107" t="s">
        <v>804</v>
      </c>
      <c r="H107" s="1" t="s">
        <v>275</v>
      </c>
      <c r="I107" t="s">
        <v>799</v>
      </c>
      <c r="J107" t="s">
        <v>786</v>
      </c>
      <c r="K107" t="s">
        <v>805</v>
      </c>
      <c r="L107" s="1" t="s">
        <v>280</v>
      </c>
      <c r="M107" s="1" t="s">
        <v>283</v>
      </c>
    </row>
    <row r="108" spans="1:14" x14ac:dyDescent="0.25">
      <c r="A108">
        <v>84</v>
      </c>
      <c r="B108">
        <v>14</v>
      </c>
      <c r="C108" t="s">
        <v>792</v>
      </c>
      <c r="D108" s="1" t="s">
        <v>270</v>
      </c>
      <c r="E108" t="s">
        <v>787</v>
      </c>
      <c r="F108" t="s">
        <v>466</v>
      </c>
      <c r="G108" t="s">
        <v>466</v>
      </c>
      <c r="H108" s="1" t="s">
        <v>275</v>
      </c>
      <c r="I108" t="s">
        <v>800</v>
      </c>
      <c r="J108" t="s">
        <v>786</v>
      </c>
      <c r="K108" t="s">
        <v>807</v>
      </c>
      <c r="L108" s="1" t="s">
        <v>280</v>
      </c>
      <c r="M108" s="1" t="s">
        <v>283</v>
      </c>
    </row>
    <row r="109" spans="1:14" x14ac:dyDescent="0.25">
      <c r="A109">
        <v>85</v>
      </c>
      <c r="B109">
        <v>14</v>
      </c>
      <c r="C109" t="s">
        <v>793</v>
      </c>
      <c r="D109" s="1" t="s">
        <v>268</v>
      </c>
      <c r="E109" t="s">
        <v>787</v>
      </c>
      <c r="F109" t="s">
        <v>466</v>
      </c>
      <c r="G109" t="s">
        <v>466</v>
      </c>
      <c r="H109" s="1" t="s">
        <v>275</v>
      </c>
      <c r="I109" t="s">
        <v>801</v>
      </c>
      <c r="J109" t="s">
        <v>786</v>
      </c>
      <c r="K109" t="s">
        <v>808</v>
      </c>
      <c r="L109" s="1" t="s">
        <v>280</v>
      </c>
      <c r="M109" s="1" t="s">
        <v>283</v>
      </c>
    </row>
    <row r="110" spans="1:14" x14ac:dyDescent="0.25">
      <c r="A110" s="7"/>
      <c r="B110" s="7">
        <v>14</v>
      </c>
      <c r="C110" s="7"/>
      <c r="D110" s="7" t="s">
        <v>263</v>
      </c>
      <c r="E110" s="7" t="s">
        <v>787</v>
      </c>
      <c r="F110" s="7"/>
      <c r="G110" s="7"/>
      <c r="H110" s="7"/>
      <c r="I110" s="7"/>
      <c r="J110" s="7"/>
      <c r="K110" s="7"/>
      <c r="L110" s="7" t="s">
        <v>281</v>
      </c>
      <c r="M110" s="7"/>
      <c r="N110" s="7" t="s">
        <v>794</v>
      </c>
    </row>
    <row r="111" spans="1:14" x14ac:dyDescent="0.25">
      <c r="A111" s="7"/>
      <c r="B111" s="7">
        <v>14</v>
      </c>
      <c r="C111" s="7"/>
      <c r="D111" s="7" t="s">
        <v>264</v>
      </c>
      <c r="E111" s="7" t="s">
        <v>787</v>
      </c>
      <c r="F111" s="7"/>
      <c r="G111" s="7"/>
      <c r="H111" s="7"/>
      <c r="I111" s="7"/>
      <c r="J111" s="7"/>
      <c r="K111" s="7"/>
      <c r="L111" s="7" t="s">
        <v>281</v>
      </c>
      <c r="M111" s="7"/>
      <c r="N111" s="7" t="s">
        <v>794</v>
      </c>
    </row>
    <row r="112" spans="1:14" x14ac:dyDescent="0.25">
      <c r="A112" s="7"/>
      <c r="B112" s="7">
        <v>14</v>
      </c>
      <c r="C112" s="7"/>
      <c r="D112" s="7" t="s">
        <v>265</v>
      </c>
      <c r="E112" s="7" t="s">
        <v>787</v>
      </c>
      <c r="F112" s="7"/>
      <c r="G112" s="7"/>
      <c r="H112" s="7"/>
      <c r="I112" s="7"/>
      <c r="J112" s="7"/>
      <c r="K112" s="7"/>
      <c r="L112" s="7" t="s">
        <v>281</v>
      </c>
      <c r="M112" s="7"/>
      <c r="N112" s="7" t="s">
        <v>794</v>
      </c>
    </row>
    <row r="113" spans="1:14" x14ac:dyDescent="0.25">
      <c r="A113" s="4">
        <v>86</v>
      </c>
      <c r="B113" s="4">
        <v>15</v>
      </c>
      <c r="C113" s="4" t="s">
        <v>812</v>
      </c>
      <c r="D113" s="4" t="s">
        <v>265</v>
      </c>
      <c r="E113" s="4" t="s">
        <v>811</v>
      </c>
      <c r="F113" s="4" t="s">
        <v>838</v>
      </c>
      <c r="G113" s="4" t="s">
        <v>814</v>
      </c>
      <c r="H113" s="4" t="s">
        <v>275</v>
      </c>
      <c r="I113" s="4" t="s">
        <v>813</v>
      </c>
      <c r="J113" s="4" t="s">
        <v>786</v>
      </c>
      <c r="K113" s="4" t="s">
        <v>844</v>
      </c>
      <c r="L113" s="4" t="s">
        <v>279</v>
      </c>
      <c r="M113" s="4"/>
      <c r="N113" s="4"/>
    </row>
    <row r="114" spans="1:14" x14ac:dyDescent="0.25">
      <c r="A114">
        <v>87</v>
      </c>
      <c r="B114">
        <v>15</v>
      </c>
      <c r="C114" t="s">
        <v>815</v>
      </c>
      <c r="D114" s="1" t="s">
        <v>270</v>
      </c>
      <c r="E114" t="s">
        <v>811</v>
      </c>
      <c r="F114" t="s">
        <v>839</v>
      </c>
      <c r="G114" t="s">
        <v>466</v>
      </c>
      <c r="H114" s="1" t="s">
        <v>275</v>
      </c>
      <c r="I114" t="s">
        <v>816</v>
      </c>
      <c r="J114" t="s">
        <v>786</v>
      </c>
      <c r="K114" t="s">
        <v>845</v>
      </c>
      <c r="L114" s="1" t="s">
        <v>280</v>
      </c>
      <c r="M114" s="1" t="s">
        <v>284</v>
      </c>
    </row>
    <row r="115" spans="1:14" x14ac:dyDescent="0.25">
      <c r="A115" s="4">
        <v>88</v>
      </c>
      <c r="B115" s="4">
        <v>15</v>
      </c>
      <c r="C115" s="4" t="s">
        <v>817</v>
      </c>
      <c r="D115" s="4" t="s">
        <v>263</v>
      </c>
      <c r="E115" s="4" t="s">
        <v>811</v>
      </c>
      <c r="F115" s="4">
        <v>2024</v>
      </c>
      <c r="G115" s="4" t="s">
        <v>466</v>
      </c>
      <c r="H115" s="4" t="s">
        <v>275</v>
      </c>
      <c r="I115" s="4" t="s">
        <v>818</v>
      </c>
      <c r="J115" s="4" t="s">
        <v>786</v>
      </c>
      <c r="K115" s="4" t="s">
        <v>846</v>
      </c>
      <c r="L115" s="4" t="s">
        <v>279</v>
      </c>
      <c r="M115" s="4"/>
      <c r="N115" s="4"/>
    </row>
    <row r="116" spans="1:14" x14ac:dyDescent="0.25">
      <c r="A116">
        <v>89</v>
      </c>
      <c r="B116">
        <v>15</v>
      </c>
      <c r="C116" t="s">
        <v>819</v>
      </c>
      <c r="D116" s="1" t="s">
        <v>266</v>
      </c>
      <c r="E116" t="s">
        <v>811</v>
      </c>
      <c r="F116" t="s">
        <v>466</v>
      </c>
      <c r="G116" t="s">
        <v>466</v>
      </c>
      <c r="H116" s="1" t="s">
        <v>275</v>
      </c>
      <c r="I116" t="s">
        <v>820</v>
      </c>
      <c r="J116" t="s">
        <v>786</v>
      </c>
      <c r="K116" t="s">
        <v>847</v>
      </c>
      <c r="L116" s="1" t="s">
        <v>280</v>
      </c>
      <c r="M116" s="1" t="s">
        <v>284</v>
      </c>
    </row>
    <row r="117" spans="1:14" x14ac:dyDescent="0.25">
      <c r="A117" s="4">
        <v>90</v>
      </c>
      <c r="B117" s="4">
        <v>15</v>
      </c>
      <c r="C117" s="4" t="s">
        <v>821</v>
      </c>
      <c r="D117" s="4" t="s">
        <v>266</v>
      </c>
      <c r="E117" s="4" t="s">
        <v>811</v>
      </c>
      <c r="F117" s="4" t="s">
        <v>840</v>
      </c>
      <c r="G117" s="4" t="s">
        <v>823</v>
      </c>
      <c r="H117" s="4" t="s">
        <v>275</v>
      </c>
      <c r="I117" s="4" t="s">
        <v>822</v>
      </c>
      <c r="J117" s="4" t="s">
        <v>786</v>
      </c>
      <c r="K117" s="4" t="s">
        <v>848</v>
      </c>
      <c r="L117" s="4" t="s">
        <v>279</v>
      </c>
      <c r="M117" s="4"/>
      <c r="N117" s="4"/>
    </row>
    <row r="118" spans="1:14" x14ac:dyDescent="0.25">
      <c r="A118" s="4">
        <v>91</v>
      </c>
      <c r="B118" s="4">
        <v>15</v>
      </c>
      <c r="C118" s="4" t="s">
        <v>824</v>
      </c>
      <c r="D118" s="4" t="s">
        <v>270</v>
      </c>
      <c r="E118" s="4" t="s">
        <v>811</v>
      </c>
      <c r="F118" s="4" t="s">
        <v>841</v>
      </c>
      <c r="G118" s="4" t="s">
        <v>466</v>
      </c>
      <c r="H118" s="4" t="s">
        <v>275</v>
      </c>
      <c r="I118" s="4" t="s">
        <v>825</v>
      </c>
      <c r="J118" s="4" t="s">
        <v>786</v>
      </c>
      <c r="K118" s="4" t="s">
        <v>850</v>
      </c>
      <c r="L118" s="4" t="s">
        <v>279</v>
      </c>
      <c r="M118" s="4"/>
      <c r="N118" s="4"/>
    </row>
    <row r="119" spans="1:14" x14ac:dyDescent="0.25">
      <c r="A119" s="4">
        <v>92</v>
      </c>
      <c r="B119" s="4">
        <v>15</v>
      </c>
      <c r="C119" s="4" t="s">
        <v>826</v>
      </c>
      <c r="D119" s="4" t="s">
        <v>270</v>
      </c>
      <c r="E119" s="4" t="s">
        <v>811</v>
      </c>
      <c r="F119" s="4" t="s">
        <v>842</v>
      </c>
      <c r="G119" s="4" t="s">
        <v>466</v>
      </c>
      <c r="H119" s="4" t="s">
        <v>275</v>
      </c>
      <c r="I119" s="4" t="s">
        <v>827</v>
      </c>
      <c r="J119" s="4" t="s">
        <v>786</v>
      </c>
      <c r="K119" s="4" t="s">
        <v>849</v>
      </c>
      <c r="L119" s="4" t="s">
        <v>279</v>
      </c>
      <c r="M119" s="4"/>
      <c r="N119" s="4"/>
    </row>
    <row r="120" spans="1:14" x14ac:dyDescent="0.25">
      <c r="A120" s="4">
        <v>93</v>
      </c>
      <c r="B120" s="4">
        <v>15</v>
      </c>
      <c r="C120" s="4" t="s">
        <v>828</v>
      </c>
      <c r="D120" s="4" t="s">
        <v>270</v>
      </c>
      <c r="E120" s="4" t="s">
        <v>811</v>
      </c>
      <c r="F120" s="4">
        <v>2023</v>
      </c>
      <c r="G120" s="4" t="s">
        <v>466</v>
      </c>
      <c r="H120" s="4" t="s">
        <v>275</v>
      </c>
      <c r="I120" s="4" t="s">
        <v>829</v>
      </c>
      <c r="J120" s="4" t="s">
        <v>786</v>
      </c>
      <c r="K120" s="4" t="s">
        <v>856</v>
      </c>
      <c r="L120" s="4" t="s">
        <v>279</v>
      </c>
      <c r="M120" s="4"/>
      <c r="N120" s="4"/>
    </row>
    <row r="121" spans="1:14" x14ac:dyDescent="0.25">
      <c r="A121" s="4">
        <v>94</v>
      </c>
      <c r="B121" s="4">
        <v>15</v>
      </c>
      <c r="C121" s="4" t="s">
        <v>830</v>
      </c>
      <c r="D121" s="4" t="s">
        <v>264</v>
      </c>
      <c r="E121" s="4" t="s">
        <v>811</v>
      </c>
      <c r="F121" s="4" t="s">
        <v>843</v>
      </c>
      <c r="G121" s="4" t="s">
        <v>832</v>
      </c>
      <c r="H121" s="4" t="s">
        <v>276</v>
      </c>
      <c r="I121" s="4" t="s">
        <v>831</v>
      </c>
      <c r="J121" s="4" t="s">
        <v>786</v>
      </c>
      <c r="K121" s="4" t="s">
        <v>852</v>
      </c>
      <c r="L121" s="4" t="s">
        <v>279</v>
      </c>
      <c r="M121" s="4"/>
      <c r="N121" s="4"/>
    </row>
    <row r="122" spans="1:14" x14ac:dyDescent="0.25">
      <c r="A122" s="4">
        <v>95</v>
      </c>
      <c r="B122" s="4">
        <v>15</v>
      </c>
      <c r="C122" s="4" t="s">
        <v>833</v>
      </c>
      <c r="D122" s="4" t="s">
        <v>264</v>
      </c>
      <c r="E122" s="4" t="s">
        <v>811</v>
      </c>
      <c r="F122" s="4" t="s">
        <v>466</v>
      </c>
      <c r="G122" s="4" t="s">
        <v>466</v>
      </c>
      <c r="H122" s="4" t="s">
        <v>275</v>
      </c>
      <c r="I122" s="4" t="s">
        <v>834</v>
      </c>
      <c r="J122" s="4" t="s">
        <v>786</v>
      </c>
      <c r="K122" s="4" t="s">
        <v>851</v>
      </c>
      <c r="L122" s="4" t="s">
        <v>279</v>
      </c>
      <c r="M122" s="4"/>
      <c r="N122" s="4"/>
    </row>
    <row r="123" spans="1:14" x14ac:dyDescent="0.25">
      <c r="A123" s="4">
        <v>96</v>
      </c>
      <c r="B123" s="4">
        <v>15</v>
      </c>
      <c r="C123" s="4" t="s">
        <v>835</v>
      </c>
      <c r="D123" s="4" t="s">
        <v>267</v>
      </c>
      <c r="E123" s="4" t="s">
        <v>811</v>
      </c>
      <c r="F123" s="4">
        <v>2024</v>
      </c>
      <c r="G123" s="4" t="s">
        <v>837</v>
      </c>
      <c r="H123" s="4" t="s">
        <v>275</v>
      </c>
      <c r="I123" s="4" t="s">
        <v>836</v>
      </c>
      <c r="J123" s="4" t="s">
        <v>786</v>
      </c>
      <c r="K123" s="4" t="s">
        <v>857</v>
      </c>
      <c r="L123" s="4" t="s">
        <v>279</v>
      </c>
      <c r="M123" s="4"/>
      <c r="N123" s="4"/>
    </row>
    <row r="124" spans="1:14" x14ac:dyDescent="0.25">
      <c r="A124" s="4">
        <v>97</v>
      </c>
      <c r="B124" s="4">
        <v>15</v>
      </c>
      <c r="C124" s="4" t="s">
        <v>853</v>
      </c>
      <c r="D124" s="4" t="s">
        <v>270</v>
      </c>
      <c r="E124" s="4" t="s">
        <v>811</v>
      </c>
      <c r="F124" s="10">
        <v>45324</v>
      </c>
      <c r="G124" s="4" t="s">
        <v>466</v>
      </c>
      <c r="H124" s="4" t="s">
        <v>275</v>
      </c>
      <c r="I124" s="4" t="s">
        <v>855</v>
      </c>
      <c r="J124" s="4" t="s">
        <v>786</v>
      </c>
      <c r="K124" s="4" t="s">
        <v>854</v>
      </c>
      <c r="L124" s="4" t="s">
        <v>279</v>
      </c>
      <c r="M124" s="4"/>
      <c r="N124" s="4"/>
    </row>
    <row r="125" spans="1:14" x14ac:dyDescent="0.25">
      <c r="A125">
        <v>98</v>
      </c>
      <c r="B125">
        <v>16</v>
      </c>
      <c r="C125" t="s">
        <v>867</v>
      </c>
      <c r="D125" s="1" t="s">
        <v>271</v>
      </c>
      <c r="E125" t="s">
        <v>864</v>
      </c>
      <c r="F125" t="s">
        <v>866</v>
      </c>
      <c r="G125" t="s">
        <v>466</v>
      </c>
      <c r="H125" s="1" t="s">
        <v>275</v>
      </c>
      <c r="I125" t="s">
        <v>865</v>
      </c>
      <c r="J125" t="s">
        <v>862</v>
      </c>
      <c r="K125" t="s">
        <v>868</v>
      </c>
      <c r="L125" s="1" t="s">
        <v>280</v>
      </c>
      <c r="M125" s="1" t="s">
        <v>287</v>
      </c>
      <c r="N125" t="s">
        <v>869</v>
      </c>
    </row>
    <row r="126" spans="1:14" x14ac:dyDescent="0.25">
      <c r="A126">
        <v>99</v>
      </c>
      <c r="B126">
        <v>16</v>
      </c>
      <c r="C126" t="s">
        <v>859</v>
      </c>
      <c r="D126" s="1" t="s">
        <v>266</v>
      </c>
      <c r="E126" t="s">
        <v>864</v>
      </c>
      <c r="F126" t="s">
        <v>466</v>
      </c>
      <c r="G126" t="s">
        <v>466</v>
      </c>
      <c r="H126" s="1" t="s">
        <v>275</v>
      </c>
      <c r="I126" t="s">
        <v>870</v>
      </c>
      <c r="J126" t="s">
        <v>862</v>
      </c>
      <c r="K126" t="s">
        <v>871</v>
      </c>
      <c r="L126" s="1" t="s">
        <v>280</v>
      </c>
      <c r="M126" s="1" t="s">
        <v>283</v>
      </c>
    </row>
    <row r="127" spans="1:14" x14ac:dyDescent="0.25">
      <c r="A127">
        <v>100</v>
      </c>
      <c r="B127">
        <v>16</v>
      </c>
      <c r="C127" t="s">
        <v>860</v>
      </c>
      <c r="D127" s="1" t="s">
        <v>266</v>
      </c>
      <c r="E127" t="s">
        <v>864</v>
      </c>
      <c r="F127">
        <v>2023</v>
      </c>
      <c r="G127" t="s">
        <v>466</v>
      </c>
      <c r="H127" s="1" t="s">
        <v>275</v>
      </c>
      <c r="I127" t="s">
        <v>872</v>
      </c>
      <c r="J127" t="s">
        <v>862</v>
      </c>
      <c r="K127" t="s">
        <v>873</v>
      </c>
      <c r="L127" s="1" t="s">
        <v>280</v>
      </c>
      <c r="M127" s="1" t="s">
        <v>283</v>
      </c>
    </row>
    <row r="128" spans="1:14" x14ac:dyDescent="0.25">
      <c r="A128">
        <v>101</v>
      </c>
      <c r="B128">
        <v>16</v>
      </c>
      <c r="C128" t="s">
        <v>861</v>
      </c>
      <c r="D128" s="1" t="s">
        <v>269</v>
      </c>
      <c r="E128" t="s">
        <v>864</v>
      </c>
      <c r="F128">
        <v>2024</v>
      </c>
      <c r="G128" t="s">
        <v>466</v>
      </c>
      <c r="H128" s="1" t="s">
        <v>275</v>
      </c>
      <c r="I128" t="s">
        <v>875</v>
      </c>
      <c r="J128" t="s">
        <v>862</v>
      </c>
      <c r="K128" t="s">
        <v>874</v>
      </c>
      <c r="L128" s="1"/>
      <c r="M128" s="1"/>
    </row>
    <row r="129" spans="1:14" x14ac:dyDescent="0.25">
      <c r="A129" s="7"/>
      <c r="B129" s="7">
        <v>16</v>
      </c>
      <c r="C129" s="7"/>
      <c r="D129" s="7" t="s">
        <v>263</v>
      </c>
      <c r="E129" s="7" t="s">
        <v>864</v>
      </c>
      <c r="F129" s="7"/>
      <c r="G129" s="7"/>
      <c r="H129" s="7"/>
      <c r="I129" s="7"/>
      <c r="J129" s="7"/>
      <c r="K129" s="7"/>
      <c r="L129" s="7" t="s">
        <v>281</v>
      </c>
      <c r="M129" s="7"/>
      <c r="N129" s="7" t="s">
        <v>863</v>
      </c>
    </row>
    <row r="130" spans="1:14" x14ac:dyDescent="0.25">
      <c r="A130" s="7"/>
      <c r="B130" s="7">
        <v>16</v>
      </c>
      <c r="C130" s="7"/>
      <c r="D130" s="7" t="s">
        <v>264</v>
      </c>
      <c r="E130" s="7" t="s">
        <v>864</v>
      </c>
      <c r="F130" s="7"/>
      <c r="G130" s="7"/>
      <c r="H130" s="7"/>
      <c r="I130" s="7"/>
      <c r="J130" s="7"/>
      <c r="K130" s="7"/>
      <c r="L130" s="7" t="s">
        <v>281</v>
      </c>
      <c r="M130" s="7"/>
      <c r="N130" s="7" t="s">
        <v>863</v>
      </c>
    </row>
    <row r="131" spans="1:14" x14ac:dyDescent="0.25">
      <c r="A131" s="7"/>
      <c r="B131" s="7">
        <v>16</v>
      </c>
      <c r="C131" s="7"/>
      <c r="D131" s="7" t="s">
        <v>265</v>
      </c>
      <c r="E131" s="7" t="s">
        <v>864</v>
      </c>
      <c r="F131" s="7"/>
      <c r="G131" s="7"/>
      <c r="H131" s="7"/>
      <c r="I131" s="7"/>
      <c r="J131" s="7"/>
      <c r="K131" s="7"/>
      <c r="L131" s="7" t="s">
        <v>281</v>
      </c>
      <c r="M131" s="7"/>
      <c r="N131" s="7" t="s">
        <v>863</v>
      </c>
    </row>
    <row r="132" spans="1:14" x14ac:dyDescent="0.25">
      <c r="A132" s="4">
        <v>102</v>
      </c>
      <c r="B132" s="4">
        <v>17</v>
      </c>
      <c r="C132" s="4" t="s">
        <v>877</v>
      </c>
      <c r="D132" s="4" t="s">
        <v>264</v>
      </c>
      <c r="E132" s="4" t="s">
        <v>376</v>
      </c>
      <c r="F132" s="4" t="s">
        <v>889</v>
      </c>
      <c r="G132" s="4" t="s">
        <v>754</v>
      </c>
      <c r="H132" s="4" t="s">
        <v>275</v>
      </c>
      <c r="I132" s="4" t="s">
        <v>883</v>
      </c>
      <c r="J132" s="4" t="s">
        <v>862</v>
      </c>
      <c r="K132" s="4" t="s">
        <v>890</v>
      </c>
      <c r="L132" s="4" t="s">
        <v>279</v>
      </c>
      <c r="M132" s="4"/>
      <c r="N132" s="4" t="s">
        <v>882</v>
      </c>
    </row>
    <row r="133" spans="1:14" x14ac:dyDescent="0.25">
      <c r="A133">
        <v>103</v>
      </c>
      <c r="B133">
        <v>17</v>
      </c>
      <c r="C133" t="s">
        <v>878</v>
      </c>
      <c r="D133" s="1" t="s">
        <v>266</v>
      </c>
      <c r="E133" t="s">
        <v>376</v>
      </c>
      <c r="F133">
        <v>2025</v>
      </c>
      <c r="G133" t="s">
        <v>466</v>
      </c>
      <c r="H133" s="1" t="s">
        <v>275</v>
      </c>
      <c r="I133" t="s">
        <v>884</v>
      </c>
      <c r="J133" t="s">
        <v>862</v>
      </c>
      <c r="K133" t="s">
        <v>892</v>
      </c>
      <c r="L133" s="1" t="s">
        <v>280</v>
      </c>
      <c r="M133" s="1" t="s">
        <v>284</v>
      </c>
      <c r="N133" t="s">
        <v>891</v>
      </c>
    </row>
    <row r="134" spans="1:14" x14ac:dyDescent="0.25">
      <c r="A134">
        <v>104</v>
      </c>
      <c r="B134">
        <v>17</v>
      </c>
      <c r="C134" t="s">
        <v>879</v>
      </c>
      <c r="D134" s="1" t="s">
        <v>269</v>
      </c>
      <c r="E134" t="s">
        <v>376</v>
      </c>
      <c r="F134" t="s">
        <v>466</v>
      </c>
      <c r="G134" t="s">
        <v>466</v>
      </c>
      <c r="H134" s="1" t="s">
        <v>275</v>
      </c>
      <c r="I134" t="s">
        <v>885</v>
      </c>
      <c r="J134" t="s">
        <v>862</v>
      </c>
      <c r="K134" t="s">
        <v>893</v>
      </c>
      <c r="L134" s="1" t="s">
        <v>280</v>
      </c>
      <c r="M134" s="1" t="s">
        <v>284</v>
      </c>
      <c r="N134" t="s">
        <v>894</v>
      </c>
    </row>
    <row r="135" spans="1:14" x14ac:dyDescent="0.25">
      <c r="A135">
        <v>105</v>
      </c>
      <c r="B135">
        <v>17</v>
      </c>
      <c r="C135" t="s">
        <v>880</v>
      </c>
      <c r="D135" s="1" t="s">
        <v>270</v>
      </c>
      <c r="E135" t="s">
        <v>376</v>
      </c>
      <c r="F135" t="s">
        <v>466</v>
      </c>
      <c r="G135" t="s">
        <v>466</v>
      </c>
      <c r="H135" s="1" t="s">
        <v>275</v>
      </c>
      <c r="I135" t="s">
        <v>886</v>
      </c>
      <c r="J135" t="s">
        <v>862</v>
      </c>
      <c r="K135" t="s">
        <v>895</v>
      </c>
      <c r="L135" s="1" t="s">
        <v>280</v>
      </c>
      <c r="M135" s="1" t="s">
        <v>283</v>
      </c>
    </row>
    <row r="136" spans="1:14" x14ac:dyDescent="0.25">
      <c r="A136">
        <v>106</v>
      </c>
      <c r="B136">
        <v>17</v>
      </c>
      <c r="C136" t="s">
        <v>881</v>
      </c>
      <c r="D136" s="1" t="s">
        <v>271</v>
      </c>
      <c r="E136" t="s">
        <v>376</v>
      </c>
      <c r="F136" t="s">
        <v>782</v>
      </c>
      <c r="G136" t="s">
        <v>466</v>
      </c>
      <c r="H136" s="1" t="s">
        <v>275</v>
      </c>
      <c r="I136" t="s">
        <v>887</v>
      </c>
      <c r="J136" t="s">
        <v>862</v>
      </c>
      <c r="K136" t="s">
        <v>896</v>
      </c>
      <c r="L136" s="1" t="s">
        <v>280</v>
      </c>
      <c r="M136" s="1" t="s">
        <v>287</v>
      </c>
    </row>
    <row r="137" spans="1:14" x14ac:dyDescent="0.25">
      <c r="A137">
        <v>107</v>
      </c>
      <c r="B137">
        <v>18</v>
      </c>
      <c r="C137" t="s">
        <v>898</v>
      </c>
      <c r="D137" s="1" t="s">
        <v>266</v>
      </c>
      <c r="E137" t="s">
        <v>380</v>
      </c>
      <c r="F137" t="s">
        <v>466</v>
      </c>
      <c r="G137" t="s">
        <v>466</v>
      </c>
      <c r="H137" s="1" t="s">
        <v>275</v>
      </c>
      <c r="I137" t="s">
        <v>888</v>
      </c>
      <c r="J137" t="s">
        <v>862</v>
      </c>
      <c r="K137" t="s">
        <v>908</v>
      </c>
      <c r="L137" s="1" t="s">
        <v>280</v>
      </c>
      <c r="M137" s="1" t="s">
        <v>283</v>
      </c>
    </row>
    <row r="138" spans="1:14" x14ac:dyDescent="0.25">
      <c r="A138">
        <v>108</v>
      </c>
      <c r="B138">
        <v>18</v>
      </c>
      <c r="C138" t="s">
        <v>899</v>
      </c>
      <c r="D138" s="1" t="s">
        <v>270</v>
      </c>
      <c r="E138" t="s">
        <v>380</v>
      </c>
      <c r="F138" t="s">
        <v>466</v>
      </c>
      <c r="G138" t="s">
        <v>466</v>
      </c>
      <c r="H138" s="1" t="s">
        <v>275</v>
      </c>
      <c r="I138" t="s">
        <v>888</v>
      </c>
      <c r="J138" t="s">
        <v>862</v>
      </c>
      <c r="K138" t="s">
        <v>909</v>
      </c>
      <c r="L138" s="1" t="s">
        <v>280</v>
      </c>
      <c r="M138" s="1" t="s">
        <v>283</v>
      </c>
    </row>
    <row r="139" spans="1:14" x14ac:dyDescent="0.25">
      <c r="A139">
        <v>109</v>
      </c>
      <c r="B139">
        <v>18</v>
      </c>
      <c r="C139" t="s">
        <v>900</v>
      </c>
      <c r="D139" s="1" t="s">
        <v>266</v>
      </c>
      <c r="E139" t="s">
        <v>380</v>
      </c>
      <c r="F139" t="s">
        <v>466</v>
      </c>
      <c r="G139" t="s">
        <v>466</v>
      </c>
      <c r="H139" s="1" t="s">
        <v>275</v>
      </c>
      <c r="I139" t="s">
        <v>904</v>
      </c>
      <c r="J139" t="s">
        <v>862</v>
      </c>
      <c r="K139" t="s">
        <v>910</v>
      </c>
      <c r="L139" s="1" t="s">
        <v>280</v>
      </c>
      <c r="M139" s="1" t="s">
        <v>283</v>
      </c>
    </row>
    <row r="140" spans="1:14" x14ac:dyDescent="0.25">
      <c r="A140">
        <v>110</v>
      </c>
      <c r="B140">
        <v>18</v>
      </c>
      <c r="C140" t="s">
        <v>901</v>
      </c>
      <c r="D140" s="1" t="s">
        <v>271</v>
      </c>
      <c r="E140" t="s">
        <v>380</v>
      </c>
      <c r="F140" t="s">
        <v>466</v>
      </c>
      <c r="G140" t="s">
        <v>466</v>
      </c>
      <c r="H140" s="1" t="s">
        <v>275</v>
      </c>
      <c r="I140" t="s">
        <v>907</v>
      </c>
      <c r="J140" t="s">
        <v>862</v>
      </c>
      <c r="K140" t="s">
        <v>911</v>
      </c>
      <c r="L140" s="1" t="s">
        <v>280</v>
      </c>
      <c r="M140" s="1" t="s">
        <v>287</v>
      </c>
    </row>
    <row r="141" spans="1:14" x14ac:dyDescent="0.25">
      <c r="A141">
        <v>111</v>
      </c>
      <c r="B141">
        <v>18</v>
      </c>
      <c r="C141" t="s">
        <v>902</v>
      </c>
      <c r="D141" s="1" t="s">
        <v>271</v>
      </c>
      <c r="E141" t="s">
        <v>380</v>
      </c>
      <c r="F141" t="s">
        <v>466</v>
      </c>
      <c r="G141" t="s">
        <v>466</v>
      </c>
      <c r="H141" s="1" t="s">
        <v>275</v>
      </c>
      <c r="I141" t="s">
        <v>906</v>
      </c>
      <c r="J141" t="s">
        <v>862</v>
      </c>
      <c r="K141" t="s">
        <v>912</v>
      </c>
      <c r="L141" s="1" t="s">
        <v>280</v>
      </c>
      <c r="M141" s="1" t="s">
        <v>287</v>
      </c>
    </row>
    <row r="142" spans="1:14" x14ac:dyDescent="0.25">
      <c r="A142">
        <v>112</v>
      </c>
      <c r="B142">
        <v>18</v>
      </c>
      <c r="C142" t="s">
        <v>903</v>
      </c>
      <c r="D142" s="1" t="s">
        <v>271</v>
      </c>
      <c r="E142" t="s">
        <v>380</v>
      </c>
      <c r="F142" t="s">
        <v>913</v>
      </c>
      <c r="G142" t="s">
        <v>466</v>
      </c>
      <c r="H142" s="1" t="s">
        <v>275</v>
      </c>
      <c r="I142" t="s">
        <v>905</v>
      </c>
      <c r="J142" t="s">
        <v>862</v>
      </c>
      <c r="K142" t="s">
        <v>914</v>
      </c>
      <c r="L142" s="1" t="s">
        <v>280</v>
      </c>
      <c r="M142" s="1" t="s">
        <v>287</v>
      </c>
    </row>
    <row r="143" spans="1:14" x14ac:dyDescent="0.25">
      <c r="A143" s="7"/>
      <c r="B143" s="7">
        <v>18</v>
      </c>
      <c r="C143" s="7"/>
      <c r="D143" s="7" t="s">
        <v>263</v>
      </c>
      <c r="E143" s="7" t="s">
        <v>380</v>
      </c>
      <c r="F143" s="7"/>
      <c r="G143" s="7"/>
      <c r="H143" s="7"/>
      <c r="I143" s="7"/>
      <c r="J143" s="7"/>
      <c r="K143" s="7"/>
      <c r="L143" s="7" t="s">
        <v>281</v>
      </c>
      <c r="M143" s="7"/>
      <c r="N143" s="7" t="s">
        <v>863</v>
      </c>
    </row>
    <row r="144" spans="1:14" x14ac:dyDescent="0.25">
      <c r="A144" s="7"/>
      <c r="B144" s="7">
        <v>18</v>
      </c>
      <c r="C144" s="7"/>
      <c r="D144" s="7" t="s">
        <v>264</v>
      </c>
      <c r="E144" s="7" t="s">
        <v>380</v>
      </c>
      <c r="F144" s="7"/>
      <c r="G144" s="7"/>
      <c r="H144" s="7"/>
      <c r="I144" s="7"/>
      <c r="J144" s="7"/>
      <c r="K144" s="7"/>
      <c r="L144" s="7" t="s">
        <v>281</v>
      </c>
      <c r="M144" s="7"/>
      <c r="N144" s="7" t="s">
        <v>863</v>
      </c>
    </row>
    <row r="145" spans="1:14" x14ac:dyDescent="0.25">
      <c r="A145" s="7"/>
      <c r="B145" s="7">
        <v>18</v>
      </c>
      <c r="C145" s="7"/>
      <c r="D145" s="7" t="s">
        <v>265</v>
      </c>
      <c r="E145" s="7" t="s">
        <v>380</v>
      </c>
      <c r="F145" s="7"/>
      <c r="G145" s="7"/>
      <c r="H145" s="7"/>
      <c r="I145" s="7"/>
      <c r="J145" s="7"/>
      <c r="K145" s="7"/>
      <c r="L145" s="7" t="s">
        <v>281</v>
      </c>
      <c r="M145" s="7"/>
      <c r="N145" s="7" t="s">
        <v>863</v>
      </c>
    </row>
    <row r="146" spans="1:14" x14ac:dyDescent="0.25">
      <c r="A146" s="4">
        <v>113</v>
      </c>
      <c r="B146" s="4">
        <v>19</v>
      </c>
      <c r="C146" s="4" t="s">
        <v>916</v>
      </c>
      <c r="D146" s="4" t="s">
        <v>264</v>
      </c>
      <c r="E146" s="4" t="s">
        <v>384</v>
      </c>
      <c r="F146" s="4" t="s">
        <v>466</v>
      </c>
      <c r="G146" s="4" t="s">
        <v>466</v>
      </c>
      <c r="H146" s="4" t="s">
        <v>275</v>
      </c>
      <c r="I146" s="4" t="s">
        <v>927</v>
      </c>
      <c r="J146" s="4" t="s">
        <v>862</v>
      </c>
      <c r="K146" s="4" t="s">
        <v>934</v>
      </c>
      <c r="L146" s="4" t="s">
        <v>279</v>
      </c>
      <c r="M146" s="4"/>
      <c r="N146" s="4"/>
    </row>
    <row r="147" spans="1:14" x14ac:dyDescent="0.25">
      <c r="A147">
        <v>114</v>
      </c>
      <c r="B147">
        <v>19</v>
      </c>
      <c r="C147" t="s">
        <v>917</v>
      </c>
      <c r="D147" s="1" t="s">
        <v>272</v>
      </c>
      <c r="E147" t="s">
        <v>384</v>
      </c>
      <c r="F147" t="s">
        <v>935</v>
      </c>
      <c r="G147">
        <v>4</v>
      </c>
      <c r="H147" s="1" t="s">
        <v>275</v>
      </c>
      <c r="I147" t="s">
        <v>928</v>
      </c>
      <c r="J147" t="s">
        <v>862</v>
      </c>
      <c r="K147" t="s">
        <v>936</v>
      </c>
      <c r="L147" s="1" t="s">
        <v>280</v>
      </c>
      <c r="M147" s="1" t="s">
        <v>283</v>
      </c>
    </row>
    <row r="148" spans="1:14" x14ac:dyDescent="0.25">
      <c r="A148">
        <v>115</v>
      </c>
      <c r="B148">
        <v>19</v>
      </c>
      <c r="C148" t="s">
        <v>918</v>
      </c>
      <c r="D148" s="1" t="s">
        <v>272</v>
      </c>
      <c r="E148" t="s">
        <v>384</v>
      </c>
      <c r="F148" t="s">
        <v>937</v>
      </c>
      <c r="G148">
        <v>1</v>
      </c>
      <c r="H148" s="1" t="s">
        <v>275</v>
      </c>
      <c r="I148" t="s">
        <v>929</v>
      </c>
      <c r="J148" t="s">
        <v>862</v>
      </c>
      <c r="K148" t="s">
        <v>938</v>
      </c>
      <c r="L148" s="1" t="s">
        <v>280</v>
      </c>
      <c r="M148" s="1" t="s">
        <v>283</v>
      </c>
    </row>
    <row r="149" spans="1:14" x14ac:dyDescent="0.25">
      <c r="A149">
        <v>116</v>
      </c>
      <c r="B149">
        <v>19</v>
      </c>
      <c r="C149" t="s">
        <v>919</v>
      </c>
      <c r="D149" s="1" t="s">
        <v>272</v>
      </c>
      <c r="E149" t="s">
        <v>384</v>
      </c>
      <c r="F149" t="s">
        <v>939</v>
      </c>
      <c r="G149">
        <v>4</v>
      </c>
      <c r="H149" s="1" t="s">
        <v>275</v>
      </c>
      <c r="I149" t="s">
        <v>930</v>
      </c>
      <c r="J149" t="s">
        <v>862</v>
      </c>
      <c r="K149" t="s">
        <v>940</v>
      </c>
      <c r="L149" s="1" t="s">
        <v>280</v>
      </c>
      <c r="M149" s="1" t="s">
        <v>283</v>
      </c>
    </row>
    <row r="150" spans="1:14" x14ac:dyDescent="0.25">
      <c r="A150">
        <v>117</v>
      </c>
      <c r="B150">
        <v>19</v>
      </c>
      <c r="C150" t="s">
        <v>920</v>
      </c>
      <c r="D150" s="1" t="s">
        <v>266</v>
      </c>
      <c r="E150" t="s">
        <v>384</v>
      </c>
      <c r="F150" s="8">
        <v>45717</v>
      </c>
      <c r="G150" t="s">
        <v>921</v>
      </c>
      <c r="H150" s="1" t="s">
        <v>275</v>
      </c>
      <c r="I150" t="s">
        <v>931</v>
      </c>
      <c r="J150" t="s">
        <v>862</v>
      </c>
      <c r="K150" t="s">
        <v>941</v>
      </c>
      <c r="L150" s="1" t="s">
        <v>280</v>
      </c>
      <c r="M150" s="1" t="s">
        <v>283</v>
      </c>
    </row>
    <row r="151" spans="1:14" x14ac:dyDescent="0.25">
      <c r="A151">
        <v>118</v>
      </c>
      <c r="B151">
        <v>19</v>
      </c>
      <c r="C151" t="s">
        <v>922</v>
      </c>
      <c r="D151" s="1" t="s">
        <v>271</v>
      </c>
      <c r="E151" t="s">
        <v>384</v>
      </c>
      <c r="F151" t="s">
        <v>923</v>
      </c>
      <c r="G151" t="s">
        <v>466</v>
      </c>
      <c r="H151" s="1" t="s">
        <v>275</v>
      </c>
      <c r="I151" t="s">
        <v>932</v>
      </c>
      <c r="J151" t="s">
        <v>862</v>
      </c>
      <c r="K151" t="s">
        <v>942</v>
      </c>
      <c r="L151" s="1" t="s">
        <v>280</v>
      </c>
      <c r="M151" s="1" t="s">
        <v>283</v>
      </c>
    </row>
    <row r="152" spans="1:14" x14ac:dyDescent="0.25">
      <c r="A152">
        <v>119</v>
      </c>
      <c r="B152">
        <v>19</v>
      </c>
      <c r="C152" t="s">
        <v>924</v>
      </c>
      <c r="D152" s="1" t="s">
        <v>271</v>
      </c>
      <c r="E152" t="s">
        <v>384</v>
      </c>
      <c r="F152" t="s">
        <v>925</v>
      </c>
      <c r="G152" t="s">
        <v>466</v>
      </c>
      <c r="H152" s="1" t="s">
        <v>275</v>
      </c>
      <c r="I152" t="s">
        <v>933</v>
      </c>
      <c r="J152" t="s">
        <v>862</v>
      </c>
      <c r="K152" t="s">
        <v>943</v>
      </c>
      <c r="L152" s="1" t="s">
        <v>280</v>
      </c>
      <c r="M152" s="1" t="s">
        <v>283</v>
      </c>
    </row>
    <row r="153" spans="1:14" x14ac:dyDescent="0.25">
      <c r="A153" s="7"/>
      <c r="B153" s="7">
        <v>19</v>
      </c>
      <c r="C153" s="7"/>
      <c r="D153" s="7" t="s">
        <v>263</v>
      </c>
      <c r="E153" s="7" t="s">
        <v>384</v>
      </c>
      <c r="F153" s="7"/>
      <c r="G153" s="7"/>
      <c r="H153" s="7"/>
      <c r="I153" s="7"/>
      <c r="J153" s="7"/>
      <c r="K153" s="7"/>
      <c r="L153" s="7" t="s">
        <v>281</v>
      </c>
      <c r="M153" s="7"/>
      <c r="N153" s="7" t="s">
        <v>926</v>
      </c>
    </row>
    <row r="154" spans="1:14" x14ac:dyDescent="0.25">
      <c r="A154" s="7"/>
      <c r="B154" s="7">
        <v>19</v>
      </c>
      <c r="C154" s="7"/>
      <c r="D154" s="7" t="s">
        <v>265</v>
      </c>
      <c r="E154" s="7" t="s">
        <v>384</v>
      </c>
      <c r="F154" s="7"/>
      <c r="G154" s="7"/>
      <c r="H154" s="7"/>
      <c r="I154" s="7"/>
      <c r="J154" s="7"/>
      <c r="K154" s="7"/>
      <c r="L154" s="7" t="s">
        <v>281</v>
      </c>
      <c r="M154" s="7"/>
      <c r="N154" s="7" t="s">
        <v>926</v>
      </c>
    </row>
    <row r="155" spans="1:14" x14ac:dyDescent="0.25">
      <c r="A155">
        <v>120</v>
      </c>
      <c r="B155">
        <v>20</v>
      </c>
      <c r="C155" t="s">
        <v>947</v>
      </c>
      <c r="D155" s="1" t="s">
        <v>266</v>
      </c>
      <c r="E155" t="s">
        <v>944</v>
      </c>
      <c r="F155" t="s">
        <v>466</v>
      </c>
      <c r="G155" t="s">
        <v>466</v>
      </c>
      <c r="H155" s="1" t="s">
        <v>275</v>
      </c>
      <c r="I155" t="s">
        <v>955</v>
      </c>
      <c r="J155" t="s">
        <v>862</v>
      </c>
      <c r="K155" t="s">
        <v>963</v>
      </c>
      <c r="L155" s="1" t="s">
        <v>280</v>
      </c>
      <c r="M155" s="1" t="s">
        <v>283</v>
      </c>
    </row>
    <row r="156" spans="1:14" x14ac:dyDescent="0.25">
      <c r="A156">
        <v>121</v>
      </c>
      <c r="B156">
        <v>20</v>
      </c>
      <c r="C156" t="s">
        <v>948</v>
      </c>
      <c r="D156" s="1" t="s">
        <v>266</v>
      </c>
      <c r="E156" t="s">
        <v>944</v>
      </c>
      <c r="F156" t="s">
        <v>466</v>
      </c>
      <c r="G156" t="s">
        <v>466</v>
      </c>
      <c r="H156" s="1" t="s">
        <v>275</v>
      </c>
      <c r="I156" t="s">
        <v>956</v>
      </c>
      <c r="J156" t="s">
        <v>862</v>
      </c>
      <c r="K156" t="s">
        <v>964</v>
      </c>
      <c r="L156" s="1" t="s">
        <v>280</v>
      </c>
      <c r="M156" s="1" t="s">
        <v>283</v>
      </c>
    </row>
    <row r="157" spans="1:14" x14ac:dyDescent="0.25">
      <c r="A157" s="4">
        <v>122</v>
      </c>
      <c r="B157" s="4">
        <v>20</v>
      </c>
      <c r="C157" s="4" t="s">
        <v>949</v>
      </c>
      <c r="D157" s="4" t="s">
        <v>272</v>
      </c>
      <c r="E157" s="4" t="s">
        <v>944</v>
      </c>
      <c r="F157" s="4" t="s">
        <v>466</v>
      </c>
      <c r="G157" s="4" t="s">
        <v>466</v>
      </c>
      <c r="H157" s="4" t="s">
        <v>275</v>
      </c>
      <c r="I157" s="4" t="s">
        <v>957</v>
      </c>
      <c r="J157" s="4" t="s">
        <v>862</v>
      </c>
      <c r="K157" s="4" t="s">
        <v>965</v>
      </c>
      <c r="L157" s="4" t="s">
        <v>279</v>
      </c>
      <c r="M157" s="4"/>
      <c r="N157" s="4" t="s">
        <v>946</v>
      </c>
    </row>
    <row r="158" spans="1:14" x14ac:dyDescent="0.25">
      <c r="A158">
        <v>123</v>
      </c>
      <c r="B158">
        <v>20</v>
      </c>
      <c r="C158" t="s">
        <v>950</v>
      </c>
      <c r="D158" s="1" t="s">
        <v>269</v>
      </c>
      <c r="E158" t="s">
        <v>944</v>
      </c>
      <c r="F158">
        <v>2023</v>
      </c>
      <c r="G158" t="s">
        <v>466</v>
      </c>
      <c r="H158" s="1" t="s">
        <v>275</v>
      </c>
      <c r="I158" t="s">
        <v>958</v>
      </c>
      <c r="J158" t="s">
        <v>862</v>
      </c>
      <c r="K158" t="s">
        <v>966</v>
      </c>
      <c r="L158" s="1" t="s">
        <v>280</v>
      </c>
      <c r="M158" s="1" t="s">
        <v>283</v>
      </c>
    </row>
    <row r="159" spans="1:14" x14ac:dyDescent="0.25">
      <c r="A159">
        <v>124</v>
      </c>
      <c r="B159">
        <v>20</v>
      </c>
      <c r="C159" t="s">
        <v>951</v>
      </c>
      <c r="D159" s="1" t="s">
        <v>268</v>
      </c>
      <c r="E159" t="s">
        <v>944</v>
      </c>
      <c r="F159" t="s">
        <v>466</v>
      </c>
      <c r="G159" t="s">
        <v>466</v>
      </c>
      <c r="H159" s="1" t="s">
        <v>275</v>
      </c>
      <c r="I159" t="s">
        <v>959</v>
      </c>
      <c r="J159" t="s">
        <v>862</v>
      </c>
      <c r="K159" t="s">
        <v>967</v>
      </c>
      <c r="L159" s="1" t="s">
        <v>280</v>
      </c>
      <c r="M159" s="1" t="s">
        <v>283</v>
      </c>
    </row>
    <row r="160" spans="1:14" x14ac:dyDescent="0.25">
      <c r="A160">
        <v>125</v>
      </c>
      <c r="B160">
        <v>20</v>
      </c>
      <c r="C160" t="s">
        <v>952</v>
      </c>
      <c r="D160" s="1" t="s">
        <v>267</v>
      </c>
      <c r="E160" t="s">
        <v>944</v>
      </c>
      <c r="F160" t="s">
        <v>466</v>
      </c>
      <c r="G160" t="s">
        <v>466</v>
      </c>
      <c r="H160" s="1" t="s">
        <v>275</v>
      </c>
      <c r="I160" t="s">
        <v>960</v>
      </c>
      <c r="J160" t="s">
        <v>862</v>
      </c>
      <c r="K160" t="s">
        <v>968</v>
      </c>
      <c r="L160" s="1" t="s">
        <v>280</v>
      </c>
      <c r="M160" s="1" t="s">
        <v>283</v>
      </c>
    </row>
    <row r="161" spans="1:14" x14ac:dyDescent="0.25">
      <c r="A161">
        <v>126</v>
      </c>
      <c r="B161">
        <v>20</v>
      </c>
      <c r="C161" t="s">
        <v>953</v>
      </c>
      <c r="D161" s="1" t="s">
        <v>270</v>
      </c>
      <c r="E161" t="s">
        <v>944</v>
      </c>
      <c r="F161" t="s">
        <v>466</v>
      </c>
      <c r="G161" t="s">
        <v>466</v>
      </c>
      <c r="H161" s="1" t="s">
        <v>275</v>
      </c>
      <c r="I161" t="s">
        <v>961</v>
      </c>
      <c r="J161" t="s">
        <v>862</v>
      </c>
      <c r="K161" t="s">
        <v>969</v>
      </c>
      <c r="L161" s="1" t="s">
        <v>280</v>
      </c>
      <c r="M161" s="1" t="s">
        <v>286</v>
      </c>
    </row>
    <row r="162" spans="1:14" x14ac:dyDescent="0.25">
      <c r="A162">
        <v>127</v>
      </c>
      <c r="B162">
        <v>20</v>
      </c>
      <c r="C162" t="s">
        <v>954</v>
      </c>
      <c r="D162" s="1" t="s">
        <v>271</v>
      </c>
      <c r="E162" t="s">
        <v>944</v>
      </c>
      <c r="F162" s="8">
        <v>43952</v>
      </c>
      <c r="G162" t="s">
        <v>466</v>
      </c>
      <c r="H162" s="1" t="s">
        <v>275</v>
      </c>
      <c r="I162" t="s">
        <v>962</v>
      </c>
      <c r="J162" t="s">
        <v>862</v>
      </c>
      <c r="K162" t="s">
        <v>970</v>
      </c>
      <c r="L162" s="1" t="s">
        <v>280</v>
      </c>
      <c r="M162" s="1" t="s">
        <v>287</v>
      </c>
    </row>
    <row r="163" spans="1:14" x14ac:dyDescent="0.25">
      <c r="A163" s="7"/>
      <c r="B163" s="7">
        <v>20</v>
      </c>
      <c r="C163" s="7"/>
      <c r="D163" s="7" t="s">
        <v>263</v>
      </c>
      <c r="E163" s="7" t="s">
        <v>944</v>
      </c>
      <c r="F163" s="7"/>
      <c r="G163" s="7"/>
      <c r="H163" s="7"/>
      <c r="I163" s="7"/>
      <c r="J163" s="7"/>
      <c r="K163" s="7"/>
      <c r="L163" s="7" t="s">
        <v>281</v>
      </c>
      <c r="M163" s="7"/>
      <c r="N163" s="7" t="s">
        <v>863</v>
      </c>
    </row>
    <row r="164" spans="1:14" x14ac:dyDescent="0.25">
      <c r="A164" s="7"/>
      <c r="B164" s="7">
        <v>20</v>
      </c>
      <c r="C164" s="7"/>
      <c r="D164" s="7" t="s">
        <v>264</v>
      </c>
      <c r="E164" s="7" t="s">
        <v>944</v>
      </c>
      <c r="F164" s="7"/>
      <c r="G164" s="7"/>
      <c r="H164" s="7"/>
      <c r="I164" s="7"/>
      <c r="J164" s="7"/>
      <c r="K164" s="7"/>
      <c r="L164" s="7" t="s">
        <v>281</v>
      </c>
      <c r="M164" s="7"/>
      <c r="N164" s="7" t="s">
        <v>863</v>
      </c>
    </row>
    <row r="165" spans="1:14" x14ac:dyDescent="0.25">
      <c r="A165" s="7"/>
      <c r="B165" s="7">
        <v>20</v>
      </c>
      <c r="C165" s="7"/>
      <c r="D165" s="7" t="s">
        <v>265</v>
      </c>
      <c r="E165" s="7" t="s">
        <v>944</v>
      </c>
      <c r="F165" s="7"/>
      <c r="G165" s="7"/>
      <c r="H165" s="7"/>
      <c r="I165" s="7"/>
      <c r="J165" s="7"/>
      <c r="K165" s="7"/>
      <c r="L165" s="7" t="s">
        <v>281</v>
      </c>
      <c r="M165" s="7"/>
      <c r="N165" s="7" t="s">
        <v>863</v>
      </c>
    </row>
    <row r="166" spans="1:14" x14ac:dyDescent="0.25">
      <c r="D166" s="1"/>
      <c r="H166" s="1"/>
      <c r="L166" s="1"/>
      <c r="M166" s="1"/>
    </row>
    <row r="167" spans="1:14" x14ac:dyDescent="0.25">
      <c r="D167" s="1"/>
      <c r="H167" s="1"/>
      <c r="L167" s="1"/>
      <c r="M167" s="1"/>
    </row>
    <row r="168" spans="1:14" x14ac:dyDescent="0.25">
      <c r="D168" s="1"/>
      <c r="H168" s="1"/>
      <c r="L168" s="1"/>
      <c r="M168" s="1"/>
    </row>
    <row r="169" spans="1:14" x14ac:dyDescent="0.25">
      <c r="D169" s="1"/>
      <c r="H169" s="1"/>
      <c r="L169" s="1"/>
      <c r="M169" s="1"/>
    </row>
    <row r="170" spans="1:14" x14ac:dyDescent="0.25">
      <c r="D170" s="1"/>
      <c r="H170" s="1"/>
      <c r="L170" s="1"/>
      <c r="M170" s="1"/>
    </row>
    <row r="171" spans="1:14" x14ac:dyDescent="0.25">
      <c r="D171" s="1"/>
      <c r="H171" s="1"/>
      <c r="L171" s="1"/>
      <c r="M171" s="1"/>
    </row>
    <row r="172" spans="1:14" x14ac:dyDescent="0.25">
      <c r="D172" s="1"/>
      <c r="H172" s="1"/>
      <c r="L172" s="1"/>
      <c r="M172" s="1"/>
    </row>
    <row r="173" spans="1:14" x14ac:dyDescent="0.25">
      <c r="D173" s="1"/>
      <c r="H173" s="1"/>
      <c r="L173" s="1"/>
      <c r="M173" s="1"/>
    </row>
    <row r="174" spans="1:14" x14ac:dyDescent="0.25">
      <c r="D174" s="1"/>
      <c r="H174" s="1"/>
      <c r="L174" s="1"/>
      <c r="M174" s="1"/>
    </row>
    <row r="175" spans="1:14" x14ac:dyDescent="0.25">
      <c r="D175" s="1"/>
      <c r="H175" s="1"/>
      <c r="L175" s="1"/>
      <c r="M175" s="1"/>
    </row>
    <row r="176" spans="1:14" x14ac:dyDescent="0.25">
      <c r="D176" s="1"/>
      <c r="H176" s="1"/>
      <c r="L176" s="1"/>
      <c r="M176" s="1"/>
    </row>
    <row r="177" spans="4:13" x14ac:dyDescent="0.25">
      <c r="D177" s="1"/>
      <c r="H177" s="1"/>
      <c r="L177" s="1"/>
      <c r="M177" s="1"/>
    </row>
    <row r="178" spans="4:13" x14ac:dyDescent="0.25">
      <c r="D178" s="1"/>
      <c r="H178" s="1"/>
      <c r="L178" s="1"/>
      <c r="M178" s="1"/>
    </row>
    <row r="179" spans="4:13" x14ac:dyDescent="0.25">
      <c r="D179" s="1"/>
      <c r="H179" s="1"/>
      <c r="L179" s="1"/>
      <c r="M179" s="1"/>
    </row>
    <row r="180" spans="4:13" x14ac:dyDescent="0.25">
      <c r="D180" s="1"/>
      <c r="H180" s="1"/>
      <c r="L180" s="1"/>
      <c r="M180" s="1"/>
    </row>
    <row r="181" spans="4:13" x14ac:dyDescent="0.25">
      <c r="D181" s="1"/>
      <c r="H181" s="1"/>
      <c r="L181" s="1"/>
      <c r="M181" s="1"/>
    </row>
    <row r="182" spans="4:13" x14ac:dyDescent="0.25">
      <c r="D182" s="1"/>
      <c r="H182" s="1"/>
      <c r="L182" s="1"/>
      <c r="M182" s="1"/>
    </row>
    <row r="183" spans="4:13" x14ac:dyDescent="0.25">
      <c r="D183" s="1"/>
      <c r="H183" s="1"/>
      <c r="L183" s="1"/>
      <c r="M183" s="1"/>
    </row>
    <row r="184" spans="4:13" x14ac:dyDescent="0.25">
      <c r="D184" s="1"/>
      <c r="H184" s="1"/>
      <c r="L184" s="1"/>
      <c r="M184" s="1"/>
    </row>
    <row r="185" spans="4:13" x14ac:dyDescent="0.25">
      <c r="D185" s="1"/>
      <c r="H185" s="1"/>
      <c r="L185" s="1"/>
      <c r="M185" s="1"/>
    </row>
    <row r="186" spans="4:13" x14ac:dyDescent="0.25">
      <c r="D186" s="1"/>
      <c r="H186" s="1"/>
      <c r="L186" s="1"/>
      <c r="M186" s="1"/>
    </row>
    <row r="187" spans="4:13" x14ac:dyDescent="0.25">
      <c r="D187" s="1"/>
      <c r="H187" s="1"/>
      <c r="L187" s="1"/>
      <c r="M187" s="1"/>
    </row>
    <row r="188" spans="4:13" x14ac:dyDescent="0.25">
      <c r="D188" s="1"/>
      <c r="H188" s="1"/>
      <c r="L188" s="1"/>
      <c r="M188" s="1"/>
    </row>
    <row r="189" spans="4:13" x14ac:dyDescent="0.25">
      <c r="D189" s="1"/>
      <c r="H189" s="1"/>
      <c r="L189" s="1"/>
      <c r="M189" s="1"/>
    </row>
    <row r="190" spans="4:13" x14ac:dyDescent="0.25">
      <c r="D190" s="1"/>
      <c r="H190" s="1"/>
      <c r="L190" s="1"/>
      <c r="M190" s="1"/>
    </row>
    <row r="191" spans="4:13" x14ac:dyDescent="0.25">
      <c r="D191" s="1"/>
      <c r="H191" s="1"/>
      <c r="L191" s="1"/>
      <c r="M191" s="1"/>
    </row>
    <row r="192" spans="4:13" x14ac:dyDescent="0.25">
      <c r="D192" s="1"/>
      <c r="H192" s="1"/>
      <c r="L192" s="1"/>
      <c r="M192" s="1"/>
    </row>
    <row r="193" spans="4:13" x14ac:dyDescent="0.25">
      <c r="D193" s="1"/>
      <c r="H193" s="1"/>
      <c r="L193" s="1"/>
      <c r="M193" s="1"/>
    </row>
    <row r="194" spans="4:13" x14ac:dyDescent="0.25">
      <c r="D194" s="1"/>
      <c r="H194" s="1"/>
      <c r="L194" s="1"/>
      <c r="M194" s="1"/>
    </row>
    <row r="195" spans="4:13" x14ac:dyDescent="0.25">
      <c r="D195" s="1"/>
      <c r="H195" s="1"/>
      <c r="L195" s="1"/>
      <c r="M195" s="1"/>
    </row>
    <row r="196" spans="4:13" x14ac:dyDescent="0.25">
      <c r="D196" s="1"/>
      <c r="H196" s="1"/>
      <c r="L196" s="1"/>
      <c r="M196" s="1"/>
    </row>
    <row r="197" spans="4:13" x14ac:dyDescent="0.25">
      <c r="D197" s="1"/>
      <c r="H197" s="1"/>
      <c r="L197" s="1"/>
      <c r="M197" s="1"/>
    </row>
    <row r="198" spans="4:13" x14ac:dyDescent="0.25">
      <c r="D198" s="1"/>
      <c r="H198" s="1"/>
      <c r="L198" s="1"/>
      <c r="M198" s="1"/>
    </row>
    <row r="199" spans="4:13" x14ac:dyDescent="0.25">
      <c r="D199" s="1"/>
      <c r="H199" s="1"/>
      <c r="L199" s="1"/>
      <c r="M199" s="1"/>
    </row>
    <row r="200" spans="4:13" x14ac:dyDescent="0.25">
      <c r="D200" s="1"/>
      <c r="H200" s="1"/>
      <c r="L200" s="1"/>
      <c r="M200" s="1"/>
    </row>
    <row r="201" spans="4:13" x14ac:dyDescent="0.25">
      <c r="D201" s="1"/>
      <c r="H201" s="1"/>
      <c r="L201" s="1"/>
      <c r="M201" s="1"/>
    </row>
    <row r="202" spans="4:13" x14ac:dyDescent="0.25">
      <c r="D202" s="1"/>
      <c r="H202" s="1"/>
      <c r="L202" s="1"/>
      <c r="M202" s="1"/>
    </row>
    <row r="203" spans="4:13" x14ac:dyDescent="0.25">
      <c r="D203" s="1"/>
      <c r="H203" s="1"/>
      <c r="L203" s="1"/>
      <c r="M203" s="1"/>
    </row>
    <row r="204" spans="4:13" x14ac:dyDescent="0.25">
      <c r="D204" s="1"/>
      <c r="H204" s="1"/>
      <c r="L204" s="1"/>
      <c r="M204" s="1"/>
    </row>
    <row r="205" spans="4:13" x14ac:dyDescent="0.25">
      <c r="D205" s="1"/>
      <c r="H205" s="1"/>
      <c r="L205" s="1"/>
      <c r="M205" s="1"/>
    </row>
    <row r="206" spans="4:13" x14ac:dyDescent="0.25">
      <c r="D206" s="1"/>
      <c r="H206" s="1"/>
      <c r="L206" s="1"/>
      <c r="M206" s="1"/>
    </row>
    <row r="207" spans="4:13" x14ac:dyDescent="0.25">
      <c r="D207" s="1"/>
      <c r="H207" s="1"/>
      <c r="L207" s="1"/>
      <c r="M207" s="1"/>
    </row>
    <row r="208" spans="4:13" x14ac:dyDescent="0.25">
      <c r="D208" s="1"/>
      <c r="H208" s="1"/>
      <c r="L208" s="1"/>
      <c r="M208" s="1"/>
    </row>
    <row r="209" spans="4:13" x14ac:dyDescent="0.25">
      <c r="D209" s="1"/>
      <c r="H209" s="1"/>
      <c r="L209" s="1"/>
      <c r="M209" s="1"/>
    </row>
    <row r="210" spans="4:13" x14ac:dyDescent="0.25">
      <c r="D210" s="1"/>
      <c r="H210" s="1"/>
      <c r="L210" s="1"/>
      <c r="M210" s="1"/>
    </row>
    <row r="211" spans="4:13" x14ac:dyDescent="0.25">
      <c r="D211" s="1"/>
      <c r="H211" s="1"/>
      <c r="L211" s="1"/>
      <c r="M211" s="1"/>
    </row>
    <row r="212" spans="4:13" x14ac:dyDescent="0.25">
      <c r="D212" s="1"/>
      <c r="H212" s="1"/>
      <c r="L212" s="1"/>
      <c r="M212" s="1"/>
    </row>
    <row r="213" spans="4:13" x14ac:dyDescent="0.25">
      <c r="D213" s="1"/>
      <c r="H213" s="1"/>
      <c r="L213" s="1"/>
      <c r="M213" s="1"/>
    </row>
    <row r="214" spans="4:13" x14ac:dyDescent="0.25">
      <c r="D214" s="1"/>
      <c r="H214" s="1"/>
      <c r="L214" s="1"/>
      <c r="M214" s="1"/>
    </row>
    <row r="215" spans="4:13" x14ac:dyDescent="0.25">
      <c r="D215" s="1"/>
      <c r="H215" s="1"/>
      <c r="L215" s="1"/>
      <c r="M215" s="1"/>
    </row>
    <row r="216" spans="4:13" x14ac:dyDescent="0.25">
      <c r="D216" s="1"/>
      <c r="H216" s="1"/>
      <c r="L216" s="1"/>
      <c r="M216" s="1"/>
    </row>
    <row r="217" spans="4:13" x14ac:dyDescent="0.25">
      <c r="D217" s="1"/>
      <c r="H217" s="1"/>
      <c r="L217" s="1"/>
      <c r="M217" s="1"/>
    </row>
    <row r="218" spans="4:13" x14ac:dyDescent="0.25">
      <c r="D218" s="1"/>
      <c r="H218" s="1"/>
      <c r="L218" s="1"/>
      <c r="M218" s="1"/>
    </row>
    <row r="219" spans="4:13" x14ac:dyDescent="0.25">
      <c r="D219" s="1"/>
      <c r="H219" s="1"/>
      <c r="L219" s="1"/>
      <c r="M219" s="1"/>
    </row>
    <row r="220" spans="4:13" x14ac:dyDescent="0.25">
      <c r="D220" s="1"/>
      <c r="H220" s="1"/>
      <c r="L220" s="1"/>
      <c r="M220" s="1"/>
    </row>
    <row r="221" spans="4:13" x14ac:dyDescent="0.25">
      <c r="D221" s="1"/>
      <c r="H221" s="1"/>
      <c r="L221" s="1"/>
      <c r="M221" s="1"/>
    </row>
    <row r="222" spans="4:13" x14ac:dyDescent="0.25">
      <c r="D222" s="1"/>
      <c r="H222" s="1"/>
      <c r="L222" s="1"/>
      <c r="M222" s="1"/>
    </row>
    <row r="223" spans="4:13" x14ac:dyDescent="0.25">
      <c r="D223" s="1"/>
      <c r="H223" s="1"/>
      <c r="L223" s="1"/>
      <c r="M223" s="1"/>
    </row>
    <row r="224" spans="4:13" x14ac:dyDescent="0.25">
      <c r="D224" s="1"/>
      <c r="H224" s="1"/>
      <c r="L224" s="1"/>
      <c r="M224" s="1"/>
    </row>
    <row r="225" spans="4:13" x14ac:dyDescent="0.25">
      <c r="D225" s="1"/>
      <c r="H225" s="1"/>
      <c r="L225" s="1"/>
      <c r="M225" s="1"/>
    </row>
    <row r="226" spans="4:13" x14ac:dyDescent="0.25">
      <c r="D226" s="1"/>
      <c r="H226" s="1"/>
      <c r="L226" s="1"/>
      <c r="M226" s="1"/>
    </row>
    <row r="227" spans="4:13" x14ac:dyDescent="0.25">
      <c r="D227" s="1"/>
      <c r="H227" s="1"/>
      <c r="L227" s="1"/>
      <c r="M227" s="1"/>
    </row>
    <row r="228" spans="4:13" x14ac:dyDescent="0.25">
      <c r="D228" s="1"/>
      <c r="H228" s="1"/>
      <c r="L228" s="1"/>
      <c r="M228" s="1"/>
    </row>
    <row r="229" spans="4:13" x14ac:dyDescent="0.25">
      <c r="D229" s="1"/>
      <c r="H229" s="1"/>
      <c r="L229" s="1"/>
      <c r="M229" s="1"/>
    </row>
    <row r="230" spans="4:13" x14ac:dyDescent="0.25">
      <c r="D230" s="1"/>
      <c r="H230" s="1"/>
      <c r="L230" s="1"/>
      <c r="M230" s="1"/>
    </row>
    <row r="231" spans="4:13" x14ac:dyDescent="0.25">
      <c r="D231" s="1"/>
      <c r="H231" s="1"/>
      <c r="L231" s="1"/>
      <c r="M231" s="1"/>
    </row>
    <row r="232" spans="4:13" x14ac:dyDescent="0.25">
      <c r="D232" s="1"/>
      <c r="H232" s="1"/>
      <c r="L232" s="1"/>
      <c r="M232" s="1"/>
    </row>
    <row r="233" spans="4:13" x14ac:dyDescent="0.25">
      <c r="D233" s="1"/>
      <c r="H233" s="1"/>
      <c r="L233" s="1"/>
      <c r="M233" s="1"/>
    </row>
    <row r="234" spans="4:13" x14ac:dyDescent="0.25">
      <c r="D234" s="1"/>
      <c r="H234" s="1"/>
      <c r="L234" s="1"/>
      <c r="M234" s="1"/>
    </row>
    <row r="235" spans="4:13" x14ac:dyDescent="0.25">
      <c r="D235" s="1"/>
      <c r="H235" s="1"/>
      <c r="L235" s="1"/>
      <c r="M235" s="1"/>
    </row>
    <row r="236" spans="4:13" x14ac:dyDescent="0.25">
      <c r="D236" s="1"/>
      <c r="H236" s="1"/>
      <c r="L236" s="1"/>
      <c r="M236" s="1"/>
    </row>
    <row r="237" spans="4:13" x14ac:dyDescent="0.25">
      <c r="D237" s="1"/>
      <c r="H237" s="1"/>
      <c r="L237" s="1"/>
      <c r="M237" s="1"/>
    </row>
    <row r="238" spans="4:13" x14ac:dyDescent="0.25">
      <c r="D238" s="1"/>
      <c r="H238" s="1"/>
      <c r="L238" s="1"/>
      <c r="M238" s="1"/>
    </row>
    <row r="239" spans="4:13" x14ac:dyDescent="0.25">
      <c r="D239" s="1"/>
      <c r="H239" s="1"/>
      <c r="L239" s="1"/>
      <c r="M239" s="1"/>
    </row>
    <row r="240" spans="4:13" x14ac:dyDescent="0.25">
      <c r="D240" s="1"/>
      <c r="H240" s="1"/>
      <c r="L240" s="1"/>
      <c r="M240" s="1"/>
    </row>
    <row r="241" spans="4:13" x14ac:dyDescent="0.25">
      <c r="D241" s="1"/>
      <c r="H241" s="1"/>
      <c r="L241" s="1"/>
      <c r="M241" s="1"/>
    </row>
    <row r="242" spans="4:13" x14ac:dyDescent="0.25">
      <c r="D242" s="1"/>
      <c r="H242" s="1"/>
      <c r="L242" s="1"/>
      <c r="M242" s="1"/>
    </row>
    <row r="243" spans="4:13" x14ac:dyDescent="0.25">
      <c r="D243" s="1"/>
      <c r="H243" s="1"/>
      <c r="L243" s="1"/>
      <c r="M243" s="1"/>
    </row>
    <row r="244" spans="4:13" x14ac:dyDescent="0.25">
      <c r="D244" s="1"/>
      <c r="H244" s="1"/>
      <c r="L244" s="1"/>
      <c r="M244" s="1"/>
    </row>
    <row r="245" spans="4:13" x14ac:dyDescent="0.25">
      <c r="D245" s="1"/>
      <c r="H245" s="1"/>
      <c r="L245" s="1"/>
      <c r="M245" s="1"/>
    </row>
    <row r="246" spans="4:13" x14ac:dyDescent="0.25">
      <c r="D246" s="1"/>
      <c r="H246" s="1"/>
      <c r="L246" s="1"/>
      <c r="M246" s="1"/>
    </row>
    <row r="247" spans="4:13" x14ac:dyDescent="0.25">
      <c r="D247" s="1"/>
      <c r="H247" s="1"/>
      <c r="L247" s="1"/>
      <c r="M247" s="1"/>
    </row>
    <row r="248" spans="4:13" x14ac:dyDescent="0.25">
      <c r="D248" s="1"/>
      <c r="H248" s="1"/>
      <c r="L248" s="1"/>
      <c r="M248" s="1"/>
    </row>
    <row r="249" spans="4:13" x14ac:dyDescent="0.25">
      <c r="D249" s="1"/>
      <c r="H249" s="1"/>
      <c r="L249" s="1"/>
      <c r="M249" s="1"/>
    </row>
    <row r="250" spans="4:13" x14ac:dyDescent="0.25">
      <c r="D250" s="1"/>
      <c r="H250" s="1"/>
      <c r="L250" s="1"/>
      <c r="M250" s="1"/>
    </row>
    <row r="251" spans="4:13" x14ac:dyDescent="0.25">
      <c r="D251" s="1"/>
      <c r="H251" s="1"/>
      <c r="L251" s="1"/>
      <c r="M251" s="1"/>
    </row>
    <row r="252" spans="4:13" x14ac:dyDescent="0.25">
      <c r="D252" s="1"/>
      <c r="H252" s="1"/>
      <c r="L252" s="1"/>
      <c r="M252" s="1"/>
    </row>
    <row r="253" spans="4:13" x14ac:dyDescent="0.25">
      <c r="D253" s="1"/>
      <c r="H253" s="1"/>
      <c r="L253" s="1"/>
      <c r="M253" s="1"/>
    </row>
    <row r="254" spans="4:13" x14ac:dyDescent="0.25">
      <c r="D254" s="1"/>
      <c r="H254" s="1"/>
      <c r="L254" s="1"/>
      <c r="M254" s="1"/>
    </row>
    <row r="255" spans="4:13" x14ac:dyDescent="0.25">
      <c r="D255" s="1"/>
      <c r="H255" s="1"/>
      <c r="L255" s="1"/>
      <c r="M255" s="1"/>
    </row>
    <row r="256" spans="4:13" x14ac:dyDescent="0.25">
      <c r="D256" s="1"/>
      <c r="H256" s="1"/>
      <c r="L256" s="1"/>
      <c r="M256" s="1"/>
    </row>
    <row r="257" spans="4:13" x14ac:dyDescent="0.25">
      <c r="D257" s="1"/>
      <c r="H257" s="1"/>
      <c r="L257" s="1"/>
      <c r="M257" s="1"/>
    </row>
    <row r="258" spans="4:13" x14ac:dyDescent="0.25">
      <c r="D258" s="1"/>
      <c r="H258" s="1"/>
      <c r="L258" s="1"/>
      <c r="M258" s="1"/>
    </row>
    <row r="259" spans="4:13" x14ac:dyDescent="0.25">
      <c r="D259" s="1"/>
      <c r="H259" s="1"/>
      <c r="L259" s="1"/>
      <c r="M259" s="1"/>
    </row>
    <row r="260" spans="4:13" x14ac:dyDescent="0.25">
      <c r="D260" s="1"/>
      <c r="H260" s="1"/>
      <c r="L260" s="1"/>
      <c r="M260" s="1"/>
    </row>
    <row r="261" spans="4:13" x14ac:dyDescent="0.25">
      <c r="D261" s="1"/>
      <c r="H261" s="1"/>
      <c r="L261" s="1"/>
      <c r="M261" s="1"/>
    </row>
    <row r="262" spans="4:13" x14ac:dyDescent="0.25">
      <c r="D262" s="1"/>
      <c r="H262" s="1"/>
      <c r="L262" s="1"/>
      <c r="M262" s="1"/>
    </row>
    <row r="263" spans="4:13" x14ac:dyDescent="0.25">
      <c r="D263" s="1"/>
      <c r="H263" s="1"/>
      <c r="L263" s="1"/>
      <c r="M263" s="1"/>
    </row>
    <row r="264" spans="4:13" x14ac:dyDescent="0.25">
      <c r="D264" s="1"/>
      <c r="H264" s="1"/>
      <c r="L264" s="1"/>
      <c r="M264" s="1"/>
    </row>
    <row r="265" spans="4:13" x14ac:dyDescent="0.25">
      <c r="D265" s="1"/>
      <c r="H265" s="1"/>
      <c r="L265" s="1"/>
      <c r="M265" s="1"/>
    </row>
    <row r="266" spans="4:13" x14ac:dyDescent="0.25">
      <c r="D266" s="1"/>
      <c r="H266" s="1"/>
      <c r="L266" s="1"/>
      <c r="M266" s="1"/>
    </row>
    <row r="267" spans="4:13" x14ac:dyDescent="0.25">
      <c r="D267" s="1"/>
      <c r="H267" s="1"/>
      <c r="L267" s="1"/>
      <c r="M267" s="1"/>
    </row>
    <row r="268" spans="4:13" x14ac:dyDescent="0.25">
      <c r="D268" s="1"/>
      <c r="H268" s="1"/>
      <c r="L268" s="1"/>
      <c r="M268" s="1"/>
    </row>
    <row r="269" spans="4:13" x14ac:dyDescent="0.25">
      <c r="D269" s="1"/>
      <c r="H269" s="1"/>
      <c r="L269" s="1"/>
      <c r="M269" s="1"/>
    </row>
    <row r="270" spans="4:13" x14ac:dyDescent="0.25">
      <c r="D270" s="1"/>
      <c r="H270" s="1"/>
      <c r="L270" s="1"/>
      <c r="M270" s="1"/>
    </row>
    <row r="271" spans="4:13" x14ac:dyDescent="0.25">
      <c r="D271" s="1"/>
      <c r="H271" s="1"/>
      <c r="L271" s="1"/>
      <c r="M271" s="1"/>
    </row>
    <row r="272" spans="4:13" x14ac:dyDescent="0.25">
      <c r="D272" s="1"/>
      <c r="H272" s="1"/>
      <c r="L272" s="1"/>
      <c r="M272" s="1"/>
    </row>
    <row r="273" spans="4:13" x14ac:dyDescent="0.25">
      <c r="D273" s="1"/>
      <c r="H273" s="1"/>
      <c r="L273" s="1"/>
      <c r="M273" s="1"/>
    </row>
    <row r="274" spans="4:13" x14ac:dyDescent="0.25">
      <c r="D274" s="1"/>
      <c r="H274" s="1"/>
      <c r="L274" s="1"/>
      <c r="M274" s="1"/>
    </row>
    <row r="275" spans="4:13" x14ac:dyDescent="0.25">
      <c r="D275" s="1"/>
      <c r="H275" s="1"/>
      <c r="L275" s="1"/>
      <c r="M275" s="1"/>
    </row>
    <row r="276" spans="4:13" x14ac:dyDescent="0.25">
      <c r="D276" s="1"/>
      <c r="H276" s="1"/>
      <c r="L276" s="1"/>
      <c r="M276" s="1"/>
    </row>
    <row r="277" spans="4:13" x14ac:dyDescent="0.25">
      <c r="D277" s="1"/>
      <c r="H277" s="1"/>
      <c r="L277" s="1"/>
      <c r="M277" s="1"/>
    </row>
    <row r="278" spans="4:13" x14ac:dyDescent="0.25">
      <c r="D278" s="1"/>
      <c r="H278" s="1"/>
      <c r="L278" s="1"/>
      <c r="M278" s="1"/>
    </row>
    <row r="279" spans="4:13" x14ac:dyDescent="0.25">
      <c r="D279" s="1"/>
      <c r="H279" s="1"/>
      <c r="L279" s="1"/>
      <c r="M279" s="1"/>
    </row>
    <row r="280" spans="4:13" x14ac:dyDescent="0.25">
      <c r="D280" s="1"/>
      <c r="H280" s="1"/>
      <c r="L280" s="1"/>
      <c r="M280" s="1"/>
    </row>
    <row r="281" spans="4:13" x14ac:dyDescent="0.25">
      <c r="D281" s="1"/>
      <c r="H281" s="1"/>
      <c r="L281" s="1"/>
      <c r="M281" s="1"/>
    </row>
    <row r="282" spans="4:13" x14ac:dyDescent="0.25">
      <c r="D282" s="1"/>
      <c r="H282" s="1"/>
      <c r="L282" s="1"/>
      <c r="M282" s="1"/>
    </row>
    <row r="283" spans="4:13" x14ac:dyDescent="0.25">
      <c r="D283" s="1"/>
      <c r="H283" s="1"/>
      <c r="L283" s="1"/>
      <c r="M283" s="1"/>
    </row>
    <row r="284" spans="4:13" x14ac:dyDescent="0.25">
      <c r="D284" s="1"/>
      <c r="H284" s="1"/>
      <c r="L284" s="1"/>
      <c r="M284" s="1"/>
    </row>
    <row r="285" spans="4:13" x14ac:dyDescent="0.25">
      <c r="D285" s="1"/>
      <c r="H285" s="1"/>
      <c r="L285" s="1"/>
      <c r="M285" s="1"/>
    </row>
    <row r="286" spans="4:13" x14ac:dyDescent="0.25">
      <c r="D286" s="1"/>
      <c r="H286" s="1"/>
      <c r="L286" s="1"/>
      <c r="M286" s="1"/>
    </row>
    <row r="287" spans="4:13" x14ac:dyDescent="0.25">
      <c r="D287" s="1"/>
      <c r="H287" s="1"/>
      <c r="L287" s="1"/>
      <c r="M287" s="1"/>
    </row>
    <row r="288" spans="4:13" x14ac:dyDescent="0.25">
      <c r="D288" s="1"/>
      <c r="H288" s="1"/>
      <c r="L288" s="1"/>
      <c r="M288" s="1"/>
    </row>
    <row r="289" spans="4:13" x14ac:dyDescent="0.25">
      <c r="D289" s="1"/>
      <c r="H289" s="1"/>
      <c r="L289" s="1"/>
      <c r="M289" s="1"/>
    </row>
    <row r="290" spans="4:13" x14ac:dyDescent="0.25">
      <c r="D290" s="1"/>
      <c r="H290" s="1"/>
      <c r="L290" s="1"/>
      <c r="M290" s="1"/>
    </row>
    <row r="291" spans="4:13" x14ac:dyDescent="0.25">
      <c r="D291" s="1"/>
      <c r="H291" s="1"/>
      <c r="L291" s="1"/>
      <c r="M291" s="1"/>
    </row>
    <row r="292" spans="4:13" x14ac:dyDescent="0.25">
      <c r="D292" s="1"/>
      <c r="H292" s="1"/>
      <c r="L292" s="1"/>
      <c r="M292" s="1"/>
    </row>
    <row r="293" spans="4:13" x14ac:dyDescent="0.25">
      <c r="D293" s="1"/>
      <c r="H293" s="1"/>
      <c r="L293" s="1"/>
      <c r="M293" s="1"/>
    </row>
    <row r="294" spans="4:13" x14ac:dyDescent="0.25">
      <c r="D294" s="1"/>
      <c r="H294" s="1"/>
      <c r="L294" s="1"/>
      <c r="M294" s="1"/>
    </row>
    <row r="295" spans="4:13" x14ac:dyDescent="0.25">
      <c r="D295" s="1"/>
      <c r="H295" s="1"/>
      <c r="L295" s="1"/>
      <c r="M295" s="1"/>
    </row>
    <row r="296" spans="4:13" x14ac:dyDescent="0.25">
      <c r="D296" s="1"/>
      <c r="H296" s="1"/>
      <c r="L296" s="1"/>
      <c r="M296" s="1"/>
    </row>
    <row r="297" spans="4:13" x14ac:dyDescent="0.25">
      <c r="D297" s="1"/>
      <c r="H297" s="1"/>
      <c r="L297" s="1"/>
      <c r="M297" s="1"/>
    </row>
    <row r="298" spans="4:13" x14ac:dyDescent="0.25">
      <c r="D298" s="1"/>
      <c r="H298" s="1"/>
      <c r="L298" s="1"/>
      <c r="M298" s="1"/>
    </row>
    <row r="299" spans="4:13" x14ac:dyDescent="0.25">
      <c r="D299" s="1"/>
      <c r="H299" s="1"/>
      <c r="L299" s="1"/>
      <c r="M299" s="1"/>
    </row>
    <row r="300" spans="4:13" x14ac:dyDescent="0.25">
      <c r="D300" s="1"/>
      <c r="H300" s="1"/>
      <c r="L300" s="1"/>
      <c r="M300" s="1"/>
    </row>
    <row r="301" spans="4:13" x14ac:dyDescent="0.25">
      <c r="D301" s="1"/>
      <c r="H301" s="1"/>
      <c r="L301" s="1"/>
      <c r="M301" s="1"/>
    </row>
    <row r="302" spans="4:13" x14ac:dyDescent="0.25">
      <c r="D302" s="1"/>
      <c r="H302" s="1"/>
      <c r="L302" s="1"/>
      <c r="M302" s="1"/>
    </row>
    <row r="303" spans="4:13" x14ac:dyDescent="0.25">
      <c r="D303" s="1"/>
      <c r="H303" s="1"/>
      <c r="L303" s="1"/>
      <c r="M303" s="1"/>
    </row>
    <row r="304" spans="4:13" x14ac:dyDescent="0.25">
      <c r="D304" s="1"/>
      <c r="H304" s="1"/>
      <c r="L304" s="1"/>
      <c r="M304" s="1"/>
    </row>
    <row r="305" spans="4:13" x14ac:dyDescent="0.25">
      <c r="D305" s="1"/>
      <c r="H305" s="1"/>
      <c r="L305" s="1"/>
      <c r="M305" s="1"/>
    </row>
    <row r="306" spans="4:13" x14ac:dyDescent="0.25">
      <c r="D306" s="1"/>
      <c r="H306" s="1"/>
      <c r="L306" s="1"/>
      <c r="M306" s="1"/>
    </row>
    <row r="307" spans="4:13" x14ac:dyDescent="0.25">
      <c r="D307" s="1"/>
      <c r="H307" s="1"/>
      <c r="L307" s="1"/>
      <c r="M307" s="1"/>
    </row>
    <row r="308" spans="4:13" x14ac:dyDescent="0.25">
      <c r="D308" s="1"/>
      <c r="H308" s="1"/>
      <c r="L308" s="1"/>
      <c r="M308" s="1"/>
    </row>
    <row r="309" spans="4:13" x14ac:dyDescent="0.25">
      <c r="D309" s="1"/>
      <c r="H309" s="1"/>
      <c r="L309" s="1"/>
      <c r="M309" s="1"/>
    </row>
    <row r="310" spans="4:13" x14ac:dyDescent="0.25">
      <c r="D310" s="1"/>
      <c r="H310" s="1"/>
      <c r="L310" s="1"/>
      <c r="M310" s="1"/>
    </row>
    <row r="311" spans="4:13" x14ac:dyDescent="0.25">
      <c r="D311" s="1"/>
      <c r="H311" s="1"/>
      <c r="L311" s="1"/>
      <c r="M311" s="1"/>
    </row>
    <row r="312" spans="4:13" x14ac:dyDescent="0.25">
      <c r="D312" s="1"/>
      <c r="H312" s="1"/>
      <c r="L312" s="1"/>
      <c r="M312" s="1"/>
    </row>
    <row r="313" spans="4:13" x14ac:dyDescent="0.25">
      <c r="D313" s="1"/>
      <c r="H313" s="1"/>
      <c r="L313" s="1"/>
      <c r="M313" s="1"/>
    </row>
    <row r="314" spans="4:13" x14ac:dyDescent="0.25">
      <c r="D314" s="1"/>
      <c r="H314" s="1"/>
      <c r="L314" s="1"/>
      <c r="M314" s="1"/>
    </row>
    <row r="315" spans="4:13" x14ac:dyDescent="0.25">
      <c r="D315" s="1"/>
      <c r="H315" s="1"/>
      <c r="L315" s="1"/>
      <c r="M315" s="1"/>
    </row>
    <row r="316" spans="4:13" x14ac:dyDescent="0.25">
      <c r="D316" s="1"/>
      <c r="H316" s="1"/>
      <c r="L316" s="1"/>
      <c r="M316" s="1"/>
    </row>
    <row r="317" spans="4:13" x14ac:dyDescent="0.25">
      <c r="D317" s="1"/>
      <c r="H317" s="1"/>
      <c r="L317" s="1"/>
      <c r="M317" s="1"/>
    </row>
    <row r="318" spans="4:13" x14ac:dyDescent="0.25">
      <c r="D318" s="1"/>
      <c r="H318" s="1"/>
      <c r="L318" s="1"/>
      <c r="M318" s="1"/>
    </row>
    <row r="319" spans="4:13" x14ac:dyDescent="0.25">
      <c r="D319" s="1"/>
      <c r="H319" s="1"/>
      <c r="L319" s="1"/>
      <c r="M319" s="1"/>
    </row>
    <row r="320" spans="4:13" x14ac:dyDescent="0.25">
      <c r="D320" s="1"/>
      <c r="H320" s="1"/>
      <c r="L320" s="1"/>
      <c r="M320" s="1"/>
    </row>
    <row r="321" spans="4:13" x14ac:dyDescent="0.25">
      <c r="D321" s="1"/>
      <c r="H321" s="1"/>
      <c r="L321" s="1"/>
      <c r="M321" s="1"/>
    </row>
    <row r="322" spans="4:13" x14ac:dyDescent="0.25">
      <c r="D322" s="1"/>
      <c r="H322" s="1"/>
      <c r="L322" s="1"/>
      <c r="M322" s="1"/>
    </row>
    <row r="323" spans="4:13" x14ac:dyDescent="0.25">
      <c r="D323" s="1"/>
      <c r="H323" s="1"/>
      <c r="L323" s="1"/>
      <c r="M323" s="1"/>
    </row>
    <row r="324" spans="4:13" x14ac:dyDescent="0.25">
      <c r="D324" s="1"/>
      <c r="H324" s="1"/>
      <c r="L324" s="1"/>
      <c r="M324" s="1"/>
    </row>
    <row r="325" spans="4:13" x14ac:dyDescent="0.25">
      <c r="D325" s="1"/>
      <c r="H325" s="1"/>
      <c r="L325" s="1"/>
      <c r="M325" s="1"/>
    </row>
    <row r="326" spans="4:13" x14ac:dyDescent="0.25">
      <c r="D326" s="1"/>
      <c r="H326" s="1"/>
      <c r="L326" s="1"/>
      <c r="M326" s="1"/>
    </row>
    <row r="327" spans="4:13" x14ac:dyDescent="0.25">
      <c r="D327" s="1"/>
      <c r="H327" s="1"/>
      <c r="L327" s="1"/>
      <c r="M327" s="1"/>
    </row>
    <row r="328" spans="4:13" x14ac:dyDescent="0.25">
      <c r="D328" s="1"/>
      <c r="H328" s="1"/>
      <c r="L328" s="1"/>
      <c r="M328" s="1"/>
    </row>
    <row r="329" spans="4:13" x14ac:dyDescent="0.25">
      <c r="D329" s="1"/>
      <c r="H329" s="1"/>
      <c r="L329" s="1"/>
      <c r="M329" s="1"/>
    </row>
    <row r="330" spans="4:13" x14ac:dyDescent="0.25">
      <c r="D330" s="1"/>
      <c r="H330" s="1"/>
      <c r="L330" s="1"/>
      <c r="M330" s="1"/>
    </row>
    <row r="331" spans="4:13" x14ac:dyDescent="0.25">
      <c r="D331" s="1"/>
      <c r="H331" s="1"/>
      <c r="L331" s="1"/>
      <c r="M331" s="1"/>
    </row>
    <row r="332" spans="4:13" x14ac:dyDescent="0.25">
      <c r="D332" s="1"/>
      <c r="H332" s="1"/>
      <c r="L332" s="1"/>
      <c r="M332" s="1"/>
    </row>
    <row r="333" spans="4:13" x14ac:dyDescent="0.25">
      <c r="D333" s="1"/>
      <c r="H333" s="1"/>
      <c r="L333" s="1"/>
      <c r="M333" s="1"/>
    </row>
    <row r="334" spans="4:13" x14ac:dyDescent="0.25">
      <c r="D334" s="1"/>
      <c r="H334" s="1"/>
      <c r="L334" s="1"/>
      <c r="M334" s="1"/>
    </row>
    <row r="335" spans="4:13" x14ac:dyDescent="0.25">
      <c r="D335" s="1"/>
      <c r="H335" s="1"/>
      <c r="L335" s="1"/>
      <c r="M335" s="1"/>
    </row>
    <row r="336" spans="4:13" x14ac:dyDescent="0.25">
      <c r="D336" s="1"/>
      <c r="H336" s="1"/>
      <c r="L336" s="1"/>
      <c r="M336" s="1"/>
    </row>
    <row r="337" spans="4:13" x14ac:dyDescent="0.25">
      <c r="D337" s="1"/>
      <c r="H337" s="1"/>
      <c r="L337" s="1"/>
      <c r="M337" s="1"/>
    </row>
    <row r="338" spans="4:13" x14ac:dyDescent="0.25">
      <c r="D338" s="1"/>
      <c r="H338" s="1"/>
      <c r="L338" s="1"/>
      <c r="M338" s="1"/>
    </row>
    <row r="339" spans="4:13" x14ac:dyDescent="0.25">
      <c r="D339" s="1"/>
      <c r="H339" s="1"/>
      <c r="L339" s="1"/>
      <c r="M339" s="1"/>
    </row>
    <row r="340" spans="4:13" x14ac:dyDescent="0.25">
      <c r="D340" s="1"/>
      <c r="H340" s="1"/>
      <c r="L340" s="1"/>
      <c r="M340" s="1"/>
    </row>
    <row r="341" spans="4:13" x14ac:dyDescent="0.25">
      <c r="D341" s="1"/>
      <c r="H341" s="1"/>
      <c r="L341" s="1"/>
      <c r="M341" s="1"/>
    </row>
    <row r="342" spans="4:13" x14ac:dyDescent="0.25">
      <c r="D342" s="1"/>
      <c r="H342" s="1"/>
      <c r="L342" s="1"/>
      <c r="M342" s="1"/>
    </row>
    <row r="343" spans="4:13" x14ac:dyDescent="0.25">
      <c r="D343" s="1"/>
      <c r="H343" s="1"/>
      <c r="L343" s="1"/>
      <c r="M343" s="1"/>
    </row>
    <row r="344" spans="4:13" x14ac:dyDescent="0.25">
      <c r="D344" s="1"/>
      <c r="H344" s="1"/>
      <c r="L344" s="1"/>
      <c r="M344" s="1"/>
    </row>
    <row r="345" spans="4:13" x14ac:dyDescent="0.25">
      <c r="D345" s="1"/>
      <c r="H345" s="1"/>
      <c r="L345" s="1"/>
      <c r="M345" s="1"/>
    </row>
    <row r="346" spans="4:13" x14ac:dyDescent="0.25">
      <c r="D346" s="1"/>
      <c r="H346" s="1"/>
      <c r="L346" s="1"/>
      <c r="M346" s="1"/>
    </row>
    <row r="347" spans="4:13" x14ac:dyDescent="0.25">
      <c r="D347" s="1"/>
      <c r="H347" s="1"/>
      <c r="L347" s="1"/>
      <c r="M347" s="1"/>
    </row>
    <row r="348" spans="4:13" x14ac:dyDescent="0.25">
      <c r="D348" s="1"/>
      <c r="H348" s="1"/>
      <c r="L348" s="1"/>
      <c r="M348" s="1"/>
    </row>
    <row r="349" spans="4:13" x14ac:dyDescent="0.25">
      <c r="D349" s="1"/>
      <c r="H349" s="1"/>
      <c r="L349" s="1"/>
      <c r="M349" s="1"/>
    </row>
    <row r="350" spans="4:13" x14ac:dyDescent="0.25">
      <c r="D350" s="1"/>
      <c r="H350" s="1"/>
      <c r="L350" s="1"/>
      <c r="M350" s="1"/>
    </row>
    <row r="351" spans="4:13" x14ac:dyDescent="0.25">
      <c r="D351" s="1"/>
      <c r="H351" s="1"/>
      <c r="L351" s="1"/>
      <c r="M351" s="1"/>
    </row>
    <row r="352" spans="4:13" x14ac:dyDescent="0.25">
      <c r="D352" s="1"/>
      <c r="H352" s="1"/>
      <c r="L352" s="1"/>
      <c r="M352" s="1"/>
    </row>
    <row r="353" spans="4:13" x14ac:dyDescent="0.25">
      <c r="D353" s="1"/>
      <c r="H353" s="1"/>
      <c r="L353" s="1"/>
      <c r="M353" s="1"/>
    </row>
    <row r="354" spans="4:13" x14ac:dyDescent="0.25">
      <c r="D354" s="1"/>
      <c r="H354" s="1"/>
      <c r="L354" s="1"/>
      <c r="M354" s="1"/>
    </row>
    <row r="355" spans="4:13" x14ac:dyDescent="0.25">
      <c r="D355" s="1"/>
      <c r="H355" s="1"/>
      <c r="L355" s="1"/>
      <c r="M355" s="1"/>
    </row>
    <row r="356" spans="4:13" x14ac:dyDescent="0.25">
      <c r="D356" s="1"/>
      <c r="H356" s="1"/>
      <c r="L356" s="1"/>
      <c r="M356" s="1"/>
    </row>
    <row r="357" spans="4:13" x14ac:dyDescent="0.25">
      <c r="D357" s="1"/>
      <c r="H357" s="1"/>
      <c r="L357" s="1"/>
      <c r="M357" s="1"/>
    </row>
    <row r="358" spans="4:13" x14ac:dyDescent="0.25">
      <c r="D358" s="1"/>
      <c r="H358" s="1"/>
      <c r="L358" s="1"/>
      <c r="M358" s="1"/>
    </row>
    <row r="359" spans="4:13" x14ac:dyDescent="0.25">
      <c r="D359" s="1"/>
      <c r="H359" s="1"/>
      <c r="L359" s="1"/>
      <c r="M359" s="1"/>
    </row>
    <row r="360" spans="4:13" x14ac:dyDescent="0.25">
      <c r="D360" s="1"/>
      <c r="H360" s="1"/>
      <c r="L360" s="1"/>
      <c r="M360" s="1"/>
    </row>
    <row r="361" spans="4:13" x14ac:dyDescent="0.25">
      <c r="D361" s="1"/>
      <c r="H361" s="1"/>
      <c r="L361" s="1"/>
      <c r="M361" s="1"/>
    </row>
    <row r="362" spans="4:13" x14ac:dyDescent="0.25">
      <c r="D362" s="1"/>
      <c r="H362" s="1"/>
      <c r="L362" s="1"/>
      <c r="M362" s="1"/>
    </row>
    <row r="363" spans="4:13" x14ac:dyDescent="0.25">
      <c r="D363" s="1"/>
      <c r="H363" s="1"/>
      <c r="L363" s="1"/>
      <c r="M363" s="1"/>
    </row>
    <row r="364" spans="4:13" x14ac:dyDescent="0.25">
      <c r="D364" s="1"/>
      <c r="H364" s="1"/>
      <c r="L364" s="1"/>
      <c r="M364" s="1"/>
    </row>
    <row r="365" spans="4:13" x14ac:dyDescent="0.25">
      <c r="D365" s="1"/>
      <c r="H365" s="1"/>
      <c r="L365" s="1"/>
      <c r="M365" s="1"/>
    </row>
    <row r="366" spans="4:13" x14ac:dyDescent="0.25">
      <c r="D366" s="1"/>
      <c r="H366" s="1"/>
      <c r="L366" s="1"/>
      <c r="M366" s="1"/>
    </row>
    <row r="367" spans="4:13" x14ac:dyDescent="0.25">
      <c r="D367" s="1"/>
      <c r="H367" s="1"/>
      <c r="L367" s="1"/>
      <c r="M367" s="1"/>
    </row>
    <row r="368" spans="4:13" x14ac:dyDescent="0.25">
      <c r="D368" s="1"/>
      <c r="H368" s="1"/>
      <c r="L368" s="1"/>
      <c r="M368" s="1"/>
    </row>
    <row r="369" spans="4:13" x14ac:dyDescent="0.25">
      <c r="D369" s="1"/>
      <c r="H369" s="1"/>
      <c r="L369" s="1"/>
      <c r="M369" s="1"/>
    </row>
    <row r="370" spans="4:13" x14ac:dyDescent="0.25">
      <c r="D370" s="1"/>
      <c r="H370" s="1"/>
      <c r="L370" s="1"/>
      <c r="M370" s="1"/>
    </row>
    <row r="371" spans="4:13" x14ac:dyDescent="0.25">
      <c r="D371" s="1"/>
      <c r="H371" s="1"/>
      <c r="L371" s="1"/>
      <c r="M371" s="1"/>
    </row>
    <row r="372" spans="4:13" x14ac:dyDescent="0.25">
      <c r="D372" s="1"/>
      <c r="H372" s="1"/>
      <c r="L372" s="1"/>
      <c r="M372" s="1"/>
    </row>
    <row r="373" spans="4:13" x14ac:dyDescent="0.25">
      <c r="D373" s="1"/>
      <c r="H373" s="1"/>
      <c r="L373" s="1"/>
      <c r="M373" s="1"/>
    </row>
    <row r="374" spans="4:13" x14ac:dyDescent="0.25">
      <c r="D374" s="1"/>
      <c r="H374" s="1"/>
      <c r="L374" s="1"/>
      <c r="M374" s="1"/>
    </row>
    <row r="375" spans="4:13" x14ac:dyDescent="0.25">
      <c r="D375" s="1"/>
      <c r="H375" s="1"/>
      <c r="L375" s="1"/>
      <c r="M375" s="1"/>
    </row>
    <row r="376" spans="4:13" x14ac:dyDescent="0.25">
      <c r="D376" s="1"/>
      <c r="H376" s="1"/>
      <c r="L376" s="1"/>
      <c r="M376" s="1"/>
    </row>
    <row r="377" spans="4:13" x14ac:dyDescent="0.25">
      <c r="D377" s="1"/>
      <c r="H377" s="1"/>
      <c r="L377" s="1"/>
      <c r="M377" s="1"/>
    </row>
    <row r="378" spans="4:13" x14ac:dyDescent="0.25">
      <c r="D378" s="1"/>
      <c r="H378" s="1"/>
      <c r="L378" s="1"/>
      <c r="M378" s="1"/>
    </row>
    <row r="379" spans="4:13" x14ac:dyDescent="0.25">
      <c r="D379" s="1"/>
      <c r="H379" s="1"/>
      <c r="L379" s="1"/>
      <c r="M379" s="1"/>
    </row>
    <row r="380" spans="4:13" x14ac:dyDescent="0.25">
      <c r="D380" s="1"/>
      <c r="H380" s="1"/>
      <c r="L380" s="1"/>
      <c r="M380" s="1"/>
    </row>
    <row r="381" spans="4:13" x14ac:dyDescent="0.25">
      <c r="D381" s="1"/>
      <c r="H381" s="1"/>
      <c r="L381" s="1"/>
      <c r="M381" s="1"/>
    </row>
    <row r="382" spans="4:13" x14ac:dyDescent="0.25">
      <c r="D382" s="1"/>
      <c r="H382" s="1"/>
      <c r="L382" s="1"/>
      <c r="M382" s="1"/>
    </row>
    <row r="383" spans="4:13" x14ac:dyDescent="0.25">
      <c r="D383" s="1"/>
      <c r="H383" s="1"/>
      <c r="L383" s="1"/>
      <c r="M383" s="1"/>
    </row>
    <row r="384" spans="4:13" x14ac:dyDescent="0.25">
      <c r="D384" s="1"/>
      <c r="H384" s="1"/>
      <c r="L384" s="1"/>
      <c r="M384" s="1"/>
    </row>
    <row r="385" spans="4:13" x14ac:dyDescent="0.25">
      <c r="D385" s="1"/>
      <c r="H385" s="1"/>
      <c r="L385" s="1"/>
      <c r="M385" s="1"/>
    </row>
    <row r="386" spans="4:13" x14ac:dyDescent="0.25">
      <c r="D386" s="1"/>
      <c r="H386" s="1"/>
      <c r="L386" s="1"/>
      <c r="M386" s="1"/>
    </row>
    <row r="387" spans="4:13" x14ac:dyDescent="0.25">
      <c r="D387" s="1"/>
      <c r="H387" s="1"/>
      <c r="L387" s="1"/>
      <c r="M387" s="1"/>
    </row>
    <row r="388" spans="4:13" x14ac:dyDescent="0.25">
      <c r="D388" s="1"/>
      <c r="H388" s="1"/>
      <c r="L388" s="1"/>
      <c r="M388" s="1"/>
    </row>
    <row r="389" spans="4:13" x14ac:dyDescent="0.25">
      <c r="D389" s="1"/>
      <c r="H389" s="1"/>
      <c r="L389" s="1"/>
      <c r="M389" s="1"/>
    </row>
    <row r="390" spans="4:13" x14ac:dyDescent="0.25">
      <c r="D390" s="1"/>
      <c r="H390" s="1"/>
      <c r="L390" s="1"/>
      <c r="M390" s="1"/>
    </row>
    <row r="391" spans="4:13" x14ac:dyDescent="0.25">
      <c r="D391" s="1"/>
      <c r="H391" s="1"/>
      <c r="L391" s="1"/>
      <c r="M391" s="1"/>
    </row>
    <row r="392" spans="4:13" x14ac:dyDescent="0.25">
      <c r="D392" s="1"/>
      <c r="H392" s="1"/>
      <c r="L392" s="1"/>
      <c r="M392" s="1"/>
    </row>
    <row r="393" spans="4:13" x14ac:dyDescent="0.25">
      <c r="D393" s="1"/>
      <c r="H393" s="1"/>
      <c r="L393" s="1"/>
      <c r="M393" s="1"/>
    </row>
    <row r="394" spans="4:13" x14ac:dyDescent="0.25">
      <c r="D394" s="1"/>
      <c r="H394" s="1"/>
      <c r="L394" s="1"/>
      <c r="M394" s="1"/>
    </row>
    <row r="395" spans="4:13" x14ac:dyDescent="0.25">
      <c r="D395" s="1"/>
      <c r="H395" s="1"/>
      <c r="L395" s="1"/>
      <c r="M395" s="1"/>
    </row>
    <row r="396" spans="4:13" x14ac:dyDescent="0.25">
      <c r="D396" s="1"/>
      <c r="H396" s="1"/>
      <c r="L396" s="1"/>
      <c r="M396" s="1"/>
    </row>
    <row r="397" spans="4:13" x14ac:dyDescent="0.25">
      <c r="D397" s="1"/>
      <c r="H397" s="1"/>
      <c r="L397" s="1"/>
      <c r="M397" s="1"/>
    </row>
    <row r="398" spans="4:13" x14ac:dyDescent="0.25">
      <c r="D398" s="1"/>
      <c r="H398" s="1"/>
      <c r="L398" s="1"/>
      <c r="M398" s="1"/>
    </row>
    <row r="399" spans="4:13" x14ac:dyDescent="0.25">
      <c r="D399" s="1"/>
      <c r="H399" s="1"/>
      <c r="L399" s="1"/>
      <c r="M399" s="1"/>
    </row>
    <row r="400" spans="4:13" x14ac:dyDescent="0.25">
      <c r="D400" s="1"/>
      <c r="H400" s="1"/>
      <c r="L400" s="1"/>
      <c r="M400" s="1"/>
    </row>
    <row r="401" spans="4:13" x14ac:dyDescent="0.25">
      <c r="D401" s="1"/>
      <c r="H401" s="1"/>
      <c r="L401" s="1"/>
      <c r="M401" s="1"/>
    </row>
    <row r="402" spans="4:13" x14ac:dyDescent="0.25">
      <c r="D402" s="1"/>
      <c r="H402" s="1"/>
      <c r="L402" s="1"/>
      <c r="M402" s="1"/>
    </row>
    <row r="403" spans="4:13" x14ac:dyDescent="0.25">
      <c r="D403" s="1"/>
      <c r="H403" s="1"/>
      <c r="L403" s="1"/>
      <c r="M403" s="1"/>
    </row>
    <row r="404" spans="4:13" x14ac:dyDescent="0.25">
      <c r="D404" s="1"/>
      <c r="H404" s="1"/>
      <c r="L404" s="1"/>
      <c r="M404" s="1"/>
    </row>
    <row r="405" spans="4:13" x14ac:dyDescent="0.25">
      <c r="D405" s="1"/>
      <c r="H405" s="1"/>
      <c r="L405" s="1"/>
      <c r="M405" s="1"/>
    </row>
    <row r="406" spans="4:13" x14ac:dyDescent="0.25">
      <c r="D406" s="1"/>
      <c r="H406" s="1"/>
      <c r="L406" s="1"/>
      <c r="M406" s="1"/>
    </row>
    <row r="407" spans="4:13" x14ac:dyDescent="0.25">
      <c r="D407" s="1"/>
      <c r="H407" s="1"/>
      <c r="L407" s="1"/>
      <c r="M407" s="1"/>
    </row>
  </sheetData>
  <phoneticPr fontId="1"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4">
        <x14:dataValidation type="list" allowBlank="1" showErrorMessage="1" xr:uid="{F0DF3AB8-550D-44D1-B78C-E8336B4B7512}">
          <x14:formula1>
            <xm:f>'99_Lookups'!$G$2:$G$4</xm:f>
          </x14:formula1>
          <xm:sqref>L2:L407</xm:sqref>
        </x14:dataValidation>
        <x14:dataValidation type="list" showErrorMessage="1" xr:uid="{174E97D9-B9C1-4C33-B850-E9E52034ADA7}">
          <x14:formula1>
            <xm:f>'99_Lookups'!$I$2:$I$7</xm:f>
          </x14:formula1>
          <xm:sqref>M2:M407</xm:sqref>
        </x14:dataValidation>
        <x14:dataValidation type="list" showErrorMessage="1" xr:uid="{31C10C8B-65EA-4186-93C3-72631515D9D1}">
          <x14:formula1>
            <xm:f>'99_Lookups'!$E$2:$E$5</xm:f>
          </x14:formula1>
          <xm:sqref>H2:H407</xm:sqref>
        </x14:dataValidation>
        <x14:dataValidation type="list" showErrorMessage="1" xr:uid="{B6596F59-00A4-43BA-9FAC-3D025169D61C}">
          <x14:formula1>
            <xm:f>'99_Lookups'!$C$2:$C$11</xm:f>
          </x14:formula1>
          <xm:sqref>D2:D407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E7CFA-497D-4A02-AFA5-EBE095ABECD9}">
  <dimension ref="A1:H19"/>
  <sheetViews>
    <sheetView workbookViewId="0">
      <selection activeCell="C29" sqref="C29"/>
    </sheetView>
  </sheetViews>
  <sheetFormatPr baseColWidth="10" defaultRowHeight="15" x14ac:dyDescent="0.25"/>
  <cols>
    <col min="2" max="2" width="35" customWidth="1"/>
    <col min="3" max="3" width="57" bestFit="1" customWidth="1"/>
    <col min="4" max="4" width="66.42578125" bestFit="1" customWidth="1"/>
    <col min="5" max="5" width="57.42578125" bestFit="1" customWidth="1"/>
    <col min="6" max="6" width="63.7109375" bestFit="1" customWidth="1"/>
    <col min="7" max="7" width="42.42578125" bestFit="1" customWidth="1"/>
    <col min="8" max="8" width="67.5703125" bestFit="1" customWidth="1"/>
  </cols>
  <sheetData>
    <row r="1" spans="1:8" x14ac:dyDescent="0.25">
      <c r="A1" t="s">
        <v>21</v>
      </c>
      <c r="B1" t="s">
        <v>22</v>
      </c>
      <c r="C1" t="s">
        <v>23</v>
      </c>
      <c r="D1" t="s">
        <v>24</v>
      </c>
      <c r="E1" t="s">
        <v>25</v>
      </c>
      <c r="F1" t="s">
        <v>26</v>
      </c>
      <c r="G1" t="s">
        <v>27</v>
      </c>
      <c r="H1" t="s">
        <v>28</v>
      </c>
    </row>
    <row r="2" spans="1:8" x14ac:dyDescent="0.25">
      <c r="A2" t="s">
        <v>53</v>
      </c>
      <c r="B2" t="s">
        <v>54</v>
      </c>
      <c r="C2" t="s">
        <v>55</v>
      </c>
      <c r="D2" t="s">
        <v>56</v>
      </c>
      <c r="E2" t="s">
        <v>57</v>
      </c>
      <c r="F2" t="s">
        <v>58</v>
      </c>
      <c r="G2" t="s">
        <v>59</v>
      </c>
      <c r="H2" t="s">
        <v>60</v>
      </c>
    </row>
    <row r="3" spans="1:8" x14ac:dyDescent="0.25">
      <c r="A3" t="s">
        <v>61</v>
      </c>
      <c r="B3" t="s">
        <v>62</v>
      </c>
      <c r="C3" t="s">
        <v>63</v>
      </c>
      <c r="D3" t="s">
        <v>64</v>
      </c>
      <c r="E3" t="s">
        <v>65</v>
      </c>
      <c r="F3" t="s">
        <v>66</v>
      </c>
      <c r="G3" t="s">
        <v>67</v>
      </c>
      <c r="H3" t="s">
        <v>68</v>
      </c>
    </row>
    <row r="4" spans="1:8" x14ac:dyDescent="0.25">
      <c r="A4" t="s">
        <v>69</v>
      </c>
      <c r="B4" t="s">
        <v>70</v>
      </c>
      <c r="C4" t="s">
        <v>71</v>
      </c>
      <c r="D4" t="s">
        <v>72</v>
      </c>
      <c r="E4" t="s">
        <v>73</v>
      </c>
      <c r="F4" t="s">
        <v>74</v>
      </c>
      <c r="G4" t="s">
        <v>75</v>
      </c>
      <c r="H4" t="s">
        <v>76</v>
      </c>
    </row>
    <row r="5" spans="1:8" x14ac:dyDescent="0.25">
      <c r="A5" t="s">
        <v>77</v>
      </c>
      <c r="B5" t="s">
        <v>78</v>
      </c>
      <c r="C5" t="s">
        <v>79</v>
      </c>
      <c r="D5" t="s">
        <v>80</v>
      </c>
      <c r="E5" t="s">
        <v>81</v>
      </c>
      <c r="F5" t="s">
        <v>82</v>
      </c>
      <c r="G5" t="s">
        <v>83</v>
      </c>
      <c r="H5" t="s">
        <v>84</v>
      </c>
    </row>
    <row r="6" spans="1:8" x14ac:dyDescent="0.25">
      <c r="A6" t="s">
        <v>85</v>
      </c>
      <c r="B6" t="s">
        <v>86</v>
      </c>
      <c r="C6" t="s">
        <v>87</v>
      </c>
      <c r="D6" t="s">
        <v>88</v>
      </c>
      <c r="E6" t="s">
        <v>89</v>
      </c>
      <c r="F6" t="s">
        <v>90</v>
      </c>
      <c r="G6" t="s">
        <v>91</v>
      </c>
      <c r="H6" t="s">
        <v>196</v>
      </c>
    </row>
    <row r="7" spans="1:8" x14ac:dyDescent="0.25">
      <c r="A7" t="s">
        <v>92</v>
      </c>
      <c r="B7" t="s">
        <v>93</v>
      </c>
      <c r="C7" t="s">
        <v>94</v>
      </c>
      <c r="D7" t="s">
        <v>95</v>
      </c>
      <c r="E7" t="s">
        <v>96</v>
      </c>
      <c r="F7" t="s">
        <v>97</v>
      </c>
      <c r="G7" t="s">
        <v>98</v>
      </c>
      <c r="H7" t="s">
        <v>99</v>
      </c>
    </row>
    <row r="8" spans="1:8" x14ac:dyDescent="0.25">
      <c r="A8" t="s">
        <v>100</v>
      </c>
      <c r="B8" t="s">
        <v>101</v>
      </c>
      <c r="C8" t="s">
        <v>102</v>
      </c>
      <c r="D8" t="s">
        <v>103</v>
      </c>
      <c r="E8" t="s">
        <v>104</v>
      </c>
      <c r="F8" t="s">
        <v>105</v>
      </c>
      <c r="G8" t="s">
        <v>106</v>
      </c>
      <c r="H8" t="s">
        <v>107</v>
      </c>
    </row>
    <row r="9" spans="1:8" x14ac:dyDescent="0.25">
      <c r="A9" t="s">
        <v>108</v>
      </c>
      <c r="B9" t="s">
        <v>109</v>
      </c>
      <c r="C9" t="s">
        <v>192</v>
      </c>
      <c r="D9" t="s">
        <v>110</v>
      </c>
      <c r="E9" t="s">
        <v>111</v>
      </c>
      <c r="F9" t="s">
        <v>112</v>
      </c>
      <c r="G9" t="s">
        <v>113</v>
      </c>
      <c r="H9" t="s">
        <v>114</v>
      </c>
    </row>
    <row r="10" spans="1:8" x14ac:dyDescent="0.25">
      <c r="A10" t="s">
        <v>115</v>
      </c>
      <c r="B10" t="s">
        <v>116</v>
      </c>
      <c r="C10" t="s">
        <v>193</v>
      </c>
      <c r="D10" t="s">
        <v>117</v>
      </c>
      <c r="E10" t="s">
        <v>118</v>
      </c>
      <c r="F10" t="s">
        <v>119</v>
      </c>
      <c r="G10" t="s">
        <v>120</v>
      </c>
      <c r="H10" t="s">
        <v>121</v>
      </c>
    </row>
    <row r="11" spans="1:8" x14ac:dyDescent="0.25">
      <c r="A11" t="s">
        <v>122</v>
      </c>
      <c r="B11" t="s">
        <v>123</v>
      </c>
      <c r="C11" t="s">
        <v>194</v>
      </c>
      <c r="D11" t="s">
        <v>124</v>
      </c>
      <c r="E11" t="s">
        <v>125</v>
      </c>
      <c r="F11" t="s">
        <v>126</v>
      </c>
      <c r="G11" t="s">
        <v>127</v>
      </c>
      <c r="H11" t="s">
        <v>128</v>
      </c>
    </row>
    <row r="12" spans="1:8" x14ac:dyDescent="0.25">
      <c r="A12" t="s">
        <v>129</v>
      </c>
      <c r="B12" t="s">
        <v>130</v>
      </c>
      <c r="C12" t="s">
        <v>131</v>
      </c>
      <c r="D12" t="s">
        <v>132</v>
      </c>
      <c r="E12" t="s">
        <v>133</v>
      </c>
      <c r="F12" t="s">
        <v>134</v>
      </c>
      <c r="G12" t="s">
        <v>135</v>
      </c>
      <c r="H12" t="s">
        <v>136</v>
      </c>
    </row>
    <row r="13" spans="1:8" x14ac:dyDescent="0.25">
      <c r="A13" t="s">
        <v>137</v>
      </c>
      <c r="B13" t="s">
        <v>138</v>
      </c>
      <c r="C13" t="s">
        <v>139</v>
      </c>
      <c r="D13" t="s">
        <v>140</v>
      </c>
      <c r="E13" t="s">
        <v>141</v>
      </c>
      <c r="F13" t="s">
        <v>142</v>
      </c>
      <c r="G13" t="s">
        <v>143</v>
      </c>
      <c r="H13" t="s">
        <v>144</v>
      </c>
    </row>
    <row r="14" spans="1:8" x14ac:dyDescent="0.25">
      <c r="A14" t="s">
        <v>145</v>
      </c>
      <c r="B14" t="s">
        <v>146</v>
      </c>
      <c r="C14" t="s">
        <v>147</v>
      </c>
      <c r="D14" t="s">
        <v>148</v>
      </c>
      <c r="E14" t="s">
        <v>149</v>
      </c>
      <c r="F14" t="s">
        <v>150</v>
      </c>
      <c r="G14" t="s">
        <v>151</v>
      </c>
      <c r="H14" t="s">
        <v>152</v>
      </c>
    </row>
    <row r="15" spans="1:8" x14ac:dyDescent="0.25">
      <c r="A15" t="s">
        <v>153</v>
      </c>
      <c r="B15" t="s">
        <v>154</v>
      </c>
      <c r="C15" t="s">
        <v>155</v>
      </c>
      <c r="D15" t="s">
        <v>156</v>
      </c>
      <c r="E15" t="s">
        <v>157</v>
      </c>
      <c r="F15" t="s">
        <v>158</v>
      </c>
      <c r="G15" t="s">
        <v>159</v>
      </c>
      <c r="H15" t="s">
        <v>160</v>
      </c>
    </row>
    <row r="16" spans="1:8" x14ac:dyDescent="0.25">
      <c r="A16" t="s">
        <v>161</v>
      </c>
      <c r="B16" t="s">
        <v>162</v>
      </c>
      <c r="C16" t="s">
        <v>163</v>
      </c>
      <c r="D16" t="s">
        <v>164</v>
      </c>
      <c r="E16" t="s">
        <v>165</v>
      </c>
      <c r="F16" t="s">
        <v>166</v>
      </c>
      <c r="G16" t="s">
        <v>167</v>
      </c>
      <c r="H16" t="s">
        <v>168</v>
      </c>
    </row>
    <row r="17" spans="1:8" x14ac:dyDescent="0.25">
      <c r="A17" t="s">
        <v>169</v>
      </c>
      <c r="B17" t="s">
        <v>170</v>
      </c>
      <c r="C17" t="s">
        <v>195</v>
      </c>
      <c r="D17" t="s">
        <v>171</v>
      </c>
      <c r="E17" t="s">
        <v>172</v>
      </c>
      <c r="F17" t="s">
        <v>173</v>
      </c>
      <c r="G17" t="s">
        <v>174</v>
      </c>
      <c r="H17" t="s">
        <v>175</v>
      </c>
    </row>
    <row r="18" spans="1:8" x14ac:dyDescent="0.25">
      <c r="A18" t="s">
        <v>176</v>
      </c>
      <c r="B18" t="s">
        <v>177</v>
      </c>
      <c r="C18" t="s">
        <v>178</v>
      </c>
      <c r="D18" t="s">
        <v>179</v>
      </c>
      <c r="E18" t="s">
        <v>180</v>
      </c>
      <c r="F18" t="s">
        <v>181</v>
      </c>
      <c r="G18" t="s">
        <v>182</v>
      </c>
      <c r="H18" t="s">
        <v>183</v>
      </c>
    </row>
    <row r="19" spans="1:8" x14ac:dyDescent="0.25">
      <c r="A19" t="s">
        <v>184</v>
      </c>
      <c r="B19" t="s">
        <v>185</v>
      </c>
      <c r="C19" t="s">
        <v>186</v>
      </c>
      <c r="D19" t="s">
        <v>187</v>
      </c>
      <c r="E19" t="s">
        <v>188</v>
      </c>
      <c r="F19" t="s">
        <v>189</v>
      </c>
      <c r="G19" t="s">
        <v>190</v>
      </c>
      <c r="H19" t="s">
        <v>191</v>
      </c>
    </row>
  </sheetData>
  <phoneticPr fontId="1" type="noConversion"/>
  <pageMargins left="0.7" right="0.7" top="0.78740157499999996" bottom="0.78740157499999996"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8110B-DFC0-490E-8BF5-D5903B072EA5}">
  <dimension ref="A1:K572"/>
  <sheetViews>
    <sheetView workbookViewId="0">
      <selection activeCell="J3" sqref="J3"/>
    </sheetView>
  </sheetViews>
  <sheetFormatPr baseColWidth="10" defaultRowHeight="15" x14ac:dyDescent="0.25"/>
  <cols>
    <col min="1" max="1" width="13.85546875" customWidth="1"/>
    <col min="4" max="4" width="16.85546875" customWidth="1"/>
    <col min="5" max="5" width="18" customWidth="1"/>
    <col min="6" max="6" width="21.28515625" customWidth="1"/>
    <col min="7" max="7" width="16.7109375" customWidth="1"/>
    <col min="8" max="8" width="19" customWidth="1"/>
    <col min="9" max="9" width="18.7109375" customWidth="1"/>
    <col min="11" max="11" width="14.5703125" customWidth="1"/>
  </cols>
  <sheetData>
    <row r="1" spans="1:11" x14ac:dyDescent="0.25">
      <c r="A1" t="s">
        <v>0</v>
      </c>
      <c r="B1" t="s">
        <v>8</v>
      </c>
      <c r="C1" t="s">
        <v>21</v>
      </c>
      <c r="D1" t="s">
        <v>29</v>
      </c>
      <c r="E1" t="s">
        <v>30</v>
      </c>
      <c r="F1" t="s">
        <v>31</v>
      </c>
      <c r="G1" t="s">
        <v>32</v>
      </c>
      <c r="H1" t="s">
        <v>33</v>
      </c>
      <c r="I1" t="s">
        <v>34</v>
      </c>
      <c r="J1" t="s">
        <v>35</v>
      </c>
      <c r="K1" t="s">
        <v>36</v>
      </c>
    </row>
    <row r="2" spans="1:11" x14ac:dyDescent="0.25">
      <c r="A2" s="2"/>
      <c r="B2" s="2"/>
      <c r="C2" s="2"/>
      <c r="D2" s="3"/>
      <c r="E2" s="1"/>
      <c r="I2" s="1"/>
      <c r="K2" s="4">
        <f>Tabelle5[[#This Row],[value_present]]*Tabelle5[[#This Row],[binding_level]]</f>
        <v>0</v>
      </c>
    </row>
    <row r="3" spans="1:11" x14ac:dyDescent="0.25">
      <c r="A3" s="2"/>
      <c r="B3" s="2"/>
      <c r="C3" s="2"/>
      <c r="D3" s="3"/>
      <c r="E3" s="1"/>
      <c r="I3" s="1"/>
      <c r="K3" s="4">
        <f>Tabelle5[[#This Row],[value_present]]*Tabelle5[[#This Row],[binding_level]]</f>
        <v>0</v>
      </c>
    </row>
    <row r="4" spans="1:11" x14ac:dyDescent="0.25">
      <c r="A4" s="2"/>
      <c r="B4" s="2"/>
      <c r="C4" s="2"/>
      <c r="D4" s="3"/>
      <c r="E4" s="1"/>
      <c r="I4" s="1"/>
      <c r="K4" s="4">
        <f>Tabelle5[[#This Row],[value_present]]*Tabelle5[[#This Row],[binding_level]]</f>
        <v>0</v>
      </c>
    </row>
    <row r="5" spans="1:11" x14ac:dyDescent="0.25">
      <c r="A5" s="2"/>
      <c r="B5" s="2"/>
      <c r="C5" s="2"/>
      <c r="D5" s="3"/>
      <c r="E5" s="1"/>
      <c r="I5" s="1"/>
      <c r="K5" s="4">
        <f>Tabelle5[[#This Row],[value_present]]*Tabelle5[[#This Row],[binding_level]]</f>
        <v>0</v>
      </c>
    </row>
    <row r="6" spans="1:11" x14ac:dyDescent="0.25">
      <c r="A6" s="2"/>
      <c r="B6" s="2"/>
      <c r="C6" s="2"/>
      <c r="D6" s="3"/>
      <c r="E6" s="1"/>
      <c r="I6" s="1"/>
      <c r="K6" s="4">
        <f>Tabelle5[[#This Row],[value_present]]*Tabelle5[[#This Row],[binding_level]]</f>
        <v>0</v>
      </c>
    </row>
    <row r="7" spans="1:11" x14ac:dyDescent="0.25">
      <c r="A7" s="2"/>
      <c r="B7" s="2"/>
      <c r="C7" s="2"/>
      <c r="D7" s="3"/>
      <c r="E7" s="1"/>
      <c r="I7" s="1"/>
      <c r="K7" s="4">
        <f>Tabelle5[[#This Row],[value_present]]*Tabelle5[[#This Row],[binding_level]]</f>
        <v>0</v>
      </c>
    </row>
    <row r="8" spans="1:11" x14ac:dyDescent="0.25">
      <c r="A8" s="2"/>
      <c r="B8" s="2"/>
      <c r="C8" s="2"/>
      <c r="D8" s="3"/>
      <c r="E8" s="1"/>
      <c r="I8" s="1"/>
      <c r="K8" s="4">
        <f>Tabelle5[[#This Row],[value_present]]*Tabelle5[[#This Row],[binding_level]]</f>
        <v>0</v>
      </c>
    </row>
    <row r="9" spans="1:11" x14ac:dyDescent="0.25">
      <c r="A9" s="2"/>
      <c r="B9" s="2"/>
      <c r="C9" s="2"/>
      <c r="D9" s="3"/>
      <c r="E9" s="1"/>
      <c r="I9" s="1"/>
      <c r="K9" s="4">
        <f>Tabelle5[[#This Row],[value_present]]*Tabelle5[[#This Row],[binding_level]]</f>
        <v>0</v>
      </c>
    </row>
    <row r="10" spans="1:11" x14ac:dyDescent="0.25">
      <c r="A10" s="2"/>
      <c r="B10" s="2"/>
      <c r="C10" s="2"/>
      <c r="D10" s="3"/>
      <c r="E10" s="1"/>
      <c r="I10" s="1"/>
      <c r="K10" s="4">
        <f>Tabelle5[[#This Row],[value_present]]*Tabelle5[[#This Row],[binding_level]]</f>
        <v>0</v>
      </c>
    </row>
    <row r="11" spans="1:11" x14ac:dyDescent="0.25">
      <c r="A11" s="2"/>
      <c r="B11" s="2"/>
      <c r="C11" s="2"/>
      <c r="D11" s="3"/>
      <c r="E11" s="1"/>
      <c r="I11" s="1"/>
      <c r="K11" s="4">
        <f>Tabelle5[[#This Row],[value_present]]*Tabelle5[[#This Row],[binding_level]]</f>
        <v>0</v>
      </c>
    </row>
    <row r="12" spans="1:11" x14ac:dyDescent="0.25">
      <c r="A12" s="2"/>
      <c r="B12" s="2"/>
      <c r="C12" s="2"/>
      <c r="D12" s="3"/>
      <c r="E12" s="1"/>
      <c r="I12" s="1"/>
      <c r="K12" s="4">
        <f>Tabelle5[[#This Row],[value_present]]*Tabelle5[[#This Row],[binding_level]]</f>
        <v>0</v>
      </c>
    </row>
    <row r="13" spans="1:11" x14ac:dyDescent="0.25">
      <c r="A13" s="2"/>
      <c r="B13" s="2"/>
      <c r="C13" s="2"/>
      <c r="D13" s="3"/>
      <c r="E13" s="1"/>
      <c r="I13" s="1"/>
      <c r="K13" s="4">
        <f>Tabelle5[[#This Row],[value_present]]*Tabelle5[[#This Row],[binding_level]]</f>
        <v>0</v>
      </c>
    </row>
    <row r="14" spans="1:11" x14ac:dyDescent="0.25">
      <c r="A14" s="2"/>
      <c r="B14" s="2"/>
      <c r="C14" s="2"/>
      <c r="D14" s="3"/>
      <c r="E14" s="1"/>
      <c r="I14" s="1"/>
      <c r="K14" s="4">
        <f>Tabelle5[[#This Row],[value_present]]*Tabelle5[[#This Row],[binding_level]]</f>
        <v>0</v>
      </c>
    </row>
    <row r="15" spans="1:11" x14ac:dyDescent="0.25">
      <c r="A15" s="2"/>
      <c r="B15" s="2"/>
      <c r="C15" s="2"/>
      <c r="D15" s="3"/>
      <c r="E15" s="1"/>
      <c r="I15" s="1"/>
      <c r="K15" s="4">
        <f>Tabelle5[[#This Row],[value_present]]*Tabelle5[[#This Row],[binding_level]]</f>
        <v>0</v>
      </c>
    </row>
    <row r="16" spans="1:11" x14ac:dyDescent="0.25">
      <c r="A16" s="2"/>
      <c r="B16" s="2"/>
      <c r="C16" s="2"/>
      <c r="D16" s="3"/>
      <c r="E16" s="1"/>
      <c r="I16" s="1"/>
      <c r="K16" s="4">
        <f>Tabelle5[[#This Row],[value_present]]*Tabelle5[[#This Row],[binding_level]]</f>
        <v>0</v>
      </c>
    </row>
    <row r="17" spans="1:11" x14ac:dyDescent="0.25">
      <c r="A17" s="2"/>
      <c r="B17" s="2"/>
      <c r="C17" s="2"/>
      <c r="D17" s="3"/>
      <c r="E17" s="1"/>
      <c r="I17" s="1"/>
      <c r="K17" s="4">
        <f>Tabelle5[[#This Row],[value_present]]*Tabelle5[[#This Row],[binding_level]]</f>
        <v>0</v>
      </c>
    </row>
    <row r="18" spans="1:11" x14ac:dyDescent="0.25">
      <c r="A18" s="2"/>
      <c r="B18" s="2"/>
      <c r="C18" s="2"/>
      <c r="D18" s="3"/>
      <c r="E18" s="1"/>
      <c r="I18" s="1"/>
      <c r="K18" s="4">
        <f>Tabelle5[[#This Row],[value_present]]*Tabelle5[[#This Row],[binding_level]]</f>
        <v>0</v>
      </c>
    </row>
    <row r="19" spans="1:11" x14ac:dyDescent="0.25">
      <c r="A19" s="2"/>
      <c r="B19" s="2"/>
      <c r="C19" s="2"/>
      <c r="D19" s="3"/>
      <c r="E19" s="1"/>
      <c r="I19" s="1"/>
      <c r="K19" s="4">
        <f>Tabelle5[[#This Row],[value_present]]*Tabelle5[[#This Row],[binding_level]]</f>
        <v>0</v>
      </c>
    </row>
    <row r="20" spans="1:11" x14ac:dyDescent="0.25">
      <c r="A20" s="2"/>
      <c r="B20" s="2"/>
      <c r="C20" s="2"/>
      <c r="D20" s="3"/>
      <c r="E20" s="1"/>
      <c r="I20" s="1"/>
      <c r="K20" s="4">
        <f>Tabelle5[[#This Row],[value_present]]*Tabelle5[[#This Row],[binding_level]]</f>
        <v>0</v>
      </c>
    </row>
    <row r="21" spans="1:11" x14ac:dyDescent="0.25">
      <c r="A21" s="2"/>
      <c r="B21" s="2"/>
      <c r="C21" s="2"/>
      <c r="D21" s="3"/>
      <c r="E21" s="1"/>
      <c r="I21" s="1"/>
      <c r="K21" s="4">
        <f>Tabelle5[[#This Row],[value_present]]*Tabelle5[[#This Row],[binding_level]]</f>
        <v>0</v>
      </c>
    </row>
    <row r="22" spans="1:11" x14ac:dyDescent="0.25">
      <c r="A22" s="2"/>
      <c r="B22" s="2"/>
      <c r="C22" s="2"/>
      <c r="D22" s="3"/>
      <c r="E22" s="1"/>
      <c r="I22" s="1"/>
      <c r="K22" s="4">
        <f>Tabelle5[[#This Row],[value_present]]*Tabelle5[[#This Row],[binding_level]]</f>
        <v>0</v>
      </c>
    </row>
    <row r="23" spans="1:11" x14ac:dyDescent="0.25">
      <c r="A23" s="2"/>
      <c r="B23" s="2"/>
      <c r="C23" s="2"/>
      <c r="D23" s="3"/>
      <c r="E23" s="1"/>
      <c r="I23" s="1"/>
      <c r="K23" s="4">
        <f>Tabelle5[[#This Row],[value_present]]*Tabelle5[[#This Row],[binding_level]]</f>
        <v>0</v>
      </c>
    </row>
    <row r="24" spans="1:11" x14ac:dyDescent="0.25">
      <c r="A24" s="2"/>
      <c r="B24" s="2"/>
      <c r="C24" s="2"/>
      <c r="D24" s="3"/>
      <c r="E24" s="1"/>
      <c r="I24" s="1"/>
      <c r="K24" s="4">
        <f>Tabelle5[[#This Row],[value_present]]*Tabelle5[[#This Row],[binding_level]]</f>
        <v>0</v>
      </c>
    </row>
    <row r="25" spans="1:11" x14ac:dyDescent="0.25">
      <c r="A25" s="2"/>
      <c r="B25" s="2"/>
      <c r="C25" s="2"/>
      <c r="D25" s="3"/>
      <c r="E25" s="1"/>
      <c r="I25" s="1"/>
      <c r="K25" s="4">
        <f>Tabelle5[[#This Row],[value_present]]*Tabelle5[[#This Row],[binding_level]]</f>
        <v>0</v>
      </c>
    </row>
    <row r="26" spans="1:11" x14ac:dyDescent="0.25">
      <c r="A26" s="2"/>
      <c r="B26" s="2"/>
      <c r="C26" s="2"/>
      <c r="D26" s="3"/>
      <c r="E26" s="1"/>
      <c r="I26" s="1"/>
      <c r="K26" s="4">
        <f>Tabelle5[[#This Row],[value_present]]*Tabelle5[[#This Row],[binding_level]]</f>
        <v>0</v>
      </c>
    </row>
    <row r="27" spans="1:11" x14ac:dyDescent="0.25">
      <c r="A27" s="2"/>
      <c r="B27" s="2"/>
      <c r="C27" s="2"/>
      <c r="D27" s="3"/>
      <c r="E27" s="1"/>
      <c r="I27" s="1"/>
      <c r="K27" s="4">
        <f>Tabelle5[[#This Row],[value_present]]*Tabelle5[[#This Row],[binding_level]]</f>
        <v>0</v>
      </c>
    </row>
    <row r="28" spans="1:11" x14ac:dyDescent="0.25">
      <c r="A28" s="2"/>
      <c r="B28" s="2"/>
      <c r="C28" s="2"/>
      <c r="D28" s="3"/>
      <c r="E28" s="1"/>
      <c r="I28" s="1"/>
      <c r="K28" s="4">
        <f>Tabelle5[[#This Row],[value_present]]*Tabelle5[[#This Row],[binding_level]]</f>
        <v>0</v>
      </c>
    </row>
    <row r="29" spans="1:11" x14ac:dyDescent="0.25">
      <c r="A29" s="2"/>
      <c r="B29" s="2"/>
      <c r="C29" s="2"/>
      <c r="D29" s="3"/>
      <c r="E29" s="1"/>
      <c r="I29" s="1"/>
      <c r="K29" s="4">
        <f>Tabelle5[[#This Row],[value_present]]*Tabelle5[[#This Row],[binding_level]]</f>
        <v>0</v>
      </c>
    </row>
    <row r="30" spans="1:11" x14ac:dyDescent="0.25">
      <c r="A30" s="2"/>
      <c r="B30" s="2"/>
      <c r="C30" s="2"/>
      <c r="D30" s="3"/>
      <c r="E30" s="1"/>
      <c r="I30" s="1"/>
      <c r="K30" s="4">
        <f>Tabelle5[[#This Row],[value_present]]*Tabelle5[[#This Row],[binding_level]]</f>
        <v>0</v>
      </c>
    </row>
    <row r="31" spans="1:11" x14ac:dyDescent="0.25">
      <c r="A31" s="2"/>
      <c r="B31" s="2"/>
      <c r="C31" s="2"/>
      <c r="D31" s="3"/>
      <c r="E31" s="1"/>
      <c r="I31" s="1"/>
      <c r="K31" s="4">
        <f>Tabelle5[[#This Row],[value_present]]*Tabelle5[[#This Row],[binding_level]]</f>
        <v>0</v>
      </c>
    </row>
    <row r="32" spans="1:11" x14ac:dyDescent="0.25">
      <c r="A32" s="2"/>
      <c r="B32" s="2"/>
      <c r="C32" s="2"/>
      <c r="D32" s="3"/>
      <c r="E32" s="1"/>
      <c r="I32" s="1"/>
      <c r="K32" s="4">
        <f>Tabelle5[[#This Row],[value_present]]*Tabelle5[[#This Row],[binding_level]]</f>
        <v>0</v>
      </c>
    </row>
    <row r="33" spans="1:11" x14ac:dyDescent="0.25">
      <c r="A33" s="2"/>
      <c r="B33" s="2"/>
      <c r="C33" s="2"/>
      <c r="D33" s="3"/>
      <c r="E33" s="1"/>
      <c r="I33" s="1"/>
      <c r="K33" s="4">
        <f>Tabelle5[[#This Row],[value_present]]*Tabelle5[[#This Row],[binding_level]]</f>
        <v>0</v>
      </c>
    </row>
    <row r="34" spans="1:11" x14ac:dyDescent="0.25">
      <c r="A34" s="2"/>
      <c r="B34" s="2"/>
      <c r="C34" s="2"/>
      <c r="D34" s="3"/>
      <c r="E34" s="1"/>
      <c r="I34" s="1"/>
      <c r="K34" s="4">
        <f>Tabelle5[[#This Row],[value_present]]*Tabelle5[[#This Row],[binding_level]]</f>
        <v>0</v>
      </c>
    </row>
    <row r="35" spans="1:11" x14ac:dyDescent="0.25">
      <c r="A35" s="2"/>
      <c r="B35" s="2"/>
      <c r="C35" s="2"/>
      <c r="D35" s="3"/>
      <c r="E35" s="1"/>
      <c r="I35" s="1"/>
      <c r="K35" s="4">
        <f>Tabelle5[[#This Row],[value_present]]*Tabelle5[[#This Row],[binding_level]]</f>
        <v>0</v>
      </c>
    </row>
    <row r="36" spans="1:11" x14ac:dyDescent="0.25">
      <c r="A36" s="2"/>
      <c r="B36" s="2"/>
      <c r="C36" s="2"/>
      <c r="D36" s="3"/>
      <c r="E36" s="1"/>
      <c r="I36" s="1"/>
      <c r="K36" s="4">
        <f>Tabelle5[[#This Row],[value_present]]*Tabelle5[[#This Row],[binding_level]]</f>
        <v>0</v>
      </c>
    </row>
    <row r="37" spans="1:11" x14ac:dyDescent="0.25">
      <c r="A37" s="2"/>
      <c r="B37" s="2"/>
      <c r="C37" s="2"/>
      <c r="D37" s="3"/>
      <c r="E37" s="1"/>
      <c r="I37" s="1"/>
      <c r="K37" s="4">
        <f>Tabelle5[[#This Row],[value_present]]*Tabelle5[[#This Row],[binding_level]]</f>
        <v>0</v>
      </c>
    </row>
    <row r="38" spans="1:11" x14ac:dyDescent="0.25">
      <c r="A38" s="2"/>
      <c r="B38" s="2"/>
      <c r="C38" s="2"/>
      <c r="D38" s="3"/>
      <c r="E38" s="1"/>
      <c r="I38" s="1"/>
      <c r="K38" s="4">
        <f>Tabelle5[[#This Row],[value_present]]*Tabelle5[[#This Row],[binding_level]]</f>
        <v>0</v>
      </c>
    </row>
    <row r="39" spans="1:11" x14ac:dyDescent="0.25">
      <c r="A39" s="2"/>
      <c r="B39" s="2"/>
      <c r="C39" s="2"/>
      <c r="D39" s="3"/>
      <c r="E39" s="1"/>
      <c r="I39" s="1"/>
      <c r="K39" s="4">
        <f>Tabelle5[[#This Row],[value_present]]*Tabelle5[[#This Row],[binding_level]]</f>
        <v>0</v>
      </c>
    </row>
    <row r="40" spans="1:11" x14ac:dyDescent="0.25">
      <c r="A40" s="2"/>
      <c r="B40" s="2"/>
      <c r="C40" s="2"/>
      <c r="D40" s="3"/>
      <c r="E40" s="1"/>
      <c r="I40" s="1"/>
      <c r="K40" s="4">
        <f>Tabelle5[[#This Row],[value_present]]*Tabelle5[[#This Row],[binding_level]]</f>
        <v>0</v>
      </c>
    </row>
    <row r="41" spans="1:11" x14ac:dyDescent="0.25">
      <c r="A41" s="2"/>
      <c r="B41" s="2"/>
      <c r="C41" s="2"/>
      <c r="D41" s="3"/>
      <c r="E41" s="1"/>
      <c r="I41" s="1"/>
      <c r="K41" s="4">
        <f>Tabelle5[[#This Row],[value_present]]*Tabelle5[[#This Row],[binding_level]]</f>
        <v>0</v>
      </c>
    </row>
    <row r="42" spans="1:11" x14ac:dyDescent="0.25">
      <c r="A42" s="2"/>
      <c r="B42" s="2"/>
      <c r="C42" s="2"/>
      <c r="D42" s="3"/>
      <c r="E42" s="1"/>
      <c r="I42" s="1"/>
      <c r="K42" s="4">
        <f>Tabelle5[[#This Row],[value_present]]*Tabelle5[[#This Row],[binding_level]]</f>
        <v>0</v>
      </c>
    </row>
    <row r="43" spans="1:11" x14ac:dyDescent="0.25">
      <c r="A43" s="2"/>
      <c r="B43" s="2"/>
      <c r="C43" s="2"/>
      <c r="D43" s="3"/>
      <c r="E43" s="1"/>
      <c r="I43" s="1"/>
      <c r="K43" s="4">
        <f>Tabelle5[[#This Row],[value_present]]*Tabelle5[[#This Row],[binding_level]]</f>
        <v>0</v>
      </c>
    </row>
    <row r="44" spans="1:11" x14ac:dyDescent="0.25">
      <c r="A44" s="2"/>
      <c r="B44" s="2"/>
      <c r="C44" s="2"/>
      <c r="D44" s="3"/>
      <c r="E44" s="1"/>
      <c r="I44" s="1"/>
      <c r="K44" s="4">
        <f>Tabelle5[[#This Row],[value_present]]*Tabelle5[[#This Row],[binding_level]]</f>
        <v>0</v>
      </c>
    </row>
    <row r="45" spans="1:11" x14ac:dyDescent="0.25">
      <c r="A45" s="2"/>
      <c r="B45" s="2"/>
      <c r="C45" s="2"/>
      <c r="D45" s="3"/>
      <c r="E45" s="1"/>
      <c r="I45" s="1"/>
      <c r="K45" s="4">
        <f>Tabelle5[[#This Row],[value_present]]*Tabelle5[[#This Row],[binding_level]]</f>
        <v>0</v>
      </c>
    </row>
    <row r="46" spans="1:11" x14ac:dyDescent="0.25">
      <c r="A46" s="2"/>
      <c r="B46" s="2"/>
      <c r="C46" s="2"/>
      <c r="D46" s="3"/>
      <c r="E46" s="1"/>
      <c r="I46" s="1"/>
      <c r="K46" s="4">
        <f>Tabelle5[[#This Row],[value_present]]*Tabelle5[[#This Row],[binding_level]]</f>
        <v>0</v>
      </c>
    </row>
    <row r="47" spans="1:11" x14ac:dyDescent="0.25">
      <c r="A47" s="2"/>
      <c r="B47" s="2"/>
      <c r="C47" s="2"/>
      <c r="D47" s="3"/>
      <c r="E47" s="1"/>
      <c r="I47" s="1"/>
      <c r="K47" s="4">
        <f>Tabelle5[[#This Row],[value_present]]*Tabelle5[[#This Row],[binding_level]]</f>
        <v>0</v>
      </c>
    </row>
    <row r="48" spans="1:11" x14ac:dyDescent="0.25">
      <c r="A48" s="2"/>
      <c r="B48" s="2"/>
      <c r="C48" s="2"/>
      <c r="D48" s="3"/>
      <c r="E48" s="1"/>
      <c r="I48" s="1"/>
      <c r="K48" s="4">
        <f>Tabelle5[[#This Row],[value_present]]*Tabelle5[[#This Row],[binding_level]]</f>
        <v>0</v>
      </c>
    </row>
    <row r="49" spans="1:11" x14ac:dyDescent="0.25">
      <c r="A49" s="2"/>
      <c r="B49" s="2"/>
      <c r="C49" s="2"/>
      <c r="D49" s="3"/>
      <c r="E49" s="1"/>
      <c r="I49" s="1"/>
      <c r="K49" s="4">
        <f>Tabelle5[[#This Row],[value_present]]*Tabelle5[[#This Row],[binding_level]]</f>
        <v>0</v>
      </c>
    </row>
    <row r="50" spans="1:11" x14ac:dyDescent="0.25">
      <c r="A50" s="2"/>
      <c r="B50" s="2"/>
      <c r="C50" s="2"/>
      <c r="D50" s="3"/>
      <c r="E50" s="1"/>
      <c r="I50" s="1"/>
      <c r="K50" s="4">
        <f>Tabelle5[[#This Row],[value_present]]*Tabelle5[[#This Row],[binding_level]]</f>
        <v>0</v>
      </c>
    </row>
    <row r="51" spans="1:11" x14ac:dyDescent="0.25">
      <c r="A51" s="2"/>
      <c r="B51" s="2"/>
      <c r="C51" s="2"/>
      <c r="D51" s="3"/>
      <c r="E51" s="1"/>
      <c r="I51" s="1"/>
      <c r="K51" s="4">
        <f>Tabelle5[[#This Row],[value_present]]*Tabelle5[[#This Row],[binding_level]]</f>
        <v>0</v>
      </c>
    </row>
    <row r="52" spans="1:11" x14ac:dyDescent="0.25">
      <c r="A52" s="2"/>
      <c r="B52" s="2"/>
      <c r="C52" s="2"/>
      <c r="D52" s="3"/>
      <c r="E52" s="1"/>
      <c r="I52" s="1"/>
      <c r="K52" s="4">
        <f>Tabelle5[[#This Row],[value_present]]*Tabelle5[[#This Row],[binding_level]]</f>
        <v>0</v>
      </c>
    </row>
    <row r="53" spans="1:11" x14ac:dyDescent="0.25">
      <c r="A53" s="2"/>
      <c r="B53" s="2"/>
      <c r="C53" s="2"/>
      <c r="D53" s="3"/>
      <c r="E53" s="1"/>
      <c r="I53" s="1"/>
      <c r="K53" s="4">
        <f>Tabelle5[[#This Row],[value_present]]*Tabelle5[[#This Row],[binding_level]]</f>
        <v>0</v>
      </c>
    </row>
    <row r="54" spans="1:11" x14ac:dyDescent="0.25">
      <c r="A54" s="2"/>
      <c r="B54" s="2"/>
      <c r="C54" s="2"/>
      <c r="D54" s="3"/>
      <c r="E54" s="1"/>
      <c r="I54" s="1"/>
      <c r="K54" s="4">
        <f>Tabelle5[[#This Row],[value_present]]*Tabelle5[[#This Row],[binding_level]]</f>
        <v>0</v>
      </c>
    </row>
    <row r="55" spans="1:11" x14ac:dyDescent="0.25">
      <c r="A55" s="2"/>
      <c r="B55" s="2"/>
      <c r="C55" s="2"/>
      <c r="D55" s="3"/>
      <c r="E55" s="1"/>
      <c r="I55" s="1"/>
      <c r="K55" s="4">
        <f>Tabelle5[[#This Row],[value_present]]*Tabelle5[[#This Row],[binding_level]]</f>
        <v>0</v>
      </c>
    </row>
    <row r="56" spans="1:11" x14ac:dyDescent="0.25">
      <c r="A56" s="2"/>
      <c r="B56" s="2"/>
      <c r="C56" s="2"/>
      <c r="D56" s="3"/>
      <c r="E56" s="1"/>
      <c r="I56" s="1"/>
      <c r="K56" s="4">
        <f>Tabelle5[[#This Row],[value_present]]*Tabelle5[[#This Row],[binding_level]]</f>
        <v>0</v>
      </c>
    </row>
    <row r="57" spans="1:11" x14ac:dyDescent="0.25">
      <c r="A57" s="2"/>
      <c r="B57" s="2"/>
      <c r="C57" s="2"/>
      <c r="D57" s="3"/>
      <c r="E57" s="1"/>
      <c r="I57" s="1"/>
      <c r="K57" s="4">
        <f>Tabelle5[[#This Row],[value_present]]*Tabelle5[[#This Row],[binding_level]]</f>
        <v>0</v>
      </c>
    </row>
    <row r="58" spans="1:11" x14ac:dyDescent="0.25">
      <c r="A58" s="2"/>
      <c r="B58" s="2"/>
      <c r="C58" s="2"/>
      <c r="D58" s="3"/>
      <c r="E58" s="1"/>
      <c r="I58" s="1"/>
      <c r="K58" s="4">
        <f>Tabelle5[[#This Row],[value_present]]*Tabelle5[[#This Row],[binding_level]]</f>
        <v>0</v>
      </c>
    </row>
    <row r="59" spans="1:11" x14ac:dyDescent="0.25">
      <c r="A59" s="2"/>
      <c r="B59" s="2"/>
      <c r="C59" s="2"/>
      <c r="D59" s="3"/>
      <c r="E59" s="1"/>
      <c r="I59" s="1"/>
      <c r="K59" s="4">
        <f>Tabelle5[[#This Row],[value_present]]*Tabelle5[[#This Row],[binding_level]]</f>
        <v>0</v>
      </c>
    </row>
    <row r="60" spans="1:11" x14ac:dyDescent="0.25">
      <c r="A60" s="2"/>
      <c r="B60" s="2"/>
      <c r="C60" s="2"/>
      <c r="D60" s="3"/>
      <c r="E60" s="1"/>
      <c r="I60" s="1"/>
      <c r="K60" s="4">
        <f>Tabelle5[[#This Row],[value_present]]*Tabelle5[[#This Row],[binding_level]]</f>
        <v>0</v>
      </c>
    </row>
    <row r="61" spans="1:11" x14ac:dyDescent="0.25">
      <c r="A61" s="2"/>
      <c r="B61" s="2"/>
      <c r="C61" s="2"/>
      <c r="D61" s="3"/>
      <c r="E61" s="1"/>
      <c r="I61" s="1"/>
      <c r="K61" s="4">
        <f>Tabelle5[[#This Row],[value_present]]*Tabelle5[[#This Row],[binding_level]]</f>
        <v>0</v>
      </c>
    </row>
    <row r="62" spans="1:11" x14ac:dyDescent="0.25">
      <c r="A62" s="2"/>
      <c r="B62" s="2"/>
      <c r="C62" s="2"/>
      <c r="D62" s="3"/>
      <c r="E62" s="1"/>
      <c r="I62" s="1"/>
      <c r="K62" s="4">
        <f>Tabelle5[[#This Row],[value_present]]*Tabelle5[[#This Row],[binding_level]]</f>
        <v>0</v>
      </c>
    </row>
    <row r="63" spans="1:11" x14ac:dyDescent="0.25">
      <c r="A63" s="2"/>
      <c r="B63" s="2"/>
      <c r="C63" s="2"/>
      <c r="D63" s="3"/>
      <c r="E63" s="1"/>
      <c r="I63" s="1"/>
      <c r="K63" s="4">
        <f>Tabelle5[[#This Row],[value_present]]*Tabelle5[[#This Row],[binding_level]]</f>
        <v>0</v>
      </c>
    </row>
    <row r="64" spans="1:11" x14ac:dyDescent="0.25">
      <c r="A64" s="2"/>
      <c r="B64" s="2"/>
      <c r="C64" s="2"/>
      <c r="D64" s="3"/>
      <c r="E64" s="1"/>
      <c r="I64" s="1"/>
      <c r="K64" s="4">
        <f>Tabelle5[[#This Row],[value_present]]*Tabelle5[[#This Row],[binding_level]]</f>
        <v>0</v>
      </c>
    </row>
    <row r="65" spans="1:11" x14ac:dyDescent="0.25">
      <c r="A65" s="2"/>
      <c r="B65" s="2"/>
      <c r="C65" s="2"/>
      <c r="D65" s="3"/>
      <c r="E65" s="1"/>
      <c r="I65" s="1"/>
      <c r="K65" s="4">
        <f>Tabelle5[[#This Row],[value_present]]*Tabelle5[[#This Row],[binding_level]]</f>
        <v>0</v>
      </c>
    </row>
    <row r="66" spans="1:11" x14ac:dyDescent="0.25">
      <c r="A66" s="2"/>
      <c r="B66" s="2"/>
      <c r="C66" s="2"/>
      <c r="D66" s="3"/>
      <c r="E66" s="1"/>
      <c r="I66" s="1"/>
      <c r="K66" s="4">
        <f>Tabelle5[[#This Row],[value_present]]*Tabelle5[[#This Row],[binding_level]]</f>
        <v>0</v>
      </c>
    </row>
    <row r="67" spans="1:11" x14ac:dyDescent="0.25">
      <c r="A67" s="2"/>
      <c r="B67" s="2"/>
      <c r="C67" s="2"/>
      <c r="D67" s="3"/>
      <c r="E67" s="1"/>
      <c r="I67" s="1"/>
      <c r="K67" s="4">
        <f>Tabelle5[[#This Row],[value_present]]*Tabelle5[[#This Row],[binding_level]]</f>
        <v>0</v>
      </c>
    </row>
    <row r="68" spans="1:11" x14ac:dyDescent="0.25">
      <c r="A68" s="2"/>
      <c r="B68" s="2"/>
      <c r="C68" s="2"/>
      <c r="D68" s="3"/>
      <c r="E68" s="1"/>
      <c r="I68" s="1"/>
      <c r="K68" s="4">
        <f>Tabelle5[[#This Row],[value_present]]*Tabelle5[[#This Row],[binding_level]]</f>
        <v>0</v>
      </c>
    </row>
    <row r="69" spans="1:11" x14ac:dyDescent="0.25">
      <c r="A69" s="2"/>
      <c r="B69" s="2"/>
      <c r="C69" s="2"/>
      <c r="D69" s="3"/>
      <c r="E69" s="1"/>
      <c r="I69" s="1"/>
      <c r="K69" s="4">
        <f>Tabelle5[[#This Row],[value_present]]*Tabelle5[[#This Row],[binding_level]]</f>
        <v>0</v>
      </c>
    </row>
    <row r="70" spans="1:11" x14ac:dyDescent="0.25">
      <c r="A70" s="2"/>
      <c r="B70" s="2"/>
      <c r="C70" s="2"/>
      <c r="D70" s="3"/>
      <c r="E70" s="1"/>
      <c r="I70" s="1"/>
      <c r="K70" s="4">
        <f>Tabelle5[[#This Row],[value_present]]*Tabelle5[[#This Row],[binding_level]]</f>
        <v>0</v>
      </c>
    </row>
    <row r="71" spans="1:11" x14ac:dyDescent="0.25">
      <c r="A71" s="2"/>
      <c r="B71" s="2"/>
      <c r="C71" s="2"/>
      <c r="D71" s="3"/>
      <c r="E71" s="1"/>
      <c r="I71" s="1"/>
      <c r="K71" s="4">
        <f>Tabelle5[[#This Row],[value_present]]*Tabelle5[[#This Row],[binding_level]]</f>
        <v>0</v>
      </c>
    </row>
    <row r="72" spans="1:11" x14ac:dyDescent="0.25">
      <c r="A72" s="2"/>
      <c r="B72" s="2"/>
      <c r="C72" s="2"/>
      <c r="D72" s="3"/>
      <c r="E72" s="1"/>
      <c r="I72" s="1"/>
      <c r="K72" s="4">
        <f>Tabelle5[[#This Row],[value_present]]*Tabelle5[[#This Row],[binding_level]]</f>
        <v>0</v>
      </c>
    </row>
    <row r="73" spans="1:11" x14ac:dyDescent="0.25">
      <c r="A73" s="2"/>
      <c r="B73" s="2"/>
      <c r="C73" s="2"/>
      <c r="D73" s="3"/>
      <c r="E73" s="1"/>
      <c r="I73" s="1"/>
      <c r="K73" s="4">
        <f>Tabelle5[[#This Row],[value_present]]*Tabelle5[[#This Row],[binding_level]]</f>
        <v>0</v>
      </c>
    </row>
    <row r="74" spans="1:11" x14ac:dyDescent="0.25">
      <c r="A74" s="2"/>
      <c r="B74" s="2"/>
      <c r="C74" s="2"/>
      <c r="D74" s="3"/>
      <c r="E74" s="1"/>
      <c r="I74" s="1"/>
      <c r="K74" s="4">
        <f>Tabelle5[[#This Row],[value_present]]*Tabelle5[[#This Row],[binding_level]]</f>
        <v>0</v>
      </c>
    </row>
    <row r="75" spans="1:11" x14ac:dyDescent="0.25">
      <c r="A75" s="2"/>
      <c r="B75" s="2"/>
      <c r="C75" s="2"/>
      <c r="D75" s="3"/>
      <c r="E75" s="1"/>
      <c r="I75" s="1"/>
      <c r="K75" s="4">
        <f>Tabelle5[[#This Row],[value_present]]*Tabelle5[[#This Row],[binding_level]]</f>
        <v>0</v>
      </c>
    </row>
    <row r="76" spans="1:11" x14ac:dyDescent="0.25">
      <c r="A76" s="2"/>
      <c r="B76" s="2"/>
      <c r="C76" s="2"/>
      <c r="D76" s="3"/>
      <c r="E76" s="1"/>
      <c r="I76" s="1"/>
      <c r="K76" s="4">
        <f>Tabelle5[[#This Row],[value_present]]*Tabelle5[[#This Row],[binding_level]]</f>
        <v>0</v>
      </c>
    </row>
    <row r="77" spans="1:11" x14ac:dyDescent="0.25">
      <c r="A77" s="2"/>
      <c r="B77" s="2"/>
      <c r="C77" s="2"/>
      <c r="D77" s="3"/>
      <c r="E77" s="1"/>
      <c r="I77" s="1"/>
      <c r="K77" s="4">
        <f>Tabelle5[[#This Row],[value_present]]*Tabelle5[[#This Row],[binding_level]]</f>
        <v>0</v>
      </c>
    </row>
    <row r="78" spans="1:11" x14ac:dyDescent="0.25">
      <c r="A78" s="2"/>
      <c r="B78" s="2"/>
      <c r="C78" s="2"/>
      <c r="D78" s="3"/>
      <c r="E78" s="1"/>
      <c r="I78" s="1"/>
      <c r="K78" s="4">
        <f>Tabelle5[[#This Row],[value_present]]*Tabelle5[[#This Row],[binding_level]]</f>
        <v>0</v>
      </c>
    </row>
    <row r="79" spans="1:11" x14ac:dyDescent="0.25">
      <c r="A79" s="2"/>
      <c r="B79" s="2"/>
      <c r="C79" s="2"/>
      <c r="D79" s="3"/>
      <c r="E79" s="1"/>
      <c r="I79" s="1"/>
      <c r="K79" s="4">
        <f>Tabelle5[[#This Row],[value_present]]*Tabelle5[[#This Row],[binding_level]]</f>
        <v>0</v>
      </c>
    </row>
    <row r="80" spans="1:11" x14ac:dyDescent="0.25">
      <c r="A80" s="2"/>
      <c r="B80" s="2"/>
      <c r="C80" s="2"/>
      <c r="D80" s="3"/>
      <c r="E80" s="1"/>
      <c r="I80" s="1"/>
      <c r="K80" s="4">
        <f>Tabelle5[[#This Row],[value_present]]*Tabelle5[[#This Row],[binding_level]]</f>
        <v>0</v>
      </c>
    </row>
    <row r="81" spans="1:11" x14ac:dyDescent="0.25">
      <c r="A81" s="2"/>
      <c r="B81" s="2"/>
      <c r="C81" s="2"/>
      <c r="D81" s="3"/>
      <c r="E81" s="1"/>
      <c r="I81" s="1"/>
      <c r="K81" s="4">
        <f>Tabelle5[[#This Row],[value_present]]*Tabelle5[[#This Row],[binding_level]]</f>
        <v>0</v>
      </c>
    </row>
    <row r="82" spans="1:11" x14ac:dyDescent="0.25">
      <c r="A82" s="2"/>
      <c r="B82" s="2"/>
      <c r="C82" s="2"/>
      <c r="D82" s="3"/>
      <c r="E82" s="1"/>
      <c r="I82" s="1"/>
      <c r="K82" s="4">
        <f>Tabelle5[[#This Row],[value_present]]*Tabelle5[[#This Row],[binding_level]]</f>
        <v>0</v>
      </c>
    </row>
    <row r="83" spans="1:11" x14ac:dyDescent="0.25">
      <c r="A83" s="2"/>
      <c r="B83" s="2"/>
      <c r="C83" s="2"/>
      <c r="D83" s="3"/>
      <c r="E83" s="1"/>
      <c r="I83" s="1"/>
      <c r="K83" s="4">
        <f>Tabelle5[[#This Row],[value_present]]*Tabelle5[[#This Row],[binding_level]]</f>
        <v>0</v>
      </c>
    </row>
    <row r="84" spans="1:11" x14ac:dyDescent="0.25">
      <c r="A84" s="2"/>
      <c r="B84" s="2"/>
      <c r="C84" s="2"/>
      <c r="D84" s="3"/>
      <c r="E84" s="1"/>
      <c r="I84" s="1"/>
      <c r="K84" s="4">
        <f>Tabelle5[[#This Row],[value_present]]*Tabelle5[[#This Row],[binding_level]]</f>
        <v>0</v>
      </c>
    </row>
    <row r="85" spans="1:11" x14ac:dyDescent="0.25">
      <c r="A85" s="2"/>
      <c r="B85" s="2"/>
      <c r="C85" s="2"/>
      <c r="D85" s="3"/>
      <c r="E85" s="1"/>
      <c r="I85" s="1"/>
      <c r="K85" s="4">
        <f>Tabelle5[[#This Row],[value_present]]*Tabelle5[[#This Row],[binding_level]]</f>
        <v>0</v>
      </c>
    </row>
    <row r="86" spans="1:11" x14ac:dyDescent="0.25">
      <c r="A86" s="2"/>
      <c r="B86" s="2"/>
      <c r="C86" s="2"/>
      <c r="D86" s="3"/>
      <c r="E86" s="1"/>
      <c r="I86" s="1"/>
      <c r="K86" s="4">
        <f>Tabelle5[[#This Row],[value_present]]*Tabelle5[[#This Row],[binding_level]]</f>
        <v>0</v>
      </c>
    </row>
    <row r="87" spans="1:11" x14ac:dyDescent="0.25">
      <c r="A87" s="2"/>
      <c r="B87" s="2"/>
      <c r="C87" s="2"/>
      <c r="D87" s="3"/>
      <c r="E87" s="1"/>
      <c r="I87" s="1"/>
      <c r="K87" s="4">
        <f>Tabelle5[[#This Row],[value_present]]*Tabelle5[[#This Row],[binding_level]]</f>
        <v>0</v>
      </c>
    </row>
    <row r="88" spans="1:11" x14ac:dyDescent="0.25">
      <c r="A88" s="2"/>
      <c r="B88" s="2"/>
      <c r="C88" s="2"/>
      <c r="D88" s="3"/>
      <c r="E88" s="1"/>
      <c r="I88" s="1"/>
      <c r="K88" s="4">
        <f>Tabelle5[[#This Row],[value_present]]*Tabelle5[[#This Row],[binding_level]]</f>
        <v>0</v>
      </c>
    </row>
    <row r="89" spans="1:11" x14ac:dyDescent="0.25">
      <c r="A89" s="2"/>
      <c r="B89" s="2"/>
      <c r="C89" s="2"/>
      <c r="D89" s="3"/>
      <c r="E89" s="1"/>
      <c r="I89" s="1"/>
      <c r="K89" s="4">
        <f>Tabelle5[[#This Row],[value_present]]*Tabelle5[[#This Row],[binding_level]]</f>
        <v>0</v>
      </c>
    </row>
    <row r="90" spans="1:11" x14ac:dyDescent="0.25">
      <c r="A90" s="2"/>
      <c r="B90" s="2"/>
      <c r="C90" s="2"/>
      <c r="D90" s="3"/>
      <c r="E90" s="1"/>
      <c r="I90" s="1"/>
      <c r="K90" s="4">
        <f>Tabelle5[[#This Row],[value_present]]*Tabelle5[[#This Row],[binding_level]]</f>
        <v>0</v>
      </c>
    </row>
    <row r="91" spans="1:11" x14ac:dyDescent="0.25">
      <c r="A91" s="2"/>
      <c r="B91" s="2"/>
      <c r="C91" s="2"/>
      <c r="D91" s="3"/>
      <c r="E91" s="1"/>
      <c r="I91" s="1"/>
      <c r="K91" s="4">
        <f>Tabelle5[[#This Row],[value_present]]*Tabelle5[[#This Row],[binding_level]]</f>
        <v>0</v>
      </c>
    </row>
    <row r="92" spans="1:11" x14ac:dyDescent="0.25">
      <c r="A92" s="2"/>
      <c r="B92" s="2"/>
      <c r="C92" s="2"/>
      <c r="D92" s="3"/>
      <c r="E92" s="1"/>
      <c r="I92" s="1"/>
      <c r="K92" s="4">
        <f>Tabelle5[[#This Row],[value_present]]*Tabelle5[[#This Row],[binding_level]]</f>
        <v>0</v>
      </c>
    </row>
    <row r="93" spans="1:11" x14ac:dyDescent="0.25">
      <c r="A93" s="2"/>
      <c r="B93" s="2"/>
      <c r="C93" s="2"/>
      <c r="D93" s="3"/>
      <c r="E93" s="1"/>
      <c r="I93" s="1"/>
      <c r="K93" s="4">
        <f>Tabelle5[[#This Row],[value_present]]*Tabelle5[[#This Row],[binding_level]]</f>
        <v>0</v>
      </c>
    </row>
    <row r="94" spans="1:11" x14ac:dyDescent="0.25">
      <c r="A94" s="2"/>
      <c r="B94" s="2"/>
      <c r="C94" s="2"/>
      <c r="D94" s="3"/>
      <c r="E94" s="1"/>
      <c r="I94" s="1"/>
      <c r="K94" s="4">
        <f>Tabelle5[[#This Row],[value_present]]*Tabelle5[[#This Row],[binding_level]]</f>
        <v>0</v>
      </c>
    </row>
    <row r="95" spans="1:11" x14ac:dyDescent="0.25">
      <c r="A95" s="2"/>
      <c r="B95" s="2"/>
      <c r="C95" s="2"/>
      <c r="D95" s="3"/>
      <c r="E95" s="1"/>
      <c r="I95" s="1"/>
      <c r="K95" s="4">
        <f>Tabelle5[[#This Row],[value_present]]*Tabelle5[[#This Row],[binding_level]]</f>
        <v>0</v>
      </c>
    </row>
    <row r="96" spans="1:11" x14ac:dyDescent="0.25">
      <c r="A96" s="2"/>
      <c r="B96" s="2"/>
      <c r="C96" s="2"/>
      <c r="D96" s="3"/>
      <c r="E96" s="1"/>
      <c r="I96" s="1"/>
      <c r="K96" s="4">
        <f>Tabelle5[[#This Row],[value_present]]*Tabelle5[[#This Row],[binding_level]]</f>
        <v>0</v>
      </c>
    </row>
    <row r="97" spans="1:11" x14ac:dyDescent="0.25">
      <c r="A97" s="2"/>
      <c r="B97" s="2"/>
      <c r="C97" s="2"/>
      <c r="D97" s="3"/>
      <c r="E97" s="1"/>
      <c r="I97" s="1"/>
      <c r="K97" s="4">
        <f>Tabelle5[[#This Row],[value_present]]*Tabelle5[[#This Row],[binding_level]]</f>
        <v>0</v>
      </c>
    </row>
    <row r="98" spans="1:11" x14ac:dyDescent="0.25">
      <c r="A98" s="2"/>
      <c r="B98" s="2"/>
      <c r="C98" s="2"/>
      <c r="D98" s="3"/>
      <c r="E98" s="1"/>
      <c r="I98" s="1"/>
      <c r="K98" s="4">
        <f>Tabelle5[[#This Row],[value_present]]*Tabelle5[[#This Row],[binding_level]]</f>
        <v>0</v>
      </c>
    </row>
    <row r="99" spans="1:11" x14ac:dyDescent="0.25">
      <c r="A99" s="2"/>
      <c r="B99" s="2"/>
      <c r="C99" s="2"/>
      <c r="D99" s="3"/>
      <c r="E99" s="1"/>
      <c r="I99" s="1"/>
      <c r="K99" s="4">
        <f>Tabelle5[[#This Row],[value_present]]*Tabelle5[[#This Row],[binding_level]]</f>
        <v>0</v>
      </c>
    </row>
    <row r="100" spans="1:11" x14ac:dyDescent="0.25">
      <c r="A100" s="2"/>
      <c r="B100" s="2"/>
      <c r="C100" s="2"/>
      <c r="D100" s="3"/>
      <c r="E100" s="1"/>
      <c r="I100" s="1"/>
      <c r="K100" s="4">
        <f>Tabelle5[[#This Row],[value_present]]*Tabelle5[[#This Row],[binding_level]]</f>
        <v>0</v>
      </c>
    </row>
    <row r="101" spans="1:11" x14ac:dyDescent="0.25">
      <c r="A101" s="2"/>
      <c r="B101" s="2"/>
      <c r="C101" s="2"/>
      <c r="D101" s="3"/>
      <c r="E101" s="1"/>
      <c r="I101" s="1"/>
      <c r="K101" s="4">
        <f>Tabelle5[[#This Row],[value_present]]*Tabelle5[[#This Row],[binding_level]]</f>
        <v>0</v>
      </c>
    </row>
    <row r="102" spans="1:11" x14ac:dyDescent="0.25">
      <c r="A102" s="2"/>
      <c r="B102" s="2"/>
      <c r="C102" s="2"/>
      <c r="D102" s="3"/>
      <c r="E102" s="1"/>
      <c r="I102" s="1"/>
      <c r="K102" s="4">
        <f>Tabelle5[[#This Row],[value_present]]*Tabelle5[[#This Row],[binding_level]]</f>
        <v>0</v>
      </c>
    </row>
    <row r="103" spans="1:11" x14ac:dyDescent="0.25">
      <c r="A103" s="2"/>
      <c r="B103" s="2"/>
      <c r="C103" s="2"/>
      <c r="D103" s="3"/>
      <c r="E103" s="1"/>
      <c r="I103" s="1"/>
      <c r="K103" s="4">
        <f>Tabelle5[[#This Row],[value_present]]*Tabelle5[[#This Row],[binding_level]]</f>
        <v>0</v>
      </c>
    </row>
    <row r="104" spans="1:11" x14ac:dyDescent="0.25">
      <c r="A104" s="2"/>
      <c r="B104" s="2"/>
      <c r="C104" s="2"/>
      <c r="D104" s="3"/>
      <c r="E104" s="1"/>
      <c r="I104" s="1"/>
      <c r="K104" s="4">
        <f>Tabelle5[[#This Row],[value_present]]*Tabelle5[[#This Row],[binding_level]]</f>
        <v>0</v>
      </c>
    </row>
    <row r="105" spans="1:11" x14ac:dyDescent="0.25">
      <c r="A105" s="2"/>
      <c r="B105" s="2"/>
      <c r="C105" s="2"/>
      <c r="D105" s="3"/>
      <c r="E105" s="1"/>
      <c r="I105" s="1"/>
      <c r="K105" s="4">
        <f>Tabelle5[[#This Row],[value_present]]*Tabelle5[[#This Row],[binding_level]]</f>
        <v>0</v>
      </c>
    </row>
    <row r="106" spans="1:11" x14ac:dyDescent="0.25">
      <c r="A106" s="2"/>
      <c r="B106" s="2"/>
      <c r="C106" s="2"/>
      <c r="D106" s="3"/>
      <c r="E106" s="1"/>
      <c r="I106" s="1"/>
      <c r="K106" s="4">
        <f>Tabelle5[[#This Row],[value_present]]*Tabelle5[[#This Row],[binding_level]]</f>
        <v>0</v>
      </c>
    </row>
    <row r="107" spans="1:11" x14ac:dyDescent="0.25">
      <c r="A107" s="2"/>
      <c r="B107" s="2"/>
      <c r="C107" s="2"/>
      <c r="D107" s="3"/>
      <c r="E107" s="1"/>
      <c r="I107" s="1"/>
      <c r="K107" s="4">
        <f>Tabelle5[[#This Row],[value_present]]*Tabelle5[[#This Row],[binding_level]]</f>
        <v>0</v>
      </c>
    </row>
    <row r="108" spans="1:11" x14ac:dyDescent="0.25">
      <c r="A108" s="2"/>
      <c r="B108" s="2"/>
      <c r="C108" s="2"/>
      <c r="D108" s="3"/>
      <c r="E108" s="1"/>
      <c r="I108" s="1"/>
      <c r="K108" s="4">
        <f>Tabelle5[[#This Row],[value_present]]*Tabelle5[[#This Row],[binding_level]]</f>
        <v>0</v>
      </c>
    </row>
    <row r="109" spans="1:11" x14ac:dyDescent="0.25">
      <c r="A109" s="2"/>
      <c r="B109" s="2"/>
      <c r="C109" s="2"/>
      <c r="D109" s="3"/>
      <c r="E109" s="1"/>
      <c r="I109" s="1"/>
      <c r="K109" s="4">
        <f>Tabelle5[[#This Row],[value_present]]*Tabelle5[[#This Row],[binding_level]]</f>
        <v>0</v>
      </c>
    </row>
    <row r="110" spans="1:11" x14ac:dyDescent="0.25">
      <c r="A110" s="2"/>
      <c r="B110" s="2"/>
      <c r="C110" s="2"/>
      <c r="D110" s="3"/>
      <c r="E110" s="1"/>
      <c r="I110" s="1"/>
      <c r="K110" s="4">
        <f>Tabelle5[[#This Row],[value_present]]*Tabelle5[[#This Row],[binding_level]]</f>
        <v>0</v>
      </c>
    </row>
    <row r="111" spans="1:11" x14ac:dyDescent="0.25">
      <c r="A111" s="2"/>
      <c r="B111" s="2"/>
      <c r="C111" s="2"/>
      <c r="D111" s="3"/>
      <c r="E111" s="1"/>
      <c r="I111" s="1"/>
      <c r="K111" s="4">
        <f>Tabelle5[[#This Row],[value_present]]*Tabelle5[[#This Row],[binding_level]]</f>
        <v>0</v>
      </c>
    </row>
    <row r="112" spans="1:11" x14ac:dyDescent="0.25">
      <c r="A112" s="2"/>
      <c r="B112" s="2"/>
      <c r="C112" s="2"/>
      <c r="D112" s="3"/>
      <c r="E112" s="1"/>
      <c r="I112" s="1"/>
      <c r="K112" s="4">
        <f>Tabelle5[[#This Row],[value_present]]*Tabelle5[[#This Row],[binding_level]]</f>
        <v>0</v>
      </c>
    </row>
    <row r="113" spans="1:11" x14ac:dyDescent="0.25">
      <c r="A113" s="2"/>
      <c r="B113" s="2"/>
      <c r="C113" s="2"/>
      <c r="D113" s="3"/>
      <c r="E113" s="1"/>
      <c r="I113" s="1"/>
      <c r="K113" s="4">
        <f>Tabelle5[[#This Row],[value_present]]*Tabelle5[[#This Row],[binding_level]]</f>
        <v>0</v>
      </c>
    </row>
    <row r="114" spans="1:11" x14ac:dyDescent="0.25">
      <c r="A114" s="2"/>
      <c r="B114" s="2"/>
      <c r="C114" s="2"/>
      <c r="D114" s="3"/>
      <c r="E114" s="1"/>
      <c r="I114" s="1"/>
      <c r="K114" s="4">
        <f>Tabelle5[[#This Row],[value_present]]*Tabelle5[[#This Row],[binding_level]]</f>
        <v>0</v>
      </c>
    </row>
    <row r="115" spans="1:11" x14ac:dyDescent="0.25">
      <c r="A115" s="2"/>
      <c r="B115" s="2"/>
      <c r="C115" s="2"/>
      <c r="D115" s="3"/>
      <c r="E115" s="1"/>
      <c r="I115" s="1"/>
      <c r="K115" s="4">
        <f>Tabelle5[[#This Row],[value_present]]*Tabelle5[[#This Row],[binding_level]]</f>
        <v>0</v>
      </c>
    </row>
    <row r="116" spans="1:11" x14ac:dyDescent="0.25">
      <c r="A116" s="2"/>
      <c r="B116" s="2"/>
      <c r="C116" s="2"/>
      <c r="D116" s="3"/>
      <c r="E116" s="1"/>
      <c r="I116" s="1"/>
      <c r="K116" s="4">
        <f>Tabelle5[[#This Row],[value_present]]*Tabelle5[[#This Row],[binding_level]]</f>
        <v>0</v>
      </c>
    </row>
    <row r="117" spans="1:11" x14ac:dyDescent="0.25">
      <c r="A117" s="2"/>
      <c r="B117" s="2"/>
      <c r="C117" s="2"/>
      <c r="D117" s="3"/>
      <c r="E117" s="1"/>
      <c r="I117" s="1"/>
      <c r="K117" s="4">
        <f>Tabelle5[[#This Row],[value_present]]*Tabelle5[[#This Row],[binding_level]]</f>
        <v>0</v>
      </c>
    </row>
    <row r="118" spans="1:11" x14ac:dyDescent="0.25">
      <c r="A118" s="2"/>
      <c r="B118" s="2"/>
      <c r="C118" s="2"/>
      <c r="D118" s="3"/>
      <c r="E118" s="1"/>
      <c r="I118" s="1"/>
      <c r="K118" s="4">
        <f>Tabelle5[[#This Row],[value_present]]*Tabelle5[[#This Row],[binding_level]]</f>
        <v>0</v>
      </c>
    </row>
    <row r="119" spans="1:11" x14ac:dyDescent="0.25">
      <c r="A119" s="2"/>
      <c r="B119" s="2"/>
      <c r="C119" s="2"/>
      <c r="D119" s="3"/>
      <c r="E119" s="1"/>
      <c r="I119" s="1"/>
      <c r="K119" s="4">
        <f>Tabelle5[[#This Row],[value_present]]*Tabelle5[[#This Row],[binding_level]]</f>
        <v>0</v>
      </c>
    </row>
    <row r="120" spans="1:11" x14ac:dyDescent="0.25">
      <c r="A120" s="2"/>
      <c r="B120" s="2"/>
      <c r="C120" s="2"/>
      <c r="D120" s="3"/>
      <c r="E120" s="1"/>
      <c r="I120" s="1"/>
      <c r="K120" s="4">
        <f>Tabelle5[[#This Row],[value_present]]*Tabelle5[[#This Row],[binding_level]]</f>
        <v>0</v>
      </c>
    </row>
    <row r="121" spans="1:11" x14ac:dyDescent="0.25">
      <c r="A121" s="2"/>
      <c r="B121" s="2"/>
      <c r="C121" s="2"/>
      <c r="D121" s="3"/>
      <c r="E121" s="1"/>
      <c r="I121" s="1"/>
      <c r="K121" s="4">
        <f>Tabelle5[[#This Row],[value_present]]*Tabelle5[[#This Row],[binding_level]]</f>
        <v>0</v>
      </c>
    </row>
    <row r="122" spans="1:11" x14ac:dyDescent="0.25">
      <c r="A122" s="2"/>
      <c r="B122" s="2"/>
      <c r="C122" s="2"/>
      <c r="D122" s="3"/>
      <c r="E122" s="1"/>
      <c r="I122" s="1"/>
      <c r="K122" s="4">
        <f>Tabelle5[[#This Row],[value_present]]*Tabelle5[[#This Row],[binding_level]]</f>
        <v>0</v>
      </c>
    </row>
    <row r="123" spans="1:11" x14ac:dyDescent="0.25">
      <c r="A123" s="2"/>
      <c r="B123" s="2"/>
      <c r="C123" s="2"/>
      <c r="D123" s="3"/>
      <c r="E123" s="1"/>
      <c r="I123" s="1"/>
      <c r="K123" s="4">
        <f>Tabelle5[[#This Row],[value_present]]*Tabelle5[[#This Row],[binding_level]]</f>
        <v>0</v>
      </c>
    </row>
    <row r="124" spans="1:11" x14ac:dyDescent="0.25">
      <c r="A124" s="2"/>
      <c r="B124" s="2"/>
      <c r="C124" s="2"/>
      <c r="D124" s="3"/>
      <c r="E124" s="1"/>
      <c r="I124" s="1"/>
      <c r="K124" s="4">
        <f>Tabelle5[[#This Row],[value_present]]*Tabelle5[[#This Row],[binding_level]]</f>
        <v>0</v>
      </c>
    </row>
    <row r="125" spans="1:11" x14ac:dyDescent="0.25">
      <c r="A125" s="2"/>
      <c r="B125" s="2"/>
      <c r="C125" s="2"/>
      <c r="D125" s="3"/>
      <c r="E125" s="1"/>
      <c r="I125" s="1"/>
      <c r="K125" s="4">
        <f>Tabelle5[[#This Row],[value_present]]*Tabelle5[[#This Row],[binding_level]]</f>
        <v>0</v>
      </c>
    </row>
    <row r="126" spans="1:11" x14ac:dyDescent="0.25">
      <c r="A126" s="2"/>
      <c r="B126" s="2"/>
      <c r="C126" s="2"/>
      <c r="D126" s="3"/>
      <c r="E126" s="1"/>
      <c r="I126" s="1"/>
      <c r="K126" s="4">
        <f>Tabelle5[[#This Row],[value_present]]*Tabelle5[[#This Row],[binding_level]]</f>
        <v>0</v>
      </c>
    </row>
    <row r="127" spans="1:11" x14ac:dyDescent="0.25">
      <c r="A127" s="2"/>
      <c r="B127" s="2"/>
      <c r="C127" s="2"/>
      <c r="D127" s="3"/>
      <c r="E127" s="1"/>
      <c r="I127" s="1"/>
      <c r="K127" s="4">
        <f>Tabelle5[[#This Row],[value_present]]*Tabelle5[[#This Row],[binding_level]]</f>
        <v>0</v>
      </c>
    </row>
    <row r="128" spans="1:11" x14ac:dyDescent="0.25">
      <c r="A128" s="2"/>
      <c r="B128" s="2"/>
      <c r="C128" s="2"/>
      <c r="D128" s="3"/>
      <c r="E128" s="1"/>
      <c r="I128" s="1"/>
      <c r="K128" s="4">
        <f>Tabelle5[[#This Row],[value_present]]*Tabelle5[[#This Row],[binding_level]]</f>
        <v>0</v>
      </c>
    </row>
    <row r="129" spans="1:11" x14ac:dyDescent="0.25">
      <c r="A129" s="2"/>
      <c r="B129" s="2"/>
      <c r="C129" s="2"/>
      <c r="D129" s="3"/>
      <c r="E129" s="1"/>
      <c r="I129" s="1"/>
      <c r="K129" s="4">
        <f>Tabelle5[[#This Row],[value_present]]*Tabelle5[[#This Row],[binding_level]]</f>
        <v>0</v>
      </c>
    </row>
    <row r="130" spans="1:11" x14ac:dyDescent="0.25">
      <c r="A130" s="2"/>
      <c r="B130" s="2"/>
      <c r="C130" s="2"/>
      <c r="D130" s="3"/>
      <c r="E130" s="1"/>
      <c r="I130" s="1"/>
      <c r="K130" s="4">
        <f>Tabelle5[[#This Row],[value_present]]*Tabelle5[[#This Row],[binding_level]]</f>
        <v>0</v>
      </c>
    </row>
    <row r="131" spans="1:11" x14ac:dyDescent="0.25">
      <c r="A131" s="2"/>
      <c r="B131" s="2"/>
      <c r="C131" s="2"/>
      <c r="D131" s="3"/>
      <c r="E131" s="1"/>
      <c r="I131" s="1"/>
      <c r="K131" s="4">
        <f>Tabelle5[[#This Row],[value_present]]*Tabelle5[[#This Row],[binding_level]]</f>
        <v>0</v>
      </c>
    </row>
    <row r="132" spans="1:11" x14ac:dyDescent="0.25">
      <c r="A132" s="2"/>
      <c r="B132" s="2"/>
      <c r="C132" s="2"/>
      <c r="D132" s="3"/>
      <c r="E132" s="1"/>
      <c r="I132" s="1"/>
      <c r="K132" s="4">
        <f>Tabelle5[[#This Row],[value_present]]*Tabelle5[[#This Row],[binding_level]]</f>
        <v>0</v>
      </c>
    </row>
    <row r="133" spans="1:11" x14ac:dyDescent="0.25">
      <c r="A133" s="2"/>
      <c r="B133" s="2"/>
      <c r="C133" s="2"/>
      <c r="D133" s="3"/>
      <c r="E133" s="1"/>
      <c r="I133" s="1"/>
      <c r="K133" s="4">
        <f>Tabelle5[[#This Row],[value_present]]*Tabelle5[[#This Row],[binding_level]]</f>
        <v>0</v>
      </c>
    </row>
    <row r="134" spans="1:11" x14ac:dyDescent="0.25">
      <c r="A134" s="2"/>
      <c r="B134" s="2"/>
      <c r="C134" s="2"/>
      <c r="D134" s="3"/>
      <c r="E134" s="1"/>
      <c r="I134" s="1"/>
      <c r="K134" s="4">
        <f>Tabelle5[[#This Row],[value_present]]*Tabelle5[[#This Row],[binding_level]]</f>
        <v>0</v>
      </c>
    </row>
    <row r="135" spans="1:11" x14ac:dyDescent="0.25">
      <c r="A135" s="2"/>
      <c r="B135" s="2"/>
      <c r="C135" s="2"/>
      <c r="D135" s="3"/>
      <c r="E135" s="1"/>
      <c r="I135" s="1"/>
      <c r="K135" s="4">
        <f>Tabelle5[[#This Row],[value_present]]*Tabelle5[[#This Row],[binding_level]]</f>
        <v>0</v>
      </c>
    </row>
    <row r="136" spans="1:11" x14ac:dyDescent="0.25">
      <c r="A136" s="2"/>
      <c r="B136" s="2"/>
      <c r="C136" s="2"/>
      <c r="D136" s="3"/>
      <c r="E136" s="1"/>
      <c r="I136" s="1"/>
      <c r="K136" s="4">
        <f>Tabelle5[[#This Row],[value_present]]*Tabelle5[[#This Row],[binding_level]]</f>
        <v>0</v>
      </c>
    </row>
    <row r="137" spans="1:11" x14ac:dyDescent="0.25">
      <c r="A137" s="2"/>
      <c r="B137" s="2"/>
      <c r="C137" s="2"/>
      <c r="D137" s="3"/>
      <c r="E137" s="1"/>
      <c r="I137" s="1"/>
      <c r="K137" s="4">
        <f>Tabelle5[[#This Row],[value_present]]*Tabelle5[[#This Row],[binding_level]]</f>
        <v>0</v>
      </c>
    </row>
    <row r="138" spans="1:11" x14ac:dyDescent="0.25">
      <c r="A138" s="2"/>
      <c r="B138" s="2"/>
      <c r="C138" s="2"/>
      <c r="D138" s="3"/>
      <c r="E138" s="1"/>
      <c r="I138" s="1"/>
      <c r="K138" s="4">
        <f>Tabelle5[[#This Row],[value_present]]*Tabelle5[[#This Row],[binding_level]]</f>
        <v>0</v>
      </c>
    </row>
    <row r="139" spans="1:11" x14ac:dyDescent="0.25">
      <c r="A139" s="2"/>
      <c r="B139" s="2"/>
      <c r="C139" s="2"/>
      <c r="D139" s="3"/>
      <c r="E139" s="1"/>
      <c r="I139" s="1"/>
      <c r="K139" s="4">
        <f>Tabelle5[[#This Row],[value_present]]*Tabelle5[[#This Row],[binding_level]]</f>
        <v>0</v>
      </c>
    </row>
    <row r="140" spans="1:11" x14ac:dyDescent="0.25">
      <c r="A140" s="2"/>
      <c r="B140" s="2"/>
      <c r="C140" s="2"/>
      <c r="D140" s="3"/>
      <c r="E140" s="1"/>
      <c r="I140" s="1"/>
      <c r="K140" s="4">
        <f>Tabelle5[[#This Row],[value_present]]*Tabelle5[[#This Row],[binding_level]]</f>
        <v>0</v>
      </c>
    </row>
    <row r="141" spans="1:11" x14ac:dyDescent="0.25">
      <c r="A141" s="2"/>
      <c r="B141" s="2"/>
      <c r="C141" s="2"/>
      <c r="D141" s="3"/>
      <c r="E141" s="1"/>
      <c r="I141" s="1"/>
      <c r="K141" s="4">
        <f>Tabelle5[[#This Row],[value_present]]*Tabelle5[[#This Row],[binding_level]]</f>
        <v>0</v>
      </c>
    </row>
    <row r="142" spans="1:11" x14ac:dyDescent="0.25">
      <c r="A142" s="2"/>
      <c r="B142" s="2"/>
      <c r="C142" s="2"/>
      <c r="D142" s="3"/>
      <c r="E142" s="1"/>
      <c r="I142" s="1"/>
      <c r="K142" s="4">
        <f>Tabelle5[[#This Row],[value_present]]*Tabelle5[[#This Row],[binding_level]]</f>
        <v>0</v>
      </c>
    </row>
    <row r="143" spans="1:11" x14ac:dyDescent="0.25">
      <c r="A143" s="2"/>
      <c r="B143" s="2"/>
      <c r="C143" s="2"/>
      <c r="D143" s="3"/>
      <c r="E143" s="1"/>
      <c r="I143" s="1"/>
      <c r="K143" s="4">
        <f>Tabelle5[[#This Row],[value_present]]*Tabelle5[[#This Row],[binding_level]]</f>
        <v>0</v>
      </c>
    </row>
    <row r="144" spans="1:11" x14ac:dyDescent="0.25">
      <c r="A144" s="2"/>
      <c r="B144" s="2"/>
      <c r="C144" s="2"/>
      <c r="D144" s="3"/>
      <c r="E144" s="1"/>
      <c r="I144" s="1"/>
      <c r="K144" s="4">
        <f>Tabelle5[[#This Row],[value_present]]*Tabelle5[[#This Row],[binding_level]]</f>
        <v>0</v>
      </c>
    </row>
    <row r="145" spans="1:11" x14ac:dyDescent="0.25">
      <c r="A145" s="2"/>
      <c r="B145" s="2"/>
      <c r="C145" s="2"/>
      <c r="D145" s="3"/>
      <c r="E145" s="1"/>
      <c r="I145" s="1"/>
      <c r="K145" s="4">
        <f>Tabelle5[[#This Row],[value_present]]*Tabelle5[[#This Row],[binding_level]]</f>
        <v>0</v>
      </c>
    </row>
    <row r="146" spans="1:11" x14ac:dyDescent="0.25">
      <c r="A146" s="2"/>
      <c r="B146" s="2"/>
      <c r="C146" s="2"/>
      <c r="D146" s="3"/>
      <c r="E146" s="1"/>
      <c r="I146" s="1"/>
      <c r="K146" s="4">
        <f>Tabelle5[[#This Row],[value_present]]*Tabelle5[[#This Row],[binding_level]]</f>
        <v>0</v>
      </c>
    </row>
    <row r="147" spans="1:11" x14ac:dyDescent="0.25">
      <c r="A147" s="2"/>
      <c r="B147" s="2"/>
      <c r="C147" s="2"/>
      <c r="D147" s="3"/>
      <c r="E147" s="1"/>
      <c r="I147" s="1"/>
      <c r="K147" s="4">
        <f>Tabelle5[[#This Row],[value_present]]*Tabelle5[[#This Row],[binding_level]]</f>
        <v>0</v>
      </c>
    </row>
    <row r="148" spans="1:11" x14ac:dyDescent="0.25">
      <c r="A148" s="2"/>
      <c r="B148" s="2"/>
      <c r="C148" s="2"/>
      <c r="D148" s="3"/>
      <c r="E148" s="1"/>
      <c r="I148" s="1"/>
      <c r="K148" s="4">
        <f>Tabelle5[[#This Row],[value_present]]*Tabelle5[[#This Row],[binding_level]]</f>
        <v>0</v>
      </c>
    </row>
    <row r="149" spans="1:11" x14ac:dyDescent="0.25">
      <c r="A149" s="2"/>
      <c r="B149" s="2"/>
      <c r="C149" s="2"/>
      <c r="D149" s="3"/>
      <c r="E149" s="1"/>
      <c r="I149" s="1"/>
      <c r="K149" s="4">
        <f>Tabelle5[[#This Row],[value_present]]*Tabelle5[[#This Row],[binding_level]]</f>
        <v>0</v>
      </c>
    </row>
    <row r="150" spans="1:11" x14ac:dyDescent="0.25">
      <c r="A150" s="2"/>
      <c r="B150" s="2"/>
      <c r="C150" s="2"/>
      <c r="D150" s="3"/>
      <c r="E150" s="1"/>
      <c r="I150" s="1"/>
      <c r="K150" s="4">
        <f>Tabelle5[[#This Row],[value_present]]*Tabelle5[[#This Row],[binding_level]]</f>
        <v>0</v>
      </c>
    </row>
    <row r="151" spans="1:11" x14ac:dyDescent="0.25">
      <c r="A151" s="2"/>
      <c r="B151" s="2"/>
      <c r="C151" s="2"/>
      <c r="D151" s="3"/>
      <c r="E151" s="1"/>
      <c r="I151" s="1"/>
      <c r="K151" s="4">
        <f>Tabelle5[[#This Row],[value_present]]*Tabelle5[[#This Row],[binding_level]]</f>
        <v>0</v>
      </c>
    </row>
    <row r="152" spans="1:11" x14ac:dyDescent="0.25">
      <c r="A152" s="2"/>
      <c r="B152" s="2"/>
      <c r="C152" s="2"/>
      <c r="D152" s="3"/>
      <c r="E152" s="1"/>
      <c r="I152" s="1"/>
      <c r="K152" s="4">
        <f>Tabelle5[[#This Row],[value_present]]*Tabelle5[[#This Row],[binding_level]]</f>
        <v>0</v>
      </c>
    </row>
    <row r="153" spans="1:11" x14ac:dyDescent="0.25">
      <c r="A153" s="2"/>
      <c r="B153" s="2"/>
      <c r="C153" s="2"/>
      <c r="D153" s="3"/>
      <c r="E153" s="1"/>
      <c r="I153" s="1"/>
      <c r="K153" s="4">
        <f>Tabelle5[[#This Row],[value_present]]*Tabelle5[[#This Row],[binding_level]]</f>
        <v>0</v>
      </c>
    </row>
    <row r="154" spans="1:11" x14ac:dyDescent="0.25">
      <c r="A154" s="2"/>
      <c r="B154" s="2"/>
      <c r="C154" s="2"/>
      <c r="D154" s="3"/>
      <c r="E154" s="1"/>
      <c r="I154" s="1"/>
      <c r="K154" s="4">
        <f>Tabelle5[[#This Row],[value_present]]*Tabelle5[[#This Row],[binding_level]]</f>
        <v>0</v>
      </c>
    </row>
    <row r="155" spans="1:11" x14ac:dyDescent="0.25">
      <c r="A155" s="2"/>
      <c r="B155" s="2"/>
      <c r="C155" s="2"/>
      <c r="D155" s="3"/>
      <c r="E155" s="1"/>
      <c r="I155" s="1"/>
      <c r="K155" s="4">
        <f>Tabelle5[[#This Row],[value_present]]*Tabelle5[[#This Row],[binding_level]]</f>
        <v>0</v>
      </c>
    </row>
    <row r="156" spans="1:11" x14ac:dyDescent="0.25">
      <c r="A156" s="2"/>
      <c r="B156" s="2"/>
      <c r="C156" s="2"/>
      <c r="D156" s="3"/>
      <c r="E156" s="1"/>
      <c r="I156" s="1"/>
      <c r="K156" s="4">
        <f>Tabelle5[[#This Row],[value_present]]*Tabelle5[[#This Row],[binding_level]]</f>
        <v>0</v>
      </c>
    </row>
    <row r="157" spans="1:11" x14ac:dyDescent="0.25">
      <c r="A157" s="2"/>
      <c r="B157" s="2"/>
      <c r="C157" s="2"/>
      <c r="D157" s="3"/>
      <c r="E157" s="1"/>
      <c r="I157" s="1"/>
      <c r="K157" s="4">
        <f>Tabelle5[[#This Row],[value_present]]*Tabelle5[[#This Row],[binding_level]]</f>
        <v>0</v>
      </c>
    </row>
    <row r="158" spans="1:11" x14ac:dyDescent="0.25">
      <c r="A158" s="2"/>
      <c r="B158" s="2"/>
      <c r="C158" s="2"/>
      <c r="D158" s="3"/>
      <c r="E158" s="1"/>
      <c r="I158" s="1"/>
      <c r="K158" s="4">
        <f>Tabelle5[[#This Row],[value_present]]*Tabelle5[[#This Row],[binding_level]]</f>
        <v>0</v>
      </c>
    </row>
    <row r="159" spans="1:11" x14ac:dyDescent="0.25">
      <c r="A159" s="2"/>
      <c r="B159" s="2"/>
      <c r="C159" s="2"/>
      <c r="D159" s="3"/>
      <c r="E159" s="1"/>
      <c r="I159" s="1"/>
      <c r="K159" s="4">
        <f>Tabelle5[[#This Row],[value_present]]*Tabelle5[[#This Row],[binding_level]]</f>
        <v>0</v>
      </c>
    </row>
    <row r="160" spans="1:11" x14ac:dyDescent="0.25">
      <c r="A160" s="2"/>
      <c r="B160" s="2"/>
      <c r="C160" s="2"/>
      <c r="D160" s="3"/>
      <c r="E160" s="1"/>
      <c r="I160" s="1"/>
      <c r="K160" s="4">
        <f>Tabelle5[[#This Row],[value_present]]*Tabelle5[[#This Row],[binding_level]]</f>
        <v>0</v>
      </c>
    </row>
    <row r="161" spans="1:11" x14ac:dyDescent="0.25">
      <c r="A161" s="2"/>
      <c r="B161" s="2"/>
      <c r="C161" s="2"/>
      <c r="D161" s="3"/>
      <c r="E161" s="1"/>
      <c r="I161" s="1"/>
      <c r="K161" s="4">
        <f>Tabelle5[[#This Row],[value_present]]*Tabelle5[[#This Row],[binding_level]]</f>
        <v>0</v>
      </c>
    </row>
    <row r="162" spans="1:11" x14ac:dyDescent="0.25">
      <c r="A162" s="2"/>
      <c r="B162" s="2"/>
      <c r="C162" s="2"/>
      <c r="D162" s="3"/>
      <c r="E162" s="1"/>
      <c r="I162" s="1"/>
      <c r="K162" s="4">
        <f>Tabelle5[[#This Row],[value_present]]*Tabelle5[[#This Row],[binding_level]]</f>
        <v>0</v>
      </c>
    </row>
    <row r="163" spans="1:11" x14ac:dyDescent="0.25">
      <c r="A163" s="2"/>
      <c r="B163" s="2"/>
      <c r="C163" s="2"/>
      <c r="D163" s="3"/>
      <c r="E163" s="1"/>
      <c r="I163" s="1"/>
      <c r="K163" s="4">
        <f>Tabelle5[[#This Row],[value_present]]*Tabelle5[[#This Row],[binding_level]]</f>
        <v>0</v>
      </c>
    </row>
    <row r="164" spans="1:11" x14ac:dyDescent="0.25">
      <c r="A164" s="2"/>
      <c r="B164" s="2"/>
      <c r="C164" s="2"/>
      <c r="D164" s="3"/>
      <c r="E164" s="1"/>
      <c r="I164" s="1"/>
      <c r="K164" s="4">
        <f>Tabelle5[[#This Row],[value_present]]*Tabelle5[[#This Row],[binding_level]]</f>
        <v>0</v>
      </c>
    </row>
    <row r="165" spans="1:11" x14ac:dyDescent="0.25">
      <c r="A165" s="2"/>
      <c r="B165" s="2"/>
      <c r="C165" s="2"/>
      <c r="D165" s="3"/>
      <c r="E165" s="1"/>
      <c r="I165" s="1"/>
      <c r="K165" s="4">
        <f>Tabelle5[[#This Row],[value_present]]*Tabelle5[[#This Row],[binding_level]]</f>
        <v>0</v>
      </c>
    </row>
    <row r="166" spans="1:11" x14ac:dyDescent="0.25">
      <c r="A166" s="2"/>
      <c r="B166" s="2"/>
      <c r="C166" s="2"/>
      <c r="D166" s="3"/>
      <c r="E166" s="1"/>
      <c r="I166" s="1"/>
      <c r="K166" s="4">
        <f>Tabelle5[[#This Row],[value_present]]*Tabelle5[[#This Row],[binding_level]]</f>
        <v>0</v>
      </c>
    </row>
    <row r="167" spans="1:11" x14ac:dyDescent="0.25">
      <c r="A167" s="2"/>
      <c r="B167" s="2"/>
      <c r="C167" s="2"/>
      <c r="D167" s="3"/>
      <c r="E167" s="1"/>
      <c r="I167" s="1"/>
      <c r="K167" s="4">
        <f>Tabelle5[[#This Row],[value_present]]*Tabelle5[[#This Row],[binding_level]]</f>
        <v>0</v>
      </c>
    </row>
    <row r="168" spans="1:11" x14ac:dyDescent="0.25">
      <c r="A168" s="2"/>
      <c r="B168" s="2"/>
      <c r="C168" s="2"/>
      <c r="D168" s="3"/>
      <c r="E168" s="1"/>
      <c r="I168" s="1"/>
      <c r="K168" s="4">
        <f>Tabelle5[[#This Row],[value_present]]*Tabelle5[[#This Row],[binding_level]]</f>
        <v>0</v>
      </c>
    </row>
    <row r="169" spans="1:11" x14ac:dyDescent="0.25">
      <c r="A169" s="2"/>
      <c r="B169" s="2"/>
      <c r="C169" s="2"/>
      <c r="D169" s="3"/>
      <c r="E169" s="1"/>
      <c r="I169" s="1"/>
      <c r="K169" s="4">
        <f>Tabelle5[[#This Row],[value_present]]*Tabelle5[[#This Row],[binding_level]]</f>
        <v>0</v>
      </c>
    </row>
    <row r="170" spans="1:11" x14ac:dyDescent="0.25">
      <c r="A170" s="2"/>
      <c r="B170" s="2"/>
      <c r="C170" s="2"/>
      <c r="D170" s="3"/>
      <c r="E170" s="1"/>
      <c r="I170" s="1"/>
      <c r="K170" s="4">
        <f>Tabelle5[[#This Row],[value_present]]*Tabelle5[[#This Row],[binding_level]]</f>
        <v>0</v>
      </c>
    </row>
    <row r="171" spans="1:11" x14ac:dyDescent="0.25">
      <c r="A171" s="2"/>
      <c r="B171" s="2"/>
      <c r="C171" s="2"/>
      <c r="D171" s="3"/>
      <c r="E171" s="1"/>
      <c r="I171" s="1"/>
      <c r="K171" s="4">
        <f>Tabelle5[[#This Row],[value_present]]*Tabelle5[[#This Row],[binding_level]]</f>
        <v>0</v>
      </c>
    </row>
    <row r="172" spans="1:11" x14ac:dyDescent="0.25">
      <c r="A172" s="2"/>
      <c r="B172" s="2"/>
      <c r="C172" s="2"/>
      <c r="D172" s="3"/>
      <c r="E172" s="1"/>
      <c r="I172" s="1"/>
      <c r="K172" s="4">
        <f>Tabelle5[[#This Row],[value_present]]*Tabelle5[[#This Row],[binding_level]]</f>
        <v>0</v>
      </c>
    </row>
    <row r="173" spans="1:11" x14ac:dyDescent="0.25">
      <c r="A173" s="2"/>
      <c r="B173" s="2"/>
      <c r="C173" s="2"/>
      <c r="D173" s="3"/>
      <c r="E173" s="1"/>
      <c r="I173" s="1"/>
      <c r="K173" s="4">
        <f>Tabelle5[[#This Row],[value_present]]*Tabelle5[[#This Row],[binding_level]]</f>
        <v>0</v>
      </c>
    </row>
    <row r="174" spans="1:11" x14ac:dyDescent="0.25">
      <c r="A174" s="2"/>
      <c r="B174" s="2"/>
      <c r="C174" s="2"/>
      <c r="D174" s="3"/>
      <c r="E174" s="1"/>
      <c r="I174" s="1"/>
      <c r="K174" s="4">
        <f>Tabelle5[[#This Row],[value_present]]*Tabelle5[[#This Row],[binding_level]]</f>
        <v>0</v>
      </c>
    </row>
    <row r="175" spans="1:11" x14ac:dyDescent="0.25">
      <c r="A175" s="2"/>
      <c r="B175" s="2"/>
      <c r="C175" s="2"/>
      <c r="D175" s="3"/>
      <c r="E175" s="1"/>
      <c r="I175" s="1"/>
      <c r="K175" s="4">
        <f>Tabelle5[[#This Row],[value_present]]*Tabelle5[[#This Row],[binding_level]]</f>
        <v>0</v>
      </c>
    </row>
    <row r="176" spans="1:11" x14ac:dyDescent="0.25">
      <c r="A176" s="2"/>
      <c r="B176" s="2"/>
      <c r="C176" s="2"/>
      <c r="D176" s="3"/>
      <c r="E176" s="1"/>
      <c r="I176" s="1"/>
      <c r="K176" s="4">
        <f>Tabelle5[[#This Row],[value_present]]*Tabelle5[[#This Row],[binding_level]]</f>
        <v>0</v>
      </c>
    </row>
    <row r="177" spans="1:11" x14ac:dyDescent="0.25">
      <c r="A177" s="2"/>
      <c r="B177" s="2"/>
      <c r="C177" s="2"/>
      <c r="D177" s="3"/>
      <c r="E177" s="1"/>
      <c r="I177" s="1"/>
      <c r="K177" s="4">
        <f>Tabelle5[[#This Row],[value_present]]*Tabelle5[[#This Row],[binding_level]]</f>
        <v>0</v>
      </c>
    </row>
    <row r="178" spans="1:11" x14ac:dyDescent="0.25">
      <c r="A178" s="2"/>
      <c r="B178" s="2"/>
      <c r="C178" s="2"/>
      <c r="D178" s="3"/>
      <c r="E178" s="1"/>
      <c r="I178" s="1"/>
      <c r="K178" s="4">
        <f>Tabelle5[[#This Row],[value_present]]*Tabelle5[[#This Row],[binding_level]]</f>
        <v>0</v>
      </c>
    </row>
    <row r="179" spans="1:11" x14ac:dyDescent="0.25">
      <c r="A179" s="2"/>
      <c r="B179" s="2"/>
      <c r="C179" s="2"/>
      <c r="D179" s="3"/>
      <c r="E179" s="1"/>
      <c r="I179" s="1"/>
      <c r="K179" s="4">
        <f>Tabelle5[[#This Row],[value_present]]*Tabelle5[[#This Row],[binding_level]]</f>
        <v>0</v>
      </c>
    </row>
    <row r="180" spans="1:11" x14ac:dyDescent="0.25">
      <c r="A180" s="2"/>
      <c r="B180" s="2"/>
      <c r="C180" s="2"/>
      <c r="D180" s="3"/>
      <c r="E180" s="1"/>
      <c r="I180" s="1"/>
      <c r="K180" s="4">
        <f>Tabelle5[[#This Row],[value_present]]*Tabelle5[[#This Row],[binding_level]]</f>
        <v>0</v>
      </c>
    </row>
    <row r="181" spans="1:11" x14ac:dyDescent="0.25">
      <c r="A181" s="2"/>
      <c r="B181" s="2"/>
      <c r="C181" s="2"/>
      <c r="D181" s="3"/>
      <c r="E181" s="1"/>
      <c r="I181" s="1"/>
      <c r="K181" s="4">
        <f>Tabelle5[[#This Row],[value_present]]*Tabelle5[[#This Row],[binding_level]]</f>
        <v>0</v>
      </c>
    </row>
    <row r="182" spans="1:11" x14ac:dyDescent="0.25">
      <c r="A182" s="2"/>
      <c r="B182" s="2"/>
      <c r="C182" s="2"/>
      <c r="D182" s="3"/>
      <c r="E182" s="1"/>
      <c r="I182" s="1"/>
      <c r="K182" s="4">
        <f>Tabelle5[[#This Row],[value_present]]*Tabelle5[[#This Row],[binding_level]]</f>
        <v>0</v>
      </c>
    </row>
    <row r="183" spans="1:11" x14ac:dyDescent="0.25">
      <c r="A183" s="2"/>
      <c r="B183" s="2"/>
      <c r="C183" s="2"/>
      <c r="D183" s="3"/>
      <c r="E183" s="1"/>
      <c r="I183" s="1"/>
      <c r="K183" s="4">
        <f>Tabelle5[[#This Row],[value_present]]*Tabelle5[[#This Row],[binding_level]]</f>
        <v>0</v>
      </c>
    </row>
    <row r="184" spans="1:11" x14ac:dyDescent="0.25">
      <c r="A184" s="2"/>
      <c r="B184" s="2"/>
      <c r="C184" s="2"/>
      <c r="D184" s="3"/>
      <c r="E184" s="1"/>
      <c r="I184" s="1"/>
      <c r="K184" s="4">
        <f>Tabelle5[[#This Row],[value_present]]*Tabelle5[[#This Row],[binding_level]]</f>
        <v>0</v>
      </c>
    </row>
    <row r="185" spans="1:11" x14ac:dyDescent="0.25">
      <c r="A185" s="2"/>
      <c r="B185" s="2"/>
      <c r="C185" s="2"/>
      <c r="D185" s="3"/>
      <c r="E185" s="1"/>
      <c r="I185" s="1"/>
      <c r="K185" s="4">
        <f>Tabelle5[[#This Row],[value_present]]*Tabelle5[[#This Row],[binding_level]]</f>
        <v>0</v>
      </c>
    </row>
    <row r="186" spans="1:11" x14ac:dyDescent="0.25">
      <c r="A186" s="2"/>
      <c r="B186" s="2"/>
      <c r="C186" s="2"/>
      <c r="D186" s="3"/>
      <c r="E186" s="1"/>
      <c r="I186" s="1"/>
      <c r="K186" s="4">
        <f>Tabelle5[[#This Row],[value_present]]*Tabelle5[[#This Row],[binding_level]]</f>
        <v>0</v>
      </c>
    </row>
    <row r="187" spans="1:11" x14ac:dyDescent="0.25">
      <c r="A187" s="2"/>
      <c r="B187" s="2"/>
      <c r="C187" s="2"/>
      <c r="D187" s="3"/>
      <c r="E187" s="1"/>
      <c r="I187" s="1"/>
      <c r="K187" s="4">
        <f>Tabelle5[[#This Row],[value_present]]*Tabelle5[[#This Row],[binding_level]]</f>
        <v>0</v>
      </c>
    </row>
    <row r="188" spans="1:11" x14ac:dyDescent="0.25">
      <c r="A188" s="2"/>
      <c r="B188" s="2"/>
      <c r="C188" s="2"/>
      <c r="D188" s="3"/>
      <c r="E188" s="1"/>
      <c r="I188" s="1"/>
      <c r="K188" s="4">
        <f>Tabelle5[[#This Row],[value_present]]*Tabelle5[[#This Row],[binding_level]]</f>
        <v>0</v>
      </c>
    </row>
    <row r="189" spans="1:11" x14ac:dyDescent="0.25">
      <c r="A189" s="2"/>
      <c r="B189" s="2"/>
      <c r="C189" s="2"/>
      <c r="D189" s="3"/>
      <c r="E189" s="1"/>
      <c r="I189" s="1"/>
      <c r="K189" s="4">
        <f>Tabelle5[[#This Row],[value_present]]*Tabelle5[[#This Row],[binding_level]]</f>
        <v>0</v>
      </c>
    </row>
    <row r="190" spans="1:11" x14ac:dyDescent="0.25">
      <c r="A190" s="2"/>
      <c r="B190" s="2"/>
      <c r="C190" s="2"/>
      <c r="D190" s="3"/>
      <c r="E190" s="1"/>
      <c r="I190" s="1"/>
      <c r="K190" s="4">
        <f>Tabelle5[[#This Row],[value_present]]*Tabelle5[[#This Row],[binding_level]]</f>
        <v>0</v>
      </c>
    </row>
    <row r="191" spans="1:11" x14ac:dyDescent="0.25">
      <c r="A191" s="2"/>
      <c r="B191" s="2"/>
      <c r="C191" s="2"/>
      <c r="D191" s="3"/>
      <c r="E191" s="1"/>
      <c r="I191" s="1"/>
      <c r="K191" s="4">
        <f>Tabelle5[[#This Row],[value_present]]*Tabelle5[[#This Row],[binding_level]]</f>
        <v>0</v>
      </c>
    </row>
    <row r="192" spans="1:11" x14ac:dyDescent="0.25">
      <c r="A192" s="2"/>
      <c r="B192" s="2"/>
      <c r="C192" s="2"/>
      <c r="D192" s="3"/>
      <c r="E192" s="1"/>
      <c r="I192" s="1"/>
      <c r="K192" s="4">
        <f>Tabelle5[[#This Row],[value_present]]*Tabelle5[[#This Row],[binding_level]]</f>
        <v>0</v>
      </c>
    </row>
    <row r="193" spans="1:11" x14ac:dyDescent="0.25">
      <c r="A193" s="2"/>
      <c r="B193" s="2"/>
      <c r="C193" s="2"/>
      <c r="D193" s="3"/>
      <c r="E193" s="1"/>
      <c r="I193" s="1"/>
      <c r="K193" s="4">
        <f>Tabelle5[[#This Row],[value_present]]*Tabelle5[[#This Row],[binding_level]]</f>
        <v>0</v>
      </c>
    </row>
    <row r="194" spans="1:11" x14ac:dyDescent="0.25">
      <c r="A194" s="2"/>
      <c r="B194" s="2"/>
      <c r="C194" s="2"/>
      <c r="D194" s="3"/>
      <c r="E194" s="1"/>
      <c r="I194" s="1"/>
      <c r="K194" s="4">
        <f>Tabelle5[[#This Row],[value_present]]*Tabelle5[[#This Row],[binding_level]]</f>
        <v>0</v>
      </c>
    </row>
    <row r="195" spans="1:11" x14ac:dyDescent="0.25">
      <c r="A195" s="2"/>
      <c r="B195" s="2"/>
      <c r="C195" s="2"/>
      <c r="D195" s="3"/>
      <c r="E195" s="1"/>
      <c r="I195" s="1"/>
      <c r="K195" s="4">
        <f>Tabelle5[[#This Row],[value_present]]*Tabelle5[[#This Row],[binding_level]]</f>
        <v>0</v>
      </c>
    </row>
    <row r="196" spans="1:11" x14ac:dyDescent="0.25">
      <c r="A196" s="2"/>
      <c r="B196" s="2"/>
      <c r="C196" s="2"/>
      <c r="D196" s="3"/>
      <c r="E196" s="1"/>
      <c r="I196" s="1"/>
      <c r="K196" s="4">
        <f>Tabelle5[[#This Row],[value_present]]*Tabelle5[[#This Row],[binding_level]]</f>
        <v>0</v>
      </c>
    </row>
    <row r="197" spans="1:11" x14ac:dyDescent="0.25">
      <c r="A197" s="2"/>
      <c r="B197" s="2"/>
      <c r="C197" s="2"/>
      <c r="D197" s="3"/>
      <c r="E197" s="1"/>
      <c r="I197" s="1"/>
      <c r="K197" s="4">
        <f>Tabelle5[[#This Row],[value_present]]*Tabelle5[[#This Row],[binding_level]]</f>
        <v>0</v>
      </c>
    </row>
    <row r="198" spans="1:11" x14ac:dyDescent="0.25">
      <c r="A198" s="2"/>
      <c r="B198" s="2"/>
      <c r="C198" s="2"/>
      <c r="D198" s="3"/>
      <c r="E198" s="1"/>
      <c r="I198" s="1"/>
      <c r="K198" s="4">
        <f>Tabelle5[[#This Row],[value_present]]*Tabelle5[[#This Row],[binding_level]]</f>
        <v>0</v>
      </c>
    </row>
    <row r="199" spans="1:11" x14ac:dyDescent="0.25">
      <c r="A199" s="2"/>
      <c r="B199" s="2"/>
      <c r="C199" s="2"/>
      <c r="D199" s="3"/>
      <c r="E199" s="1"/>
      <c r="I199" s="1"/>
      <c r="K199" s="4">
        <f>Tabelle5[[#This Row],[value_present]]*Tabelle5[[#This Row],[binding_level]]</f>
        <v>0</v>
      </c>
    </row>
    <row r="200" spans="1:11" x14ac:dyDescent="0.25">
      <c r="A200" s="2"/>
      <c r="B200" s="2"/>
      <c r="C200" s="2"/>
      <c r="D200" s="3"/>
      <c r="E200" s="1"/>
      <c r="I200" s="1"/>
      <c r="K200" s="4">
        <f>Tabelle5[[#This Row],[value_present]]*Tabelle5[[#This Row],[binding_level]]</f>
        <v>0</v>
      </c>
    </row>
    <row r="201" spans="1:11" x14ac:dyDescent="0.25">
      <c r="A201" s="2"/>
      <c r="B201" s="2"/>
      <c r="C201" s="2"/>
      <c r="D201" s="3"/>
      <c r="E201" s="1"/>
      <c r="I201" s="1"/>
      <c r="K201" s="4">
        <f>Tabelle5[[#This Row],[value_present]]*Tabelle5[[#This Row],[binding_level]]</f>
        <v>0</v>
      </c>
    </row>
    <row r="202" spans="1:11" x14ac:dyDescent="0.25">
      <c r="A202" s="2"/>
      <c r="B202" s="2"/>
      <c r="C202" s="2"/>
      <c r="D202" s="3"/>
      <c r="E202" s="1"/>
      <c r="I202" s="1"/>
      <c r="K202" s="4">
        <f>Tabelle5[[#This Row],[value_present]]*Tabelle5[[#This Row],[binding_level]]</f>
        <v>0</v>
      </c>
    </row>
    <row r="203" spans="1:11" x14ac:dyDescent="0.25">
      <c r="A203" s="2"/>
      <c r="B203" s="2"/>
      <c r="C203" s="2"/>
      <c r="D203" s="3"/>
      <c r="E203" s="1"/>
      <c r="I203" s="1"/>
      <c r="K203" s="4">
        <f>Tabelle5[[#This Row],[value_present]]*Tabelle5[[#This Row],[binding_level]]</f>
        <v>0</v>
      </c>
    </row>
    <row r="204" spans="1:11" x14ac:dyDescent="0.25">
      <c r="A204" s="2"/>
      <c r="B204" s="2"/>
      <c r="C204" s="2"/>
      <c r="D204" s="3"/>
      <c r="E204" s="1"/>
      <c r="I204" s="1"/>
      <c r="K204" s="4">
        <f>Tabelle5[[#This Row],[value_present]]*Tabelle5[[#This Row],[binding_level]]</f>
        <v>0</v>
      </c>
    </row>
    <row r="205" spans="1:11" x14ac:dyDescent="0.25">
      <c r="A205" s="2"/>
      <c r="B205" s="2"/>
      <c r="C205" s="2"/>
      <c r="D205" s="3"/>
      <c r="E205" s="1"/>
      <c r="I205" s="1"/>
      <c r="K205" s="4">
        <f>Tabelle5[[#This Row],[value_present]]*Tabelle5[[#This Row],[binding_level]]</f>
        <v>0</v>
      </c>
    </row>
    <row r="206" spans="1:11" x14ac:dyDescent="0.25">
      <c r="A206" s="2"/>
      <c r="B206" s="2"/>
      <c r="C206" s="2"/>
      <c r="D206" s="3"/>
      <c r="E206" s="1"/>
      <c r="I206" s="1"/>
      <c r="K206" s="4">
        <f>Tabelle5[[#This Row],[value_present]]*Tabelle5[[#This Row],[binding_level]]</f>
        <v>0</v>
      </c>
    </row>
    <row r="207" spans="1:11" x14ac:dyDescent="0.25">
      <c r="A207" s="2"/>
      <c r="B207" s="2"/>
      <c r="C207" s="2"/>
      <c r="D207" s="3"/>
      <c r="E207" s="1"/>
      <c r="I207" s="1"/>
      <c r="K207" s="4">
        <f>Tabelle5[[#This Row],[value_present]]*Tabelle5[[#This Row],[binding_level]]</f>
        <v>0</v>
      </c>
    </row>
    <row r="208" spans="1:11" x14ac:dyDescent="0.25">
      <c r="A208" s="2"/>
      <c r="B208" s="2"/>
      <c r="C208" s="2"/>
      <c r="D208" s="3"/>
      <c r="E208" s="1"/>
      <c r="I208" s="1"/>
      <c r="K208" s="4">
        <f>Tabelle5[[#This Row],[value_present]]*Tabelle5[[#This Row],[binding_level]]</f>
        <v>0</v>
      </c>
    </row>
    <row r="209" spans="1:11" x14ac:dyDescent="0.25">
      <c r="A209" s="2"/>
      <c r="B209" s="2"/>
      <c r="C209" s="2"/>
      <c r="D209" s="3"/>
      <c r="E209" s="1"/>
      <c r="I209" s="1"/>
      <c r="K209" s="4">
        <f>Tabelle5[[#This Row],[value_present]]*Tabelle5[[#This Row],[binding_level]]</f>
        <v>0</v>
      </c>
    </row>
    <row r="210" spans="1:11" x14ac:dyDescent="0.25">
      <c r="A210" s="2"/>
      <c r="B210" s="2"/>
      <c r="C210" s="2"/>
      <c r="D210" s="3"/>
      <c r="E210" s="1"/>
      <c r="I210" s="1"/>
      <c r="K210" s="4">
        <f>Tabelle5[[#This Row],[value_present]]*Tabelle5[[#This Row],[binding_level]]</f>
        <v>0</v>
      </c>
    </row>
    <row r="211" spans="1:11" x14ac:dyDescent="0.25">
      <c r="A211" s="2"/>
      <c r="B211" s="2"/>
      <c r="C211" s="2"/>
      <c r="D211" s="3"/>
      <c r="E211" s="1"/>
      <c r="I211" s="1"/>
      <c r="K211" s="4">
        <f>Tabelle5[[#This Row],[value_present]]*Tabelle5[[#This Row],[binding_level]]</f>
        <v>0</v>
      </c>
    </row>
    <row r="212" spans="1:11" x14ac:dyDescent="0.25">
      <c r="A212" s="2"/>
      <c r="B212" s="2"/>
      <c r="C212" s="2"/>
      <c r="D212" s="3"/>
      <c r="E212" s="1"/>
      <c r="I212" s="1"/>
      <c r="K212" s="4">
        <f>Tabelle5[[#This Row],[value_present]]*Tabelle5[[#This Row],[binding_level]]</f>
        <v>0</v>
      </c>
    </row>
    <row r="213" spans="1:11" x14ac:dyDescent="0.25">
      <c r="A213" s="2"/>
      <c r="B213" s="2"/>
      <c r="C213" s="2"/>
      <c r="D213" s="3"/>
      <c r="E213" s="1"/>
      <c r="I213" s="1"/>
      <c r="K213" s="4">
        <f>Tabelle5[[#This Row],[value_present]]*Tabelle5[[#This Row],[binding_level]]</f>
        <v>0</v>
      </c>
    </row>
    <row r="214" spans="1:11" x14ac:dyDescent="0.25">
      <c r="A214" s="2"/>
      <c r="B214" s="2"/>
      <c r="C214" s="2"/>
      <c r="D214" s="3"/>
      <c r="E214" s="1"/>
      <c r="I214" s="1"/>
      <c r="K214" s="4">
        <f>Tabelle5[[#This Row],[value_present]]*Tabelle5[[#This Row],[binding_level]]</f>
        <v>0</v>
      </c>
    </row>
    <row r="215" spans="1:11" x14ac:dyDescent="0.25">
      <c r="A215" s="2"/>
      <c r="B215" s="2"/>
      <c r="C215" s="2"/>
      <c r="D215" s="3"/>
      <c r="E215" s="1"/>
      <c r="I215" s="1"/>
      <c r="K215" s="4">
        <f>Tabelle5[[#This Row],[value_present]]*Tabelle5[[#This Row],[binding_level]]</f>
        <v>0</v>
      </c>
    </row>
    <row r="216" spans="1:11" x14ac:dyDescent="0.25">
      <c r="A216" s="2"/>
      <c r="B216" s="2"/>
      <c r="C216" s="2"/>
      <c r="D216" s="3"/>
      <c r="E216" s="1"/>
      <c r="I216" s="1"/>
      <c r="K216" s="4">
        <f>Tabelle5[[#This Row],[value_present]]*Tabelle5[[#This Row],[binding_level]]</f>
        <v>0</v>
      </c>
    </row>
    <row r="217" spans="1:11" x14ac:dyDescent="0.25">
      <c r="A217" s="2"/>
      <c r="B217" s="2"/>
      <c r="C217" s="2"/>
      <c r="D217" s="3"/>
      <c r="E217" s="1"/>
      <c r="I217" s="1"/>
      <c r="K217" s="4">
        <f>Tabelle5[[#This Row],[value_present]]*Tabelle5[[#This Row],[binding_level]]</f>
        <v>0</v>
      </c>
    </row>
    <row r="218" spans="1:11" x14ac:dyDescent="0.25">
      <c r="A218" s="2"/>
      <c r="B218" s="2"/>
      <c r="C218" s="2"/>
      <c r="D218" s="3"/>
      <c r="E218" s="1"/>
      <c r="I218" s="1"/>
      <c r="K218" s="4">
        <f>Tabelle5[[#This Row],[value_present]]*Tabelle5[[#This Row],[binding_level]]</f>
        <v>0</v>
      </c>
    </row>
    <row r="219" spans="1:11" x14ac:dyDescent="0.25">
      <c r="A219" s="2"/>
      <c r="B219" s="2"/>
      <c r="C219" s="2"/>
      <c r="D219" s="3"/>
      <c r="E219" s="1"/>
      <c r="I219" s="1"/>
      <c r="K219" s="4">
        <f>Tabelle5[[#This Row],[value_present]]*Tabelle5[[#This Row],[binding_level]]</f>
        <v>0</v>
      </c>
    </row>
    <row r="220" spans="1:11" x14ac:dyDescent="0.25">
      <c r="A220" s="2"/>
      <c r="B220" s="2"/>
      <c r="C220" s="2"/>
      <c r="D220" s="3"/>
      <c r="E220" s="1"/>
      <c r="I220" s="1"/>
      <c r="K220" s="4">
        <f>Tabelle5[[#This Row],[value_present]]*Tabelle5[[#This Row],[binding_level]]</f>
        <v>0</v>
      </c>
    </row>
    <row r="221" spans="1:11" x14ac:dyDescent="0.25">
      <c r="A221" s="2"/>
      <c r="B221" s="2"/>
      <c r="C221" s="2"/>
      <c r="D221" s="3"/>
      <c r="E221" s="1"/>
      <c r="I221" s="1"/>
      <c r="K221" s="4">
        <f>Tabelle5[[#This Row],[value_present]]*Tabelle5[[#This Row],[binding_level]]</f>
        <v>0</v>
      </c>
    </row>
    <row r="222" spans="1:11" x14ac:dyDescent="0.25">
      <c r="A222" s="2"/>
      <c r="B222" s="2"/>
      <c r="C222" s="2"/>
      <c r="D222" s="3"/>
      <c r="E222" s="1"/>
      <c r="I222" s="1"/>
      <c r="K222" s="4">
        <f>Tabelle5[[#This Row],[value_present]]*Tabelle5[[#This Row],[binding_level]]</f>
        <v>0</v>
      </c>
    </row>
    <row r="223" spans="1:11" x14ac:dyDescent="0.25">
      <c r="A223" s="2"/>
      <c r="B223" s="2"/>
      <c r="C223" s="2"/>
      <c r="D223" s="3"/>
      <c r="E223" s="1"/>
      <c r="I223" s="1"/>
      <c r="K223" s="4">
        <f>Tabelle5[[#This Row],[value_present]]*Tabelle5[[#This Row],[binding_level]]</f>
        <v>0</v>
      </c>
    </row>
    <row r="224" spans="1:11" x14ac:dyDescent="0.25">
      <c r="A224" s="2"/>
      <c r="B224" s="2"/>
      <c r="C224" s="2"/>
      <c r="D224" s="3"/>
      <c r="E224" s="1"/>
      <c r="I224" s="1"/>
      <c r="K224" s="4">
        <f>Tabelle5[[#This Row],[value_present]]*Tabelle5[[#This Row],[binding_level]]</f>
        <v>0</v>
      </c>
    </row>
    <row r="225" spans="1:11" x14ac:dyDescent="0.25">
      <c r="A225" s="2"/>
      <c r="B225" s="2"/>
      <c r="C225" s="2"/>
      <c r="D225" s="3"/>
      <c r="E225" s="1"/>
      <c r="I225" s="1"/>
      <c r="K225" s="4">
        <f>Tabelle5[[#This Row],[value_present]]*Tabelle5[[#This Row],[binding_level]]</f>
        <v>0</v>
      </c>
    </row>
    <row r="226" spans="1:11" x14ac:dyDescent="0.25">
      <c r="A226" s="2"/>
      <c r="B226" s="2"/>
      <c r="C226" s="2"/>
      <c r="D226" s="3"/>
      <c r="E226" s="1"/>
      <c r="I226" s="1"/>
      <c r="K226" s="4">
        <f>Tabelle5[[#This Row],[value_present]]*Tabelle5[[#This Row],[binding_level]]</f>
        <v>0</v>
      </c>
    </row>
    <row r="227" spans="1:11" x14ac:dyDescent="0.25">
      <c r="A227" s="2"/>
      <c r="B227" s="2"/>
      <c r="C227" s="2"/>
      <c r="D227" s="3"/>
      <c r="E227" s="1"/>
      <c r="I227" s="1"/>
      <c r="K227" s="4">
        <f>Tabelle5[[#This Row],[value_present]]*Tabelle5[[#This Row],[binding_level]]</f>
        <v>0</v>
      </c>
    </row>
    <row r="228" spans="1:11" x14ac:dyDescent="0.25">
      <c r="A228" s="2"/>
      <c r="B228" s="2"/>
      <c r="C228" s="2"/>
      <c r="D228" s="3"/>
      <c r="E228" s="1"/>
      <c r="I228" s="1"/>
      <c r="K228" s="4">
        <f>Tabelle5[[#This Row],[value_present]]*Tabelle5[[#This Row],[binding_level]]</f>
        <v>0</v>
      </c>
    </row>
    <row r="229" spans="1:11" x14ac:dyDescent="0.25">
      <c r="A229" s="2"/>
      <c r="B229" s="2"/>
      <c r="C229" s="2"/>
      <c r="D229" s="3"/>
      <c r="E229" s="1"/>
      <c r="I229" s="1"/>
      <c r="K229" s="4">
        <f>Tabelle5[[#This Row],[value_present]]*Tabelle5[[#This Row],[binding_level]]</f>
        <v>0</v>
      </c>
    </row>
    <row r="230" spans="1:11" x14ac:dyDescent="0.25">
      <c r="A230" s="2"/>
      <c r="B230" s="2"/>
      <c r="C230" s="2"/>
      <c r="D230" s="3"/>
      <c r="E230" s="1"/>
      <c r="I230" s="1"/>
      <c r="K230" s="4">
        <f>Tabelle5[[#This Row],[value_present]]*Tabelle5[[#This Row],[binding_level]]</f>
        <v>0</v>
      </c>
    </row>
    <row r="231" spans="1:11" x14ac:dyDescent="0.25">
      <c r="A231" s="2"/>
      <c r="B231" s="2"/>
      <c r="C231" s="2"/>
      <c r="D231" s="3"/>
      <c r="E231" s="1"/>
      <c r="I231" s="1"/>
      <c r="K231" s="4">
        <f>Tabelle5[[#This Row],[value_present]]*Tabelle5[[#This Row],[binding_level]]</f>
        <v>0</v>
      </c>
    </row>
    <row r="232" spans="1:11" x14ac:dyDescent="0.25">
      <c r="A232" s="2"/>
      <c r="B232" s="2"/>
      <c r="C232" s="2"/>
      <c r="D232" s="3"/>
      <c r="E232" s="1"/>
      <c r="I232" s="1"/>
      <c r="K232" s="4">
        <f>Tabelle5[[#This Row],[value_present]]*Tabelle5[[#This Row],[binding_level]]</f>
        <v>0</v>
      </c>
    </row>
    <row r="233" spans="1:11" x14ac:dyDescent="0.25">
      <c r="A233" s="2"/>
      <c r="B233" s="2"/>
      <c r="C233" s="2"/>
      <c r="D233" s="3"/>
      <c r="E233" s="1"/>
      <c r="I233" s="1"/>
      <c r="K233" s="4">
        <f>Tabelle5[[#This Row],[value_present]]*Tabelle5[[#This Row],[binding_level]]</f>
        <v>0</v>
      </c>
    </row>
    <row r="234" spans="1:11" x14ac:dyDescent="0.25">
      <c r="A234" s="2"/>
      <c r="B234" s="2"/>
      <c r="C234" s="2"/>
      <c r="D234" s="3"/>
      <c r="E234" s="1"/>
      <c r="I234" s="1"/>
      <c r="K234" s="4">
        <f>Tabelle5[[#This Row],[value_present]]*Tabelle5[[#This Row],[binding_level]]</f>
        <v>0</v>
      </c>
    </row>
    <row r="235" spans="1:11" x14ac:dyDescent="0.25">
      <c r="A235" s="2"/>
      <c r="B235" s="2"/>
      <c r="C235" s="2"/>
      <c r="D235" s="3"/>
      <c r="E235" s="1"/>
      <c r="I235" s="1"/>
      <c r="K235" s="4">
        <f>Tabelle5[[#This Row],[value_present]]*Tabelle5[[#This Row],[binding_level]]</f>
        <v>0</v>
      </c>
    </row>
    <row r="236" spans="1:11" x14ac:dyDescent="0.25">
      <c r="A236" s="2"/>
      <c r="B236" s="2"/>
      <c r="C236" s="2"/>
      <c r="D236" s="3"/>
      <c r="E236" s="1"/>
      <c r="I236" s="1"/>
      <c r="K236" s="4">
        <f>Tabelle5[[#This Row],[value_present]]*Tabelle5[[#This Row],[binding_level]]</f>
        <v>0</v>
      </c>
    </row>
    <row r="237" spans="1:11" x14ac:dyDescent="0.25">
      <c r="A237" s="2"/>
      <c r="B237" s="2"/>
      <c r="C237" s="2"/>
      <c r="D237" s="3"/>
      <c r="E237" s="1"/>
      <c r="I237" s="1"/>
      <c r="K237" s="4">
        <f>Tabelle5[[#This Row],[value_present]]*Tabelle5[[#This Row],[binding_level]]</f>
        <v>0</v>
      </c>
    </row>
    <row r="238" spans="1:11" x14ac:dyDescent="0.25">
      <c r="A238" s="2"/>
      <c r="B238" s="2"/>
      <c r="C238" s="2"/>
      <c r="D238" s="3"/>
      <c r="E238" s="1"/>
      <c r="I238" s="1"/>
      <c r="K238" s="4">
        <f>Tabelle5[[#This Row],[value_present]]*Tabelle5[[#This Row],[binding_level]]</f>
        <v>0</v>
      </c>
    </row>
    <row r="239" spans="1:11" x14ac:dyDescent="0.25">
      <c r="A239" s="2"/>
      <c r="B239" s="2"/>
      <c r="C239" s="2"/>
      <c r="D239" s="3"/>
      <c r="E239" s="1"/>
      <c r="I239" s="1"/>
      <c r="K239" s="4">
        <f>Tabelle5[[#This Row],[value_present]]*Tabelle5[[#This Row],[binding_level]]</f>
        <v>0</v>
      </c>
    </row>
    <row r="240" spans="1:11" x14ac:dyDescent="0.25">
      <c r="A240" s="2"/>
      <c r="B240" s="2"/>
      <c r="C240" s="2"/>
      <c r="D240" s="3"/>
      <c r="E240" s="1"/>
      <c r="I240" s="1"/>
      <c r="K240" s="4">
        <f>Tabelle5[[#This Row],[value_present]]*Tabelle5[[#This Row],[binding_level]]</f>
        <v>0</v>
      </c>
    </row>
    <row r="241" spans="1:11" x14ac:dyDescent="0.25">
      <c r="A241" s="2"/>
      <c r="B241" s="2"/>
      <c r="C241" s="2"/>
      <c r="D241" s="3"/>
      <c r="E241" s="1"/>
      <c r="I241" s="1"/>
      <c r="K241" s="4">
        <f>Tabelle5[[#This Row],[value_present]]*Tabelle5[[#This Row],[binding_level]]</f>
        <v>0</v>
      </c>
    </row>
    <row r="242" spans="1:11" x14ac:dyDescent="0.25">
      <c r="A242" s="2"/>
      <c r="B242" s="2"/>
      <c r="C242" s="2"/>
      <c r="D242" s="3"/>
      <c r="E242" s="1"/>
      <c r="I242" s="1"/>
      <c r="K242" s="4">
        <f>Tabelle5[[#This Row],[value_present]]*Tabelle5[[#This Row],[binding_level]]</f>
        <v>0</v>
      </c>
    </row>
    <row r="243" spans="1:11" x14ac:dyDescent="0.25">
      <c r="A243" s="2"/>
      <c r="B243" s="2"/>
      <c r="C243" s="2"/>
      <c r="D243" s="3"/>
      <c r="E243" s="1"/>
      <c r="I243" s="1"/>
      <c r="K243" s="4">
        <f>Tabelle5[[#This Row],[value_present]]*Tabelle5[[#This Row],[binding_level]]</f>
        <v>0</v>
      </c>
    </row>
    <row r="244" spans="1:11" x14ac:dyDescent="0.25">
      <c r="A244" s="2"/>
      <c r="B244" s="2"/>
      <c r="C244" s="2"/>
      <c r="D244" s="3"/>
      <c r="E244" s="1"/>
      <c r="I244" s="1"/>
      <c r="K244" s="4">
        <f>Tabelle5[[#This Row],[value_present]]*Tabelle5[[#This Row],[binding_level]]</f>
        <v>0</v>
      </c>
    </row>
    <row r="245" spans="1:11" x14ac:dyDescent="0.25">
      <c r="A245" s="2"/>
      <c r="B245" s="2"/>
      <c r="C245" s="2"/>
      <c r="D245" s="3"/>
      <c r="E245" s="1"/>
      <c r="I245" s="1"/>
      <c r="K245" s="4">
        <f>Tabelle5[[#This Row],[value_present]]*Tabelle5[[#This Row],[binding_level]]</f>
        <v>0</v>
      </c>
    </row>
    <row r="246" spans="1:11" x14ac:dyDescent="0.25">
      <c r="A246" s="2"/>
      <c r="B246" s="2"/>
      <c r="C246" s="2"/>
      <c r="D246" s="3"/>
      <c r="E246" s="1"/>
      <c r="I246" s="1"/>
      <c r="K246" s="4">
        <f>Tabelle5[[#This Row],[value_present]]*Tabelle5[[#This Row],[binding_level]]</f>
        <v>0</v>
      </c>
    </row>
    <row r="247" spans="1:11" x14ac:dyDescent="0.25">
      <c r="A247" s="2"/>
      <c r="B247" s="2"/>
      <c r="C247" s="2"/>
      <c r="D247" s="3"/>
      <c r="E247" s="1"/>
      <c r="I247" s="1"/>
      <c r="K247" s="4">
        <f>Tabelle5[[#This Row],[value_present]]*Tabelle5[[#This Row],[binding_level]]</f>
        <v>0</v>
      </c>
    </row>
    <row r="248" spans="1:11" x14ac:dyDescent="0.25">
      <c r="A248" s="2"/>
      <c r="B248" s="2"/>
      <c r="C248" s="2"/>
      <c r="D248" s="3"/>
      <c r="E248" s="1"/>
      <c r="I248" s="1"/>
      <c r="K248" s="4">
        <f>Tabelle5[[#This Row],[value_present]]*Tabelle5[[#This Row],[binding_level]]</f>
        <v>0</v>
      </c>
    </row>
    <row r="249" spans="1:11" x14ac:dyDescent="0.25">
      <c r="A249" s="2"/>
      <c r="B249" s="2"/>
      <c r="C249" s="2"/>
      <c r="D249" s="3"/>
      <c r="E249" s="1"/>
      <c r="I249" s="1"/>
      <c r="K249" s="4">
        <f>Tabelle5[[#This Row],[value_present]]*Tabelle5[[#This Row],[binding_level]]</f>
        <v>0</v>
      </c>
    </row>
    <row r="250" spans="1:11" x14ac:dyDescent="0.25">
      <c r="A250" s="2"/>
      <c r="B250" s="2"/>
      <c r="C250" s="2"/>
      <c r="D250" s="3"/>
      <c r="E250" s="1"/>
      <c r="I250" s="1"/>
      <c r="K250" s="4">
        <f>Tabelle5[[#This Row],[value_present]]*Tabelle5[[#This Row],[binding_level]]</f>
        <v>0</v>
      </c>
    </row>
    <row r="251" spans="1:11" x14ac:dyDescent="0.25">
      <c r="A251" s="2"/>
      <c r="B251" s="2"/>
      <c r="C251" s="2"/>
      <c r="D251" s="3"/>
      <c r="E251" s="1"/>
      <c r="I251" s="1"/>
      <c r="K251" s="4">
        <f>Tabelle5[[#This Row],[value_present]]*Tabelle5[[#This Row],[binding_level]]</f>
        <v>0</v>
      </c>
    </row>
    <row r="252" spans="1:11" x14ac:dyDescent="0.25">
      <c r="A252" s="2"/>
      <c r="B252" s="2"/>
      <c r="C252" s="2"/>
      <c r="D252" s="3"/>
      <c r="E252" s="1"/>
      <c r="I252" s="1"/>
      <c r="K252" s="4">
        <f>Tabelle5[[#This Row],[value_present]]*Tabelle5[[#This Row],[binding_level]]</f>
        <v>0</v>
      </c>
    </row>
    <row r="253" spans="1:11" x14ac:dyDescent="0.25">
      <c r="A253" s="2"/>
      <c r="B253" s="2"/>
      <c r="C253" s="2"/>
      <c r="D253" s="3"/>
      <c r="E253" s="1"/>
      <c r="I253" s="1"/>
      <c r="K253" s="4">
        <f>Tabelle5[[#This Row],[value_present]]*Tabelle5[[#This Row],[binding_level]]</f>
        <v>0</v>
      </c>
    </row>
    <row r="254" spans="1:11" x14ac:dyDescent="0.25">
      <c r="A254" s="2"/>
      <c r="B254" s="2"/>
      <c r="C254" s="2"/>
      <c r="D254" s="3"/>
      <c r="E254" s="1"/>
      <c r="I254" s="1"/>
      <c r="K254" s="4">
        <f>Tabelle5[[#This Row],[value_present]]*Tabelle5[[#This Row],[binding_level]]</f>
        <v>0</v>
      </c>
    </row>
    <row r="255" spans="1:11" x14ac:dyDescent="0.25">
      <c r="A255" s="2"/>
      <c r="B255" s="2"/>
      <c r="C255" s="2"/>
      <c r="D255" s="3"/>
      <c r="E255" s="1"/>
      <c r="I255" s="1"/>
      <c r="K255" s="4">
        <f>Tabelle5[[#This Row],[value_present]]*Tabelle5[[#This Row],[binding_level]]</f>
        <v>0</v>
      </c>
    </row>
    <row r="256" spans="1:11" x14ac:dyDescent="0.25">
      <c r="A256" s="2"/>
      <c r="B256" s="2"/>
      <c r="C256" s="2"/>
      <c r="D256" s="3"/>
      <c r="E256" s="1"/>
      <c r="I256" s="1"/>
      <c r="K256" s="4">
        <f>Tabelle5[[#This Row],[value_present]]*Tabelle5[[#This Row],[binding_level]]</f>
        <v>0</v>
      </c>
    </row>
    <row r="257" spans="1:11" x14ac:dyDescent="0.25">
      <c r="A257" s="2"/>
      <c r="B257" s="2"/>
      <c r="C257" s="2"/>
      <c r="D257" s="3"/>
      <c r="E257" s="1"/>
      <c r="I257" s="1"/>
      <c r="K257" s="4">
        <f>Tabelle5[[#This Row],[value_present]]*Tabelle5[[#This Row],[binding_level]]</f>
        <v>0</v>
      </c>
    </row>
    <row r="258" spans="1:11" x14ac:dyDescent="0.25">
      <c r="A258" s="2"/>
      <c r="B258" s="2"/>
      <c r="C258" s="2"/>
      <c r="D258" s="3"/>
      <c r="E258" s="1"/>
      <c r="I258" s="1"/>
      <c r="K258" s="4">
        <f>Tabelle5[[#This Row],[value_present]]*Tabelle5[[#This Row],[binding_level]]</f>
        <v>0</v>
      </c>
    </row>
    <row r="259" spans="1:11" x14ac:dyDescent="0.25">
      <c r="A259" s="2"/>
      <c r="B259" s="2"/>
      <c r="C259" s="2"/>
      <c r="D259" s="3"/>
      <c r="E259" s="1"/>
      <c r="I259" s="1"/>
      <c r="K259" s="4">
        <f>Tabelle5[[#This Row],[value_present]]*Tabelle5[[#This Row],[binding_level]]</f>
        <v>0</v>
      </c>
    </row>
    <row r="260" spans="1:11" x14ac:dyDescent="0.25">
      <c r="A260" s="2"/>
      <c r="B260" s="2"/>
      <c r="C260" s="2"/>
      <c r="D260" s="3"/>
      <c r="E260" s="1"/>
      <c r="I260" s="1"/>
      <c r="K260" s="4">
        <f>Tabelle5[[#This Row],[value_present]]*Tabelle5[[#This Row],[binding_level]]</f>
        <v>0</v>
      </c>
    </row>
    <row r="261" spans="1:11" x14ac:dyDescent="0.25">
      <c r="A261" s="2"/>
      <c r="B261" s="2"/>
      <c r="C261" s="2"/>
      <c r="D261" s="3"/>
      <c r="E261" s="1"/>
      <c r="I261" s="1"/>
      <c r="K261" s="4">
        <f>Tabelle5[[#This Row],[value_present]]*Tabelle5[[#This Row],[binding_level]]</f>
        <v>0</v>
      </c>
    </row>
    <row r="262" spans="1:11" x14ac:dyDescent="0.25">
      <c r="A262" s="2"/>
      <c r="B262" s="2"/>
      <c r="C262" s="2"/>
      <c r="D262" s="3"/>
      <c r="E262" s="1"/>
      <c r="I262" s="1"/>
      <c r="K262" s="4">
        <f>Tabelle5[[#This Row],[value_present]]*Tabelle5[[#This Row],[binding_level]]</f>
        <v>0</v>
      </c>
    </row>
    <row r="263" spans="1:11" x14ac:dyDescent="0.25">
      <c r="A263" s="2"/>
      <c r="B263" s="2"/>
      <c r="C263" s="2"/>
      <c r="D263" s="3"/>
      <c r="E263" s="1"/>
      <c r="I263" s="1"/>
      <c r="K263" s="4">
        <f>Tabelle5[[#This Row],[value_present]]*Tabelle5[[#This Row],[binding_level]]</f>
        <v>0</v>
      </c>
    </row>
    <row r="264" spans="1:11" x14ac:dyDescent="0.25">
      <c r="A264" s="2"/>
      <c r="B264" s="2"/>
      <c r="C264" s="2"/>
      <c r="D264" s="3"/>
      <c r="E264" s="1"/>
      <c r="I264" s="1"/>
      <c r="K264" s="4">
        <f>Tabelle5[[#This Row],[value_present]]*Tabelle5[[#This Row],[binding_level]]</f>
        <v>0</v>
      </c>
    </row>
    <row r="265" spans="1:11" x14ac:dyDescent="0.25">
      <c r="A265" s="2"/>
      <c r="B265" s="2"/>
      <c r="C265" s="2"/>
      <c r="D265" s="3"/>
      <c r="E265" s="1"/>
      <c r="I265" s="1"/>
      <c r="K265" s="4">
        <f>Tabelle5[[#This Row],[value_present]]*Tabelle5[[#This Row],[binding_level]]</f>
        <v>0</v>
      </c>
    </row>
    <row r="266" spans="1:11" x14ac:dyDescent="0.25">
      <c r="A266" s="2"/>
      <c r="B266" s="2"/>
      <c r="C266" s="2"/>
      <c r="D266" s="3"/>
      <c r="E266" s="1"/>
      <c r="I266" s="1"/>
      <c r="K266" s="4">
        <f>Tabelle5[[#This Row],[value_present]]*Tabelle5[[#This Row],[binding_level]]</f>
        <v>0</v>
      </c>
    </row>
    <row r="267" spans="1:11" x14ac:dyDescent="0.25">
      <c r="A267" s="2"/>
      <c r="B267" s="2"/>
      <c r="C267" s="2"/>
      <c r="D267" s="3"/>
      <c r="E267" s="1"/>
      <c r="I267" s="1"/>
      <c r="K267" s="4">
        <f>Tabelle5[[#This Row],[value_present]]*Tabelle5[[#This Row],[binding_level]]</f>
        <v>0</v>
      </c>
    </row>
    <row r="268" spans="1:11" x14ac:dyDescent="0.25">
      <c r="A268" s="2"/>
      <c r="B268" s="2"/>
      <c r="C268" s="2"/>
      <c r="D268" s="3"/>
      <c r="E268" s="1"/>
      <c r="I268" s="1"/>
      <c r="K268" s="4">
        <f>Tabelle5[[#This Row],[value_present]]*Tabelle5[[#This Row],[binding_level]]</f>
        <v>0</v>
      </c>
    </row>
    <row r="269" spans="1:11" x14ac:dyDescent="0.25">
      <c r="A269" s="2"/>
      <c r="B269" s="2"/>
      <c r="C269" s="2"/>
      <c r="D269" s="3"/>
      <c r="E269" s="1"/>
      <c r="I269" s="1"/>
      <c r="K269" s="4">
        <f>Tabelle5[[#This Row],[value_present]]*Tabelle5[[#This Row],[binding_level]]</f>
        <v>0</v>
      </c>
    </row>
    <row r="270" spans="1:11" x14ac:dyDescent="0.25">
      <c r="A270" s="2"/>
      <c r="B270" s="2"/>
      <c r="C270" s="2"/>
      <c r="D270" s="3"/>
      <c r="E270" s="1"/>
      <c r="I270" s="1"/>
      <c r="K270" s="4">
        <f>Tabelle5[[#This Row],[value_present]]*Tabelle5[[#This Row],[binding_level]]</f>
        <v>0</v>
      </c>
    </row>
    <row r="271" spans="1:11" x14ac:dyDescent="0.25">
      <c r="A271" s="2"/>
      <c r="B271" s="2"/>
      <c r="C271" s="2"/>
      <c r="D271" s="3"/>
      <c r="E271" s="1"/>
      <c r="I271" s="1"/>
      <c r="K271" s="4">
        <f>Tabelle5[[#This Row],[value_present]]*Tabelle5[[#This Row],[binding_level]]</f>
        <v>0</v>
      </c>
    </row>
    <row r="272" spans="1:11" x14ac:dyDescent="0.25">
      <c r="A272" s="2"/>
      <c r="B272" s="2"/>
      <c r="C272" s="2"/>
      <c r="D272" s="3"/>
      <c r="E272" s="1"/>
      <c r="I272" s="1"/>
      <c r="K272" s="4">
        <f>Tabelle5[[#This Row],[value_present]]*Tabelle5[[#This Row],[binding_level]]</f>
        <v>0</v>
      </c>
    </row>
    <row r="273" spans="1:11" x14ac:dyDescent="0.25">
      <c r="A273" s="2"/>
      <c r="B273" s="2"/>
      <c r="C273" s="2"/>
      <c r="D273" s="3"/>
      <c r="E273" s="1"/>
      <c r="I273" s="1"/>
      <c r="K273" s="4">
        <f>Tabelle5[[#This Row],[value_present]]*Tabelle5[[#This Row],[binding_level]]</f>
        <v>0</v>
      </c>
    </row>
    <row r="274" spans="1:11" x14ac:dyDescent="0.25">
      <c r="A274" s="2"/>
      <c r="B274" s="2"/>
      <c r="C274" s="2"/>
      <c r="D274" s="3"/>
      <c r="E274" s="1"/>
      <c r="I274" s="1"/>
      <c r="K274" s="4">
        <f>Tabelle5[[#This Row],[value_present]]*Tabelle5[[#This Row],[binding_level]]</f>
        <v>0</v>
      </c>
    </row>
    <row r="275" spans="1:11" x14ac:dyDescent="0.25">
      <c r="A275" s="2"/>
      <c r="B275" s="2"/>
      <c r="C275" s="2"/>
      <c r="D275" s="3"/>
      <c r="E275" s="1"/>
      <c r="I275" s="1"/>
      <c r="K275" s="4">
        <f>Tabelle5[[#This Row],[value_present]]*Tabelle5[[#This Row],[binding_level]]</f>
        <v>0</v>
      </c>
    </row>
    <row r="276" spans="1:11" x14ac:dyDescent="0.25">
      <c r="A276" s="2"/>
      <c r="B276" s="2"/>
      <c r="C276" s="2"/>
      <c r="D276" s="3"/>
      <c r="E276" s="1"/>
      <c r="I276" s="1"/>
      <c r="K276" s="4">
        <f>Tabelle5[[#This Row],[value_present]]*Tabelle5[[#This Row],[binding_level]]</f>
        <v>0</v>
      </c>
    </row>
    <row r="277" spans="1:11" x14ac:dyDescent="0.25">
      <c r="A277" s="2"/>
      <c r="B277" s="2"/>
      <c r="C277" s="2"/>
      <c r="D277" s="3"/>
      <c r="E277" s="1"/>
      <c r="I277" s="1"/>
      <c r="K277" s="4">
        <f>Tabelle5[[#This Row],[value_present]]*Tabelle5[[#This Row],[binding_level]]</f>
        <v>0</v>
      </c>
    </row>
    <row r="278" spans="1:11" x14ac:dyDescent="0.25">
      <c r="A278" s="2"/>
      <c r="B278" s="2"/>
      <c r="C278" s="2"/>
      <c r="D278" s="3"/>
      <c r="E278" s="1"/>
      <c r="I278" s="1"/>
      <c r="K278" s="4">
        <f>Tabelle5[[#This Row],[value_present]]*Tabelle5[[#This Row],[binding_level]]</f>
        <v>0</v>
      </c>
    </row>
    <row r="279" spans="1:11" x14ac:dyDescent="0.25">
      <c r="A279" s="2"/>
      <c r="B279" s="2"/>
      <c r="C279" s="2"/>
      <c r="D279" s="3"/>
      <c r="E279" s="1"/>
      <c r="I279" s="1"/>
      <c r="K279" s="4">
        <f>Tabelle5[[#This Row],[value_present]]*Tabelle5[[#This Row],[binding_level]]</f>
        <v>0</v>
      </c>
    </row>
    <row r="280" spans="1:11" x14ac:dyDescent="0.25">
      <c r="A280" s="2"/>
      <c r="B280" s="2"/>
      <c r="C280" s="2"/>
      <c r="D280" s="3"/>
      <c r="E280" s="1"/>
      <c r="I280" s="1"/>
      <c r="K280" s="4">
        <f>Tabelle5[[#This Row],[value_present]]*Tabelle5[[#This Row],[binding_level]]</f>
        <v>0</v>
      </c>
    </row>
    <row r="281" spans="1:11" x14ac:dyDescent="0.25">
      <c r="A281" s="2"/>
      <c r="B281" s="2"/>
      <c r="C281" s="2"/>
      <c r="D281" s="3"/>
      <c r="E281" s="1"/>
      <c r="I281" s="1"/>
      <c r="K281" s="4">
        <f>Tabelle5[[#This Row],[value_present]]*Tabelle5[[#This Row],[binding_level]]</f>
        <v>0</v>
      </c>
    </row>
    <row r="282" spans="1:11" x14ac:dyDescent="0.25">
      <c r="A282" s="2"/>
      <c r="B282" s="2"/>
      <c r="C282" s="2"/>
      <c r="D282" s="3"/>
      <c r="E282" s="1"/>
      <c r="I282" s="1"/>
      <c r="K282" s="4">
        <f>Tabelle5[[#This Row],[value_present]]*Tabelle5[[#This Row],[binding_level]]</f>
        <v>0</v>
      </c>
    </row>
    <row r="283" spans="1:11" x14ac:dyDescent="0.25">
      <c r="A283" s="2"/>
      <c r="B283" s="2"/>
      <c r="C283" s="2"/>
      <c r="D283" s="3"/>
      <c r="E283" s="1"/>
      <c r="I283" s="1"/>
      <c r="K283" s="4">
        <f>Tabelle5[[#This Row],[value_present]]*Tabelle5[[#This Row],[binding_level]]</f>
        <v>0</v>
      </c>
    </row>
    <row r="284" spans="1:11" x14ac:dyDescent="0.25">
      <c r="A284" s="2"/>
      <c r="B284" s="2"/>
      <c r="C284" s="2"/>
      <c r="D284" s="3"/>
      <c r="E284" s="1"/>
      <c r="I284" s="1"/>
      <c r="K284" s="4">
        <f>Tabelle5[[#This Row],[value_present]]*Tabelle5[[#This Row],[binding_level]]</f>
        <v>0</v>
      </c>
    </row>
    <row r="285" spans="1:11" x14ac:dyDescent="0.25">
      <c r="A285" s="2"/>
      <c r="B285" s="2"/>
      <c r="C285" s="2"/>
      <c r="D285" s="3"/>
      <c r="E285" s="1"/>
      <c r="I285" s="1"/>
      <c r="K285" s="4">
        <f>Tabelle5[[#This Row],[value_present]]*Tabelle5[[#This Row],[binding_level]]</f>
        <v>0</v>
      </c>
    </row>
    <row r="286" spans="1:11" x14ac:dyDescent="0.25">
      <c r="A286" s="2"/>
      <c r="B286" s="2"/>
      <c r="C286" s="2"/>
      <c r="D286" s="3"/>
      <c r="E286" s="1"/>
      <c r="I286" s="1"/>
      <c r="K286" s="4">
        <f>Tabelle5[[#This Row],[value_present]]*Tabelle5[[#This Row],[binding_level]]</f>
        <v>0</v>
      </c>
    </row>
    <row r="287" spans="1:11" x14ac:dyDescent="0.25">
      <c r="A287" s="2"/>
      <c r="B287" s="2"/>
      <c r="C287" s="2"/>
      <c r="D287" s="3"/>
      <c r="E287" s="1"/>
      <c r="I287" s="1"/>
      <c r="K287" s="4">
        <f>Tabelle5[[#This Row],[value_present]]*Tabelle5[[#This Row],[binding_level]]</f>
        <v>0</v>
      </c>
    </row>
    <row r="288" spans="1:11" x14ac:dyDescent="0.25">
      <c r="A288" s="2"/>
      <c r="B288" s="2"/>
      <c r="C288" s="2"/>
      <c r="D288" s="3"/>
      <c r="E288" s="1"/>
      <c r="I288" s="1"/>
      <c r="K288" s="4">
        <f>Tabelle5[[#This Row],[value_present]]*Tabelle5[[#This Row],[binding_level]]</f>
        <v>0</v>
      </c>
    </row>
    <row r="289" spans="1:11" x14ac:dyDescent="0.25">
      <c r="A289" s="2"/>
      <c r="B289" s="2"/>
      <c r="C289" s="2"/>
      <c r="D289" s="3"/>
      <c r="E289" s="1"/>
      <c r="I289" s="1"/>
      <c r="K289" s="4">
        <f>Tabelle5[[#This Row],[value_present]]*Tabelle5[[#This Row],[binding_level]]</f>
        <v>0</v>
      </c>
    </row>
    <row r="290" spans="1:11" x14ac:dyDescent="0.25">
      <c r="A290" s="2"/>
      <c r="B290" s="2"/>
      <c r="C290" s="2"/>
      <c r="D290" s="3"/>
      <c r="E290" s="1"/>
      <c r="I290" s="1"/>
      <c r="K290" s="4">
        <f>Tabelle5[[#This Row],[value_present]]*Tabelle5[[#This Row],[binding_level]]</f>
        <v>0</v>
      </c>
    </row>
    <row r="291" spans="1:11" x14ac:dyDescent="0.25">
      <c r="A291" s="2"/>
      <c r="B291" s="2"/>
      <c r="C291" s="2"/>
      <c r="D291" s="3"/>
      <c r="E291" s="1"/>
      <c r="I291" s="1"/>
      <c r="K291" s="4">
        <f>Tabelle5[[#This Row],[value_present]]*Tabelle5[[#This Row],[binding_level]]</f>
        <v>0</v>
      </c>
    </row>
    <row r="292" spans="1:11" x14ac:dyDescent="0.25">
      <c r="A292" s="2"/>
      <c r="B292" s="2"/>
      <c r="C292" s="2"/>
      <c r="D292" s="3"/>
      <c r="E292" s="1"/>
      <c r="I292" s="1"/>
      <c r="K292" s="4">
        <f>Tabelle5[[#This Row],[value_present]]*Tabelle5[[#This Row],[binding_level]]</f>
        <v>0</v>
      </c>
    </row>
    <row r="293" spans="1:11" x14ac:dyDescent="0.25">
      <c r="A293" s="2"/>
      <c r="B293" s="2"/>
      <c r="C293" s="2"/>
      <c r="D293" s="3"/>
      <c r="E293" s="1"/>
      <c r="I293" s="1"/>
      <c r="K293" s="4">
        <f>Tabelle5[[#This Row],[value_present]]*Tabelle5[[#This Row],[binding_level]]</f>
        <v>0</v>
      </c>
    </row>
    <row r="294" spans="1:11" x14ac:dyDescent="0.25">
      <c r="A294" s="2"/>
      <c r="B294" s="2"/>
      <c r="C294" s="2"/>
      <c r="D294" s="3"/>
      <c r="E294" s="1"/>
      <c r="I294" s="1"/>
      <c r="K294" s="4">
        <f>Tabelle5[[#This Row],[value_present]]*Tabelle5[[#This Row],[binding_level]]</f>
        <v>0</v>
      </c>
    </row>
    <row r="295" spans="1:11" x14ac:dyDescent="0.25">
      <c r="A295" s="2"/>
      <c r="B295" s="2"/>
      <c r="C295" s="2"/>
      <c r="D295" s="3"/>
      <c r="E295" s="1"/>
      <c r="I295" s="1"/>
      <c r="K295" s="4">
        <f>Tabelle5[[#This Row],[value_present]]*Tabelle5[[#This Row],[binding_level]]</f>
        <v>0</v>
      </c>
    </row>
    <row r="296" spans="1:11" x14ac:dyDescent="0.25">
      <c r="A296" s="2"/>
      <c r="B296" s="2"/>
      <c r="C296" s="2"/>
      <c r="D296" s="3"/>
      <c r="E296" s="1"/>
      <c r="I296" s="1"/>
      <c r="K296" s="4">
        <f>Tabelle5[[#This Row],[value_present]]*Tabelle5[[#This Row],[binding_level]]</f>
        <v>0</v>
      </c>
    </row>
    <row r="297" spans="1:11" x14ac:dyDescent="0.25">
      <c r="A297" s="2"/>
      <c r="B297" s="2"/>
      <c r="C297" s="2"/>
      <c r="D297" s="3"/>
      <c r="E297" s="1"/>
      <c r="I297" s="1"/>
      <c r="K297" s="4">
        <f>Tabelle5[[#This Row],[value_present]]*Tabelle5[[#This Row],[binding_level]]</f>
        <v>0</v>
      </c>
    </row>
    <row r="298" spans="1:11" x14ac:dyDescent="0.25">
      <c r="A298" s="2"/>
      <c r="B298" s="2"/>
      <c r="C298" s="2"/>
      <c r="D298" s="3"/>
      <c r="E298" s="1"/>
      <c r="I298" s="1"/>
      <c r="K298" s="4">
        <f>Tabelle5[[#This Row],[value_present]]*Tabelle5[[#This Row],[binding_level]]</f>
        <v>0</v>
      </c>
    </row>
    <row r="299" spans="1:11" x14ac:dyDescent="0.25">
      <c r="A299" s="2"/>
      <c r="B299" s="2"/>
      <c r="C299" s="2"/>
      <c r="D299" s="3"/>
      <c r="E299" s="1"/>
      <c r="I299" s="1"/>
      <c r="K299" s="4">
        <f>Tabelle5[[#This Row],[value_present]]*Tabelle5[[#This Row],[binding_level]]</f>
        <v>0</v>
      </c>
    </row>
    <row r="300" spans="1:11" x14ac:dyDescent="0.25">
      <c r="A300" s="2"/>
      <c r="B300" s="2"/>
      <c r="C300" s="2"/>
      <c r="D300" s="3"/>
      <c r="E300" s="1"/>
      <c r="I300" s="1"/>
      <c r="K300" s="4">
        <f>Tabelle5[[#This Row],[value_present]]*Tabelle5[[#This Row],[binding_level]]</f>
        <v>0</v>
      </c>
    </row>
    <row r="301" spans="1:11" x14ac:dyDescent="0.25">
      <c r="A301" s="2"/>
      <c r="B301" s="2"/>
      <c r="C301" s="2"/>
      <c r="D301" s="3"/>
      <c r="E301" s="1"/>
      <c r="I301" s="1"/>
      <c r="K301" s="4">
        <f>Tabelle5[[#This Row],[value_present]]*Tabelle5[[#This Row],[binding_level]]</f>
        <v>0</v>
      </c>
    </row>
    <row r="302" spans="1:11" x14ac:dyDescent="0.25">
      <c r="A302" s="2"/>
      <c r="B302" s="2"/>
      <c r="C302" s="2"/>
      <c r="D302" s="3"/>
      <c r="E302" s="1"/>
      <c r="I302" s="1"/>
      <c r="K302" s="4">
        <f>Tabelle5[[#This Row],[value_present]]*Tabelle5[[#This Row],[binding_level]]</f>
        <v>0</v>
      </c>
    </row>
    <row r="303" spans="1:11" x14ac:dyDescent="0.25">
      <c r="A303" s="2"/>
      <c r="B303" s="2"/>
      <c r="C303" s="2"/>
      <c r="D303" s="3"/>
      <c r="E303" s="1"/>
      <c r="I303" s="1"/>
      <c r="K303" s="4">
        <f>Tabelle5[[#This Row],[value_present]]*Tabelle5[[#This Row],[binding_level]]</f>
        <v>0</v>
      </c>
    </row>
    <row r="304" spans="1:11" x14ac:dyDescent="0.25">
      <c r="A304" s="2"/>
      <c r="B304" s="2"/>
      <c r="C304" s="2"/>
      <c r="D304" s="3"/>
      <c r="E304" s="1"/>
      <c r="I304" s="1"/>
      <c r="K304" s="4">
        <f>Tabelle5[[#This Row],[value_present]]*Tabelle5[[#This Row],[binding_level]]</f>
        <v>0</v>
      </c>
    </row>
    <row r="305" spans="1:11" x14ac:dyDescent="0.25">
      <c r="A305" s="2"/>
      <c r="B305" s="2"/>
      <c r="C305" s="2"/>
      <c r="D305" s="3"/>
      <c r="E305" s="1"/>
      <c r="I305" s="1"/>
      <c r="K305" s="4">
        <f>Tabelle5[[#This Row],[value_present]]*Tabelle5[[#This Row],[binding_level]]</f>
        <v>0</v>
      </c>
    </row>
    <row r="306" spans="1:11" x14ac:dyDescent="0.25">
      <c r="A306" s="2"/>
      <c r="B306" s="2"/>
      <c r="C306" s="2"/>
      <c r="D306" s="3"/>
      <c r="E306" s="1"/>
      <c r="I306" s="1"/>
      <c r="K306" s="4">
        <f>Tabelle5[[#This Row],[value_present]]*Tabelle5[[#This Row],[binding_level]]</f>
        <v>0</v>
      </c>
    </row>
    <row r="307" spans="1:11" x14ac:dyDescent="0.25">
      <c r="A307" s="2"/>
      <c r="B307" s="2"/>
      <c r="C307" s="2"/>
      <c r="D307" s="3"/>
      <c r="E307" s="1"/>
      <c r="I307" s="1"/>
      <c r="K307" s="4">
        <f>Tabelle5[[#This Row],[value_present]]*Tabelle5[[#This Row],[binding_level]]</f>
        <v>0</v>
      </c>
    </row>
    <row r="308" spans="1:11" x14ac:dyDescent="0.25">
      <c r="A308" s="2"/>
      <c r="B308" s="2"/>
      <c r="C308" s="2"/>
      <c r="D308" s="3"/>
      <c r="E308" s="1"/>
      <c r="I308" s="1"/>
      <c r="K308" s="4">
        <f>Tabelle5[[#This Row],[value_present]]*Tabelle5[[#This Row],[binding_level]]</f>
        <v>0</v>
      </c>
    </row>
    <row r="309" spans="1:11" x14ac:dyDescent="0.25">
      <c r="A309" s="2"/>
      <c r="B309" s="2"/>
      <c r="C309" s="2"/>
      <c r="D309" s="3"/>
      <c r="E309" s="1"/>
      <c r="I309" s="1"/>
      <c r="K309" s="4">
        <f>Tabelle5[[#This Row],[value_present]]*Tabelle5[[#This Row],[binding_level]]</f>
        <v>0</v>
      </c>
    </row>
    <row r="310" spans="1:11" x14ac:dyDescent="0.25">
      <c r="A310" s="2"/>
      <c r="B310" s="2"/>
      <c r="C310" s="2"/>
      <c r="D310" s="3"/>
      <c r="E310" s="1"/>
      <c r="I310" s="1"/>
      <c r="K310" s="4">
        <f>Tabelle5[[#This Row],[value_present]]*Tabelle5[[#This Row],[binding_level]]</f>
        <v>0</v>
      </c>
    </row>
    <row r="311" spans="1:11" x14ac:dyDescent="0.25">
      <c r="A311" s="2"/>
      <c r="B311" s="2"/>
      <c r="C311" s="2"/>
      <c r="D311" s="3"/>
      <c r="E311" s="1"/>
      <c r="I311" s="1"/>
      <c r="K311" s="4">
        <f>Tabelle5[[#This Row],[value_present]]*Tabelle5[[#This Row],[binding_level]]</f>
        <v>0</v>
      </c>
    </row>
    <row r="312" spans="1:11" x14ac:dyDescent="0.25">
      <c r="A312" s="2"/>
      <c r="B312" s="2"/>
      <c r="C312" s="2"/>
      <c r="D312" s="3"/>
      <c r="E312" s="1"/>
      <c r="I312" s="1"/>
      <c r="K312" s="4">
        <f>Tabelle5[[#This Row],[value_present]]*Tabelle5[[#This Row],[binding_level]]</f>
        <v>0</v>
      </c>
    </row>
    <row r="313" spans="1:11" x14ac:dyDescent="0.25">
      <c r="A313" s="2"/>
      <c r="B313" s="2"/>
      <c r="C313" s="2"/>
      <c r="D313" s="3"/>
      <c r="E313" s="1"/>
      <c r="I313" s="1"/>
      <c r="K313" s="4">
        <f>Tabelle5[[#This Row],[value_present]]*Tabelle5[[#This Row],[binding_level]]</f>
        <v>0</v>
      </c>
    </row>
    <row r="314" spans="1:11" x14ac:dyDescent="0.25">
      <c r="A314" s="2"/>
      <c r="B314" s="2"/>
      <c r="C314" s="2"/>
      <c r="D314" s="3"/>
      <c r="E314" s="1"/>
      <c r="I314" s="1"/>
      <c r="K314" s="4">
        <f>Tabelle5[[#This Row],[value_present]]*Tabelle5[[#This Row],[binding_level]]</f>
        <v>0</v>
      </c>
    </row>
    <row r="315" spans="1:11" x14ac:dyDescent="0.25">
      <c r="A315" s="2"/>
      <c r="B315" s="2"/>
      <c r="C315" s="2"/>
      <c r="D315" s="3"/>
      <c r="E315" s="1"/>
      <c r="I315" s="1"/>
      <c r="K315" s="4">
        <f>Tabelle5[[#This Row],[value_present]]*Tabelle5[[#This Row],[binding_level]]</f>
        <v>0</v>
      </c>
    </row>
    <row r="316" spans="1:11" x14ac:dyDescent="0.25">
      <c r="A316" s="2"/>
      <c r="B316" s="2"/>
      <c r="C316" s="2"/>
      <c r="D316" s="3"/>
      <c r="E316" s="1"/>
      <c r="I316" s="1"/>
      <c r="K316" s="4">
        <f>Tabelle5[[#This Row],[value_present]]*Tabelle5[[#This Row],[binding_level]]</f>
        <v>0</v>
      </c>
    </row>
    <row r="317" spans="1:11" x14ac:dyDescent="0.25">
      <c r="A317" s="2"/>
      <c r="B317" s="2"/>
      <c r="C317" s="2"/>
      <c r="D317" s="3"/>
      <c r="E317" s="1"/>
      <c r="I317" s="1"/>
      <c r="K317" s="4">
        <f>Tabelle5[[#This Row],[value_present]]*Tabelle5[[#This Row],[binding_level]]</f>
        <v>0</v>
      </c>
    </row>
    <row r="318" spans="1:11" x14ac:dyDescent="0.25">
      <c r="A318" s="2"/>
      <c r="B318" s="2"/>
      <c r="C318" s="2"/>
      <c r="D318" s="3"/>
      <c r="E318" s="1"/>
      <c r="I318" s="1"/>
      <c r="K318" s="4">
        <f>Tabelle5[[#This Row],[value_present]]*Tabelle5[[#This Row],[binding_level]]</f>
        <v>0</v>
      </c>
    </row>
    <row r="319" spans="1:11" x14ac:dyDescent="0.25">
      <c r="A319" s="2"/>
      <c r="B319" s="2"/>
      <c r="C319" s="2"/>
      <c r="D319" s="3"/>
      <c r="E319" s="1"/>
      <c r="I319" s="1"/>
      <c r="K319" s="4">
        <f>Tabelle5[[#This Row],[value_present]]*Tabelle5[[#This Row],[binding_level]]</f>
        <v>0</v>
      </c>
    </row>
    <row r="320" spans="1:11" x14ac:dyDescent="0.25">
      <c r="A320" s="2"/>
      <c r="B320" s="2"/>
      <c r="C320" s="2"/>
      <c r="D320" s="3"/>
      <c r="E320" s="1"/>
      <c r="I320" s="1"/>
      <c r="K320" s="4">
        <f>Tabelle5[[#This Row],[value_present]]*Tabelle5[[#This Row],[binding_level]]</f>
        <v>0</v>
      </c>
    </row>
    <row r="321" spans="1:11" x14ac:dyDescent="0.25">
      <c r="A321" s="2"/>
      <c r="B321" s="2"/>
      <c r="C321" s="2"/>
      <c r="D321" s="3"/>
      <c r="E321" s="1"/>
      <c r="I321" s="1"/>
      <c r="K321" s="4">
        <f>Tabelle5[[#This Row],[value_present]]*Tabelle5[[#This Row],[binding_level]]</f>
        <v>0</v>
      </c>
    </row>
    <row r="322" spans="1:11" x14ac:dyDescent="0.25">
      <c r="A322" s="2"/>
      <c r="B322" s="2"/>
      <c r="C322" s="2"/>
      <c r="D322" s="3"/>
      <c r="E322" s="1"/>
      <c r="I322" s="1"/>
      <c r="K322" s="4">
        <f>Tabelle5[[#This Row],[value_present]]*Tabelle5[[#This Row],[binding_level]]</f>
        <v>0</v>
      </c>
    </row>
    <row r="323" spans="1:11" x14ac:dyDescent="0.25">
      <c r="A323" s="2"/>
      <c r="B323" s="2"/>
      <c r="C323" s="2"/>
      <c r="D323" s="3"/>
      <c r="E323" s="1"/>
      <c r="I323" s="1"/>
      <c r="K323" s="4">
        <f>Tabelle5[[#This Row],[value_present]]*Tabelle5[[#This Row],[binding_level]]</f>
        <v>0</v>
      </c>
    </row>
    <row r="324" spans="1:11" x14ac:dyDescent="0.25">
      <c r="A324" s="2"/>
      <c r="B324" s="2"/>
      <c r="C324" s="2"/>
      <c r="D324" s="3"/>
      <c r="E324" s="1"/>
      <c r="I324" s="1"/>
      <c r="K324" s="4">
        <f>Tabelle5[[#This Row],[value_present]]*Tabelle5[[#This Row],[binding_level]]</f>
        <v>0</v>
      </c>
    </row>
    <row r="325" spans="1:11" x14ac:dyDescent="0.25">
      <c r="A325" s="2"/>
      <c r="B325" s="2"/>
      <c r="C325" s="2"/>
      <c r="D325" s="3"/>
      <c r="E325" s="1"/>
      <c r="I325" s="1"/>
      <c r="K325" s="4">
        <f>Tabelle5[[#This Row],[value_present]]*Tabelle5[[#This Row],[binding_level]]</f>
        <v>0</v>
      </c>
    </row>
    <row r="326" spans="1:11" x14ac:dyDescent="0.25">
      <c r="A326" s="2"/>
      <c r="B326" s="2"/>
      <c r="C326" s="2"/>
      <c r="D326" s="3"/>
      <c r="E326" s="1"/>
      <c r="I326" s="1"/>
      <c r="K326" s="4">
        <f>Tabelle5[[#This Row],[value_present]]*Tabelle5[[#This Row],[binding_level]]</f>
        <v>0</v>
      </c>
    </row>
    <row r="327" spans="1:11" x14ac:dyDescent="0.25">
      <c r="A327" s="2"/>
      <c r="B327" s="2"/>
      <c r="C327" s="2"/>
      <c r="D327" s="3"/>
      <c r="E327" s="1"/>
      <c r="I327" s="1"/>
      <c r="K327" s="4">
        <f>Tabelle5[[#This Row],[value_present]]*Tabelle5[[#This Row],[binding_level]]</f>
        <v>0</v>
      </c>
    </row>
    <row r="328" spans="1:11" x14ac:dyDescent="0.25">
      <c r="A328" s="2"/>
      <c r="B328" s="2"/>
      <c r="C328" s="2"/>
      <c r="D328" s="3"/>
      <c r="E328" s="1"/>
      <c r="I328" s="1"/>
      <c r="K328" s="4">
        <f>Tabelle5[[#This Row],[value_present]]*Tabelle5[[#This Row],[binding_level]]</f>
        <v>0</v>
      </c>
    </row>
    <row r="329" spans="1:11" x14ac:dyDescent="0.25">
      <c r="A329" s="2"/>
      <c r="B329" s="2"/>
      <c r="C329" s="2"/>
      <c r="D329" s="3"/>
      <c r="E329" s="1"/>
      <c r="I329" s="1"/>
      <c r="K329" s="4">
        <f>Tabelle5[[#This Row],[value_present]]*Tabelle5[[#This Row],[binding_level]]</f>
        <v>0</v>
      </c>
    </row>
    <row r="330" spans="1:11" x14ac:dyDescent="0.25">
      <c r="A330" s="2"/>
      <c r="B330" s="2"/>
      <c r="C330" s="2"/>
      <c r="D330" s="3"/>
      <c r="E330" s="1"/>
      <c r="I330" s="1"/>
      <c r="K330" s="4">
        <f>Tabelle5[[#This Row],[value_present]]*Tabelle5[[#This Row],[binding_level]]</f>
        <v>0</v>
      </c>
    </row>
    <row r="331" spans="1:11" x14ac:dyDescent="0.25">
      <c r="A331" s="2"/>
      <c r="B331" s="2"/>
      <c r="C331" s="2"/>
      <c r="D331" s="3"/>
      <c r="E331" s="1"/>
      <c r="I331" s="1"/>
      <c r="K331" s="4">
        <f>Tabelle5[[#This Row],[value_present]]*Tabelle5[[#This Row],[binding_level]]</f>
        <v>0</v>
      </c>
    </row>
    <row r="332" spans="1:11" x14ac:dyDescent="0.25">
      <c r="A332" s="2"/>
      <c r="B332" s="2"/>
      <c r="C332" s="2"/>
      <c r="D332" s="3"/>
      <c r="E332" s="1"/>
      <c r="I332" s="1"/>
      <c r="K332" s="4">
        <f>Tabelle5[[#This Row],[value_present]]*Tabelle5[[#This Row],[binding_level]]</f>
        <v>0</v>
      </c>
    </row>
    <row r="333" spans="1:11" x14ac:dyDescent="0.25">
      <c r="A333" s="2"/>
      <c r="B333" s="2"/>
      <c r="C333" s="2"/>
      <c r="D333" s="3"/>
      <c r="E333" s="1"/>
      <c r="I333" s="1"/>
      <c r="K333" s="4">
        <f>Tabelle5[[#This Row],[value_present]]*Tabelle5[[#This Row],[binding_level]]</f>
        <v>0</v>
      </c>
    </row>
    <row r="334" spans="1:11" x14ac:dyDescent="0.25">
      <c r="A334" s="2"/>
      <c r="B334" s="2"/>
      <c r="C334" s="2"/>
      <c r="D334" s="3"/>
      <c r="E334" s="1"/>
      <c r="I334" s="1"/>
      <c r="K334" s="4">
        <f>Tabelle5[[#This Row],[value_present]]*Tabelle5[[#This Row],[binding_level]]</f>
        <v>0</v>
      </c>
    </row>
    <row r="335" spans="1:11" x14ac:dyDescent="0.25">
      <c r="A335" s="2"/>
      <c r="B335" s="2"/>
      <c r="C335" s="2"/>
      <c r="D335" s="3"/>
      <c r="E335" s="1"/>
      <c r="I335" s="1"/>
      <c r="K335" s="4">
        <f>Tabelle5[[#This Row],[value_present]]*Tabelle5[[#This Row],[binding_level]]</f>
        <v>0</v>
      </c>
    </row>
    <row r="336" spans="1:11" x14ac:dyDescent="0.25">
      <c r="A336" s="2"/>
      <c r="B336" s="2"/>
      <c r="C336" s="2"/>
      <c r="D336" s="3"/>
      <c r="E336" s="1"/>
      <c r="I336" s="1"/>
      <c r="K336" s="4">
        <f>Tabelle5[[#This Row],[value_present]]*Tabelle5[[#This Row],[binding_level]]</f>
        <v>0</v>
      </c>
    </row>
    <row r="337" spans="1:11" x14ac:dyDescent="0.25">
      <c r="A337" s="2"/>
      <c r="B337" s="2"/>
      <c r="C337" s="2"/>
      <c r="D337" s="3"/>
      <c r="E337" s="1"/>
      <c r="I337" s="1"/>
      <c r="K337" s="4">
        <f>Tabelle5[[#This Row],[value_present]]*Tabelle5[[#This Row],[binding_level]]</f>
        <v>0</v>
      </c>
    </row>
    <row r="338" spans="1:11" x14ac:dyDescent="0.25">
      <c r="A338" s="2"/>
      <c r="B338" s="2"/>
      <c r="C338" s="2"/>
      <c r="D338" s="3"/>
      <c r="E338" s="1"/>
      <c r="I338" s="1"/>
      <c r="K338" s="4">
        <f>Tabelle5[[#This Row],[value_present]]*Tabelle5[[#This Row],[binding_level]]</f>
        <v>0</v>
      </c>
    </row>
    <row r="339" spans="1:11" x14ac:dyDescent="0.25">
      <c r="A339" s="2"/>
      <c r="B339" s="2"/>
      <c r="C339" s="2"/>
      <c r="D339" s="3"/>
      <c r="E339" s="1"/>
      <c r="I339" s="1"/>
      <c r="K339" s="4">
        <f>Tabelle5[[#This Row],[value_present]]*Tabelle5[[#This Row],[binding_level]]</f>
        <v>0</v>
      </c>
    </row>
    <row r="340" spans="1:11" x14ac:dyDescent="0.25">
      <c r="A340" s="2"/>
      <c r="B340" s="2"/>
      <c r="C340" s="2"/>
      <c r="D340" s="3"/>
      <c r="E340" s="1"/>
      <c r="I340" s="1"/>
      <c r="K340" s="4">
        <f>Tabelle5[[#This Row],[value_present]]*Tabelle5[[#This Row],[binding_level]]</f>
        <v>0</v>
      </c>
    </row>
    <row r="341" spans="1:11" x14ac:dyDescent="0.25">
      <c r="A341" s="2"/>
      <c r="B341" s="2"/>
      <c r="C341" s="2"/>
      <c r="D341" s="3"/>
      <c r="E341" s="1"/>
      <c r="I341" s="1"/>
      <c r="K341" s="4">
        <f>Tabelle5[[#This Row],[value_present]]*Tabelle5[[#This Row],[binding_level]]</f>
        <v>0</v>
      </c>
    </row>
    <row r="342" spans="1:11" x14ac:dyDescent="0.25">
      <c r="A342" s="2"/>
      <c r="B342" s="2"/>
      <c r="C342" s="2"/>
      <c r="D342" s="3"/>
      <c r="E342" s="1"/>
      <c r="I342" s="1"/>
      <c r="K342" s="4">
        <f>Tabelle5[[#This Row],[value_present]]*Tabelle5[[#This Row],[binding_level]]</f>
        <v>0</v>
      </c>
    </row>
    <row r="343" spans="1:11" x14ac:dyDescent="0.25">
      <c r="A343" s="2"/>
      <c r="B343" s="2"/>
      <c r="C343" s="2"/>
      <c r="D343" s="3"/>
      <c r="E343" s="1"/>
      <c r="I343" s="1"/>
      <c r="K343" s="4">
        <f>Tabelle5[[#This Row],[value_present]]*Tabelle5[[#This Row],[binding_level]]</f>
        <v>0</v>
      </c>
    </row>
    <row r="344" spans="1:11" x14ac:dyDescent="0.25">
      <c r="A344" s="2"/>
      <c r="B344" s="2"/>
      <c r="C344" s="2"/>
      <c r="D344" s="3"/>
      <c r="E344" s="1"/>
      <c r="I344" s="1"/>
      <c r="K344" s="4">
        <f>Tabelle5[[#This Row],[value_present]]*Tabelle5[[#This Row],[binding_level]]</f>
        <v>0</v>
      </c>
    </row>
    <row r="345" spans="1:11" x14ac:dyDescent="0.25">
      <c r="A345" s="2"/>
      <c r="B345" s="2"/>
      <c r="C345" s="2"/>
      <c r="D345" s="3"/>
      <c r="E345" s="1"/>
      <c r="I345" s="1"/>
      <c r="K345" s="4">
        <f>Tabelle5[[#This Row],[value_present]]*Tabelle5[[#This Row],[binding_level]]</f>
        <v>0</v>
      </c>
    </row>
    <row r="346" spans="1:11" x14ac:dyDescent="0.25">
      <c r="A346" s="2"/>
      <c r="B346" s="2"/>
      <c r="C346" s="2"/>
      <c r="D346" s="3"/>
      <c r="E346" s="1"/>
      <c r="I346" s="1"/>
      <c r="K346" s="4">
        <f>Tabelle5[[#This Row],[value_present]]*Tabelle5[[#This Row],[binding_level]]</f>
        <v>0</v>
      </c>
    </row>
    <row r="347" spans="1:11" x14ac:dyDescent="0.25">
      <c r="A347" s="2"/>
      <c r="B347" s="2"/>
      <c r="C347" s="2"/>
      <c r="D347" s="3"/>
      <c r="E347" s="1"/>
      <c r="I347" s="1"/>
      <c r="K347" s="4">
        <f>Tabelle5[[#This Row],[value_present]]*Tabelle5[[#This Row],[binding_level]]</f>
        <v>0</v>
      </c>
    </row>
    <row r="348" spans="1:11" x14ac:dyDescent="0.25">
      <c r="A348" s="2"/>
      <c r="B348" s="2"/>
      <c r="C348" s="2"/>
      <c r="D348" s="3"/>
      <c r="E348" s="1"/>
      <c r="I348" s="1"/>
      <c r="K348" s="4">
        <f>Tabelle5[[#This Row],[value_present]]*Tabelle5[[#This Row],[binding_level]]</f>
        <v>0</v>
      </c>
    </row>
    <row r="349" spans="1:11" x14ac:dyDescent="0.25">
      <c r="A349" s="2"/>
      <c r="B349" s="2"/>
      <c r="C349" s="2"/>
      <c r="D349" s="3"/>
      <c r="E349" s="1"/>
      <c r="I349" s="1"/>
      <c r="K349" s="4">
        <f>Tabelle5[[#This Row],[value_present]]*Tabelle5[[#This Row],[binding_level]]</f>
        <v>0</v>
      </c>
    </row>
    <row r="350" spans="1:11" x14ac:dyDescent="0.25">
      <c r="A350" s="2"/>
      <c r="B350" s="2"/>
      <c r="C350" s="2"/>
      <c r="D350" s="3"/>
      <c r="E350" s="1"/>
      <c r="I350" s="1"/>
      <c r="K350" s="4">
        <f>Tabelle5[[#This Row],[value_present]]*Tabelle5[[#This Row],[binding_level]]</f>
        <v>0</v>
      </c>
    </row>
    <row r="351" spans="1:11" x14ac:dyDescent="0.25">
      <c r="A351" s="2"/>
      <c r="B351" s="2"/>
      <c r="C351" s="2"/>
      <c r="D351" s="3"/>
      <c r="E351" s="1"/>
      <c r="I351" s="1"/>
      <c r="K351" s="4">
        <f>Tabelle5[[#This Row],[value_present]]*Tabelle5[[#This Row],[binding_level]]</f>
        <v>0</v>
      </c>
    </row>
    <row r="352" spans="1:11" x14ac:dyDescent="0.25">
      <c r="A352" s="2"/>
      <c r="B352" s="2"/>
      <c r="C352" s="2"/>
      <c r="D352" s="3"/>
      <c r="E352" s="1"/>
      <c r="I352" s="1"/>
      <c r="K352" s="4">
        <f>Tabelle5[[#This Row],[value_present]]*Tabelle5[[#This Row],[binding_level]]</f>
        <v>0</v>
      </c>
    </row>
    <row r="353" spans="1:11" x14ac:dyDescent="0.25">
      <c r="A353" s="2"/>
      <c r="B353" s="2"/>
      <c r="C353" s="2"/>
      <c r="D353" s="3"/>
      <c r="E353" s="1"/>
      <c r="I353" s="1"/>
      <c r="K353" s="4">
        <f>Tabelle5[[#This Row],[value_present]]*Tabelle5[[#This Row],[binding_level]]</f>
        <v>0</v>
      </c>
    </row>
    <row r="354" spans="1:11" x14ac:dyDescent="0.25">
      <c r="A354" s="2"/>
      <c r="B354" s="2"/>
      <c r="C354" s="2"/>
      <c r="D354" s="3"/>
      <c r="E354" s="1"/>
      <c r="I354" s="1"/>
      <c r="K354" s="4">
        <f>Tabelle5[[#This Row],[value_present]]*Tabelle5[[#This Row],[binding_level]]</f>
        <v>0</v>
      </c>
    </row>
    <row r="355" spans="1:11" x14ac:dyDescent="0.25">
      <c r="A355" s="2"/>
      <c r="B355" s="2"/>
      <c r="C355" s="2"/>
      <c r="D355" s="3"/>
      <c r="E355" s="1"/>
      <c r="I355" s="1"/>
      <c r="K355" s="4">
        <f>Tabelle5[[#This Row],[value_present]]*Tabelle5[[#This Row],[binding_level]]</f>
        <v>0</v>
      </c>
    </row>
    <row r="356" spans="1:11" x14ac:dyDescent="0.25">
      <c r="A356" s="2"/>
      <c r="B356" s="2"/>
      <c r="C356" s="2"/>
      <c r="D356" s="3"/>
      <c r="E356" s="1"/>
      <c r="I356" s="1"/>
      <c r="K356" s="4">
        <f>Tabelle5[[#This Row],[value_present]]*Tabelle5[[#This Row],[binding_level]]</f>
        <v>0</v>
      </c>
    </row>
    <row r="357" spans="1:11" x14ac:dyDescent="0.25">
      <c r="A357" s="2"/>
      <c r="B357" s="2"/>
      <c r="C357" s="2"/>
      <c r="D357" s="3"/>
      <c r="E357" s="1"/>
      <c r="I357" s="1"/>
      <c r="K357" s="4">
        <f>Tabelle5[[#This Row],[value_present]]*Tabelle5[[#This Row],[binding_level]]</f>
        <v>0</v>
      </c>
    </row>
    <row r="358" spans="1:11" x14ac:dyDescent="0.25">
      <c r="A358" s="2"/>
      <c r="B358" s="2"/>
      <c r="C358" s="2"/>
      <c r="D358" s="3"/>
      <c r="E358" s="1"/>
      <c r="I358" s="1"/>
      <c r="K358" s="4">
        <f>Tabelle5[[#This Row],[value_present]]*Tabelle5[[#This Row],[binding_level]]</f>
        <v>0</v>
      </c>
    </row>
    <row r="359" spans="1:11" x14ac:dyDescent="0.25">
      <c r="A359" s="2"/>
      <c r="B359" s="2"/>
      <c r="C359" s="2"/>
      <c r="D359" s="3"/>
      <c r="E359" s="1"/>
      <c r="I359" s="1"/>
      <c r="K359" s="4">
        <f>Tabelle5[[#This Row],[value_present]]*Tabelle5[[#This Row],[binding_level]]</f>
        <v>0</v>
      </c>
    </row>
    <row r="360" spans="1:11" x14ac:dyDescent="0.25">
      <c r="A360" s="2"/>
      <c r="B360" s="2"/>
      <c r="C360" s="2"/>
      <c r="D360" s="3"/>
      <c r="E360" s="1"/>
      <c r="I360" s="1"/>
      <c r="K360" s="4">
        <f>Tabelle5[[#This Row],[value_present]]*Tabelle5[[#This Row],[binding_level]]</f>
        <v>0</v>
      </c>
    </row>
    <row r="361" spans="1:11" x14ac:dyDescent="0.25">
      <c r="A361" s="2"/>
      <c r="B361" s="2"/>
      <c r="C361" s="2"/>
      <c r="D361" s="3"/>
      <c r="E361" s="1"/>
      <c r="I361" s="1"/>
      <c r="K361" s="4">
        <f>Tabelle5[[#This Row],[value_present]]*Tabelle5[[#This Row],[binding_level]]</f>
        <v>0</v>
      </c>
    </row>
    <row r="362" spans="1:11" x14ac:dyDescent="0.25">
      <c r="A362" s="2"/>
      <c r="B362" s="2"/>
      <c r="C362" s="2"/>
      <c r="D362" s="3"/>
      <c r="E362" s="1"/>
      <c r="I362" s="1"/>
      <c r="K362" s="4">
        <f>Tabelle5[[#This Row],[value_present]]*Tabelle5[[#This Row],[binding_level]]</f>
        <v>0</v>
      </c>
    </row>
    <row r="363" spans="1:11" x14ac:dyDescent="0.25">
      <c r="A363" s="2"/>
      <c r="B363" s="2"/>
      <c r="C363" s="2"/>
      <c r="D363" s="3"/>
      <c r="E363" s="1"/>
      <c r="I363" s="1"/>
      <c r="K363" s="4">
        <f>Tabelle5[[#This Row],[value_present]]*Tabelle5[[#This Row],[binding_level]]</f>
        <v>0</v>
      </c>
    </row>
    <row r="364" spans="1:11" x14ac:dyDescent="0.25">
      <c r="A364" s="2"/>
      <c r="B364" s="2"/>
      <c r="C364" s="2"/>
      <c r="D364" s="3"/>
      <c r="E364" s="1"/>
      <c r="I364" s="1"/>
      <c r="K364" s="4">
        <f>Tabelle5[[#This Row],[value_present]]*Tabelle5[[#This Row],[binding_level]]</f>
        <v>0</v>
      </c>
    </row>
    <row r="365" spans="1:11" x14ac:dyDescent="0.25">
      <c r="A365" s="2"/>
      <c r="B365" s="2"/>
      <c r="C365" s="2"/>
      <c r="D365" s="3"/>
      <c r="E365" s="1"/>
      <c r="I365" s="1"/>
      <c r="K365" s="4">
        <f>Tabelle5[[#This Row],[value_present]]*Tabelle5[[#This Row],[binding_level]]</f>
        <v>0</v>
      </c>
    </row>
    <row r="366" spans="1:11" x14ac:dyDescent="0.25">
      <c r="A366" s="2"/>
      <c r="B366" s="2"/>
      <c r="C366" s="2"/>
      <c r="D366" s="3"/>
      <c r="E366" s="1"/>
      <c r="I366" s="1"/>
      <c r="K366" s="4">
        <f>Tabelle5[[#This Row],[value_present]]*Tabelle5[[#This Row],[binding_level]]</f>
        <v>0</v>
      </c>
    </row>
    <row r="367" spans="1:11" x14ac:dyDescent="0.25">
      <c r="A367" s="2"/>
      <c r="B367" s="2"/>
      <c r="C367" s="2"/>
      <c r="D367" s="3"/>
      <c r="E367" s="1"/>
      <c r="I367" s="1"/>
      <c r="K367" s="4">
        <f>Tabelle5[[#This Row],[value_present]]*Tabelle5[[#This Row],[binding_level]]</f>
        <v>0</v>
      </c>
    </row>
    <row r="368" spans="1:11" x14ac:dyDescent="0.25">
      <c r="A368" s="2"/>
      <c r="B368" s="2"/>
      <c r="C368" s="2"/>
      <c r="D368" s="3"/>
      <c r="E368" s="1"/>
      <c r="I368" s="1"/>
      <c r="K368" s="4">
        <f>Tabelle5[[#This Row],[value_present]]*Tabelle5[[#This Row],[binding_level]]</f>
        <v>0</v>
      </c>
    </row>
    <row r="369" spans="1:11" x14ac:dyDescent="0.25">
      <c r="A369" s="2"/>
      <c r="B369" s="2"/>
      <c r="C369" s="2"/>
      <c r="D369" s="3"/>
      <c r="E369" s="1"/>
      <c r="I369" s="1"/>
      <c r="K369" s="4">
        <f>Tabelle5[[#This Row],[value_present]]*Tabelle5[[#This Row],[binding_level]]</f>
        <v>0</v>
      </c>
    </row>
    <row r="370" spans="1:11" x14ac:dyDescent="0.25">
      <c r="A370" s="2"/>
      <c r="B370" s="2"/>
      <c r="C370" s="2"/>
      <c r="D370" s="3"/>
      <c r="E370" s="1"/>
      <c r="I370" s="1"/>
      <c r="K370" s="4">
        <f>Tabelle5[[#This Row],[value_present]]*Tabelle5[[#This Row],[binding_level]]</f>
        <v>0</v>
      </c>
    </row>
    <row r="371" spans="1:11" x14ac:dyDescent="0.25">
      <c r="A371" s="2"/>
      <c r="B371" s="2"/>
      <c r="C371" s="2"/>
      <c r="D371" s="3"/>
      <c r="E371" s="1"/>
      <c r="I371" s="1"/>
      <c r="K371" s="4">
        <f>Tabelle5[[#This Row],[value_present]]*Tabelle5[[#This Row],[binding_level]]</f>
        <v>0</v>
      </c>
    </row>
    <row r="372" spans="1:11" x14ac:dyDescent="0.25">
      <c r="A372" s="2"/>
      <c r="B372" s="2"/>
      <c r="C372" s="2"/>
      <c r="D372" s="3"/>
      <c r="E372" s="1"/>
      <c r="I372" s="1"/>
      <c r="K372" s="4">
        <f>Tabelle5[[#This Row],[value_present]]*Tabelle5[[#This Row],[binding_level]]</f>
        <v>0</v>
      </c>
    </row>
    <row r="373" spans="1:11" x14ac:dyDescent="0.25">
      <c r="A373" s="2"/>
      <c r="B373" s="2"/>
      <c r="C373" s="2"/>
      <c r="D373" s="3"/>
      <c r="E373" s="1"/>
      <c r="I373" s="1"/>
      <c r="K373" s="4">
        <f>Tabelle5[[#This Row],[value_present]]*Tabelle5[[#This Row],[binding_level]]</f>
        <v>0</v>
      </c>
    </row>
    <row r="374" spans="1:11" x14ac:dyDescent="0.25">
      <c r="A374" s="2"/>
      <c r="B374" s="2"/>
      <c r="C374" s="2"/>
      <c r="D374" s="3"/>
      <c r="E374" s="1"/>
      <c r="I374" s="1"/>
      <c r="K374" s="4">
        <f>Tabelle5[[#This Row],[value_present]]*Tabelle5[[#This Row],[binding_level]]</f>
        <v>0</v>
      </c>
    </row>
    <row r="375" spans="1:11" x14ac:dyDescent="0.25">
      <c r="A375" s="2"/>
      <c r="B375" s="2"/>
      <c r="C375" s="2"/>
      <c r="D375" s="3"/>
      <c r="E375" s="1"/>
      <c r="I375" s="1"/>
      <c r="K375" s="4">
        <f>Tabelle5[[#This Row],[value_present]]*Tabelle5[[#This Row],[binding_level]]</f>
        <v>0</v>
      </c>
    </row>
    <row r="376" spans="1:11" x14ac:dyDescent="0.25">
      <c r="A376" s="2"/>
      <c r="B376" s="2"/>
      <c r="C376" s="2"/>
      <c r="D376" s="3"/>
      <c r="E376" s="1"/>
      <c r="I376" s="1"/>
      <c r="K376" s="4">
        <f>Tabelle5[[#This Row],[value_present]]*Tabelle5[[#This Row],[binding_level]]</f>
        <v>0</v>
      </c>
    </row>
    <row r="377" spans="1:11" x14ac:dyDescent="0.25">
      <c r="A377" s="2"/>
      <c r="B377" s="2"/>
      <c r="C377" s="2"/>
      <c r="D377" s="3"/>
      <c r="E377" s="1"/>
      <c r="I377" s="1"/>
      <c r="K377" s="4">
        <f>Tabelle5[[#This Row],[value_present]]*Tabelle5[[#This Row],[binding_level]]</f>
        <v>0</v>
      </c>
    </row>
    <row r="378" spans="1:11" x14ac:dyDescent="0.25">
      <c r="A378" s="2"/>
      <c r="B378" s="2"/>
      <c r="C378" s="2"/>
      <c r="D378" s="3"/>
      <c r="E378" s="1"/>
      <c r="I378" s="1"/>
      <c r="K378" s="4">
        <f>Tabelle5[[#This Row],[value_present]]*Tabelle5[[#This Row],[binding_level]]</f>
        <v>0</v>
      </c>
    </row>
    <row r="379" spans="1:11" x14ac:dyDescent="0.25">
      <c r="A379" s="2"/>
      <c r="B379" s="2"/>
      <c r="C379" s="2"/>
      <c r="D379" s="3"/>
      <c r="E379" s="1"/>
      <c r="I379" s="1"/>
      <c r="K379" s="4">
        <f>Tabelle5[[#This Row],[value_present]]*Tabelle5[[#This Row],[binding_level]]</f>
        <v>0</v>
      </c>
    </row>
    <row r="380" spans="1:11" x14ac:dyDescent="0.25">
      <c r="A380" s="2"/>
      <c r="B380" s="2"/>
      <c r="C380" s="2"/>
      <c r="D380" s="3"/>
      <c r="E380" s="1"/>
      <c r="I380" s="1"/>
      <c r="K380" s="4">
        <f>Tabelle5[[#This Row],[value_present]]*Tabelle5[[#This Row],[binding_level]]</f>
        <v>0</v>
      </c>
    </row>
    <row r="381" spans="1:11" x14ac:dyDescent="0.25">
      <c r="A381" s="2"/>
      <c r="B381" s="2"/>
      <c r="C381" s="2"/>
      <c r="D381" s="3"/>
      <c r="E381" s="1"/>
      <c r="I381" s="1"/>
      <c r="K381" s="4">
        <f>Tabelle5[[#This Row],[value_present]]*Tabelle5[[#This Row],[binding_level]]</f>
        <v>0</v>
      </c>
    </row>
    <row r="382" spans="1:11" x14ac:dyDescent="0.25">
      <c r="A382" s="2"/>
      <c r="B382" s="2"/>
      <c r="C382" s="2"/>
      <c r="D382" s="3"/>
      <c r="E382" s="1"/>
      <c r="I382" s="1"/>
      <c r="K382" s="4">
        <f>Tabelle5[[#This Row],[value_present]]*Tabelle5[[#This Row],[binding_level]]</f>
        <v>0</v>
      </c>
    </row>
    <row r="383" spans="1:11" x14ac:dyDescent="0.25">
      <c r="A383" s="2"/>
      <c r="B383" s="2"/>
      <c r="C383" s="2"/>
      <c r="D383" s="3"/>
      <c r="E383" s="1"/>
      <c r="I383" s="1"/>
      <c r="K383" s="4">
        <f>Tabelle5[[#This Row],[value_present]]*Tabelle5[[#This Row],[binding_level]]</f>
        <v>0</v>
      </c>
    </row>
    <row r="384" spans="1:11" x14ac:dyDescent="0.25">
      <c r="A384" s="2"/>
      <c r="B384" s="2"/>
      <c r="C384" s="2"/>
      <c r="D384" s="3"/>
      <c r="E384" s="1"/>
      <c r="I384" s="1"/>
      <c r="K384" s="4">
        <f>Tabelle5[[#This Row],[value_present]]*Tabelle5[[#This Row],[binding_level]]</f>
        <v>0</v>
      </c>
    </row>
    <row r="385" spans="1:11" x14ac:dyDescent="0.25">
      <c r="A385" s="2"/>
      <c r="B385" s="2"/>
      <c r="C385" s="2"/>
      <c r="D385" s="3"/>
      <c r="E385" s="1"/>
      <c r="I385" s="1"/>
      <c r="K385" s="4">
        <f>Tabelle5[[#This Row],[value_present]]*Tabelle5[[#This Row],[binding_level]]</f>
        <v>0</v>
      </c>
    </row>
    <row r="386" spans="1:11" x14ac:dyDescent="0.25">
      <c r="A386" s="2"/>
      <c r="B386" s="2"/>
      <c r="C386" s="2"/>
      <c r="D386" s="3"/>
      <c r="E386" s="1"/>
      <c r="I386" s="1"/>
      <c r="K386" s="4">
        <f>Tabelle5[[#This Row],[value_present]]*Tabelle5[[#This Row],[binding_level]]</f>
        <v>0</v>
      </c>
    </row>
    <row r="387" spans="1:11" x14ac:dyDescent="0.25">
      <c r="A387" s="2"/>
      <c r="B387" s="2"/>
      <c r="C387" s="2"/>
      <c r="D387" s="3"/>
      <c r="E387" s="1"/>
      <c r="I387" s="1"/>
      <c r="K387" s="4">
        <f>Tabelle5[[#This Row],[value_present]]*Tabelle5[[#This Row],[binding_level]]</f>
        <v>0</v>
      </c>
    </row>
    <row r="388" spans="1:11" x14ac:dyDescent="0.25">
      <c r="A388" s="2"/>
      <c r="B388" s="2"/>
      <c r="C388" s="2"/>
      <c r="D388" s="3"/>
      <c r="E388" s="1"/>
      <c r="I388" s="1"/>
      <c r="K388" s="4">
        <f>Tabelle5[[#This Row],[value_present]]*Tabelle5[[#This Row],[binding_level]]</f>
        <v>0</v>
      </c>
    </row>
    <row r="389" spans="1:11" x14ac:dyDescent="0.25">
      <c r="A389" s="2"/>
      <c r="B389" s="2"/>
      <c r="C389" s="2"/>
      <c r="D389" s="3"/>
      <c r="E389" s="1"/>
      <c r="I389" s="1"/>
      <c r="K389" s="4">
        <f>Tabelle5[[#This Row],[value_present]]*Tabelle5[[#This Row],[binding_level]]</f>
        <v>0</v>
      </c>
    </row>
    <row r="390" spans="1:11" x14ac:dyDescent="0.25">
      <c r="A390" s="2"/>
      <c r="B390" s="2"/>
      <c r="C390" s="2"/>
      <c r="D390" s="3"/>
      <c r="E390" s="1"/>
      <c r="I390" s="1"/>
      <c r="K390" s="4">
        <f>Tabelle5[[#This Row],[value_present]]*Tabelle5[[#This Row],[binding_level]]</f>
        <v>0</v>
      </c>
    </row>
    <row r="391" spans="1:11" x14ac:dyDescent="0.25">
      <c r="A391" s="2"/>
      <c r="B391" s="2"/>
      <c r="C391" s="2"/>
      <c r="D391" s="3"/>
      <c r="E391" s="1"/>
      <c r="I391" s="1"/>
      <c r="K391" s="4">
        <f>Tabelle5[[#This Row],[value_present]]*Tabelle5[[#This Row],[binding_level]]</f>
        <v>0</v>
      </c>
    </row>
    <row r="392" spans="1:11" x14ac:dyDescent="0.25">
      <c r="A392" s="2"/>
      <c r="B392" s="2"/>
      <c r="C392" s="2"/>
      <c r="D392" s="3"/>
      <c r="E392" s="1"/>
      <c r="I392" s="1"/>
      <c r="K392" s="4">
        <f>Tabelle5[[#This Row],[value_present]]*Tabelle5[[#This Row],[binding_level]]</f>
        <v>0</v>
      </c>
    </row>
    <row r="393" spans="1:11" x14ac:dyDescent="0.25">
      <c r="A393" s="2"/>
      <c r="B393" s="2"/>
      <c r="C393" s="2"/>
      <c r="D393" s="3"/>
      <c r="E393" s="1"/>
      <c r="I393" s="1"/>
      <c r="K393" s="4">
        <f>Tabelle5[[#This Row],[value_present]]*Tabelle5[[#This Row],[binding_level]]</f>
        <v>0</v>
      </c>
    </row>
    <row r="394" spans="1:11" x14ac:dyDescent="0.25">
      <c r="A394" s="2"/>
      <c r="B394" s="2"/>
      <c r="C394" s="2"/>
      <c r="D394" s="3"/>
      <c r="E394" s="1"/>
      <c r="I394" s="1"/>
      <c r="K394" s="4">
        <f>Tabelle5[[#This Row],[value_present]]*Tabelle5[[#This Row],[binding_level]]</f>
        <v>0</v>
      </c>
    </row>
    <row r="395" spans="1:11" x14ac:dyDescent="0.25">
      <c r="A395" s="2"/>
      <c r="B395" s="2"/>
      <c r="C395" s="2"/>
      <c r="D395" s="3"/>
      <c r="E395" s="1"/>
      <c r="I395" s="1"/>
      <c r="K395" s="4">
        <f>Tabelle5[[#This Row],[value_present]]*Tabelle5[[#This Row],[binding_level]]</f>
        <v>0</v>
      </c>
    </row>
    <row r="396" spans="1:11" x14ac:dyDescent="0.25">
      <c r="A396" s="2"/>
      <c r="B396" s="2"/>
      <c r="C396" s="2"/>
      <c r="D396" s="3"/>
      <c r="E396" s="1"/>
      <c r="I396" s="1"/>
      <c r="K396" s="4">
        <f>Tabelle5[[#This Row],[value_present]]*Tabelle5[[#This Row],[binding_level]]</f>
        <v>0</v>
      </c>
    </row>
    <row r="397" spans="1:11" x14ac:dyDescent="0.25">
      <c r="A397" s="2"/>
      <c r="B397" s="2"/>
      <c r="C397" s="2"/>
      <c r="D397" s="3"/>
      <c r="E397" s="1"/>
      <c r="I397" s="1"/>
      <c r="K397" s="4">
        <f>Tabelle5[[#This Row],[value_present]]*Tabelle5[[#This Row],[binding_level]]</f>
        <v>0</v>
      </c>
    </row>
    <row r="398" spans="1:11" x14ac:dyDescent="0.25">
      <c r="A398" s="2"/>
      <c r="B398" s="2"/>
      <c r="C398" s="2"/>
      <c r="D398" s="3"/>
      <c r="E398" s="1"/>
      <c r="I398" s="1"/>
      <c r="K398" s="4">
        <f>Tabelle5[[#This Row],[value_present]]*Tabelle5[[#This Row],[binding_level]]</f>
        <v>0</v>
      </c>
    </row>
    <row r="399" spans="1:11" x14ac:dyDescent="0.25">
      <c r="A399" s="2"/>
      <c r="B399" s="2"/>
      <c r="C399" s="2"/>
      <c r="D399" s="3"/>
      <c r="E399" s="1"/>
      <c r="I399" s="1"/>
      <c r="K399" s="4">
        <f>Tabelle5[[#This Row],[value_present]]*Tabelle5[[#This Row],[binding_level]]</f>
        <v>0</v>
      </c>
    </row>
    <row r="400" spans="1:11" x14ac:dyDescent="0.25">
      <c r="A400" s="2"/>
      <c r="B400" s="2"/>
      <c r="C400" s="2"/>
      <c r="D400" s="3"/>
      <c r="E400" s="1"/>
      <c r="I400" s="1"/>
      <c r="K400" s="4">
        <f>Tabelle5[[#This Row],[value_present]]*Tabelle5[[#This Row],[binding_level]]</f>
        <v>0</v>
      </c>
    </row>
    <row r="401" spans="1:11" x14ac:dyDescent="0.25">
      <c r="A401" s="2"/>
      <c r="B401" s="2"/>
      <c r="C401" s="2"/>
      <c r="D401" s="3"/>
      <c r="E401" s="1"/>
      <c r="I401" s="1"/>
      <c r="K401" s="4">
        <f>Tabelle5[[#This Row],[value_present]]*Tabelle5[[#This Row],[binding_level]]</f>
        <v>0</v>
      </c>
    </row>
    <row r="402" spans="1:11" x14ac:dyDescent="0.25">
      <c r="A402" s="2"/>
      <c r="B402" s="2"/>
      <c r="C402" s="2"/>
      <c r="D402" s="3"/>
      <c r="E402" s="1"/>
      <c r="I402" s="1"/>
      <c r="K402" s="4">
        <f>Tabelle5[[#This Row],[value_present]]*Tabelle5[[#This Row],[binding_level]]</f>
        <v>0</v>
      </c>
    </row>
    <row r="403" spans="1:11" x14ac:dyDescent="0.25">
      <c r="A403" s="2"/>
      <c r="B403" s="2"/>
      <c r="C403" s="2"/>
      <c r="D403" s="3"/>
      <c r="E403" s="1"/>
      <c r="I403" s="1"/>
      <c r="K403" s="4">
        <f>Tabelle5[[#This Row],[value_present]]*Tabelle5[[#This Row],[binding_level]]</f>
        <v>0</v>
      </c>
    </row>
    <row r="404" spans="1:11" x14ac:dyDescent="0.25">
      <c r="A404" s="2"/>
      <c r="B404" s="2"/>
      <c r="C404" s="2"/>
      <c r="D404" s="3"/>
      <c r="E404" s="1"/>
      <c r="I404" s="1"/>
      <c r="K404" s="4">
        <f>Tabelle5[[#This Row],[value_present]]*Tabelle5[[#This Row],[binding_level]]</f>
        <v>0</v>
      </c>
    </row>
    <row r="405" spans="1:11" x14ac:dyDescent="0.25">
      <c r="A405" s="2"/>
      <c r="B405" s="2"/>
      <c r="C405" s="2"/>
      <c r="D405" s="3"/>
      <c r="E405" s="1"/>
      <c r="I405" s="1"/>
      <c r="K405" s="4">
        <f>Tabelle5[[#This Row],[value_present]]*Tabelle5[[#This Row],[binding_level]]</f>
        <v>0</v>
      </c>
    </row>
    <row r="406" spans="1:11" x14ac:dyDescent="0.25">
      <c r="A406" s="2"/>
      <c r="B406" s="2"/>
      <c r="C406" s="2"/>
      <c r="D406" s="3"/>
      <c r="E406" s="1"/>
      <c r="I406" s="1"/>
      <c r="K406" s="4">
        <f>Tabelle5[[#This Row],[value_present]]*Tabelle5[[#This Row],[binding_level]]</f>
        <v>0</v>
      </c>
    </row>
    <row r="407" spans="1:11" x14ac:dyDescent="0.25">
      <c r="A407" s="2"/>
      <c r="B407" s="2"/>
      <c r="C407" s="2"/>
      <c r="D407" s="3"/>
      <c r="E407" s="1"/>
      <c r="I407" s="1"/>
      <c r="K407" s="4">
        <f>Tabelle5[[#This Row],[value_present]]*Tabelle5[[#This Row],[binding_level]]</f>
        <v>0</v>
      </c>
    </row>
    <row r="408" spans="1:11" x14ac:dyDescent="0.25">
      <c r="A408" s="2"/>
      <c r="B408" s="2"/>
      <c r="C408" s="2"/>
      <c r="D408" s="3"/>
      <c r="E408" s="1"/>
      <c r="I408" s="1"/>
      <c r="K408" s="4">
        <f>Tabelle5[[#This Row],[value_present]]*Tabelle5[[#This Row],[binding_level]]</f>
        <v>0</v>
      </c>
    </row>
    <row r="409" spans="1:11" x14ac:dyDescent="0.25">
      <c r="A409" s="2"/>
      <c r="B409" s="2"/>
      <c r="C409" s="2"/>
      <c r="D409" s="3"/>
      <c r="E409" s="1"/>
      <c r="I409" s="1"/>
      <c r="K409" s="4">
        <f>Tabelle5[[#This Row],[value_present]]*Tabelle5[[#This Row],[binding_level]]</f>
        <v>0</v>
      </c>
    </row>
    <row r="410" spans="1:11" x14ac:dyDescent="0.25">
      <c r="A410" s="2"/>
      <c r="B410" s="2"/>
      <c r="C410" s="2"/>
      <c r="D410" s="3"/>
      <c r="E410" s="1"/>
      <c r="I410" s="1"/>
      <c r="K410" s="4">
        <f>Tabelle5[[#This Row],[value_present]]*Tabelle5[[#This Row],[binding_level]]</f>
        <v>0</v>
      </c>
    </row>
    <row r="411" spans="1:11" x14ac:dyDescent="0.25">
      <c r="A411" s="2"/>
      <c r="B411" s="2"/>
      <c r="C411" s="2"/>
      <c r="D411" s="3"/>
      <c r="E411" s="1"/>
      <c r="I411" s="1"/>
      <c r="K411" s="4">
        <f>Tabelle5[[#This Row],[value_present]]*Tabelle5[[#This Row],[binding_level]]</f>
        <v>0</v>
      </c>
    </row>
    <row r="412" spans="1:11" x14ac:dyDescent="0.25">
      <c r="A412" s="2"/>
      <c r="B412" s="2"/>
      <c r="C412" s="2"/>
      <c r="D412" s="3"/>
      <c r="E412" s="1"/>
      <c r="I412" s="1"/>
      <c r="K412" s="4">
        <f>Tabelle5[[#This Row],[value_present]]*Tabelle5[[#This Row],[binding_level]]</f>
        <v>0</v>
      </c>
    </row>
    <row r="413" spans="1:11" x14ac:dyDescent="0.25">
      <c r="A413" s="2"/>
      <c r="B413" s="2"/>
      <c r="C413" s="2"/>
      <c r="D413" s="3"/>
      <c r="E413" s="1"/>
      <c r="I413" s="1"/>
      <c r="K413" s="4">
        <f>Tabelle5[[#This Row],[value_present]]*Tabelle5[[#This Row],[binding_level]]</f>
        <v>0</v>
      </c>
    </row>
    <row r="414" spans="1:11" x14ac:dyDescent="0.25">
      <c r="A414" s="2"/>
      <c r="B414" s="2"/>
      <c r="C414" s="2"/>
      <c r="D414" s="3"/>
      <c r="E414" s="1"/>
      <c r="I414" s="1"/>
      <c r="K414" s="4">
        <f>Tabelle5[[#This Row],[value_present]]*Tabelle5[[#This Row],[binding_level]]</f>
        <v>0</v>
      </c>
    </row>
    <row r="415" spans="1:11" x14ac:dyDescent="0.25">
      <c r="A415" s="2"/>
      <c r="B415" s="2"/>
      <c r="C415" s="2"/>
      <c r="D415" s="3"/>
      <c r="E415" s="1"/>
      <c r="I415" s="1"/>
      <c r="K415" s="4">
        <f>Tabelle5[[#This Row],[value_present]]*Tabelle5[[#This Row],[binding_level]]</f>
        <v>0</v>
      </c>
    </row>
    <row r="416" spans="1:11" x14ac:dyDescent="0.25">
      <c r="A416" s="2"/>
      <c r="B416" s="2"/>
      <c r="C416" s="2"/>
      <c r="D416" s="3"/>
      <c r="E416" s="1"/>
      <c r="I416" s="1"/>
      <c r="K416" s="4">
        <f>Tabelle5[[#This Row],[value_present]]*Tabelle5[[#This Row],[binding_level]]</f>
        <v>0</v>
      </c>
    </row>
    <row r="417" spans="1:11" x14ac:dyDescent="0.25">
      <c r="A417" s="2"/>
      <c r="B417" s="2"/>
      <c r="C417" s="2"/>
      <c r="D417" s="3"/>
      <c r="E417" s="1"/>
      <c r="I417" s="1"/>
      <c r="K417" s="4">
        <f>Tabelle5[[#This Row],[value_present]]*Tabelle5[[#This Row],[binding_level]]</f>
        <v>0</v>
      </c>
    </row>
    <row r="418" spans="1:11" x14ac:dyDescent="0.25">
      <c r="A418" s="2"/>
      <c r="B418" s="2"/>
      <c r="C418" s="2"/>
      <c r="D418" s="3"/>
      <c r="E418" s="1"/>
      <c r="I418" s="1"/>
      <c r="K418" s="4">
        <f>Tabelle5[[#This Row],[value_present]]*Tabelle5[[#This Row],[binding_level]]</f>
        <v>0</v>
      </c>
    </row>
    <row r="419" spans="1:11" x14ac:dyDescent="0.25">
      <c r="A419" s="2"/>
      <c r="B419" s="2"/>
      <c r="C419" s="2"/>
      <c r="D419" s="3"/>
      <c r="E419" s="1"/>
      <c r="I419" s="1"/>
      <c r="K419" s="4">
        <f>Tabelle5[[#This Row],[value_present]]*Tabelle5[[#This Row],[binding_level]]</f>
        <v>0</v>
      </c>
    </row>
    <row r="420" spans="1:11" x14ac:dyDescent="0.25">
      <c r="A420" s="2"/>
      <c r="B420" s="2"/>
      <c r="C420" s="2"/>
      <c r="D420" s="3"/>
      <c r="E420" s="1"/>
      <c r="I420" s="1"/>
      <c r="K420" s="4">
        <f>Tabelle5[[#This Row],[value_present]]*Tabelle5[[#This Row],[binding_level]]</f>
        <v>0</v>
      </c>
    </row>
    <row r="421" spans="1:11" x14ac:dyDescent="0.25">
      <c r="A421" s="2"/>
      <c r="B421" s="2"/>
      <c r="C421" s="2"/>
      <c r="D421" s="3"/>
      <c r="E421" s="1"/>
      <c r="I421" s="1"/>
      <c r="K421" s="4">
        <f>Tabelle5[[#This Row],[value_present]]*Tabelle5[[#This Row],[binding_level]]</f>
        <v>0</v>
      </c>
    </row>
    <row r="422" spans="1:11" x14ac:dyDescent="0.25">
      <c r="A422" s="2"/>
      <c r="B422" s="2"/>
      <c r="C422" s="2"/>
      <c r="D422" s="3"/>
      <c r="E422" s="1"/>
      <c r="I422" s="1"/>
      <c r="K422" s="4">
        <f>Tabelle5[[#This Row],[value_present]]*Tabelle5[[#This Row],[binding_level]]</f>
        <v>0</v>
      </c>
    </row>
    <row r="423" spans="1:11" x14ac:dyDescent="0.25">
      <c r="A423" s="2"/>
      <c r="B423" s="2"/>
      <c r="C423" s="2"/>
      <c r="D423" s="3"/>
      <c r="E423" s="1"/>
      <c r="I423" s="1"/>
      <c r="K423" s="4">
        <f>Tabelle5[[#This Row],[value_present]]*Tabelle5[[#This Row],[binding_level]]</f>
        <v>0</v>
      </c>
    </row>
    <row r="424" spans="1:11" x14ac:dyDescent="0.25">
      <c r="A424" s="2"/>
      <c r="B424" s="2"/>
      <c r="C424" s="2"/>
      <c r="D424" s="3"/>
      <c r="E424" s="1"/>
      <c r="I424" s="1"/>
      <c r="K424" s="4">
        <f>Tabelle5[[#This Row],[value_present]]*Tabelle5[[#This Row],[binding_level]]</f>
        <v>0</v>
      </c>
    </row>
    <row r="425" spans="1:11" x14ac:dyDescent="0.25">
      <c r="A425" s="2"/>
      <c r="B425" s="2"/>
      <c r="C425" s="2"/>
      <c r="D425" s="3"/>
      <c r="E425" s="1"/>
      <c r="I425" s="1"/>
      <c r="K425" s="4">
        <f>Tabelle5[[#This Row],[value_present]]*Tabelle5[[#This Row],[binding_level]]</f>
        <v>0</v>
      </c>
    </row>
    <row r="426" spans="1:11" x14ac:dyDescent="0.25">
      <c r="A426" s="2"/>
      <c r="B426" s="2"/>
      <c r="C426" s="2"/>
      <c r="D426" s="3"/>
      <c r="E426" s="1"/>
      <c r="I426" s="1"/>
      <c r="K426" s="4">
        <f>Tabelle5[[#This Row],[value_present]]*Tabelle5[[#This Row],[binding_level]]</f>
        <v>0</v>
      </c>
    </row>
    <row r="427" spans="1:11" x14ac:dyDescent="0.25">
      <c r="A427" s="2"/>
      <c r="B427" s="2"/>
      <c r="C427" s="2"/>
      <c r="D427" s="3"/>
      <c r="E427" s="1"/>
      <c r="I427" s="1"/>
      <c r="K427" s="4">
        <f>Tabelle5[[#This Row],[value_present]]*Tabelle5[[#This Row],[binding_level]]</f>
        <v>0</v>
      </c>
    </row>
    <row r="428" spans="1:11" x14ac:dyDescent="0.25">
      <c r="A428" s="2"/>
      <c r="B428" s="2"/>
      <c r="C428" s="2"/>
      <c r="D428" s="3"/>
      <c r="E428" s="1"/>
      <c r="I428" s="1"/>
      <c r="K428" s="4">
        <f>Tabelle5[[#This Row],[value_present]]*Tabelle5[[#This Row],[binding_level]]</f>
        <v>0</v>
      </c>
    </row>
    <row r="429" spans="1:11" x14ac:dyDescent="0.25">
      <c r="A429" s="2"/>
      <c r="B429" s="2"/>
      <c r="C429" s="2"/>
      <c r="D429" s="3"/>
      <c r="E429" s="1"/>
      <c r="I429" s="1"/>
      <c r="K429" s="4">
        <f>Tabelle5[[#This Row],[value_present]]*Tabelle5[[#This Row],[binding_level]]</f>
        <v>0</v>
      </c>
    </row>
    <row r="430" spans="1:11" x14ac:dyDescent="0.25">
      <c r="A430" s="2"/>
      <c r="B430" s="2"/>
      <c r="C430" s="2"/>
      <c r="D430" s="3"/>
      <c r="E430" s="1"/>
      <c r="I430" s="1"/>
      <c r="K430" s="4">
        <f>Tabelle5[[#This Row],[value_present]]*Tabelle5[[#This Row],[binding_level]]</f>
        <v>0</v>
      </c>
    </row>
    <row r="431" spans="1:11" x14ac:dyDescent="0.25">
      <c r="A431" s="2"/>
      <c r="B431" s="2"/>
      <c r="C431" s="2"/>
      <c r="D431" s="3"/>
      <c r="E431" s="1"/>
      <c r="I431" s="1"/>
      <c r="K431" s="4">
        <f>Tabelle5[[#This Row],[value_present]]*Tabelle5[[#This Row],[binding_level]]</f>
        <v>0</v>
      </c>
    </row>
    <row r="432" spans="1:11" x14ac:dyDescent="0.25">
      <c r="A432" s="2"/>
      <c r="B432" s="2"/>
      <c r="C432" s="2"/>
      <c r="D432" s="3"/>
      <c r="E432" s="1"/>
      <c r="I432" s="1"/>
      <c r="K432" s="4">
        <f>Tabelle5[[#This Row],[value_present]]*Tabelle5[[#This Row],[binding_level]]</f>
        <v>0</v>
      </c>
    </row>
    <row r="433" spans="1:11" x14ac:dyDescent="0.25">
      <c r="A433" s="2"/>
      <c r="B433" s="2"/>
      <c r="C433" s="2"/>
      <c r="D433" s="3"/>
      <c r="E433" s="1"/>
      <c r="I433" s="1"/>
      <c r="K433" s="4">
        <f>Tabelle5[[#This Row],[value_present]]*Tabelle5[[#This Row],[binding_level]]</f>
        <v>0</v>
      </c>
    </row>
    <row r="434" spans="1:11" x14ac:dyDescent="0.25">
      <c r="A434" s="2"/>
      <c r="B434" s="2"/>
      <c r="C434" s="2"/>
      <c r="D434" s="3"/>
      <c r="E434" s="1"/>
      <c r="I434" s="1"/>
      <c r="K434" s="4">
        <f>Tabelle5[[#This Row],[value_present]]*Tabelle5[[#This Row],[binding_level]]</f>
        <v>0</v>
      </c>
    </row>
    <row r="435" spans="1:11" x14ac:dyDescent="0.25">
      <c r="A435" s="2"/>
      <c r="B435" s="2"/>
      <c r="C435" s="2"/>
      <c r="D435" s="3"/>
      <c r="E435" s="1"/>
      <c r="I435" s="1"/>
      <c r="K435" s="4">
        <f>Tabelle5[[#This Row],[value_present]]*Tabelle5[[#This Row],[binding_level]]</f>
        <v>0</v>
      </c>
    </row>
    <row r="436" spans="1:11" x14ac:dyDescent="0.25">
      <c r="A436" s="2"/>
      <c r="B436" s="2"/>
      <c r="C436" s="2"/>
      <c r="D436" s="3"/>
      <c r="E436" s="1"/>
      <c r="I436" s="1"/>
      <c r="K436" s="4">
        <f>Tabelle5[[#This Row],[value_present]]*Tabelle5[[#This Row],[binding_level]]</f>
        <v>0</v>
      </c>
    </row>
    <row r="437" spans="1:11" x14ac:dyDescent="0.25">
      <c r="A437" s="2"/>
      <c r="B437" s="2"/>
      <c r="C437" s="2"/>
      <c r="D437" s="3"/>
      <c r="E437" s="1"/>
      <c r="I437" s="1"/>
      <c r="K437" s="4">
        <f>Tabelle5[[#This Row],[value_present]]*Tabelle5[[#This Row],[binding_level]]</f>
        <v>0</v>
      </c>
    </row>
    <row r="438" spans="1:11" x14ac:dyDescent="0.25">
      <c r="A438" s="2"/>
      <c r="B438" s="2"/>
      <c r="C438" s="2"/>
      <c r="D438" s="3"/>
      <c r="E438" s="1"/>
      <c r="I438" s="1"/>
      <c r="K438" s="4">
        <f>Tabelle5[[#This Row],[value_present]]*Tabelle5[[#This Row],[binding_level]]</f>
        <v>0</v>
      </c>
    </row>
    <row r="439" spans="1:11" x14ac:dyDescent="0.25">
      <c r="A439" s="2"/>
      <c r="B439" s="2"/>
      <c r="C439" s="2"/>
      <c r="D439" s="3"/>
      <c r="E439" s="1"/>
      <c r="I439" s="1"/>
      <c r="K439" s="4">
        <f>Tabelle5[[#This Row],[value_present]]*Tabelle5[[#This Row],[binding_level]]</f>
        <v>0</v>
      </c>
    </row>
    <row r="440" spans="1:11" x14ac:dyDescent="0.25">
      <c r="A440" s="2"/>
      <c r="B440" s="2"/>
      <c r="C440" s="2"/>
      <c r="D440" s="3"/>
      <c r="E440" s="1"/>
      <c r="I440" s="1"/>
      <c r="K440" s="4">
        <f>Tabelle5[[#This Row],[value_present]]*Tabelle5[[#This Row],[binding_level]]</f>
        <v>0</v>
      </c>
    </row>
    <row r="441" spans="1:11" x14ac:dyDescent="0.25">
      <c r="A441" s="2"/>
      <c r="B441" s="2"/>
      <c r="C441" s="2"/>
      <c r="D441" s="3"/>
      <c r="E441" s="1"/>
      <c r="I441" s="1"/>
      <c r="K441" s="4">
        <f>Tabelle5[[#This Row],[value_present]]*Tabelle5[[#This Row],[binding_level]]</f>
        <v>0</v>
      </c>
    </row>
    <row r="442" spans="1:11" x14ac:dyDescent="0.25">
      <c r="A442" s="2"/>
      <c r="B442" s="2"/>
      <c r="C442" s="2"/>
      <c r="D442" s="3"/>
      <c r="E442" s="1"/>
      <c r="I442" s="1"/>
      <c r="K442" s="4">
        <f>Tabelle5[[#This Row],[value_present]]*Tabelle5[[#This Row],[binding_level]]</f>
        <v>0</v>
      </c>
    </row>
    <row r="443" spans="1:11" x14ac:dyDescent="0.25">
      <c r="A443" s="2"/>
      <c r="B443" s="2"/>
      <c r="C443" s="2"/>
      <c r="D443" s="3"/>
      <c r="E443" s="1"/>
      <c r="I443" s="1"/>
      <c r="K443" s="4">
        <f>Tabelle5[[#This Row],[value_present]]*Tabelle5[[#This Row],[binding_level]]</f>
        <v>0</v>
      </c>
    </row>
    <row r="444" spans="1:11" x14ac:dyDescent="0.25">
      <c r="A444" s="2"/>
      <c r="B444" s="2"/>
      <c r="C444" s="2"/>
      <c r="D444" s="3"/>
      <c r="E444" s="1"/>
      <c r="I444" s="1"/>
      <c r="K444" s="4">
        <f>Tabelle5[[#This Row],[value_present]]*Tabelle5[[#This Row],[binding_level]]</f>
        <v>0</v>
      </c>
    </row>
    <row r="445" spans="1:11" x14ac:dyDescent="0.25">
      <c r="A445" s="2"/>
      <c r="B445" s="2"/>
      <c r="C445" s="2"/>
      <c r="D445" s="3"/>
      <c r="E445" s="1"/>
      <c r="I445" s="1"/>
      <c r="K445" s="4">
        <f>Tabelle5[[#This Row],[value_present]]*Tabelle5[[#This Row],[binding_level]]</f>
        <v>0</v>
      </c>
    </row>
    <row r="446" spans="1:11" x14ac:dyDescent="0.25">
      <c r="A446" s="2"/>
      <c r="B446" s="2"/>
      <c r="C446" s="2"/>
      <c r="D446" s="3"/>
      <c r="E446" s="1"/>
      <c r="I446" s="1"/>
      <c r="K446" s="4">
        <f>Tabelle5[[#This Row],[value_present]]*Tabelle5[[#This Row],[binding_level]]</f>
        <v>0</v>
      </c>
    </row>
    <row r="447" spans="1:11" x14ac:dyDescent="0.25">
      <c r="A447" s="2"/>
      <c r="B447" s="2"/>
      <c r="C447" s="2"/>
      <c r="D447" s="3"/>
      <c r="E447" s="1"/>
      <c r="I447" s="1"/>
      <c r="K447" s="4">
        <f>Tabelle5[[#This Row],[value_present]]*Tabelle5[[#This Row],[binding_level]]</f>
        <v>0</v>
      </c>
    </row>
    <row r="448" spans="1:11" x14ac:dyDescent="0.25">
      <c r="A448" s="2"/>
      <c r="B448" s="2"/>
      <c r="C448" s="2"/>
      <c r="D448" s="3"/>
      <c r="E448" s="1"/>
      <c r="I448" s="1"/>
      <c r="K448" s="4">
        <f>Tabelle5[[#This Row],[value_present]]*Tabelle5[[#This Row],[binding_level]]</f>
        <v>0</v>
      </c>
    </row>
    <row r="449" spans="1:11" x14ac:dyDescent="0.25">
      <c r="A449" s="2"/>
      <c r="B449" s="2"/>
      <c r="C449" s="2"/>
      <c r="D449" s="3"/>
      <c r="E449" s="1"/>
      <c r="I449" s="1"/>
      <c r="K449" s="4">
        <f>Tabelle5[[#This Row],[value_present]]*Tabelle5[[#This Row],[binding_level]]</f>
        <v>0</v>
      </c>
    </row>
    <row r="450" spans="1:11" x14ac:dyDescent="0.25">
      <c r="A450" s="2"/>
      <c r="B450" s="2"/>
      <c r="C450" s="2"/>
      <c r="D450" s="3"/>
      <c r="E450" s="1"/>
      <c r="I450" s="1"/>
      <c r="K450" s="4">
        <f>Tabelle5[[#This Row],[value_present]]*Tabelle5[[#This Row],[binding_level]]</f>
        <v>0</v>
      </c>
    </row>
    <row r="451" spans="1:11" x14ac:dyDescent="0.25">
      <c r="A451" s="2"/>
      <c r="B451" s="2"/>
      <c r="C451" s="2"/>
      <c r="D451" s="3"/>
      <c r="E451" s="1"/>
      <c r="I451" s="1"/>
      <c r="K451" s="4">
        <f>Tabelle5[[#This Row],[value_present]]*Tabelle5[[#This Row],[binding_level]]</f>
        <v>0</v>
      </c>
    </row>
    <row r="452" spans="1:11" x14ac:dyDescent="0.25">
      <c r="A452" s="2"/>
      <c r="B452" s="2"/>
      <c r="C452" s="2"/>
      <c r="D452" s="3"/>
      <c r="E452" s="1"/>
      <c r="I452" s="1"/>
      <c r="K452" s="4">
        <f>Tabelle5[[#This Row],[value_present]]*Tabelle5[[#This Row],[binding_level]]</f>
        <v>0</v>
      </c>
    </row>
    <row r="453" spans="1:11" x14ac:dyDescent="0.25">
      <c r="A453" s="2"/>
      <c r="B453" s="2"/>
      <c r="C453" s="2"/>
      <c r="D453" s="3"/>
      <c r="E453" s="1"/>
      <c r="I453" s="1"/>
      <c r="K453" s="4">
        <f>Tabelle5[[#This Row],[value_present]]*Tabelle5[[#This Row],[binding_level]]</f>
        <v>0</v>
      </c>
    </row>
    <row r="454" spans="1:11" x14ac:dyDescent="0.25">
      <c r="A454" s="2"/>
      <c r="B454" s="2"/>
      <c r="C454" s="2"/>
      <c r="D454" s="3"/>
      <c r="E454" s="1"/>
      <c r="I454" s="1"/>
      <c r="K454" s="4">
        <f>Tabelle5[[#This Row],[value_present]]*Tabelle5[[#This Row],[binding_level]]</f>
        <v>0</v>
      </c>
    </row>
    <row r="455" spans="1:11" x14ac:dyDescent="0.25">
      <c r="A455" s="2"/>
      <c r="B455" s="2"/>
      <c r="C455" s="2"/>
      <c r="D455" s="3"/>
      <c r="E455" s="1"/>
      <c r="I455" s="1"/>
      <c r="K455" s="4">
        <f>Tabelle5[[#This Row],[value_present]]*Tabelle5[[#This Row],[binding_level]]</f>
        <v>0</v>
      </c>
    </row>
    <row r="456" spans="1:11" x14ac:dyDescent="0.25">
      <c r="A456" s="2"/>
      <c r="B456" s="2"/>
      <c r="C456" s="2"/>
      <c r="D456" s="3"/>
      <c r="E456" s="1"/>
      <c r="I456" s="1"/>
      <c r="K456" s="4">
        <f>Tabelle5[[#This Row],[value_present]]*Tabelle5[[#This Row],[binding_level]]</f>
        <v>0</v>
      </c>
    </row>
    <row r="457" spans="1:11" x14ac:dyDescent="0.25">
      <c r="A457" s="2"/>
      <c r="B457" s="2"/>
      <c r="C457" s="2"/>
      <c r="D457" s="3"/>
      <c r="E457" s="1"/>
      <c r="I457" s="1"/>
      <c r="K457" s="4">
        <f>Tabelle5[[#This Row],[value_present]]*Tabelle5[[#This Row],[binding_level]]</f>
        <v>0</v>
      </c>
    </row>
    <row r="458" spans="1:11" x14ac:dyDescent="0.25">
      <c r="A458" s="2"/>
      <c r="B458" s="2"/>
      <c r="C458" s="2"/>
      <c r="D458" s="3"/>
      <c r="E458" s="1"/>
      <c r="I458" s="1"/>
      <c r="K458" s="4">
        <f>Tabelle5[[#This Row],[value_present]]*Tabelle5[[#This Row],[binding_level]]</f>
        <v>0</v>
      </c>
    </row>
    <row r="459" spans="1:11" x14ac:dyDescent="0.25">
      <c r="A459" s="2"/>
      <c r="B459" s="2"/>
      <c r="C459" s="2"/>
      <c r="D459" s="3"/>
      <c r="E459" s="1"/>
      <c r="I459" s="1"/>
      <c r="K459" s="4">
        <f>Tabelle5[[#This Row],[value_present]]*Tabelle5[[#This Row],[binding_level]]</f>
        <v>0</v>
      </c>
    </row>
    <row r="460" spans="1:11" x14ac:dyDescent="0.25">
      <c r="A460" s="2"/>
      <c r="B460" s="2"/>
      <c r="C460" s="2"/>
      <c r="D460" s="3"/>
      <c r="E460" s="1"/>
      <c r="I460" s="1"/>
      <c r="K460" s="4">
        <f>Tabelle5[[#This Row],[value_present]]*Tabelle5[[#This Row],[binding_level]]</f>
        <v>0</v>
      </c>
    </row>
    <row r="461" spans="1:11" x14ac:dyDescent="0.25">
      <c r="A461" s="2"/>
      <c r="B461" s="2"/>
      <c r="C461" s="2"/>
      <c r="D461" s="3"/>
      <c r="E461" s="1"/>
      <c r="I461" s="1"/>
      <c r="K461" s="4">
        <f>Tabelle5[[#This Row],[value_present]]*Tabelle5[[#This Row],[binding_level]]</f>
        <v>0</v>
      </c>
    </row>
    <row r="462" spans="1:11" x14ac:dyDescent="0.25">
      <c r="A462" s="2"/>
      <c r="B462" s="2"/>
      <c r="C462" s="2"/>
      <c r="D462" s="3"/>
      <c r="E462" s="1"/>
      <c r="I462" s="1"/>
      <c r="K462" s="4">
        <f>Tabelle5[[#This Row],[value_present]]*Tabelle5[[#This Row],[binding_level]]</f>
        <v>0</v>
      </c>
    </row>
    <row r="463" spans="1:11" x14ac:dyDescent="0.25">
      <c r="A463" s="2"/>
      <c r="B463" s="2"/>
      <c r="C463" s="2"/>
      <c r="D463" s="3"/>
      <c r="E463" s="1"/>
      <c r="I463" s="1"/>
      <c r="K463" s="4">
        <f>Tabelle5[[#This Row],[value_present]]*Tabelle5[[#This Row],[binding_level]]</f>
        <v>0</v>
      </c>
    </row>
    <row r="464" spans="1:11" x14ac:dyDescent="0.25">
      <c r="A464" s="2"/>
      <c r="B464" s="2"/>
      <c r="C464" s="2"/>
      <c r="D464" s="3"/>
      <c r="E464" s="1"/>
      <c r="I464" s="1"/>
      <c r="K464" s="4">
        <f>Tabelle5[[#This Row],[value_present]]*Tabelle5[[#This Row],[binding_level]]</f>
        <v>0</v>
      </c>
    </row>
    <row r="465" spans="1:11" x14ac:dyDescent="0.25">
      <c r="A465" s="2"/>
      <c r="B465" s="2"/>
      <c r="C465" s="2"/>
      <c r="D465" s="3"/>
      <c r="E465" s="1"/>
      <c r="I465" s="1"/>
      <c r="K465" s="4">
        <f>Tabelle5[[#This Row],[value_present]]*Tabelle5[[#This Row],[binding_level]]</f>
        <v>0</v>
      </c>
    </row>
    <row r="466" spans="1:11" x14ac:dyDescent="0.25">
      <c r="A466" s="2"/>
      <c r="B466" s="2"/>
      <c r="C466" s="2"/>
      <c r="D466" s="3"/>
      <c r="E466" s="1"/>
      <c r="I466" s="1"/>
      <c r="K466" s="4">
        <f>Tabelle5[[#This Row],[value_present]]*Tabelle5[[#This Row],[binding_level]]</f>
        <v>0</v>
      </c>
    </row>
    <row r="467" spans="1:11" x14ac:dyDescent="0.25">
      <c r="A467" s="2"/>
      <c r="B467" s="2"/>
      <c r="C467" s="2"/>
      <c r="D467" s="3"/>
      <c r="E467" s="1"/>
      <c r="I467" s="1"/>
      <c r="K467" s="4">
        <f>Tabelle5[[#This Row],[value_present]]*Tabelle5[[#This Row],[binding_level]]</f>
        <v>0</v>
      </c>
    </row>
    <row r="468" spans="1:11" x14ac:dyDescent="0.25">
      <c r="A468" s="2"/>
      <c r="B468" s="2"/>
      <c r="C468" s="2"/>
      <c r="D468" s="3"/>
      <c r="E468" s="1"/>
      <c r="I468" s="1"/>
      <c r="K468" s="4">
        <f>Tabelle5[[#This Row],[value_present]]*Tabelle5[[#This Row],[binding_level]]</f>
        <v>0</v>
      </c>
    </row>
    <row r="469" spans="1:11" x14ac:dyDescent="0.25">
      <c r="A469" s="2"/>
      <c r="B469" s="2"/>
      <c r="C469" s="2"/>
      <c r="D469" s="3"/>
      <c r="E469" s="1"/>
      <c r="I469" s="1"/>
      <c r="K469" s="4">
        <f>Tabelle5[[#This Row],[value_present]]*Tabelle5[[#This Row],[binding_level]]</f>
        <v>0</v>
      </c>
    </row>
    <row r="470" spans="1:11" x14ac:dyDescent="0.25">
      <c r="A470" s="2"/>
      <c r="B470" s="2"/>
      <c r="C470" s="2"/>
      <c r="D470" s="3"/>
      <c r="E470" s="1"/>
      <c r="I470" s="1"/>
      <c r="K470" s="4">
        <f>Tabelle5[[#This Row],[value_present]]*Tabelle5[[#This Row],[binding_level]]</f>
        <v>0</v>
      </c>
    </row>
    <row r="471" spans="1:11" x14ac:dyDescent="0.25">
      <c r="A471" s="2"/>
      <c r="B471" s="2"/>
      <c r="C471" s="2"/>
      <c r="D471" s="3"/>
      <c r="E471" s="1"/>
      <c r="I471" s="1"/>
      <c r="K471" s="4">
        <f>Tabelle5[[#This Row],[value_present]]*Tabelle5[[#This Row],[binding_level]]</f>
        <v>0</v>
      </c>
    </row>
    <row r="472" spans="1:11" x14ac:dyDescent="0.25">
      <c r="A472" s="2"/>
      <c r="B472" s="2"/>
      <c r="C472" s="2"/>
      <c r="D472" s="3"/>
      <c r="E472" s="1"/>
      <c r="I472" s="1"/>
      <c r="K472" s="4">
        <f>Tabelle5[[#This Row],[value_present]]*Tabelle5[[#This Row],[binding_level]]</f>
        <v>0</v>
      </c>
    </row>
    <row r="473" spans="1:11" x14ac:dyDescent="0.25">
      <c r="A473" s="2"/>
      <c r="B473" s="2"/>
      <c r="C473" s="2"/>
      <c r="D473" s="3"/>
      <c r="E473" s="1"/>
      <c r="I473" s="1"/>
      <c r="K473" s="4">
        <f>Tabelle5[[#This Row],[value_present]]*Tabelle5[[#This Row],[binding_level]]</f>
        <v>0</v>
      </c>
    </row>
    <row r="474" spans="1:11" x14ac:dyDescent="0.25">
      <c r="A474" s="2"/>
      <c r="B474" s="2"/>
      <c r="C474" s="2"/>
      <c r="D474" s="3"/>
      <c r="E474" s="1"/>
      <c r="I474" s="1"/>
      <c r="K474" s="4">
        <f>Tabelle5[[#This Row],[value_present]]*Tabelle5[[#This Row],[binding_level]]</f>
        <v>0</v>
      </c>
    </row>
    <row r="475" spans="1:11" x14ac:dyDescent="0.25">
      <c r="A475" s="2"/>
      <c r="B475" s="2"/>
      <c r="C475" s="2"/>
      <c r="D475" s="3"/>
      <c r="E475" s="1"/>
      <c r="I475" s="1"/>
      <c r="K475" s="4">
        <f>Tabelle5[[#This Row],[value_present]]*Tabelle5[[#This Row],[binding_level]]</f>
        <v>0</v>
      </c>
    </row>
    <row r="476" spans="1:11" x14ac:dyDescent="0.25">
      <c r="A476" s="2"/>
      <c r="B476" s="2"/>
      <c r="C476" s="2"/>
      <c r="D476" s="3"/>
      <c r="E476" s="1"/>
      <c r="I476" s="1"/>
      <c r="K476" s="4">
        <f>Tabelle5[[#This Row],[value_present]]*Tabelle5[[#This Row],[binding_level]]</f>
        <v>0</v>
      </c>
    </row>
    <row r="477" spans="1:11" x14ac:dyDescent="0.25">
      <c r="A477" s="2"/>
      <c r="B477" s="2"/>
      <c r="C477" s="2"/>
      <c r="D477" s="3"/>
      <c r="E477" s="1"/>
      <c r="I477" s="1"/>
      <c r="K477" s="4">
        <f>Tabelle5[[#This Row],[value_present]]*Tabelle5[[#This Row],[binding_level]]</f>
        <v>0</v>
      </c>
    </row>
    <row r="478" spans="1:11" x14ac:dyDescent="0.25">
      <c r="A478" s="2"/>
      <c r="B478" s="2"/>
      <c r="C478" s="2"/>
      <c r="D478" s="3"/>
      <c r="E478" s="1"/>
      <c r="I478" s="1"/>
      <c r="K478" s="4">
        <f>Tabelle5[[#This Row],[value_present]]*Tabelle5[[#This Row],[binding_level]]</f>
        <v>0</v>
      </c>
    </row>
    <row r="479" spans="1:11" x14ac:dyDescent="0.25">
      <c r="A479" s="2"/>
      <c r="B479" s="2"/>
      <c r="C479" s="2"/>
      <c r="D479" s="3"/>
      <c r="E479" s="1"/>
      <c r="I479" s="1"/>
      <c r="K479" s="4">
        <f>Tabelle5[[#This Row],[value_present]]*Tabelle5[[#This Row],[binding_level]]</f>
        <v>0</v>
      </c>
    </row>
    <row r="480" spans="1:11" x14ac:dyDescent="0.25">
      <c r="A480" s="2"/>
      <c r="B480" s="2"/>
      <c r="C480" s="2"/>
      <c r="D480" s="3"/>
      <c r="E480" s="1"/>
      <c r="I480" s="1"/>
      <c r="K480" s="4">
        <f>Tabelle5[[#This Row],[value_present]]*Tabelle5[[#This Row],[binding_level]]</f>
        <v>0</v>
      </c>
    </row>
    <row r="481" spans="1:11" x14ac:dyDescent="0.25">
      <c r="A481" s="2"/>
      <c r="B481" s="2"/>
      <c r="C481" s="2"/>
      <c r="D481" s="3"/>
      <c r="E481" s="1"/>
      <c r="I481" s="1"/>
      <c r="K481" s="4">
        <f>Tabelle5[[#This Row],[value_present]]*Tabelle5[[#This Row],[binding_level]]</f>
        <v>0</v>
      </c>
    </row>
    <row r="482" spans="1:11" x14ac:dyDescent="0.25">
      <c r="A482" s="2"/>
      <c r="B482" s="2"/>
      <c r="C482" s="2"/>
      <c r="D482" s="3"/>
      <c r="E482" s="1"/>
      <c r="I482" s="1"/>
      <c r="K482" s="4">
        <f>Tabelle5[[#This Row],[value_present]]*Tabelle5[[#This Row],[binding_level]]</f>
        <v>0</v>
      </c>
    </row>
    <row r="483" spans="1:11" x14ac:dyDescent="0.25">
      <c r="A483" s="2"/>
      <c r="B483" s="2"/>
      <c r="C483" s="2"/>
      <c r="D483" s="3"/>
      <c r="E483" s="1"/>
      <c r="I483" s="1"/>
      <c r="K483" s="4">
        <f>Tabelle5[[#This Row],[value_present]]*Tabelle5[[#This Row],[binding_level]]</f>
        <v>0</v>
      </c>
    </row>
    <row r="484" spans="1:11" x14ac:dyDescent="0.25">
      <c r="A484" s="2"/>
      <c r="B484" s="2"/>
      <c r="C484" s="2"/>
      <c r="D484" s="3"/>
      <c r="E484" s="1"/>
      <c r="I484" s="1"/>
      <c r="K484" s="4">
        <f>Tabelle5[[#This Row],[value_present]]*Tabelle5[[#This Row],[binding_level]]</f>
        <v>0</v>
      </c>
    </row>
    <row r="485" spans="1:11" x14ac:dyDescent="0.25">
      <c r="A485" s="2"/>
      <c r="B485" s="2"/>
      <c r="C485" s="2"/>
      <c r="D485" s="3"/>
      <c r="E485" s="1"/>
      <c r="I485" s="1"/>
      <c r="K485" s="4">
        <f>Tabelle5[[#This Row],[value_present]]*Tabelle5[[#This Row],[binding_level]]</f>
        <v>0</v>
      </c>
    </row>
    <row r="486" spans="1:11" x14ac:dyDescent="0.25">
      <c r="A486" s="2"/>
      <c r="B486" s="2"/>
      <c r="C486" s="2"/>
      <c r="D486" s="3"/>
      <c r="E486" s="1"/>
      <c r="I486" s="1"/>
      <c r="K486" s="4">
        <f>Tabelle5[[#This Row],[value_present]]*Tabelle5[[#This Row],[binding_level]]</f>
        <v>0</v>
      </c>
    </row>
    <row r="487" spans="1:11" x14ac:dyDescent="0.25">
      <c r="A487" s="2"/>
      <c r="B487" s="2"/>
      <c r="C487" s="2"/>
      <c r="D487" s="3"/>
      <c r="E487" s="1"/>
      <c r="I487" s="1"/>
      <c r="K487" s="4">
        <f>Tabelle5[[#This Row],[value_present]]*Tabelle5[[#This Row],[binding_level]]</f>
        <v>0</v>
      </c>
    </row>
    <row r="488" spans="1:11" x14ac:dyDescent="0.25">
      <c r="A488" s="2"/>
      <c r="B488" s="2"/>
      <c r="C488" s="2"/>
      <c r="D488" s="3"/>
      <c r="E488" s="1"/>
      <c r="I488" s="1"/>
      <c r="K488" s="4">
        <f>Tabelle5[[#This Row],[value_present]]*Tabelle5[[#This Row],[binding_level]]</f>
        <v>0</v>
      </c>
    </row>
    <row r="489" spans="1:11" x14ac:dyDescent="0.25">
      <c r="A489" s="2"/>
      <c r="B489" s="2"/>
      <c r="C489" s="2"/>
      <c r="D489" s="3"/>
      <c r="E489" s="1"/>
      <c r="I489" s="1"/>
      <c r="K489" s="4">
        <f>Tabelle5[[#This Row],[value_present]]*Tabelle5[[#This Row],[binding_level]]</f>
        <v>0</v>
      </c>
    </row>
    <row r="490" spans="1:11" x14ac:dyDescent="0.25">
      <c r="A490" s="2"/>
      <c r="B490" s="2"/>
      <c r="C490" s="2"/>
      <c r="D490" s="3"/>
      <c r="E490" s="1"/>
      <c r="I490" s="1"/>
      <c r="K490" s="4">
        <f>Tabelle5[[#This Row],[value_present]]*Tabelle5[[#This Row],[binding_level]]</f>
        <v>0</v>
      </c>
    </row>
    <row r="491" spans="1:11" x14ac:dyDescent="0.25">
      <c r="A491" s="2"/>
      <c r="B491" s="2"/>
      <c r="C491" s="2"/>
      <c r="D491" s="3"/>
      <c r="E491" s="1"/>
      <c r="I491" s="1"/>
      <c r="K491" s="4">
        <f>Tabelle5[[#This Row],[value_present]]*Tabelle5[[#This Row],[binding_level]]</f>
        <v>0</v>
      </c>
    </row>
    <row r="492" spans="1:11" x14ac:dyDescent="0.25">
      <c r="A492" s="2"/>
      <c r="B492" s="2"/>
      <c r="C492" s="2"/>
      <c r="D492" s="3"/>
      <c r="E492" s="1"/>
      <c r="I492" s="1"/>
      <c r="K492" s="4">
        <f>Tabelle5[[#This Row],[value_present]]*Tabelle5[[#This Row],[binding_level]]</f>
        <v>0</v>
      </c>
    </row>
    <row r="493" spans="1:11" x14ac:dyDescent="0.25">
      <c r="A493" s="2"/>
      <c r="B493" s="2"/>
      <c r="C493" s="2"/>
      <c r="D493" s="3"/>
      <c r="E493" s="1"/>
      <c r="I493" s="1"/>
      <c r="K493" s="4">
        <f>Tabelle5[[#This Row],[value_present]]*Tabelle5[[#This Row],[binding_level]]</f>
        <v>0</v>
      </c>
    </row>
    <row r="494" spans="1:11" x14ac:dyDescent="0.25">
      <c r="A494" s="2"/>
      <c r="B494" s="2"/>
      <c r="C494" s="2"/>
      <c r="D494" s="3"/>
      <c r="E494" s="1"/>
      <c r="I494" s="1"/>
      <c r="K494" s="4">
        <f>Tabelle5[[#This Row],[value_present]]*Tabelle5[[#This Row],[binding_level]]</f>
        <v>0</v>
      </c>
    </row>
    <row r="495" spans="1:11" x14ac:dyDescent="0.25">
      <c r="A495" s="2"/>
      <c r="B495" s="2"/>
      <c r="C495" s="2"/>
      <c r="D495" s="3"/>
      <c r="E495" s="1"/>
      <c r="I495" s="1"/>
      <c r="K495" s="4">
        <f>Tabelle5[[#This Row],[value_present]]*Tabelle5[[#This Row],[binding_level]]</f>
        <v>0</v>
      </c>
    </row>
    <row r="496" spans="1:11" x14ac:dyDescent="0.25">
      <c r="A496" s="2"/>
      <c r="B496" s="2"/>
      <c r="C496" s="2"/>
      <c r="D496" s="3"/>
      <c r="E496" s="1"/>
      <c r="I496" s="1"/>
      <c r="K496" s="4">
        <f>Tabelle5[[#This Row],[value_present]]*Tabelle5[[#This Row],[binding_level]]</f>
        <v>0</v>
      </c>
    </row>
    <row r="497" spans="1:11" x14ac:dyDescent="0.25">
      <c r="A497" s="2"/>
      <c r="B497" s="2"/>
      <c r="C497" s="2"/>
      <c r="D497" s="3"/>
      <c r="E497" s="1"/>
      <c r="I497" s="1"/>
      <c r="K497" s="4">
        <f>Tabelle5[[#This Row],[value_present]]*Tabelle5[[#This Row],[binding_level]]</f>
        <v>0</v>
      </c>
    </row>
    <row r="498" spans="1:11" x14ac:dyDescent="0.25">
      <c r="A498" s="2"/>
      <c r="B498" s="2"/>
      <c r="C498" s="2"/>
      <c r="D498" s="3"/>
      <c r="E498" s="1"/>
      <c r="I498" s="1"/>
      <c r="K498" s="4">
        <f>Tabelle5[[#This Row],[value_present]]*Tabelle5[[#This Row],[binding_level]]</f>
        <v>0</v>
      </c>
    </row>
    <row r="499" spans="1:11" x14ac:dyDescent="0.25">
      <c r="A499" s="2"/>
      <c r="B499" s="2"/>
      <c r="C499" s="2"/>
      <c r="D499" s="3"/>
      <c r="E499" s="1"/>
      <c r="I499" s="1"/>
      <c r="K499" s="4">
        <f>Tabelle5[[#This Row],[value_present]]*Tabelle5[[#This Row],[binding_level]]</f>
        <v>0</v>
      </c>
    </row>
    <row r="500" spans="1:11" x14ac:dyDescent="0.25">
      <c r="A500" s="2"/>
      <c r="B500" s="2"/>
      <c r="C500" s="2"/>
      <c r="D500" s="3"/>
      <c r="E500" s="1"/>
      <c r="I500" s="1"/>
      <c r="K500" s="4">
        <f>Tabelle5[[#This Row],[value_present]]*Tabelle5[[#This Row],[binding_level]]</f>
        <v>0</v>
      </c>
    </row>
    <row r="501" spans="1:11" x14ac:dyDescent="0.25">
      <c r="A501" s="2"/>
      <c r="B501" s="2"/>
      <c r="C501" s="2"/>
      <c r="D501" s="3"/>
      <c r="E501" s="1"/>
      <c r="I501" s="1"/>
      <c r="K501" s="4">
        <f>Tabelle5[[#This Row],[value_present]]*Tabelle5[[#This Row],[binding_level]]</f>
        <v>0</v>
      </c>
    </row>
    <row r="502" spans="1:11" x14ac:dyDescent="0.25">
      <c r="A502" s="2"/>
      <c r="B502" s="2"/>
      <c r="C502" s="2"/>
      <c r="D502" s="3"/>
      <c r="E502" s="1"/>
      <c r="I502" s="1"/>
      <c r="K502" s="4">
        <f>Tabelle5[[#This Row],[value_present]]*Tabelle5[[#This Row],[binding_level]]</f>
        <v>0</v>
      </c>
    </row>
    <row r="503" spans="1:11" x14ac:dyDescent="0.25">
      <c r="A503" s="2"/>
      <c r="B503" s="2"/>
      <c r="C503" s="2"/>
      <c r="D503" s="3"/>
      <c r="E503" s="1"/>
      <c r="I503" s="1"/>
      <c r="K503" s="4">
        <f>Tabelle5[[#This Row],[value_present]]*Tabelle5[[#This Row],[binding_level]]</f>
        <v>0</v>
      </c>
    </row>
    <row r="504" spans="1:11" x14ac:dyDescent="0.25">
      <c r="A504" s="2"/>
      <c r="B504" s="2"/>
      <c r="C504" s="2"/>
      <c r="D504" s="3"/>
      <c r="E504" s="1"/>
      <c r="I504" s="1"/>
      <c r="K504" s="4">
        <f>Tabelle5[[#This Row],[value_present]]*Tabelle5[[#This Row],[binding_level]]</f>
        <v>0</v>
      </c>
    </row>
    <row r="505" spans="1:11" x14ac:dyDescent="0.25">
      <c r="A505" s="2"/>
      <c r="B505" s="2"/>
      <c r="C505" s="2"/>
      <c r="D505" s="3"/>
      <c r="E505" s="1"/>
      <c r="I505" s="1"/>
      <c r="K505" s="4">
        <f>Tabelle5[[#This Row],[value_present]]*Tabelle5[[#This Row],[binding_level]]</f>
        <v>0</v>
      </c>
    </row>
    <row r="506" spans="1:11" x14ac:dyDescent="0.25">
      <c r="A506" s="2"/>
      <c r="B506" s="2"/>
      <c r="C506" s="2"/>
      <c r="D506" s="3"/>
      <c r="E506" s="1"/>
      <c r="I506" s="1"/>
      <c r="K506" s="4">
        <f>Tabelle5[[#This Row],[value_present]]*Tabelle5[[#This Row],[binding_level]]</f>
        <v>0</v>
      </c>
    </row>
    <row r="507" spans="1:11" x14ac:dyDescent="0.25">
      <c r="A507" s="2"/>
      <c r="B507" s="2"/>
      <c r="C507" s="2"/>
      <c r="D507" s="3"/>
      <c r="E507" s="1"/>
      <c r="I507" s="1"/>
      <c r="K507" s="4">
        <f>Tabelle5[[#This Row],[value_present]]*Tabelle5[[#This Row],[binding_level]]</f>
        <v>0</v>
      </c>
    </row>
    <row r="508" spans="1:11" x14ac:dyDescent="0.25">
      <c r="A508" s="2"/>
      <c r="B508" s="2"/>
      <c r="C508" s="2"/>
      <c r="D508" s="3"/>
      <c r="E508" s="1"/>
      <c r="I508" s="1"/>
      <c r="K508" s="4">
        <f>Tabelle5[[#This Row],[value_present]]*Tabelle5[[#This Row],[binding_level]]</f>
        <v>0</v>
      </c>
    </row>
    <row r="509" spans="1:11" x14ac:dyDescent="0.25">
      <c r="A509" s="2"/>
      <c r="B509" s="2"/>
      <c r="C509" s="2"/>
      <c r="D509" s="3"/>
      <c r="E509" s="1"/>
      <c r="I509" s="1"/>
      <c r="K509" s="4">
        <f>Tabelle5[[#This Row],[value_present]]*Tabelle5[[#This Row],[binding_level]]</f>
        <v>0</v>
      </c>
    </row>
    <row r="510" spans="1:11" x14ac:dyDescent="0.25">
      <c r="A510" s="2"/>
      <c r="B510" s="2"/>
      <c r="C510" s="2"/>
      <c r="D510" s="3"/>
      <c r="E510" s="1"/>
      <c r="I510" s="1"/>
      <c r="K510" s="4">
        <f>Tabelle5[[#This Row],[value_present]]*Tabelle5[[#This Row],[binding_level]]</f>
        <v>0</v>
      </c>
    </row>
    <row r="511" spans="1:11" x14ac:dyDescent="0.25">
      <c r="A511" s="2"/>
      <c r="B511" s="2"/>
      <c r="C511" s="2"/>
      <c r="D511" s="3"/>
      <c r="E511" s="1"/>
      <c r="I511" s="1"/>
      <c r="K511" s="4">
        <f>Tabelle5[[#This Row],[value_present]]*Tabelle5[[#This Row],[binding_level]]</f>
        <v>0</v>
      </c>
    </row>
    <row r="512" spans="1:11" x14ac:dyDescent="0.25">
      <c r="A512" s="2"/>
      <c r="B512" s="2"/>
      <c r="C512" s="2"/>
      <c r="D512" s="3"/>
      <c r="E512" s="1"/>
      <c r="I512" s="1"/>
      <c r="K512" s="4">
        <f>Tabelle5[[#This Row],[value_present]]*Tabelle5[[#This Row],[binding_level]]</f>
        <v>0</v>
      </c>
    </row>
    <row r="513" spans="1:11" x14ac:dyDescent="0.25">
      <c r="A513" s="2"/>
      <c r="B513" s="2"/>
      <c r="C513" s="2"/>
      <c r="D513" s="3"/>
      <c r="E513" s="1"/>
      <c r="I513" s="1"/>
      <c r="K513" s="4">
        <f>Tabelle5[[#This Row],[value_present]]*Tabelle5[[#This Row],[binding_level]]</f>
        <v>0</v>
      </c>
    </row>
    <row r="514" spans="1:11" x14ac:dyDescent="0.25">
      <c r="A514" s="2"/>
      <c r="B514" s="2"/>
      <c r="C514" s="2"/>
      <c r="D514" s="3"/>
      <c r="E514" s="1"/>
      <c r="I514" s="1"/>
      <c r="K514" s="4">
        <f>Tabelle5[[#This Row],[value_present]]*Tabelle5[[#This Row],[binding_level]]</f>
        <v>0</v>
      </c>
    </row>
    <row r="515" spans="1:11" x14ac:dyDescent="0.25">
      <c r="A515" s="2"/>
      <c r="B515" s="2"/>
      <c r="C515" s="2"/>
      <c r="D515" s="3"/>
      <c r="E515" s="1"/>
      <c r="I515" s="1"/>
      <c r="K515" s="4">
        <f>Tabelle5[[#This Row],[value_present]]*Tabelle5[[#This Row],[binding_level]]</f>
        <v>0</v>
      </c>
    </row>
    <row r="516" spans="1:11" x14ac:dyDescent="0.25">
      <c r="A516" s="2"/>
      <c r="B516" s="2"/>
      <c r="C516" s="2"/>
      <c r="D516" s="3"/>
      <c r="E516" s="1"/>
      <c r="I516" s="1"/>
      <c r="K516" s="4">
        <f>Tabelle5[[#This Row],[value_present]]*Tabelle5[[#This Row],[binding_level]]</f>
        <v>0</v>
      </c>
    </row>
    <row r="517" spans="1:11" x14ac:dyDescent="0.25">
      <c r="A517" s="2"/>
      <c r="B517" s="2"/>
      <c r="C517" s="2"/>
      <c r="D517" s="3"/>
      <c r="E517" s="1"/>
      <c r="I517" s="1"/>
      <c r="K517" s="4">
        <f>Tabelle5[[#This Row],[value_present]]*Tabelle5[[#This Row],[binding_level]]</f>
        <v>0</v>
      </c>
    </row>
    <row r="518" spans="1:11" x14ac:dyDescent="0.25">
      <c r="A518" s="2"/>
      <c r="B518" s="2"/>
      <c r="C518" s="2"/>
      <c r="D518" s="3"/>
      <c r="E518" s="1"/>
      <c r="I518" s="1"/>
      <c r="K518" s="4">
        <f>Tabelle5[[#This Row],[value_present]]*Tabelle5[[#This Row],[binding_level]]</f>
        <v>0</v>
      </c>
    </row>
    <row r="519" spans="1:11" x14ac:dyDescent="0.25">
      <c r="A519" s="2"/>
      <c r="B519" s="2"/>
      <c r="C519" s="2"/>
      <c r="D519" s="3"/>
      <c r="E519" s="1"/>
      <c r="I519" s="1"/>
      <c r="K519" s="4">
        <f>Tabelle5[[#This Row],[value_present]]*Tabelle5[[#This Row],[binding_level]]</f>
        <v>0</v>
      </c>
    </row>
    <row r="520" spans="1:11" x14ac:dyDescent="0.25">
      <c r="A520" s="2"/>
      <c r="B520" s="2"/>
      <c r="C520" s="2"/>
      <c r="D520" s="3"/>
      <c r="E520" s="1"/>
      <c r="I520" s="1"/>
      <c r="K520" s="4">
        <f>Tabelle5[[#This Row],[value_present]]*Tabelle5[[#This Row],[binding_level]]</f>
        <v>0</v>
      </c>
    </row>
    <row r="521" spans="1:11" x14ac:dyDescent="0.25">
      <c r="A521" s="2"/>
      <c r="B521" s="2"/>
      <c r="C521" s="2"/>
      <c r="D521" s="3"/>
      <c r="E521" s="1"/>
      <c r="I521" s="1"/>
      <c r="K521" s="4">
        <f>Tabelle5[[#This Row],[value_present]]*Tabelle5[[#This Row],[binding_level]]</f>
        <v>0</v>
      </c>
    </row>
    <row r="522" spans="1:11" x14ac:dyDescent="0.25">
      <c r="A522" s="2"/>
      <c r="B522" s="2"/>
      <c r="C522" s="2"/>
      <c r="D522" s="3"/>
      <c r="E522" s="1"/>
      <c r="I522" s="1"/>
      <c r="K522" s="4">
        <f>Tabelle5[[#This Row],[value_present]]*Tabelle5[[#This Row],[binding_level]]</f>
        <v>0</v>
      </c>
    </row>
    <row r="523" spans="1:11" x14ac:dyDescent="0.25">
      <c r="A523" s="2"/>
      <c r="B523" s="2"/>
      <c r="C523" s="2"/>
      <c r="D523" s="3"/>
      <c r="E523" s="1"/>
      <c r="I523" s="1"/>
      <c r="K523" s="4">
        <f>Tabelle5[[#This Row],[value_present]]*Tabelle5[[#This Row],[binding_level]]</f>
        <v>0</v>
      </c>
    </row>
    <row r="524" spans="1:11" x14ac:dyDescent="0.25">
      <c r="A524" s="2"/>
      <c r="B524" s="2"/>
      <c r="C524" s="2"/>
      <c r="D524" s="3"/>
      <c r="E524" s="1"/>
      <c r="I524" s="1"/>
      <c r="K524" s="4">
        <f>Tabelle5[[#This Row],[value_present]]*Tabelle5[[#This Row],[binding_level]]</f>
        <v>0</v>
      </c>
    </row>
    <row r="525" spans="1:11" x14ac:dyDescent="0.25">
      <c r="A525" s="2"/>
      <c r="B525" s="2"/>
      <c r="C525" s="2"/>
      <c r="D525" s="3"/>
      <c r="E525" s="1"/>
      <c r="I525" s="1"/>
      <c r="K525" s="4">
        <f>Tabelle5[[#This Row],[value_present]]*Tabelle5[[#This Row],[binding_level]]</f>
        <v>0</v>
      </c>
    </row>
    <row r="526" spans="1:11" x14ac:dyDescent="0.25">
      <c r="A526" s="2"/>
      <c r="B526" s="2"/>
      <c r="C526" s="2"/>
      <c r="D526" s="3"/>
      <c r="E526" s="1"/>
      <c r="I526" s="1"/>
      <c r="K526" s="4">
        <f>Tabelle5[[#This Row],[value_present]]*Tabelle5[[#This Row],[binding_level]]</f>
        <v>0</v>
      </c>
    </row>
    <row r="527" spans="1:11" x14ac:dyDescent="0.25">
      <c r="A527" s="2"/>
      <c r="B527" s="2"/>
      <c r="C527" s="2"/>
      <c r="D527" s="3"/>
      <c r="E527" s="1"/>
      <c r="I527" s="1"/>
      <c r="K527" s="4">
        <f>Tabelle5[[#This Row],[value_present]]*Tabelle5[[#This Row],[binding_level]]</f>
        <v>0</v>
      </c>
    </row>
    <row r="528" spans="1:11" x14ac:dyDescent="0.25">
      <c r="A528" s="2"/>
      <c r="B528" s="2"/>
      <c r="C528" s="2"/>
      <c r="D528" s="3"/>
      <c r="E528" s="1"/>
      <c r="I528" s="1"/>
      <c r="K528" s="4">
        <f>Tabelle5[[#This Row],[value_present]]*Tabelle5[[#This Row],[binding_level]]</f>
        <v>0</v>
      </c>
    </row>
    <row r="529" spans="1:11" x14ac:dyDescent="0.25">
      <c r="A529" s="2"/>
      <c r="B529" s="2"/>
      <c r="C529" s="2"/>
      <c r="D529" s="3"/>
      <c r="E529" s="1"/>
      <c r="I529" s="1"/>
      <c r="K529" s="4">
        <f>Tabelle5[[#This Row],[value_present]]*Tabelle5[[#This Row],[binding_level]]</f>
        <v>0</v>
      </c>
    </row>
    <row r="530" spans="1:11" x14ac:dyDescent="0.25">
      <c r="A530" s="2"/>
      <c r="B530" s="2"/>
      <c r="C530" s="2"/>
      <c r="D530" s="3"/>
      <c r="E530" s="1"/>
      <c r="I530" s="1"/>
      <c r="K530" s="4">
        <f>Tabelle5[[#This Row],[value_present]]*Tabelle5[[#This Row],[binding_level]]</f>
        <v>0</v>
      </c>
    </row>
    <row r="531" spans="1:11" x14ac:dyDescent="0.25">
      <c r="A531" s="2"/>
      <c r="B531" s="2"/>
      <c r="C531" s="2"/>
      <c r="D531" s="3"/>
      <c r="E531" s="1"/>
      <c r="I531" s="1"/>
      <c r="K531" s="4">
        <f>Tabelle5[[#This Row],[value_present]]*Tabelle5[[#This Row],[binding_level]]</f>
        <v>0</v>
      </c>
    </row>
    <row r="532" spans="1:11" x14ac:dyDescent="0.25">
      <c r="A532" s="2"/>
      <c r="B532" s="2"/>
      <c r="C532" s="2"/>
      <c r="D532" s="3"/>
      <c r="E532" s="1"/>
      <c r="I532" s="1"/>
      <c r="K532" s="4">
        <f>Tabelle5[[#This Row],[value_present]]*Tabelle5[[#This Row],[binding_level]]</f>
        <v>0</v>
      </c>
    </row>
    <row r="533" spans="1:11" x14ac:dyDescent="0.25">
      <c r="A533" s="2"/>
      <c r="B533" s="2"/>
      <c r="C533" s="2"/>
      <c r="D533" s="3"/>
      <c r="E533" s="1"/>
      <c r="I533" s="1"/>
      <c r="K533" s="4">
        <f>Tabelle5[[#This Row],[value_present]]*Tabelle5[[#This Row],[binding_level]]</f>
        <v>0</v>
      </c>
    </row>
    <row r="534" spans="1:11" x14ac:dyDescent="0.25">
      <c r="A534" s="2"/>
      <c r="B534" s="2"/>
      <c r="C534" s="2"/>
      <c r="D534" s="3"/>
      <c r="E534" s="1"/>
      <c r="I534" s="1"/>
      <c r="K534" s="4">
        <f>Tabelle5[[#This Row],[value_present]]*Tabelle5[[#This Row],[binding_level]]</f>
        <v>0</v>
      </c>
    </row>
    <row r="535" spans="1:11" x14ac:dyDescent="0.25">
      <c r="A535" s="2"/>
      <c r="B535" s="2"/>
      <c r="C535" s="2"/>
      <c r="D535" s="3"/>
      <c r="E535" s="1"/>
      <c r="I535" s="1"/>
      <c r="K535" s="4">
        <f>Tabelle5[[#This Row],[value_present]]*Tabelle5[[#This Row],[binding_level]]</f>
        <v>0</v>
      </c>
    </row>
    <row r="536" spans="1:11" x14ac:dyDescent="0.25">
      <c r="A536" s="2"/>
      <c r="B536" s="2"/>
      <c r="C536" s="2"/>
      <c r="D536" s="3"/>
      <c r="E536" s="1"/>
      <c r="I536" s="1"/>
      <c r="K536" s="4">
        <f>Tabelle5[[#This Row],[value_present]]*Tabelle5[[#This Row],[binding_level]]</f>
        <v>0</v>
      </c>
    </row>
    <row r="537" spans="1:11" x14ac:dyDescent="0.25">
      <c r="A537" s="2"/>
      <c r="B537" s="2"/>
      <c r="C537" s="2"/>
      <c r="D537" s="3"/>
      <c r="E537" s="1"/>
      <c r="I537" s="1"/>
      <c r="K537" s="4">
        <f>Tabelle5[[#This Row],[value_present]]*Tabelle5[[#This Row],[binding_level]]</f>
        <v>0</v>
      </c>
    </row>
    <row r="538" spans="1:11" x14ac:dyDescent="0.25">
      <c r="A538" s="2"/>
      <c r="B538" s="2"/>
      <c r="C538" s="2"/>
      <c r="D538" s="3"/>
      <c r="E538" s="1"/>
      <c r="I538" s="1"/>
      <c r="K538" s="4">
        <f>Tabelle5[[#This Row],[value_present]]*Tabelle5[[#This Row],[binding_level]]</f>
        <v>0</v>
      </c>
    </row>
    <row r="539" spans="1:11" x14ac:dyDescent="0.25">
      <c r="A539" s="2"/>
      <c r="B539" s="2"/>
      <c r="C539" s="2"/>
      <c r="D539" s="3"/>
      <c r="E539" s="1"/>
      <c r="I539" s="1"/>
      <c r="K539" s="4">
        <f>Tabelle5[[#This Row],[value_present]]*Tabelle5[[#This Row],[binding_level]]</f>
        <v>0</v>
      </c>
    </row>
    <row r="540" spans="1:11" x14ac:dyDescent="0.25">
      <c r="A540" s="2"/>
      <c r="B540" s="2"/>
      <c r="C540" s="2"/>
      <c r="D540" s="3"/>
      <c r="E540" s="1"/>
      <c r="I540" s="1"/>
      <c r="K540" s="4">
        <f>Tabelle5[[#This Row],[value_present]]*Tabelle5[[#This Row],[binding_level]]</f>
        <v>0</v>
      </c>
    </row>
    <row r="541" spans="1:11" x14ac:dyDescent="0.25">
      <c r="A541" s="2"/>
      <c r="B541" s="2"/>
      <c r="C541" s="2"/>
      <c r="D541" s="3"/>
      <c r="E541" s="1"/>
      <c r="I541" s="1"/>
      <c r="K541" s="4">
        <f>Tabelle5[[#This Row],[value_present]]*Tabelle5[[#This Row],[binding_level]]</f>
        <v>0</v>
      </c>
    </row>
    <row r="542" spans="1:11" x14ac:dyDescent="0.25">
      <c r="A542" s="2"/>
      <c r="B542" s="2"/>
      <c r="C542" s="2"/>
      <c r="D542" s="3"/>
      <c r="E542" s="1"/>
      <c r="I542" s="1"/>
      <c r="K542" s="4">
        <f>Tabelle5[[#This Row],[value_present]]*Tabelle5[[#This Row],[binding_level]]</f>
        <v>0</v>
      </c>
    </row>
    <row r="543" spans="1:11" x14ac:dyDescent="0.25">
      <c r="A543" s="2"/>
      <c r="B543" s="2"/>
      <c r="C543" s="2"/>
      <c r="D543" s="3"/>
      <c r="E543" s="1"/>
      <c r="I543" s="1"/>
      <c r="K543" s="4">
        <f>Tabelle5[[#This Row],[value_present]]*Tabelle5[[#This Row],[binding_level]]</f>
        <v>0</v>
      </c>
    </row>
    <row r="544" spans="1:11" x14ac:dyDescent="0.25">
      <c r="A544" s="2"/>
      <c r="B544" s="2"/>
      <c r="C544" s="2"/>
      <c r="D544" s="3"/>
      <c r="E544" s="1"/>
      <c r="I544" s="1"/>
      <c r="K544" s="4">
        <f>Tabelle5[[#This Row],[value_present]]*Tabelle5[[#This Row],[binding_level]]</f>
        <v>0</v>
      </c>
    </row>
    <row r="545" spans="1:11" x14ac:dyDescent="0.25">
      <c r="A545" s="2"/>
      <c r="B545" s="2"/>
      <c r="C545" s="2"/>
      <c r="D545" s="3"/>
      <c r="E545" s="1"/>
      <c r="I545" s="1"/>
      <c r="K545" s="4">
        <f>Tabelle5[[#This Row],[value_present]]*Tabelle5[[#This Row],[binding_level]]</f>
        <v>0</v>
      </c>
    </row>
    <row r="546" spans="1:11" x14ac:dyDescent="0.25">
      <c r="A546" s="2"/>
      <c r="B546" s="2"/>
      <c r="C546" s="2"/>
      <c r="D546" s="3"/>
      <c r="E546" s="1"/>
      <c r="I546" s="1"/>
      <c r="K546" s="4">
        <f>Tabelle5[[#This Row],[value_present]]*Tabelle5[[#This Row],[binding_level]]</f>
        <v>0</v>
      </c>
    </row>
    <row r="547" spans="1:11" x14ac:dyDescent="0.25">
      <c r="A547" s="2"/>
      <c r="B547" s="2"/>
      <c r="C547" s="2"/>
      <c r="D547" s="3"/>
      <c r="E547" s="1"/>
      <c r="I547" s="1"/>
      <c r="K547" s="4">
        <f>Tabelle5[[#This Row],[value_present]]*Tabelle5[[#This Row],[binding_level]]</f>
        <v>0</v>
      </c>
    </row>
    <row r="548" spans="1:11" x14ac:dyDescent="0.25">
      <c r="A548" s="2"/>
      <c r="B548" s="2"/>
      <c r="C548" s="2"/>
      <c r="D548" s="3"/>
      <c r="E548" s="1"/>
      <c r="I548" s="1"/>
      <c r="K548" s="4">
        <f>Tabelle5[[#This Row],[value_present]]*Tabelle5[[#This Row],[binding_level]]</f>
        <v>0</v>
      </c>
    </row>
    <row r="549" spans="1:11" x14ac:dyDescent="0.25">
      <c r="A549" s="2"/>
      <c r="B549" s="2"/>
      <c r="C549" s="2"/>
      <c r="D549" s="3"/>
      <c r="E549" s="1"/>
      <c r="I549" s="1"/>
      <c r="K549" s="4">
        <f>Tabelle5[[#This Row],[value_present]]*Tabelle5[[#This Row],[binding_level]]</f>
        <v>0</v>
      </c>
    </row>
    <row r="550" spans="1:11" x14ac:dyDescent="0.25">
      <c r="A550" s="2"/>
      <c r="B550" s="2"/>
      <c r="C550" s="2"/>
      <c r="D550" s="3"/>
      <c r="E550" s="1"/>
      <c r="I550" s="1"/>
      <c r="K550" s="4">
        <f>Tabelle5[[#This Row],[value_present]]*Tabelle5[[#This Row],[binding_level]]</f>
        <v>0</v>
      </c>
    </row>
    <row r="551" spans="1:11" x14ac:dyDescent="0.25">
      <c r="A551" s="2"/>
      <c r="B551" s="2"/>
      <c r="C551" s="2"/>
      <c r="D551" s="3"/>
      <c r="E551" s="1"/>
      <c r="I551" s="1"/>
      <c r="K551" s="4">
        <f>Tabelle5[[#This Row],[value_present]]*Tabelle5[[#This Row],[binding_level]]</f>
        <v>0</v>
      </c>
    </row>
    <row r="552" spans="1:11" x14ac:dyDescent="0.25">
      <c r="A552" s="2"/>
      <c r="B552" s="2"/>
      <c r="C552" s="2"/>
      <c r="D552" s="3"/>
      <c r="E552" s="1"/>
      <c r="I552" s="1"/>
      <c r="K552" s="4">
        <f>Tabelle5[[#This Row],[value_present]]*Tabelle5[[#This Row],[binding_level]]</f>
        <v>0</v>
      </c>
    </row>
    <row r="553" spans="1:11" x14ac:dyDescent="0.25">
      <c r="A553" s="2"/>
      <c r="B553" s="2"/>
      <c r="C553" s="2"/>
      <c r="D553" s="3"/>
      <c r="E553" s="1"/>
      <c r="I553" s="1"/>
      <c r="K553" s="4">
        <f>Tabelle5[[#This Row],[value_present]]*Tabelle5[[#This Row],[binding_level]]</f>
        <v>0</v>
      </c>
    </row>
    <row r="554" spans="1:11" x14ac:dyDescent="0.25">
      <c r="A554" s="2"/>
      <c r="B554" s="2"/>
      <c r="C554" s="2"/>
      <c r="D554" s="3"/>
      <c r="E554" s="1"/>
      <c r="I554" s="1"/>
      <c r="K554" s="4">
        <f>Tabelle5[[#This Row],[value_present]]*Tabelle5[[#This Row],[binding_level]]</f>
        <v>0</v>
      </c>
    </row>
    <row r="555" spans="1:11" x14ac:dyDescent="0.25">
      <c r="A555" s="2"/>
      <c r="B555" s="2"/>
      <c r="C555" s="2"/>
      <c r="D555" s="3"/>
      <c r="E555" s="1"/>
      <c r="I555" s="1"/>
      <c r="K555" s="4">
        <f>Tabelle5[[#This Row],[value_present]]*Tabelle5[[#This Row],[binding_level]]</f>
        <v>0</v>
      </c>
    </row>
    <row r="556" spans="1:11" x14ac:dyDescent="0.25">
      <c r="A556" s="2"/>
      <c r="B556" s="2"/>
      <c r="C556" s="2"/>
      <c r="D556" s="3"/>
      <c r="E556" s="1"/>
      <c r="I556" s="1"/>
      <c r="K556" s="4">
        <f>Tabelle5[[#This Row],[value_present]]*Tabelle5[[#This Row],[binding_level]]</f>
        <v>0</v>
      </c>
    </row>
    <row r="557" spans="1:11" x14ac:dyDescent="0.25">
      <c r="A557" s="2"/>
      <c r="B557" s="2"/>
      <c r="C557" s="2"/>
      <c r="D557" s="3"/>
      <c r="E557" s="1"/>
      <c r="I557" s="1"/>
      <c r="K557" s="4">
        <f>Tabelle5[[#This Row],[value_present]]*Tabelle5[[#This Row],[binding_level]]</f>
        <v>0</v>
      </c>
    </row>
    <row r="558" spans="1:11" x14ac:dyDescent="0.25">
      <c r="A558" s="2"/>
      <c r="B558" s="2"/>
      <c r="C558" s="2"/>
      <c r="D558" s="3"/>
      <c r="E558" s="1"/>
      <c r="I558" s="1"/>
      <c r="K558" s="4">
        <f>Tabelle5[[#This Row],[value_present]]*Tabelle5[[#This Row],[binding_level]]</f>
        <v>0</v>
      </c>
    </row>
    <row r="559" spans="1:11" x14ac:dyDescent="0.25">
      <c r="A559" s="2"/>
      <c r="B559" s="2"/>
      <c r="C559" s="2"/>
      <c r="D559" s="3"/>
      <c r="E559" s="1"/>
      <c r="I559" s="1"/>
      <c r="K559" s="4">
        <f>Tabelle5[[#This Row],[value_present]]*Tabelle5[[#This Row],[binding_level]]</f>
        <v>0</v>
      </c>
    </row>
    <row r="560" spans="1:11" x14ac:dyDescent="0.25">
      <c r="A560" s="2"/>
      <c r="B560" s="2"/>
      <c r="C560" s="2"/>
      <c r="D560" s="3"/>
      <c r="E560" s="1"/>
      <c r="I560" s="1"/>
      <c r="K560" s="4">
        <f>Tabelle5[[#This Row],[value_present]]*Tabelle5[[#This Row],[binding_level]]</f>
        <v>0</v>
      </c>
    </row>
    <row r="561" spans="1:11" x14ac:dyDescent="0.25">
      <c r="A561" s="2"/>
      <c r="B561" s="2"/>
      <c r="C561" s="2"/>
      <c r="D561" s="3"/>
      <c r="E561" s="1"/>
      <c r="I561" s="1"/>
      <c r="K561" s="4">
        <f>Tabelle5[[#This Row],[value_present]]*Tabelle5[[#This Row],[binding_level]]</f>
        <v>0</v>
      </c>
    </row>
    <row r="562" spans="1:11" x14ac:dyDescent="0.25">
      <c r="A562" s="2"/>
      <c r="B562" s="2"/>
      <c r="C562" s="2"/>
      <c r="D562" s="3"/>
      <c r="E562" s="1"/>
      <c r="I562" s="1"/>
      <c r="K562" s="4">
        <f>Tabelle5[[#This Row],[value_present]]*Tabelle5[[#This Row],[binding_level]]</f>
        <v>0</v>
      </c>
    </row>
    <row r="563" spans="1:11" x14ac:dyDescent="0.25">
      <c r="A563" s="2"/>
      <c r="B563" s="2"/>
      <c r="C563" s="2"/>
      <c r="D563" s="3"/>
      <c r="E563" s="1"/>
      <c r="I563" s="1"/>
      <c r="K563" s="4">
        <f>Tabelle5[[#This Row],[value_present]]*Tabelle5[[#This Row],[binding_level]]</f>
        <v>0</v>
      </c>
    </row>
    <row r="564" spans="1:11" x14ac:dyDescent="0.25">
      <c r="A564" s="2"/>
      <c r="B564" s="2"/>
      <c r="C564" s="2"/>
      <c r="D564" s="3"/>
      <c r="E564" s="1"/>
      <c r="I564" s="1"/>
      <c r="K564" s="4">
        <f>Tabelle5[[#This Row],[value_present]]*Tabelle5[[#This Row],[binding_level]]</f>
        <v>0</v>
      </c>
    </row>
    <row r="565" spans="1:11" x14ac:dyDescent="0.25">
      <c r="A565" s="2"/>
      <c r="B565" s="2"/>
      <c r="C565" s="2"/>
      <c r="D565" s="3"/>
      <c r="E565" s="1"/>
      <c r="I565" s="1"/>
      <c r="K565" s="4">
        <f>Tabelle5[[#This Row],[value_present]]*Tabelle5[[#This Row],[binding_level]]</f>
        <v>0</v>
      </c>
    </row>
    <row r="566" spans="1:11" x14ac:dyDescent="0.25">
      <c r="A566" s="2"/>
      <c r="B566" s="2"/>
      <c r="C566" s="2"/>
      <c r="D566" s="3"/>
      <c r="E566" s="1"/>
      <c r="I566" s="1"/>
      <c r="K566" s="4">
        <f>Tabelle5[[#This Row],[value_present]]*Tabelle5[[#This Row],[binding_level]]</f>
        <v>0</v>
      </c>
    </row>
    <row r="567" spans="1:11" x14ac:dyDescent="0.25">
      <c r="A567" s="2"/>
      <c r="B567" s="2"/>
      <c r="C567" s="2"/>
      <c r="D567" s="3"/>
      <c r="E567" s="1"/>
      <c r="I567" s="1"/>
      <c r="K567" s="4">
        <f>Tabelle5[[#This Row],[value_present]]*Tabelle5[[#This Row],[binding_level]]</f>
        <v>0</v>
      </c>
    </row>
    <row r="568" spans="1:11" x14ac:dyDescent="0.25">
      <c r="A568" s="2"/>
      <c r="B568" s="2"/>
      <c r="C568" s="2"/>
      <c r="D568" s="3"/>
      <c r="E568" s="1"/>
      <c r="I568" s="1"/>
      <c r="K568" s="4">
        <f>Tabelle5[[#This Row],[value_present]]*Tabelle5[[#This Row],[binding_level]]</f>
        <v>0</v>
      </c>
    </row>
    <row r="569" spans="1:11" x14ac:dyDescent="0.25">
      <c r="A569" s="2"/>
      <c r="B569" s="2"/>
      <c r="C569" s="2"/>
      <c r="D569" s="3"/>
      <c r="E569" s="1"/>
      <c r="I569" s="1"/>
      <c r="K569" s="4">
        <f>Tabelle5[[#This Row],[value_present]]*Tabelle5[[#This Row],[binding_level]]</f>
        <v>0</v>
      </c>
    </row>
    <row r="570" spans="1:11" x14ac:dyDescent="0.25">
      <c r="A570" s="2"/>
      <c r="B570" s="2"/>
      <c r="C570" s="2"/>
      <c r="D570" s="3"/>
      <c r="E570" s="1"/>
      <c r="I570" s="1"/>
      <c r="K570" s="4">
        <f>Tabelle5[[#This Row],[value_present]]*Tabelle5[[#This Row],[binding_level]]</f>
        <v>0</v>
      </c>
    </row>
    <row r="571" spans="1:11" x14ac:dyDescent="0.25">
      <c r="A571" s="2"/>
      <c r="B571" s="2"/>
      <c r="C571" s="2"/>
      <c r="D571" s="3"/>
      <c r="E571" s="1"/>
      <c r="I571" s="1"/>
      <c r="K571" s="4">
        <f>Tabelle5[[#This Row],[value_present]]*Tabelle5[[#This Row],[binding_level]]</f>
        <v>0</v>
      </c>
    </row>
    <row r="572" spans="1:11" x14ac:dyDescent="0.25">
      <c r="A572" s="2"/>
      <c r="B572" s="2"/>
      <c r="C572" s="2"/>
      <c r="D572" s="3"/>
      <c r="E572" s="1"/>
      <c r="I572" s="1"/>
      <c r="K572" s="4">
        <f>Tabelle5[[#This Row],[value_present]]*Tabelle5[[#This Row],[binding_level]]</f>
        <v>0</v>
      </c>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3">
        <x14:dataValidation type="list" showErrorMessage="1" xr:uid="{ED16B4F3-240E-41C4-BE1E-368BB259B529}">
          <x14:formula1>
            <xm:f>'99_Lookups'!$O$2:$O$3</xm:f>
          </x14:formula1>
          <xm:sqref>D2:D572</xm:sqref>
        </x14:dataValidation>
        <x14:dataValidation type="list" showInputMessage="1" showErrorMessage="1" xr:uid="{645BC1A3-4DC8-4D9B-837C-7691C1DCD3DF}">
          <x14:formula1>
            <xm:f>'99_Lookups'!$M$2:$M$4</xm:f>
          </x14:formula1>
          <xm:sqref>E2:E572</xm:sqref>
        </x14:dataValidation>
        <x14:dataValidation type="list" showErrorMessage="1" xr:uid="{3A25E9A5-878D-4E9A-A433-6C3AA99501EF}">
          <x14:formula1>
            <xm:f>'99_Lookups'!$K$2:$K$4</xm:f>
          </x14:formula1>
          <xm:sqref>I2:I572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60853-20B2-4ADC-A023-C9D9A37F31A9}">
  <dimension ref="A1:G41"/>
  <sheetViews>
    <sheetView workbookViewId="0">
      <selection activeCell="C2" sqref="C2"/>
    </sheetView>
  </sheetViews>
  <sheetFormatPr baseColWidth="10" defaultRowHeight="15" x14ac:dyDescent="0.25"/>
  <cols>
    <col min="1" max="1" width="13.85546875" customWidth="1"/>
    <col min="2" max="2" width="10.42578125" customWidth="1"/>
    <col min="3" max="3" width="24.28515625" customWidth="1"/>
    <col min="4" max="4" width="23.7109375" customWidth="1"/>
    <col min="5" max="5" width="23.28515625" customWidth="1"/>
    <col min="6" max="6" width="18" customWidth="1"/>
    <col min="7" max="7" width="28" customWidth="1"/>
  </cols>
  <sheetData>
    <row r="1" spans="1:7" x14ac:dyDescent="0.25">
      <c r="A1" t="s">
        <v>0</v>
      </c>
      <c r="B1" t="s">
        <v>21</v>
      </c>
      <c r="C1" t="s">
        <v>295</v>
      </c>
      <c r="D1" t="s">
        <v>296</v>
      </c>
      <c r="E1" t="s">
        <v>297</v>
      </c>
      <c r="F1" t="s">
        <v>298</v>
      </c>
      <c r="G1" t="s">
        <v>299</v>
      </c>
    </row>
    <row r="2" spans="1:7" x14ac:dyDescent="0.25">
      <c r="C2" s="4">
        <f>IF(Tabelle18[[#This Row],[binding_level_company]]&gt;=1,1,0)</f>
        <v>0</v>
      </c>
      <c r="D2" s="4">
        <f>_xlfn.MAXIFS(Tabelle5[[#This Row],[binding_level]], Tabelle5[[#This Row],[company_id]],Tabelle18[[#This Row],[company_id]], Tabelle5[[#This Row],[value_id]], Tabelle18[[#This Row],[value_id]], Tabelle5[[#This Row],[value_present]],"1")</f>
        <v>0</v>
      </c>
      <c r="E2" s="4">
        <f>_xlfn.MAXIFS(Tabelle5[[#This Row],[value_points]], Tabelle5[[#This Row],[company_id]],Tabelle18[[#This Row],[company_id]], Tabelle5[[#This Row],[value_id]], Tabelle18[[#This Row],[value_id]], Tabelle5[[#This Row],[value_present]],"1")</f>
        <v>0</v>
      </c>
    </row>
    <row r="3" spans="1:7" x14ac:dyDescent="0.25">
      <c r="C3" s="4">
        <f>IF(Tabelle18[[#This Row],[binding_level_company]]&gt;=1,1,0)</f>
        <v>0</v>
      </c>
      <c r="D3" s="4">
        <f>_xlfn.MAXIFS(Tabelle5[[#This Row],[binding_level]], Tabelle5[[#This Row],[company_id]],Tabelle18[[#This Row],[company_id]], Tabelle5[[#This Row],[value_id]], Tabelle18[[#This Row],[value_id]], Tabelle5[[#This Row],[value_present]],"1")</f>
        <v>0</v>
      </c>
      <c r="E3" s="4">
        <f>_xlfn.MAXIFS(Tabelle5[[#This Row],[value_points]], Tabelle5[[#This Row],[company_id]],Tabelle18[[#This Row],[company_id]], Tabelle5[[#This Row],[value_id]], Tabelle18[[#This Row],[value_id]], Tabelle5[[#This Row],[value_present]],"1")</f>
        <v>0</v>
      </c>
    </row>
    <row r="4" spans="1:7" x14ac:dyDescent="0.25">
      <c r="C4" s="4">
        <f>IF(Tabelle18[[#This Row],[binding_level_company]]&gt;=1,1,0)</f>
        <v>0</v>
      </c>
      <c r="D4" s="4">
        <f>_xlfn.MAXIFS(Tabelle5[[#This Row],[binding_level]], Tabelle5[[#This Row],[company_id]],Tabelle18[[#This Row],[company_id]], Tabelle5[[#This Row],[value_id]], Tabelle18[[#This Row],[value_id]], Tabelle5[[#This Row],[value_present]],"1")</f>
        <v>0</v>
      </c>
      <c r="E4" s="4">
        <f>_xlfn.MAXIFS(Tabelle5[[#This Row],[value_points]], Tabelle5[[#This Row],[company_id]],Tabelle18[[#This Row],[company_id]], Tabelle5[[#This Row],[value_id]], Tabelle18[[#This Row],[value_id]], Tabelle5[[#This Row],[value_present]],"1")</f>
        <v>0</v>
      </c>
    </row>
    <row r="5" spans="1:7" x14ac:dyDescent="0.25">
      <c r="C5" s="4">
        <f>IF(Tabelle18[[#This Row],[binding_level_company]]&gt;=1,1,0)</f>
        <v>0</v>
      </c>
      <c r="D5" s="4">
        <f>_xlfn.MAXIFS(Tabelle5[[#This Row],[binding_level]], Tabelle5[[#This Row],[company_id]],Tabelle18[[#This Row],[company_id]], Tabelle5[[#This Row],[value_id]], Tabelle18[[#This Row],[value_id]], Tabelle5[[#This Row],[value_present]],"1")</f>
        <v>0</v>
      </c>
      <c r="E5" s="4">
        <f>_xlfn.MAXIFS(Tabelle5[[#This Row],[value_points]], Tabelle5[[#This Row],[company_id]],Tabelle18[[#This Row],[company_id]], Tabelle5[[#This Row],[value_id]], Tabelle18[[#This Row],[value_id]], Tabelle5[[#This Row],[value_present]],"1")</f>
        <v>0</v>
      </c>
    </row>
    <row r="6" spans="1:7" x14ac:dyDescent="0.25">
      <c r="C6" s="4">
        <f>IF(Tabelle18[[#This Row],[binding_level_company]]&gt;=1,1,0)</f>
        <v>0</v>
      </c>
      <c r="D6" s="4">
        <f>_xlfn.MAXIFS(Tabelle5[[#This Row],[binding_level]], Tabelle5[[#This Row],[company_id]],Tabelle18[[#This Row],[company_id]], Tabelle5[[#This Row],[value_id]], Tabelle18[[#This Row],[value_id]], Tabelle5[[#This Row],[value_present]],"1")</f>
        <v>0</v>
      </c>
      <c r="E6" s="4">
        <f>_xlfn.MAXIFS(Tabelle5[[#This Row],[value_points]], Tabelle5[[#This Row],[company_id]],Tabelle18[[#This Row],[company_id]], Tabelle5[[#This Row],[value_id]], Tabelle18[[#This Row],[value_id]], Tabelle5[[#This Row],[value_present]],"1")</f>
        <v>0</v>
      </c>
    </row>
    <row r="7" spans="1:7" x14ac:dyDescent="0.25">
      <c r="C7" s="4">
        <f>IF(Tabelle18[[#This Row],[binding_level_company]]&gt;=1,1,0)</f>
        <v>0</v>
      </c>
      <c r="D7" s="4">
        <f>_xlfn.MAXIFS(Tabelle5[[#This Row],[binding_level]], Tabelle5[[#This Row],[company_id]],Tabelle18[[#This Row],[company_id]], Tabelle5[[#This Row],[value_id]], Tabelle18[[#This Row],[value_id]], Tabelle5[[#This Row],[value_present]],"1")</f>
        <v>0</v>
      </c>
      <c r="E7" s="4">
        <f>_xlfn.MAXIFS(Tabelle5[[#This Row],[value_points]], Tabelle5[[#This Row],[company_id]],Tabelle18[[#This Row],[company_id]], Tabelle5[[#This Row],[value_id]], Tabelle18[[#This Row],[value_id]], Tabelle5[[#This Row],[value_present]],"1")</f>
        <v>0</v>
      </c>
    </row>
    <row r="8" spans="1:7" x14ac:dyDescent="0.25">
      <c r="C8" s="4">
        <f>IF(Tabelle18[[#This Row],[binding_level_company]]&gt;=1,1,0)</f>
        <v>0</v>
      </c>
      <c r="D8" s="4">
        <f>_xlfn.MAXIFS(Tabelle5[[#This Row],[binding_level]], Tabelle5[[#This Row],[company_id]],Tabelle18[[#This Row],[company_id]], Tabelle5[[#This Row],[value_id]], Tabelle18[[#This Row],[value_id]], Tabelle5[[#This Row],[value_present]],"1")</f>
        <v>0</v>
      </c>
      <c r="E8" s="4">
        <f>_xlfn.MAXIFS(Tabelle5[[#This Row],[value_points]], Tabelle5[[#This Row],[company_id]],Tabelle18[[#This Row],[company_id]], Tabelle5[[#This Row],[value_id]], Tabelle18[[#This Row],[value_id]], Tabelle5[[#This Row],[value_present]],"1")</f>
        <v>0</v>
      </c>
    </row>
    <row r="9" spans="1:7" x14ac:dyDescent="0.25">
      <c r="C9" s="4">
        <f>IF(Tabelle18[[#This Row],[binding_level_company]]&gt;=1,1,0)</f>
        <v>0</v>
      </c>
      <c r="D9" s="4">
        <f>_xlfn.MAXIFS(Tabelle5[[#This Row],[binding_level]], Tabelle5[[#This Row],[company_id]],Tabelle18[[#This Row],[company_id]], Tabelle5[[#This Row],[value_id]], Tabelle18[[#This Row],[value_id]], Tabelle5[[#This Row],[value_present]],"1")</f>
        <v>0</v>
      </c>
      <c r="E9" s="4">
        <f>_xlfn.MAXIFS(Tabelle5[[#This Row],[value_points]], Tabelle5[[#This Row],[company_id]],Tabelle18[[#This Row],[company_id]], Tabelle5[[#This Row],[value_id]], Tabelle18[[#This Row],[value_id]], Tabelle5[[#This Row],[value_present]],"1")</f>
        <v>0</v>
      </c>
    </row>
    <row r="10" spans="1:7" x14ac:dyDescent="0.25">
      <c r="C10" s="4">
        <f>IF(Tabelle18[[#This Row],[binding_level_company]]&gt;=1,1,0)</f>
        <v>0</v>
      </c>
      <c r="D10" s="4">
        <f>_xlfn.MAXIFS(Tabelle5[[#This Row],[binding_level]], Tabelle5[[#This Row],[company_id]],Tabelle18[[#This Row],[company_id]], Tabelle5[[#This Row],[value_id]], Tabelle18[[#This Row],[value_id]], Tabelle5[[#This Row],[value_present]],"1")</f>
        <v>0</v>
      </c>
      <c r="E10" s="4">
        <f>_xlfn.MAXIFS(Tabelle5[[#This Row],[value_points]], Tabelle5[[#This Row],[company_id]],Tabelle18[[#This Row],[company_id]], Tabelle5[[#This Row],[value_id]], Tabelle18[[#This Row],[value_id]], Tabelle5[[#This Row],[value_present]],"1")</f>
        <v>0</v>
      </c>
    </row>
    <row r="11" spans="1:7" x14ac:dyDescent="0.25">
      <c r="C11" s="4">
        <f>IF(Tabelle18[[#This Row],[binding_level_company]]&gt;=1,1,0)</f>
        <v>0</v>
      </c>
      <c r="D11" s="4">
        <f>_xlfn.MAXIFS(Tabelle5[[#This Row],[binding_level]], Tabelle5[[#This Row],[company_id]],Tabelle18[[#This Row],[company_id]], Tabelle5[[#This Row],[value_id]], Tabelle18[[#This Row],[value_id]], Tabelle5[[#This Row],[value_present]],"1")</f>
        <v>0</v>
      </c>
      <c r="E11" s="4">
        <f>_xlfn.MAXIFS(Tabelle5[[#This Row],[value_points]], Tabelle5[[#This Row],[company_id]],Tabelle18[[#This Row],[company_id]], Tabelle5[[#This Row],[value_id]], Tabelle18[[#This Row],[value_id]], Tabelle5[[#This Row],[value_present]],"1")</f>
        <v>0</v>
      </c>
    </row>
    <row r="12" spans="1:7" x14ac:dyDescent="0.25">
      <c r="C12" s="4">
        <f>IF(Tabelle18[[#This Row],[binding_level_company]]&gt;=1,1,0)</f>
        <v>0</v>
      </c>
      <c r="D12" s="4">
        <f>_xlfn.MAXIFS(Tabelle5[[#This Row],[binding_level]], Tabelle5[[#This Row],[company_id]],Tabelle18[[#This Row],[company_id]], Tabelle5[[#This Row],[value_id]], Tabelle18[[#This Row],[value_id]], Tabelle5[[#This Row],[value_present]],"1")</f>
        <v>0</v>
      </c>
      <c r="E12" s="4">
        <f>_xlfn.MAXIFS(Tabelle5[[#This Row],[value_points]], Tabelle5[[#This Row],[company_id]],Tabelle18[[#This Row],[company_id]], Tabelle5[[#This Row],[value_id]], Tabelle18[[#This Row],[value_id]], Tabelle5[[#This Row],[value_present]],"1")</f>
        <v>0</v>
      </c>
    </row>
    <row r="13" spans="1:7" x14ac:dyDescent="0.25">
      <c r="C13" s="4">
        <f>IF(Tabelle18[[#This Row],[binding_level_company]]&gt;=1,1,0)</f>
        <v>0</v>
      </c>
      <c r="D13" s="4">
        <f>_xlfn.MAXIFS(Tabelle5[[#This Row],[binding_level]], Tabelle5[[#This Row],[company_id]],Tabelle18[[#This Row],[company_id]], Tabelle5[[#This Row],[value_id]], Tabelle18[[#This Row],[value_id]], Tabelle5[[#This Row],[value_present]],"1")</f>
        <v>0</v>
      </c>
      <c r="E13" s="4">
        <f>_xlfn.MAXIFS(Tabelle5[[#This Row],[value_points]], Tabelle5[[#This Row],[company_id]],Tabelle18[[#This Row],[company_id]], Tabelle5[[#This Row],[value_id]], Tabelle18[[#This Row],[value_id]], Tabelle5[[#This Row],[value_present]],"1")</f>
        <v>0</v>
      </c>
    </row>
    <row r="14" spans="1:7" x14ac:dyDescent="0.25">
      <c r="C14" s="4">
        <f>IF(Tabelle18[[#This Row],[binding_level_company]]&gt;=1,1,0)</f>
        <v>0</v>
      </c>
      <c r="D14" s="4">
        <f>_xlfn.MAXIFS(Tabelle5[[#This Row],[binding_level]], Tabelle5[[#This Row],[company_id]],Tabelle18[[#This Row],[company_id]], Tabelle5[[#This Row],[value_id]], Tabelle18[[#This Row],[value_id]], Tabelle5[[#This Row],[value_present]],"1")</f>
        <v>0</v>
      </c>
      <c r="E14" s="4">
        <f>_xlfn.MAXIFS(Tabelle5[[#This Row],[value_points]], Tabelle5[[#This Row],[company_id]],Tabelle18[[#This Row],[company_id]], Tabelle5[[#This Row],[value_id]], Tabelle18[[#This Row],[value_id]], Tabelle5[[#This Row],[value_present]],"1")</f>
        <v>0</v>
      </c>
    </row>
    <row r="15" spans="1:7" x14ac:dyDescent="0.25">
      <c r="C15" s="4">
        <f>IF(Tabelle18[[#This Row],[binding_level_company]]&gt;=1,1,0)</f>
        <v>0</v>
      </c>
      <c r="D15" s="4">
        <f>_xlfn.MAXIFS(Tabelle5[[#This Row],[binding_level]], Tabelle5[[#This Row],[company_id]],Tabelle18[[#This Row],[company_id]], Tabelle5[[#This Row],[value_id]], Tabelle18[[#This Row],[value_id]], Tabelle5[[#This Row],[value_present]],"1")</f>
        <v>0</v>
      </c>
      <c r="E15" s="4">
        <f>_xlfn.MAXIFS(Tabelle5[[#This Row],[value_points]], Tabelle5[[#This Row],[company_id]],Tabelle18[[#This Row],[company_id]], Tabelle5[[#This Row],[value_id]], Tabelle18[[#This Row],[value_id]], Tabelle5[[#This Row],[value_present]],"1")</f>
        <v>0</v>
      </c>
    </row>
    <row r="16" spans="1:7" x14ac:dyDescent="0.25">
      <c r="C16" s="4">
        <f>IF(Tabelle18[[#This Row],[binding_level_company]]&gt;=1,1,0)</f>
        <v>0</v>
      </c>
      <c r="D16" s="4">
        <f>_xlfn.MAXIFS(Tabelle5[[#This Row],[binding_level]], Tabelle5[[#This Row],[company_id]],Tabelle18[[#This Row],[company_id]], Tabelle5[[#This Row],[value_id]], Tabelle18[[#This Row],[value_id]], Tabelle5[[#This Row],[value_present]],"1")</f>
        <v>0</v>
      </c>
      <c r="E16" s="4">
        <f>_xlfn.MAXIFS(Tabelle5[[#This Row],[value_points]], Tabelle5[[#This Row],[company_id]],Tabelle18[[#This Row],[company_id]], Tabelle5[[#This Row],[value_id]], Tabelle18[[#This Row],[value_id]], Tabelle5[[#This Row],[value_present]],"1")</f>
        <v>0</v>
      </c>
    </row>
    <row r="17" spans="3:5" x14ac:dyDescent="0.25">
      <c r="C17" s="4">
        <f>IF(Tabelle18[[#This Row],[binding_level_company]]&gt;=1,1,0)</f>
        <v>0</v>
      </c>
      <c r="D17" s="4">
        <f>_xlfn.MAXIFS(Tabelle5[[#This Row],[binding_level]], Tabelle5[[#This Row],[company_id]],Tabelle18[[#This Row],[company_id]], Tabelle5[[#This Row],[value_id]], Tabelle18[[#This Row],[value_id]], Tabelle5[[#This Row],[value_present]],"1")</f>
        <v>0</v>
      </c>
      <c r="E17" s="4">
        <f>_xlfn.MAXIFS(Tabelle5[[#This Row],[value_points]], Tabelle5[[#This Row],[company_id]],Tabelle18[[#This Row],[company_id]], Tabelle5[[#This Row],[value_id]], Tabelle18[[#This Row],[value_id]], Tabelle5[[#This Row],[value_present]],"1")</f>
        <v>0</v>
      </c>
    </row>
    <row r="18" spans="3:5" x14ac:dyDescent="0.25">
      <c r="C18" s="4">
        <f>IF(Tabelle18[[#This Row],[binding_level_company]]&gt;=1,1,0)</f>
        <v>0</v>
      </c>
      <c r="D18" s="4">
        <f>_xlfn.MAXIFS(Tabelle5[[#This Row],[binding_level]], Tabelle5[[#This Row],[company_id]],Tabelle18[[#This Row],[company_id]], Tabelle5[[#This Row],[value_id]], Tabelle18[[#This Row],[value_id]], Tabelle5[[#This Row],[value_present]],"1")</f>
        <v>0</v>
      </c>
      <c r="E18" s="4">
        <f>_xlfn.MAXIFS(Tabelle5[[#This Row],[value_points]], Tabelle5[[#This Row],[company_id]],Tabelle18[[#This Row],[company_id]], Tabelle5[[#This Row],[value_id]], Tabelle18[[#This Row],[value_id]], Tabelle5[[#This Row],[value_present]],"1")</f>
        <v>0</v>
      </c>
    </row>
    <row r="19" spans="3:5" x14ac:dyDescent="0.25">
      <c r="C19" s="4">
        <f>IF(Tabelle18[[#This Row],[binding_level_company]]&gt;=1,1,0)</f>
        <v>0</v>
      </c>
      <c r="D19" s="4">
        <f>_xlfn.MAXIFS(Tabelle5[[#This Row],[binding_level]], Tabelle5[[#This Row],[company_id]],Tabelle18[[#This Row],[company_id]], Tabelle5[[#This Row],[value_id]], Tabelle18[[#This Row],[value_id]], Tabelle5[[#This Row],[value_present]],"1")</f>
        <v>0</v>
      </c>
      <c r="E19" s="4">
        <f>_xlfn.MAXIFS(Tabelle5[[#This Row],[value_points]], Tabelle5[[#This Row],[company_id]],Tabelle18[[#This Row],[company_id]], Tabelle5[[#This Row],[value_id]], Tabelle18[[#This Row],[value_id]], Tabelle5[[#This Row],[value_present]],"1")</f>
        <v>0</v>
      </c>
    </row>
    <row r="20" spans="3:5" x14ac:dyDescent="0.25">
      <c r="C20" s="4">
        <f>IF(Tabelle18[[#This Row],[binding_level_company]]&gt;=1,1,0)</f>
        <v>0</v>
      </c>
      <c r="D20" s="4">
        <f>_xlfn.MAXIFS(Tabelle5[[#This Row],[binding_level]], Tabelle5[[#This Row],[company_id]],Tabelle18[[#This Row],[company_id]], Tabelle5[[#This Row],[value_id]], Tabelle18[[#This Row],[value_id]], Tabelle5[[#This Row],[value_present]],"1")</f>
        <v>0</v>
      </c>
      <c r="E20" s="4">
        <f>_xlfn.MAXIFS(Tabelle5[[#This Row],[value_points]], Tabelle5[[#This Row],[company_id]],Tabelle18[[#This Row],[company_id]], Tabelle5[[#This Row],[value_id]], Tabelle18[[#This Row],[value_id]], Tabelle5[[#This Row],[value_present]],"1")</f>
        <v>0</v>
      </c>
    </row>
    <row r="21" spans="3:5" x14ac:dyDescent="0.25">
      <c r="C21" s="4">
        <f>IF(Tabelle18[[#This Row],[binding_level_company]]&gt;=1,1,0)</f>
        <v>0</v>
      </c>
      <c r="D21" s="4">
        <f>_xlfn.MAXIFS(Tabelle5[[#This Row],[binding_level]], Tabelle5[[#This Row],[company_id]],Tabelle18[[#This Row],[company_id]], Tabelle5[[#This Row],[value_id]], Tabelle18[[#This Row],[value_id]], Tabelle5[[#This Row],[value_present]],"1")</f>
        <v>0</v>
      </c>
      <c r="E21" s="4">
        <f>_xlfn.MAXIFS(Tabelle5[[#This Row],[value_points]], Tabelle5[[#This Row],[company_id]],Tabelle18[[#This Row],[company_id]], Tabelle5[[#This Row],[value_id]], Tabelle18[[#This Row],[value_id]], Tabelle5[[#This Row],[value_present]],"1")</f>
        <v>0</v>
      </c>
    </row>
    <row r="22" spans="3:5" x14ac:dyDescent="0.25">
      <c r="C22" s="4">
        <f>IF(Tabelle18[[#This Row],[binding_level_company]]&gt;=1,1,0)</f>
        <v>0</v>
      </c>
      <c r="D22" s="4">
        <f>_xlfn.MAXIFS(Tabelle5[[#This Row],[binding_level]], Tabelle5[[#This Row],[company_id]],Tabelle18[[#This Row],[company_id]], Tabelle5[[#This Row],[value_id]], Tabelle18[[#This Row],[value_id]], Tabelle5[[#This Row],[value_present]],"1")</f>
        <v>0</v>
      </c>
      <c r="E22" s="4">
        <f>_xlfn.MAXIFS(Tabelle5[[#This Row],[value_points]], Tabelle5[[#This Row],[company_id]],Tabelle18[[#This Row],[company_id]], Tabelle5[[#This Row],[value_id]], Tabelle18[[#This Row],[value_id]], Tabelle5[[#This Row],[value_present]],"1")</f>
        <v>0</v>
      </c>
    </row>
    <row r="23" spans="3:5" x14ac:dyDescent="0.25">
      <c r="C23" s="4">
        <f>IF(Tabelle18[[#This Row],[binding_level_company]]&gt;=1,1,0)</f>
        <v>0</v>
      </c>
      <c r="D23" s="4">
        <f>_xlfn.MAXIFS(Tabelle5[[#This Row],[binding_level]], Tabelle5[[#This Row],[company_id]],Tabelle18[[#This Row],[company_id]], Tabelle5[[#This Row],[value_id]], Tabelle18[[#This Row],[value_id]], Tabelle5[[#This Row],[value_present]],"1")</f>
        <v>0</v>
      </c>
      <c r="E23" s="4">
        <f>_xlfn.MAXIFS(Tabelle5[[#This Row],[value_points]], Tabelle5[[#This Row],[company_id]],Tabelle18[[#This Row],[company_id]], Tabelle5[[#This Row],[value_id]], Tabelle18[[#This Row],[value_id]], Tabelle5[[#This Row],[value_present]],"1")</f>
        <v>0</v>
      </c>
    </row>
    <row r="24" spans="3:5" x14ac:dyDescent="0.25">
      <c r="C24" s="4">
        <f>IF(Tabelle18[[#This Row],[binding_level_company]]&gt;=1,1,0)</f>
        <v>0</v>
      </c>
      <c r="D24" s="4">
        <f>_xlfn.MAXIFS(Tabelle5[[#This Row],[binding_level]], Tabelle5[[#This Row],[company_id]],Tabelle18[[#This Row],[company_id]], Tabelle5[[#This Row],[value_id]], Tabelle18[[#This Row],[value_id]], Tabelle5[[#This Row],[value_present]],"1")</f>
        <v>0</v>
      </c>
      <c r="E24" s="4">
        <f>_xlfn.MAXIFS(Tabelle5[[#This Row],[value_points]], Tabelle5[[#This Row],[company_id]],Tabelle18[[#This Row],[company_id]], Tabelle5[[#This Row],[value_id]], Tabelle18[[#This Row],[value_id]], Tabelle5[[#This Row],[value_present]],"1")</f>
        <v>0</v>
      </c>
    </row>
    <row r="25" spans="3:5" x14ac:dyDescent="0.25">
      <c r="C25" s="4">
        <f>IF(Tabelle18[[#This Row],[binding_level_company]]&gt;=1,1,0)</f>
        <v>0</v>
      </c>
      <c r="D25" s="4">
        <f>_xlfn.MAXIFS(Tabelle5[[#This Row],[binding_level]], Tabelle5[[#This Row],[company_id]],Tabelle18[[#This Row],[company_id]], Tabelle5[[#This Row],[value_id]], Tabelle18[[#This Row],[value_id]], Tabelle5[[#This Row],[value_present]],"1")</f>
        <v>0</v>
      </c>
      <c r="E25" s="4">
        <f>_xlfn.MAXIFS(Tabelle5[[#This Row],[value_points]], Tabelle5[[#This Row],[company_id]],Tabelle18[[#This Row],[company_id]], Tabelle5[[#This Row],[value_id]], Tabelle18[[#This Row],[value_id]], Tabelle5[[#This Row],[value_present]],"1")</f>
        <v>0</v>
      </c>
    </row>
    <row r="26" spans="3:5" x14ac:dyDescent="0.25">
      <c r="C26" s="4">
        <f>IF(Tabelle18[[#This Row],[binding_level_company]]&gt;=1,1,0)</f>
        <v>0</v>
      </c>
      <c r="D26" s="4">
        <f>_xlfn.MAXIFS(Tabelle5[[#This Row],[binding_level]], Tabelle5[[#This Row],[company_id]],Tabelle18[[#This Row],[company_id]], Tabelle5[[#This Row],[value_id]], Tabelle18[[#This Row],[value_id]], Tabelle5[[#This Row],[value_present]],"1")</f>
        <v>0</v>
      </c>
      <c r="E26" s="4">
        <f>_xlfn.MAXIFS(Tabelle5[[#This Row],[value_points]], Tabelle5[[#This Row],[company_id]],Tabelle18[[#This Row],[company_id]], Tabelle5[[#This Row],[value_id]], Tabelle18[[#This Row],[value_id]], Tabelle5[[#This Row],[value_present]],"1")</f>
        <v>0</v>
      </c>
    </row>
    <row r="27" spans="3:5" x14ac:dyDescent="0.25">
      <c r="C27" s="4">
        <f>IF(Tabelle18[[#This Row],[binding_level_company]]&gt;=1,1,0)</f>
        <v>0</v>
      </c>
      <c r="D27" s="4">
        <f>_xlfn.MAXIFS(Tabelle5[[#This Row],[binding_level]], Tabelle5[[#This Row],[company_id]],Tabelle18[[#This Row],[company_id]], Tabelle5[[#This Row],[value_id]], Tabelle18[[#This Row],[value_id]], Tabelle5[[#This Row],[value_present]],"1")</f>
        <v>0</v>
      </c>
      <c r="E27" s="4">
        <f>_xlfn.MAXIFS(Tabelle5[[#This Row],[value_points]], Tabelle5[[#This Row],[company_id]],Tabelle18[[#This Row],[company_id]], Tabelle5[[#This Row],[value_id]], Tabelle18[[#This Row],[value_id]], Tabelle5[[#This Row],[value_present]],"1")</f>
        <v>0</v>
      </c>
    </row>
    <row r="28" spans="3:5" x14ac:dyDescent="0.25">
      <c r="C28" s="4">
        <f>IF(Tabelle18[[#This Row],[binding_level_company]]&gt;=1,1,0)</f>
        <v>0</v>
      </c>
      <c r="D28" s="4">
        <f>_xlfn.MAXIFS(Tabelle5[[#This Row],[binding_level]], Tabelle5[[#This Row],[company_id]],Tabelle18[[#This Row],[company_id]], Tabelle5[[#This Row],[value_id]], Tabelle18[[#This Row],[value_id]], Tabelle5[[#This Row],[value_present]],"1")</f>
        <v>0</v>
      </c>
      <c r="E28" s="4">
        <f>_xlfn.MAXIFS(Tabelle5[[#This Row],[value_points]], Tabelle5[[#This Row],[company_id]],Tabelle18[[#This Row],[company_id]], Tabelle5[[#This Row],[value_id]], Tabelle18[[#This Row],[value_id]], Tabelle5[[#This Row],[value_present]],"1")</f>
        <v>0</v>
      </c>
    </row>
    <row r="29" spans="3:5" x14ac:dyDescent="0.25">
      <c r="C29" s="4">
        <f>IF(Tabelle18[[#This Row],[binding_level_company]]&gt;=1,1,0)</f>
        <v>0</v>
      </c>
      <c r="D29" s="4">
        <f>_xlfn.MAXIFS(Tabelle5[[#This Row],[binding_level]], Tabelle5[[#This Row],[company_id]],Tabelle18[[#This Row],[company_id]], Tabelle5[[#This Row],[value_id]], Tabelle18[[#This Row],[value_id]], Tabelle5[[#This Row],[value_present]],"1")</f>
        <v>0</v>
      </c>
      <c r="E29" s="4">
        <f>_xlfn.MAXIFS(Tabelle5[[#This Row],[value_points]], Tabelle5[[#This Row],[company_id]],Tabelle18[[#This Row],[company_id]], Tabelle5[[#This Row],[value_id]], Tabelle18[[#This Row],[value_id]], Tabelle5[[#This Row],[value_present]],"1")</f>
        <v>0</v>
      </c>
    </row>
    <row r="30" spans="3:5" x14ac:dyDescent="0.25">
      <c r="C30" s="4">
        <f>IF(Tabelle18[[#This Row],[binding_level_company]]&gt;=1,1,0)</f>
        <v>0</v>
      </c>
      <c r="D30" s="4">
        <f>_xlfn.MAXIFS(Tabelle5[[#This Row],[binding_level]], Tabelle5[[#This Row],[company_id]],Tabelle18[[#This Row],[company_id]], Tabelle5[[#This Row],[value_id]], Tabelle18[[#This Row],[value_id]], Tabelle5[[#This Row],[value_present]],"1")</f>
        <v>0</v>
      </c>
      <c r="E30" s="4">
        <f>_xlfn.MAXIFS(Tabelle5[[#This Row],[value_points]], Tabelle5[[#This Row],[company_id]],Tabelle18[[#This Row],[company_id]], Tabelle5[[#This Row],[value_id]], Tabelle18[[#This Row],[value_id]], Tabelle5[[#This Row],[value_present]],"1")</f>
        <v>0</v>
      </c>
    </row>
    <row r="31" spans="3:5" x14ac:dyDescent="0.25">
      <c r="C31" s="4">
        <f>IF(Tabelle18[[#This Row],[binding_level_company]]&gt;=1,1,0)</f>
        <v>0</v>
      </c>
      <c r="D31" s="4">
        <f>_xlfn.MAXIFS(Tabelle5[[#This Row],[binding_level]], Tabelle5[[#This Row],[company_id]],Tabelle18[[#This Row],[company_id]], Tabelle5[[#This Row],[value_id]], Tabelle18[[#This Row],[value_id]], Tabelle5[[#This Row],[value_present]],"1")</f>
        <v>0</v>
      </c>
      <c r="E31" s="4">
        <f>_xlfn.MAXIFS(Tabelle5[[#This Row],[value_points]], Tabelle5[[#This Row],[company_id]],Tabelle18[[#This Row],[company_id]], Tabelle5[[#This Row],[value_id]], Tabelle18[[#This Row],[value_id]], Tabelle5[[#This Row],[value_present]],"1")</f>
        <v>0</v>
      </c>
    </row>
    <row r="32" spans="3:5" x14ac:dyDescent="0.25">
      <c r="C32" s="4">
        <f>IF(Tabelle18[[#This Row],[binding_level_company]]&gt;=1,1,0)</f>
        <v>0</v>
      </c>
      <c r="D32" s="4">
        <f>_xlfn.MAXIFS(Tabelle5[[#This Row],[binding_level]], Tabelle5[[#This Row],[company_id]],Tabelle18[[#This Row],[company_id]], Tabelle5[[#This Row],[value_id]], Tabelle18[[#This Row],[value_id]], Tabelle5[[#This Row],[value_present]],"1")</f>
        <v>0</v>
      </c>
      <c r="E32" s="4">
        <f>_xlfn.MAXIFS(Tabelle5[[#This Row],[value_points]], Tabelle5[[#This Row],[company_id]],Tabelle18[[#This Row],[company_id]], Tabelle5[[#This Row],[value_id]], Tabelle18[[#This Row],[value_id]], Tabelle5[[#This Row],[value_present]],"1")</f>
        <v>0</v>
      </c>
    </row>
    <row r="33" spans="3:5" x14ac:dyDescent="0.25">
      <c r="C33" s="4">
        <f>IF(Tabelle18[[#This Row],[binding_level_company]]&gt;=1,1,0)</f>
        <v>0</v>
      </c>
      <c r="D33" s="4">
        <f>_xlfn.MAXIFS(Tabelle5[[#This Row],[binding_level]], Tabelle5[[#This Row],[company_id]],Tabelle18[[#This Row],[company_id]], Tabelle5[[#This Row],[value_id]], Tabelle18[[#This Row],[value_id]], Tabelle5[[#This Row],[value_present]],"1")</f>
        <v>0</v>
      </c>
      <c r="E33" s="4">
        <f>_xlfn.MAXIFS(Tabelle5[[#This Row],[value_points]], Tabelle5[[#This Row],[company_id]],Tabelle18[[#This Row],[company_id]], Tabelle5[[#This Row],[value_id]], Tabelle18[[#This Row],[value_id]], Tabelle5[[#This Row],[value_present]],"1")</f>
        <v>0</v>
      </c>
    </row>
    <row r="34" spans="3:5" x14ac:dyDescent="0.25">
      <c r="C34" s="4">
        <f>IF(Tabelle18[[#This Row],[binding_level_company]]&gt;=1,1,0)</f>
        <v>0</v>
      </c>
      <c r="D34" s="4">
        <f>_xlfn.MAXIFS(Tabelle5[[#This Row],[binding_level]], Tabelle5[[#This Row],[company_id]],Tabelle18[[#This Row],[company_id]], Tabelle5[[#This Row],[value_id]], Tabelle18[[#This Row],[value_id]], Tabelle5[[#This Row],[value_present]],"1")</f>
        <v>0</v>
      </c>
      <c r="E34" s="4">
        <f>_xlfn.MAXIFS(Tabelle5[[#This Row],[value_points]], Tabelle5[[#This Row],[company_id]],Tabelle18[[#This Row],[company_id]], Tabelle5[[#This Row],[value_id]], Tabelle18[[#This Row],[value_id]], Tabelle5[[#This Row],[value_present]],"1")</f>
        <v>0</v>
      </c>
    </row>
    <row r="35" spans="3:5" x14ac:dyDescent="0.25">
      <c r="C35" s="4">
        <f>IF(Tabelle18[[#This Row],[binding_level_company]]&gt;=1,1,0)</f>
        <v>0</v>
      </c>
      <c r="D35" s="4">
        <f>_xlfn.MAXIFS(Tabelle5[[#This Row],[binding_level]], Tabelle5[[#This Row],[company_id]],Tabelle18[[#This Row],[company_id]], Tabelle5[[#This Row],[value_id]], Tabelle18[[#This Row],[value_id]], Tabelle5[[#This Row],[value_present]],"1")</f>
        <v>0</v>
      </c>
      <c r="E35" s="4">
        <f>_xlfn.MAXIFS(Tabelle5[[#This Row],[value_points]], Tabelle5[[#This Row],[company_id]],Tabelle18[[#This Row],[company_id]], Tabelle5[[#This Row],[value_id]], Tabelle18[[#This Row],[value_id]], Tabelle5[[#This Row],[value_present]],"1")</f>
        <v>0</v>
      </c>
    </row>
    <row r="36" spans="3:5" x14ac:dyDescent="0.25">
      <c r="C36" s="4">
        <f>IF(Tabelle18[[#This Row],[binding_level_company]]&gt;=1,1,0)</f>
        <v>0</v>
      </c>
      <c r="D36" s="4">
        <f>_xlfn.MAXIFS(Tabelle5[[#This Row],[binding_level]], Tabelle5[[#This Row],[company_id]],Tabelle18[[#This Row],[company_id]], Tabelle5[[#This Row],[value_id]], Tabelle18[[#This Row],[value_id]], Tabelle5[[#This Row],[value_present]],"1")</f>
        <v>0</v>
      </c>
      <c r="E36" s="4">
        <f>_xlfn.MAXIFS(Tabelle5[[#This Row],[value_points]], Tabelle5[[#This Row],[company_id]],Tabelle18[[#This Row],[company_id]], Tabelle5[[#This Row],[value_id]], Tabelle18[[#This Row],[value_id]], Tabelle5[[#This Row],[value_present]],"1")</f>
        <v>0</v>
      </c>
    </row>
    <row r="37" spans="3:5" x14ac:dyDescent="0.25">
      <c r="C37" s="4">
        <f>IF(Tabelle18[[#This Row],[binding_level_company]]&gt;=1,1,0)</f>
        <v>0</v>
      </c>
      <c r="D37" s="4">
        <f>_xlfn.MAXIFS(Tabelle5[[#This Row],[binding_level]], Tabelle5[[#This Row],[company_id]],Tabelle18[[#This Row],[company_id]], Tabelle5[[#This Row],[value_id]], Tabelle18[[#This Row],[value_id]], Tabelle5[[#This Row],[value_present]],"1")</f>
        <v>0</v>
      </c>
      <c r="E37" s="4">
        <f>_xlfn.MAXIFS(Tabelle5[[#This Row],[value_points]], Tabelle5[[#This Row],[company_id]],Tabelle18[[#This Row],[company_id]], Tabelle5[[#This Row],[value_id]], Tabelle18[[#This Row],[value_id]], Tabelle5[[#This Row],[value_present]],"1")</f>
        <v>0</v>
      </c>
    </row>
    <row r="38" spans="3:5" x14ac:dyDescent="0.25">
      <c r="C38" s="4">
        <f>IF(Tabelle18[[#This Row],[binding_level_company]]&gt;=1,1,0)</f>
        <v>0</v>
      </c>
      <c r="D38" s="4">
        <f>_xlfn.MAXIFS(Tabelle5[[#This Row],[binding_level]], Tabelle5[[#This Row],[company_id]],Tabelle18[[#This Row],[company_id]], Tabelle5[[#This Row],[value_id]], Tabelle18[[#This Row],[value_id]], Tabelle5[[#This Row],[value_present]],"1")</f>
        <v>0</v>
      </c>
      <c r="E38" s="4">
        <f>_xlfn.MAXIFS(Tabelle5[[#This Row],[value_points]], Tabelle5[[#This Row],[company_id]],Tabelle18[[#This Row],[company_id]], Tabelle5[[#This Row],[value_id]], Tabelle18[[#This Row],[value_id]], Tabelle5[[#This Row],[value_present]],"1")</f>
        <v>0</v>
      </c>
    </row>
    <row r="39" spans="3:5" x14ac:dyDescent="0.25">
      <c r="C39" s="4">
        <f>IF(Tabelle18[[#This Row],[binding_level_company]]&gt;=1,1,0)</f>
        <v>0</v>
      </c>
      <c r="D39" s="4">
        <f>_xlfn.MAXIFS(Tabelle5[[#This Row],[binding_level]], Tabelle5[[#This Row],[company_id]],Tabelle18[[#This Row],[company_id]], Tabelle5[[#This Row],[value_id]], Tabelle18[[#This Row],[value_id]], Tabelle5[[#This Row],[value_present]],"1")</f>
        <v>0</v>
      </c>
      <c r="E39" s="4">
        <f>_xlfn.MAXIFS(Tabelle5[[#This Row],[value_points]], Tabelle5[[#This Row],[company_id]],Tabelle18[[#This Row],[company_id]], Tabelle5[[#This Row],[value_id]], Tabelle18[[#This Row],[value_id]], Tabelle5[[#This Row],[value_present]],"1")</f>
        <v>0</v>
      </c>
    </row>
    <row r="40" spans="3:5" x14ac:dyDescent="0.25">
      <c r="C40" s="4">
        <f>IF(Tabelle18[[#This Row],[binding_level_company]]&gt;=1,1,0)</f>
        <v>0</v>
      </c>
      <c r="D40" s="4">
        <f>_xlfn.MAXIFS(Tabelle5[[#This Row],[binding_level]], Tabelle5[[#This Row],[company_id]],Tabelle18[[#This Row],[company_id]], Tabelle5[[#This Row],[value_id]], Tabelle18[[#This Row],[value_id]], Tabelle5[[#This Row],[value_present]],"1")</f>
        <v>0</v>
      </c>
      <c r="E40" s="4">
        <f>_xlfn.MAXIFS(Tabelle5[[#This Row],[value_points]], Tabelle5[[#This Row],[company_id]],Tabelle18[[#This Row],[company_id]], Tabelle5[[#This Row],[value_id]], Tabelle18[[#This Row],[value_id]], Tabelle5[[#This Row],[value_present]],"1")</f>
        <v>0</v>
      </c>
    </row>
    <row r="41" spans="3:5" x14ac:dyDescent="0.25">
      <c r="C41" s="4">
        <f>IF(Tabelle18[[#This Row],[binding_level_company]]&gt;=1,1,0)</f>
        <v>0</v>
      </c>
      <c r="D41" s="4">
        <f>_xlfn.MAXIFS(Tabelle5[[#This Row],[binding_level]], Tabelle5[[#This Row],[company_id]],Tabelle18[[#This Row],[company_id]], Tabelle5[[#This Row],[value_id]], Tabelle18[[#This Row],[value_id]], Tabelle5[[#This Row],[value_present]],"1")</f>
        <v>0</v>
      </c>
      <c r="E41" s="4">
        <f>_xlfn.MAXIFS(Tabelle5[[#This Row],[value_points]], Tabelle5[[#This Row],[company_id]],Tabelle18[[#This Row],[company_id]], Tabelle5[[#This Row],[value_id]], Tabelle18[[#This Row],[value_id]], Tabelle5[[#This Row],[value_present]],"1")</f>
        <v>0</v>
      </c>
    </row>
  </sheetData>
  <pageMargins left="0.7" right="0.7" top="0.78740157499999996" bottom="0.78740157499999996"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037E3-73D4-4E02-8725-EE256F58C681}">
  <dimension ref="A1:H8"/>
  <sheetViews>
    <sheetView workbookViewId="0">
      <selection activeCell="H17" sqref="H17"/>
    </sheetView>
  </sheetViews>
  <sheetFormatPr baseColWidth="10" defaultRowHeight="15" x14ac:dyDescent="0.25"/>
  <cols>
    <col min="1" max="1" width="12.42578125" customWidth="1"/>
    <col min="2" max="2" width="16.85546875" bestFit="1" customWidth="1"/>
    <col min="3" max="3" width="34.7109375" bestFit="1" customWidth="1"/>
    <col min="4" max="4" width="54.7109375" bestFit="1" customWidth="1"/>
    <col min="5" max="5" width="63.28515625" customWidth="1"/>
    <col min="6" max="6" width="92.28515625" customWidth="1"/>
    <col min="7" max="7" width="56.5703125" bestFit="1" customWidth="1"/>
    <col min="8" max="8" width="67.28515625" bestFit="1" customWidth="1"/>
  </cols>
  <sheetData>
    <row r="1" spans="1:8" x14ac:dyDescent="0.25">
      <c r="A1" t="s">
        <v>37</v>
      </c>
      <c r="B1" t="s">
        <v>38</v>
      </c>
      <c r="C1" t="s">
        <v>39</v>
      </c>
      <c r="D1" t="s">
        <v>40</v>
      </c>
      <c r="E1" t="s">
        <v>41</v>
      </c>
      <c r="F1" t="s">
        <v>42</v>
      </c>
      <c r="G1" t="s">
        <v>43</v>
      </c>
      <c r="H1" t="s">
        <v>44</v>
      </c>
    </row>
    <row r="2" spans="1:8" x14ac:dyDescent="0.25">
      <c r="A2" t="s">
        <v>197</v>
      </c>
      <c r="B2" t="s">
        <v>198</v>
      </c>
      <c r="C2" t="s">
        <v>199</v>
      </c>
      <c r="D2" t="s">
        <v>200</v>
      </c>
      <c r="E2" t="s">
        <v>243</v>
      </c>
      <c r="F2" t="s">
        <v>201</v>
      </c>
      <c r="G2" t="s">
        <v>202</v>
      </c>
      <c r="H2" t="s">
        <v>203</v>
      </c>
    </row>
    <row r="3" spans="1:8" x14ac:dyDescent="0.25">
      <c r="A3" t="s">
        <v>204</v>
      </c>
      <c r="B3" t="s">
        <v>205</v>
      </c>
      <c r="C3" t="s">
        <v>206</v>
      </c>
      <c r="D3" t="s">
        <v>207</v>
      </c>
      <c r="E3" t="s">
        <v>244</v>
      </c>
      <c r="F3" t="s">
        <v>247</v>
      </c>
      <c r="G3" t="s">
        <v>208</v>
      </c>
      <c r="H3" t="s">
        <v>209</v>
      </c>
    </row>
    <row r="4" spans="1:8" x14ac:dyDescent="0.25">
      <c r="A4" t="s">
        <v>210</v>
      </c>
      <c r="B4" t="s">
        <v>211</v>
      </c>
      <c r="C4" t="s">
        <v>212</v>
      </c>
      <c r="D4" t="s">
        <v>213</v>
      </c>
      <c r="E4" t="s">
        <v>245</v>
      </c>
      <c r="F4" t="s">
        <v>214</v>
      </c>
      <c r="G4" t="s">
        <v>215</v>
      </c>
      <c r="H4" t="s">
        <v>216</v>
      </c>
    </row>
    <row r="5" spans="1:8" x14ac:dyDescent="0.25">
      <c r="A5" t="s">
        <v>217</v>
      </c>
      <c r="B5" t="s">
        <v>218</v>
      </c>
      <c r="C5" t="s">
        <v>219</v>
      </c>
      <c r="D5" t="s">
        <v>220</v>
      </c>
      <c r="E5" t="s">
        <v>246</v>
      </c>
      <c r="F5" t="s">
        <v>221</v>
      </c>
      <c r="G5" t="s">
        <v>222</v>
      </c>
      <c r="H5" t="s">
        <v>223</v>
      </c>
    </row>
    <row r="6" spans="1:8" x14ac:dyDescent="0.25">
      <c r="A6" t="s">
        <v>224</v>
      </c>
      <c r="B6" t="s">
        <v>225</v>
      </c>
      <c r="C6" t="s">
        <v>226</v>
      </c>
      <c r="D6" t="s">
        <v>227</v>
      </c>
      <c r="E6" t="s">
        <v>248</v>
      </c>
      <c r="F6" t="s">
        <v>249</v>
      </c>
      <c r="G6" t="s">
        <v>228</v>
      </c>
      <c r="H6" t="s">
        <v>229</v>
      </c>
    </row>
    <row r="7" spans="1:8" x14ac:dyDescent="0.25">
      <c r="A7" t="s">
        <v>230</v>
      </c>
      <c r="B7" t="s">
        <v>231</v>
      </c>
      <c r="C7" t="s">
        <v>232</v>
      </c>
      <c r="D7" t="s">
        <v>233</v>
      </c>
      <c r="E7" t="s">
        <v>250</v>
      </c>
      <c r="F7" t="s">
        <v>234</v>
      </c>
      <c r="G7" t="s">
        <v>251</v>
      </c>
      <c r="H7" t="s">
        <v>235</v>
      </c>
    </row>
    <row r="8" spans="1:8" x14ac:dyDescent="0.25">
      <c r="A8" t="s">
        <v>236</v>
      </c>
      <c r="B8" t="s">
        <v>237</v>
      </c>
      <c r="C8" t="s">
        <v>238</v>
      </c>
      <c r="D8" t="s">
        <v>239</v>
      </c>
      <c r="E8" t="s">
        <v>252</v>
      </c>
      <c r="F8" t="s">
        <v>240</v>
      </c>
      <c r="G8" t="s">
        <v>241</v>
      </c>
      <c r="H8" t="s">
        <v>242</v>
      </c>
    </row>
  </sheetData>
  <phoneticPr fontId="1" type="noConversion"/>
  <pageMargins left="0.7" right="0.7" top="0.78740157499999996" bottom="0.78740157499999996"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EC00D-5EFE-412B-BE23-B5A4BBA5C768}">
  <dimension ref="A1:I210"/>
  <sheetViews>
    <sheetView workbookViewId="0">
      <selection activeCell="C5" sqref="C5"/>
    </sheetView>
  </sheetViews>
  <sheetFormatPr baseColWidth="10" defaultRowHeight="15" x14ac:dyDescent="0.25"/>
  <cols>
    <col min="1" max="1" width="14" bestFit="1" customWidth="1"/>
    <col min="2" max="2" width="12.85546875" bestFit="1" customWidth="1"/>
    <col min="3" max="3" width="26.28515625" bestFit="1" customWidth="1"/>
    <col min="4" max="4" width="11.7109375" customWidth="1"/>
    <col min="5" max="5" width="16.7109375" customWidth="1"/>
    <col min="6" max="6" width="19" customWidth="1"/>
    <col min="7" max="7" width="16.7109375" customWidth="1"/>
    <col min="8" max="8" width="18.7109375" customWidth="1"/>
  </cols>
  <sheetData>
    <row r="1" spans="1:9" x14ac:dyDescent="0.25">
      <c r="A1" t="s">
        <v>0</v>
      </c>
      <c r="B1" t="s">
        <v>37</v>
      </c>
      <c r="C1" t="s">
        <v>45</v>
      </c>
      <c r="D1" t="s">
        <v>46</v>
      </c>
      <c r="E1" t="s">
        <v>32</v>
      </c>
      <c r="F1" t="s">
        <v>33</v>
      </c>
      <c r="G1" t="s">
        <v>47</v>
      </c>
      <c r="H1" t="s">
        <v>34</v>
      </c>
      <c r="I1" t="s">
        <v>35</v>
      </c>
    </row>
    <row r="2" spans="1:9" x14ac:dyDescent="0.25">
      <c r="A2" s="2"/>
      <c r="B2" s="2"/>
      <c r="C2" s="2"/>
      <c r="D2" s="3"/>
      <c r="F2" s="2"/>
      <c r="H2" s="1"/>
    </row>
    <row r="3" spans="1:9" x14ac:dyDescent="0.25">
      <c r="A3" s="2"/>
      <c r="B3" s="2"/>
      <c r="C3" s="2"/>
      <c r="D3" s="3"/>
      <c r="F3" s="2"/>
      <c r="H3" s="1"/>
    </row>
    <row r="4" spans="1:9" x14ac:dyDescent="0.25">
      <c r="A4" s="2"/>
      <c r="B4" s="2"/>
      <c r="C4" s="2"/>
      <c r="D4" s="3"/>
      <c r="F4" s="2"/>
      <c r="H4" s="1"/>
    </row>
    <row r="5" spans="1:9" x14ac:dyDescent="0.25">
      <c r="A5" s="2"/>
      <c r="B5" s="2"/>
      <c r="C5" s="2"/>
      <c r="D5" s="3"/>
      <c r="F5" s="2"/>
      <c r="H5" s="1"/>
    </row>
    <row r="6" spans="1:9" x14ac:dyDescent="0.25">
      <c r="A6" s="2"/>
      <c r="B6" s="2"/>
      <c r="C6" s="2"/>
      <c r="D6" s="3"/>
      <c r="F6" s="2"/>
      <c r="H6" s="1"/>
    </row>
    <row r="7" spans="1:9" x14ac:dyDescent="0.25">
      <c r="A7" s="2"/>
      <c r="B7" s="2"/>
      <c r="C7" s="2"/>
      <c r="D7" s="3"/>
      <c r="F7" s="2"/>
      <c r="H7" s="1"/>
    </row>
    <row r="8" spans="1:9" x14ac:dyDescent="0.25">
      <c r="A8" s="2"/>
      <c r="B8" s="2"/>
      <c r="C8" s="2"/>
      <c r="D8" s="3"/>
      <c r="F8" s="2"/>
      <c r="H8" s="1"/>
    </row>
    <row r="9" spans="1:9" x14ac:dyDescent="0.25">
      <c r="A9" s="2"/>
      <c r="B9" s="2"/>
      <c r="C9" s="2"/>
      <c r="D9" s="3"/>
      <c r="F9" s="2"/>
      <c r="H9" s="1"/>
    </row>
    <row r="10" spans="1:9" x14ac:dyDescent="0.25">
      <c r="A10" s="2"/>
      <c r="B10" s="2"/>
      <c r="C10" s="2"/>
      <c r="D10" s="3"/>
      <c r="F10" s="2"/>
      <c r="H10" s="1"/>
    </row>
    <row r="11" spans="1:9" x14ac:dyDescent="0.25">
      <c r="A11" s="2"/>
      <c r="B11" s="2"/>
      <c r="C11" s="2"/>
      <c r="D11" s="3"/>
      <c r="F11" s="2"/>
      <c r="H11" s="1"/>
    </row>
    <row r="12" spans="1:9" x14ac:dyDescent="0.25">
      <c r="A12" s="2"/>
      <c r="B12" s="2"/>
      <c r="C12" s="2"/>
      <c r="D12" s="3"/>
      <c r="F12" s="2"/>
      <c r="H12" s="1"/>
    </row>
    <row r="13" spans="1:9" x14ac:dyDescent="0.25">
      <c r="A13" s="2"/>
      <c r="B13" s="2"/>
      <c r="C13" s="2"/>
      <c r="D13" s="3"/>
      <c r="F13" s="2"/>
      <c r="H13" s="1"/>
    </row>
    <row r="14" spans="1:9" x14ac:dyDescent="0.25">
      <c r="A14" s="2"/>
      <c r="B14" s="2"/>
      <c r="C14" s="2"/>
      <c r="D14" s="3"/>
      <c r="F14" s="2"/>
      <c r="H14" s="1"/>
    </row>
    <row r="15" spans="1:9" x14ac:dyDescent="0.25">
      <c r="A15" s="2"/>
      <c r="B15" s="2"/>
      <c r="C15" s="2"/>
      <c r="D15" s="3"/>
      <c r="F15" s="2"/>
      <c r="H15" s="1"/>
    </row>
    <row r="16" spans="1:9" x14ac:dyDescent="0.25">
      <c r="A16" s="2"/>
      <c r="B16" s="2"/>
      <c r="C16" s="2"/>
      <c r="D16" s="3"/>
      <c r="F16" s="2"/>
      <c r="H16" s="1"/>
    </row>
    <row r="17" spans="1:8" x14ac:dyDescent="0.25">
      <c r="A17" s="2"/>
      <c r="B17" s="2"/>
      <c r="C17" s="2"/>
      <c r="D17" s="3"/>
      <c r="F17" s="2"/>
      <c r="H17" s="1"/>
    </row>
    <row r="18" spans="1:8" x14ac:dyDescent="0.25">
      <c r="A18" s="2"/>
      <c r="B18" s="2"/>
      <c r="C18" s="2"/>
      <c r="D18" s="3"/>
      <c r="F18" s="2"/>
      <c r="H18" s="1"/>
    </row>
    <row r="19" spans="1:8" x14ac:dyDescent="0.25">
      <c r="A19" s="2"/>
      <c r="B19" s="2"/>
      <c r="C19" s="2"/>
      <c r="D19" s="3"/>
      <c r="F19" s="2"/>
      <c r="H19" s="1"/>
    </row>
    <row r="20" spans="1:8" x14ac:dyDescent="0.25">
      <c r="A20" s="2"/>
      <c r="B20" s="2"/>
      <c r="C20" s="2"/>
      <c r="D20" s="3"/>
      <c r="F20" s="2"/>
      <c r="H20" s="1"/>
    </row>
    <row r="21" spans="1:8" x14ac:dyDescent="0.25">
      <c r="A21" s="2"/>
      <c r="B21" s="2"/>
      <c r="C21" s="2"/>
      <c r="D21" s="3"/>
      <c r="F21" s="2"/>
      <c r="H21" s="1"/>
    </row>
    <row r="22" spans="1:8" x14ac:dyDescent="0.25">
      <c r="A22" s="2"/>
      <c r="B22" s="2"/>
      <c r="C22" s="2"/>
      <c r="D22" s="3"/>
      <c r="F22" s="2"/>
      <c r="H22" s="1"/>
    </row>
    <row r="23" spans="1:8" x14ac:dyDescent="0.25">
      <c r="A23" s="2"/>
      <c r="B23" s="2"/>
      <c r="C23" s="2"/>
      <c r="D23" s="3"/>
      <c r="F23" s="2"/>
      <c r="H23" s="1"/>
    </row>
    <row r="24" spans="1:8" x14ac:dyDescent="0.25">
      <c r="A24" s="2"/>
      <c r="B24" s="2"/>
      <c r="C24" s="2"/>
      <c r="D24" s="3"/>
      <c r="F24" s="2"/>
      <c r="H24" s="1"/>
    </row>
    <row r="25" spans="1:8" x14ac:dyDescent="0.25">
      <c r="A25" s="2"/>
      <c r="B25" s="2"/>
      <c r="C25" s="2"/>
      <c r="D25" s="3"/>
      <c r="F25" s="2"/>
      <c r="H25" s="1"/>
    </row>
    <row r="26" spans="1:8" x14ac:dyDescent="0.25">
      <c r="A26" s="2"/>
      <c r="B26" s="2"/>
      <c r="C26" s="2"/>
      <c r="D26" s="3"/>
      <c r="F26" s="2"/>
      <c r="H26" s="1"/>
    </row>
    <row r="27" spans="1:8" x14ac:dyDescent="0.25">
      <c r="A27" s="2"/>
      <c r="B27" s="2"/>
      <c r="C27" s="2"/>
      <c r="D27" s="3"/>
      <c r="F27" s="2"/>
      <c r="H27" s="1"/>
    </row>
    <row r="28" spans="1:8" x14ac:dyDescent="0.25">
      <c r="A28" s="2"/>
      <c r="B28" s="2"/>
      <c r="C28" s="2"/>
      <c r="D28" s="3"/>
      <c r="F28" s="2"/>
      <c r="H28" s="1"/>
    </row>
    <row r="29" spans="1:8" x14ac:dyDescent="0.25">
      <c r="A29" s="2"/>
      <c r="B29" s="2"/>
      <c r="C29" s="2"/>
      <c r="D29" s="3"/>
      <c r="F29" s="2"/>
      <c r="H29" s="1"/>
    </row>
    <row r="30" spans="1:8" x14ac:dyDescent="0.25">
      <c r="A30" s="2"/>
      <c r="B30" s="2"/>
      <c r="C30" s="2"/>
      <c r="D30" s="3"/>
      <c r="F30" s="2"/>
      <c r="H30" s="1"/>
    </row>
    <row r="31" spans="1:8" x14ac:dyDescent="0.25">
      <c r="A31" s="2"/>
      <c r="B31" s="2"/>
      <c r="C31" s="2"/>
      <c r="D31" s="3"/>
      <c r="F31" s="2"/>
      <c r="H31" s="1"/>
    </row>
    <row r="32" spans="1:8" x14ac:dyDescent="0.25">
      <c r="A32" s="2"/>
      <c r="B32" s="2"/>
      <c r="C32" s="2"/>
      <c r="D32" s="3"/>
      <c r="F32" s="2"/>
      <c r="H32" s="1"/>
    </row>
    <row r="33" spans="1:8" x14ac:dyDescent="0.25">
      <c r="A33" s="2"/>
      <c r="B33" s="2"/>
      <c r="C33" s="2"/>
      <c r="D33" s="3"/>
      <c r="F33" s="2"/>
      <c r="H33" s="1"/>
    </row>
    <row r="34" spans="1:8" x14ac:dyDescent="0.25">
      <c r="A34" s="2"/>
      <c r="B34" s="2"/>
      <c r="C34" s="2"/>
      <c r="D34" s="3"/>
      <c r="F34" s="2"/>
      <c r="H34" s="1"/>
    </row>
    <row r="35" spans="1:8" x14ac:dyDescent="0.25">
      <c r="A35" s="2"/>
      <c r="B35" s="2"/>
      <c r="C35" s="2"/>
      <c r="D35" s="3"/>
      <c r="F35" s="2"/>
      <c r="H35" s="1"/>
    </row>
    <row r="36" spans="1:8" x14ac:dyDescent="0.25">
      <c r="A36" s="2"/>
      <c r="B36" s="2"/>
      <c r="C36" s="2"/>
      <c r="D36" s="3"/>
      <c r="F36" s="2"/>
      <c r="H36" s="1"/>
    </row>
    <row r="37" spans="1:8" x14ac:dyDescent="0.25">
      <c r="A37" s="2"/>
      <c r="B37" s="2"/>
      <c r="C37" s="2"/>
      <c r="D37" s="3"/>
      <c r="F37" s="2"/>
      <c r="H37" s="1"/>
    </row>
    <row r="38" spans="1:8" x14ac:dyDescent="0.25">
      <c r="A38" s="2"/>
      <c r="B38" s="2"/>
      <c r="C38" s="2"/>
      <c r="D38" s="3"/>
      <c r="F38" s="2"/>
      <c r="H38" s="1"/>
    </row>
    <row r="39" spans="1:8" x14ac:dyDescent="0.25">
      <c r="A39" s="2"/>
      <c r="B39" s="2"/>
      <c r="C39" s="2"/>
      <c r="D39" s="3"/>
      <c r="F39" s="2"/>
      <c r="H39" s="1"/>
    </row>
    <row r="40" spans="1:8" x14ac:dyDescent="0.25">
      <c r="A40" s="2"/>
      <c r="B40" s="2"/>
      <c r="C40" s="2"/>
      <c r="D40" s="3"/>
      <c r="F40" s="2"/>
      <c r="H40" s="1"/>
    </row>
    <row r="41" spans="1:8" x14ac:dyDescent="0.25">
      <c r="A41" s="2"/>
      <c r="B41" s="2"/>
      <c r="C41" s="2"/>
      <c r="D41" s="3"/>
      <c r="F41" s="2"/>
      <c r="H41" s="1"/>
    </row>
    <row r="42" spans="1:8" x14ac:dyDescent="0.25">
      <c r="A42" s="2"/>
      <c r="B42" s="2"/>
      <c r="C42" s="2"/>
      <c r="D42" s="3"/>
      <c r="F42" s="2"/>
      <c r="H42" s="1"/>
    </row>
    <row r="43" spans="1:8" x14ac:dyDescent="0.25">
      <c r="A43" s="2"/>
      <c r="B43" s="2"/>
      <c r="C43" s="2"/>
      <c r="D43" s="3"/>
      <c r="F43" s="2"/>
      <c r="H43" s="1"/>
    </row>
    <row r="44" spans="1:8" x14ac:dyDescent="0.25">
      <c r="A44" s="2"/>
      <c r="B44" s="2"/>
      <c r="C44" s="2"/>
      <c r="D44" s="3"/>
      <c r="F44" s="2"/>
      <c r="H44" s="1"/>
    </row>
    <row r="45" spans="1:8" x14ac:dyDescent="0.25">
      <c r="A45" s="2"/>
      <c r="B45" s="2"/>
      <c r="C45" s="2"/>
      <c r="D45" s="3"/>
      <c r="F45" s="2"/>
      <c r="H45" s="1"/>
    </row>
    <row r="46" spans="1:8" x14ac:dyDescent="0.25">
      <c r="A46" s="2"/>
      <c r="B46" s="2"/>
      <c r="C46" s="2"/>
      <c r="D46" s="3"/>
      <c r="F46" s="2"/>
      <c r="H46" s="1"/>
    </row>
    <row r="47" spans="1:8" x14ac:dyDescent="0.25">
      <c r="A47" s="2"/>
      <c r="B47" s="2"/>
      <c r="C47" s="2"/>
      <c r="D47" s="3"/>
      <c r="F47" s="2"/>
      <c r="H47" s="1"/>
    </row>
    <row r="48" spans="1:8" x14ac:dyDescent="0.25">
      <c r="A48" s="2"/>
      <c r="B48" s="2"/>
      <c r="C48" s="2"/>
      <c r="D48" s="3"/>
      <c r="F48" s="2"/>
      <c r="H48" s="1"/>
    </row>
    <row r="49" spans="1:8" x14ac:dyDescent="0.25">
      <c r="A49" s="2"/>
      <c r="B49" s="2"/>
      <c r="C49" s="2"/>
      <c r="D49" s="3"/>
      <c r="F49" s="2"/>
      <c r="H49" s="1"/>
    </row>
    <row r="50" spans="1:8" x14ac:dyDescent="0.25">
      <c r="A50" s="2"/>
      <c r="B50" s="2"/>
      <c r="C50" s="2"/>
      <c r="D50" s="3"/>
      <c r="F50" s="2"/>
      <c r="H50" s="1"/>
    </row>
    <row r="51" spans="1:8" x14ac:dyDescent="0.25">
      <c r="A51" s="2"/>
      <c r="B51" s="2"/>
      <c r="C51" s="2"/>
      <c r="D51" s="3"/>
      <c r="F51" s="2"/>
      <c r="H51" s="1"/>
    </row>
    <row r="52" spans="1:8" x14ac:dyDescent="0.25">
      <c r="A52" s="2"/>
      <c r="B52" s="2"/>
      <c r="C52" s="2"/>
      <c r="D52" s="3"/>
      <c r="F52" s="2"/>
      <c r="H52" s="1"/>
    </row>
    <row r="53" spans="1:8" x14ac:dyDescent="0.25">
      <c r="A53" s="2"/>
      <c r="B53" s="2"/>
      <c r="C53" s="2"/>
      <c r="D53" s="3"/>
      <c r="F53" s="2"/>
      <c r="H53" s="1"/>
    </row>
    <row r="54" spans="1:8" x14ac:dyDescent="0.25">
      <c r="A54" s="2"/>
      <c r="B54" s="2"/>
      <c r="C54" s="2"/>
      <c r="D54" s="3"/>
      <c r="F54" s="2"/>
      <c r="H54" s="1"/>
    </row>
    <row r="55" spans="1:8" x14ac:dyDescent="0.25">
      <c r="A55" s="2"/>
      <c r="B55" s="2"/>
      <c r="C55" s="2"/>
      <c r="D55" s="3"/>
      <c r="F55" s="2"/>
      <c r="H55" s="1"/>
    </row>
    <row r="56" spans="1:8" x14ac:dyDescent="0.25">
      <c r="A56" s="2"/>
      <c r="B56" s="2"/>
      <c r="C56" s="2"/>
      <c r="D56" s="3"/>
      <c r="F56" s="2"/>
      <c r="H56" s="1"/>
    </row>
    <row r="57" spans="1:8" x14ac:dyDescent="0.25">
      <c r="A57" s="2"/>
      <c r="B57" s="2"/>
      <c r="C57" s="2"/>
      <c r="D57" s="3"/>
      <c r="F57" s="2"/>
      <c r="H57" s="1"/>
    </row>
    <row r="58" spans="1:8" x14ac:dyDescent="0.25">
      <c r="A58" s="2"/>
      <c r="B58" s="2"/>
      <c r="C58" s="2"/>
      <c r="D58" s="3"/>
      <c r="F58" s="2"/>
      <c r="H58" s="1"/>
    </row>
    <row r="59" spans="1:8" x14ac:dyDescent="0.25">
      <c r="A59" s="2"/>
      <c r="B59" s="2"/>
      <c r="C59" s="2"/>
      <c r="D59" s="3"/>
      <c r="F59" s="2"/>
      <c r="H59" s="1"/>
    </row>
    <row r="60" spans="1:8" x14ac:dyDescent="0.25">
      <c r="A60" s="2"/>
      <c r="B60" s="2"/>
      <c r="C60" s="2"/>
      <c r="D60" s="3"/>
      <c r="F60" s="2"/>
      <c r="H60" s="1"/>
    </row>
    <row r="61" spans="1:8" x14ac:dyDescent="0.25">
      <c r="A61" s="2"/>
      <c r="B61" s="2"/>
      <c r="C61" s="2"/>
      <c r="D61" s="3"/>
      <c r="F61" s="2"/>
      <c r="H61" s="1"/>
    </row>
    <row r="62" spans="1:8" x14ac:dyDescent="0.25">
      <c r="A62" s="2"/>
      <c r="B62" s="2"/>
      <c r="C62" s="2"/>
      <c r="D62" s="3"/>
      <c r="F62" s="2"/>
      <c r="H62" s="1"/>
    </row>
    <row r="63" spans="1:8" x14ac:dyDescent="0.25">
      <c r="A63" s="2"/>
      <c r="B63" s="2"/>
      <c r="C63" s="2"/>
      <c r="D63" s="3"/>
      <c r="F63" s="2"/>
      <c r="H63" s="1"/>
    </row>
    <row r="64" spans="1:8" x14ac:dyDescent="0.25">
      <c r="A64" s="2"/>
      <c r="B64" s="2"/>
      <c r="C64" s="2"/>
      <c r="D64" s="3"/>
      <c r="F64" s="2"/>
      <c r="H64" s="1"/>
    </row>
    <row r="65" spans="1:8" x14ac:dyDescent="0.25">
      <c r="A65" s="2"/>
      <c r="B65" s="2"/>
      <c r="C65" s="2"/>
      <c r="D65" s="3"/>
      <c r="F65" s="2"/>
      <c r="H65" s="1"/>
    </row>
    <row r="66" spans="1:8" x14ac:dyDescent="0.25">
      <c r="A66" s="2"/>
      <c r="B66" s="2"/>
      <c r="C66" s="2"/>
      <c r="D66" s="3"/>
      <c r="F66" s="2"/>
      <c r="H66" s="1"/>
    </row>
    <row r="67" spans="1:8" x14ac:dyDescent="0.25">
      <c r="A67" s="2"/>
      <c r="B67" s="2"/>
      <c r="C67" s="2"/>
      <c r="D67" s="3"/>
      <c r="F67" s="2"/>
      <c r="H67" s="1"/>
    </row>
    <row r="68" spans="1:8" x14ac:dyDescent="0.25">
      <c r="A68" s="2"/>
      <c r="B68" s="2"/>
      <c r="C68" s="2"/>
      <c r="D68" s="3"/>
      <c r="F68" s="2"/>
      <c r="H68" s="1"/>
    </row>
    <row r="69" spans="1:8" x14ac:dyDescent="0.25">
      <c r="A69" s="2"/>
      <c r="B69" s="2"/>
      <c r="C69" s="2"/>
      <c r="D69" s="3"/>
      <c r="F69" s="2"/>
      <c r="H69" s="1"/>
    </row>
    <row r="70" spans="1:8" x14ac:dyDescent="0.25">
      <c r="A70" s="2"/>
      <c r="B70" s="2"/>
      <c r="C70" s="2"/>
      <c r="D70" s="3"/>
      <c r="F70" s="2"/>
      <c r="H70" s="1"/>
    </row>
    <row r="71" spans="1:8" x14ac:dyDescent="0.25">
      <c r="A71" s="2"/>
      <c r="B71" s="2"/>
      <c r="C71" s="2"/>
      <c r="D71" s="3"/>
      <c r="F71" s="2"/>
      <c r="H71" s="1"/>
    </row>
    <row r="72" spans="1:8" x14ac:dyDescent="0.25">
      <c r="A72" s="2"/>
      <c r="B72" s="2"/>
      <c r="C72" s="2"/>
      <c r="D72" s="3"/>
      <c r="F72" s="2"/>
      <c r="H72" s="1"/>
    </row>
    <row r="73" spans="1:8" x14ac:dyDescent="0.25">
      <c r="A73" s="2"/>
      <c r="B73" s="2"/>
      <c r="C73" s="2"/>
      <c r="D73" s="3"/>
      <c r="F73" s="2"/>
      <c r="H73" s="1"/>
    </row>
    <row r="74" spans="1:8" x14ac:dyDescent="0.25">
      <c r="A74" s="2"/>
      <c r="B74" s="2"/>
      <c r="C74" s="2"/>
      <c r="D74" s="3"/>
      <c r="F74" s="2"/>
      <c r="H74" s="1"/>
    </row>
    <row r="75" spans="1:8" x14ac:dyDescent="0.25">
      <c r="A75" s="2"/>
      <c r="B75" s="2"/>
      <c r="C75" s="2"/>
      <c r="D75" s="3"/>
      <c r="F75" s="2"/>
      <c r="H75" s="1"/>
    </row>
    <row r="76" spans="1:8" x14ac:dyDescent="0.25">
      <c r="A76" s="2"/>
      <c r="B76" s="2"/>
      <c r="C76" s="2"/>
      <c r="D76" s="3"/>
      <c r="F76" s="2"/>
      <c r="H76" s="1"/>
    </row>
    <row r="77" spans="1:8" x14ac:dyDescent="0.25">
      <c r="A77" s="2"/>
      <c r="B77" s="2"/>
      <c r="C77" s="2"/>
      <c r="D77" s="3"/>
      <c r="F77" s="2"/>
      <c r="H77" s="1"/>
    </row>
    <row r="78" spans="1:8" x14ac:dyDescent="0.25">
      <c r="A78" s="2"/>
      <c r="B78" s="2"/>
      <c r="C78" s="2"/>
      <c r="D78" s="3"/>
      <c r="F78" s="2"/>
      <c r="H78" s="1"/>
    </row>
    <row r="79" spans="1:8" x14ac:dyDescent="0.25">
      <c r="A79" s="2"/>
      <c r="B79" s="2"/>
      <c r="C79" s="2"/>
      <c r="D79" s="3"/>
      <c r="F79" s="2"/>
      <c r="H79" s="1"/>
    </row>
    <row r="80" spans="1:8" x14ac:dyDescent="0.25">
      <c r="A80" s="2"/>
      <c r="B80" s="2"/>
      <c r="C80" s="2"/>
      <c r="D80" s="3"/>
      <c r="F80" s="2"/>
      <c r="H80" s="1"/>
    </row>
    <row r="81" spans="1:8" x14ac:dyDescent="0.25">
      <c r="A81" s="2"/>
      <c r="B81" s="2"/>
      <c r="C81" s="2"/>
      <c r="D81" s="3"/>
      <c r="F81" s="2"/>
      <c r="H81" s="1"/>
    </row>
    <row r="82" spans="1:8" x14ac:dyDescent="0.25">
      <c r="A82" s="2"/>
      <c r="B82" s="2"/>
      <c r="C82" s="2"/>
      <c r="D82" s="3"/>
      <c r="F82" s="2"/>
      <c r="H82" s="1"/>
    </row>
    <row r="83" spans="1:8" x14ac:dyDescent="0.25">
      <c r="A83" s="2"/>
      <c r="B83" s="2"/>
      <c r="C83" s="2"/>
      <c r="D83" s="3"/>
      <c r="F83" s="2"/>
      <c r="H83" s="1"/>
    </row>
    <row r="84" spans="1:8" x14ac:dyDescent="0.25">
      <c r="A84" s="2"/>
      <c r="B84" s="2"/>
      <c r="C84" s="2"/>
      <c r="D84" s="3"/>
      <c r="F84" s="2"/>
      <c r="H84" s="1"/>
    </row>
    <row r="85" spans="1:8" x14ac:dyDescent="0.25">
      <c r="A85" s="2"/>
      <c r="B85" s="2"/>
      <c r="C85" s="2"/>
      <c r="D85" s="3"/>
      <c r="F85" s="2"/>
      <c r="H85" s="1"/>
    </row>
    <row r="86" spans="1:8" x14ac:dyDescent="0.25">
      <c r="A86" s="2"/>
      <c r="B86" s="2"/>
      <c r="C86" s="2"/>
      <c r="D86" s="3"/>
      <c r="F86" s="2"/>
      <c r="H86" s="1"/>
    </row>
    <row r="87" spans="1:8" x14ac:dyDescent="0.25">
      <c r="A87" s="2"/>
      <c r="B87" s="2"/>
      <c r="C87" s="2"/>
      <c r="D87" s="3"/>
      <c r="F87" s="2"/>
      <c r="H87" s="1"/>
    </row>
    <row r="88" spans="1:8" x14ac:dyDescent="0.25">
      <c r="A88" s="2"/>
      <c r="B88" s="2"/>
      <c r="C88" s="2"/>
      <c r="D88" s="3"/>
      <c r="F88" s="2"/>
      <c r="H88" s="1"/>
    </row>
    <row r="89" spans="1:8" x14ac:dyDescent="0.25">
      <c r="A89" s="2"/>
      <c r="B89" s="2"/>
      <c r="C89" s="2"/>
      <c r="D89" s="3"/>
      <c r="F89" s="2"/>
      <c r="H89" s="1"/>
    </row>
    <row r="90" spans="1:8" x14ac:dyDescent="0.25">
      <c r="A90" s="2"/>
      <c r="B90" s="2"/>
      <c r="C90" s="2"/>
      <c r="D90" s="3"/>
      <c r="F90" s="2"/>
      <c r="H90" s="1"/>
    </row>
    <row r="91" spans="1:8" x14ac:dyDescent="0.25">
      <c r="A91" s="2"/>
      <c r="B91" s="2"/>
      <c r="C91" s="2"/>
      <c r="D91" s="3"/>
      <c r="F91" s="2"/>
      <c r="H91" s="1"/>
    </row>
    <row r="92" spans="1:8" x14ac:dyDescent="0.25">
      <c r="A92" s="2"/>
      <c r="B92" s="2"/>
      <c r="C92" s="2"/>
      <c r="D92" s="3"/>
      <c r="F92" s="2"/>
      <c r="H92" s="1"/>
    </row>
    <row r="93" spans="1:8" x14ac:dyDescent="0.25">
      <c r="A93" s="2"/>
      <c r="B93" s="2"/>
      <c r="C93" s="2"/>
      <c r="D93" s="3"/>
      <c r="F93" s="2"/>
      <c r="H93" s="1"/>
    </row>
    <row r="94" spans="1:8" x14ac:dyDescent="0.25">
      <c r="A94" s="2"/>
      <c r="B94" s="2"/>
      <c r="C94" s="2"/>
      <c r="D94" s="3"/>
      <c r="F94" s="2"/>
      <c r="H94" s="1"/>
    </row>
    <row r="95" spans="1:8" x14ac:dyDescent="0.25">
      <c r="A95" s="2"/>
      <c r="B95" s="2"/>
      <c r="C95" s="2"/>
      <c r="D95" s="3"/>
      <c r="F95" s="2"/>
      <c r="H95" s="1"/>
    </row>
    <row r="96" spans="1:8" x14ac:dyDescent="0.25">
      <c r="A96" s="2"/>
      <c r="B96" s="2"/>
      <c r="C96" s="2"/>
      <c r="D96" s="3"/>
      <c r="F96" s="2"/>
      <c r="H96" s="1"/>
    </row>
    <row r="97" spans="1:8" x14ac:dyDescent="0.25">
      <c r="A97" s="2"/>
      <c r="B97" s="2"/>
      <c r="C97" s="2"/>
      <c r="D97" s="3"/>
      <c r="F97" s="2"/>
      <c r="H97" s="1"/>
    </row>
    <row r="98" spans="1:8" x14ac:dyDescent="0.25">
      <c r="A98" s="2"/>
      <c r="B98" s="2"/>
      <c r="C98" s="2"/>
      <c r="D98" s="3"/>
      <c r="F98" s="2"/>
      <c r="H98" s="1"/>
    </row>
    <row r="99" spans="1:8" x14ac:dyDescent="0.25">
      <c r="A99" s="2"/>
      <c r="B99" s="2"/>
      <c r="C99" s="2"/>
      <c r="D99" s="3"/>
      <c r="F99" s="2"/>
      <c r="H99" s="1"/>
    </row>
    <row r="100" spans="1:8" x14ac:dyDescent="0.25">
      <c r="A100" s="2"/>
      <c r="B100" s="2"/>
      <c r="C100" s="2"/>
      <c r="D100" s="3"/>
      <c r="F100" s="2"/>
      <c r="H100" s="1"/>
    </row>
    <row r="101" spans="1:8" x14ac:dyDescent="0.25">
      <c r="A101" s="2"/>
      <c r="B101" s="2"/>
      <c r="C101" s="2"/>
      <c r="D101" s="3"/>
      <c r="F101" s="2"/>
      <c r="H101" s="1"/>
    </row>
    <row r="102" spans="1:8" x14ac:dyDescent="0.25">
      <c r="A102" s="2"/>
      <c r="B102" s="2"/>
      <c r="C102" s="2"/>
      <c r="D102" s="3"/>
      <c r="F102" s="2"/>
      <c r="H102" s="1"/>
    </row>
    <row r="103" spans="1:8" x14ac:dyDescent="0.25">
      <c r="A103" s="2"/>
      <c r="B103" s="2"/>
      <c r="C103" s="2"/>
      <c r="D103" s="3"/>
      <c r="F103" s="2"/>
      <c r="H103" s="1"/>
    </row>
    <row r="104" spans="1:8" x14ac:dyDescent="0.25">
      <c r="A104" s="2"/>
      <c r="B104" s="2"/>
      <c r="C104" s="2"/>
      <c r="D104" s="3"/>
      <c r="F104" s="2"/>
      <c r="H104" s="1"/>
    </row>
    <row r="105" spans="1:8" x14ac:dyDescent="0.25">
      <c r="A105" s="2"/>
      <c r="B105" s="2"/>
      <c r="C105" s="2"/>
      <c r="D105" s="3"/>
      <c r="F105" s="2"/>
      <c r="H105" s="1"/>
    </row>
    <row r="106" spans="1:8" x14ac:dyDescent="0.25">
      <c r="A106" s="2"/>
      <c r="B106" s="2"/>
      <c r="C106" s="2"/>
      <c r="D106" s="3"/>
      <c r="F106" s="2"/>
      <c r="H106" s="1"/>
    </row>
    <row r="107" spans="1:8" x14ac:dyDescent="0.25">
      <c r="A107" s="2"/>
      <c r="B107" s="2"/>
      <c r="C107" s="2"/>
      <c r="D107" s="3"/>
      <c r="F107" s="2"/>
      <c r="H107" s="1"/>
    </row>
    <row r="108" spans="1:8" x14ac:dyDescent="0.25">
      <c r="A108" s="2"/>
      <c r="B108" s="2"/>
      <c r="C108" s="2"/>
      <c r="D108" s="3"/>
      <c r="F108" s="2"/>
      <c r="H108" s="1"/>
    </row>
    <row r="109" spans="1:8" x14ac:dyDescent="0.25">
      <c r="A109" s="2"/>
      <c r="B109" s="2"/>
      <c r="C109" s="2"/>
      <c r="D109" s="3"/>
      <c r="F109" s="2"/>
      <c r="H109" s="1"/>
    </row>
    <row r="110" spans="1:8" x14ac:dyDescent="0.25">
      <c r="A110" s="2"/>
      <c r="B110" s="2"/>
      <c r="C110" s="2"/>
      <c r="D110" s="3"/>
      <c r="F110" s="2"/>
      <c r="H110" s="1"/>
    </row>
    <row r="111" spans="1:8" x14ac:dyDescent="0.25">
      <c r="A111" s="2"/>
      <c r="B111" s="2"/>
      <c r="C111" s="2"/>
      <c r="D111" s="3"/>
      <c r="F111" s="2"/>
      <c r="H111" s="1"/>
    </row>
    <row r="112" spans="1:8" x14ac:dyDescent="0.25">
      <c r="A112" s="2"/>
      <c r="B112" s="2"/>
      <c r="C112" s="2"/>
      <c r="D112" s="3"/>
      <c r="F112" s="2"/>
      <c r="H112" s="1"/>
    </row>
    <row r="113" spans="1:8" x14ac:dyDescent="0.25">
      <c r="A113" s="2"/>
      <c r="B113" s="2"/>
      <c r="C113" s="2"/>
      <c r="D113" s="3"/>
      <c r="F113" s="2"/>
      <c r="H113" s="1"/>
    </row>
    <row r="114" spans="1:8" x14ac:dyDescent="0.25">
      <c r="A114" s="2"/>
      <c r="B114" s="2"/>
      <c r="C114" s="2"/>
      <c r="D114" s="3"/>
      <c r="F114" s="2"/>
      <c r="H114" s="1"/>
    </row>
    <row r="115" spans="1:8" x14ac:dyDescent="0.25">
      <c r="A115" s="2"/>
      <c r="B115" s="2"/>
      <c r="C115" s="2"/>
      <c r="D115" s="3"/>
      <c r="F115" s="2"/>
      <c r="H115" s="1"/>
    </row>
    <row r="116" spans="1:8" x14ac:dyDescent="0.25">
      <c r="A116" s="2"/>
      <c r="B116" s="2"/>
      <c r="C116" s="2"/>
      <c r="D116" s="3"/>
      <c r="F116" s="2"/>
      <c r="H116" s="1"/>
    </row>
    <row r="117" spans="1:8" x14ac:dyDescent="0.25">
      <c r="A117" s="2"/>
      <c r="B117" s="2"/>
      <c r="C117" s="2"/>
      <c r="D117" s="3"/>
      <c r="F117" s="2"/>
      <c r="H117" s="1"/>
    </row>
    <row r="118" spans="1:8" x14ac:dyDescent="0.25">
      <c r="A118" s="2"/>
      <c r="B118" s="2"/>
      <c r="C118" s="2"/>
      <c r="D118" s="3"/>
      <c r="F118" s="2"/>
      <c r="H118" s="1"/>
    </row>
    <row r="119" spans="1:8" x14ac:dyDescent="0.25">
      <c r="A119" s="2"/>
      <c r="B119" s="2"/>
      <c r="C119" s="2"/>
      <c r="D119" s="3"/>
      <c r="F119" s="2"/>
      <c r="H119" s="1"/>
    </row>
    <row r="120" spans="1:8" x14ac:dyDescent="0.25">
      <c r="A120" s="2"/>
      <c r="B120" s="2"/>
      <c r="C120" s="2"/>
      <c r="D120" s="3"/>
      <c r="F120" s="2"/>
      <c r="H120" s="1"/>
    </row>
    <row r="121" spans="1:8" x14ac:dyDescent="0.25">
      <c r="A121" s="2"/>
      <c r="B121" s="2"/>
      <c r="C121" s="2"/>
      <c r="D121" s="3"/>
      <c r="F121" s="2"/>
      <c r="H121" s="1"/>
    </row>
    <row r="122" spans="1:8" x14ac:dyDescent="0.25">
      <c r="A122" s="2"/>
      <c r="B122" s="2"/>
      <c r="C122" s="2"/>
      <c r="D122" s="3"/>
      <c r="F122" s="2"/>
      <c r="H122" s="1"/>
    </row>
    <row r="123" spans="1:8" x14ac:dyDescent="0.25">
      <c r="A123" s="2"/>
      <c r="B123" s="2"/>
      <c r="C123" s="2"/>
      <c r="D123" s="3"/>
      <c r="F123" s="2"/>
      <c r="H123" s="1"/>
    </row>
    <row r="124" spans="1:8" x14ac:dyDescent="0.25">
      <c r="A124" s="2"/>
      <c r="B124" s="2"/>
      <c r="C124" s="2"/>
      <c r="D124" s="3"/>
      <c r="F124" s="2"/>
      <c r="H124" s="1"/>
    </row>
    <row r="125" spans="1:8" x14ac:dyDescent="0.25">
      <c r="A125" s="2"/>
      <c r="B125" s="2"/>
      <c r="C125" s="2"/>
      <c r="D125" s="3"/>
      <c r="F125" s="2"/>
      <c r="H125" s="1"/>
    </row>
    <row r="126" spans="1:8" x14ac:dyDescent="0.25">
      <c r="A126" s="2"/>
      <c r="B126" s="2"/>
      <c r="C126" s="2"/>
      <c r="D126" s="3"/>
      <c r="F126" s="2"/>
      <c r="H126" s="1"/>
    </row>
    <row r="127" spans="1:8" x14ac:dyDescent="0.25">
      <c r="A127" s="2"/>
      <c r="B127" s="2"/>
      <c r="C127" s="2"/>
      <c r="D127" s="3"/>
      <c r="F127" s="2"/>
      <c r="H127" s="1"/>
    </row>
    <row r="128" spans="1:8" x14ac:dyDescent="0.25">
      <c r="A128" s="2"/>
      <c r="B128" s="2"/>
      <c r="C128" s="2"/>
      <c r="D128" s="3"/>
      <c r="F128" s="2"/>
      <c r="H128" s="1"/>
    </row>
    <row r="129" spans="1:8" x14ac:dyDescent="0.25">
      <c r="A129" s="2"/>
      <c r="B129" s="2"/>
      <c r="C129" s="2"/>
      <c r="D129" s="3"/>
      <c r="F129" s="2"/>
      <c r="H129" s="1"/>
    </row>
    <row r="130" spans="1:8" x14ac:dyDescent="0.25">
      <c r="A130" s="2"/>
      <c r="B130" s="2"/>
      <c r="C130" s="2"/>
      <c r="D130" s="3"/>
      <c r="F130" s="2"/>
      <c r="H130" s="1"/>
    </row>
    <row r="131" spans="1:8" x14ac:dyDescent="0.25">
      <c r="A131" s="2"/>
      <c r="B131" s="2"/>
      <c r="C131" s="2"/>
      <c r="D131" s="3"/>
      <c r="F131" s="2"/>
      <c r="H131" s="1"/>
    </row>
    <row r="132" spans="1:8" x14ac:dyDescent="0.25">
      <c r="A132" s="2"/>
      <c r="B132" s="2"/>
      <c r="C132" s="2"/>
      <c r="D132" s="3"/>
      <c r="F132" s="2"/>
      <c r="H132" s="1"/>
    </row>
    <row r="133" spans="1:8" x14ac:dyDescent="0.25">
      <c r="A133" s="2"/>
      <c r="B133" s="2"/>
      <c r="C133" s="2"/>
      <c r="D133" s="3"/>
      <c r="F133" s="2"/>
      <c r="H133" s="1"/>
    </row>
    <row r="134" spans="1:8" x14ac:dyDescent="0.25">
      <c r="A134" s="2"/>
      <c r="B134" s="2"/>
      <c r="C134" s="2"/>
      <c r="D134" s="3"/>
      <c r="F134" s="2"/>
      <c r="H134" s="1"/>
    </row>
    <row r="135" spans="1:8" x14ac:dyDescent="0.25">
      <c r="A135" s="2"/>
      <c r="B135" s="2"/>
      <c r="C135" s="2"/>
      <c r="D135" s="3"/>
      <c r="F135" s="2"/>
      <c r="H135" s="1"/>
    </row>
    <row r="136" spans="1:8" x14ac:dyDescent="0.25">
      <c r="A136" s="2"/>
      <c r="B136" s="2"/>
      <c r="C136" s="2"/>
      <c r="D136" s="3"/>
      <c r="F136" s="2"/>
      <c r="H136" s="1"/>
    </row>
    <row r="137" spans="1:8" x14ac:dyDescent="0.25">
      <c r="A137" s="2"/>
      <c r="B137" s="2"/>
      <c r="C137" s="2"/>
      <c r="D137" s="3"/>
      <c r="F137" s="2"/>
      <c r="H137" s="1"/>
    </row>
    <row r="138" spans="1:8" x14ac:dyDescent="0.25">
      <c r="A138" s="2"/>
      <c r="B138" s="2"/>
      <c r="C138" s="2"/>
      <c r="D138" s="3"/>
      <c r="F138" s="2"/>
      <c r="H138" s="1"/>
    </row>
    <row r="139" spans="1:8" x14ac:dyDescent="0.25">
      <c r="A139" s="2"/>
      <c r="B139" s="2"/>
      <c r="C139" s="2"/>
      <c r="D139" s="3"/>
      <c r="F139" s="2"/>
      <c r="H139" s="1"/>
    </row>
    <row r="140" spans="1:8" x14ac:dyDescent="0.25">
      <c r="A140" s="2"/>
      <c r="B140" s="2"/>
      <c r="C140" s="2"/>
      <c r="D140" s="3"/>
      <c r="F140" s="2"/>
      <c r="H140" s="1"/>
    </row>
    <row r="141" spans="1:8" x14ac:dyDescent="0.25">
      <c r="A141" s="2"/>
      <c r="B141" s="2"/>
      <c r="C141" s="2"/>
      <c r="D141" s="3"/>
      <c r="F141" s="2"/>
      <c r="H141" s="1"/>
    </row>
    <row r="142" spans="1:8" x14ac:dyDescent="0.25">
      <c r="A142" s="2"/>
      <c r="B142" s="2"/>
      <c r="C142" s="2"/>
      <c r="D142" s="3"/>
      <c r="F142" s="2"/>
      <c r="H142" s="1"/>
    </row>
    <row r="143" spans="1:8" x14ac:dyDescent="0.25">
      <c r="A143" s="2"/>
      <c r="B143" s="2"/>
      <c r="C143" s="2"/>
      <c r="D143" s="3"/>
      <c r="F143" s="2"/>
      <c r="H143" s="1"/>
    </row>
    <row r="144" spans="1:8" x14ac:dyDescent="0.25">
      <c r="A144" s="2"/>
      <c r="B144" s="2"/>
      <c r="C144" s="2"/>
      <c r="D144" s="3"/>
      <c r="F144" s="2"/>
      <c r="H144" s="1"/>
    </row>
    <row r="145" spans="1:8" x14ac:dyDescent="0.25">
      <c r="A145" s="2"/>
      <c r="B145" s="2"/>
      <c r="C145" s="2"/>
      <c r="D145" s="3"/>
      <c r="F145" s="2"/>
      <c r="H145" s="1"/>
    </row>
    <row r="146" spans="1:8" x14ac:dyDescent="0.25">
      <c r="A146" s="2"/>
      <c r="B146" s="2"/>
      <c r="C146" s="2"/>
      <c r="D146" s="3"/>
      <c r="F146" s="2"/>
      <c r="H146" s="1"/>
    </row>
    <row r="147" spans="1:8" x14ac:dyDescent="0.25">
      <c r="A147" s="2"/>
      <c r="B147" s="2"/>
      <c r="C147" s="2"/>
      <c r="D147" s="3"/>
      <c r="F147" s="2"/>
      <c r="H147" s="1"/>
    </row>
    <row r="148" spans="1:8" x14ac:dyDescent="0.25">
      <c r="A148" s="2"/>
      <c r="B148" s="2"/>
      <c r="C148" s="2"/>
      <c r="D148" s="3"/>
      <c r="F148" s="2"/>
      <c r="H148" s="1"/>
    </row>
    <row r="149" spans="1:8" x14ac:dyDescent="0.25">
      <c r="A149" s="2"/>
      <c r="B149" s="2"/>
      <c r="C149" s="2"/>
      <c r="D149" s="3"/>
      <c r="F149" s="2"/>
      <c r="H149" s="1"/>
    </row>
    <row r="150" spans="1:8" x14ac:dyDescent="0.25">
      <c r="A150" s="2"/>
      <c r="B150" s="2"/>
      <c r="C150" s="2"/>
      <c r="D150" s="3"/>
      <c r="F150" s="2"/>
      <c r="H150" s="1"/>
    </row>
    <row r="151" spans="1:8" x14ac:dyDescent="0.25">
      <c r="A151" s="2"/>
      <c r="B151" s="2"/>
      <c r="C151" s="2"/>
      <c r="D151" s="3"/>
      <c r="F151" s="2"/>
      <c r="H151" s="1"/>
    </row>
    <row r="152" spans="1:8" x14ac:dyDescent="0.25">
      <c r="A152" s="2"/>
      <c r="B152" s="2"/>
      <c r="C152" s="2"/>
      <c r="D152" s="3"/>
      <c r="F152" s="2"/>
      <c r="H152" s="1"/>
    </row>
    <row r="153" spans="1:8" x14ac:dyDescent="0.25">
      <c r="A153" s="2"/>
      <c r="B153" s="2"/>
      <c r="C153" s="2"/>
      <c r="D153" s="3"/>
      <c r="F153" s="2"/>
      <c r="H153" s="1"/>
    </row>
    <row r="154" spans="1:8" x14ac:dyDescent="0.25">
      <c r="A154" s="2"/>
      <c r="B154" s="2"/>
      <c r="C154" s="2"/>
      <c r="D154" s="3"/>
      <c r="F154" s="2"/>
      <c r="H154" s="1"/>
    </row>
    <row r="155" spans="1:8" x14ac:dyDescent="0.25">
      <c r="A155" s="2"/>
      <c r="B155" s="2"/>
      <c r="C155" s="2"/>
      <c r="D155" s="3"/>
      <c r="F155" s="2"/>
      <c r="H155" s="1"/>
    </row>
    <row r="156" spans="1:8" x14ac:dyDescent="0.25">
      <c r="A156" s="2"/>
      <c r="B156" s="2"/>
      <c r="C156" s="2"/>
      <c r="D156" s="3"/>
      <c r="F156" s="2"/>
      <c r="H156" s="1"/>
    </row>
    <row r="157" spans="1:8" x14ac:dyDescent="0.25">
      <c r="A157" s="2"/>
      <c r="B157" s="2"/>
      <c r="C157" s="2"/>
      <c r="D157" s="3"/>
      <c r="F157" s="2"/>
      <c r="H157" s="1"/>
    </row>
    <row r="158" spans="1:8" x14ac:dyDescent="0.25">
      <c r="A158" s="2"/>
      <c r="B158" s="2"/>
      <c r="C158" s="2"/>
      <c r="D158" s="3"/>
      <c r="F158" s="2"/>
      <c r="H158" s="1"/>
    </row>
    <row r="159" spans="1:8" x14ac:dyDescent="0.25">
      <c r="A159" s="2"/>
      <c r="B159" s="2"/>
      <c r="C159" s="2"/>
      <c r="D159" s="3"/>
      <c r="F159" s="2"/>
      <c r="H159" s="1"/>
    </row>
    <row r="160" spans="1:8" x14ac:dyDescent="0.25">
      <c r="A160" s="2"/>
      <c r="B160" s="2"/>
      <c r="C160" s="2"/>
      <c r="D160" s="3"/>
      <c r="F160" s="2"/>
      <c r="H160" s="1"/>
    </row>
    <row r="161" spans="1:8" x14ac:dyDescent="0.25">
      <c r="A161" s="2"/>
      <c r="B161" s="2"/>
      <c r="C161" s="2"/>
      <c r="D161" s="3"/>
      <c r="F161" s="2"/>
      <c r="H161" s="1"/>
    </row>
    <row r="162" spans="1:8" x14ac:dyDescent="0.25">
      <c r="A162" s="2"/>
      <c r="B162" s="2"/>
      <c r="C162" s="2"/>
      <c r="D162" s="3"/>
      <c r="F162" s="2"/>
      <c r="H162" s="1"/>
    </row>
    <row r="163" spans="1:8" x14ac:dyDescent="0.25">
      <c r="A163" s="2"/>
      <c r="B163" s="2"/>
      <c r="C163" s="2"/>
      <c r="D163" s="3"/>
      <c r="F163" s="2"/>
      <c r="H163" s="1"/>
    </row>
    <row r="164" spans="1:8" x14ac:dyDescent="0.25">
      <c r="A164" s="2"/>
      <c r="B164" s="2"/>
      <c r="C164" s="2"/>
      <c r="D164" s="3"/>
      <c r="F164" s="2"/>
      <c r="H164" s="1"/>
    </row>
    <row r="165" spans="1:8" x14ac:dyDescent="0.25">
      <c r="A165" s="2"/>
      <c r="B165" s="2"/>
      <c r="C165" s="2"/>
      <c r="D165" s="3"/>
      <c r="F165" s="2"/>
      <c r="H165" s="1"/>
    </row>
    <row r="166" spans="1:8" x14ac:dyDescent="0.25">
      <c r="A166" s="2"/>
      <c r="B166" s="2"/>
      <c r="C166" s="2"/>
      <c r="D166" s="3"/>
      <c r="F166" s="2"/>
      <c r="H166" s="1"/>
    </row>
    <row r="167" spans="1:8" x14ac:dyDescent="0.25">
      <c r="A167" s="2"/>
      <c r="B167" s="2"/>
      <c r="C167" s="2"/>
      <c r="D167" s="3"/>
      <c r="F167" s="2"/>
      <c r="H167" s="1"/>
    </row>
    <row r="168" spans="1:8" x14ac:dyDescent="0.25">
      <c r="A168" s="2"/>
      <c r="B168" s="2"/>
      <c r="C168" s="2"/>
      <c r="D168" s="3"/>
      <c r="F168" s="2"/>
      <c r="H168" s="1"/>
    </row>
    <row r="169" spans="1:8" x14ac:dyDescent="0.25">
      <c r="A169" s="2"/>
      <c r="B169" s="2"/>
      <c r="C169" s="2"/>
      <c r="D169" s="3"/>
      <c r="F169" s="2"/>
      <c r="H169" s="1"/>
    </row>
    <row r="170" spans="1:8" x14ac:dyDescent="0.25">
      <c r="A170" s="2"/>
      <c r="B170" s="2"/>
      <c r="C170" s="2"/>
      <c r="D170" s="3"/>
      <c r="F170" s="2"/>
      <c r="H170" s="1"/>
    </row>
    <row r="171" spans="1:8" x14ac:dyDescent="0.25">
      <c r="A171" s="2"/>
      <c r="B171" s="2"/>
      <c r="C171" s="2"/>
      <c r="D171" s="3"/>
      <c r="F171" s="2"/>
      <c r="H171" s="1"/>
    </row>
    <row r="172" spans="1:8" x14ac:dyDescent="0.25">
      <c r="A172" s="2"/>
      <c r="B172" s="2"/>
      <c r="C172" s="2"/>
      <c r="D172" s="3"/>
      <c r="F172" s="2"/>
      <c r="H172" s="1"/>
    </row>
    <row r="173" spans="1:8" x14ac:dyDescent="0.25">
      <c r="A173" s="2"/>
      <c r="B173" s="2"/>
      <c r="C173" s="2"/>
      <c r="D173" s="3"/>
      <c r="F173" s="2"/>
      <c r="H173" s="1"/>
    </row>
    <row r="174" spans="1:8" x14ac:dyDescent="0.25">
      <c r="A174" s="2"/>
      <c r="B174" s="2"/>
      <c r="C174" s="2"/>
      <c r="D174" s="3"/>
      <c r="F174" s="2"/>
      <c r="H174" s="1"/>
    </row>
    <row r="175" spans="1:8" x14ac:dyDescent="0.25">
      <c r="A175" s="2"/>
      <c r="B175" s="2"/>
      <c r="C175" s="2"/>
      <c r="D175" s="3"/>
      <c r="F175" s="2"/>
      <c r="H175" s="1"/>
    </row>
    <row r="176" spans="1:8" x14ac:dyDescent="0.25">
      <c r="A176" s="2"/>
      <c r="B176" s="2"/>
      <c r="C176" s="2"/>
      <c r="D176" s="3"/>
      <c r="F176" s="2"/>
      <c r="H176" s="1"/>
    </row>
    <row r="177" spans="1:8" x14ac:dyDescent="0.25">
      <c r="A177" s="2"/>
      <c r="B177" s="2"/>
      <c r="C177" s="2"/>
      <c r="D177" s="3"/>
      <c r="F177" s="2"/>
      <c r="H177" s="1"/>
    </row>
    <row r="178" spans="1:8" x14ac:dyDescent="0.25">
      <c r="A178" s="2"/>
      <c r="B178" s="2"/>
      <c r="C178" s="2"/>
      <c r="D178" s="3"/>
      <c r="F178" s="2"/>
      <c r="H178" s="1"/>
    </row>
    <row r="179" spans="1:8" x14ac:dyDescent="0.25">
      <c r="A179" s="2"/>
      <c r="B179" s="2"/>
      <c r="C179" s="2"/>
      <c r="D179" s="3"/>
      <c r="F179" s="2"/>
      <c r="H179" s="1"/>
    </row>
    <row r="180" spans="1:8" x14ac:dyDescent="0.25">
      <c r="A180" s="2"/>
      <c r="B180" s="2"/>
      <c r="C180" s="2"/>
      <c r="D180" s="3"/>
      <c r="F180" s="2"/>
      <c r="H180" s="1"/>
    </row>
    <row r="181" spans="1:8" x14ac:dyDescent="0.25">
      <c r="A181" s="2"/>
      <c r="B181" s="2"/>
      <c r="C181" s="2"/>
      <c r="D181" s="3"/>
      <c r="F181" s="2"/>
      <c r="H181" s="1"/>
    </row>
    <row r="182" spans="1:8" x14ac:dyDescent="0.25">
      <c r="A182" s="2"/>
      <c r="B182" s="2"/>
      <c r="C182" s="2"/>
      <c r="D182" s="3"/>
      <c r="F182" s="2"/>
      <c r="H182" s="1"/>
    </row>
    <row r="183" spans="1:8" x14ac:dyDescent="0.25">
      <c r="A183" s="2"/>
      <c r="B183" s="2"/>
      <c r="C183" s="2"/>
      <c r="D183" s="3"/>
      <c r="F183" s="2"/>
      <c r="H183" s="1"/>
    </row>
    <row r="184" spans="1:8" x14ac:dyDescent="0.25">
      <c r="A184" s="2"/>
      <c r="B184" s="2"/>
      <c r="C184" s="2"/>
      <c r="D184" s="3"/>
      <c r="F184" s="2"/>
      <c r="H184" s="1"/>
    </row>
    <row r="185" spans="1:8" x14ac:dyDescent="0.25">
      <c r="A185" s="2"/>
      <c r="B185" s="2"/>
      <c r="C185" s="2"/>
      <c r="D185" s="3"/>
      <c r="F185" s="2"/>
      <c r="H185" s="1"/>
    </row>
    <row r="186" spans="1:8" x14ac:dyDescent="0.25">
      <c r="A186" s="2"/>
      <c r="B186" s="2"/>
      <c r="C186" s="2"/>
      <c r="D186" s="3"/>
      <c r="F186" s="2"/>
      <c r="H186" s="1"/>
    </row>
    <row r="187" spans="1:8" x14ac:dyDescent="0.25">
      <c r="A187" s="2"/>
      <c r="B187" s="2"/>
      <c r="C187" s="2"/>
      <c r="D187" s="3"/>
      <c r="F187" s="2"/>
      <c r="H187" s="1"/>
    </row>
    <row r="188" spans="1:8" x14ac:dyDescent="0.25">
      <c r="A188" s="2"/>
      <c r="B188" s="2"/>
      <c r="C188" s="2"/>
      <c r="D188" s="3"/>
      <c r="F188" s="2"/>
      <c r="H188" s="1"/>
    </row>
    <row r="189" spans="1:8" x14ac:dyDescent="0.25">
      <c r="A189" s="2"/>
      <c r="B189" s="2"/>
      <c r="C189" s="2"/>
      <c r="D189" s="3"/>
      <c r="F189" s="2"/>
      <c r="H189" s="1"/>
    </row>
    <row r="190" spans="1:8" x14ac:dyDescent="0.25">
      <c r="A190" s="2"/>
      <c r="B190" s="2"/>
      <c r="C190" s="2"/>
      <c r="D190" s="3"/>
      <c r="F190" s="2"/>
      <c r="H190" s="1"/>
    </row>
    <row r="191" spans="1:8" x14ac:dyDescent="0.25">
      <c r="A191" s="2"/>
      <c r="B191" s="2"/>
      <c r="C191" s="2"/>
      <c r="D191" s="3"/>
      <c r="F191" s="2"/>
      <c r="H191" s="1"/>
    </row>
    <row r="192" spans="1:8" x14ac:dyDescent="0.25">
      <c r="A192" s="2"/>
      <c r="B192" s="2"/>
      <c r="C192" s="2"/>
      <c r="D192" s="3"/>
      <c r="F192" s="2"/>
      <c r="H192" s="1"/>
    </row>
    <row r="193" spans="1:8" x14ac:dyDescent="0.25">
      <c r="A193" s="2"/>
      <c r="B193" s="2"/>
      <c r="C193" s="2"/>
      <c r="D193" s="3"/>
      <c r="F193" s="2"/>
      <c r="H193" s="1"/>
    </row>
    <row r="194" spans="1:8" x14ac:dyDescent="0.25">
      <c r="A194" s="2"/>
      <c r="B194" s="2"/>
      <c r="C194" s="2"/>
      <c r="D194" s="3"/>
      <c r="F194" s="2"/>
      <c r="H194" s="1"/>
    </row>
    <row r="195" spans="1:8" x14ac:dyDescent="0.25">
      <c r="A195" s="2"/>
      <c r="B195" s="2"/>
      <c r="C195" s="2"/>
      <c r="D195" s="3"/>
      <c r="F195" s="2"/>
      <c r="H195" s="1"/>
    </row>
    <row r="196" spans="1:8" x14ac:dyDescent="0.25">
      <c r="A196" s="2"/>
      <c r="B196" s="2"/>
      <c r="C196" s="2"/>
      <c r="D196" s="3"/>
      <c r="F196" s="2"/>
      <c r="H196" s="1"/>
    </row>
    <row r="197" spans="1:8" x14ac:dyDescent="0.25">
      <c r="A197" s="2"/>
      <c r="B197" s="2"/>
      <c r="C197" s="2"/>
      <c r="D197" s="3"/>
      <c r="F197" s="2"/>
      <c r="H197" s="1"/>
    </row>
    <row r="198" spans="1:8" x14ac:dyDescent="0.25">
      <c r="A198" s="2"/>
      <c r="B198" s="2"/>
      <c r="C198" s="2"/>
      <c r="D198" s="3"/>
      <c r="F198" s="2"/>
      <c r="H198" s="1"/>
    </row>
    <row r="199" spans="1:8" x14ac:dyDescent="0.25">
      <c r="A199" s="2"/>
      <c r="B199" s="2"/>
      <c r="C199" s="2"/>
      <c r="D199" s="3"/>
      <c r="F199" s="2"/>
      <c r="H199" s="1"/>
    </row>
    <row r="200" spans="1:8" x14ac:dyDescent="0.25">
      <c r="A200" s="2"/>
      <c r="B200" s="2"/>
      <c r="C200" s="2"/>
      <c r="D200" s="3"/>
      <c r="F200" s="2"/>
      <c r="H200" s="1"/>
    </row>
    <row r="201" spans="1:8" x14ac:dyDescent="0.25">
      <c r="A201" s="2"/>
      <c r="B201" s="2"/>
      <c r="C201" s="2"/>
      <c r="D201" s="3"/>
      <c r="F201" s="2"/>
      <c r="H201" s="1"/>
    </row>
    <row r="202" spans="1:8" x14ac:dyDescent="0.25">
      <c r="A202" s="2"/>
      <c r="B202" s="2"/>
      <c r="C202" s="2"/>
      <c r="D202" s="3"/>
      <c r="F202" s="2"/>
      <c r="H202" s="1"/>
    </row>
    <row r="203" spans="1:8" x14ac:dyDescent="0.25">
      <c r="A203" s="2"/>
      <c r="B203" s="2"/>
      <c r="C203" s="2"/>
      <c r="D203" s="3"/>
      <c r="F203" s="2"/>
      <c r="H203" s="1"/>
    </row>
    <row r="204" spans="1:8" x14ac:dyDescent="0.25">
      <c r="A204" s="2"/>
      <c r="B204" s="2"/>
      <c r="C204" s="2"/>
      <c r="D204" s="3"/>
      <c r="F204" s="2"/>
      <c r="H204" s="1"/>
    </row>
    <row r="205" spans="1:8" x14ac:dyDescent="0.25">
      <c r="A205" s="2"/>
      <c r="B205" s="2"/>
      <c r="C205" s="2"/>
      <c r="D205" s="3"/>
      <c r="F205" s="2"/>
      <c r="H205" s="1"/>
    </row>
    <row r="206" spans="1:8" x14ac:dyDescent="0.25">
      <c r="A206" s="2"/>
      <c r="B206" s="2"/>
      <c r="C206" s="2"/>
      <c r="D206" s="3"/>
      <c r="F206" s="2"/>
      <c r="H206" s="1"/>
    </row>
    <row r="207" spans="1:8" x14ac:dyDescent="0.25">
      <c r="A207" s="2"/>
      <c r="B207" s="2"/>
      <c r="C207" s="2"/>
      <c r="D207" s="3"/>
      <c r="F207" s="2"/>
      <c r="H207" s="1"/>
    </row>
    <row r="208" spans="1:8" x14ac:dyDescent="0.25">
      <c r="A208" s="2"/>
      <c r="B208" s="2"/>
      <c r="C208" s="2"/>
      <c r="D208" s="3"/>
      <c r="F208" s="2"/>
      <c r="H208" s="1"/>
    </row>
    <row r="209" spans="1:8" x14ac:dyDescent="0.25">
      <c r="A209" s="2"/>
      <c r="B209" s="2"/>
      <c r="C209" s="2"/>
      <c r="D209" s="3"/>
      <c r="F209" s="2"/>
      <c r="H209" s="1"/>
    </row>
    <row r="210" spans="1:8" x14ac:dyDescent="0.25">
      <c r="A210" s="2"/>
      <c r="B210" s="2"/>
      <c r="C210" s="2"/>
      <c r="D210" s="3"/>
      <c r="F210" s="2"/>
      <c r="H210" s="1"/>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showInputMessage="1" showErrorMessage="1" xr:uid="{4318044F-257E-4046-A292-ACFE7E40DCB4}">
          <x14:formula1>
            <xm:f>'99_Lookups'!$Q$2:$Q$5</xm:f>
          </x14:formula1>
          <xm:sqref>D2:D210</xm:sqref>
        </x14:dataValidation>
        <x14:dataValidation type="list" showErrorMessage="1" xr:uid="{38C9CCAC-A8FD-4817-A813-A1EBF4030D40}">
          <x14:formula1>
            <xm:f>'99_Lookups'!$K$2:$K$4</xm:f>
          </x14:formula1>
          <xm:sqref>H2:H210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38086-3DE8-4CA0-B49E-AA8E638C5565}">
  <dimension ref="A1:G41"/>
  <sheetViews>
    <sheetView workbookViewId="0">
      <selection activeCell="F2" sqref="F2"/>
    </sheetView>
  </sheetViews>
  <sheetFormatPr baseColWidth="10" defaultRowHeight="15" x14ac:dyDescent="0.25"/>
  <cols>
    <col min="1" max="1" width="13.85546875" customWidth="1"/>
    <col min="2" max="2" width="17" customWidth="1"/>
    <col min="3" max="3" width="19.42578125" customWidth="1"/>
    <col min="4" max="4" width="19.85546875" customWidth="1"/>
    <col min="5" max="5" width="24.7109375" bestFit="1" customWidth="1"/>
    <col min="6" max="6" width="17.28515625" customWidth="1"/>
    <col min="7" max="7" width="17.42578125" customWidth="1"/>
    <col min="10" max="10" width="20" customWidth="1"/>
  </cols>
  <sheetData>
    <row r="1" spans="1:7" x14ac:dyDescent="0.25">
      <c r="A1" t="s">
        <v>0</v>
      </c>
      <c r="B1" t="s">
        <v>3</v>
      </c>
      <c r="C1" t="s">
        <v>48</v>
      </c>
      <c r="D1" t="s">
        <v>49</v>
      </c>
      <c r="E1" t="s">
        <v>50</v>
      </c>
      <c r="F1" t="s">
        <v>51</v>
      </c>
      <c r="G1" t="s">
        <v>52</v>
      </c>
    </row>
    <row r="2" spans="1:7" x14ac:dyDescent="0.25">
      <c r="C2">
        <f>SUMIF(Tabelle18[[#This Row],[value_points_company]],Tabelle5[[#This Row],[company_id]],Tabelle8[[#This Row],[company_id]])</f>
        <v>0</v>
      </c>
      <c r="D2">
        <f>(COUNTA('02_Values_Codebook'!A:A)-1)*3</f>
        <v>54</v>
      </c>
      <c r="E2">
        <f>Tabelle8[[#This Row],[values_raw_points]]/Tabelle8[[#This Row],[values_max_points]]</f>
        <v>0</v>
      </c>
      <c r="F2">
        <f>SUMIF(Tabelle7[[#This Row],[score_0_3]],Tabelle7[[#This Row],[company_id]],Tabelle8[[#This Row],[company_id]])</f>
        <v>0</v>
      </c>
      <c r="G2">
        <f xml:space="preserve"> (Tabelle8[[#This Row],[gov_points_sum]]/21)*100</f>
        <v>0</v>
      </c>
    </row>
    <row r="3" spans="1:7" x14ac:dyDescent="0.25">
      <c r="C3">
        <f>SUMIF(Tabelle18[[#This Row],[value_points_company]],Tabelle5[[#This Row],[company_id]],Tabelle8[[#This Row],[company_id]])</f>
        <v>0</v>
      </c>
      <c r="D3">
        <f>(COUNTA('02_Values_Codebook'!A:A)-1)*3</f>
        <v>54</v>
      </c>
      <c r="E3">
        <f>Tabelle8[[#This Row],[values_raw_points]]/Tabelle8[[#This Row],[values_max_points]]</f>
        <v>0</v>
      </c>
      <c r="F3">
        <f>SUMIF(Tabelle7[[#This Row],[score_0_3]],Tabelle7[[#This Row],[company_id]],Tabelle8[[#This Row],[company_id]])</f>
        <v>0</v>
      </c>
      <c r="G3">
        <f xml:space="preserve"> (Tabelle8[[#This Row],[gov_points_sum]]/21)*100</f>
        <v>0</v>
      </c>
    </row>
    <row r="4" spans="1:7" x14ac:dyDescent="0.25">
      <c r="C4">
        <f>SUMIF(Tabelle18[[#This Row],[value_points_company]],Tabelle5[[#This Row],[company_id]],Tabelle8[[#This Row],[company_id]])</f>
        <v>0</v>
      </c>
      <c r="D4">
        <f>(COUNTA('02_Values_Codebook'!A:A)-1)*3</f>
        <v>54</v>
      </c>
      <c r="E4">
        <f>Tabelle8[[#This Row],[values_raw_points]]/Tabelle8[[#This Row],[values_max_points]]</f>
        <v>0</v>
      </c>
      <c r="F4">
        <f>SUMIF(Tabelle7[[#This Row],[score_0_3]],Tabelle7[[#This Row],[company_id]],Tabelle8[[#This Row],[company_id]])</f>
        <v>0</v>
      </c>
      <c r="G4">
        <f xml:space="preserve"> (Tabelle8[[#This Row],[gov_points_sum]]/21)*100</f>
        <v>0</v>
      </c>
    </row>
    <row r="5" spans="1:7" x14ac:dyDescent="0.25">
      <c r="C5">
        <f>SUMIF(Tabelle18[[#This Row],[value_points_company]],Tabelle5[[#This Row],[company_id]],Tabelle8[[#This Row],[company_id]])</f>
        <v>0</v>
      </c>
      <c r="D5">
        <f>(COUNTA('02_Values_Codebook'!A:A)-1)*3</f>
        <v>54</v>
      </c>
      <c r="E5">
        <f>Tabelle8[[#This Row],[values_raw_points]]/Tabelle8[[#This Row],[values_max_points]]</f>
        <v>0</v>
      </c>
      <c r="F5">
        <f>SUMIF(Tabelle7[[#This Row],[score_0_3]],Tabelle7[[#This Row],[company_id]],Tabelle8[[#This Row],[company_id]])</f>
        <v>0</v>
      </c>
      <c r="G5">
        <f xml:space="preserve"> (Tabelle8[[#This Row],[gov_points_sum]]/21)*100</f>
        <v>0</v>
      </c>
    </row>
    <row r="6" spans="1:7" x14ac:dyDescent="0.25">
      <c r="C6">
        <f>SUMIF(Tabelle18[[#This Row],[value_points_company]],Tabelle5[[#This Row],[company_id]],Tabelle8[[#This Row],[company_id]])</f>
        <v>0</v>
      </c>
      <c r="D6">
        <f>(COUNTA('02_Values_Codebook'!A:A)-1)*3</f>
        <v>54</v>
      </c>
      <c r="E6">
        <f>Tabelle8[[#This Row],[values_raw_points]]/Tabelle8[[#This Row],[values_max_points]]</f>
        <v>0</v>
      </c>
      <c r="F6">
        <f>SUMIF(Tabelle7[[#This Row],[score_0_3]],Tabelle7[[#This Row],[company_id]],Tabelle8[[#This Row],[company_id]])</f>
        <v>0</v>
      </c>
      <c r="G6">
        <f xml:space="preserve"> (Tabelle8[[#This Row],[gov_points_sum]]/21)*100</f>
        <v>0</v>
      </c>
    </row>
    <row r="7" spans="1:7" x14ac:dyDescent="0.25">
      <c r="C7">
        <f>SUMIF(Tabelle18[[#This Row],[value_points_company]],Tabelle5[[#This Row],[company_id]],Tabelle8[[#This Row],[company_id]])</f>
        <v>0</v>
      </c>
      <c r="D7">
        <f>(COUNTA('02_Values_Codebook'!A:A)-1)*3</f>
        <v>54</v>
      </c>
      <c r="E7">
        <f>Tabelle8[[#This Row],[values_raw_points]]/Tabelle8[[#This Row],[values_max_points]]</f>
        <v>0</v>
      </c>
      <c r="F7">
        <f>SUMIF(Tabelle7[[#This Row],[score_0_3]],Tabelle7[[#This Row],[company_id]],Tabelle8[[#This Row],[company_id]])</f>
        <v>0</v>
      </c>
      <c r="G7">
        <f xml:space="preserve"> (Tabelle8[[#This Row],[gov_points_sum]]/21)*100</f>
        <v>0</v>
      </c>
    </row>
    <row r="8" spans="1:7" x14ac:dyDescent="0.25">
      <c r="C8">
        <f>SUMIF(Tabelle18[[#This Row],[value_points_company]],Tabelle5[[#This Row],[company_id]],Tabelle8[[#This Row],[company_id]])</f>
        <v>0</v>
      </c>
      <c r="D8">
        <f>(COUNTA('02_Values_Codebook'!A:A)-1)*3</f>
        <v>54</v>
      </c>
      <c r="E8">
        <f>Tabelle8[[#This Row],[values_raw_points]]/Tabelle8[[#This Row],[values_max_points]]</f>
        <v>0</v>
      </c>
      <c r="F8">
        <f>SUMIF(Tabelle7[[#This Row],[score_0_3]],Tabelle7[[#This Row],[company_id]],Tabelle8[[#This Row],[company_id]])</f>
        <v>0</v>
      </c>
      <c r="G8">
        <f xml:space="preserve"> (Tabelle8[[#This Row],[gov_points_sum]]/21)*100</f>
        <v>0</v>
      </c>
    </row>
    <row r="9" spans="1:7" x14ac:dyDescent="0.25">
      <c r="C9">
        <f>SUMIF(Tabelle18[[#This Row],[value_points_company]],Tabelle5[[#This Row],[company_id]],Tabelle8[[#This Row],[company_id]])</f>
        <v>0</v>
      </c>
      <c r="D9">
        <f>(COUNTA('02_Values_Codebook'!A:A)-1)*3</f>
        <v>54</v>
      </c>
      <c r="E9">
        <f>Tabelle8[[#This Row],[values_raw_points]]/Tabelle8[[#This Row],[values_max_points]]</f>
        <v>0</v>
      </c>
      <c r="F9">
        <f>SUMIF(Tabelle7[[#This Row],[score_0_3]],Tabelle7[[#This Row],[company_id]],Tabelle8[[#This Row],[company_id]])</f>
        <v>0</v>
      </c>
      <c r="G9">
        <f xml:space="preserve"> (Tabelle8[[#This Row],[gov_points_sum]]/21)*100</f>
        <v>0</v>
      </c>
    </row>
    <row r="10" spans="1:7" x14ac:dyDescent="0.25">
      <c r="C10">
        <f>SUMIF(Tabelle18[[#This Row],[value_points_company]],Tabelle5[[#This Row],[company_id]],Tabelle8[[#This Row],[company_id]])</f>
        <v>0</v>
      </c>
      <c r="D10">
        <f>(COUNTA('02_Values_Codebook'!A:A)-1)*3</f>
        <v>54</v>
      </c>
      <c r="E10">
        <f>Tabelle8[[#This Row],[values_raw_points]]/Tabelle8[[#This Row],[values_max_points]]</f>
        <v>0</v>
      </c>
      <c r="F10">
        <f>SUMIF(Tabelle7[[#This Row],[score_0_3]],Tabelle7[[#This Row],[company_id]],Tabelle8[[#This Row],[company_id]])</f>
        <v>0</v>
      </c>
      <c r="G10">
        <f xml:space="preserve"> (Tabelle8[[#This Row],[gov_points_sum]]/21)*100</f>
        <v>0</v>
      </c>
    </row>
    <row r="11" spans="1:7" x14ac:dyDescent="0.25">
      <c r="C11">
        <f>SUMIF(Tabelle18[[#This Row],[value_points_company]],Tabelle5[[#This Row],[company_id]],Tabelle8[[#This Row],[company_id]])</f>
        <v>0</v>
      </c>
      <c r="D11">
        <f>(COUNTA('02_Values_Codebook'!A:A)-1)*3</f>
        <v>54</v>
      </c>
      <c r="E11">
        <f>Tabelle8[[#This Row],[values_raw_points]]/Tabelle8[[#This Row],[values_max_points]]</f>
        <v>0</v>
      </c>
      <c r="F11">
        <f>SUMIF(Tabelle7[[#This Row],[score_0_3]],Tabelle7[[#This Row],[company_id]],Tabelle8[[#This Row],[company_id]])</f>
        <v>0</v>
      </c>
      <c r="G11">
        <f xml:space="preserve"> (Tabelle8[[#This Row],[gov_points_sum]]/21)*100</f>
        <v>0</v>
      </c>
    </row>
    <row r="12" spans="1:7" x14ac:dyDescent="0.25">
      <c r="C12">
        <f>SUMIF(Tabelle18[[#This Row],[value_points_company]],Tabelle5[[#This Row],[company_id]],Tabelle8[[#This Row],[company_id]])</f>
        <v>0</v>
      </c>
      <c r="D12">
        <f>(COUNTA('02_Values_Codebook'!A:A)-1)*3</f>
        <v>54</v>
      </c>
      <c r="E12">
        <f>Tabelle8[[#This Row],[values_raw_points]]/Tabelle8[[#This Row],[values_max_points]]</f>
        <v>0</v>
      </c>
      <c r="F12">
        <f>SUMIF(Tabelle7[[#This Row],[score_0_3]],Tabelle7[[#This Row],[company_id]],Tabelle8[[#This Row],[company_id]])</f>
        <v>0</v>
      </c>
      <c r="G12">
        <f xml:space="preserve"> (Tabelle8[[#This Row],[gov_points_sum]]/21)*100</f>
        <v>0</v>
      </c>
    </row>
    <row r="13" spans="1:7" x14ac:dyDescent="0.25">
      <c r="C13">
        <f>SUMIF(Tabelle18[[#This Row],[value_points_company]],Tabelle5[[#This Row],[company_id]],Tabelle8[[#This Row],[company_id]])</f>
        <v>0</v>
      </c>
      <c r="D13">
        <f>(COUNTA('02_Values_Codebook'!A:A)-1)*3</f>
        <v>54</v>
      </c>
      <c r="E13">
        <f>Tabelle8[[#This Row],[values_raw_points]]/Tabelle8[[#This Row],[values_max_points]]</f>
        <v>0</v>
      </c>
      <c r="F13">
        <f>SUMIF(Tabelle7[[#This Row],[score_0_3]],Tabelle7[[#This Row],[company_id]],Tabelle8[[#This Row],[company_id]])</f>
        <v>0</v>
      </c>
      <c r="G13">
        <f xml:space="preserve"> (Tabelle8[[#This Row],[gov_points_sum]]/21)*100</f>
        <v>0</v>
      </c>
    </row>
    <row r="14" spans="1:7" x14ac:dyDescent="0.25">
      <c r="C14">
        <f>SUMIF(Tabelle18[[#This Row],[value_points_company]],Tabelle5[[#This Row],[company_id]],Tabelle8[[#This Row],[company_id]])</f>
        <v>0</v>
      </c>
      <c r="D14">
        <f>(COUNTA('02_Values_Codebook'!A:A)-1)*3</f>
        <v>54</v>
      </c>
      <c r="E14">
        <f>Tabelle8[[#This Row],[values_raw_points]]/Tabelle8[[#This Row],[values_max_points]]</f>
        <v>0</v>
      </c>
      <c r="F14">
        <f>SUMIF(Tabelle7[[#This Row],[score_0_3]],Tabelle7[[#This Row],[company_id]],Tabelle8[[#This Row],[company_id]])</f>
        <v>0</v>
      </c>
      <c r="G14">
        <f xml:space="preserve"> (Tabelle8[[#This Row],[gov_points_sum]]/21)*100</f>
        <v>0</v>
      </c>
    </row>
    <row r="15" spans="1:7" x14ac:dyDescent="0.25">
      <c r="C15">
        <f>SUMIF(Tabelle18[[#This Row],[value_points_company]],Tabelle5[[#This Row],[company_id]],Tabelle8[[#This Row],[company_id]])</f>
        <v>0</v>
      </c>
      <c r="D15">
        <f>(COUNTA('02_Values_Codebook'!A:A)-1)*3</f>
        <v>54</v>
      </c>
      <c r="E15">
        <f>Tabelle8[[#This Row],[values_raw_points]]/Tabelle8[[#This Row],[values_max_points]]</f>
        <v>0</v>
      </c>
      <c r="F15">
        <f>SUMIF(Tabelle7[[#This Row],[score_0_3]],Tabelle7[[#This Row],[company_id]],Tabelle8[[#This Row],[company_id]])</f>
        <v>0</v>
      </c>
      <c r="G15">
        <f xml:space="preserve"> (Tabelle8[[#This Row],[gov_points_sum]]/21)*100</f>
        <v>0</v>
      </c>
    </row>
    <row r="16" spans="1:7" x14ac:dyDescent="0.25">
      <c r="C16">
        <f>SUMIF(Tabelle18[[#This Row],[value_points_company]],Tabelle5[[#This Row],[company_id]],Tabelle8[[#This Row],[company_id]])</f>
        <v>0</v>
      </c>
      <c r="D16">
        <f>(COUNTA('02_Values_Codebook'!A:A)-1)*3</f>
        <v>54</v>
      </c>
      <c r="E16">
        <f>Tabelle8[[#This Row],[values_raw_points]]/Tabelle8[[#This Row],[values_max_points]]</f>
        <v>0</v>
      </c>
      <c r="F16">
        <f>SUMIF(Tabelle7[[#This Row],[score_0_3]],Tabelle7[[#This Row],[company_id]],Tabelle8[[#This Row],[company_id]])</f>
        <v>0</v>
      </c>
      <c r="G16">
        <f xml:space="preserve"> (Tabelle8[[#This Row],[gov_points_sum]]/21)*100</f>
        <v>0</v>
      </c>
    </row>
    <row r="17" spans="3:7" x14ac:dyDescent="0.25">
      <c r="C17">
        <f>SUMIF(Tabelle18[[#This Row],[value_points_company]],Tabelle5[[#This Row],[company_id]],Tabelle8[[#This Row],[company_id]])</f>
        <v>0</v>
      </c>
      <c r="D17">
        <f>(COUNTA('02_Values_Codebook'!A:A)-1)*3</f>
        <v>54</v>
      </c>
      <c r="E17">
        <f>Tabelle8[[#This Row],[values_raw_points]]/Tabelle8[[#This Row],[values_max_points]]</f>
        <v>0</v>
      </c>
      <c r="F17">
        <f>SUMIF(Tabelle7[[#This Row],[score_0_3]],Tabelle7[[#This Row],[company_id]],Tabelle8[[#This Row],[company_id]])</f>
        <v>0</v>
      </c>
      <c r="G17">
        <f xml:space="preserve"> (Tabelle8[[#This Row],[gov_points_sum]]/21)*100</f>
        <v>0</v>
      </c>
    </row>
    <row r="18" spans="3:7" x14ac:dyDescent="0.25">
      <c r="C18">
        <f>SUMIF(Tabelle18[[#This Row],[value_points_company]],Tabelle5[[#This Row],[company_id]],Tabelle8[[#This Row],[company_id]])</f>
        <v>0</v>
      </c>
      <c r="D18">
        <f>(COUNTA('02_Values_Codebook'!A:A)-1)*3</f>
        <v>54</v>
      </c>
      <c r="E18">
        <f>Tabelle8[[#This Row],[values_raw_points]]/Tabelle8[[#This Row],[values_max_points]]</f>
        <v>0</v>
      </c>
      <c r="F18">
        <f>SUMIF(Tabelle7[[#This Row],[score_0_3]],Tabelle7[[#This Row],[company_id]],Tabelle8[[#This Row],[company_id]])</f>
        <v>0</v>
      </c>
      <c r="G18">
        <f xml:space="preserve"> (Tabelle8[[#This Row],[gov_points_sum]]/21)*100</f>
        <v>0</v>
      </c>
    </row>
    <row r="19" spans="3:7" x14ac:dyDescent="0.25">
      <c r="C19">
        <f>SUMIF(Tabelle18[[#This Row],[value_points_company]],Tabelle5[[#This Row],[company_id]],Tabelle8[[#This Row],[company_id]])</f>
        <v>0</v>
      </c>
      <c r="D19">
        <f>(COUNTA('02_Values_Codebook'!A:A)-1)*3</f>
        <v>54</v>
      </c>
      <c r="E19">
        <f>Tabelle8[[#This Row],[values_raw_points]]/Tabelle8[[#This Row],[values_max_points]]</f>
        <v>0</v>
      </c>
      <c r="F19">
        <f>SUMIF(Tabelle7[[#This Row],[score_0_3]],Tabelle7[[#This Row],[company_id]],Tabelle8[[#This Row],[company_id]])</f>
        <v>0</v>
      </c>
      <c r="G19">
        <f xml:space="preserve"> (Tabelle8[[#This Row],[gov_points_sum]]/21)*100</f>
        <v>0</v>
      </c>
    </row>
    <row r="20" spans="3:7" x14ac:dyDescent="0.25">
      <c r="C20">
        <f>SUMIF(Tabelle18[[#This Row],[value_points_company]],Tabelle5[[#This Row],[company_id]],Tabelle8[[#This Row],[company_id]])</f>
        <v>0</v>
      </c>
      <c r="D20">
        <f>(COUNTA('02_Values_Codebook'!A:A)-1)*3</f>
        <v>54</v>
      </c>
      <c r="E20">
        <f>Tabelle8[[#This Row],[values_raw_points]]/Tabelle8[[#This Row],[values_max_points]]</f>
        <v>0</v>
      </c>
      <c r="F20">
        <f>SUMIF(Tabelle7[[#This Row],[score_0_3]],Tabelle7[[#This Row],[company_id]],Tabelle8[[#This Row],[company_id]])</f>
        <v>0</v>
      </c>
      <c r="G20">
        <f xml:space="preserve"> (Tabelle8[[#This Row],[gov_points_sum]]/21)*100</f>
        <v>0</v>
      </c>
    </row>
    <row r="21" spans="3:7" x14ac:dyDescent="0.25">
      <c r="C21">
        <f>SUMIF(Tabelle18[[#This Row],[value_points_company]],Tabelle5[[#This Row],[company_id]],Tabelle8[[#This Row],[company_id]])</f>
        <v>0</v>
      </c>
      <c r="D21">
        <f>(COUNTA('02_Values_Codebook'!A:A)-1)*3</f>
        <v>54</v>
      </c>
      <c r="E21">
        <f>Tabelle8[[#This Row],[values_raw_points]]/Tabelle8[[#This Row],[values_max_points]]</f>
        <v>0</v>
      </c>
      <c r="F21">
        <f>SUMIF(Tabelle7[[#This Row],[score_0_3]],Tabelle7[[#This Row],[company_id]],Tabelle8[[#This Row],[company_id]])</f>
        <v>0</v>
      </c>
      <c r="G21">
        <f xml:space="preserve"> (Tabelle8[[#This Row],[gov_points_sum]]/21)*100</f>
        <v>0</v>
      </c>
    </row>
    <row r="22" spans="3:7" x14ac:dyDescent="0.25">
      <c r="C22">
        <f>SUMIF(Tabelle18[[#This Row],[value_points_company]],Tabelle5[[#This Row],[company_id]],Tabelle8[[#This Row],[company_id]])</f>
        <v>0</v>
      </c>
      <c r="D22">
        <f>(COUNTA('02_Values_Codebook'!A:A)-1)*3</f>
        <v>54</v>
      </c>
      <c r="E22">
        <f>Tabelle8[[#This Row],[values_raw_points]]/Tabelle8[[#This Row],[values_max_points]]</f>
        <v>0</v>
      </c>
      <c r="F22">
        <f>SUMIF(Tabelle7[[#This Row],[score_0_3]],Tabelle7[[#This Row],[company_id]],Tabelle8[[#This Row],[company_id]])</f>
        <v>0</v>
      </c>
      <c r="G22">
        <f xml:space="preserve"> (Tabelle8[[#This Row],[gov_points_sum]]/21)*100</f>
        <v>0</v>
      </c>
    </row>
    <row r="23" spans="3:7" x14ac:dyDescent="0.25">
      <c r="C23">
        <f>SUMIF(Tabelle18[[#This Row],[value_points_company]],Tabelle5[[#This Row],[company_id]],Tabelle8[[#This Row],[company_id]])</f>
        <v>0</v>
      </c>
      <c r="D23">
        <f>(COUNTA('02_Values_Codebook'!A:A)-1)*3</f>
        <v>54</v>
      </c>
      <c r="E23">
        <f>Tabelle8[[#This Row],[values_raw_points]]/Tabelle8[[#This Row],[values_max_points]]</f>
        <v>0</v>
      </c>
      <c r="F23">
        <f>SUMIF(Tabelle7[[#This Row],[score_0_3]],Tabelle7[[#This Row],[company_id]],Tabelle8[[#This Row],[company_id]])</f>
        <v>0</v>
      </c>
      <c r="G23">
        <f xml:space="preserve"> (Tabelle8[[#This Row],[gov_points_sum]]/21)*100</f>
        <v>0</v>
      </c>
    </row>
    <row r="24" spans="3:7" x14ac:dyDescent="0.25">
      <c r="C24">
        <f>SUMIF(Tabelle18[[#This Row],[value_points_company]],Tabelle5[[#This Row],[company_id]],Tabelle8[[#This Row],[company_id]])</f>
        <v>0</v>
      </c>
      <c r="D24">
        <f>(COUNTA('02_Values_Codebook'!A:A)-1)*3</f>
        <v>54</v>
      </c>
      <c r="E24">
        <f>Tabelle8[[#This Row],[values_raw_points]]/Tabelle8[[#This Row],[values_max_points]]</f>
        <v>0</v>
      </c>
      <c r="F24">
        <f>SUMIF(Tabelle7[[#This Row],[score_0_3]],Tabelle7[[#This Row],[company_id]],Tabelle8[[#This Row],[company_id]])</f>
        <v>0</v>
      </c>
      <c r="G24">
        <f xml:space="preserve"> (Tabelle8[[#This Row],[gov_points_sum]]/21)*100</f>
        <v>0</v>
      </c>
    </row>
    <row r="25" spans="3:7" x14ac:dyDescent="0.25">
      <c r="C25">
        <f>SUMIF(Tabelle18[[#This Row],[value_points_company]],Tabelle5[[#This Row],[company_id]],Tabelle8[[#This Row],[company_id]])</f>
        <v>0</v>
      </c>
      <c r="D25">
        <f>(COUNTA('02_Values_Codebook'!A:A)-1)*3</f>
        <v>54</v>
      </c>
      <c r="E25">
        <f>Tabelle8[[#This Row],[values_raw_points]]/Tabelle8[[#This Row],[values_max_points]]</f>
        <v>0</v>
      </c>
      <c r="F25">
        <f>SUMIF(Tabelle7[[#This Row],[score_0_3]],Tabelle7[[#This Row],[company_id]],Tabelle8[[#This Row],[company_id]])</f>
        <v>0</v>
      </c>
      <c r="G25">
        <f xml:space="preserve"> (Tabelle8[[#This Row],[gov_points_sum]]/21)*100</f>
        <v>0</v>
      </c>
    </row>
    <row r="26" spans="3:7" x14ac:dyDescent="0.25">
      <c r="C26">
        <f>SUMIF(Tabelle18[[#This Row],[value_points_company]],Tabelle5[[#This Row],[company_id]],Tabelle8[[#This Row],[company_id]])</f>
        <v>0</v>
      </c>
      <c r="D26">
        <f>(COUNTA('02_Values_Codebook'!A:A)-1)*3</f>
        <v>54</v>
      </c>
      <c r="E26">
        <f>Tabelle8[[#This Row],[values_raw_points]]/Tabelle8[[#This Row],[values_max_points]]</f>
        <v>0</v>
      </c>
      <c r="F26">
        <f>SUMIF(Tabelle7[[#This Row],[score_0_3]],Tabelle7[[#This Row],[company_id]],Tabelle8[[#This Row],[company_id]])</f>
        <v>0</v>
      </c>
      <c r="G26">
        <f xml:space="preserve"> (Tabelle8[[#This Row],[gov_points_sum]]/21)*100</f>
        <v>0</v>
      </c>
    </row>
    <row r="27" spans="3:7" x14ac:dyDescent="0.25">
      <c r="C27">
        <f>SUMIF(Tabelle18[[#This Row],[value_points_company]],Tabelle5[[#This Row],[company_id]],Tabelle8[[#This Row],[company_id]])</f>
        <v>0</v>
      </c>
      <c r="D27">
        <f>(COUNTA('02_Values_Codebook'!A:A)-1)*3</f>
        <v>54</v>
      </c>
      <c r="E27">
        <f>Tabelle8[[#This Row],[values_raw_points]]/Tabelle8[[#This Row],[values_max_points]]</f>
        <v>0</v>
      </c>
      <c r="F27">
        <f>SUMIF(Tabelle7[[#This Row],[score_0_3]],Tabelle7[[#This Row],[company_id]],Tabelle8[[#This Row],[company_id]])</f>
        <v>0</v>
      </c>
      <c r="G27">
        <f xml:space="preserve"> (Tabelle8[[#This Row],[gov_points_sum]]/21)*100</f>
        <v>0</v>
      </c>
    </row>
    <row r="28" spans="3:7" x14ac:dyDescent="0.25">
      <c r="C28">
        <f>SUMIF(Tabelle18[[#This Row],[value_points_company]],Tabelle5[[#This Row],[company_id]],Tabelle8[[#This Row],[company_id]])</f>
        <v>0</v>
      </c>
      <c r="D28">
        <f>(COUNTA('02_Values_Codebook'!A:A)-1)*3</f>
        <v>54</v>
      </c>
      <c r="E28">
        <f>Tabelle8[[#This Row],[values_raw_points]]/Tabelle8[[#This Row],[values_max_points]]</f>
        <v>0</v>
      </c>
      <c r="F28">
        <f>SUMIF(Tabelle7[[#This Row],[score_0_3]],Tabelle7[[#This Row],[company_id]],Tabelle8[[#This Row],[company_id]])</f>
        <v>0</v>
      </c>
      <c r="G28">
        <f xml:space="preserve"> (Tabelle8[[#This Row],[gov_points_sum]]/21)*100</f>
        <v>0</v>
      </c>
    </row>
    <row r="29" spans="3:7" x14ac:dyDescent="0.25">
      <c r="C29">
        <f>SUMIF(Tabelle18[[#This Row],[value_points_company]],Tabelle5[[#This Row],[company_id]],Tabelle8[[#This Row],[company_id]])</f>
        <v>0</v>
      </c>
      <c r="D29">
        <f>(COUNTA('02_Values_Codebook'!A:A)-1)*3</f>
        <v>54</v>
      </c>
      <c r="E29">
        <f>Tabelle8[[#This Row],[values_raw_points]]/Tabelle8[[#This Row],[values_max_points]]</f>
        <v>0</v>
      </c>
      <c r="F29">
        <f>SUMIF(Tabelle7[[#This Row],[score_0_3]],Tabelle7[[#This Row],[company_id]],Tabelle8[[#This Row],[company_id]])</f>
        <v>0</v>
      </c>
      <c r="G29">
        <f xml:space="preserve"> (Tabelle8[[#This Row],[gov_points_sum]]/21)*100</f>
        <v>0</v>
      </c>
    </row>
    <row r="30" spans="3:7" x14ac:dyDescent="0.25">
      <c r="C30">
        <f>SUMIF(Tabelle18[[#This Row],[value_points_company]],Tabelle5[[#This Row],[company_id]],Tabelle8[[#This Row],[company_id]])</f>
        <v>0</v>
      </c>
      <c r="D30">
        <f>(COUNTA('02_Values_Codebook'!A:A)-1)*3</f>
        <v>54</v>
      </c>
      <c r="E30">
        <f>Tabelle8[[#This Row],[values_raw_points]]/Tabelle8[[#This Row],[values_max_points]]</f>
        <v>0</v>
      </c>
      <c r="F30">
        <f>SUMIF(Tabelle7[[#This Row],[score_0_3]],Tabelle7[[#This Row],[company_id]],Tabelle8[[#This Row],[company_id]])</f>
        <v>0</v>
      </c>
      <c r="G30">
        <f xml:space="preserve"> (Tabelle8[[#This Row],[gov_points_sum]]/21)*100</f>
        <v>0</v>
      </c>
    </row>
    <row r="31" spans="3:7" x14ac:dyDescent="0.25">
      <c r="C31">
        <f>SUMIF(Tabelle18[[#This Row],[value_points_company]],Tabelle5[[#This Row],[company_id]],Tabelle8[[#This Row],[company_id]])</f>
        <v>0</v>
      </c>
      <c r="D31">
        <f>(COUNTA('02_Values_Codebook'!A:A)-1)*3</f>
        <v>54</v>
      </c>
      <c r="E31">
        <f>Tabelle8[[#This Row],[values_raw_points]]/Tabelle8[[#This Row],[values_max_points]]</f>
        <v>0</v>
      </c>
      <c r="F31">
        <f>SUMIF(Tabelle7[[#This Row],[score_0_3]],Tabelle7[[#This Row],[company_id]],Tabelle8[[#This Row],[company_id]])</f>
        <v>0</v>
      </c>
      <c r="G31">
        <f xml:space="preserve"> (Tabelle8[[#This Row],[gov_points_sum]]/21)*100</f>
        <v>0</v>
      </c>
    </row>
    <row r="32" spans="3:7" x14ac:dyDescent="0.25">
      <c r="C32">
        <f>SUMIF(Tabelle18[[#This Row],[value_points_company]],Tabelle5[[#This Row],[company_id]],Tabelle8[[#This Row],[company_id]])</f>
        <v>0</v>
      </c>
      <c r="D32">
        <f>(COUNTA('02_Values_Codebook'!A:A)-1)*3</f>
        <v>54</v>
      </c>
      <c r="E32">
        <f>Tabelle8[[#This Row],[values_raw_points]]/Tabelle8[[#This Row],[values_max_points]]</f>
        <v>0</v>
      </c>
      <c r="F32">
        <f>SUMIF(Tabelle7[[#This Row],[score_0_3]],Tabelle7[[#This Row],[company_id]],Tabelle8[[#This Row],[company_id]])</f>
        <v>0</v>
      </c>
      <c r="G32">
        <f xml:space="preserve"> (Tabelle8[[#This Row],[gov_points_sum]]/21)*100</f>
        <v>0</v>
      </c>
    </row>
    <row r="33" spans="3:7" x14ac:dyDescent="0.25">
      <c r="C33">
        <f>SUMIF(Tabelle18[[#This Row],[value_points_company]],Tabelle5[[#This Row],[company_id]],Tabelle8[[#This Row],[company_id]])</f>
        <v>0</v>
      </c>
      <c r="D33">
        <f>(COUNTA('02_Values_Codebook'!A:A)-1)*3</f>
        <v>54</v>
      </c>
      <c r="E33">
        <f>Tabelle8[[#This Row],[values_raw_points]]/Tabelle8[[#This Row],[values_max_points]]</f>
        <v>0</v>
      </c>
      <c r="F33">
        <f>SUMIF(Tabelle7[[#This Row],[score_0_3]],Tabelle7[[#This Row],[company_id]],Tabelle8[[#This Row],[company_id]])</f>
        <v>0</v>
      </c>
      <c r="G33">
        <f xml:space="preserve"> (Tabelle8[[#This Row],[gov_points_sum]]/21)*100</f>
        <v>0</v>
      </c>
    </row>
    <row r="34" spans="3:7" x14ac:dyDescent="0.25">
      <c r="C34">
        <f>SUMIF(Tabelle18[[#This Row],[value_points_company]],Tabelle5[[#This Row],[company_id]],Tabelle8[[#This Row],[company_id]])</f>
        <v>0</v>
      </c>
      <c r="D34">
        <f>(COUNTA('02_Values_Codebook'!A:A)-1)*3</f>
        <v>54</v>
      </c>
      <c r="E34">
        <f>Tabelle8[[#This Row],[values_raw_points]]/Tabelle8[[#This Row],[values_max_points]]</f>
        <v>0</v>
      </c>
      <c r="F34">
        <f>SUMIF(Tabelle7[[#This Row],[score_0_3]],Tabelle7[[#This Row],[company_id]],Tabelle8[[#This Row],[company_id]])</f>
        <v>0</v>
      </c>
      <c r="G34">
        <f xml:space="preserve"> (Tabelle8[[#This Row],[gov_points_sum]]/21)*100</f>
        <v>0</v>
      </c>
    </row>
    <row r="35" spans="3:7" x14ac:dyDescent="0.25">
      <c r="C35">
        <f>SUMIF(Tabelle18[[#This Row],[value_points_company]],Tabelle5[[#This Row],[company_id]],Tabelle8[[#This Row],[company_id]])</f>
        <v>0</v>
      </c>
      <c r="D35">
        <f>(COUNTA('02_Values_Codebook'!A:A)-1)*3</f>
        <v>54</v>
      </c>
      <c r="E35">
        <f>Tabelle8[[#This Row],[values_raw_points]]/Tabelle8[[#This Row],[values_max_points]]</f>
        <v>0</v>
      </c>
      <c r="F35">
        <f>SUMIF(Tabelle7[[#This Row],[score_0_3]],Tabelle7[[#This Row],[company_id]],Tabelle8[[#This Row],[company_id]])</f>
        <v>0</v>
      </c>
      <c r="G35">
        <f xml:space="preserve"> (Tabelle8[[#This Row],[gov_points_sum]]/21)*100</f>
        <v>0</v>
      </c>
    </row>
    <row r="36" spans="3:7" x14ac:dyDescent="0.25">
      <c r="C36">
        <f>SUMIF(Tabelle18[[#This Row],[value_points_company]],Tabelle5[[#This Row],[company_id]],Tabelle8[[#This Row],[company_id]])</f>
        <v>0</v>
      </c>
      <c r="D36">
        <f>(COUNTA('02_Values_Codebook'!A:A)-1)*3</f>
        <v>54</v>
      </c>
      <c r="E36">
        <f>Tabelle8[[#This Row],[values_raw_points]]/Tabelle8[[#This Row],[values_max_points]]</f>
        <v>0</v>
      </c>
      <c r="F36">
        <f>SUMIF(Tabelle7[[#This Row],[score_0_3]],Tabelle7[[#This Row],[company_id]],Tabelle8[[#This Row],[company_id]])</f>
        <v>0</v>
      </c>
      <c r="G36">
        <f xml:space="preserve"> (Tabelle8[[#This Row],[gov_points_sum]]/21)*100</f>
        <v>0</v>
      </c>
    </row>
    <row r="37" spans="3:7" x14ac:dyDescent="0.25">
      <c r="C37">
        <f>SUMIF(Tabelle18[[#This Row],[value_points_company]],Tabelle5[[#This Row],[company_id]],Tabelle8[[#This Row],[company_id]])</f>
        <v>0</v>
      </c>
      <c r="D37">
        <f>(COUNTA('02_Values_Codebook'!A:A)-1)*3</f>
        <v>54</v>
      </c>
      <c r="E37">
        <f>Tabelle8[[#This Row],[values_raw_points]]/Tabelle8[[#This Row],[values_max_points]]</f>
        <v>0</v>
      </c>
      <c r="F37">
        <f>SUMIF(Tabelle7[[#This Row],[score_0_3]],Tabelle7[[#This Row],[company_id]],Tabelle8[[#This Row],[company_id]])</f>
        <v>0</v>
      </c>
      <c r="G37">
        <f xml:space="preserve"> (Tabelle8[[#This Row],[gov_points_sum]]/21)*100</f>
        <v>0</v>
      </c>
    </row>
    <row r="38" spans="3:7" x14ac:dyDescent="0.25">
      <c r="C38">
        <f>SUMIF(Tabelle18[[#This Row],[value_points_company]],Tabelle5[[#This Row],[company_id]],Tabelle8[[#This Row],[company_id]])</f>
        <v>0</v>
      </c>
      <c r="D38">
        <f>(COUNTA('02_Values_Codebook'!A:A)-1)*3</f>
        <v>54</v>
      </c>
      <c r="E38">
        <f>Tabelle8[[#This Row],[values_raw_points]]/Tabelle8[[#This Row],[values_max_points]]</f>
        <v>0</v>
      </c>
      <c r="F38">
        <f>SUMIF(Tabelle7[[#This Row],[score_0_3]],Tabelle7[[#This Row],[company_id]],Tabelle8[[#This Row],[company_id]])</f>
        <v>0</v>
      </c>
      <c r="G38">
        <f xml:space="preserve"> (Tabelle8[[#This Row],[gov_points_sum]]/21)*100</f>
        <v>0</v>
      </c>
    </row>
    <row r="39" spans="3:7" x14ac:dyDescent="0.25">
      <c r="C39">
        <f>SUMIF(Tabelle18[[#This Row],[value_points_company]],Tabelle5[[#This Row],[company_id]],Tabelle8[[#This Row],[company_id]])</f>
        <v>0</v>
      </c>
      <c r="D39">
        <f>(COUNTA('02_Values_Codebook'!A:A)-1)*3</f>
        <v>54</v>
      </c>
      <c r="E39">
        <f>Tabelle8[[#This Row],[values_raw_points]]/Tabelle8[[#This Row],[values_max_points]]</f>
        <v>0</v>
      </c>
      <c r="F39">
        <f>SUMIF(Tabelle7[[#This Row],[score_0_3]],Tabelle7[[#This Row],[company_id]],Tabelle8[[#This Row],[company_id]])</f>
        <v>0</v>
      </c>
      <c r="G39">
        <f xml:space="preserve"> (Tabelle8[[#This Row],[gov_points_sum]]/21)*100</f>
        <v>0</v>
      </c>
    </row>
    <row r="40" spans="3:7" x14ac:dyDescent="0.25">
      <c r="C40">
        <f>SUMIF(Tabelle18[[#This Row],[value_points_company]],Tabelle5[[#This Row],[company_id]],Tabelle8[[#This Row],[company_id]])</f>
        <v>0</v>
      </c>
      <c r="D40">
        <f>(COUNTA('02_Values_Codebook'!A:A)-1)*3</f>
        <v>54</v>
      </c>
      <c r="E40">
        <f>Tabelle8[[#This Row],[values_raw_points]]/Tabelle8[[#This Row],[values_max_points]]</f>
        <v>0</v>
      </c>
      <c r="F40">
        <f>SUMIF(Tabelle7[[#This Row],[score_0_3]],Tabelle7[[#This Row],[company_id]],Tabelle8[[#This Row],[company_id]])</f>
        <v>0</v>
      </c>
      <c r="G40">
        <f xml:space="preserve"> (Tabelle8[[#This Row],[gov_points_sum]]/21)*100</f>
        <v>0</v>
      </c>
    </row>
    <row r="41" spans="3:7" x14ac:dyDescent="0.25">
      <c r="C41">
        <f>SUMIF(Tabelle18[[#This Row],[value_points_company]],Tabelle5[[#This Row],[company_id]],Tabelle8[[#This Row],[company_id]])</f>
        <v>0</v>
      </c>
      <c r="D41">
        <f>(COUNTA('02_Values_Codebook'!A:A)-1)*3</f>
        <v>54</v>
      </c>
      <c r="E41">
        <f>Tabelle8[[#This Row],[values_raw_points]]/Tabelle8[[#This Row],[values_max_points]]</f>
        <v>0</v>
      </c>
      <c r="F41">
        <f>SUMIF(Tabelle7[[#This Row],[score_0_3]],Tabelle7[[#This Row],[company_id]],Tabelle8[[#This Row],[company_id]])</f>
        <v>0</v>
      </c>
      <c r="G41">
        <f xml:space="preserve"> (Tabelle8[[#This Row],[gov_points_sum]]/21)*100</f>
        <v>0</v>
      </c>
    </row>
  </sheetData>
  <pageMargins left="0.7" right="0.7" top="0.78740157499999996" bottom="0.78740157499999996"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67104-0AEF-4CFC-97AE-E6D64B036E78}">
  <dimension ref="A1:J1"/>
  <sheetViews>
    <sheetView workbookViewId="0">
      <selection activeCell="E17" sqref="E17"/>
    </sheetView>
  </sheetViews>
  <sheetFormatPr baseColWidth="10" defaultRowHeight="15" x14ac:dyDescent="0.25"/>
  <cols>
    <col min="3" max="3" width="13.85546875" customWidth="1"/>
    <col min="5" max="5" width="30.5703125" customWidth="1"/>
    <col min="6" max="6" width="23.28515625" customWidth="1"/>
    <col min="7" max="7" width="21.42578125" customWidth="1"/>
    <col min="9" max="9" width="25.140625" customWidth="1"/>
    <col min="10" max="10" width="19.140625" customWidth="1"/>
  </cols>
  <sheetData>
    <row r="1" spans="1:10" x14ac:dyDescent="0.25">
      <c r="A1" t="s">
        <v>300</v>
      </c>
      <c r="B1" t="s">
        <v>301</v>
      </c>
      <c r="C1" t="s">
        <v>0</v>
      </c>
      <c r="D1" t="s">
        <v>8</v>
      </c>
      <c r="E1" t="s">
        <v>302</v>
      </c>
      <c r="F1" t="s">
        <v>303</v>
      </c>
      <c r="G1" t="s">
        <v>304</v>
      </c>
      <c r="H1" t="s">
        <v>305</v>
      </c>
      <c r="I1" t="s">
        <v>306</v>
      </c>
      <c r="J1" t="s">
        <v>307</v>
      </c>
    </row>
  </sheetData>
  <pageMargins left="0.7" right="0.7" top="0.78740157499999996" bottom="0.78740157499999996"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D5204-B847-4198-9A4C-2AE4C43AE390}">
  <dimension ref="A1:G2"/>
  <sheetViews>
    <sheetView workbookViewId="0">
      <selection activeCell="C9" sqref="C9"/>
    </sheetView>
  </sheetViews>
  <sheetFormatPr baseColWidth="10" defaultRowHeight="15" x14ac:dyDescent="0.25"/>
  <cols>
    <col min="1" max="1" width="19.140625" customWidth="1"/>
    <col min="2" max="3" width="14" customWidth="1"/>
    <col min="4" max="4" width="33.28515625" customWidth="1"/>
    <col min="5" max="5" width="19.5703125" customWidth="1"/>
    <col min="6" max="6" width="19" customWidth="1"/>
    <col min="7" max="7" width="52.42578125" customWidth="1"/>
  </cols>
  <sheetData>
    <row r="1" spans="1:7" x14ac:dyDescent="0.25">
      <c r="A1" t="s">
        <v>307</v>
      </c>
      <c r="B1" t="s">
        <v>301</v>
      </c>
      <c r="C1" t="s">
        <v>308</v>
      </c>
      <c r="D1" t="s">
        <v>309</v>
      </c>
      <c r="E1" t="s">
        <v>310</v>
      </c>
      <c r="F1" t="s">
        <v>311</v>
      </c>
      <c r="G1" t="s">
        <v>312</v>
      </c>
    </row>
    <row r="2" spans="1:7" x14ac:dyDescent="0.25">
      <c r="A2" t="s">
        <v>313</v>
      </c>
      <c r="B2" t="s">
        <v>314</v>
      </c>
      <c r="C2" t="s">
        <v>315</v>
      </c>
    </row>
  </sheetData>
  <pageMargins left="0.7" right="0.7" top="0.78740157499999996" bottom="0.78740157499999996"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466F7-EADF-4B4E-8530-CB44C6F1FB3B}">
  <dimension ref="A1:E1"/>
  <sheetViews>
    <sheetView workbookViewId="0">
      <selection activeCell="C20" sqref="C20"/>
    </sheetView>
  </sheetViews>
  <sheetFormatPr baseColWidth="10" defaultRowHeight="15" x14ac:dyDescent="0.25"/>
  <cols>
    <col min="1" max="1" width="13.85546875" customWidth="1"/>
    <col min="2" max="2" width="14.85546875" customWidth="1"/>
    <col min="3" max="3" width="21.85546875" customWidth="1"/>
    <col min="4" max="4" width="21.42578125" customWidth="1"/>
    <col min="5" max="5" width="19" customWidth="1"/>
  </cols>
  <sheetData>
    <row r="1" spans="1:5" x14ac:dyDescent="0.25">
      <c r="A1" t="s">
        <v>0</v>
      </c>
      <c r="B1" t="s">
        <v>316</v>
      </c>
      <c r="C1" t="s">
        <v>317</v>
      </c>
      <c r="D1" t="s">
        <v>318</v>
      </c>
      <c r="E1" t="s">
        <v>319</v>
      </c>
    </row>
  </sheetData>
  <pageMargins left="0.7" right="0.7" top="0.78740157499999996" bottom="0.78740157499999996"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98A94-8C2F-460B-BDA8-B13EE75363F6}">
  <dimension ref="A1:Q11"/>
  <sheetViews>
    <sheetView workbookViewId="0">
      <selection activeCell="I20" sqref="I20"/>
    </sheetView>
  </sheetViews>
  <sheetFormatPr baseColWidth="10" defaultRowHeight="15" x14ac:dyDescent="0.25"/>
  <cols>
    <col min="1" max="1" width="19.42578125" bestFit="1" customWidth="1"/>
    <col min="3" max="3" width="21" bestFit="1" customWidth="1"/>
    <col min="5" max="5" width="10.5703125" bestFit="1" customWidth="1"/>
    <col min="7" max="7" width="20.7109375" customWidth="1"/>
    <col min="9" max="9" width="29.5703125" bestFit="1" customWidth="1"/>
    <col min="11" max="11" width="21.7109375" customWidth="1"/>
    <col min="13" max="13" width="18.7109375" customWidth="1"/>
    <col min="15" max="15" width="15.5703125" customWidth="1"/>
    <col min="17" max="17" width="11.7109375" customWidth="1"/>
  </cols>
  <sheetData>
    <row r="1" spans="1:17" x14ac:dyDescent="0.25">
      <c r="A1" t="s">
        <v>261</v>
      </c>
      <c r="C1" t="s">
        <v>262</v>
      </c>
      <c r="E1" t="s">
        <v>273</v>
      </c>
      <c r="G1" t="s">
        <v>278</v>
      </c>
      <c r="I1" t="s">
        <v>282</v>
      </c>
      <c r="K1" t="s">
        <v>288</v>
      </c>
      <c r="M1" t="s">
        <v>292</v>
      </c>
      <c r="O1" t="s">
        <v>293</v>
      </c>
      <c r="Q1" t="s">
        <v>294</v>
      </c>
    </row>
    <row r="2" spans="1:17" x14ac:dyDescent="0.25">
      <c r="A2" t="s">
        <v>253</v>
      </c>
      <c r="C2" t="s">
        <v>263</v>
      </c>
      <c r="E2" t="s">
        <v>274</v>
      </c>
      <c r="G2" t="s">
        <v>279</v>
      </c>
      <c r="I2" t="s">
        <v>287</v>
      </c>
      <c r="K2" t="s">
        <v>289</v>
      </c>
      <c r="M2">
        <v>1</v>
      </c>
      <c r="O2">
        <v>0</v>
      </c>
      <c r="Q2">
        <v>0</v>
      </c>
    </row>
    <row r="3" spans="1:17" x14ac:dyDescent="0.25">
      <c r="A3" t="s">
        <v>254</v>
      </c>
      <c r="C3" t="s">
        <v>264</v>
      </c>
      <c r="E3" t="s">
        <v>275</v>
      </c>
      <c r="G3" t="s">
        <v>280</v>
      </c>
      <c r="I3" t="s">
        <v>283</v>
      </c>
      <c r="K3" t="s">
        <v>290</v>
      </c>
      <c r="M3">
        <v>2</v>
      </c>
      <c r="O3">
        <v>1</v>
      </c>
      <c r="Q3">
        <v>1</v>
      </c>
    </row>
    <row r="4" spans="1:17" x14ac:dyDescent="0.25">
      <c r="A4" t="s">
        <v>255</v>
      </c>
      <c r="C4" t="s">
        <v>265</v>
      </c>
      <c r="E4" t="s">
        <v>276</v>
      </c>
      <c r="G4" t="s">
        <v>281</v>
      </c>
      <c r="I4" t="s">
        <v>284</v>
      </c>
      <c r="K4" t="s">
        <v>291</v>
      </c>
      <c r="M4">
        <v>3</v>
      </c>
      <c r="Q4">
        <v>2</v>
      </c>
    </row>
    <row r="5" spans="1:17" x14ac:dyDescent="0.25">
      <c r="A5" t="s">
        <v>256</v>
      </c>
      <c r="C5" t="s">
        <v>266</v>
      </c>
      <c r="E5" t="s">
        <v>277</v>
      </c>
      <c r="I5" t="s">
        <v>285</v>
      </c>
      <c r="Q5">
        <v>3</v>
      </c>
    </row>
    <row r="6" spans="1:17" x14ac:dyDescent="0.25">
      <c r="A6" t="s">
        <v>257</v>
      </c>
      <c r="C6" t="s">
        <v>267</v>
      </c>
      <c r="I6" t="s">
        <v>286</v>
      </c>
    </row>
    <row r="7" spans="1:17" x14ac:dyDescent="0.25">
      <c r="A7" t="s">
        <v>258</v>
      </c>
      <c r="C7" t="s">
        <v>268</v>
      </c>
      <c r="I7" t="s">
        <v>277</v>
      </c>
    </row>
    <row r="8" spans="1:17" x14ac:dyDescent="0.25">
      <c r="A8" t="s">
        <v>259</v>
      </c>
      <c r="C8" t="s">
        <v>269</v>
      </c>
    </row>
    <row r="9" spans="1:17" x14ac:dyDescent="0.25">
      <c r="A9" t="s">
        <v>260</v>
      </c>
      <c r="C9" t="s">
        <v>270</v>
      </c>
    </row>
    <row r="10" spans="1:17" x14ac:dyDescent="0.25">
      <c r="C10" t="s">
        <v>271</v>
      </c>
    </row>
    <row r="11" spans="1:17" x14ac:dyDescent="0.25">
      <c r="C11" t="s">
        <v>272</v>
      </c>
    </row>
  </sheetData>
  <pageMargins left="0.7" right="0.7" top="0.78740157499999996" bottom="0.78740157499999996" header="0.3" footer="0.3"/>
  <pageSetup orientation="portrait" r:id="rId1"/>
  <tableParts count="9">
    <tablePart r:id="rId2"/>
    <tablePart r:id="rId3"/>
    <tablePart r:id="rId4"/>
    <tablePart r:id="rId5"/>
    <tablePart r:id="rId6"/>
    <tablePart r:id="rId7"/>
    <tablePart r:id="rId8"/>
    <tablePart r:id="rId9"/>
    <tablePart r:id="rId10"/>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12</vt:i4>
      </vt:variant>
    </vt:vector>
  </HeadingPairs>
  <TitlesOfParts>
    <vt:vector size="12" baseType="lpstr">
      <vt:lpstr>00_DAX_Master</vt:lpstr>
      <vt:lpstr>01_Document_Log</vt:lpstr>
      <vt:lpstr>02_Values_Codebook</vt:lpstr>
      <vt:lpstr>03_Values_Coding</vt:lpstr>
      <vt:lpstr>03b_Values_Company_Level</vt:lpstr>
      <vt:lpstr>04_Governance_Codebook</vt:lpstr>
      <vt:lpstr>05_Governance_Coding</vt:lpstr>
      <vt:lpstr>06_Derived_Indices</vt:lpstr>
      <vt:lpstr>07_Boundary_Cases</vt:lpstr>
      <vt:lpstr>08_Codebook_Changelog</vt:lpstr>
      <vt:lpstr>09_Coding_Memos</vt:lpstr>
      <vt:lpstr>99_Lookups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Florian Klawun</dc:creator>
  <cp:lastModifiedBy>Florian Klawun</cp:lastModifiedBy>
  <dcterms:created xsi:type="dcterms:W3CDTF">2026-01-04T16:10:53Z</dcterms:created>
  <dcterms:modified xsi:type="dcterms:W3CDTF">2026-02-20T13:46:45Z</dcterms:modified>
</cp:coreProperties>
</file>