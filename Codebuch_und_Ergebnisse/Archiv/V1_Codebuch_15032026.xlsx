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5033" documentId="13_ncr:1_{C245E2A3-57C9-4A09-94EC-D2BB2DF34E06}" xr6:coauthVersionLast="47" xr6:coauthVersionMax="47" xr10:uidLastSave="{81568AFA-8057-4439-81A7-4E1AD16CFD7B}"/>
  <bookViews>
    <workbookView xWindow="28695" yWindow="0" windowWidth="29010" windowHeight="15585" firstSheet="2" activeTab="4" xr2:uid="{F9AAA310-B95D-453B-B29F-7BBE9569B71F}"/>
  </bookViews>
  <sheets>
    <sheet name="00_DAX_Master" sheetId="1" r:id="rId1"/>
    <sheet name="01_Document_Log" sheetId="2" r:id="rId2"/>
    <sheet name="02_Values_Codebook" sheetId="3" r:id="rId3"/>
    <sheet name="04_Governance_Codebook" sheetId="5" r:id="rId4"/>
    <sheet name="03_Values_Coding" sheetId="4" r:id="rId5"/>
    <sheet name="05_Governance_Coding" sheetId="6" r:id="rId6"/>
    <sheet name="07_Boundary_Cases" sheetId="10" r:id="rId7"/>
    <sheet name="03b_Values_Company_Level" sheetId="9" r:id="rId8"/>
    <sheet name="05b_Governance_Company_Level" sheetId="18" r:id="rId9"/>
    <sheet name="06_Derived_Indices" sheetId="7" r:id="rId10"/>
    <sheet name="08_Codebook_Changelog" sheetId="11" r:id="rId11"/>
    <sheet name="09_Coding_Memos" sheetId="12" r:id="rId12"/>
    <sheet name="99_Lookups" sheetId="8" r:id="rId13"/>
    <sheet name="30_Values_Coding_PILOT" sheetId="13" r:id="rId14"/>
    <sheet name="31_Values_Coding_RE" sheetId="16" r:id="rId15"/>
    <sheet name="50_Governance_Coding_PILOT" sheetId="14" r:id="rId16"/>
    <sheet name="51_Governance_Coding_RE" sheetId="17" r:id="rId17"/>
    <sheet name="80_Regelkonsolidierung_Pilot" sheetId="15"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73" i="4" l="1"/>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D42" i="9"/>
  <c r="C42" i="9" s="1"/>
  <c r="D43" i="9"/>
  <c r="C43" i="9" s="1"/>
  <c r="D44" i="9"/>
  <c r="C44" i="9" s="1"/>
  <c r="D45" i="9"/>
  <c r="C45" i="9" s="1"/>
  <c r="D46" i="9"/>
  <c r="C46" i="9" s="1"/>
  <c r="D47" i="9"/>
  <c r="C47" i="9" s="1"/>
  <c r="D48" i="9"/>
  <c r="C48" i="9" s="1"/>
  <c r="D49" i="9"/>
  <c r="C49" i="9" s="1"/>
  <c r="D50" i="9"/>
  <c r="C50" i="9" s="1"/>
  <c r="D51" i="9"/>
  <c r="C51" i="9" s="1"/>
  <c r="D52" i="9"/>
  <c r="C52" i="9" s="1"/>
  <c r="D53" i="9"/>
  <c r="C53" i="9" s="1"/>
  <c r="D54" i="9"/>
  <c r="C54" i="9" s="1"/>
  <c r="D55" i="9"/>
  <c r="C55" i="9" s="1"/>
  <c r="D56" i="9"/>
  <c r="C56" i="9" s="1"/>
  <c r="D57" i="9"/>
  <c r="C57" i="9" s="1"/>
  <c r="D58" i="9"/>
  <c r="C58" i="9" s="1"/>
  <c r="D59" i="9"/>
  <c r="C59" i="9" s="1"/>
  <c r="D60" i="9"/>
  <c r="C60" i="9" s="1"/>
  <c r="D61" i="9"/>
  <c r="C61" i="9" s="1"/>
  <c r="D62" i="9"/>
  <c r="C62" i="9" s="1"/>
  <c r="D63" i="9"/>
  <c r="C63" i="9" s="1"/>
  <c r="D64" i="9"/>
  <c r="C64" i="9" s="1"/>
  <c r="D65" i="9"/>
  <c r="C65" i="9" s="1"/>
  <c r="D66" i="9"/>
  <c r="C66" i="9" s="1"/>
  <c r="D67" i="9"/>
  <c r="C67" i="9" s="1"/>
  <c r="D68" i="9"/>
  <c r="C68" i="9" s="1"/>
  <c r="D69" i="9"/>
  <c r="C69" i="9" s="1"/>
  <c r="D70" i="9"/>
  <c r="C70" i="9" s="1"/>
  <c r="D71" i="9"/>
  <c r="C71" i="9" s="1"/>
  <c r="D72" i="9"/>
  <c r="C72" i="9" s="1"/>
  <c r="D73" i="9"/>
  <c r="C73" i="9" s="1"/>
  <c r="D74" i="9"/>
  <c r="C74" i="9" s="1"/>
  <c r="D75" i="9"/>
  <c r="C75" i="9" s="1"/>
  <c r="D76" i="9"/>
  <c r="C76" i="9" s="1"/>
  <c r="D77" i="9"/>
  <c r="C77" i="9" s="1"/>
  <c r="D78" i="9"/>
  <c r="C78" i="9" s="1"/>
  <c r="D79" i="9"/>
  <c r="C79" i="9" s="1"/>
  <c r="D80" i="9"/>
  <c r="C80" i="9" s="1"/>
  <c r="D81" i="9"/>
  <c r="C81" i="9" s="1"/>
  <c r="D82" i="9"/>
  <c r="C82" i="9" s="1"/>
  <c r="D83" i="9"/>
  <c r="C83" i="9" s="1"/>
  <c r="D84" i="9"/>
  <c r="C84" i="9" s="1"/>
  <c r="D85" i="9"/>
  <c r="C85" i="9" s="1"/>
  <c r="D86" i="9"/>
  <c r="C86" i="9" s="1"/>
  <c r="D87" i="9"/>
  <c r="C87" i="9" s="1"/>
  <c r="D88" i="9"/>
  <c r="C88" i="9" s="1"/>
  <c r="D89" i="9"/>
  <c r="C89" i="9" s="1"/>
  <c r="D90" i="9"/>
  <c r="C90" i="9" s="1"/>
  <c r="D91" i="9"/>
  <c r="C91" i="9" s="1"/>
  <c r="D92" i="9"/>
  <c r="C92" i="9" s="1"/>
  <c r="D93" i="9"/>
  <c r="C93" i="9" s="1"/>
  <c r="D94" i="9"/>
  <c r="C94" i="9" s="1"/>
  <c r="D95" i="9"/>
  <c r="C95" i="9" s="1"/>
  <c r="D96" i="9"/>
  <c r="C96" i="9" s="1"/>
  <c r="D97" i="9"/>
  <c r="C97" i="9" s="1"/>
  <c r="D98" i="9"/>
  <c r="C98" i="9" s="1"/>
  <c r="D99" i="9"/>
  <c r="C99" i="9" s="1"/>
  <c r="D100" i="9"/>
  <c r="C100" i="9" s="1"/>
  <c r="D101" i="9"/>
  <c r="C101" i="9" s="1"/>
  <c r="D102" i="9"/>
  <c r="C102" i="9" s="1"/>
  <c r="D103" i="9"/>
  <c r="C103" i="9" s="1"/>
  <c r="D104" i="9"/>
  <c r="C104" i="9" s="1"/>
  <c r="D105" i="9"/>
  <c r="C105" i="9" s="1"/>
  <c r="D106" i="9"/>
  <c r="C106" i="9" s="1"/>
  <c r="D107" i="9"/>
  <c r="C107" i="9" s="1"/>
  <c r="D108" i="9"/>
  <c r="C108" i="9" s="1"/>
  <c r="D109" i="9"/>
  <c r="C109" i="9" s="1"/>
  <c r="D110" i="9"/>
  <c r="C110" i="9" s="1"/>
  <c r="D111" i="9"/>
  <c r="C111" i="9" s="1"/>
  <c r="D112" i="9"/>
  <c r="C112" i="9" s="1"/>
  <c r="D113" i="9"/>
  <c r="C113" i="9" s="1"/>
  <c r="D114" i="9"/>
  <c r="C114" i="9" s="1"/>
  <c r="D115" i="9"/>
  <c r="C115" i="9" s="1"/>
  <c r="D116" i="9"/>
  <c r="C116" i="9" s="1"/>
  <c r="D117" i="9"/>
  <c r="C117" i="9" s="1"/>
  <c r="D118" i="9"/>
  <c r="C118" i="9" s="1"/>
  <c r="D119" i="9"/>
  <c r="C119" i="9" s="1"/>
  <c r="D120" i="9"/>
  <c r="C120" i="9" s="1"/>
  <c r="D121" i="9"/>
  <c r="C121" i="9" s="1"/>
  <c r="D122" i="9"/>
  <c r="C122" i="9" s="1"/>
  <c r="D123" i="9"/>
  <c r="C123" i="9" s="1"/>
  <c r="D124" i="9"/>
  <c r="C124" i="9" s="1"/>
  <c r="D125" i="9"/>
  <c r="C125" i="9" s="1"/>
  <c r="D126" i="9"/>
  <c r="C126" i="9" s="1"/>
  <c r="D127" i="9"/>
  <c r="C127" i="9" s="1"/>
  <c r="D128" i="9"/>
  <c r="C128" i="9" s="1"/>
  <c r="D129" i="9"/>
  <c r="C129" i="9" s="1"/>
  <c r="D130" i="9"/>
  <c r="C130" i="9" s="1"/>
  <c r="D131" i="9"/>
  <c r="C131" i="9" s="1"/>
  <c r="D132" i="9"/>
  <c r="C132" i="9" s="1"/>
  <c r="D133" i="9"/>
  <c r="C133" i="9" s="1"/>
  <c r="D134" i="9"/>
  <c r="C134" i="9" s="1"/>
  <c r="D135" i="9"/>
  <c r="C135" i="9" s="1"/>
  <c r="D136" i="9"/>
  <c r="C136" i="9" s="1"/>
  <c r="D137" i="9"/>
  <c r="C137" i="9" s="1"/>
  <c r="D138" i="9"/>
  <c r="C138" i="9" s="1"/>
  <c r="D139" i="9"/>
  <c r="C139" i="9" s="1"/>
  <c r="D140" i="9"/>
  <c r="C140" i="9" s="1"/>
  <c r="D141" i="9"/>
  <c r="C141" i="9" s="1"/>
  <c r="D142" i="9"/>
  <c r="C142" i="9" s="1"/>
  <c r="D143" i="9"/>
  <c r="C143" i="9" s="1"/>
  <c r="D144" i="9"/>
  <c r="C144" i="9" s="1"/>
  <c r="D145" i="9"/>
  <c r="C145" i="9" s="1"/>
  <c r="D146" i="9"/>
  <c r="C146" i="9" s="1"/>
  <c r="D147" i="9"/>
  <c r="C147" i="9" s="1"/>
  <c r="D148" i="9"/>
  <c r="C148" i="9" s="1"/>
  <c r="D149" i="9"/>
  <c r="C149" i="9" s="1"/>
  <c r="D150" i="9"/>
  <c r="C150" i="9" s="1"/>
  <c r="D151" i="9"/>
  <c r="C151" i="9" s="1"/>
  <c r="D152" i="9"/>
  <c r="C152" i="9" s="1"/>
  <c r="D153" i="9"/>
  <c r="C153" i="9" s="1"/>
  <c r="D154" i="9"/>
  <c r="C154" i="9" s="1"/>
  <c r="D155" i="9"/>
  <c r="C155" i="9" s="1"/>
  <c r="D156" i="9"/>
  <c r="C156" i="9" s="1"/>
  <c r="D157" i="9"/>
  <c r="C157" i="9" s="1"/>
  <c r="D158" i="9"/>
  <c r="C158" i="9" s="1"/>
  <c r="D159" i="9"/>
  <c r="C159" i="9" s="1"/>
  <c r="D160" i="9"/>
  <c r="C160" i="9" s="1"/>
  <c r="D161" i="9"/>
  <c r="C161" i="9" s="1"/>
  <c r="D162" i="9"/>
  <c r="C162" i="9" s="1"/>
  <c r="D163" i="9"/>
  <c r="C163" i="9" s="1"/>
  <c r="D164" i="9"/>
  <c r="C164" i="9" s="1"/>
  <c r="D165" i="9"/>
  <c r="C165" i="9" s="1"/>
  <c r="D166" i="9"/>
  <c r="C166" i="9" s="1"/>
  <c r="D167" i="9"/>
  <c r="C167" i="9" s="1"/>
  <c r="D168" i="9"/>
  <c r="C168" i="9" s="1"/>
  <c r="D169" i="9"/>
  <c r="C169" i="9" s="1"/>
  <c r="D170" i="9"/>
  <c r="C170" i="9" s="1"/>
  <c r="D171" i="9"/>
  <c r="C171" i="9" s="1"/>
  <c r="D172" i="9"/>
  <c r="C172" i="9" s="1"/>
  <c r="D173" i="9"/>
  <c r="C173" i="9" s="1"/>
  <c r="D174" i="9"/>
  <c r="C174" i="9" s="1"/>
  <c r="D175" i="9"/>
  <c r="C175" i="9" s="1"/>
  <c r="D176" i="9"/>
  <c r="C176" i="9" s="1"/>
  <c r="D177" i="9"/>
  <c r="C177" i="9" s="1"/>
  <c r="D178" i="9"/>
  <c r="C178" i="9" s="1"/>
  <c r="D179" i="9"/>
  <c r="C179" i="9" s="1"/>
  <c r="D180" i="9"/>
  <c r="C180" i="9" s="1"/>
  <c r="D181" i="9"/>
  <c r="C181" i="9" s="1"/>
  <c r="D182" i="9"/>
  <c r="C182" i="9" s="1"/>
  <c r="D183" i="9"/>
  <c r="C183" i="9" s="1"/>
  <c r="D184" i="9"/>
  <c r="C184" i="9" s="1"/>
  <c r="D185" i="9"/>
  <c r="C185" i="9" s="1"/>
  <c r="D186" i="9"/>
  <c r="C186" i="9" s="1"/>
  <c r="D187" i="9"/>
  <c r="C187" i="9" s="1"/>
  <c r="D188" i="9"/>
  <c r="C188" i="9" s="1"/>
  <c r="D189" i="9"/>
  <c r="C189" i="9" s="1"/>
  <c r="D190" i="9"/>
  <c r="C190" i="9" s="1"/>
  <c r="D191" i="9"/>
  <c r="C191" i="9" s="1"/>
  <c r="D192" i="9"/>
  <c r="C192" i="9" s="1"/>
  <c r="D193" i="9"/>
  <c r="C193" i="9" s="1"/>
  <c r="D194" i="9"/>
  <c r="C194" i="9" s="1"/>
  <c r="D195" i="9"/>
  <c r="C195" i="9" s="1"/>
  <c r="D196" i="9"/>
  <c r="C196" i="9" s="1"/>
  <c r="D197" i="9"/>
  <c r="C197" i="9" s="1"/>
  <c r="D198" i="9"/>
  <c r="C198" i="9" s="1"/>
  <c r="D199" i="9"/>
  <c r="C199" i="9" s="1"/>
  <c r="D200" i="9"/>
  <c r="C200" i="9" s="1"/>
  <c r="D201" i="9"/>
  <c r="C201" i="9" s="1"/>
  <c r="D202" i="9"/>
  <c r="C202" i="9" s="1"/>
  <c r="D203" i="9"/>
  <c r="C203" i="9" s="1"/>
  <c r="D204" i="9"/>
  <c r="C204" i="9" s="1"/>
  <c r="D205" i="9"/>
  <c r="C205" i="9" s="1"/>
  <c r="D206" i="9"/>
  <c r="C206" i="9" s="1"/>
  <c r="D207" i="9"/>
  <c r="C207" i="9" s="1"/>
  <c r="D208" i="9"/>
  <c r="C208" i="9" s="1"/>
  <c r="D209" i="9"/>
  <c r="C209" i="9" s="1"/>
  <c r="D210" i="9"/>
  <c r="C210" i="9" s="1"/>
  <c r="D211" i="9"/>
  <c r="C211" i="9" s="1"/>
  <c r="D212" i="9"/>
  <c r="C212" i="9" s="1"/>
  <c r="D213" i="9"/>
  <c r="C213" i="9" s="1"/>
  <c r="D214" i="9"/>
  <c r="C214" i="9" s="1"/>
  <c r="D215" i="9"/>
  <c r="C215" i="9" s="1"/>
  <c r="D216" i="9"/>
  <c r="C216" i="9" s="1"/>
  <c r="D217" i="9"/>
  <c r="C217" i="9" s="1"/>
  <c r="D218" i="9"/>
  <c r="C218" i="9" s="1"/>
  <c r="D219" i="9"/>
  <c r="C219" i="9" s="1"/>
  <c r="D220" i="9"/>
  <c r="C220" i="9" s="1"/>
  <c r="D221" i="9"/>
  <c r="C221" i="9" s="1"/>
  <c r="D222" i="9"/>
  <c r="C222" i="9" s="1"/>
  <c r="D223" i="9"/>
  <c r="C223" i="9" s="1"/>
  <c r="D224" i="9"/>
  <c r="C224" i="9" s="1"/>
  <c r="D225" i="9"/>
  <c r="C225" i="9" s="1"/>
  <c r="D226" i="9"/>
  <c r="C226" i="9" s="1"/>
  <c r="D227" i="9"/>
  <c r="C227" i="9" s="1"/>
  <c r="D228" i="9"/>
  <c r="C228" i="9" s="1"/>
  <c r="D229" i="9"/>
  <c r="C229" i="9" s="1"/>
  <c r="D230" i="9"/>
  <c r="C230" i="9" s="1"/>
  <c r="D231" i="9"/>
  <c r="C231" i="9" s="1"/>
  <c r="D232" i="9"/>
  <c r="C232" i="9" s="1"/>
  <c r="D233" i="9"/>
  <c r="C233" i="9" s="1"/>
  <c r="D234" i="9"/>
  <c r="C234" i="9" s="1"/>
  <c r="D235" i="9"/>
  <c r="C235" i="9" s="1"/>
  <c r="D236" i="9"/>
  <c r="C236" i="9" s="1"/>
  <c r="D237" i="9"/>
  <c r="C237" i="9" s="1"/>
  <c r="D238" i="9"/>
  <c r="C238" i="9" s="1"/>
  <c r="D239" i="9"/>
  <c r="C239" i="9" s="1"/>
  <c r="D240" i="9"/>
  <c r="C240" i="9" s="1"/>
  <c r="D241" i="9"/>
  <c r="C241" i="9" s="1"/>
  <c r="D242" i="9"/>
  <c r="C242" i="9" s="1"/>
  <c r="D243" i="9"/>
  <c r="C243" i="9" s="1"/>
  <c r="D244" i="9"/>
  <c r="C244" i="9" s="1"/>
  <c r="D245" i="9"/>
  <c r="C245" i="9" s="1"/>
  <c r="D246" i="9"/>
  <c r="C246" i="9" s="1"/>
  <c r="D247" i="9"/>
  <c r="C247" i="9" s="1"/>
  <c r="D248" i="9"/>
  <c r="C248" i="9" s="1"/>
  <c r="D249" i="9"/>
  <c r="C249" i="9" s="1"/>
  <c r="D250" i="9"/>
  <c r="C250" i="9" s="1"/>
  <c r="D251" i="9"/>
  <c r="C251" i="9" s="1"/>
  <c r="D252" i="9"/>
  <c r="C252" i="9" s="1"/>
  <c r="D253" i="9"/>
  <c r="C253" i="9" s="1"/>
  <c r="D254" i="9"/>
  <c r="C254" i="9" s="1"/>
  <c r="D255" i="9"/>
  <c r="C255" i="9" s="1"/>
  <c r="D256" i="9"/>
  <c r="C256" i="9" s="1"/>
  <c r="D257" i="9"/>
  <c r="C257" i="9" s="1"/>
  <c r="D258" i="9"/>
  <c r="C258" i="9" s="1"/>
  <c r="D259" i="9"/>
  <c r="C259" i="9" s="1"/>
  <c r="D260" i="9"/>
  <c r="C260" i="9" s="1"/>
  <c r="D261" i="9"/>
  <c r="C261" i="9" s="1"/>
  <c r="D262" i="9"/>
  <c r="C262" i="9" s="1"/>
  <c r="D263" i="9"/>
  <c r="C263" i="9" s="1"/>
  <c r="D264" i="9"/>
  <c r="C264" i="9" s="1"/>
  <c r="D265" i="9"/>
  <c r="C265" i="9" s="1"/>
  <c r="D266" i="9"/>
  <c r="C266" i="9" s="1"/>
  <c r="D267" i="9"/>
  <c r="C267" i="9" s="1"/>
  <c r="D268" i="9"/>
  <c r="C268" i="9" s="1"/>
  <c r="D269" i="9"/>
  <c r="C269" i="9" s="1"/>
  <c r="D270" i="9"/>
  <c r="C270" i="9" s="1"/>
  <c r="D271" i="9"/>
  <c r="C271" i="9" s="1"/>
  <c r="D272" i="9"/>
  <c r="C272" i="9" s="1"/>
  <c r="D273" i="9"/>
  <c r="C273" i="9" s="1"/>
  <c r="D274" i="9"/>
  <c r="C274" i="9" s="1"/>
  <c r="D275" i="9"/>
  <c r="C275" i="9" s="1"/>
  <c r="D276" i="9"/>
  <c r="C276" i="9" s="1"/>
  <c r="D277" i="9"/>
  <c r="C277" i="9" s="1"/>
  <c r="D278" i="9"/>
  <c r="C278" i="9" s="1"/>
  <c r="D279" i="9"/>
  <c r="C279" i="9" s="1"/>
  <c r="D280" i="9"/>
  <c r="C280" i="9" s="1"/>
  <c r="D281" i="9"/>
  <c r="C281" i="9" s="1"/>
  <c r="D282" i="9"/>
  <c r="C282" i="9" s="1"/>
  <c r="D283" i="9"/>
  <c r="C283" i="9" s="1"/>
  <c r="D284" i="9"/>
  <c r="C284" i="9" s="1"/>
  <c r="D285" i="9"/>
  <c r="C285" i="9" s="1"/>
  <c r="D286" i="9"/>
  <c r="C286" i="9" s="1"/>
  <c r="D287" i="9"/>
  <c r="C287" i="9" s="1"/>
  <c r="D288" i="9"/>
  <c r="C288" i="9" s="1"/>
  <c r="D289" i="9"/>
  <c r="C289" i="9" s="1"/>
  <c r="D290" i="9"/>
  <c r="C290" i="9" s="1"/>
  <c r="D291" i="9"/>
  <c r="C291" i="9" s="1"/>
  <c r="D292" i="9"/>
  <c r="C292" i="9" s="1"/>
  <c r="D293" i="9"/>
  <c r="C293" i="9" s="1"/>
  <c r="D294" i="9"/>
  <c r="C294" i="9" s="1"/>
  <c r="D295" i="9"/>
  <c r="C295" i="9" s="1"/>
  <c r="D296" i="9"/>
  <c r="C296" i="9" s="1"/>
  <c r="D297" i="9"/>
  <c r="C297" i="9" s="1"/>
  <c r="D298" i="9"/>
  <c r="C298" i="9" s="1"/>
  <c r="D299" i="9"/>
  <c r="C299" i="9" s="1"/>
  <c r="D300" i="9"/>
  <c r="C300" i="9" s="1"/>
  <c r="D301" i="9"/>
  <c r="C301" i="9" s="1"/>
  <c r="D302" i="9"/>
  <c r="C302" i="9" s="1"/>
  <c r="D303" i="9"/>
  <c r="C303" i="9" s="1"/>
  <c r="D304" i="9"/>
  <c r="C304" i="9" s="1"/>
  <c r="D305" i="9"/>
  <c r="C305" i="9" s="1"/>
  <c r="D306" i="9"/>
  <c r="C306" i="9" s="1"/>
  <c r="D307" i="9"/>
  <c r="C307" i="9" s="1"/>
  <c r="D308" i="9"/>
  <c r="C308" i="9" s="1"/>
  <c r="D309" i="9"/>
  <c r="C309" i="9" s="1"/>
  <c r="D310" i="9"/>
  <c r="C310" i="9" s="1"/>
  <c r="D311" i="9"/>
  <c r="C311" i="9" s="1"/>
  <c r="D312" i="9"/>
  <c r="C312" i="9" s="1"/>
  <c r="D313" i="9"/>
  <c r="C313" i="9" s="1"/>
  <c r="D314" i="9"/>
  <c r="C314" i="9" s="1"/>
  <c r="D315" i="9"/>
  <c r="C315" i="9" s="1"/>
  <c r="D316" i="9"/>
  <c r="C316" i="9" s="1"/>
  <c r="D317" i="9"/>
  <c r="C317" i="9" s="1"/>
  <c r="D318" i="9"/>
  <c r="C318" i="9" s="1"/>
  <c r="D319" i="9"/>
  <c r="C319" i="9" s="1"/>
  <c r="D320" i="9"/>
  <c r="C320" i="9" s="1"/>
  <c r="D321" i="9"/>
  <c r="C321" i="9" s="1"/>
  <c r="D322" i="9"/>
  <c r="C322" i="9" s="1"/>
  <c r="D323" i="9"/>
  <c r="C323" i="9" s="1"/>
  <c r="D324" i="9"/>
  <c r="C324" i="9" s="1"/>
  <c r="D325" i="9"/>
  <c r="C325" i="9" s="1"/>
  <c r="D326" i="9"/>
  <c r="C326" i="9" s="1"/>
  <c r="D327" i="9"/>
  <c r="C327" i="9" s="1"/>
  <c r="D328" i="9"/>
  <c r="C328" i="9" s="1"/>
  <c r="D329" i="9"/>
  <c r="C329" i="9" s="1"/>
  <c r="D330" i="9"/>
  <c r="C330" i="9" s="1"/>
  <c r="D331" i="9"/>
  <c r="C331" i="9" s="1"/>
  <c r="D332" i="9"/>
  <c r="C332" i="9" s="1"/>
  <c r="D333" i="9"/>
  <c r="C333" i="9" s="1"/>
  <c r="D334" i="9"/>
  <c r="C334" i="9" s="1"/>
  <c r="D335" i="9"/>
  <c r="C335" i="9" s="1"/>
  <c r="D336" i="9"/>
  <c r="C336" i="9" s="1"/>
  <c r="D337" i="9"/>
  <c r="C337" i="9" s="1"/>
  <c r="D338" i="9"/>
  <c r="C338" i="9" s="1"/>
  <c r="D339" i="9"/>
  <c r="C339" i="9" s="1"/>
  <c r="D340" i="9"/>
  <c r="C340" i="9" s="1"/>
  <c r="D341" i="9"/>
  <c r="C341" i="9" s="1"/>
  <c r="D342" i="9"/>
  <c r="C342" i="9" s="1"/>
  <c r="D343" i="9"/>
  <c r="C343" i="9" s="1"/>
  <c r="D344" i="9"/>
  <c r="C344" i="9" s="1"/>
  <c r="D345" i="9"/>
  <c r="C345" i="9" s="1"/>
  <c r="D346" i="9"/>
  <c r="C346" i="9" s="1"/>
  <c r="D347" i="9"/>
  <c r="C347" i="9" s="1"/>
  <c r="D348" i="9"/>
  <c r="C348" i="9" s="1"/>
  <c r="D349" i="9"/>
  <c r="C349" i="9" s="1"/>
  <c r="D350" i="9"/>
  <c r="C350" i="9" s="1"/>
  <c r="D351" i="9"/>
  <c r="C351" i="9" s="1"/>
  <c r="D352" i="9"/>
  <c r="C352" i="9" s="1"/>
  <c r="D353" i="9"/>
  <c r="C353" i="9" s="1"/>
  <c r="D354" i="9"/>
  <c r="C354" i="9" s="1"/>
  <c r="D355" i="9"/>
  <c r="C355" i="9" s="1"/>
  <c r="D356" i="9"/>
  <c r="C356" i="9" s="1"/>
  <c r="D357" i="9"/>
  <c r="C357" i="9" s="1"/>
  <c r="D358" i="9"/>
  <c r="C358" i="9" s="1"/>
  <c r="D359" i="9"/>
  <c r="C359" i="9" s="1"/>
  <c r="D360" i="9"/>
  <c r="C360" i="9" s="1"/>
  <c r="D361" i="9"/>
  <c r="C361" i="9" s="1"/>
  <c r="D362" i="9"/>
  <c r="C362" i="9" s="1"/>
  <c r="D363" i="9"/>
  <c r="C363" i="9" s="1"/>
  <c r="D364" i="9"/>
  <c r="C364" i="9" s="1"/>
  <c r="D365" i="9"/>
  <c r="C365" i="9" s="1"/>
  <c r="D366" i="9"/>
  <c r="C366" i="9" s="1"/>
  <c r="D367" i="9"/>
  <c r="C367" i="9" s="1"/>
  <c r="D368" i="9"/>
  <c r="C368" i="9" s="1"/>
  <c r="D369" i="9"/>
  <c r="C369" i="9" s="1"/>
  <c r="D370" i="9"/>
  <c r="C370" i="9" s="1"/>
  <c r="D371" i="9"/>
  <c r="C371" i="9" s="1"/>
  <c r="D372" i="9"/>
  <c r="C372" i="9" s="1"/>
  <c r="D373" i="9"/>
  <c r="C373" i="9" s="1"/>
  <c r="D374" i="9"/>
  <c r="C374" i="9" s="1"/>
  <c r="D375" i="9"/>
  <c r="C375" i="9" s="1"/>
  <c r="D376" i="9"/>
  <c r="C376" i="9" s="1"/>
  <c r="D377" i="9"/>
  <c r="C377" i="9" s="1"/>
  <c r="D378" i="9"/>
  <c r="C378" i="9" s="1"/>
  <c r="D379" i="9"/>
  <c r="C379" i="9" s="1"/>
  <c r="D380" i="9"/>
  <c r="C380" i="9" s="1"/>
  <c r="D381" i="9"/>
  <c r="C381" i="9" s="1"/>
  <c r="D382" i="9"/>
  <c r="C382" i="9" s="1"/>
  <c r="D383" i="9"/>
  <c r="C383" i="9" s="1"/>
  <c r="D384" i="9"/>
  <c r="C384" i="9" s="1"/>
  <c r="D385" i="9"/>
  <c r="C385" i="9" s="1"/>
  <c r="D386" i="9"/>
  <c r="C386" i="9" s="1"/>
  <c r="D387" i="9"/>
  <c r="C387" i="9" s="1"/>
  <c r="D388" i="9"/>
  <c r="C388" i="9" s="1"/>
  <c r="D389" i="9"/>
  <c r="C389" i="9" s="1"/>
  <c r="D390" i="9"/>
  <c r="C390" i="9" s="1"/>
  <c r="D391" i="9"/>
  <c r="C391" i="9" s="1"/>
  <c r="D392" i="9"/>
  <c r="C392" i="9" s="1"/>
  <c r="D393" i="9"/>
  <c r="C393" i="9" s="1"/>
  <c r="D394" i="9"/>
  <c r="C394" i="9" s="1"/>
  <c r="D395" i="9"/>
  <c r="C395" i="9" s="1"/>
  <c r="D396" i="9"/>
  <c r="C396" i="9" s="1"/>
  <c r="D397" i="9"/>
  <c r="C397" i="9" s="1"/>
  <c r="D398" i="9"/>
  <c r="C398" i="9" s="1"/>
  <c r="D399" i="9"/>
  <c r="C399" i="9" s="1"/>
  <c r="D400" i="9"/>
  <c r="C400" i="9" s="1"/>
  <c r="D401" i="9"/>
  <c r="C401" i="9" s="1"/>
  <c r="D402" i="9"/>
  <c r="C402" i="9" s="1"/>
  <c r="D403" i="9"/>
  <c r="C403" i="9" s="1"/>
  <c r="D404" i="9"/>
  <c r="C404" i="9" s="1"/>
  <c r="D405" i="9"/>
  <c r="C405" i="9" s="1"/>
  <c r="D406" i="9"/>
  <c r="C406" i="9" s="1"/>
  <c r="D407" i="9"/>
  <c r="C407" i="9" s="1"/>
  <c r="D408" i="9"/>
  <c r="C408" i="9" s="1"/>
  <c r="D409" i="9"/>
  <c r="C409" i="9" s="1"/>
  <c r="D410" i="9"/>
  <c r="C410" i="9" s="1"/>
  <c r="D411" i="9"/>
  <c r="C411" i="9" s="1"/>
  <c r="D412" i="9"/>
  <c r="C412" i="9" s="1"/>
  <c r="D413" i="9"/>
  <c r="C413" i="9" s="1"/>
  <c r="D414" i="9"/>
  <c r="C414" i="9" s="1"/>
  <c r="D415" i="9"/>
  <c r="C415" i="9" s="1"/>
  <c r="D416" i="9"/>
  <c r="C416" i="9" s="1"/>
  <c r="D417" i="9"/>
  <c r="C417" i="9" s="1"/>
  <c r="D418" i="9"/>
  <c r="C418" i="9" s="1"/>
  <c r="D419" i="9"/>
  <c r="C419" i="9" s="1"/>
  <c r="D420" i="9"/>
  <c r="C420" i="9" s="1"/>
  <c r="D421" i="9"/>
  <c r="C421" i="9" s="1"/>
  <c r="D422" i="9"/>
  <c r="C422" i="9" s="1"/>
  <c r="D423" i="9"/>
  <c r="C423" i="9" s="1"/>
  <c r="D424" i="9"/>
  <c r="C424" i="9" s="1"/>
  <c r="D425" i="9"/>
  <c r="C425" i="9" s="1"/>
  <c r="D426" i="9"/>
  <c r="C426" i="9" s="1"/>
  <c r="D427" i="9"/>
  <c r="C427" i="9" s="1"/>
  <c r="D428" i="9"/>
  <c r="C428" i="9" s="1"/>
  <c r="D429" i="9"/>
  <c r="C429" i="9" s="1"/>
  <c r="D430" i="9"/>
  <c r="C430" i="9" s="1"/>
  <c r="D431" i="9"/>
  <c r="C431" i="9" s="1"/>
  <c r="D432" i="9"/>
  <c r="C432" i="9" s="1"/>
  <c r="D433" i="9"/>
  <c r="C433" i="9" s="1"/>
  <c r="D434" i="9"/>
  <c r="C434" i="9" s="1"/>
  <c r="D435" i="9"/>
  <c r="C435" i="9" s="1"/>
  <c r="D436" i="9"/>
  <c r="C436" i="9" s="1"/>
  <c r="D437" i="9"/>
  <c r="C437" i="9" s="1"/>
  <c r="D438" i="9"/>
  <c r="C438" i="9" s="1"/>
  <c r="D439" i="9"/>
  <c r="C439" i="9" s="1"/>
  <c r="D440" i="9"/>
  <c r="C440" i="9" s="1"/>
  <c r="D441" i="9"/>
  <c r="C441" i="9" s="1"/>
  <c r="D442" i="9"/>
  <c r="C442" i="9" s="1"/>
  <c r="D443" i="9"/>
  <c r="C443" i="9" s="1"/>
  <c r="D444" i="9"/>
  <c r="C444" i="9" s="1"/>
  <c r="D445" i="9"/>
  <c r="C445" i="9" s="1"/>
  <c r="D446" i="9"/>
  <c r="C446" i="9" s="1"/>
  <c r="D447" i="9"/>
  <c r="C447" i="9" s="1"/>
  <c r="D448" i="9"/>
  <c r="C448" i="9" s="1"/>
  <c r="D449" i="9"/>
  <c r="C449" i="9" s="1"/>
  <c r="D450" i="9"/>
  <c r="C450" i="9" s="1"/>
  <c r="D451" i="9"/>
  <c r="C451" i="9" s="1"/>
  <c r="D452" i="9"/>
  <c r="C452" i="9" s="1"/>
  <c r="D453" i="9"/>
  <c r="C453" i="9" s="1"/>
  <c r="D454" i="9"/>
  <c r="C454" i="9" s="1"/>
  <c r="D455" i="9"/>
  <c r="C455" i="9" s="1"/>
  <c r="D456" i="9"/>
  <c r="C456" i="9" s="1"/>
  <c r="D457" i="9"/>
  <c r="C457" i="9" s="1"/>
  <c r="D458" i="9"/>
  <c r="C458" i="9" s="1"/>
  <c r="D459" i="9"/>
  <c r="C459" i="9" s="1"/>
  <c r="D460" i="9"/>
  <c r="C460" i="9" s="1"/>
  <c r="D461" i="9"/>
  <c r="C461" i="9" s="1"/>
  <c r="D462" i="9"/>
  <c r="C462" i="9" s="1"/>
  <c r="D463" i="9"/>
  <c r="C463" i="9" s="1"/>
  <c r="D464" i="9"/>
  <c r="C464" i="9" s="1"/>
  <c r="D465" i="9"/>
  <c r="C465" i="9" s="1"/>
  <c r="D466" i="9"/>
  <c r="C466" i="9" s="1"/>
  <c r="D467" i="9"/>
  <c r="C467" i="9" s="1"/>
  <c r="D468" i="9"/>
  <c r="C468" i="9" s="1"/>
  <c r="D469" i="9"/>
  <c r="C469" i="9" s="1"/>
  <c r="D470" i="9"/>
  <c r="C470" i="9" s="1"/>
  <c r="D471" i="9"/>
  <c r="C471" i="9" s="1"/>
  <c r="D472" i="9"/>
  <c r="C472" i="9" s="1"/>
  <c r="D473" i="9"/>
  <c r="C473" i="9" s="1"/>
  <c r="D474" i="9"/>
  <c r="C474" i="9" s="1"/>
  <c r="D475" i="9"/>
  <c r="C475" i="9" s="1"/>
  <c r="D476" i="9"/>
  <c r="C476" i="9" s="1"/>
  <c r="D477" i="9"/>
  <c r="C477" i="9" s="1"/>
  <c r="D478" i="9"/>
  <c r="C478" i="9" s="1"/>
  <c r="D479" i="9"/>
  <c r="C479" i="9" s="1"/>
  <c r="D480" i="9"/>
  <c r="C480" i="9" s="1"/>
  <c r="D481" i="9"/>
  <c r="C481" i="9" s="1"/>
  <c r="D482" i="9"/>
  <c r="C482" i="9" s="1"/>
  <c r="D483" i="9"/>
  <c r="C483" i="9" s="1"/>
  <c r="D484" i="9"/>
  <c r="C484" i="9" s="1"/>
  <c r="D485" i="9"/>
  <c r="C485" i="9" s="1"/>
  <c r="D486" i="9"/>
  <c r="C486" i="9" s="1"/>
  <c r="D487" i="9"/>
  <c r="C487" i="9" s="1"/>
  <c r="D488" i="9"/>
  <c r="C488" i="9" s="1"/>
  <c r="D489" i="9"/>
  <c r="C489" i="9" s="1"/>
  <c r="D490" i="9"/>
  <c r="C490" i="9" s="1"/>
  <c r="D491" i="9"/>
  <c r="C491" i="9" s="1"/>
  <c r="D492" i="9"/>
  <c r="C492" i="9" s="1"/>
  <c r="D493" i="9"/>
  <c r="C493" i="9" s="1"/>
  <c r="D494" i="9"/>
  <c r="C494" i="9" s="1"/>
  <c r="D495" i="9"/>
  <c r="C495" i="9" s="1"/>
  <c r="D496" i="9"/>
  <c r="C496" i="9" s="1"/>
  <c r="D497" i="9"/>
  <c r="C497" i="9" s="1"/>
  <c r="D498" i="9"/>
  <c r="C498" i="9" s="1"/>
  <c r="D499" i="9"/>
  <c r="C499" i="9" s="1"/>
  <c r="D500" i="9"/>
  <c r="C500" i="9" s="1"/>
  <c r="D501" i="9"/>
  <c r="C501" i="9" s="1"/>
  <c r="D502" i="9"/>
  <c r="C502" i="9" s="1"/>
  <c r="D503" i="9"/>
  <c r="C503" i="9" s="1"/>
  <c r="D504" i="9"/>
  <c r="C504" i="9" s="1"/>
  <c r="D505" i="9"/>
  <c r="C505" i="9" s="1"/>
  <c r="D506" i="9"/>
  <c r="C506" i="9" s="1"/>
  <c r="D507" i="9"/>
  <c r="C507" i="9" s="1"/>
  <c r="D508" i="9"/>
  <c r="C508" i="9" s="1"/>
  <c r="D509" i="9"/>
  <c r="C509" i="9" s="1"/>
  <c r="D510" i="9"/>
  <c r="C510" i="9" s="1"/>
  <c r="D511" i="9"/>
  <c r="C511" i="9" s="1"/>
  <c r="D512" i="9"/>
  <c r="C512" i="9" s="1"/>
  <c r="D513" i="9"/>
  <c r="C513" i="9" s="1"/>
  <c r="D514" i="9"/>
  <c r="C514" i="9" s="1"/>
  <c r="D515" i="9"/>
  <c r="C515" i="9" s="1"/>
  <c r="D516" i="9"/>
  <c r="C516" i="9" s="1"/>
  <c r="D517" i="9"/>
  <c r="C517" i="9" s="1"/>
  <c r="D518" i="9"/>
  <c r="C518" i="9" s="1"/>
  <c r="D519" i="9"/>
  <c r="C519" i="9" s="1"/>
  <c r="D520" i="9"/>
  <c r="C520" i="9" s="1"/>
  <c r="D521" i="9"/>
  <c r="C521" i="9" s="1"/>
  <c r="D522" i="9"/>
  <c r="C522" i="9" s="1"/>
  <c r="D523" i="9"/>
  <c r="C523" i="9" s="1"/>
  <c r="D524" i="9"/>
  <c r="C524" i="9" s="1"/>
  <c r="D525" i="9"/>
  <c r="C525" i="9" s="1"/>
  <c r="D526" i="9"/>
  <c r="C526" i="9" s="1"/>
  <c r="D527" i="9"/>
  <c r="C527" i="9" s="1"/>
  <c r="D528" i="9"/>
  <c r="C528" i="9" s="1"/>
  <c r="D529" i="9"/>
  <c r="C529" i="9" s="1"/>
  <c r="D530" i="9"/>
  <c r="C530" i="9" s="1"/>
  <c r="D531" i="9"/>
  <c r="C531" i="9" s="1"/>
  <c r="D532" i="9"/>
  <c r="C532" i="9" s="1"/>
  <c r="D533" i="9"/>
  <c r="C533" i="9" s="1"/>
  <c r="D534" i="9"/>
  <c r="C534" i="9" s="1"/>
  <c r="D535" i="9"/>
  <c r="C535" i="9" s="1"/>
  <c r="D536" i="9"/>
  <c r="C536" i="9" s="1"/>
  <c r="D537" i="9"/>
  <c r="C537" i="9" s="1"/>
  <c r="D538" i="9"/>
  <c r="C538" i="9" s="1"/>
  <c r="D539" i="9"/>
  <c r="C539" i="9" s="1"/>
  <c r="D540" i="9"/>
  <c r="C540" i="9" s="1"/>
  <c r="D541" i="9"/>
  <c r="C541" i="9" s="1"/>
  <c r="D542" i="9"/>
  <c r="C542" i="9" s="1"/>
  <c r="D543" i="9"/>
  <c r="C543" i="9" s="1"/>
  <c r="D544" i="9"/>
  <c r="C544" i="9" s="1"/>
  <c r="D545" i="9"/>
  <c r="C545" i="9" s="1"/>
  <c r="D546" i="9"/>
  <c r="C546" i="9" s="1"/>
  <c r="D547" i="9"/>
  <c r="C547" i="9" s="1"/>
  <c r="D548" i="9"/>
  <c r="C548" i="9" s="1"/>
  <c r="D549" i="9"/>
  <c r="C549" i="9" s="1"/>
  <c r="D550" i="9"/>
  <c r="C550" i="9" s="1"/>
  <c r="D551" i="9"/>
  <c r="C551" i="9" s="1"/>
  <c r="D552" i="9"/>
  <c r="C552" i="9" s="1"/>
  <c r="D553" i="9"/>
  <c r="C553" i="9" s="1"/>
  <c r="D554" i="9"/>
  <c r="C554" i="9" s="1"/>
  <c r="D555" i="9"/>
  <c r="C555" i="9" s="1"/>
  <c r="D556" i="9"/>
  <c r="C556" i="9" s="1"/>
  <c r="D557" i="9"/>
  <c r="C557" i="9" s="1"/>
  <c r="D558" i="9"/>
  <c r="C558" i="9" s="1"/>
  <c r="D559" i="9"/>
  <c r="C559" i="9" s="1"/>
  <c r="D560" i="9"/>
  <c r="C560" i="9" s="1"/>
  <c r="D561" i="9"/>
  <c r="C561" i="9" s="1"/>
  <c r="D562" i="9"/>
  <c r="C562" i="9" s="1"/>
  <c r="D563" i="9"/>
  <c r="C563" i="9" s="1"/>
  <c r="D564" i="9"/>
  <c r="C564" i="9" s="1"/>
  <c r="D565" i="9"/>
  <c r="C565" i="9" s="1"/>
  <c r="D566" i="9"/>
  <c r="C566" i="9" s="1"/>
  <c r="D567" i="9"/>
  <c r="C567" i="9" s="1"/>
  <c r="D568" i="9"/>
  <c r="C568" i="9" s="1"/>
  <c r="D569" i="9"/>
  <c r="C569" i="9" s="1"/>
  <c r="D570" i="9"/>
  <c r="C570" i="9" s="1"/>
  <c r="D571" i="9"/>
  <c r="C571" i="9" s="1"/>
  <c r="D572" i="9"/>
  <c r="C572" i="9" s="1"/>
  <c r="D573" i="9"/>
  <c r="C573" i="9" s="1"/>
  <c r="D574" i="9"/>
  <c r="C574" i="9" s="1"/>
  <c r="D575" i="9"/>
  <c r="C575" i="9" s="1"/>
  <c r="D576" i="9"/>
  <c r="C576" i="9" s="1"/>
  <c r="D577" i="9"/>
  <c r="C577" i="9" s="1"/>
  <c r="D578" i="9"/>
  <c r="C578" i="9" s="1"/>
  <c r="D579" i="9"/>
  <c r="C579" i="9" s="1"/>
  <c r="D580" i="9"/>
  <c r="C580" i="9" s="1"/>
  <c r="D581" i="9"/>
  <c r="C581" i="9" s="1"/>
  <c r="D582" i="9"/>
  <c r="C582" i="9" s="1"/>
  <c r="D583" i="9"/>
  <c r="C583" i="9" s="1"/>
  <c r="D584" i="9"/>
  <c r="C584" i="9" s="1"/>
  <c r="D585" i="9"/>
  <c r="C585" i="9" s="1"/>
  <c r="D586" i="9"/>
  <c r="C586" i="9" s="1"/>
  <c r="D587" i="9"/>
  <c r="C587" i="9" s="1"/>
  <c r="D588" i="9"/>
  <c r="C588" i="9" s="1"/>
  <c r="D589" i="9"/>
  <c r="C589" i="9" s="1"/>
  <c r="D590" i="9"/>
  <c r="C590" i="9" s="1"/>
  <c r="D591" i="9"/>
  <c r="C591" i="9" s="1"/>
  <c r="D592" i="9"/>
  <c r="C592" i="9" s="1"/>
  <c r="D593" i="9"/>
  <c r="C593" i="9" s="1"/>
  <c r="D594" i="9"/>
  <c r="C594" i="9" s="1"/>
  <c r="D595" i="9"/>
  <c r="C595" i="9" s="1"/>
  <c r="D596" i="9"/>
  <c r="C596" i="9" s="1"/>
  <c r="D597" i="9"/>
  <c r="C597" i="9" s="1"/>
  <c r="D598" i="9"/>
  <c r="C598" i="9" s="1"/>
  <c r="D599" i="9"/>
  <c r="C599" i="9" s="1"/>
  <c r="D600" i="9"/>
  <c r="C600" i="9" s="1"/>
  <c r="D601" i="9"/>
  <c r="C601" i="9" s="1"/>
  <c r="D602" i="9"/>
  <c r="C602" i="9" s="1"/>
  <c r="D603" i="9"/>
  <c r="C603" i="9" s="1"/>
  <c r="D604" i="9"/>
  <c r="C604" i="9" s="1"/>
  <c r="D605" i="9"/>
  <c r="C605" i="9" s="1"/>
  <c r="D606" i="9"/>
  <c r="C606" i="9" s="1"/>
  <c r="D607" i="9"/>
  <c r="C607" i="9" s="1"/>
  <c r="D608" i="9"/>
  <c r="C608" i="9" s="1"/>
  <c r="D609" i="9"/>
  <c r="C609" i="9" s="1"/>
  <c r="D610" i="9"/>
  <c r="C610" i="9" s="1"/>
  <c r="D611" i="9"/>
  <c r="C611" i="9" s="1"/>
  <c r="D612" i="9"/>
  <c r="C612" i="9" s="1"/>
  <c r="D613" i="9"/>
  <c r="C613" i="9" s="1"/>
  <c r="D614" i="9"/>
  <c r="C614" i="9" s="1"/>
  <c r="D615" i="9"/>
  <c r="C615" i="9" s="1"/>
  <c r="D616" i="9"/>
  <c r="C616" i="9" s="1"/>
  <c r="D617" i="9"/>
  <c r="C617" i="9" s="1"/>
  <c r="D618" i="9"/>
  <c r="C618" i="9" s="1"/>
  <c r="D619" i="9"/>
  <c r="C619" i="9" s="1"/>
  <c r="D620" i="9"/>
  <c r="C620" i="9" s="1"/>
  <c r="D621" i="9"/>
  <c r="C621" i="9" s="1"/>
  <c r="D622" i="9"/>
  <c r="C622" i="9" s="1"/>
  <c r="D623" i="9"/>
  <c r="C623" i="9" s="1"/>
  <c r="D624" i="9"/>
  <c r="C624" i="9" s="1"/>
  <c r="D625" i="9"/>
  <c r="C625" i="9" s="1"/>
  <c r="D626" i="9"/>
  <c r="C626" i="9" s="1"/>
  <c r="D627" i="9"/>
  <c r="C627" i="9" s="1"/>
  <c r="D628" i="9"/>
  <c r="C628" i="9" s="1"/>
  <c r="D629" i="9"/>
  <c r="C629" i="9" s="1"/>
  <c r="D630" i="9"/>
  <c r="C630" i="9" s="1"/>
  <c r="D631" i="9"/>
  <c r="C631" i="9" s="1"/>
  <c r="D632" i="9"/>
  <c r="C632" i="9" s="1"/>
  <c r="D633" i="9"/>
  <c r="C633" i="9" s="1"/>
  <c r="D634" i="9"/>
  <c r="C634" i="9" s="1"/>
  <c r="D635" i="9"/>
  <c r="C635" i="9" s="1"/>
  <c r="D636" i="9"/>
  <c r="C636" i="9" s="1"/>
  <c r="D637" i="9"/>
  <c r="C637" i="9" s="1"/>
  <c r="D638" i="9"/>
  <c r="C638" i="9" s="1"/>
  <c r="D639" i="9"/>
  <c r="C639" i="9" s="1"/>
  <c r="D640" i="9"/>
  <c r="C640" i="9" s="1"/>
  <c r="D641" i="9"/>
  <c r="C641" i="9" s="1"/>
  <c r="D642" i="9"/>
  <c r="C642" i="9" s="1"/>
  <c r="D643" i="9"/>
  <c r="C643" i="9" s="1"/>
  <c r="D644" i="9"/>
  <c r="C644" i="9" s="1"/>
  <c r="D645" i="9"/>
  <c r="C645" i="9" s="1"/>
  <c r="D646" i="9"/>
  <c r="C646" i="9" s="1"/>
  <c r="D647" i="9"/>
  <c r="C647" i="9" s="1"/>
  <c r="D648" i="9"/>
  <c r="C648" i="9" s="1"/>
  <c r="D649" i="9"/>
  <c r="C649" i="9" s="1"/>
  <c r="D650" i="9"/>
  <c r="C650" i="9" s="1"/>
  <c r="D651" i="9"/>
  <c r="C651" i="9" s="1"/>
  <c r="D652" i="9"/>
  <c r="C652" i="9" s="1"/>
  <c r="D653" i="9"/>
  <c r="C653" i="9" s="1"/>
  <c r="D654" i="9"/>
  <c r="C654" i="9" s="1"/>
  <c r="D655" i="9"/>
  <c r="C655" i="9" s="1"/>
  <c r="D656" i="9"/>
  <c r="C656" i="9" s="1"/>
  <c r="D657" i="9"/>
  <c r="C657" i="9" s="1"/>
  <c r="D658" i="9"/>
  <c r="C658" i="9" s="1"/>
  <c r="D659" i="9"/>
  <c r="C659" i="9" s="1"/>
  <c r="D660" i="9"/>
  <c r="C660" i="9" s="1"/>
  <c r="D661" i="9"/>
  <c r="C661" i="9" s="1"/>
  <c r="D662" i="9"/>
  <c r="C662" i="9" s="1"/>
  <c r="D663" i="9"/>
  <c r="C663" i="9" s="1"/>
  <c r="D664" i="9"/>
  <c r="C664" i="9" s="1"/>
  <c r="D665" i="9"/>
  <c r="C665" i="9" s="1"/>
  <c r="D666" i="9"/>
  <c r="C666" i="9" s="1"/>
  <c r="D667" i="9"/>
  <c r="C667" i="9" s="1"/>
  <c r="D668" i="9"/>
  <c r="C668" i="9" s="1"/>
  <c r="D669" i="9"/>
  <c r="C669" i="9" s="1"/>
  <c r="D670" i="9"/>
  <c r="C670" i="9" s="1"/>
  <c r="D671" i="9"/>
  <c r="C671" i="9" s="1"/>
  <c r="D672" i="9"/>
  <c r="C672" i="9" s="1"/>
  <c r="D673" i="9"/>
  <c r="C673" i="9" s="1"/>
  <c r="D674" i="9"/>
  <c r="C674" i="9" s="1"/>
  <c r="D675" i="9"/>
  <c r="C675" i="9" s="1"/>
  <c r="D676" i="9"/>
  <c r="C676" i="9" s="1"/>
  <c r="D677" i="9"/>
  <c r="C677" i="9" s="1"/>
  <c r="D678" i="9"/>
  <c r="C678" i="9" s="1"/>
  <c r="D679" i="9"/>
  <c r="C679" i="9" s="1"/>
  <c r="D680" i="9"/>
  <c r="C680" i="9" s="1"/>
  <c r="D681" i="9"/>
  <c r="C681" i="9" s="1"/>
  <c r="D682" i="9"/>
  <c r="C682" i="9" s="1"/>
  <c r="D683" i="9"/>
  <c r="C683" i="9" s="1"/>
  <c r="D684" i="9"/>
  <c r="C684" i="9" s="1"/>
  <c r="D685" i="9"/>
  <c r="C685" i="9" s="1"/>
  <c r="D686" i="9"/>
  <c r="C686" i="9" s="1"/>
  <c r="D687" i="9"/>
  <c r="C687" i="9" s="1"/>
  <c r="D688" i="9"/>
  <c r="C688" i="9" s="1"/>
  <c r="D689" i="9"/>
  <c r="C689" i="9" s="1"/>
  <c r="D690" i="9"/>
  <c r="C690" i="9" s="1"/>
  <c r="D691" i="9"/>
  <c r="C691" i="9" s="1"/>
  <c r="D692" i="9"/>
  <c r="C692" i="9" s="1"/>
  <c r="D693" i="9"/>
  <c r="C693" i="9" s="1"/>
  <c r="D694" i="9"/>
  <c r="C694" i="9" s="1"/>
  <c r="D695" i="9"/>
  <c r="C695" i="9" s="1"/>
  <c r="D696" i="9"/>
  <c r="C696" i="9" s="1"/>
  <c r="D697" i="9"/>
  <c r="C697" i="9" s="1"/>
  <c r="D698" i="9"/>
  <c r="C698" i="9" s="1"/>
  <c r="D699" i="9"/>
  <c r="C699" i="9" s="1"/>
  <c r="D700" i="9"/>
  <c r="C700" i="9" s="1"/>
  <c r="D701" i="9"/>
  <c r="C701" i="9" s="1"/>
  <c r="D702" i="9"/>
  <c r="C702" i="9" s="1"/>
  <c r="D703" i="9"/>
  <c r="C703" i="9" s="1"/>
  <c r="D704" i="9"/>
  <c r="C704" i="9" s="1"/>
  <c r="D705" i="9"/>
  <c r="C705" i="9" s="1"/>
  <c r="D706" i="9"/>
  <c r="C706" i="9" s="1"/>
  <c r="D707" i="9"/>
  <c r="C707" i="9" s="1"/>
  <c r="D708" i="9"/>
  <c r="C708" i="9" s="1"/>
  <c r="D709" i="9"/>
  <c r="C709" i="9" s="1"/>
  <c r="D710" i="9"/>
  <c r="C710" i="9" s="1"/>
  <c r="D711" i="9"/>
  <c r="C711" i="9" s="1"/>
  <c r="D712" i="9"/>
  <c r="C712" i="9" s="1"/>
  <c r="D713" i="9"/>
  <c r="C713" i="9" s="1"/>
  <c r="D714" i="9"/>
  <c r="C714" i="9" s="1"/>
  <c r="D715" i="9"/>
  <c r="C715" i="9" s="1"/>
  <c r="D716" i="9"/>
  <c r="C716" i="9" s="1"/>
  <c r="D717" i="9"/>
  <c r="C717" i="9" s="1"/>
  <c r="D718" i="9"/>
  <c r="C718" i="9" s="1"/>
  <c r="D719" i="9"/>
  <c r="C719" i="9" s="1"/>
  <c r="D720" i="9"/>
  <c r="C720" i="9" s="1"/>
  <c r="D721" i="9"/>
  <c r="C721" i="9" s="1"/>
  <c r="E42" i="9"/>
  <c r="E47" i="9"/>
  <c r="E48" i="9"/>
  <c r="E49" i="9"/>
  <c r="E50"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C41" i="7"/>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E8" i="9"/>
  <c r="E11" i="9"/>
  <c r="E12" i="9"/>
  <c r="E16" i="9"/>
  <c r="E17" i="9"/>
  <c r="E18" i="9"/>
  <c r="E21" i="9"/>
  <c r="E26" i="9"/>
  <c r="E27" i="9"/>
  <c r="E28" i="9"/>
  <c r="E29" i="9"/>
  <c r="E30" i="9"/>
  <c r="E32" i="9"/>
  <c r="E35" i="9"/>
  <c r="E36" i="9"/>
  <c r="E38" i="9"/>
  <c r="E39" i="9"/>
  <c r="E40" i="9"/>
  <c r="D2" i="9"/>
  <c r="C2" i="9" s="1"/>
  <c r="D3" i="9"/>
  <c r="C3" i="9" s="1"/>
  <c r="D4" i="9"/>
  <c r="C4" i="9" s="1"/>
  <c r="D5" i="9"/>
  <c r="C5" i="9" s="1"/>
  <c r="D6" i="9"/>
  <c r="C6" i="9" s="1"/>
  <c r="D7" i="9"/>
  <c r="C7" i="9" s="1"/>
  <c r="D8" i="9"/>
  <c r="C8" i="9" s="1"/>
  <c r="D9" i="9"/>
  <c r="C9" i="9" s="1"/>
  <c r="D10" i="9"/>
  <c r="C10" i="9" s="1"/>
  <c r="D11" i="9"/>
  <c r="C11" i="9" s="1"/>
  <c r="D12" i="9"/>
  <c r="C12" i="9" s="1"/>
  <c r="D13" i="9"/>
  <c r="C13" i="9" s="1"/>
  <c r="D14" i="9"/>
  <c r="C14" i="9" s="1"/>
  <c r="D15" i="9"/>
  <c r="C15" i="9" s="1"/>
  <c r="D16" i="9"/>
  <c r="C16" i="9" s="1"/>
  <c r="D17" i="9"/>
  <c r="C17" i="9" s="1"/>
  <c r="D18" i="9"/>
  <c r="C18" i="9" s="1"/>
  <c r="D19" i="9"/>
  <c r="C19" i="9" s="1"/>
  <c r="D20" i="9"/>
  <c r="C20" i="9" s="1"/>
  <c r="D21" i="9"/>
  <c r="C21" i="9" s="1"/>
  <c r="D22" i="9"/>
  <c r="C22" i="9" s="1"/>
  <c r="D23" i="9"/>
  <c r="C23" i="9" s="1"/>
  <c r="D24" i="9"/>
  <c r="C24" i="9" s="1"/>
  <c r="D25" i="9"/>
  <c r="C25" i="9" s="1"/>
  <c r="D26" i="9"/>
  <c r="C26" i="9" s="1"/>
  <c r="D27" i="9"/>
  <c r="C27" i="9" s="1"/>
  <c r="D28" i="9"/>
  <c r="C28" i="9" s="1"/>
  <c r="D29" i="9"/>
  <c r="C29" i="9" s="1"/>
  <c r="D30" i="9"/>
  <c r="C30" i="9" s="1"/>
  <c r="D31" i="9"/>
  <c r="C31" i="9" s="1"/>
  <c r="D32" i="9"/>
  <c r="C32" i="9" s="1"/>
  <c r="D33" i="9"/>
  <c r="C33" i="9" s="1"/>
  <c r="D34" i="9"/>
  <c r="C34" i="9" s="1"/>
  <c r="D35" i="9"/>
  <c r="C35" i="9" s="1"/>
  <c r="D36" i="9"/>
  <c r="C36" i="9" s="1"/>
  <c r="D37" i="9"/>
  <c r="C37" i="9" s="1"/>
  <c r="D38" i="9"/>
  <c r="C38" i="9" s="1"/>
  <c r="D39" i="9"/>
  <c r="C39" i="9" s="1"/>
  <c r="D40" i="9"/>
  <c r="C40" i="9" s="1"/>
  <c r="D41" i="9"/>
  <c r="C41" i="9" s="1"/>
  <c r="K42" i="4"/>
  <c r="K43" i="4"/>
  <c r="E43" i="9" s="1"/>
  <c r="K44" i="4"/>
  <c r="E44" i="9" s="1"/>
  <c r="K45" i="4"/>
  <c r="E45" i="9" s="1"/>
  <c r="K46" i="4"/>
  <c r="E46" i="9" s="1"/>
  <c r="K47" i="4"/>
  <c r="K48" i="4"/>
  <c r="K49" i="4"/>
  <c r="K50" i="4"/>
  <c r="K51" i="4"/>
  <c r="E51" i="9" s="1"/>
  <c r="K52" i="4"/>
  <c r="E52" i="9" s="1"/>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K2" i="4"/>
  <c r="E2" i="9" s="1"/>
  <c r="K3" i="4"/>
  <c r="E3" i="9" s="1"/>
  <c r="K4" i="4"/>
  <c r="E4" i="9" s="1"/>
  <c r="K5" i="4"/>
  <c r="E5" i="9" s="1"/>
  <c r="K6" i="4"/>
  <c r="E6" i="9" s="1"/>
  <c r="K7" i="4"/>
  <c r="E7" i="9" s="1"/>
  <c r="K8" i="4"/>
  <c r="K9" i="4"/>
  <c r="E9" i="9" s="1"/>
  <c r="K10" i="4"/>
  <c r="E10" i="9" s="1"/>
  <c r="K11" i="4"/>
  <c r="K12" i="4"/>
  <c r="K13" i="4"/>
  <c r="E13" i="9" s="1"/>
  <c r="K14" i="4"/>
  <c r="E14" i="9" s="1"/>
  <c r="K15" i="4"/>
  <c r="E15" i="9" s="1"/>
  <c r="K16" i="4"/>
  <c r="K17" i="4"/>
  <c r="K18" i="4"/>
  <c r="K19" i="4"/>
  <c r="E19" i="9" s="1"/>
  <c r="K20" i="4"/>
  <c r="E20" i="9" s="1"/>
  <c r="K21" i="4"/>
  <c r="K22" i="4"/>
  <c r="E22" i="9" s="1"/>
  <c r="K23" i="4"/>
  <c r="E23" i="9" s="1"/>
  <c r="K24" i="4"/>
  <c r="E24" i="9" s="1"/>
  <c r="K25" i="4"/>
  <c r="E25" i="9" s="1"/>
  <c r="K26" i="4"/>
  <c r="K27" i="4"/>
  <c r="K28" i="4"/>
  <c r="K29" i="4"/>
  <c r="K30" i="4"/>
  <c r="K31" i="4"/>
  <c r="E31" i="9" s="1"/>
  <c r="K32" i="4"/>
  <c r="K33" i="4"/>
  <c r="E33" i="9" s="1"/>
  <c r="K34" i="4"/>
  <c r="E34" i="9" s="1"/>
  <c r="K35" i="4"/>
  <c r="K36" i="4"/>
  <c r="K37" i="4"/>
  <c r="E37" i="9" s="1"/>
  <c r="K38" i="4"/>
  <c r="K39" i="4"/>
  <c r="K40" i="4"/>
  <c r="K41" i="4"/>
  <c r="E41" i="9" s="1"/>
  <c r="C5" i="7" l="1"/>
  <c r="E5" i="7" s="1"/>
  <c r="C21" i="7"/>
  <c r="E21" i="7" s="1"/>
  <c r="C37" i="7"/>
  <c r="E37" i="7" s="1"/>
  <c r="C6" i="7"/>
  <c r="E6" i="7" s="1"/>
  <c r="C22" i="7"/>
  <c r="E22" i="7" s="1"/>
  <c r="C38" i="7"/>
  <c r="E38" i="7" s="1"/>
  <c r="C7" i="7"/>
  <c r="E7" i="7" s="1"/>
  <c r="C23" i="7"/>
  <c r="E23" i="7" s="1"/>
  <c r="C39" i="7"/>
  <c r="E39" i="7" s="1"/>
  <c r="C8" i="7"/>
  <c r="E8" i="7" s="1"/>
  <c r="C24" i="7"/>
  <c r="E24" i="7" s="1"/>
  <c r="C40" i="7"/>
  <c r="E40" i="7" s="1"/>
  <c r="C19" i="7"/>
  <c r="E19" i="7" s="1"/>
  <c r="C9" i="7"/>
  <c r="E9" i="7" s="1"/>
  <c r="C25" i="7"/>
  <c r="E25" i="7" s="1"/>
  <c r="C35" i="7"/>
  <c r="E35" i="7" s="1"/>
  <c r="C10" i="7"/>
  <c r="E10" i="7" s="1"/>
  <c r="C26" i="7"/>
  <c r="E26" i="7" s="1"/>
  <c r="C11" i="7"/>
  <c r="E11" i="7" s="1"/>
  <c r="C27" i="7"/>
  <c r="E27" i="7" s="1"/>
  <c r="C12" i="7"/>
  <c r="E12" i="7" s="1"/>
  <c r="C28" i="7"/>
  <c r="E28" i="7" s="1"/>
  <c r="C13" i="7"/>
  <c r="E13" i="7" s="1"/>
  <c r="C29" i="7"/>
  <c r="E29" i="7" s="1"/>
  <c r="C14" i="7"/>
  <c r="E14" i="7" s="1"/>
  <c r="C30" i="7"/>
  <c r="E30" i="7" s="1"/>
  <c r="C15" i="7"/>
  <c r="E15" i="7" s="1"/>
  <c r="C31" i="7"/>
  <c r="E31" i="7" s="1"/>
  <c r="C16" i="7"/>
  <c r="E16" i="7" s="1"/>
  <c r="C32" i="7"/>
  <c r="E32" i="7" s="1"/>
  <c r="C17" i="7"/>
  <c r="E17" i="7" s="1"/>
  <c r="C33" i="7"/>
  <c r="E33" i="7" s="1"/>
  <c r="C18" i="7"/>
  <c r="E18" i="7" s="1"/>
  <c r="C34" i="7"/>
  <c r="E34" i="7" s="1"/>
  <c r="C20" i="7"/>
  <c r="E20" i="7" s="1"/>
  <c r="C36" i="7"/>
  <c r="E36" i="7" s="1"/>
  <c r="C2" i="7"/>
  <c r="E2" i="7" s="1"/>
  <c r="C4" i="7"/>
  <c r="E4" i="7" s="1"/>
  <c r="C3" i="7"/>
  <c r="E3" i="7" s="1"/>
  <c r="E41" i="7"/>
</calcChain>
</file>

<file path=xl/sharedStrings.xml><?xml version="1.0" encoding="utf-8"?>
<sst xmlns="http://schemas.openxmlformats.org/spreadsheetml/2006/main" count="9613" uniqueCount="3699">
  <si>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</si>
  <si>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</si>
  <si>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</si>
  <si>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</si>
  <si>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</si>
  <si>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</si>
  <si>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</si>
  <si>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</si>
  <si>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</si>
  <si>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</si>
  <si>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</si>
  <si>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</si>
  <si>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</si>
  <si>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</si>
  <si>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</si>
  <si>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</si>
  <si>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</si>
  <si>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</si>
  <si>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</si>
  <si>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</si>
  <si>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</si>
  <si>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</si>
  <si>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</si>
  <si>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</si>
  <si>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</si>
  <si>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</si>
  <si>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</si>
  <si>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</si>
  <si>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</si>
  <si>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</si>
  <si>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</si>
  <si>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</si>
  <si>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</si>
  <si>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</si>
  <si>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</si>
  <si>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</si>
  <si>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</si>
  <si>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</si>
  <si>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</si>
  <si>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</si>
  <si>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</si>
  <si>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</si>
  <si>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</si>
  <si>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</si>
  <si>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</si>
  <si>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</si>
  <si>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</si>
  <si>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</si>
  <si>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</si>
  <si>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</si>
  <si>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</si>
  <si>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</si>
  <si>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</si>
  <si>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</si>
  <si>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</si>
  <si>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</si>
  <si>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</si>
  <si>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</si>
  <si>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</si>
  <si>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</si>
  <si>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</si>
  <si>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</si>
  <si>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</si>
  <si>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</si>
  <si>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</si>
  <si>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</si>
  <si>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</si>
  <si>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</si>
  <si>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</si>
  <si>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</si>
  <si>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</si>
  <si>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</si>
  <si>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</si>
  <si>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</si>
  <si>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</si>
  <si>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</si>
  <si>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</si>
  <si>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</si>
  <si>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</si>
  <si>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</si>
  <si>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</si>
  <si>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</si>
  <si>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</si>
  <si>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</si>
  <si>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</si>
  <si>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</si>
  <si>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</si>
  <si>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</si>
  <si>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</si>
  <si>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</si>
  <si>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</si>
  <si>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</si>
  <si>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</si>
  <si>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</si>
  <si>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</si>
  <si>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</si>
  <si>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</si>
  <si>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</si>
  <si>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</si>
  <si>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</si>
  <si>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</si>
  <si>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</si>
  <si>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</si>
  <si>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</si>
  <si>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</si>
  <si>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</si>
  <si>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</si>
  <si>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</si>
  <si>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</si>
  <si>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</si>
  <si>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</si>
  <si>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</si>
  <si>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</si>
  <si>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</si>
  <si>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</si>
  <si>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</si>
  <si>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</si>
  <si>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</si>
  <si>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</si>
  <si>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</si>
  <si>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</si>
  <si>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</si>
  <si>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</si>
  <si>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</si>
  <si>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</si>
  <si>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</si>
  <si>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</si>
  <si>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</si>
  <si>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</si>
  <si>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</si>
  <si>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</si>
  <si>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</si>
  <si>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</si>
  <si>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</si>
  <si>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</si>
  <si>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</si>
  <si>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</si>
  <si>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</si>
  <si>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</si>
  <si>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</si>
  <si>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</si>
  <si>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</si>
  <si>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</si>
  <si>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</si>
  <si>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</si>
  <si>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</si>
  <si>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</si>
  <si>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</si>
  <si>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</si>
  <si>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</si>
  <si>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</si>
  <si>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</si>
  <si>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</si>
  <si>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</si>
  <si>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</si>
  <si>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</si>
  <si>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</si>
  <si>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</si>
  <si>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</si>
  <si>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</si>
  <si>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</si>
  <si>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</si>
  <si>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</si>
  <si>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</si>
  <si>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</si>
  <si>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</si>
  <si>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</si>
  <si>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</si>
  <si>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</si>
  <si>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</si>
  <si>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</si>
  <si>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</si>
  <si>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</si>
  <si>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</si>
  <si>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</si>
  <si>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</si>
  <si>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</si>
  <si>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</si>
  <si>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</si>
  <si>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</si>
  <si>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</si>
  <si>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</si>
  <si>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</si>
  <si>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</si>
  <si>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</si>
  <si>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</si>
  <si>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</si>
  <si>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</si>
  <si>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</si>
  <si>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</si>
  <si>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</si>
  <si>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</si>
  <si>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</si>
  <si>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</si>
  <si>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</si>
  <si>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</si>
  <si>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</si>
  <si>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</si>
  <si>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</si>
  <si>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</si>
  <si>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</si>
  <si>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</si>
  <si>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</si>
  <si>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</si>
  <si>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</si>
  <si>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</si>
  <si>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</si>
  <si>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</si>
  <si>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</si>
  <si>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</si>
  <si>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</si>
  <si>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</si>
  <si>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</si>
  <si>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</si>
  <si>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</si>
  <si>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</si>
  <si>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</si>
  <si>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</si>
  <si>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</si>
  <si>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</si>
  <si>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</si>
  <si>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</si>
  <si>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</si>
  <si>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</si>
  <si>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</si>
  <si>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</si>
  <si>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</si>
  <si>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</si>
  <si>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</si>
  <si>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</si>
  <si>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</si>
  <si>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</si>
  <si>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</si>
  <si>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</si>
  <si>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</si>
  <si>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</si>
  <si>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</si>
  <si>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</si>
  <si>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</si>
  <si>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</si>
  <si>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</si>
  <si>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</si>
  <si>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</si>
  <si>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</si>
  <si>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</si>
  <si>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</si>
  <si>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</si>
  <si>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</si>
  <si>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</si>
  <si>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</si>
  <si>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</si>
  <si>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</si>
  <si>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</si>
  <si>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</si>
  <si>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</si>
  <si>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</si>
  <si>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</si>
  <si>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</si>
  <si>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</si>
  <si>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</si>
  <si>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</si>
  <si>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</si>
  <si>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</si>
  <si>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</si>
  <si>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</si>
  <si>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</si>
  <si>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</si>
  <si>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</si>
  <si>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</si>
  <si>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</si>
  <si>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</si>
  <si>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</si>
  <si>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</si>
  <si>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</si>
  <si>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</si>
  <si>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</si>
  <si>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</si>
  <si>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</si>
  <si>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</si>
  <si>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</si>
  <si>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</si>
  <si>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</si>
  <si>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</si>
  <si>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</si>
  <si>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</si>
  <si>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</si>
  <si>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</si>
  <si>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</si>
  <si>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</si>
  <si>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</si>
  <si>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</si>
  <si>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</si>
  <si>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</si>
  <si>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</si>
  <si>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</si>
  <si>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</si>
  <si>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</si>
  <si>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</si>
  <si>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</si>
  <si>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</si>
  <si>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</si>
  <si>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</si>
  <si>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</si>
  <si>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</si>
  <si>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</si>
  <si>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</si>
  <si>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</si>
  <si>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</si>
  <si>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</si>
  <si>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</si>
  <si>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</si>
  <si>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</si>
  <si>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</si>
  <si>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</si>
  <si>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</si>
  <si>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</si>
  <si>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</si>
  <si>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</si>
  <si>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</si>
  <si>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</si>
  <si>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</si>
  <si>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</si>
  <si>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</si>
  <si>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</si>
  <si>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</si>
  <si>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</si>
  <si>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</si>
  <si>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</si>
  <si>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</si>
  <si>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</si>
  <si>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</si>
  <si>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</si>
  <si>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</si>
  <si>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</si>
  <si>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</si>
  <si>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</si>
  <si>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</si>
  <si>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</si>
  <si>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</si>
  <si>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</si>
  <si>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</si>
  <si>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</si>
  <si>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</si>
  <si>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</si>
  <si>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</si>
  <si>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</si>
  <si>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</si>
  <si>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</si>
  <si>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</si>
  <si>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</si>
  <si>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</si>
  <si>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</si>
  <si>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</si>
  <si>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</si>
  <si>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</si>
  <si>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</si>
  <si>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</si>
  <si>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</si>
  <si>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</si>
  <si>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</si>
  <si>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</si>
  <si>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</si>
  <si>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</si>
  <si>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</si>
  <si>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</si>
  <si>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</si>
  <si>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</si>
  <si>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</si>
  <si>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</si>
  <si>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</si>
  <si>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</si>
  <si>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</si>
  <si>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</si>
  <si>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</si>
  <si>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</si>
  <si>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</si>
  <si>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</si>
  <si>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</si>
  <si>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</si>
  <si>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</si>
  <si>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</si>
  <si>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</si>
  <si>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</si>
  <si>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</si>
  <si>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</si>
  <si>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</si>
  <si>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</si>
  <si>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</si>
  <si>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</si>
  <si>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</si>
  <si>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</si>
  <si>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</si>
  <si>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</si>
  <si>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</si>
  <si>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</si>
  <si>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</si>
  <si>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</si>
  <si>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</si>
  <si>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</si>
  <si>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</si>
  <si>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</si>
  <si>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</si>
  <si>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</si>
  <si>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</si>
  <si>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</si>
  <si>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</si>
  <si>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</si>
  <si>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</si>
  <si>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</si>
  <si>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</si>
  <si>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</si>
  <si>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</si>
  <si>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</si>
  <si>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</si>
  <si>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</si>
  <si>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</si>
  <si>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</si>
  <si>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</si>
  <si>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</si>
  <si>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</si>
  <si>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</si>
  <si>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</si>
  <si>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</si>
  <si>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</si>
  <si>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</si>
  <si>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</si>
  <si>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</si>
  <si>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</si>
  <si>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</si>
  <si>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</si>
  <si>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</si>
  <si>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</si>
  <si>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</si>
  <si>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</si>
  <si>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</si>
  <si>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</si>
  <si>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</si>
  <si>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</si>
  <si>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</si>
  <si>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</si>
  <si>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</si>
  <si>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</si>
  <si>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</si>
  <si>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</si>
  <si>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</si>
  <si>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</si>
  <si>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</si>
  <si>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</si>
  <si>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</si>
  <si>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</si>
  <si>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</si>
  <si>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</si>
  <si>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</si>
  <si>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</si>
  <si>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</si>
  <si>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</si>
  <si>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</si>
  <si>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</si>
  <si>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</si>
  <si>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</si>
  <si>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</si>
  <si>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</si>
  <si>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</si>
  <si>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</si>
  <si>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</si>
  <si>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</si>
  <si>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</si>
  <si>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</si>
  <si>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</si>
  <si>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</si>
  <si>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</si>
  <si>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</si>
  <si>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</si>
  <si>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</si>
  <si>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</si>
  <si>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</si>
  <si>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</si>
  <si>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</si>
  <si>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</si>
  <si>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</si>
  <si>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</si>
  <si>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</si>
  <si>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</si>
  <si>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</si>
  <si>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</si>
  <si>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</si>
  <si>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</si>
  <si>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</si>
  <si>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</si>
  <si>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</si>
  <si>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</si>
  <si>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</si>
  <si>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</si>
  <si>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</si>
  <si>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</si>
  <si>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</si>
  <si>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</si>
  <si>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</si>
  <si>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</si>
  <si>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</si>
  <si>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</si>
  <si>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</si>
  <si>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</si>
  <si>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</si>
  <si>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</si>
  <si>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</si>
  <si>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</si>
  <si>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</si>
  <si>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</si>
  <si>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</si>
  <si>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</si>
  <si>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</si>
  <si>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</si>
  <si>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</si>
  <si>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</si>
  <si>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</si>
  <si>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</si>
  <si>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</si>
  <si>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</si>
  <si>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</si>
  <si>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</si>
  <si>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</si>
  <si>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</si>
  <si>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</si>
  <si>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</si>
  <si>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</si>
  <si>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</si>
  <si>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</si>
  <si>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</si>
  <si>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</si>
  <si>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</si>
  <si>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</si>
  <si>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</si>
  <si>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</si>
  <si>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</si>
  <si>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</si>
  <si>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</si>
  <si>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</si>
  <si>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</si>
  <si>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</si>
  <si>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</si>
  <si>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</si>
  <si>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</si>
  <si>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</si>
  <si>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</si>
  <si>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</si>
  <si>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</si>
  <si>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</si>
  <si>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</si>
  <si>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</si>
  <si>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</si>
  <si>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</si>
  <si>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</si>
  <si>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</si>
  <si>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</si>
  <si>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</si>
  <si>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</si>
  <si>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</si>
  <si>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</si>
  <si>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</si>
  <si>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</si>
  <si>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</si>
  <si>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</si>
  <si>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</si>
  <si>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</si>
  <si>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</si>
  <si>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</si>
  <si>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</si>
  <si>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</si>
  <si>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</si>
  <si>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</si>
  <si>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</si>
  <si>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</si>
  <si>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</si>
  <si>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</si>
  <si>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</si>
  <si>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</si>
  <si>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</si>
  <si>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</si>
  <si>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</si>
  <si>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</si>
  <si>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</si>
  <si>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</si>
  <si>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</si>
  <si>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</si>
  <si>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</si>
  <si>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</si>
  <si>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</si>
  <si>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</si>
  <si>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</si>
  <si>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</si>
  <si>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</si>
  <si>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</si>
  <si>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</si>
  <si>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</si>
  <si>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</si>
  <si>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</si>
  <si>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</si>
  <si>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</si>
  <si>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</si>
  <si>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</si>
  <si>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</si>
  <si>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</si>
  <si>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</si>
  <si>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</si>
  <si>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</si>
  <si>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</si>
  <si>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</si>
  <si>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</si>
  <si>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</si>
  <si>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</si>
  <si>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</si>
  <si>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</si>
  <si>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</si>
  <si>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</si>
  <si>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</si>
  <si>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</si>
  <si>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</si>
  <si>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</si>
  <si>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</si>
  <si>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</si>
  <si>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</si>
  <si>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</si>
  <si>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</si>
  <si>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</si>
  <si>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</si>
  <si>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</si>
  <si>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</si>
  <si>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</si>
  <si>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</si>
  <si>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</si>
  <si>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</si>
  <si>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</si>
  <si>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</si>
  <si>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</si>
  <si>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</si>
  <si>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</si>
  <si>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</si>
  <si>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</si>
  <si>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</si>
  <si>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</si>
  <si>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</si>
  <si>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</si>
  <si>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</si>
  <si>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</si>
  <si>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</si>
  <si>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</si>
  <si>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</si>
  <si>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</si>
  <si>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</si>
  <si>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</si>
  <si>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</si>
  <si>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</si>
  <si>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</si>
  <si>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</si>
  <si>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</si>
  <si>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</si>
  <si>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</si>
  <si>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</si>
  <si>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</si>
  <si>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</si>
  <si>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</si>
  <si>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</si>
  <si>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</si>
  <si>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</si>
  <si>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</si>
  <si>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</si>
  <si>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</si>
  <si>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</si>
  <si>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</si>
  <si>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</si>
  <si>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</si>
  <si>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</si>
  <si>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</si>
  <si>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</si>
  <si>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</si>
  <si>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</si>
  <si>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</si>
  <si>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</si>
  <si>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</si>
  <si>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</si>
  <si>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</si>
  <si>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</si>
  <si>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</si>
  <si>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</si>
  <si>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</si>
  <si>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</si>
  <si>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</si>
  <si>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</si>
  <si>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</si>
  <si>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</si>
  <si>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</si>
  <si>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</si>
  <si>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</si>
  <si>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</si>
  <si>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</si>
  <si>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</si>
  <si>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</si>
  <si>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</si>
  <si>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</si>
  <si>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</si>
  <si>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</si>
  <si>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</si>
  <si>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</si>
  <si>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</si>
  <si>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</si>
  <si>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</si>
  <si>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</si>
  <si>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</si>
  <si>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</si>
  <si>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</si>
  <si>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</si>
  <si>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</si>
  <si>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</si>
  <si>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</si>
  <si>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</si>
  <si>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</si>
  <si>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</si>
  <si>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</si>
  <si>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</si>
  <si>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</si>
  <si>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</si>
  <si>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</si>
  <si>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</si>
  <si>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</si>
  <si>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</si>
  <si>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</si>
  <si>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</si>
  <si>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</si>
  <si>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</si>
  <si>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</si>
  <si>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</si>
  <si>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</si>
  <si>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</si>
  <si>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</si>
  <si>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</si>
  <si>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</si>
  <si>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</si>
  <si>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</si>
  <si>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</si>
  <si>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</si>
  <si>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</si>
  <si>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</si>
  <si>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</si>
  <si>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</si>
  <si>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</si>
  <si>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</si>
  <si>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</si>
  <si>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</si>
  <si>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</si>
  <si>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</si>
  <si>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</si>
  <si>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</si>
  <si>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</si>
  <si>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</si>
  <si>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</si>
  <si>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</si>
  <si>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</si>
  <si>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</si>
  <si>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</si>
  <si>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</si>
  <si>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</si>
  <si>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</si>
  <si>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</si>
  <si>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</si>
  <si>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</si>
  <si>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</si>
  <si>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</si>
  <si>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</si>
  <si>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</si>
  <si>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</si>
  <si>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</si>
  <si>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</si>
  <si>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</si>
  <si>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</si>
  <si>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</si>
  <si>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</si>
  <si>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</si>
  <si>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</si>
  <si>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</si>
  <si>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</si>
  <si>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</si>
  <si>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</si>
  <si>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</si>
  <si>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</si>
  <si>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</si>
  <si>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</si>
  <si>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</si>
  <si>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</si>
  <si>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</si>
  <si>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</si>
  <si>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</si>
  <si>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</si>
  <si>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</si>
  <si>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</si>
  <si>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</si>
  <si>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</si>
  <si>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</si>
  <si>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</si>
  <si>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</si>
  <si>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</si>
  <si>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</si>
  <si>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</si>
  <si>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</si>
  <si>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</si>
  <si>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</si>
  <si>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</si>
  <si>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</si>
  <si>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</si>
  <si>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</si>
  <si>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</si>
  <si>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</si>
  <si>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</si>
  <si>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</si>
  <si>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</si>
  <si>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</si>
  <si>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</si>
  <si>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</si>
  <si>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</si>
  <si>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</si>
  <si>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</si>
  <si>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</si>
  <si>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</si>
  <si>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</si>
  <si>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</si>
  <si>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</si>
  <si>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</si>
  <si>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</si>
  <si>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</si>
  <si>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</si>
  <si>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</si>
  <si>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</si>
  <si>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091_Digital Ethics_190226.pdf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</si>
  <si>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</si>
  <si>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</si>
  <si>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</si>
  <si>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</si>
  <si>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</si>
  <si>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</si>
  <si>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</si>
  <si>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</si>
  <si>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</si>
  <si>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</si>
  <si>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</si>
  <si>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</si>
  <si>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</si>
  <si>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</si>
  <si>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</si>
  <si>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</si>
  <si>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</si>
  <si>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</si>
  <si>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</si>
  <si>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</si>
  <si>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</si>
  <si>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</si>
  <si>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</si>
  <si>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</si>
  <si>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</si>
  <si>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</si>
  <si>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</si>
  <si>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</si>
  <si>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</si>
  <si>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</si>
  <si>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</si>
  <si>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</si>
  <si>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</si>
  <si>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</si>
  <si>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</si>
  <si>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</si>
  <si>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</si>
  <si>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</si>
  <si>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</si>
  <si>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</si>
  <si>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</si>
  <si>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</si>
  <si>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</si>
  <si>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</si>
  <si>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</si>
  <si>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</si>
  <si>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</si>
  <si>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</si>
  <si>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</si>
  <si>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</si>
  <si>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</si>
  <si>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</si>
  <si>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</si>
  <si>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</si>
  <si>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</si>
  <si>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</si>
  <si>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</si>
  <si>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</si>
  <si>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</si>
  <si>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</si>
  <si>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</si>
  <si>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</si>
  <si>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</si>
  <si>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</si>
  <si>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</si>
  <si>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</si>
  <si>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</si>
  <si>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</si>
  <si>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</si>
  <si>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</si>
  <si>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</si>
  <si>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</si>
  <si>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</si>
  <si>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</si>
  <si>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</si>
  <si>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</si>
  <si>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</si>
  <si>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</si>
  <si>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</si>
  <si>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</si>
  <si>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</si>
  <si>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</si>
  <si>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</si>
  <si>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</si>
  <si>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</si>
  <si>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</si>
  <si>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</si>
  <si>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</si>
  <si>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</si>
  <si>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</si>
  <si>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</si>
  <si>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</si>
  <si>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</si>
  <si>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</si>
  <si>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</si>
  <si>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</si>
  <si>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</si>
  <si>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</si>
  <si>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</si>
  <si>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</si>
  <si>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</si>
  <si>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</si>
  <si>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</si>
  <si>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</si>
  <si>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</si>
  <si>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</si>
  <si>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</si>
  <si>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</si>
  <si>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</si>
  <si>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</si>
  <si>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</si>
  <si>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</si>
  <si>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</si>
  <si>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</si>
  <si>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</si>
  <si>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</si>
  <si>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</si>
  <si>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</si>
  <si>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</si>
  <si>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</si>
  <si>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</si>
  <si>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</si>
  <si>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</si>
  <si>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</si>
  <si>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</si>
  <si>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</si>
  <si>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</si>
  <si>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</si>
  <si>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</si>
  <si>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</si>
  <si>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</si>
  <si>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</si>
  <si>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</si>
  <si>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</si>
  <si>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</si>
  <si>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</si>
  <si>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</si>
  <si>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</si>
  <si>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</si>
  <si>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</si>
  <si>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</si>
  <si>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</si>
  <si>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</si>
  <si>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</si>
  <si>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</si>
  <si>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</si>
  <si>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</si>
  <si>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</si>
  <si>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</si>
  <si>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</si>
  <si>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</si>
  <si>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</si>
  <si>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</si>
  <si>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</si>
  <si>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</si>
  <si>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</si>
  <si>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</si>
  <si>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</si>
  <si>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</si>
  <si>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</si>
  <si>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</si>
  <si>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</si>
  <si>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</si>
  <si>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</si>
  <si>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</si>
  <si>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</si>
  <si>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</si>
  <si>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</si>
  <si>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</si>
  <si>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</si>
  <si>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</si>
  <si>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</si>
  <si>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</si>
  <si>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</si>
  <si>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</si>
  <si>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</si>
  <si>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</si>
  <si>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</si>
  <si>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</si>
  <si>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</si>
  <si>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</si>
  <si>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</si>
  <si>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</si>
  <si>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</si>
  <si>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</si>
  <si>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</si>
  <si>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</si>
  <si>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</si>
  <si>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</si>
  <si>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</si>
  <si>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</si>
  <si>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</si>
  <si>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</si>
  <si>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</si>
  <si>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</si>
  <si>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</si>
  <si>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</si>
  <si>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</si>
  <si>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</si>
  <si>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</si>
  <si>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</si>
  <si>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</si>
  <si>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</si>
  <si>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</si>
  <si>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</si>
  <si>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</si>
  <si>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</si>
  <si>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</si>
  <si>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</si>
  <si>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</si>
  <si>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</si>
  <si>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</si>
  <si>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</si>
  <si>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</si>
  <si>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</si>
  <si>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</si>
  <si>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</si>
  <si>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</si>
  <si>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</si>
  <si>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</si>
  <si>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</si>
  <si>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</si>
  <si>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</si>
  <si>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</si>
  <si>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</si>
  <si>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</si>
  <si>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</si>
  <si>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</si>
  <si>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</si>
  <si>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</si>
  <si>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</si>
  <si>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</si>
  <si>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</si>
  <si>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</si>
  <si>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</si>
  <si>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</si>
  <si>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</si>
  <si>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</si>
  <si>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</si>
  <si>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</si>
  <si>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</si>
  <si>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</si>
  <si>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</si>
  <si>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</si>
  <si>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</si>
  <si>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</si>
  <si>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</si>
  <si>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</si>
  <si>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</si>
  <si>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</si>
  <si>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</si>
  <si>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</si>
  <si>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</si>
  <si>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</si>
  <si>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</si>
  <si>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</si>
  <si>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</si>
  <si>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</si>
  <si>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</si>
  <si>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</si>
  <si>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</si>
  <si>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</si>
  <si>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</si>
  <si>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</si>
  <si>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</si>
  <si>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</si>
  <si>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</si>
  <si>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</si>
  <si>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</si>
  <si>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</si>
  <si>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</si>
  <si>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</si>
  <si>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</si>
  <si>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</si>
  <si>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</si>
  <si>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</si>
  <si>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</si>
  <si>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</si>
  <si>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</si>
  <si>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</si>
  <si>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</si>
  <si>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</si>
  <si>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</si>
  <si>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</si>
  <si>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</si>
  <si>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</si>
  <si>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</si>
  <si>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</si>
  <si>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</si>
  <si>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</si>
  <si>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</si>
  <si>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</si>
  <si>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</si>
  <si>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</si>
  <si>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</si>
  <si>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</si>
  <si>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</si>
  <si>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</si>
  <si>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</si>
  <si>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</si>
  <si>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</si>
  <si>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</si>
  <si>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</si>
  <si>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</si>
  <si>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</si>
  <si>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</si>
  <si>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</si>
  <si>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</si>
  <si>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</si>
  <si>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</si>
  <si>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</si>
  <si>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</si>
  <si>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</si>
  <si>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</si>
  <si>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</si>
  <si>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</si>
  <si>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</si>
  <si>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</si>
  <si>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</si>
  <si>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</si>
  <si>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</si>
  <si>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</si>
  <si>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</si>
  <si>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</si>
  <si>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</si>
  <si>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</si>
  <si>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</si>
  <si>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</si>
  <si>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</si>
  <si>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</si>
  <si>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</si>
  <si>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</si>
  <si>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</si>
  <si>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</si>
  <si>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</si>
  <si>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</si>
  <si>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</si>
  <si>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</si>
  <si>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</si>
  <si>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</si>
  <si>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</si>
  <si>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</si>
  <si>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</si>
  <si>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</si>
  <si>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</si>
  <si>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</si>
  <si>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</si>
  <si>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</si>
  <si>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</si>
  <si>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</si>
  <si>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</si>
  <si>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</si>
  <si>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</si>
  <si>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</si>
  <si>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</si>
  <si>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</si>
  <si>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</si>
  <si>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</si>
  <si>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</si>
  <si>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</si>
  <si>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</si>
  <si>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</si>
  <si>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</si>
  <si>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</si>
  <si>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</si>
  <si>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</si>
  <si>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</si>
  <si>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</si>
  <si>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</si>
  <si>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</si>
  <si>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</si>
  <si>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</si>
  <si>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</si>
  <si>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</si>
  <si>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</si>
  <si>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</si>
  <si>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</si>
  <si>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</si>
  <si>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</si>
  <si>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</si>
  <si>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</si>
  <si>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</si>
  <si>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</si>
  <si>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</si>
  <si>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</si>
  <si>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</si>
  <si>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</si>
  <si>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</si>
  <si>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</si>
  <si>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</si>
  <si>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</si>
  <si>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</si>
  <si>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</si>
  <si>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</si>
  <si>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</si>
  <si>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</si>
  <si>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</si>
  <si>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</si>
  <si>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</si>
  <si>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</si>
  <si>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</si>
  <si>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</si>
  <si>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</si>
  <si>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</si>
  <si>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</si>
  <si>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</si>
  <si>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</si>
  <si>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</si>
  <si>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</si>
  <si>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</si>
  <si>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</si>
  <si>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</si>
  <si>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</si>
  <si>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</si>
  <si>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</si>
  <si>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</si>
  <si>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</si>
  <si>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</si>
  <si>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</si>
  <si>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</si>
  <si>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</si>
  <si>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</si>
  <si>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</si>
  <si>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</si>
  <si>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</si>
  <si>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</si>
  <si>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</si>
  <si>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</si>
  <si>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</si>
  <si>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</si>
  <si>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</si>
  <si>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</si>
  <si>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</si>
  <si>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</si>
  <si>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</si>
  <si>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</si>
  <si>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</si>
  <si>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</si>
  <si>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</si>
  <si>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</si>
  <si>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</si>
  <si>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</si>
  <si>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</si>
  <si>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</si>
  <si>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</si>
  <si>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</si>
  <si>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</si>
  <si>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</si>
  <si>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</si>
  <si>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</si>
  <si>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</si>
  <si>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</si>
  <si>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</si>
  <si>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</si>
  <si>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</si>
  <si>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</si>
  <si>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</si>
  <si>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</si>
  <si>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</si>
  <si>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</si>
  <si>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</si>
  <si>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</si>
  <si>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</si>
  <si>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</si>
  <si>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</si>
  <si>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</si>
  <si>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</si>
  <si>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</si>
  <si>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</si>
  <si>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</si>
  <si>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</si>
  <si>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</si>
  <si>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</si>
  <si>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</si>
  <si>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</si>
  <si>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</si>
  <si>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</si>
  <si>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</si>
  <si>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</si>
  <si>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</si>
  <si>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</si>
  <si>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</si>
  <si>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</si>
  <si>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</si>
  <si>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</si>
  <si>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</si>
  <si>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</si>
  <si>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</si>
  <si>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</si>
  <si>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</si>
  <si>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</si>
  <si>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</si>
  <si>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</si>
  <si>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</si>
  <si>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</si>
  <si>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</si>
  <si>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</si>
  <si>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</si>
  <si>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</si>
  <si>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</si>
  <si>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</si>
  <si>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</si>
  <si>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</si>
  <si>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</si>
  <si>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</si>
  <si>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</si>
  <si>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</si>
  <si>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</si>
  <si>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</si>
  <si>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</si>
  <si>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</si>
  <si>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</si>
  <si>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</si>
  <si>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</si>
  <si>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</si>
  <si>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</si>
  <si>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</si>
  <si>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</si>
  <si>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</si>
  <si>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</si>
  <si>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</si>
  <si>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</si>
  <si>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</si>
  <si>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</si>
  <si>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</si>
  <si>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</si>
  <si>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</si>
  <si>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</si>
  <si>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</si>
  <si>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</si>
  <si>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</si>
  <si>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</si>
  <si>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</si>
  <si>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</si>
  <si>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</si>
  <si>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</si>
  <si>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</si>
  <si>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</si>
  <si>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</si>
  <si>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</si>
  <si>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</si>
  <si>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</si>
  <si>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</si>
  <si>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</si>
  <si>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</si>
  <si>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</si>
  <si>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</si>
  <si>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</si>
  <si>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</si>
  <si>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</si>
  <si>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</si>
  <si>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</si>
  <si>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</si>
  <si>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</si>
  <si>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</si>
  <si>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</si>
  <si>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</si>
  <si>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</si>
  <si>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</si>
  <si>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</si>
  <si>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</si>
  <si>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</si>
  <si>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</si>
  <si>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</si>
  <si>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</si>
  <si>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</si>
  <si>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</si>
  <si>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</si>
  <si>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</si>
  <si>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</si>
  <si>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</si>
  <si>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</si>
  <si>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</si>
  <si>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</si>
  <si>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</si>
  <si>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</si>
  <si>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</si>
  <si>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</si>
  <si>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</si>
  <si>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</si>
  <si>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</si>
  <si>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</si>
  <si>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</si>
  <si>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</si>
  <si>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</si>
  <si>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</si>
  <si>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</si>
  <si>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</si>
  <si>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</si>
  <si>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</si>
  <si>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</si>
  <si>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</si>
  <si>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</si>
  <si>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</si>
  <si>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</si>
  <si>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</si>
  <si>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</si>
  <si>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</si>
  <si>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</si>
  <si>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</si>
  <si>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</si>
  <si>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</si>
  <si>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</si>
  <si>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</si>
  <si>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</si>
  <si>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</si>
  <si>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</si>
  <si>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</si>
  <si>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</si>
  <si>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</si>
  <si>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</si>
  <si>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</si>
  <si>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</si>
  <si>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</si>
  <si>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</si>
  <si>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</si>
  <si>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</si>
  <si>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</si>
  <si>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</si>
  <si>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</si>
  <si>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</si>
  <si>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</si>
  <si>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</si>
  <si>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</si>
  <si>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</si>
  <si>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</si>
  <si>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</si>
  <si>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</si>
  <si>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</si>
  <si>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</si>
  <si>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</si>
  <si>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</si>
  <si>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</si>
  <si>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</si>
  <si>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</si>
  <si>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</si>
  <si>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</si>
  <si>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</si>
  <si>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</si>
  <si>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</si>
  <si>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</si>
  <si>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</si>
  <si>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</si>
  <si>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</si>
  <si>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</si>
  <si>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</si>
  <si>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</si>
  <si>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</si>
  <si>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</si>
  <si>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</si>
  <si>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</si>
  <si>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</si>
  <si>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</si>
  <si>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</si>
  <si>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</si>
  <si>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</si>
  <si>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</si>
  <si>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</si>
  <si>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</si>
  <si>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</si>
  <si>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</si>
  <si>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</si>
  <si>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</si>
  <si>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</si>
  <si>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</si>
  <si>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</si>
  <si>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</si>
  <si>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</si>
  <si>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</si>
  <si>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</si>
  <si>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</si>
  <si>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</si>
  <si>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</si>
  <si>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</si>
  <si>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</si>
  <si>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</si>
  <si>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</si>
  <si>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</si>
  <si>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</si>
  <si>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</si>
  <si>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</si>
  <si>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</si>
  <si>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</si>
  <si>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</si>
  <si>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</si>
  <si>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</si>
  <si>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</si>
  <si>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</si>
  <si>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</si>
  <si>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</si>
  <si>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</si>
  <si>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</si>
  <si>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</si>
  <si>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</si>
  <si>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</si>
  <si>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</si>
  <si>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</si>
  <si>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</si>
  <si>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</si>
  <si>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</si>
  <si>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</si>
  <si>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</si>
  <si>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</si>
  <si>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</si>
  <si>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</si>
  <si>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</si>
  <si>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</si>
  <si>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</si>
  <si>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</si>
  <si>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</si>
  <si>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</si>
  <si>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</si>
  <si>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</si>
  <si>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</si>
  <si>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</si>
  <si>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</si>
  <si>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</si>
  <si>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</si>
  <si>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</si>
  <si>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</si>
  <si>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</si>
  <si>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</si>
  <si>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</si>
  <si>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</si>
  <si>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</si>
  <si>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</si>
  <si>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</si>
  <si>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</si>
  <si>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</si>
  <si>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</si>
  <si>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</si>
  <si>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</si>
  <si>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</si>
  <si>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</si>
  <si>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</si>
  <si>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</si>
  <si>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</si>
  <si>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</si>
  <si>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</si>
  <si>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</si>
  <si>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</si>
  <si>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</si>
  <si>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</si>
  <si>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</si>
  <si>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</si>
  <si>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</si>
  <si>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</si>
  <si>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</si>
  <si>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</si>
  <si>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</si>
  <si>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</si>
  <si>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</si>
  <si>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</si>
  <si>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</si>
  <si>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</si>
  <si>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</si>
  <si>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</si>
  <si>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</si>
  <si>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</si>
  <si>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</si>
  <si>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</si>
  <si>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</si>
  <si>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</si>
  <si>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</si>
  <si>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</si>
  <si>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</si>
  <si>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</si>
  <si>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</si>
  <si>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</si>
  <si>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</si>
  <si>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</si>
  <si>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</si>
  <si>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</si>
  <si>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</si>
  <si>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</si>
  <si>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</si>
  <si>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</si>
  <si>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</si>
  <si>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</si>
  <si>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</si>
  <si>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</si>
  <si>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</si>
  <si>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</si>
  <si>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</si>
  <si>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</si>
  <si>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</si>
  <si>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</si>
  <si>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</si>
  <si>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</si>
  <si>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</si>
  <si>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</si>
  <si>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</si>
  <si>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</si>
  <si>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</si>
  <si>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</si>
  <si>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</si>
  <si>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</si>
  <si>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</si>
  <si>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</si>
  <si>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</si>
  <si>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</si>
  <si>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</si>
  <si>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</si>
  <si>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</si>
  <si>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</si>
  <si>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</si>
  <si>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</si>
  <si>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</si>
  <si>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</si>
  <si>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</si>
  <si>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</si>
  <si>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</si>
  <si>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</si>
  <si>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</si>
  <si>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</si>
  <si>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</si>
  <si>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</si>
  <si>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</si>
  <si>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</si>
  <si>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</si>
  <si>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</si>
  <si>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</si>
  <si>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</si>
  <si>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</si>
  <si>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</si>
  <si>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</si>
  <si>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</si>
  <si>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</si>
  <si>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</si>
  <si>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</si>
  <si>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</si>
  <si>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</si>
  <si>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</si>
  <si>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</si>
  <si>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</si>
  <si>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</si>
  <si>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</si>
  <si>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</si>
  <si>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</si>
  <si>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</si>
  <si>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</si>
  <si>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</si>
  <si>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</si>
  <si>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</si>
  <si>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</si>
  <si>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</si>
  <si>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</si>
  <si>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</si>
  <si>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</si>
  <si>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</si>
  <si>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</si>
  <si>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</si>
  <si>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</si>
  <si>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</si>
  <si>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</si>
  <si>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</si>
  <si>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</si>
  <si>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</si>
  <si>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</si>
  <si>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</si>
  <si>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</si>
  <si>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</si>
  <si>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</si>
  <si>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</si>
  <si>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</si>
  <si>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</si>
  <si>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</si>
  <si>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</si>
  <si>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</si>
  <si>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</si>
  <si>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</si>
  <si>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</si>
  <si>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</si>
  <si>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</si>
  <si>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</si>
  <si>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</si>
  <si>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</si>
  <si>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</si>
  <si>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</si>
  <si>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</si>
  <si>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</si>
  <si>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</si>
  <si>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</si>
  <si>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</si>
  <si>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</si>
  <si>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</si>
  <si>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</si>
  <si>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</si>
  <si>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</si>
  <si>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</si>
  <si>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</si>
  <si>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</si>
  <si>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</si>
  <si>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</si>
  <si>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</si>
  <si>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</si>
  <si>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</si>
  <si>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</si>
  <si>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</si>
  <si>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</si>
  <si>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</si>
  <si>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</si>
  <si>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</si>
  <si>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</si>
  <si>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</si>
  <si>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</si>
  <si>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</si>
  <si>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</si>
  <si>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</si>
  <si>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</si>
  <si>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</si>
  <si>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</si>
  <si>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</si>
  <si>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</si>
  <si>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</si>
  <si>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</si>
  <si>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</si>
  <si>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</si>
  <si>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</si>
  <si>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</si>
  <si>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</si>
  <si>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</si>
  <si>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</si>
  <si>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</si>
  <si>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</si>
  <si>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</si>
  <si>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</si>
  <si>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</si>
  <si>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</si>
  <si>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</si>
  <si>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</si>
  <si>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</si>
  <si>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</si>
  <si>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</si>
  <si>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</si>
  <si>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</si>
  <si>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</si>
  <si>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</si>
  <si>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</si>
  <si>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</si>
  <si>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</si>
  <si>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</si>
  <si>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</si>
  <si>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</si>
  <si>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</si>
  <si>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</si>
  <si>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</si>
  <si>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</si>
  <si>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</si>
  <si>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</si>
  <si>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</si>
  <si>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</si>
  <si>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</si>
  <si>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</si>
  <si>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</si>
  <si>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</si>
  <si>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</si>
  <si>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</si>
  <si>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</si>
  <si>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</si>
  <si>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</si>
  <si>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</si>
  <si>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</si>
  <si>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</si>
  <si>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</si>
  <si>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</si>
  <si>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</si>
  <si>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</si>
  <si>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</si>
  <si>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</si>
  <si>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</si>
  <si>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</si>
  <si>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</si>
  <si>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</si>
  <si>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</si>
  <si>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</si>
  <si>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</si>
  <si>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</si>
  <si>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</si>
  <si>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</si>
  <si>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</si>
  <si>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</si>
  <si>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</si>
  <si>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</si>
  <si>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</si>
  <si>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</si>
  <si>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</si>
  <si>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</si>
  <si>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</si>
  <si>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</si>
  <si>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</si>
  <si>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</si>
  <si>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</si>
  <si>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</si>
  <si>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</si>
  <si>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</si>
  <si>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</si>
  <si>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</si>
  <si>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</si>
  <si>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</si>
  <si>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</si>
  <si>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</si>
  <si>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</si>
  <si>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</si>
  <si>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</si>
  <si>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</si>
  <si>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</si>
  <si>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</si>
  <si>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</si>
  <si>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</si>
  <si>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</si>
  <si>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</si>
  <si>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</si>
  <si>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</si>
  <si>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</si>
  <si>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</si>
  <si>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</si>
  <si>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</si>
  <si>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</si>
  <si>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</si>
  <si>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</si>
  <si>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</si>
  <si>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</si>
  <si>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</si>
  <si>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</si>
  <si>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</si>
  <si>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</si>
  <si>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</si>
  <si>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</si>
  <si>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</si>
  <si>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</si>
  <si>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</si>
  <si>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</si>
  <si>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</si>
  <si>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</si>
  <si>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</si>
  <si>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</si>
  <si>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</si>
  <si>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</si>
  <si>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</si>
  <si>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</si>
  <si>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</si>
  <si>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</si>
  <si>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</si>
  <si>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</si>
  <si>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</si>
  <si>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</si>
  <si>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</si>
  <si>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</si>
  <si>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</si>
  <si>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</si>
  <si>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</si>
  <si>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</si>
  <si>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</si>
  <si>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</si>
  <si>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</si>
  <si>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</si>
  <si>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</si>
  <si>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</si>
  <si>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</si>
  <si>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</si>
  <si>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</si>
  <si>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</si>
  <si>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</si>
  <si>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</si>
  <si>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</si>
  <si>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</si>
  <si>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</si>
  <si>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</si>
  <si>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</si>
  <si>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</si>
  <si>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</si>
  <si>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</si>
  <si>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</si>
  <si>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</si>
  <si>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</si>
  <si>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</si>
  <si>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</si>
  <si>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</si>
  <si>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</si>
  <si>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</si>
  <si>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</si>
  <si>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</si>
  <si>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</si>
  <si>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</si>
  <si>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</si>
  <si>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</si>
  <si>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</si>
  <si>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</si>
  <si>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</si>
  <si>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</si>
  <si>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</si>
  <si>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</si>
  <si>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</si>
  <si>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</si>
  <si>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</si>
  <si>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</si>
  <si>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</si>
  <si>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</si>
  <si>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</si>
  <si>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</si>
  <si>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</si>
  <si>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</si>
  <si>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</si>
  <si>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</si>
  <si>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</si>
  <si>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</si>
  <si>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</si>
  <si>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</si>
  <si>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</si>
  <si>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</si>
  <si>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</si>
  <si>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</si>
  <si>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</si>
  <si>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</si>
  <si>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</si>
  <si>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</si>
  <si>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</si>
  <si>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</si>
  <si>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</si>
  <si>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</si>
  <si>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</si>
  <si>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</si>
  <si>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</si>
  <si>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</si>
  <si>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</si>
  <si>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</si>
  <si>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</si>
  <si>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</si>
  <si>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</si>
  <si>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</si>
  <si>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</si>
  <si>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</si>
  <si>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</si>
  <si>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</si>
  <si>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</si>
  <si>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</si>
  <si>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</si>
  <si>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</si>
  <si>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</si>
  <si>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</si>
  <si>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</si>
  <si>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</si>
  <si>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</si>
  <si>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</si>
  <si>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</si>
  <si>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</si>
  <si>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</si>
  <si>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</si>
  <si>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</si>
  <si>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</si>
  <si>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</si>
  <si>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</si>
  <si>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</si>
  <si>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</si>
  <si>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</si>
  <si>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</si>
  <si>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</si>
  <si>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</si>
  <si>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</si>
  <si>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</si>
  <si>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</si>
  <si>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</si>
  <si>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</si>
  <si>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</si>
  <si>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</si>
  <si>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</si>
  <si>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</si>
  <si>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</si>
  <si>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</si>
  <si>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</si>
  <si>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</si>
  <si>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</si>
  <si>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</si>
  <si>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</si>
  <si>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</si>
  <si>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</si>
  <si>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</si>
  <si>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</si>
  <si>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</si>
  <si>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</si>
  <si>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</si>
  <si>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</si>
  <si>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</si>
  <si>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</si>
  <si>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</si>
  <si>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</si>
  <si>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</si>
  <si>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</si>
  <si>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</si>
  <si>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</si>
  <si>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</si>
  <si>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</si>
  <si>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</si>
  <si>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</si>
  <si>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</si>
  <si>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</si>
  <si>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</si>
  <si>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</si>
  <si>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</si>
  <si>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</si>
  <si>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</si>
  <si>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</si>
  <si>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</si>
  <si>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</si>
  <si>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</si>
  <si>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</si>
  <si>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</si>
  <si>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</si>
  <si>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</si>
  <si>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</si>
  <si>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</si>
  <si>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</si>
  <si>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</si>
  <si>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</si>
  <si>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</si>
  <si>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</si>
  <si>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</si>
  <si>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</si>
  <si>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</si>
  <si>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</si>
  <si>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</si>
  <si>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</si>
  <si>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</si>
  <si>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</si>
  <si>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</si>
  <si>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</si>
  <si>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</si>
  <si>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</si>
  <si>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</si>
  <si>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</si>
  <si>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</si>
  <si>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</si>
  <si>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</si>
  <si>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</si>
  <si>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</si>
  <si>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</si>
  <si>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</si>
  <si>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</si>
  <si>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</si>
  <si>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</si>
  <si>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</si>
  <si>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</si>
  <si>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</si>
  <si>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</si>
  <si>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</si>
  <si>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</si>
  <si>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</si>
  <si>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</si>
  <si>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</si>
  <si>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</si>
  <si>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</si>
  <si>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</si>
  <si>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</si>
  <si>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</si>
  <si>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</si>
  <si>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</si>
  <si>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</si>
  <si>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</si>
  <si>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</si>
  <si>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</si>
  <si>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</si>
  <si>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</si>
  <si>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</si>
  <si>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</si>
  <si>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</si>
  <si>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</si>
  <si>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</si>
  <si>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</si>
  <si>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</si>
  <si>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</si>
  <si>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</si>
  <si>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</si>
  <si>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</si>
  <si>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</si>
  <si>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</si>
  <si>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</si>
  <si>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</si>
  <si>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</si>
  <si>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</si>
  <si>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</si>
  <si>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</si>
  <si>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</si>
  <si>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</si>
  <si>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</si>
  <si>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</si>
  <si>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</si>
  <si>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</si>
  <si>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</si>
  <si>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</si>
  <si>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</si>
  <si>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</si>
  <si>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</si>
  <si>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</si>
  <si>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</si>
  <si>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</si>
  <si>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</si>
  <si>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</si>
  <si>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</si>
  <si>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</si>
  <si>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</si>
  <si>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</si>
  <si>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</si>
  <si>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</si>
  <si>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</si>
  <si>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</si>
  <si>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</si>
  <si>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</si>
  <si>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</si>
  <si>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</si>
  <si>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</si>
  <si>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</si>
  <si>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</si>
  <si>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</si>
  <si>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</si>
  <si>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</si>
  <si>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</si>
  <si>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</si>
  <si>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</si>
  <si>
    <t>Explizite menschliche Aufsicht und Override; Prinzipienebene</t>
  </si>
  <si>
    <t>Verantwortung für Funktion und Folgen von KI klar benannt</t>
  </si>
  <si>
    <t>Transparenz explizit im KI-Abschnitt</t>
  </si>
  <si>
    <t>„explainable systems“ explizit</t>
  </si>
  <si>
    <t>Fairness und Nicht-Diskriminierung explizit</t>
  </si>
  <si>
    <t>Datenschutz explizit genannt</t>
  </si>
  <si>
    <t>Kein expliziter KI-Sicherheits-/Cybersecurity-Anker</t>
  </si>
  <si>
    <t>Safety-first-Prinzip mit Schutzbezug</t>
  </si>
  <si>
    <t>Reliability/Dependability explizit</t>
  </si>
  <si>
    <t>Kein Einspruchs-, Beschwerde- oder Redress-Mechanismus</t>
  </si>
  <si>
    <t>„diversity and inclusion“ erscheint eher als Fairness-Unterstützung, nicht als Accessibility/inklusive Gestaltung</t>
  </si>
  <si>
    <t>Nachhaltigkeit/Planet explizit im KI-Kontext</t>
  </si>
  <si>
    <t>„societal wellbeing“ explizit</t>
  </si>
  <si>
    <t>IHL-Adhärenz im KI-Kontext, aber ohne deontische Regel</t>
  </si>
  <si>
    <t>„trustworthy AI“ / „ethics by design“ bleibt hier zu allgemein, keine klare ethische Grenze/Do-not-Regel</t>
  </si>
  <si>
    <t>„data privacy and governance standards“ ohne Datenqualitäts-, Lineage- oder Stewardship-Anker</t>
  </si>
  <si>
    <t>Kein expliziter KI-bezogener IP-/Confidentiality-Bezug</t>
  </si>
  <si>
    <t>Menschenrechte explizit als KI-Rahmen genannt</t>
  </si>
  <si>
    <t>S. 5, Our approach to Artificial Intelligence (AI)</t>
  </si>
  <si>
    <t>“Human oversight of AI systems is essential”; “override AI decisions when necessary”</t>
  </si>
  <si>
    <t>Menschliche Aufsicht über KI wird als essenziell beschrieben.</t>
  </si>
  <si>
    <t>“takes responsibility for their function and consequences”</t>
  </si>
  <si>
    <t>Airbus beansprucht Verantwortung und will transparente sowie erklärbare KI-Systeme gestalten.</t>
  </si>
  <si>
    <t>“designing transparent and explainable systems”</t>
  </si>
  <si>
    <t>Transparenz und Erklärbarkeit werden gemeinsam genannt.</t>
  </si>
  <si>
    <t>“fairness for all, without discrimination”</t>
  </si>
  <si>
    <t>KI soll fair und diskriminierungsfrei sein.</t>
  </si>
  <si>
    <t>“adheres to strict data privacy and governance standards”</t>
  </si>
  <si>
    <t>Datenschutz und Data Governance werden als Standards genannt.</t>
  </si>
  <si>
    <t>“Safety is our top priority”</t>
  </si>
  <si>
    <t>Sicherheit, Zuverlässigkeit und Schutz vor Schäden werden als KI-Prinzip gesetzt.</t>
  </si>
  <si>
    <t>“highest standards of reliability and dependability”</t>
  </si>
  <si>
    <t>Airbus betont Zuverlässigkeit und Verlässlichkeit von KI-Systemen.</t>
  </si>
  <si>
    <t>“enhance societal wellbeing”</t>
  </si>
  <si>
    <t>“enhance societal wellbeing”; “contribute to our sustainability goals by respecting the planet”</t>
  </si>
  <si>
    <t>KI wird mit planetärer Verantwortung und Prosperität verknüpft.</t>
  </si>
  <si>
    <t>Sozialnutzen explizit</t>
  </si>
  <si>
    <t>“integrating respect for human rights and adherence to International Humanitarian Law (IHL)”</t>
  </si>
  <si>
    <t>Airbus verankert KI ausdrücklich in einem menschenrechtlichen und IHL-bezogenen Rahmen.</t>
  </si>
  <si>
    <t>Keine AI-spezifischen Rollen, Owner oder Gremien im KI-Abschnitt</t>
  </si>
  <si>
    <t>Keine AI-spezifischen Checks, Assessments oder Tools mit KI-Anker</t>
  </si>
  <si>
    <t>Keine AI-spezifischen Audit-/Assessment-Mechaniken</t>
  </si>
  <si>
    <t>Keine AI-spezifischen Trainings erwähnt</t>
  </si>
  <si>
    <t>Kein AI-spezifischer Eskalations- oder Incident-Prozess</t>
  </si>
  <si>
    <t>Kein AI-spezifisches Reporting, keine KPIs, keine Disclosure-Struktur</t>
  </si>
  <si>
    <t>gov_id</t>
  </si>
  <si>
    <t>keine Schritte, Trigger, Verantwortlichen</t>
  </si>
  <si>
    <t>Prozessabsicht/Ansatz („ethics by design“) erwähnt</t>
  </si>
  <si>
    <t>“we prioritise an ethics by design approach to AI”</t>
  </si>
  <si>
    <t>VAL_15, GOV_02</t>
  </si>
  <si>
    <t>„ethics by design approach to AI“ kann als ethische Leitplanke oder als bloßer Prozesshinweis gelesen werden.</t>
  </si>
  <si>
    <t>A: VAL_15=1 bzw. GOV_02=1, weil ethischer Designansatz erwähnt wird. B: VAL_15=0, GOV_02=1, weil keine explizite ethische Grenze/Do-not-Regel, aber Prozessabsicht vorhanden. Gewählt: B, konservativ nach Codebook.</t>
  </si>
  <si>
    <t>VAL_06, VAL_16</t>
  </si>
  <si>
    <t>„data privacy and governance standards“ könnte Privacy oder Data Governance/Data Quality betreffen.</t>
  </si>
  <si>
    <t>A: VAL_06=1 und VAL_16=1. B: nur VAL_06=1, weil keine Qualität, Herkunft, Lineage oder Stewardship konkretisiert wird. Gewählt: B, konservativ nach Codebook.</t>
  </si>
  <si>
    <t>VAL_05, VAL_11</t>
  </si>
  <si>
    <t>„support diversity and inclusion“ im Fairness-Satz könnte als Inclusiveness mitgezählt werden.</t>
  </si>
  <si>
    <t>A: VAL_05=1 und VAL_11=1. B: nur VAL_05=1, da kein Accessibility-/Teilhabe-/inklusive-Design-Anker. Gewählt: B, konservativ nach Codebook.</t>
  </si>
  <si>
    <t>GOV_03, GOV_04, GOV_07</t>
  </si>
  <si>
    <t>Vor dem AI-Abschnitt werden Due Diligence, Risk Assessment und regelmäßige Reviews beschrieben; unklar ist, ob diese auf KI übertragbar sind.</t>
  </si>
  <si>
    <t>A: Governance-Codes &gt;0 vergeben, weil unmittelbar vor KI-Abschnitt. B: nicht codieren, weil kein expliziter KI-Anker in diesen Passagen. Gewählt: B gemäß R1 KI-Anker-Regel.</t>
  </si>
  <si>
    <t>C48</t>
  </si>
  <si>
    <t>C49</t>
  </si>
  <si>
    <t>C50</t>
  </si>
  <si>
    <t>C51</t>
  </si>
  <si>
    <t>V1</t>
  </si>
  <si>
    <t>S. 31, Digital Ethics</t>
  </si>
  <si>
    <t>Verbot KI-Entscheidungen in personal/moral/political issues; kein expliziter Override, aber klare normative Begrenzung</t>
  </si>
  <si>
    <t>„responsibly“ zu allgemein; keine klare Verantwortungszurechnung für KI-Folgen</t>
  </si>
  <si>
    <t>Nutzerinformation über KI-Systeme explizit als Negativbeispiel</t>
  </si>
  <si>
    <t>Zwecke, Inputs und Outputs sollen erklärt werden</t>
  </si>
  <si>
    <t>Regelmäßige KI-Reviews zur Fairness-/Bias-Prävention = prozessuale Operationalisierung</t>
  </si>
  <si>
    <t>Privacy explizit; Schutz persönlicher Informationen klar normiert</t>
  </si>
  <si>
    <t>Security-Kapitel ist nicht KI-spezifisch; kein KI-Anker</t>
  </si>
  <si>
    <t>Kein expliziter KI-Safety-Bezug im Digital-Ethics-Abschnitt</t>
  </si>
  <si>
    <t>Keine Robustness-/Reliability-Aussage zu KI</t>
  </si>
  <si>
    <t>Kein KI-spezifischer Einspruchs- oder Redress-Mechanismus</t>
  </si>
  <si>
    <t>Allgemeine Inclusion-/Diversity-Passage ohne KI-Anker</t>
  </si>
  <si>
    <t>Digitaltechnologien zur Unterstützung von Nachhaltigkeitszielen erwähnt, aber sehr allgemein</t>
  </si>
  <si>
    <t>Kein expliziter societal wellbeing-/public benefit-Anker im KI-Kontext</t>
  </si>
  <si>
    <t>„legally“ im Digital-/KI-Kontext als klare Norm</t>
  </si>
  <si>
    <t>„ethically“ explizit; normative Verwendungsregel</t>
  </si>
  <si>
    <t>Keine Datenqualitäts- oder Data-Governance-Mechanik</t>
  </si>
  <si>
    <t>Kein KI-spezifischer IP-/Confidentiality-Bezug</t>
  </si>
  <si>
    <t>Menschenrechte explizit einbezogen</t>
  </si>
  <si>
    <t>“Use artificial intelligence to make decisions about personal, moral or political issues.”</t>
  </si>
  <si>
    <t>Negative Begrenzung menschlich sensibler Entscheidungen</t>
  </si>
  <si>
    <t>“without informing the users, and without explaining its purposes, inputs and outputs”</t>
  </si>
  <si>
    <t>Nutzer sollen bei KI-Systemen informiert werden; Zwecke, Inputs und Outputs sollen erklärt werden.</t>
  </si>
  <si>
    <t>“Regularly review artificial intelligence systems to ensure fairness and prevent biases.”</t>
  </si>
  <si>
    <t>Fairness explizit; zugleich Prozesshinweis</t>
  </si>
  <si>
    <t>“This includes respecting human rights and privacy.”</t>
  </si>
  <si>
    <t>Expliziter Human-Rights- und Privacy-Bezug</t>
  </si>
  <si>
    <t>“This includes respecting human rights and privacy.”; “Take measures to protect the personal information we manage and share.”</t>
  </si>
  <si>
    <t>Expliziter Human-Rights- und Privacy-Bezug; Privacy/Data protection explizit</t>
  </si>
  <si>
    <t>“We leverage digital technologies to help meet our sustainability goals.”</t>
  </si>
  <si>
    <t>Nachhaltigkeits-/Wohlfahrtsbezug, aber breit formuliert</t>
  </si>
  <si>
    <t>“using digital technologies legally, responsibly and ethically”</t>
  </si>
  <si>
    <t>Klarer KI-/Digital-Anker; normativer Grundsatz</t>
  </si>
  <si>
    <t>Keine AI-spezifischen Rollen, Owner oder Gremien</t>
  </si>
  <si>
    <t>Keine AI-spezifischen Audits oder Auditnachweise</t>
  </si>
  <si>
    <t>Keine AI-spezifischen Trainings</t>
  </si>
  <si>
    <t>Speak-Up-Kapitel ist allgemein, nicht KI-spezifisch</t>
  </si>
  <si>
    <t>Kein AI-spezifisches Reporting, keine KPIs, keine Reports</t>
  </si>
  <si>
    <t>Regelmäßige Reviews von KI-Systemen sind dokumentiert</t>
  </si>
  <si>
    <t>kein benanntes Tool, kein Nachweis der Implementierung</t>
  </si>
  <si>
    <t>keine Nachweise zu Frequenz, Outputs, Verantwortlichen oder Umsetzung</t>
  </si>
  <si>
    <t>Fairness-/Bias-Review als dokumentierter Check</t>
  </si>
  <si>
    <t>“Regularly review artificial intelligence systems”</t>
  </si>
  <si>
    <t>Das Verbot, KI für persönliche, moralische oder politische Entscheidungen zu nutzen, kann als Oversight oder nur als Ethical Use gelesen werden.</t>
  </si>
  <si>
    <t>A: VAL_01=1, weil menschlich sensible Entscheidungen der KI entzogen werden. B: nur VAL_15=1. Gewählt: A zusätzlich zu VAL_15, da die Passage funktional menschliche Vorbehaltsentscheidung markiert; konservativ BIND=2, nicht 3.</t>
  </si>
  <si>
    <t>VAL_13, VAL_12</t>
  </si>
  <si>
    <t>„help meet our sustainability goals“ könnte Sustainability oder breiter Social Benefit codieren.</t>
  </si>
  <si>
    <t>A: VAL_12=1 und VAL_13=1. B: nur VAL_12=1. Gewählt: B, da kein expliziter societal wellbeing-/social benefit-Bezug.</t>
  </si>
  <si>
    <t>GOV_02, GOV_03, VAL_05</t>
  </si>
  <si>
    <t>„Regularly review artificial intelligence systems to ensure fairness and prevent biases“ kann als Wertaussage, Prozess und/oder Check gelesen werden.</t>
  </si>
  <si>
    <t>A: nur VAL_05=1/BIND=2. B: zusätzlich GOV_02=2 und GOV_03=2. Gewählt: B, da die Passage einen dokumentierten Review-/Check-Mechanismus beschreibt; nicht höher wegen fehlender Implementierungsnachweise.</t>
  </si>
  <si>
    <t>GOV_06, GOV_07, VAL_07</t>
  </si>
  <si>
    <t>Allgemeine Security- und Speak-Up-Regeln könnten auf KI übertragen werden, sind aber nicht KI-spezifisch.</t>
  </si>
  <si>
    <t>A: KI-Governance-Codes &gt;0 wegen Konzernweite des Code of Conduct. B: nicht codieren wegen fehlendem KI-Anker. Gewählt: B gemäß R1 KI-Anker-Regel.</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</si>
  <si>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</si>
  <si>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</si>
  <si>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</si>
  <si>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</si>
  <si>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</si>
  <si>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</si>
  <si>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</si>
  <si>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</si>
  <si>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</si>
  <si>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</si>
  <si>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</si>
  <si>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</si>
  <si>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</si>
  <si>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</si>
  <si>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</si>
  <si>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</si>
  <si>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</si>
  <si>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</si>
  <si>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</si>
  <si>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</si>
  <si>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</si>
  <si>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</si>
  <si>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</si>
  <si>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</si>
  <si>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</si>
  <si>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</si>
  <si>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</si>
  <si>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</si>
  <si>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</si>
  <si>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</si>
  <si>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</si>
  <si>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</si>
  <si>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</si>
  <si>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</si>
  <si>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</si>
  <si>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</si>
  <si>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</si>
  <si>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</si>
  <si>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</si>
  <si>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</si>
  <si>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</si>
  <si>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</si>
  <si>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</si>
  <si>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</si>
  <si>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</si>
  <si>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</si>
  <si>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</si>
  <si>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</si>
  <si>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</si>
  <si>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</si>
  <si>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</si>
  <si>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</si>
  <si>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</si>
  <si>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</si>
  <si>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</si>
  <si>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</si>
  <si>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</si>
  <si>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</si>
  <si>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</si>
  <si>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</si>
  <si>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</si>
  <si>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</si>
  <si>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</si>
  <si>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</si>
  <si>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</si>
  <si>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</si>
  <si>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</si>
  <si>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</si>
  <si>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</si>
  <si>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</si>
  <si>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</si>
  <si>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</si>
  <si>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</si>
  <si>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</si>
  <si>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</si>
  <si>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</si>
  <si>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</si>
  <si>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</si>
  <si>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</si>
  <si>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</si>
  <si>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</si>
  <si>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</si>
  <si>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</si>
  <si>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</si>
  <si>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</si>
  <si>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</si>
  <si>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</si>
  <si>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</si>
  <si>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</si>
  <si>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</si>
  <si>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</si>
  <si>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</si>
  <si>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</si>
  <si>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</si>
  <si>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</si>
  <si>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</si>
  <si>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</si>
  <si>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</si>
  <si>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</si>
  <si>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</si>
  <si>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</si>
  <si>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</si>
  <si>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</si>
  <si>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</si>
  <si>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</si>
  <si>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</si>
  <si>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</si>
  <si>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</si>
  <si>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</si>
  <si>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</si>
  <si>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</si>
  <si>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</si>
  <si>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</si>
  <si>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</si>
  <si>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</si>
  <si>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</si>
  <si>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</si>
  <si>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</si>
  <si>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</si>
  <si>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</si>
  <si>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</si>
  <si>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</si>
  <si>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</si>
  <si>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</si>
  <si>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</si>
  <si>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</si>
  <si>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</si>
  <si>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</si>
  <si>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</si>
  <si>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</si>
  <si>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</si>
  <si>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</si>
  <si>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</si>
  <si>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</si>
  <si>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</si>
  <si>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</si>
  <si>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</si>
  <si>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</si>
  <si>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S. 2; S. 5, RAI approach / Prinzip 8 Human Oversight</t>
  </si>
  <si>
    <t>Human-centric approach, Kundenautonomie und human control klar normiert</t>
  </si>
  <si>
    <t>S. 3, Prinzip 3 Accountability, Accuracy &amp; Proficiency</t>
  </si>
  <si>
    <t>Monitoring in Produktion mit Outcome-Abgleich und User Feedback = prozessuale Operationalisierung</t>
  </si>
  <si>
    <t>S. 3, Prinzip 2 Transparency</t>
  </si>
  <si>
    <t>Zweckoffenlegung und User-Information klar normiert</t>
  </si>
  <si>
    <t>Interpretability explizit, aber risikobasiert und ohne konkretes Tool</t>
  </si>
  <si>
    <t>S. 4, Prinzip 5 Non-Discrimination</t>
  </si>
  <si>
    <t>Bias-Minderung in Daten und Modellen operationalisiert</t>
  </si>
  <si>
    <t>S. 4, Prinzip 6 Data Privacy</t>
  </si>
  <si>
    <t>Dedicated privacy risk assessment bei AI mit Personal Data</t>
  </si>
  <si>
    <t>S. 4, Prinzip 4 Security &amp; Resilience</t>
  </si>
  <si>
    <t>State-of-the-art cybersecurity/resilience über den Lebenszyklus</t>
  </si>
  <si>
    <t>S. 2–3, Prinzipienliste / Prinzip 1 Prohibited AI</t>
  </si>
  <si>
    <t>Verbotene KI als harm-prevention-orientierte Begrenzung; konkrete Verbotsliste fehlt</t>
  </si>
  <si>
    <t>S. 3–4, Prinzip 3 und 4</t>
  </si>
  <si>
    <t>Monitoring produktiver Systeme plus Resilienzmaßnahmen über Lebenszyklus</t>
  </si>
  <si>
    <t>Kein expliziter Beschwerde-, Einspruchs- oder Redress-Mechanismus</t>
  </si>
  <si>
    <t>Stakeholder-/Kundenperspektive allein genügt nicht für Accessibility/Inclusiveness</t>
  </si>
  <si>
    <t>KI-spezifischer Nachhaltigkeitsanker fehlt; „digital technologies“ ist zu breit</t>
  </si>
  <si>
    <t>Nutzenargumente zu Customer Experience/Operations genügen nicht als expliziter Social-Benefit-Wert</t>
  </si>
  <si>
    <t>S. 3, Prinzipien-Einleitung</t>
  </si>
  <si>
    <t>AI systems/use cases may only be used in line with laws and standards</t>
  </si>
  <si>
    <t>S. 2, Einleitung / RAI approach</t>
  </si>
  <si>
    <t>Integrity and responsibility explizit im AI-Kontext</t>
  </si>
  <si>
    <t>S. 5, Prinzip 7 Data Governance</t>
  </si>
  <si>
    <t>Data quality und sound data governance explizit</t>
  </si>
  <si>
    <t>Kein expliziter KI-bezogener IP-/Confidentiality-Anker</t>
  </si>
  <si>
    <t>Human rights erscheinen nur im breiten AI-/digital ethics framing, aber nicht als eigenständiges KI-Prinzip oder Regel mit weiterer Substanz</t>
  </si>
  <si>
    <t>“We are implementing a human centric approach to AI.”; “must respect customers’ autonomy and decision-making”; “We ensure an appropriate, risk-based level of human control.”</t>
  </si>
  <si>
    <t>Allianz nennt einen human-centric Ansatz und konsultiert relevante Stakeholder.</t>
  </si>
  <si>
    <t>“We monitor AI systems in production”</t>
  </si>
  <si>
    <t>Accountability + Monitoring + Accuracy</t>
  </si>
  <si>
    <t>“We openly communicate the purpose of our AI systems.”; “we inform customers whenever they interact directly with an AI system”</t>
  </si>
  <si>
    <t>Transparenz explizit; User-notification als Transparenzregel</t>
  </si>
  <si>
    <t>“risk-based approach to attain suitable levels of interpretability”</t>
  </si>
  <si>
    <t>Explainability/Interpretability explizit</t>
  </si>
  <si>
    <t>“We commit to avoiding both direct and indirect discrimination”; “mitigate potential bias both in the data itself as well as in each individual model”</t>
  </si>
  <si>
    <t>Allianz verpflichtet sich zur Vermeidung direkter und indirekter Diskriminierung.; Fairness operationalisiert</t>
  </si>
  <si>
    <t>“perform a dedicated privacy risk assessment”</t>
  </si>
  <si>
    <t>Privacy mit konkretem Check</t>
  </si>
  <si>
    <t>“state-of-the-art cybersecurity and resilience measures”</t>
  </si>
  <si>
    <t>Security/Robustness klar</t>
  </si>
  <si>
    <t>“Prohibited AI”</t>
  </si>
  <si>
    <t>Harm-prevention/forbidden uses im KI-Kontext</t>
  </si>
  <si>
    <t>Allianz fordert state-of-the-art Cybersecurity und Resilienz über den KI-Lebenszyklus.</t>
  </si>
  <si>
    <t>“may only be used in line with applicable laws and Allianz standards”</t>
  </si>
  <si>
    <t>Klare normative Lawfulness-Regel</t>
  </si>
  <si>
    <t>“maintaining the highest standards of integrity and responsibility”</t>
  </si>
  <si>
    <t>Ethisch-integrer KI-Rahmen</t>
  </si>
  <si>
    <t>“data quality has to be ensured”</t>
  </si>
  <si>
    <t>Data quality/Data governance explizit</t>
  </si>
  <si>
    <t>S. 5–6, DAITAB / Responsible AI Corporate Rules</t>
  </si>
  <si>
    <t>S. 2; S. 6, RAI approach / Responsible AI Corporate Rules</t>
  </si>
  <si>
    <t>S. 4; S. 6, Data Privacy / Responsible AI Corporate Rules</t>
  </si>
  <si>
    <t>Keine AI-spezifischen Audits oder Auditberichte</t>
  </si>
  <si>
    <t>S. 6, Responsible AI Corporate Rules</t>
  </si>
  <si>
    <t>Kein AI-spezifisches Reporting, keine KPIs, keine regelmäßigen Reports</t>
  </si>
  <si>
    <t>keine Wirksamkeitsnachweise, keine KPIs/Reports</t>
  </si>
  <si>
    <t>keine regelmäßigen Nachweisberichte oder auditierte Umsetzung</t>
  </si>
  <si>
    <t>keine Toolnamen, Templates oder Implementierungsbelege</t>
  </si>
  <si>
    <t>keine Frequenz, Coverage oder Trainingsnachweise</t>
  </si>
  <si>
    <t>keine geübten Fälle, keine Nachweise zur Anwendung</t>
  </si>
  <si>
    <t>Incident management und Eskalation an DAITAB explizit</t>
  </si>
  <si>
    <t>Upskilling und AI literacy dokumentiert</t>
  </si>
  <si>
    <t>Board, AI Trust Officers und Group AI Office sind klar benannt</t>
  </si>
  <si>
    <t>Cross-functional consultation, RAI framework, RAI-assessments dokumentiert</t>
  </si>
  <si>
    <t>Privacy risk assessment und RAI-assessments klar beschrieben</t>
  </si>
  <si>
    <t>VAL_08, VAL_14</t>
  </si>
  <si>
    <t>„Prohibited AI“ kann als Lawfulness oder als Safety/Harm Prevention gelesen werden.</t>
  </si>
  <si>
    <t>A: nur VAL_14=1, weil Gesetzesverstoß genannt wird. B: zusätzlich VAL_08=1, weil verbotene KI-Nutzungen präventiv begrenzt werden. Gewählt: B zusätzlich, aber konservativ nur BIND=2, da keine ausdifferenzierte Verbotsmatrix vorliegt.</t>
  </si>
  <si>
    <t>„prioritising the interests and needs of our stakeholders“ und „human centric“ könnten als Human Rights codierbar erscheinen.</t>
  </si>
  <si>
    <t>A: VAL_18=1, weil menschenzentrierte Ausrichtung und Stakeholderinteressen betont werden. B: VAL_18=0, weil keine explizite Human-Rights-Regel mit KI-spezifischer Substanz außer Randnennung vorliegt. Gewählt: B, konservativ.</t>
  </si>
  <si>
    <t>GOV_01, GOV_02</t>
  </si>
  <si>
    <t>Die funktionsübergreifende Konsultation kann als bloßer Ansatz oder als dokumentierter Prozess gelesen werden.</t>
  </si>
  <si>
    <t>A: GOV_02=1, nur Absicht. B: GOV_02=2, weil beteiligte Funktionen konkret benannt sind. Gewählt: B, da mehrere Funktionen explizit aufgeführt sind; nicht höher wegen fehlender Ablaufdetails.</t>
  </si>
  <si>
    <t>Upskilling und AI literacy können als allgemeine Capability-Building-Aussagen oder als Schulungsnachweis gewertet werden.</t>
  </si>
  <si>
    <t>A: GOV_05=1, nur Absichtserklärung. B: GOV_05=2, da Upskilling und AI literacy konkret beschrieben werden. Gewählt: B, konservativ; nicht 3 wegen fehlender Nachweise zu Durchführung/KPIs.</t>
  </si>
  <si>
    <t>Berücksichtigung von Kunden- und Stakeholderperspektiven könnte als Inclusiveness codiert werden.</t>
  </si>
  <si>
    <t>A: VAL_11=1. B: VAL_11=0, da keine Accessibility-/Teilhabe-/inklusive-Design-Regel formuliert ist. Gewählt: B, konservativ.</t>
  </si>
  <si>
    <t>Kein expliziter Human-control-, Oversight- oder Override-Anker</t>
  </si>
  <si>
    <t>„responsibly“ bleibt zu allgemein; keine klare Verantwortungszurechnung</t>
  </si>
  <si>
    <t>S. 28, Diligent data management and digital trust</t>
  </si>
  <si>
    <t>Transparente KI-Systeme explizit genannt</t>
  </si>
  <si>
    <t>Keine Explainability-/Interpretability-Aussage</t>
  </si>
  <si>
    <t>Diskriminierungsfreiheit explizit</t>
  </si>
  <si>
    <t>Privacy-Passage vorhanden, aber nicht hinreichend KI-spezifisch verankert</t>
  </si>
  <si>
    <t>Sichere KI-Systeme explizit</t>
  </si>
  <si>
    <t>Kein ausdrücklicher Safety-/harm-prevention-Anker zu KI</t>
  </si>
  <si>
    <t>Accuracy im KI-Kontext explizit; konservativ als Robustness/Reliability</t>
  </si>
  <si>
    <t>Keine Accessibility-/inklusive Gestaltungsregel</t>
  </si>
  <si>
    <t>„sustainable growth“ zu allgemein; kein ökologischer KI-Anker</t>
  </si>
  <si>
    <t>Trust/innovation/value genügen nicht als expliziter Social-Benefit-Wert</t>
  </si>
  <si>
    <t>Fair/lawful data handling ist nicht eindeutig KI-spezifisch formuliert</t>
  </si>
  <si>
    <t>Ethische, verantwortungsvolle und vertrauenswürdige KI-Nutzung explizit</t>
  </si>
  <si>
    <t>Datenqualitätskontrollen sind vorhanden, aber nicht klar KI-spezifisch verknüpft</t>
  </si>
  <si>
    <t>Kein KI-spezifischer IP-/Confidentiality-Anker</t>
  </si>
  <si>
    <t>Kein Human-Rights-Anker im KI-Abschnitt</t>
  </si>
  <si>
    <t>“AI systems are transparent”</t>
  </si>
  <si>
    <t>Allianz verlangt transparente KI-Systeme.</t>
  </si>
  <si>
    <t>“free from discrimination”</t>
  </si>
  <si>
    <t>Allianz verlangt diskriminierungsfreie KI-Systeme.</t>
  </si>
  <si>
    <t>“AI systems are transparent, accurate, secure”</t>
  </si>
  <si>
    <t>Allianz verlangt sichere KI-Systeme.</t>
  </si>
  <si>
    <t>Allianz verlangt akkurate KI-Systeme.</t>
  </si>
  <si>
    <t>“using AI responsibly, ethically and in a trustworthy manner”</t>
  </si>
  <si>
    <t>Allianz verpflichtet sich zu verantwortungsvoller, ethischer und vertrauenswürdiger KI-Nutzung.</t>
  </si>
  <si>
    <t>Keine AI-spezifischen Prozessschritte oder Abläufe</t>
  </si>
  <si>
    <t>Kontrollen werden nur für Datenqualität allgemein genannt; kein belastbarer AI-spezifischer Check</t>
  </si>
  <si>
    <t>Keine AI-spezifischen Audits</t>
  </si>
  <si>
    <t>Allgemeine Speak-up-Regeln ohne KI-Anker</t>
  </si>
  <si>
    <t>VAL_06, VAL_14, VAL_16</t>
  </si>
  <si>
    <t>Der Abschnitt mischt allgemeines Datenmanagement mit KI. Unklar ist, ob Privacy-, Lawfulness- und Data-Governance-Aussagen auf KI mitcodiert werden dürfen.</t>
  </si>
  <si>
    <t>A: VAL_06/14/16 = 1, weil KI im selben Abschnitt erwähnt wird. B: nicht codieren, wenn die konkrete Passage nicht selbst KI-spezifisch formuliert ist. Gewählt: B für alle drei, konservativ gemäß R1 KI-Anker-Regel.</t>
  </si>
  <si>
    <t>„accurate“ kann als Accuracy oder als Technical Robustness/Reliability gelesen werden.</t>
  </si>
  <si>
    <t>A: VAL_09=1, weil Accuracy funktional ein Robustheits-/Leistungsanker ist. B: VAL_09=0, weil Reliability/Robustness nicht wörtlich genannt wird. Gewählt: A, konservativ mit BIND=2 statt 3.</t>
  </si>
  <si>
    <t>„comprehensive controls are in place“ klingt nach Checks, bezieht sich aber primär auf Daten, nicht explizit auf KI-Systeme.</t>
  </si>
  <si>
    <t>A: GOV_03=1 oder 2. B: GOV_03=0 wegen fehlender AI-Spezifik. Gewählt: B gemäß R1; allgemeine Datenkontrollen reichen nicht für AI-Tools/Checks.</t>
  </si>
  <si>
    <t>VAL_12, VAL_13</t>
  </si>
  <si>
    <t>„supporting sustainable growth“ und „delivering value“ könnten Sustainability oder Social Benefit nahelegen.</t>
  </si>
  <si>
    <t>A: VAL_12=1 und/oder VAL_13=1. B: keine Codierung, weil zu allgemein und ohne klaren Umwelt-/Wohlfahrtsanker. Gewählt: B, konservativ.</t>
  </si>
  <si>
    <t>S. 4, Data Ethics</t>
  </si>
  <si>
    <t>Human-centric AI, Human Agency and Control sowie risikobasierte Festlegung menschlicher Beteiligung = prozessuale Operationalisierung</t>
  </si>
  <si>
    <t>Accountability explizit als Kernprinzip genannt</t>
  </si>
  <si>
    <t>Transparenz explizit als KI-Kernprinzip</t>
  </si>
  <si>
    <t>Keine Explainability-/Interpretability-Nennung</t>
  </si>
  <si>
    <t>Privacy explizit als KI-Kernprinzip</t>
  </si>
  <si>
    <t>Security-/Cybersecurity-Passagen sind nur allgemein privacy-/infosec-bezogen, nicht KI-spezifisch</t>
  </si>
  <si>
    <t>Kein expliziter Safety-/harm-prevention-Anker für KI</t>
  </si>
  <si>
    <t>Keine KI-spezifische Robustness-/Reliability-Aussage</t>
  </si>
  <si>
    <t>Kein KI-spezifischer Nachhaltigkeitsanker</t>
  </si>
  <si>
    <t>Trustworthy partner / data-driven business genügt nicht als expliziter Social-Benefit-Wert</t>
  </si>
  <si>
    <t>Applicable laws and regulations explizit im AI-Kontext</t>
  </si>
  <si>
    <t>Vertrauenswürdiger und ethischer datengetriebener Partner, flankiert durch Responsible AI</t>
  </si>
  <si>
    <t>Data Governance explizit in den AI core principles</t>
  </si>
  <si>
    <t>Kein expliziter Human-Rights-Anker im KI-Abschnitt</t>
  </si>
  <si>
    <t>“our usage of AI systems is human centric”; “Human Agency and Control”; “risk-based approach to implementing the appropriate level of human involvement”</t>
  </si>
  <si>
    <t>Allianz sichert zu, KI-Nutzung human centric auszugestalten.</t>
  </si>
  <si>
    <t>Accountability ist eines der benannten Responsible-AI-Prinzipien.</t>
  </si>
  <si>
    <t>“Accountability”</t>
  </si>
  <si>
    <t>“core principles for the responsible usage of AI: Transparency”</t>
  </si>
  <si>
    <t>Transparenz ist eines der Kernprinzipien der AI Guidance.</t>
  </si>
  <si>
    <t>“Fairness and Non-Discrimination”</t>
  </si>
  <si>
    <t>Fairness und Nicht-Diskriminierung sind Teil der AI Guidance.</t>
  </si>
  <si>
    <t>“Privacy and Data Governance”</t>
  </si>
  <si>
    <t>Privacy und Data Governance sind Teil der Kernprinzipien verantwortlicher KI-Nutzung.</t>
  </si>
  <si>
    <t>“going beyond compliance with all applicable laws and regulations”</t>
  </si>
  <si>
    <t>KI-Nutzung geht über reine Compliance hinaus, bleibt aber im Rechtsrahmen verankert.</t>
  </si>
  <si>
    <t>“conduct data-driven business as a trustworthy and ethical partner”</t>
  </si>
  <si>
    <t>Allianz beschreibt sich als vertrauenswürdiger und ethischer datengetriebener Partner.</t>
  </si>
  <si>
    <t>Audits/Reviews werden im Dokument nur allgemein für Privacy-/Security-Management erwähnt, nicht hinreichend KI-spezifisch</t>
  </si>
  <si>
    <t>Kein KI-spezifischer Eskalations- oder Incident-Prozess</t>
  </si>
  <si>
    <t>Kein KI-spezifisches Reporting, keine KPIs, keine Reports</t>
  </si>
  <si>
    <t>Board ist datenethisch breit, nicht eindeutig AI-spezifisch ausdifferenziert</t>
  </si>
  <si>
    <t>kein Implementierungsnachweis, keine Tooldetails</t>
  </si>
  <si>
    <t>keine Nachweise zu Anwendungshäufigkeit, Outputs oder Regelvollzug</t>
  </si>
  <si>
    <t>keine Nachweise zu Frequenz, Coverage oder Abschlussquoten</t>
  </si>
  <si>
    <t>Relevante Mitarbeitende mit AI-Bezug werden trainiert</t>
  </si>
  <si>
    <t>Data Advisory Board mit Top-Management-Beteiligung genannt</t>
  </si>
  <si>
    <t>Risk-based human involvement und Privacy &amp; Ethics Impact Assessment dokumentiert</t>
  </si>
  <si>
    <t>Privacy and Ethics Impact Assessment als konkreter Check</t>
  </si>
  <si>
    <t>“establishment of our Data Advisory Board”; "elevate data ethics and selected data and analytics-related topics”</t>
  </si>
  <si>
    <t>“via the Privacy and Ethics Impact Assessment”; “risk-based approach to implementing the appropriate level of human involvement”</t>
  </si>
  <si>
    <t>“via the Privacy and Ethics Impact Assessment”</t>
  </si>
  <si>
    <t>“All relevant employees who develop or use AI solutions are trained”</t>
  </si>
  <si>
    <t>“established a Group Data and AI Trust Advisory Board (DAITAB)"; “establishes the new role of an AI Trust Officer”</t>
  </si>
  <si>
    <t>"we consult relevant stakeholders – whether from the business, data science, IT”; “collectively establish the core principles and framework”; “extending privacy risk assessments to cover all RAI principles”</t>
  </si>
  <si>
    <t>“perform a dedicated privacy risk assessment”; “extending privacy risk assessments to cover all RAI principles”; “monitor AI risks, conduct RAI-assessments with the CDO”</t>
  </si>
  <si>
    <t>“strategically upskilling our workforce”; “providing operational guidance, technical support, AI literacy”</t>
  </si>
  <si>
    <t>“supports Business Owners in incident management”; “escalate unresolved risk disagreements to the DAITAB”</t>
  </si>
  <si>
    <t>Das Data Advisory Board ist datenethisch breit angelegt; unklar ist, ob es als AI-spezifische Zuständigkeit zählt.</t>
  </si>
  <si>
    <t>A: GOV_01=2, weil das Board auch data-analytics-related topics und Responsible AI umfasst. B: GOV_01=1, weil die Zuständigkeit nicht ausschließlich oder klar ausdifferenziert AI-spezifisch ist. Gewählt: B, konservativ.</t>
  </si>
  <si>
    <t>GOV_04, GOV_07, VAL_07</t>
  </si>
  <si>
    <t>Self-assessments, on-site reviews und regelmäßige Audits könnten auf KI übertragbar erscheinen.</t>
  </si>
  <si>
    <t>A: GOV_04&gt;0 bzw. VAL_07=1, weil sie für datenbezogene Systeme gelten. B: nicht codieren, weil kein expliziter KI-Anker. Gewählt: B gemäß R1 KI-Anker-Regel.</t>
  </si>
  <si>
    <t>VAL_15, VAL_13</t>
  </si>
  <si>
    <t>„trustworthy and ethical partner“ kann als Ethical Use oder als breiter Social-Benefit-Nutzen gelesen werden.</t>
  </si>
  <si>
    <t>A: VAL_15=1 und VAL_13=1. B: nur VAL_15=1, weil kein expliziter societal wellbeing-/public benefit-Anker vorliegt. Gewählt: B, konservativ.</t>
  </si>
  <si>
    <t>VAL_01, GOV_02, GOV_03</t>
  </si>
  <si>
    <t>Die risikobasierte menschliche Beteiligung via Privacy and Ethics Impact Assessment kann als Wert, Prozess und Check zugleich gelesen werden.</t>
  </si>
  <si>
    <t>A: nur VAL_01=1/BIND=2. B: zusätzlich GOV_02=2 und GOV_03=2. Gewählt: B, da das Assessment als konkreter Verfahrens- und Check-Mechanismus benannt ist; nicht höher wegen fehlender Implementierungsnachweise.</t>
  </si>
  <si>
    <t>S. 4, Exhibit 3</t>
  </si>
  <si>
    <t>Kontrolle über AI-Anwendungen wird thematisiert, aber als Engagement-Frage, nicht als interne Regel</t>
  </si>
  <si>
    <t>S. 3–4, Our contribution / Engagement</t>
  </si>
  <si>
    <t>Accountability ist Teil des Frameworks, aber überwiegend konzeptionell</t>
  </si>
  <si>
    <t>S. 3–4, How can these tools be used responsibly? / Responsible AI can accelerate growth</t>
  </si>
  <si>
    <t>Transparenz mehrfach explizit genannt</t>
  </si>
  <si>
    <t>S. 2–4</t>
  </si>
  <si>
    <t>Fairness explizit, jedoch auf Framework-/Diskursebene</t>
  </si>
  <si>
    <t>S. 3–4</t>
  </si>
  <si>
    <t>Datenschutz wird als Responsible-AI-Anforderung genannt, aber nicht als interne Policy-Regel</t>
  </si>
  <si>
    <t>S. 3, How can these tools be used responsibly?</t>
  </si>
  <si>
    <t>Cybersecurity explizit als flankierendes Rahmenwerk</t>
  </si>
  <si>
    <t>S. 1; S. 3</t>
  </si>
  <si>
    <t>Schadensminimierung und Safety werden klar genannt</t>
  </si>
  <si>
    <t>S. 2–3</t>
  </si>
  <si>
    <t>Resilience/Reliability explizit</t>
  </si>
  <si>
    <t>Kein Einspruchs- oder Redress-Mechanismus</t>
  </si>
  <si>
    <t>S. 4, Responsible AI can accelerate growth</t>
  </si>
  <si>
    <t>Inclusiveness explizit, aber ohne Umsetzungsregel</t>
  </si>
  <si>
    <t>Nachhaltigkeit/Umweltwirkung durchgehend zentral</t>
  </si>
  <si>
    <t>S. 3, How can these tools be used responsibly? / Our contribution</t>
  </si>
  <si>
    <t>Public good und soziale Wirkung explizit</t>
  </si>
  <si>
    <t>Regulierung/Compliance explizit als Orientierungsrahmen</t>
  </si>
  <si>
    <t>Responsible/ethical integrity klar zentral</t>
  </si>
  <si>
    <t>Keine explizite Datenqualitäts- oder Data-Governance-Regel im eigenen Framework</t>
  </si>
  <si>
    <t>Kein IP-/Confidentiality-Anker</t>
  </si>
  <si>
    <t>Human-rights-Bezug explizit, aber eher als externer Orientierungsrahmen</t>
  </si>
  <si>
    <t>“manage the degree of control over AI applications”</t>
  </si>
  <si>
    <t>Das Framework thematisiert Kontrolle über AI-Anwendungen und Datenschutz gegenüber Kunden.</t>
  </si>
  <si>
    <t>“Ethical integrity – ensuring accountability and fairness for social outcomes”; “Board oversight and accountability”</t>
  </si>
  <si>
    <t>AllianzGI führt Materialitätsanalysen durch und priorisiert Responsible AI nach Wirkung.</t>
  </si>
  <si>
    <t>“The EU AI act provides guidance on unacceptable risks, transparency requirements”; “fair, transparent, inclusive and respectful to all stakeholders”</t>
  </si>
  <si>
    <t>Responsible products/services sollen fair, transparent, inklusiv und respektvoll sein.</t>
  </si>
  <si>
    <t>“determine fairness, resilience and footprint of systems”</t>
  </si>
  <si>
    <t>“determine fairness, resilience and footprint of systems”; “Ethical integrity – ensuring accountability and fairness for social outcomes”; “fair, transparent, inclusive and respectful to all stakeholders”</t>
  </si>
  <si>
    <t>Fairness + resilience explizit</t>
  </si>
  <si>
    <t>“human rights, data protection and cybersecurity”</t>
  </si>
  <si>
    <t>“human rights, data protection and cybersecurity”;“manage the degree of control over AI applications”</t>
  </si>
  <si>
    <t>Bestehende Rahmenwerke zu Responsible AI umfassen Datenschutz und Cybersecurity.</t>
  </si>
  <si>
    <t>“apply standards and safeguards to maximise the benefits and minimise the harms”; “Robustness – resilience, reliability and safety of systems”</t>
  </si>
  <si>
    <t>Robustness wird als Resilienz, Zuverlässigkeit und Sicherheit von Systemen definiert.</t>
  </si>
  <si>
    <t>Entwickler und Infrastrukturprovider prägen Fairness und Resilienz von KI-Systemen.</t>
  </si>
  <si>
    <t>“fair, transparent, inclusive and respectful to all stakeholders”</t>
  </si>
  <si>
    <t>Fairness, transparency, inclusiveness</t>
  </si>
  <si>
    <t>“AI can only sustain its growth by respecting environmental, social and governance standards”; “managing the environmental and social impact of AI development”</t>
  </si>
  <si>
    <t>Sustainability umfasst Umwelt- und Sozialwirkungen von KI-Entwicklung.</t>
  </si>
  <si>
    <t>“align with human values and serve the public good”</t>
  </si>
  <si>
    <t>Responsible AI soll mit menschlichen Werten und dem Gemeinwohl in Einklang stehen.</t>
  </si>
  <si>
    <t>“The most comprehensive and structured AI governance framework currently appears to be the EU AI Act”</t>
  </si>
  <si>
    <t>AllianzGI verweist auf den EU AI Act als strukturierten Governance-Rahmen.</t>
  </si>
  <si>
    <t>“apply standards and safeguards to maximise the benefits and minimise the harms”; “Ethical integrity – ensuring accountability and fairness for social outcomes”</t>
  </si>
  <si>
    <t>Ethical integrity umfasst Accountability und Fairness für soziale Ergebnisse.</t>
  </si>
  <si>
    <t>“societal and human rights challenges”; “human rights, data protection and cybersecurity”</t>
  </si>
  <si>
    <t>KI-Risiken werden mit gesellschaftlichen und menschenrechtlichen Herausforderungen verknüpft.</t>
  </si>
  <si>
    <t>S. 3, Our contribution</t>
  </si>
  <si>
    <t>Keine internen AI-spezifischen Audits oder Auditnachweise</t>
  </si>
  <si>
    <t>S. 4, Engagement / Exhibit 3</t>
  </si>
  <si>
    <t>Sector frameworks und Board oversight werden erwähnt</t>
  </si>
  <si>
    <t>Materiality assessment und Priorisierung sind dokumentiert</t>
  </si>
  <si>
    <t>Fehlerberichterstattung und Mechanismen werden als Prüffragen adressiert</t>
  </si>
  <si>
    <t>AI-skills werden als relevante Frage adressiert</t>
  </si>
  <si>
    <t>Internal/external reporting von Failures wird thematisiert</t>
  </si>
  <si>
    <t>Impact disclosures und risk-framework disclosures explizit</t>
  </si>
  <si>
    <t>keine klaren internen Rollen oder Verantwortlichen bei AllianzGI selbst</t>
  </si>
  <si>
    <t>keine Ablaufdetails, Frequenzen oder Umsetzungsnachweise</t>
  </si>
  <si>
    <t>nur Engagement-Fragen, kein interner implementierter Check</t>
  </si>
  <si>
    <t>keine interne Schulungsbeschreibung oder Nachweise</t>
  </si>
  <si>
    <t>nur als Engagement-Frage, kein dokumentierter interner Eskalationsprozess</t>
  </si>
  <si>
    <t>kein internes AllianzGI-Reporting oder KPI-Nachweis</t>
  </si>
  <si>
    <t>“Within our sector frameworks”; “Board oversight and accountability”</t>
  </si>
  <si>
    <t>“Board oversight and accountability”; “we perform a materiality assessment and prioritise the topic of responsible AI”</t>
  </si>
  <si>
    <t>“reported internally and externally”</t>
  </si>
  <si>
    <t>“How do you develop AI skills of existing workforce”</t>
  </si>
  <si>
    <t>“Disclosures on impact of AI”; “reported internally and externally”</t>
  </si>
  <si>
    <t>Das Dokument spricht über Sector Frameworks und Board Oversight, aber primär als Investment-/Engagement-Perspektive, nicht als interne AI-Governance-Struktur.</t>
  </si>
  <si>
    <t>A: GOV_01=2, weil Governance-Strukturen und Board Oversight klar thematisiert werden. B: GOV_01=1, weil keine klaren internen AllianzGI-Rollen oder Owner für eigene KI-Systeme genannt sind. Gewählt: B, konservativ.</t>
  </si>
  <si>
    <t>GOV_03, GOV_05, GOV_06, GOV_07</t>
  </si>
  <si>
    <t>Das Exhibit enthält Fragen an AI makers/users; unklar ist, ob diese als interne Governance-Evidenz oder nur als Bewertungsrahmen zählen.</t>
  </si>
  <si>
    <t>A: GOV-Codes = 0, weil nur Fragen gestellt werden. B: GOV-Codes = 1, weil das dokumentierte Engagement-Framework diese Kriterien explizit operationalisiert. Gewählt: B, konservativ auf Stufe 1, nicht höher.</t>
  </si>
  <si>
    <t>VAL_14, VAL_18, VAL_06, VAL_07</t>
  </si>
  <si>
    <t>EU AI Act, OECD und UN werden als externe Referenzen genannt; unklar ist, ob dies als Wertpräsenz im Dokument genügt.</t>
  </si>
  <si>
    <t>A: Codes = 1, weil das Dokument diese Prinzipien ausdrücklich als relevante Responsible-AI-Rahmen übernimmt. B: Codes = 0, weil es nur Verweise auf externe Standards sind. Gewählt: A, aber konservativ nur BIND=1.</t>
  </si>
  <si>
    <t>„inclusive“ kann als eigenständiger Inclusiveness-Wert oder nur als rhetorischer Zusatz im Rahmen verantwortlicher Produkte gelesen werden.</t>
  </si>
  <si>
    <t>A: VAL_11=1, weil Inclusiveness explizit genannt ist. B: VAL_11=0, weil keine Accessibility-/Teilhabe-Operationalisierung vorliegt. Gewählt: A, konservativ mit BIND=1.</t>
  </si>
  <si>
    <t>Das Framework nennt Materialität und Sector Frameworks, aber keine explizite Data-Governance- oder Datenqualitätsregel.</t>
  </si>
  <si>
    <t>A: VAL_16=1 wegen Framework-/Governance-Sprache. B: VAL_16=0 mangels expliziter Datenqualitäts- oder Data-Governance-Evidenz. Gewählt: B, konservativ.</t>
  </si>
  <si>
    <t>S. 2, Prinzip 3 Accountable</t>
  </si>
  <si>
    <t>Human oversight und Verbot autonomer materialer Mitarbeiterentscheidungen klar normiert</t>
  </si>
  <si>
    <t>S. 1, BASF’s Commitment to Responsible AI; S. 2, Prinzip 3</t>
  </si>
  <si>
    <t>Accountability explizit und mit Mechanismen verknüpft</t>
  </si>
  <si>
    <t>S. 2, Prinzip 2 Transparent</t>
  </si>
  <si>
    <t>Transparenz und Verständlichkeit der Entscheidungsprozesse explizit</t>
  </si>
  <si>
    <t>„comprehensible to stakeholders“ bleibt näher an Transparency; Explainability nicht ausdrücklich benannt</t>
  </si>
  <si>
    <t>S. 2, Prinzip 4 Fair and Unbiased</t>
  </si>
  <si>
    <t>Gerechtigkeit, Chancengleichheit und Ablehnung von Diskriminierung explizit</t>
  </si>
  <si>
    <t>S. 2, Prinzip 6 Privacy Preserving</t>
  </si>
  <si>
    <t>Privatsphäre über gesamten KI-Lebenszyklus geschützt</t>
  </si>
  <si>
    <t>S. 2, Prinzip 5 Secure</t>
  </si>
  <si>
    <t>Security-Anforderungen klar formuliert</t>
  </si>
  <si>
    <t>S. 1; S. 2, Prinzip 1 und 7</t>
  </si>
  <si>
    <t>Prohibited practices, safety of communities, robust &amp; safe</t>
  </si>
  <si>
    <t>S. 2, Prinzip 7 Robust &amp; Safe</t>
  </si>
  <si>
    <t>Reliability und Accuracy explizit</t>
  </si>
  <si>
    <t>Diversity wird im Fairness-Prinzip erwähnt, aber keine Accessibility-/inklusive-Design-Regel</t>
  </si>
  <si>
    <t>Kein KI-spezifischer Nachhaltigkeits- oder Umweltanker</t>
  </si>
  <si>
    <t>„create value for everyone involved“ ist zu allgemein; kein expliziter public-good-/well-being-Wert</t>
  </si>
  <si>
    <t>S. 1, BASF’s Commitment to Responsible AI</t>
  </si>
  <si>
    <t>Prohibited-practices-Verbot und Compliance-Bezug klar</t>
  </si>
  <si>
    <t>S. 1–2</t>
  </si>
  <si>
    <t>Ethically beschrieben; Werte- und Ethikbezug explizit</t>
  </si>
  <si>
    <t>S. 1, Einleitung</t>
  </si>
  <si>
    <t>Strong data and AI governance explizit, aber ohne konkrete Datenqualitätsmechanik</t>
  </si>
  <si>
    <t>„confidentiality“ erscheint im Security-Prinzip, aber nicht als eigenständiger IP-/Confidentiality-Wert</t>
  </si>
  <si>
    <t>S. 2, Prinzip 1 und 6</t>
  </si>
  <si>
    <t>Human rights explizit über Human Rights Policy und Privacy as essential human right</t>
  </si>
  <si>
    <t>“subject to human oversight and accountability mechanisms”; “AI is not used to make autonomous decisions that have a material impact on employees”</t>
  </si>
  <si>
    <t>KI wird nicht für autonome Entscheidungen mit wesentlichen Mitarbeiterauswirkungen genutzt</t>
  </si>
  <si>
    <t>“subject to human oversight and accountability mechanisms”; “developing, deploying, and using AI systems ethically and accountably”</t>
  </si>
  <si>
    <t>BASF beschreibt Responsible AI als ethische und rechenschaftspflichtige Entwicklung, Bereitstellung und Nutzung von KI.</t>
  </si>
  <si>
    <t>“decision-making processes that are comprehensible to stakeholders”</t>
  </si>
  <si>
    <t>KI-Anwendungen sollen transparent sein; Entscheidungsprozesse sollen verständlich sein.</t>
  </si>
  <si>
    <t>“just and equitable for all individuals and groups”</t>
  </si>
  <si>
    <t>BASF verlangt gerechte, diskriminierungsfreie KI-Nutzung.</t>
  </si>
  <si>
    <t>“essential human right of an individual's privacy throughout the entire life cycle”</t>
  </si>
  <si>
    <t>BASF schützt Privatsphäre als wesentliches Menschenrecht über den gesamten KI-Lebenszyklus.</t>
  </si>
  <si>
    <t>“integrity, confidentiality, availability and authenticity”</t>
  </si>
  <si>
    <t>KI-Anwendungen sollen Integrität, Vertraulichkeit, Verfügbarkeit und Authentizität von Systemen und Daten sichern.</t>
  </si>
  <si>
    <t>“strictly prohibiting AI in applications related to ‘Prohibited Practices’”</t>
  </si>
  <si>
    <t>“strictly prohibiting AI in applications related to ‘Prohibited Practices’”; “prioritizing the well-being and safety of individuals and communities”; “focus on reliability, accuracy, and safety”</t>
  </si>
  <si>
    <t>KI-Systeme sollen zuverlässig, akkurat und sicher entwickelt und eingesetzt werden.</t>
  </si>
  <si>
    <t>“focus on reliability, accuracy, and safety”</t>
  </si>
  <si>
    <t>BASF verbietet KI-Anwendungen zu „Prohibited Practices“ nach interner Data &amp; AI Policy.</t>
  </si>
  <si>
    <t>Verbotene KI-Nutzung; harm-prevention/compliance</t>
  </si>
  <si>
    <t>“developing, deploying, and using AI systems ethically and accountably”; “prioritizing the well-being and safety of individuals and communities”</t>
  </si>
  <si>
    <t>BASF priorisiert Wohlbefinden und Sicherheit von Individuen und Gemeinschaften.</t>
  </si>
  <si>
    <t>“we focus on strong data and AI governance”</t>
  </si>
  <si>
    <t>BASF betont starke Data and AI Governance als Grundlage für AI solutions</t>
  </si>
  <si>
    <t>“essential human right of an individual's privacy throughout the entire life cycle”; “prioritizing the well-being and safety of individuals and communities”</t>
  </si>
  <si>
    <t>S. 3, For any questions or inquiries</t>
  </si>
  <si>
    <t>Keine AI-spezifischen Trainings oder Schulungsformate</t>
  </si>
  <si>
    <t>Data &amp; AI office als zuständige Stelle genannt</t>
  </si>
  <si>
    <t>Zentrales Inventar und Assessments zur Compliance-/Risikosteuerung dokumentiert</t>
  </si>
  <si>
    <t>Necessary assessments klar benannt</t>
  </si>
  <si>
    <t>kein Toolname, keine Templates, keine Implementierungsbelege</t>
  </si>
  <si>
    <t>keine Nachweise zur Durchführungshäufigkeit oder Umsetzung</t>
  </si>
  <si>
    <t>keine Rollenarchitektur, kein Gremium, keine Verantwortlichkeitskette</t>
  </si>
  <si>
    <t>“please contact our Data &amp; AI office”</t>
  </si>
  <si>
    <t>“maintains a central inventory and conducts necessary assessments”</t>
  </si>
  <si>
    <t>“maintains a central inventory and conducts necessary assessments”; “ensure compliance and proactively manage risks”</t>
  </si>
  <si>
    <t>„decision-making processes that are comprehensible to stakeholders“ kann als Transparency oder Explainability gelesen werden.</t>
  </si>
  <si>
    <t>A: VAL_03=1 und VAL_04=1. B: nur VAL_03=1, weil Explainability nicht ausdrücklich genannt ist. Gewählt: B, konservativ.</t>
  </si>
  <si>
    <t>„strong data and AI governance“ kann als Data Governance codiert werden, ist aber sehr allgemein.</t>
  </si>
  <si>
    <t>A: VAL_16=1 mit niedrigerer Bindigkeit. B: VAL_16=0 mangels konkreter Datenqualitäts-/Governance-Regel. Gewählt: A, konservativ mit BIND=1, da der Wert explizit im KI-Kontext genannt ist.</t>
  </si>
  <si>
    <t>Das Wort „confidentiality“ erscheint im Security-Prinzip; unklar ist, ob zusätzlich IP &amp; Confidentiality zu codieren ist.</t>
  </si>
  <si>
    <t>A: VAL_07=1 und VAL_17=1. B: nur VAL_07=1, da kein eigenständiger IP-/Vertraulichkeitswert für KI formuliert ist. Gewählt: B, konservativ.</t>
  </si>
  <si>
    <t>VAL_13, VAL_18, VAL_08</t>
  </si>
  <si>
    <t>„well-being and safety of individuals and communities“ kann Social Benefit, Human Rights oder Safety berühren.</t>
  </si>
  <si>
    <t>A: zusätzlich VAL_13=1. B: VAL_18=1 und VAL_08=1, aber VAL_13=0, weil kein ausdrücklicher public-good-/benefit frame. Gewählt: B, konservativ.</t>
  </si>
  <si>
    <t>Das Data &amp; AI office ist als Kontaktstelle genannt; unklar ist, ob dies für dokumentierte Zuständigkeit genügt.</t>
  </si>
  <si>
    <t>A: GOV_01=1, da eine zuständige organisatorische Stelle benannt ist. B: GOV_01=0, da keine Rollen- oder Mandatsbeschreibung vorliegt. Gewählt: A, konservativ auf Stufe 1.</t>
  </si>
  <si>
    <t>Verantwortung wird allgemein ethisch gerahmt, aber keine klare Accountability-Zurechnung für KI-Folgen</t>
  </si>
  <si>
    <t>S. 48, Digital responsibility – Ask yourself</t>
  </si>
  <si>
    <t>Transparenz zu Datennutzung genannt; KI-Bezug nur abschnittsbezogen</t>
  </si>
  <si>
    <t>S. 49, Digital responsibility</t>
  </si>
  <si>
    <t>Vermeidung unfairer Bias explizit</t>
  </si>
  <si>
    <t>Datenschutz angesprochen, aber eher als Reflexionsfrage und digital breit</t>
  </si>
  <si>
    <t>AI wird genannt, aber keine explizite KI-Sicherheitsregel</t>
  </si>
  <si>
    <t>Kein ausdrücklicher Safety-/harm-prevention-Anker im KI-Kontext</t>
  </si>
  <si>
    <t>Keine Robustness-/Reliability-Aussage</t>
  </si>
  <si>
    <t>Inklusive Nutzung und Entwicklung digitaler Lösungen explizit normiert</t>
  </si>
  <si>
    <t>Empowerment von Mitarbeitenden, Kunden und Stakeholdern explizit</t>
  </si>
  <si>
    <t>Code-of-Conduct-/values-Bezug vorhanden, aber keine explizite KI-/AI-Lawfulness-Regel</t>
  </si>
  <si>
    <t>Verantwortliche und ethische Steuerung digitaler Transformation klar normiert</t>
  </si>
  <si>
    <t>Keine Datenqualitäts- oder Data-Governance-Regel im KI-Ankerbereich</t>
  </si>
  <si>
    <t>Kein expliziter Human-Rights-Anker im KI-relevanten Abschnitt</t>
  </si>
  <si>
    <t>“full transparency on data usage as well as opportunities and borderlines”</t>
  </si>
  <si>
    <t>Datenschutz/Transparenz, aber digital breit; KI-Bezug nur über Abschnitt</t>
  </si>
  <si>
    <t>“Seeking to avoid the creation or reinforcement of unfair bias.”</t>
  </si>
  <si>
    <t>BASF will die Entstehung oder Verstärkung unfairer Bias vermeiden.</t>
  </si>
  <si>
    <t>“using them inclusively, to empower our employees, customers and other stakeholders”</t>
  </si>
  <si>
    <t>Inclusiveness explizit</t>
  </si>
  <si>
    <t>“to empower our employees, customers and other stakeholders”</t>
  </si>
  <si>
    <t>Digitale Lösungen sollen Mitarbeitende, Kunden und andere Stakeholder befähigen.</t>
  </si>
  <si>
    <t>“committed to steering this transformation responsibly and ethically”; “driven by our values and the principles laid down in our Code of Conduct”</t>
  </si>
  <si>
    <t>BASF will die digitale Transformation verantwortlich und ethisch steuern.</t>
  </si>
  <si>
    <t>Keine AI-spezifischen Assessments, Checklisten oder Tools</t>
  </si>
  <si>
    <t>„active voice in this debate“ reicht nicht als formales Reporting oder Disclosure</t>
  </si>
  <si>
    <t>Aufbau digitaler Fähigkeiten benannt</t>
  </si>
  <si>
    <t>Kollaborative, multidisziplinäre und diverse Entwicklung digitaler Lösungen dokumentiert</t>
  </si>
  <si>
    <t>keine Ablaufdetails, Verantwortlichen oder Nachweise der Umsetzung</t>
  </si>
  <si>
    <t>keine konkreten AI-Trainings, Formate oder Nachweise</t>
  </si>
  <si>
    <t>“Developing digital solutions in a collaborative, multidisciplinary, and diverse way”</t>
  </si>
  <si>
    <t>“build strong digital capabilities throughout the company”</t>
  </si>
  <si>
    <t>VAL_03, VAL_06</t>
  </si>
  <si>
    <t>Die Passage zu „full transparency on data usage“ und „data protection and privacy“ ist auf digitale Lösungen bezogen, nicht ausdrücklich auf AI allein.</t>
  </si>
  <si>
    <t>A: VAL_03=1 und VAL_06=1, weil der Abschnitt insgesamt AI/machine learning nennt. B: keine Codierung, weil die konkrete Passage nicht ausdrücklich AI sagt. Gewählt: A, aber konservativ nur BIND=1.</t>
  </si>
  <si>
    <t>Der Verweis auf Werte und Code of Conduct kann als Ethical Use oder als Lawfulness/Compliance gelesen werden.</t>
  </si>
  <si>
    <t>A: VAL_15=1 und VAL_14=1. B: nur VAL_15=1, weil keine explizite rechtliche oder policy-deontische AI-Regel formuliert ist. Gewählt: B, konservativ.</t>
  </si>
  <si>
    <t>GOV_02, GOV_05</t>
  </si>
  <si>
    <t>„collaborative, multidisciplinary, and diverse“ und „build strong digital capabilities“ können als Prozess- bzw. Trainingsnachweis oder nur als allgemeine Ambition gelesen werden.</t>
  </si>
  <si>
    <t>A: GOV_02=2 und GOV_05=1. B: GOV_02=1 und GOV_05=0. Gewählt: A, da Entwicklungsvorgehen und Capability-Aufbau ausdrücklich beschrieben werden; nicht höher wegen fehlender Nachweise.</t>
  </si>
  <si>
    <t>VAL_13, VAL_11</t>
  </si>
  <si>
    <t>„empower our employees, customers and other stakeholders“ kann als Social Benefit oder nur als Inclusiveness-Nebeneffekt gelesen werden.</t>
  </si>
  <si>
    <t>A: VAL_11=1 und VAL_13=1. B: nur VAL_11=1. Gewählt: A, aber VAL_13 konservativ nur mit BIND=1, da kein expliziter public-good-Rahmen vorliegt.</t>
  </si>
  <si>
    <t>VAL_07, VAL_09</t>
  </si>
  <si>
    <t>AI und machine learning werden genannt, aber ohne Aussagen zu Sicherheit oder Robustheit.</t>
  </si>
  <si>
    <t>A: VAL_07/09=1 wegen technologischer KI-Nennung. B: VAL_07/09=0 mangels inhaltlicher Sicherheits-/Robustheitsnorm. Gewählt: B gemäß Evidence-first.</t>
  </si>
  <si>
    <t>S. 2, Artificial Intelligence</t>
  </si>
  <si>
    <t>KI trifft keine rechtlich wirksamen oder ähnlich signifikanten Entscheidungen über Betroffene</t>
  </si>
  <si>
    <t>Keine ausdrückliche Verantwortungszurechnung oder Accountability-Mechanik</t>
  </si>
  <si>
    <t>Keine Transparenz- oder Offenlegungsregel zu KI gegenüber Nutzern</t>
  </si>
  <si>
    <t>Keine Fairness-/Bias-/Diskriminierungsregel</t>
  </si>
  <si>
    <t>Zweckgebundene Verarbeitung im KI-Kontext klar normiert</t>
  </si>
  <si>
    <t>„technical and organisational measures“ bleibt zu allgemein; Security nicht ausdrücklich KI-spezifisch benannt</t>
  </si>
  <si>
    <t>Kein ausdrücklicher Safety-/harm-prevention-Anker</t>
  </si>
  <si>
    <t>Kein Nachhaltigkeits- oder Umweltanker</t>
  </si>
  <si>
    <t>Effizienz- und Produktivitätsnutzen genügen nicht als expliziter Social-Benefit-Wert</t>
  </si>
  <si>
    <t>Vorab definierte Zwecke und benannte Rechtsgrundlage für KI-Nutzung</t>
  </si>
  <si>
    <t>Optimierungs- und Effizienzsprache allein genügt nicht für Ethical Use</t>
  </si>
  <si>
    <t>Keine Datenqualitäts- oder Data-Governance-Regel</t>
  </si>
  <si>
    <t>BASF erklärt, dass KI keine rechtlich wirksamen oder ähnlich erheblichen Entscheidungen über Betroffene trifft.</t>
  </si>
  <si>
    <t>“AI does not make any decisions that have a legal effect on you”; Auch ähnlich signifikante Auswirkungen durch KI werden ausgeschlossen.</t>
  </si>
  <si>
    <t>“only processed for the purposes defined in advance”</t>
  </si>
  <si>
    <t>Daten dürfen für KI nur für vorab definierte Zwecke verarbeitet werden.</t>
  </si>
  <si>
    <t>“only processed for the purposes defined in advance”; “The legal basis for the use of artificial intelligence is generally BASF's overriding legitimate interest”</t>
  </si>
  <si>
    <t>BASF benennt die Rechtsgrundlage des KI-Einsatzes ausdrücklich.</t>
  </si>
  <si>
    <t>Data Protection Officer-Struktur ist privacy-spezifisch, aber keine klar AI-spezifische Zuständigkeit; why_not_higher: kein expliziter AI-owner</t>
  </si>
  <si>
    <t>Technische/organisatorische Maßnahmen und zweckgebundene Verarbeitung benannt</t>
  </si>
  <si>
    <t>Maßnahmen/controls impliziert, aber ohne konkretes Tool oder Assessment</t>
  </si>
  <si>
    <t>keine Prozessschritte, Rollen oder Ablaufdefinition</t>
  </si>
  <si>
    <t>keine benannten Checks, Templates oder Nachweise</t>
  </si>
  <si>
    <t>“Technical and organisational measures are taken”</t>
  </si>
  <si>
    <t>“Technical and organisational measures are taken”; “AI can be used to create documents”</t>
  </si>
  <si>
    <t>VAL_07, GOV_03</t>
  </si>
  <si>
    <t>„Technical and organisational measures“ kann als Security-Wert oder als allgemeiner Kontrollhinweis gelesen werden.</t>
  </si>
  <si>
    <t>A: VAL_07=1 und GOV_03=1. B: nur GOV_03=1, weil Security nicht ausdrücklich benannt ist. Gewählt: B, konservativ nach Evidence-first.</t>
  </si>
  <si>
    <t>Das Dokument nennt einen Data Protection Officer, aber nicht als AI-spezifische Rolle.</t>
  </si>
  <si>
    <t>A: GOV_01=1, weil eine zuständige Funktion vorhanden ist. B: GOV_01=0, weil keine explizite AI-Zuständigkeit ausgewiesen ist. Gewählt: B, konservativ gemäß KI-Anker-Regel.</t>
  </si>
  <si>
    <t>Die Optimierungs- und Effizienzargumente könnten als verantwortungsbezogener Nutzenrahmen interpretiert werden.</t>
  </si>
  <si>
    <t>A: VAL_15=1 oder VAL_13=1. B: keine Codierung, weil nur funktionaler Nutzen beschrieben wird. Gewählt: B, konservativ.</t>
  </si>
  <si>
    <t>Die Aufzählung konkreter KI-Einsatzfälle kann als Prozessbeschreibung oder nur als Anwendungsbeispiel gelesen werden.</t>
  </si>
  <si>
    <t>A: GOV_02=1, weil der KI-Einsatz organisatorisch beschrieben wird. B: GOV_02=0, weil kein eigentlicher Governance-Prozess vorliegt. Gewählt: A zusammen mit E2, aber nur Stufe 1, da keine Ablauf- oder Rollenlogik dokumentiert ist.</t>
  </si>
  <si>
    <t>15.03.2026</t>
  </si>
  <si>
    <t>S. 8</t>
  </si>
  <si>
    <t>Autonomie + interne Aufsicht explizit; keine konkret beschriebenen Kontrollschritte</t>
  </si>
  <si>
    <t>Accountability explizit genannt, aber ohne Rollen/Ownership-Logik</t>
  </si>
  <si>
    <t>Transparente KI-Nutzung explizit</t>
  </si>
  <si>
    <t>Keine Erklärbarkeit/Interpretierbarkeit von Output oder Logik nachweisbar</t>
  </si>
  <si>
    <t>Fairness explizit; Verbot ungeprüfter Daten stützt Bias-Vermeidung</t>
  </si>
  <si>
    <t>Kein expliziter Datenschutz-/Privacy-Bezug im KI-Abschnitt</t>
  </si>
  <si>
    <t>Keine explizite KI-Security/Cybersecurity nachweisbar</t>
  </si>
  <si>
    <t>Harm-Bezug explizit, aber nur auf Prinzipienebene</t>
  </si>
  <si>
    <t>Vermeidung „incorrect … results“ + Maintenance-Bezug; kein Testing/Monitoring detailliert</t>
  </si>
  <si>
    <t>Kein Einspruchs-, Beschwerde- oder Redress-Mechanismus nachweisbar</t>
  </si>
  <si>
    <t>Nur „inclusion in our data sets“; nach Codebook primär nicht Accessibility/Teilhabe</t>
  </si>
  <si>
    <t>Kein Umwelt-/Green-AI-Bezug im KI-Abschnitt</t>
  </si>
  <si>
    <t>Well-being explizit als Ziel genannt</t>
  </si>
  <si>
    <t>„always comply“ = deontische Compliance-Regel</t>
  </si>
  <si>
    <t>„responsibly/thoughtful use“ bleibt hier zu vage; keine belastbare ethische Grenze</t>
  </si>
  <si>
    <t>Datenqualität, Provenienz, Repräsentativität und Nichtverwendung ungeprüfter Daten konkret operationalisiert</t>
  </si>
  <si>
    <t>Kein IP-/Vertraulichkeitsbezug im KI-Abschnitt</t>
  </si>
  <si>
    <t>Autonomie erwähnt, aber kein explizites Human-Rights-Framing</t>
  </si>
  <si>
    <t>Schutz persönlicher Autonomie wird als KI-Prinzip genannt.; Interne Aufsicht/Inspektionen werden erwähnt.</t>
  </si>
  <si>
    <t>“We respect personal autonomy.”; “support proper internal oversight, inspections, and maintenance of AI solutions.”</t>
  </si>
  <si>
    <t>“accountability”</t>
  </si>
  <si>
    <t>Accountability wird ausdrücklich genannt.</t>
  </si>
  <si>
    <t>“use AI transparently and responsibly.”</t>
  </si>
  <si>
    <t>Transparente KI-Nutzung wird ausdrücklich zugesagt.</t>
  </si>
  <si>
    <t>Fairness wird als Leitprinzip genannt.</t>
  </si>
  <si>
    <t>“fairness”</t>
  </si>
  <si>
    <t>“preventing harm”</t>
  </si>
  <si>
    <t>Schadensvermeidung wird ausdrücklich benannt.</t>
  </si>
  <si>
    <t>“do not use poor, incomplete or non-verified data”; “support proper internal oversight, inspections, and maintenance of AI solutions.”</t>
  </si>
  <si>
    <t>Schlechte oder ungeprüfte Daten sollen nicht verwendet werden.; Interne Aufsicht/Inspektionen werden erwähnt.</t>
  </si>
  <si>
    <t>“promote individual and collective wellbeing”</t>
  </si>
  <si>
    <t>Individuelles und kollektives Wohlbefinden wird als Ziel genannt.</t>
  </si>
  <si>
    <t>Rechts- und Regelkonformität wird verpflichtend formuliert.</t>
  </si>
  <si>
    <t>“clear relevance, provenance, diversity, and sufficient quality in data sources.; “We verify the data sets used for AI training are representative”; “do not use poor, incomplete or non-verified data”</t>
  </si>
  <si>
    <t>Datenherkunft/-qualität werden normativ adressiert.; Repräsentativität von Trainingsdaten wird überprüft.; Schlechte oder ungeprüfte Daten sollen nicht verwendet werden.</t>
  </si>
  <si>
    <t>Keine AI-spezifischen Rollen, Owner oder Gremien mit Aufgabenlogik nachweisbar</t>
  </si>
  <si>
    <t>S. 7–8</t>
  </si>
  <si>
    <t>„inspections“ erwähnt, aber ohne Mechanik, Frequenz oder Verantwortliche</t>
  </si>
  <si>
    <t>Keine KI-bezogenen Trainings/Awareness-Maßnahmen nachweisbar</t>
  </si>
  <si>
    <t>Keine Ansprechpartner, Stufen oder Eskalationsmechanik nachweisbar</t>
  </si>
  <si>
    <t>Kein Reporting zu AI-Risiken, Kontrollen oder Vorfällen nachweisbar</t>
  </si>
  <si>
    <t>Prozessabsicht/fortlaufende Verfeinerung und Aufsicht erwähnt</t>
  </si>
  <si>
    <t>keine Schritte/Trigger/Verantwortlichen</t>
  </si>
  <si>
    <t>kein Implementierungsnachweis/Reporting</t>
  </si>
  <si>
    <t>Konkrete Checks zu Repräsentativität und Datenverifikation</t>
  </si>
  <si>
    <t>“keep refining our bioethical stance and principles”; “support proper internal oversight, inspections, and maintenance of AI solutions.”</t>
  </si>
  <si>
    <t>“We verify the data sets used for AI training are representative”; “do not use poor, incomplete or non-verified data”</t>
  </si>
  <si>
    <t>“support proper internal oversight, inspections, and maintenance of AI solutions.”</t>
  </si>
  <si>
    <t>„inclusion in our data sets“ kann sprachlich wie Inklusivität wirken, zielt aber auch auf Repräsentativität/Bias/Datenqualität.</t>
  </si>
  <si>
    <t>A: VAL_11 codieren. B: primär VAL_05/VAL_16 codieren. Gewählt: B, da Codebook/R06 Datensatz-Inklusion nicht automatisch als VAL_11 wertet.</t>
  </si>
  <si>
    <t>„responsibly“ / „thoughtful use“ könnte als ethische Leitplanke gelesen werden, bleibt aber möglicherweise Responsible-AI-Rhetorik ohne harte Grenze.</t>
  </si>
  <si>
    <t>A: VAL_15 = 1. B: VAL_15 = 0. Gewählt: B, da Exclude-Regel reine Responsible-AI-Rhetorik ohne normative Grenze ausschließt.</t>
  </si>
  <si>
    <t>VAL_01, GOV_02, GOV_04</t>
  </si>
  <si>
    <t>„internal oversight, inspections, and maintenance“ deutet Operationalisierung an, aber ohne definierte Schritte/Frequenzen/Rollen.</t>
  </si>
  <si>
    <t>A: höher codieren (VAL_01 BIND 3; GOV_02 = 2; GOV_04 = 2). B: konservativ niedriger codieren. Gewählt: B, nach R11/R12/R13, da Mechanik und Evidenzminimum für höhere Stufen fehlen.</t>
  </si>
  <si>
    <t>VAL_09, VAL_05, VAL_16</t>
  </si>
  <si>
    <t>Der Satz zu ungeprüften Daten adressiert klar Datenqualität und Bias; unklar ist, ob zusätzlich Robustheit/Zuverlässigkeit vorliegt.</t>
  </si>
  <si>
    <t>A: nur VAL_05/VAL_16. B: zusätzlich VAL_09. Gewählt: B, da „incorrect … results“ auf Ergebniszuverlässigkeit verweist; konservativ mit mittlerer Konfidenz.</t>
  </si>
  <si>
    <t>S. 1 Regel 6; S. 2 Data Privacy Rules</t>
  </si>
  <si>
    <t>Menschliche Entscheidung/Expert Review ausdrücklich gefordert</t>
  </si>
  <si>
    <t>S. 1 Regel 5; S. 1–2 Fußzeile/Kopfbereich</t>
  </si>
  <si>
    <t>Verantwortung für Outputprüfung + benanntes AI-Team; kein umfassendes Accountability-Modell</t>
  </si>
  <si>
    <t>S. 1, Follow best practices</t>
  </si>
  <si>
    <t>Offenlegung der GenAI-Nutzung ausdrücklich verlangt</t>
  </si>
  <si>
    <t>Keine Erklärbarkeit/Interpretierbarkeit von Modell oder Output nachweisbar</t>
  </si>
  <si>
    <t>S. 1, Regel 5</t>
  </si>
  <si>
    <t>Bias-/Stereotypenvermeidung explizit</t>
  </si>
  <si>
    <t>S. 1 Regel 1; S. 2 Data Privacy Rules/Examples</t>
  </si>
  <si>
    <t>Konkrete Verbote und verpflichtende Privacy-Assessments</t>
  </si>
  <si>
    <t>Toolfreigaben/Klassifikation vorhanden, aber kein expliziter Security-/Angriffs-/Leakage-Anker</t>
  </si>
  <si>
    <t>S. 1 Regeln 4 und 6</t>
  </si>
  <si>
    <t>Sichere Nutzung und Schadensvermeidung implizit-regelhaft, aber ohne eigenes Safety-System</t>
  </si>
  <si>
    <t>S. 1 Regeln 5 und 6</t>
  </si>
  <si>
    <t>Kritische Prüfung auf Ungenauigkeit; kein blindes Verlassen auf Output</t>
  </si>
  <si>
    <t>Kein Beschwerde-, Einspruchs- oder Redress-Mechanismus nachweisbar</t>
  </si>
  <si>
    <t>Keine Barrierefreiheits-/Teilhabe-Anforderungen nachweisbar</t>
  </si>
  <si>
    <t>Kein Umwelt-/Energie-/CO2-Bezug nachweisbar</t>
  </si>
  <si>
    <t>„well-being of Bayer“ ist kein belastbarer gesellschaftlicher Nutzenbezug im Codebook-Sinn</t>
  </si>
  <si>
    <t>S. 1 Regel 2; S. 2 Examples</t>
  </si>
  <si>
    <t>Verbotstatbestände und verpflichtende Prüf-/Konsultationsschritte klar operationalisiert</t>
  </si>
  <si>
    <t>S. 1 Regeln 4 und 5</t>
  </si>
  <si>
    <t>Ethische Standards und Grenzen für zulässige Nutzung explizit</t>
  </si>
  <si>
    <t>S. 1 Approved tools; S. 2 Examples</t>
  </si>
  <si>
    <t>Klassifikations-/Freigaberegeln und Assessment-Pflichten für bestimmte Datennutzungen</t>
  </si>
  <si>
    <t>S. 1 Approved tools; Regel 3</t>
  </si>
  <si>
    <t>Vertrauliche Geschäftsdaten und IP-relevante Promptverbote klar geregelt</t>
  </si>
  <si>
    <t>Kein expliziter Human-Rights-Frame nachweisbar</t>
  </si>
  <si>
    <t>GenAI-Output darf kritische Entscheidungen nicht allein tragen.; Personenbezogene Folgen dürfen nicht ohne menschliche Entscheidung eintreten.</t>
  </si>
  <si>
    <t>“Do not use output as the sole basis for critical decisions”; “without a prior human decision.”</t>
  </si>
  <si>
    <t>“Critically assess output to the best of your knowledge”</t>
  </si>
  <si>
    <t>Nutzer sollen GenAI-Output eigenverantwortlich prüfen.</t>
  </si>
  <si>
    <t>“Be transparent that a genAI tool was used in your work”</t>
  </si>
  <si>
    <t>KI-Nutzung im Arbeitsergebnis soll offengelegt werden.</t>
  </si>
  <si>
    <t>“Ensure no damaging stereotypes, potential biases”</t>
  </si>
  <si>
    <t>Output soll keine Stereotype oder Bias enthalten.</t>
  </si>
  <si>
    <t>“Do not enter personal data nor use any personal data provided as output.”;“Obtain a prior data privacy assessment when using AI for HR-related purposes”;“Examples where prior data privacy assessment is required”</t>
  </si>
  <si>
    <t>In externen Tools sind personenbezogene Daten untersagt.; Für HR-bezogene AI-Nutzung ist eine Datenschutzprüfung vorgeschrieben.; Bestimmte KI-Nutzungen erfordern eine Vorabprüfung.</t>
  </si>
  <si>
    <t>“Do not use material potentially protected by personality rights in your prompt.”; “Do not use output as the sole basis for critical decisions”</t>
  </si>
  <si>
    <t>Persönlichkeitsrechte werden als Grenze für Prompts gesetzt.; GenAI-Output darf kritische Entscheidungen nicht allein tragen.</t>
  </si>
  <si>
    <t>“Do not use output as the sole basis for critical decisions”; “factually inaccurate information”</t>
  </si>
  <si>
    <t>GenAI-Output darf kritische Entscheidungen nicht allein tragen.; Faktische Fehler im Output sollen kritisch geprüft werden.</t>
  </si>
  <si>
    <t>Ungesteuerte Nutzung in Compliance-Prozessen ist verboten.; Für bestimmte Datennutzungen ist QA-Konsultation vorgeschrieben; Bestimmte KI-Nutzungen erfordern eine Vorabprüfung.</t>
  </si>
  <si>
    <t>“Uncontrolled use in compliance-relevant processes (e.g. GxP and GISC) is prohibited.”; “after mandatory consultation with Quality Assurance”; “Examples where prior data privacy assessment is required”</t>
  </si>
  <si>
    <t>Persönlichkeitsrechte werden als Grenze für Prompts gesetzt.; Nutzer sollen GenAI-Output eigenverantwortlich prüfen</t>
  </si>
  <si>
    <t>“Do not use material potentially protected by personality rights in your prompt.”; “Critically assess output to the best of your knowledge”</t>
  </si>
  <si>
    <t>Toolnutzung ist an zugelassene Informationsklassen gebunden.; Bestimmte KI-Nutzungen erfordern eine Vorabprüfung.; Training von KI mit personenbezogenen Daten ist assessment-pflichtig.</t>
  </si>
  <si>
    <t>“The tools can only be used with information classifications for which they have been approved.”; “Examples where prior data privacy assessment is required”; “Training AI with personal data”</t>
  </si>
  <si>
    <t>Geschäftsdaten dürfen nur in freigegebenen Tools verwendet werden.; Prompts dürfen keine Marken/Logos/urheberrechtlich geschützten Werke imitieren.</t>
  </si>
  <si>
    <t>“Only use Bayer-approved tools with business data and for business-related purposes.”; “Do not enter, refer to, or imitate brands, logos, or copyrighted works”</t>
  </si>
  <si>
    <t>S. 1–2; S. 1 Regel 2; S. 2 unten rechts</t>
  </si>
  <si>
    <t>S. 1 Regel 2; S. 2 Data Privacy Rules/Examples</t>
  </si>
  <si>
    <t>S. 1 Approved tools/Regel 5; S. 2 Examples</t>
  </si>
  <si>
    <t>S. 2 Data Privacy Rules</t>
  </si>
  <si>
    <t>S. 1, AI-powered technology/IT Academy</t>
  </si>
  <si>
    <t>S. 1 Approved tools/Regel 1; S. 2 unten rechts</t>
  </si>
  <si>
    <t>GenAI Catalyst Team, QA und Datenschutzorganisation mit Aufgabenbezug genannt</t>
  </si>
  <si>
    <t>kein vollständiges RACI/Reporting</t>
  </si>
  <si>
    <t>Konkrete Prozessschritte mit Triggern beschrieben</t>
  </si>
  <si>
    <t>kein Implementierungsnachweis/KPI</t>
  </si>
  <si>
    <t>Konkrete Checks/Assessments und Freigabelogik dokumentiert</t>
  </si>
  <si>
    <t>keine berichteten Ergebnisse</t>
  </si>
  <si>
    <t>Assessment-Aktivität erwähnt</t>
  </si>
  <si>
    <t>keine Auditmechanik, Frequenz oder Review-Zyklen</t>
  </si>
  <si>
    <t>Upskilling-Ressourcen bereitgestellt</t>
  </si>
  <si>
    <t>keine Zielgruppe/Pflicht/Programmstruktur</t>
  </si>
  <si>
    <t>Mehrere Kontaktpunkte genannt</t>
  </si>
  <si>
    <t>keine Stufenlogik oder Fristen</t>
  </si>
  <si>
    <t>“The GenAI Catalyst Team will review and update Bayer’s Generative Artificial Intelligence Guidance and Rules”; “after mandatory consultation with Quality Assurance”; “contact the data privacy organization via go/LPC-platform.”</t>
  </si>
  <si>
    <t>“Examples where prior data privacy assessment is required”; “Obtain a prior data privacy assessment when using AI for HR-related purposes”; “after mandatory consultation with Quality Assurance”</t>
  </si>
  <si>
    <t>“The tools can only be used with information classifications for which they have been approved.”; “Ensure no damaging stereotypes, potential biases”; “Examples where prior data privacy assessment is required”</t>
  </si>
  <si>
    <t>“prior data privacy assessment”</t>
  </si>
  <si>
    <t>“continuous-learning and upskilling resources available in IT Academy”</t>
  </si>
  <si>
    <t>“ask your question via generativeai@bayer.com”; “reach out to the data privacy via go/LPC-platform.”; “contact the data privacy organization via go/LPC-platform.”</t>
  </si>
  <si>
    <t>VAL_07, VAL_17, VAL_14</t>
  </si>
  <si>
    <t>Toolfreigaben und Informationsklassifikation können als Security gelesen werden, aber auch als Confidentiality/Compliance.</t>
  </si>
  <si>
    <t>A: zusätzlich VAL_07 codieren. B: primär VAL_17 + VAL_14/VAL_16 codieren. Gewählt: B, da kein expliziter Security-/Cyber-/Attack-/Leakage-Anker vorliegt; Codebook verlangt mehr als allgemeine IT-/Datenkontrolle.</t>
  </si>
  <si>
    <t>GOV_03, GOV_04, GOV_02</t>
  </si>
  <si>
    <t>Die Vorab-Datenschutzprüfung ist klar ein Check/Assessment, aber unklar ist, ob sie bereits als Auditmechanik zählt.</t>
  </si>
  <si>
    <t>A: GOV_04 = 2. B: GOV_04 = 1 und primär GOV_02/GOV_03 stärken. Gewählt: B, da Frequenz/Mechanik/Review-Zyklus fehlen; Rubrik für GOV_04 Score 2 nicht erfüllt.</t>
  </si>
  <si>
    <t>VAL_15, VAL_14, VAL_05</t>
  </si>
  <si>
    <t>„ethical standards“ steht neben Bias-/Fehlerprüfung; unklar ist, ob dies nur Fairness/Compliance oder auch eigenständige Ethical Use ist.</t>
  </si>
  <si>
    <t>A: nur VAL_05/VAL_14. B: zusätzlich VAL_15. Gewählt: B, weil der Text explizit „uphold ethical standards“ nennt; Codebook erlaubt VAL_15 bei klarer ethischer Grenze.</t>
  </si>
  <si>
    <t>VAL_03, VAL_04, GOV_07</t>
  </si>
  <si>
    <t>Offenlegung der KI-Nutzung könnte als Explainability oder Disclosure verstanden werden.</t>
  </si>
  <si>
    <t>A: auch VAL_04 oder GOV_07 codieren. B: nur VAL_03 codieren. Gewählt: B, da keine Erklärung von Output/Logik und kein Reporting zu Risiken/Kontrollen/Vorfällen vorliegt.</t>
  </si>
  <si>
    <t>VAL_02, GOV_01</t>
  </si>
  <si>
    <t>Benannte Teams/Kontakte können reine Governance oder auch Wert „Responsibility“ sein.</t>
  </si>
  <si>
    <t>A: VAL_02 = 0, nur GOV_01. B: VAL_02 = 1 zusätzlich. Gewählt: B, aber konservativ mit BIND 2 und mittlerer Confidence, da Verantwortung für Outputprüfung plus benannte Zuständigkeit vorliegt, jedoch kein umfassendes Accountability-Modell.</t>
  </si>
  <si>
    <t>Update: 15. März 26: doch kein KI-Bezug &amp; nun exkludiert</t>
  </si>
  <si>
    <t>S. 4 „Much-needed Treatments“; S. 8 „Powered by People“</t>
  </si>
  <si>
    <t>Human judgment explizit; zusätzlich konkrete human review bei einer AI-Lösung</t>
  </si>
  <si>
    <t>S. 6 „Ethical and Responsible Use“</t>
  </si>
  <si>
    <t>Accountability explizit genannt, aber ohne Rollen-/Ownership-Logik</t>
  </si>
  <si>
    <t>Transparenz explizit als KI-Implikation genannt</t>
  </si>
  <si>
    <t>Keine Erklärbarkeit/Interpretierbarkeit von KI-Output oder Entscheidungslogik nachweisbar</t>
  </si>
  <si>
    <t>Bias-Minimierung explizit genannt</t>
  </si>
  <si>
    <t>Privacy safeguarding explizit genannt</t>
  </si>
  <si>
    <t>„secure“ erscheint nur beschreibend; kein Schutz vor Angriffen/Manipulation/Leakage konkretisiert</t>
  </si>
  <si>
    <t>S. 3 „Much-needed Treatments“; S. 6 „Efficiency across all Operations“</t>
  </si>
  <si>
    <t>Safety issues und sichere Anwendung explizit</t>
  </si>
  <si>
    <t>S. 4 „Much-needed Treatments“</t>
  </si>
  <si>
    <t>Human-review-validierte AI-Lösung als konkrete Qualitäts-/Validierungsevidenz</t>
  </si>
  <si>
    <t>„accessible solutions“ bleibt zu marketingnah; kein klarer Accessibility-/inclusive-design-Anker</t>
  </si>
  <si>
    <t>S. 2 „Data-driven Decisions“</t>
  </si>
  <si>
    <t>Nachhaltigere Praktiken explizit mit KI verknüpft</t>
  </si>
  <si>
    <t>S. 1 Einleitung; S. 3 „Much-needed Treatments“</t>
  </si>
  <si>
    <t>Konkreter Nutzen für Patienten, Landwirte und Konsumenten</t>
  </si>
  <si>
    <t>AI unterstützt Compliance anderer Prozesse; keine klare KI-Compliance-Anforderung</t>
  </si>
  <si>
    <t>„ethical and responsible use“ bleibt ohne normative Grenze oder „do not“-Leitplanke</t>
  </si>
  <si>
    <t>Keine Anforderungen zu Datenqualität, Provenienz, Repräsentativität oder Stewardship</t>
  </si>
  <si>
    <t>Kein expliziter IP-/Confidentiality-Anker im KI-Kontext</t>
  </si>
  <si>
    <t>Kein Human-Rights-Framework oder Verweis auf dignity/rights/UNGP nachweisbar</t>
  </si>
  <si>
    <t>“validated by human review”</t>
  </si>
  <si>
    <t>“validated by human review”; “AI is a complementary tool rather than a replacement for human judgment.”</t>
  </si>
  <si>
    <t>Eine proprietäre KI-Lösung wird durch menschliche Prüfung validiert.; Menschliches Urteilsvermögen wird als unersetzlich beschrieben.</t>
  </si>
  <si>
    <t>Menschliches Urteilsvermögen wird als unersetzlich beschrieben.</t>
  </si>
  <si>
    <t>Accountability wird als ethische Implikation von KI genannt.</t>
  </si>
  <si>
    <t>“the fostering of transparency”</t>
  </si>
  <si>
    <t>“the minimization of bias”</t>
  </si>
  <si>
    <t>Bias-Minimierung wird als ethische Implikation von KI genannt.</t>
  </si>
  <si>
    <t>“privacy safeguarding”</t>
  </si>
  <si>
    <t>Datenschutz wird als ethische Implikation von KI genannt.; “AI helps identify potential safety issues</t>
  </si>
  <si>
    <t>KI wird mit sicherer Planung und Analyse klinischer Studien verbunden.; KI wird mit sicherer Planung und Analyse klinischer Studien verbunden.</t>
  </si>
  <si>
    <t>Eine proprietäre KI-Lösung wird durch menschliche Prüfung validiert</t>
  </si>
  <si>
    <t>“more sustainable farming practices”</t>
  </si>
  <si>
    <t>KI wird als Mittel für konkreten Nutzen für Patienten, Landwirte und Konsumenten dargestellt.; KI soll Behandlungen schneller und effizienter zu Patienten bringen.</t>
  </si>
  <si>
    <t>KI wird als Mittel für konkreten Nutzen für Patienten, Landwirte und Konsumenten dargestellt.; “bring much-needed treatments to patients with increasing speed and efficiency”</t>
  </si>
  <si>
    <t>Keine AI-Governance-Rollen, Owner oder Gremien mit Aufgabenlogik genannt</t>
  </si>
  <si>
    <t>Keine klaren Prozessschritte, Trigger, Freigaben oder Lifecycle-Gates nachweisbar</t>
  </si>
  <si>
    <t>Konkreter Checktyp dokumentiert: human review als Validierungsmechanismus</t>
  </si>
  <si>
    <t>Keine Audit-, Inspection- oder Assessment-Mechanik mit Frequenz/Verantwortung</t>
  </si>
  <si>
    <t>S. 8 „Powered by People“</t>
  </si>
  <si>
    <t>Keine Ansprechpartner, Hotline, Ticket- oder Eskalationslogik nachweisbar</t>
  </si>
  <si>
    <t>keine Zielgruppe, Pflicht oder Programmstruktur</t>
  </si>
  <si>
    <t>Training ausdrücklich erwähnt</t>
  </si>
  <si>
    <t>“This necessitates training our personnel”</t>
  </si>
  <si>
    <t>„accessible solutions“ kann als Accessibility gelesen werden, wirkt hier aber stark marketingnah und nicht als inklusives Designprinzip.</t>
  </si>
  <si>
    <t>A: VAL_11 = 1. B: VAL_11 = 0. Gewählt: B, da das Codebook einen klaren Accessibility-/Teilhabe-Anker verlangt und reine Nutzenrhetorik nicht ausreicht.</t>
  </si>
  <si>
    <t>Der Abschnitt spricht von ethical and responsible use, setzt aber keine explizite ethische Grenze oder „do not“-Regel.</t>
  </si>
  <si>
    <t>A: VAL_15 = 1. B: VAL_15 = 0. Gewählt: B, da das Codebook Responsible-AI-Rhetorik ohne normative Grenze ausdrücklich ausschließt.</t>
  </si>
  <si>
    <t>„secure, bespoke gen AI platform“ deutet Security an, bleibt aber rein beschreibend.</t>
  </si>
  <si>
    <t>A: VAL_07 = 1. B: VAL_07 = 0. Gewählt: B, da kein Schutz gegen Angriffe, Manipulation oder Leakage konkretisiert wird.</t>
  </si>
  <si>
    <t>VAL_01 / VAL_09 / GOV_03</t>
  </si>
  <si>
    <t>„validated by human review“ kann zugleich Human Oversight, Reliability und Tools/Checks stützen.</t>
  </si>
  <si>
    <t>A: nur GOV_03 codieren. B: zusätzlich VAL_01 und VAL_09 codieren. Gewählt: B, da der Satz sowohl human review als Kontrollprinzip als auch Validierungsmechanismus belegt.</t>
  </si>
  <si>
    <t>„complying with regulations“ bezieht sich auf AI als Hilfsmittel für Compliance, nicht eindeutig auf KI-Compliance als Norm.</t>
  </si>
  <si>
    <t>A: VAL_14 = 1. B: VAL_14 = 0. Gewählt: B, da das Codebook einen erkennbaren KI-, Regulierungs- oder Standardbezug als Anforderung an KI selbst verlangt.</t>
  </si>
  <si>
    <t>S. 3, Antwort Jagat</t>
  </si>
  <si>
    <t>Aufsicht, menschliche Kontrolle und Human Agency explizit benannt; kein formalisiertes Kontrollregime</t>
  </si>
  <si>
    <t>S. 2–3, Antworten Carolina</t>
  </si>
  <si>
    <t>Accountability als Risiko und Verantwortung als Prinzip benannt; keine Rollen-/Ownership-Logik</t>
  </si>
  <si>
    <t>S. 1 und S. 3</t>
  </si>
  <si>
    <t>Transparenzdefizite und Forderung nach voller Transparenz explizit</t>
  </si>
  <si>
    <t>Keine Erklärbarkeit/Interpretierbarkeit von Output oder Entscheidungslogik nachweisbar</t>
  </si>
  <si>
    <t>Bias, Equity und Schutz vulnerabler Gruppen explizit</t>
  </si>
  <si>
    <t>S. 2, Antwort Jagat</t>
  </si>
  <si>
    <t>Datenschutz erhält Priorität; strikte Regeln zur Nutzung von Patientendaten benannt</t>
  </si>
  <si>
    <t>Technische Maßnahmen zur Datensicherung erwähnt; keine konkrete Sicherheitsarchitektur</t>
  </si>
  <si>
    <t>Patienteninteressen stehen im Vordergrund; Safety nur indirekt/protektiv formuliert</t>
  </si>
  <si>
    <t>Keine klare Evidenz zu Genauigkeit, Stabilität oder intended performance von KI-Systemen</t>
  </si>
  <si>
    <t>Vulnerable Gruppen und Accessibility explizit angesprochen; kein inklusives Designverfahren</t>
  </si>
  <si>
    <t>Kein Umwelt-/Nachhaltigkeitsbezug im KI-Kontext</t>
  </si>
  <si>
    <t>Human well-being, health outcomes und Nutzen für humanity explizit</t>
  </si>
  <si>
    <t>Strikte Befolgung von Gesetzen/Regulierungsanforderungen im KI-/Datenkontext</t>
  </si>
  <si>
    <t>Ethische Leitlinien und ethische Werte im KI-Design benannt; keine detaillierte Verbotsliste</t>
  </si>
  <si>
    <t>S. 2, Antwort Carolina</t>
  </si>
  <si>
    <t>Imbalancierte Trainingsdaten explizit problematisiert; keine konkrete Data-Governance-Mechanik</t>
  </si>
  <si>
    <t>Vertraulichkeit explizit priorisiert; kein IP-spezifischer Schutzmechanismus</t>
  </si>
  <si>
    <t>Kein expliziter Human-Rights-Frame oder Verweis auf dignity/rights/UNGP</t>
  </si>
  <si>
    <t>“ensure the proper supervision of AI systems”; “effective supervision by healthcare professionals"; “effective supervision by healthcare professionals</t>
  </si>
  <si>
    <t>Angemessene Aufsicht über KI-Systeme wird gefordert.; Angemessene Aufsicht über KI-Systeme wird gefordert.; Menschliche Fachkräfte sollen KI wirksam beaufsichtigen.</t>
  </si>
  <si>
    <t>“lack of transparency and accountability”; “should never avoid the responsibility”</t>
  </si>
  <si>
    <t>Fehlende Rechenschaftspflicht wird als KI-Risiko benannt.; Bayer soll Verantwortung für systemisches KI-Verständnis nicht vermeiden.</t>
  </si>
  <si>
    <t>Bayer soll Verantwortung für systemisches KI-Verständnis nicht vermeiden.; “create full transparency about what is the value proposition”</t>
  </si>
  <si>
    <t>Transparenzdefizite werden als zentrales KI-Ethikproblem benannt.; Patienten sollen den Nutzen von Daten und Modellen verstehen.</t>
  </si>
  <si>
    <t>“imbalances”; “These risks include biases”; “do not disproportionally affect already disadvantaged or vulnerable groups”</t>
  </si>
  <si>
    <t>Ungleichgewichte und Bias werden als ethische KI-Risiken benannt.; KI-Risiken sollen vulnerable Gruppen nicht unverhältnismäßig treffen.</t>
  </si>
  <si>
    <t>KI-Risiken sollen vulnerable Gruppen nicht unverhältnismäßig treffen.; “applying strict guidelines on how patient data should be used”</t>
  </si>
  <si>
    <t>“give privacy and confidentiality the utmost priority”; Es gelten strikte Regeln zur Nutzung von Patientendaten.</t>
  </si>
  <si>
    <t>“implemented specific technical measures to secure the data”</t>
  </si>
  <si>
    <t>“keeping patients' interests at the forefront”</t>
  </si>
  <si>
    <t>Patienteninteressen sollen bei KI im Vordergrund bleiben.</t>
  </si>
  <si>
    <t>“do not disproportionally affect already disadvantaged or vulnerable groups”; “ensuring their accessibility to as many people as possible”</t>
  </si>
  <si>
    <t>KI-Risiken sollen vulnerable Gruppen nicht unverhältnismäßig treffen.; Therapien sollen für möglichst viele Menschen zugänglich werden.</t>
  </si>
  <si>
    <t>“impact on human well-being, privacy, and societal values”; “help more patients achieve better health outcomes”; “AI serves humanity in the most beneficial and conscientious manner”</t>
  </si>
  <si>
    <t>“impact on human well-being, privacy, and societal values”; KI soll bessere Gesundheitsresultate für mehr Patienten ermöglichen.; KI soll der Menschheit möglichst nützlich dienen.</t>
  </si>
  <si>
    <t>“strictly follow the laws and regulations”</t>
  </si>
  <si>
    <t>Für KI-/Datenpartnerschaften sollen Gesetze strikt befolgt werden.</t>
  </si>
  <si>
    <t>“meet appropriate ethical guidelines and regulatory requirements”; “ensure ethical values are reflected in the design of AI systems”</t>
  </si>
  <si>
    <t>KI-Partnerschaften sollen ethische Leitlinien erfüllen.; Ethische Werte sollen im Design von KI-Systemen reflektiert sein.</t>
  </si>
  <si>
    <t>“sources of data used to train these AI systems may also be imbalanced”</t>
  </si>
  <si>
    <t>Imbalancierte Trainingsdaten werden als Problem beschrieben.</t>
  </si>
  <si>
    <t>Vertraulichkeit wird im KI-/Datenkontext priorisiert.</t>
  </si>
  <si>
    <t>S. 3, Antwort Carolina</t>
  </si>
  <si>
    <t>Keine AI-bezogenen Trainings/Awareness-Maßnahmen nachweisbar</t>
  </si>
  <si>
    <t>Keine Ansprechpartner, Hotline oder Eskalationsmechanik nachweisbar</t>
  </si>
  <si>
    <t>Kein AI-bezogenes Reporting zu Risiken, Kontrollen oder Vorfällen nachweisbar</t>
  </si>
  <si>
    <t>“A recent meeting of Bayer´s Bioethics Council focused on the exploration of complex ethical questions”</t>
  </si>
  <si>
    <t>“look at the full life cycle of such AI systems”; “look at the full life cycle of such AI systems”</t>
  </si>
  <si>
    <t>“starting from the conception phase”</t>
  </si>
  <si>
    <t>“Algorithmic audits and assessments are crucial steps”</t>
  </si>
  <si>
    <t>AI-bezogenes Gremium (Bioethics Council) genannt</t>
  </si>
  <si>
    <t>keine ausdifferenzierte Aufgaben- oder Freigabelogik</t>
  </si>
  <si>
    <t>Lifecycle-, Review- und Reassessment-Absicht genannt</t>
  </si>
  <si>
    <t>keine klaren Trigger + Verantwortlichen</t>
  </si>
  <si>
    <t xml:space="preserve"> Empfehlung ohne belegte Bayer-Mechanik</t>
  </si>
  <si>
    <t>Assessment-/Checkeinsatz ab Konzeptionsphase erkennbar</t>
  </si>
  <si>
    <t>keine Frequenz oder Verantwortliche</t>
  </si>
  <si>
    <t>Algorithmic audits and assessments ausdrücklich erwähnt</t>
  </si>
  <si>
    <t>generell BIND, GOV_02–GOV_04</t>
  </si>
  <si>
    <t>Mehrere Passagen sind Interviewaussagen bzw. Empfehlungen, nicht formale Policy-Sätze. Unklar ist, wie stark sie bindig codiert werden dürfen.</t>
  </si>
  <si>
    <t>A: BIND/GOV höher wegen klarer Normsprache („need to“, „should“). B: konservativ niedriger, weil Dokumentcharakter interviewartig ist. Gewählt: B, gemäß Evidence-first und R11: ohne formale Prozess-/Kontrollschritte keine hohe Bindigkeit.</t>
  </si>
  <si>
    <t>Equity und Schutz vulnerabler Gruppen können als Fairness oder als Inclusiveness/Accessibility gelesen werden.</t>
  </si>
  <si>
    <t>A: nur VAL_05. B: zusätzlich VAL_11, wenn Teilhabe/Zugänglichkeit explizit wird. Gewählt: B, weil S. 3 zusätzlich „accessibility to as many people as possible“ ausdrücklich nennt.</t>
  </si>
  <si>
    <t>Die Passage belegt Security, aber nicht klar einen konkreten Check oder ein Tool.</t>
  </si>
  <si>
    <t>A: VAL_07 + GOV_03. B: nur VAL_07. Gewählt: B, weil für GOV_03 Checktyp, Prüfgegenstand und Einsatzanlass nicht hinreichend konkret benannt sind.</t>
  </si>
  <si>
    <t>GOV_03, GOV_04</t>
  </si>
  <si>
    <t>Audits/Assessments können sowohl als Auditaktivität als auch als konkreter Check gelesen werden.</t>
  </si>
  <si>
    <t>A: nur GOV_04 = 1. B: zusätzlich GOV_03 = 1. Gewählt: B, da Assessmenttyp und Einsatz ab Konzeptionsphase erkennbar sind; für Score 2 fehlen aber Bayer-spezifische Mechanik/Nachweise.</t>
  </si>
  <si>
    <t>VAL_06, VAL_17</t>
  </si>
  <si>
    <t>Privacy und Confidentiality erscheinen in derselben Passage; unklar ist, ob beide Werte separat codiert werden sollen.</t>
  </si>
  <si>
    <t>A: nur VAL_06. B: VAL_06 und VAL_17. Gewählt: B, da der Wortlaut beide Schutzgüter ausdrücklich nennt und das Codebook getrennte Werte vorsieht.</t>
  </si>
  <si>
    <t>VAL_08, VAL_13</t>
  </si>
  <si>
    <t>Die Formulierung kann als Safety/Harm Prevention oder allgemeiner Human Benefit gelesen werden.</t>
  </si>
  <si>
    <t>A: nur VAL_13. B: zusätzlich VAL_08. Gewählt: B, aber konservativ mit BIND 1 und mittlerer Confidence, weil die Passage einen protektiven Patientenfokus ausdrückt, ohne konkrete Safety-Mechanik.</t>
  </si>
  <si>
    <t>Kein expliziter Human-review-, Override- oder Human-in-the-loop-Mechanismus für KI nachweisbar</t>
  </si>
  <si>
    <t>Keine klaren AI-Verantwortlichkeiten als Wertprinzip; Gremien-/Framework-Evidenz genügt hier nur für GOV</t>
  </si>
  <si>
    <t>S. 202</t>
  </si>
  <si>
    <t>Transparenz wird im operativen KI-Umfeld über Plattform-/Umgebungsdesign konkret adressiert</t>
  </si>
  <si>
    <t>Keine Erklärbarkeit/Interpretierbarkeit von Modellen oder Outputs nachweisbar</t>
  </si>
  <si>
    <t>S. 35</t>
  </si>
  <si>
    <t>Diversität der Phototypen wird algorithmisch besser berücksichtigt; konkrete Operationalisierung statt bloßer Rhetorik</t>
  </si>
  <si>
    <t>Datenstrategie/-schutz wird im Gremium erwähnt, aber kein belastbarer AI-Privacy-Grundsatz oder Regeltext nachweisbar</t>
  </si>
  <si>
    <t>Sicheres Nutzungsumfeld und Safe-use-Framework explizit; technische Security-Details bleiben offen</t>
  </si>
  <si>
    <t>Keine eigenständige, KI-spezifische Harm-/Safety-Norm nachweisbar</t>
  </si>
  <si>
    <t>Standardisierte AI-Testverfahren, robuste Analysebasis sowie präzise und konsistente Messergebnisse sind dokumentiert</t>
  </si>
  <si>
    <t>Phototypen-Diversität wird berücksichtigt, reicht hier konservativ aber nicht für eigenständige Accessibility-/Inclusion-Codierung</t>
  </si>
  <si>
    <t>S. 12; S. 34</t>
  </si>
  <si>
    <t>KI wird konkret zur Optimierung nachhaltiger Formelentwicklung und nachhaltiger Inhaltsstoffkombinationen eingesetzt</t>
  </si>
  <si>
    <t>Nutzenbezüge im Dokument sind überwiegend produkt-/marktnah, nicht als eigenständiger KI-Sozialwert ausformuliert</t>
  </si>
  <si>
    <t>Kein expliziter AI-Lawfulness-/Compliance-Grundsatz oder Pflichtsatz nachweisbar</t>
  </si>
  <si>
    <t>S. 12</t>
  </si>
  <si>
    <t>Klare ethische Nutzungsgrenze („never to use AI to create human skin“); keine tiefer ausgeführte Prozessnorm im selben Satz</t>
  </si>
  <si>
    <t>Valide Daten, Datenqualität und Erweiterung des Algorithmus für repräsentativere Datengrundlagen sind konkret operationalisiert</t>
  </si>
  <si>
    <t>Risiken externer Modelle deuten Vertraulichkeitsfragen an, aber kein expliziter IP-/Confidentiality-Grundsatz für KI nachweisbar</t>
  </si>
  <si>
    <t>Kein expliziter Human-Rights-Frame im KI-Kontext</t>
  </si>
  <si>
    <t>“secure environment with a high level of transparency”</t>
  </si>
  <si>
    <t>Die Plattform soll Transparenz in der KI-Nutzung herstellen.</t>
  </si>
  <si>
    <t>“take better account of the diversity of phototypes</t>
  </si>
  <si>
    <t>“secure environment”; “general framework for the further strategic development of AI”</t>
  </si>
  <si>
    <t>KI-Nutzung wird in einem sicheren Umfeld organisiert.; Ein funktionsübergreifender AI-Rahmen wird aufgebaut.</t>
  </si>
  <si>
    <t>“introduced our innovative AI-controlled wrinkle analysis wrinkle.ai as a standardized test procedure”; “The evaluated results provide a robust basis”; “guaranteeing both precise and consistent measurement results.”</t>
  </si>
  <si>
    <t>Ein AI-Analysetool wurde als Standardtest eingeführt.; Das AI-Tool liefert robuste Ergebnisbasis.; Stabilitätstests liefern präzise und konsistente Resultate.</t>
  </si>
  <si>
    <t>KI wird zur nachhaltigeren Formelentwicklung eingesetzt.; AI-gestützte Formulierung nutzt nachhaltige Inhaltsstoffkombinationen</t>
  </si>
  <si>
    <t>“optimize the speed, quality, and sustainability of our formula development”; “a blend of particularly sustainable ingredients”</t>
  </si>
  <si>
    <t>“never to use AI to create human skin”</t>
  </si>
  <si>
    <t>Es gibt eine klare ethische Grenze für KI-Bildnutzung.</t>
  </si>
  <si>
    <t>“expand the algorithm using valid data for melanin-rich skin types"; “The more high-quality data is available”</t>
  </si>
  <si>
    <t>Der Algorithmus wird mit validen Daten für unterrepräsentierte Hauttypen erweitert.; Hohe Datenqualität wird als Grundlage für Erkenntnisgewinn benannt.</t>
  </si>
  <si>
    <t>S. 19; S. 225</t>
  </si>
  <si>
    <t>S. 12; S. 202</t>
  </si>
  <si>
    <t>S. 202; S. 35</t>
  </si>
  <si>
    <t>Keine AI-spezifischen Audits, Assessments oder Reviewzyklen mit Audit-Charakter nachweisbar</t>
  </si>
  <si>
    <t>Keine expliziten AI-Trainings oder AI-Awareness-Programme nachweisbar</t>
  </si>
  <si>
    <t>Keine Ansprechpartner, Meldekanäle oder Eskalationsstufen speziell für KI nachweisbar</t>
  </si>
  <si>
    <t>S. 202–203</t>
  </si>
  <si>
    <t>Digital &amp; ESG Committee als formales Gremium mit Digitalstrategie-Mandat und dokumentierter AI-Befassung</t>
  </si>
  <si>
    <t>kein vollständiges RACI/Owner-Modell</t>
  </si>
  <si>
    <t>Strategischer Prozessrahmen zum Testen/Skalieren/Implementieren sowie AI-Guidelines und funktionsübergreifender Rahmen benannt</t>
  </si>
  <si>
    <t>keine KPI-/Audit-Evidenz</t>
  </si>
  <si>
    <t>Plattformlösung und standardisierte AI-Testprozedur klar dokumentiert</t>
  </si>
  <si>
    <t>für Score 3 fehlen belastbare Kontrollzyklen/KPI-Nachweise</t>
  </si>
  <si>
    <t>Generative AI wird im Risikobericht explizit berichtet und klassifiziert</t>
  </si>
  <si>
    <t>kein eigenständiger AI-Reporting-Prozess oder Regelzyklus beschrieben</t>
  </si>
  <si>
    <t>“discussed the CSR Directive, data strategy and data protection, and artificial intelligence.”; “It monitors the company’s digital strategy”</t>
  </si>
  <si>
    <t>“It monitors the company’s digital strategy”; “general framework for the further strategic development of AI”; “communication guidelines for using AI for all global brands”</t>
  </si>
  <si>
    <t>“bundled all marketing-related AI tools on one platform”; “introduced our innovative AI-controlled wrinkle analysis wrinkle.ai as a standardized test procedure”</t>
  </si>
  <si>
    <t>“the extent of the risk remains low, but the likelihood of occurrence is raised to possible.”</t>
  </si>
  <si>
    <t>VAL_15, VAL_01</t>
  </si>
  <si>
    <t>Die Passage setzt eine klare Grenze, ist aber eher Ethical Use als Human Oversight.</t>
  </si>
  <si>
    <t>A: VAL_15 = 1, VAL_01 = 0. B: VAL_15 = 1, VAL_01 = 1. Gewählt: A, da keine menschliche Review-/Override-Mechanik genannt wird, sondern eine ethische No-use-Regel.</t>
  </si>
  <si>
    <t>VAL_05, VAL_11, VAL_16</t>
  </si>
  <si>
    <t>Die Passage kann Fairness, Inclusion oder Data Governance zugleich berühren.</t>
  </si>
  <si>
    <t>A: VAL_05 + VAL_16 positiv, VAL_11 = 0. B: alle drei positiv. Gewählt: A, da die Passage primär Repräsentativität/Bias und valide Datengrundlagen adressiert, nicht Accessibility im engeren Codebook-Sinn.</t>
  </si>
  <si>
    <t>VAL_07, VAL_17</t>
  </si>
  <si>
    <t>Security/Safe-use könnte zugleich Confidentiality andeuten.</t>
  </si>
  <si>
    <t>A: VAL_07 = 1, VAL_17 = 0. B: VAL_07 = 1, VAL_17 = 1. Gewählt: A, da keine explizite Vertraulichkeits- oder IP-Regel formuliert ist; die Evidenz trägt Security stärker als Confidentiality.</t>
  </si>
  <si>
    <t>GOV_07, GOV_04</t>
  </si>
  <si>
    <t>Die formale Risikoklassifikation könnte Reporting oder Audit/Monitoring bedeuten.</t>
  </si>
  <si>
    <t>A: GOV_07 = 1, GOV_04 = 0. B: GOV_07 = 1, GOV_04 = 1. Gewählt: A, da Berichtsevidenz vorliegt, aber kein Auditmechanismus, keine Prüffrequenz und keine Auditverantwortung.</t>
  </si>
  <si>
    <t>Unklar ist, ob die Gremienbefassung bereits „dokumentierte Zuständigkeit“ (2) oder nur „benannt“ (1) ist.</t>
  </si>
  <si>
    <t>A: GOV_01 = 1. B: GOV_01 = 2. Gewählt: B, da das Gremium formal beschrieben ist, ein Mandat zur Überwachung der Digitalstrategie hat und AI explizit diskutiert wurde; für 3 fehlen Implementierungs-/Reportingnachweise.</t>
  </si>
  <si>
    <t>GOV_03, VAL_09</t>
  </si>
  <si>
    <t>Die Passage ist stark operationalisiert; unklar ist, ob dies bereits Score/BIND 3 erzwingt.</t>
  </si>
  <si>
    <t>A: GOV_03 = 3. B: GOV_03 = 2 und VAL_09 = 3. Gewählt: B, da Tool-/Check-Nutzung sehr konkret ist, aber dokumentierte KPI-/Audit-/Kontrollzyklen für GOV_03=3 fehlen; bei VAL_09 reicht die Evidenz für hohe Bindigkeit.</t>
  </si>
  <si>
    <t>Stärkung der Mitarbeitenden ist kein expliziter Human-review-/Override-/Oversight-Mechanismus</t>
  </si>
  <si>
    <t>„liability of platforms“ benennt ein Problemfeld, aber kein belastbares Verantwortungsprinzip von Beiersdorf</t>
  </si>
  <si>
    <t>Keine Transparenzpflicht, Offenlegung oder KI-Disclosure nachweisbar</t>
  </si>
  <si>
    <t>Keine Erklärbarkeit/Interpretierbarkeit von KI-Output oder Entscheidungslogik</t>
  </si>
  <si>
    <t>S. 2</t>
  </si>
  <si>
    <t>Bias in Trainingsdaten wird explizit als KI-Risiko benannt</t>
  </si>
  <si>
    <t>Umgang mit personenbezogenen Daten wird ausdrücklich als ethischer KI-Aspekt genannt</t>
  </si>
  <si>
    <t>Keine Security-/Cyber-/Leakage-Anforderung im KI-Kontext nachweisbar</t>
  </si>
  <si>
    <t>Risiken werden allgemein erwähnt, aber kein expliziter Harm-/Safety-Anker</t>
  </si>
  <si>
    <t>Halluzinationen und Quellenzuverlässigkeit werden klar als Reliability-Thema beschrieben</t>
  </si>
  <si>
    <t>„diversity“ erscheint nur als Ethikaspekt, nicht als Accessibility-/Teilhabe- oder inklusives Designprinzip</t>
  </si>
  <si>
    <t>KI-Nutzung wird mit menschlicherer, sinnvollerer Arbeit und der Stärkung von Mitarbeitenden verknüpft</t>
  </si>
  <si>
    <t>„legal risks“ wird erwähnt, aber keine Compliance-Anforderung oder Rechtskonformitätsregel formuliert</t>
  </si>
  <si>
    <t>Ethik wird diskutiert, aber ohne klare normative Grenze oder „do not“-Leitplanke</t>
  </si>
  <si>
    <t>Verzerrte Trainingsdaten benennen ein Datenqualitäts-/Repräsentativitätsproblem im KI-Kontext</t>
  </si>
  <si>
    <t>Kein IP-/Geheimnis-/Confidentiality-Anker im KI-Kontext</t>
  </si>
  <si>
    <t>Kein Human-Rights-Frame oder Verweis auf dignity/rights/UNGP</t>
  </si>
  <si>
    <t>“the extent of biased training data”</t>
  </si>
  <si>
    <t>Verzerrte Trainingsdaten werden als Risiko benannt.</t>
  </si>
  <si>
    <t>“handling personal data”</t>
  </si>
  <si>
    <t>Der Umgang mit personenbezogenen Daten wird als ethische KI-Frage genannt.</t>
  </si>
  <si>
    <t>“Reliability focuses on how much AI hallucinates</t>
  </si>
  <si>
    <t>Zuverlässigkeit wird als zentrales KI-Risiko beschrieben</t>
  </si>
  <si>
    <t>“make work more humane and meaningful”; “amplify the existing strengths of our employees”</t>
  </si>
  <si>
    <t>Produktivitätsgewinne durch KI sollen Arbeit menschlicher und sinnvoller machen.; Produktivitätsgewinne durch KI sollen Arbeit menschlicher und sinnvoller machen.</t>
  </si>
  <si>
    <t>“biased training data”</t>
  </si>
  <si>
    <t>Trainingsdaten werden als Qualitäts-/Governance-Risiko angesprochen.</t>
  </si>
  <si>
    <t>S. 3</t>
  </si>
  <si>
    <t>Keine Audit-, Assessment-, Inspection- oder Evaluation-Mechanik im Rubrik-Sinn nachweisbar</t>
  </si>
  <si>
    <t>Keine Ansprechpartner, Hotline oder Eskalationslogik für KI</t>
  </si>
  <si>
    <t>“My team and I are taking on more and more pilot functions</t>
  </si>
  <si>
    <t>“We look around, we try things out”</t>
  </si>
  <si>
    <t>“we check for potential risks and opportunities”</t>
  </si>
  <si>
    <t>Ein AI-bezogenes Team mit Pilotfunktion wird genannt</t>
  </si>
  <si>
    <t>Arbeitsweise bei neuen AI-Themen beschrieben</t>
  </si>
  <si>
    <t>keine klaren Trigger, Gateways oder Verantwortlichkeitskette</t>
  </si>
  <si>
    <t>Prüfung von Risiken/Chancen erwähnt</t>
  </si>
  <si>
    <t>kein konkreter Checktyp, Prüfgegenstand oder Einsatzmechanismus</t>
  </si>
  <si>
    <t>Der Text diskutiert „ethics“, aber ohne klare Verbotsnorm oder ethische Grenze.</t>
  </si>
  <si>
    <t>A: VAL_15 = 1. B: VAL_15 = 0. Gewählt: B, da das Codebook reine Ethik-/Responsible-AI-Rhetorik ohne normative Grenze ausschließt.</t>
  </si>
  <si>
    <t>VAL_05, VAL_16</t>
  </si>
  <si>
    <t>Die Passage kann sowohl Fairness/Bias als auch Datenqualität/Repräsentativität stützen.</t>
  </si>
  <si>
    <t>A: nur VAL_05. B: VAL_05 und VAL_16. Gewählt: B, da „training data“ explizit den Datensatzbezug trägt; VAL_16 aber nur mit konservativem BIND 1.</t>
  </si>
  <si>
    <t>Unklar ist, ob dies bereits eine formale AI-Governance-Rolle oder nur eine interviewhafte Tätigkeitsbeschreibung ist.</t>
  </si>
  <si>
    <t>A: GOV_01 = 1. B: GOV_01 = 2. Gewählt: A, da zwar eine AI-bezogene Einheit benannt ist, aber keine formale Aufgaben-/Freigabelogik dokumentiert wird.</t>
  </si>
  <si>
    <t>Die Passage erwähnt Checks, bleibt aber sehr allgemein.</t>
  </si>
  <si>
    <t>A: GOV_03 = 1. B: GOV_03 = 0. Gewählt: A, weil eine Prüfhandlung explizit genannt ist; für Score 2 fehlen Checktyp, Prüfgegenstand und Einsatzanlass.</t>
  </si>
  <si>
    <t>VAL_01, VAL_13</t>
  </si>
  <si>
    <t>„amplify the existing strengths of our employees“ kann Human Agency oder Human Well-being bedeuten.</t>
  </si>
  <si>
    <t>A: VAL_01 = 1. B: VAL_13 = 1, VAL_01 = 0. Gewählt: B, da keine menschliche Kontroll-/Override-Mechanik vorliegt, sondern ein Nutzenbezug für Mitarbeitende.</t>
  </si>
  <si>
    <t>S. 2; S. 8; S. 9</t>
  </si>
  <si>
    <t>Human monitoring, Override, Human fallback und menschliche Restverantwortung explizit</t>
  </si>
  <si>
    <t>Risikoidentifikation, -bewertung, -reporting und -minderung konkret benannt</t>
  </si>
  <si>
    <t>Offene Kommunikation über KI-Nutzung ausdrücklich genannt</t>
  </si>
  <si>
    <t>Explainability explizit als Ziel formuliert</t>
  </si>
  <si>
    <t>Menschenwürde, Fairness und Nichtdiskriminierung klar adressiert</t>
  </si>
  <si>
    <t>State-of-the-art Datenschutzmaßnahmen werden auf KI ausgedehnt</t>
  </si>
  <si>
    <t>Datensicherheitsmaßnahmen für KI-Anwendungen ausdrücklich genannt</t>
  </si>
  <si>
    <t>S. 2; S. 9</t>
  </si>
  <si>
    <t>Sicherheitsstandards und sichere Fahr-/Parkassistenz explizit</t>
  </si>
  <si>
    <t>Robuste KI-Anwendungen ausdrücklich als Ziel formuliert</t>
  </si>
  <si>
    <t>Vielfalt erscheint hier als Fairness-/Nichtdiskriminierungskonzept, nicht als eigenständiger Accessibility-/Inclusion-Mechanismus</t>
  </si>
  <si>
    <t>S. 2; S. 8</t>
  </si>
  <si>
    <t>Umwelt-/Klimaschutz im Prinzip benannt und durch Energieeinsparungsbeispiel illustriert</t>
  </si>
  <si>
    <t>Wohl von Kunden, Mitarbeitenden und Partnern explizit</t>
  </si>
  <si>
    <t>Verhinderung von Non-Compliance durch KI explizit genannt</t>
  </si>
  <si>
    <t>„used ethically“ bleibt ohne eigenständige normative Grenze; Werte werden bereits über spezifische Prinzipien abgedeckt</t>
  </si>
  <si>
    <t>S. 2; S. 4</t>
  </si>
  <si>
    <t>Data governance explizit; zusätzlich konkrete Qualitäts-/Konsistenzprüfungen</t>
  </si>
  <si>
    <t>S. 9</t>
  </si>
  <si>
    <t>Informationsschutz begründet explizites Verbot frei verfügbarer Tools</t>
  </si>
  <si>
    <t>KI-Prinzip wird ausdrücklich an Human-Rights-Ziele angebunden</t>
  </si>
  <si>
    <t>“implements appropriate human monitoring”; “humans can overrule algorithmic decisions”</t>
  </si>
  <si>
    <t>BMW verlangt menschliche Überwachung und Override-Möglichkeiten.; Menschen sollen algorithmische Entscheidungen überstimmen können.</t>
  </si>
  <si>
    <t>“identify, assess, report and mitigate risks”</t>
  </si>
  <si>
    <t>BMW kündigt Identifikation, Bewertung, Reporting und Minderung von KI-Risiken an.</t>
  </si>
  <si>
    <t>“open communication where respective technologies are used”</t>
  </si>
  <si>
    <t>BMW strebt offene Kommunikation über eingesetzte KI an.</t>
  </si>
  <si>
    <t>“aims for explainability of AI applications”</t>
  </si>
  <si>
    <t>BMW nennt Erklärbarkeit ausdrücklich als Ziel.</t>
  </si>
  <si>
    <t>“respects human dignity”; “sets out to build fair AI applications”</t>
  </si>
  <si>
    <t>BMW will faire KI entwickeln und verweist auf Menschenwürde.; Nichtdiskriminierung/Fairness wird explizit mit KI verbunden.</t>
  </si>
  <si>
    <t>“extends its state-of-the-art data privacy”</t>
  </si>
  <si>
    <t>Datenschutzmaßnahmen werden auf KI-Anwendungen ausgedehnt.</t>
  </si>
  <si>
    <t>“data security measures to cover storage and processing in AI applications”</t>
  </si>
  <si>
    <t>Datensicherheitsmaßnahmen werden auf KI-Anwendungen ausgedehnt.</t>
  </si>
  <si>
    <t>“safety standards designed to decrease the risk of unintended consequences and errors”; “help customers to drive safely, park and stay connected”</t>
  </si>
  <si>
    <t>Sicherheitsstandards sollen unbeabsichtigte Folgen und Fehler reduzieren.; Fahrassistenzfunktionen helfen Kunden, sicher zu fahren und zu parken.</t>
  </si>
  <si>
    <t>“aims to develop robust AI applications”</t>
  </si>
  <si>
    <t>BMW formuliert Robustheit als Ziel für AI-Anwendungen.</t>
  </si>
  <si>
    <t>“climate change and environmental protection”; “approximately 1,200 MWh of thermal energy”</t>
  </si>
  <si>
    <t>KI-Prinzipien werden mit Klimaschutz und Umweltschutz verknüpft.; KI senkt im Gebäudemanagement messbar den Energieverbrauch.</t>
  </si>
  <si>
    <t>“promote the well-being of customers, employees and partners”</t>
  </si>
  <si>
    <t>KI soll das Wohl von Kunden, Mitarbeitenden und Partnern fördern.</t>
  </si>
  <si>
    <t>“preventing non-compliance by AI applications”</t>
  </si>
  <si>
    <t>Nicht-Compliance durch KI soll verhindert werden.</t>
  </si>
  <si>
    <t>“Privacy and data governance”; “checked – in real time – for linguistic quality, similarity and consistency”</t>
  </si>
  <si>
    <t>Data governance ist als eigener KI-Grundsatz benannt.; Ein Web-Tool prüft Anforderungen in Echtzeit auf Qualität, Ähnlichkeit und Konsistenz.</t>
  </si>
  <si>
    <t>“not permitted for reasons of information protection”</t>
  </si>
  <si>
    <t>Freie Übersetzungstools sind aus Informationsschutzgründen untersagt.</t>
  </si>
  <si>
    <t>“goals in the areas of human rights and sustainability”</t>
  </si>
  <si>
    <t>BMW ordnet das KI-Prinzipienmodell an Menschenrechtsziele an.</t>
  </si>
  <si>
    <t>S. 3–6</t>
  </si>
  <si>
    <t>Keine AI-spezifischen Audits, Auditzyklen oder Assessments mit Audit-Charakter nachweisbar</t>
  </si>
  <si>
    <t>S. 1</t>
  </si>
  <si>
    <t>Operative Notifications vorhanden, aber kein AI-Governance-Eskalationsweg, keine Hotline, keine Stufenlogik</t>
  </si>
  <si>
    <t>Project AI als zentrales Kompetenzzentrum mit klarer AI-Funktion beschrieben</t>
  </si>
  <si>
    <t>Kontinuierliche Verfeinerung plus Risikoidentifikation/-bewertung/-minderung dokumentiert</t>
  </si>
  <si>
    <t>keine auditierte Regelkette/KPIs</t>
  </si>
  <si>
    <t>Mehrere konkrete Tools und Checks dokumentiert</t>
  </si>
  <si>
    <t>für 3 fehlen regelmäßige Kontrollnachweise/KPI- oder Auditbelege</t>
  </si>
  <si>
    <t>Awareness unter Mitarbeitenden wird explizit genannt</t>
  </si>
  <si>
    <t>keine formale Trainingsarchitektur</t>
  </si>
  <si>
    <t>Portfolio-Transparenz und dokumentierte Use-Case-Zahlen belegen Reportingnähe</t>
  </si>
  <si>
    <t>kein formalisierter Reporting-Zyklus</t>
  </si>
  <si>
    <t>“centre of competence for data analytics and machine learning”</t>
  </si>
  <si>
    <t>“identify, assess, report and mitigate risks”; “continuously refined and adapted</t>
  </si>
  <si>
    <t>“portfolio tool which creates transparency”; “checked – in real time – for linguistic quality, similarity and consistency”; “determines deviations from the standard in real time”</t>
  </si>
  <si>
    <t>“determines deviations from the standard in real time”</t>
  </si>
  <si>
    <t>“currently spans 400 use cases, of which more than 50 are available for regular operation”</t>
  </si>
  <si>
    <t>Transparenz und Explainability stehen in derselben Passage; unklar ist, ob nur Transparenz oder beide Werte zu codieren sind.</t>
  </si>
  <si>
    <t>A: nur VAL_03. B: VAL_03 und VAL_04. Gewählt: B, da „open communication“ und „explainability“ getrennte Begriffe mit eigenständigem Evidenzgehalt sind.</t>
  </si>
  <si>
    <t>VAL_06, VAL_07, VAL_16</t>
  </si>
  <si>
    <t>Die Passage bündelt Privacy, Security und Data Governance.</t>
  </si>
  <si>
    <t>A: nur VAL_06. B: VAL_06, VAL_07 und VAL_16. Gewählt: B, da alle drei Schutz-/Governance-Dimensionen ausdrücklich genannt werden.</t>
  </si>
  <si>
    <t>VAL_02, GOV_02, GOV_07</t>
  </si>
  <si>
    <t>Dieselbe Passage stützt sowohl Accountability als Wert als auch Prozess-/Reporting-Aspekte.</t>
  </si>
  <si>
    <t>A: nur VAL_02. B: zusätzlich GOV_02 und GOV_07 stärken. Gewählt: B, aber GOV_07 nur mit Score 1, da Reporting genannt ist, jedoch ohne formalen Zyklus oder KPI-Struktur.</t>
  </si>
  <si>
    <t>GOV_03, GOV_06</t>
  </si>
  <si>
    <t>Die automatische Benachrichtigung könnte als Eskalationsweg oder nur als operativer Check gelten.</t>
  </si>
  <si>
    <t>A: GOV_03 = 2, GOV_06 = 0. B: zusätzlich GOV_06 = 1. Gewählt: A, da eine operative Notification vorliegt, aber keine Governance-Eskalationsstufe, Zuständigkeitskette oder Meldeprozedur.</t>
  </si>
  <si>
    <t>VAL_17, VAL_07</t>
  </si>
  <si>
    <t>Informationsschutz könnte als Confidentiality oder als Security verstanden werden.</t>
  </si>
  <si>
    <t>A: nur VAL_17. B: VAL_17 und VAL_07. Gewählt: A, da die Passage primär das Verbot externer Tools aus Schutz-/Vertraulichkeitsgründen begründet und keine eigenständige Security-Architektur beschreibt.</t>
  </si>
  <si>
    <t>VAL_12, VAL_18, VAL_13</t>
  </si>
  <si>
    <t>Die Well-being-Passage verbindet soziale, ökologische und menschenrechtliche Bezüge.</t>
  </si>
  <si>
    <t>A: nur VAL_12 und VAL_13. B: zusätzlich VAL_18. Gewählt: B, da Human Rights ausdrücklich genannt werden und damit ein eigener Wertanker vorliegt.</t>
  </si>
  <si>
    <t>z</t>
  </si>
  <si>
    <t>Menschliche Aufsicht, Intervention und Modifizierbarkeit von Algorithmen explizit</t>
  </si>
  <si>
    <t>Keine expliziten Verantwortlichen oder KI-bezogenes Ownership-Prinzip nachweisbar</t>
  </si>
  <si>
    <t>Transparenz wird über Verifizierbarkeit von Algorithmen konkretisiert</t>
  </si>
  <si>
    <t>Explainability ausdrücklich genannt; KI-/Algorithmus-Bezug über unmittelbaren Absatzkontext</t>
  </si>
  <si>
    <t>Keine explizite Bias-/Fairness-/Non-Discrimination-Passage mit AI-/Algorithmus-Anker</t>
  </si>
  <si>
    <t>Datenschutz wird breit digital adressiert, aber ohne hinreichend klaren KI-Anker</t>
  </si>
  <si>
    <t>Security/Cybersecurity werden allgemein digital, nicht hinreichend KI-spezifisch formuliert</t>
  </si>
  <si>
    <t>„Safety of use“ bleibt im Dokument auf allgemeiner Digitalebene; kein klarer KI-Anker</t>
  </si>
  <si>
    <t>Keine explizite KI-Robustheits-/Reliability-Aussage mit hinreichendem AI-Anker</t>
  </si>
  <si>
    <t>Digital accessibility/design for all wird allgemein digital, nicht klar KI-spezifisch adressiert</t>
  </si>
  <si>
    <t>Nachhaltigkeit wird nur allgemein digital, nicht KI-spezifisch formuliert</t>
  </si>
  <si>
    <t>Nutzenrhetorik zu digitalen Lösungen, aber kein belastbarer KI-Anker</t>
  </si>
  <si>
    <t>Compliance mit Regulierung wird allgemein digital erwähnt, nicht klar KI-spezifisch</t>
  </si>
  <si>
    <t>Keine explizite ethische KI-Grenze oder „do not“-Leitplanke mit KI-Anker</t>
  </si>
  <si>
    <t>Data control/data use werden allgemein digital adressiert; keine konkrete KI-Datenqualitäts-/Dataset-Anforderung</t>
  </si>
  <si>
    <t>Kein IP-/Confidentiality-Bezug mit KI-Anker</t>
  </si>
  <si>
    <t>Kein expliziter Human-Rights-Frame für KI/Algorithmen nachweisbar</t>
  </si>
  <si>
    <t>“human oversight and the capability to intervene in algorithms”; “ensuring that they can be modified as required”</t>
  </si>
  <si>
    <t>BMW fordert menschliche Aufsicht und Eingriffsmöglichkeit bei Algorithmen.; Algorithmen sollen bei Bedarf modifiziert werden können.</t>
  </si>
  <si>
    <t>“This includes, for instance, verifiability of algorithms</t>
  </si>
  <si>
    <t>Transparenz wird u. a. über Verifizierbarkeit von Algorithmen konkretisiert.</t>
  </si>
  <si>
    <t>“The simplicity, explainability and traceability of digital processes and products”</t>
  </si>
  <si>
    <t>Erklärbarkeit und Nachverfolgbarkeit digitaler Prozesse/Produkte werden hervorgehoben.</t>
  </si>
  <si>
    <t>Keine AI-bezogenen Rollen, Owner oder Gremien genannt</t>
  </si>
  <si>
    <t>Kein klarer AI-Prozess mit Schritten, Triggern oder Verantwortlichen nachweisbar</t>
  </si>
  <si>
    <t>Keine Audit-, Assessment- oder Inspection-Mechanik nachweisbar</t>
  </si>
  <si>
    <t>keine Mechanik/kein Tool beschrieben</t>
  </si>
  <si>
    <t>Verifizierbarkeit von Algorithmen als allgemeiner Checkgedanke genannt</t>
  </si>
  <si>
    <t>Training/AI literacy ausdrücklich angeboten</t>
  </si>
  <si>
    <t>keine Pflicht, Regelmäßigkeit oder Programmstruktur</t>
  </si>
  <si>
    <t>“verifiability of algorithms”</t>
  </si>
  <si>
    <t>“offers its employees training on IT tools”; “(‘digital literacy’ &amp; ‘AI literacy’)”</t>
  </si>
  <si>
    <t>mehrere VAL-Codes</t>
  </si>
  <si>
    <t>Das Dokument ist ein allgemeines Digitalleitbild; viele Aussagen sind normativ stark, aber nicht explizit KI-spezifisch.</t>
  </si>
  <si>
    <t>A: allgemeine Digital-Passagen als KI-relevant mitcodieren. B: nur Passagen mit explizitem AI-/Algorithmus-Anker codieren. Gewählt: B, gemäß R1 KI-Anker-Regel und konservativer Auslegung.</t>
  </si>
  <si>
    <t>Explainability ist explizit genannt, aber der Satz nennt nicht direkt KI; der AI-/Algorithmus-Anker ergibt sich aus dem unmittelbaren Absatzkontext.</t>
  </si>
  <si>
    <t>A: VAL_04 = 1. B: VAL_04 = 0. Gewählt: A, da derselbe Absatz ausdrücklich Algorithmen, menschliche Aufsicht und Intervention thematisiert.</t>
  </si>
  <si>
    <t>VAL_03, GOV_03</t>
  </si>
  <si>
    <t>Die Passage kann Transparenzwert und zugleich allgemeine Checklogik stützen.</t>
  </si>
  <si>
    <t>A: nur VAL_03. B: zusätzlich GOV_03 = 1. Gewählt: B, aber GOV_03 nur mit Score 1, da kein Toolname, kein Prüfgegenstand im Detail und kein Einsatzanlass beschrieben sind.</t>
  </si>
  <si>
    <t>Privacy, Security und data control sind stark ausgeprägt, aber nicht explizit an KI/Algorithmen rückgebunden.</t>
  </si>
  <si>
    <t>A: positiv codieren wegen Nähe zu AI literacy und Digitalprinzipien. B: nicht codieren. Gewählt: B, da das Codebook allgemeine Digital-/IT-Statements ohne klaren KI-Anker ausschließt.</t>
  </si>
  <si>
    <t>Der Abschnitt enthält Teilhabe-/Accessibility-Sprache; AI wird jedoch erst im nachfolgenden Trainingssatz genannt.</t>
  </si>
  <si>
    <t>A: VAL_11 = 1. B: VAL_11 = 0. Gewählt: B, da Accessibility hier nicht hinreichend klar auf KI-Systeme oder KI-Nutzung bezogen ist.</t>
  </si>
  <si>
    <t>Human control plus konkrete Interventionen und mandatory testing explizit</t>
  </si>
  <si>
    <t>Keine klare Verantwortungszuweisung, kein Owner-/Accountability-Modell explizit nachweisbar</t>
  </si>
  <si>
    <t>Transparenz allgemein und konkret für Interaktionen mit Chatbots/Talkbots/Deep Fakes operationalisiert</t>
  </si>
  <si>
    <t>Comprehensibility und Explainability explizit adressiert</t>
  </si>
  <si>
    <t>Qualitätsstandards sollen Diskriminierung vermeiden</t>
  </si>
  <si>
    <t>Schutz persönlicher Rechte und explizite Geltung von Art. 9 DSGVO für KI</t>
  </si>
  <si>
    <t>Security ausdrücklich als Bestandteil verantwortungsvoller KI benannt</t>
  </si>
  <si>
    <t>Fehler/Missbrauch sollen vermieden werden; manipulative/exploitative Praktiken verboten</t>
  </si>
  <si>
    <t>Robustheit explizit genannt, aber ohne detaillierte technische Umsetzung</t>
  </si>
  <si>
    <t>Keine Beschwerde-, Einspruchs- oder Redress-Mechanik nachweisbar</t>
  </si>
  <si>
    <t>Keine klare Accessibility-/Teilhabe-Anforderung für KI-Systeme nachweisbar</t>
  </si>
  <si>
    <t>Nutzenbezüge für Mitarbeitende/Kunden bleiben hier eher allgemeiner Preamble-Kontext als eigenständiger Wertgrundsatz</t>
  </si>
  <si>
    <t>KI muss Grundrechte, Gesetze und demokratische Werte berücksichtigen</t>
  </si>
  <si>
    <t>Vertrauenswürdige/verantwortungsvolle Nutzung und klare Verbote manipulativer Praktiken</t>
  </si>
  <si>
    <t>Datenverarbeitung und Schutz sind klar, aber Datenqualität/Provenienz/Repräsentativität nicht hinreichend explizit</t>
  </si>
  <si>
    <t>Schutz von Geschäftsgeheimnissen im KI-Kontext explizit, aber nur glossary-basiert</t>
  </si>
  <si>
    <t>Fundamental rights ausdrücklich als Referenzrahmen für KI benannt</t>
  </si>
  <si>
    <t>“human control”; “intervention options and mandatory testing</t>
  </si>
  <si>
    <t>Menschliche Kontrolle ist als Kernbestandteil vertrauenswürdiger KI benannt.; In KI-gestützten Prozessen müssen Eingriffsmöglichkeiten und Tests klar sein</t>
  </si>
  <si>
    <t>“make the use of AI and ML transparent”; “transparency about the interaction with an AI system is created on the front end</t>
  </si>
  <si>
    <t>KI-Nutzung soll gegenüber Beschäftigten transparent gemacht werden.; Bei Chatbots, Talkbots und Deep Fakes ist Frontend-Transparenz vorgeschrieben.</t>
  </si>
  <si>
    <t>“AI systems must process employee data in a comprehensible way.”; “It covers aspects of traceability, reproducibility and explainability.”</t>
  </si>
  <si>
    <t>Explainability-/Comprehensibility-Bezug</t>
  </si>
  <si>
    <t>“quality standards are aligned in such a way that discrimination is avoided”</t>
  </si>
  <si>
    <t>KI-Qualitätsstandards sind auf Diskriminierungsvermeidung auszurichten.</t>
  </si>
  <si>
    <t>“personal rights of our employees are respected and protected”; “Article 9 (1) of GDPR also applies to AI systems”</t>
  </si>
  <si>
    <t>Persönlichkeitsrechte der Beschäftigten werden im KI-Kontext geschützt.; Besondere Kategorien personenbezogener Daten sind auch für KI grundsätzlich verboten.</t>
  </si>
  <si>
    <t>“includes fairness, transparency, robustness, security</t>
  </si>
  <si>
    <t>Security ist als Kernbestandteil verantwortungsvoller KI benannt.</t>
  </si>
  <si>
    <t>“errors and misuse can be avoided”; “Any manipulative, exploitative and social control practices are not used”</t>
  </si>
  <si>
    <t>Das Dokument will Fehler und Missbrauch von KI vermeiden.; Manipulative und ausbeuterische KI-Praktiken sind ausgeschlossen.</t>
  </si>
  <si>
    <t>“includes fairness, transparency, robustness”</t>
  </si>
  <si>
    <t>Robustheit wird ausdrücklich als KI-Dimension genannt.</t>
  </si>
  <si>
    <t>“must take into account the fundamental rights … applicable laws and democratic values</t>
  </si>
  <si>
    <t>KI muss Grundrechte, Gesetze und demokratische Werte berücksichtigen.</t>
  </si>
  <si>
    <t>“Any manipulative, exploitative and social control practices are not used”; “used in a trustworthy and responsible manner”</t>
  </si>
  <si>
    <t>Ethical-use-Grundsatz; Klare harm-prevention-/ethische Grenze</t>
  </si>
  <si>
    <t>“both the protection of personal data and business secrets”</t>
  </si>
  <si>
    <t>Der KI-Datenschutzbezug umfasst auch den Schutz von Geschäftsgeheimnissen.</t>
  </si>
  <si>
    <t>“AI systems must take into account the fundamental rights of those affected”</t>
  </si>
  <si>
    <t>Grundrechte werden als expliziter Referenzrahmen für KI genannt.</t>
  </si>
  <si>
    <t>Arbeitgeber, Konzernbetriebsrat und Arbeitnehmervertretung mit klar erkennbarem Governance-Bezug benannt</t>
  </si>
  <si>
    <t>Risikoabwägung bei Modellauswahl/Implementierung sowie Review/Weiterentwicklung/Operationalisierung dokumentiert</t>
  </si>
  <si>
    <t>Mandatory testing und SECAM-Klassifikation als dokumentierte Kontroll-/Checkelemente</t>
  </si>
  <si>
    <t>Keine Audits, Auditzyklen oder formal beschriebenen Assessments nachweisbar</t>
  </si>
  <si>
    <t>Keine Hotline, Meldewege oder Eskalationsstufen für KI nachweisbar</t>
  </si>
  <si>
    <t>Kein Reporting zu KI-Risiken, Kontrollen, KPIs oder Vorfällen nachweisbar</t>
  </si>
  <si>
    <t>“establish a common view regarding the use of Artificial Intelligence”; “will continue to exchange views … on a regular basis”</t>
  </si>
  <si>
    <t>“Opportunities and risks are addressed and weighed when selecting models”; “review and further development of the existing principles as well as their operationalization</t>
  </si>
  <si>
    <t>“mandatory testing”; “SECAM classification of an IT system”</t>
  </si>
  <si>
    <t>“presented and explained to the employees in a transparent manner”</t>
  </si>
  <si>
    <t>kein formales Trainingsprogramm</t>
  </si>
  <si>
    <t>Erläuterung von Strategie, Konzepten und Begriffen gegenüber Beschäftigten erwähnt</t>
  </si>
  <si>
    <t>Das Dokument ist kollektivrechtlich/mitbestimmungsnah; unklar ist, ob daraus bereits ein eigener Accountability-Wert folgt.</t>
  </si>
  <si>
    <t>A: VAL_02 = 1 wegen klarer Rechte/Pflichten und Governance-Akteure. B: VAL_02 = 0, nur GOV_01 positiv. Gewählt: B, da Rollen/Gremien dokumentiert sind, aber kein explizites Verantwortungs-/Ownership-Prinzip für KI benannt wird.</t>
  </si>
  <si>
    <t>Transparenz und Explainability sind eng verschränkt; unklar ist, ob Explainability eigenständig codiert werden soll.</t>
  </si>
  <si>
    <t>A: nur VAL_03. B: zusätzlich VAL_04 = 1. Gewählt: B, da „comprehensible“ und „explainability“ ausdrücklich vorkommen und über bloße Offenlegung hinausgehen.</t>
  </si>
  <si>
    <t>VAL_01, GOV_03</t>
  </si>
  <si>
    <t>Mandatory testing kann Human Oversight oder Tools/Checks stützen.</t>
  </si>
  <si>
    <t>A: nur GOV_03. B: GOV_03 plus stärkere VAL_01-Bindigkeit. Gewählt: B, da die Passage Interventionsrechte und Tests im selben Kontrollkontext nennt.</t>
  </si>
  <si>
    <t>VAL_17, VAL_06</t>
  </si>
  <si>
    <t>Der Schutz von business secrets kann als Confidentiality oder nur als Datenschutz-Nebenaspekt gelesen werden.</t>
  </si>
  <si>
    <t>A: nur VAL_06. B: zusätzlich VAL_17 = 1. Gewählt: B, aber konservativ mit BIND 1, da Geschäftsgeheimnisse explizit genannt sind, jedoch nur glossary-basiert.</t>
  </si>
  <si>
    <t>VAL_13, VAL_08</t>
  </si>
  <si>
    <t>Die Passage kann Well-being oder Schutz vor missbräuchlicher Nutzung stützen.</t>
  </si>
  <si>
    <t>A: VAL_13 = 1. B: kein positiver VAL_13-Code, primär Harm-/Privacy-Kontext. Gewählt: B, da die Passage vor allem eine Nutzungsgrenze formuliert und keinen eigenständigen Social-benefit-Grundsatz ausarbeitet.</t>
  </si>
  <si>
    <t>VAL_09, VAL_07, VAL_15</t>
  </si>
  <si>
    <t>Die Aufzählung benennt mehrere Werte gleichzeitig, aber ohne technische Umsetzungstiefe.</t>
  </si>
  <si>
    <t>A: nur Ethical Use positiv. B: die einzelnen Werte zusätzlich positiv, jedoch konservativ mit niedrigerer Bindigkeit. Gewählt: B, da die einzelnen Dimensionen explizit genannt werden, aber ohne konkrete Prozessbelege.</t>
  </si>
  <si>
    <t>Menschliche Kontrolle, menschlicher Betrieb und Human-Machine-Symbiosis explizit; keine harte Override-Regel</t>
  </si>
  <si>
    <t>Verantwortung für AI-bezogene Drittanbieter-/Zertifikatsfragen darf nicht ausgelagert werden</t>
  </si>
  <si>
    <t>Transparenz gegenüber Nutzern ist klar genannt</t>
  </si>
  <si>
    <t>S. 7</t>
  </si>
  <si>
    <t>Explainability wird inhaltlich konkretisiert, aber nicht als harte Policy-Regel formuliert</t>
  </si>
  <si>
    <t>Fairness wird als Verhinderung, Monitoring und Mitigation von Diskriminierung definiert</t>
  </si>
  <si>
    <t>Privacy-Risiken werden explizit hervorgehoben; keine konkrete bankeigene Privacy-Regel im White Paper</t>
  </si>
  <si>
    <t>Cybersecurity ausdrücklich als relevantes AI-Risikofeld genannt</t>
  </si>
  <si>
    <t>Safety erscheint primär im regulatorischen Kontext; keine eigenständige bankeigene Harm-Prevention-Regel hinreichend belastbar</t>
  </si>
  <si>
    <t>Accuracy, robustness und konsistente Performance explizit benannt</t>
  </si>
  <si>
    <t>Keine Accessibility-/Teilhabe-Anforderung im KI-Kontext nachweisbar</t>
  </si>
  <si>
    <t>Kein Umwelt-/Nachhaltigkeitsbezug im KI-Kontext nachweisbar</t>
  </si>
  <si>
    <t>Nutzenbezüge für Branche/Gesellschaft bleiben eher anwendungsbezogene Rechtfertigung als eigenständiger Wertgrundsatz</t>
  </si>
  <si>
    <t>AI-Entwicklung, Training, Evaluation und Deployment müssen regulatorische Anforderungen einhalten</t>
  </si>
  <si>
    <t>Trustworthy and Responsible AI ist explizit, bleibt aber überwiegend rahmenhaft</t>
  </si>
  <si>
    <t>Hohe Datenqualität wird als Voraussetzung robuster AI/ML-Entwicklung benannt</t>
  </si>
  <si>
    <t>Schutz vertraulicher Geschäftslogik und IP wird explizit problematisiert</t>
  </si>
  <si>
    <t>Fundamental rights werden im AI-Risikokontext ausdrücklich adressiert</t>
  </si>
  <si>
    <t>“controllable and non-magical”; “Such models are still trained and operated by humans.”;  “symbiosis between human and machine”</t>
  </si>
  <si>
    <t>Human-in-the-loop-/feedback-loop-Bezug; Menschliche Rolle explizit</t>
  </si>
  <si>
    <t>“Responsibility can never be outsourced.”</t>
  </si>
  <si>
    <t>Expliziter Accountability-Anker</t>
  </si>
  <si>
    <t>“transparency vis-à-vis users”</t>
  </si>
  <si>
    <t>Transparenz gegenüber Nutzern ist Teil der Risikominderung.</t>
  </si>
  <si>
    <t>“justifying the process from data and model selection to model validation and monitoring”</t>
  </si>
  <si>
    <t>Explainability umfasst die Rechtfertigung des Modellprozesses.</t>
  </si>
  <si>
    <t>Fairness bedeutet, Diskriminierung zu verhindern, zu überwachen und zu mindern.</t>
  </si>
  <si>
    <t>“discrimination is prevented, monitored and mitigated”</t>
  </si>
  <si>
    <t>KI kann tief in sensible und private Lebensbereiche eingreifen.</t>
  </si>
  <si>
    <t>“intrude deeply into people’s sensitive and private areas of life”</t>
  </si>
  <si>
    <t>Cybersecurity ist Teil der AI-Risikominderung.</t>
  </si>
  <si>
    <t>“accuracy and robustness as well as cybersecurity”</t>
  </si>
  <si>
    <t>Konsistente Performance, Accuracy und Robustness werden gefordert.</t>
  </si>
  <si>
    <t>“consistent performance of the systems (i.e. accuracy and robustness”</t>
  </si>
  <si>
    <t>AI-Entwicklung und -Deployment müssen diverse Regulierung einhalten.</t>
  </si>
  <si>
    <t>“needs to adhere to various requirements”</t>
  </si>
  <si>
    <t>Vertrauenswürdige und verantwortliche KI wird ausdrücklich fokussiert.</t>
  </si>
  <si>
    <t>“pays special attention to ML Governance and Trustworthy and Responsible AI”</t>
  </si>
  <si>
    <t>Hohe Datenqualität wird als Voraussetzung für robuste Modelle genannt.</t>
  </si>
  <si>
    <t>“A high level of data quality is a prerequisite”</t>
  </si>
  <si>
    <t>Offenlegung kann Geschäftslogik und IP gefährden.</t>
  </si>
  <si>
    <t>“significant losses of intellectual property”</t>
  </si>
  <si>
    <t>AI-Regulierung soll Grundrechte schützen.</t>
  </si>
  <si>
    <t>“significant risks to health and safety or fundamental rights of persons”</t>
  </si>
  <si>
    <t>S. 2; S. 5–6</t>
  </si>
  <si>
    <t>Center of Competence, Three Lines of Defence und Model Validation als zweite Linie klar dokumentiert</t>
  </si>
  <si>
    <t>S. 4; S. 8</t>
  </si>
  <si>
    <t>Internal Audit als dritte Verteidigungslinie gilt explizit auch für AI-Risikomanagement</t>
  </si>
  <si>
    <t>Keine AI-bezogenen Trainings oder Awareness-Maßnahmen hinreichend belastbar nachweisbar</t>
  </si>
  <si>
    <t>Keine Hotline, keine Eskalationsstufen, keine Meldewege für KI nachweisbar</t>
  </si>
  <si>
    <t>Kein formalisierter AI-Reporting-Zyklus, keine KPIs oder AI-Vorfallsberichte nachweisbar</t>
  </si>
  <si>
    <t>Risk-Class-Logik mit Faktoren sowie Lifecycle-Monitoring dokumentiert</t>
  </si>
  <si>
    <t>kein Implementierungsnachweis via KPI/Reports</t>
  </si>
  <si>
    <t>Validierungsschritte im Modellprozess ausdrücklich genannt</t>
  </si>
  <si>
    <t>konkrete Toolnamen fehlen</t>
  </si>
  <si>
    <t>“validation steps can only be completed during or after the modelling process”</t>
  </si>
  <si>
    <t>“The third line of defence is carried out by internal audit.”</t>
  </si>
  <si>
    <t>“established the division ‘Big Data &amp; Advanced Analytics’ as a Center of Competence”; “for all AI and ML related matters”; “Risk management at Commerzbank follows the principle of ‘three lines of defence’”</t>
  </si>
  <si>
    <t>“Systems containing AI are categorized into AI Risk Classes”; “depending on a variety of factors such as business continuity”; “considered and monitored in all stages of the model lifecycle</t>
  </si>
  <si>
    <t>Teile des Dokuments referieren den AI Act und allgemeine Regulierung; unklar ist, ob regulatorische Anforderungen als Unternehmenswerte mitzählen.</t>
  </si>
  <si>
    <t>A: regulatorische Statements breit als positive Unternehmenswerte codieren. B: nur dort positiv codieren, wo der Text in Commerzbanks Ansatz eingebettet ist. Gewählt: B, konservativ gemäß KI-Anker- und Evidence-first-Regel.</t>
  </si>
  <si>
    <t>Menschliche Rolle ist klar, aber es fehlt eine explizite Override-/Interventionspflicht wie in stärker normativen Dokumenten.</t>
  </si>
  <si>
    <t>A: VAL_01 = 1 mit niedriger Bindigkeit. B: VAL_01 = 0. Gewählt: A, da menschlicher Betrieb und Human-machine-Symbiosis ausdrücklich genannt sind; konservativ nur BIND 1.</t>
  </si>
  <si>
    <t>VAL_08, VAL_18</t>
  </si>
  <si>
    <t>Safety erscheint explizit, jedoch primär als Beschreibung des AI Act; Fundamental Rights sind klarer verankert.</t>
  </si>
  <si>
    <t>A: VAL_08 = 1 und VAL_18 = 1. B: nur VAL_18 = 1. Gewählt: B, da für VAL_08 keine ausreichend eigenständige bankeigene Harm-Prevention-Regel vorliegt.</t>
  </si>
  <si>
    <t>Die Passage nennt Validierungsschritte, aber kein konkretes Tool oder standardisierten Prüfkatalog.</t>
  </si>
  <si>
    <t>A: GOV_03 = 2. B: GOV_03 = 1. Gewählt: A, da dokumentierte Validierungsschritte im Modellprozess vorliegen; für 3 fehlen KPI-/Audit-/Regelzyklusnachweise.</t>
  </si>
  <si>
    <t>Die Passage stützt Accountability, könnte aber auch als bloße Drittanbieterwarnung gelesen werden.</t>
  </si>
  <si>
    <t>A: nur GOV codieren. B: zusätzlich VAL_02 = 1. Gewählt: B, da der Satz eine klare normative Verantwortungszuschreibung enthält.</t>
  </si>
  <si>
    <t>VAL_15, VAL_04</t>
  </si>
  <si>
    <t>Responsible-AI-Rhetorik allein wäre zu schwach, aber im Dokument folgen konkrete Ausführungen zu Explainability/Fairness.</t>
  </si>
  <si>
    <t>A: nur VAL_04/VAL_05 positiv. B: zusätzlich VAL_15 = 1. Gewählt: B, aber konservativ nur BIND 1, da Trustworthy/Responsible AI explizit und tragend formuliert ist, jedoch ohne harte Verbotsliste.</t>
  </si>
  <si>
    <t>Keine menschliche Review-, Override- oder Human-in-the-loop-Mechanik ausdrücklich nachweisbar</t>
  </si>
  <si>
    <t>Kein explizites Verantwortungs-/Ownership-Prinzip oder Rollenzuweisung für KI im Text</t>
  </si>
  <si>
    <t>S. 40</t>
  </si>
  <si>
    <t>Transparente Operation von KI ausdrücklich genannt</t>
  </si>
  <si>
    <t>Bias-Adressierung und fair behavior explizit</t>
  </si>
  <si>
    <t>Allgemeine Datenschutzpassagen vorhanden, aber im Dokument nicht hinreichend KI-spezifisch verankert</t>
  </si>
  <si>
    <t>Allgemeine Information-Security-Regeln vorhanden, jedoch ohne klaren KI-Anker in der AI-Passage</t>
  </si>
  <si>
    <t>Unkontrollierte KI-Nutzung soll verhindert werden</t>
  </si>
  <si>
    <t>Keine Accuracy-, Robustness- oder Reliability-Evidenz mit hinreichender Spezifik</t>
  </si>
  <si>
    <t>„sustainable value“ bleibt zu allgemein und nicht umweltbezogen genug</t>
  </si>
  <si>
    <t>Stakeholder-Nutzen und human well-being explizit benannt</t>
  </si>
  <si>
    <t>„legal risks related to AI“ benennt ein Risikofeld, aber keine klare KI-Compliance-Regel</t>
  </si>
  <si>
    <t>Ethisch-verantwortlicher KI-Einsatz und Ausrichtung an moral values explizit</t>
  </si>
  <si>
    <t>Keine expliziten Anforderungen zu Datenqualität, Provenienz, Repräsentativität oder Stewardship</t>
  </si>
  <si>
    <t>Allgemeine IP-/Confidentiality-Regeln vorhanden, aber ohne klaren KI-Anker</t>
  </si>
  <si>
    <t>Kein expliziter Human-rights-Frame im KI-Abschnitt nachweisbar</t>
  </si>
  <si>
    <t>KI soll transparent unter verschiedenen Bedingungen operieren.</t>
  </si>
  <si>
    <t>“operate transparently under various conditions”</t>
  </si>
  <si>
    <t>Unkontrollierte KI-Nutzung soll verhindert werden.</t>
  </si>
  <si>
    <t>“prevent its uncontrolled use”</t>
  </si>
  <si>
    <t>“addressing potential biases”; “fair behavior"</t>
  </si>
  <si>
    <t>Potenzielle Biases sollen adressiert werden.; Expliziter Fairness-Anker</t>
  </si>
  <si>
    <t>“benefits for our stakeholders … and society at large”; “prioritize human well-being"</t>
  </si>
  <si>
    <t>KI soll Nutzen für verschiedene Stakeholder und die Gesellschaft schaffen.; Expliziter Human-well-being-Anker</t>
  </si>
  <si>
    <t>“We use AI ethically and responsibly”; “aligns with moral values and fosters trust”</t>
  </si>
  <si>
    <t>Continental formuliert einen explizit ethisch-verantwortlichen KI-Einsatz.; KI soll moralischen Werten entsprechen und Vertrauen fördern.</t>
  </si>
  <si>
    <t>Keine klaren AI-Rollen, Gremien oder Owner im Dokument genannt</t>
  </si>
  <si>
    <t>Keine konkreten KI-Checks, Validierungen, Assessments oder Toolmechaniken nachweisbar</t>
  </si>
  <si>
    <t>Keine AI-spezifischen Audits, Assessments oder Reviewzyklen nachweisbar</t>
  </si>
  <si>
    <t>Keine AI-bezogenen Trainings/Awareness-Maßnahmen im KI-Abschnitt nachweisbar</t>
  </si>
  <si>
    <t>Kein Reporting zu KI-Risiken, Kontrollen oder Vorfällen nachweisbar</t>
  </si>
  <si>
    <t>“please contact Data Compliance”</t>
  </si>
  <si>
    <t>“Please refer to the AI Code of Ethics”</t>
  </si>
  <si>
    <t>Verweis auf AI Code of Ethics und Ziel der Verhinderung unkontrollierter Nutzung</t>
  </si>
  <si>
    <t>keine Prozessschritte/Trigger/Verantwortlichen</t>
  </si>
  <si>
    <t>Supportkontakt „Data Compliance“ für KI-Themen genannt</t>
  </si>
  <si>
    <t>keine Stufenlogik oder formale Eskalationskette</t>
  </si>
  <si>
    <t>VAL_06, VAL_07, VAL_17</t>
  </si>
  <si>
    <t>Diese Passagen sind thematisch stark KI-relevant, aber sie stehen in allgemeinen Informations-/Datenschutzabschnitten ohne expliziten KI-Rückbezug.</t>
  </si>
  <si>
    <t>A: positiv als KI-Werte mitcodieren. B: nicht positiv codieren. Gewählt: B, gemäß R1 KI-Anker-Regel; allgemeine Security-/Privacy-/IP-Regeln ohne klaren KI-Anker zählen nicht.</t>
  </si>
  <si>
    <t>Die Passage ist klar normativ, aber eher Prinzipienformel als deontische „must/shall“-Regel.</t>
  </si>
  <si>
    <t>A: VAL_15 mit BIND 2. B: VAL_15 mit BIND 1. Gewählt: B, da keine harte Verbots- oder Pflichtformel folgt, sondern primär ein Prinzipienstatement.</t>
  </si>
  <si>
    <t>VAL_08, GOV_02</t>
  </si>
  <si>
    <t>Die Passage kann als Harm-Prevention-Wert und zugleich als Governance-Prozessabsicht gelesen werden.</t>
  </si>
  <si>
    <t>A: nur VAL_08 positiv. B: zusätzlich GOV_02 = 1. Gewählt: B, aber GOV_02 nur mit Score 1, da eine Prozessabsicht erkennbar ist, jedoch keine dokumentierten Schritte oder Trigger vorliegen.</t>
  </si>
  <si>
    <t>VAL_13, VAL_01</t>
  </si>
  <si>
    <t>Der Satz kann Well-being oder Human Agency/Oversight stützen.</t>
  </si>
  <si>
    <t>A: VAL_13 = 1, VAL_01 = 0. B: beide positiv. Gewählt: A, da kein menschlicher Kontroll- oder Override-Mechanismus genannt wird, sondern ein Zielwert des Systemdesigns.</t>
  </si>
  <si>
    <t>GOV_02, GOV_01</t>
  </si>
  <si>
    <t>Der Verweis auf das AI Code of Ethics kann als bloßer Hinweis oder als dokumentierte Governance-Struktur gelesen werden.</t>
  </si>
  <si>
    <t>A: GOV_02 = 1, GOV_01 = 0. B: zusätzlich GOV_01 = 1. Gewählt: A, da ein weiterführendes Regelwerk erwähnt wird, aber keine Rolle/Gremienzuständigkeit im aktuellen Dokument benannt ist.</t>
  </si>
  <si>
    <t>VAL_03, VAL_09</t>
  </si>
  <si>
    <t>„under various conditions“ könnte Transparenz oder Robustheit andeuten.</t>
  </si>
  <si>
    <t>A: nur VAL_03 = 1. B: zusätzlich VAL_09 = 1. Gewählt: A, da keine Accuracy-, Stability- oder Performance-Evidenz vorliegt; der Satz trägt Transparenz stärker als Robustheit.</t>
  </si>
  <si>
    <t>„controlled way“ ist ohne menschlichen Review-/Override-/Oversight-Mechanismus zu unspezifisch</t>
  </si>
  <si>
    <t>KI-Einsatz wird ausdrücklich als accountable verlangt</t>
  </si>
  <si>
    <t>Keine explizite KI-Transparenzpflicht im AI-Abschnitt nachweisbar</t>
  </si>
  <si>
    <t>Explainability ist im AI-Abschnitt explizit genannt</t>
  </si>
  <si>
    <t>Fairness wird explizit für KI verlangt</t>
  </si>
  <si>
    <t>Data-Compliance-Passage ist allgemein und nicht klar an KI rückgebunden</t>
  </si>
  <si>
    <t>Keine explizite KI-Security-/Cybersecurity-Regel im AI-Abschnitt nachweisbar</t>
  </si>
  <si>
    <t>Keine eigenständige Safety-/Harm-Prevention-Regel mit klarem KI-Anker</t>
  </si>
  <si>
    <t>Keine Accuracy-, Robustness- oder Reliability-Evidenz im KI-Abschnitt</t>
  </si>
  <si>
    <t>Kein Einspruchs-, Beschwerde- oder Redress-Mechanismus für KI nachweisbar</t>
  </si>
  <si>
    <t>Kein Umwelt-/Nachhaltigkeitsbezug im KI-Abschnitt nachweisbar</t>
  </si>
  <si>
    <t>Kein expliziter gesellschaftlicher Nutzen- oder Well-being-Wert im AI-Abschnitt</t>
  </si>
  <si>
    <t>KI-Nutzung muss explizit allen anwendbaren Gesetzen/Regeln entsprechen</t>
  </si>
  <si>
    <t>Respekt ethischer Standards ist ausdrücklich verlangt</t>
  </si>
  <si>
    <t>Keine expliziten Anforderungen zu Datenqualität, Provenienz oder Repräsentativität für KI</t>
  </si>
  <si>
    <t>KI soll in verantwortlicher Weise eingesetzt werden.</t>
  </si>
  <si>
    <t>“it will be done in an accountable”</t>
  </si>
  <si>
    <t>KI soll erklärbar sein.</t>
  </si>
  <si>
    <t>“explainable”</t>
  </si>
  <si>
    <t>KI soll fair eingesetzt werden.</t>
  </si>
  <si>
    <t>“fair”</t>
  </si>
  <si>
    <t>KI-Nutzung muss allen anwendbaren Gesetzen entsprechen.</t>
  </si>
  <si>
    <t>“complies with all applicable national and international laws and regulations”</t>
  </si>
  <si>
    <t>KI-Nutzung soll ethische Standards respektieren.</t>
  </si>
  <si>
    <t>“will respect ethical standards”</t>
  </si>
  <si>
    <t>Keine AI-spezifischen Rollen, Owner oder Gremien im Dokument benannt</t>
  </si>
  <si>
    <t>Allgemeine Strukturen/Prozesse zu Technical Compliance vorhanden, aber nicht hinreichend KI-spezifisch</t>
  </si>
  <si>
    <t>Keine konkreten KI-Checks, Validierungen oder Assessments nachweisbar</t>
  </si>
  <si>
    <t>Auditregel bezieht sich allgemein auf den gesamten Code, nicht explizit auf KI-Governance</t>
  </si>
  <si>
    <t>Trainingsregel ist allgemein auf Code-/Rechts-Compliance bezogen, nicht KI-spezifisch</t>
  </si>
  <si>
    <t>Integrity Hotline ist allgemeiner Code-Meldekanal, kein expliziter KI-Eskalationsweg</t>
  </si>
  <si>
    <t>Das Wort „controlled“ kann Kontrolle im Governance-Sinn oder menschliche Aufsicht bedeuten.</t>
  </si>
  <si>
    <t>A: VAL_01 = 1. B: VAL_01 = 0. Gewählt: B, da kein expliziter Human-review-, Override- oder Human-in-the-loop-Mechanismus genannt wird.</t>
  </si>
  <si>
    <t>VAL_03, VAL_06, VAL_07</t>
  </si>
  <si>
    <t>Transparente und verantwortungsvolle Datenbehandlung ist thematisch KI-nah, aber nicht ausdrücklich auf KI bezogen.</t>
  </si>
  <si>
    <t>A: als KI-Werte mitcodieren. B: nicht positiv codieren. Gewählt: B, gemäß KI-Anker-Regel, weil der Absatz allgemein für Daten gilt und keinen expliziten KI-Bezug trägt.</t>
  </si>
  <si>
    <t>Audits beziehen sich auf den gesamten Business Partner Code, der auch einen AI-Abschnitt enthält.</t>
  </si>
  <si>
    <t>A: GOV_04 = 1. B: GOV_04 = 0. Gewählt: B, da keine AI-spezifische Auditmechanik, Frequenz oder AI-bezogene Prüflogik beschrieben ist.</t>
  </si>
  <si>
    <t>Trainingsmaßnahmen könnten auch den AI-Abschnitt des Codes abdecken, werden aber nicht KI-spezifisch beschrieben.</t>
  </si>
  <si>
    <t>A: GOV_05 = 1. B: GOV_05 = 0. Gewählt: B, da das Evidenzminimum für AI-spezifische Schulung/Awareness nicht erreicht wird.</t>
  </si>
  <si>
    <t>Die Hotline gilt für Verstöße gegen den gesamten Code und damit möglicherweise auch für AI-Verstöße.</t>
  </si>
  <si>
    <t>A: GOV_06 = 1. B: GOV_06 = 0. Gewählt: B, da kein expliziter KI-Melde- oder Eskalationsweg formuliert ist.</t>
  </si>
  <si>
    <t>GOV_02, VAL_06, VAL_07, VAL_17</t>
  </si>
  <si>
    <t>Der Abschnitt enthält starke Anforderungen zu Produkt-Cybersecurity, Privacy, IP und Prozessen, aber ohne klaren KI-Anker.</t>
  </si>
  <si>
    <t>A: breit als KI-Governance mitcodieren. B: nicht positiv codieren. Gewählt: B, da das Codebook allgemeine technische/produktbezogene Compliance ohne expliziten KI-Bezug nicht als KI-Evidenz zählt.</t>
  </si>
  <si>
    <t>Daimler Truck benennt verantwortliche KI-Nutzung ausdrücklich.</t>
  </si>
  <si>
    <t>“responsible use of artificial intelligence”</t>
  </si>
  <si>
    <t>S. 33, Abschnitt „2.5.2 Handling data“</t>
  </si>
  <si>
    <t>Erklärbarkeit wird als Leitprinzip für KI genannt.</t>
  </si>
  <si>
    <t>“explainability”</t>
  </si>
  <si>
    <t>Schutz der Privatsphäre wird im KI-Satz ausdrücklich genannt.</t>
  </si>
  <si>
    <t>“protection of privacy”</t>
  </si>
  <si>
    <t>Sicherheit wird als KI-Leitprinzip genannt.</t>
  </si>
  <si>
    <t>“security”</t>
  </si>
  <si>
    <t>Reliability wird ausdrücklich im KI-Kontext genannt.</t>
  </si>
  <si>
    <t>“reliability”</t>
  </si>
  <si>
    <t>Gleichbehandlung/equal opportunities wird als KI-Aspekt genannt.</t>
  </si>
  <si>
    <t>“equal opportunities”</t>
  </si>
  <si>
    <t>Keine menschliche Review-, Override- oder Human-in-the-loop-Mechanik im KI-Kontext nachweisbar</t>
  </si>
  <si>
    <t>Kein explizites KI-Verantwortungs-/Ownership-Prinzip nachweisbar</t>
  </si>
  <si>
    <t>Transparenz wird im Datenteil allgemein erwähnt, aber nicht ausdrücklich als KI-Transparenzpflicht formuliert</t>
  </si>
  <si>
    <t>Explainability im KI-Satz ausdrücklich genannt</t>
  </si>
  <si>
    <t>„equal opportunities“ stützt Fairness konservativ auf Prinzipienebene</t>
  </si>
  <si>
    <t>Schutz der Privatsphäre wird ausdrücklich im KI-Kontext genannt</t>
  </si>
  <si>
    <t>Security wird explizit als KI-Leitprinzip genannt</t>
  </si>
  <si>
    <t>Keine eigenständige KI-spezifische Harm-/Safety-Regel nachweisbar</t>
  </si>
  <si>
    <t>Reliability wird ausdrücklich genannt</t>
  </si>
  <si>
    <t>Kein Beschwerde-, Einspruchs- oder Redress-Mechanismus für KI nachweisbar</t>
  </si>
  <si>
    <t>„equal opportunities“ reicht konservativ nicht für eigenständige Accessibility-/Inclusion-Codierung</t>
  </si>
  <si>
    <t>Kein Umwelt-/Nachhaltigkeitsbezug im KI-Satz nachweisbar</t>
  </si>
  <si>
    <t>Allgemeine gesellschaftliche Verantwortung vorhanden, aber kein belastbarer KI-Sozialwert mit klarem KI-Anker</t>
  </si>
  <si>
    <t>Allgemeine Compliance-Regeln stark ausgeprägt, aber keine explizite KI-Compliance-Regel im KI-Satz</t>
  </si>
  <si>
    <t>Verantwortliche KI-Nutzung ausdrücklich benannt</t>
  </si>
  <si>
    <t>Allgemeiner Data-Compliance-Rahmen vorhanden, aber keine explizite KI-Datenqualitäts-/Provenienz-/Repräsentativitätsregel</t>
  </si>
  <si>
    <t>Allgemeine Regeln zu Geschäftsgeheimnissen vorhanden, aber ohne klaren KI-Anker</t>
  </si>
  <si>
    <t>Allgemeine Human-Rights-Passagen vorhanden, aber nicht explizit als KI-Referenzrahmen formuliert</t>
  </si>
  <si>
    <t>Keine AI-spezifischen Rollen, Owner oder Gremien benannt</t>
  </si>
  <si>
    <t>Allgemeine Data-/Product-Compliance-Prozesse vorhanden, aber nicht hinreichend KI-spezifisch verankert</t>
  </si>
  <si>
    <t>Keine AI-spezifischen Audits oder Reviewzyklen nachweisbar</t>
  </si>
  <si>
    <t>Wissenstransfer/Unterstützung allgemein erwähnt, aber kein KI-spezifisches Training oder AI-literacy-Programm</t>
  </si>
  <si>
    <t>SpeakUp-System ist allgemein, aber kein expliziter KI-Eskalationsweg</t>
  </si>
  <si>
    <t>Im selben Absatz wird allgemeine Datennutzung transparent gemacht, der KI-Satz selbst nennt Transparenz aber nicht ausdrücklich.</t>
  </si>
  <si>
    <t>A: VAL_03 = 1. B: VAL_03 = 0. Gewählt: B, da nach KI-Anker-Regel der positive Wert möglichst direkt am KI-Satz hängen soll; der Transparenzteil bleibt primär allgemeine Datennutzung.</t>
  </si>
  <si>
    <t>„equal opportunities“ kann Fairness/Non-discrimination oder Inclusion/Accessibility stützen.</t>
  </si>
  <si>
    <t>A: nur VAL_05 = 1. B: zusätzlich VAL_11 = 1. Gewählt: A, da keine Barrierefreiheits-/Accessibility-Logik oder inklusives Design beschrieben wird.</t>
  </si>
  <si>
    <t>VAL_16, GOV_02</t>
  </si>
  <si>
    <t>Das Data Compliance Management System und frühe Berücksichtigung von Datenschutz in Produkten/Services sind stark, aber überwiegend allgemein datenbezogen.</t>
  </si>
  <si>
    <t>A: VAL_16 = 1 und/oder GOV_02 = 1. B: keine positive KI-Codierung. Gewählt: B, da explizite KI-Datenqualitäts-, Provenienz-, Repräsentativitäts- oder AI-Prozesslogik fehlt.</t>
  </si>
  <si>
    <t>Das SpeakUp-System gilt auch für Regelverstöße allgemein und könnte damit indirekt AI-bezogene Verstöße erfassen.</t>
  </si>
  <si>
    <t>A: GOV_06 = 1. B: GOV_06 = 0. Gewählt: B, da kein KI-spezifischer Melde- oder Eskalationsweg benannt wird.</t>
  </si>
  <si>
    <t>Manager sollen Wissen vermitteln; unklar ist, ob dies bereits als Schulungscodierung reicht.</t>
  </si>
  <si>
    <t>A: GOV_05 = 1. B: GOV_05 = 0. Gewählt: B, da kein KI-spezifisches Training, keine AI literacy und keine konkrete Schulungsmaßnahme dokumentiert ist.</t>
  </si>
  <si>
    <t>„protection of employee rights“ kann als Human-Rights-Bezug gelesen werden.</t>
  </si>
  <si>
    <t>A: VAL_18 = 1. B: VAL_18 = 0. Gewählt: B, da employee rights nicht explizit als Human-Rights-Frame, dignity oder UNGP-Kontext für KI formuliert werden.</t>
  </si>
  <si>
    <t>“we follow our demanding AI principles”</t>
  </si>
  <si>
    <t>Die KI-Prinzipien werden ausdrücklich als ethische Prinzipien beschrieben.</t>
  </si>
  <si>
    <t>“ethical principles for the development and use of artificial intelligence”</t>
  </si>
  <si>
    <t>Erklärbarkeit ist Bestandteil der AI-Prinzipien.</t>
  </si>
  <si>
    <t>Privacy-Schutz ist Bestandteil der AI-Prinzipien.</t>
  </si>
  <si>
    <t>“privacy protection”</t>
  </si>
  <si>
    <t>Sicherheit ist Bestandteil der AI-Prinzipien.</t>
  </si>
  <si>
    <t>Reliability ist Bestandteil der AI-Prinzipien.</t>
  </si>
  <si>
    <t>Im vorgelagerten Data-Vision-Abschnitt wird Datenqualität genannt, aber ohne expliziten KI-Anker.</t>
  </si>
  <si>
    <t>Führungskräfte sollen Wissen vermitteln, aber nicht KI-spezifisch.</t>
  </si>
  <si>
    <t>Keine menschliche Review-, Override- oder Human-in-the-loop-Mechanik im KI-Abschnitt nachweisbar</t>
  </si>
  <si>
    <t>Kein explizites KI-Verantwortungs-/Ownership-Prinzip oder Rollenträger benannt</t>
  </si>
  <si>
    <t>Transparenz erscheint nur im allgemeinen Data-Vision-Abschnitt, nicht explizit als KI-Prinzip</t>
  </si>
  <si>
    <t>S. 15</t>
  </si>
  <si>
    <t>Explainability im KI-Abschnitt ausdrücklich genannt</t>
  </si>
  <si>
    <t>Keine explizite Fairness-/Bias-/Non-discrimination-Passage im KI-Abschnitt</t>
  </si>
  <si>
    <t>Privacy protection im KI-Abschnitt ausdrücklich genannt</t>
  </si>
  <si>
    <t>Security im KI-Abschnitt ausdrücklich genannt</t>
  </si>
  <si>
    <t>Reliability im KI-Abschnitt ausdrücklich genannt</t>
  </si>
  <si>
    <t>„to our benefit“ bleibt zu unternehmensnah und nicht als eigenständiger Social-benefit-/Well-being-Wert ausformuliert</t>
  </si>
  <si>
    <t>Allgemeine Code-Bindung vorhanden, aber keine explizite KI-Compliance-Regel im KI-Abschnitt</t>
  </si>
  <si>
    <t>Ethische Prinzipien und verantwortlicher KI-Einsatz ausdrücklich benannt</t>
  </si>
  <si>
    <t>Allgemeine Human-Rights-Passagen vorhanden, aber nicht als KI-Referenzrahmen formuliert</t>
  </si>
  <si>
    <t>Benannter AI-Prinzipienrahmen, aber keine Schritte, Trigger oder Verantwortlichen dokumentiert</t>
  </si>
  <si>
    <t>Führungskräfte sollen Wissen vermitteln, aber kein KI-spezifisches Training oder AI-literacy-Programm nachweisbar</t>
  </si>
  <si>
    <t>BPO ist allgemeiner Regelverstoßkanal, kein expliziter KI-Eskalationsweg</t>
  </si>
  <si>
    <t>Der Data-Vision-Abschnitt nennt ausdrücklich „Transparency“ und „Data Quality“, aber ohne expliziten KI-Anker.</t>
  </si>
  <si>
    <t>A: VAL_03/VAL_16 positiv codieren. B: nicht positiv codieren. Gewählt: B, gemäß KI-Anker-Regel; allgemeine Digital-/Datengrundsätze ohne klaren KI-Bezug zählen nicht als KI-Werte.</t>
  </si>
  <si>
    <t>„we follow our demanding AI principles“ kann als bloße Erwähnung oder als dokumentierter Governance-Rahmen gelesen werden.</t>
  </si>
  <si>
    <t>A: GOV_02 = 0. B: GOV_02 = 1. Gewählt: B, da ein explizites AI-Prinzipienset benannt wird; für Score 2 fehlen aber Prozessschritte, Trigger und Verantwortliche.</t>
  </si>
  <si>
    <t>Der KI-Abschnitt ist in eine bindende Integrity Code-Struktur eingebettet, nennt aber keine explizite KI-Compliance-Formel.</t>
  </si>
  <si>
    <t>A: VAL_14 = 1 wegen allgemeiner Code-Bindung. B: VAL_14 = 0. Gewählt: B, da nach Evidence-first für positive KI-Codierung ein klarerer KI-spezifischer Lawfulness-/Compliance-Anker erforderlich ist.</t>
  </si>
  <si>
    <t>Das BPO kann potenziell auch AI-bezogene Verstöße aufnehmen, ist aber nicht KI-spezifisch beschrieben.</t>
  </si>
  <si>
    <t>A: GOV_06 = 1. B: GOV_06 = 0. Gewählt: B, da kein expliziter KI-Melde- oder Eskalationsweg benannt wird.</t>
  </si>
  <si>
    <t>„provide their staff with the appropriate knowledge“ könnte als Schulungshinweis gelesen werden.</t>
  </si>
  <si>
    <t>Der Schutz von Business Secrets ist stark formuliert, aber nicht explizit an KI rückgebunden.</t>
  </si>
  <si>
    <t>A: VAL_17 = 1. B: VAL_17 = 0. Gewählt: B, da der notwendige KI-Anker fehlt.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</si>
</sst>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s>
  <borders count="10">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5">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7" xfId="0" applyFill="1" applyBorder="1"/>
    <xf numFmtId="0" fontId="0" fillId="10" borderId="8" xfId="0" applyFill="1" applyBorder="1"/>
    <xf numFmtId="0" fontId="0" fillId="10" borderId="9" xfId="0" applyFill="1" applyBorder="1"/>
    <xf numFmtId="0" fontId="0" fillId="5" borderId="3" xfId="0" applyFill="1" applyBorder="1"/>
    <xf numFmtId="0" fontId="0" fillId="5" borderId="8" xfId="0" applyFill="1" applyBorder="1"/>
    <xf numFmtId="0" fontId="0" fillId="3" borderId="0" xfId="0" applyFill="1" applyBorder="1"/>
    <xf numFmtId="0" fontId="0" fillId="4" borderId="0" xfId="0" applyFill="1" applyBorder="1"/>
    <xf numFmtId="0" fontId="0" fillId="0" borderId="0" xfId="0" applyBorder="1"/>
    <xf numFmtId="0" fontId="0" fillId="2" borderId="0" xfId="0" applyFill="1" applyBorder="1"/>
    <xf numFmtId="0" fontId="0" fillId="5" borderId="0" xfId="0" applyNumberFormat="1" applyFill="1"/>
  </cellXfs>
  <cellStyles count="1">
    <cellStyle name="Standard" xfId="0" builtinId="0"/>
  </cellStyles>
  <dxfs count="40">
    <dxf>
      <fill>
        <patternFill patternType="solid">
          <fgColor rgb="FFDAF2D0"/>
          <bgColor rgb="FF000000"/>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39"/>
    <tableColumn id="5" xr3:uid="{1B3C9A2D-DF88-4E06-B0EF-3525113D0681}" name="industry_detail" dataDxfId="38"/>
    <tableColumn id="6" xr3:uid="{967B7F66-7E83-4117-AF93-D44A5214E26B}" name="hq_country" dataDxfId="37"/>
    <tableColumn id="7" xr3:uid="{93FC8DC6-D939-4F19-8CD1-78BFAC7BF713}" name="dax_member_as_of_date"/>
    <tableColumn id="9" xr3:uid="{1AE89A45-B6BF-407A-BFE3-8B1D0FF7087C}" name="Marktkapitalisierung in Mio. € (Stand: 04.01.2026)" dataDxfId="36"/>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8" totalsRowShown="0">
  <autoFilter ref="A1:O328" xr:uid="{71268FB6-58B2-48BE-BA4C-58A56E8AD2A0}">
    <filterColumn colId="11">
      <colorFilter dxfId="0"/>
    </filterColumn>
  </autoFilter>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35"/>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34"/>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33"/>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19" totalsRowShown="0">
  <autoFilter ref="A1:H1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800" totalsRowShown="0">
  <autoFilter ref="A1:K800" xr:uid="{794649AF-DA1E-48ED-8099-0B33A67C2B55}"/>
  <tableColumns count="11">
    <tableColumn id="1" xr3:uid="{B25DAA88-1496-4A1D-9CDC-F3F7FC263E6B}" name="company_id" dataDxfId="32"/>
    <tableColumn id="2" xr3:uid="{C403EEEA-311E-4936-9681-331B844B0893}" name="doc_id" dataDxfId="31"/>
    <tableColumn id="3" xr3:uid="{06C75828-DC84-408A-817F-C1DB23B8E593}" name="value_id" dataDxfId="30"/>
    <tableColumn id="4" xr3:uid="{F51FA92F-A9DB-48FF-894C-B05D1F7CB091}" name="value_present" dataDxfId="29"/>
    <tableColumn id="5" xr3:uid="{EDEB478B-823A-4414-9B33-6C8500F4A064}" name="binding_level" dataDxfId="28"/>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27"/>
    <tableColumn id="10" xr3:uid="{852F73B7-B49E-466F-B2C5-1DD6216E5DEF}" name="notes"/>
    <tableColumn id="11" xr3:uid="{804E6649-063F-44AA-B9CC-713F2123053D}" name="value_points" dataDxfId="26">
      <calculatedColumnFormula>Tabelle5[[#This Row],[value_present]]*Tabelle5[[#This Row],[binding_level]]</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doc_id"/>
    <tableColumn id="3" xr3:uid="{FD002F1F-FDA9-4017-99E4-E4D7D3ACC4F6}" name="gov_id"/>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190" totalsRowShown="0">
  <autoFilter ref="A1:J190"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721" totalsRowShown="0">
  <autoFilter ref="A1:G72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25">
      <calculatedColumnFormula>IF(Tabelle18[[#This Row],[binding_level_company]]&gt;=1,1,0)</calculatedColumnFormula>
    </tableColumn>
    <tableColumn id="4" xr3:uid="{57C3D191-F2E8-43DB-A883-B6EFD2FD0A34}" name="binding_level_company" dataDxfId="24">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23">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461DAA-EB9C-4DAC-A291-63F86E726CE2}" name="Tabelle728" displayName="Tabelle728" ref="A1:F281" totalsRowShown="0">
  <autoFilter ref="A1:F281" xr:uid="{5BF3CC75-2124-480E-A9D0-3C4C8CD282B3}"/>
  <tableColumns count="6">
    <tableColumn id="1" xr3:uid="{84635E92-62CA-411C-A759-799039D3A662}" name="company_id"/>
    <tableColumn id="2" xr3:uid="{E59C8DC0-5747-4272-B0BB-E2DF629DF822}" name="gov_crit_id"/>
    <tableColumn id="3" xr3:uid="{E0FAAC11-A54F-432E-A9F0-E764DEC324B2}" name="doc_id_primary_evidence"/>
    <tableColumn id="4" xr3:uid="{0C7ED326-FAB0-431F-8875-6C92C5249661}" name="score_0_3"/>
    <tableColumn id="5" xr3:uid="{66962E15-31F9-43EB-BAAE-38FEA4A1F93F}" name="evidence_quote"/>
    <tableColumn id="6" xr3:uid="{FBA737C0-187C-4155-9768-1DD21D5C7BB2}" name="evidence_locat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dataDxfId="22">
      <calculatedColumnFormula>_xlfn.XLOOKUP(Tabelle8[[#This Row],[company_id]],'00_DAX_Master'!A:A,'00_DAX_Master'!D:D)</calculatedColumnFormula>
    </tableColumn>
    <tableColumn id="3" xr3:uid="{00B38A82-5FE2-4A9D-BD2C-75C7C716FA37}" name="values_raw_points" dataDxfId="21">
      <calculatedColumnFormula>SUMIF('03b_Values_Company_Level'!E:E,'03b_Values_Company_Level'!A:A,Tabelle8[[#This Row],[company_id]])</calculatedColumnFormula>
    </tableColumn>
    <tableColumn id="4" xr3:uid="{07D74540-FCE8-45CD-81E0-9EBDC51759F0}" name="values_max_points" dataDxfId="20">
      <calculatedColumnFormula>(COUNTA('02_Values_Codebook'!A:A)-1)*3</calculatedColumnFormula>
    </tableColumn>
    <tableColumn id="5" xr3:uid="{5D9B4697-9784-4EF7-9C63-C3CE63563C3C}" name="convergence_index_0_1" dataDxfId="19">
      <calculatedColumnFormula>Tabelle8[[#This Row],[values_raw_points]]/Tabelle8[[#This Row],[values_max_points]]</calculatedColumnFormula>
    </tableColumn>
    <tableColumn id="6" xr3:uid="{606FD58E-B2AB-401F-B1F0-BA796F03FD52}" name="gov_points_sum" dataDxfId="18">
      <calculatedColumnFormula>SUMIF(Tabelle7[[#This Row],[score_0_3]],Tabelle7[[#This Row],[company_id]],Tabelle8[[#This Row],[company_id]])</calculatedColumnFormula>
    </tableColumn>
    <tableColumn id="7" xr3:uid="{F0AC04B4-A92E-4E8F-9B76-9B19CD8BC4DA}" name="gov_index_0_100" dataDxfId="17">
      <calculatedColumnFormula xml:space="preserve"> (Tabelle8[[#This Row],[gov_points_sum]]/21)*100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16"/>
    <tableColumn id="2" xr3:uid="{88EA2C3D-FF7D-45DE-B6F7-BB1229554F82}" name="doc_id" dataDxfId="15"/>
    <tableColumn id="3" xr3:uid="{E23EAC11-3FE3-46C2-A886-9966BC003CDA}" name="value_id" dataDxfId="14"/>
    <tableColumn id="4" xr3:uid="{77D00F30-A9A5-47C3-B3BB-BFF34AC97B9C}" name="value_present" dataDxfId="13"/>
    <tableColumn id="5" xr3:uid="{E434E720-1C6A-4241-8ECE-D9040CCDAA2B}" name="binding_level" dataDxfId="12"/>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11"/>
    <tableColumn id="10" xr3:uid="{7F3AA6F7-EE79-4770-860B-817A57FFE071}" name="notes"/>
    <tableColumn id="11" xr3:uid="{26B53E04-6A5F-4A1D-9E7B-B4A2316116E1}" name="value_points" dataDxfId="10">
      <calculatedColumnFormula>Tabelle52[[#This Row],[value_present]]*Tabelle52[[#This Row],[binding_level]]</calculatedColumnFormula>
    </tableColumn>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9"/>
    <tableColumn id="2" xr3:uid="{28144327-D237-4B65-948E-9055C5BCCA4B}" name="doc_id" dataDxfId="8"/>
    <tableColumn id="3" xr3:uid="{7356C4A2-D4E8-4678-B63A-A2F57CF7A60F}" name="value_id" dataDxfId="7"/>
    <tableColumn id="4" xr3:uid="{DBC3A27D-F748-40F1-9045-6F4A050BD2E3}" name="value_present" dataDxfId="6"/>
    <tableColumn id="5" xr3:uid="{C3681E92-2973-41CD-A350-4DB5D313885C}" name="binding_level" dataDxfId="5"/>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4"/>
    <tableColumn id="10" xr3:uid="{26B78528-5CF0-490F-B3B8-7A22E5217B5F}" name="notes"/>
    <tableColumn id="11" xr3:uid="{BD49E03A-F982-49D3-A92C-C4CCC90D083D}" name="value_points" dataDxfId="3">
      <calculatedColumnFormula>Tabelle5225[[#This Row],[value_present]]*Tabelle5225[[#This Row],[binding_level]]</calculatedColumnFormula>
    </tableColumn>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2"/>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1"/>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printerSettings" Target="../printerSettings/printerSettings1.bin"/><Relationship Id="rId6" Type="http://schemas.openxmlformats.org/officeDocument/2006/relationships/table" Target="../tables/table17.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sheetPr>
    <tabColor rgb="FFFFFF00"/>
  </sheetPr>
  <dimension ref="A1:I41"/>
  <sheetViews>
    <sheetView workbookViewId="0">
      <selection activeCell="B13" sqref="B13"/>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840</v>
      </c>
    </row>
    <row r="18" spans="1:9" x14ac:dyDescent="0.25">
      <c r="A18">
        <v>17</v>
      </c>
      <c r="B18" s="13" t="s">
        <v>359</v>
      </c>
      <c r="C18" t="s">
        <v>360</v>
      </c>
      <c r="D18" s="1" t="s">
        <v>238</v>
      </c>
      <c r="E18" t="s">
        <v>361</v>
      </c>
      <c r="F18" s="5" t="s">
        <v>439</v>
      </c>
      <c r="G18" t="s">
        <v>362</v>
      </c>
      <c r="H18" s="6">
        <v>25656.23</v>
      </c>
      <c r="I18" t="s">
        <v>858</v>
      </c>
    </row>
    <row r="19" spans="1:9" x14ac:dyDescent="0.25">
      <c r="A19">
        <v>18</v>
      </c>
      <c r="B19" s="14" t="s">
        <v>363</v>
      </c>
      <c r="C19" t="s">
        <v>364</v>
      </c>
      <c r="D19" s="1" t="s">
        <v>238</v>
      </c>
      <c r="E19" t="s">
        <v>365</v>
      </c>
      <c r="F19" s="5" t="s">
        <v>434</v>
      </c>
      <c r="G19" t="s">
        <v>366</v>
      </c>
      <c r="H19" s="6">
        <v>10987.23</v>
      </c>
      <c r="I19" t="s">
        <v>879</v>
      </c>
    </row>
    <row r="20" spans="1:9" x14ac:dyDescent="0.25">
      <c r="A20">
        <v>19</v>
      </c>
      <c r="B20" s="12" t="s">
        <v>367</v>
      </c>
      <c r="C20" t="s">
        <v>368</v>
      </c>
      <c r="D20" s="1" t="s">
        <v>236</v>
      </c>
      <c r="E20" t="s">
        <v>369</v>
      </c>
      <c r="F20" s="5" t="s">
        <v>437</v>
      </c>
      <c r="G20" t="s">
        <v>370</v>
      </c>
      <c r="H20" s="6">
        <v>8239.01</v>
      </c>
      <c r="I20" t="s">
        <v>897</v>
      </c>
    </row>
    <row r="21" spans="1:9" x14ac:dyDescent="0.25">
      <c r="A21">
        <v>20</v>
      </c>
      <c r="B21" s="12" t="s">
        <v>371</v>
      </c>
      <c r="C21" t="s">
        <v>372</v>
      </c>
      <c r="D21" s="1" t="s">
        <v>237</v>
      </c>
      <c r="E21" t="s">
        <v>313</v>
      </c>
      <c r="F21" s="5" t="s">
        <v>440</v>
      </c>
      <c r="G21" t="s">
        <v>341</v>
      </c>
      <c r="H21" s="6">
        <v>29852.05</v>
      </c>
      <c r="I21" t="s">
        <v>927</v>
      </c>
    </row>
    <row r="22" spans="1:9" x14ac:dyDescent="0.25">
      <c r="A22">
        <v>21</v>
      </c>
      <c r="B22" s="14" t="s">
        <v>373</v>
      </c>
      <c r="C22" t="s">
        <v>374</v>
      </c>
      <c r="D22" s="1" t="s">
        <v>242</v>
      </c>
      <c r="E22" t="s">
        <v>375</v>
      </c>
      <c r="F22" s="5" t="s">
        <v>441</v>
      </c>
      <c r="G22" t="s">
        <v>376</v>
      </c>
      <c r="H22" s="6">
        <v>36922.57</v>
      </c>
      <c r="I22" t="s">
        <v>954</v>
      </c>
    </row>
    <row r="23" spans="1:9" x14ac:dyDescent="0.25">
      <c r="A23">
        <v>22</v>
      </c>
      <c r="B23" s="12" t="s">
        <v>377</v>
      </c>
      <c r="C23" t="s">
        <v>378</v>
      </c>
      <c r="D23" s="1" t="s">
        <v>242</v>
      </c>
      <c r="E23" t="s">
        <v>379</v>
      </c>
      <c r="F23" s="5" t="s">
        <v>437</v>
      </c>
      <c r="G23" t="s">
        <v>314</v>
      </c>
      <c r="H23" s="6">
        <v>25541.89</v>
      </c>
      <c r="I23" t="s">
        <v>971</v>
      </c>
    </row>
    <row r="24" spans="1:9" x14ac:dyDescent="0.25">
      <c r="A24">
        <v>23</v>
      </c>
      <c r="B24" s="13" t="s">
        <v>380</v>
      </c>
      <c r="C24" t="s">
        <v>381</v>
      </c>
      <c r="D24" s="1" t="s">
        <v>238</v>
      </c>
      <c r="E24" t="s">
        <v>382</v>
      </c>
      <c r="F24" s="5" t="s">
        <v>434</v>
      </c>
      <c r="G24" t="s">
        <v>383</v>
      </c>
      <c r="H24" s="6">
        <v>45690.61</v>
      </c>
      <c r="I24" t="s">
        <v>1026</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1045</v>
      </c>
    </row>
    <row r="27" spans="1:9" x14ac:dyDescent="0.25">
      <c r="A27">
        <v>26</v>
      </c>
      <c r="B27" s="14" t="s">
        <v>389</v>
      </c>
      <c r="C27" t="s">
        <v>390</v>
      </c>
      <c r="D27" s="1" t="s">
        <v>236</v>
      </c>
      <c r="E27" t="s">
        <v>391</v>
      </c>
      <c r="F27" s="5" t="s">
        <v>434</v>
      </c>
      <c r="G27" t="s">
        <v>392</v>
      </c>
      <c r="H27" s="6">
        <v>17772.21</v>
      </c>
      <c r="I27" t="s">
        <v>1068</v>
      </c>
    </row>
    <row r="28" spans="1:9" x14ac:dyDescent="0.25">
      <c r="A28">
        <v>27</v>
      </c>
      <c r="B28" s="12" t="s">
        <v>393</v>
      </c>
      <c r="C28" t="s">
        <v>394</v>
      </c>
      <c r="D28" s="1" t="s">
        <v>237</v>
      </c>
      <c r="E28" t="s">
        <v>313</v>
      </c>
      <c r="F28" s="5" t="s">
        <v>434</v>
      </c>
      <c r="G28" t="s">
        <v>395</v>
      </c>
      <c r="H28" s="6">
        <v>67763.8</v>
      </c>
      <c r="I28" t="s">
        <v>1080</v>
      </c>
    </row>
    <row r="29" spans="1:9" x14ac:dyDescent="0.25">
      <c r="A29">
        <v>28</v>
      </c>
      <c r="B29" s="14" t="s">
        <v>396</v>
      </c>
      <c r="C29" t="s">
        <v>397</v>
      </c>
      <c r="D29" s="1" t="s">
        <v>236</v>
      </c>
      <c r="E29" t="s">
        <v>398</v>
      </c>
      <c r="F29" s="5" t="s">
        <v>441</v>
      </c>
      <c r="G29" t="s">
        <v>310</v>
      </c>
      <c r="H29" s="6">
        <v>11369.72</v>
      </c>
      <c r="I29" t="s">
        <v>1068</v>
      </c>
    </row>
    <row r="30" spans="1:9" x14ac:dyDescent="0.25">
      <c r="A30">
        <v>29</v>
      </c>
      <c r="B30" s="14" t="s">
        <v>399</v>
      </c>
      <c r="C30" t="s">
        <v>400</v>
      </c>
      <c r="D30" s="1" t="s">
        <v>238</v>
      </c>
      <c r="E30" t="s">
        <v>401</v>
      </c>
      <c r="F30" s="5" t="s">
        <v>435</v>
      </c>
      <c r="G30" t="s">
        <v>310</v>
      </c>
      <c r="H30" s="6">
        <v>7781.46</v>
      </c>
      <c r="I30" t="s">
        <v>1068</v>
      </c>
    </row>
    <row r="31" spans="1:9" x14ac:dyDescent="0.25">
      <c r="A31">
        <v>30</v>
      </c>
      <c r="B31" s="14" t="s">
        <v>402</v>
      </c>
      <c r="C31" t="s">
        <v>403</v>
      </c>
      <c r="D31" s="1" t="s">
        <v>236</v>
      </c>
      <c r="E31" t="s">
        <v>404</v>
      </c>
      <c r="F31" s="5" t="s">
        <v>437</v>
      </c>
      <c r="G31" t="s">
        <v>405</v>
      </c>
      <c r="H31" s="6">
        <v>66606.820000000007</v>
      </c>
      <c r="I31" t="s">
        <v>1068</v>
      </c>
    </row>
    <row r="32" spans="1:9" x14ac:dyDescent="0.25">
      <c r="A32">
        <v>31</v>
      </c>
      <c r="B32" s="12" t="s">
        <v>406</v>
      </c>
      <c r="C32" t="s">
        <v>406</v>
      </c>
      <c r="D32" s="1" t="s">
        <v>241</v>
      </c>
      <c r="E32" t="s">
        <v>358</v>
      </c>
      <c r="F32" s="5" t="s">
        <v>437</v>
      </c>
      <c r="G32" t="s">
        <v>314</v>
      </c>
      <c r="H32" s="6">
        <v>30562.07</v>
      </c>
      <c r="I32" t="s">
        <v>1169</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1191</v>
      </c>
    </row>
    <row r="35" spans="1:9" x14ac:dyDescent="0.25">
      <c r="A35">
        <v>34</v>
      </c>
      <c r="B35" s="12" t="s">
        <v>413</v>
      </c>
      <c r="C35" t="s">
        <v>414</v>
      </c>
      <c r="D35" s="1" t="s">
        <v>236</v>
      </c>
      <c r="E35" t="s">
        <v>415</v>
      </c>
      <c r="F35" s="5" t="s">
        <v>442</v>
      </c>
      <c r="G35" t="s">
        <v>314</v>
      </c>
      <c r="H35" s="6">
        <v>173538.17</v>
      </c>
      <c r="I35" t="s">
        <v>1209</v>
      </c>
    </row>
    <row r="36" spans="1:9" x14ac:dyDescent="0.25">
      <c r="A36">
        <v>35</v>
      </c>
      <c r="B36" s="14" t="s">
        <v>416</v>
      </c>
      <c r="C36" t="s">
        <v>417</v>
      </c>
      <c r="D36" s="1" t="s">
        <v>236</v>
      </c>
      <c r="E36" t="s">
        <v>418</v>
      </c>
      <c r="F36" s="5" t="s">
        <v>434</v>
      </c>
      <c r="G36" t="s">
        <v>419</v>
      </c>
      <c r="H36" s="6">
        <v>95774.61</v>
      </c>
      <c r="I36" t="s">
        <v>1243</v>
      </c>
    </row>
    <row r="37" spans="1:9" x14ac:dyDescent="0.25">
      <c r="A37">
        <v>36</v>
      </c>
      <c r="B37" s="12" t="s">
        <v>420</v>
      </c>
      <c r="C37" t="s">
        <v>421</v>
      </c>
      <c r="D37" s="1" t="s">
        <v>238</v>
      </c>
      <c r="E37" t="s">
        <v>365</v>
      </c>
      <c r="F37" s="5" t="s">
        <v>434</v>
      </c>
      <c r="G37" t="s">
        <v>310</v>
      </c>
      <c r="H37" s="6">
        <v>46655.15</v>
      </c>
      <c r="I37" t="s">
        <v>1261</v>
      </c>
    </row>
    <row r="38" spans="1:9" x14ac:dyDescent="0.25">
      <c r="A38">
        <v>37</v>
      </c>
      <c r="B38" s="14" t="s">
        <v>422</v>
      </c>
      <c r="C38" t="s">
        <v>423</v>
      </c>
      <c r="D38" s="1" t="s">
        <v>240</v>
      </c>
      <c r="E38" t="s">
        <v>424</v>
      </c>
      <c r="F38" s="5" t="s">
        <v>440</v>
      </c>
      <c r="G38" t="s">
        <v>310</v>
      </c>
      <c r="H38" s="6">
        <v>8953.57</v>
      </c>
      <c r="I38" t="s">
        <v>954</v>
      </c>
    </row>
    <row r="39" spans="1:9" x14ac:dyDescent="0.25">
      <c r="A39">
        <v>38</v>
      </c>
      <c r="B39" s="12" t="s">
        <v>425</v>
      </c>
      <c r="C39" t="s">
        <v>426</v>
      </c>
      <c r="D39" s="1" t="s">
        <v>236</v>
      </c>
      <c r="E39" t="s">
        <v>326</v>
      </c>
      <c r="F39" s="5" t="s">
        <v>440</v>
      </c>
      <c r="G39" t="s">
        <v>314</v>
      </c>
      <c r="H39" s="6">
        <v>48556.67</v>
      </c>
      <c r="I39" t="s">
        <v>1261</v>
      </c>
    </row>
    <row r="40" spans="1:9" x14ac:dyDescent="0.25">
      <c r="A40">
        <v>39</v>
      </c>
      <c r="B40" s="14" t="s">
        <v>427</v>
      </c>
      <c r="C40" t="s">
        <v>428</v>
      </c>
      <c r="D40" s="1" t="s">
        <v>240</v>
      </c>
      <c r="E40" t="s">
        <v>429</v>
      </c>
      <c r="F40" s="5" t="s">
        <v>437</v>
      </c>
      <c r="G40" t="s">
        <v>430</v>
      </c>
      <c r="H40" s="6">
        <v>19358.16</v>
      </c>
      <c r="I40" t="s">
        <v>954</v>
      </c>
    </row>
    <row r="41" spans="1:9" x14ac:dyDescent="0.25">
      <c r="A41">
        <v>40</v>
      </c>
      <c r="B41" s="12" t="s">
        <v>431</v>
      </c>
      <c r="C41" t="s">
        <v>432</v>
      </c>
      <c r="D41" s="1" t="s">
        <v>240</v>
      </c>
      <c r="E41" t="s">
        <v>433</v>
      </c>
      <c r="F41" s="5" t="s">
        <v>443</v>
      </c>
      <c r="G41" t="s">
        <v>310</v>
      </c>
      <c r="H41" s="6">
        <v>6113.98</v>
      </c>
      <c r="I41" t="s">
        <v>1334</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sheetPr>
    <tabColor rgb="FFFFFF00"/>
  </sheetPr>
  <dimension ref="A1:O399"/>
  <sheetViews>
    <sheetView topLeftCell="A27" workbookViewId="0">
      <selection activeCell="M42" sqref="M42"/>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1363</v>
      </c>
    </row>
    <row r="2" spans="1:15" hidden="1" x14ac:dyDescent="0.25">
      <c r="A2">
        <v>1</v>
      </c>
      <c r="B2">
        <v>1</v>
      </c>
      <c r="C2" t="s">
        <v>447</v>
      </c>
      <c r="D2" s="1" t="s">
        <v>249</v>
      </c>
      <c r="E2" t="s">
        <v>448</v>
      </c>
      <c r="F2" t="s">
        <v>449</v>
      </c>
      <c r="G2" t="s">
        <v>449</v>
      </c>
      <c r="H2" s="1" t="s">
        <v>258</v>
      </c>
      <c r="I2" t="s">
        <v>450</v>
      </c>
      <c r="J2" t="s">
        <v>454</v>
      </c>
      <c r="K2" t="s">
        <v>451</v>
      </c>
      <c r="L2" s="1" t="s">
        <v>263</v>
      </c>
      <c r="M2" s="1" t="s">
        <v>266</v>
      </c>
      <c r="N2" t="s">
        <v>452</v>
      </c>
    </row>
    <row r="3" spans="1:15" hidden="1" x14ac:dyDescent="0.25">
      <c r="A3">
        <v>2</v>
      </c>
      <c r="B3">
        <v>1</v>
      </c>
      <c r="C3" t="s">
        <v>453</v>
      </c>
      <c r="D3" s="1" t="s">
        <v>249</v>
      </c>
      <c r="E3" t="s">
        <v>448</v>
      </c>
      <c r="F3" t="s">
        <v>449</v>
      </c>
      <c r="G3" t="s">
        <v>449</v>
      </c>
      <c r="H3" s="1" t="s">
        <v>258</v>
      </c>
      <c r="I3" t="s">
        <v>450</v>
      </c>
      <c r="J3" t="s">
        <v>454</v>
      </c>
      <c r="K3" t="s">
        <v>475</v>
      </c>
      <c r="L3" s="1" t="s">
        <v>263</v>
      </c>
      <c r="M3" s="1" t="s">
        <v>266</v>
      </c>
      <c r="N3" t="s">
        <v>455</v>
      </c>
    </row>
    <row r="4" spans="1:15" hidden="1" x14ac:dyDescent="0.25">
      <c r="A4">
        <v>3</v>
      </c>
      <c r="B4">
        <v>1</v>
      </c>
      <c r="C4" t="s">
        <v>456</v>
      </c>
      <c r="D4" s="1" t="s">
        <v>255</v>
      </c>
      <c r="E4" t="s">
        <v>448</v>
      </c>
      <c r="F4" t="s">
        <v>457</v>
      </c>
      <c r="G4" t="s">
        <v>449</v>
      </c>
      <c r="H4" s="1" t="s">
        <v>258</v>
      </c>
      <c r="I4" t="s">
        <v>458</v>
      </c>
      <c r="J4" t="s">
        <v>454</v>
      </c>
      <c r="K4" t="s">
        <v>463</v>
      </c>
      <c r="L4" s="1" t="s">
        <v>263</v>
      </c>
      <c r="M4" s="1" t="s">
        <v>266</v>
      </c>
      <c r="N4" t="s">
        <v>567</v>
      </c>
    </row>
    <row r="5" spans="1:15" hidden="1" x14ac:dyDescent="0.25">
      <c r="A5">
        <v>4</v>
      </c>
      <c r="B5">
        <v>1</v>
      </c>
      <c r="C5" t="s">
        <v>459</v>
      </c>
      <c r="D5" s="1" t="s">
        <v>249</v>
      </c>
      <c r="E5" t="s">
        <v>460</v>
      </c>
      <c r="F5" t="s">
        <v>449</v>
      </c>
      <c r="G5" t="s">
        <v>449</v>
      </c>
      <c r="H5" s="1" t="s">
        <v>258</v>
      </c>
      <c r="I5" t="s">
        <v>461</v>
      </c>
      <c r="J5" t="s">
        <v>454</v>
      </c>
      <c r="K5" t="s">
        <v>462</v>
      </c>
      <c r="L5" s="1" t="s">
        <v>263</v>
      </c>
      <c r="M5" s="1" t="s">
        <v>266</v>
      </c>
    </row>
    <row r="6" spans="1:15" hidden="1" x14ac:dyDescent="0.25">
      <c r="A6">
        <v>5</v>
      </c>
      <c r="B6">
        <v>1</v>
      </c>
      <c r="C6" t="s">
        <v>464</v>
      </c>
      <c r="D6" s="1" t="s">
        <v>249</v>
      </c>
      <c r="E6" t="s">
        <v>460</v>
      </c>
      <c r="F6" t="s">
        <v>449</v>
      </c>
      <c r="G6" t="s">
        <v>449</v>
      </c>
      <c r="H6" s="1" t="s">
        <v>258</v>
      </c>
      <c r="I6" t="s">
        <v>461</v>
      </c>
      <c r="J6" t="s">
        <v>454</v>
      </c>
      <c r="K6" t="s">
        <v>476</v>
      </c>
      <c r="L6" s="1" t="s">
        <v>263</v>
      </c>
      <c r="M6" s="1" t="s">
        <v>266</v>
      </c>
    </row>
    <row r="7" spans="1:15" hidden="1" x14ac:dyDescent="0.25">
      <c r="A7">
        <v>6</v>
      </c>
      <c r="B7">
        <v>1</v>
      </c>
      <c r="C7" t="s">
        <v>466</v>
      </c>
      <c r="D7" s="1" t="s">
        <v>252</v>
      </c>
      <c r="E7" t="s">
        <v>467</v>
      </c>
      <c r="F7" t="s">
        <v>468</v>
      </c>
      <c r="G7" t="s">
        <v>449</v>
      </c>
      <c r="H7" s="1" t="s">
        <v>258</v>
      </c>
      <c r="I7" t="s">
        <v>465</v>
      </c>
      <c r="J7" t="s">
        <v>454</v>
      </c>
      <c r="K7" t="s">
        <v>477</v>
      </c>
      <c r="L7" s="1" t="s">
        <v>263</v>
      </c>
      <c r="M7" s="1" t="s">
        <v>266</v>
      </c>
    </row>
    <row r="8" spans="1:15" hidden="1" x14ac:dyDescent="0.25">
      <c r="A8">
        <v>7</v>
      </c>
      <c r="B8">
        <v>1</v>
      </c>
      <c r="C8" t="s">
        <v>469</v>
      </c>
      <c r="D8" s="1" t="s">
        <v>251</v>
      </c>
      <c r="E8" t="s">
        <v>470</v>
      </c>
      <c r="F8" t="s">
        <v>471</v>
      </c>
      <c r="G8" t="s">
        <v>671</v>
      </c>
      <c r="H8" s="1" t="s">
        <v>258</v>
      </c>
      <c r="I8" t="s">
        <v>473</v>
      </c>
      <c r="J8" t="s">
        <v>454</v>
      </c>
      <c r="K8" t="s">
        <v>474</v>
      </c>
      <c r="L8" s="1" t="s">
        <v>263</v>
      </c>
      <c r="M8" s="1" t="s">
        <v>266</v>
      </c>
    </row>
    <row r="9" spans="1:15" hidden="1" x14ac:dyDescent="0.25">
      <c r="A9" s="7"/>
      <c r="B9" s="7">
        <v>1</v>
      </c>
      <c r="C9" s="7"/>
      <c r="D9" s="7" t="s">
        <v>246</v>
      </c>
      <c r="E9" s="7" t="s">
        <v>470</v>
      </c>
      <c r="F9" s="7"/>
      <c r="G9" s="7"/>
      <c r="H9" s="7"/>
      <c r="I9" s="7"/>
      <c r="J9" s="7"/>
      <c r="K9" s="7"/>
      <c r="L9" s="7" t="s">
        <v>264</v>
      </c>
      <c r="M9" s="7"/>
      <c r="N9" s="7" t="s">
        <v>568</v>
      </c>
    </row>
    <row r="10" spans="1:15" hidden="1" x14ac:dyDescent="0.25">
      <c r="A10" s="7"/>
      <c r="B10" s="7">
        <v>1</v>
      </c>
      <c r="C10" s="7"/>
      <c r="D10" s="7" t="s">
        <v>247</v>
      </c>
      <c r="E10" s="7" t="s">
        <v>470</v>
      </c>
      <c r="F10" s="7"/>
      <c r="G10" s="7"/>
      <c r="H10" s="7"/>
      <c r="I10" s="7"/>
      <c r="J10" s="7"/>
      <c r="K10" s="7"/>
      <c r="L10" s="7" t="s">
        <v>264</v>
      </c>
      <c r="M10" s="7"/>
      <c r="N10" s="7" t="s">
        <v>568</v>
      </c>
    </row>
    <row r="11" spans="1:15" hidden="1"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hidden="1" x14ac:dyDescent="0.25">
      <c r="A14">
        <v>10</v>
      </c>
      <c r="B14">
        <v>2</v>
      </c>
      <c r="C14" t="s">
        <v>482</v>
      </c>
      <c r="D14" s="1" t="s">
        <v>249</v>
      </c>
      <c r="E14" t="s">
        <v>479</v>
      </c>
      <c r="F14" t="s">
        <v>449</v>
      </c>
      <c r="G14" t="s">
        <v>449</v>
      </c>
      <c r="H14" s="1" t="s">
        <v>258</v>
      </c>
      <c r="I14" t="s">
        <v>495</v>
      </c>
      <c r="J14" t="s">
        <v>454</v>
      </c>
      <c r="K14" t="s">
        <v>496</v>
      </c>
      <c r="L14" s="1" t="s">
        <v>263</v>
      </c>
      <c r="M14" s="1" t="s">
        <v>266</v>
      </c>
    </row>
    <row r="15" spans="1:15" hidden="1" x14ac:dyDescent="0.25">
      <c r="A15">
        <v>11</v>
      </c>
      <c r="B15">
        <v>2</v>
      </c>
      <c r="C15" t="s">
        <v>483</v>
      </c>
      <c r="D15" s="1" t="s">
        <v>255</v>
      </c>
      <c r="E15" t="s">
        <v>479</v>
      </c>
      <c r="F15" t="s">
        <v>449</v>
      </c>
      <c r="G15" t="s">
        <v>449</v>
      </c>
      <c r="H15" s="1" t="s">
        <v>258</v>
      </c>
      <c r="I15" t="s">
        <v>497</v>
      </c>
      <c r="J15" t="s">
        <v>454</v>
      </c>
      <c r="K15" t="s">
        <v>498</v>
      </c>
      <c r="L15" s="1" t="s">
        <v>263</v>
      </c>
      <c r="M15" s="1" t="s">
        <v>266</v>
      </c>
    </row>
    <row r="16" spans="1:15" hidden="1" x14ac:dyDescent="0.25">
      <c r="A16">
        <v>12</v>
      </c>
      <c r="B16">
        <v>2</v>
      </c>
      <c r="C16" t="s">
        <v>484</v>
      </c>
      <c r="D16" s="1" t="s">
        <v>251</v>
      </c>
      <c r="E16" t="s">
        <v>479</v>
      </c>
      <c r="F16">
        <v>2025</v>
      </c>
      <c r="G16" t="s">
        <v>449</v>
      </c>
      <c r="H16" s="1" t="s">
        <v>258</v>
      </c>
      <c r="I16" t="s">
        <v>499</v>
      </c>
      <c r="J16" t="s">
        <v>454</v>
      </c>
      <c r="K16" t="s">
        <v>500</v>
      </c>
      <c r="L16" s="1" t="s">
        <v>263</v>
      </c>
      <c r="M16" s="1" t="s">
        <v>266</v>
      </c>
    </row>
    <row r="17" spans="1:15" hidden="1" x14ac:dyDescent="0.25">
      <c r="A17">
        <v>13</v>
      </c>
      <c r="B17">
        <v>2</v>
      </c>
      <c r="C17" t="s">
        <v>485</v>
      </c>
      <c r="D17" s="1" t="s">
        <v>254</v>
      </c>
      <c r="E17" t="s">
        <v>479</v>
      </c>
      <c r="F17" t="s">
        <v>502</v>
      </c>
      <c r="G17" t="s">
        <v>449</v>
      </c>
      <c r="H17" s="1" t="s">
        <v>258</v>
      </c>
      <c r="I17" t="s">
        <v>501</v>
      </c>
      <c r="J17" t="s">
        <v>454</v>
      </c>
      <c r="K17" t="s">
        <v>503</v>
      </c>
      <c r="L17" s="1" t="s">
        <v>263</v>
      </c>
      <c r="M17" s="1" t="s">
        <v>270</v>
      </c>
    </row>
    <row r="18" spans="1:15" hidden="1" x14ac:dyDescent="0.25">
      <c r="A18">
        <v>14</v>
      </c>
      <c r="B18">
        <v>2</v>
      </c>
      <c r="C18" t="s">
        <v>486</v>
      </c>
      <c r="D18" s="1" t="s">
        <v>252</v>
      </c>
      <c r="E18" t="s">
        <v>479</v>
      </c>
      <c r="F18" t="s">
        <v>506</v>
      </c>
      <c r="G18" t="s">
        <v>449</v>
      </c>
      <c r="H18" s="1"/>
      <c r="I18" t="s">
        <v>504</v>
      </c>
      <c r="J18" t="s">
        <v>454</v>
      </c>
      <c r="K18" t="s">
        <v>505</v>
      </c>
      <c r="L18" s="1" t="s">
        <v>263</v>
      </c>
      <c r="M18" s="1" t="s">
        <v>266</v>
      </c>
    </row>
    <row r="19" spans="1:15" hidden="1"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hidden="1" x14ac:dyDescent="0.25">
      <c r="A20" s="7"/>
      <c r="B20" s="7">
        <v>2</v>
      </c>
      <c r="C20" s="7"/>
      <c r="D20" s="7" t="s">
        <v>246</v>
      </c>
      <c r="E20" s="7" t="s">
        <v>479</v>
      </c>
      <c r="F20" s="7"/>
      <c r="G20" s="7"/>
      <c r="H20" s="7"/>
      <c r="I20" s="7"/>
      <c r="J20" s="7"/>
      <c r="K20" s="7"/>
      <c r="L20" s="7" t="s">
        <v>264</v>
      </c>
      <c r="M20" s="7"/>
      <c r="N20" s="7" t="s">
        <v>569</v>
      </c>
    </row>
    <row r="21" spans="1:15" hidden="1"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1364</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1364</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hidden="1" x14ac:dyDescent="0.25">
      <c r="A25">
        <v>19</v>
      </c>
      <c r="B25">
        <v>3</v>
      </c>
      <c r="C25" t="s">
        <v>511</v>
      </c>
      <c r="D25" s="1" t="s">
        <v>255</v>
      </c>
      <c r="E25" t="s">
        <v>514</v>
      </c>
      <c r="F25" s="8">
        <v>43221</v>
      </c>
      <c r="G25" t="s">
        <v>523</v>
      </c>
      <c r="H25" s="1" t="s">
        <v>258</v>
      </c>
      <c r="I25" t="s">
        <v>522</v>
      </c>
      <c r="J25" t="s">
        <v>454</v>
      </c>
      <c r="K25" t="s">
        <v>524</v>
      </c>
      <c r="L25" s="1" t="s">
        <v>263</v>
      </c>
      <c r="M25" s="1" t="s">
        <v>267</v>
      </c>
    </row>
    <row r="26" spans="1:15" hidden="1"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hidden="1" x14ac:dyDescent="0.25">
      <c r="A28" s="7"/>
      <c r="B28" s="7">
        <v>3</v>
      </c>
      <c r="C28" s="7"/>
      <c r="D28" s="7" t="s">
        <v>246</v>
      </c>
      <c r="E28" s="7" t="s">
        <v>514</v>
      </c>
      <c r="F28" s="7"/>
      <c r="G28" s="7"/>
      <c r="H28" s="7"/>
      <c r="I28" s="7"/>
      <c r="J28" s="7"/>
      <c r="K28" s="7"/>
      <c r="L28" s="7" t="s">
        <v>264</v>
      </c>
      <c r="M28" s="7"/>
      <c r="N28" s="7" t="s">
        <v>570</v>
      </c>
    </row>
    <row r="29" spans="1:15" hidden="1"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1364</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1364</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hidden="1" x14ac:dyDescent="0.25">
      <c r="A33">
        <v>25</v>
      </c>
      <c r="B33">
        <v>4</v>
      </c>
      <c r="C33" t="s">
        <v>534</v>
      </c>
      <c r="D33" s="1" t="s">
        <v>255</v>
      </c>
      <c r="E33" t="s">
        <v>536</v>
      </c>
      <c r="F33" t="s">
        <v>449</v>
      </c>
      <c r="G33" t="s">
        <v>449</v>
      </c>
      <c r="H33" s="1" t="s">
        <v>258</v>
      </c>
      <c r="I33" t="s">
        <v>543</v>
      </c>
      <c r="J33" t="s">
        <v>454</v>
      </c>
      <c r="K33" t="s">
        <v>544</v>
      </c>
      <c r="L33" s="1" t="s">
        <v>263</v>
      </c>
      <c r="M33" s="1" t="s">
        <v>266</v>
      </c>
    </row>
    <row r="34" spans="1:15" hidden="1" x14ac:dyDescent="0.25">
      <c r="A34">
        <v>26</v>
      </c>
      <c r="B34">
        <v>4</v>
      </c>
      <c r="C34" t="s">
        <v>535</v>
      </c>
      <c r="D34" s="1" t="s">
        <v>249</v>
      </c>
      <c r="E34" t="s">
        <v>536</v>
      </c>
      <c r="F34" s="8">
        <v>45474</v>
      </c>
      <c r="G34" t="s">
        <v>449</v>
      </c>
      <c r="H34" s="1" t="s">
        <v>258</v>
      </c>
      <c r="I34" t="s">
        <v>545</v>
      </c>
      <c r="J34" t="s">
        <v>454</v>
      </c>
      <c r="K34" t="s">
        <v>546</v>
      </c>
      <c r="L34" s="1" t="s">
        <v>263</v>
      </c>
      <c r="M34" s="1" t="s">
        <v>266</v>
      </c>
    </row>
    <row r="35" spans="1:15" hidden="1" x14ac:dyDescent="0.25">
      <c r="A35" s="7"/>
      <c r="B35" s="7">
        <v>4</v>
      </c>
      <c r="C35" s="7"/>
      <c r="D35" s="7" t="s">
        <v>246</v>
      </c>
      <c r="E35" s="7" t="s">
        <v>536</v>
      </c>
      <c r="F35" s="7"/>
      <c r="G35" s="7"/>
      <c r="H35" s="7"/>
      <c r="I35" s="7"/>
      <c r="J35" s="7"/>
      <c r="K35" s="7"/>
      <c r="L35" s="7" t="s">
        <v>264</v>
      </c>
      <c r="M35" s="7"/>
      <c r="N35" s="7" t="s">
        <v>570</v>
      </c>
    </row>
    <row r="36" spans="1:15" hidden="1"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1364</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1364</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263</v>
      </c>
      <c r="M39" s="4" t="s">
        <v>266</v>
      </c>
      <c r="N39" s="4" t="s">
        <v>2983</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1620</v>
      </c>
      <c r="O42" t="s">
        <v>1364</v>
      </c>
    </row>
    <row r="43" spans="1:15" hidden="1"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1364</v>
      </c>
    </row>
    <row r="45" spans="1:15" hidden="1" x14ac:dyDescent="0.25"/>
    <row r="46" spans="1:15" x14ac:dyDescent="0.25">
      <c r="A46" s="4">
        <v>36</v>
      </c>
      <c r="B46" s="4">
        <v>6</v>
      </c>
      <c r="C46" s="4" t="s">
        <v>575</v>
      </c>
      <c r="D46" s="4" t="s">
        <v>255</v>
      </c>
      <c r="E46" s="4" t="s">
        <v>576</v>
      </c>
      <c r="F46" s="4" t="s">
        <v>583</v>
      </c>
      <c r="G46" s="4" t="s">
        <v>449</v>
      </c>
      <c r="H46" s="4" t="s">
        <v>258</v>
      </c>
      <c r="I46" s="4" t="s">
        <v>582</v>
      </c>
      <c r="J46" s="4" t="s">
        <v>454</v>
      </c>
      <c r="K46" s="4" t="s">
        <v>1362</v>
      </c>
      <c r="L46" s="4" t="s">
        <v>262</v>
      </c>
      <c r="M46" s="4"/>
      <c r="N46" s="4" t="s">
        <v>564</v>
      </c>
    </row>
    <row r="47" spans="1:15" hidden="1" x14ac:dyDescent="0.25">
      <c r="A47" s="7"/>
      <c r="B47" s="7">
        <v>6</v>
      </c>
      <c r="C47" s="7"/>
      <c r="D47" s="7" t="s">
        <v>246</v>
      </c>
      <c r="E47" s="7" t="s">
        <v>576</v>
      </c>
      <c r="F47" s="7"/>
      <c r="G47" s="7"/>
      <c r="H47" s="7"/>
      <c r="I47" s="7"/>
      <c r="J47" s="7"/>
      <c r="K47" s="7"/>
      <c r="L47" s="7" t="s">
        <v>264</v>
      </c>
      <c r="M47" s="7"/>
      <c r="N47" s="7" t="s">
        <v>568</v>
      </c>
    </row>
    <row r="48" spans="1:15" hidden="1" x14ac:dyDescent="0.25">
      <c r="A48" s="7"/>
      <c r="B48" s="7">
        <v>6</v>
      </c>
      <c r="C48" s="7"/>
      <c r="D48" s="7" t="s">
        <v>247</v>
      </c>
      <c r="E48" s="7" t="s">
        <v>576</v>
      </c>
      <c r="F48" s="7"/>
      <c r="G48" s="7"/>
      <c r="H48" s="7"/>
      <c r="I48" s="7"/>
      <c r="J48" s="7"/>
      <c r="K48" s="7"/>
      <c r="L48" s="7" t="s">
        <v>264</v>
      </c>
      <c r="M48" s="7"/>
      <c r="N48" s="7" t="s">
        <v>568</v>
      </c>
    </row>
    <row r="49" spans="1:15" hidden="1" x14ac:dyDescent="0.25">
      <c r="A49" s="7"/>
      <c r="B49" s="7">
        <v>6</v>
      </c>
      <c r="C49" s="7"/>
      <c r="D49" s="7" t="s">
        <v>248</v>
      </c>
      <c r="E49" s="7" t="s">
        <v>576</v>
      </c>
      <c r="F49" s="7"/>
      <c r="G49" s="7"/>
      <c r="H49" s="7"/>
      <c r="I49" s="7"/>
      <c r="J49" s="7"/>
      <c r="K49" s="7"/>
      <c r="L49" s="7" t="s">
        <v>264</v>
      </c>
      <c r="M49" s="7"/>
      <c r="N49" s="7" t="s">
        <v>568</v>
      </c>
    </row>
    <row r="50" spans="1:15" x14ac:dyDescent="0.25">
      <c r="A50" s="4">
        <v>37</v>
      </c>
      <c r="B50" s="4">
        <v>7</v>
      </c>
      <c r="C50" s="4" t="s">
        <v>586</v>
      </c>
      <c r="D50" s="4" t="s">
        <v>246</v>
      </c>
      <c r="E50" s="4" t="s">
        <v>591</v>
      </c>
      <c r="F50" s="4" t="s">
        <v>592</v>
      </c>
      <c r="G50" s="4" t="s">
        <v>449</v>
      </c>
      <c r="H50" s="4" t="s">
        <v>258</v>
      </c>
      <c r="I50" s="4" t="s">
        <v>593</v>
      </c>
      <c r="J50" s="4" t="s">
        <v>454</v>
      </c>
      <c r="K50" s="4" t="s">
        <v>594</v>
      </c>
      <c r="L50" s="4" t="s">
        <v>262</v>
      </c>
      <c r="M50" s="4"/>
      <c r="N50" s="4"/>
      <c r="O50" t="s">
        <v>1364</v>
      </c>
    </row>
    <row r="51" spans="1:15" x14ac:dyDescent="0.25">
      <c r="A51" s="4">
        <v>38</v>
      </c>
      <c r="B51" s="4">
        <v>7</v>
      </c>
      <c r="C51" s="4" t="s">
        <v>587</v>
      </c>
      <c r="D51" s="4" t="s">
        <v>248</v>
      </c>
      <c r="E51" s="4" t="s">
        <v>591</v>
      </c>
      <c r="F51" s="4" t="s">
        <v>596</v>
      </c>
      <c r="G51" s="4" t="s">
        <v>449</v>
      </c>
      <c r="H51" s="4" t="s">
        <v>258</v>
      </c>
      <c r="I51" s="4" t="s">
        <v>595</v>
      </c>
      <c r="J51" s="4" t="s">
        <v>454</v>
      </c>
      <c r="K51" s="4" t="s">
        <v>597</v>
      </c>
      <c r="L51" s="4" t="s">
        <v>262</v>
      </c>
      <c r="M51" s="4"/>
      <c r="N51" s="4"/>
      <c r="O51" t="s">
        <v>1364</v>
      </c>
    </row>
    <row r="52" spans="1:15" hidden="1" x14ac:dyDescent="0.25">
      <c r="A52">
        <v>39</v>
      </c>
      <c r="B52">
        <v>7</v>
      </c>
      <c r="C52" t="s">
        <v>588</v>
      </c>
      <c r="D52" s="1" t="s">
        <v>249</v>
      </c>
      <c r="E52" t="s">
        <v>591</v>
      </c>
      <c r="F52" t="s">
        <v>599</v>
      </c>
      <c r="G52" t="s">
        <v>449</v>
      </c>
      <c r="H52" s="1" t="s">
        <v>258</v>
      </c>
      <c r="I52" t="s">
        <v>598</v>
      </c>
      <c r="J52" t="s">
        <v>454</v>
      </c>
      <c r="K52" t="s">
        <v>600</v>
      </c>
      <c r="L52" s="1" t="s">
        <v>263</v>
      </c>
      <c r="M52" s="1" t="s">
        <v>266</v>
      </c>
    </row>
    <row r="53" spans="1:15" hidden="1" x14ac:dyDescent="0.25">
      <c r="A53">
        <v>40</v>
      </c>
      <c r="B53">
        <v>7</v>
      </c>
      <c r="C53" t="s">
        <v>590</v>
      </c>
      <c r="D53" s="1" t="s">
        <v>249</v>
      </c>
      <c r="E53" t="s">
        <v>591</v>
      </c>
      <c r="F53" t="s">
        <v>599</v>
      </c>
      <c r="G53" t="s">
        <v>449</v>
      </c>
      <c r="H53" s="1" t="s">
        <v>258</v>
      </c>
      <c r="I53" t="s">
        <v>601</v>
      </c>
      <c r="J53" t="s">
        <v>454</v>
      </c>
      <c r="K53" t="s">
        <v>602</v>
      </c>
      <c r="L53" s="1" t="s">
        <v>263</v>
      </c>
      <c r="M53" s="1" t="s">
        <v>266</v>
      </c>
    </row>
    <row r="54" spans="1:15" hidden="1" x14ac:dyDescent="0.25">
      <c r="A54">
        <v>41</v>
      </c>
      <c r="B54">
        <v>7</v>
      </c>
      <c r="C54" t="s">
        <v>589</v>
      </c>
      <c r="D54" s="1" t="s">
        <v>250</v>
      </c>
      <c r="E54" t="s">
        <v>591</v>
      </c>
      <c r="F54" t="s">
        <v>449</v>
      </c>
      <c r="G54" t="s">
        <v>449</v>
      </c>
      <c r="H54" s="1" t="s">
        <v>258</v>
      </c>
      <c r="I54" t="s">
        <v>603</v>
      </c>
      <c r="J54" t="s">
        <v>454</v>
      </c>
      <c r="K54" t="s">
        <v>604</v>
      </c>
      <c r="L54" s="1" t="s">
        <v>263</v>
      </c>
      <c r="M54" s="1" t="s">
        <v>266</v>
      </c>
    </row>
    <row r="55" spans="1:15" hidden="1" x14ac:dyDescent="0.25">
      <c r="A55" s="7"/>
      <c r="B55" s="7">
        <v>7</v>
      </c>
      <c r="C55" s="7"/>
      <c r="D55" s="7" t="s">
        <v>247</v>
      </c>
      <c r="E55" s="7" t="s">
        <v>591</v>
      </c>
      <c r="F55" s="7"/>
      <c r="G55" s="7"/>
      <c r="H55" s="7"/>
      <c r="I55" s="7"/>
      <c r="J55" s="7"/>
      <c r="K55" s="7"/>
      <c r="L55" s="7" t="s">
        <v>264</v>
      </c>
      <c r="M55" s="7"/>
      <c r="N55" s="7" t="s">
        <v>605</v>
      </c>
    </row>
    <row r="56" spans="1:15" hidden="1" x14ac:dyDescent="0.25">
      <c r="A56">
        <v>42</v>
      </c>
      <c r="B56">
        <v>8</v>
      </c>
      <c r="C56" t="s">
        <v>609</v>
      </c>
      <c r="D56" s="1" t="s">
        <v>249</v>
      </c>
      <c r="E56" t="s">
        <v>607</v>
      </c>
      <c r="F56">
        <v>2024</v>
      </c>
      <c r="G56" t="s">
        <v>449</v>
      </c>
      <c r="H56" s="1" t="s">
        <v>258</v>
      </c>
      <c r="I56" t="s">
        <v>613</v>
      </c>
      <c r="J56" t="s">
        <v>608</v>
      </c>
      <c r="K56" t="s">
        <v>614</v>
      </c>
      <c r="L56" s="1" t="s">
        <v>263</v>
      </c>
      <c r="M56" s="1" t="s">
        <v>266</v>
      </c>
      <c r="N56" t="s">
        <v>622</v>
      </c>
    </row>
    <row r="57" spans="1:15" hidden="1" x14ac:dyDescent="0.25">
      <c r="A57">
        <v>43</v>
      </c>
      <c r="B57">
        <v>8</v>
      </c>
      <c r="C57" t="s">
        <v>610</v>
      </c>
      <c r="D57" s="1" t="s">
        <v>249</v>
      </c>
      <c r="E57" t="s">
        <v>607</v>
      </c>
      <c r="F57">
        <v>2023</v>
      </c>
      <c r="G57" t="s">
        <v>449</v>
      </c>
      <c r="H57" s="1" t="s">
        <v>258</v>
      </c>
      <c r="I57" t="s">
        <v>615</v>
      </c>
      <c r="J57" t="s">
        <v>608</v>
      </c>
      <c r="K57" t="s">
        <v>617</v>
      </c>
      <c r="L57" s="1" t="s">
        <v>263</v>
      </c>
      <c r="M57" s="1" t="s">
        <v>266</v>
      </c>
      <c r="N57" t="s">
        <v>623</v>
      </c>
    </row>
    <row r="58" spans="1:15" hidden="1" x14ac:dyDescent="0.25">
      <c r="A58">
        <v>44</v>
      </c>
      <c r="B58">
        <v>8</v>
      </c>
      <c r="C58" t="s">
        <v>611</v>
      </c>
      <c r="D58" s="1" t="s">
        <v>251</v>
      </c>
      <c r="E58" t="s">
        <v>607</v>
      </c>
      <c r="F58" t="s">
        <v>449</v>
      </c>
      <c r="G58" t="s">
        <v>449</v>
      </c>
      <c r="H58" s="1" t="s">
        <v>258</v>
      </c>
      <c r="I58" t="s">
        <v>616</v>
      </c>
      <c r="J58" t="s">
        <v>608</v>
      </c>
      <c r="K58" t="s">
        <v>618</v>
      </c>
      <c r="L58" s="1" t="s">
        <v>263</v>
      </c>
      <c r="M58" s="1" t="s">
        <v>266</v>
      </c>
      <c r="N58" t="s">
        <v>624</v>
      </c>
    </row>
    <row r="59" spans="1:15" hidden="1" x14ac:dyDescent="0.25">
      <c r="A59">
        <v>45</v>
      </c>
      <c r="B59">
        <v>8</v>
      </c>
      <c r="C59" t="s">
        <v>612</v>
      </c>
      <c r="D59" s="1" t="s">
        <v>254</v>
      </c>
      <c r="E59" t="s">
        <v>607</v>
      </c>
      <c r="F59" t="s">
        <v>620</v>
      </c>
      <c r="G59" t="s">
        <v>449</v>
      </c>
      <c r="H59" s="1" t="s">
        <v>258</v>
      </c>
      <c r="I59" t="s">
        <v>619</v>
      </c>
      <c r="J59" t="s">
        <v>608</v>
      </c>
      <c r="K59" t="s">
        <v>621</v>
      </c>
      <c r="L59" s="1" t="s">
        <v>263</v>
      </c>
      <c r="M59" s="1" t="s">
        <v>270</v>
      </c>
    </row>
    <row r="60" spans="1:15" hidden="1" x14ac:dyDescent="0.25">
      <c r="A60" s="7"/>
      <c r="B60" s="7">
        <v>8</v>
      </c>
      <c r="C60" s="7"/>
      <c r="D60" s="7" t="s">
        <v>246</v>
      </c>
      <c r="E60" s="7" t="s">
        <v>607</v>
      </c>
      <c r="F60" s="7"/>
      <c r="G60" s="7"/>
      <c r="H60" s="7"/>
      <c r="I60" s="7"/>
      <c r="J60" s="7"/>
      <c r="K60" s="7"/>
      <c r="L60" s="7" t="s">
        <v>264</v>
      </c>
      <c r="M60" s="7"/>
      <c r="N60" s="7" t="s">
        <v>625</v>
      </c>
    </row>
    <row r="61" spans="1:15" hidden="1" x14ac:dyDescent="0.25">
      <c r="A61" s="7"/>
      <c r="B61" s="7">
        <v>8</v>
      </c>
      <c r="C61" s="7"/>
      <c r="D61" s="7" t="s">
        <v>247</v>
      </c>
      <c r="E61" s="7" t="s">
        <v>607</v>
      </c>
      <c r="F61" s="7"/>
      <c r="G61" s="7"/>
      <c r="H61" s="7"/>
      <c r="I61" s="7"/>
      <c r="J61" s="7"/>
      <c r="K61" s="7"/>
      <c r="L61" s="7" t="s">
        <v>264</v>
      </c>
      <c r="M61" s="7"/>
      <c r="N61" s="7" t="s">
        <v>625</v>
      </c>
    </row>
    <row r="62" spans="1:15" hidden="1" x14ac:dyDescent="0.25">
      <c r="A62" s="7"/>
      <c r="B62" s="7">
        <v>8</v>
      </c>
      <c r="C62" s="7"/>
      <c r="D62" s="7" t="s">
        <v>248</v>
      </c>
      <c r="E62" s="7" t="s">
        <v>607</v>
      </c>
      <c r="F62" s="7"/>
      <c r="G62" s="7"/>
      <c r="H62" s="7"/>
      <c r="I62" s="7"/>
      <c r="J62" s="7"/>
      <c r="K62" s="7"/>
      <c r="L62" s="7" t="s">
        <v>264</v>
      </c>
      <c r="M62" s="7"/>
      <c r="N62" s="7" t="s">
        <v>625</v>
      </c>
    </row>
    <row r="63" spans="1:15" x14ac:dyDescent="0.25">
      <c r="A63" s="4">
        <v>46</v>
      </c>
      <c r="B63" s="4">
        <v>9</v>
      </c>
      <c r="C63" s="4" t="s">
        <v>627</v>
      </c>
      <c r="D63" s="4" t="s">
        <v>246</v>
      </c>
      <c r="E63" s="4" t="s">
        <v>632</v>
      </c>
      <c r="F63" s="4" t="s">
        <v>633</v>
      </c>
      <c r="G63" s="4" t="s">
        <v>472</v>
      </c>
      <c r="H63" s="4" t="s">
        <v>259</v>
      </c>
      <c r="I63" s="4" t="s">
        <v>635</v>
      </c>
      <c r="J63" s="4" t="s">
        <v>608</v>
      </c>
      <c r="K63" s="4" t="s">
        <v>634</v>
      </c>
      <c r="L63" s="4" t="s">
        <v>262</v>
      </c>
      <c r="M63" s="4"/>
      <c r="N63" s="4" t="s">
        <v>647</v>
      </c>
    </row>
    <row r="64" spans="1:15" hidden="1" x14ac:dyDescent="0.25">
      <c r="A64">
        <v>47</v>
      </c>
      <c r="B64">
        <v>9</v>
      </c>
      <c r="C64" t="s">
        <v>628</v>
      </c>
      <c r="D64" s="1" t="s">
        <v>254</v>
      </c>
      <c r="E64" t="s">
        <v>632</v>
      </c>
      <c r="F64" t="s">
        <v>636</v>
      </c>
      <c r="G64" t="s">
        <v>449</v>
      </c>
      <c r="H64" s="1" t="s">
        <v>259</v>
      </c>
      <c r="I64" t="s">
        <v>637</v>
      </c>
      <c r="J64" t="s">
        <v>608</v>
      </c>
      <c r="K64" t="s">
        <v>638</v>
      </c>
      <c r="L64" s="1" t="s">
        <v>263</v>
      </c>
      <c r="M64" s="1" t="s">
        <v>270</v>
      </c>
    </row>
    <row r="65" spans="1:14" x14ac:dyDescent="0.25">
      <c r="A65" s="4">
        <v>48</v>
      </c>
      <c r="B65" s="4">
        <v>9</v>
      </c>
      <c r="C65" s="4" t="s">
        <v>629</v>
      </c>
      <c r="D65" s="4" t="s">
        <v>247</v>
      </c>
      <c r="E65" s="4" t="s">
        <v>632</v>
      </c>
      <c r="F65" s="4" t="s">
        <v>639</v>
      </c>
      <c r="G65" s="4" t="s">
        <v>472</v>
      </c>
      <c r="H65" s="4" t="s">
        <v>259</v>
      </c>
      <c r="I65" s="4" t="s">
        <v>640</v>
      </c>
      <c r="J65" s="4" t="s">
        <v>608</v>
      </c>
      <c r="K65" s="4" t="s">
        <v>641</v>
      </c>
      <c r="L65" s="4" t="s">
        <v>262</v>
      </c>
      <c r="M65" s="4"/>
      <c r="N65" s="4"/>
    </row>
    <row r="66" spans="1:14" hidden="1" x14ac:dyDescent="0.25">
      <c r="A66">
        <v>49</v>
      </c>
      <c r="B66">
        <v>9</v>
      </c>
      <c r="C66" t="s">
        <v>630</v>
      </c>
      <c r="D66" s="1" t="s">
        <v>249</v>
      </c>
      <c r="E66" t="s">
        <v>632</v>
      </c>
      <c r="F66">
        <v>2024</v>
      </c>
      <c r="G66" t="s">
        <v>643</v>
      </c>
      <c r="H66" s="1" t="s">
        <v>259</v>
      </c>
      <c r="I66" t="s">
        <v>642</v>
      </c>
      <c r="J66" t="s">
        <v>608</v>
      </c>
      <c r="K66" t="s">
        <v>644</v>
      </c>
      <c r="L66" s="1" t="s">
        <v>263</v>
      </c>
      <c r="M66" s="1" t="s">
        <v>266</v>
      </c>
    </row>
    <row r="67" spans="1:14" hidden="1" x14ac:dyDescent="0.25">
      <c r="A67">
        <v>50</v>
      </c>
      <c r="B67">
        <v>9</v>
      </c>
      <c r="C67" t="s">
        <v>631</v>
      </c>
      <c r="D67" s="1" t="s">
        <v>250</v>
      </c>
      <c r="E67" t="s">
        <v>632</v>
      </c>
      <c r="F67" t="s">
        <v>449</v>
      </c>
      <c r="G67" t="s">
        <v>449</v>
      </c>
      <c r="H67" s="1" t="s">
        <v>258</v>
      </c>
      <c r="I67" t="s">
        <v>645</v>
      </c>
      <c r="J67" t="s">
        <v>608</v>
      </c>
      <c r="K67" t="s">
        <v>646</v>
      </c>
      <c r="L67" s="1" t="s">
        <v>263</v>
      </c>
      <c r="M67" s="1" t="s">
        <v>266</v>
      </c>
    </row>
    <row r="68" spans="1:14" hidden="1" x14ac:dyDescent="0.25">
      <c r="A68">
        <v>51</v>
      </c>
      <c r="B68">
        <v>10</v>
      </c>
      <c r="C68" t="s">
        <v>648</v>
      </c>
      <c r="D68" s="1" t="s">
        <v>254</v>
      </c>
      <c r="E68" t="s">
        <v>649</v>
      </c>
      <c r="F68" t="s">
        <v>654</v>
      </c>
      <c r="G68" t="s">
        <v>449</v>
      </c>
      <c r="H68" s="1" t="s">
        <v>258</v>
      </c>
      <c r="I68" t="s">
        <v>658</v>
      </c>
      <c r="J68" t="s">
        <v>608</v>
      </c>
      <c r="K68" t="s">
        <v>659</v>
      </c>
      <c r="L68" s="1" t="s">
        <v>263</v>
      </c>
      <c r="M68" s="1" t="s">
        <v>270</v>
      </c>
    </row>
    <row r="69" spans="1:14" x14ac:dyDescent="0.25">
      <c r="A69" s="4">
        <v>52</v>
      </c>
      <c r="B69" s="4">
        <v>10</v>
      </c>
      <c r="C69" s="4" t="s">
        <v>650</v>
      </c>
      <c r="D69" s="4" t="s">
        <v>249</v>
      </c>
      <c r="E69" s="4" t="s">
        <v>649</v>
      </c>
      <c r="F69" s="9">
        <v>46023</v>
      </c>
      <c r="G69" s="9" t="s">
        <v>655</v>
      </c>
      <c r="H69" s="4" t="s">
        <v>258</v>
      </c>
      <c r="I69" s="4" t="s">
        <v>660</v>
      </c>
      <c r="J69" s="4" t="s">
        <v>608</v>
      </c>
      <c r="K69" s="4" t="s">
        <v>661</v>
      </c>
      <c r="L69" s="4" t="s">
        <v>262</v>
      </c>
      <c r="M69" s="4"/>
      <c r="N69" s="4"/>
    </row>
    <row r="70" spans="1:14" x14ac:dyDescent="0.25">
      <c r="A70" s="4">
        <v>53</v>
      </c>
      <c r="B70" s="4">
        <v>10</v>
      </c>
      <c r="C70" s="4" t="s">
        <v>651</v>
      </c>
      <c r="D70" s="4" t="s">
        <v>249</v>
      </c>
      <c r="E70" s="4" t="s">
        <v>649</v>
      </c>
      <c r="F70" s="4" t="s">
        <v>449</v>
      </c>
      <c r="G70" s="4" t="s">
        <v>656</v>
      </c>
      <c r="H70" s="4" t="s">
        <v>258</v>
      </c>
      <c r="I70" s="4" t="s">
        <v>662</v>
      </c>
      <c r="J70" s="4" t="s">
        <v>608</v>
      </c>
      <c r="K70" s="4" t="s">
        <v>663</v>
      </c>
      <c r="L70" s="4" t="s">
        <v>262</v>
      </c>
      <c r="M70" s="4"/>
      <c r="N70" s="4" t="s">
        <v>664</v>
      </c>
    </row>
    <row r="71" spans="1:14" hidden="1" x14ac:dyDescent="0.25">
      <c r="A71">
        <v>54</v>
      </c>
      <c r="B71">
        <v>10</v>
      </c>
      <c r="C71" t="s">
        <v>653</v>
      </c>
      <c r="D71" s="1" t="s">
        <v>254</v>
      </c>
      <c r="E71" t="s">
        <v>649</v>
      </c>
      <c r="F71" t="s">
        <v>666</v>
      </c>
      <c r="G71" t="s">
        <v>449</v>
      </c>
      <c r="H71" s="1" t="s">
        <v>258</v>
      </c>
      <c r="I71" t="s">
        <v>665</v>
      </c>
      <c r="J71" t="s">
        <v>608</v>
      </c>
      <c r="K71" t="s">
        <v>667</v>
      </c>
      <c r="L71" s="1" t="s">
        <v>263</v>
      </c>
      <c r="M71" s="1" t="s">
        <v>270</v>
      </c>
    </row>
    <row r="72" spans="1:14" hidden="1" x14ac:dyDescent="0.25">
      <c r="A72">
        <v>55</v>
      </c>
      <c r="B72">
        <v>10</v>
      </c>
      <c r="C72" t="s">
        <v>652</v>
      </c>
      <c r="D72" s="1" t="s">
        <v>251</v>
      </c>
      <c r="E72" t="s">
        <v>649</v>
      </c>
      <c r="F72">
        <v>2022</v>
      </c>
      <c r="G72" t="s">
        <v>449</v>
      </c>
      <c r="H72" s="1" t="s">
        <v>258</v>
      </c>
      <c r="I72" t="s">
        <v>668</v>
      </c>
      <c r="J72" t="s">
        <v>608</v>
      </c>
      <c r="K72" t="s">
        <v>669</v>
      </c>
      <c r="L72" s="1" t="s">
        <v>263</v>
      </c>
      <c r="M72" s="1" t="s">
        <v>267</v>
      </c>
      <c r="N72" t="s">
        <v>670</v>
      </c>
    </row>
    <row r="73" spans="1:14" hidden="1" x14ac:dyDescent="0.25">
      <c r="A73" s="7"/>
      <c r="B73" s="7">
        <v>10</v>
      </c>
      <c r="C73" s="7"/>
      <c r="D73" s="7" t="s">
        <v>246</v>
      </c>
      <c r="E73" s="7" t="s">
        <v>649</v>
      </c>
      <c r="F73" s="7"/>
      <c r="G73" s="7"/>
      <c r="H73" s="7"/>
      <c r="I73" s="7"/>
      <c r="J73" s="7"/>
      <c r="K73" s="7"/>
      <c r="L73" s="7" t="s">
        <v>264</v>
      </c>
      <c r="M73" s="7"/>
      <c r="N73" s="7" t="s">
        <v>625</v>
      </c>
    </row>
    <row r="74" spans="1:14" hidden="1" x14ac:dyDescent="0.25">
      <c r="A74" s="7"/>
      <c r="B74" s="7">
        <v>10</v>
      </c>
      <c r="C74" s="7"/>
      <c r="D74" s="7" t="s">
        <v>247</v>
      </c>
      <c r="E74" s="7" t="s">
        <v>649</v>
      </c>
      <c r="F74" s="7"/>
      <c r="G74" s="7"/>
      <c r="H74" s="7"/>
      <c r="I74" s="7"/>
      <c r="J74" s="7"/>
      <c r="K74" s="7"/>
      <c r="L74" s="7" t="s">
        <v>264</v>
      </c>
      <c r="M74" s="7"/>
      <c r="N74" s="7" t="s">
        <v>625</v>
      </c>
    </row>
    <row r="75" spans="1:14" hidden="1" x14ac:dyDescent="0.25">
      <c r="A75" s="7"/>
      <c r="B75" s="7">
        <v>10</v>
      </c>
      <c r="C75" s="7"/>
      <c r="D75" s="7" t="s">
        <v>248</v>
      </c>
      <c r="E75" s="7" t="s">
        <v>649</v>
      </c>
      <c r="F75" s="7"/>
      <c r="G75" s="7"/>
      <c r="H75" s="7"/>
      <c r="I75" s="7"/>
      <c r="J75" s="7"/>
      <c r="K75" s="7"/>
      <c r="L75" s="7" t="s">
        <v>264</v>
      </c>
      <c r="M75" s="7"/>
      <c r="N75" s="7" t="s">
        <v>625</v>
      </c>
    </row>
    <row r="76" spans="1:14" x14ac:dyDescent="0.25">
      <c r="A76" s="4">
        <v>56</v>
      </c>
      <c r="B76" s="4">
        <v>11</v>
      </c>
      <c r="C76" s="4" t="s">
        <v>673</v>
      </c>
      <c r="D76" s="4" t="s">
        <v>249</v>
      </c>
      <c r="E76" s="4" t="s">
        <v>679</v>
      </c>
      <c r="F76" s="4" t="s">
        <v>449</v>
      </c>
      <c r="G76" s="4" t="s">
        <v>449</v>
      </c>
      <c r="H76" s="4" t="s">
        <v>258</v>
      </c>
      <c r="I76" s="4" t="s">
        <v>680</v>
      </c>
      <c r="J76" s="4" t="s">
        <v>608</v>
      </c>
      <c r="K76" s="4" t="s">
        <v>685</v>
      </c>
      <c r="L76" s="4" t="s">
        <v>262</v>
      </c>
      <c r="M76" s="4"/>
      <c r="N76" s="4" t="s">
        <v>693</v>
      </c>
    </row>
    <row r="77" spans="1:14" x14ac:dyDescent="0.25">
      <c r="A77" s="4">
        <v>57</v>
      </c>
      <c r="B77" s="4">
        <v>11</v>
      </c>
      <c r="C77" s="4" t="s">
        <v>674</v>
      </c>
      <c r="D77" s="4" t="s">
        <v>246</v>
      </c>
      <c r="E77" s="4" t="s">
        <v>679</v>
      </c>
      <c r="F77" s="4" t="s">
        <v>686</v>
      </c>
      <c r="G77" s="4" t="s">
        <v>449</v>
      </c>
      <c r="H77" s="4" t="s">
        <v>258</v>
      </c>
      <c r="I77" s="4" t="s">
        <v>681</v>
      </c>
      <c r="J77" s="4" t="s">
        <v>608</v>
      </c>
      <c r="K77" s="4" t="s">
        <v>687</v>
      </c>
      <c r="L77" s="4" t="s">
        <v>262</v>
      </c>
      <c r="M77" s="4"/>
      <c r="N77" s="4" t="s">
        <v>694</v>
      </c>
    </row>
    <row r="78" spans="1:14" hidden="1" x14ac:dyDescent="0.25">
      <c r="A78">
        <v>58</v>
      </c>
      <c r="B78">
        <v>11</v>
      </c>
      <c r="C78" t="s">
        <v>675</v>
      </c>
      <c r="D78" s="1" t="s">
        <v>255</v>
      </c>
      <c r="E78" t="s">
        <v>679</v>
      </c>
      <c r="F78" s="8">
        <v>44866</v>
      </c>
      <c r="G78" t="s">
        <v>449</v>
      </c>
      <c r="H78" s="1" t="s">
        <v>258</v>
      </c>
      <c r="I78" t="s">
        <v>682</v>
      </c>
      <c r="J78" t="s">
        <v>608</v>
      </c>
      <c r="K78" t="s">
        <v>688</v>
      </c>
      <c r="L78" s="1" t="s">
        <v>263</v>
      </c>
      <c r="M78" s="1" t="s">
        <v>267</v>
      </c>
    </row>
    <row r="79" spans="1:14" hidden="1" x14ac:dyDescent="0.25">
      <c r="A79">
        <v>59</v>
      </c>
      <c r="B79">
        <v>11</v>
      </c>
      <c r="C79" t="s">
        <v>676</v>
      </c>
      <c r="D79" s="1" t="s">
        <v>249</v>
      </c>
      <c r="E79" t="s">
        <v>679</v>
      </c>
      <c r="F79" t="s">
        <v>449</v>
      </c>
      <c r="G79" t="s">
        <v>449</v>
      </c>
      <c r="H79" s="1" t="s">
        <v>258</v>
      </c>
      <c r="I79" t="s">
        <v>683</v>
      </c>
      <c r="J79" t="s">
        <v>608</v>
      </c>
      <c r="K79" t="s">
        <v>689</v>
      </c>
      <c r="L79" s="1" t="s">
        <v>263</v>
      </c>
      <c r="M79" s="1" t="s">
        <v>266</v>
      </c>
    </row>
    <row r="80" spans="1:14" hidden="1" x14ac:dyDescent="0.25">
      <c r="A80">
        <v>60</v>
      </c>
      <c r="B80">
        <v>11</v>
      </c>
      <c r="C80" t="s">
        <v>677</v>
      </c>
      <c r="D80" s="1" t="s">
        <v>255</v>
      </c>
      <c r="E80" t="s">
        <v>679</v>
      </c>
      <c r="F80" t="s">
        <v>449</v>
      </c>
      <c r="G80" t="s">
        <v>449</v>
      </c>
      <c r="H80" s="1" t="s">
        <v>258</v>
      </c>
      <c r="I80" t="s">
        <v>684</v>
      </c>
      <c r="J80" t="s">
        <v>608</v>
      </c>
      <c r="K80" t="s">
        <v>690</v>
      </c>
      <c r="L80" s="1" t="s">
        <v>263</v>
      </c>
      <c r="M80" s="1" t="s">
        <v>266</v>
      </c>
    </row>
    <row r="81" spans="1:15" hidden="1" x14ac:dyDescent="0.25">
      <c r="A81">
        <v>61</v>
      </c>
      <c r="B81">
        <v>11</v>
      </c>
      <c r="C81" t="s">
        <v>678</v>
      </c>
      <c r="D81" s="1" t="s">
        <v>250</v>
      </c>
      <c r="E81" t="s">
        <v>679</v>
      </c>
      <c r="F81" t="s">
        <v>449</v>
      </c>
      <c r="G81">
        <v>2024</v>
      </c>
      <c r="H81" s="1" t="s">
        <v>258</v>
      </c>
      <c r="I81" t="s">
        <v>691</v>
      </c>
      <c r="J81" t="s">
        <v>608</v>
      </c>
      <c r="K81" t="s">
        <v>692</v>
      </c>
      <c r="L81" s="1" t="s">
        <v>263</v>
      </c>
      <c r="M81" s="1" t="s">
        <v>266</v>
      </c>
    </row>
    <row r="82" spans="1:15" hidden="1" x14ac:dyDescent="0.25">
      <c r="A82" s="7"/>
      <c r="B82" s="7">
        <v>11</v>
      </c>
      <c r="C82" s="7"/>
      <c r="D82" s="7" t="s">
        <v>247</v>
      </c>
      <c r="E82" s="7" t="s">
        <v>679</v>
      </c>
      <c r="F82" s="7"/>
      <c r="G82" s="7"/>
      <c r="H82" s="7"/>
      <c r="I82" s="7"/>
      <c r="J82" s="7"/>
      <c r="K82" s="7"/>
      <c r="L82" s="7" t="s">
        <v>264</v>
      </c>
      <c r="M82" s="7"/>
      <c r="N82" s="7" t="s">
        <v>695</v>
      </c>
    </row>
    <row r="83" spans="1:15" hidden="1" x14ac:dyDescent="0.25">
      <c r="A83" s="7"/>
      <c r="B83" s="7">
        <v>11</v>
      </c>
      <c r="C83" s="7"/>
      <c r="D83" s="7" t="s">
        <v>248</v>
      </c>
      <c r="E83" s="7" t="s">
        <v>679</v>
      </c>
      <c r="F83" s="7"/>
      <c r="G83" s="7"/>
      <c r="H83" s="7"/>
      <c r="I83" s="7"/>
      <c r="J83" s="7"/>
      <c r="K83" s="7"/>
      <c r="L83" s="7" t="s">
        <v>264</v>
      </c>
      <c r="M83" s="7"/>
      <c r="N83" s="7" t="s">
        <v>695</v>
      </c>
    </row>
    <row r="84" spans="1:15" x14ac:dyDescent="0.25">
      <c r="A84" s="4">
        <v>62</v>
      </c>
      <c r="B84" s="4">
        <v>12</v>
      </c>
      <c r="C84" s="4" t="s">
        <v>696</v>
      </c>
      <c r="D84" s="4" t="s">
        <v>249</v>
      </c>
      <c r="E84" s="4" t="s">
        <v>697</v>
      </c>
      <c r="F84" s="9">
        <v>45778</v>
      </c>
      <c r="G84" s="4" t="s">
        <v>449</v>
      </c>
      <c r="H84" s="4" t="s">
        <v>258</v>
      </c>
      <c r="I84" s="4" t="s">
        <v>707</v>
      </c>
      <c r="J84" s="4" t="s">
        <v>608</v>
      </c>
      <c r="K84" s="4" t="s">
        <v>716</v>
      </c>
      <c r="L84" s="4" t="s">
        <v>262</v>
      </c>
      <c r="M84" s="4"/>
      <c r="N84" s="4" t="s">
        <v>717</v>
      </c>
      <c r="O84" t="s">
        <v>1364</v>
      </c>
    </row>
    <row r="85" spans="1:15" hidden="1" x14ac:dyDescent="0.25">
      <c r="A85">
        <v>63</v>
      </c>
      <c r="B85">
        <v>12</v>
      </c>
      <c r="C85" t="s">
        <v>698</v>
      </c>
      <c r="D85" s="1" t="s">
        <v>249</v>
      </c>
      <c r="E85" t="s">
        <v>697</v>
      </c>
      <c r="F85" t="s">
        <v>449</v>
      </c>
      <c r="G85" t="s">
        <v>449</v>
      </c>
      <c r="H85" s="1" t="s">
        <v>258</v>
      </c>
      <c r="I85" t="s">
        <v>709</v>
      </c>
      <c r="J85" t="s">
        <v>608</v>
      </c>
      <c r="K85" t="s">
        <v>718</v>
      </c>
      <c r="L85" s="1" t="s">
        <v>263</v>
      </c>
      <c r="M85" s="1" t="s">
        <v>266</v>
      </c>
    </row>
    <row r="86" spans="1:15" x14ac:dyDescent="0.25">
      <c r="A86" s="4">
        <v>64</v>
      </c>
      <c r="B86" s="4">
        <v>12</v>
      </c>
      <c r="C86" s="4" t="s">
        <v>699</v>
      </c>
      <c r="D86" s="4" t="s">
        <v>250</v>
      </c>
      <c r="E86" s="4" t="s">
        <v>697</v>
      </c>
      <c r="F86" s="4">
        <v>2023</v>
      </c>
      <c r="G86" s="4" t="s">
        <v>449</v>
      </c>
      <c r="H86" s="4" t="s">
        <v>258</v>
      </c>
      <c r="I86" s="4" t="s">
        <v>708</v>
      </c>
      <c r="J86" s="4" t="s">
        <v>608</v>
      </c>
      <c r="K86" s="4" t="s">
        <v>719</v>
      </c>
      <c r="L86" s="4" t="s">
        <v>262</v>
      </c>
      <c r="M86" s="4"/>
      <c r="N86" s="4" t="s">
        <v>720</v>
      </c>
    </row>
    <row r="87" spans="1:15" hidden="1" x14ac:dyDescent="0.25">
      <c r="A87">
        <v>65</v>
      </c>
      <c r="B87">
        <v>12</v>
      </c>
      <c r="C87" t="s">
        <v>700</v>
      </c>
      <c r="D87" s="1" t="s">
        <v>250</v>
      </c>
      <c r="E87" t="s">
        <v>697</v>
      </c>
      <c r="F87" t="s">
        <v>449</v>
      </c>
      <c r="G87" t="s">
        <v>449</v>
      </c>
      <c r="H87" s="1" t="s">
        <v>258</v>
      </c>
      <c r="I87" t="s">
        <v>711</v>
      </c>
      <c r="J87" t="s">
        <v>608</v>
      </c>
      <c r="K87" t="s">
        <v>721</v>
      </c>
      <c r="L87" s="1" t="s">
        <v>263</v>
      </c>
      <c r="M87" s="1" t="s">
        <v>266</v>
      </c>
    </row>
    <row r="88" spans="1:15" hidden="1" x14ac:dyDescent="0.25">
      <c r="A88">
        <v>66</v>
      </c>
      <c r="B88">
        <v>12</v>
      </c>
      <c r="C88" t="s">
        <v>701</v>
      </c>
      <c r="D88" s="1" t="s">
        <v>253</v>
      </c>
      <c r="E88" t="s">
        <v>697</v>
      </c>
      <c r="F88" t="s">
        <v>449</v>
      </c>
      <c r="G88" t="s">
        <v>449</v>
      </c>
      <c r="H88" s="1" t="s">
        <v>258</v>
      </c>
      <c r="I88" t="s">
        <v>710</v>
      </c>
      <c r="J88" t="s">
        <v>608</v>
      </c>
      <c r="K88" t="s">
        <v>722</v>
      </c>
      <c r="L88" s="1" t="s">
        <v>263</v>
      </c>
      <c r="M88" s="1" t="s">
        <v>269</v>
      </c>
      <c r="N88" t="s">
        <v>723</v>
      </c>
    </row>
    <row r="89" spans="1:15" hidden="1" x14ac:dyDescent="0.25">
      <c r="A89">
        <v>67</v>
      </c>
      <c r="B89">
        <v>12</v>
      </c>
      <c r="C89" t="s">
        <v>702</v>
      </c>
      <c r="D89" s="1" t="s">
        <v>253</v>
      </c>
      <c r="E89" t="s">
        <v>697</v>
      </c>
      <c r="F89" t="s">
        <v>449</v>
      </c>
      <c r="G89" t="s">
        <v>449</v>
      </c>
      <c r="H89" s="1" t="s">
        <v>258</v>
      </c>
      <c r="I89" t="s">
        <v>712</v>
      </c>
      <c r="J89" t="s">
        <v>608</v>
      </c>
      <c r="K89" t="s">
        <v>724</v>
      </c>
      <c r="L89" s="1" t="s">
        <v>263</v>
      </c>
      <c r="M89" s="1" t="s">
        <v>269</v>
      </c>
      <c r="N89" t="s">
        <v>725</v>
      </c>
    </row>
    <row r="90" spans="1:15" hidden="1" x14ac:dyDescent="0.25">
      <c r="A90">
        <v>68</v>
      </c>
      <c r="B90">
        <v>12</v>
      </c>
      <c r="C90" t="s">
        <v>703</v>
      </c>
      <c r="D90" s="1"/>
      <c r="E90" t="s">
        <v>697</v>
      </c>
      <c r="F90" t="s">
        <v>726</v>
      </c>
      <c r="G90" t="s">
        <v>449</v>
      </c>
      <c r="H90" s="1" t="s">
        <v>258</v>
      </c>
      <c r="I90" t="s">
        <v>713</v>
      </c>
      <c r="J90" t="s">
        <v>608</v>
      </c>
      <c r="K90" t="s">
        <v>727</v>
      </c>
      <c r="L90" s="1" t="s">
        <v>263</v>
      </c>
      <c r="M90" s="1" t="s">
        <v>269</v>
      </c>
    </row>
    <row r="91" spans="1:15" x14ac:dyDescent="0.25">
      <c r="A91" s="4">
        <v>69</v>
      </c>
      <c r="B91" s="4">
        <v>12</v>
      </c>
      <c r="C91" s="4" t="s">
        <v>704</v>
      </c>
      <c r="D91" s="4" t="s">
        <v>247</v>
      </c>
      <c r="E91" s="4" t="s">
        <v>697</v>
      </c>
      <c r="F91" s="9">
        <v>44348</v>
      </c>
      <c r="G91" s="4" t="s">
        <v>449</v>
      </c>
      <c r="H91" s="4" t="s">
        <v>258</v>
      </c>
      <c r="I91" s="4" t="s">
        <v>714</v>
      </c>
      <c r="J91" s="4" t="s">
        <v>608</v>
      </c>
      <c r="K91" s="4" t="s">
        <v>728</v>
      </c>
      <c r="L91" s="4" t="s">
        <v>262</v>
      </c>
      <c r="M91" s="4"/>
      <c r="N91" s="4"/>
      <c r="O91" t="s">
        <v>1364</v>
      </c>
    </row>
    <row r="92" spans="1:15" x14ac:dyDescent="0.25">
      <c r="A92" s="4">
        <v>70</v>
      </c>
      <c r="B92" s="4">
        <v>12</v>
      </c>
      <c r="C92" s="4" t="s">
        <v>705</v>
      </c>
      <c r="D92" s="4" t="s">
        <v>247</v>
      </c>
      <c r="E92" s="4" t="s">
        <v>697</v>
      </c>
      <c r="F92" s="4" t="s">
        <v>449</v>
      </c>
      <c r="G92" s="4" t="s">
        <v>449</v>
      </c>
      <c r="H92" s="4" t="s">
        <v>258</v>
      </c>
      <c r="I92" s="4" t="s">
        <v>715</v>
      </c>
      <c r="J92" s="4" t="s">
        <v>608</v>
      </c>
      <c r="K92" s="4" t="s">
        <v>729</v>
      </c>
      <c r="L92" s="4" t="s">
        <v>262</v>
      </c>
      <c r="M92" s="4"/>
      <c r="N92" s="4"/>
    </row>
    <row r="93" spans="1:15" hidden="1" x14ac:dyDescent="0.25">
      <c r="A93">
        <v>71</v>
      </c>
      <c r="B93">
        <v>13</v>
      </c>
      <c r="C93" t="s">
        <v>731</v>
      </c>
      <c r="D93" s="1" t="s">
        <v>255</v>
      </c>
      <c r="E93" t="s">
        <v>732</v>
      </c>
      <c r="F93" s="8">
        <v>43983</v>
      </c>
      <c r="G93" t="s">
        <v>449</v>
      </c>
      <c r="H93" s="1" t="s">
        <v>258</v>
      </c>
      <c r="I93" t="s">
        <v>742</v>
      </c>
      <c r="J93" t="s">
        <v>608</v>
      </c>
      <c r="K93" t="s">
        <v>747</v>
      </c>
      <c r="L93" s="1" t="s">
        <v>263</v>
      </c>
      <c r="M93" s="1" t="s">
        <v>267</v>
      </c>
    </row>
    <row r="94" spans="1:15" hidden="1" x14ac:dyDescent="0.25">
      <c r="A94">
        <v>72</v>
      </c>
      <c r="B94">
        <v>13</v>
      </c>
      <c r="C94" t="s">
        <v>733</v>
      </c>
      <c r="D94" s="1" t="s">
        <v>255</v>
      </c>
      <c r="E94" t="s">
        <v>732</v>
      </c>
      <c r="F94" t="s">
        <v>745</v>
      </c>
      <c r="G94" t="s">
        <v>449</v>
      </c>
      <c r="H94" s="1" t="s">
        <v>258</v>
      </c>
      <c r="I94" t="s">
        <v>743</v>
      </c>
      <c r="J94" t="s">
        <v>608</v>
      </c>
      <c r="K94" t="s">
        <v>746</v>
      </c>
      <c r="L94" s="1" t="s">
        <v>263</v>
      </c>
      <c r="M94" s="1"/>
    </row>
    <row r="95" spans="1:15" x14ac:dyDescent="0.25">
      <c r="A95" s="4">
        <v>73</v>
      </c>
      <c r="B95" s="4">
        <v>13</v>
      </c>
      <c r="C95" s="4" t="s">
        <v>734</v>
      </c>
      <c r="D95" s="4" t="s">
        <v>255</v>
      </c>
      <c r="E95" s="4" t="s">
        <v>732</v>
      </c>
      <c r="F95" s="4" t="s">
        <v>749</v>
      </c>
      <c r="G95" s="4" t="s">
        <v>449</v>
      </c>
      <c r="H95" s="4" t="s">
        <v>258</v>
      </c>
      <c r="I95" s="4" t="s">
        <v>748</v>
      </c>
      <c r="J95" s="4" t="s">
        <v>608</v>
      </c>
      <c r="K95" s="4" t="s">
        <v>750</v>
      </c>
      <c r="L95" s="4" t="s">
        <v>262</v>
      </c>
      <c r="M95" s="4"/>
      <c r="N95" s="4" t="s">
        <v>767</v>
      </c>
    </row>
    <row r="96" spans="1:15" x14ac:dyDescent="0.25">
      <c r="A96" s="4">
        <v>74</v>
      </c>
      <c r="B96" s="4">
        <v>13</v>
      </c>
      <c r="C96" s="4" t="s">
        <v>735</v>
      </c>
      <c r="D96" s="4" t="s">
        <v>255</v>
      </c>
      <c r="E96" s="4" t="s">
        <v>732</v>
      </c>
      <c r="F96" s="4" t="s">
        <v>752</v>
      </c>
      <c r="G96" s="4" t="s">
        <v>736</v>
      </c>
      <c r="H96" s="4" t="s">
        <v>258</v>
      </c>
      <c r="I96" s="4" t="s">
        <v>751</v>
      </c>
      <c r="J96" s="4" t="s">
        <v>608</v>
      </c>
      <c r="K96" s="4" t="s">
        <v>753</v>
      </c>
      <c r="L96" s="4" t="s">
        <v>262</v>
      </c>
      <c r="M96" s="4"/>
      <c r="N96" s="4" t="s">
        <v>766</v>
      </c>
    </row>
    <row r="97" spans="1:14" hidden="1" x14ac:dyDescent="0.25">
      <c r="A97">
        <v>75</v>
      </c>
      <c r="B97">
        <v>13</v>
      </c>
      <c r="C97" t="s">
        <v>737</v>
      </c>
      <c r="D97" s="1" t="s">
        <v>249</v>
      </c>
      <c r="E97" t="s">
        <v>732</v>
      </c>
      <c r="F97" t="s">
        <v>449</v>
      </c>
      <c r="G97" t="s">
        <v>449</v>
      </c>
      <c r="H97" s="1" t="s">
        <v>258</v>
      </c>
      <c r="I97" t="s">
        <v>754</v>
      </c>
      <c r="J97" t="s">
        <v>608</v>
      </c>
      <c r="K97" t="s">
        <v>755</v>
      </c>
      <c r="L97" s="1" t="s">
        <v>263</v>
      </c>
      <c r="M97" s="1" t="s">
        <v>266</v>
      </c>
    </row>
    <row r="98" spans="1:14" hidden="1" x14ac:dyDescent="0.25">
      <c r="A98">
        <v>76</v>
      </c>
      <c r="B98">
        <v>13</v>
      </c>
      <c r="C98" t="s">
        <v>738</v>
      </c>
      <c r="D98" s="1" t="s">
        <v>249</v>
      </c>
      <c r="E98" t="s">
        <v>732</v>
      </c>
      <c r="F98" t="s">
        <v>757</v>
      </c>
      <c r="G98" t="s">
        <v>449</v>
      </c>
      <c r="H98" s="1" t="s">
        <v>258</v>
      </c>
      <c r="I98" t="s">
        <v>756</v>
      </c>
      <c r="J98" t="s">
        <v>608</v>
      </c>
      <c r="K98" t="s">
        <v>758</v>
      </c>
      <c r="L98" s="1" t="s">
        <v>263</v>
      </c>
      <c r="M98" s="1" t="s">
        <v>266</v>
      </c>
    </row>
    <row r="99" spans="1:14" hidden="1" x14ac:dyDescent="0.25">
      <c r="A99">
        <v>77</v>
      </c>
      <c r="B99">
        <v>13</v>
      </c>
      <c r="C99" t="s">
        <v>739</v>
      </c>
      <c r="D99" s="1" t="s">
        <v>250</v>
      </c>
      <c r="E99" t="s">
        <v>732</v>
      </c>
      <c r="F99" t="s">
        <v>760</v>
      </c>
      <c r="G99" t="s">
        <v>449</v>
      </c>
      <c r="H99" s="1" t="s">
        <v>258</v>
      </c>
      <c r="I99" t="s">
        <v>759</v>
      </c>
      <c r="J99" t="s">
        <v>608</v>
      </c>
      <c r="K99" t="s">
        <v>761</v>
      </c>
      <c r="L99" s="1" t="s">
        <v>263</v>
      </c>
      <c r="M99" s="1" t="s">
        <v>266</v>
      </c>
    </row>
    <row r="100" spans="1:14" hidden="1" x14ac:dyDescent="0.25">
      <c r="A100">
        <v>78</v>
      </c>
      <c r="B100">
        <v>13</v>
      </c>
      <c r="C100" t="s">
        <v>740</v>
      </c>
      <c r="D100" s="1" t="s">
        <v>253</v>
      </c>
      <c r="E100" t="s">
        <v>732</v>
      </c>
      <c r="F100" t="s">
        <v>449</v>
      </c>
      <c r="G100" t="s">
        <v>449</v>
      </c>
      <c r="H100" s="1" t="s">
        <v>257</v>
      </c>
      <c r="I100" t="s">
        <v>762</v>
      </c>
      <c r="J100" t="s">
        <v>608</v>
      </c>
      <c r="K100" t="s">
        <v>763</v>
      </c>
      <c r="L100" s="1" t="s">
        <v>263</v>
      </c>
      <c r="M100" s="1" t="s">
        <v>266</v>
      </c>
    </row>
    <row r="101" spans="1:14" hidden="1" x14ac:dyDescent="0.25">
      <c r="A101">
        <v>79</v>
      </c>
      <c r="B101">
        <v>13</v>
      </c>
      <c r="C101" t="s">
        <v>741</v>
      </c>
      <c r="D101" s="1" t="s">
        <v>254</v>
      </c>
      <c r="E101" t="s">
        <v>732</v>
      </c>
      <c r="F101" t="s">
        <v>764</v>
      </c>
      <c r="G101" t="s">
        <v>449</v>
      </c>
      <c r="H101" s="1" t="s">
        <v>258</v>
      </c>
      <c r="I101" t="s">
        <v>744</v>
      </c>
      <c r="J101" t="s">
        <v>608</v>
      </c>
      <c r="K101" t="s">
        <v>765</v>
      </c>
      <c r="L101" s="1" t="s">
        <v>263</v>
      </c>
      <c r="M101" s="1" t="s">
        <v>270</v>
      </c>
    </row>
    <row r="102" spans="1:14" hidden="1" x14ac:dyDescent="0.25">
      <c r="A102" s="7"/>
      <c r="B102" s="7">
        <v>13</v>
      </c>
      <c r="C102" s="7"/>
      <c r="D102" s="7" t="s">
        <v>246</v>
      </c>
      <c r="E102" s="7" t="s">
        <v>732</v>
      </c>
      <c r="F102" s="7"/>
      <c r="G102" s="7"/>
      <c r="H102" s="7"/>
      <c r="I102" s="7"/>
      <c r="J102" s="7"/>
      <c r="K102" s="7"/>
      <c r="L102" s="7" t="s">
        <v>264</v>
      </c>
      <c r="M102" s="7"/>
      <c r="N102" s="7" t="s">
        <v>625</v>
      </c>
    </row>
    <row r="103" spans="1:14" hidden="1" x14ac:dyDescent="0.25">
      <c r="A103" s="7"/>
      <c r="B103" s="7">
        <v>13</v>
      </c>
      <c r="C103" s="7"/>
      <c r="D103" s="7" t="s">
        <v>247</v>
      </c>
      <c r="E103" s="7" t="s">
        <v>732</v>
      </c>
      <c r="F103" s="7"/>
      <c r="G103" s="7"/>
      <c r="H103" s="7"/>
      <c r="I103" s="7"/>
      <c r="J103" s="7"/>
      <c r="K103" s="7"/>
      <c r="L103" s="7" t="s">
        <v>264</v>
      </c>
      <c r="M103" s="7"/>
      <c r="N103" s="7" t="s">
        <v>625</v>
      </c>
    </row>
    <row r="104" spans="1:14" hidden="1" x14ac:dyDescent="0.25">
      <c r="A104" s="7"/>
      <c r="B104" s="7">
        <v>13</v>
      </c>
      <c r="C104" s="7"/>
      <c r="D104" s="7" t="s">
        <v>248</v>
      </c>
      <c r="E104" s="7" t="s">
        <v>732</v>
      </c>
      <c r="F104" s="7"/>
      <c r="G104" s="7"/>
      <c r="H104" s="7"/>
      <c r="I104" s="7"/>
      <c r="J104" s="7"/>
      <c r="K104" s="7"/>
      <c r="L104" s="7" t="s">
        <v>264</v>
      </c>
      <c r="M104" s="7"/>
      <c r="N104" s="7" t="s">
        <v>625</v>
      </c>
    </row>
    <row r="105" spans="1:14" hidden="1" x14ac:dyDescent="0.25">
      <c r="A105">
        <v>80</v>
      </c>
      <c r="B105">
        <v>14</v>
      </c>
      <c r="C105" t="s">
        <v>770</v>
      </c>
      <c r="D105" s="1" t="s">
        <v>255</v>
      </c>
      <c r="E105" t="s">
        <v>769</v>
      </c>
      <c r="F105" t="s">
        <v>449</v>
      </c>
      <c r="G105" t="s">
        <v>449</v>
      </c>
      <c r="H105" s="1" t="s">
        <v>258</v>
      </c>
      <c r="I105" t="s">
        <v>778</v>
      </c>
      <c r="J105" t="s">
        <v>768</v>
      </c>
      <c r="K105" t="s">
        <v>784</v>
      </c>
      <c r="L105" s="1" t="s">
        <v>263</v>
      </c>
      <c r="M105" s="1" t="s">
        <v>266</v>
      </c>
    </row>
    <row r="106" spans="1:14" hidden="1" x14ac:dyDescent="0.25">
      <c r="A106">
        <v>81</v>
      </c>
      <c r="B106">
        <v>14</v>
      </c>
      <c r="C106" t="s">
        <v>771</v>
      </c>
      <c r="D106" s="1" t="s">
        <v>255</v>
      </c>
      <c r="E106" t="s">
        <v>769</v>
      </c>
      <c r="F106" s="8">
        <v>45870</v>
      </c>
      <c r="G106" t="s">
        <v>777</v>
      </c>
      <c r="H106" s="1" t="s">
        <v>258</v>
      </c>
      <c r="I106" t="s">
        <v>780</v>
      </c>
      <c r="J106" t="s">
        <v>768</v>
      </c>
      <c r="K106" t="s">
        <v>785</v>
      </c>
      <c r="L106" s="1" t="s">
        <v>263</v>
      </c>
      <c r="M106" s="1" t="s">
        <v>266</v>
      </c>
    </row>
    <row r="107" spans="1:14" hidden="1" x14ac:dyDescent="0.25">
      <c r="A107">
        <v>82</v>
      </c>
      <c r="B107">
        <v>14</v>
      </c>
      <c r="C107" t="s">
        <v>772</v>
      </c>
      <c r="D107" s="1" t="s">
        <v>249</v>
      </c>
      <c r="E107" t="s">
        <v>769</v>
      </c>
      <c r="F107" t="s">
        <v>449</v>
      </c>
      <c r="G107" t="s">
        <v>449</v>
      </c>
      <c r="H107" s="1" t="s">
        <v>258</v>
      </c>
      <c r="I107" t="s">
        <v>779</v>
      </c>
      <c r="J107" t="s">
        <v>768</v>
      </c>
      <c r="K107" t="s">
        <v>788</v>
      </c>
      <c r="L107" s="1" t="s">
        <v>263</v>
      </c>
      <c r="M107" s="1" t="s">
        <v>266</v>
      </c>
    </row>
    <row r="108" spans="1:14" hidden="1" x14ac:dyDescent="0.25">
      <c r="A108">
        <v>83</v>
      </c>
      <c r="B108">
        <v>14</v>
      </c>
      <c r="C108" t="s">
        <v>773</v>
      </c>
      <c r="D108" s="1" t="s">
        <v>249</v>
      </c>
      <c r="E108" t="s">
        <v>769</v>
      </c>
      <c r="F108">
        <v>2020</v>
      </c>
      <c r="G108" t="s">
        <v>786</v>
      </c>
      <c r="H108" s="1" t="s">
        <v>258</v>
      </c>
      <c r="I108" t="s">
        <v>781</v>
      </c>
      <c r="J108" t="s">
        <v>768</v>
      </c>
      <c r="K108" t="s">
        <v>787</v>
      </c>
      <c r="L108" s="1" t="s">
        <v>263</v>
      </c>
      <c r="M108" s="1" t="s">
        <v>266</v>
      </c>
    </row>
    <row r="109" spans="1:14" hidden="1" x14ac:dyDescent="0.25">
      <c r="A109">
        <v>84</v>
      </c>
      <c r="B109">
        <v>14</v>
      </c>
      <c r="C109" t="s">
        <v>774</v>
      </c>
      <c r="D109" s="1" t="s">
        <v>253</v>
      </c>
      <c r="E109" t="s">
        <v>769</v>
      </c>
      <c r="F109" t="s">
        <v>449</v>
      </c>
      <c r="G109" t="s">
        <v>449</v>
      </c>
      <c r="H109" s="1" t="s">
        <v>258</v>
      </c>
      <c r="I109" t="s">
        <v>782</v>
      </c>
      <c r="J109" t="s">
        <v>768</v>
      </c>
      <c r="K109" t="s">
        <v>789</v>
      </c>
      <c r="L109" s="1" t="s">
        <v>263</v>
      </c>
      <c r="M109" s="1" t="s">
        <v>266</v>
      </c>
    </row>
    <row r="110" spans="1:14" hidden="1" x14ac:dyDescent="0.25">
      <c r="A110">
        <v>85</v>
      </c>
      <c r="B110">
        <v>14</v>
      </c>
      <c r="C110" t="s">
        <v>775</v>
      </c>
      <c r="D110" s="1" t="s">
        <v>251</v>
      </c>
      <c r="E110" t="s">
        <v>769</v>
      </c>
      <c r="F110" t="s">
        <v>449</v>
      </c>
      <c r="G110" t="s">
        <v>449</v>
      </c>
      <c r="H110" s="1" t="s">
        <v>258</v>
      </c>
      <c r="I110" t="s">
        <v>783</v>
      </c>
      <c r="J110" t="s">
        <v>768</v>
      </c>
      <c r="K110" t="s">
        <v>790</v>
      </c>
      <c r="L110" s="1" t="s">
        <v>263</v>
      </c>
      <c r="M110" s="1" t="s">
        <v>266</v>
      </c>
    </row>
    <row r="111" spans="1:14" hidden="1" x14ac:dyDescent="0.25">
      <c r="A111" s="7"/>
      <c r="B111" s="7">
        <v>14</v>
      </c>
      <c r="C111" s="7"/>
      <c r="D111" s="7" t="s">
        <v>246</v>
      </c>
      <c r="E111" s="7" t="s">
        <v>769</v>
      </c>
      <c r="F111" s="7"/>
      <c r="G111" s="7"/>
      <c r="H111" s="7"/>
      <c r="I111" s="7"/>
      <c r="J111" s="7"/>
      <c r="K111" s="7"/>
      <c r="L111" s="7" t="s">
        <v>264</v>
      </c>
      <c r="M111" s="7"/>
      <c r="N111" s="7" t="s">
        <v>776</v>
      </c>
    </row>
    <row r="112" spans="1:14" hidden="1" x14ac:dyDescent="0.25">
      <c r="A112" s="7"/>
      <c r="B112" s="7">
        <v>14</v>
      </c>
      <c r="C112" s="7"/>
      <c r="D112" s="7" t="s">
        <v>247</v>
      </c>
      <c r="E112" s="7" t="s">
        <v>769</v>
      </c>
      <c r="F112" s="7"/>
      <c r="G112" s="7"/>
      <c r="H112" s="7"/>
      <c r="I112" s="7"/>
      <c r="J112" s="7"/>
      <c r="K112" s="7"/>
      <c r="L112" s="7" t="s">
        <v>264</v>
      </c>
      <c r="M112" s="7"/>
      <c r="N112" s="7" t="s">
        <v>776</v>
      </c>
    </row>
    <row r="113" spans="1:15" hidden="1" x14ac:dyDescent="0.25">
      <c r="A113" s="7"/>
      <c r="B113" s="7">
        <v>14</v>
      </c>
      <c r="C113" s="7"/>
      <c r="D113" s="7" t="s">
        <v>248</v>
      </c>
      <c r="E113" s="7" t="s">
        <v>769</v>
      </c>
      <c r="F113" s="7"/>
      <c r="G113" s="7"/>
      <c r="H113" s="7"/>
      <c r="I113" s="7"/>
      <c r="J113" s="7"/>
      <c r="K113" s="7"/>
      <c r="L113" s="7" t="s">
        <v>264</v>
      </c>
      <c r="M113" s="7"/>
      <c r="N113" s="7" t="s">
        <v>776</v>
      </c>
    </row>
    <row r="114" spans="1:15" x14ac:dyDescent="0.25">
      <c r="A114" s="4">
        <v>86</v>
      </c>
      <c r="B114" s="4">
        <v>15</v>
      </c>
      <c r="C114" s="4" t="s">
        <v>794</v>
      </c>
      <c r="D114" s="4" t="s">
        <v>248</v>
      </c>
      <c r="E114" s="4" t="s">
        <v>793</v>
      </c>
      <c r="F114" s="4" t="s">
        <v>820</v>
      </c>
      <c r="G114" s="4" t="s">
        <v>796</v>
      </c>
      <c r="H114" s="4" t="s">
        <v>258</v>
      </c>
      <c r="I114" s="4" t="s">
        <v>795</v>
      </c>
      <c r="J114" s="4" t="s">
        <v>768</v>
      </c>
      <c r="K114" s="4" t="s">
        <v>826</v>
      </c>
      <c r="L114" s="4" t="s">
        <v>262</v>
      </c>
      <c r="M114" s="4"/>
      <c r="N114" s="4"/>
      <c r="O114" t="s">
        <v>1364</v>
      </c>
    </row>
    <row r="115" spans="1:15" hidden="1" x14ac:dyDescent="0.25">
      <c r="A115">
        <v>87</v>
      </c>
      <c r="B115">
        <v>15</v>
      </c>
      <c r="C115" t="s">
        <v>797</v>
      </c>
      <c r="D115" s="1" t="s">
        <v>253</v>
      </c>
      <c r="E115" t="s">
        <v>793</v>
      </c>
      <c r="F115" t="s">
        <v>821</v>
      </c>
      <c r="G115" t="s">
        <v>449</v>
      </c>
      <c r="H115" s="1" t="s">
        <v>258</v>
      </c>
      <c r="I115" t="s">
        <v>798</v>
      </c>
      <c r="J115" t="s">
        <v>768</v>
      </c>
      <c r="K115" t="s">
        <v>827</v>
      </c>
      <c r="L115" s="1" t="s">
        <v>263</v>
      </c>
      <c r="M115" s="1" t="s">
        <v>267</v>
      </c>
    </row>
    <row r="116" spans="1:15" x14ac:dyDescent="0.25">
      <c r="A116" s="4">
        <v>88</v>
      </c>
      <c r="B116" s="4">
        <v>15</v>
      </c>
      <c r="C116" s="4" t="s">
        <v>799</v>
      </c>
      <c r="D116" s="4" t="s">
        <v>246</v>
      </c>
      <c r="E116" s="4" t="s">
        <v>793</v>
      </c>
      <c r="F116" s="4">
        <v>2024</v>
      </c>
      <c r="G116" s="4" t="s">
        <v>449</v>
      </c>
      <c r="H116" s="4" t="s">
        <v>258</v>
      </c>
      <c r="I116" s="4" t="s">
        <v>800</v>
      </c>
      <c r="J116" s="4" t="s">
        <v>768</v>
      </c>
      <c r="K116" s="4" t="s">
        <v>828</v>
      </c>
      <c r="L116" s="4" t="s">
        <v>262</v>
      </c>
      <c r="M116" s="4"/>
      <c r="N116" s="4"/>
      <c r="O116" t="s">
        <v>1364</v>
      </c>
    </row>
    <row r="117" spans="1:15" hidden="1" x14ac:dyDescent="0.25">
      <c r="A117">
        <v>89</v>
      </c>
      <c r="B117">
        <v>15</v>
      </c>
      <c r="C117" t="s">
        <v>801</v>
      </c>
      <c r="D117" s="1" t="s">
        <v>249</v>
      </c>
      <c r="E117" t="s">
        <v>793</v>
      </c>
      <c r="F117" t="s">
        <v>449</v>
      </c>
      <c r="G117" t="s">
        <v>449</v>
      </c>
      <c r="H117" s="1" t="s">
        <v>258</v>
      </c>
      <c r="I117" t="s">
        <v>802</v>
      </c>
      <c r="J117" t="s">
        <v>768</v>
      </c>
      <c r="K117" t="s">
        <v>829</v>
      </c>
      <c r="L117" s="1" t="s">
        <v>263</v>
      </c>
      <c r="M117" s="1" t="s">
        <v>267</v>
      </c>
    </row>
    <row r="118" spans="1:15" x14ac:dyDescent="0.25">
      <c r="A118" s="4">
        <v>90</v>
      </c>
      <c r="B118" s="4">
        <v>15</v>
      </c>
      <c r="C118" s="4" t="s">
        <v>803</v>
      </c>
      <c r="D118" s="4" t="s">
        <v>249</v>
      </c>
      <c r="E118" s="4" t="s">
        <v>793</v>
      </c>
      <c r="F118" s="4" t="s">
        <v>822</v>
      </c>
      <c r="G118" s="4" t="s">
        <v>805</v>
      </c>
      <c r="H118" s="4" t="s">
        <v>258</v>
      </c>
      <c r="I118" s="4" t="s">
        <v>804</v>
      </c>
      <c r="J118" s="4" t="s">
        <v>768</v>
      </c>
      <c r="K118" s="4" t="s">
        <v>830</v>
      </c>
      <c r="L118" s="4" t="s">
        <v>262</v>
      </c>
      <c r="M118" s="4"/>
      <c r="N118" s="4"/>
    </row>
    <row r="119" spans="1:15" x14ac:dyDescent="0.25">
      <c r="A119" s="4">
        <v>91</v>
      </c>
      <c r="B119" s="4">
        <v>15</v>
      </c>
      <c r="C119" s="4" t="s">
        <v>806</v>
      </c>
      <c r="D119" s="4" t="s">
        <v>253</v>
      </c>
      <c r="E119" s="4" t="s">
        <v>793</v>
      </c>
      <c r="F119" s="4" t="s">
        <v>823</v>
      </c>
      <c r="G119" s="4" t="s">
        <v>449</v>
      </c>
      <c r="H119" s="4" t="s">
        <v>258</v>
      </c>
      <c r="I119" s="4" t="s">
        <v>807</v>
      </c>
      <c r="J119" s="4" t="s">
        <v>768</v>
      </c>
      <c r="K119" s="4" t="s">
        <v>832</v>
      </c>
      <c r="L119" s="4" t="s">
        <v>262</v>
      </c>
      <c r="M119" s="4"/>
      <c r="N119" s="4"/>
    </row>
    <row r="120" spans="1:15" x14ac:dyDescent="0.25">
      <c r="A120" s="4">
        <v>92</v>
      </c>
      <c r="B120" s="4">
        <v>15</v>
      </c>
      <c r="C120" s="4" t="s">
        <v>808</v>
      </c>
      <c r="D120" s="4" t="s">
        <v>253</v>
      </c>
      <c r="E120" s="4" t="s">
        <v>793</v>
      </c>
      <c r="F120" s="4" t="s">
        <v>824</v>
      </c>
      <c r="G120" s="4" t="s">
        <v>449</v>
      </c>
      <c r="H120" s="4" t="s">
        <v>258</v>
      </c>
      <c r="I120" s="4" t="s">
        <v>809</v>
      </c>
      <c r="J120" s="4" t="s">
        <v>768</v>
      </c>
      <c r="K120" s="4" t="s">
        <v>831</v>
      </c>
      <c r="L120" s="4" t="s">
        <v>262</v>
      </c>
      <c r="M120" s="4"/>
      <c r="N120" s="4"/>
    </row>
    <row r="121" spans="1:15" x14ac:dyDescent="0.25">
      <c r="A121" s="4">
        <v>93</v>
      </c>
      <c r="B121" s="4">
        <v>15</v>
      </c>
      <c r="C121" s="4" t="s">
        <v>810</v>
      </c>
      <c r="D121" s="4" t="s">
        <v>253</v>
      </c>
      <c r="E121" s="4" t="s">
        <v>793</v>
      </c>
      <c r="F121" s="4">
        <v>2023</v>
      </c>
      <c r="G121" s="4" t="s">
        <v>449</v>
      </c>
      <c r="H121" s="4" t="s">
        <v>258</v>
      </c>
      <c r="I121" s="4" t="s">
        <v>811</v>
      </c>
      <c r="J121" s="4" t="s">
        <v>768</v>
      </c>
      <c r="K121" s="4" t="s">
        <v>838</v>
      </c>
      <c r="L121" s="4" t="s">
        <v>262</v>
      </c>
      <c r="M121" s="4"/>
      <c r="N121" s="4"/>
    </row>
    <row r="122" spans="1:15" x14ac:dyDescent="0.25">
      <c r="A122" s="4">
        <v>94</v>
      </c>
      <c r="B122" s="4">
        <v>15</v>
      </c>
      <c r="C122" s="4" t="s">
        <v>812</v>
      </c>
      <c r="D122" s="4" t="s">
        <v>247</v>
      </c>
      <c r="E122" s="4" t="s">
        <v>793</v>
      </c>
      <c r="F122" s="4" t="s">
        <v>825</v>
      </c>
      <c r="G122" s="4" t="s">
        <v>814</v>
      </c>
      <c r="H122" s="4" t="s">
        <v>259</v>
      </c>
      <c r="I122" s="4" t="s">
        <v>813</v>
      </c>
      <c r="J122" s="4" t="s">
        <v>768</v>
      </c>
      <c r="K122" s="4" t="s">
        <v>834</v>
      </c>
      <c r="L122" s="4" t="s">
        <v>262</v>
      </c>
      <c r="M122" s="4"/>
      <c r="N122" s="4"/>
      <c r="O122" t="s">
        <v>1364</v>
      </c>
    </row>
    <row r="123" spans="1:15" x14ac:dyDescent="0.25">
      <c r="A123" s="4">
        <v>95</v>
      </c>
      <c r="B123" s="4">
        <v>15</v>
      </c>
      <c r="C123" s="4" t="s">
        <v>815</v>
      </c>
      <c r="D123" s="4" t="s">
        <v>247</v>
      </c>
      <c r="E123" s="4" t="s">
        <v>793</v>
      </c>
      <c r="F123" s="4" t="s">
        <v>449</v>
      </c>
      <c r="G123" s="4" t="s">
        <v>449</v>
      </c>
      <c r="H123" s="4" t="s">
        <v>258</v>
      </c>
      <c r="I123" s="4" t="s">
        <v>816</v>
      </c>
      <c r="J123" s="4" t="s">
        <v>768</v>
      </c>
      <c r="K123" s="4" t="s">
        <v>833</v>
      </c>
      <c r="L123" s="4" t="s">
        <v>262</v>
      </c>
      <c r="M123" s="4"/>
      <c r="N123" s="4"/>
    </row>
    <row r="124" spans="1:15" x14ac:dyDescent="0.25">
      <c r="A124" s="4">
        <v>96</v>
      </c>
      <c r="B124" s="4">
        <v>15</v>
      </c>
      <c r="C124" s="4" t="s">
        <v>817</v>
      </c>
      <c r="D124" s="4" t="s">
        <v>250</v>
      </c>
      <c r="E124" s="4" t="s">
        <v>793</v>
      </c>
      <c r="F124" s="4">
        <v>2024</v>
      </c>
      <c r="G124" s="4" t="s">
        <v>819</v>
      </c>
      <c r="H124" s="4" t="s">
        <v>258</v>
      </c>
      <c r="I124" s="4" t="s">
        <v>818</v>
      </c>
      <c r="J124" s="4" t="s">
        <v>768</v>
      </c>
      <c r="K124" s="4" t="s">
        <v>839</v>
      </c>
      <c r="L124" s="4" t="s">
        <v>262</v>
      </c>
      <c r="M124" s="4"/>
      <c r="N124" s="4"/>
    </row>
    <row r="125" spans="1:15" x14ac:dyDescent="0.25">
      <c r="A125" s="4">
        <v>97</v>
      </c>
      <c r="B125" s="4">
        <v>15</v>
      </c>
      <c r="C125" s="4" t="s">
        <v>835</v>
      </c>
      <c r="D125" s="4" t="s">
        <v>253</v>
      </c>
      <c r="E125" s="4" t="s">
        <v>793</v>
      </c>
      <c r="F125" s="10">
        <v>45324</v>
      </c>
      <c r="G125" s="4" t="s">
        <v>449</v>
      </c>
      <c r="H125" s="4" t="s">
        <v>258</v>
      </c>
      <c r="I125" s="4" t="s">
        <v>837</v>
      </c>
      <c r="J125" s="4" t="s">
        <v>768</v>
      </c>
      <c r="K125" s="4" t="s">
        <v>836</v>
      </c>
      <c r="L125" s="4" t="s">
        <v>262</v>
      </c>
      <c r="M125" s="4"/>
      <c r="N125" s="4"/>
    </row>
    <row r="126" spans="1:15" hidden="1" x14ac:dyDescent="0.25">
      <c r="A126">
        <v>98</v>
      </c>
      <c r="B126">
        <v>16</v>
      </c>
      <c r="C126" t="s">
        <v>849</v>
      </c>
      <c r="D126" s="1" t="s">
        <v>254</v>
      </c>
      <c r="E126" t="s">
        <v>846</v>
      </c>
      <c r="F126" t="s">
        <v>848</v>
      </c>
      <c r="G126" t="s">
        <v>449</v>
      </c>
      <c r="H126" s="1" t="s">
        <v>258</v>
      </c>
      <c r="I126" t="s">
        <v>847</v>
      </c>
      <c r="J126" t="s">
        <v>844</v>
      </c>
      <c r="K126" t="s">
        <v>850</v>
      </c>
      <c r="L126" s="1" t="s">
        <v>263</v>
      </c>
      <c r="M126" s="1" t="s">
        <v>270</v>
      </c>
      <c r="N126" t="s">
        <v>851</v>
      </c>
    </row>
    <row r="127" spans="1:15" hidden="1" x14ac:dyDescent="0.25">
      <c r="A127">
        <v>99</v>
      </c>
      <c r="B127">
        <v>16</v>
      </c>
      <c r="C127" t="s">
        <v>841</v>
      </c>
      <c r="D127" s="1" t="s">
        <v>249</v>
      </c>
      <c r="E127" t="s">
        <v>846</v>
      </c>
      <c r="F127" t="s">
        <v>449</v>
      </c>
      <c r="G127" t="s">
        <v>449</v>
      </c>
      <c r="H127" s="1" t="s">
        <v>258</v>
      </c>
      <c r="I127" t="s">
        <v>852</v>
      </c>
      <c r="J127" t="s">
        <v>844</v>
      </c>
      <c r="K127" t="s">
        <v>853</v>
      </c>
      <c r="L127" s="1" t="s">
        <v>263</v>
      </c>
      <c r="M127" s="1" t="s">
        <v>266</v>
      </c>
    </row>
    <row r="128" spans="1:15" hidden="1" x14ac:dyDescent="0.25">
      <c r="A128">
        <v>100</v>
      </c>
      <c r="B128">
        <v>16</v>
      </c>
      <c r="C128" t="s">
        <v>842</v>
      </c>
      <c r="D128" s="1" t="s">
        <v>249</v>
      </c>
      <c r="E128" t="s">
        <v>846</v>
      </c>
      <c r="F128">
        <v>2023</v>
      </c>
      <c r="G128" t="s">
        <v>449</v>
      </c>
      <c r="H128" s="1" t="s">
        <v>258</v>
      </c>
      <c r="I128" t="s">
        <v>854</v>
      </c>
      <c r="J128" t="s">
        <v>844</v>
      </c>
      <c r="K128" t="s">
        <v>855</v>
      </c>
      <c r="L128" s="1" t="s">
        <v>263</v>
      </c>
      <c r="M128" s="1" t="s">
        <v>266</v>
      </c>
    </row>
    <row r="129" spans="1:14" hidden="1" x14ac:dyDescent="0.25">
      <c r="A129">
        <v>101</v>
      </c>
      <c r="B129">
        <v>16</v>
      </c>
      <c r="C129" t="s">
        <v>843</v>
      </c>
      <c r="D129" s="1" t="s">
        <v>252</v>
      </c>
      <c r="E129" t="s">
        <v>846</v>
      </c>
      <c r="F129">
        <v>2024</v>
      </c>
      <c r="G129" t="s">
        <v>449</v>
      </c>
      <c r="H129" s="1" t="s">
        <v>258</v>
      </c>
      <c r="I129" t="s">
        <v>857</v>
      </c>
      <c r="J129" t="s">
        <v>844</v>
      </c>
      <c r="K129" t="s">
        <v>856</v>
      </c>
      <c r="L129" s="1" t="s">
        <v>263</v>
      </c>
      <c r="M129" s="1" t="s">
        <v>266</v>
      </c>
    </row>
    <row r="130" spans="1:14" hidden="1" x14ac:dyDescent="0.25">
      <c r="A130" s="7"/>
      <c r="B130" s="7">
        <v>16</v>
      </c>
      <c r="C130" s="7"/>
      <c r="D130" s="7" t="s">
        <v>246</v>
      </c>
      <c r="E130" s="7" t="s">
        <v>846</v>
      </c>
      <c r="F130" s="7"/>
      <c r="G130" s="7"/>
      <c r="H130" s="7"/>
      <c r="I130" s="7"/>
      <c r="J130" s="7"/>
      <c r="K130" s="7"/>
      <c r="L130" s="7" t="s">
        <v>264</v>
      </c>
      <c r="M130" s="7"/>
      <c r="N130" s="7" t="s">
        <v>845</v>
      </c>
    </row>
    <row r="131" spans="1:14" hidden="1" x14ac:dyDescent="0.25">
      <c r="A131" s="7"/>
      <c r="B131" s="7">
        <v>16</v>
      </c>
      <c r="C131" s="7"/>
      <c r="D131" s="7" t="s">
        <v>247</v>
      </c>
      <c r="E131" s="7" t="s">
        <v>846</v>
      </c>
      <c r="F131" s="7"/>
      <c r="G131" s="7"/>
      <c r="H131" s="7"/>
      <c r="I131" s="7"/>
      <c r="J131" s="7"/>
      <c r="K131" s="7"/>
      <c r="L131" s="7" t="s">
        <v>264</v>
      </c>
      <c r="M131" s="7"/>
      <c r="N131" s="7" t="s">
        <v>845</v>
      </c>
    </row>
    <row r="132" spans="1:14" hidden="1" x14ac:dyDescent="0.25">
      <c r="A132" s="7"/>
      <c r="B132" s="7">
        <v>16</v>
      </c>
      <c r="C132" s="7"/>
      <c r="D132" s="7" t="s">
        <v>248</v>
      </c>
      <c r="E132" s="7" t="s">
        <v>846</v>
      </c>
      <c r="F132" s="7"/>
      <c r="G132" s="7"/>
      <c r="H132" s="7"/>
      <c r="I132" s="7"/>
      <c r="J132" s="7"/>
      <c r="K132" s="7"/>
      <c r="L132" s="7" t="s">
        <v>264</v>
      </c>
      <c r="M132" s="7"/>
      <c r="N132" s="7" t="s">
        <v>845</v>
      </c>
    </row>
    <row r="133" spans="1:14" x14ac:dyDescent="0.25">
      <c r="A133" s="4">
        <v>102</v>
      </c>
      <c r="B133" s="4">
        <v>17</v>
      </c>
      <c r="C133" s="4" t="s">
        <v>859</v>
      </c>
      <c r="D133" s="4" t="s">
        <v>247</v>
      </c>
      <c r="E133" s="4" t="s">
        <v>359</v>
      </c>
      <c r="F133" s="4" t="s">
        <v>871</v>
      </c>
      <c r="G133" s="4" t="s">
        <v>736</v>
      </c>
      <c r="H133" s="4" t="s">
        <v>258</v>
      </c>
      <c r="I133" s="4" t="s">
        <v>865</v>
      </c>
      <c r="J133" s="4" t="s">
        <v>844</v>
      </c>
      <c r="K133" s="4" t="s">
        <v>872</v>
      </c>
      <c r="L133" s="4" t="s">
        <v>262</v>
      </c>
      <c r="M133" s="4"/>
      <c r="N133" s="4" t="s">
        <v>864</v>
      </c>
    </row>
    <row r="134" spans="1:14" hidden="1" x14ac:dyDescent="0.25">
      <c r="A134">
        <v>103</v>
      </c>
      <c r="B134">
        <v>17</v>
      </c>
      <c r="C134" t="s">
        <v>860</v>
      </c>
      <c r="D134" s="1" t="s">
        <v>249</v>
      </c>
      <c r="E134" t="s">
        <v>359</v>
      </c>
      <c r="F134">
        <v>2025</v>
      </c>
      <c r="G134" t="s">
        <v>449</v>
      </c>
      <c r="H134" s="1" t="s">
        <v>258</v>
      </c>
      <c r="I134" t="s">
        <v>866</v>
      </c>
      <c r="J134" t="s">
        <v>844</v>
      </c>
      <c r="K134" t="s">
        <v>874</v>
      </c>
      <c r="L134" s="1" t="s">
        <v>263</v>
      </c>
      <c r="M134" s="1" t="s">
        <v>267</v>
      </c>
      <c r="N134" t="s">
        <v>873</v>
      </c>
    </row>
    <row r="135" spans="1:14" hidden="1" x14ac:dyDescent="0.25">
      <c r="A135">
        <v>104</v>
      </c>
      <c r="B135">
        <v>17</v>
      </c>
      <c r="C135" t="s">
        <v>861</v>
      </c>
      <c r="D135" s="1" t="s">
        <v>252</v>
      </c>
      <c r="E135" t="s">
        <v>359</v>
      </c>
      <c r="F135" t="s">
        <v>449</v>
      </c>
      <c r="G135" t="s">
        <v>449</v>
      </c>
      <c r="H135" s="1" t="s">
        <v>258</v>
      </c>
      <c r="I135" t="s">
        <v>867</v>
      </c>
      <c r="J135" t="s">
        <v>844</v>
      </c>
      <c r="K135" t="s">
        <v>875</v>
      </c>
      <c r="L135" s="1" t="s">
        <v>263</v>
      </c>
      <c r="M135" s="1" t="s">
        <v>267</v>
      </c>
      <c r="N135" t="s">
        <v>876</v>
      </c>
    </row>
    <row r="136" spans="1:14" hidden="1" x14ac:dyDescent="0.25">
      <c r="A136">
        <v>105</v>
      </c>
      <c r="B136">
        <v>17</v>
      </c>
      <c r="C136" t="s">
        <v>862</v>
      </c>
      <c r="D136" s="1" t="s">
        <v>253</v>
      </c>
      <c r="E136" t="s">
        <v>359</v>
      </c>
      <c r="F136" t="s">
        <v>449</v>
      </c>
      <c r="G136" t="s">
        <v>449</v>
      </c>
      <c r="H136" s="1" t="s">
        <v>258</v>
      </c>
      <c r="I136" t="s">
        <v>868</v>
      </c>
      <c r="J136" t="s">
        <v>844</v>
      </c>
      <c r="K136" t="s">
        <v>877</v>
      </c>
      <c r="L136" s="1" t="s">
        <v>263</v>
      </c>
      <c r="M136" s="1" t="s">
        <v>266</v>
      </c>
    </row>
    <row r="137" spans="1:14" hidden="1" x14ac:dyDescent="0.25">
      <c r="A137">
        <v>106</v>
      </c>
      <c r="B137">
        <v>17</v>
      </c>
      <c r="C137" t="s">
        <v>863</v>
      </c>
      <c r="D137" s="1" t="s">
        <v>254</v>
      </c>
      <c r="E137" t="s">
        <v>359</v>
      </c>
      <c r="F137" t="s">
        <v>764</v>
      </c>
      <c r="G137" t="s">
        <v>449</v>
      </c>
      <c r="H137" s="1" t="s">
        <v>258</v>
      </c>
      <c r="I137" t="s">
        <v>869</v>
      </c>
      <c r="J137" t="s">
        <v>844</v>
      </c>
      <c r="K137" t="s">
        <v>878</v>
      </c>
      <c r="L137" s="1" t="s">
        <v>263</v>
      </c>
      <c r="M137" s="1" t="s">
        <v>270</v>
      </c>
    </row>
    <row r="138" spans="1:14" hidden="1" x14ac:dyDescent="0.25">
      <c r="A138">
        <v>107</v>
      </c>
      <c r="B138">
        <v>18</v>
      </c>
      <c r="C138" t="s">
        <v>880</v>
      </c>
      <c r="D138" s="1" t="s">
        <v>249</v>
      </c>
      <c r="E138" t="s">
        <v>363</v>
      </c>
      <c r="F138" t="s">
        <v>449</v>
      </c>
      <c r="G138" t="s">
        <v>449</v>
      </c>
      <c r="H138" s="1" t="s">
        <v>258</v>
      </c>
      <c r="I138" t="s">
        <v>870</v>
      </c>
      <c r="J138" t="s">
        <v>844</v>
      </c>
      <c r="K138" t="s">
        <v>890</v>
      </c>
      <c r="L138" s="1" t="s">
        <v>263</v>
      </c>
      <c r="M138" s="1" t="s">
        <v>266</v>
      </c>
    </row>
    <row r="139" spans="1:14" hidden="1" x14ac:dyDescent="0.25">
      <c r="A139">
        <v>108</v>
      </c>
      <c r="B139">
        <v>18</v>
      </c>
      <c r="C139" t="s">
        <v>881</v>
      </c>
      <c r="D139" s="1" t="s">
        <v>253</v>
      </c>
      <c r="E139" t="s">
        <v>363</v>
      </c>
      <c r="F139" t="s">
        <v>449</v>
      </c>
      <c r="G139" t="s">
        <v>449</v>
      </c>
      <c r="H139" s="1" t="s">
        <v>258</v>
      </c>
      <c r="I139" t="s">
        <v>870</v>
      </c>
      <c r="J139" t="s">
        <v>844</v>
      </c>
      <c r="K139" t="s">
        <v>891</v>
      </c>
      <c r="L139" s="1" t="s">
        <v>263</v>
      </c>
      <c r="M139" s="1" t="s">
        <v>266</v>
      </c>
    </row>
    <row r="140" spans="1:14" hidden="1" x14ac:dyDescent="0.25">
      <c r="A140">
        <v>109</v>
      </c>
      <c r="B140">
        <v>18</v>
      </c>
      <c r="C140" t="s">
        <v>882</v>
      </c>
      <c r="D140" s="1" t="s">
        <v>249</v>
      </c>
      <c r="E140" t="s">
        <v>363</v>
      </c>
      <c r="F140" t="s">
        <v>449</v>
      </c>
      <c r="G140" t="s">
        <v>449</v>
      </c>
      <c r="H140" s="1" t="s">
        <v>258</v>
      </c>
      <c r="I140" t="s">
        <v>886</v>
      </c>
      <c r="J140" t="s">
        <v>844</v>
      </c>
      <c r="K140" t="s">
        <v>892</v>
      </c>
      <c r="L140" s="1" t="s">
        <v>263</v>
      </c>
      <c r="M140" s="1" t="s">
        <v>266</v>
      </c>
    </row>
    <row r="141" spans="1:14" hidden="1" x14ac:dyDescent="0.25">
      <c r="A141">
        <v>110</v>
      </c>
      <c r="B141">
        <v>18</v>
      </c>
      <c r="C141" t="s">
        <v>883</v>
      </c>
      <c r="D141" s="1" t="s">
        <v>254</v>
      </c>
      <c r="E141" t="s">
        <v>363</v>
      </c>
      <c r="F141" t="s">
        <v>449</v>
      </c>
      <c r="G141" t="s">
        <v>449</v>
      </c>
      <c r="H141" s="1" t="s">
        <v>258</v>
      </c>
      <c r="I141" t="s">
        <v>889</v>
      </c>
      <c r="J141" t="s">
        <v>844</v>
      </c>
      <c r="K141" t="s">
        <v>893</v>
      </c>
      <c r="L141" s="1" t="s">
        <v>263</v>
      </c>
      <c r="M141" s="1" t="s">
        <v>270</v>
      </c>
    </row>
    <row r="142" spans="1:14" hidden="1" x14ac:dyDescent="0.25">
      <c r="A142">
        <v>111</v>
      </c>
      <c r="B142">
        <v>18</v>
      </c>
      <c r="C142" t="s">
        <v>884</v>
      </c>
      <c r="D142" s="1" t="s">
        <v>254</v>
      </c>
      <c r="E142" t="s">
        <v>363</v>
      </c>
      <c r="F142" t="s">
        <v>449</v>
      </c>
      <c r="G142" t="s">
        <v>449</v>
      </c>
      <c r="H142" s="1" t="s">
        <v>258</v>
      </c>
      <c r="I142" t="s">
        <v>888</v>
      </c>
      <c r="J142" t="s">
        <v>844</v>
      </c>
      <c r="K142" t="s">
        <v>894</v>
      </c>
      <c r="L142" s="1" t="s">
        <v>263</v>
      </c>
      <c r="M142" s="1" t="s">
        <v>270</v>
      </c>
    </row>
    <row r="143" spans="1:14" hidden="1" x14ac:dyDescent="0.25">
      <c r="A143">
        <v>112</v>
      </c>
      <c r="B143">
        <v>18</v>
      </c>
      <c r="C143" t="s">
        <v>885</v>
      </c>
      <c r="D143" s="1" t="s">
        <v>254</v>
      </c>
      <c r="E143" t="s">
        <v>363</v>
      </c>
      <c r="F143" t="s">
        <v>895</v>
      </c>
      <c r="G143" t="s">
        <v>449</v>
      </c>
      <c r="H143" s="1" t="s">
        <v>258</v>
      </c>
      <c r="I143" t="s">
        <v>887</v>
      </c>
      <c r="J143" t="s">
        <v>844</v>
      </c>
      <c r="K143" t="s">
        <v>896</v>
      </c>
      <c r="L143" s="1" t="s">
        <v>263</v>
      </c>
      <c r="M143" s="1" t="s">
        <v>270</v>
      </c>
    </row>
    <row r="144" spans="1:14" hidden="1" x14ac:dyDescent="0.25">
      <c r="A144" s="7"/>
      <c r="B144" s="7">
        <v>18</v>
      </c>
      <c r="C144" s="7"/>
      <c r="D144" s="7" t="s">
        <v>246</v>
      </c>
      <c r="E144" s="7" t="s">
        <v>363</v>
      </c>
      <c r="F144" s="7"/>
      <c r="G144" s="7"/>
      <c r="H144" s="7"/>
      <c r="I144" s="7"/>
      <c r="J144" s="7"/>
      <c r="K144" s="7"/>
      <c r="L144" s="7" t="s">
        <v>264</v>
      </c>
      <c r="M144" s="7"/>
      <c r="N144" s="7" t="s">
        <v>845</v>
      </c>
    </row>
    <row r="145" spans="1:14" hidden="1" x14ac:dyDescent="0.25">
      <c r="A145" s="7"/>
      <c r="B145" s="7">
        <v>18</v>
      </c>
      <c r="C145" s="7"/>
      <c r="D145" s="7" t="s">
        <v>247</v>
      </c>
      <c r="E145" s="7" t="s">
        <v>363</v>
      </c>
      <c r="F145" s="7"/>
      <c r="G145" s="7"/>
      <c r="H145" s="7"/>
      <c r="I145" s="7"/>
      <c r="J145" s="7"/>
      <c r="K145" s="7"/>
      <c r="L145" s="7" t="s">
        <v>264</v>
      </c>
      <c r="M145" s="7"/>
      <c r="N145" s="7" t="s">
        <v>845</v>
      </c>
    </row>
    <row r="146" spans="1:14" hidden="1" x14ac:dyDescent="0.25">
      <c r="A146" s="7"/>
      <c r="B146" s="7">
        <v>18</v>
      </c>
      <c r="C146" s="7"/>
      <c r="D146" s="7" t="s">
        <v>248</v>
      </c>
      <c r="E146" s="7" t="s">
        <v>363</v>
      </c>
      <c r="F146" s="7"/>
      <c r="G146" s="7"/>
      <c r="H146" s="7"/>
      <c r="I146" s="7"/>
      <c r="J146" s="7"/>
      <c r="K146" s="7"/>
      <c r="L146" s="7" t="s">
        <v>264</v>
      </c>
      <c r="M146" s="7"/>
      <c r="N146" s="7" t="s">
        <v>845</v>
      </c>
    </row>
    <row r="147" spans="1:14" x14ac:dyDescent="0.25">
      <c r="A147" s="4">
        <v>113</v>
      </c>
      <c r="B147" s="4">
        <v>19</v>
      </c>
      <c r="C147" s="4" t="s">
        <v>898</v>
      </c>
      <c r="D147" s="4" t="s">
        <v>247</v>
      </c>
      <c r="E147" s="4" t="s">
        <v>367</v>
      </c>
      <c r="F147" s="4" t="s">
        <v>449</v>
      </c>
      <c r="G147" s="4" t="s">
        <v>449</v>
      </c>
      <c r="H147" s="4" t="s">
        <v>258</v>
      </c>
      <c r="I147" s="4" t="s">
        <v>909</v>
      </c>
      <c r="J147" s="4" t="s">
        <v>844</v>
      </c>
      <c r="K147" s="4" t="s">
        <v>916</v>
      </c>
      <c r="L147" s="4" t="s">
        <v>262</v>
      </c>
      <c r="M147" s="4"/>
      <c r="N147" s="4"/>
    </row>
    <row r="148" spans="1:14" hidden="1" x14ac:dyDescent="0.25">
      <c r="A148">
        <v>114</v>
      </c>
      <c r="B148">
        <v>19</v>
      </c>
      <c r="C148" t="s">
        <v>899</v>
      </c>
      <c r="D148" s="1" t="s">
        <v>255</v>
      </c>
      <c r="E148" t="s">
        <v>367</v>
      </c>
      <c r="F148" t="s">
        <v>917</v>
      </c>
      <c r="G148">
        <v>4</v>
      </c>
      <c r="H148" s="1" t="s">
        <v>258</v>
      </c>
      <c r="I148" t="s">
        <v>910</v>
      </c>
      <c r="J148" t="s">
        <v>844</v>
      </c>
      <c r="K148" t="s">
        <v>918</v>
      </c>
      <c r="L148" s="1" t="s">
        <v>263</v>
      </c>
      <c r="M148" s="1" t="s">
        <v>266</v>
      </c>
    </row>
    <row r="149" spans="1:14" hidden="1" x14ac:dyDescent="0.25">
      <c r="A149">
        <v>115</v>
      </c>
      <c r="B149">
        <v>19</v>
      </c>
      <c r="C149" t="s">
        <v>900</v>
      </c>
      <c r="D149" s="1" t="s">
        <v>255</v>
      </c>
      <c r="E149" t="s">
        <v>367</v>
      </c>
      <c r="F149" t="s">
        <v>919</v>
      </c>
      <c r="G149">
        <v>1</v>
      </c>
      <c r="H149" s="1" t="s">
        <v>258</v>
      </c>
      <c r="I149" t="s">
        <v>911</v>
      </c>
      <c r="J149" t="s">
        <v>844</v>
      </c>
      <c r="K149" t="s">
        <v>920</v>
      </c>
      <c r="L149" s="1" t="s">
        <v>263</v>
      </c>
      <c r="M149" s="1" t="s">
        <v>266</v>
      </c>
    </row>
    <row r="150" spans="1:14" hidden="1" x14ac:dyDescent="0.25">
      <c r="A150">
        <v>116</v>
      </c>
      <c r="B150">
        <v>19</v>
      </c>
      <c r="C150" t="s">
        <v>901</v>
      </c>
      <c r="D150" s="1" t="s">
        <v>255</v>
      </c>
      <c r="E150" t="s">
        <v>367</v>
      </c>
      <c r="F150" t="s">
        <v>921</v>
      </c>
      <c r="G150">
        <v>4</v>
      </c>
      <c r="H150" s="1" t="s">
        <v>258</v>
      </c>
      <c r="I150" t="s">
        <v>912</v>
      </c>
      <c r="J150" t="s">
        <v>844</v>
      </c>
      <c r="K150" t="s">
        <v>922</v>
      </c>
      <c r="L150" s="1" t="s">
        <v>263</v>
      </c>
      <c r="M150" s="1" t="s">
        <v>266</v>
      </c>
    </row>
    <row r="151" spans="1:14" hidden="1" x14ac:dyDescent="0.25">
      <c r="A151">
        <v>117</v>
      </c>
      <c r="B151">
        <v>19</v>
      </c>
      <c r="C151" t="s">
        <v>902</v>
      </c>
      <c r="D151" s="1" t="s">
        <v>249</v>
      </c>
      <c r="E151" t="s">
        <v>367</v>
      </c>
      <c r="F151" s="8">
        <v>45717</v>
      </c>
      <c r="G151" t="s">
        <v>903</v>
      </c>
      <c r="H151" s="1" t="s">
        <v>258</v>
      </c>
      <c r="I151" t="s">
        <v>913</v>
      </c>
      <c r="J151" t="s">
        <v>844</v>
      </c>
      <c r="K151" t="s">
        <v>923</v>
      </c>
      <c r="L151" s="1" t="s">
        <v>263</v>
      </c>
      <c r="M151" s="1" t="s">
        <v>266</v>
      </c>
    </row>
    <row r="152" spans="1:14" hidden="1" x14ac:dyDescent="0.25">
      <c r="A152">
        <v>118</v>
      </c>
      <c r="B152">
        <v>19</v>
      </c>
      <c r="C152" t="s">
        <v>904</v>
      </c>
      <c r="D152" s="1" t="s">
        <v>254</v>
      </c>
      <c r="E152" t="s">
        <v>367</v>
      </c>
      <c r="F152" t="s">
        <v>905</v>
      </c>
      <c r="G152" t="s">
        <v>449</v>
      </c>
      <c r="H152" s="1" t="s">
        <v>258</v>
      </c>
      <c r="I152" t="s">
        <v>914</v>
      </c>
      <c r="J152" t="s">
        <v>844</v>
      </c>
      <c r="K152" t="s">
        <v>924</v>
      </c>
      <c r="L152" s="1" t="s">
        <v>263</v>
      </c>
      <c r="M152" s="1" t="s">
        <v>266</v>
      </c>
    </row>
    <row r="153" spans="1:14" hidden="1" x14ac:dyDescent="0.25">
      <c r="A153">
        <v>119</v>
      </c>
      <c r="B153">
        <v>19</v>
      </c>
      <c r="C153" t="s">
        <v>906</v>
      </c>
      <c r="D153" s="1" t="s">
        <v>254</v>
      </c>
      <c r="E153" t="s">
        <v>367</v>
      </c>
      <c r="F153" t="s">
        <v>907</v>
      </c>
      <c r="G153" t="s">
        <v>449</v>
      </c>
      <c r="H153" s="1" t="s">
        <v>258</v>
      </c>
      <c r="I153" t="s">
        <v>915</v>
      </c>
      <c r="J153" t="s">
        <v>844</v>
      </c>
      <c r="K153" t="s">
        <v>925</v>
      </c>
      <c r="L153" s="1" t="s">
        <v>263</v>
      </c>
      <c r="M153" s="1" t="s">
        <v>266</v>
      </c>
    </row>
    <row r="154" spans="1:14" hidden="1" x14ac:dyDescent="0.25">
      <c r="A154" s="7"/>
      <c r="B154" s="7">
        <v>19</v>
      </c>
      <c r="C154" s="7"/>
      <c r="D154" s="7" t="s">
        <v>246</v>
      </c>
      <c r="E154" s="7" t="s">
        <v>367</v>
      </c>
      <c r="F154" s="7"/>
      <c r="G154" s="7"/>
      <c r="H154" s="7"/>
      <c r="I154" s="7"/>
      <c r="J154" s="7"/>
      <c r="K154" s="7"/>
      <c r="L154" s="7" t="s">
        <v>264</v>
      </c>
      <c r="M154" s="7"/>
      <c r="N154" s="7" t="s">
        <v>908</v>
      </c>
    </row>
    <row r="155" spans="1:14" hidden="1" x14ac:dyDescent="0.25">
      <c r="A155" s="7"/>
      <c r="B155" s="7">
        <v>19</v>
      </c>
      <c r="C155" s="7"/>
      <c r="D155" s="7" t="s">
        <v>248</v>
      </c>
      <c r="E155" s="7" t="s">
        <v>367</v>
      </c>
      <c r="F155" s="7"/>
      <c r="G155" s="7"/>
      <c r="H155" s="7"/>
      <c r="I155" s="7"/>
      <c r="J155" s="7"/>
      <c r="K155" s="7"/>
      <c r="L155" s="7" t="s">
        <v>264</v>
      </c>
      <c r="M155" s="7"/>
      <c r="N155" s="7" t="s">
        <v>908</v>
      </c>
    </row>
    <row r="156" spans="1:14" hidden="1" x14ac:dyDescent="0.25">
      <c r="A156">
        <v>120</v>
      </c>
      <c r="B156">
        <v>20</v>
      </c>
      <c r="C156" t="s">
        <v>929</v>
      </c>
      <c r="D156" s="1" t="s">
        <v>249</v>
      </c>
      <c r="E156" t="s">
        <v>926</v>
      </c>
      <c r="F156" t="s">
        <v>449</v>
      </c>
      <c r="G156" t="s">
        <v>449</v>
      </c>
      <c r="H156" s="1" t="s">
        <v>258</v>
      </c>
      <c r="I156" t="s">
        <v>937</v>
      </c>
      <c r="J156" t="s">
        <v>844</v>
      </c>
      <c r="K156" t="s">
        <v>945</v>
      </c>
      <c r="L156" s="1" t="s">
        <v>263</v>
      </c>
      <c r="M156" s="1" t="s">
        <v>266</v>
      </c>
    </row>
    <row r="157" spans="1:14" hidden="1" x14ac:dyDescent="0.25">
      <c r="A157">
        <v>121</v>
      </c>
      <c r="B157">
        <v>20</v>
      </c>
      <c r="C157" t="s">
        <v>930</v>
      </c>
      <c r="D157" s="1" t="s">
        <v>249</v>
      </c>
      <c r="E157" t="s">
        <v>926</v>
      </c>
      <c r="F157" t="s">
        <v>449</v>
      </c>
      <c r="G157" t="s">
        <v>449</v>
      </c>
      <c r="H157" s="1" t="s">
        <v>258</v>
      </c>
      <c r="I157" t="s">
        <v>938</v>
      </c>
      <c r="J157" t="s">
        <v>844</v>
      </c>
      <c r="K157" t="s">
        <v>946</v>
      </c>
      <c r="L157" s="1" t="s">
        <v>263</v>
      </c>
      <c r="M157" s="1" t="s">
        <v>266</v>
      </c>
    </row>
    <row r="158" spans="1:14" x14ac:dyDescent="0.25">
      <c r="A158" s="4">
        <v>122</v>
      </c>
      <c r="B158" s="4">
        <v>20</v>
      </c>
      <c r="C158" s="4" t="s">
        <v>931</v>
      </c>
      <c r="D158" s="4" t="s">
        <v>255</v>
      </c>
      <c r="E158" s="4" t="s">
        <v>926</v>
      </c>
      <c r="F158" s="4" t="s">
        <v>449</v>
      </c>
      <c r="G158" s="4" t="s">
        <v>449</v>
      </c>
      <c r="H158" s="4" t="s">
        <v>258</v>
      </c>
      <c r="I158" s="4" t="s">
        <v>939</v>
      </c>
      <c r="J158" s="4" t="s">
        <v>844</v>
      </c>
      <c r="K158" s="4" t="s">
        <v>947</v>
      </c>
      <c r="L158" s="4" t="s">
        <v>262</v>
      </c>
      <c r="M158" s="4"/>
      <c r="N158" s="4" t="s">
        <v>928</v>
      </c>
    </row>
    <row r="159" spans="1:14" hidden="1" x14ac:dyDescent="0.25">
      <c r="A159">
        <v>123</v>
      </c>
      <c r="B159">
        <v>20</v>
      </c>
      <c r="C159" t="s">
        <v>932</v>
      </c>
      <c r="D159" s="1" t="s">
        <v>252</v>
      </c>
      <c r="E159" t="s">
        <v>926</v>
      </c>
      <c r="F159">
        <v>2023</v>
      </c>
      <c r="G159" t="s">
        <v>449</v>
      </c>
      <c r="H159" s="1" t="s">
        <v>258</v>
      </c>
      <c r="I159" t="s">
        <v>940</v>
      </c>
      <c r="J159" t="s">
        <v>844</v>
      </c>
      <c r="K159" t="s">
        <v>948</v>
      </c>
      <c r="L159" s="1" t="s">
        <v>263</v>
      </c>
      <c r="M159" s="1" t="s">
        <v>266</v>
      </c>
    </row>
    <row r="160" spans="1:14" hidden="1" x14ac:dyDescent="0.25">
      <c r="A160">
        <v>124</v>
      </c>
      <c r="B160">
        <v>20</v>
      </c>
      <c r="C160" t="s">
        <v>933</v>
      </c>
      <c r="D160" s="1" t="s">
        <v>251</v>
      </c>
      <c r="E160" t="s">
        <v>926</v>
      </c>
      <c r="F160" t="s">
        <v>449</v>
      </c>
      <c r="G160" t="s">
        <v>449</v>
      </c>
      <c r="H160" s="1" t="s">
        <v>258</v>
      </c>
      <c r="I160" t="s">
        <v>941</v>
      </c>
      <c r="J160" t="s">
        <v>844</v>
      </c>
      <c r="K160" t="s">
        <v>949</v>
      </c>
      <c r="L160" s="1" t="s">
        <v>263</v>
      </c>
      <c r="M160" s="1" t="s">
        <v>266</v>
      </c>
    </row>
    <row r="161" spans="1:14" hidden="1" x14ac:dyDescent="0.25">
      <c r="A161">
        <v>125</v>
      </c>
      <c r="B161">
        <v>20</v>
      </c>
      <c r="C161" t="s">
        <v>934</v>
      </c>
      <c r="D161" s="1" t="s">
        <v>250</v>
      </c>
      <c r="E161" t="s">
        <v>926</v>
      </c>
      <c r="F161" t="s">
        <v>449</v>
      </c>
      <c r="G161" t="s">
        <v>449</v>
      </c>
      <c r="H161" s="1" t="s">
        <v>258</v>
      </c>
      <c r="I161" t="s">
        <v>942</v>
      </c>
      <c r="J161" t="s">
        <v>844</v>
      </c>
      <c r="K161" t="s">
        <v>950</v>
      </c>
      <c r="L161" s="1" t="s">
        <v>263</v>
      </c>
      <c r="M161" s="1" t="s">
        <v>266</v>
      </c>
    </row>
    <row r="162" spans="1:14" hidden="1" x14ac:dyDescent="0.25">
      <c r="A162">
        <v>126</v>
      </c>
      <c r="B162">
        <v>20</v>
      </c>
      <c r="C162" t="s">
        <v>935</v>
      </c>
      <c r="D162" s="1" t="s">
        <v>253</v>
      </c>
      <c r="E162" t="s">
        <v>926</v>
      </c>
      <c r="F162" t="s">
        <v>449</v>
      </c>
      <c r="G162" t="s">
        <v>449</v>
      </c>
      <c r="H162" s="1" t="s">
        <v>258</v>
      </c>
      <c r="I162" t="s">
        <v>943</v>
      </c>
      <c r="J162" t="s">
        <v>844</v>
      </c>
      <c r="K162" t="s">
        <v>951</v>
      </c>
      <c r="L162" s="1" t="s">
        <v>263</v>
      </c>
      <c r="M162" s="1" t="s">
        <v>269</v>
      </c>
    </row>
    <row r="163" spans="1:14" hidden="1" x14ac:dyDescent="0.25">
      <c r="A163">
        <v>127</v>
      </c>
      <c r="B163">
        <v>20</v>
      </c>
      <c r="C163" t="s">
        <v>936</v>
      </c>
      <c r="D163" s="1" t="s">
        <v>254</v>
      </c>
      <c r="E163" t="s">
        <v>926</v>
      </c>
      <c r="F163" s="8">
        <v>43952</v>
      </c>
      <c r="G163" t="s">
        <v>449</v>
      </c>
      <c r="H163" s="1" t="s">
        <v>258</v>
      </c>
      <c r="I163" t="s">
        <v>944</v>
      </c>
      <c r="J163" t="s">
        <v>844</v>
      </c>
      <c r="K163" t="s">
        <v>952</v>
      </c>
      <c r="L163" s="1" t="s">
        <v>263</v>
      </c>
      <c r="M163" s="1" t="s">
        <v>270</v>
      </c>
    </row>
    <row r="164" spans="1:14" hidden="1" x14ac:dyDescent="0.25">
      <c r="A164" s="7"/>
      <c r="B164" s="7">
        <v>20</v>
      </c>
      <c r="C164" s="7"/>
      <c r="D164" s="7" t="s">
        <v>246</v>
      </c>
      <c r="E164" s="7" t="s">
        <v>926</v>
      </c>
      <c r="F164" s="7"/>
      <c r="G164" s="7"/>
      <c r="H164" s="7"/>
      <c r="I164" s="7"/>
      <c r="J164" s="7"/>
      <c r="K164" s="7"/>
      <c r="L164" s="7" t="s">
        <v>264</v>
      </c>
      <c r="M164" s="7"/>
      <c r="N164" s="7" t="s">
        <v>845</v>
      </c>
    </row>
    <row r="165" spans="1:14" hidden="1" x14ac:dyDescent="0.25">
      <c r="A165" s="7"/>
      <c r="B165" s="7">
        <v>20</v>
      </c>
      <c r="C165" s="7"/>
      <c r="D165" s="7" t="s">
        <v>247</v>
      </c>
      <c r="E165" s="7" t="s">
        <v>926</v>
      </c>
      <c r="F165" s="7"/>
      <c r="G165" s="7"/>
      <c r="H165" s="7"/>
      <c r="I165" s="7"/>
      <c r="J165" s="7"/>
      <c r="K165" s="7"/>
      <c r="L165" s="7" t="s">
        <v>264</v>
      </c>
      <c r="M165" s="7"/>
      <c r="N165" s="7" t="s">
        <v>845</v>
      </c>
    </row>
    <row r="166" spans="1:14" hidden="1" x14ac:dyDescent="0.25">
      <c r="A166" s="7"/>
      <c r="B166" s="7">
        <v>20</v>
      </c>
      <c r="C166" s="7"/>
      <c r="D166" s="7" t="s">
        <v>248</v>
      </c>
      <c r="E166" s="7" t="s">
        <v>926</v>
      </c>
      <c r="F166" s="7"/>
      <c r="G166" s="7"/>
      <c r="H166" s="7"/>
      <c r="I166" s="7"/>
      <c r="J166" s="7"/>
      <c r="K166" s="7"/>
      <c r="L166" s="7" t="s">
        <v>264</v>
      </c>
      <c r="M166" s="7"/>
      <c r="N166" s="7" t="s">
        <v>845</v>
      </c>
    </row>
    <row r="167" spans="1:14" hidden="1" x14ac:dyDescent="0.25">
      <c r="A167">
        <v>128</v>
      </c>
      <c r="B167">
        <v>21</v>
      </c>
      <c r="C167" t="s">
        <v>957</v>
      </c>
      <c r="D167" s="1" t="s">
        <v>249</v>
      </c>
      <c r="E167" t="s">
        <v>955</v>
      </c>
      <c r="F167" t="s">
        <v>449</v>
      </c>
      <c r="G167">
        <v>2023</v>
      </c>
      <c r="H167" s="1" t="s">
        <v>258</v>
      </c>
      <c r="I167" t="s">
        <v>964</v>
      </c>
      <c r="J167" s="11" t="s">
        <v>953</v>
      </c>
      <c r="K167" t="s">
        <v>967</v>
      </c>
      <c r="L167" s="1" t="s">
        <v>263</v>
      </c>
      <c r="M167" s="1" t="s">
        <v>266</v>
      </c>
    </row>
    <row r="168" spans="1:14" hidden="1" x14ac:dyDescent="0.25">
      <c r="A168">
        <v>129</v>
      </c>
      <c r="B168">
        <v>21</v>
      </c>
      <c r="C168" t="s">
        <v>958</v>
      </c>
      <c r="D168" s="1" t="s">
        <v>255</v>
      </c>
      <c r="E168" t="s">
        <v>955</v>
      </c>
      <c r="F168" t="s">
        <v>449</v>
      </c>
      <c r="G168" t="s">
        <v>449</v>
      </c>
      <c r="H168" s="1" t="s">
        <v>258</v>
      </c>
      <c r="I168" t="s">
        <v>965</v>
      </c>
      <c r="J168" s="11" t="s">
        <v>953</v>
      </c>
      <c r="K168" t="s">
        <v>968</v>
      </c>
      <c r="L168" s="1" t="s">
        <v>263</v>
      </c>
      <c r="M168" s="1" t="s">
        <v>266</v>
      </c>
    </row>
    <row r="169" spans="1:14" hidden="1" x14ac:dyDescent="0.25">
      <c r="A169">
        <v>130</v>
      </c>
      <c r="B169">
        <v>21</v>
      </c>
      <c r="C169" t="s">
        <v>959</v>
      </c>
      <c r="D169" s="1" t="s">
        <v>255</v>
      </c>
      <c r="E169" t="s">
        <v>955</v>
      </c>
      <c r="F169" t="s">
        <v>449</v>
      </c>
      <c r="G169" t="s">
        <v>449</v>
      </c>
      <c r="H169" s="1" t="s">
        <v>258</v>
      </c>
      <c r="I169" t="s">
        <v>966</v>
      </c>
      <c r="J169" s="11" t="s">
        <v>953</v>
      </c>
      <c r="K169" t="s">
        <v>969</v>
      </c>
      <c r="L169" s="1" t="s">
        <v>263</v>
      </c>
      <c r="M169" s="1" t="s">
        <v>270</v>
      </c>
    </row>
    <row r="170" spans="1:14" hidden="1" x14ac:dyDescent="0.25">
      <c r="A170">
        <v>131</v>
      </c>
      <c r="B170">
        <v>21</v>
      </c>
      <c r="C170" t="s">
        <v>961</v>
      </c>
      <c r="D170" s="1" t="s">
        <v>254</v>
      </c>
      <c r="E170" t="s">
        <v>955</v>
      </c>
      <c r="F170" t="s">
        <v>960</v>
      </c>
      <c r="G170" t="s">
        <v>449</v>
      </c>
      <c r="H170" s="1" t="s">
        <v>257</v>
      </c>
      <c r="I170" t="s">
        <v>963</v>
      </c>
      <c r="J170" s="11" t="s">
        <v>953</v>
      </c>
      <c r="K170" t="s">
        <v>962</v>
      </c>
      <c r="L170" s="1" t="s">
        <v>263</v>
      </c>
      <c r="M170" s="1" t="s">
        <v>270</v>
      </c>
    </row>
    <row r="171" spans="1:14" hidden="1" x14ac:dyDescent="0.25">
      <c r="A171" s="7"/>
      <c r="B171" s="7">
        <v>21</v>
      </c>
      <c r="C171" s="7"/>
      <c r="D171" s="7" t="s">
        <v>246</v>
      </c>
      <c r="E171" s="7" t="s">
        <v>955</v>
      </c>
      <c r="F171" s="7"/>
      <c r="G171" s="7"/>
      <c r="H171" s="7"/>
      <c r="I171" s="7"/>
      <c r="J171" s="7"/>
      <c r="K171" s="7"/>
      <c r="L171" s="7" t="s">
        <v>264</v>
      </c>
      <c r="M171" s="7"/>
      <c r="N171" s="7" t="s">
        <v>956</v>
      </c>
    </row>
    <row r="172" spans="1:14" hidden="1" x14ac:dyDescent="0.25">
      <c r="A172" s="7"/>
      <c r="B172" s="7">
        <v>21</v>
      </c>
      <c r="C172" s="7"/>
      <c r="D172" s="7" t="s">
        <v>247</v>
      </c>
      <c r="E172" s="7" t="s">
        <v>955</v>
      </c>
      <c r="F172" s="7"/>
      <c r="G172" s="7"/>
      <c r="H172" s="7"/>
      <c r="I172" s="7"/>
      <c r="J172" s="7"/>
      <c r="K172" s="7"/>
      <c r="L172" s="7" t="s">
        <v>264</v>
      </c>
      <c r="M172" s="7"/>
      <c r="N172" s="7" t="s">
        <v>956</v>
      </c>
    </row>
    <row r="173" spans="1:14" hidden="1" x14ac:dyDescent="0.25">
      <c r="A173" s="7"/>
      <c r="B173" s="7">
        <v>21</v>
      </c>
      <c r="C173" s="7"/>
      <c r="D173" s="7" t="s">
        <v>248</v>
      </c>
      <c r="E173" s="7" t="s">
        <v>955</v>
      </c>
      <c r="F173" s="7"/>
      <c r="G173" s="7"/>
      <c r="H173" s="7"/>
      <c r="I173" s="7"/>
      <c r="J173" s="7"/>
      <c r="K173" s="7"/>
      <c r="L173" s="7" t="s">
        <v>264</v>
      </c>
      <c r="M173" s="7"/>
      <c r="N173" s="7" t="s">
        <v>956</v>
      </c>
    </row>
    <row r="174" spans="1:14" x14ac:dyDescent="0.25">
      <c r="A174" s="4">
        <v>132</v>
      </c>
      <c r="B174" s="4">
        <v>22</v>
      </c>
      <c r="C174" s="4" t="s">
        <v>972</v>
      </c>
      <c r="D174" s="4" t="s">
        <v>249</v>
      </c>
      <c r="E174" s="4" t="s">
        <v>970</v>
      </c>
      <c r="F174" s="4" t="s">
        <v>449</v>
      </c>
      <c r="G174" s="4" t="s">
        <v>449</v>
      </c>
      <c r="H174" s="4" t="s">
        <v>258</v>
      </c>
      <c r="I174" s="4" t="s">
        <v>982</v>
      </c>
      <c r="J174" s="10" t="s">
        <v>953</v>
      </c>
      <c r="K174" s="4" t="s">
        <v>992</v>
      </c>
      <c r="L174" s="4" t="s">
        <v>262</v>
      </c>
      <c r="M174" s="4"/>
      <c r="N174" s="4"/>
    </row>
    <row r="175" spans="1:14" hidden="1" x14ac:dyDescent="0.25">
      <c r="A175">
        <v>133</v>
      </c>
      <c r="B175">
        <v>22</v>
      </c>
      <c r="C175" t="s">
        <v>973</v>
      </c>
      <c r="D175" s="1" t="s">
        <v>255</v>
      </c>
      <c r="E175" t="s">
        <v>970</v>
      </c>
      <c r="F175" t="s">
        <v>449</v>
      </c>
      <c r="G175" t="s">
        <v>449</v>
      </c>
      <c r="H175" s="1" t="s">
        <v>258</v>
      </c>
      <c r="I175" t="s">
        <v>983</v>
      </c>
      <c r="J175" s="11" t="s">
        <v>953</v>
      </c>
      <c r="K175" t="s">
        <v>993</v>
      </c>
      <c r="L175" s="1" t="s">
        <v>263</v>
      </c>
      <c r="M175" s="1" t="s">
        <v>266</v>
      </c>
    </row>
    <row r="176" spans="1:14" hidden="1" x14ac:dyDescent="0.25">
      <c r="A176">
        <v>134</v>
      </c>
      <c r="B176">
        <v>22</v>
      </c>
      <c r="C176" t="s">
        <v>974</v>
      </c>
      <c r="D176" s="1" t="s">
        <v>250</v>
      </c>
      <c r="E176" t="s">
        <v>970</v>
      </c>
      <c r="F176" t="s">
        <v>449</v>
      </c>
      <c r="G176" t="s">
        <v>449</v>
      </c>
      <c r="H176" s="1" t="s">
        <v>258</v>
      </c>
      <c r="I176" t="s">
        <v>984</v>
      </c>
      <c r="J176" s="11" t="s">
        <v>953</v>
      </c>
      <c r="K176" t="s">
        <v>994</v>
      </c>
      <c r="L176" s="1" t="s">
        <v>263</v>
      </c>
      <c r="M176" s="1" t="s">
        <v>266</v>
      </c>
    </row>
    <row r="177" spans="1:14" hidden="1" x14ac:dyDescent="0.25">
      <c r="A177">
        <v>135</v>
      </c>
      <c r="B177">
        <v>22</v>
      </c>
      <c r="C177" t="s">
        <v>975</v>
      </c>
      <c r="D177" s="1" t="s">
        <v>251</v>
      </c>
      <c r="E177" t="s">
        <v>970</v>
      </c>
      <c r="F177" t="s">
        <v>449</v>
      </c>
      <c r="G177" t="s">
        <v>449</v>
      </c>
      <c r="H177" s="1" t="s">
        <v>258</v>
      </c>
      <c r="I177" t="s">
        <v>985</v>
      </c>
      <c r="J177" s="11" t="s">
        <v>953</v>
      </c>
      <c r="K177" t="s">
        <v>998</v>
      </c>
      <c r="L177" s="1" t="s">
        <v>263</v>
      </c>
      <c r="M177" s="1" t="s">
        <v>266</v>
      </c>
    </row>
    <row r="178" spans="1:14" hidden="1" x14ac:dyDescent="0.25">
      <c r="A178">
        <v>136</v>
      </c>
      <c r="B178">
        <v>22</v>
      </c>
      <c r="C178" t="s">
        <v>976</v>
      </c>
      <c r="D178" s="1" t="s">
        <v>250</v>
      </c>
      <c r="E178" t="s">
        <v>970</v>
      </c>
      <c r="F178" t="s">
        <v>449</v>
      </c>
      <c r="G178" t="s">
        <v>449</v>
      </c>
      <c r="H178" s="1" t="s">
        <v>258</v>
      </c>
      <c r="I178" t="s">
        <v>986</v>
      </c>
      <c r="J178" s="11" t="s">
        <v>953</v>
      </c>
      <c r="K178" t="s">
        <v>999</v>
      </c>
      <c r="L178" s="1" t="s">
        <v>263</v>
      </c>
      <c r="M178" s="1" t="s">
        <v>266</v>
      </c>
    </row>
    <row r="179" spans="1:14" hidden="1" x14ac:dyDescent="0.25">
      <c r="A179">
        <v>137</v>
      </c>
      <c r="B179">
        <v>22</v>
      </c>
      <c r="C179" t="s">
        <v>977</v>
      </c>
      <c r="D179" s="1" t="s">
        <v>255</v>
      </c>
      <c r="E179" t="s">
        <v>970</v>
      </c>
      <c r="F179" t="s">
        <v>449</v>
      </c>
      <c r="G179" t="s">
        <v>449</v>
      </c>
      <c r="H179" s="1" t="s">
        <v>258</v>
      </c>
      <c r="I179" t="s">
        <v>987</v>
      </c>
      <c r="J179" s="11" t="s">
        <v>953</v>
      </c>
      <c r="K179" t="s">
        <v>1000</v>
      </c>
      <c r="L179" s="1" t="s">
        <v>263</v>
      </c>
      <c r="M179" s="1" t="s">
        <v>266</v>
      </c>
    </row>
    <row r="180" spans="1:14" hidden="1" x14ac:dyDescent="0.25">
      <c r="A180">
        <v>138</v>
      </c>
      <c r="B180">
        <v>22</v>
      </c>
      <c r="C180" t="s">
        <v>978</v>
      </c>
      <c r="D180" s="1" t="s">
        <v>255</v>
      </c>
      <c r="E180" t="s">
        <v>970</v>
      </c>
      <c r="F180" t="s">
        <v>449</v>
      </c>
      <c r="G180" t="s">
        <v>449</v>
      </c>
      <c r="H180" s="1" t="s">
        <v>258</v>
      </c>
      <c r="I180" t="s">
        <v>988</v>
      </c>
      <c r="J180" s="11" t="s">
        <v>953</v>
      </c>
      <c r="K180" t="s">
        <v>1001</v>
      </c>
      <c r="L180" s="1" t="s">
        <v>263</v>
      </c>
      <c r="M180" s="1" t="s">
        <v>266</v>
      </c>
    </row>
    <row r="181" spans="1:14" hidden="1" x14ac:dyDescent="0.25">
      <c r="A181">
        <v>139</v>
      </c>
      <c r="B181">
        <v>22</v>
      </c>
      <c r="C181" t="s">
        <v>979</v>
      </c>
      <c r="D181" s="1" t="s">
        <v>253</v>
      </c>
      <c r="E181" t="s">
        <v>970</v>
      </c>
      <c r="F181" t="s">
        <v>449</v>
      </c>
      <c r="G181" t="s">
        <v>449</v>
      </c>
      <c r="H181" s="1" t="s">
        <v>258</v>
      </c>
      <c r="I181" t="s">
        <v>989</v>
      </c>
      <c r="J181" s="11" t="s">
        <v>953</v>
      </c>
      <c r="K181" t="s">
        <v>1002</v>
      </c>
      <c r="L181" s="1" t="s">
        <v>263</v>
      </c>
      <c r="M181" s="1" t="s">
        <v>266</v>
      </c>
    </row>
    <row r="182" spans="1:14" hidden="1" x14ac:dyDescent="0.25">
      <c r="A182">
        <v>140</v>
      </c>
      <c r="B182">
        <v>22</v>
      </c>
      <c r="C182" t="s">
        <v>980</v>
      </c>
      <c r="D182" s="1" t="s">
        <v>253</v>
      </c>
      <c r="E182" t="s">
        <v>970</v>
      </c>
      <c r="F182" t="s">
        <v>449</v>
      </c>
      <c r="G182" t="s">
        <v>449</v>
      </c>
      <c r="H182" s="1" t="s">
        <v>258</v>
      </c>
      <c r="I182" t="s">
        <v>990</v>
      </c>
      <c r="J182" s="11" t="s">
        <v>953</v>
      </c>
      <c r="K182" t="s">
        <v>1003</v>
      </c>
      <c r="L182" s="1" t="s">
        <v>263</v>
      </c>
      <c r="M182" s="1" t="s">
        <v>266</v>
      </c>
    </row>
    <row r="183" spans="1:14" hidden="1" x14ac:dyDescent="0.25">
      <c r="A183">
        <v>141</v>
      </c>
      <c r="B183">
        <v>22</v>
      </c>
      <c r="C183" t="s">
        <v>981</v>
      </c>
      <c r="D183" s="1" t="s">
        <v>254</v>
      </c>
      <c r="E183" t="s">
        <v>970</v>
      </c>
      <c r="F183" t="s">
        <v>449</v>
      </c>
      <c r="G183" t="s">
        <v>449</v>
      </c>
      <c r="H183" s="1" t="s">
        <v>258</v>
      </c>
      <c r="I183" t="s">
        <v>991</v>
      </c>
      <c r="J183" s="11" t="s">
        <v>953</v>
      </c>
      <c r="K183" t="s">
        <v>1004</v>
      </c>
      <c r="L183" s="1" t="s">
        <v>263</v>
      </c>
      <c r="M183" s="1" t="s">
        <v>270</v>
      </c>
    </row>
    <row r="184" spans="1:14" hidden="1" x14ac:dyDescent="0.25">
      <c r="A184" s="7"/>
      <c r="B184" s="7">
        <v>22</v>
      </c>
      <c r="C184" s="7"/>
      <c r="D184" s="7" t="s">
        <v>246</v>
      </c>
      <c r="E184" s="7" t="s">
        <v>970</v>
      </c>
      <c r="F184" s="7"/>
      <c r="G184" s="7"/>
      <c r="H184" s="7"/>
      <c r="I184" s="7"/>
      <c r="J184" s="7"/>
      <c r="K184" s="7"/>
      <c r="L184" s="7" t="s">
        <v>264</v>
      </c>
      <c r="M184" s="7"/>
      <c r="N184" s="7" t="s">
        <v>956</v>
      </c>
    </row>
    <row r="185" spans="1:14" hidden="1" x14ac:dyDescent="0.25">
      <c r="A185" s="7"/>
      <c r="B185" s="7">
        <v>22</v>
      </c>
      <c r="C185" s="7"/>
      <c r="D185" s="7" t="s">
        <v>247</v>
      </c>
      <c r="E185" s="7" t="s">
        <v>970</v>
      </c>
      <c r="F185" s="7"/>
      <c r="G185" s="7"/>
      <c r="H185" s="7"/>
      <c r="I185" s="7"/>
      <c r="J185" s="7"/>
      <c r="K185" s="7"/>
      <c r="L185" s="7" t="s">
        <v>264</v>
      </c>
      <c r="M185" s="7"/>
      <c r="N185" s="7" t="s">
        <v>956</v>
      </c>
    </row>
    <row r="186" spans="1:14" hidden="1" x14ac:dyDescent="0.25">
      <c r="A186" s="7"/>
      <c r="B186" s="7">
        <v>22</v>
      </c>
      <c r="C186" s="7"/>
      <c r="D186" s="7" t="s">
        <v>248</v>
      </c>
      <c r="E186" s="7" t="s">
        <v>970</v>
      </c>
      <c r="F186" s="7"/>
      <c r="G186" s="7"/>
      <c r="H186" s="7"/>
      <c r="I186" s="7"/>
      <c r="J186" s="7"/>
      <c r="K186" s="7"/>
      <c r="L186" s="7" t="s">
        <v>264</v>
      </c>
      <c r="M186" s="7"/>
      <c r="N186" s="7" t="s">
        <v>956</v>
      </c>
    </row>
    <row r="187" spans="1:14" x14ac:dyDescent="0.25">
      <c r="A187" s="4">
        <v>142</v>
      </c>
      <c r="B187" s="4">
        <v>23</v>
      </c>
      <c r="C187" s="4" t="s">
        <v>1005</v>
      </c>
      <c r="D187" s="4" t="s">
        <v>248</v>
      </c>
      <c r="E187" s="4" t="s">
        <v>1006</v>
      </c>
      <c r="F187" s="4"/>
      <c r="G187" s="4"/>
      <c r="H187" s="4" t="s">
        <v>258</v>
      </c>
      <c r="I187" s="4" t="s">
        <v>1012</v>
      </c>
      <c r="J187" s="10" t="s">
        <v>953</v>
      </c>
      <c r="K187" s="4" t="s">
        <v>1019</v>
      </c>
      <c r="L187" s="4" t="s">
        <v>262</v>
      </c>
      <c r="M187" s="4"/>
      <c r="N187" s="4" t="s">
        <v>1018</v>
      </c>
    </row>
    <row r="188" spans="1:14" hidden="1" x14ac:dyDescent="0.25">
      <c r="A188">
        <v>143</v>
      </c>
      <c r="B188">
        <v>23</v>
      </c>
      <c r="C188" t="s">
        <v>1007</v>
      </c>
      <c r="D188" s="1" t="s">
        <v>250</v>
      </c>
      <c r="E188" t="s">
        <v>1006</v>
      </c>
      <c r="H188" s="1" t="s">
        <v>258</v>
      </c>
      <c r="I188" t="s">
        <v>1013</v>
      </c>
      <c r="J188" s="11" t="s">
        <v>953</v>
      </c>
      <c r="K188" t="s">
        <v>1020</v>
      </c>
      <c r="L188" s="1" t="s">
        <v>263</v>
      </c>
      <c r="M188" s="1" t="s">
        <v>267</v>
      </c>
      <c r="N188" t="s">
        <v>1021</v>
      </c>
    </row>
    <row r="189" spans="1:14" hidden="1" x14ac:dyDescent="0.25">
      <c r="A189">
        <v>144</v>
      </c>
      <c r="B189">
        <v>23</v>
      </c>
      <c r="C189" t="s">
        <v>1008</v>
      </c>
      <c r="D189" s="1" t="s">
        <v>255</v>
      </c>
      <c r="E189" t="s">
        <v>1006</v>
      </c>
      <c r="H189" s="1" t="s">
        <v>258</v>
      </c>
      <c r="I189" t="s">
        <v>1014</v>
      </c>
      <c r="J189" s="11" t="s">
        <v>953</v>
      </c>
      <c r="K189" t="s">
        <v>1022</v>
      </c>
      <c r="L189" s="1" t="s">
        <v>263</v>
      </c>
      <c r="M189" s="1" t="s">
        <v>266</v>
      </c>
    </row>
    <row r="190" spans="1:14" hidden="1" x14ac:dyDescent="0.25">
      <c r="A190">
        <v>145</v>
      </c>
      <c r="B190">
        <v>23</v>
      </c>
      <c r="C190" t="s">
        <v>1009</v>
      </c>
      <c r="D190" s="1" t="s">
        <v>249</v>
      </c>
      <c r="E190" t="s">
        <v>1006</v>
      </c>
      <c r="H190" s="1" t="s">
        <v>258</v>
      </c>
      <c r="I190" t="s">
        <v>1015</v>
      </c>
      <c r="J190" s="11" t="s">
        <v>953</v>
      </c>
      <c r="K190" t="s">
        <v>1023</v>
      </c>
      <c r="L190" s="1" t="s">
        <v>263</v>
      </c>
      <c r="M190" s="1" t="s">
        <v>266</v>
      </c>
    </row>
    <row r="191" spans="1:14" hidden="1" x14ac:dyDescent="0.25">
      <c r="A191">
        <v>146</v>
      </c>
      <c r="B191">
        <v>23</v>
      </c>
      <c r="C191" t="s">
        <v>1010</v>
      </c>
      <c r="D191" s="1" t="s">
        <v>249</v>
      </c>
      <c r="E191" t="s">
        <v>1006</v>
      </c>
      <c r="H191" s="1" t="s">
        <v>258</v>
      </c>
      <c r="I191" t="s">
        <v>1016</v>
      </c>
      <c r="J191" s="11" t="s">
        <v>953</v>
      </c>
      <c r="K191" t="s">
        <v>1024</v>
      </c>
      <c r="L191" s="1" t="s">
        <v>263</v>
      </c>
      <c r="M191" s="1" t="s">
        <v>266</v>
      </c>
    </row>
    <row r="192" spans="1:14" hidden="1" x14ac:dyDescent="0.25">
      <c r="A192">
        <v>147</v>
      </c>
      <c r="B192">
        <v>23</v>
      </c>
      <c r="C192" t="s">
        <v>1011</v>
      </c>
      <c r="D192" s="1" t="s">
        <v>255</v>
      </c>
      <c r="E192" t="s">
        <v>1006</v>
      </c>
      <c r="H192" s="1" t="s">
        <v>258</v>
      </c>
      <c r="I192" t="s">
        <v>1017</v>
      </c>
      <c r="J192" s="11" t="s">
        <v>953</v>
      </c>
      <c r="K192" t="s">
        <v>1025</v>
      </c>
      <c r="L192" s="1" t="s">
        <v>263</v>
      </c>
      <c r="M192" s="1" t="s">
        <v>266</v>
      </c>
    </row>
    <row r="193" spans="1:14" x14ac:dyDescent="0.25">
      <c r="A193" s="4">
        <v>148</v>
      </c>
      <c r="B193" s="4">
        <v>24</v>
      </c>
      <c r="C193" s="4" t="s">
        <v>1028</v>
      </c>
      <c r="D193" s="4" t="s">
        <v>246</v>
      </c>
      <c r="E193" s="4" t="s">
        <v>1027</v>
      </c>
      <c r="F193" s="4"/>
      <c r="G193" s="4"/>
      <c r="H193" s="4" t="s">
        <v>258</v>
      </c>
      <c r="I193" s="4" t="s">
        <v>1033</v>
      </c>
      <c r="J193" s="10" t="s">
        <v>953</v>
      </c>
      <c r="K193" s="4" t="s">
        <v>1038</v>
      </c>
      <c r="L193" s="4" t="s">
        <v>262</v>
      </c>
      <c r="M193" s="4"/>
      <c r="N193" s="4" t="s">
        <v>1042</v>
      </c>
    </row>
    <row r="194" spans="1:14" x14ac:dyDescent="0.25">
      <c r="A194" s="4">
        <v>149</v>
      </c>
      <c r="B194" s="4">
        <v>24</v>
      </c>
      <c r="C194" s="4" t="s">
        <v>1029</v>
      </c>
      <c r="D194" s="4" t="s">
        <v>249</v>
      </c>
      <c r="E194" s="4" t="s">
        <v>1027</v>
      </c>
      <c r="F194" s="4"/>
      <c r="G194" s="4"/>
      <c r="H194" s="4" t="s">
        <v>258</v>
      </c>
      <c r="I194" s="4" t="s">
        <v>1034</v>
      </c>
      <c r="J194" s="10" t="s">
        <v>953</v>
      </c>
      <c r="K194" s="4" t="s">
        <v>1039</v>
      </c>
      <c r="L194" s="4" t="s">
        <v>262</v>
      </c>
      <c r="M194" s="4"/>
      <c r="N194" s="4"/>
    </row>
    <row r="195" spans="1:14" hidden="1" x14ac:dyDescent="0.25">
      <c r="A195">
        <v>150</v>
      </c>
      <c r="B195">
        <v>24</v>
      </c>
      <c r="C195" t="s">
        <v>1030</v>
      </c>
      <c r="D195" s="1" t="s">
        <v>248</v>
      </c>
      <c r="E195" t="s">
        <v>1027</v>
      </c>
      <c r="H195" s="1" t="s">
        <v>258</v>
      </c>
      <c r="I195" t="s">
        <v>1035</v>
      </c>
      <c r="J195" s="11" t="s">
        <v>953</v>
      </c>
      <c r="K195" t="s">
        <v>1040</v>
      </c>
      <c r="L195" s="1" t="s">
        <v>263</v>
      </c>
      <c r="M195" s="1" t="s">
        <v>267</v>
      </c>
      <c r="N195" t="s">
        <v>1041</v>
      </c>
    </row>
    <row r="196" spans="1:14" hidden="1" x14ac:dyDescent="0.25">
      <c r="A196">
        <v>151</v>
      </c>
      <c r="B196">
        <v>24</v>
      </c>
      <c r="C196" t="s">
        <v>1031</v>
      </c>
      <c r="D196" s="1" t="s">
        <v>255</v>
      </c>
      <c r="E196" t="s">
        <v>1027</v>
      </c>
      <c r="H196" s="1" t="s">
        <v>258</v>
      </c>
      <c r="I196" t="s">
        <v>1036</v>
      </c>
      <c r="J196" s="11" t="s">
        <v>953</v>
      </c>
      <c r="K196" t="s">
        <v>1043</v>
      </c>
      <c r="L196" s="1" t="s">
        <v>263</v>
      </c>
      <c r="M196" s="1" t="s">
        <v>266</v>
      </c>
    </row>
    <row r="197" spans="1:14" hidden="1" x14ac:dyDescent="0.25">
      <c r="A197">
        <v>152</v>
      </c>
      <c r="B197">
        <v>24</v>
      </c>
      <c r="C197" t="s">
        <v>1032</v>
      </c>
      <c r="D197" s="1" t="s">
        <v>250</v>
      </c>
      <c r="E197" t="s">
        <v>1027</v>
      </c>
      <c r="H197" s="1" t="s">
        <v>258</v>
      </c>
      <c r="I197" t="s">
        <v>1037</v>
      </c>
      <c r="J197" s="11" t="s">
        <v>953</v>
      </c>
      <c r="K197" t="s">
        <v>1044</v>
      </c>
      <c r="L197" s="1" t="s">
        <v>263</v>
      </c>
      <c r="M197" s="1" t="s">
        <v>267</v>
      </c>
      <c r="N197" t="s">
        <v>1041</v>
      </c>
    </row>
    <row r="198" spans="1:14" x14ac:dyDescent="0.25">
      <c r="A198" s="4">
        <v>153</v>
      </c>
      <c r="B198" s="4">
        <v>25</v>
      </c>
      <c r="C198" s="4" t="s">
        <v>1046</v>
      </c>
      <c r="D198" s="4" t="s">
        <v>246</v>
      </c>
      <c r="E198" s="4" t="s">
        <v>1058</v>
      </c>
      <c r="F198" s="4"/>
      <c r="G198" s="4"/>
      <c r="H198" s="4" t="s">
        <v>258</v>
      </c>
      <c r="I198" s="4" t="s">
        <v>1052</v>
      </c>
      <c r="J198" s="10" t="s">
        <v>953</v>
      </c>
      <c r="K198" s="4" t="s">
        <v>1060</v>
      </c>
      <c r="L198" s="4" t="s">
        <v>262</v>
      </c>
      <c r="M198" s="4"/>
      <c r="N198" s="4" t="s">
        <v>1059</v>
      </c>
    </row>
    <row r="199" spans="1:14" x14ac:dyDescent="0.25">
      <c r="A199" s="4">
        <v>154</v>
      </c>
      <c r="B199" s="4">
        <v>25</v>
      </c>
      <c r="C199" s="4" t="s">
        <v>1047</v>
      </c>
      <c r="D199" s="4" t="s">
        <v>248</v>
      </c>
      <c r="E199" s="4" t="s">
        <v>1058</v>
      </c>
      <c r="F199" s="4"/>
      <c r="G199" s="4"/>
      <c r="H199" s="4" t="s">
        <v>258</v>
      </c>
      <c r="I199" s="4" t="s">
        <v>1053</v>
      </c>
      <c r="J199" s="10" t="s">
        <v>953</v>
      </c>
      <c r="K199" s="4" t="s">
        <v>1062</v>
      </c>
      <c r="L199" s="4" t="s">
        <v>262</v>
      </c>
      <c r="M199" s="4"/>
      <c r="N199" s="4" t="s">
        <v>1061</v>
      </c>
    </row>
    <row r="200" spans="1:14" hidden="1" x14ac:dyDescent="0.25">
      <c r="A200">
        <v>155</v>
      </c>
      <c r="B200">
        <v>25</v>
      </c>
      <c r="C200" t="s">
        <v>1048</v>
      </c>
      <c r="D200" s="1" t="s">
        <v>248</v>
      </c>
      <c r="E200" t="s">
        <v>1058</v>
      </c>
      <c r="H200" s="1" t="s">
        <v>258</v>
      </c>
      <c r="I200" t="s">
        <v>1054</v>
      </c>
      <c r="J200" s="11" t="s">
        <v>953</v>
      </c>
      <c r="K200" t="s">
        <v>1064</v>
      </c>
      <c r="L200" s="1" t="s">
        <v>263</v>
      </c>
      <c r="M200" s="1" t="s">
        <v>267</v>
      </c>
      <c r="N200" t="s">
        <v>1063</v>
      </c>
    </row>
    <row r="201" spans="1:14" hidden="1" x14ac:dyDescent="0.25">
      <c r="A201">
        <v>156</v>
      </c>
      <c r="B201">
        <v>25</v>
      </c>
      <c r="C201" t="s">
        <v>1049</v>
      </c>
      <c r="D201" s="1" t="s">
        <v>251</v>
      </c>
      <c r="E201" t="s">
        <v>1058</v>
      </c>
      <c r="H201" s="1" t="s">
        <v>258</v>
      </c>
      <c r="I201" t="s">
        <v>1055</v>
      </c>
      <c r="J201" s="11" t="s">
        <v>953</v>
      </c>
      <c r="K201" t="s">
        <v>1065</v>
      </c>
      <c r="L201" s="1" t="s">
        <v>263</v>
      </c>
      <c r="M201" s="1" t="s">
        <v>267</v>
      </c>
      <c r="N201" t="s">
        <v>1063</v>
      </c>
    </row>
    <row r="202" spans="1:14" hidden="1" x14ac:dyDescent="0.25">
      <c r="A202">
        <v>157</v>
      </c>
      <c r="B202">
        <v>25</v>
      </c>
      <c r="C202" t="s">
        <v>1050</v>
      </c>
      <c r="D202" s="1" t="s">
        <v>249</v>
      </c>
      <c r="E202" t="s">
        <v>1058</v>
      </c>
      <c r="H202" s="1" t="s">
        <v>258</v>
      </c>
      <c r="I202" t="s">
        <v>1056</v>
      </c>
      <c r="J202" s="11" t="s">
        <v>953</v>
      </c>
      <c r="K202" t="s">
        <v>1066</v>
      </c>
      <c r="L202" s="1" t="s">
        <v>263</v>
      </c>
      <c r="M202" s="1" t="s">
        <v>266</v>
      </c>
    </row>
    <row r="203" spans="1:14" hidden="1" x14ac:dyDescent="0.25">
      <c r="A203">
        <v>158</v>
      </c>
      <c r="B203">
        <v>25</v>
      </c>
      <c r="C203" t="s">
        <v>1051</v>
      </c>
      <c r="D203" s="1" t="s">
        <v>255</v>
      </c>
      <c r="E203" t="s">
        <v>1058</v>
      </c>
      <c r="H203" s="1" t="s">
        <v>258</v>
      </c>
      <c r="I203" t="s">
        <v>1057</v>
      </c>
      <c r="J203" s="11" t="s">
        <v>953</v>
      </c>
      <c r="K203" t="s">
        <v>1067</v>
      </c>
      <c r="L203" s="1" t="s">
        <v>263</v>
      </c>
      <c r="M203" s="1" t="s">
        <v>267</v>
      </c>
      <c r="N203" t="s">
        <v>1063</v>
      </c>
    </row>
    <row r="204" spans="1:14" hidden="1" x14ac:dyDescent="0.25">
      <c r="A204">
        <v>159</v>
      </c>
      <c r="B204">
        <v>26</v>
      </c>
      <c r="C204" t="s">
        <v>1069</v>
      </c>
      <c r="D204" s="1" t="s">
        <v>249</v>
      </c>
      <c r="E204" t="s">
        <v>1072</v>
      </c>
      <c r="H204" s="1" t="s">
        <v>258</v>
      </c>
      <c r="I204" t="s">
        <v>1073</v>
      </c>
      <c r="J204" s="11" t="s">
        <v>953</v>
      </c>
      <c r="K204" t="s">
        <v>1076</v>
      </c>
      <c r="L204" s="1" t="s">
        <v>263</v>
      </c>
      <c r="M204" s="1" t="s">
        <v>266</v>
      </c>
    </row>
    <row r="205" spans="1:14" hidden="1" x14ac:dyDescent="0.25">
      <c r="A205">
        <v>160</v>
      </c>
      <c r="B205">
        <v>26</v>
      </c>
      <c r="C205" t="s">
        <v>1070</v>
      </c>
      <c r="D205" s="1" t="s">
        <v>250</v>
      </c>
      <c r="E205" t="s">
        <v>1072</v>
      </c>
      <c r="H205" s="1" t="s">
        <v>258</v>
      </c>
      <c r="I205" t="s">
        <v>1074</v>
      </c>
      <c r="J205" s="11" t="s">
        <v>953</v>
      </c>
      <c r="K205" t="s">
        <v>1077</v>
      </c>
      <c r="L205" s="1" t="s">
        <v>263</v>
      </c>
      <c r="M205" s="1" t="s">
        <v>266</v>
      </c>
    </row>
    <row r="206" spans="1:14" hidden="1" x14ac:dyDescent="0.25">
      <c r="A206">
        <v>161</v>
      </c>
      <c r="B206">
        <v>26</v>
      </c>
      <c r="C206" t="s">
        <v>1071</v>
      </c>
      <c r="D206" s="1" t="s">
        <v>249</v>
      </c>
      <c r="E206" t="s">
        <v>1072</v>
      </c>
      <c r="H206" s="1" t="s">
        <v>258</v>
      </c>
      <c r="I206" t="s">
        <v>1075</v>
      </c>
      <c r="J206" s="11" t="s">
        <v>953</v>
      </c>
      <c r="K206" t="s">
        <v>1078</v>
      </c>
      <c r="L206" s="1" t="s">
        <v>263</v>
      </c>
      <c r="M206" s="1" t="s">
        <v>266</v>
      </c>
    </row>
    <row r="207" spans="1:14" hidden="1" x14ac:dyDescent="0.25">
      <c r="A207" s="7"/>
      <c r="B207" s="7">
        <v>26</v>
      </c>
      <c r="C207" s="7"/>
      <c r="D207" s="7" t="s">
        <v>246</v>
      </c>
      <c r="E207" s="7" t="s">
        <v>1072</v>
      </c>
      <c r="F207" s="7"/>
      <c r="G207" s="7"/>
      <c r="H207" s="7"/>
      <c r="I207" s="7"/>
      <c r="J207" s="7"/>
      <c r="K207" s="7"/>
      <c r="L207" s="7" t="s">
        <v>264</v>
      </c>
      <c r="M207" s="7"/>
      <c r="N207" s="7" t="s">
        <v>956</v>
      </c>
    </row>
    <row r="208" spans="1:14" hidden="1" x14ac:dyDescent="0.25">
      <c r="A208" s="7"/>
      <c r="B208" s="7">
        <v>26</v>
      </c>
      <c r="C208" s="7"/>
      <c r="D208" s="7" t="s">
        <v>247</v>
      </c>
      <c r="E208" s="7" t="s">
        <v>1072</v>
      </c>
      <c r="F208" s="7"/>
      <c r="G208" s="7"/>
      <c r="H208" s="7"/>
      <c r="I208" s="7"/>
      <c r="J208" s="7"/>
      <c r="K208" s="7"/>
      <c r="L208" s="7" t="s">
        <v>264</v>
      </c>
      <c r="M208" s="7"/>
      <c r="N208" s="7" t="s">
        <v>956</v>
      </c>
    </row>
    <row r="209" spans="1:14" hidden="1" x14ac:dyDescent="0.25">
      <c r="A209" s="7"/>
      <c r="B209" s="7">
        <v>26</v>
      </c>
      <c r="C209" s="7"/>
      <c r="D209" s="7" t="s">
        <v>248</v>
      </c>
      <c r="E209" s="7" t="s">
        <v>1072</v>
      </c>
      <c r="F209" s="7"/>
      <c r="G209" s="7"/>
      <c r="H209" s="7"/>
      <c r="I209" s="7"/>
      <c r="J209" s="7"/>
      <c r="K209" s="7"/>
      <c r="L209" s="7" t="s">
        <v>264</v>
      </c>
      <c r="M209" s="7"/>
      <c r="N209" s="7" t="s">
        <v>956</v>
      </c>
    </row>
    <row r="210" spans="1:14" x14ac:dyDescent="0.25">
      <c r="A210" s="4">
        <v>162</v>
      </c>
      <c r="B210" s="4">
        <v>27</v>
      </c>
      <c r="C210" s="4" t="s">
        <v>1081</v>
      </c>
      <c r="D210" s="4" t="s">
        <v>250</v>
      </c>
      <c r="E210" s="4" t="s">
        <v>1079</v>
      </c>
      <c r="F210" s="4"/>
      <c r="G210" s="4"/>
      <c r="H210" s="4" t="s">
        <v>258</v>
      </c>
      <c r="I210" s="4" t="s">
        <v>1088</v>
      </c>
      <c r="J210" s="10" t="s">
        <v>953</v>
      </c>
      <c r="K210" s="4" t="s">
        <v>1097</v>
      </c>
      <c r="L210" s="4" t="s">
        <v>262</v>
      </c>
      <c r="M210" s="4"/>
      <c r="N210" s="4"/>
    </row>
    <row r="211" spans="1:14" x14ac:dyDescent="0.25">
      <c r="A211" s="4">
        <v>163</v>
      </c>
      <c r="B211" s="4">
        <v>27</v>
      </c>
      <c r="C211" s="4" t="s">
        <v>1082</v>
      </c>
      <c r="D211" s="4" t="s">
        <v>252</v>
      </c>
      <c r="E211" s="4" t="s">
        <v>1079</v>
      </c>
      <c r="F211" s="4"/>
      <c r="G211" s="4"/>
      <c r="H211" s="4" t="s">
        <v>258</v>
      </c>
      <c r="I211" s="4" t="s">
        <v>1090</v>
      </c>
      <c r="J211" s="10" t="s">
        <v>953</v>
      </c>
      <c r="K211" s="4" t="s">
        <v>1099</v>
      </c>
      <c r="L211" s="4" t="s">
        <v>262</v>
      </c>
      <c r="M211" s="4"/>
      <c r="N211" s="4"/>
    </row>
    <row r="212" spans="1:14" hidden="1" x14ac:dyDescent="0.25">
      <c r="A212">
        <v>164</v>
      </c>
      <c r="B212">
        <v>27</v>
      </c>
      <c r="C212" t="s">
        <v>1083</v>
      </c>
      <c r="D212" s="1" t="s">
        <v>249</v>
      </c>
      <c r="E212" t="s">
        <v>1079</v>
      </c>
      <c r="H212" s="1" t="s">
        <v>258</v>
      </c>
      <c r="I212" t="s">
        <v>1091</v>
      </c>
      <c r="J212" s="11" t="s">
        <v>953</v>
      </c>
      <c r="K212" t="s">
        <v>1096</v>
      </c>
      <c r="L212" s="1" t="s">
        <v>263</v>
      </c>
      <c r="M212" s="1" t="s">
        <v>266</v>
      </c>
    </row>
    <row r="213" spans="1:14" hidden="1" x14ac:dyDescent="0.25">
      <c r="A213">
        <v>165</v>
      </c>
      <c r="B213">
        <v>27</v>
      </c>
      <c r="C213" t="s">
        <v>1084</v>
      </c>
      <c r="D213" s="1" t="s">
        <v>253</v>
      </c>
      <c r="E213" t="s">
        <v>1079</v>
      </c>
      <c r="H213" s="1" t="s">
        <v>258</v>
      </c>
      <c r="I213" t="s">
        <v>1092</v>
      </c>
      <c r="J213" s="11" t="s">
        <v>953</v>
      </c>
      <c r="K213" t="s">
        <v>1095</v>
      </c>
      <c r="L213" s="1" t="s">
        <v>263</v>
      </c>
      <c r="M213" s="1" t="s">
        <v>269</v>
      </c>
    </row>
    <row r="214" spans="1:14" hidden="1" x14ac:dyDescent="0.25">
      <c r="A214">
        <v>166</v>
      </c>
      <c r="B214">
        <v>27</v>
      </c>
      <c r="C214" t="s">
        <v>1085</v>
      </c>
      <c r="D214" s="1" t="s">
        <v>255</v>
      </c>
      <c r="E214" t="s">
        <v>1079</v>
      </c>
      <c r="H214" s="1" t="s">
        <v>258</v>
      </c>
      <c r="I214" t="s">
        <v>1093</v>
      </c>
      <c r="J214" s="11" t="s">
        <v>953</v>
      </c>
      <c r="K214" t="s">
        <v>1094</v>
      </c>
      <c r="L214" s="1" t="s">
        <v>263</v>
      </c>
      <c r="M214" s="1" t="s">
        <v>270</v>
      </c>
    </row>
    <row r="215" spans="1:14" hidden="1" x14ac:dyDescent="0.25">
      <c r="A215">
        <v>167</v>
      </c>
      <c r="B215">
        <v>27</v>
      </c>
      <c r="C215" t="s">
        <v>1086</v>
      </c>
      <c r="D215" s="1" t="s">
        <v>252</v>
      </c>
      <c r="E215" t="s">
        <v>1079</v>
      </c>
      <c r="H215" s="1" t="s">
        <v>258</v>
      </c>
      <c r="I215" t="s">
        <v>1089</v>
      </c>
      <c r="J215" s="11" t="s">
        <v>953</v>
      </c>
      <c r="K215" t="s">
        <v>1098</v>
      </c>
      <c r="L215" s="1" t="s">
        <v>263</v>
      </c>
      <c r="M215" s="1" t="s">
        <v>267</v>
      </c>
      <c r="N215" t="s">
        <v>1087</v>
      </c>
    </row>
    <row r="216" spans="1:14" hidden="1" x14ac:dyDescent="0.25">
      <c r="A216" s="7"/>
      <c r="B216" s="7">
        <v>27</v>
      </c>
      <c r="C216" s="7"/>
      <c r="D216" s="7" t="s">
        <v>246</v>
      </c>
      <c r="E216" s="7" t="s">
        <v>1079</v>
      </c>
      <c r="F216" s="7"/>
      <c r="G216" s="7"/>
      <c r="H216" s="7"/>
      <c r="I216" s="7"/>
      <c r="J216" s="7"/>
      <c r="K216" s="7"/>
      <c r="L216" s="7" t="s">
        <v>264</v>
      </c>
      <c r="M216" s="7"/>
      <c r="N216" s="7" t="s">
        <v>956</v>
      </c>
    </row>
    <row r="217" spans="1:14" hidden="1" x14ac:dyDescent="0.25">
      <c r="A217" s="7"/>
      <c r="B217" s="7">
        <v>27</v>
      </c>
      <c r="C217" s="7"/>
      <c r="D217" s="7" t="s">
        <v>247</v>
      </c>
      <c r="E217" s="7" t="s">
        <v>1079</v>
      </c>
      <c r="F217" s="7"/>
      <c r="G217" s="7"/>
      <c r="H217" s="7"/>
      <c r="I217" s="7"/>
      <c r="J217" s="7"/>
      <c r="K217" s="7"/>
      <c r="L217" s="7" t="s">
        <v>264</v>
      </c>
      <c r="M217" s="7"/>
      <c r="N217" s="7" t="s">
        <v>956</v>
      </c>
    </row>
    <row r="218" spans="1:14" hidden="1" x14ac:dyDescent="0.25">
      <c r="A218" s="7"/>
      <c r="B218" s="7">
        <v>27</v>
      </c>
      <c r="C218" s="7"/>
      <c r="D218" s="7" t="s">
        <v>248</v>
      </c>
      <c r="E218" s="7" t="s">
        <v>1079</v>
      </c>
      <c r="F218" s="7"/>
      <c r="G218" s="7"/>
      <c r="H218" s="7"/>
      <c r="I218" s="7"/>
      <c r="J218" s="7"/>
      <c r="K218" s="7"/>
      <c r="L218" s="7" t="s">
        <v>264</v>
      </c>
      <c r="M218" s="7"/>
      <c r="N218" s="7" t="s">
        <v>956</v>
      </c>
    </row>
    <row r="219" spans="1:14" hidden="1" x14ac:dyDescent="0.25">
      <c r="A219">
        <v>168</v>
      </c>
      <c r="B219">
        <v>28</v>
      </c>
      <c r="C219" t="s">
        <v>1106</v>
      </c>
      <c r="D219" s="1" t="s">
        <v>252</v>
      </c>
      <c r="E219" t="s">
        <v>1112</v>
      </c>
      <c r="H219" s="1" t="s">
        <v>258</v>
      </c>
      <c r="I219" t="s">
        <v>1102</v>
      </c>
      <c r="J219" s="11" t="s">
        <v>953</v>
      </c>
      <c r="K219" t="s">
        <v>1107</v>
      </c>
      <c r="L219" s="1" t="s">
        <v>263</v>
      </c>
      <c r="M219" s="1" t="s">
        <v>266</v>
      </c>
    </row>
    <row r="220" spans="1:14" hidden="1" x14ac:dyDescent="0.25">
      <c r="A220">
        <v>169</v>
      </c>
      <c r="B220">
        <v>28</v>
      </c>
      <c r="C220" t="s">
        <v>1100</v>
      </c>
      <c r="D220" s="1" t="s">
        <v>253</v>
      </c>
      <c r="E220" t="s">
        <v>1112</v>
      </c>
      <c r="H220" s="1" t="s">
        <v>258</v>
      </c>
      <c r="I220" t="s">
        <v>1103</v>
      </c>
      <c r="J220" s="11" t="s">
        <v>953</v>
      </c>
      <c r="K220" t="s">
        <v>1108</v>
      </c>
      <c r="L220" s="1" t="s">
        <v>263</v>
      </c>
      <c r="M220" s="1" t="s">
        <v>269</v>
      </c>
      <c r="N220" t="s">
        <v>1109</v>
      </c>
    </row>
    <row r="221" spans="1:14" hidden="1" x14ac:dyDescent="0.25">
      <c r="A221">
        <v>170</v>
      </c>
      <c r="B221">
        <v>28</v>
      </c>
      <c r="C221" t="s">
        <v>249</v>
      </c>
      <c r="D221" s="1" t="s">
        <v>249</v>
      </c>
      <c r="E221" t="s">
        <v>1112</v>
      </c>
      <c r="H221" s="1" t="s">
        <v>258</v>
      </c>
      <c r="I221" t="s">
        <v>1104</v>
      </c>
      <c r="J221" s="11" t="s">
        <v>953</v>
      </c>
      <c r="K221" t="s">
        <v>1110</v>
      </c>
      <c r="L221" s="1" t="s">
        <v>263</v>
      </c>
      <c r="M221" s="1" t="s">
        <v>266</v>
      </c>
    </row>
    <row r="222" spans="1:14" hidden="1" x14ac:dyDescent="0.25">
      <c r="A222">
        <v>171</v>
      </c>
      <c r="B222">
        <v>28</v>
      </c>
      <c r="C222" t="s">
        <v>1101</v>
      </c>
      <c r="D222" s="1" t="s">
        <v>250</v>
      </c>
      <c r="E222" t="s">
        <v>1112</v>
      </c>
      <c r="H222" s="1" t="s">
        <v>258</v>
      </c>
      <c r="I222" t="s">
        <v>1105</v>
      </c>
      <c r="J222" s="11" t="s">
        <v>953</v>
      </c>
      <c r="K222" t="s">
        <v>1111</v>
      </c>
      <c r="L222" s="1" t="s">
        <v>263</v>
      </c>
      <c r="M222" s="1" t="s">
        <v>266</v>
      </c>
    </row>
    <row r="223" spans="1:14" hidden="1" x14ac:dyDescent="0.25">
      <c r="A223" s="7"/>
      <c r="B223" s="7">
        <v>28</v>
      </c>
      <c r="C223" s="7"/>
      <c r="D223" s="7" t="s">
        <v>246</v>
      </c>
      <c r="E223" s="7" t="s">
        <v>1112</v>
      </c>
      <c r="F223" s="7"/>
      <c r="G223" s="7"/>
      <c r="H223" s="7"/>
      <c r="I223" s="7"/>
      <c r="J223" s="7"/>
      <c r="K223" s="7"/>
      <c r="L223" s="7" t="s">
        <v>264</v>
      </c>
      <c r="M223" s="7"/>
      <c r="N223" s="7" t="s">
        <v>956</v>
      </c>
    </row>
    <row r="224" spans="1:14" hidden="1" x14ac:dyDescent="0.25">
      <c r="A224" s="7"/>
      <c r="B224" s="7">
        <v>28</v>
      </c>
      <c r="C224" s="7"/>
      <c r="D224" s="7" t="s">
        <v>247</v>
      </c>
      <c r="E224" s="7" t="s">
        <v>1112</v>
      </c>
      <c r="F224" s="7"/>
      <c r="G224" s="7"/>
      <c r="H224" s="7"/>
      <c r="I224" s="7"/>
      <c r="J224" s="7"/>
      <c r="K224" s="7"/>
      <c r="L224" s="7" t="s">
        <v>264</v>
      </c>
      <c r="M224" s="7"/>
      <c r="N224" s="7" t="s">
        <v>956</v>
      </c>
    </row>
    <row r="225" spans="1:14" hidden="1" x14ac:dyDescent="0.25">
      <c r="A225" s="7"/>
      <c r="B225" s="7">
        <v>28</v>
      </c>
      <c r="C225" s="7"/>
      <c r="D225" s="7" t="s">
        <v>248</v>
      </c>
      <c r="E225" s="7" t="s">
        <v>1112</v>
      </c>
      <c r="F225" s="7"/>
      <c r="G225" s="7"/>
      <c r="H225" s="7"/>
      <c r="I225" s="7"/>
      <c r="J225" s="7"/>
      <c r="K225" s="7"/>
      <c r="L225" s="7" t="s">
        <v>264</v>
      </c>
      <c r="M225" s="7"/>
      <c r="N225" s="7" t="s">
        <v>956</v>
      </c>
    </row>
    <row r="226" spans="1:14" hidden="1" x14ac:dyDescent="0.25">
      <c r="A226">
        <v>172</v>
      </c>
      <c r="B226">
        <v>29</v>
      </c>
      <c r="C226" t="s">
        <v>1123</v>
      </c>
      <c r="D226" s="1" t="s">
        <v>247</v>
      </c>
      <c r="E226" t="s">
        <v>1130</v>
      </c>
      <c r="H226" s="1" t="s">
        <v>258</v>
      </c>
      <c r="I226" t="s">
        <v>1131</v>
      </c>
      <c r="J226" s="11" t="s">
        <v>953</v>
      </c>
      <c r="K226" t="s">
        <v>1134</v>
      </c>
      <c r="L226" s="1" t="s">
        <v>263</v>
      </c>
      <c r="M226" s="1" t="s">
        <v>269</v>
      </c>
    </row>
    <row r="227" spans="1:14" hidden="1" x14ac:dyDescent="0.25">
      <c r="A227">
        <v>173</v>
      </c>
      <c r="B227">
        <v>29</v>
      </c>
      <c r="C227" t="s">
        <v>1124</v>
      </c>
      <c r="D227" s="1" t="s">
        <v>255</v>
      </c>
      <c r="E227" t="s">
        <v>1130</v>
      </c>
      <c r="H227" s="1" t="s">
        <v>258</v>
      </c>
      <c r="I227" t="s">
        <v>1132</v>
      </c>
      <c r="J227" s="11" t="s">
        <v>953</v>
      </c>
      <c r="K227" t="s">
        <v>1135</v>
      </c>
      <c r="L227" s="1" t="s">
        <v>263</v>
      </c>
      <c r="M227" s="1" t="s">
        <v>269</v>
      </c>
    </row>
    <row r="228" spans="1:14" hidden="1" x14ac:dyDescent="0.25">
      <c r="A228">
        <v>174</v>
      </c>
      <c r="B228">
        <v>29</v>
      </c>
      <c r="C228" t="s">
        <v>1125</v>
      </c>
      <c r="D228" s="1" t="s">
        <v>249</v>
      </c>
      <c r="E228" t="s">
        <v>1130</v>
      </c>
      <c r="H228" s="1" t="s">
        <v>258</v>
      </c>
      <c r="I228" t="s">
        <v>1136</v>
      </c>
      <c r="J228" s="11" t="s">
        <v>953</v>
      </c>
      <c r="K228" t="s">
        <v>1137</v>
      </c>
      <c r="L228" s="1" t="s">
        <v>263</v>
      </c>
      <c r="M228" s="1" t="s">
        <v>266</v>
      </c>
    </row>
    <row r="229" spans="1:14" hidden="1" x14ac:dyDescent="0.25">
      <c r="A229">
        <v>175</v>
      </c>
      <c r="B229">
        <v>29</v>
      </c>
      <c r="C229" t="s">
        <v>1126</v>
      </c>
      <c r="D229" s="1" t="s">
        <v>253</v>
      </c>
      <c r="E229" t="s">
        <v>1130</v>
      </c>
      <c r="H229" s="1" t="s">
        <v>258</v>
      </c>
      <c r="I229" t="s">
        <v>1133</v>
      </c>
      <c r="J229" s="11" t="s">
        <v>953</v>
      </c>
      <c r="K229" t="s">
        <v>1138</v>
      </c>
      <c r="L229" s="1" t="s">
        <v>263</v>
      </c>
      <c r="M229" s="1" t="s">
        <v>266</v>
      </c>
    </row>
    <row r="230" spans="1:14" hidden="1" x14ac:dyDescent="0.25">
      <c r="A230">
        <v>176</v>
      </c>
      <c r="B230">
        <v>29</v>
      </c>
      <c r="C230" t="s">
        <v>1127</v>
      </c>
      <c r="D230" s="1" t="s">
        <v>252</v>
      </c>
      <c r="E230" t="s">
        <v>1130</v>
      </c>
      <c r="H230" s="1" t="s">
        <v>258</v>
      </c>
      <c r="I230" t="s">
        <v>1139</v>
      </c>
      <c r="J230" s="11" t="s">
        <v>953</v>
      </c>
      <c r="K230" t="s">
        <v>1140</v>
      </c>
      <c r="L230" s="1" t="s">
        <v>263</v>
      </c>
      <c r="M230" s="1" t="s">
        <v>269</v>
      </c>
      <c r="N230" t="s">
        <v>1141</v>
      </c>
    </row>
    <row r="231" spans="1:14" hidden="1" x14ac:dyDescent="0.25">
      <c r="A231">
        <v>177</v>
      </c>
      <c r="B231">
        <v>29</v>
      </c>
      <c r="C231" t="s">
        <v>1128</v>
      </c>
      <c r="D231" s="1" t="s">
        <v>251</v>
      </c>
      <c r="E231" t="s">
        <v>1130</v>
      </c>
      <c r="H231" s="1" t="s">
        <v>258</v>
      </c>
      <c r="I231" t="s">
        <v>1142</v>
      </c>
      <c r="J231" s="11" t="s">
        <v>953</v>
      </c>
      <c r="K231" t="s">
        <v>1143</v>
      </c>
      <c r="L231" s="1" t="s">
        <v>263</v>
      </c>
      <c r="M231" s="1" t="s">
        <v>266</v>
      </c>
    </row>
    <row r="232" spans="1:14" hidden="1" x14ac:dyDescent="0.25">
      <c r="A232">
        <v>178</v>
      </c>
      <c r="B232">
        <v>29</v>
      </c>
      <c r="C232" t="s">
        <v>1129</v>
      </c>
      <c r="D232" s="1" t="s">
        <v>250</v>
      </c>
      <c r="E232" t="s">
        <v>1130</v>
      </c>
      <c r="H232" s="1" t="s">
        <v>258</v>
      </c>
      <c r="I232" t="s">
        <v>1144</v>
      </c>
      <c r="J232" s="11" t="s">
        <v>953</v>
      </c>
      <c r="K232" t="s">
        <v>1145</v>
      </c>
      <c r="L232" s="1" t="s">
        <v>263</v>
      </c>
      <c r="M232" s="1" t="s">
        <v>266</v>
      </c>
    </row>
    <row r="233" spans="1:14" hidden="1" x14ac:dyDescent="0.25">
      <c r="A233" s="7"/>
      <c r="B233" s="7">
        <v>29</v>
      </c>
      <c r="C233" s="7"/>
      <c r="D233" s="7" t="s">
        <v>246</v>
      </c>
      <c r="E233" s="7" t="s">
        <v>1130</v>
      </c>
      <c r="F233" s="7"/>
      <c r="G233" s="7"/>
      <c r="H233" s="7"/>
      <c r="I233" s="7"/>
      <c r="J233" s="7"/>
      <c r="K233" s="7"/>
      <c r="L233" s="7" t="s">
        <v>264</v>
      </c>
      <c r="M233" s="7"/>
      <c r="N233" s="7" t="s">
        <v>956</v>
      </c>
    </row>
    <row r="234" spans="1:14" hidden="1" x14ac:dyDescent="0.25">
      <c r="A234" s="7"/>
      <c r="B234" s="7">
        <v>29</v>
      </c>
      <c r="C234" s="7"/>
      <c r="D234" s="7" t="s">
        <v>247</v>
      </c>
      <c r="E234" s="7" t="s">
        <v>1130</v>
      </c>
      <c r="F234" s="7"/>
      <c r="G234" s="7"/>
      <c r="H234" s="7"/>
      <c r="I234" s="7"/>
      <c r="J234" s="7"/>
      <c r="K234" s="7"/>
      <c r="L234" s="7" t="s">
        <v>264</v>
      </c>
      <c r="M234" s="7"/>
      <c r="N234" s="7" t="s">
        <v>956</v>
      </c>
    </row>
    <row r="235" spans="1:14" hidden="1" x14ac:dyDescent="0.25">
      <c r="A235" s="7"/>
      <c r="B235" s="7">
        <v>29</v>
      </c>
      <c r="C235" s="7"/>
      <c r="D235" s="7" t="s">
        <v>248</v>
      </c>
      <c r="E235" s="7" t="s">
        <v>1130</v>
      </c>
      <c r="F235" s="7"/>
      <c r="G235" s="7"/>
      <c r="H235" s="7"/>
      <c r="I235" s="7"/>
      <c r="J235" s="7"/>
      <c r="K235" s="7"/>
      <c r="L235" s="7" t="s">
        <v>264</v>
      </c>
      <c r="M235" s="7"/>
      <c r="N235" s="7" t="s">
        <v>956</v>
      </c>
    </row>
    <row r="236" spans="1:14" hidden="1" x14ac:dyDescent="0.25">
      <c r="A236">
        <v>179</v>
      </c>
      <c r="B236">
        <v>30</v>
      </c>
      <c r="C236" t="s">
        <v>1113</v>
      </c>
      <c r="D236" s="1" t="s">
        <v>249</v>
      </c>
      <c r="E236" t="s">
        <v>1117</v>
      </c>
      <c r="H236" s="1" t="s">
        <v>258</v>
      </c>
      <c r="I236" t="s">
        <v>1118</v>
      </c>
      <c r="J236" s="11" t="s">
        <v>953</v>
      </c>
      <c r="K236" t="s">
        <v>1146</v>
      </c>
      <c r="L236" s="1" t="s">
        <v>263</v>
      </c>
      <c r="M236" s="1" t="s">
        <v>266</v>
      </c>
    </row>
    <row r="237" spans="1:14" hidden="1" x14ac:dyDescent="0.25">
      <c r="A237">
        <v>180</v>
      </c>
      <c r="B237">
        <v>30</v>
      </c>
      <c r="C237" t="s">
        <v>610</v>
      </c>
      <c r="D237" s="1" t="s">
        <v>249</v>
      </c>
      <c r="E237" t="s">
        <v>1117</v>
      </c>
      <c r="H237" s="1" t="s">
        <v>258</v>
      </c>
      <c r="I237" t="s">
        <v>1119</v>
      </c>
      <c r="J237" s="11" t="s">
        <v>953</v>
      </c>
      <c r="K237" t="s">
        <v>1147</v>
      </c>
      <c r="L237" s="1" t="s">
        <v>263</v>
      </c>
      <c r="M237" s="1" t="s">
        <v>266</v>
      </c>
    </row>
    <row r="238" spans="1:14" hidden="1" x14ac:dyDescent="0.25">
      <c r="A238">
        <v>181</v>
      </c>
      <c r="B238">
        <v>30</v>
      </c>
      <c r="C238" t="s">
        <v>1114</v>
      </c>
      <c r="D238" s="1" t="s">
        <v>249</v>
      </c>
      <c r="E238" t="s">
        <v>1117</v>
      </c>
      <c r="H238" s="1" t="s">
        <v>258</v>
      </c>
      <c r="I238" t="s">
        <v>1120</v>
      </c>
      <c r="J238" s="11" t="s">
        <v>953</v>
      </c>
      <c r="K238" t="s">
        <v>1148</v>
      </c>
      <c r="L238" s="1" t="s">
        <v>263</v>
      </c>
      <c r="M238" s="1" t="s">
        <v>266</v>
      </c>
    </row>
    <row r="239" spans="1:14" hidden="1" x14ac:dyDescent="0.25">
      <c r="A239">
        <v>182</v>
      </c>
      <c r="B239">
        <v>30</v>
      </c>
      <c r="C239" t="s">
        <v>1115</v>
      </c>
      <c r="D239" s="1" t="s">
        <v>250</v>
      </c>
      <c r="E239" t="s">
        <v>1117</v>
      </c>
      <c r="H239" s="1" t="s">
        <v>258</v>
      </c>
      <c r="I239" t="s">
        <v>1121</v>
      </c>
      <c r="J239" s="11" t="s">
        <v>953</v>
      </c>
      <c r="K239" t="s">
        <v>1149</v>
      </c>
      <c r="L239" s="1" t="s">
        <v>263</v>
      </c>
      <c r="M239" s="1" t="s">
        <v>266</v>
      </c>
    </row>
    <row r="240" spans="1:14" hidden="1" x14ac:dyDescent="0.25">
      <c r="A240">
        <v>183</v>
      </c>
      <c r="B240">
        <v>30</v>
      </c>
      <c r="C240" t="s">
        <v>1116</v>
      </c>
      <c r="D240" s="1" t="s">
        <v>253</v>
      </c>
      <c r="E240" t="s">
        <v>1117</v>
      </c>
      <c r="H240" s="1" t="s">
        <v>258</v>
      </c>
      <c r="I240" t="s">
        <v>1122</v>
      </c>
      <c r="J240" s="11" t="s">
        <v>953</v>
      </c>
      <c r="K240" t="s">
        <v>1150</v>
      </c>
      <c r="L240" s="1" t="s">
        <v>263</v>
      </c>
      <c r="M240" s="1" t="s">
        <v>266</v>
      </c>
    </row>
    <row r="241" spans="1:15" hidden="1" x14ac:dyDescent="0.25">
      <c r="A241" s="7"/>
      <c r="B241" s="7">
        <v>30</v>
      </c>
      <c r="C241" s="7"/>
      <c r="D241" s="7" t="s">
        <v>246</v>
      </c>
      <c r="E241" s="7" t="s">
        <v>1117</v>
      </c>
      <c r="F241" s="7"/>
      <c r="G241" s="7"/>
      <c r="H241" s="7"/>
      <c r="I241" s="7"/>
      <c r="J241" s="7"/>
      <c r="K241" s="7"/>
      <c r="L241" s="7" t="s">
        <v>264</v>
      </c>
      <c r="M241" s="7"/>
      <c r="N241" s="7" t="s">
        <v>956</v>
      </c>
    </row>
    <row r="242" spans="1:15" hidden="1" x14ac:dyDescent="0.25">
      <c r="A242" s="7"/>
      <c r="B242" s="7">
        <v>30</v>
      </c>
      <c r="C242" s="7"/>
      <c r="D242" s="7" t="s">
        <v>247</v>
      </c>
      <c r="E242" s="7" t="s">
        <v>1117</v>
      </c>
      <c r="F242" s="7"/>
      <c r="G242" s="7"/>
      <c r="H242" s="7"/>
      <c r="I242" s="7"/>
      <c r="J242" s="7"/>
      <c r="K242" s="7"/>
      <c r="L242" s="7" t="s">
        <v>264</v>
      </c>
      <c r="M242" s="7"/>
      <c r="N242" s="7" t="s">
        <v>956</v>
      </c>
    </row>
    <row r="243" spans="1:15" hidden="1" x14ac:dyDescent="0.25">
      <c r="A243" s="7"/>
      <c r="B243" s="7">
        <v>30</v>
      </c>
      <c r="C243" s="7"/>
      <c r="D243" s="7" t="s">
        <v>248</v>
      </c>
      <c r="E243" s="7" t="s">
        <v>1117</v>
      </c>
      <c r="F243" s="7"/>
      <c r="G243" s="7"/>
      <c r="H243" s="7"/>
      <c r="I243" s="7"/>
      <c r="J243" s="7"/>
      <c r="K243" s="7"/>
      <c r="L243" s="7" t="s">
        <v>264</v>
      </c>
      <c r="M243" s="7"/>
      <c r="N243" s="7" t="s">
        <v>956</v>
      </c>
    </row>
    <row r="244" spans="1:15" x14ac:dyDescent="0.25">
      <c r="A244" s="4">
        <v>184</v>
      </c>
      <c r="B244" s="4">
        <v>31</v>
      </c>
      <c r="C244" s="4" t="s">
        <v>1170</v>
      </c>
      <c r="D244" s="4" t="s">
        <v>248</v>
      </c>
      <c r="E244" s="4" t="s">
        <v>1151</v>
      </c>
      <c r="F244" s="4"/>
      <c r="G244" s="4"/>
      <c r="H244" s="4" t="s">
        <v>258</v>
      </c>
      <c r="I244" s="4" t="s">
        <v>1174</v>
      </c>
      <c r="J244" s="10" t="s">
        <v>953</v>
      </c>
      <c r="K244" s="4" t="s">
        <v>1178</v>
      </c>
      <c r="L244" s="4" t="s">
        <v>262</v>
      </c>
      <c r="M244" s="4"/>
      <c r="N244" s="4"/>
    </row>
    <row r="245" spans="1:15" hidden="1" x14ac:dyDescent="0.25">
      <c r="A245">
        <v>185</v>
      </c>
      <c r="B245">
        <v>31</v>
      </c>
      <c r="C245" t="s">
        <v>1171</v>
      </c>
      <c r="D245" s="1" t="s">
        <v>249</v>
      </c>
      <c r="E245" t="s">
        <v>1151</v>
      </c>
      <c r="H245" s="1" t="s">
        <v>258</v>
      </c>
      <c r="I245" t="s">
        <v>1175</v>
      </c>
      <c r="J245" s="11" t="s">
        <v>953</v>
      </c>
      <c r="K245" t="s">
        <v>1179</v>
      </c>
      <c r="L245" s="1" t="s">
        <v>263</v>
      </c>
      <c r="M245" s="1" t="s">
        <v>266</v>
      </c>
    </row>
    <row r="246" spans="1:15" hidden="1" x14ac:dyDescent="0.25">
      <c r="A246">
        <v>186</v>
      </c>
      <c r="B246">
        <v>31</v>
      </c>
      <c r="C246" t="s">
        <v>1172</v>
      </c>
      <c r="D246" s="1" t="s">
        <v>253</v>
      </c>
      <c r="E246" t="s">
        <v>1151</v>
      </c>
      <c r="H246" s="1" t="s">
        <v>258</v>
      </c>
      <c r="I246" t="s">
        <v>1176</v>
      </c>
      <c r="J246" s="11" t="s">
        <v>953</v>
      </c>
      <c r="K246" t="s">
        <v>1180</v>
      </c>
      <c r="L246" s="1" t="s">
        <v>263</v>
      </c>
      <c r="M246" s="1" t="s">
        <v>269</v>
      </c>
    </row>
    <row r="247" spans="1:15" hidden="1" x14ac:dyDescent="0.25">
      <c r="A247">
        <v>187</v>
      </c>
      <c r="B247">
        <v>31</v>
      </c>
      <c r="C247" t="s">
        <v>1173</v>
      </c>
      <c r="D247" s="1" t="s">
        <v>252</v>
      </c>
      <c r="E247" t="s">
        <v>1151</v>
      </c>
      <c r="H247" s="1" t="s">
        <v>258</v>
      </c>
      <c r="I247" t="s">
        <v>1177</v>
      </c>
      <c r="J247" s="11" t="s">
        <v>953</v>
      </c>
      <c r="K247" t="s">
        <v>1181</v>
      </c>
      <c r="L247" s="1" t="s">
        <v>263</v>
      </c>
      <c r="M247" s="1" t="s">
        <v>269</v>
      </c>
    </row>
    <row r="248" spans="1:15" hidden="1" x14ac:dyDescent="0.25">
      <c r="A248" s="7"/>
      <c r="B248" s="7">
        <v>31</v>
      </c>
      <c r="C248" s="7"/>
      <c r="D248" s="7" t="s">
        <v>246</v>
      </c>
      <c r="E248" s="7" t="s">
        <v>1151</v>
      </c>
      <c r="F248" s="7"/>
      <c r="G248" s="7"/>
      <c r="H248" s="7"/>
      <c r="I248" s="7"/>
      <c r="J248" s="7"/>
      <c r="K248" s="7"/>
      <c r="L248" s="7" t="s">
        <v>264</v>
      </c>
      <c r="M248" s="7"/>
      <c r="N248" s="7" t="s">
        <v>956</v>
      </c>
    </row>
    <row r="249" spans="1:15" hidden="1" x14ac:dyDescent="0.25">
      <c r="A249" s="7"/>
      <c r="B249" s="7">
        <v>31</v>
      </c>
      <c r="C249" s="7"/>
      <c r="D249" s="7" t="s">
        <v>247</v>
      </c>
      <c r="E249" s="7" t="s">
        <v>1151</v>
      </c>
      <c r="F249" s="7"/>
      <c r="G249" s="7"/>
      <c r="H249" s="7"/>
      <c r="I249" s="7"/>
      <c r="J249" s="7"/>
      <c r="K249" s="7"/>
      <c r="L249" s="7" t="s">
        <v>264</v>
      </c>
      <c r="M249" s="7"/>
      <c r="N249" s="7" t="s">
        <v>956</v>
      </c>
    </row>
    <row r="250" spans="1:15" x14ac:dyDescent="0.25">
      <c r="A250" s="4">
        <v>188</v>
      </c>
      <c r="B250" s="4">
        <v>32</v>
      </c>
      <c r="C250" s="4" t="s">
        <v>1153</v>
      </c>
      <c r="D250" s="4" t="s">
        <v>247</v>
      </c>
      <c r="E250" s="4" t="s">
        <v>1152</v>
      </c>
      <c r="F250" s="4"/>
      <c r="G250" s="4"/>
      <c r="H250" s="4" t="s">
        <v>258</v>
      </c>
      <c r="I250" s="4" t="s">
        <v>1160</v>
      </c>
      <c r="J250" s="10" t="s">
        <v>953</v>
      </c>
      <c r="K250" s="4" t="s">
        <v>1182</v>
      </c>
      <c r="L250" s="4" t="s">
        <v>262</v>
      </c>
      <c r="M250" s="4"/>
      <c r="N250" s="4"/>
      <c r="O250" t="s">
        <v>1364</v>
      </c>
    </row>
    <row r="251" spans="1:15" x14ac:dyDescent="0.25">
      <c r="A251" s="4">
        <v>189</v>
      </c>
      <c r="B251" s="4">
        <v>32</v>
      </c>
      <c r="C251" s="4" t="s">
        <v>1159</v>
      </c>
      <c r="D251" s="4" t="s">
        <v>246</v>
      </c>
      <c r="E251" s="4" t="s">
        <v>1152</v>
      </c>
      <c r="F251" s="4"/>
      <c r="G251" s="4"/>
      <c r="H251" s="4" t="s">
        <v>258</v>
      </c>
      <c r="I251" s="4" t="s">
        <v>1161</v>
      </c>
      <c r="J251" s="10" t="s">
        <v>953</v>
      </c>
      <c r="K251" s="4" t="s">
        <v>1183</v>
      </c>
      <c r="L251" s="4" t="s">
        <v>262</v>
      </c>
      <c r="M251" s="4"/>
      <c r="N251" s="4"/>
      <c r="O251" t="s">
        <v>1364</v>
      </c>
    </row>
    <row r="252" spans="1:15" x14ac:dyDescent="0.25">
      <c r="A252" s="4">
        <v>190</v>
      </c>
      <c r="B252" s="4">
        <v>32</v>
      </c>
      <c r="C252" s="4" t="s">
        <v>1154</v>
      </c>
      <c r="D252" s="4" t="s">
        <v>248</v>
      </c>
      <c r="E252" s="4" t="s">
        <v>1152</v>
      </c>
      <c r="F252" s="4"/>
      <c r="G252" s="4"/>
      <c r="H252" s="4" t="s">
        <v>258</v>
      </c>
      <c r="I252" s="4" t="s">
        <v>1162</v>
      </c>
      <c r="J252" s="10" t="s">
        <v>953</v>
      </c>
      <c r="K252" s="4" t="s">
        <v>1184</v>
      </c>
      <c r="L252" s="4" t="s">
        <v>262</v>
      </c>
      <c r="M252" s="4"/>
      <c r="N252" s="4"/>
    </row>
    <row r="253" spans="1:15" hidden="1" x14ac:dyDescent="0.25">
      <c r="A253">
        <v>191</v>
      </c>
      <c r="B253">
        <v>32</v>
      </c>
      <c r="C253" t="s">
        <v>1155</v>
      </c>
      <c r="D253" s="1" t="s">
        <v>250</v>
      </c>
      <c r="E253" t="s">
        <v>1152</v>
      </c>
      <c r="H253" s="1" t="s">
        <v>258</v>
      </c>
      <c r="I253" t="s">
        <v>1163</v>
      </c>
      <c r="J253" s="11" t="s">
        <v>953</v>
      </c>
      <c r="K253" t="s">
        <v>1185</v>
      </c>
      <c r="L253" s="1" t="s">
        <v>263</v>
      </c>
      <c r="M253" s="1" t="s">
        <v>267</v>
      </c>
      <c r="N253" t="s">
        <v>1168</v>
      </c>
    </row>
    <row r="254" spans="1:15" hidden="1" x14ac:dyDescent="0.25">
      <c r="A254">
        <v>192</v>
      </c>
      <c r="B254">
        <v>32</v>
      </c>
      <c r="C254" t="s">
        <v>610</v>
      </c>
      <c r="D254" s="1" t="s">
        <v>249</v>
      </c>
      <c r="E254" t="s">
        <v>1152</v>
      </c>
      <c r="H254" s="1" t="s">
        <v>258</v>
      </c>
      <c r="I254" t="s">
        <v>1164</v>
      </c>
      <c r="J254" s="11" t="s">
        <v>953</v>
      </c>
      <c r="K254" t="s">
        <v>1186</v>
      </c>
      <c r="L254" s="1" t="s">
        <v>263</v>
      </c>
      <c r="M254" s="1" t="s">
        <v>267</v>
      </c>
      <c r="N254" t="s">
        <v>1168</v>
      </c>
    </row>
    <row r="255" spans="1:15" hidden="1" x14ac:dyDescent="0.25">
      <c r="A255">
        <v>193</v>
      </c>
      <c r="B255">
        <v>32</v>
      </c>
      <c r="C255" t="s">
        <v>1156</v>
      </c>
      <c r="D255" s="1" t="s">
        <v>249</v>
      </c>
      <c r="E255" t="s">
        <v>1152</v>
      </c>
      <c r="H255" s="1" t="s">
        <v>258</v>
      </c>
      <c r="I255" t="s">
        <v>1165</v>
      </c>
      <c r="J255" s="11" t="s">
        <v>953</v>
      </c>
      <c r="K255" t="s">
        <v>1187</v>
      </c>
      <c r="L255" s="1" t="s">
        <v>263</v>
      </c>
      <c r="M255" s="1" t="s">
        <v>267</v>
      </c>
      <c r="N255" t="s">
        <v>1168</v>
      </c>
    </row>
    <row r="256" spans="1:15" x14ac:dyDescent="0.25">
      <c r="A256" s="4">
        <v>194</v>
      </c>
      <c r="B256" s="4">
        <v>32</v>
      </c>
      <c r="C256" s="4" t="s">
        <v>1157</v>
      </c>
      <c r="D256" s="4" t="s">
        <v>246</v>
      </c>
      <c r="E256" s="4" t="s">
        <v>1152</v>
      </c>
      <c r="F256" s="4"/>
      <c r="G256" s="4"/>
      <c r="H256" s="4" t="s">
        <v>258</v>
      </c>
      <c r="I256" s="4" t="s">
        <v>1166</v>
      </c>
      <c r="J256" s="10" t="s">
        <v>953</v>
      </c>
      <c r="K256" s="4" t="s">
        <v>1188</v>
      </c>
      <c r="L256" s="4" t="s">
        <v>262</v>
      </c>
      <c r="M256" s="4"/>
      <c r="N256" s="4"/>
      <c r="O256" t="s">
        <v>1364</v>
      </c>
    </row>
    <row r="257" spans="1:14" hidden="1" x14ac:dyDescent="0.25">
      <c r="A257">
        <v>195</v>
      </c>
      <c r="B257">
        <v>32</v>
      </c>
      <c r="C257" t="s">
        <v>1158</v>
      </c>
      <c r="D257" s="1" t="s">
        <v>253</v>
      </c>
      <c r="E257" t="s">
        <v>1152</v>
      </c>
      <c r="H257" s="1" t="s">
        <v>258</v>
      </c>
      <c r="I257" t="s">
        <v>1167</v>
      </c>
      <c r="J257" s="11" t="s">
        <v>953</v>
      </c>
      <c r="K257" t="s">
        <v>1189</v>
      </c>
      <c r="L257" s="1" t="s">
        <v>263</v>
      </c>
      <c r="M257" s="1" t="s">
        <v>267</v>
      </c>
      <c r="N257" t="s">
        <v>1168</v>
      </c>
    </row>
    <row r="258" spans="1:14" hidden="1" x14ac:dyDescent="0.25">
      <c r="A258">
        <v>196</v>
      </c>
      <c r="B258">
        <v>33</v>
      </c>
      <c r="C258" t="s">
        <v>1192</v>
      </c>
      <c r="D258" s="1" t="s">
        <v>249</v>
      </c>
      <c r="E258" t="s">
        <v>1202</v>
      </c>
      <c r="H258" s="1" t="s">
        <v>258</v>
      </c>
      <c r="I258" t="s">
        <v>1193</v>
      </c>
      <c r="J258" t="s">
        <v>1190</v>
      </c>
      <c r="K258" t="s">
        <v>1204</v>
      </c>
      <c r="L258" s="1" t="s">
        <v>263</v>
      </c>
      <c r="M258" s="1" t="s">
        <v>266</v>
      </c>
    </row>
    <row r="259" spans="1:14" hidden="1" x14ac:dyDescent="0.25">
      <c r="A259">
        <v>197</v>
      </c>
      <c r="B259">
        <v>33</v>
      </c>
      <c r="C259" t="s">
        <v>1194</v>
      </c>
      <c r="D259" s="1" t="s">
        <v>249</v>
      </c>
      <c r="E259" t="s">
        <v>1202</v>
      </c>
      <c r="H259" s="1" t="s">
        <v>258</v>
      </c>
      <c r="I259" t="s">
        <v>1195</v>
      </c>
      <c r="J259" t="s">
        <v>1190</v>
      </c>
      <c r="K259" t="s">
        <v>1205</v>
      </c>
      <c r="L259" s="1" t="s">
        <v>263</v>
      </c>
      <c r="M259" s="1" t="s">
        <v>266</v>
      </c>
    </row>
    <row r="260" spans="1:14" hidden="1" x14ac:dyDescent="0.25">
      <c r="A260">
        <v>198</v>
      </c>
      <c r="B260">
        <v>33</v>
      </c>
      <c r="C260" t="s">
        <v>1196</v>
      </c>
      <c r="D260" s="1" t="s">
        <v>250</v>
      </c>
      <c r="E260" t="s">
        <v>1202</v>
      </c>
      <c r="H260" s="1" t="s">
        <v>258</v>
      </c>
      <c r="I260" t="s">
        <v>1197</v>
      </c>
      <c r="J260" t="s">
        <v>1190</v>
      </c>
      <c r="K260" t="s">
        <v>1206</v>
      </c>
      <c r="L260" s="1" t="s">
        <v>263</v>
      </c>
      <c r="M260" s="1" t="s">
        <v>266</v>
      </c>
    </row>
    <row r="261" spans="1:14" hidden="1" x14ac:dyDescent="0.25">
      <c r="A261">
        <v>199</v>
      </c>
      <c r="B261">
        <v>33</v>
      </c>
      <c r="C261" t="s">
        <v>1198</v>
      </c>
      <c r="D261" s="1" t="s">
        <v>250</v>
      </c>
      <c r="E261" t="s">
        <v>1202</v>
      </c>
      <c r="H261" s="1" t="s">
        <v>258</v>
      </c>
      <c r="I261" t="s">
        <v>1199</v>
      </c>
      <c r="J261" t="s">
        <v>1190</v>
      </c>
      <c r="K261" t="s">
        <v>1207</v>
      </c>
      <c r="L261" s="1" t="s">
        <v>263</v>
      </c>
      <c r="M261" s="1" t="s">
        <v>266</v>
      </c>
    </row>
    <row r="262" spans="1:14" hidden="1" x14ac:dyDescent="0.25">
      <c r="A262">
        <v>200</v>
      </c>
      <c r="B262">
        <v>33</v>
      </c>
      <c r="C262" t="s">
        <v>1200</v>
      </c>
      <c r="D262" s="1" t="s">
        <v>252</v>
      </c>
      <c r="E262" t="s">
        <v>1202</v>
      </c>
      <c r="H262" s="1" t="s">
        <v>258</v>
      </c>
      <c r="I262" t="s">
        <v>1201</v>
      </c>
      <c r="J262" t="s">
        <v>1190</v>
      </c>
      <c r="K262" t="s">
        <v>1208</v>
      </c>
      <c r="L262" s="1" t="s">
        <v>263</v>
      </c>
      <c r="M262" s="1" t="s">
        <v>266</v>
      </c>
    </row>
    <row r="263" spans="1:14" hidden="1" x14ac:dyDescent="0.25">
      <c r="A263" s="7"/>
      <c r="B263" s="7">
        <v>33</v>
      </c>
      <c r="C263" s="7"/>
      <c r="D263" s="7" t="s">
        <v>246</v>
      </c>
      <c r="E263" s="7" t="s">
        <v>1202</v>
      </c>
      <c r="F263" s="7"/>
      <c r="G263" s="7"/>
      <c r="H263" s="7"/>
      <c r="I263" s="7"/>
      <c r="J263" s="7"/>
      <c r="K263" s="7"/>
      <c r="L263" s="7" t="s">
        <v>264</v>
      </c>
      <c r="M263" s="7"/>
      <c r="N263" s="7" t="s">
        <v>1203</v>
      </c>
    </row>
    <row r="264" spans="1:14" hidden="1" x14ac:dyDescent="0.25">
      <c r="A264" s="7"/>
      <c r="B264" s="7">
        <v>33</v>
      </c>
      <c r="C264" s="7"/>
      <c r="D264" s="7" t="s">
        <v>247</v>
      </c>
      <c r="E264" s="7" t="s">
        <v>1202</v>
      </c>
      <c r="F264" s="7"/>
      <c r="G264" s="7"/>
      <c r="H264" s="7"/>
      <c r="I264" s="7"/>
      <c r="J264" s="7"/>
      <c r="K264" s="7"/>
      <c r="L264" s="7" t="s">
        <v>264</v>
      </c>
      <c r="M264" s="7"/>
      <c r="N264" s="7" t="s">
        <v>1203</v>
      </c>
    </row>
    <row r="265" spans="1:14" hidden="1" x14ac:dyDescent="0.25">
      <c r="A265" s="7"/>
      <c r="B265" s="7">
        <v>33</v>
      </c>
      <c r="C265" s="7"/>
      <c r="D265" s="7" t="s">
        <v>248</v>
      </c>
      <c r="E265" s="7" t="s">
        <v>1202</v>
      </c>
      <c r="F265" s="7"/>
      <c r="G265" s="7"/>
      <c r="H265" s="7"/>
      <c r="I265" s="7"/>
      <c r="J265" s="7"/>
      <c r="K265" s="7"/>
      <c r="L265" s="7" t="s">
        <v>264</v>
      </c>
      <c r="M265" s="7"/>
      <c r="N265" s="7" t="s">
        <v>1203</v>
      </c>
    </row>
    <row r="266" spans="1:14" x14ac:dyDescent="0.25">
      <c r="A266" s="4">
        <v>201</v>
      </c>
      <c r="B266" s="4">
        <v>34</v>
      </c>
      <c r="C266" s="4" t="s">
        <v>1211</v>
      </c>
      <c r="D266" s="4" t="s">
        <v>248</v>
      </c>
      <c r="E266" s="4" t="s">
        <v>1210</v>
      </c>
      <c r="F266" s="4"/>
      <c r="G266" s="4"/>
      <c r="H266" s="4" t="s">
        <v>258</v>
      </c>
      <c r="I266" s="4" t="s">
        <v>1218</v>
      </c>
      <c r="J266" s="4" t="s">
        <v>1190</v>
      </c>
      <c r="K266" s="4" t="s">
        <v>1219</v>
      </c>
      <c r="L266" s="4" t="s">
        <v>262</v>
      </c>
      <c r="M266" s="4"/>
      <c r="N266" s="4"/>
    </row>
    <row r="267" spans="1:14" hidden="1" x14ac:dyDescent="0.25">
      <c r="A267">
        <v>202</v>
      </c>
      <c r="B267">
        <v>34</v>
      </c>
      <c r="C267" t="s">
        <v>1212</v>
      </c>
      <c r="D267" s="1" t="s">
        <v>251</v>
      </c>
      <c r="E267" t="s">
        <v>1210</v>
      </c>
      <c r="H267" s="1" t="s">
        <v>258</v>
      </c>
      <c r="I267" t="s">
        <v>1220</v>
      </c>
      <c r="J267" t="s">
        <v>1190</v>
      </c>
      <c r="K267" t="s">
        <v>1222</v>
      </c>
      <c r="L267" s="1" t="s">
        <v>263</v>
      </c>
      <c r="M267" s="1" t="s">
        <v>267</v>
      </c>
      <c r="N267" t="s">
        <v>1221</v>
      </c>
    </row>
    <row r="268" spans="1:14" hidden="1" x14ac:dyDescent="0.25">
      <c r="A268">
        <v>203</v>
      </c>
      <c r="B268">
        <v>34</v>
      </c>
      <c r="C268" t="s">
        <v>1213</v>
      </c>
      <c r="D268" s="1" t="s">
        <v>249</v>
      </c>
      <c r="E268" t="s">
        <v>1210</v>
      </c>
      <c r="H268" s="1" t="s">
        <v>258</v>
      </c>
      <c r="I268" t="s">
        <v>1223</v>
      </c>
      <c r="J268" t="s">
        <v>1190</v>
      </c>
      <c r="K268" t="s">
        <v>1224</v>
      </c>
      <c r="L268" s="1" t="s">
        <v>263</v>
      </c>
      <c r="M268" s="1" t="s">
        <v>266</v>
      </c>
    </row>
    <row r="269" spans="1:14" hidden="1" x14ac:dyDescent="0.25">
      <c r="A269">
        <v>204</v>
      </c>
      <c r="B269">
        <v>34</v>
      </c>
      <c r="C269" t="s">
        <v>1214</v>
      </c>
      <c r="D269" s="1" t="s">
        <v>249</v>
      </c>
      <c r="E269" t="s">
        <v>1210</v>
      </c>
      <c r="H269" s="1" t="s">
        <v>258</v>
      </c>
      <c r="I269" t="s">
        <v>1225</v>
      </c>
      <c r="J269" t="s">
        <v>1190</v>
      </c>
      <c r="K269" t="s">
        <v>1226</v>
      </c>
      <c r="L269" s="1" t="s">
        <v>263</v>
      </c>
      <c r="M269" s="1" t="s">
        <v>266</v>
      </c>
    </row>
    <row r="270" spans="1:14" hidden="1" x14ac:dyDescent="0.25">
      <c r="A270">
        <v>205</v>
      </c>
      <c r="B270">
        <v>34</v>
      </c>
      <c r="C270" t="s">
        <v>1215</v>
      </c>
      <c r="D270" s="1" t="s">
        <v>250</v>
      </c>
      <c r="E270" t="s">
        <v>1210</v>
      </c>
      <c r="H270" s="1" t="s">
        <v>258</v>
      </c>
      <c r="I270" t="s">
        <v>1227</v>
      </c>
      <c r="J270" t="s">
        <v>1190</v>
      </c>
      <c r="K270" t="s">
        <v>1228</v>
      </c>
      <c r="L270" s="1" t="s">
        <v>263</v>
      </c>
      <c r="M270" s="1" t="s">
        <v>266</v>
      </c>
    </row>
    <row r="271" spans="1:14" hidden="1" x14ac:dyDescent="0.25">
      <c r="A271">
        <v>206</v>
      </c>
      <c r="B271">
        <v>34</v>
      </c>
      <c r="C271" t="s">
        <v>1230</v>
      </c>
      <c r="D271" s="1" t="s">
        <v>253</v>
      </c>
      <c r="E271" t="s">
        <v>1210</v>
      </c>
      <c r="H271" s="1" t="s">
        <v>258</v>
      </c>
      <c r="I271" t="s">
        <v>1229</v>
      </c>
      <c r="J271" t="s">
        <v>1190</v>
      </c>
      <c r="K271" t="s">
        <v>1231</v>
      </c>
      <c r="L271" s="1" t="s">
        <v>263</v>
      </c>
      <c r="M271" s="1" t="s">
        <v>269</v>
      </c>
    </row>
    <row r="272" spans="1:14" hidden="1" x14ac:dyDescent="0.25">
      <c r="A272">
        <v>207</v>
      </c>
      <c r="B272">
        <v>34</v>
      </c>
      <c r="C272" t="s">
        <v>1216</v>
      </c>
      <c r="D272" s="1" t="s">
        <v>251</v>
      </c>
      <c r="E272" t="s">
        <v>1210</v>
      </c>
      <c r="H272" s="1" t="s">
        <v>258</v>
      </c>
      <c r="I272" t="s">
        <v>1236</v>
      </c>
      <c r="J272" t="s">
        <v>1190</v>
      </c>
      <c r="K272" t="s">
        <v>1237</v>
      </c>
      <c r="L272" s="1" t="s">
        <v>263</v>
      </c>
      <c r="M272" s="1" t="s">
        <v>267</v>
      </c>
      <c r="N272" t="s">
        <v>1221</v>
      </c>
    </row>
    <row r="273" spans="1:14" hidden="1" x14ac:dyDescent="0.25">
      <c r="A273">
        <v>208</v>
      </c>
      <c r="B273">
        <v>34</v>
      </c>
      <c r="C273" t="s">
        <v>1239</v>
      </c>
      <c r="D273" s="1" t="s">
        <v>254</v>
      </c>
      <c r="E273" t="s">
        <v>1210</v>
      </c>
      <c r="H273" s="1" t="s">
        <v>258</v>
      </c>
      <c r="I273" t="s">
        <v>1238</v>
      </c>
      <c r="J273" t="s">
        <v>1190</v>
      </c>
      <c r="K273" t="s">
        <v>1240</v>
      </c>
      <c r="L273" s="1" t="s">
        <v>263</v>
      </c>
      <c r="M273" s="1" t="s">
        <v>270</v>
      </c>
    </row>
    <row r="274" spans="1:14" hidden="1" x14ac:dyDescent="0.25">
      <c r="A274">
        <v>209</v>
      </c>
      <c r="B274">
        <v>34</v>
      </c>
      <c r="C274" t="s">
        <v>1217</v>
      </c>
      <c r="D274" s="1" t="s">
        <v>253</v>
      </c>
      <c r="E274" t="s">
        <v>1210</v>
      </c>
      <c r="H274" s="1" t="s">
        <v>258</v>
      </c>
      <c r="I274" t="s">
        <v>1241</v>
      </c>
      <c r="J274" t="s">
        <v>1190</v>
      </c>
      <c r="K274" t="s">
        <v>1242</v>
      </c>
      <c r="L274" s="1" t="s">
        <v>263</v>
      </c>
      <c r="M274" s="1" t="s">
        <v>269</v>
      </c>
    </row>
    <row r="275" spans="1:14" hidden="1" x14ac:dyDescent="0.25">
      <c r="A275">
        <v>209</v>
      </c>
      <c r="B275">
        <v>34</v>
      </c>
      <c r="C275" t="s">
        <v>1232</v>
      </c>
      <c r="D275" s="1" t="s">
        <v>255</v>
      </c>
      <c r="E275" t="s">
        <v>1210</v>
      </c>
      <c r="H275" s="1" t="s">
        <v>258</v>
      </c>
      <c r="I275" t="s">
        <v>1234</v>
      </c>
      <c r="J275" t="s">
        <v>1190</v>
      </c>
      <c r="K275" t="s">
        <v>1233</v>
      </c>
      <c r="L275" s="1" t="s">
        <v>263</v>
      </c>
      <c r="M275" s="1" t="s">
        <v>269</v>
      </c>
    </row>
    <row r="276" spans="1:14" hidden="1" x14ac:dyDescent="0.25">
      <c r="A276" s="7"/>
      <c r="B276" s="7">
        <v>34</v>
      </c>
      <c r="C276" s="7"/>
      <c r="D276" s="7" t="s">
        <v>246</v>
      </c>
      <c r="E276" s="7" t="s">
        <v>1210</v>
      </c>
      <c r="F276" s="7"/>
      <c r="G276" s="7"/>
      <c r="H276" s="7"/>
      <c r="I276" s="7"/>
      <c r="J276" s="7"/>
      <c r="K276" s="7"/>
      <c r="L276" s="7" t="s">
        <v>264</v>
      </c>
      <c r="M276" s="7"/>
      <c r="N276" s="7" t="s">
        <v>1235</v>
      </c>
    </row>
    <row r="277" spans="1:14" hidden="1" x14ac:dyDescent="0.25">
      <c r="A277" s="7"/>
      <c r="B277" s="7">
        <v>34</v>
      </c>
      <c r="C277" s="7"/>
      <c r="D277" s="7" t="s">
        <v>247</v>
      </c>
      <c r="E277" s="7" t="s">
        <v>1210</v>
      </c>
      <c r="F277" s="7"/>
      <c r="G277" s="7"/>
      <c r="H277" s="7"/>
      <c r="I277" s="7"/>
      <c r="J277" s="7"/>
      <c r="K277" s="7"/>
      <c r="L277" s="7" t="s">
        <v>264</v>
      </c>
      <c r="M277" s="7"/>
      <c r="N277" s="7" t="s">
        <v>1235</v>
      </c>
    </row>
    <row r="278" spans="1:14" hidden="1" x14ac:dyDescent="0.25">
      <c r="A278">
        <v>210</v>
      </c>
      <c r="B278">
        <v>35</v>
      </c>
      <c r="C278" t="s">
        <v>1244</v>
      </c>
      <c r="D278" s="1" t="s">
        <v>249</v>
      </c>
      <c r="E278" t="s">
        <v>1250</v>
      </c>
      <c r="H278" s="1" t="s">
        <v>258</v>
      </c>
      <c r="I278" t="s">
        <v>1251</v>
      </c>
      <c r="J278" t="s">
        <v>1190</v>
      </c>
      <c r="K278" t="s">
        <v>1252</v>
      </c>
      <c r="L278" s="1" t="s">
        <v>263</v>
      </c>
      <c r="M278" s="1" t="s">
        <v>266</v>
      </c>
    </row>
    <row r="279" spans="1:14" hidden="1" x14ac:dyDescent="0.25">
      <c r="A279">
        <v>211</v>
      </c>
      <c r="B279">
        <v>35</v>
      </c>
      <c r="C279" t="s">
        <v>1245</v>
      </c>
      <c r="D279" s="1" t="s">
        <v>249</v>
      </c>
      <c r="E279" t="s">
        <v>1250</v>
      </c>
      <c r="H279" s="1" t="s">
        <v>258</v>
      </c>
      <c r="I279" t="s">
        <v>1253</v>
      </c>
      <c r="J279" t="s">
        <v>1190</v>
      </c>
      <c r="K279" t="s">
        <v>1256</v>
      </c>
      <c r="L279" s="1" t="s">
        <v>263</v>
      </c>
      <c r="M279" s="1" t="s">
        <v>266</v>
      </c>
    </row>
    <row r="280" spans="1:14" hidden="1" x14ac:dyDescent="0.25">
      <c r="A280">
        <v>212</v>
      </c>
      <c r="B280">
        <v>35</v>
      </c>
      <c r="C280" t="s">
        <v>1246</v>
      </c>
      <c r="D280" s="1" t="s">
        <v>250</v>
      </c>
      <c r="E280" t="s">
        <v>1250</v>
      </c>
      <c r="H280" s="1" t="s">
        <v>258</v>
      </c>
      <c r="I280" t="s">
        <v>1254</v>
      </c>
      <c r="J280" t="s">
        <v>1190</v>
      </c>
      <c r="K280" t="s">
        <v>1255</v>
      </c>
      <c r="L280" s="1" t="s">
        <v>263</v>
      </c>
      <c r="M280" s="1" t="s">
        <v>266</v>
      </c>
    </row>
    <row r="281" spans="1:14" hidden="1" x14ac:dyDescent="0.25">
      <c r="A281">
        <v>213</v>
      </c>
      <c r="B281">
        <v>35</v>
      </c>
      <c r="C281" t="s">
        <v>1247</v>
      </c>
      <c r="D281" s="1" t="s">
        <v>251</v>
      </c>
      <c r="E281" t="s">
        <v>1250</v>
      </c>
      <c r="H281" s="1" t="s">
        <v>258</v>
      </c>
      <c r="I281" t="s">
        <v>1257</v>
      </c>
      <c r="J281" t="s">
        <v>1190</v>
      </c>
      <c r="K281" t="s">
        <v>1258</v>
      </c>
      <c r="L281" s="1" t="s">
        <v>263</v>
      </c>
      <c r="M281" s="1" t="s">
        <v>266</v>
      </c>
    </row>
    <row r="282" spans="1:14" hidden="1" x14ac:dyDescent="0.25">
      <c r="A282">
        <v>214</v>
      </c>
      <c r="B282">
        <v>35</v>
      </c>
      <c r="C282" t="s">
        <v>1248</v>
      </c>
      <c r="D282" s="1" t="s">
        <v>253</v>
      </c>
      <c r="E282" t="s">
        <v>1250</v>
      </c>
      <c r="H282" s="1" t="s">
        <v>258</v>
      </c>
      <c r="I282" t="s">
        <v>1249</v>
      </c>
      <c r="J282" t="s">
        <v>1190</v>
      </c>
      <c r="K282" t="s">
        <v>1259</v>
      </c>
      <c r="L282" s="1" t="s">
        <v>263</v>
      </c>
      <c r="M282" s="1" t="s">
        <v>269</v>
      </c>
    </row>
    <row r="283" spans="1:14" hidden="1" x14ac:dyDescent="0.25">
      <c r="A283" s="7"/>
      <c r="B283" s="7">
        <v>35</v>
      </c>
      <c r="C283" s="7"/>
      <c r="D283" s="7" t="s">
        <v>246</v>
      </c>
      <c r="E283" s="7" t="s">
        <v>1250</v>
      </c>
      <c r="F283" s="7"/>
      <c r="G283" s="7"/>
      <c r="H283" s="7"/>
      <c r="I283" s="7"/>
      <c r="J283" s="7"/>
      <c r="K283" s="7"/>
      <c r="L283" s="7" t="s">
        <v>264</v>
      </c>
      <c r="M283" s="7"/>
      <c r="N283" s="7" t="s">
        <v>1203</v>
      </c>
    </row>
    <row r="284" spans="1:14" hidden="1" x14ac:dyDescent="0.25">
      <c r="A284" s="7"/>
      <c r="B284" s="7">
        <v>35</v>
      </c>
      <c r="C284" s="7"/>
      <c r="D284" s="7" t="s">
        <v>247</v>
      </c>
      <c r="E284" s="7" t="s">
        <v>1250</v>
      </c>
      <c r="F284" s="7"/>
      <c r="G284" s="7"/>
      <c r="H284" s="7"/>
      <c r="I284" s="7"/>
      <c r="J284" s="7"/>
      <c r="K284" s="7"/>
      <c r="L284" s="7" t="s">
        <v>264</v>
      </c>
      <c r="M284" s="7"/>
      <c r="N284" s="7" t="s">
        <v>1203</v>
      </c>
    </row>
    <row r="285" spans="1:14" hidden="1" x14ac:dyDescent="0.25">
      <c r="A285" s="7"/>
      <c r="B285" s="7">
        <v>35</v>
      </c>
      <c r="C285" s="7"/>
      <c r="D285" s="7" t="s">
        <v>248</v>
      </c>
      <c r="E285" s="7" t="s">
        <v>1250</v>
      </c>
      <c r="F285" s="7"/>
      <c r="G285" s="7"/>
      <c r="H285" s="7"/>
      <c r="I285" s="7"/>
      <c r="J285" s="7"/>
      <c r="K285" s="7"/>
      <c r="L285" s="7" t="s">
        <v>264</v>
      </c>
      <c r="M285" s="7"/>
      <c r="N285" s="7" t="s">
        <v>1203</v>
      </c>
    </row>
    <row r="286" spans="1:14" hidden="1" x14ac:dyDescent="0.25">
      <c r="A286">
        <v>215</v>
      </c>
      <c r="B286">
        <v>36</v>
      </c>
      <c r="C286" t="s">
        <v>1262</v>
      </c>
      <c r="D286" s="1" t="s">
        <v>253</v>
      </c>
      <c r="E286" t="s">
        <v>1260</v>
      </c>
      <c r="H286" s="1" t="s">
        <v>258</v>
      </c>
      <c r="I286" t="s">
        <v>1270</v>
      </c>
      <c r="J286" t="s">
        <v>1190</v>
      </c>
      <c r="K286" t="s">
        <v>1271</v>
      </c>
      <c r="L286" s="1" t="s">
        <v>263</v>
      </c>
      <c r="M286" s="1" t="s">
        <v>260</v>
      </c>
      <c r="N286" t="s">
        <v>1272</v>
      </c>
    </row>
    <row r="287" spans="1:14" hidden="1" x14ac:dyDescent="0.25">
      <c r="A287">
        <v>216</v>
      </c>
      <c r="B287">
        <v>36</v>
      </c>
      <c r="C287" t="s">
        <v>1263</v>
      </c>
      <c r="D287" s="1" t="s">
        <v>249</v>
      </c>
      <c r="E287" t="s">
        <v>1260</v>
      </c>
      <c r="H287" s="1" t="s">
        <v>258</v>
      </c>
      <c r="I287" t="s">
        <v>1273</v>
      </c>
      <c r="J287" t="s">
        <v>1190</v>
      </c>
      <c r="K287" t="s">
        <v>1279</v>
      </c>
      <c r="L287" s="1" t="s">
        <v>263</v>
      </c>
      <c r="M287" s="1" t="s">
        <v>266</v>
      </c>
    </row>
    <row r="288" spans="1:14" hidden="1" x14ac:dyDescent="0.25">
      <c r="A288">
        <v>217</v>
      </c>
      <c r="B288">
        <v>36</v>
      </c>
      <c r="C288" t="s">
        <v>1264</v>
      </c>
      <c r="D288" s="1" t="s">
        <v>255</v>
      </c>
      <c r="E288" t="s">
        <v>1260</v>
      </c>
      <c r="H288" s="1" t="s">
        <v>258</v>
      </c>
      <c r="I288" t="s">
        <v>1274</v>
      </c>
      <c r="J288" t="s">
        <v>1190</v>
      </c>
      <c r="K288" t="s">
        <v>1280</v>
      </c>
      <c r="L288" s="1" t="s">
        <v>263</v>
      </c>
      <c r="M288" s="1" t="s">
        <v>266</v>
      </c>
    </row>
    <row r="289" spans="1:14" hidden="1" x14ac:dyDescent="0.25">
      <c r="A289">
        <v>218</v>
      </c>
      <c r="B289">
        <v>36</v>
      </c>
      <c r="C289" t="s">
        <v>1265</v>
      </c>
      <c r="D289" s="1" t="s">
        <v>250</v>
      </c>
      <c r="E289" t="s">
        <v>1260</v>
      </c>
      <c r="H289" s="1" t="s">
        <v>258</v>
      </c>
      <c r="I289" t="s">
        <v>1275</v>
      </c>
      <c r="J289" t="s">
        <v>1190</v>
      </c>
      <c r="K289" t="s">
        <v>1281</v>
      </c>
      <c r="L289" s="1" t="s">
        <v>263</v>
      </c>
      <c r="M289" s="1" t="s">
        <v>266</v>
      </c>
    </row>
    <row r="290" spans="1:14" hidden="1" x14ac:dyDescent="0.25">
      <c r="A290">
        <v>219</v>
      </c>
      <c r="B290">
        <v>36</v>
      </c>
      <c r="C290" t="s">
        <v>1266</v>
      </c>
      <c r="D290" s="1" t="s">
        <v>250</v>
      </c>
      <c r="E290" t="s">
        <v>1260</v>
      </c>
      <c r="H290" s="1" t="s">
        <v>258</v>
      </c>
      <c r="I290" t="s">
        <v>1276</v>
      </c>
      <c r="J290" t="s">
        <v>1190</v>
      </c>
      <c r="K290" t="s">
        <v>1282</v>
      </c>
      <c r="L290" s="1" t="s">
        <v>263</v>
      </c>
      <c r="M290" s="1" t="s">
        <v>266</v>
      </c>
    </row>
    <row r="291" spans="1:14" hidden="1" x14ac:dyDescent="0.25">
      <c r="A291">
        <v>220</v>
      </c>
      <c r="B291">
        <v>36</v>
      </c>
      <c r="C291" t="s">
        <v>1267</v>
      </c>
      <c r="D291" s="1" t="s">
        <v>252</v>
      </c>
      <c r="E291" t="s">
        <v>1260</v>
      </c>
      <c r="H291" s="1" t="s">
        <v>258</v>
      </c>
      <c r="I291" t="s">
        <v>1277</v>
      </c>
      <c r="J291" t="s">
        <v>1190</v>
      </c>
      <c r="K291" t="s">
        <v>1278</v>
      </c>
      <c r="L291" s="1" t="s">
        <v>263</v>
      </c>
      <c r="M291" s="1" t="s">
        <v>269</v>
      </c>
    </row>
    <row r="292" spans="1:14" x14ac:dyDescent="0.25">
      <c r="A292" s="4">
        <v>221</v>
      </c>
      <c r="B292" s="4">
        <v>36</v>
      </c>
      <c r="C292" s="4" t="s">
        <v>1268</v>
      </c>
      <c r="D292" s="4" t="s">
        <v>248</v>
      </c>
      <c r="E292" s="4" t="s">
        <v>1260</v>
      </c>
      <c r="F292" s="4"/>
      <c r="G292" s="4"/>
      <c r="H292" s="4" t="s">
        <v>258</v>
      </c>
      <c r="I292" s="4" t="s">
        <v>1283</v>
      </c>
      <c r="J292" s="4" t="s">
        <v>1190</v>
      </c>
      <c r="K292" s="4" t="s">
        <v>1284</v>
      </c>
      <c r="L292" s="4" t="s">
        <v>262</v>
      </c>
      <c r="M292" s="4"/>
      <c r="N292" s="4"/>
    </row>
    <row r="293" spans="1:14" hidden="1" x14ac:dyDescent="0.25">
      <c r="A293" s="7"/>
      <c r="B293" s="7">
        <v>36</v>
      </c>
      <c r="C293" s="7"/>
      <c r="D293" s="7" t="s">
        <v>247</v>
      </c>
      <c r="E293" s="7" t="s">
        <v>1260</v>
      </c>
      <c r="F293" s="7"/>
      <c r="G293" s="7"/>
      <c r="H293" s="7"/>
      <c r="I293" s="7"/>
      <c r="J293" s="7"/>
      <c r="K293" s="7"/>
      <c r="L293" s="7" t="s">
        <v>264</v>
      </c>
      <c r="M293" s="7"/>
      <c r="N293" s="7" t="s">
        <v>1269</v>
      </c>
    </row>
    <row r="294" spans="1:14" hidden="1" x14ac:dyDescent="0.25">
      <c r="A294" s="7"/>
      <c r="B294" s="7">
        <v>36</v>
      </c>
      <c r="C294" s="7"/>
      <c r="D294" s="7" t="s">
        <v>248</v>
      </c>
      <c r="E294" s="7" t="s">
        <v>1260</v>
      </c>
      <c r="F294" s="7"/>
      <c r="G294" s="7"/>
      <c r="H294" s="7"/>
      <c r="I294" s="7"/>
      <c r="J294" s="7"/>
      <c r="K294" s="7"/>
      <c r="L294" s="7" t="s">
        <v>264</v>
      </c>
      <c r="M294" s="7"/>
      <c r="N294" s="7" t="s">
        <v>1269</v>
      </c>
    </row>
    <row r="295" spans="1:14" hidden="1" x14ac:dyDescent="0.25">
      <c r="A295">
        <v>222</v>
      </c>
      <c r="B295">
        <v>37</v>
      </c>
      <c r="C295" t="s">
        <v>1285</v>
      </c>
      <c r="D295" s="1" t="s">
        <v>249</v>
      </c>
      <c r="E295" t="s">
        <v>1290</v>
      </c>
      <c r="H295" s="1" t="s">
        <v>258</v>
      </c>
      <c r="I295" t="s">
        <v>1291</v>
      </c>
      <c r="J295" t="s">
        <v>1190</v>
      </c>
      <c r="K295" t="s">
        <v>1300</v>
      </c>
      <c r="L295" s="1" t="s">
        <v>263</v>
      </c>
      <c r="M295" s="1" t="s">
        <v>266</v>
      </c>
    </row>
    <row r="296" spans="1:14" hidden="1" x14ac:dyDescent="0.25">
      <c r="A296">
        <v>223</v>
      </c>
      <c r="B296">
        <v>37</v>
      </c>
      <c r="C296" t="s">
        <v>1286</v>
      </c>
      <c r="D296" s="1" t="s">
        <v>255</v>
      </c>
      <c r="E296" t="s">
        <v>1290</v>
      </c>
      <c r="H296" s="1" t="s">
        <v>258</v>
      </c>
      <c r="I296" t="s">
        <v>1292</v>
      </c>
      <c r="J296" t="s">
        <v>1190</v>
      </c>
      <c r="K296" t="s">
        <v>1293</v>
      </c>
      <c r="L296" s="1" t="s">
        <v>263</v>
      </c>
      <c r="M296" s="1" t="s">
        <v>266</v>
      </c>
    </row>
    <row r="297" spans="1:14" hidden="1" x14ac:dyDescent="0.25">
      <c r="A297">
        <v>224</v>
      </c>
      <c r="B297">
        <v>37</v>
      </c>
      <c r="C297" t="s">
        <v>1287</v>
      </c>
      <c r="D297" s="1" t="s">
        <v>255</v>
      </c>
      <c r="E297" t="s">
        <v>1290</v>
      </c>
      <c r="H297" s="1" t="s">
        <v>258</v>
      </c>
      <c r="I297" t="s">
        <v>1294</v>
      </c>
      <c r="J297" t="s">
        <v>1190</v>
      </c>
      <c r="K297" t="s">
        <v>1295</v>
      </c>
      <c r="L297" s="1" t="s">
        <v>263</v>
      </c>
      <c r="M297" s="1" t="s">
        <v>266</v>
      </c>
    </row>
    <row r="298" spans="1:14" hidden="1" x14ac:dyDescent="0.25">
      <c r="A298">
        <v>225</v>
      </c>
      <c r="B298">
        <v>37</v>
      </c>
      <c r="C298" t="s">
        <v>1288</v>
      </c>
      <c r="D298" s="1" t="s">
        <v>252</v>
      </c>
      <c r="E298" t="s">
        <v>1290</v>
      </c>
      <c r="H298" s="1" t="s">
        <v>258</v>
      </c>
      <c r="I298" t="s">
        <v>1296</v>
      </c>
      <c r="J298" t="s">
        <v>1190</v>
      </c>
      <c r="K298" t="s">
        <v>1297</v>
      </c>
      <c r="L298" s="1" t="s">
        <v>263</v>
      </c>
      <c r="M298" s="1" t="s">
        <v>266</v>
      </c>
    </row>
    <row r="299" spans="1:14" hidden="1" x14ac:dyDescent="0.25">
      <c r="A299">
        <v>226</v>
      </c>
      <c r="B299">
        <v>37</v>
      </c>
      <c r="C299" t="s">
        <v>1289</v>
      </c>
      <c r="D299" s="1" t="s">
        <v>254</v>
      </c>
      <c r="E299" t="s">
        <v>1290</v>
      </c>
      <c r="H299" s="1" t="s">
        <v>258</v>
      </c>
      <c r="I299" t="s">
        <v>1298</v>
      </c>
      <c r="J299" t="s">
        <v>1190</v>
      </c>
      <c r="K299" t="s">
        <v>1299</v>
      </c>
      <c r="L299" s="1" t="s">
        <v>263</v>
      </c>
      <c r="M299" s="1" t="s">
        <v>270</v>
      </c>
    </row>
    <row r="300" spans="1:14" hidden="1" x14ac:dyDescent="0.25">
      <c r="A300" s="7"/>
      <c r="B300" s="7">
        <v>37</v>
      </c>
      <c r="C300" s="7"/>
      <c r="D300" s="7" t="s">
        <v>246</v>
      </c>
      <c r="E300" s="7" t="s">
        <v>1290</v>
      </c>
      <c r="F300" s="7"/>
      <c r="G300" s="7"/>
      <c r="H300" s="7"/>
      <c r="I300" s="7"/>
      <c r="J300" s="7"/>
      <c r="K300" s="7"/>
      <c r="L300" s="7" t="s">
        <v>264</v>
      </c>
      <c r="M300" s="7"/>
      <c r="N300" s="7" t="s">
        <v>1203</v>
      </c>
    </row>
    <row r="301" spans="1:14" hidden="1" x14ac:dyDescent="0.25">
      <c r="A301" s="7"/>
      <c r="B301" s="7">
        <v>37</v>
      </c>
      <c r="C301" s="7"/>
      <c r="D301" s="7" t="s">
        <v>247</v>
      </c>
      <c r="E301" s="7" t="s">
        <v>1290</v>
      </c>
      <c r="F301" s="7"/>
      <c r="G301" s="7"/>
      <c r="H301" s="7"/>
      <c r="I301" s="7"/>
      <c r="J301" s="7"/>
      <c r="K301" s="7"/>
      <c r="L301" s="7" t="s">
        <v>264</v>
      </c>
      <c r="M301" s="7"/>
      <c r="N301" s="7" t="s">
        <v>1203</v>
      </c>
    </row>
    <row r="302" spans="1:14" hidden="1" x14ac:dyDescent="0.25">
      <c r="A302" s="7"/>
      <c r="B302" s="7">
        <v>37</v>
      </c>
      <c r="C302" s="7"/>
      <c r="D302" s="7" t="s">
        <v>248</v>
      </c>
      <c r="E302" s="7" t="s">
        <v>1290</v>
      </c>
      <c r="F302" s="7"/>
      <c r="G302" s="7"/>
      <c r="H302" s="7"/>
      <c r="I302" s="7"/>
      <c r="J302" s="7"/>
      <c r="K302" s="7"/>
      <c r="L302" s="7" t="s">
        <v>264</v>
      </c>
      <c r="M302" s="7"/>
      <c r="N302" s="7" t="s">
        <v>1203</v>
      </c>
    </row>
    <row r="303" spans="1:14" x14ac:dyDescent="0.25">
      <c r="A303" s="4">
        <v>227</v>
      </c>
      <c r="B303" s="4">
        <v>38</v>
      </c>
      <c r="C303" s="4" t="s">
        <v>1301</v>
      </c>
      <c r="D303" s="4" t="s">
        <v>246</v>
      </c>
      <c r="E303" s="4" t="s">
        <v>1305</v>
      </c>
      <c r="F303" s="4"/>
      <c r="G303" s="4"/>
      <c r="H303" s="4" t="s">
        <v>258</v>
      </c>
      <c r="I303" s="4" t="s">
        <v>1306</v>
      </c>
      <c r="J303" s="4" t="s">
        <v>1190</v>
      </c>
      <c r="K303" s="4" t="s">
        <v>1311</v>
      </c>
      <c r="L303" s="4" t="s">
        <v>262</v>
      </c>
      <c r="M303" s="4"/>
      <c r="N303" s="4"/>
    </row>
    <row r="304" spans="1:14" hidden="1" x14ac:dyDescent="0.25">
      <c r="A304">
        <v>228</v>
      </c>
      <c r="B304">
        <v>38</v>
      </c>
      <c r="C304" t="s">
        <v>1302</v>
      </c>
      <c r="D304" s="1" t="s">
        <v>249</v>
      </c>
      <c r="E304" t="s">
        <v>1305</v>
      </c>
      <c r="H304" s="1" t="s">
        <v>258</v>
      </c>
      <c r="I304" t="s">
        <v>1307</v>
      </c>
      <c r="J304" t="s">
        <v>1190</v>
      </c>
      <c r="K304" t="s">
        <v>1312</v>
      </c>
      <c r="L304" s="1" t="s">
        <v>263</v>
      </c>
      <c r="M304" s="1" t="s">
        <v>266</v>
      </c>
    </row>
    <row r="305" spans="1:14" hidden="1" x14ac:dyDescent="0.25">
      <c r="A305">
        <v>229</v>
      </c>
      <c r="B305">
        <v>38</v>
      </c>
      <c r="C305" t="s">
        <v>1303</v>
      </c>
      <c r="D305" s="1" t="s">
        <v>251</v>
      </c>
      <c r="E305" t="s">
        <v>1305</v>
      </c>
      <c r="H305" s="1" t="s">
        <v>258</v>
      </c>
      <c r="I305" t="s">
        <v>1309</v>
      </c>
      <c r="J305" t="s">
        <v>1190</v>
      </c>
      <c r="K305" t="s">
        <v>1313</v>
      </c>
      <c r="L305" s="1" t="s">
        <v>263</v>
      </c>
      <c r="M305" s="1" t="s">
        <v>266</v>
      </c>
    </row>
    <row r="306" spans="1:14" hidden="1" x14ac:dyDescent="0.25">
      <c r="A306">
        <v>230</v>
      </c>
      <c r="B306">
        <v>38</v>
      </c>
      <c r="C306" t="s">
        <v>1304</v>
      </c>
      <c r="D306" s="1" t="s">
        <v>253</v>
      </c>
      <c r="E306" t="s">
        <v>1305</v>
      </c>
      <c r="H306" s="1" t="s">
        <v>258</v>
      </c>
      <c r="I306" t="s">
        <v>1308</v>
      </c>
      <c r="J306" t="s">
        <v>1190</v>
      </c>
      <c r="K306" t="s">
        <v>1310</v>
      </c>
      <c r="L306" s="1" t="s">
        <v>263</v>
      </c>
      <c r="M306" s="1" t="s">
        <v>269</v>
      </c>
    </row>
    <row r="307" spans="1:14" hidden="1" x14ac:dyDescent="0.25">
      <c r="A307" s="7"/>
      <c r="B307" s="7">
        <v>38</v>
      </c>
      <c r="C307" s="7"/>
      <c r="D307" s="7" t="s">
        <v>247</v>
      </c>
      <c r="E307" s="7" t="s">
        <v>1305</v>
      </c>
      <c r="F307" s="7"/>
      <c r="G307" s="7"/>
      <c r="H307" s="7"/>
      <c r="I307" s="7"/>
      <c r="J307" s="7"/>
      <c r="K307" s="7"/>
      <c r="L307" s="7" t="s">
        <v>264</v>
      </c>
      <c r="M307" s="7"/>
      <c r="N307" s="7" t="s">
        <v>1269</v>
      </c>
    </row>
    <row r="308" spans="1:14" hidden="1" x14ac:dyDescent="0.25">
      <c r="A308" s="7"/>
      <c r="B308" s="7">
        <v>38</v>
      </c>
      <c r="C308" s="7"/>
      <c r="D308" s="7" t="s">
        <v>248</v>
      </c>
      <c r="E308" s="7" t="s">
        <v>1305</v>
      </c>
      <c r="F308" s="7"/>
      <c r="G308" s="7"/>
      <c r="H308" s="7"/>
      <c r="I308" s="7"/>
      <c r="J308" s="7"/>
      <c r="K308" s="7"/>
      <c r="L308" s="7" t="s">
        <v>264</v>
      </c>
      <c r="M308" s="7"/>
      <c r="N308" s="7" t="s">
        <v>1269</v>
      </c>
    </row>
    <row r="309" spans="1:14" hidden="1" x14ac:dyDescent="0.25">
      <c r="A309">
        <v>231</v>
      </c>
      <c r="B309">
        <v>39</v>
      </c>
      <c r="C309" t="s">
        <v>249</v>
      </c>
      <c r="D309" s="1" t="s">
        <v>249</v>
      </c>
      <c r="E309" t="s">
        <v>1319</v>
      </c>
      <c r="H309" s="1" t="s">
        <v>258</v>
      </c>
      <c r="I309" t="s">
        <v>1320</v>
      </c>
      <c r="J309" t="s">
        <v>1190</v>
      </c>
      <c r="K309" t="s">
        <v>1330</v>
      </c>
      <c r="L309" s="1" t="s">
        <v>263</v>
      </c>
      <c r="M309" s="1" t="s">
        <v>266</v>
      </c>
    </row>
    <row r="310" spans="1:14" hidden="1" x14ac:dyDescent="0.25">
      <c r="A310">
        <v>232</v>
      </c>
      <c r="B310">
        <v>39</v>
      </c>
      <c r="C310" t="s">
        <v>1314</v>
      </c>
      <c r="D310" s="1" t="s">
        <v>251</v>
      </c>
      <c r="E310" t="s">
        <v>1319</v>
      </c>
      <c r="H310" s="1" t="s">
        <v>258</v>
      </c>
      <c r="I310" t="s">
        <v>1321</v>
      </c>
      <c r="J310" t="s">
        <v>1190</v>
      </c>
      <c r="K310" t="s">
        <v>1325</v>
      </c>
      <c r="L310" s="1" t="s">
        <v>263</v>
      </c>
      <c r="M310" s="1" t="s">
        <v>269</v>
      </c>
      <c r="N310" t="s">
        <v>1326</v>
      </c>
    </row>
    <row r="311" spans="1:14" hidden="1" x14ac:dyDescent="0.25">
      <c r="A311">
        <v>233</v>
      </c>
      <c r="B311">
        <v>39</v>
      </c>
      <c r="C311" t="s">
        <v>1315</v>
      </c>
      <c r="D311" s="1" t="s">
        <v>246</v>
      </c>
      <c r="E311" t="s">
        <v>1319</v>
      </c>
      <c r="H311" s="1" t="s">
        <v>258</v>
      </c>
      <c r="I311" t="s">
        <v>1322</v>
      </c>
      <c r="J311" t="s">
        <v>1190</v>
      </c>
      <c r="K311" t="s">
        <v>1331</v>
      </c>
      <c r="L311" s="1" t="s">
        <v>263</v>
      </c>
      <c r="M311" s="1" t="s">
        <v>266</v>
      </c>
    </row>
    <row r="312" spans="1:14" hidden="1" x14ac:dyDescent="0.25">
      <c r="A312">
        <v>234</v>
      </c>
      <c r="B312">
        <v>39</v>
      </c>
      <c r="C312" t="s">
        <v>1316</v>
      </c>
      <c r="D312" s="1" t="s">
        <v>250</v>
      </c>
      <c r="E312" t="s">
        <v>1319</v>
      </c>
      <c r="H312" s="1" t="s">
        <v>258</v>
      </c>
      <c r="I312" t="s">
        <v>1323</v>
      </c>
      <c r="J312" t="s">
        <v>1190</v>
      </c>
      <c r="K312" t="s">
        <v>1327</v>
      </c>
      <c r="L312" s="1" t="s">
        <v>263</v>
      </c>
      <c r="M312" s="1" t="s">
        <v>266</v>
      </c>
    </row>
    <row r="313" spans="1:14" hidden="1" x14ac:dyDescent="0.25">
      <c r="A313">
        <v>235</v>
      </c>
      <c r="B313">
        <v>39</v>
      </c>
      <c r="C313" t="s">
        <v>1317</v>
      </c>
      <c r="D313" s="1" t="s">
        <v>250</v>
      </c>
      <c r="E313" t="s">
        <v>1319</v>
      </c>
      <c r="H313" s="1" t="s">
        <v>258</v>
      </c>
      <c r="I313" t="s">
        <v>1328</v>
      </c>
      <c r="J313" t="s">
        <v>1190</v>
      </c>
      <c r="K313" t="s">
        <v>1332</v>
      </c>
      <c r="L313" s="1" t="s">
        <v>263</v>
      </c>
      <c r="M313" s="1" t="s">
        <v>266</v>
      </c>
    </row>
    <row r="314" spans="1:14" hidden="1" x14ac:dyDescent="0.25">
      <c r="A314">
        <v>236</v>
      </c>
      <c r="B314">
        <v>39</v>
      </c>
      <c r="C314" t="s">
        <v>1318</v>
      </c>
      <c r="D314" s="1" t="s">
        <v>253</v>
      </c>
      <c r="E314" t="s">
        <v>1319</v>
      </c>
      <c r="H314" s="1" t="s">
        <v>257</v>
      </c>
      <c r="I314" t="s">
        <v>1324</v>
      </c>
      <c r="J314" t="s">
        <v>1190</v>
      </c>
      <c r="K314" t="s">
        <v>1329</v>
      </c>
      <c r="L314" s="1" t="s">
        <v>263</v>
      </c>
      <c r="M314" s="1" t="s">
        <v>266</v>
      </c>
    </row>
    <row r="315" spans="1:14" hidden="1" x14ac:dyDescent="0.25">
      <c r="A315" s="7"/>
      <c r="B315" s="7">
        <v>39</v>
      </c>
      <c r="C315" s="7"/>
      <c r="D315" s="7" t="s">
        <v>246</v>
      </c>
      <c r="E315" s="7" t="s">
        <v>1319</v>
      </c>
      <c r="F315" s="7"/>
      <c r="G315" s="7"/>
      <c r="H315" s="7"/>
      <c r="I315" s="7"/>
      <c r="J315" s="7"/>
      <c r="K315" s="7"/>
      <c r="L315" s="7" t="s">
        <v>264</v>
      </c>
      <c r="M315" s="7"/>
      <c r="N315" s="7" t="s">
        <v>1203</v>
      </c>
    </row>
    <row r="316" spans="1:14" hidden="1" x14ac:dyDescent="0.25">
      <c r="A316" s="7"/>
      <c r="B316" s="7">
        <v>39</v>
      </c>
      <c r="C316" s="7"/>
      <c r="D316" s="7" t="s">
        <v>247</v>
      </c>
      <c r="E316" s="7" t="s">
        <v>1319</v>
      </c>
      <c r="F316" s="7"/>
      <c r="G316" s="7"/>
      <c r="H316" s="7"/>
      <c r="I316" s="7"/>
      <c r="J316" s="7"/>
      <c r="K316" s="7"/>
      <c r="L316" s="7" t="s">
        <v>264</v>
      </c>
      <c r="M316" s="7"/>
      <c r="N316" s="7" t="s">
        <v>1203</v>
      </c>
    </row>
    <row r="317" spans="1:14" hidden="1" x14ac:dyDescent="0.25">
      <c r="A317" s="7"/>
      <c r="B317" s="7">
        <v>39</v>
      </c>
      <c r="C317" s="7"/>
      <c r="D317" s="7" t="s">
        <v>248</v>
      </c>
      <c r="E317" s="7" t="s">
        <v>1319</v>
      </c>
      <c r="F317" s="7"/>
      <c r="G317" s="7"/>
      <c r="H317" s="7"/>
      <c r="I317" s="7"/>
      <c r="J317" s="7"/>
      <c r="K317" s="7"/>
      <c r="L317" s="7" t="s">
        <v>264</v>
      </c>
      <c r="M317" s="7"/>
      <c r="N317" s="7" t="s">
        <v>1203</v>
      </c>
    </row>
    <row r="318" spans="1:14" hidden="1" x14ac:dyDescent="0.25">
      <c r="A318">
        <v>237</v>
      </c>
      <c r="B318">
        <v>40</v>
      </c>
      <c r="C318" t="s">
        <v>1335</v>
      </c>
      <c r="D318" s="1" t="s">
        <v>255</v>
      </c>
      <c r="E318" s="15" t="s">
        <v>1333</v>
      </c>
      <c r="H318" s="1" t="s">
        <v>258</v>
      </c>
      <c r="I318" t="s">
        <v>1336</v>
      </c>
      <c r="J318" t="s">
        <v>1190</v>
      </c>
      <c r="K318" t="s">
        <v>1357</v>
      </c>
      <c r="L318" s="1" t="s">
        <v>263</v>
      </c>
      <c r="M318" s="1" t="s">
        <v>266</v>
      </c>
    </row>
    <row r="319" spans="1:14" hidden="1" x14ac:dyDescent="0.25">
      <c r="A319">
        <v>238</v>
      </c>
      <c r="B319">
        <v>40</v>
      </c>
      <c r="C319" t="s">
        <v>1337</v>
      </c>
      <c r="D319" s="1" t="s">
        <v>249</v>
      </c>
      <c r="E319" s="15" t="s">
        <v>1333</v>
      </c>
      <c r="H319" s="1" t="s">
        <v>258</v>
      </c>
      <c r="I319" t="s">
        <v>1338</v>
      </c>
      <c r="J319" t="s">
        <v>1190</v>
      </c>
      <c r="K319" t="s">
        <v>1353</v>
      </c>
      <c r="L319" s="1" t="s">
        <v>263</v>
      </c>
      <c r="M319" s="1" t="s">
        <v>266</v>
      </c>
    </row>
    <row r="320" spans="1:14" x14ac:dyDescent="0.25">
      <c r="A320" s="4">
        <v>239</v>
      </c>
      <c r="B320" s="4">
        <v>40</v>
      </c>
      <c r="C320" s="4" t="s">
        <v>1339</v>
      </c>
      <c r="D320" s="4" t="s">
        <v>246</v>
      </c>
      <c r="E320" s="17" t="s">
        <v>1333</v>
      </c>
      <c r="F320" s="4"/>
      <c r="G320" s="4"/>
      <c r="H320" s="4" t="s">
        <v>257</v>
      </c>
      <c r="I320" s="4" t="s">
        <v>1340</v>
      </c>
      <c r="J320" s="4" t="s">
        <v>1190</v>
      </c>
      <c r="K320" s="4" t="s">
        <v>1354</v>
      </c>
      <c r="L320" s="4" t="s">
        <v>262</v>
      </c>
      <c r="M320" s="4"/>
      <c r="N320" s="4"/>
    </row>
    <row r="321" spans="1:14" hidden="1" x14ac:dyDescent="0.25">
      <c r="A321">
        <v>240</v>
      </c>
      <c r="B321">
        <v>40</v>
      </c>
      <c r="C321" t="s">
        <v>1341</v>
      </c>
      <c r="D321" s="1" t="s">
        <v>251</v>
      </c>
      <c r="E321" s="15" t="s">
        <v>1333</v>
      </c>
      <c r="H321" s="1" t="s">
        <v>258</v>
      </c>
      <c r="I321" t="s">
        <v>1342</v>
      </c>
      <c r="J321" t="s">
        <v>1190</v>
      </c>
      <c r="K321" t="s">
        <v>1361</v>
      </c>
      <c r="L321" s="1" t="s">
        <v>263</v>
      </c>
      <c r="M321" s="1" t="s">
        <v>266</v>
      </c>
    </row>
    <row r="322" spans="1:14" ht="16.5" hidden="1" x14ac:dyDescent="0.3">
      <c r="A322">
        <v>241</v>
      </c>
      <c r="B322">
        <v>40</v>
      </c>
      <c r="C322" s="16" t="s">
        <v>1343</v>
      </c>
      <c r="D322" s="1" t="s">
        <v>251</v>
      </c>
      <c r="E322" s="15" t="s">
        <v>1333</v>
      </c>
      <c r="H322" s="1" t="s">
        <v>258</v>
      </c>
      <c r="I322" t="s">
        <v>1344</v>
      </c>
      <c r="J322" t="s">
        <v>1190</v>
      </c>
      <c r="K322" t="s">
        <v>1358</v>
      </c>
      <c r="L322" s="1" t="s">
        <v>263</v>
      </c>
      <c r="M322" s="1" t="s">
        <v>266</v>
      </c>
    </row>
    <row r="323" spans="1:14" hidden="1" x14ac:dyDescent="0.25">
      <c r="A323">
        <v>242</v>
      </c>
      <c r="B323">
        <v>40</v>
      </c>
      <c r="C323" t="s">
        <v>1345</v>
      </c>
      <c r="D323" s="1" t="s">
        <v>250</v>
      </c>
      <c r="E323" s="15" t="s">
        <v>1333</v>
      </c>
      <c r="H323" s="1"/>
      <c r="I323" t="s">
        <v>1346</v>
      </c>
      <c r="J323" t="s">
        <v>1190</v>
      </c>
      <c r="K323" t="s">
        <v>1360</v>
      </c>
      <c r="L323" s="1" t="s">
        <v>263</v>
      </c>
      <c r="M323" s="1" t="s">
        <v>266</v>
      </c>
    </row>
    <row r="324" spans="1:14" hidden="1" x14ac:dyDescent="0.25">
      <c r="A324">
        <v>243</v>
      </c>
      <c r="B324">
        <v>40</v>
      </c>
      <c r="C324" t="s">
        <v>1347</v>
      </c>
      <c r="D324" s="1" t="s">
        <v>250</v>
      </c>
      <c r="E324" s="15" t="s">
        <v>1333</v>
      </c>
      <c r="H324" s="1"/>
      <c r="I324" t="s">
        <v>1348</v>
      </c>
      <c r="J324" t="s">
        <v>1190</v>
      </c>
      <c r="K324" t="s">
        <v>1359</v>
      </c>
      <c r="L324" s="1" t="s">
        <v>263</v>
      </c>
      <c r="M324" s="1" t="s">
        <v>266</v>
      </c>
    </row>
    <row r="325" spans="1:14" hidden="1" x14ac:dyDescent="0.25">
      <c r="A325">
        <v>244</v>
      </c>
      <c r="B325">
        <v>40</v>
      </c>
      <c r="C325" t="s">
        <v>1349</v>
      </c>
      <c r="D325" s="1" t="s">
        <v>254</v>
      </c>
      <c r="E325" s="15" t="s">
        <v>1333</v>
      </c>
      <c r="H325" s="1"/>
      <c r="I325" t="s">
        <v>1350</v>
      </c>
      <c r="J325" t="s">
        <v>1190</v>
      </c>
      <c r="K325" t="s">
        <v>1355</v>
      </c>
      <c r="L325" s="1" t="s">
        <v>263</v>
      </c>
      <c r="M325" s="1" t="s">
        <v>269</v>
      </c>
    </row>
    <row r="326" spans="1:14" hidden="1" x14ac:dyDescent="0.25">
      <c r="A326">
        <v>245</v>
      </c>
      <c r="B326">
        <v>40</v>
      </c>
      <c r="C326" t="s">
        <v>1351</v>
      </c>
      <c r="D326" s="1" t="s">
        <v>254</v>
      </c>
      <c r="E326" s="15" t="s">
        <v>1333</v>
      </c>
      <c r="H326" s="1"/>
      <c r="I326" t="s">
        <v>1352</v>
      </c>
      <c r="J326" t="s">
        <v>1190</v>
      </c>
      <c r="K326" t="s">
        <v>1356</v>
      </c>
      <c r="L326" s="1" t="s">
        <v>263</v>
      </c>
      <c r="M326" s="1" t="s">
        <v>269</v>
      </c>
    </row>
    <row r="327" spans="1:14" hidden="1" x14ac:dyDescent="0.25">
      <c r="A327" s="7"/>
      <c r="B327" s="7">
        <v>40</v>
      </c>
      <c r="C327" s="7"/>
      <c r="D327" s="7" t="s">
        <v>247</v>
      </c>
      <c r="E327" s="7" t="s">
        <v>1333</v>
      </c>
      <c r="F327" s="7"/>
      <c r="G327" s="7"/>
      <c r="H327" s="7"/>
      <c r="I327" s="7"/>
      <c r="J327" s="7"/>
      <c r="K327" s="7"/>
      <c r="L327" s="7" t="s">
        <v>264</v>
      </c>
      <c r="M327" s="7"/>
      <c r="N327" s="7" t="s">
        <v>1269</v>
      </c>
    </row>
    <row r="328" spans="1:14" hidden="1" x14ac:dyDescent="0.25">
      <c r="A328" s="7"/>
      <c r="B328" s="7">
        <v>40</v>
      </c>
      <c r="C328" s="7"/>
      <c r="D328" s="7" t="s">
        <v>248</v>
      </c>
      <c r="E328" s="7" t="s">
        <v>1333</v>
      </c>
      <c r="F328" s="7"/>
      <c r="G328" s="7"/>
      <c r="H328" s="7"/>
      <c r="I328" s="7"/>
      <c r="J328" s="7"/>
      <c r="K328" s="7"/>
      <c r="L328" s="7" t="s">
        <v>264</v>
      </c>
      <c r="M328" s="7"/>
      <c r="N328" s="7" t="s">
        <v>1269</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sheetPr>
    <tabColor rgb="FFFFFF00"/>
  </sheetPr>
  <dimension ref="A1:H19"/>
  <sheetViews>
    <sheetView topLeftCell="D1" workbookViewId="0">
      <selection activeCell="D19" sqref="D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2046</v>
      </c>
    </row>
    <row r="5" spans="1:8" x14ac:dyDescent="0.25">
      <c r="A5" t="s">
        <v>76</v>
      </c>
      <c r="B5" t="s">
        <v>77</v>
      </c>
      <c r="C5" t="s">
        <v>78</v>
      </c>
      <c r="D5" t="s">
        <v>2049</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2051</v>
      </c>
    </row>
    <row r="10" spans="1:8" x14ac:dyDescent="0.25">
      <c r="A10" t="s">
        <v>112</v>
      </c>
      <c r="B10" t="s">
        <v>113</v>
      </c>
      <c r="C10" t="s">
        <v>182</v>
      </c>
      <c r="D10" t="s">
        <v>2053</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2056</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2058</v>
      </c>
      <c r="E14" t="s">
        <v>143</v>
      </c>
      <c r="F14" t="s">
        <v>144</v>
      </c>
      <c r="G14" t="s">
        <v>145</v>
      </c>
      <c r="H14" t="s">
        <v>146</v>
      </c>
    </row>
    <row r="15" spans="1:8" x14ac:dyDescent="0.25">
      <c r="A15" t="s">
        <v>147</v>
      </c>
      <c r="B15" t="s">
        <v>148</v>
      </c>
      <c r="C15" t="s">
        <v>149</v>
      </c>
      <c r="D15" t="s">
        <v>150</v>
      </c>
      <c r="E15" t="s">
        <v>151</v>
      </c>
      <c r="F15" t="s">
        <v>152</v>
      </c>
      <c r="G15" t="s">
        <v>153</v>
      </c>
      <c r="H15" t="s">
        <v>2060</v>
      </c>
    </row>
    <row r="16" spans="1:8" x14ac:dyDescent="0.25">
      <c r="A16" t="s">
        <v>154</v>
      </c>
      <c r="B16" t="s">
        <v>155</v>
      </c>
      <c r="C16" t="s">
        <v>156</v>
      </c>
      <c r="D16" t="s">
        <v>157</v>
      </c>
      <c r="E16" t="s">
        <v>2062</v>
      </c>
      <c r="F16" t="s">
        <v>158</v>
      </c>
      <c r="G16" t="s">
        <v>159</v>
      </c>
      <c r="H16" t="s">
        <v>160</v>
      </c>
    </row>
    <row r="17" spans="1:8" x14ac:dyDescent="0.25">
      <c r="A17" t="s">
        <v>161</v>
      </c>
      <c r="B17" t="s">
        <v>162</v>
      </c>
      <c r="C17" t="s">
        <v>184</v>
      </c>
      <c r="D17" t="s">
        <v>2064</v>
      </c>
      <c r="E17" t="s">
        <v>2066</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2068</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sheetPr>
    <tabColor rgb="FFFFFF00"/>
  </sheetPr>
  <dimension ref="A1:H8"/>
  <sheetViews>
    <sheetView workbookViewId="0">
      <selection activeCell="D33" sqref="D33"/>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2071</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2074</v>
      </c>
      <c r="F4" t="s">
        <v>202</v>
      </c>
      <c r="G4" t="s">
        <v>2077</v>
      </c>
      <c r="H4" t="s">
        <v>203</v>
      </c>
    </row>
    <row r="5" spans="1:8" x14ac:dyDescent="0.25">
      <c r="A5" t="s">
        <v>204</v>
      </c>
      <c r="B5" t="s">
        <v>205</v>
      </c>
      <c r="C5" t="s">
        <v>206</v>
      </c>
      <c r="D5" t="s">
        <v>2079</v>
      </c>
      <c r="E5" t="s">
        <v>229</v>
      </c>
      <c r="F5" t="s">
        <v>207</v>
      </c>
      <c r="G5" t="s">
        <v>208</v>
      </c>
      <c r="H5" t="s">
        <v>209</v>
      </c>
    </row>
    <row r="6" spans="1:8" x14ac:dyDescent="0.25">
      <c r="A6" t="s">
        <v>210</v>
      </c>
      <c r="B6" t="s">
        <v>211</v>
      </c>
      <c r="C6" t="s">
        <v>212</v>
      </c>
      <c r="D6" t="s">
        <v>2082</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2084</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sheetPr>
    <tabColor theme="6"/>
  </sheetPr>
  <dimension ref="A1:K800"/>
  <sheetViews>
    <sheetView tabSelected="1" topLeftCell="A414" workbookViewId="0">
      <selection activeCell="G430" sqref="G430"/>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2</v>
      </c>
      <c r="B2" s="19">
        <v>8</v>
      </c>
      <c r="C2" s="19" t="s">
        <v>53</v>
      </c>
      <c r="D2" s="20">
        <v>1</v>
      </c>
      <c r="E2" s="21">
        <v>1</v>
      </c>
      <c r="F2" t="s">
        <v>2172</v>
      </c>
      <c r="G2" s="22" t="s">
        <v>2171</v>
      </c>
      <c r="H2" s="22" t="s">
        <v>2170</v>
      </c>
      <c r="I2" s="21" t="s">
        <v>1457</v>
      </c>
      <c r="J2" s="22" t="s">
        <v>2152</v>
      </c>
      <c r="K2" s="23">
        <f>Tabelle5[[#This Row],[value_present]]*Tabelle5[[#This Row],[binding_level]]</f>
        <v>1</v>
      </c>
    </row>
    <row r="3" spans="1:11" x14ac:dyDescent="0.25">
      <c r="A3" s="24">
        <v>2</v>
      </c>
      <c r="B3" s="2">
        <v>8</v>
      </c>
      <c r="C3" s="2" t="s">
        <v>61</v>
      </c>
      <c r="D3" s="3">
        <v>1</v>
      </c>
      <c r="E3" s="1">
        <v>1</v>
      </c>
      <c r="F3" t="s">
        <v>2174</v>
      </c>
      <c r="G3" t="s">
        <v>2173</v>
      </c>
      <c r="H3" t="s">
        <v>2170</v>
      </c>
      <c r="I3" s="1" t="s">
        <v>1457</v>
      </c>
      <c r="J3" t="s">
        <v>2153</v>
      </c>
      <c r="K3" s="25">
        <f>Tabelle5[[#This Row],[value_present]]*Tabelle5[[#This Row],[binding_level]]</f>
        <v>1</v>
      </c>
    </row>
    <row r="4" spans="1:11" x14ac:dyDescent="0.25">
      <c r="A4" s="24">
        <v>2</v>
      </c>
      <c r="B4" s="2">
        <v>8</v>
      </c>
      <c r="C4" s="2" t="s">
        <v>69</v>
      </c>
      <c r="D4" s="3">
        <v>1</v>
      </c>
      <c r="E4" s="1">
        <v>1</v>
      </c>
      <c r="F4" t="s">
        <v>2176</v>
      </c>
      <c r="G4" t="s">
        <v>2175</v>
      </c>
      <c r="H4" t="s">
        <v>2170</v>
      </c>
      <c r="I4" s="1" t="s">
        <v>1457</v>
      </c>
      <c r="J4" t="s">
        <v>2154</v>
      </c>
      <c r="K4" s="25">
        <f>Tabelle5[[#This Row],[value_present]]*Tabelle5[[#This Row],[binding_level]]</f>
        <v>1</v>
      </c>
    </row>
    <row r="5" spans="1:11" x14ac:dyDescent="0.25">
      <c r="A5" s="24">
        <v>2</v>
      </c>
      <c r="B5" s="2">
        <v>8</v>
      </c>
      <c r="C5" s="2" t="s">
        <v>76</v>
      </c>
      <c r="D5" s="3">
        <v>1</v>
      </c>
      <c r="E5" s="1">
        <v>1</v>
      </c>
      <c r="F5" t="s">
        <v>2176</v>
      </c>
      <c r="G5" t="s">
        <v>2175</v>
      </c>
      <c r="H5" t="s">
        <v>2170</v>
      </c>
      <c r="I5" s="1" t="s">
        <v>1457</v>
      </c>
      <c r="J5" t="s">
        <v>2155</v>
      </c>
      <c r="K5" s="25">
        <f>Tabelle5[[#This Row],[value_present]]*Tabelle5[[#This Row],[binding_level]]</f>
        <v>1</v>
      </c>
    </row>
    <row r="6" spans="1:11" x14ac:dyDescent="0.25">
      <c r="A6" s="24">
        <v>2</v>
      </c>
      <c r="B6" s="2">
        <v>8</v>
      </c>
      <c r="C6" s="2" t="s">
        <v>83</v>
      </c>
      <c r="D6" s="3">
        <v>1</v>
      </c>
      <c r="E6" s="1">
        <v>1</v>
      </c>
      <c r="F6" t="s">
        <v>2178</v>
      </c>
      <c r="G6" t="s">
        <v>2177</v>
      </c>
      <c r="H6" t="s">
        <v>2170</v>
      </c>
      <c r="I6" s="1" t="s">
        <v>1457</v>
      </c>
      <c r="J6" t="s">
        <v>2156</v>
      </c>
      <c r="K6" s="25">
        <f>Tabelle5[[#This Row],[value_present]]*Tabelle5[[#This Row],[binding_level]]</f>
        <v>1</v>
      </c>
    </row>
    <row r="7" spans="1:11" x14ac:dyDescent="0.25">
      <c r="A7" s="24">
        <v>2</v>
      </c>
      <c r="B7" s="2">
        <v>8</v>
      </c>
      <c r="C7" s="2" t="s">
        <v>90</v>
      </c>
      <c r="D7" s="3">
        <v>1</v>
      </c>
      <c r="E7" s="1">
        <v>1</v>
      </c>
      <c r="F7" t="s">
        <v>2180</v>
      </c>
      <c r="G7" t="s">
        <v>2179</v>
      </c>
      <c r="H7" t="s">
        <v>2170</v>
      </c>
      <c r="I7" s="1" t="s">
        <v>1457</v>
      </c>
      <c r="J7" t="s">
        <v>2157</v>
      </c>
      <c r="K7" s="25">
        <f>Tabelle5[[#This Row],[value_present]]*Tabelle5[[#This Row],[binding_level]]</f>
        <v>1</v>
      </c>
    </row>
    <row r="8" spans="1:11" x14ac:dyDescent="0.25">
      <c r="A8" s="24">
        <v>2</v>
      </c>
      <c r="B8" s="2">
        <v>8</v>
      </c>
      <c r="C8" s="2" t="s">
        <v>98</v>
      </c>
      <c r="D8" s="3">
        <v>0</v>
      </c>
      <c r="E8" s="1"/>
      <c r="I8" s="1" t="s">
        <v>1457</v>
      </c>
      <c r="J8" t="s">
        <v>2158</v>
      </c>
      <c r="K8" s="25">
        <f>Tabelle5[[#This Row],[value_present]]*Tabelle5[[#This Row],[binding_level]]</f>
        <v>0</v>
      </c>
    </row>
    <row r="9" spans="1:11" x14ac:dyDescent="0.25">
      <c r="A9" s="24">
        <v>2</v>
      </c>
      <c r="B9" s="2">
        <v>8</v>
      </c>
      <c r="C9" s="2" t="s">
        <v>106</v>
      </c>
      <c r="D9" s="3">
        <v>1</v>
      </c>
      <c r="E9" s="1">
        <v>1</v>
      </c>
      <c r="F9" t="s">
        <v>2182</v>
      </c>
      <c r="G9" t="s">
        <v>2181</v>
      </c>
      <c r="H9" t="s">
        <v>2170</v>
      </c>
      <c r="I9" s="1" t="s">
        <v>1457</v>
      </c>
      <c r="J9" t="s">
        <v>2159</v>
      </c>
      <c r="K9" s="25">
        <f>Tabelle5[[#This Row],[value_present]]*Tabelle5[[#This Row],[binding_level]]</f>
        <v>1</v>
      </c>
    </row>
    <row r="10" spans="1:11" x14ac:dyDescent="0.25">
      <c r="A10" s="24">
        <v>2</v>
      </c>
      <c r="B10" s="2">
        <v>8</v>
      </c>
      <c r="C10" s="2" t="s">
        <v>112</v>
      </c>
      <c r="D10" s="3">
        <v>1</v>
      </c>
      <c r="E10" s="1">
        <v>1</v>
      </c>
      <c r="F10" t="s">
        <v>2184</v>
      </c>
      <c r="G10" t="s">
        <v>2183</v>
      </c>
      <c r="H10" t="s">
        <v>2170</v>
      </c>
      <c r="I10" s="1" t="s">
        <v>1457</v>
      </c>
      <c r="J10" t="s">
        <v>2160</v>
      </c>
      <c r="K10" s="25">
        <f>Tabelle5[[#This Row],[value_present]]*Tabelle5[[#This Row],[binding_level]]</f>
        <v>1</v>
      </c>
    </row>
    <row r="11" spans="1:11" x14ac:dyDescent="0.25">
      <c r="A11" s="24">
        <v>2</v>
      </c>
      <c r="B11" s="2">
        <v>8</v>
      </c>
      <c r="C11" s="2" t="s">
        <v>118</v>
      </c>
      <c r="D11" s="3">
        <v>0</v>
      </c>
      <c r="E11" s="1"/>
      <c r="I11" s="1" t="s">
        <v>1457</v>
      </c>
      <c r="J11" t="s">
        <v>2161</v>
      </c>
      <c r="K11" s="25">
        <f>Tabelle5[[#This Row],[value_present]]*Tabelle5[[#This Row],[binding_level]]</f>
        <v>0</v>
      </c>
    </row>
    <row r="12" spans="1:11" x14ac:dyDescent="0.25">
      <c r="A12" s="24">
        <v>2</v>
      </c>
      <c r="B12" s="2">
        <v>8</v>
      </c>
      <c r="C12" s="2" t="s">
        <v>125</v>
      </c>
      <c r="D12" s="3">
        <v>0</v>
      </c>
      <c r="E12" s="1"/>
      <c r="I12" s="1" t="s">
        <v>1458</v>
      </c>
      <c r="J12" t="s">
        <v>2162</v>
      </c>
      <c r="K12" s="25">
        <f>Tabelle5[[#This Row],[value_present]]*Tabelle5[[#This Row],[binding_level]]</f>
        <v>0</v>
      </c>
    </row>
    <row r="13" spans="1:11" x14ac:dyDescent="0.25">
      <c r="A13" s="24">
        <v>2</v>
      </c>
      <c r="B13" s="2">
        <v>8</v>
      </c>
      <c r="C13" s="2" t="s">
        <v>132</v>
      </c>
      <c r="D13" s="3">
        <v>1</v>
      </c>
      <c r="E13" s="1">
        <v>1</v>
      </c>
      <c r="F13" t="s">
        <v>2187</v>
      </c>
      <c r="G13" t="s">
        <v>2186</v>
      </c>
      <c r="H13" t="s">
        <v>2170</v>
      </c>
      <c r="I13" s="1" t="s">
        <v>1457</v>
      </c>
      <c r="J13" t="s">
        <v>2163</v>
      </c>
      <c r="K13" s="25">
        <f>Tabelle5[[#This Row],[value_present]]*Tabelle5[[#This Row],[binding_level]]</f>
        <v>1</v>
      </c>
    </row>
    <row r="14" spans="1:11" x14ac:dyDescent="0.25">
      <c r="A14" s="24">
        <v>2</v>
      </c>
      <c r="B14" s="2">
        <v>8</v>
      </c>
      <c r="C14" s="2" t="s">
        <v>140</v>
      </c>
      <c r="D14" s="3">
        <v>1</v>
      </c>
      <c r="E14" s="1">
        <v>1</v>
      </c>
      <c r="F14" t="s">
        <v>2188</v>
      </c>
      <c r="G14" t="s">
        <v>2185</v>
      </c>
      <c r="H14" t="s">
        <v>2170</v>
      </c>
      <c r="I14" s="1" t="s">
        <v>1457</v>
      </c>
      <c r="J14" t="s">
        <v>2164</v>
      </c>
      <c r="K14" s="25">
        <f>Tabelle5[[#This Row],[value_present]]*Tabelle5[[#This Row],[binding_level]]</f>
        <v>1</v>
      </c>
    </row>
    <row r="15" spans="1:11" x14ac:dyDescent="0.25">
      <c r="A15" s="24">
        <v>2</v>
      </c>
      <c r="B15" s="2">
        <v>8</v>
      </c>
      <c r="C15" s="2" t="s">
        <v>147</v>
      </c>
      <c r="D15" s="3">
        <v>1</v>
      </c>
      <c r="E15" s="1">
        <v>1</v>
      </c>
      <c r="F15" t="s">
        <v>2190</v>
      </c>
      <c r="G15" t="s">
        <v>2189</v>
      </c>
      <c r="H15" t="s">
        <v>2170</v>
      </c>
      <c r="I15" s="1" t="s">
        <v>1458</v>
      </c>
      <c r="J15" t="s">
        <v>2165</v>
      </c>
      <c r="K15" s="25">
        <f>Tabelle5[[#This Row],[value_present]]*Tabelle5[[#This Row],[binding_level]]</f>
        <v>1</v>
      </c>
    </row>
    <row r="16" spans="1:11" x14ac:dyDescent="0.25">
      <c r="A16" s="24">
        <v>2</v>
      </c>
      <c r="B16" s="2">
        <v>8</v>
      </c>
      <c r="C16" s="2" t="s">
        <v>154</v>
      </c>
      <c r="D16" s="3">
        <v>0</v>
      </c>
      <c r="E16" s="1"/>
      <c r="I16" s="1" t="s">
        <v>1458</v>
      </c>
      <c r="J16" t="s">
        <v>2166</v>
      </c>
      <c r="K16" s="25">
        <f>Tabelle5[[#This Row],[value_present]]*Tabelle5[[#This Row],[binding_level]]</f>
        <v>0</v>
      </c>
    </row>
    <row r="17" spans="1:11" x14ac:dyDescent="0.25">
      <c r="A17" s="24">
        <v>2</v>
      </c>
      <c r="B17" s="2">
        <v>8</v>
      </c>
      <c r="C17" s="2" t="s">
        <v>161</v>
      </c>
      <c r="D17" s="3">
        <v>0</v>
      </c>
      <c r="E17" s="1"/>
      <c r="I17" s="1" t="s">
        <v>1458</v>
      </c>
      <c r="J17" t="s">
        <v>2167</v>
      </c>
      <c r="K17" s="25">
        <f>Tabelle5[[#This Row],[value_present]]*Tabelle5[[#This Row],[binding_level]]</f>
        <v>0</v>
      </c>
    </row>
    <row r="18" spans="1:11" x14ac:dyDescent="0.25">
      <c r="A18" s="24">
        <v>2</v>
      </c>
      <c r="B18" s="2">
        <v>8</v>
      </c>
      <c r="C18" s="2" t="s">
        <v>166</v>
      </c>
      <c r="D18" s="3">
        <v>0</v>
      </c>
      <c r="E18" s="1"/>
      <c r="I18" s="1" t="s">
        <v>1457</v>
      </c>
      <c r="J18" t="s">
        <v>2168</v>
      </c>
      <c r="K18" s="25">
        <f>Tabelle5[[#This Row],[value_present]]*Tabelle5[[#This Row],[binding_level]]</f>
        <v>0</v>
      </c>
    </row>
    <row r="19" spans="1:11" ht="15.75" thickBot="1" x14ac:dyDescent="0.3">
      <c r="A19" s="24">
        <v>2</v>
      </c>
      <c r="B19" s="2">
        <v>8</v>
      </c>
      <c r="C19" s="2" t="s">
        <v>174</v>
      </c>
      <c r="D19" s="3">
        <v>1</v>
      </c>
      <c r="E19" s="1">
        <v>1</v>
      </c>
      <c r="F19" t="s">
        <v>2190</v>
      </c>
      <c r="G19" t="s">
        <v>2189</v>
      </c>
      <c r="H19" t="s">
        <v>2170</v>
      </c>
      <c r="I19" s="1" t="s">
        <v>1457</v>
      </c>
      <c r="J19" t="s">
        <v>2169</v>
      </c>
      <c r="K19" s="25">
        <f>Tabelle5[[#This Row],[value_present]]*Tabelle5[[#This Row],[binding_level]]</f>
        <v>1</v>
      </c>
    </row>
    <row r="20" spans="1:11" x14ac:dyDescent="0.25">
      <c r="A20" s="18">
        <v>2</v>
      </c>
      <c r="B20" s="19">
        <v>9</v>
      </c>
      <c r="C20" s="19" t="s">
        <v>53</v>
      </c>
      <c r="D20" s="20">
        <v>1</v>
      </c>
      <c r="E20" s="21">
        <v>2</v>
      </c>
      <c r="F20" s="22" t="s">
        <v>2238</v>
      </c>
      <c r="G20" s="22" t="s">
        <v>2237</v>
      </c>
      <c r="H20" s="22" t="s">
        <v>2218</v>
      </c>
      <c r="I20" s="21" t="s">
        <v>1458</v>
      </c>
      <c r="J20" s="22" t="s">
        <v>2219</v>
      </c>
      <c r="K20" s="23">
        <f>Tabelle5[[#This Row],[value_present]]*Tabelle5[[#This Row],[binding_level]]</f>
        <v>2</v>
      </c>
    </row>
    <row r="21" spans="1:11" x14ac:dyDescent="0.25">
      <c r="A21" s="24">
        <v>2</v>
      </c>
      <c r="B21" s="2">
        <v>9</v>
      </c>
      <c r="C21" s="2" t="s">
        <v>61</v>
      </c>
      <c r="D21" s="3">
        <v>0</v>
      </c>
      <c r="E21" s="1"/>
      <c r="I21" s="1" t="s">
        <v>1458</v>
      </c>
      <c r="J21" t="s">
        <v>2220</v>
      </c>
      <c r="K21" s="25">
        <f>Tabelle5[[#This Row],[value_present]]*Tabelle5[[#This Row],[binding_level]]</f>
        <v>0</v>
      </c>
    </row>
    <row r="22" spans="1:11" x14ac:dyDescent="0.25">
      <c r="A22" s="24">
        <v>2</v>
      </c>
      <c r="B22" s="2">
        <v>9</v>
      </c>
      <c r="C22" s="2" t="s">
        <v>69</v>
      </c>
      <c r="D22" s="3">
        <v>1</v>
      </c>
      <c r="E22" s="1">
        <v>2</v>
      </c>
      <c r="F22" t="s">
        <v>2240</v>
      </c>
      <c r="G22" t="s">
        <v>2239</v>
      </c>
      <c r="H22" t="s">
        <v>2218</v>
      </c>
      <c r="I22" s="1" t="s">
        <v>1457</v>
      </c>
      <c r="J22" t="s">
        <v>2221</v>
      </c>
      <c r="K22" s="25">
        <f>Tabelle5[[#This Row],[value_present]]*Tabelle5[[#This Row],[binding_level]]</f>
        <v>2</v>
      </c>
    </row>
    <row r="23" spans="1:11" x14ac:dyDescent="0.25">
      <c r="A23" s="24">
        <v>2</v>
      </c>
      <c r="B23" s="2">
        <v>9</v>
      </c>
      <c r="C23" s="2" t="s">
        <v>76</v>
      </c>
      <c r="D23" s="3">
        <v>1</v>
      </c>
      <c r="E23" s="1">
        <v>2</v>
      </c>
      <c r="F23" t="s">
        <v>2240</v>
      </c>
      <c r="G23" t="s">
        <v>2239</v>
      </c>
      <c r="H23" t="s">
        <v>2218</v>
      </c>
      <c r="I23" s="1" t="s">
        <v>1457</v>
      </c>
      <c r="J23" t="s">
        <v>2222</v>
      </c>
      <c r="K23" s="25">
        <f>Tabelle5[[#This Row],[value_present]]*Tabelle5[[#This Row],[binding_level]]</f>
        <v>2</v>
      </c>
    </row>
    <row r="24" spans="1:11" x14ac:dyDescent="0.25">
      <c r="A24" s="24">
        <v>2</v>
      </c>
      <c r="B24" s="2">
        <v>9</v>
      </c>
      <c r="C24" s="2" t="s">
        <v>83</v>
      </c>
      <c r="D24" s="3">
        <v>1</v>
      </c>
      <c r="E24" s="1">
        <v>3</v>
      </c>
      <c r="F24" t="s">
        <v>2242</v>
      </c>
      <c r="G24" t="s">
        <v>2241</v>
      </c>
      <c r="H24" t="s">
        <v>2218</v>
      </c>
      <c r="I24" s="1" t="s">
        <v>1457</v>
      </c>
      <c r="J24" t="s">
        <v>2223</v>
      </c>
      <c r="K24" s="25">
        <f>Tabelle5[[#This Row],[value_present]]*Tabelle5[[#This Row],[binding_level]]</f>
        <v>3</v>
      </c>
    </row>
    <row r="25" spans="1:11" x14ac:dyDescent="0.25">
      <c r="A25" s="24">
        <v>2</v>
      </c>
      <c r="B25" s="2">
        <v>9</v>
      </c>
      <c r="C25" s="2" t="s">
        <v>90</v>
      </c>
      <c r="D25" s="3">
        <v>1</v>
      </c>
      <c r="E25" s="1">
        <v>2</v>
      </c>
      <c r="F25" t="s">
        <v>2246</v>
      </c>
      <c r="G25" t="s">
        <v>2245</v>
      </c>
      <c r="H25" t="s">
        <v>2218</v>
      </c>
      <c r="I25" s="1" t="s">
        <v>1457</v>
      </c>
      <c r="J25" t="s">
        <v>2224</v>
      </c>
      <c r="K25" s="25">
        <f>Tabelle5[[#This Row],[value_present]]*Tabelle5[[#This Row],[binding_level]]</f>
        <v>2</v>
      </c>
    </row>
    <row r="26" spans="1:11" x14ac:dyDescent="0.25">
      <c r="A26" s="24">
        <v>2</v>
      </c>
      <c r="B26" s="2">
        <v>9</v>
      </c>
      <c r="C26" s="2" t="s">
        <v>98</v>
      </c>
      <c r="D26" s="3">
        <v>0</v>
      </c>
      <c r="E26" s="1"/>
      <c r="I26" s="1" t="s">
        <v>1457</v>
      </c>
      <c r="J26" t="s">
        <v>2225</v>
      </c>
      <c r="K26" s="25">
        <f>Tabelle5[[#This Row],[value_present]]*Tabelle5[[#This Row],[binding_level]]</f>
        <v>0</v>
      </c>
    </row>
    <row r="27" spans="1:11" x14ac:dyDescent="0.25">
      <c r="A27" s="24">
        <v>2</v>
      </c>
      <c r="B27" s="2">
        <v>9</v>
      </c>
      <c r="C27" s="2" t="s">
        <v>106</v>
      </c>
      <c r="D27" s="3">
        <v>0</v>
      </c>
      <c r="E27" s="1"/>
      <c r="I27" s="1" t="s">
        <v>1457</v>
      </c>
      <c r="J27" t="s">
        <v>2226</v>
      </c>
      <c r="K27" s="25">
        <f>Tabelle5[[#This Row],[value_present]]*Tabelle5[[#This Row],[binding_level]]</f>
        <v>0</v>
      </c>
    </row>
    <row r="28" spans="1:11" x14ac:dyDescent="0.25">
      <c r="A28" s="24">
        <v>2</v>
      </c>
      <c r="B28" s="2">
        <v>9</v>
      </c>
      <c r="C28" s="2" t="s">
        <v>112</v>
      </c>
      <c r="D28" s="3">
        <v>0</v>
      </c>
      <c r="E28" s="1"/>
      <c r="I28" s="1" t="s">
        <v>1457</v>
      </c>
      <c r="J28" t="s">
        <v>2227</v>
      </c>
      <c r="K28" s="25">
        <f>Tabelle5[[#This Row],[value_present]]*Tabelle5[[#This Row],[binding_level]]</f>
        <v>0</v>
      </c>
    </row>
    <row r="29" spans="1:11" x14ac:dyDescent="0.25">
      <c r="A29" s="24">
        <v>2</v>
      </c>
      <c r="B29" s="2">
        <v>9</v>
      </c>
      <c r="C29" s="2" t="s">
        <v>118</v>
      </c>
      <c r="D29" s="3">
        <v>0</v>
      </c>
      <c r="E29" s="1"/>
      <c r="I29" s="1" t="s">
        <v>1457</v>
      </c>
      <c r="J29" t="s">
        <v>2228</v>
      </c>
      <c r="K29" s="25">
        <f>Tabelle5[[#This Row],[value_present]]*Tabelle5[[#This Row],[binding_level]]</f>
        <v>0</v>
      </c>
    </row>
    <row r="30" spans="1:11" x14ac:dyDescent="0.25">
      <c r="A30" s="24">
        <v>2</v>
      </c>
      <c r="B30" s="2">
        <v>9</v>
      </c>
      <c r="C30" s="2" t="s">
        <v>125</v>
      </c>
      <c r="D30" s="3">
        <v>0</v>
      </c>
      <c r="E30" s="1"/>
      <c r="I30" s="1" t="s">
        <v>1458</v>
      </c>
      <c r="J30" t="s">
        <v>2229</v>
      </c>
      <c r="K30" s="25">
        <f>Tabelle5[[#This Row],[value_present]]*Tabelle5[[#This Row],[binding_level]]</f>
        <v>0</v>
      </c>
    </row>
    <row r="31" spans="1:11" x14ac:dyDescent="0.25">
      <c r="A31" s="24">
        <v>2</v>
      </c>
      <c r="B31" s="2">
        <v>9</v>
      </c>
      <c r="C31" s="2" t="s">
        <v>132</v>
      </c>
      <c r="D31" s="3">
        <v>1</v>
      </c>
      <c r="E31" s="1">
        <v>1</v>
      </c>
      <c r="F31" t="s">
        <v>2248</v>
      </c>
      <c r="G31" t="s">
        <v>2247</v>
      </c>
      <c r="H31" t="s">
        <v>2218</v>
      </c>
      <c r="I31" s="1" t="s">
        <v>1458</v>
      </c>
      <c r="J31" t="s">
        <v>2230</v>
      </c>
      <c r="K31" s="25">
        <f>Tabelle5[[#This Row],[value_present]]*Tabelle5[[#This Row],[binding_level]]</f>
        <v>1</v>
      </c>
    </row>
    <row r="32" spans="1:11" x14ac:dyDescent="0.25">
      <c r="A32" s="24">
        <v>2</v>
      </c>
      <c r="B32" s="2">
        <v>9</v>
      </c>
      <c r="C32" s="2" t="s">
        <v>140</v>
      </c>
      <c r="D32" s="3">
        <v>0</v>
      </c>
      <c r="E32" s="1"/>
      <c r="I32" s="1" t="s">
        <v>1458</v>
      </c>
      <c r="J32" t="s">
        <v>2231</v>
      </c>
      <c r="K32" s="25">
        <f>Tabelle5[[#This Row],[value_present]]*Tabelle5[[#This Row],[binding_level]]</f>
        <v>0</v>
      </c>
    </row>
    <row r="33" spans="1:11" x14ac:dyDescent="0.25">
      <c r="A33" s="24">
        <v>2</v>
      </c>
      <c r="B33" s="2">
        <v>9</v>
      </c>
      <c r="C33" s="2" t="s">
        <v>147</v>
      </c>
      <c r="D33" s="3">
        <v>1</v>
      </c>
      <c r="E33" s="1">
        <v>2</v>
      </c>
      <c r="F33" t="s">
        <v>2250</v>
      </c>
      <c r="G33" t="s">
        <v>2249</v>
      </c>
      <c r="H33" t="s">
        <v>2218</v>
      </c>
      <c r="I33" s="1" t="s">
        <v>1457</v>
      </c>
      <c r="J33" t="s">
        <v>2232</v>
      </c>
      <c r="K33" s="25">
        <f>Tabelle5[[#This Row],[value_present]]*Tabelle5[[#This Row],[binding_level]]</f>
        <v>2</v>
      </c>
    </row>
    <row r="34" spans="1:11" x14ac:dyDescent="0.25">
      <c r="A34" s="24">
        <v>2</v>
      </c>
      <c r="B34" s="2">
        <v>9</v>
      </c>
      <c r="C34" s="2" t="s">
        <v>154</v>
      </c>
      <c r="D34" s="3">
        <v>1</v>
      </c>
      <c r="E34" s="1">
        <v>2</v>
      </c>
      <c r="F34" t="s">
        <v>2250</v>
      </c>
      <c r="G34" t="s">
        <v>2249</v>
      </c>
      <c r="H34" t="s">
        <v>2218</v>
      </c>
      <c r="I34" s="1" t="s">
        <v>1457</v>
      </c>
      <c r="J34" t="s">
        <v>2233</v>
      </c>
      <c r="K34" s="25">
        <f>Tabelle5[[#This Row],[value_present]]*Tabelle5[[#This Row],[binding_level]]</f>
        <v>2</v>
      </c>
    </row>
    <row r="35" spans="1:11" x14ac:dyDescent="0.25">
      <c r="A35" s="24">
        <v>2</v>
      </c>
      <c r="B35" s="2">
        <v>9</v>
      </c>
      <c r="C35" s="2" t="s">
        <v>161</v>
      </c>
      <c r="D35" s="3">
        <v>0</v>
      </c>
      <c r="E35" s="1"/>
      <c r="I35" s="1" t="s">
        <v>1458</v>
      </c>
      <c r="J35" t="s">
        <v>2234</v>
      </c>
      <c r="K35" s="25">
        <f>Tabelle5[[#This Row],[value_present]]*Tabelle5[[#This Row],[binding_level]]</f>
        <v>0</v>
      </c>
    </row>
    <row r="36" spans="1:11" x14ac:dyDescent="0.25">
      <c r="A36" s="24">
        <v>2</v>
      </c>
      <c r="B36" s="2">
        <v>9</v>
      </c>
      <c r="C36" s="2" t="s">
        <v>166</v>
      </c>
      <c r="D36" s="3">
        <v>0</v>
      </c>
      <c r="E36" s="1"/>
      <c r="I36" s="1" t="s">
        <v>1457</v>
      </c>
      <c r="J36" t="s">
        <v>2235</v>
      </c>
      <c r="K36" s="25">
        <f>Tabelle5[[#This Row],[value_present]]*Tabelle5[[#This Row],[binding_level]]</f>
        <v>0</v>
      </c>
    </row>
    <row r="37" spans="1:11" ht="15.75" thickBot="1" x14ac:dyDescent="0.3">
      <c r="A37" s="26">
        <v>2</v>
      </c>
      <c r="B37" s="27">
        <v>9</v>
      </c>
      <c r="C37" s="27" t="s">
        <v>174</v>
      </c>
      <c r="D37" s="28">
        <v>1</v>
      </c>
      <c r="E37" s="29">
        <v>2</v>
      </c>
      <c r="F37" s="30" t="s">
        <v>2244</v>
      </c>
      <c r="G37" s="30" t="s">
        <v>2243</v>
      </c>
      <c r="H37" s="30" t="s">
        <v>2218</v>
      </c>
      <c r="I37" s="29" t="s">
        <v>1457</v>
      </c>
      <c r="J37" s="30" t="s">
        <v>2236</v>
      </c>
      <c r="K37" s="31">
        <f>Tabelle5[[#This Row],[value_present]]*Tabelle5[[#This Row],[binding_level]]</f>
        <v>2</v>
      </c>
    </row>
    <row r="38" spans="1:11" x14ac:dyDescent="0.25">
      <c r="A38" s="18">
        <v>3</v>
      </c>
      <c r="B38" s="19">
        <v>16</v>
      </c>
      <c r="C38" s="19" t="s">
        <v>53</v>
      </c>
      <c r="D38" s="20">
        <v>1</v>
      </c>
      <c r="E38" s="21">
        <v>2</v>
      </c>
      <c r="F38" s="22" t="s">
        <v>2440</v>
      </c>
      <c r="G38" s="22" t="s">
        <v>2439</v>
      </c>
      <c r="H38" s="22" t="s">
        <v>2410</v>
      </c>
      <c r="I38" s="21" t="s">
        <v>1457</v>
      </c>
      <c r="J38" s="22" t="s">
        <v>2411</v>
      </c>
      <c r="K38" s="23">
        <f>Tabelle5[[#This Row],[value_present]]*Tabelle5[[#This Row],[binding_level]]</f>
        <v>2</v>
      </c>
    </row>
    <row r="39" spans="1:11" x14ac:dyDescent="0.25">
      <c r="A39" s="24">
        <v>3</v>
      </c>
      <c r="B39" s="2">
        <v>16</v>
      </c>
      <c r="C39" s="2" t="s">
        <v>61</v>
      </c>
      <c r="D39" s="3">
        <v>1</v>
      </c>
      <c r="E39" s="1">
        <v>3</v>
      </c>
      <c r="F39" t="s">
        <v>2442</v>
      </c>
      <c r="G39" t="s">
        <v>2441</v>
      </c>
      <c r="H39" t="s">
        <v>2412</v>
      </c>
      <c r="I39" s="1" t="s">
        <v>1457</v>
      </c>
      <c r="J39" t="s">
        <v>2413</v>
      </c>
      <c r="K39" s="25">
        <f>Tabelle5[[#This Row],[value_present]]*Tabelle5[[#This Row],[binding_level]]</f>
        <v>3</v>
      </c>
    </row>
    <row r="40" spans="1:11" x14ac:dyDescent="0.25">
      <c r="A40" s="24">
        <v>3</v>
      </c>
      <c r="B40" s="2">
        <v>16</v>
      </c>
      <c r="C40" s="2" t="s">
        <v>69</v>
      </c>
      <c r="D40" s="3">
        <v>1</v>
      </c>
      <c r="E40" s="1">
        <v>2</v>
      </c>
      <c r="F40" t="s">
        <v>2444</v>
      </c>
      <c r="G40" t="s">
        <v>2443</v>
      </c>
      <c r="H40" t="s">
        <v>2414</v>
      </c>
      <c r="I40" s="1" t="s">
        <v>1457</v>
      </c>
      <c r="J40" t="s">
        <v>2415</v>
      </c>
      <c r="K40" s="25">
        <f>Tabelle5[[#This Row],[value_present]]*Tabelle5[[#This Row],[binding_level]]</f>
        <v>2</v>
      </c>
    </row>
    <row r="41" spans="1:11" x14ac:dyDescent="0.25">
      <c r="A41" s="24">
        <v>3</v>
      </c>
      <c r="B41" s="2">
        <v>16</v>
      </c>
      <c r="C41" s="2" t="s">
        <v>76</v>
      </c>
      <c r="D41" s="3">
        <v>1</v>
      </c>
      <c r="E41" s="1">
        <v>2</v>
      </c>
      <c r="F41" t="s">
        <v>2446</v>
      </c>
      <c r="G41" t="s">
        <v>2445</v>
      </c>
      <c r="H41" t="s">
        <v>2414</v>
      </c>
      <c r="I41" s="1" t="s">
        <v>1457</v>
      </c>
      <c r="J41" t="s">
        <v>2416</v>
      </c>
      <c r="K41" s="25">
        <f>Tabelle5[[#This Row],[value_present]]*Tabelle5[[#This Row],[binding_level]]</f>
        <v>2</v>
      </c>
    </row>
    <row r="42" spans="1:11" x14ac:dyDescent="0.25">
      <c r="A42" s="24">
        <v>3</v>
      </c>
      <c r="B42" s="2">
        <v>16</v>
      </c>
      <c r="C42" s="2" t="s">
        <v>83</v>
      </c>
      <c r="D42" s="3">
        <v>1</v>
      </c>
      <c r="E42" s="1">
        <v>3</v>
      </c>
      <c r="F42" t="s">
        <v>2448</v>
      </c>
      <c r="G42" t="s">
        <v>2447</v>
      </c>
      <c r="H42" t="s">
        <v>2417</v>
      </c>
      <c r="I42" s="1" t="s">
        <v>1457</v>
      </c>
      <c r="J42" t="s">
        <v>2418</v>
      </c>
      <c r="K42" s="25">
        <f>Tabelle5[[#This Row],[value_present]]*Tabelle5[[#This Row],[binding_level]]</f>
        <v>3</v>
      </c>
    </row>
    <row r="43" spans="1:11" x14ac:dyDescent="0.25">
      <c r="A43" s="24">
        <v>3</v>
      </c>
      <c r="B43" s="2">
        <v>16</v>
      </c>
      <c r="C43" s="2" t="s">
        <v>90</v>
      </c>
      <c r="D43" s="3">
        <v>1</v>
      </c>
      <c r="E43" s="1">
        <v>3</v>
      </c>
      <c r="F43" t="s">
        <v>2450</v>
      </c>
      <c r="G43" t="s">
        <v>2449</v>
      </c>
      <c r="H43" t="s">
        <v>2419</v>
      </c>
      <c r="I43" s="1" t="s">
        <v>1457</v>
      </c>
      <c r="J43" t="s">
        <v>2420</v>
      </c>
      <c r="K43" s="25">
        <f>Tabelle5[[#This Row],[value_present]]*Tabelle5[[#This Row],[binding_level]]</f>
        <v>3</v>
      </c>
    </row>
    <row r="44" spans="1:11" x14ac:dyDescent="0.25">
      <c r="A44" s="24">
        <v>3</v>
      </c>
      <c r="B44" s="2">
        <v>16</v>
      </c>
      <c r="C44" s="2" t="s">
        <v>98</v>
      </c>
      <c r="D44" s="3">
        <v>1</v>
      </c>
      <c r="E44" s="1">
        <v>2</v>
      </c>
      <c r="F44" t="s">
        <v>2452</v>
      </c>
      <c r="G44" t="s">
        <v>2451</v>
      </c>
      <c r="H44" t="s">
        <v>2421</v>
      </c>
      <c r="I44" s="1" t="s">
        <v>1457</v>
      </c>
      <c r="J44" t="s">
        <v>2422</v>
      </c>
      <c r="K44" s="25">
        <f>Tabelle5[[#This Row],[value_present]]*Tabelle5[[#This Row],[binding_level]]</f>
        <v>2</v>
      </c>
    </row>
    <row r="45" spans="1:11" x14ac:dyDescent="0.25">
      <c r="A45" s="24">
        <v>3</v>
      </c>
      <c r="B45" s="2">
        <v>16</v>
      </c>
      <c r="C45" s="2" t="s">
        <v>106</v>
      </c>
      <c r="D45" s="3">
        <v>1</v>
      </c>
      <c r="E45" s="1">
        <v>2</v>
      </c>
      <c r="F45" t="s">
        <v>2454</v>
      </c>
      <c r="G45" t="s">
        <v>2453</v>
      </c>
      <c r="H45" t="s">
        <v>2423</v>
      </c>
      <c r="I45" s="1" t="s">
        <v>1458</v>
      </c>
      <c r="J45" t="s">
        <v>2424</v>
      </c>
      <c r="K45" s="25">
        <f>Tabelle5[[#This Row],[value_present]]*Tabelle5[[#This Row],[binding_level]]</f>
        <v>2</v>
      </c>
    </row>
    <row r="46" spans="1:11" x14ac:dyDescent="0.25">
      <c r="A46" s="24">
        <v>3</v>
      </c>
      <c r="B46" s="2">
        <v>16</v>
      </c>
      <c r="C46" s="2" t="s">
        <v>112</v>
      </c>
      <c r="D46" s="3">
        <v>1</v>
      </c>
      <c r="E46" s="1">
        <v>3</v>
      </c>
      <c r="F46" t="s">
        <v>2455</v>
      </c>
      <c r="G46" t="s">
        <v>2451</v>
      </c>
      <c r="H46" t="s">
        <v>2425</v>
      </c>
      <c r="I46" s="1" t="s">
        <v>1457</v>
      </c>
      <c r="J46" t="s">
        <v>2426</v>
      </c>
      <c r="K46" s="25">
        <f>Tabelle5[[#This Row],[value_present]]*Tabelle5[[#This Row],[binding_level]]</f>
        <v>3</v>
      </c>
    </row>
    <row r="47" spans="1:11" x14ac:dyDescent="0.25">
      <c r="A47" s="24">
        <v>3</v>
      </c>
      <c r="B47" s="2">
        <v>16</v>
      </c>
      <c r="C47" s="2" t="s">
        <v>118</v>
      </c>
      <c r="D47" s="3">
        <v>0</v>
      </c>
      <c r="E47" s="1"/>
      <c r="I47" s="1" t="s">
        <v>1457</v>
      </c>
      <c r="J47" t="s">
        <v>2427</v>
      </c>
      <c r="K47" s="25">
        <f>Tabelle5[[#This Row],[value_present]]*Tabelle5[[#This Row],[binding_level]]</f>
        <v>0</v>
      </c>
    </row>
    <row r="48" spans="1:11" x14ac:dyDescent="0.25">
      <c r="A48" s="24">
        <v>3</v>
      </c>
      <c r="B48" s="2">
        <v>16</v>
      </c>
      <c r="C48" s="2" t="s">
        <v>125</v>
      </c>
      <c r="D48" s="3">
        <v>0</v>
      </c>
      <c r="E48" s="1"/>
      <c r="I48" s="1" t="s">
        <v>1458</v>
      </c>
      <c r="J48" t="s">
        <v>2428</v>
      </c>
      <c r="K48" s="25">
        <f>Tabelle5[[#This Row],[value_present]]*Tabelle5[[#This Row],[binding_level]]</f>
        <v>0</v>
      </c>
    </row>
    <row r="49" spans="1:11" x14ac:dyDescent="0.25">
      <c r="A49" s="24">
        <v>3</v>
      </c>
      <c r="B49" s="2">
        <v>16</v>
      </c>
      <c r="C49" s="2" t="s">
        <v>132</v>
      </c>
      <c r="D49" s="3">
        <v>0</v>
      </c>
      <c r="E49" s="1"/>
      <c r="I49" s="1" t="s">
        <v>1458</v>
      </c>
      <c r="J49" t="s">
        <v>2429</v>
      </c>
      <c r="K49" s="25">
        <f>Tabelle5[[#This Row],[value_present]]*Tabelle5[[#This Row],[binding_level]]</f>
        <v>0</v>
      </c>
    </row>
    <row r="50" spans="1:11" x14ac:dyDescent="0.25">
      <c r="A50" s="24">
        <v>3</v>
      </c>
      <c r="B50" s="2">
        <v>16</v>
      </c>
      <c r="C50" s="2" t="s">
        <v>140</v>
      </c>
      <c r="D50" s="3">
        <v>0</v>
      </c>
      <c r="E50" s="1"/>
      <c r="I50" s="1" t="s">
        <v>1458</v>
      </c>
      <c r="J50" t="s">
        <v>2430</v>
      </c>
      <c r="K50" s="25">
        <f>Tabelle5[[#This Row],[value_present]]*Tabelle5[[#This Row],[binding_level]]</f>
        <v>0</v>
      </c>
    </row>
    <row r="51" spans="1:11" x14ac:dyDescent="0.25">
      <c r="A51" s="24">
        <v>3</v>
      </c>
      <c r="B51" s="2">
        <v>16</v>
      </c>
      <c r="C51" s="2" t="s">
        <v>147</v>
      </c>
      <c r="D51" s="3">
        <v>1</v>
      </c>
      <c r="E51" s="1">
        <v>2</v>
      </c>
      <c r="F51" t="s">
        <v>2457</v>
      </c>
      <c r="G51" t="s">
        <v>2456</v>
      </c>
      <c r="H51" t="s">
        <v>2431</v>
      </c>
      <c r="I51" s="1" t="s">
        <v>1457</v>
      </c>
      <c r="J51" t="s">
        <v>2432</v>
      </c>
      <c r="K51" s="25">
        <f>Tabelle5[[#This Row],[value_present]]*Tabelle5[[#This Row],[binding_level]]</f>
        <v>2</v>
      </c>
    </row>
    <row r="52" spans="1:11" x14ac:dyDescent="0.25">
      <c r="A52" s="24">
        <v>3</v>
      </c>
      <c r="B52" s="2">
        <v>16</v>
      </c>
      <c r="C52" s="2" t="s">
        <v>154</v>
      </c>
      <c r="D52" s="3">
        <v>1</v>
      </c>
      <c r="E52" s="1">
        <v>2</v>
      </c>
      <c r="F52" t="s">
        <v>2459</v>
      </c>
      <c r="G52" t="s">
        <v>2458</v>
      </c>
      <c r="H52" t="s">
        <v>2433</v>
      </c>
      <c r="I52" s="1" t="s">
        <v>1457</v>
      </c>
      <c r="J52" t="s">
        <v>2434</v>
      </c>
      <c r="K52" s="25">
        <f>Tabelle5[[#This Row],[value_present]]*Tabelle5[[#This Row],[binding_level]]</f>
        <v>2</v>
      </c>
    </row>
    <row r="53" spans="1:11" x14ac:dyDescent="0.25">
      <c r="A53" s="24">
        <v>3</v>
      </c>
      <c r="B53" s="2">
        <v>16</v>
      </c>
      <c r="C53" s="2" t="s">
        <v>161</v>
      </c>
      <c r="D53" s="3">
        <v>1</v>
      </c>
      <c r="E53" s="1">
        <v>2</v>
      </c>
      <c r="F53" t="s">
        <v>2461</v>
      </c>
      <c r="G53" t="s">
        <v>2460</v>
      </c>
      <c r="H53" t="s">
        <v>2435</v>
      </c>
      <c r="I53" s="1" t="s">
        <v>1457</v>
      </c>
      <c r="J53" t="s">
        <v>2436</v>
      </c>
      <c r="K53" s="25">
        <f>Tabelle5[[#This Row],[value_present]]*Tabelle5[[#This Row],[binding_level]]</f>
        <v>2</v>
      </c>
    </row>
    <row r="54" spans="1:11" x14ac:dyDescent="0.25">
      <c r="A54" s="24">
        <v>3</v>
      </c>
      <c r="B54" s="2">
        <v>16</v>
      </c>
      <c r="C54" s="2" t="s">
        <v>166</v>
      </c>
      <c r="D54" s="3">
        <v>0</v>
      </c>
      <c r="E54" s="1"/>
      <c r="I54" s="1" t="s">
        <v>1457</v>
      </c>
      <c r="J54" t="s">
        <v>2437</v>
      </c>
      <c r="K54" s="25">
        <f>Tabelle5[[#This Row],[value_present]]*Tabelle5[[#This Row],[binding_level]]</f>
        <v>0</v>
      </c>
    </row>
    <row r="55" spans="1:11" ht="15.75" thickBot="1" x14ac:dyDescent="0.3">
      <c r="A55" s="26">
        <v>3</v>
      </c>
      <c r="B55" s="27">
        <v>16</v>
      </c>
      <c r="C55" s="27" t="s">
        <v>174</v>
      </c>
      <c r="D55" s="28">
        <v>0</v>
      </c>
      <c r="E55" s="29"/>
      <c r="F55" s="30"/>
      <c r="G55" s="30"/>
      <c r="H55" s="30"/>
      <c r="I55" s="29" t="s">
        <v>1458</v>
      </c>
      <c r="J55" s="30" t="s">
        <v>2438</v>
      </c>
      <c r="K55" s="31">
        <f>Tabelle5[[#This Row],[value_present]]*Tabelle5[[#This Row],[binding_level]]</f>
        <v>0</v>
      </c>
    </row>
    <row r="56" spans="1:11" x14ac:dyDescent="0.25">
      <c r="A56" s="18">
        <v>3</v>
      </c>
      <c r="B56" s="19">
        <v>17</v>
      </c>
      <c r="C56" s="19" t="s">
        <v>53</v>
      </c>
      <c r="D56" s="20">
        <v>0</v>
      </c>
      <c r="E56" s="21"/>
      <c r="F56" s="22"/>
      <c r="G56" s="22"/>
      <c r="H56" s="22"/>
      <c r="I56" s="21" t="s">
        <v>1457</v>
      </c>
      <c r="J56" s="22" t="s">
        <v>2490</v>
      </c>
      <c r="K56" s="23">
        <f>Tabelle5[[#This Row],[value_present]]*Tabelle5[[#This Row],[binding_level]]</f>
        <v>0</v>
      </c>
    </row>
    <row r="57" spans="1:11" x14ac:dyDescent="0.25">
      <c r="A57" s="24">
        <v>3</v>
      </c>
      <c r="B57" s="2">
        <v>17</v>
      </c>
      <c r="C57" s="2" t="s">
        <v>61</v>
      </c>
      <c r="D57" s="3">
        <v>0</v>
      </c>
      <c r="E57" s="1"/>
      <c r="I57" s="1" t="s">
        <v>1458</v>
      </c>
      <c r="J57" t="s">
        <v>2491</v>
      </c>
      <c r="K57" s="25">
        <f>Tabelle5[[#This Row],[value_present]]*Tabelle5[[#This Row],[binding_level]]</f>
        <v>0</v>
      </c>
    </row>
    <row r="58" spans="1:11" x14ac:dyDescent="0.25">
      <c r="A58" s="24">
        <v>3</v>
      </c>
      <c r="B58" s="2">
        <v>17</v>
      </c>
      <c r="C58" s="2" t="s">
        <v>69</v>
      </c>
      <c r="D58" s="3">
        <v>1</v>
      </c>
      <c r="E58" s="1">
        <v>2</v>
      </c>
      <c r="F58" t="s">
        <v>2509</v>
      </c>
      <c r="G58" t="s">
        <v>2508</v>
      </c>
      <c r="H58" t="s">
        <v>2492</v>
      </c>
      <c r="I58" s="1" t="s">
        <v>1457</v>
      </c>
      <c r="J58" t="s">
        <v>2493</v>
      </c>
      <c r="K58" s="25">
        <f>Tabelle5[[#This Row],[value_present]]*Tabelle5[[#This Row],[binding_level]]</f>
        <v>2</v>
      </c>
    </row>
    <row r="59" spans="1:11" x14ac:dyDescent="0.25">
      <c r="A59" s="24">
        <v>3</v>
      </c>
      <c r="B59" s="2">
        <v>17</v>
      </c>
      <c r="C59" s="2" t="s">
        <v>76</v>
      </c>
      <c r="D59" s="3">
        <v>0</v>
      </c>
      <c r="E59" s="1"/>
      <c r="I59" s="1" t="s">
        <v>1457</v>
      </c>
      <c r="J59" t="s">
        <v>2494</v>
      </c>
      <c r="K59" s="25">
        <f>Tabelle5[[#This Row],[value_present]]*Tabelle5[[#This Row],[binding_level]]</f>
        <v>0</v>
      </c>
    </row>
    <row r="60" spans="1:11" x14ac:dyDescent="0.25">
      <c r="A60" s="24">
        <v>3</v>
      </c>
      <c r="B60" s="2">
        <v>17</v>
      </c>
      <c r="C60" s="2" t="s">
        <v>83</v>
      </c>
      <c r="D60" s="3">
        <v>1</v>
      </c>
      <c r="E60" s="1">
        <v>2</v>
      </c>
      <c r="F60" t="s">
        <v>2511</v>
      </c>
      <c r="G60" t="s">
        <v>2510</v>
      </c>
      <c r="H60" t="s">
        <v>2492</v>
      </c>
      <c r="I60" s="1" t="s">
        <v>1457</v>
      </c>
      <c r="J60" t="s">
        <v>2495</v>
      </c>
      <c r="K60" s="25">
        <f>Tabelle5[[#This Row],[value_present]]*Tabelle5[[#This Row],[binding_level]]</f>
        <v>2</v>
      </c>
    </row>
    <row r="61" spans="1:11" x14ac:dyDescent="0.25">
      <c r="A61" s="24">
        <v>3</v>
      </c>
      <c r="B61" s="2">
        <v>17</v>
      </c>
      <c r="C61" s="2" t="s">
        <v>90</v>
      </c>
      <c r="D61" s="3">
        <v>0</v>
      </c>
      <c r="E61" s="1"/>
      <c r="I61" s="1" t="s">
        <v>1458</v>
      </c>
      <c r="J61" t="s">
        <v>2496</v>
      </c>
      <c r="K61" s="25">
        <f>Tabelle5[[#This Row],[value_present]]*Tabelle5[[#This Row],[binding_level]]</f>
        <v>0</v>
      </c>
    </row>
    <row r="62" spans="1:11" x14ac:dyDescent="0.25">
      <c r="A62" s="24">
        <v>3</v>
      </c>
      <c r="B62" s="2">
        <v>17</v>
      </c>
      <c r="C62" s="2" t="s">
        <v>98</v>
      </c>
      <c r="D62" s="3">
        <v>1</v>
      </c>
      <c r="E62" s="1">
        <v>2</v>
      </c>
      <c r="F62" t="s">
        <v>2513</v>
      </c>
      <c r="G62" t="s">
        <v>2512</v>
      </c>
      <c r="H62" t="s">
        <v>2492</v>
      </c>
      <c r="I62" s="1" t="s">
        <v>1457</v>
      </c>
      <c r="J62" t="s">
        <v>2497</v>
      </c>
      <c r="K62" s="25">
        <f>Tabelle5[[#This Row],[value_present]]*Tabelle5[[#This Row],[binding_level]]</f>
        <v>2</v>
      </c>
    </row>
    <row r="63" spans="1:11" x14ac:dyDescent="0.25">
      <c r="A63" s="24">
        <v>3</v>
      </c>
      <c r="B63" s="2">
        <v>17</v>
      </c>
      <c r="C63" s="2" t="s">
        <v>106</v>
      </c>
      <c r="D63" s="3">
        <v>0</v>
      </c>
      <c r="E63" s="1"/>
      <c r="I63" s="1" t="s">
        <v>1457</v>
      </c>
      <c r="J63" t="s">
        <v>2498</v>
      </c>
      <c r="K63" s="25">
        <f>Tabelle5[[#This Row],[value_present]]*Tabelle5[[#This Row],[binding_level]]</f>
        <v>0</v>
      </c>
    </row>
    <row r="64" spans="1:11" x14ac:dyDescent="0.25">
      <c r="A64" s="24">
        <v>3</v>
      </c>
      <c r="B64" s="2">
        <v>17</v>
      </c>
      <c r="C64" s="2" t="s">
        <v>112</v>
      </c>
      <c r="D64" s="3">
        <v>1</v>
      </c>
      <c r="E64" s="1">
        <v>2</v>
      </c>
      <c r="F64" t="s">
        <v>2514</v>
      </c>
      <c r="G64" t="s">
        <v>2512</v>
      </c>
      <c r="H64" t="s">
        <v>2492</v>
      </c>
      <c r="I64" s="1" t="s">
        <v>1457</v>
      </c>
      <c r="J64" t="s">
        <v>2499</v>
      </c>
      <c r="K64" s="25">
        <f>Tabelle5[[#This Row],[value_present]]*Tabelle5[[#This Row],[binding_level]]</f>
        <v>2</v>
      </c>
    </row>
    <row r="65" spans="1:11" x14ac:dyDescent="0.25">
      <c r="A65" s="24">
        <v>3</v>
      </c>
      <c r="B65" s="2">
        <v>17</v>
      </c>
      <c r="C65" s="2" t="s">
        <v>118</v>
      </c>
      <c r="D65" s="3">
        <v>0</v>
      </c>
      <c r="E65" s="1"/>
      <c r="I65" s="1" t="s">
        <v>1457</v>
      </c>
      <c r="J65" t="s">
        <v>2228</v>
      </c>
      <c r="K65" s="25">
        <f>Tabelle5[[#This Row],[value_present]]*Tabelle5[[#This Row],[binding_level]]</f>
        <v>0</v>
      </c>
    </row>
    <row r="66" spans="1:11" x14ac:dyDescent="0.25">
      <c r="A66" s="24">
        <v>3</v>
      </c>
      <c r="B66" s="2">
        <v>17</v>
      </c>
      <c r="C66" s="2" t="s">
        <v>125</v>
      </c>
      <c r="D66" s="3">
        <v>0</v>
      </c>
      <c r="E66" s="1"/>
      <c r="I66" s="1" t="s">
        <v>1457</v>
      </c>
      <c r="J66" t="s">
        <v>2500</v>
      </c>
      <c r="K66" s="25">
        <f>Tabelle5[[#This Row],[value_present]]*Tabelle5[[#This Row],[binding_level]]</f>
        <v>0</v>
      </c>
    </row>
    <row r="67" spans="1:11" x14ac:dyDescent="0.25">
      <c r="A67" s="24">
        <v>3</v>
      </c>
      <c r="B67" s="2">
        <v>17</v>
      </c>
      <c r="C67" s="2" t="s">
        <v>132</v>
      </c>
      <c r="D67" s="3">
        <v>0</v>
      </c>
      <c r="E67" s="1"/>
      <c r="I67" s="1" t="s">
        <v>1458</v>
      </c>
      <c r="J67" t="s">
        <v>2501</v>
      </c>
      <c r="K67" s="25">
        <f>Tabelle5[[#This Row],[value_present]]*Tabelle5[[#This Row],[binding_level]]</f>
        <v>0</v>
      </c>
    </row>
    <row r="68" spans="1:11" x14ac:dyDescent="0.25">
      <c r="A68" s="24">
        <v>3</v>
      </c>
      <c r="B68" s="2">
        <v>17</v>
      </c>
      <c r="C68" s="2" t="s">
        <v>140</v>
      </c>
      <c r="D68" s="3">
        <v>0</v>
      </c>
      <c r="E68" s="1"/>
      <c r="I68" s="1" t="s">
        <v>1458</v>
      </c>
      <c r="J68" t="s">
        <v>2502</v>
      </c>
      <c r="K68" s="25">
        <f>Tabelle5[[#This Row],[value_present]]*Tabelle5[[#This Row],[binding_level]]</f>
        <v>0</v>
      </c>
    </row>
    <row r="69" spans="1:11" x14ac:dyDescent="0.25">
      <c r="A69" s="24">
        <v>3</v>
      </c>
      <c r="B69" s="2">
        <v>17</v>
      </c>
      <c r="C69" s="2" t="s">
        <v>147</v>
      </c>
      <c r="D69" s="3">
        <v>0</v>
      </c>
      <c r="E69" s="1"/>
      <c r="I69" s="1" t="s">
        <v>1458</v>
      </c>
      <c r="J69" t="s">
        <v>2503</v>
      </c>
      <c r="K69" s="25">
        <f>Tabelle5[[#This Row],[value_present]]*Tabelle5[[#This Row],[binding_level]]</f>
        <v>0</v>
      </c>
    </row>
    <row r="70" spans="1:11" x14ac:dyDescent="0.25">
      <c r="A70" s="24">
        <v>3</v>
      </c>
      <c r="B70" s="2">
        <v>17</v>
      </c>
      <c r="C70" s="2" t="s">
        <v>154</v>
      </c>
      <c r="D70" s="3">
        <v>1</v>
      </c>
      <c r="E70" s="1">
        <v>2</v>
      </c>
      <c r="F70" t="s">
        <v>2516</v>
      </c>
      <c r="G70" t="s">
        <v>2515</v>
      </c>
      <c r="H70" t="s">
        <v>2492</v>
      </c>
      <c r="I70" s="1" t="s">
        <v>1457</v>
      </c>
      <c r="J70" t="s">
        <v>2504</v>
      </c>
      <c r="K70" s="25">
        <f>Tabelle5[[#This Row],[value_present]]*Tabelle5[[#This Row],[binding_level]]</f>
        <v>2</v>
      </c>
    </row>
    <row r="71" spans="1:11" x14ac:dyDescent="0.25">
      <c r="A71" s="24">
        <v>3</v>
      </c>
      <c r="B71" s="2">
        <v>17</v>
      </c>
      <c r="C71" s="2" t="s">
        <v>161</v>
      </c>
      <c r="D71" s="3">
        <v>0</v>
      </c>
      <c r="E71" s="1"/>
      <c r="I71" s="1" t="s">
        <v>1458</v>
      </c>
      <c r="J71" t="s">
        <v>2505</v>
      </c>
      <c r="K71" s="25">
        <f>Tabelle5[[#This Row],[value_present]]*Tabelle5[[#This Row],[binding_level]]</f>
        <v>0</v>
      </c>
    </row>
    <row r="72" spans="1:11" x14ac:dyDescent="0.25">
      <c r="A72" s="24">
        <v>3</v>
      </c>
      <c r="B72" s="2">
        <v>17</v>
      </c>
      <c r="C72" s="2" t="s">
        <v>166</v>
      </c>
      <c r="D72" s="3">
        <v>0</v>
      </c>
      <c r="E72" s="1"/>
      <c r="I72" s="1" t="s">
        <v>1457</v>
      </c>
      <c r="J72" t="s">
        <v>2506</v>
      </c>
      <c r="K72" s="25">
        <f>Tabelle5[[#This Row],[value_present]]*Tabelle5[[#This Row],[binding_level]]</f>
        <v>0</v>
      </c>
    </row>
    <row r="73" spans="1:11" ht="15.75" thickBot="1" x14ac:dyDescent="0.3">
      <c r="A73" s="26">
        <v>3</v>
      </c>
      <c r="B73" s="27">
        <v>17</v>
      </c>
      <c r="C73" s="27" t="s">
        <v>174</v>
      </c>
      <c r="D73" s="28">
        <v>0</v>
      </c>
      <c r="E73" s="29"/>
      <c r="F73" s="30"/>
      <c r="G73" s="30"/>
      <c r="H73" s="30"/>
      <c r="I73" s="29" t="s">
        <v>1457</v>
      </c>
      <c r="J73" s="30" t="s">
        <v>2507</v>
      </c>
      <c r="K73" s="31">
        <f>Tabelle5[[#This Row],[value_present]]*Tabelle5[[#This Row],[binding_level]]</f>
        <v>0</v>
      </c>
    </row>
    <row r="74" spans="1:11" x14ac:dyDescent="0.25">
      <c r="A74" s="18">
        <v>3</v>
      </c>
      <c r="B74" s="19">
        <v>18</v>
      </c>
      <c r="C74" s="19" t="s">
        <v>53</v>
      </c>
      <c r="D74" s="20">
        <v>1</v>
      </c>
      <c r="E74" s="21">
        <v>3</v>
      </c>
      <c r="F74" s="22" t="s">
        <v>2547</v>
      </c>
      <c r="G74" s="22" t="s">
        <v>2546</v>
      </c>
      <c r="H74" s="22" t="s">
        <v>2531</v>
      </c>
      <c r="I74" s="21" t="s">
        <v>1457</v>
      </c>
      <c r="J74" s="22" t="s">
        <v>2532</v>
      </c>
      <c r="K74" s="23">
        <f>Tabelle5[[#This Row],[value_present]]*Tabelle5[[#This Row],[binding_level]]</f>
        <v>3</v>
      </c>
    </row>
    <row r="75" spans="1:11" x14ac:dyDescent="0.25">
      <c r="A75" s="24">
        <v>3</v>
      </c>
      <c r="B75" s="2">
        <v>18</v>
      </c>
      <c r="C75" s="2" t="s">
        <v>61</v>
      </c>
      <c r="D75" s="3">
        <v>1</v>
      </c>
      <c r="E75" s="1">
        <v>2</v>
      </c>
      <c r="F75" t="s">
        <v>2548</v>
      </c>
      <c r="G75" t="s">
        <v>2549</v>
      </c>
      <c r="H75" t="s">
        <v>2531</v>
      </c>
      <c r="I75" s="1" t="s">
        <v>1457</v>
      </c>
      <c r="J75" t="s">
        <v>2533</v>
      </c>
      <c r="K75" s="25">
        <f>Tabelle5[[#This Row],[value_present]]*Tabelle5[[#This Row],[binding_level]]</f>
        <v>2</v>
      </c>
    </row>
    <row r="76" spans="1:11" x14ac:dyDescent="0.25">
      <c r="A76" s="24">
        <v>3</v>
      </c>
      <c r="B76" s="2">
        <v>18</v>
      </c>
      <c r="C76" s="2" t="s">
        <v>69</v>
      </c>
      <c r="D76" s="3">
        <v>1</v>
      </c>
      <c r="E76" s="1">
        <v>2</v>
      </c>
      <c r="F76" t="s">
        <v>2551</v>
      </c>
      <c r="G76" t="s">
        <v>2550</v>
      </c>
      <c r="H76" t="s">
        <v>2531</v>
      </c>
      <c r="I76" s="1" t="s">
        <v>1457</v>
      </c>
      <c r="J76" t="s">
        <v>2534</v>
      </c>
      <c r="K76" s="25">
        <f>Tabelle5[[#This Row],[value_present]]*Tabelle5[[#This Row],[binding_level]]</f>
        <v>2</v>
      </c>
    </row>
    <row r="77" spans="1:11" x14ac:dyDescent="0.25">
      <c r="A77" s="24">
        <v>3</v>
      </c>
      <c r="B77" s="2">
        <v>18</v>
      </c>
      <c r="C77" s="2" t="s">
        <v>76</v>
      </c>
      <c r="D77" s="3">
        <v>0</v>
      </c>
      <c r="E77" s="1"/>
      <c r="I77" s="1" t="s">
        <v>1457</v>
      </c>
      <c r="J77" t="s">
        <v>2535</v>
      </c>
      <c r="K77" s="25">
        <f>Tabelle5[[#This Row],[value_present]]*Tabelle5[[#This Row],[binding_level]]</f>
        <v>0</v>
      </c>
    </row>
    <row r="78" spans="1:11" x14ac:dyDescent="0.25">
      <c r="A78" s="24">
        <v>3</v>
      </c>
      <c r="B78" s="2">
        <v>18</v>
      </c>
      <c r="C78" s="2" t="s">
        <v>83</v>
      </c>
      <c r="D78" s="3">
        <v>1</v>
      </c>
      <c r="E78" s="1">
        <v>2</v>
      </c>
      <c r="F78" t="s">
        <v>2553</v>
      </c>
      <c r="G78" t="s">
        <v>2552</v>
      </c>
      <c r="H78" t="s">
        <v>2531</v>
      </c>
      <c r="I78" s="1" t="s">
        <v>1457</v>
      </c>
      <c r="J78" t="s">
        <v>2156</v>
      </c>
      <c r="K78" s="25">
        <f>Tabelle5[[#This Row],[value_present]]*Tabelle5[[#This Row],[binding_level]]</f>
        <v>2</v>
      </c>
    </row>
    <row r="79" spans="1:11" x14ac:dyDescent="0.25">
      <c r="A79" s="24">
        <v>3</v>
      </c>
      <c r="B79" s="2">
        <v>18</v>
      </c>
      <c r="C79" s="2" t="s">
        <v>90</v>
      </c>
      <c r="D79" s="3">
        <v>1</v>
      </c>
      <c r="E79" s="1">
        <v>2</v>
      </c>
      <c r="F79" t="s">
        <v>2555</v>
      </c>
      <c r="G79" t="s">
        <v>2554</v>
      </c>
      <c r="H79" t="s">
        <v>2531</v>
      </c>
      <c r="I79" s="1" t="s">
        <v>1457</v>
      </c>
      <c r="J79" t="s">
        <v>2536</v>
      </c>
      <c r="K79" s="25">
        <f>Tabelle5[[#This Row],[value_present]]*Tabelle5[[#This Row],[binding_level]]</f>
        <v>2</v>
      </c>
    </row>
    <row r="80" spans="1:11" x14ac:dyDescent="0.25">
      <c r="A80" s="24">
        <v>3</v>
      </c>
      <c r="B80" s="2">
        <v>18</v>
      </c>
      <c r="C80" s="2" t="s">
        <v>98</v>
      </c>
      <c r="D80" s="3">
        <v>0</v>
      </c>
      <c r="E80" s="1"/>
      <c r="I80" s="1" t="s">
        <v>1457</v>
      </c>
      <c r="J80" t="s">
        <v>2537</v>
      </c>
      <c r="K80" s="25">
        <f>Tabelle5[[#This Row],[value_present]]*Tabelle5[[#This Row],[binding_level]]</f>
        <v>0</v>
      </c>
    </row>
    <row r="81" spans="1:11" x14ac:dyDescent="0.25">
      <c r="A81" s="24">
        <v>3</v>
      </c>
      <c r="B81" s="2">
        <v>18</v>
      </c>
      <c r="C81" s="2" t="s">
        <v>106</v>
      </c>
      <c r="D81" s="3">
        <v>0</v>
      </c>
      <c r="E81" s="1"/>
      <c r="I81" s="1" t="s">
        <v>1457</v>
      </c>
      <c r="J81" t="s">
        <v>2538</v>
      </c>
      <c r="K81" s="25">
        <f>Tabelle5[[#This Row],[value_present]]*Tabelle5[[#This Row],[binding_level]]</f>
        <v>0</v>
      </c>
    </row>
    <row r="82" spans="1:11" x14ac:dyDescent="0.25">
      <c r="A82" s="24">
        <v>3</v>
      </c>
      <c r="B82" s="2">
        <v>18</v>
      </c>
      <c r="C82" s="2" t="s">
        <v>112</v>
      </c>
      <c r="D82" s="3">
        <v>0</v>
      </c>
      <c r="E82" s="1"/>
      <c r="I82" s="1" t="s">
        <v>1457</v>
      </c>
      <c r="J82" t="s">
        <v>2539</v>
      </c>
      <c r="K82" s="25">
        <f>Tabelle5[[#This Row],[value_present]]*Tabelle5[[#This Row],[binding_level]]</f>
        <v>0</v>
      </c>
    </row>
    <row r="83" spans="1:11" x14ac:dyDescent="0.25">
      <c r="A83" s="24">
        <v>3</v>
      </c>
      <c r="B83" s="2">
        <v>18</v>
      </c>
      <c r="C83" s="2" t="s">
        <v>118</v>
      </c>
      <c r="D83" s="3">
        <v>0</v>
      </c>
      <c r="E83" s="1"/>
      <c r="I83" s="1" t="s">
        <v>1457</v>
      </c>
      <c r="J83" t="s">
        <v>2228</v>
      </c>
      <c r="K83" s="25">
        <f>Tabelle5[[#This Row],[value_present]]*Tabelle5[[#This Row],[binding_level]]</f>
        <v>0</v>
      </c>
    </row>
    <row r="84" spans="1:11" x14ac:dyDescent="0.25">
      <c r="A84" s="24">
        <v>3</v>
      </c>
      <c r="B84" s="2">
        <v>18</v>
      </c>
      <c r="C84" s="2" t="s">
        <v>125</v>
      </c>
      <c r="D84" s="3">
        <v>0</v>
      </c>
      <c r="E84" s="1"/>
      <c r="I84" s="1" t="s">
        <v>1457</v>
      </c>
      <c r="J84" t="s">
        <v>2500</v>
      </c>
      <c r="K84" s="25">
        <f>Tabelle5[[#This Row],[value_present]]*Tabelle5[[#This Row],[binding_level]]</f>
        <v>0</v>
      </c>
    </row>
    <row r="85" spans="1:11" x14ac:dyDescent="0.25">
      <c r="A85" s="24">
        <v>3</v>
      </c>
      <c r="B85" s="2">
        <v>18</v>
      </c>
      <c r="C85" s="2" t="s">
        <v>132</v>
      </c>
      <c r="D85" s="3">
        <v>0</v>
      </c>
      <c r="E85" s="1"/>
      <c r="I85" s="1" t="s">
        <v>1457</v>
      </c>
      <c r="J85" t="s">
        <v>2540</v>
      </c>
      <c r="K85" s="25">
        <f>Tabelle5[[#This Row],[value_present]]*Tabelle5[[#This Row],[binding_level]]</f>
        <v>0</v>
      </c>
    </row>
    <row r="86" spans="1:11" x14ac:dyDescent="0.25">
      <c r="A86" s="24">
        <v>3</v>
      </c>
      <c r="B86" s="2">
        <v>18</v>
      </c>
      <c r="C86" s="2" t="s">
        <v>140</v>
      </c>
      <c r="D86" s="3">
        <v>0</v>
      </c>
      <c r="E86" s="1"/>
      <c r="I86" s="1" t="s">
        <v>1458</v>
      </c>
      <c r="J86" t="s">
        <v>2541</v>
      </c>
      <c r="K86" s="25">
        <f>Tabelle5[[#This Row],[value_present]]*Tabelle5[[#This Row],[binding_level]]</f>
        <v>0</v>
      </c>
    </row>
    <row r="87" spans="1:11" x14ac:dyDescent="0.25">
      <c r="A87" s="24">
        <v>3</v>
      </c>
      <c r="B87" s="2">
        <v>18</v>
      </c>
      <c r="C87" s="2" t="s">
        <v>147</v>
      </c>
      <c r="D87" s="3">
        <v>1</v>
      </c>
      <c r="E87" s="1">
        <v>2</v>
      </c>
      <c r="F87" t="s">
        <v>2557</v>
      </c>
      <c r="G87" t="s">
        <v>2556</v>
      </c>
      <c r="H87" t="s">
        <v>2531</v>
      </c>
      <c r="I87" s="1" t="s">
        <v>1457</v>
      </c>
      <c r="J87" t="s">
        <v>2542</v>
      </c>
      <c r="K87" s="25">
        <f>Tabelle5[[#This Row],[value_present]]*Tabelle5[[#This Row],[binding_level]]</f>
        <v>2</v>
      </c>
    </row>
    <row r="88" spans="1:11" x14ac:dyDescent="0.25">
      <c r="A88" s="24">
        <v>3</v>
      </c>
      <c r="B88" s="2">
        <v>18</v>
      </c>
      <c r="C88" s="2" t="s">
        <v>154</v>
      </c>
      <c r="D88" s="3">
        <v>1</v>
      </c>
      <c r="E88" s="1">
        <v>2</v>
      </c>
      <c r="F88" t="s">
        <v>2559</v>
      </c>
      <c r="G88" t="s">
        <v>2558</v>
      </c>
      <c r="H88" t="s">
        <v>2531</v>
      </c>
      <c r="I88" s="1" t="s">
        <v>1457</v>
      </c>
      <c r="J88" t="s">
        <v>2543</v>
      </c>
      <c r="K88" s="25">
        <f>Tabelle5[[#This Row],[value_present]]*Tabelle5[[#This Row],[binding_level]]</f>
        <v>2</v>
      </c>
    </row>
    <row r="89" spans="1:11" x14ac:dyDescent="0.25">
      <c r="A89" s="24">
        <v>3</v>
      </c>
      <c r="B89" s="2">
        <v>18</v>
      </c>
      <c r="C89" s="2" t="s">
        <v>161</v>
      </c>
      <c r="D89" s="3">
        <v>1</v>
      </c>
      <c r="E89" s="1">
        <v>2</v>
      </c>
      <c r="F89" t="s">
        <v>2555</v>
      </c>
      <c r="G89" t="s">
        <v>2554</v>
      </c>
      <c r="H89" t="s">
        <v>2531</v>
      </c>
      <c r="I89" s="1" t="s">
        <v>1457</v>
      </c>
      <c r="J89" t="s">
        <v>2544</v>
      </c>
      <c r="K89" s="25">
        <f>Tabelle5[[#This Row],[value_present]]*Tabelle5[[#This Row],[binding_level]]</f>
        <v>2</v>
      </c>
    </row>
    <row r="90" spans="1:11" x14ac:dyDescent="0.25">
      <c r="A90" s="24">
        <v>3</v>
      </c>
      <c r="B90" s="2">
        <v>18</v>
      </c>
      <c r="C90" s="2" t="s">
        <v>166</v>
      </c>
      <c r="D90" s="3">
        <v>0</v>
      </c>
      <c r="E90" s="1"/>
      <c r="I90" s="1" t="s">
        <v>1457</v>
      </c>
      <c r="J90" t="s">
        <v>2506</v>
      </c>
      <c r="K90" s="25">
        <f>Tabelle5[[#This Row],[value_present]]*Tabelle5[[#This Row],[binding_level]]</f>
        <v>0</v>
      </c>
    </row>
    <row r="91" spans="1:11" ht="15.75" thickBot="1" x14ac:dyDescent="0.3">
      <c r="A91" s="26">
        <v>3</v>
      </c>
      <c r="B91" s="27">
        <v>18</v>
      </c>
      <c r="C91" s="27" t="s">
        <v>174</v>
      </c>
      <c r="D91" s="28">
        <v>0</v>
      </c>
      <c r="E91" s="29"/>
      <c r="F91" s="30"/>
      <c r="G91" s="30"/>
      <c r="H91" s="30"/>
      <c r="I91" s="29" t="s">
        <v>1457</v>
      </c>
      <c r="J91" s="30" t="s">
        <v>2545</v>
      </c>
      <c r="K91" s="31">
        <f>Tabelle5[[#This Row],[value_present]]*Tabelle5[[#This Row],[binding_level]]</f>
        <v>0</v>
      </c>
    </row>
    <row r="92" spans="1:11" x14ac:dyDescent="0.25">
      <c r="A92" s="18">
        <v>3</v>
      </c>
      <c r="B92" s="19">
        <v>21</v>
      </c>
      <c r="C92" s="19" t="s">
        <v>53</v>
      </c>
      <c r="D92" s="20">
        <v>1</v>
      </c>
      <c r="E92" s="21">
        <v>1</v>
      </c>
      <c r="F92" s="22" t="s">
        <v>2619</v>
      </c>
      <c r="G92" s="22" t="s">
        <v>2618</v>
      </c>
      <c r="H92" s="22" t="s">
        <v>2591</v>
      </c>
      <c r="I92" s="21" t="s">
        <v>1458</v>
      </c>
      <c r="J92" s="22" t="s">
        <v>2592</v>
      </c>
      <c r="K92" s="23">
        <f>Tabelle5[[#This Row],[value_present]]*Tabelle5[[#This Row],[binding_level]]</f>
        <v>1</v>
      </c>
    </row>
    <row r="93" spans="1:11" x14ac:dyDescent="0.25">
      <c r="A93" s="24">
        <v>3</v>
      </c>
      <c r="B93" s="2">
        <v>21</v>
      </c>
      <c r="C93" s="2" t="s">
        <v>61</v>
      </c>
      <c r="D93" s="3">
        <v>1</v>
      </c>
      <c r="E93" s="1">
        <v>1</v>
      </c>
      <c r="F93" t="s">
        <v>2621</v>
      </c>
      <c r="G93" t="s">
        <v>2620</v>
      </c>
      <c r="H93" t="s">
        <v>2593</v>
      </c>
      <c r="I93" s="1" t="s">
        <v>1458</v>
      </c>
      <c r="J93" t="s">
        <v>2594</v>
      </c>
      <c r="K93" s="25">
        <f>Tabelle5[[#This Row],[value_present]]*Tabelle5[[#This Row],[binding_level]]</f>
        <v>1</v>
      </c>
    </row>
    <row r="94" spans="1:11" x14ac:dyDescent="0.25">
      <c r="A94" s="24">
        <v>3</v>
      </c>
      <c r="B94" s="2">
        <v>21</v>
      </c>
      <c r="C94" s="2" t="s">
        <v>69</v>
      </c>
      <c r="D94" s="3">
        <v>1</v>
      </c>
      <c r="E94" s="1">
        <v>1</v>
      </c>
      <c r="F94" t="s">
        <v>2623</v>
      </c>
      <c r="G94" t="s">
        <v>2622</v>
      </c>
      <c r="H94" t="s">
        <v>2595</v>
      </c>
      <c r="I94" s="1" t="s">
        <v>1457</v>
      </c>
      <c r="J94" t="s">
        <v>2596</v>
      </c>
      <c r="K94" s="25">
        <f>Tabelle5[[#This Row],[value_present]]*Tabelle5[[#This Row],[binding_level]]</f>
        <v>1</v>
      </c>
    </row>
    <row r="95" spans="1:11" x14ac:dyDescent="0.25">
      <c r="A95" s="24">
        <v>3</v>
      </c>
      <c r="B95" s="2">
        <v>21</v>
      </c>
      <c r="C95" s="2" t="s">
        <v>76</v>
      </c>
      <c r="D95" s="3">
        <v>0</v>
      </c>
      <c r="E95" s="1"/>
      <c r="I95" s="1" t="s">
        <v>1457</v>
      </c>
      <c r="J95" t="s">
        <v>2494</v>
      </c>
      <c r="K95" s="25">
        <f>Tabelle5[[#This Row],[value_present]]*Tabelle5[[#This Row],[binding_level]]</f>
        <v>0</v>
      </c>
    </row>
    <row r="96" spans="1:11" x14ac:dyDescent="0.25">
      <c r="A96" s="24">
        <v>3</v>
      </c>
      <c r="B96" s="2">
        <v>21</v>
      </c>
      <c r="C96" s="2" t="s">
        <v>83</v>
      </c>
      <c r="D96" s="3">
        <v>1</v>
      </c>
      <c r="E96" s="1">
        <v>1</v>
      </c>
      <c r="F96" t="s">
        <v>2626</v>
      </c>
      <c r="G96" t="s">
        <v>2625</v>
      </c>
      <c r="H96" t="s">
        <v>2597</v>
      </c>
      <c r="I96" s="1" t="s">
        <v>1457</v>
      </c>
      <c r="J96" t="s">
        <v>2598</v>
      </c>
      <c r="K96" s="25">
        <f>Tabelle5[[#This Row],[value_present]]*Tabelle5[[#This Row],[binding_level]]</f>
        <v>1</v>
      </c>
    </row>
    <row r="97" spans="1:11" x14ac:dyDescent="0.25">
      <c r="A97" s="24">
        <v>3</v>
      </c>
      <c r="B97" s="2">
        <v>21</v>
      </c>
      <c r="C97" s="2" t="s">
        <v>90</v>
      </c>
      <c r="D97" s="3">
        <v>1</v>
      </c>
      <c r="E97" s="1">
        <v>1</v>
      </c>
      <c r="F97" t="s">
        <v>2619</v>
      </c>
      <c r="G97" t="s">
        <v>2628</v>
      </c>
      <c r="H97" t="s">
        <v>2599</v>
      </c>
      <c r="I97" s="1" t="s">
        <v>1458</v>
      </c>
      <c r="J97" t="s">
        <v>2600</v>
      </c>
      <c r="K97" s="25">
        <f>Tabelle5[[#This Row],[value_present]]*Tabelle5[[#This Row],[binding_level]]</f>
        <v>1</v>
      </c>
    </row>
    <row r="98" spans="1:11" x14ac:dyDescent="0.25">
      <c r="A98" s="24">
        <v>3</v>
      </c>
      <c r="B98" s="2">
        <v>21</v>
      </c>
      <c r="C98" s="2" t="s">
        <v>98</v>
      </c>
      <c r="D98" s="3">
        <v>1</v>
      </c>
      <c r="E98" s="1">
        <v>1</v>
      </c>
      <c r="F98" t="s">
        <v>2629</v>
      </c>
      <c r="G98" t="s">
        <v>2627</v>
      </c>
      <c r="H98" t="s">
        <v>2601</v>
      </c>
      <c r="I98" s="1" t="s">
        <v>1458</v>
      </c>
      <c r="J98" t="s">
        <v>2602</v>
      </c>
      <c r="K98" s="25">
        <f>Tabelle5[[#This Row],[value_present]]*Tabelle5[[#This Row],[binding_level]]</f>
        <v>1</v>
      </c>
    </row>
    <row r="99" spans="1:11" x14ac:dyDescent="0.25">
      <c r="A99" s="24">
        <v>3</v>
      </c>
      <c r="B99" s="2">
        <v>21</v>
      </c>
      <c r="C99" s="2" t="s">
        <v>106</v>
      </c>
      <c r="D99" s="3">
        <v>1</v>
      </c>
      <c r="E99" s="1">
        <v>1</v>
      </c>
      <c r="F99" t="s">
        <v>2631</v>
      </c>
      <c r="G99" t="s">
        <v>2630</v>
      </c>
      <c r="H99" t="s">
        <v>2603</v>
      </c>
      <c r="I99" s="1" t="s">
        <v>1457</v>
      </c>
      <c r="J99" t="s">
        <v>2604</v>
      </c>
      <c r="K99" s="25">
        <f>Tabelle5[[#This Row],[value_present]]*Tabelle5[[#This Row],[binding_level]]</f>
        <v>1</v>
      </c>
    </row>
    <row r="100" spans="1:11" x14ac:dyDescent="0.25">
      <c r="A100" s="24">
        <v>3</v>
      </c>
      <c r="B100" s="2">
        <v>21</v>
      </c>
      <c r="C100" s="2" t="s">
        <v>112</v>
      </c>
      <c r="D100" s="3">
        <v>1</v>
      </c>
      <c r="E100" s="1">
        <v>1</v>
      </c>
      <c r="F100" t="s">
        <v>2632</v>
      </c>
      <c r="G100" t="s">
        <v>2624</v>
      </c>
      <c r="H100" t="s">
        <v>2605</v>
      </c>
      <c r="I100" s="1" t="s">
        <v>1457</v>
      </c>
      <c r="J100" t="s">
        <v>2606</v>
      </c>
      <c r="K100" s="25">
        <f>Tabelle5[[#This Row],[value_present]]*Tabelle5[[#This Row],[binding_level]]</f>
        <v>1</v>
      </c>
    </row>
    <row r="101" spans="1:11" x14ac:dyDescent="0.25">
      <c r="A101" s="24">
        <v>3</v>
      </c>
      <c r="B101" s="2">
        <v>21</v>
      </c>
      <c r="C101" s="2" t="s">
        <v>118</v>
      </c>
      <c r="D101" s="3">
        <v>0</v>
      </c>
      <c r="E101" s="1"/>
      <c r="I101" s="1" t="s">
        <v>1457</v>
      </c>
      <c r="J101" t="s">
        <v>2607</v>
      </c>
      <c r="K101" s="25">
        <f>Tabelle5[[#This Row],[value_present]]*Tabelle5[[#This Row],[binding_level]]</f>
        <v>0</v>
      </c>
    </row>
    <row r="102" spans="1:11" x14ac:dyDescent="0.25">
      <c r="A102" s="24">
        <v>3</v>
      </c>
      <c r="B102" s="2">
        <v>21</v>
      </c>
      <c r="C102" s="2" t="s">
        <v>125</v>
      </c>
      <c r="D102" s="3">
        <v>1</v>
      </c>
      <c r="E102" s="1">
        <v>1</v>
      </c>
      <c r="F102" t="s">
        <v>2634</v>
      </c>
      <c r="G102" t="s">
        <v>2633</v>
      </c>
      <c r="H102" t="s">
        <v>2608</v>
      </c>
      <c r="I102" s="1" t="s">
        <v>1458</v>
      </c>
      <c r="J102" t="s">
        <v>2609</v>
      </c>
      <c r="K102" s="25">
        <f>Tabelle5[[#This Row],[value_present]]*Tabelle5[[#This Row],[binding_level]]</f>
        <v>1</v>
      </c>
    </row>
    <row r="103" spans="1:11" x14ac:dyDescent="0.25">
      <c r="A103" s="24">
        <v>3</v>
      </c>
      <c r="B103" s="2">
        <v>21</v>
      </c>
      <c r="C103" s="2" t="s">
        <v>132</v>
      </c>
      <c r="D103" s="3">
        <v>1</v>
      </c>
      <c r="E103" s="1">
        <v>1</v>
      </c>
      <c r="F103" t="s">
        <v>2636</v>
      </c>
      <c r="G103" t="s">
        <v>2635</v>
      </c>
      <c r="H103" t="s">
        <v>2603</v>
      </c>
      <c r="I103" s="1" t="s">
        <v>1457</v>
      </c>
      <c r="J103" t="s">
        <v>2610</v>
      </c>
      <c r="K103" s="25">
        <f>Tabelle5[[#This Row],[value_present]]*Tabelle5[[#This Row],[binding_level]]</f>
        <v>1</v>
      </c>
    </row>
    <row r="104" spans="1:11" x14ac:dyDescent="0.25">
      <c r="A104" s="24">
        <v>3</v>
      </c>
      <c r="B104" s="2">
        <v>21</v>
      </c>
      <c r="C104" s="2" t="s">
        <v>140</v>
      </c>
      <c r="D104" s="3">
        <v>1</v>
      </c>
      <c r="E104" s="1">
        <v>1</v>
      </c>
      <c r="F104" t="s">
        <v>2638</v>
      </c>
      <c r="G104" t="s">
        <v>2637</v>
      </c>
      <c r="H104" t="s">
        <v>2611</v>
      </c>
      <c r="I104" s="1" t="s">
        <v>1457</v>
      </c>
      <c r="J104" t="s">
        <v>2612</v>
      </c>
      <c r="K104" s="25">
        <f>Tabelle5[[#This Row],[value_present]]*Tabelle5[[#This Row],[binding_level]]</f>
        <v>1</v>
      </c>
    </row>
    <row r="105" spans="1:11" x14ac:dyDescent="0.25">
      <c r="A105" s="24">
        <v>3</v>
      </c>
      <c r="B105" s="2">
        <v>21</v>
      </c>
      <c r="C105" s="2" t="s">
        <v>147</v>
      </c>
      <c r="D105" s="3">
        <v>1</v>
      </c>
      <c r="E105" s="1">
        <v>1</v>
      </c>
      <c r="F105" t="s">
        <v>2640</v>
      </c>
      <c r="G105" t="s">
        <v>2639</v>
      </c>
      <c r="H105" t="s">
        <v>2601</v>
      </c>
      <c r="I105" s="1" t="s">
        <v>1458</v>
      </c>
      <c r="J105" t="s">
        <v>2613</v>
      </c>
      <c r="K105" s="25">
        <f>Tabelle5[[#This Row],[value_present]]*Tabelle5[[#This Row],[binding_level]]</f>
        <v>1</v>
      </c>
    </row>
    <row r="106" spans="1:11" x14ac:dyDescent="0.25">
      <c r="A106" s="24">
        <v>3</v>
      </c>
      <c r="B106" s="2">
        <v>21</v>
      </c>
      <c r="C106" s="2" t="s">
        <v>154</v>
      </c>
      <c r="D106" s="3">
        <v>1</v>
      </c>
      <c r="E106" s="1">
        <v>1</v>
      </c>
      <c r="F106" t="s">
        <v>2642</v>
      </c>
      <c r="G106" t="s">
        <v>2641</v>
      </c>
      <c r="H106" t="s">
        <v>2603</v>
      </c>
      <c r="I106" s="1" t="s">
        <v>1457</v>
      </c>
      <c r="J106" t="s">
        <v>2614</v>
      </c>
      <c r="K106" s="25">
        <f>Tabelle5[[#This Row],[value_present]]*Tabelle5[[#This Row],[binding_level]]</f>
        <v>1</v>
      </c>
    </row>
    <row r="107" spans="1:11" x14ac:dyDescent="0.25">
      <c r="A107" s="24">
        <v>3</v>
      </c>
      <c r="B107" s="2">
        <v>21</v>
      </c>
      <c r="C107" s="2" t="s">
        <v>161</v>
      </c>
      <c r="D107" s="3">
        <v>0</v>
      </c>
      <c r="E107" s="1"/>
      <c r="I107" s="1" t="s">
        <v>1458</v>
      </c>
      <c r="J107" t="s">
        <v>2615</v>
      </c>
      <c r="K107" s="25">
        <f>Tabelle5[[#This Row],[value_present]]*Tabelle5[[#This Row],[binding_level]]</f>
        <v>0</v>
      </c>
    </row>
    <row r="108" spans="1:11" x14ac:dyDescent="0.25">
      <c r="A108" s="24">
        <v>3</v>
      </c>
      <c r="B108" s="2">
        <v>21</v>
      </c>
      <c r="C108" s="2" t="s">
        <v>166</v>
      </c>
      <c r="D108" s="3">
        <v>0</v>
      </c>
      <c r="E108" s="1"/>
      <c r="I108" s="1" t="s">
        <v>1457</v>
      </c>
      <c r="J108" t="s">
        <v>2616</v>
      </c>
      <c r="K108" s="25">
        <f>Tabelle5[[#This Row],[value_present]]*Tabelle5[[#This Row],[binding_level]]</f>
        <v>0</v>
      </c>
    </row>
    <row r="109" spans="1:11" ht="15.75" thickBot="1" x14ac:dyDescent="0.3">
      <c r="A109" s="26">
        <v>3</v>
      </c>
      <c r="B109" s="27">
        <v>21</v>
      </c>
      <c r="C109" s="27" t="s">
        <v>174</v>
      </c>
      <c r="D109" s="28">
        <v>1</v>
      </c>
      <c r="E109" s="29">
        <v>1</v>
      </c>
      <c r="F109" s="30" t="s">
        <v>2644</v>
      </c>
      <c r="G109" s="30" t="s">
        <v>2643</v>
      </c>
      <c r="H109" s="30" t="s">
        <v>2605</v>
      </c>
      <c r="I109" s="29" t="s">
        <v>1458</v>
      </c>
      <c r="J109" s="30" t="s">
        <v>2617</v>
      </c>
      <c r="K109" s="31">
        <f>Tabelle5[[#This Row],[value_present]]*Tabelle5[[#This Row],[binding_level]]</f>
        <v>1</v>
      </c>
    </row>
    <row r="110" spans="1:11" x14ac:dyDescent="0.25">
      <c r="A110" s="18">
        <v>4</v>
      </c>
      <c r="B110" s="19">
        <v>22</v>
      </c>
      <c r="C110" s="19" t="s">
        <v>53</v>
      </c>
      <c r="D110" s="20">
        <v>1</v>
      </c>
      <c r="E110" s="21">
        <v>2</v>
      </c>
      <c r="F110" s="22" t="s">
        <v>2707</v>
      </c>
      <c r="G110" s="22" t="s">
        <v>2706</v>
      </c>
      <c r="H110" s="22" t="s">
        <v>2677</v>
      </c>
      <c r="I110" s="21" t="s">
        <v>1457</v>
      </c>
      <c r="J110" s="22" t="s">
        <v>2678</v>
      </c>
      <c r="K110" s="23">
        <f>Tabelle5[[#This Row],[value_present]]*Tabelle5[[#This Row],[binding_level]]</f>
        <v>2</v>
      </c>
    </row>
    <row r="111" spans="1:11" x14ac:dyDescent="0.25">
      <c r="A111" s="24">
        <v>4</v>
      </c>
      <c r="B111" s="2">
        <v>22</v>
      </c>
      <c r="C111" s="2" t="s">
        <v>61</v>
      </c>
      <c r="D111" s="3">
        <v>1</v>
      </c>
      <c r="E111" s="1">
        <v>2</v>
      </c>
      <c r="F111" t="s">
        <v>2709</v>
      </c>
      <c r="G111" t="s">
        <v>2708</v>
      </c>
      <c r="H111" t="s">
        <v>2679</v>
      </c>
      <c r="I111" s="1" t="s">
        <v>1457</v>
      </c>
      <c r="J111" t="s">
        <v>2680</v>
      </c>
      <c r="K111" s="25">
        <f>Tabelle5[[#This Row],[value_present]]*Tabelle5[[#This Row],[binding_level]]</f>
        <v>2</v>
      </c>
    </row>
    <row r="112" spans="1:11" x14ac:dyDescent="0.25">
      <c r="A112" s="24">
        <v>4</v>
      </c>
      <c r="B112" s="2">
        <v>22</v>
      </c>
      <c r="C112" s="2" t="s">
        <v>69</v>
      </c>
      <c r="D112" s="3">
        <v>1</v>
      </c>
      <c r="E112" s="1">
        <v>2</v>
      </c>
      <c r="F112" t="s">
        <v>2711</v>
      </c>
      <c r="G112" t="s">
        <v>2710</v>
      </c>
      <c r="H112" t="s">
        <v>2681</v>
      </c>
      <c r="I112" s="1" t="s">
        <v>1457</v>
      </c>
      <c r="J112" t="s">
        <v>2682</v>
      </c>
      <c r="K112" s="25">
        <f>Tabelle5[[#This Row],[value_present]]*Tabelle5[[#This Row],[binding_level]]</f>
        <v>2</v>
      </c>
    </row>
    <row r="113" spans="1:11" x14ac:dyDescent="0.25">
      <c r="A113" s="24">
        <v>4</v>
      </c>
      <c r="B113" s="2">
        <v>22</v>
      </c>
      <c r="C113" s="2" t="s">
        <v>76</v>
      </c>
      <c r="D113" s="3">
        <v>0</v>
      </c>
      <c r="E113" s="1"/>
      <c r="I113" s="1" t="s">
        <v>1458</v>
      </c>
      <c r="J113" t="s">
        <v>2683</v>
      </c>
      <c r="K113" s="25">
        <f>Tabelle5[[#This Row],[value_present]]*Tabelle5[[#This Row],[binding_level]]</f>
        <v>0</v>
      </c>
    </row>
    <row r="114" spans="1:11" x14ac:dyDescent="0.25">
      <c r="A114" s="24">
        <v>4</v>
      </c>
      <c r="B114" s="2">
        <v>22</v>
      </c>
      <c r="C114" s="2" t="s">
        <v>83</v>
      </c>
      <c r="D114" s="3">
        <v>1</v>
      </c>
      <c r="E114" s="1">
        <v>2</v>
      </c>
      <c r="F114" t="s">
        <v>2713</v>
      </c>
      <c r="G114" t="s">
        <v>2712</v>
      </c>
      <c r="H114" t="s">
        <v>2684</v>
      </c>
      <c r="I114" s="1" t="s">
        <v>1457</v>
      </c>
      <c r="J114" t="s">
        <v>2685</v>
      </c>
      <c r="K114" s="25">
        <f>Tabelle5[[#This Row],[value_present]]*Tabelle5[[#This Row],[binding_level]]</f>
        <v>2</v>
      </c>
    </row>
    <row r="115" spans="1:11" x14ac:dyDescent="0.25">
      <c r="A115" s="24">
        <v>4</v>
      </c>
      <c r="B115" s="2">
        <v>22</v>
      </c>
      <c r="C115" s="2" t="s">
        <v>90</v>
      </c>
      <c r="D115" s="3">
        <v>1</v>
      </c>
      <c r="E115" s="1">
        <v>2</v>
      </c>
      <c r="F115" t="s">
        <v>2715</v>
      </c>
      <c r="G115" t="s">
        <v>2714</v>
      </c>
      <c r="H115" t="s">
        <v>2686</v>
      </c>
      <c r="I115" s="1" t="s">
        <v>1457</v>
      </c>
      <c r="J115" t="s">
        <v>2687</v>
      </c>
      <c r="K115" s="25">
        <f>Tabelle5[[#This Row],[value_present]]*Tabelle5[[#This Row],[binding_level]]</f>
        <v>2</v>
      </c>
    </row>
    <row r="116" spans="1:11" x14ac:dyDescent="0.25">
      <c r="A116" s="24">
        <v>4</v>
      </c>
      <c r="B116" s="2">
        <v>22</v>
      </c>
      <c r="C116" s="2" t="s">
        <v>98</v>
      </c>
      <c r="D116" s="3">
        <v>1</v>
      </c>
      <c r="E116" s="1">
        <v>2</v>
      </c>
      <c r="F116" t="s">
        <v>2717</v>
      </c>
      <c r="G116" t="s">
        <v>2716</v>
      </c>
      <c r="H116" t="s">
        <v>2688</v>
      </c>
      <c r="I116" s="1" t="s">
        <v>1457</v>
      </c>
      <c r="J116" t="s">
        <v>2689</v>
      </c>
      <c r="K116" s="25">
        <f>Tabelle5[[#This Row],[value_present]]*Tabelle5[[#This Row],[binding_level]]</f>
        <v>2</v>
      </c>
    </row>
    <row r="117" spans="1:11" x14ac:dyDescent="0.25">
      <c r="A117" s="24">
        <v>4</v>
      </c>
      <c r="B117" s="2">
        <v>22</v>
      </c>
      <c r="C117" s="2" t="s">
        <v>106</v>
      </c>
      <c r="D117" s="3">
        <v>1</v>
      </c>
      <c r="E117" s="1">
        <v>2</v>
      </c>
      <c r="F117" t="s">
        <v>2722</v>
      </c>
      <c r="G117" t="s">
        <v>2719</v>
      </c>
      <c r="H117" t="s">
        <v>2690</v>
      </c>
      <c r="I117" s="1" t="s">
        <v>1457</v>
      </c>
      <c r="J117" t="s">
        <v>2691</v>
      </c>
      <c r="K117" s="25">
        <f>Tabelle5[[#This Row],[value_present]]*Tabelle5[[#This Row],[binding_level]]</f>
        <v>2</v>
      </c>
    </row>
    <row r="118" spans="1:11" x14ac:dyDescent="0.25">
      <c r="A118" s="24">
        <v>4</v>
      </c>
      <c r="B118" s="2">
        <v>22</v>
      </c>
      <c r="C118" s="2" t="s">
        <v>112</v>
      </c>
      <c r="D118" s="3">
        <v>1</v>
      </c>
      <c r="E118" s="1">
        <v>2</v>
      </c>
      <c r="F118" t="s">
        <v>2720</v>
      </c>
      <c r="G118" t="s">
        <v>2721</v>
      </c>
      <c r="H118" t="s">
        <v>2692</v>
      </c>
      <c r="I118" s="1" t="s">
        <v>1457</v>
      </c>
      <c r="J118" t="s">
        <v>2693</v>
      </c>
      <c r="K118" s="25">
        <f>Tabelle5[[#This Row],[value_present]]*Tabelle5[[#This Row],[binding_level]]</f>
        <v>2</v>
      </c>
    </row>
    <row r="119" spans="1:11" x14ac:dyDescent="0.25">
      <c r="A119" s="24">
        <v>4</v>
      </c>
      <c r="B119" s="2">
        <v>22</v>
      </c>
      <c r="C119" s="2" t="s">
        <v>118</v>
      </c>
      <c r="D119" s="3">
        <v>0</v>
      </c>
      <c r="E119" s="1"/>
      <c r="I119" s="1" t="s">
        <v>1457</v>
      </c>
      <c r="J119" t="s">
        <v>2161</v>
      </c>
      <c r="K119" s="25">
        <f>Tabelle5[[#This Row],[value_present]]*Tabelle5[[#This Row],[binding_level]]</f>
        <v>0</v>
      </c>
    </row>
    <row r="120" spans="1:11" x14ac:dyDescent="0.25">
      <c r="A120" s="24">
        <v>4</v>
      </c>
      <c r="B120" s="2">
        <v>22</v>
      </c>
      <c r="C120" s="2" t="s">
        <v>125</v>
      </c>
      <c r="D120" s="3">
        <v>0</v>
      </c>
      <c r="E120" s="1"/>
      <c r="I120" s="1" t="s">
        <v>1458</v>
      </c>
      <c r="J120" t="s">
        <v>2694</v>
      </c>
      <c r="K120" s="25">
        <f>Tabelle5[[#This Row],[value_present]]*Tabelle5[[#This Row],[binding_level]]</f>
        <v>0</v>
      </c>
    </row>
    <row r="121" spans="1:11" x14ac:dyDescent="0.25">
      <c r="A121" s="24">
        <v>4</v>
      </c>
      <c r="B121" s="2">
        <v>22</v>
      </c>
      <c r="C121" s="2" t="s">
        <v>132</v>
      </c>
      <c r="D121" s="3">
        <v>0</v>
      </c>
      <c r="E121" s="1"/>
      <c r="I121" s="1" t="s">
        <v>1457</v>
      </c>
      <c r="J121" t="s">
        <v>2695</v>
      </c>
      <c r="K121" s="25">
        <f>Tabelle5[[#This Row],[value_present]]*Tabelle5[[#This Row],[binding_level]]</f>
        <v>0</v>
      </c>
    </row>
    <row r="122" spans="1:11" x14ac:dyDescent="0.25">
      <c r="A122" s="24">
        <v>4</v>
      </c>
      <c r="B122" s="2">
        <v>22</v>
      </c>
      <c r="C122" s="2" t="s">
        <v>140</v>
      </c>
      <c r="D122" s="3">
        <v>0</v>
      </c>
      <c r="E122" s="1"/>
      <c r="I122" s="1" t="s">
        <v>1458</v>
      </c>
      <c r="J122" t="s">
        <v>2696</v>
      </c>
      <c r="K122" s="25">
        <f>Tabelle5[[#This Row],[value_present]]*Tabelle5[[#This Row],[binding_level]]</f>
        <v>0</v>
      </c>
    </row>
    <row r="123" spans="1:11" x14ac:dyDescent="0.25">
      <c r="A123" s="24">
        <v>4</v>
      </c>
      <c r="B123" s="2">
        <v>22</v>
      </c>
      <c r="C123" s="2" t="s">
        <v>147</v>
      </c>
      <c r="D123" s="3">
        <v>1</v>
      </c>
      <c r="E123" s="1">
        <v>2</v>
      </c>
      <c r="F123" t="s">
        <v>2723</v>
      </c>
      <c r="G123" t="s">
        <v>2718</v>
      </c>
      <c r="H123" t="s">
        <v>2697</v>
      </c>
      <c r="I123" s="1" t="s">
        <v>1457</v>
      </c>
      <c r="J123" t="s">
        <v>2698</v>
      </c>
      <c r="K123" s="25">
        <f>Tabelle5[[#This Row],[value_present]]*Tabelle5[[#This Row],[binding_level]]</f>
        <v>2</v>
      </c>
    </row>
    <row r="124" spans="1:11" x14ac:dyDescent="0.25">
      <c r="A124" s="24">
        <v>4</v>
      </c>
      <c r="B124" s="2">
        <v>22</v>
      </c>
      <c r="C124" s="2" t="s">
        <v>154</v>
      </c>
      <c r="D124" s="3">
        <v>1</v>
      </c>
      <c r="E124" s="1">
        <v>2</v>
      </c>
      <c r="F124" t="s">
        <v>2725</v>
      </c>
      <c r="G124" t="s">
        <v>2724</v>
      </c>
      <c r="H124" t="s">
        <v>2699</v>
      </c>
      <c r="I124" s="1" t="s">
        <v>1457</v>
      </c>
      <c r="J124" t="s">
        <v>2700</v>
      </c>
      <c r="K124" s="25">
        <f>Tabelle5[[#This Row],[value_present]]*Tabelle5[[#This Row],[binding_level]]</f>
        <v>2</v>
      </c>
    </row>
    <row r="125" spans="1:11" x14ac:dyDescent="0.25">
      <c r="A125" s="24">
        <v>4</v>
      </c>
      <c r="B125" s="2">
        <v>22</v>
      </c>
      <c r="C125" s="2" t="s">
        <v>161</v>
      </c>
      <c r="D125" s="3">
        <v>1</v>
      </c>
      <c r="E125" s="1">
        <v>1</v>
      </c>
      <c r="F125" t="s">
        <v>2727</v>
      </c>
      <c r="G125" t="s">
        <v>2726</v>
      </c>
      <c r="H125" t="s">
        <v>2701</v>
      </c>
      <c r="I125" s="1" t="s">
        <v>1458</v>
      </c>
      <c r="J125" t="s">
        <v>2702</v>
      </c>
      <c r="K125" s="25">
        <f>Tabelle5[[#This Row],[value_present]]*Tabelle5[[#This Row],[binding_level]]</f>
        <v>1</v>
      </c>
    </row>
    <row r="126" spans="1:11" x14ac:dyDescent="0.25">
      <c r="A126" s="24">
        <v>4</v>
      </c>
      <c r="B126" s="2">
        <v>22</v>
      </c>
      <c r="C126" s="2" t="s">
        <v>166</v>
      </c>
      <c r="D126" s="3">
        <v>0</v>
      </c>
      <c r="E126" s="1"/>
      <c r="I126" s="1" t="s">
        <v>1458</v>
      </c>
      <c r="J126" t="s">
        <v>2703</v>
      </c>
      <c r="K126" s="25">
        <f>Tabelle5[[#This Row],[value_present]]*Tabelle5[[#This Row],[binding_level]]</f>
        <v>0</v>
      </c>
    </row>
    <row r="127" spans="1:11" ht="15.75" thickBot="1" x14ac:dyDescent="0.3">
      <c r="A127" s="24">
        <v>4</v>
      </c>
      <c r="B127" s="2">
        <v>22</v>
      </c>
      <c r="C127" s="2" t="s">
        <v>174</v>
      </c>
      <c r="D127" s="3">
        <v>1</v>
      </c>
      <c r="E127" s="1">
        <v>2</v>
      </c>
      <c r="F127" t="s">
        <v>2715</v>
      </c>
      <c r="G127" t="s">
        <v>2728</v>
      </c>
      <c r="H127" t="s">
        <v>2704</v>
      </c>
      <c r="I127" s="1" t="s">
        <v>1457</v>
      </c>
      <c r="J127" t="s">
        <v>2705</v>
      </c>
      <c r="K127" s="25">
        <f>Tabelle5[[#This Row],[value_present]]*Tabelle5[[#This Row],[binding_level]]</f>
        <v>2</v>
      </c>
    </row>
    <row r="128" spans="1:11" x14ac:dyDescent="0.25">
      <c r="A128" s="18">
        <v>4</v>
      </c>
      <c r="B128" s="19">
        <v>23</v>
      </c>
      <c r="C128" s="19" t="s">
        <v>53</v>
      </c>
      <c r="D128" s="20">
        <v>0</v>
      </c>
      <c r="E128" s="21"/>
      <c r="F128" s="22"/>
      <c r="G128" s="22"/>
      <c r="H128" s="22"/>
      <c r="I128" s="21" t="s">
        <v>1457</v>
      </c>
      <c r="J128" s="22" t="s">
        <v>2490</v>
      </c>
      <c r="K128" s="23">
        <f>Tabelle5[[#This Row],[value_present]]*Tabelle5[[#This Row],[binding_level]]</f>
        <v>0</v>
      </c>
    </row>
    <row r="129" spans="1:11" x14ac:dyDescent="0.25">
      <c r="A129" s="24">
        <v>4</v>
      </c>
      <c r="B129" s="2">
        <v>23</v>
      </c>
      <c r="C129" s="2" t="s">
        <v>61</v>
      </c>
      <c r="D129" s="3">
        <v>0</v>
      </c>
      <c r="E129" s="1"/>
      <c r="I129" s="1" t="s">
        <v>1458</v>
      </c>
      <c r="J129" t="s">
        <v>2751</v>
      </c>
      <c r="K129" s="25">
        <f>Tabelle5[[#This Row],[value_present]]*Tabelle5[[#This Row],[binding_level]]</f>
        <v>0</v>
      </c>
    </row>
    <row r="130" spans="1:11" x14ac:dyDescent="0.25">
      <c r="A130" s="24">
        <v>4</v>
      </c>
      <c r="B130" s="2">
        <v>23</v>
      </c>
      <c r="C130" s="2" t="s">
        <v>69</v>
      </c>
      <c r="D130" s="3">
        <v>1</v>
      </c>
      <c r="E130" s="1">
        <v>1</v>
      </c>
      <c r="F130" t="s">
        <v>2767</v>
      </c>
      <c r="G130" t="s">
        <v>2766</v>
      </c>
      <c r="H130" t="s">
        <v>2752</v>
      </c>
      <c r="I130" s="1" t="s">
        <v>1458</v>
      </c>
      <c r="J130" t="s">
        <v>2753</v>
      </c>
      <c r="K130" s="25">
        <f>Tabelle5[[#This Row],[value_present]]*Tabelle5[[#This Row],[binding_level]]</f>
        <v>1</v>
      </c>
    </row>
    <row r="131" spans="1:11" x14ac:dyDescent="0.25">
      <c r="A131" s="24">
        <v>4</v>
      </c>
      <c r="B131" s="2">
        <v>23</v>
      </c>
      <c r="C131" s="2" t="s">
        <v>76</v>
      </c>
      <c r="D131" s="3">
        <v>0</v>
      </c>
      <c r="E131" s="1"/>
      <c r="I131" s="1" t="s">
        <v>1457</v>
      </c>
      <c r="J131" t="s">
        <v>2494</v>
      </c>
      <c r="K131" s="25">
        <f>Tabelle5[[#This Row],[value_present]]*Tabelle5[[#This Row],[binding_level]]</f>
        <v>0</v>
      </c>
    </row>
    <row r="132" spans="1:11" x14ac:dyDescent="0.25">
      <c r="A132" s="24">
        <v>4</v>
      </c>
      <c r="B132" s="2">
        <v>23</v>
      </c>
      <c r="C132" s="2" t="s">
        <v>83</v>
      </c>
      <c r="D132" s="3">
        <v>1</v>
      </c>
      <c r="E132" s="1">
        <v>1</v>
      </c>
      <c r="F132" t="s">
        <v>2769</v>
      </c>
      <c r="G132" t="s">
        <v>2768</v>
      </c>
      <c r="H132" t="s">
        <v>2754</v>
      </c>
      <c r="I132" s="1" t="s">
        <v>1457</v>
      </c>
      <c r="J132" t="s">
        <v>2755</v>
      </c>
      <c r="K132" s="25">
        <f>Tabelle5[[#This Row],[value_present]]*Tabelle5[[#This Row],[binding_level]]</f>
        <v>1</v>
      </c>
    </row>
    <row r="133" spans="1:11" x14ac:dyDescent="0.25">
      <c r="A133" s="24">
        <v>4</v>
      </c>
      <c r="B133" s="2">
        <v>23</v>
      </c>
      <c r="C133" s="2" t="s">
        <v>90</v>
      </c>
      <c r="D133" s="3">
        <v>1</v>
      </c>
      <c r="E133" s="1">
        <v>1</v>
      </c>
      <c r="F133" t="s">
        <v>2767</v>
      </c>
      <c r="G133" t="s">
        <v>2766</v>
      </c>
      <c r="H133" t="s">
        <v>2752</v>
      </c>
      <c r="I133" s="1" t="s">
        <v>1458</v>
      </c>
      <c r="J133" t="s">
        <v>2756</v>
      </c>
      <c r="K133" s="25">
        <f>Tabelle5[[#This Row],[value_present]]*Tabelle5[[#This Row],[binding_level]]</f>
        <v>1</v>
      </c>
    </row>
    <row r="134" spans="1:11" x14ac:dyDescent="0.25">
      <c r="A134" s="24">
        <v>4</v>
      </c>
      <c r="B134" s="2">
        <v>23</v>
      </c>
      <c r="C134" s="2" t="s">
        <v>98</v>
      </c>
      <c r="D134" s="3">
        <v>0</v>
      </c>
      <c r="E134" s="1"/>
      <c r="I134" s="1" t="s">
        <v>1457</v>
      </c>
      <c r="J134" t="s">
        <v>2757</v>
      </c>
      <c r="K134" s="25">
        <f>Tabelle5[[#This Row],[value_present]]*Tabelle5[[#This Row],[binding_level]]</f>
        <v>0</v>
      </c>
    </row>
    <row r="135" spans="1:11" x14ac:dyDescent="0.25">
      <c r="A135" s="24">
        <v>4</v>
      </c>
      <c r="B135" s="2">
        <v>23</v>
      </c>
      <c r="C135" s="2" t="s">
        <v>106</v>
      </c>
      <c r="D135" s="3">
        <v>0</v>
      </c>
      <c r="E135" s="1"/>
      <c r="I135" s="1" t="s">
        <v>1457</v>
      </c>
      <c r="J135" t="s">
        <v>2758</v>
      </c>
      <c r="K135" s="25">
        <f>Tabelle5[[#This Row],[value_present]]*Tabelle5[[#This Row],[binding_level]]</f>
        <v>0</v>
      </c>
    </row>
    <row r="136" spans="1:11" x14ac:dyDescent="0.25">
      <c r="A136" s="24">
        <v>4</v>
      </c>
      <c r="B136" s="2">
        <v>23</v>
      </c>
      <c r="C136" s="2" t="s">
        <v>112</v>
      </c>
      <c r="D136" s="3">
        <v>0</v>
      </c>
      <c r="E136" s="1"/>
      <c r="I136" s="1" t="s">
        <v>1457</v>
      </c>
      <c r="J136" t="s">
        <v>2759</v>
      </c>
      <c r="K136" s="25">
        <f>Tabelle5[[#This Row],[value_present]]*Tabelle5[[#This Row],[binding_level]]</f>
        <v>0</v>
      </c>
    </row>
    <row r="137" spans="1:11" x14ac:dyDescent="0.25">
      <c r="A137" s="24">
        <v>4</v>
      </c>
      <c r="B137" s="2">
        <v>23</v>
      </c>
      <c r="C137" s="2" t="s">
        <v>118</v>
      </c>
      <c r="D137" s="3">
        <v>0</v>
      </c>
      <c r="E137" s="1"/>
      <c r="I137" s="1" t="s">
        <v>1457</v>
      </c>
      <c r="J137" t="s">
        <v>2607</v>
      </c>
      <c r="K137" s="25">
        <f>Tabelle5[[#This Row],[value_present]]*Tabelle5[[#This Row],[binding_level]]</f>
        <v>0</v>
      </c>
    </row>
    <row r="138" spans="1:11" x14ac:dyDescent="0.25">
      <c r="A138" s="24">
        <v>4</v>
      </c>
      <c r="B138" s="2">
        <v>23</v>
      </c>
      <c r="C138" s="2" t="s">
        <v>125</v>
      </c>
      <c r="D138" s="3">
        <v>1</v>
      </c>
      <c r="E138" s="1">
        <v>2</v>
      </c>
      <c r="F138" t="s">
        <v>2771</v>
      </c>
      <c r="G138" t="s">
        <v>2770</v>
      </c>
      <c r="H138" t="s">
        <v>2754</v>
      </c>
      <c r="I138" s="1" t="s">
        <v>1457</v>
      </c>
      <c r="J138" t="s">
        <v>2760</v>
      </c>
      <c r="K138" s="25">
        <f>Tabelle5[[#This Row],[value_present]]*Tabelle5[[#This Row],[binding_level]]</f>
        <v>2</v>
      </c>
    </row>
    <row r="139" spans="1:11" x14ac:dyDescent="0.25">
      <c r="A139" s="24">
        <v>4</v>
      </c>
      <c r="B139" s="2">
        <v>23</v>
      </c>
      <c r="C139" s="2" t="s">
        <v>132</v>
      </c>
      <c r="D139" s="3">
        <v>0</v>
      </c>
      <c r="E139" s="1"/>
      <c r="I139" s="1" t="s">
        <v>1457</v>
      </c>
      <c r="J139" t="s">
        <v>2695</v>
      </c>
      <c r="K139" s="25">
        <f>Tabelle5[[#This Row],[value_present]]*Tabelle5[[#This Row],[binding_level]]</f>
        <v>0</v>
      </c>
    </row>
    <row r="140" spans="1:11" x14ac:dyDescent="0.25">
      <c r="A140" s="24">
        <v>4</v>
      </c>
      <c r="B140" s="2">
        <v>23</v>
      </c>
      <c r="C140" s="2" t="s">
        <v>140</v>
      </c>
      <c r="D140" s="3">
        <v>1</v>
      </c>
      <c r="E140" s="1">
        <v>1</v>
      </c>
      <c r="F140" t="s">
        <v>2773</v>
      </c>
      <c r="G140" t="s">
        <v>2772</v>
      </c>
      <c r="H140" t="s">
        <v>2754</v>
      </c>
      <c r="I140" s="1" t="s">
        <v>1458</v>
      </c>
      <c r="J140" t="s">
        <v>2761</v>
      </c>
      <c r="K140" s="25">
        <f>Tabelle5[[#This Row],[value_present]]*Tabelle5[[#This Row],[binding_level]]</f>
        <v>1</v>
      </c>
    </row>
    <row r="141" spans="1:11" x14ac:dyDescent="0.25">
      <c r="A141" s="24">
        <v>4</v>
      </c>
      <c r="B141" s="2">
        <v>23</v>
      </c>
      <c r="C141" s="2" t="s">
        <v>147</v>
      </c>
      <c r="D141" s="3">
        <v>0</v>
      </c>
      <c r="E141" s="1"/>
      <c r="I141" s="1" t="s">
        <v>1458</v>
      </c>
      <c r="J141" t="s">
        <v>2762</v>
      </c>
      <c r="K141" s="25">
        <f>Tabelle5[[#This Row],[value_present]]*Tabelle5[[#This Row],[binding_level]]</f>
        <v>0</v>
      </c>
    </row>
    <row r="142" spans="1:11" x14ac:dyDescent="0.25">
      <c r="A142" s="24">
        <v>4</v>
      </c>
      <c r="B142" s="2">
        <v>23</v>
      </c>
      <c r="C142" s="2" t="s">
        <v>154</v>
      </c>
      <c r="D142" s="3">
        <v>1</v>
      </c>
      <c r="E142" s="1">
        <v>2</v>
      </c>
      <c r="F142" t="s">
        <v>2775</v>
      </c>
      <c r="G142" t="s">
        <v>2774</v>
      </c>
      <c r="H142" t="s">
        <v>2754</v>
      </c>
      <c r="I142" s="1" t="s">
        <v>1457</v>
      </c>
      <c r="J142" t="s">
        <v>2763</v>
      </c>
      <c r="K142" s="25">
        <f>Tabelle5[[#This Row],[value_present]]*Tabelle5[[#This Row],[binding_level]]</f>
        <v>2</v>
      </c>
    </row>
    <row r="143" spans="1:11" x14ac:dyDescent="0.25">
      <c r="A143" s="24">
        <v>4</v>
      </c>
      <c r="B143" s="2">
        <v>23</v>
      </c>
      <c r="C143" s="2" t="s">
        <v>161</v>
      </c>
      <c r="D143" s="3">
        <v>0</v>
      </c>
      <c r="E143" s="1"/>
      <c r="I143" s="1" t="s">
        <v>1457</v>
      </c>
      <c r="J143" t="s">
        <v>2764</v>
      </c>
      <c r="K143" s="25">
        <f>Tabelle5[[#This Row],[value_present]]*Tabelle5[[#This Row],[binding_level]]</f>
        <v>0</v>
      </c>
    </row>
    <row r="144" spans="1:11" x14ac:dyDescent="0.25">
      <c r="A144" s="24">
        <v>4</v>
      </c>
      <c r="B144" s="2">
        <v>23</v>
      </c>
      <c r="C144" s="2" t="s">
        <v>166</v>
      </c>
      <c r="D144" s="3">
        <v>0</v>
      </c>
      <c r="E144" s="1"/>
      <c r="I144" s="1" t="s">
        <v>1457</v>
      </c>
      <c r="J144" t="s">
        <v>2506</v>
      </c>
      <c r="K144" s="25">
        <f>Tabelle5[[#This Row],[value_present]]*Tabelle5[[#This Row],[binding_level]]</f>
        <v>0</v>
      </c>
    </row>
    <row r="145" spans="1:11" ht="15.75" thickBot="1" x14ac:dyDescent="0.3">
      <c r="A145" s="26">
        <v>4</v>
      </c>
      <c r="B145" s="27">
        <v>23</v>
      </c>
      <c r="C145" s="27" t="s">
        <v>174</v>
      </c>
      <c r="D145" s="28">
        <v>0</v>
      </c>
      <c r="E145" s="29"/>
      <c r="F145" s="30"/>
      <c r="G145" s="30"/>
      <c r="H145" s="30"/>
      <c r="I145" s="29" t="s">
        <v>1457</v>
      </c>
      <c r="J145" s="30" t="s">
        <v>2765</v>
      </c>
      <c r="K145" s="31">
        <f>Tabelle5[[#This Row],[value_present]]*Tabelle5[[#This Row],[binding_level]]</f>
        <v>0</v>
      </c>
    </row>
    <row r="146" spans="1:11" x14ac:dyDescent="0.25">
      <c r="A146" s="18">
        <v>4</v>
      </c>
      <c r="B146" s="19">
        <v>24</v>
      </c>
      <c r="C146" s="19" t="s">
        <v>53</v>
      </c>
      <c r="D146" s="20">
        <v>1</v>
      </c>
      <c r="E146" s="21">
        <v>2</v>
      </c>
      <c r="F146" s="22" t="s">
        <v>2811</v>
      </c>
      <c r="G146" s="22" t="s">
        <v>2812</v>
      </c>
      <c r="H146" s="22" t="s">
        <v>2798</v>
      </c>
      <c r="I146" s="21" t="s">
        <v>1457</v>
      </c>
      <c r="J146" s="22" t="s">
        <v>2799</v>
      </c>
      <c r="K146" s="23">
        <f>Tabelle5[[#This Row],[value_present]]*Tabelle5[[#This Row],[binding_level]]</f>
        <v>2</v>
      </c>
    </row>
    <row r="147" spans="1:11" x14ac:dyDescent="0.25">
      <c r="A147" s="24">
        <v>4</v>
      </c>
      <c r="B147" s="2">
        <v>24</v>
      </c>
      <c r="C147" s="2" t="s">
        <v>61</v>
      </c>
      <c r="D147" s="3">
        <v>0</v>
      </c>
      <c r="E147" s="1"/>
      <c r="I147" s="1" t="s">
        <v>1457</v>
      </c>
      <c r="J147" t="s">
        <v>2800</v>
      </c>
      <c r="K147" s="25">
        <f>Tabelle5[[#This Row],[value_present]]*Tabelle5[[#This Row],[binding_level]]</f>
        <v>0</v>
      </c>
    </row>
    <row r="148" spans="1:11" x14ac:dyDescent="0.25">
      <c r="A148" s="24">
        <v>4</v>
      </c>
      <c r="B148" s="2">
        <v>24</v>
      </c>
      <c r="C148" s="2" t="s">
        <v>69</v>
      </c>
      <c r="D148" s="3">
        <v>0</v>
      </c>
      <c r="E148" s="1"/>
      <c r="I148" s="1" t="s">
        <v>1457</v>
      </c>
      <c r="J148" t="s">
        <v>2801</v>
      </c>
      <c r="K148" s="25">
        <f>Tabelle5[[#This Row],[value_present]]*Tabelle5[[#This Row],[binding_level]]</f>
        <v>0</v>
      </c>
    </row>
    <row r="149" spans="1:11" x14ac:dyDescent="0.25">
      <c r="A149" s="24">
        <v>4</v>
      </c>
      <c r="B149" s="2">
        <v>24</v>
      </c>
      <c r="C149" s="2" t="s">
        <v>76</v>
      </c>
      <c r="D149" s="3">
        <v>0</v>
      </c>
      <c r="E149" s="1"/>
      <c r="I149" s="1" t="s">
        <v>1457</v>
      </c>
      <c r="J149" t="s">
        <v>2494</v>
      </c>
      <c r="K149" s="25">
        <f>Tabelle5[[#This Row],[value_present]]*Tabelle5[[#This Row],[binding_level]]</f>
        <v>0</v>
      </c>
    </row>
    <row r="150" spans="1:11" x14ac:dyDescent="0.25">
      <c r="A150" s="24">
        <v>4</v>
      </c>
      <c r="B150" s="2">
        <v>24</v>
      </c>
      <c r="C150" s="2" t="s">
        <v>83</v>
      </c>
      <c r="D150" s="3">
        <v>0</v>
      </c>
      <c r="E150" s="1"/>
      <c r="I150" s="1" t="s">
        <v>1457</v>
      </c>
      <c r="J150" t="s">
        <v>2802</v>
      </c>
      <c r="K150" s="25">
        <f>Tabelle5[[#This Row],[value_present]]*Tabelle5[[#This Row],[binding_level]]</f>
        <v>0</v>
      </c>
    </row>
    <row r="151" spans="1:11" x14ac:dyDescent="0.25">
      <c r="A151" s="24">
        <v>4</v>
      </c>
      <c r="B151" s="2">
        <v>24</v>
      </c>
      <c r="C151" s="2" t="s">
        <v>90</v>
      </c>
      <c r="D151" s="3">
        <v>1</v>
      </c>
      <c r="E151" s="1">
        <v>2</v>
      </c>
      <c r="F151" t="s">
        <v>2814</v>
      </c>
      <c r="G151" t="s">
        <v>2813</v>
      </c>
      <c r="H151" t="s">
        <v>2798</v>
      </c>
      <c r="I151" s="1" t="s">
        <v>1457</v>
      </c>
      <c r="J151" t="s">
        <v>2803</v>
      </c>
      <c r="K151" s="25">
        <f>Tabelle5[[#This Row],[value_present]]*Tabelle5[[#This Row],[binding_level]]</f>
        <v>2</v>
      </c>
    </row>
    <row r="152" spans="1:11" x14ac:dyDescent="0.25">
      <c r="A152" s="24">
        <v>4</v>
      </c>
      <c r="B152" s="2">
        <v>24</v>
      </c>
      <c r="C152" s="2" t="s">
        <v>98</v>
      </c>
      <c r="D152" s="3">
        <v>0</v>
      </c>
      <c r="E152" s="1"/>
      <c r="I152" s="1" t="s">
        <v>1458</v>
      </c>
      <c r="J152" t="s">
        <v>2804</v>
      </c>
      <c r="K152" s="25">
        <f>Tabelle5[[#This Row],[value_present]]*Tabelle5[[#This Row],[binding_level]]</f>
        <v>0</v>
      </c>
    </row>
    <row r="153" spans="1:11" x14ac:dyDescent="0.25">
      <c r="A153" s="24">
        <v>4</v>
      </c>
      <c r="B153" s="2">
        <v>24</v>
      </c>
      <c r="C153" s="2" t="s">
        <v>106</v>
      </c>
      <c r="D153" s="3">
        <v>0</v>
      </c>
      <c r="E153" s="1"/>
      <c r="I153" s="1" t="s">
        <v>1457</v>
      </c>
      <c r="J153" t="s">
        <v>2805</v>
      </c>
      <c r="K153" s="25">
        <f>Tabelle5[[#This Row],[value_present]]*Tabelle5[[#This Row],[binding_level]]</f>
        <v>0</v>
      </c>
    </row>
    <row r="154" spans="1:11" x14ac:dyDescent="0.25">
      <c r="A154" s="24">
        <v>4</v>
      </c>
      <c r="B154" s="2">
        <v>24</v>
      </c>
      <c r="C154" s="2" t="s">
        <v>112</v>
      </c>
      <c r="D154" s="3">
        <v>0</v>
      </c>
      <c r="E154" s="1"/>
      <c r="I154" s="1" t="s">
        <v>1457</v>
      </c>
      <c r="J154" t="s">
        <v>2759</v>
      </c>
      <c r="K154" s="25">
        <f>Tabelle5[[#This Row],[value_present]]*Tabelle5[[#This Row],[binding_level]]</f>
        <v>0</v>
      </c>
    </row>
    <row r="155" spans="1:11" x14ac:dyDescent="0.25">
      <c r="A155" s="24">
        <v>4</v>
      </c>
      <c r="B155" s="2">
        <v>24</v>
      </c>
      <c r="C155" s="2" t="s">
        <v>118</v>
      </c>
      <c r="D155" s="3">
        <v>0</v>
      </c>
      <c r="E155" s="1"/>
      <c r="I155" s="1" t="s">
        <v>1457</v>
      </c>
      <c r="J155" t="s">
        <v>2161</v>
      </c>
      <c r="K155" s="25">
        <f>Tabelle5[[#This Row],[value_present]]*Tabelle5[[#This Row],[binding_level]]</f>
        <v>0</v>
      </c>
    </row>
    <row r="156" spans="1:11" x14ac:dyDescent="0.25">
      <c r="A156" s="24">
        <v>4</v>
      </c>
      <c r="B156" s="2">
        <v>24</v>
      </c>
      <c r="C156" s="2" t="s">
        <v>125</v>
      </c>
      <c r="D156" s="3">
        <v>0</v>
      </c>
      <c r="E156" s="1"/>
      <c r="I156" s="1" t="s">
        <v>1457</v>
      </c>
      <c r="J156" t="s">
        <v>2500</v>
      </c>
      <c r="K156" s="25">
        <f>Tabelle5[[#This Row],[value_present]]*Tabelle5[[#This Row],[binding_level]]</f>
        <v>0</v>
      </c>
    </row>
    <row r="157" spans="1:11" x14ac:dyDescent="0.25">
      <c r="A157" s="24">
        <v>4</v>
      </c>
      <c r="B157" s="2">
        <v>24</v>
      </c>
      <c r="C157" s="2" t="s">
        <v>132</v>
      </c>
      <c r="D157" s="3">
        <v>0</v>
      </c>
      <c r="E157" s="1"/>
      <c r="I157" s="1" t="s">
        <v>1457</v>
      </c>
      <c r="J157" t="s">
        <v>2806</v>
      </c>
      <c r="K157" s="25">
        <f>Tabelle5[[#This Row],[value_present]]*Tabelle5[[#This Row],[binding_level]]</f>
        <v>0</v>
      </c>
    </row>
    <row r="158" spans="1:11" x14ac:dyDescent="0.25">
      <c r="A158" s="24">
        <v>4</v>
      </c>
      <c r="B158" s="2">
        <v>24</v>
      </c>
      <c r="C158" s="2" t="s">
        <v>140</v>
      </c>
      <c r="D158" s="3">
        <v>0</v>
      </c>
      <c r="E158" s="1"/>
      <c r="I158" s="1" t="s">
        <v>1458</v>
      </c>
      <c r="J158" t="s">
        <v>2807</v>
      </c>
      <c r="K158" s="25">
        <f>Tabelle5[[#This Row],[value_present]]*Tabelle5[[#This Row],[binding_level]]</f>
        <v>0</v>
      </c>
    </row>
    <row r="159" spans="1:11" x14ac:dyDescent="0.25">
      <c r="A159" s="24">
        <v>4</v>
      </c>
      <c r="B159" s="2">
        <v>24</v>
      </c>
      <c r="C159" s="2" t="s">
        <v>147</v>
      </c>
      <c r="D159" s="3">
        <v>1</v>
      </c>
      <c r="E159" s="1">
        <v>2</v>
      </c>
      <c r="F159" t="s">
        <v>2816</v>
      </c>
      <c r="G159" t="s">
        <v>2815</v>
      </c>
      <c r="H159" t="s">
        <v>2798</v>
      </c>
      <c r="I159" s="1" t="s">
        <v>1457</v>
      </c>
      <c r="J159" t="s">
        <v>2808</v>
      </c>
      <c r="K159" s="25">
        <f>Tabelle5[[#This Row],[value_present]]*Tabelle5[[#This Row],[binding_level]]</f>
        <v>2</v>
      </c>
    </row>
    <row r="160" spans="1:11" x14ac:dyDescent="0.25">
      <c r="A160" s="24">
        <v>4</v>
      </c>
      <c r="B160" s="2">
        <v>24</v>
      </c>
      <c r="C160" s="2" t="s">
        <v>154</v>
      </c>
      <c r="D160" s="3">
        <v>0</v>
      </c>
      <c r="E160" s="1"/>
      <c r="I160" s="1" t="s">
        <v>1458</v>
      </c>
      <c r="J160" t="s">
        <v>2809</v>
      </c>
      <c r="K160" s="25">
        <f>Tabelle5[[#This Row],[value_present]]*Tabelle5[[#This Row],[binding_level]]</f>
        <v>0</v>
      </c>
    </row>
    <row r="161" spans="1:11" x14ac:dyDescent="0.25">
      <c r="A161" s="24">
        <v>4</v>
      </c>
      <c r="B161" s="2">
        <v>24</v>
      </c>
      <c r="C161" s="2" t="s">
        <v>161</v>
      </c>
      <c r="D161" s="3">
        <v>0</v>
      </c>
      <c r="E161" s="1"/>
      <c r="I161" s="1" t="s">
        <v>1457</v>
      </c>
      <c r="J161" t="s">
        <v>2810</v>
      </c>
      <c r="K161" s="25">
        <f>Tabelle5[[#This Row],[value_present]]*Tabelle5[[#This Row],[binding_level]]</f>
        <v>0</v>
      </c>
    </row>
    <row r="162" spans="1:11" x14ac:dyDescent="0.25">
      <c r="A162" s="24">
        <v>4</v>
      </c>
      <c r="B162" s="2">
        <v>24</v>
      </c>
      <c r="C162" s="2" t="s">
        <v>166</v>
      </c>
      <c r="D162" s="3">
        <v>0</v>
      </c>
      <c r="E162" s="1"/>
      <c r="I162" s="1" t="s">
        <v>1457</v>
      </c>
      <c r="J162" t="s">
        <v>2506</v>
      </c>
      <c r="K162" s="25">
        <f>Tabelle5[[#This Row],[value_present]]*Tabelle5[[#This Row],[binding_level]]</f>
        <v>0</v>
      </c>
    </row>
    <row r="163" spans="1:11" ht="15.75" thickBot="1" x14ac:dyDescent="0.3">
      <c r="A163" s="26">
        <v>4</v>
      </c>
      <c r="B163" s="27">
        <v>24</v>
      </c>
      <c r="C163" s="27" t="s">
        <v>174</v>
      </c>
      <c r="D163" s="28">
        <v>0</v>
      </c>
      <c r="E163" s="29"/>
      <c r="F163" s="30"/>
      <c r="G163" s="30"/>
      <c r="H163" s="30"/>
      <c r="I163" s="29" t="s">
        <v>1457</v>
      </c>
      <c r="J163" s="30" t="s">
        <v>2507</v>
      </c>
      <c r="K163" s="31">
        <f>Tabelle5[[#This Row],[value_present]]*Tabelle5[[#This Row],[binding_level]]</f>
        <v>0</v>
      </c>
    </row>
    <row r="164" spans="1:11" x14ac:dyDescent="0.25">
      <c r="A164" s="18">
        <v>5</v>
      </c>
      <c r="B164" s="19">
        <v>27</v>
      </c>
      <c r="C164" s="19" t="s">
        <v>53</v>
      </c>
      <c r="D164" s="20">
        <v>1</v>
      </c>
      <c r="E164" s="21">
        <v>2</v>
      </c>
      <c r="F164" s="22" t="s">
        <v>2853</v>
      </c>
      <c r="G164" s="22" t="s">
        <v>2854</v>
      </c>
      <c r="H164" s="22" t="s">
        <v>2834</v>
      </c>
      <c r="I164" s="21" t="s">
        <v>1457</v>
      </c>
      <c r="J164" s="22" t="s">
        <v>2835</v>
      </c>
      <c r="K164" s="23">
        <f>Tabelle5[[#This Row],[value_present]]*Tabelle5[[#This Row],[binding_level]]</f>
        <v>2</v>
      </c>
    </row>
    <row r="165" spans="1:11" x14ac:dyDescent="0.25">
      <c r="A165" s="24">
        <v>5</v>
      </c>
      <c r="B165" s="50">
        <v>27</v>
      </c>
      <c r="C165" s="50" t="s">
        <v>61</v>
      </c>
      <c r="D165" s="51">
        <v>1</v>
      </c>
      <c r="E165" s="53">
        <v>1</v>
      </c>
      <c r="F165" s="52" t="s">
        <v>2856</v>
      </c>
      <c r="G165" s="52" t="s">
        <v>2855</v>
      </c>
      <c r="H165" s="52" t="s">
        <v>2834</v>
      </c>
      <c r="I165" s="53" t="s">
        <v>1458</v>
      </c>
      <c r="J165" s="52" t="s">
        <v>2836</v>
      </c>
      <c r="K165" s="25">
        <f>Tabelle5[[#This Row],[value_present]]*Tabelle5[[#This Row],[binding_level]]</f>
        <v>1</v>
      </c>
    </row>
    <row r="166" spans="1:11" x14ac:dyDescent="0.25">
      <c r="A166" s="24">
        <v>5</v>
      </c>
      <c r="B166" s="50">
        <v>27</v>
      </c>
      <c r="C166" s="50" t="s">
        <v>69</v>
      </c>
      <c r="D166" s="51">
        <v>1</v>
      </c>
      <c r="E166" s="53">
        <v>1</v>
      </c>
      <c r="F166" s="52" t="s">
        <v>2858</v>
      </c>
      <c r="G166" s="52" t="s">
        <v>2857</v>
      </c>
      <c r="H166" s="52" t="s">
        <v>2834</v>
      </c>
      <c r="I166" s="53" t="s">
        <v>1457</v>
      </c>
      <c r="J166" s="52" t="s">
        <v>2837</v>
      </c>
      <c r="K166" s="25">
        <f>Tabelle5[[#This Row],[value_present]]*Tabelle5[[#This Row],[binding_level]]</f>
        <v>1</v>
      </c>
    </row>
    <row r="167" spans="1:11" x14ac:dyDescent="0.25">
      <c r="A167" s="24">
        <v>5</v>
      </c>
      <c r="B167" s="50">
        <v>27</v>
      </c>
      <c r="C167" s="50" t="s">
        <v>76</v>
      </c>
      <c r="D167" s="51">
        <v>0</v>
      </c>
      <c r="E167" s="53"/>
      <c r="F167" s="52"/>
      <c r="G167" s="52"/>
      <c r="H167" s="52"/>
      <c r="I167" s="53" t="s">
        <v>1457</v>
      </c>
      <c r="J167" s="52" t="s">
        <v>2838</v>
      </c>
      <c r="K167" s="25">
        <f>Tabelle5[[#This Row],[value_present]]*Tabelle5[[#This Row],[binding_level]]</f>
        <v>0</v>
      </c>
    </row>
    <row r="168" spans="1:11" x14ac:dyDescent="0.25">
      <c r="A168" s="24">
        <v>5</v>
      </c>
      <c r="B168" s="50">
        <v>27</v>
      </c>
      <c r="C168" s="50" t="s">
        <v>83</v>
      </c>
      <c r="D168" s="51">
        <v>1</v>
      </c>
      <c r="E168" s="53">
        <v>2</v>
      </c>
      <c r="F168" s="52" t="s">
        <v>2859</v>
      </c>
      <c r="G168" s="52" t="s">
        <v>2860</v>
      </c>
      <c r="H168" s="52" t="s">
        <v>2834</v>
      </c>
      <c r="I168" s="53" t="s">
        <v>1457</v>
      </c>
      <c r="J168" s="52" t="s">
        <v>2839</v>
      </c>
      <c r="K168" s="25">
        <f>Tabelle5[[#This Row],[value_present]]*Tabelle5[[#This Row],[binding_level]]</f>
        <v>2</v>
      </c>
    </row>
    <row r="169" spans="1:11" x14ac:dyDescent="0.25">
      <c r="A169" s="24">
        <v>5</v>
      </c>
      <c r="B169" s="50">
        <v>27</v>
      </c>
      <c r="C169" s="50" t="s">
        <v>90</v>
      </c>
      <c r="D169" s="51">
        <v>0</v>
      </c>
      <c r="E169" s="53"/>
      <c r="F169" s="52"/>
      <c r="G169" s="52"/>
      <c r="H169" s="52"/>
      <c r="I169" s="53" t="s">
        <v>1457</v>
      </c>
      <c r="J169" s="52" t="s">
        <v>2840</v>
      </c>
      <c r="K169" s="25">
        <f>Tabelle5[[#This Row],[value_present]]*Tabelle5[[#This Row],[binding_level]]</f>
        <v>0</v>
      </c>
    </row>
    <row r="170" spans="1:11" x14ac:dyDescent="0.25">
      <c r="A170" s="24">
        <v>5</v>
      </c>
      <c r="B170" s="50">
        <v>27</v>
      </c>
      <c r="C170" s="50" t="s">
        <v>98</v>
      </c>
      <c r="D170" s="51">
        <v>0</v>
      </c>
      <c r="E170" s="53"/>
      <c r="F170" s="52"/>
      <c r="G170" s="52"/>
      <c r="H170" s="52"/>
      <c r="I170" s="53" t="s">
        <v>1457</v>
      </c>
      <c r="J170" s="52" t="s">
        <v>2841</v>
      </c>
      <c r="K170" s="25">
        <f>Tabelle5[[#This Row],[value_present]]*Tabelle5[[#This Row],[binding_level]]</f>
        <v>0</v>
      </c>
    </row>
    <row r="171" spans="1:11" x14ac:dyDescent="0.25">
      <c r="A171" s="24">
        <v>5</v>
      </c>
      <c r="B171" s="50">
        <v>27</v>
      </c>
      <c r="C171" s="50" t="s">
        <v>106</v>
      </c>
      <c r="D171" s="51">
        <v>1</v>
      </c>
      <c r="E171" s="53">
        <v>1</v>
      </c>
      <c r="F171" s="52" t="s">
        <v>2862</v>
      </c>
      <c r="G171" s="52" t="s">
        <v>2861</v>
      </c>
      <c r="H171" s="52" t="s">
        <v>2834</v>
      </c>
      <c r="I171" s="53" t="s">
        <v>1457</v>
      </c>
      <c r="J171" s="52" t="s">
        <v>2842</v>
      </c>
      <c r="K171" s="25">
        <f>Tabelle5[[#This Row],[value_present]]*Tabelle5[[#This Row],[binding_level]]</f>
        <v>1</v>
      </c>
    </row>
    <row r="172" spans="1:11" x14ac:dyDescent="0.25">
      <c r="A172" s="24">
        <v>5</v>
      </c>
      <c r="B172" s="50">
        <v>27</v>
      </c>
      <c r="C172" s="50" t="s">
        <v>112</v>
      </c>
      <c r="D172" s="51">
        <v>1</v>
      </c>
      <c r="E172" s="53">
        <v>2</v>
      </c>
      <c r="F172" s="52" t="s">
        <v>2864</v>
      </c>
      <c r="G172" s="52" t="s">
        <v>2863</v>
      </c>
      <c r="H172" s="52" t="s">
        <v>2834</v>
      </c>
      <c r="I172" s="53" t="s">
        <v>1458</v>
      </c>
      <c r="J172" s="52" t="s">
        <v>2843</v>
      </c>
      <c r="K172" s="25">
        <f>Tabelle5[[#This Row],[value_present]]*Tabelle5[[#This Row],[binding_level]]</f>
        <v>2</v>
      </c>
    </row>
    <row r="173" spans="1:11" x14ac:dyDescent="0.25">
      <c r="A173" s="24">
        <v>5</v>
      </c>
      <c r="B173" s="50">
        <v>27</v>
      </c>
      <c r="C173" s="50" t="s">
        <v>118</v>
      </c>
      <c r="D173" s="51">
        <v>0</v>
      </c>
      <c r="E173" s="53"/>
      <c r="F173" s="52"/>
      <c r="G173" s="52"/>
      <c r="H173" s="52"/>
      <c r="I173" s="53" t="s">
        <v>1457</v>
      </c>
      <c r="J173" s="52" t="s">
        <v>2844</v>
      </c>
      <c r="K173" s="25">
        <f>Tabelle5[[#This Row],[value_present]]*Tabelle5[[#This Row],[binding_level]]</f>
        <v>0</v>
      </c>
    </row>
    <row r="174" spans="1:11" x14ac:dyDescent="0.25">
      <c r="A174" s="24">
        <v>5</v>
      </c>
      <c r="B174" s="50">
        <v>27</v>
      </c>
      <c r="C174" s="50" t="s">
        <v>125</v>
      </c>
      <c r="D174" s="51">
        <v>0</v>
      </c>
      <c r="E174" s="53"/>
      <c r="F174" s="52"/>
      <c r="G174" s="52"/>
      <c r="H174" s="52"/>
      <c r="I174" s="53" t="s">
        <v>1458</v>
      </c>
      <c r="J174" s="52" t="s">
        <v>2845</v>
      </c>
      <c r="K174" s="25">
        <f>Tabelle5[[#This Row],[value_present]]*Tabelle5[[#This Row],[binding_level]]</f>
        <v>0</v>
      </c>
    </row>
    <row r="175" spans="1:11" x14ac:dyDescent="0.25">
      <c r="A175" s="24">
        <v>5</v>
      </c>
      <c r="B175" s="50">
        <v>27</v>
      </c>
      <c r="C175" s="50" t="s">
        <v>132</v>
      </c>
      <c r="D175" s="51">
        <v>0</v>
      </c>
      <c r="E175" s="53"/>
      <c r="F175" s="52"/>
      <c r="G175" s="52"/>
      <c r="H175" s="52"/>
      <c r="I175" s="53" t="s">
        <v>1457</v>
      </c>
      <c r="J175" s="52" t="s">
        <v>2846</v>
      </c>
      <c r="K175" s="25">
        <f>Tabelle5[[#This Row],[value_present]]*Tabelle5[[#This Row],[binding_level]]</f>
        <v>0</v>
      </c>
    </row>
    <row r="176" spans="1:11" x14ac:dyDescent="0.25">
      <c r="A176" s="24">
        <v>5</v>
      </c>
      <c r="B176" s="50">
        <v>27</v>
      </c>
      <c r="C176" s="50" t="s">
        <v>140</v>
      </c>
      <c r="D176" s="51">
        <v>1</v>
      </c>
      <c r="E176" s="53">
        <v>1</v>
      </c>
      <c r="F176" s="52" t="s">
        <v>2866</v>
      </c>
      <c r="G176" s="52" t="s">
        <v>2865</v>
      </c>
      <c r="H176" s="52" t="s">
        <v>2834</v>
      </c>
      <c r="I176" s="53" t="s">
        <v>1457</v>
      </c>
      <c r="J176" s="52" t="s">
        <v>2847</v>
      </c>
      <c r="K176" s="25">
        <f>Tabelle5[[#This Row],[value_present]]*Tabelle5[[#This Row],[binding_level]]</f>
        <v>1</v>
      </c>
    </row>
    <row r="177" spans="1:11" x14ac:dyDescent="0.25">
      <c r="A177" s="24">
        <v>5</v>
      </c>
      <c r="B177" s="50">
        <v>27</v>
      </c>
      <c r="C177" s="50" t="s">
        <v>147</v>
      </c>
      <c r="D177" s="51">
        <v>1</v>
      </c>
      <c r="E177" s="53">
        <v>2</v>
      </c>
      <c r="F177" s="52" t="s">
        <v>2867</v>
      </c>
      <c r="G177" s="52" t="s">
        <v>1530</v>
      </c>
      <c r="H177" s="52" t="s">
        <v>2834</v>
      </c>
      <c r="I177" s="53" t="s">
        <v>1457</v>
      </c>
      <c r="J177" s="52" t="s">
        <v>2848</v>
      </c>
      <c r="K177" s="25">
        <f>Tabelle5[[#This Row],[value_present]]*Tabelle5[[#This Row],[binding_level]]</f>
        <v>2</v>
      </c>
    </row>
    <row r="178" spans="1:11" x14ac:dyDescent="0.25">
      <c r="A178" s="24">
        <v>5</v>
      </c>
      <c r="B178" s="50">
        <v>27</v>
      </c>
      <c r="C178" s="50" t="s">
        <v>154</v>
      </c>
      <c r="D178" s="51">
        <v>0</v>
      </c>
      <c r="E178" s="53"/>
      <c r="F178" s="52"/>
      <c r="G178" s="52"/>
      <c r="H178" s="52"/>
      <c r="I178" s="53" t="s">
        <v>1458</v>
      </c>
      <c r="J178" s="52" t="s">
        <v>2849</v>
      </c>
      <c r="K178" s="25">
        <f>Tabelle5[[#This Row],[value_present]]*Tabelle5[[#This Row],[binding_level]]</f>
        <v>0</v>
      </c>
    </row>
    <row r="179" spans="1:11" x14ac:dyDescent="0.25">
      <c r="A179" s="24">
        <v>5</v>
      </c>
      <c r="B179" s="50">
        <v>27</v>
      </c>
      <c r="C179" s="50" t="s">
        <v>161</v>
      </c>
      <c r="D179" s="51">
        <v>1</v>
      </c>
      <c r="E179" s="53">
        <v>3</v>
      </c>
      <c r="F179" s="52" t="s">
        <v>2869</v>
      </c>
      <c r="G179" s="52" t="s">
        <v>2868</v>
      </c>
      <c r="H179" s="52" t="s">
        <v>2834</v>
      </c>
      <c r="I179" s="53" t="s">
        <v>1457</v>
      </c>
      <c r="J179" s="52" t="s">
        <v>2850</v>
      </c>
      <c r="K179" s="25">
        <f>Tabelle5[[#This Row],[value_present]]*Tabelle5[[#This Row],[binding_level]]</f>
        <v>3</v>
      </c>
    </row>
    <row r="180" spans="1:11" x14ac:dyDescent="0.25">
      <c r="A180" s="24">
        <v>5</v>
      </c>
      <c r="B180" s="50">
        <v>27</v>
      </c>
      <c r="C180" s="50" t="s">
        <v>166</v>
      </c>
      <c r="D180" s="51">
        <v>0</v>
      </c>
      <c r="E180" s="53"/>
      <c r="F180" s="52"/>
      <c r="G180" s="52"/>
      <c r="H180" s="52"/>
      <c r="I180" s="53" t="s">
        <v>1457</v>
      </c>
      <c r="J180" s="52" t="s">
        <v>2851</v>
      </c>
      <c r="K180" s="25">
        <f>Tabelle5[[#This Row],[value_present]]*Tabelle5[[#This Row],[binding_level]]</f>
        <v>0</v>
      </c>
    </row>
    <row r="181" spans="1:11" ht="15.75" thickBot="1" x14ac:dyDescent="0.3">
      <c r="A181" s="26">
        <v>5</v>
      </c>
      <c r="B181" s="27">
        <v>27</v>
      </c>
      <c r="C181" s="27" t="s">
        <v>174</v>
      </c>
      <c r="D181" s="28">
        <v>0</v>
      </c>
      <c r="E181" s="29"/>
      <c r="F181" s="30"/>
      <c r="G181" s="30"/>
      <c r="H181" s="30"/>
      <c r="I181" s="29" t="s">
        <v>1458</v>
      </c>
      <c r="J181" s="30" t="s">
        <v>2852</v>
      </c>
      <c r="K181" s="31">
        <f>Tabelle5[[#This Row],[value_present]]*Tabelle5[[#This Row],[binding_level]]</f>
        <v>0</v>
      </c>
    </row>
    <row r="182" spans="1:11" x14ac:dyDescent="0.25">
      <c r="A182" s="18">
        <v>5</v>
      </c>
      <c r="B182" s="19">
        <v>28</v>
      </c>
      <c r="C182" s="19" t="s">
        <v>53</v>
      </c>
      <c r="D182" s="20">
        <v>1</v>
      </c>
      <c r="E182" s="21">
        <v>2</v>
      </c>
      <c r="F182" s="22" t="s">
        <v>2922</v>
      </c>
      <c r="G182" s="22" t="s">
        <v>2923</v>
      </c>
      <c r="H182" s="22" t="s">
        <v>2893</v>
      </c>
      <c r="I182" s="21" t="s">
        <v>1457</v>
      </c>
      <c r="J182" s="22" t="s">
        <v>2894</v>
      </c>
      <c r="K182" s="23">
        <f>Tabelle5[[#This Row],[value_present]]*Tabelle5[[#This Row],[binding_level]]</f>
        <v>2</v>
      </c>
    </row>
    <row r="183" spans="1:11" x14ac:dyDescent="0.25">
      <c r="A183" s="24">
        <v>5</v>
      </c>
      <c r="B183" s="50">
        <v>28</v>
      </c>
      <c r="C183" s="50" t="s">
        <v>61</v>
      </c>
      <c r="D183" s="51">
        <v>1</v>
      </c>
      <c r="E183" s="53">
        <v>2</v>
      </c>
      <c r="F183" t="s">
        <v>2925</v>
      </c>
      <c r="G183" t="s">
        <v>2924</v>
      </c>
      <c r="H183" s="52" t="s">
        <v>2895</v>
      </c>
      <c r="I183" s="53" t="s">
        <v>1458</v>
      </c>
      <c r="J183" s="52" t="s">
        <v>2896</v>
      </c>
      <c r="K183" s="25">
        <f>Tabelle5[[#This Row],[value_present]]*Tabelle5[[#This Row],[binding_level]]</f>
        <v>2</v>
      </c>
    </row>
    <row r="184" spans="1:11" x14ac:dyDescent="0.25">
      <c r="A184" s="24">
        <v>5</v>
      </c>
      <c r="B184" s="50">
        <v>28</v>
      </c>
      <c r="C184" s="50" t="s">
        <v>69</v>
      </c>
      <c r="D184" s="51">
        <v>1</v>
      </c>
      <c r="E184" s="53">
        <v>2</v>
      </c>
      <c r="F184" t="s">
        <v>2927</v>
      </c>
      <c r="G184" t="s">
        <v>2926</v>
      </c>
      <c r="H184" s="52" t="s">
        <v>2897</v>
      </c>
      <c r="I184" s="53" t="s">
        <v>1457</v>
      </c>
      <c r="J184" s="52" t="s">
        <v>2898</v>
      </c>
      <c r="K184" s="25">
        <f>Tabelle5[[#This Row],[value_present]]*Tabelle5[[#This Row],[binding_level]]</f>
        <v>2</v>
      </c>
    </row>
    <row r="185" spans="1:11" x14ac:dyDescent="0.25">
      <c r="A185" s="24">
        <v>5</v>
      </c>
      <c r="B185" s="50">
        <v>28</v>
      </c>
      <c r="C185" s="50" t="s">
        <v>76</v>
      </c>
      <c r="D185" s="51">
        <v>0</v>
      </c>
      <c r="E185" s="53"/>
      <c r="F185" s="52"/>
      <c r="G185" s="52"/>
      <c r="H185" s="52"/>
      <c r="I185" s="53" t="s">
        <v>1457</v>
      </c>
      <c r="J185" s="52" t="s">
        <v>2899</v>
      </c>
      <c r="K185" s="25">
        <f>Tabelle5[[#This Row],[value_present]]*Tabelle5[[#This Row],[binding_level]]</f>
        <v>0</v>
      </c>
    </row>
    <row r="186" spans="1:11" x14ac:dyDescent="0.25">
      <c r="A186" s="24">
        <v>5</v>
      </c>
      <c r="B186" s="50">
        <v>28</v>
      </c>
      <c r="C186" s="50" t="s">
        <v>83</v>
      </c>
      <c r="D186" s="51">
        <v>1</v>
      </c>
      <c r="E186" s="53">
        <v>2</v>
      </c>
      <c r="F186" t="s">
        <v>2929</v>
      </c>
      <c r="G186" t="s">
        <v>2928</v>
      </c>
      <c r="H186" s="52" t="s">
        <v>2900</v>
      </c>
      <c r="I186" s="53" t="s">
        <v>1457</v>
      </c>
      <c r="J186" s="52" t="s">
        <v>2901</v>
      </c>
      <c r="K186" s="25">
        <f>Tabelle5[[#This Row],[value_present]]*Tabelle5[[#This Row],[binding_level]]</f>
        <v>2</v>
      </c>
    </row>
    <row r="187" spans="1:11" x14ac:dyDescent="0.25">
      <c r="A187" s="24">
        <v>5</v>
      </c>
      <c r="B187" s="50">
        <v>28</v>
      </c>
      <c r="C187" s="50" t="s">
        <v>90</v>
      </c>
      <c r="D187" s="51">
        <v>1</v>
      </c>
      <c r="E187" s="53">
        <v>3</v>
      </c>
      <c r="F187" t="s">
        <v>2931</v>
      </c>
      <c r="G187" s="52" t="s">
        <v>2930</v>
      </c>
      <c r="H187" s="52" t="s">
        <v>2902</v>
      </c>
      <c r="I187" s="53" t="s">
        <v>1457</v>
      </c>
      <c r="J187" s="52" t="s">
        <v>2903</v>
      </c>
      <c r="K187" s="25">
        <f>Tabelle5[[#This Row],[value_present]]*Tabelle5[[#This Row],[binding_level]]</f>
        <v>3</v>
      </c>
    </row>
    <row r="188" spans="1:11" x14ac:dyDescent="0.25">
      <c r="A188" s="24">
        <v>5</v>
      </c>
      <c r="B188" s="50">
        <v>28</v>
      </c>
      <c r="C188" s="50" t="s">
        <v>98</v>
      </c>
      <c r="D188" s="51">
        <v>0</v>
      </c>
      <c r="E188" s="53"/>
      <c r="F188" s="52"/>
      <c r="G188" s="52"/>
      <c r="H188" s="52"/>
      <c r="I188" s="53" t="s">
        <v>1458</v>
      </c>
      <c r="J188" s="52" t="s">
        <v>2904</v>
      </c>
      <c r="K188" s="25">
        <f>Tabelle5[[#This Row],[value_present]]*Tabelle5[[#This Row],[binding_level]]</f>
        <v>0</v>
      </c>
    </row>
    <row r="189" spans="1:11" x14ac:dyDescent="0.25">
      <c r="A189" s="24">
        <v>5</v>
      </c>
      <c r="B189" s="50">
        <v>28</v>
      </c>
      <c r="C189" s="50" t="s">
        <v>106</v>
      </c>
      <c r="D189" s="51">
        <v>1</v>
      </c>
      <c r="E189" s="53">
        <v>2</v>
      </c>
      <c r="F189" t="s">
        <v>2933</v>
      </c>
      <c r="G189" t="s">
        <v>2932</v>
      </c>
      <c r="H189" s="52" t="s">
        <v>2905</v>
      </c>
      <c r="I189" s="53" t="s">
        <v>1458</v>
      </c>
      <c r="J189" s="52" t="s">
        <v>2906</v>
      </c>
      <c r="K189" s="25">
        <f>Tabelle5[[#This Row],[value_present]]*Tabelle5[[#This Row],[binding_level]]</f>
        <v>2</v>
      </c>
    </row>
    <row r="190" spans="1:11" x14ac:dyDescent="0.25">
      <c r="A190" s="24">
        <v>5</v>
      </c>
      <c r="B190" s="50">
        <v>28</v>
      </c>
      <c r="C190" s="50" t="s">
        <v>112</v>
      </c>
      <c r="D190" s="51">
        <v>1</v>
      </c>
      <c r="E190" s="53">
        <v>2</v>
      </c>
      <c r="F190" t="s">
        <v>2935</v>
      </c>
      <c r="G190" t="s">
        <v>2934</v>
      </c>
      <c r="H190" s="52" t="s">
        <v>2907</v>
      </c>
      <c r="I190" s="53" t="s">
        <v>1457</v>
      </c>
      <c r="J190" s="52" t="s">
        <v>2908</v>
      </c>
      <c r="K190" s="25">
        <f>Tabelle5[[#This Row],[value_present]]*Tabelle5[[#This Row],[binding_level]]</f>
        <v>2</v>
      </c>
    </row>
    <row r="191" spans="1:11" x14ac:dyDescent="0.25">
      <c r="A191" s="24">
        <v>5</v>
      </c>
      <c r="B191" s="50">
        <v>28</v>
      </c>
      <c r="C191" s="50" t="s">
        <v>118</v>
      </c>
      <c r="D191" s="51">
        <v>0</v>
      </c>
      <c r="E191" s="53"/>
      <c r="F191" s="52"/>
      <c r="G191" s="52"/>
      <c r="H191" s="52"/>
      <c r="I191" s="53" t="s">
        <v>1457</v>
      </c>
      <c r="J191" s="52" t="s">
        <v>2909</v>
      </c>
      <c r="K191" s="25">
        <f>Tabelle5[[#This Row],[value_present]]*Tabelle5[[#This Row],[binding_level]]</f>
        <v>0</v>
      </c>
    </row>
    <row r="192" spans="1:11" x14ac:dyDescent="0.25">
      <c r="A192" s="24">
        <v>5</v>
      </c>
      <c r="B192" s="50">
        <v>28</v>
      </c>
      <c r="C192" s="50" t="s">
        <v>125</v>
      </c>
      <c r="D192" s="51">
        <v>0</v>
      </c>
      <c r="E192" s="53"/>
      <c r="F192" s="52"/>
      <c r="G192" s="52"/>
      <c r="H192" s="52"/>
      <c r="I192" s="53" t="s">
        <v>1457</v>
      </c>
      <c r="J192" s="52" t="s">
        <v>2910</v>
      </c>
      <c r="K192" s="25">
        <f>Tabelle5[[#This Row],[value_present]]*Tabelle5[[#This Row],[binding_level]]</f>
        <v>0</v>
      </c>
    </row>
    <row r="193" spans="1:11" x14ac:dyDescent="0.25">
      <c r="A193" s="24">
        <v>5</v>
      </c>
      <c r="B193" s="50">
        <v>28</v>
      </c>
      <c r="C193" s="50" t="s">
        <v>132</v>
      </c>
      <c r="D193" s="51">
        <v>0</v>
      </c>
      <c r="E193" s="53"/>
      <c r="F193" s="52"/>
      <c r="G193" s="52"/>
      <c r="H193" s="52"/>
      <c r="I193" s="53" t="s">
        <v>1457</v>
      </c>
      <c r="J193" s="52" t="s">
        <v>2911</v>
      </c>
      <c r="K193" s="25">
        <f>Tabelle5[[#This Row],[value_present]]*Tabelle5[[#This Row],[binding_level]]</f>
        <v>0</v>
      </c>
    </row>
    <row r="194" spans="1:11" x14ac:dyDescent="0.25">
      <c r="A194" s="24">
        <v>5</v>
      </c>
      <c r="B194" s="50">
        <v>28</v>
      </c>
      <c r="C194" s="50" t="s">
        <v>140</v>
      </c>
      <c r="D194" s="51">
        <v>0</v>
      </c>
      <c r="E194" s="53"/>
      <c r="F194" s="52"/>
      <c r="G194" s="52"/>
      <c r="H194" s="52"/>
      <c r="I194" s="53" t="s">
        <v>1458</v>
      </c>
      <c r="J194" s="52" t="s">
        <v>2912</v>
      </c>
      <c r="K194" s="25">
        <f>Tabelle5[[#This Row],[value_present]]*Tabelle5[[#This Row],[binding_level]]</f>
        <v>0</v>
      </c>
    </row>
    <row r="195" spans="1:11" x14ac:dyDescent="0.25">
      <c r="A195" s="24">
        <v>5</v>
      </c>
      <c r="B195" s="50">
        <v>28</v>
      </c>
      <c r="C195" s="50" t="s">
        <v>147</v>
      </c>
      <c r="D195" s="51">
        <v>1</v>
      </c>
      <c r="E195" s="53">
        <v>3</v>
      </c>
      <c r="F195" t="s">
        <v>2936</v>
      </c>
      <c r="G195" t="s">
        <v>2937</v>
      </c>
      <c r="H195" s="52" t="s">
        <v>2913</v>
      </c>
      <c r="I195" s="53" t="s">
        <v>1457</v>
      </c>
      <c r="J195" s="52" t="s">
        <v>2914</v>
      </c>
      <c r="K195" s="25">
        <f>Tabelle5[[#This Row],[value_present]]*Tabelle5[[#This Row],[binding_level]]</f>
        <v>3</v>
      </c>
    </row>
    <row r="196" spans="1:11" x14ac:dyDescent="0.25">
      <c r="A196" s="24">
        <v>5</v>
      </c>
      <c r="B196" s="50">
        <v>28</v>
      </c>
      <c r="C196" s="50" t="s">
        <v>154</v>
      </c>
      <c r="D196" s="51">
        <v>1</v>
      </c>
      <c r="E196" s="53">
        <v>2</v>
      </c>
      <c r="F196" t="s">
        <v>2938</v>
      </c>
      <c r="G196" t="s">
        <v>2939</v>
      </c>
      <c r="H196" s="52" t="s">
        <v>2915</v>
      </c>
      <c r="I196" s="53" t="s">
        <v>1457</v>
      </c>
      <c r="J196" s="52" t="s">
        <v>2916</v>
      </c>
      <c r="K196" s="25">
        <f>Tabelle5[[#This Row],[value_present]]*Tabelle5[[#This Row],[binding_level]]</f>
        <v>2</v>
      </c>
    </row>
    <row r="197" spans="1:11" x14ac:dyDescent="0.25">
      <c r="A197" s="24">
        <v>5</v>
      </c>
      <c r="B197" s="50">
        <v>28</v>
      </c>
      <c r="C197" s="50" t="s">
        <v>161</v>
      </c>
      <c r="D197" s="51">
        <v>1</v>
      </c>
      <c r="E197" s="53">
        <v>3</v>
      </c>
      <c r="F197" t="s">
        <v>2940</v>
      </c>
      <c r="G197" t="s">
        <v>2941</v>
      </c>
      <c r="H197" s="52" t="s">
        <v>2917</v>
      </c>
      <c r="I197" s="53" t="s">
        <v>1457</v>
      </c>
      <c r="J197" s="52" t="s">
        <v>2918</v>
      </c>
      <c r="K197" s="25">
        <f>Tabelle5[[#This Row],[value_present]]*Tabelle5[[#This Row],[binding_level]]</f>
        <v>3</v>
      </c>
    </row>
    <row r="198" spans="1:11" x14ac:dyDescent="0.25">
      <c r="A198" s="24">
        <v>5</v>
      </c>
      <c r="B198" s="50">
        <v>28</v>
      </c>
      <c r="C198" s="50" t="s">
        <v>166</v>
      </c>
      <c r="D198" s="51">
        <v>1</v>
      </c>
      <c r="E198" s="53">
        <v>2</v>
      </c>
      <c r="F198" t="s">
        <v>2942</v>
      </c>
      <c r="G198" t="s">
        <v>2943</v>
      </c>
      <c r="H198" s="52" t="s">
        <v>2919</v>
      </c>
      <c r="I198" s="53" t="s">
        <v>1457</v>
      </c>
      <c r="J198" s="52" t="s">
        <v>2920</v>
      </c>
      <c r="K198" s="25">
        <f>Tabelle5[[#This Row],[value_present]]*Tabelle5[[#This Row],[binding_level]]</f>
        <v>2</v>
      </c>
    </row>
    <row r="199" spans="1:11" ht="15.75" thickBot="1" x14ac:dyDescent="0.3">
      <c r="A199" s="26">
        <v>5</v>
      </c>
      <c r="B199" s="27">
        <v>28</v>
      </c>
      <c r="C199" s="27" t="s">
        <v>174</v>
      </c>
      <c r="D199" s="28">
        <v>0</v>
      </c>
      <c r="E199" s="29"/>
      <c r="F199" s="30"/>
      <c r="G199" s="30"/>
      <c r="H199" s="30"/>
      <c r="I199" s="29" t="s">
        <v>1457</v>
      </c>
      <c r="J199" s="30" t="s">
        <v>2921</v>
      </c>
      <c r="K199" s="31">
        <f>Tabelle5[[#This Row],[value_present]]*Tabelle5[[#This Row],[binding_level]]</f>
        <v>0</v>
      </c>
    </row>
    <row r="200" spans="1:11" x14ac:dyDescent="0.25">
      <c r="A200" s="18">
        <v>5</v>
      </c>
      <c r="B200" s="19">
        <v>30</v>
      </c>
      <c r="C200" s="19" t="s">
        <v>53</v>
      </c>
      <c r="D200" s="20">
        <v>1</v>
      </c>
      <c r="E200" s="21">
        <v>3</v>
      </c>
      <c r="F200" s="22" t="s">
        <v>3009</v>
      </c>
      <c r="G200" s="22" t="s">
        <v>3008</v>
      </c>
      <c r="H200" s="22" t="s">
        <v>2984</v>
      </c>
      <c r="I200" s="21" t="s">
        <v>1457</v>
      </c>
      <c r="J200" s="22" t="s">
        <v>2985</v>
      </c>
      <c r="K200" s="23">
        <f>Tabelle5[[#This Row],[value_present]]*Tabelle5[[#This Row],[binding_level]]</f>
        <v>3</v>
      </c>
    </row>
    <row r="201" spans="1:11" x14ac:dyDescent="0.25">
      <c r="A201" s="24">
        <v>5</v>
      </c>
      <c r="B201" s="50">
        <v>30</v>
      </c>
      <c r="C201" s="50" t="s">
        <v>61</v>
      </c>
      <c r="D201" s="51">
        <v>1</v>
      </c>
      <c r="E201" s="53">
        <v>1</v>
      </c>
      <c r="F201" t="s">
        <v>3011</v>
      </c>
      <c r="G201" t="s">
        <v>3010</v>
      </c>
      <c r="H201" s="52" t="s">
        <v>2986</v>
      </c>
      <c r="I201" s="53" t="s">
        <v>1458</v>
      </c>
      <c r="J201" s="52" t="s">
        <v>2987</v>
      </c>
      <c r="K201" s="25">
        <f>Tabelle5[[#This Row],[value_present]]*Tabelle5[[#This Row],[binding_level]]</f>
        <v>1</v>
      </c>
    </row>
    <row r="202" spans="1:11" x14ac:dyDescent="0.25">
      <c r="A202" s="24">
        <v>5</v>
      </c>
      <c r="B202" s="50">
        <v>30</v>
      </c>
      <c r="C202" s="50" t="s">
        <v>69</v>
      </c>
      <c r="D202" s="51">
        <v>1</v>
      </c>
      <c r="E202" s="53">
        <v>1</v>
      </c>
      <c r="F202" t="s">
        <v>3012</v>
      </c>
      <c r="G202" t="s">
        <v>3011</v>
      </c>
      <c r="H202" s="52" t="s">
        <v>2986</v>
      </c>
      <c r="I202" s="53" t="s">
        <v>1457</v>
      </c>
      <c r="J202" s="52" t="s">
        <v>2988</v>
      </c>
      <c r="K202" s="25">
        <f>Tabelle5[[#This Row],[value_present]]*Tabelle5[[#This Row],[binding_level]]</f>
        <v>1</v>
      </c>
    </row>
    <row r="203" spans="1:11" x14ac:dyDescent="0.25">
      <c r="A203" s="24">
        <v>5</v>
      </c>
      <c r="B203" s="50">
        <v>30</v>
      </c>
      <c r="C203" s="50" t="s">
        <v>76</v>
      </c>
      <c r="D203" s="51">
        <v>0</v>
      </c>
      <c r="E203" s="53"/>
      <c r="F203" s="52"/>
      <c r="G203" s="52"/>
      <c r="H203" s="52"/>
      <c r="I203" s="53" t="s">
        <v>1457</v>
      </c>
      <c r="J203" s="52" t="s">
        <v>2989</v>
      </c>
      <c r="K203" s="25">
        <f>Tabelle5[[#This Row],[value_present]]*Tabelle5[[#This Row],[binding_level]]</f>
        <v>0</v>
      </c>
    </row>
    <row r="204" spans="1:11" x14ac:dyDescent="0.25">
      <c r="A204" s="24">
        <v>5</v>
      </c>
      <c r="B204" s="50">
        <v>30</v>
      </c>
      <c r="C204" s="50" t="s">
        <v>83</v>
      </c>
      <c r="D204" s="51">
        <v>1</v>
      </c>
      <c r="E204" s="53">
        <v>1</v>
      </c>
      <c r="F204" t="s">
        <v>3014</v>
      </c>
      <c r="G204" t="s">
        <v>3013</v>
      </c>
      <c r="H204" s="52" t="s">
        <v>2986</v>
      </c>
      <c r="I204" s="53" t="s">
        <v>1457</v>
      </c>
      <c r="J204" s="52" t="s">
        <v>2990</v>
      </c>
      <c r="K204" s="25">
        <f>Tabelle5[[#This Row],[value_present]]*Tabelle5[[#This Row],[binding_level]]</f>
        <v>1</v>
      </c>
    </row>
    <row r="205" spans="1:11" x14ac:dyDescent="0.25">
      <c r="A205" s="24">
        <v>5</v>
      </c>
      <c r="B205" s="50">
        <v>30</v>
      </c>
      <c r="C205" s="50" t="s">
        <v>90</v>
      </c>
      <c r="D205" s="51">
        <v>1</v>
      </c>
      <c r="E205" s="53">
        <v>1</v>
      </c>
      <c r="F205" t="s">
        <v>3015</v>
      </c>
      <c r="G205" t="s">
        <v>3015</v>
      </c>
      <c r="H205" s="52" t="s">
        <v>2986</v>
      </c>
      <c r="I205" s="53" t="s">
        <v>1457</v>
      </c>
      <c r="J205" s="52" t="s">
        <v>2991</v>
      </c>
      <c r="K205" s="25">
        <f>Tabelle5[[#This Row],[value_present]]*Tabelle5[[#This Row],[binding_level]]</f>
        <v>1</v>
      </c>
    </row>
    <row r="206" spans="1:11" x14ac:dyDescent="0.25">
      <c r="A206" s="24">
        <v>5</v>
      </c>
      <c r="B206" s="50">
        <v>30</v>
      </c>
      <c r="C206" s="50" t="s">
        <v>98</v>
      </c>
      <c r="D206" s="51">
        <v>0</v>
      </c>
      <c r="E206" s="53"/>
      <c r="F206" s="52"/>
      <c r="G206" s="52"/>
      <c r="H206" s="52"/>
      <c r="I206" s="53" t="s">
        <v>1458</v>
      </c>
      <c r="J206" s="52" t="s">
        <v>2992</v>
      </c>
      <c r="K206" s="25">
        <f>Tabelle5[[#This Row],[value_present]]*Tabelle5[[#This Row],[binding_level]]</f>
        <v>0</v>
      </c>
    </row>
    <row r="207" spans="1:11" x14ac:dyDescent="0.25">
      <c r="A207" s="24">
        <v>5</v>
      </c>
      <c r="B207" s="50">
        <v>30</v>
      </c>
      <c r="C207" s="50" t="s">
        <v>106</v>
      </c>
      <c r="D207" s="51">
        <v>1</v>
      </c>
      <c r="E207" s="53">
        <v>1</v>
      </c>
      <c r="F207" s="52" t="s">
        <v>3017</v>
      </c>
      <c r="G207" t="s">
        <v>3016</v>
      </c>
      <c r="H207" s="52" t="s">
        <v>2993</v>
      </c>
      <c r="I207" s="53" t="s">
        <v>1457</v>
      </c>
      <c r="J207" s="52" t="s">
        <v>2994</v>
      </c>
      <c r="K207" s="25">
        <f>Tabelle5[[#This Row],[value_present]]*Tabelle5[[#This Row],[binding_level]]</f>
        <v>1</v>
      </c>
    </row>
    <row r="208" spans="1:11" x14ac:dyDescent="0.25">
      <c r="A208" s="24">
        <v>5</v>
      </c>
      <c r="B208" s="50">
        <v>30</v>
      </c>
      <c r="C208" s="50" t="s">
        <v>112</v>
      </c>
      <c r="D208" s="51">
        <v>1</v>
      </c>
      <c r="E208" s="53">
        <v>3</v>
      </c>
      <c r="F208" t="s">
        <v>3018</v>
      </c>
      <c r="G208" t="s">
        <v>3007</v>
      </c>
      <c r="H208" s="52" t="s">
        <v>2995</v>
      </c>
      <c r="I208" s="53" t="s">
        <v>1458</v>
      </c>
      <c r="J208" s="52" t="s">
        <v>2996</v>
      </c>
      <c r="K208" s="25">
        <f>Tabelle5[[#This Row],[value_present]]*Tabelle5[[#This Row],[binding_level]]</f>
        <v>3</v>
      </c>
    </row>
    <row r="209" spans="1:11" x14ac:dyDescent="0.25">
      <c r="A209" s="24">
        <v>5</v>
      </c>
      <c r="B209" s="50">
        <v>30</v>
      </c>
      <c r="C209" s="50" t="s">
        <v>118</v>
      </c>
      <c r="D209" s="51">
        <v>0</v>
      </c>
      <c r="E209" s="53"/>
      <c r="F209" s="52"/>
      <c r="G209" s="52"/>
      <c r="H209" s="52"/>
      <c r="I209" s="53" t="s">
        <v>1457</v>
      </c>
      <c r="J209" s="52" t="s">
        <v>2844</v>
      </c>
      <c r="K209" s="25">
        <f>Tabelle5[[#This Row],[value_present]]*Tabelle5[[#This Row],[binding_level]]</f>
        <v>0</v>
      </c>
    </row>
    <row r="210" spans="1:11" x14ac:dyDescent="0.25">
      <c r="A210" s="24">
        <v>5</v>
      </c>
      <c r="B210" s="50">
        <v>30</v>
      </c>
      <c r="C210" s="50" t="s">
        <v>125</v>
      </c>
      <c r="D210" s="51">
        <v>0</v>
      </c>
      <c r="E210" s="53"/>
      <c r="F210" s="52"/>
      <c r="G210" s="52"/>
      <c r="H210" s="52"/>
      <c r="I210" s="53" t="s">
        <v>1542</v>
      </c>
      <c r="J210" s="52" t="s">
        <v>2997</v>
      </c>
      <c r="K210" s="25">
        <f>Tabelle5[[#This Row],[value_present]]*Tabelle5[[#This Row],[binding_level]]</f>
        <v>0</v>
      </c>
    </row>
    <row r="211" spans="1:11" x14ac:dyDescent="0.25">
      <c r="A211" s="24">
        <v>5</v>
      </c>
      <c r="B211" s="50">
        <v>30</v>
      </c>
      <c r="C211" s="50" t="s">
        <v>132</v>
      </c>
      <c r="D211" s="51">
        <v>1</v>
      </c>
      <c r="E211" s="53">
        <v>1</v>
      </c>
      <c r="F211" t="s">
        <v>3019</v>
      </c>
      <c r="G211" t="s">
        <v>3019</v>
      </c>
      <c r="H211" s="52" t="s">
        <v>2998</v>
      </c>
      <c r="I211" s="53" t="s">
        <v>1458</v>
      </c>
      <c r="J211" s="52" t="s">
        <v>2999</v>
      </c>
      <c r="K211" s="25">
        <f>Tabelle5[[#This Row],[value_present]]*Tabelle5[[#This Row],[binding_level]]</f>
        <v>1</v>
      </c>
    </row>
    <row r="212" spans="1:11" x14ac:dyDescent="0.25">
      <c r="A212" s="24">
        <v>5</v>
      </c>
      <c r="B212" s="50">
        <v>30</v>
      </c>
      <c r="C212" s="50" t="s">
        <v>140</v>
      </c>
      <c r="D212" s="51">
        <v>1</v>
      </c>
      <c r="E212" s="53">
        <v>1</v>
      </c>
      <c r="F212" t="s">
        <v>3020</v>
      </c>
      <c r="G212" t="s">
        <v>3021</v>
      </c>
      <c r="H212" s="52" t="s">
        <v>3000</v>
      </c>
      <c r="I212" s="53" t="s">
        <v>1457</v>
      </c>
      <c r="J212" s="52" t="s">
        <v>3001</v>
      </c>
      <c r="K212" s="25">
        <f>Tabelle5[[#This Row],[value_present]]*Tabelle5[[#This Row],[binding_level]]</f>
        <v>1</v>
      </c>
    </row>
    <row r="213" spans="1:11" x14ac:dyDescent="0.25">
      <c r="A213" s="24">
        <v>5</v>
      </c>
      <c r="B213" s="50">
        <v>30</v>
      </c>
      <c r="C213" s="50" t="s">
        <v>147</v>
      </c>
      <c r="D213" s="51">
        <v>0</v>
      </c>
      <c r="E213" s="53"/>
      <c r="F213" s="52"/>
      <c r="G213" s="52"/>
      <c r="H213" s="52"/>
      <c r="I213" s="53" t="s">
        <v>1458</v>
      </c>
      <c r="J213" s="52" t="s">
        <v>3002</v>
      </c>
      <c r="K213" s="25">
        <f>Tabelle5[[#This Row],[value_present]]*Tabelle5[[#This Row],[binding_level]]</f>
        <v>0</v>
      </c>
    </row>
    <row r="214" spans="1:11" x14ac:dyDescent="0.25">
      <c r="A214" s="24">
        <v>5</v>
      </c>
      <c r="B214" s="50">
        <v>30</v>
      </c>
      <c r="C214" s="50" t="s">
        <v>154</v>
      </c>
      <c r="D214" s="51">
        <v>0</v>
      </c>
      <c r="E214" s="53"/>
      <c r="F214" s="52"/>
      <c r="G214" s="52"/>
      <c r="H214" s="52"/>
      <c r="I214" s="53" t="s">
        <v>1458</v>
      </c>
      <c r="J214" s="52" t="s">
        <v>3003</v>
      </c>
      <c r="K214" s="25">
        <f>Tabelle5[[#This Row],[value_present]]*Tabelle5[[#This Row],[binding_level]]</f>
        <v>0</v>
      </c>
    </row>
    <row r="215" spans="1:11" x14ac:dyDescent="0.25">
      <c r="A215" s="24">
        <v>5</v>
      </c>
      <c r="B215" s="50">
        <v>30</v>
      </c>
      <c r="C215" s="50" t="s">
        <v>161</v>
      </c>
      <c r="D215" s="51">
        <v>0</v>
      </c>
      <c r="E215" s="53"/>
      <c r="F215" s="52"/>
      <c r="G215" s="52"/>
      <c r="H215" s="52"/>
      <c r="I215" s="53" t="s">
        <v>1457</v>
      </c>
      <c r="J215" s="52" t="s">
        <v>3004</v>
      </c>
      <c r="K215" s="25">
        <f>Tabelle5[[#This Row],[value_present]]*Tabelle5[[#This Row],[binding_level]]</f>
        <v>0</v>
      </c>
    </row>
    <row r="216" spans="1:11" x14ac:dyDescent="0.25">
      <c r="A216" s="24">
        <v>5</v>
      </c>
      <c r="B216" s="50">
        <v>30</v>
      </c>
      <c r="C216" s="50" t="s">
        <v>166</v>
      </c>
      <c r="D216" s="51">
        <v>0</v>
      </c>
      <c r="E216" s="53"/>
      <c r="F216" s="52"/>
      <c r="G216" s="52"/>
      <c r="H216" s="52"/>
      <c r="I216" s="53" t="s">
        <v>1457</v>
      </c>
      <c r="J216" s="52" t="s">
        <v>3005</v>
      </c>
      <c r="K216" s="25">
        <f>Tabelle5[[#This Row],[value_present]]*Tabelle5[[#This Row],[binding_level]]</f>
        <v>0</v>
      </c>
    </row>
    <row r="217" spans="1:11" ht="15.75" thickBot="1" x14ac:dyDescent="0.3">
      <c r="A217" s="26">
        <v>5</v>
      </c>
      <c r="B217" s="27">
        <v>30</v>
      </c>
      <c r="C217" s="27" t="s">
        <v>174</v>
      </c>
      <c r="D217" s="28">
        <v>0</v>
      </c>
      <c r="E217" s="29"/>
      <c r="F217" s="30"/>
      <c r="G217" s="30"/>
      <c r="H217" s="30"/>
      <c r="I217" s="29" t="s">
        <v>1457</v>
      </c>
      <c r="J217" s="30" t="s">
        <v>3006</v>
      </c>
      <c r="K217" s="31">
        <f>Tabelle5[[#This Row],[value_present]]*Tabelle5[[#This Row],[binding_level]]</f>
        <v>0</v>
      </c>
    </row>
    <row r="218" spans="1:11" x14ac:dyDescent="0.25">
      <c r="A218" s="18">
        <v>5</v>
      </c>
      <c r="B218" s="19">
        <v>31</v>
      </c>
      <c r="C218" s="19" t="s">
        <v>53</v>
      </c>
      <c r="D218" s="20">
        <v>1</v>
      </c>
      <c r="E218" s="21">
        <v>1</v>
      </c>
      <c r="F218" t="s">
        <v>3065</v>
      </c>
      <c r="G218" s="22" t="s">
        <v>3064</v>
      </c>
      <c r="H218" s="22" t="s">
        <v>3042</v>
      </c>
      <c r="I218" s="21" t="s">
        <v>1457</v>
      </c>
      <c r="J218" s="22" t="s">
        <v>3043</v>
      </c>
      <c r="K218" s="23">
        <f>Tabelle5[[#This Row],[value_present]]*Tabelle5[[#This Row],[binding_level]]</f>
        <v>1</v>
      </c>
    </row>
    <row r="219" spans="1:11" x14ac:dyDescent="0.25">
      <c r="A219" s="24">
        <v>5</v>
      </c>
      <c r="B219" s="50">
        <v>31</v>
      </c>
      <c r="C219" s="50" t="s">
        <v>61</v>
      </c>
      <c r="D219" s="51">
        <v>1</v>
      </c>
      <c r="E219" s="53">
        <v>1</v>
      </c>
      <c r="F219" t="s">
        <v>3067</v>
      </c>
      <c r="G219" t="s">
        <v>3066</v>
      </c>
      <c r="H219" s="52" t="s">
        <v>3044</v>
      </c>
      <c r="I219" s="53" t="s">
        <v>1458</v>
      </c>
      <c r="J219" s="52" t="s">
        <v>3045</v>
      </c>
      <c r="K219" s="25">
        <f>Tabelle5[[#This Row],[value_present]]*Tabelle5[[#This Row],[binding_level]]</f>
        <v>1</v>
      </c>
    </row>
    <row r="220" spans="1:11" x14ac:dyDescent="0.25">
      <c r="A220" s="24">
        <v>5</v>
      </c>
      <c r="B220" s="50">
        <v>31</v>
      </c>
      <c r="C220" s="50" t="s">
        <v>69</v>
      </c>
      <c r="D220" s="51">
        <v>1</v>
      </c>
      <c r="E220" s="53">
        <v>1</v>
      </c>
      <c r="F220" t="s">
        <v>3069</v>
      </c>
      <c r="G220" t="s">
        <v>3068</v>
      </c>
      <c r="H220" s="52" t="s">
        <v>3046</v>
      </c>
      <c r="I220" s="53" t="s">
        <v>1457</v>
      </c>
      <c r="J220" s="52" t="s">
        <v>3047</v>
      </c>
      <c r="K220" s="25">
        <f>Tabelle5[[#This Row],[value_present]]*Tabelle5[[#This Row],[binding_level]]</f>
        <v>1</v>
      </c>
    </row>
    <row r="221" spans="1:11" x14ac:dyDescent="0.25">
      <c r="A221" s="24">
        <v>5</v>
      </c>
      <c r="B221" s="50">
        <v>31</v>
      </c>
      <c r="C221" s="50" t="s">
        <v>76</v>
      </c>
      <c r="D221" s="51">
        <v>0</v>
      </c>
      <c r="E221" s="53"/>
      <c r="F221" s="52"/>
      <c r="G221" s="52"/>
      <c r="H221" s="52"/>
      <c r="I221" s="53" t="s">
        <v>1457</v>
      </c>
      <c r="J221" s="52" t="s">
        <v>3048</v>
      </c>
      <c r="K221" s="25">
        <f>Tabelle5[[#This Row],[value_present]]*Tabelle5[[#This Row],[binding_level]]</f>
        <v>0</v>
      </c>
    </row>
    <row r="222" spans="1:11" x14ac:dyDescent="0.25">
      <c r="A222" s="24">
        <v>5</v>
      </c>
      <c r="B222" s="50">
        <v>31</v>
      </c>
      <c r="C222" s="50" t="s">
        <v>83</v>
      </c>
      <c r="D222" s="51">
        <v>1</v>
      </c>
      <c r="E222" s="53">
        <v>1</v>
      </c>
      <c r="F222" t="s">
        <v>3071</v>
      </c>
      <c r="G222" t="s">
        <v>3070</v>
      </c>
      <c r="H222" s="52" t="s">
        <v>2699</v>
      </c>
      <c r="I222" s="53" t="s">
        <v>1457</v>
      </c>
      <c r="J222" s="52" t="s">
        <v>3049</v>
      </c>
      <c r="K222" s="25">
        <f>Tabelle5[[#This Row],[value_present]]*Tabelle5[[#This Row],[binding_level]]</f>
        <v>1</v>
      </c>
    </row>
    <row r="223" spans="1:11" x14ac:dyDescent="0.25">
      <c r="A223" s="24">
        <v>5</v>
      </c>
      <c r="B223" s="50">
        <v>31</v>
      </c>
      <c r="C223" s="50" t="s">
        <v>90</v>
      </c>
      <c r="D223" s="51">
        <v>1</v>
      </c>
      <c r="E223" s="53">
        <v>2</v>
      </c>
      <c r="F223" t="s">
        <v>3073</v>
      </c>
      <c r="G223" t="s">
        <v>3072</v>
      </c>
      <c r="H223" s="52" t="s">
        <v>3050</v>
      </c>
      <c r="I223" s="53" t="s">
        <v>1457</v>
      </c>
      <c r="J223" s="52" t="s">
        <v>3051</v>
      </c>
      <c r="K223" s="25">
        <f>Tabelle5[[#This Row],[value_present]]*Tabelle5[[#This Row],[binding_level]]</f>
        <v>2</v>
      </c>
    </row>
    <row r="224" spans="1:11" x14ac:dyDescent="0.25">
      <c r="A224" s="24">
        <v>5</v>
      </c>
      <c r="B224" s="50">
        <v>31</v>
      </c>
      <c r="C224" s="50" t="s">
        <v>98</v>
      </c>
      <c r="D224" s="51">
        <v>1</v>
      </c>
      <c r="E224" s="53">
        <v>1</v>
      </c>
      <c r="F224" t="s">
        <v>3074</v>
      </c>
      <c r="G224" t="s">
        <v>3074</v>
      </c>
      <c r="H224" s="52" t="s">
        <v>3050</v>
      </c>
      <c r="I224" s="53" t="s">
        <v>1458</v>
      </c>
      <c r="J224" s="52" t="s">
        <v>3052</v>
      </c>
      <c r="K224" s="25">
        <f>Tabelle5[[#This Row],[value_present]]*Tabelle5[[#This Row],[binding_level]]</f>
        <v>1</v>
      </c>
    </row>
    <row r="225" spans="1:11" x14ac:dyDescent="0.25">
      <c r="A225" s="24">
        <v>5</v>
      </c>
      <c r="B225" s="50">
        <v>31</v>
      </c>
      <c r="C225" s="50" t="s">
        <v>106</v>
      </c>
      <c r="D225" s="51">
        <v>1</v>
      </c>
      <c r="E225" s="53">
        <v>1</v>
      </c>
      <c r="F225" t="s">
        <v>3076</v>
      </c>
      <c r="G225" t="s">
        <v>3075</v>
      </c>
      <c r="H225" s="52" t="s">
        <v>3042</v>
      </c>
      <c r="I225" s="53" t="s">
        <v>1458</v>
      </c>
      <c r="J225" s="52" t="s">
        <v>3053</v>
      </c>
      <c r="K225" s="25">
        <f>Tabelle5[[#This Row],[value_present]]*Tabelle5[[#This Row],[binding_level]]</f>
        <v>1</v>
      </c>
    </row>
    <row r="226" spans="1:11" x14ac:dyDescent="0.25">
      <c r="A226" s="24">
        <v>5</v>
      </c>
      <c r="B226" s="50">
        <v>31</v>
      </c>
      <c r="C226" s="50" t="s">
        <v>112</v>
      </c>
      <c r="D226" s="51">
        <v>0</v>
      </c>
      <c r="E226" s="53"/>
      <c r="F226" s="52"/>
      <c r="G226" s="52"/>
      <c r="H226" s="52"/>
      <c r="I226" s="53" t="s">
        <v>1458</v>
      </c>
      <c r="J226" s="52" t="s">
        <v>3054</v>
      </c>
      <c r="K226" s="25">
        <f>Tabelle5[[#This Row],[value_present]]*Tabelle5[[#This Row],[binding_level]]</f>
        <v>0</v>
      </c>
    </row>
    <row r="227" spans="1:11" x14ac:dyDescent="0.25">
      <c r="A227" s="24">
        <v>5</v>
      </c>
      <c r="B227" s="50">
        <v>31</v>
      </c>
      <c r="C227" s="50" t="s">
        <v>118</v>
      </c>
      <c r="D227" s="51">
        <v>0</v>
      </c>
      <c r="E227" s="53"/>
      <c r="F227" s="52"/>
      <c r="G227" s="52"/>
      <c r="H227" s="52"/>
      <c r="I227" s="53" t="s">
        <v>1457</v>
      </c>
      <c r="J227" s="52" t="s">
        <v>2844</v>
      </c>
      <c r="K227" s="25">
        <f>Tabelle5[[#This Row],[value_present]]*Tabelle5[[#This Row],[binding_level]]</f>
        <v>0</v>
      </c>
    </row>
    <row r="228" spans="1:11" x14ac:dyDescent="0.25">
      <c r="A228" s="24">
        <v>5</v>
      </c>
      <c r="B228" s="50">
        <v>31</v>
      </c>
      <c r="C228" s="50" t="s">
        <v>125</v>
      </c>
      <c r="D228" s="51">
        <v>1</v>
      </c>
      <c r="E228" s="53">
        <v>1</v>
      </c>
      <c r="F228" t="s">
        <v>3078</v>
      </c>
      <c r="G228" t="s">
        <v>3077</v>
      </c>
      <c r="H228" s="52" t="s">
        <v>2605</v>
      </c>
      <c r="I228" s="53" t="s">
        <v>1458</v>
      </c>
      <c r="J228" s="52" t="s">
        <v>3055</v>
      </c>
      <c r="K228" s="25">
        <f>Tabelle5[[#This Row],[value_present]]*Tabelle5[[#This Row],[binding_level]]</f>
        <v>1</v>
      </c>
    </row>
    <row r="229" spans="1:11" x14ac:dyDescent="0.25">
      <c r="A229" s="24">
        <v>5</v>
      </c>
      <c r="B229" s="50">
        <v>31</v>
      </c>
      <c r="C229" s="50" t="s">
        <v>132</v>
      </c>
      <c r="D229" s="51">
        <v>0</v>
      </c>
      <c r="E229" s="53"/>
      <c r="F229" s="52"/>
      <c r="G229" s="52"/>
      <c r="H229" s="52"/>
      <c r="I229" s="53" t="s">
        <v>1457</v>
      </c>
      <c r="J229" s="52" t="s">
        <v>3056</v>
      </c>
      <c r="K229" s="25">
        <f>Tabelle5[[#This Row],[value_present]]*Tabelle5[[#This Row],[binding_level]]</f>
        <v>0</v>
      </c>
    </row>
    <row r="230" spans="1:11" x14ac:dyDescent="0.25">
      <c r="A230" s="24">
        <v>5</v>
      </c>
      <c r="B230" s="50">
        <v>31</v>
      </c>
      <c r="C230" s="50" t="s">
        <v>140</v>
      </c>
      <c r="D230" s="51">
        <v>1</v>
      </c>
      <c r="E230" s="53">
        <v>1</v>
      </c>
      <c r="F230" t="s">
        <v>3080</v>
      </c>
      <c r="G230" t="s">
        <v>3079</v>
      </c>
      <c r="H230" s="52" t="s">
        <v>3046</v>
      </c>
      <c r="I230" s="53" t="s">
        <v>1457</v>
      </c>
      <c r="J230" s="52" t="s">
        <v>3057</v>
      </c>
      <c r="K230" s="25">
        <f>Tabelle5[[#This Row],[value_present]]*Tabelle5[[#This Row],[binding_level]]</f>
        <v>1</v>
      </c>
    </row>
    <row r="231" spans="1:11" x14ac:dyDescent="0.25">
      <c r="A231" s="24">
        <v>5</v>
      </c>
      <c r="B231" s="50">
        <v>31</v>
      </c>
      <c r="C231" s="50" t="s">
        <v>147</v>
      </c>
      <c r="D231" s="51">
        <v>1</v>
      </c>
      <c r="E231" s="53">
        <v>2</v>
      </c>
      <c r="F231" t="s">
        <v>3082</v>
      </c>
      <c r="G231" t="s">
        <v>3081</v>
      </c>
      <c r="H231" s="52" t="s">
        <v>3050</v>
      </c>
      <c r="I231" s="53" t="s">
        <v>1457</v>
      </c>
      <c r="J231" s="52" t="s">
        <v>3058</v>
      </c>
      <c r="K231" s="25">
        <f>Tabelle5[[#This Row],[value_present]]*Tabelle5[[#This Row],[binding_level]]</f>
        <v>2</v>
      </c>
    </row>
    <row r="232" spans="1:11" x14ac:dyDescent="0.25">
      <c r="A232" s="24">
        <v>5</v>
      </c>
      <c r="B232" s="50">
        <v>31</v>
      </c>
      <c r="C232" s="50" t="s">
        <v>154</v>
      </c>
      <c r="D232" s="51">
        <v>1</v>
      </c>
      <c r="E232" s="53">
        <v>1</v>
      </c>
      <c r="F232" t="s">
        <v>3084</v>
      </c>
      <c r="G232" t="s">
        <v>3083</v>
      </c>
      <c r="H232" s="52" t="s">
        <v>2605</v>
      </c>
      <c r="I232" s="53" t="s">
        <v>1458</v>
      </c>
      <c r="J232" s="52" t="s">
        <v>3059</v>
      </c>
      <c r="K232" s="25">
        <f>Tabelle5[[#This Row],[value_present]]*Tabelle5[[#This Row],[binding_level]]</f>
        <v>1</v>
      </c>
    </row>
    <row r="233" spans="1:11" x14ac:dyDescent="0.25">
      <c r="A233" s="24">
        <v>5</v>
      </c>
      <c r="B233" s="50">
        <v>31</v>
      </c>
      <c r="C233" s="50" t="s">
        <v>161</v>
      </c>
      <c r="D233" s="51">
        <v>1</v>
      </c>
      <c r="E233" s="53">
        <v>1</v>
      </c>
      <c r="F233" t="s">
        <v>3086</v>
      </c>
      <c r="G233" t="s">
        <v>3085</v>
      </c>
      <c r="H233" s="52" t="s">
        <v>3060</v>
      </c>
      <c r="I233" s="53" t="s">
        <v>1458</v>
      </c>
      <c r="J233" s="52" t="s">
        <v>3061</v>
      </c>
      <c r="K233" s="25">
        <f>Tabelle5[[#This Row],[value_present]]*Tabelle5[[#This Row],[binding_level]]</f>
        <v>1</v>
      </c>
    </row>
    <row r="234" spans="1:11" x14ac:dyDescent="0.25">
      <c r="A234" s="24">
        <v>5</v>
      </c>
      <c r="B234" s="50">
        <v>31</v>
      </c>
      <c r="C234" s="50" t="s">
        <v>166</v>
      </c>
      <c r="D234" s="51">
        <v>1</v>
      </c>
      <c r="E234" s="53">
        <v>1</v>
      </c>
      <c r="F234" t="s">
        <v>3087</v>
      </c>
      <c r="G234" t="s">
        <v>3086</v>
      </c>
      <c r="H234" s="52" t="s">
        <v>3050</v>
      </c>
      <c r="I234" s="53" t="s">
        <v>1458</v>
      </c>
      <c r="J234" s="52" t="s">
        <v>3062</v>
      </c>
      <c r="K234" s="25">
        <f>Tabelle5[[#This Row],[value_present]]*Tabelle5[[#This Row],[binding_level]]</f>
        <v>1</v>
      </c>
    </row>
    <row r="235" spans="1:11" ht="15.75" thickBot="1" x14ac:dyDescent="0.3">
      <c r="A235" s="26">
        <v>5</v>
      </c>
      <c r="B235" s="27">
        <v>31</v>
      </c>
      <c r="C235" s="27" t="s">
        <v>174</v>
      </c>
      <c r="D235" s="28">
        <v>0</v>
      </c>
      <c r="E235" s="29"/>
      <c r="F235" s="30"/>
      <c r="G235" s="30"/>
      <c r="H235" s="30"/>
      <c r="I235" s="29" t="s">
        <v>1457</v>
      </c>
      <c r="J235" s="30" t="s">
        <v>3063</v>
      </c>
      <c r="K235" s="31">
        <f>Tabelle5[[#This Row],[value_present]]*Tabelle5[[#This Row],[binding_level]]</f>
        <v>0</v>
      </c>
    </row>
    <row r="236" spans="1:11" x14ac:dyDescent="0.25">
      <c r="A236" s="18">
        <v>6</v>
      </c>
      <c r="B236" s="19">
        <v>34</v>
      </c>
      <c r="C236" s="19" t="s">
        <v>53</v>
      </c>
      <c r="D236" s="20">
        <v>0</v>
      </c>
      <c r="E236" s="21"/>
      <c r="F236" s="22"/>
      <c r="G236" s="22"/>
      <c r="H236" s="22"/>
      <c r="I236" s="21" t="s">
        <v>1458</v>
      </c>
      <c r="J236" s="22" t="s">
        <v>3120</v>
      </c>
      <c r="K236" s="23">
        <f>Tabelle5[[#This Row],[value_present]]*Tabelle5[[#This Row],[binding_level]]</f>
        <v>0</v>
      </c>
    </row>
    <row r="237" spans="1:11" x14ac:dyDescent="0.25">
      <c r="A237" s="24">
        <v>6</v>
      </c>
      <c r="B237" s="50">
        <v>34</v>
      </c>
      <c r="C237" s="50" t="s">
        <v>61</v>
      </c>
      <c r="D237" s="51">
        <v>0</v>
      </c>
      <c r="E237" s="53"/>
      <c r="F237" s="52"/>
      <c r="G237" s="52"/>
      <c r="H237" s="52"/>
      <c r="I237" s="53" t="s">
        <v>1458</v>
      </c>
      <c r="J237" s="52" t="s">
        <v>3121</v>
      </c>
      <c r="K237" s="25">
        <f>Tabelle5[[#This Row],[value_present]]*Tabelle5[[#This Row],[binding_level]]</f>
        <v>0</v>
      </c>
    </row>
    <row r="238" spans="1:11" x14ac:dyDescent="0.25">
      <c r="A238" s="24">
        <v>6</v>
      </c>
      <c r="B238" s="50">
        <v>34</v>
      </c>
      <c r="C238" s="50" t="s">
        <v>69</v>
      </c>
      <c r="D238" s="51">
        <v>1</v>
      </c>
      <c r="E238" s="53">
        <v>3</v>
      </c>
      <c r="F238" t="s">
        <v>3142</v>
      </c>
      <c r="G238" s="52" t="s">
        <v>3141</v>
      </c>
      <c r="H238" s="52" t="s">
        <v>3122</v>
      </c>
      <c r="I238" s="53" t="s">
        <v>1458</v>
      </c>
      <c r="J238" s="52" t="s">
        <v>3123</v>
      </c>
      <c r="K238" s="25">
        <f>Tabelle5[[#This Row],[value_present]]*Tabelle5[[#This Row],[binding_level]]</f>
        <v>3</v>
      </c>
    </row>
    <row r="239" spans="1:11" x14ac:dyDescent="0.25">
      <c r="A239" s="24">
        <v>6</v>
      </c>
      <c r="B239" s="50">
        <v>34</v>
      </c>
      <c r="C239" s="50" t="s">
        <v>76</v>
      </c>
      <c r="D239" s="51">
        <v>0</v>
      </c>
      <c r="E239" s="53"/>
      <c r="F239" s="52"/>
      <c r="G239" s="52"/>
      <c r="H239" s="52"/>
      <c r="I239" s="53" t="s">
        <v>1457</v>
      </c>
      <c r="J239" s="52" t="s">
        <v>3124</v>
      </c>
      <c r="K239" s="25">
        <f>Tabelle5[[#This Row],[value_present]]*Tabelle5[[#This Row],[binding_level]]</f>
        <v>0</v>
      </c>
    </row>
    <row r="240" spans="1:11" x14ac:dyDescent="0.25">
      <c r="A240" s="24">
        <v>6</v>
      </c>
      <c r="B240" s="50">
        <v>34</v>
      </c>
      <c r="C240" s="50" t="s">
        <v>83</v>
      </c>
      <c r="D240" s="51">
        <v>1</v>
      </c>
      <c r="E240" s="53">
        <v>3</v>
      </c>
      <c r="F240" t="s">
        <v>3143</v>
      </c>
      <c r="G240" t="s">
        <v>3143</v>
      </c>
      <c r="H240" s="52" t="s">
        <v>3125</v>
      </c>
      <c r="I240" s="53" t="s">
        <v>1458</v>
      </c>
      <c r="J240" s="52" t="s">
        <v>3126</v>
      </c>
      <c r="K240" s="25">
        <f>Tabelle5[[#This Row],[value_present]]*Tabelle5[[#This Row],[binding_level]]</f>
        <v>3</v>
      </c>
    </row>
    <row r="241" spans="1:11" x14ac:dyDescent="0.25">
      <c r="A241" s="24">
        <v>6</v>
      </c>
      <c r="B241" s="50">
        <v>34</v>
      </c>
      <c r="C241" s="50" t="s">
        <v>90</v>
      </c>
      <c r="D241" s="51">
        <v>0</v>
      </c>
      <c r="E241" s="53"/>
      <c r="F241" s="52"/>
      <c r="G241" s="52"/>
      <c r="H241" s="52"/>
      <c r="I241" s="53" t="s">
        <v>1458</v>
      </c>
      <c r="J241" s="52" t="s">
        <v>3127</v>
      </c>
      <c r="K241" s="25">
        <f>Tabelle5[[#This Row],[value_present]]*Tabelle5[[#This Row],[binding_level]]</f>
        <v>0</v>
      </c>
    </row>
    <row r="242" spans="1:11" x14ac:dyDescent="0.25">
      <c r="A242" s="24">
        <v>6</v>
      </c>
      <c r="B242" s="50">
        <v>34</v>
      </c>
      <c r="C242" s="50" t="s">
        <v>98</v>
      </c>
      <c r="D242" s="51">
        <v>1</v>
      </c>
      <c r="E242" s="53">
        <v>3</v>
      </c>
      <c r="F242" s="52" t="s">
        <v>3145</v>
      </c>
      <c r="G242" s="52" t="s">
        <v>3144</v>
      </c>
      <c r="H242" s="52" t="s">
        <v>3122</v>
      </c>
      <c r="I242" s="53" t="s">
        <v>1458</v>
      </c>
      <c r="J242" s="52" t="s">
        <v>3128</v>
      </c>
      <c r="K242" s="25">
        <f>Tabelle5[[#This Row],[value_present]]*Tabelle5[[#This Row],[binding_level]]</f>
        <v>3</v>
      </c>
    </row>
    <row r="243" spans="1:11" x14ac:dyDescent="0.25">
      <c r="A243" s="24">
        <v>6</v>
      </c>
      <c r="B243" s="50">
        <v>34</v>
      </c>
      <c r="C243" s="50" t="s">
        <v>106</v>
      </c>
      <c r="D243" s="51">
        <v>0</v>
      </c>
      <c r="E243" s="53"/>
      <c r="F243" s="52"/>
      <c r="G243" s="52"/>
      <c r="H243" s="52"/>
      <c r="I243" s="53" t="s">
        <v>1458</v>
      </c>
      <c r="J243" s="52" t="s">
        <v>3129</v>
      </c>
      <c r="K243" s="25">
        <f>Tabelle5[[#This Row],[value_present]]*Tabelle5[[#This Row],[binding_level]]</f>
        <v>0</v>
      </c>
    </row>
    <row r="244" spans="1:11" x14ac:dyDescent="0.25">
      <c r="A244" s="24">
        <v>6</v>
      </c>
      <c r="B244" s="50">
        <v>34</v>
      </c>
      <c r="C244" s="50" t="s">
        <v>112</v>
      </c>
      <c r="D244" s="51">
        <v>1</v>
      </c>
      <c r="E244" s="53">
        <v>3</v>
      </c>
      <c r="F244" s="52" t="s">
        <v>3147</v>
      </c>
      <c r="G244" t="s">
        <v>3146</v>
      </c>
      <c r="H244" s="52" t="s">
        <v>3125</v>
      </c>
      <c r="I244" s="53" t="s">
        <v>1457</v>
      </c>
      <c r="J244" s="52" t="s">
        <v>3130</v>
      </c>
      <c r="K244" s="25">
        <f>Tabelle5[[#This Row],[value_present]]*Tabelle5[[#This Row],[binding_level]]</f>
        <v>3</v>
      </c>
    </row>
    <row r="245" spans="1:11" x14ac:dyDescent="0.25">
      <c r="A245" s="24">
        <v>6</v>
      </c>
      <c r="B245" s="50">
        <v>34</v>
      </c>
      <c r="C245" s="50" t="s">
        <v>118</v>
      </c>
      <c r="D245" s="51">
        <v>0</v>
      </c>
      <c r="E245" s="53"/>
      <c r="F245" s="52"/>
      <c r="G245" s="52"/>
      <c r="H245" s="52"/>
      <c r="I245" s="53" t="s">
        <v>1457</v>
      </c>
      <c r="J245" s="52" t="s">
        <v>2161</v>
      </c>
      <c r="K245" s="25">
        <f>Tabelle5[[#This Row],[value_present]]*Tabelle5[[#This Row],[binding_level]]</f>
        <v>0</v>
      </c>
    </row>
    <row r="246" spans="1:11" x14ac:dyDescent="0.25">
      <c r="A246" s="24">
        <v>6</v>
      </c>
      <c r="B246" s="50">
        <v>34</v>
      </c>
      <c r="C246" s="50" t="s">
        <v>125</v>
      </c>
      <c r="D246" s="51">
        <v>0</v>
      </c>
      <c r="E246" s="53"/>
      <c r="F246" s="52"/>
      <c r="G246" s="52"/>
      <c r="H246" s="52"/>
      <c r="I246" s="53" t="s">
        <v>1458</v>
      </c>
      <c r="J246" s="52" t="s">
        <v>3131</v>
      </c>
      <c r="K246" s="25">
        <f>Tabelle5[[#This Row],[value_present]]*Tabelle5[[#This Row],[binding_level]]</f>
        <v>0</v>
      </c>
    </row>
    <row r="247" spans="1:11" x14ac:dyDescent="0.25">
      <c r="A247" s="24">
        <v>6</v>
      </c>
      <c r="B247" s="50">
        <v>34</v>
      </c>
      <c r="C247" s="50" t="s">
        <v>132</v>
      </c>
      <c r="D247" s="51">
        <v>1</v>
      </c>
      <c r="E247" s="53">
        <v>3</v>
      </c>
      <c r="F247" t="s">
        <v>3148</v>
      </c>
      <c r="G247" t="s">
        <v>3149</v>
      </c>
      <c r="H247" s="52" t="s">
        <v>3132</v>
      </c>
      <c r="I247" s="53" t="s">
        <v>1457</v>
      </c>
      <c r="J247" s="52" t="s">
        <v>3133</v>
      </c>
      <c r="K247" s="25">
        <f>Tabelle5[[#This Row],[value_present]]*Tabelle5[[#This Row],[binding_level]]</f>
        <v>3</v>
      </c>
    </row>
    <row r="248" spans="1:11" x14ac:dyDescent="0.25">
      <c r="A248" s="24">
        <v>6</v>
      </c>
      <c r="B248" s="50">
        <v>34</v>
      </c>
      <c r="C248" s="50" t="s">
        <v>140</v>
      </c>
      <c r="D248" s="51">
        <v>0</v>
      </c>
      <c r="E248" s="53"/>
      <c r="F248" s="52"/>
      <c r="G248" s="52"/>
      <c r="H248" s="52"/>
      <c r="I248" s="53" t="s">
        <v>1458</v>
      </c>
      <c r="J248" s="52" t="s">
        <v>3134</v>
      </c>
      <c r="K248" s="25">
        <f>Tabelle5[[#This Row],[value_present]]*Tabelle5[[#This Row],[binding_level]]</f>
        <v>0</v>
      </c>
    </row>
    <row r="249" spans="1:11" x14ac:dyDescent="0.25">
      <c r="A249" s="24">
        <v>6</v>
      </c>
      <c r="B249" s="50">
        <v>34</v>
      </c>
      <c r="C249" s="50" t="s">
        <v>147</v>
      </c>
      <c r="D249" s="51">
        <v>0</v>
      </c>
      <c r="E249" s="53"/>
      <c r="F249" s="52"/>
      <c r="G249" s="52"/>
      <c r="H249" s="52"/>
      <c r="I249" s="53" t="s">
        <v>1458</v>
      </c>
      <c r="J249" s="52" t="s">
        <v>3135</v>
      </c>
      <c r="K249" s="25">
        <f>Tabelle5[[#This Row],[value_present]]*Tabelle5[[#This Row],[binding_level]]</f>
        <v>0</v>
      </c>
    </row>
    <row r="250" spans="1:11" x14ac:dyDescent="0.25">
      <c r="A250" s="24">
        <v>6</v>
      </c>
      <c r="B250" s="50">
        <v>34</v>
      </c>
      <c r="C250" s="50" t="s">
        <v>154</v>
      </c>
      <c r="D250" s="51">
        <v>1</v>
      </c>
      <c r="E250" s="53">
        <v>2</v>
      </c>
      <c r="F250" s="52" t="s">
        <v>3151</v>
      </c>
      <c r="G250" t="s">
        <v>3150</v>
      </c>
      <c r="H250" s="52" t="s">
        <v>3136</v>
      </c>
      <c r="I250" s="53" t="s">
        <v>1457</v>
      </c>
      <c r="J250" s="52" t="s">
        <v>3137</v>
      </c>
      <c r="K250" s="25">
        <f>Tabelle5[[#This Row],[value_present]]*Tabelle5[[#This Row],[binding_level]]</f>
        <v>2</v>
      </c>
    </row>
    <row r="251" spans="1:11" x14ac:dyDescent="0.25">
      <c r="A251" s="24">
        <v>6</v>
      </c>
      <c r="B251" s="50">
        <v>34</v>
      </c>
      <c r="C251" s="50" t="s">
        <v>161</v>
      </c>
      <c r="D251" s="51">
        <v>1</v>
      </c>
      <c r="E251" s="53">
        <v>3</v>
      </c>
      <c r="F251" t="s">
        <v>3153</v>
      </c>
      <c r="G251" t="s">
        <v>3152</v>
      </c>
      <c r="H251" s="52" t="s">
        <v>3125</v>
      </c>
      <c r="I251" s="53" t="s">
        <v>1457</v>
      </c>
      <c r="J251" s="52" t="s">
        <v>3138</v>
      </c>
      <c r="K251" s="25">
        <f>Tabelle5[[#This Row],[value_present]]*Tabelle5[[#This Row],[binding_level]]</f>
        <v>3</v>
      </c>
    </row>
    <row r="252" spans="1:11" x14ac:dyDescent="0.25">
      <c r="A252" s="24">
        <v>6</v>
      </c>
      <c r="B252" s="50">
        <v>34</v>
      </c>
      <c r="C252" s="50" t="s">
        <v>166</v>
      </c>
      <c r="D252" s="51">
        <v>0</v>
      </c>
      <c r="E252" s="53"/>
      <c r="F252" s="52"/>
      <c r="G252" s="52"/>
      <c r="H252" s="52"/>
      <c r="I252" s="53" t="s">
        <v>1542</v>
      </c>
      <c r="J252" s="52" t="s">
        <v>3139</v>
      </c>
      <c r="K252" s="25">
        <f>Tabelle5[[#This Row],[value_present]]*Tabelle5[[#This Row],[binding_level]]</f>
        <v>0</v>
      </c>
    </row>
    <row r="253" spans="1:11" ht="15.75" thickBot="1" x14ac:dyDescent="0.3">
      <c r="A253" s="26">
        <v>6</v>
      </c>
      <c r="B253" s="27">
        <v>34</v>
      </c>
      <c r="C253" s="27" t="s">
        <v>174</v>
      </c>
      <c r="D253" s="28">
        <v>0</v>
      </c>
      <c r="E253" s="29"/>
      <c r="F253" s="30"/>
      <c r="G253" s="30"/>
      <c r="H253" s="30"/>
      <c r="I253" s="29" t="s">
        <v>1457</v>
      </c>
      <c r="J253" s="30" t="s">
        <v>3140</v>
      </c>
      <c r="K253" s="31">
        <f>Tabelle5[[#This Row],[value_present]]*Tabelle5[[#This Row],[binding_level]]</f>
        <v>0</v>
      </c>
    </row>
    <row r="254" spans="1:11" x14ac:dyDescent="0.25">
      <c r="A254" s="18">
        <v>6</v>
      </c>
      <c r="B254" s="19">
        <v>36</v>
      </c>
      <c r="C254" s="19" t="s">
        <v>53</v>
      </c>
      <c r="D254" s="20">
        <v>0</v>
      </c>
      <c r="E254" s="21"/>
      <c r="F254" s="22"/>
      <c r="G254" s="22"/>
      <c r="H254" s="22"/>
      <c r="I254" s="21" t="s">
        <v>1458</v>
      </c>
      <c r="J254" s="22" t="s">
        <v>3190</v>
      </c>
      <c r="K254" s="23">
        <f>Tabelle5[[#This Row],[value_present]]*Tabelle5[[#This Row],[binding_level]]</f>
        <v>0</v>
      </c>
    </row>
    <row r="255" spans="1:11" x14ac:dyDescent="0.25">
      <c r="A255" s="24">
        <v>6</v>
      </c>
      <c r="B255" s="50">
        <v>36</v>
      </c>
      <c r="C255" s="50" t="s">
        <v>61</v>
      </c>
      <c r="D255" s="51">
        <v>0</v>
      </c>
      <c r="E255" s="53"/>
      <c r="F255" s="52"/>
      <c r="G255" s="52"/>
      <c r="H255" s="52"/>
      <c r="I255" s="53" t="s">
        <v>1458</v>
      </c>
      <c r="J255" s="52" t="s">
        <v>3191</v>
      </c>
      <c r="K255" s="25">
        <f>Tabelle5[[#This Row],[value_present]]*Tabelle5[[#This Row],[binding_level]]</f>
        <v>0</v>
      </c>
    </row>
    <row r="256" spans="1:11" x14ac:dyDescent="0.25">
      <c r="A256" s="24">
        <v>6</v>
      </c>
      <c r="B256" s="50">
        <v>36</v>
      </c>
      <c r="C256" s="50" t="s">
        <v>69</v>
      </c>
      <c r="D256" s="51">
        <v>0</v>
      </c>
      <c r="E256" s="53"/>
      <c r="F256" s="52"/>
      <c r="G256" s="52"/>
      <c r="H256" s="52"/>
      <c r="I256" s="53" t="s">
        <v>1457</v>
      </c>
      <c r="J256" s="52" t="s">
        <v>3192</v>
      </c>
      <c r="K256" s="25">
        <f>Tabelle5[[#This Row],[value_present]]*Tabelle5[[#This Row],[binding_level]]</f>
        <v>0</v>
      </c>
    </row>
    <row r="257" spans="1:11" x14ac:dyDescent="0.25">
      <c r="A257" s="24">
        <v>6</v>
      </c>
      <c r="B257" s="50">
        <v>36</v>
      </c>
      <c r="C257" s="50" t="s">
        <v>76</v>
      </c>
      <c r="D257" s="51">
        <v>0</v>
      </c>
      <c r="E257" s="53"/>
      <c r="F257" s="52"/>
      <c r="G257" s="52"/>
      <c r="H257" s="52"/>
      <c r="I257" s="53" t="s">
        <v>1457</v>
      </c>
      <c r="J257" s="52" t="s">
        <v>3193</v>
      </c>
      <c r="K257" s="25">
        <f>Tabelle5[[#This Row],[value_present]]*Tabelle5[[#This Row],[binding_level]]</f>
        <v>0</v>
      </c>
    </row>
    <row r="258" spans="1:11" x14ac:dyDescent="0.25">
      <c r="A258" s="24">
        <v>6</v>
      </c>
      <c r="B258" s="50">
        <v>36</v>
      </c>
      <c r="C258" s="50" t="s">
        <v>83</v>
      </c>
      <c r="D258" s="51">
        <v>1</v>
      </c>
      <c r="E258" s="53">
        <v>1</v>
      </c>
      <c r="F258" t="s">
        <v>3208</v>
      </c>
      <c r="G258" s="52" t="s">
        <v>3207</v>
      </c>
      <c r="H258" s="52" t="s">
        <v>3194</v>
      </c>
      <c r="I258" s="53" t="s">
        <v>1457</v>
      </c>
      <c r="J258" s="52" t="s">
        <v>3195</v>
      </c>
      <c r="K258" s="25">
        <f>Tabelle5[[#This Row],[value_present]]*Tabelle5[[#This Row],[binding_level]]</f>
        <v>1</v>
      </c>
    </row>
    <row r="259" spans="1:11" x14ac:dyDescent="0.25">
      <c r="A259" s="24">
        <v>6</v>
      </c>
      <c r="B259" s="50">
        <v>36</v>
      </c>
      <c r="C259" s="50" t="s">
        <v>90</v>
      </c>
      <c r="D259" s="51">
        <v>1</v>
      </c>
      <c r="E259" s="53">
        <v>1</v>
      </c>
      <c r="F259" t="s">
        <v>3210</v>
      </c>
      <c r="G259" t="s">
        <v>3209</v>
      </c>
      <c r="H259" s="52" t="s">
        <v>3194</v>
      </c>
      <c r="I259" s="53" t="s">
        <v>1457</v>
      </c>
      <c r="J259" s="52" t="s">
        <v>3196</v>
      </c>
      <c r="K259" s="25">
        <f>Tabelle5[[#This Row],[value_present]]*Tabelle5[[#This Row],[binding_level]]</f>
        <v>1</v>
      </c>
    </row>
    <row r="260" spans="1:11" x14ac:dyDescent="0.25">
      <c r="A260" s="24">
        <v>6</v>
      </c>
      <c r="B260" s="50">
        <v>36</v>
      </c>
      <c r="C260" s="50" t="s">
        <v>98</v>
      </c>
      <c r="D260" s="51">
        <v>0</v>
      </c>
      <c r="E260" s="53"/>
      <c r="F260" s="52"/>
      <c r="G260" s="52"/>
      <c r="H260" s="52"/>
      <c r="I260" s="53" t="s">
        <v>1457</v>
      </c>
      <c r="J260" s="52" t="s">
        <v>3197</v>
      </c>
      <c r="K260" s="25">
        <f>Tabelle5[[#This Row],[value_present]]*Tabelle5[[#This Row],[binding_level]]</f>
        <v>0</v>
      </c>
    </row>
    <row r="261" spans="1:11" x14ac:dyDescent="0.25">
      <c r="A261" s="24">
        <v>6</v>
      </c>
      <c r="B261" s="50">
        <v>36</v>
      </c>
      <c r="C261" s="50" t="s">
        <v>106</v>
      </c>
      <c r="D261" s="51">
        <v>0</v>
      </c>
      <c r="E261" s="53"/>
      <c r="F261" s="52"/>
      <c r="G261" s="52"/>
      <c r="H261" s="52"/>
      <c r="I261" s="53" t="s">
        <v>1458</v>
      </c>
      <c r="J261" s="52" t="s">
        <v>3198</v>
      </c>
      <c r="K261" s="25">
        <f>Tabelle5[[#This Row],[value_present]]*Tabelle5[[#This Row],[binding_level]]</f>
        <v>0</v>
      </c>
    </row>
    <row r="262" spans="1:11" x14ac:dyDescent="0.25">
      <c r="A262" s="24">
        <v>6</v>
      </c>
      <c r="B262" s="50">
        <v>36</v>
      </c>
      <c r="C262" s="50" t="s">
        <v>112</v>
      </c>
      <c r="D262" s="51">
        <v>1</v>
      </c>
      <c r="E262" s="53">
        <v>1</v>
      </c>
      <c r="F262" t="s">
        <v>3212</v>
      </c>
      <c r="G262" t="s">
        <v>3211</v>
      </c>
      <c r="H262" s="52" t="s">
        <v>3194</v>
      </c>
      <c r="I262" s="53" t="s">
        <v>1457</v>
      </c>
      <c r="J262" s="52" t="s">
        <v>3199</v>
      </c>
      <c r="K262" s="25">
        <f>Tabelle5[[#This Row],[value_present]]*Tabelle5[[#This Row],[binding_level]]</f>
        <v>1</v>
      </c>
    </row>
    <row r="263" spans="1:11" x14ac:dyDescent="0.25">
      <c r="A263" s="24">
        <v>6</v>
      </c>
      <c r="B263" s="50">
        <v>36</v>
      </c>
      <c r="C263" s="50" t="s">
        <v>118</v>
      </c>
      <c r="D263" s="51">
        <v>0</v>
      </c>
      <c r="E263" s="53"/>
      <c r="F263" s="52"/>
      <c r="G263" s="52"/>
      <c r="H263" s="52"/>
      <c r="I263" s="53" t="s">
        <v>1457</v>
      </c>
      <c r="J263" s="52" t="s">
        <v>2161</v>
      </c>
      <c r="K263" s="25">
        <f>Tabelle5[[#This Row],[value_present]]*Tabelle5[[#This Row],[binding_level]]</f>
        <v>0</v>
      </c>
    </row>
    <row r="264" spans="1:11" x14ac:dyDescent="0.25">
      <c r="A264" s="24">
        <v>6</v>
      </c>
      <c r="B264" s="50">
        <v>36</v>
      </c>
      <c r="C264" s="50" t="s">
        <v>125</v>
      </c>
      <c r="D264" s="51">
        <v>0</v>
      </c>
      <c r="E264" s="53"/>
      <c r="F264" s="52"/>
      <c r="G264" s="52"/>
      <c r="H264" s="52"/>
      <c r="I264" s="53" t="s">
        <v>1458</v>
      </c>
      <c r="J264" s="52" t="s">
        <v>3200</v>
      </c>
      <c r="K264" s="25">
        <f>Tabelle5[[#This Row],[value_present]]*Tabelle5[[#This Row],[binding_level]]</f>
        <v>0</v>
      </c>
    </row>
    <row r="265" spans="1:11" x14ac:dyDescent="0.25">
      <c r="A265" s="24">
        <v>6</v>
      </c>
      <c r="B265" s="50">
        <v>36</v>
      </c>
      <c r="C265" s="50" t="s">
        <v>132</v>
      </c>
      <c r="D265" s="51">
        <v>0</v>
      </c>
      <c r="E265" s="53"/>
      <c r="F265" s="52"/>
      <c r="G265" s="52"/>
      <c r="H265" s="52"/>
      <c r="I265" s="53" t="s">
        <v>1457</v>
      </c>
      <c r="J265" s="52" t="s">
        <v>3056</v>
      </c>
      <c r="K265" s="25">
        <f>Tabelle5[[#This Row],[value_present]]*Tabelle5[[#This Row],[binding_level]]</f>
        <v>0</v>
      </c>
    </row>
    <row r="266" spans="1:11" x14ac:dyDescent="0.25">
      <c r="A266" s="24">
        <v>6</v>
      </c>
      <c r="B266" s="50">
        <v>36</v>
      </c>
      <c r="C266" s="50" t="s">
        <v>140</v>
      </c>
      <c r="D266" s="51">
        <v>1</v>
      </c>
      <c r="E266" s="53">
        <v>1</v>
      </c>
      <c r="F266" t="s">
        <v>3214</v>
      </c>
      <c r="G266" t="s">
        <v>3213</v>
      </c>
      <c r="H266" s="52" t="s">
        <v>2605</v>
      </c>
      <c r="I266" s="53" t="s">
        <v>1457</v>
      </c>
      <c r="J266" s="52" t="s">
        <v>3201</v>
      </c>
      <c r="K266" s="25">
        <f>Tabelle5[[#This Row],[value_present]]*Tabelle5[[#This Row],[binding_level]]</f>
        <v>1</v>
      </c>
    </row>
    <row r="267" spans="1:11" x14ac:dyDescent="0.25">
      <c r="A267" s="24">
        <v>6</v>
      </c>
      <c r="B267" s="50">
        <v>36</v>
      </c>
      <c r="C267" s="50" t="s">
        <v>147</v>
      </c>
      <c r="D267" s="51">
        <v>0</v>
      </c>
      <c r="E267" s="53"/>
      <c r="F267" s="52"/>
      <c r="G267" s="52"/>
      <c r="H267" s="52"/>
      <c r="I267" s="53" t="s">
        <v>1458</v>
      </c>
      <c r="J267" s="52" t="s">
        <v>3202</v>
      </c>
      <c r="K267" s="25">
        <f>Tabelle5[[#This Row],[value_present]]*Tabelle5[[#This Row],[binding_level]]</f>
        <v>0</v>
      </c>
    </row>
    <row r="268" spans="1:11" x14ac:dyDescent="0.25">
      <c r="A268" s="24">
        <v>6</v>
      </c>
      <c r="B268" s="50">
        <v>36</v>
      </c>
      <c r="C268" s="50" t="s">
        <v>154</v>
      </c>
      <c r="D268" s="51">
        <v>0</v>
      </c>
      <c r="E268" s="53"/>
      <c r="F268" s="52"/>
      <c r="G268" s="52"/>
      <c r="H268" s="52"/>
      <c r="I268" s="53" t="s">
        <v>1458</v>
      </c>
      <c r="J268" s="52" t="s">
        <v>3203</v>
      </c>
      <c r="K268" s="25">
        <f>Tabelle5[[#This Row],[value_present]]*Tabelle5[[#This Row],[binding_level]]</f>
        <v>0</v>
      </c>
    </row>
    <row r="269" spans="1:11" x14ac:dyDescent="0.25">
      <c r="A269" s="24">
        <v>6</v>
      </c>
      <c r="B269" s="50">
        <v>36</v>
      </c>
      <c r="C269" s="50" t="s">
        <v>161</v>
      </c>
      <c r="D269" s="51">
        <v>1</v>
      </c>
      <c r="E269" s="53">
        <v>1</v>
      </c>
      <c r="F269" t="s">
        <v>3216</v>
      </c>
      <c r="G269" t="s">
        <v>3215</v>
      </c>
      <c r="H269" s="52" t="s">
        <v>3194</v>
      </c>
      <c r="I269" s="53" t="s">
        <v>1458</v>
      </c>
      <c r="J269" s="52" t="s">
        <v>3204</v>
      </c>
      <c r="K269" s="25">
        <f>Tabelle5[[#This Row],[value_present]]*Tabelle5[[#This Row],[binding_level]]</f>
        <v>1</v>
      </c>
    </row>
    <row r="270" spans="1:11" x14ac:dyDescent="0.25">
      <c r="A270" s="24">
        <v>6</v>
      </c>
      <c r="B270" s="50">
        <v>36</v>
      </c>
      <c r="C270" s="50" t="s">
        <v>166</v>
      </c>
      <c r="D270" s="51">
        <v>0</v>
      </c>
      <c r="E270" s="53"/>
      <c r="F270" s="52"/>
      <c r="G270" s="52"/>
      <c r="H270" s="52"/>
      <c r="I270" s="53" t="s">
        <v>1457</v>
      </c>
      <c r="J270" s="52" t="s">
        <v>3205</v>
      </c>
      <c r="K270" s="25">
        <f>Tabelle5[[#This Row],[value_present]]*Tabelle5[[#This Row],[binding_level]]</f>
        <v>0</v>
      </c>
    </row>
    <row r="271" spans="1:11" ht="15.75" thickBot="1" x14ac:dyDescent="0.3">
      <c r="A271" s="26">
        <v>6</v>
      </c>
      <c r="B271" s="27">
        <v>36</v>
      </c>
      <c r="C271" s="27" t="s">
        <v>174</v>
      </c>
      <c r="D271" s="28">
        <v>0</v>
      </c>
      <c r="E271" s="29"/>
      <c r="F271" s="30"/>
      <c r="G271" s="30"/>
      <c r="H271" s="30"/>
      <c r="I271" s="29" t="s">
        <v>1457</v>
      </c>
      <c r="J271" s="30" t="s">
        <v>3206</v>
      </c>
      <c r="K271" s="31">
        <f>Tabelle5[[#This Row],[value_present]]*Tabelle5[[#This Row],[binding_level]]</f>
        <v>0</v>
      </c>
    </row>
    <row r="272" spans="1:11" x14ac:dyDescent="0.25">
      <c r="A272" s="18">
        <v>7</v>
      </c>
      <c r="B272" s="19">
        <v>37</v>
      </c>
      <c r="C272" s="19" t="s">
        <v>53</v>
      </c>
      <c r="D272" s="20">
        <v>1</v>
      </c>
      <c r="E272" s="21">
        <v>2</v>
      </c>
      <c r="F272" s="22" t="s">
        <v>3263</v>
      </c>
      <c r="G272" s="22" t="s">
        <v>3262</v>
      </c>
      <c r="H272" s="22" t="s">
        <v>3240</v>
      </c>
      <c r="I272" s="21" t="s">
        <v>1457</v>
      </c>
      <c r="J272" s="22" t="s">
        <v>3241</v>
      </c>
      <c r="K272" s="23">
        <f>Tabelle5[[#This Row],[value_present]]*Tabelle5[[#This Row],[binding_level]]</f>
        <v>2</v>
      </c>
    </row>
    <row r="273" spans="1:11" x14ac:dyDescent="0.25">
      <c r="A273" s="24">
        <v>7</v>
      </c>
      <c r="B273" s="50">
        <v>37</v>
      </c>
      <c r="C273" s="50" t="s">
        <v>61</v>
      </c>
      <c r="D273" s="51">
        <v>1</v>
      </c>
      <c r="E273" s="53">
        <v>3</v>
      </c>
      <c r="F273" s="52" t="s">
        <v>3265</v>
      </c>
      <c r="G273" s="52" t="s">
        <v>3264</v>
      </c>
      <c r="H273" s="52" t="s">
        <v>3217</v>
      </c>
      <c r="I273" s="53" t="s">
        <v>1457</v>
      </c>
      <c r="J273" s="52" t="s">
        <v>3242</v>
      </c>
      <c r="K273" s="25">
        <f>Tabelle5[[#This Row],[value_present]]*Tabelle5[[#This Row],[binding_level]]</f>
        <v>3</v>
      </c>
    </row>
    <row r="274" spans="1:11" x14ac:dyDescent="0.25">
      <c r="A274" s="24">
        <v>7</v>
      </c>
      <c r="B274" s="50">
        <v>37</v>
      </c>
      <c r="C274" s="50" t="s">
        <v>69</v>
      </c>
      <c r="D274" s="51">
        <v>1</v>
      </c>
      <c r="E274" s="53">
        <v>1</v>
      </c>
      <c r="F274" s="52" t="s">
        <v>3267</v>
      </c>
      <c r="G274" s="52" t="s">
        <v>3266</v>
      </c>
      <c r="H274" s="52" t="s">
        <v>3194</v>
      </c>
      <c r="I274" s="53" t="s">
        <v>1457</v>
      </c>
      <c r="J274" s="52" t="s">
        <v>3243</v>
      </c>
      <c r="K274" s="25">
        <f>Tabelle5[[#This Row],[value_present]]*Tabelle5[[#This Row],[binding_level]]</f>
        <v>1</v>
      </c>
    </row>
    <row r="275" spans="1:11" x14ac:dyDescent="0.25">
      <c r="A275" s="24">
        <v>7</v>
      </c>
      <c r="B275" s="50">
        <v>37</v>
      </c>
      <c r="C275" s="50" t="s">
        <v>76</v>
      </c>
      <c r="D275" s="51">
        <v>1</v>
      </c>
      <c r="E275" s="53">
        <v>1</v>
      </c>
      <c r="F275" s="52" t="s">
        <v>3269</v>
      </c>
      <c r="G275" s="52" t="s">
        <v>3268</v>
      </c>
      <c r="H275" s="52" t="s">
        <v>3194</v>
      </c>
      <c r="I275" s="53" t="s">
        <v>1457</v>
      </c>
      <c r="J275" s="52" t="s">
        <v>3244</v>
      </c>
      <c r="K275" s="25">
        <f>Tabelle5[[#This Row],[value_present]]*Tabelle5[[#This Row],[binding_level]]</f>
        <v>1</v>
      </c>
    </row>
    <row r="276" spans="1:11" x14ac:dyDescent="0.25">
      <c r="A276" s="24">
        <v>7</v>
      </c>
      <c r="B276" s="50">
        <v>37</v>
      </c>
      <c r="C276" s="50" t="s">
        <v>83</v>
      </c>
      <c r="D276" s="51">
        <v>1</v>
      </c>
      <c r="E276" s="53">
        <v>1</v>
      </c>
      <c r="F276" s="52" t="s">
        <v>3271</v>
      </c>
      <c r="G276" s="52" t="s">
        <v>3270</v>
      </c>
      <c r="H276" s="52" t="s">
        <v>3194</v>
      </c>
      <c r="I276" s="53" t="s">
        <v>1457</v>
      </c>
      <c r="J276" s="52" t="s">
        <v>3245</v>
      </c>
      <c r="K276" s="25">
        <f>Tabelle5[[#This Row],[value_present]]*Tabelle5[[#This Row],[binding_level]]</f>
        <v>1</v>
      </c>
    </row>
    <row r="277" spans="1:11" x14ac:dyDescent="0.25">
      <c r="A277" s="24">
        <v>7</v>
      </c>
      <c r="B277" s="50">
        <v>37</v>
      </c>
      <c r="C277" s="50" t="s">
        <v>90</v>
      </c>
      <c r="D277" s="51">
        <v>1</v>
      </c>
      <c r="E277" s="53">
        <v>2</v>
      </c>
      <c r="F277" s="52" t="s">
        <v>3273</v>
      </c>
      <c r="G277" s="52" t="s">
        <v>3272</v>
      </c>
      <c r="H277" s="52" t="s">
        <v>3194</v>
      </c>
      <c r="I277" s="53" t="s">
        <v>1457</v>
      </c>
      <c r="J277" s="52" t="s">
        <v>3246</v>
      </c>
      <c r="K277" s="25">
        <f>Tabelle5[[#This Row],[value_present]]*Tabelle5[[#This Row],[binding_level]]</f>
        <v>2</v>
      </c>
    </row>
    <row r="278" spans="1:11" x14ac:dyDescent="0.25">
      <c r="A278" s="24">
        <v>7</v>
      </c>
      <c r="B278" s="50">
        <v>37</v>
      </c>
      <c r="C278" s="50" t="s">
        <v>98</v>
      </c>
      <c r="D278" s="51">
        <v>1</v>
      </c>
      <c r="E278" s="53">
        <v>2</v>
      </c>
      <c r="F278" s="52" t="s">
        <v>3275</v>
      </c>
      <c r="G278" s="52" t="s">
        <v>3274</v>
      </c>
      <c r="H278" s="52" t="s">
        <v>3194</v>
      </c>
      <c r="I278" s="53" t="s">
        <v>1457</v>
      </c>
      <c r="J278" s="52" t="s">
        <v>3247</v>
      </c>
      <c r="K278" s="25">
        <f>Tabelle5[[#This Row],[value_present]]*Tabelle5[[#This Row],[binding_level]]</f>
        <v>2</v>
      </c>
    </row>
    <row r="279" spans="1:11" x14ac:dyDescent="0.25">
      <c r="A279" s="24">
        <v>7</v>
      </c>
      <c r="B279" s="50">
        <v>37</v>
      </c>
      <c r="C279" s="50" t="s">
        <v>106</v>
      </c>
      <c r="D279" s="51">
        <v>1</v>
      </c>
      <c r="E279" s="53">
        <v>2</v>
      </c>
      <c r="F279" s="52" t="s">
        <v>3277</v>
      </c>
      <c r="G279" s="52" t="s">
        <v>3276</v>
      </c>
      <c r="H279" s="52" t="s">
        <v>3248</v>
      </c>
      <c r="I279" s="53" t="s">
        <v>1457</v>
      </c>
      <c r="J279" s="52" t="s">
        <v>3249</v>
      </c>
      <c r="K279" s="25">
        <f>Tabelle5[[#This Row],[value_present]]*Tabelle5[[#This Row],[binding_level]]</f>
        <v>2</v>
      </c>
    </row>
    <row r="280" spans="1:11" x14ac:dyDescent="0.25">
      <c r="A280" s="24">
        <v>7</v>
      </c>
      <c r="B280" s="50">
        <v>37</v>
      </c>
      <c r="C280" s="50" t="s">
        <v>112</v>
      </c>
      <c r="D280" s="51">
        <v>1</v>
      </c>
      <c r="E280" s="53">
        <v>2</v>
      </c>
      <c r="F280" s="52" t="s">
        <v>3279</v>
      </c>
      <c r="G280" s="52" t="s">
        <v>3278</v>
      </c>
      <c r="H280" s="52" t="s">
        <v>3194</v>
      </c>
      <c r="I280" s="53" t="s">
        <v>1457</v>
      </c>
      <c r="J280" s="52" t="s">
        <v>3250</v>
      </c>
      <c r="K280" s="25">
        <f>Tabelle5[[#This Row],[value_present]]*Tabelle5[[#This Row],[binding_level]]</f>
        <v>2</v>
      </c>
    </row>
    <row r="281" spans="1:11" x14ac:dyDescent="0.25">
      <c r="A281" s="24">
        <v>7</v>
      </c>
      <c r="B281" s="50">
        <v>37</v>
      </c>
      <c r="C281" s="50" t="s">
        <v>118</v>
      </c>
      <c r="D281" s="51">
        <v>0</v>
      </c>
      <c r="E281" s="53"/>
      <c r="F281" s="52"/>
      <c r="G281" s="52"/>
      <c r="H281" s="52"/>
      <c r="I281" s="53" t="s">
        <v>1457</v>
      </c>
      <c r="J281" s="52" t="s">
        <v>2844</v>
      </c>
      <c r="K281" s="25">
        <f>Tabelle5[[#This Row],[value_present]]*Tabelle5[[#This Row],[binding_level]]</f>
        <v>0</v>
      </c>
    </row>
    <row r="282" spans="1:11" x14ac:dyDescent="0.25">
      <c r="A282" s="24">
        <v>7</v>
      </c>
      <c r="B282" s="50">
        <v>37</v>
      </c>
      <c r="C282" s="50" t="s">
        <v>125</v>
      </c>
      <c r="D282" s="51">
        <v>0</v>
      </c>
      <c r="E282" s="53"/>
      <c r="F282" s="52"/>
      <c r="G282" s="52"/>
      <c r="H282" s="52"/>
      <c r="I282" s="53" t="s">
        <v>1458</v>
      </c>
      <c r="J282" s="52" t="s">
        <v>3251</v>
      </c>
      <c r="K282" s="25">
        <f>Tabelle5[[#This Row],[value_present]]*Tabelle5[[#This Row],[binding_level]]</f>
        <v>0</v>
      </c>
    </row>
    <row r="283" spans="1:11" x14ac:dyDescent="0.25">
      <c r="A283" s="24">
        <v>7</v>
      </c>
      <c r="B283" s="50">
        <v>37</v>
      </c>
      <c r="C283" s="50" t="s">
        <v>132</v>
      </c>
      <c r="D283" s="51">
        <v>1</v>
      </c>
      <c r="E283" s="53">
        <v>1</v>
      </c>
      <c r="F283" s="52" t="s">
        <v>3281</v>
      </c>
      <c r="G283" s="52" t="s">
        <v>3280</v>
      </c>
      <c r="H283" s="52" t="s">
        <v>3252</v>
      </c>
      <c r="I283" s="53" t="s">
        <v>1457</v>
      </c>
      <c r="J283" s="52" t="s">
        <v>3253</v>
      </c>
      <c r="K283" s="25">
        <f>Tabelle5[[#This Row],[value_present]]*Tabelle5[[#This Row],[binding_level]]</f>
        <v>1</v>
      </c>
    </row>
    <row r="284" spans="1:11" x14ac:dyDescent="0.25">
      <c r="A284" s="24">
        <v>7</v>
      </c>
      <c r="B284" s="50">
        <v>37</v>
      </c>
      <c r="C284" s="50" t="s">
        <v>140</v>
      </c>
      <c r="D284" s="51">
        <v>1</v>
      </c>
      <c r="E284" s="53">
        <v>1</v>
      </c>
      <c r="F284" s="52" t="s">
        <v>3283</v>
      </c>
      <c r="G284" s="52" t="s">
        <v>3282</v>
      </c>
      <c r="H284" s="52" t="s">
        <v>3194</v>
      </c>
      <c r="I284" s="53" t="s">
        <v>1457</v>
      </c>
      <c r="J284" s="52" t="s">
        <v>3254</v>
      </c>
      <c r="K284" s="25">
        <f>Tabelle5[[#This Row],[value_present]]*Tabelle5[[#This Row],[binding_level]]</f>
        <v>1</v>
      </c>
    </row>
    <row r="285" spans="1:11" x14ac:dyDescent="0.25">
      <c r="A285" s="24">
        <v>7</v>
      </c>
      <c r="B285" s="50">
        <v>37</v>
      </c>
      <c r="C285" s="50" t="s">
        <v>147</v>
      </c>
      <c r="D285" s="51">
        <v>1</v>
      </c>
      <c r="E285" s="53">
        <v>1</v>
      </c>
      <c r="F285" s="52" t="s">
        <v>3285</v>
      </c>
      <c r="G285" s="52" t="s">
        <v>3284</v>
      </c>
      <c r="H285" s="52" t="s">
        <v>3194</v>
      </c>
      <c r="I285" s="53" t="s">
        <v>1458</v>
      </c>
      <c r="J285" s="52" t="s">
        <v>3255</v>
      </c>
      <c r="K285" s="25">
        <f>Tabelle5[[#This Row],[value_present]]*Tabelle5[[#This Row],[binding_level]]</f>
        <v>1</v>
      </c>
    </row>
    <row r="286" spans="1:11" x14ac:dyDescent="0.25">
      <c r="A286" s="24">
        <v>7</v>
      </c>
      <c r="B286" s="50">
        <v>37</v>
      </c>
      <c r="C286" s="50" t="s">
        <v>154</v>
      </c>
      <c r="D286" s="51">
        <v>0</v>
      </c>
      <c r="E286" s="53"/>
      <c r="F286" s="52"/>
      <c r="G286" s="52"/>
      <c r="H286" s="52"/>
      <c r="I286" s="53" t="s">
        <v>1458</v>
      </c>
      <c r="J286" s="52" t="s">
        <v>3256</v>
      </c>
      <c r="K286" s="25">
        <f>Tabelle5[[#This Row],[value_present]]*Tabelle5[[#This Row],[binding_level]]</f>
        <v>0</v>
      </c>
    </row>
    <row r="287" spans="1:11" x14ac:dyDescent="0.25">
      <c r="A287" s="24">
        <v>7</v>
      </c>
      <c r="B287" s="50">
        <v>37</v>
      </c>
      <c r="C287" s="50" t="s">
        <v>161</v>
      </c>
      <c r="D287" s="51">
        <v>1</v>
      </c>
      <c r="E287" s="53">
        <v>2</v>
      </c>
      <c r="F287" s="52" t="s">
        <v>3287</v>
      </c>
      <c r="G287" s="52" t="s">
        <v>3286</v>
      </c>
      <c r="H287" s="52" t="s">
        <v>3257</v>
      </c>
      <c r="I287" s="53" t="s">
        <v>1457</v>
      </c>
      <c r="J287" s="52" t="s">
        <v>3258</v>
      </c>
      <c r="K287" s="25">
        <f>Tabelle5[[#This Row],[value_present]]*Tabelle5[[#This Row],[binding_level]]</f>
        <v>2</v>
      </c>
    </row>
    <row r="288" spans="1:11" x14ac:dyDescent="0.25">
      <c r="A288" s="24">
        <v>7</v>
      </c>
      <c r="B288" s="50">
        <v>37</v>
      </c>
      <c r="C288" s="50" t="s">
        <v>166</v>
      </c>
      <c r="D288" s="51">
        <v>1</v>
      </c>
      <c r="E288" s="53">
        <v>2</v>
      </c>
      <c r="F288" s="52" t="s">
        <v>3289</v>
      </c>
      <c r="G288" s="52" t="s">
        <v>3288</v>
      </c>
      <c r="H288" s="52" t="s">
        <v>3259</v>
      </c>
      <c r="I288" s="53" t="s">
        <v>1457</v>
      </c>
      <c r="J288" s="52" t="s">
        <v>3260</v>
      </c>
      <c r="K288" s="25">
        <f>Tabelle5[[#This Row],[value_present]]*Tabelle5[[#This Row],[binding_level]]</f>
        <v>2</v>
      </c>
    </row>
    <row r="289" spans="1:11" ht="15.75" thickBot="1" x14ac:dyDescent="0.3">
      <c r="A289" s="26">
        <v>7</v>
      </c>
      <c r="B289" s="27">
        <v>37</v>
      </c>
      <c r="C289" s="27" t="s">
        <v>174</v>
      </c>
      <c r="D289" s="28">
        <v>1</v>
      </c>
      <c r="E289" s="29">
        <v>1</v>
      </c>
      <c r="F289" s="30" t="s">
        <v>3291</v>
      </c>
      <c r="G289" s="30" t="s">
        <v>3290</v>
      </c>
      <c r="H289" s="30" t="s">
        <v>3194</v>
      </c>
      <c r="I289" s="29" t="s">
        <v>1458</v>
      </c>
      <c r="J289" s="30" t="s">
        <v>3261</v>
      </c>
      <c r="K289" s="31">
        <f>Tabelle5[[#This Row],[value_present]]*Tabelle5[[#This Row],[binding_level]]</f>
        <v>1</v>
      </c>
    </row>
    <row r="290" spans="1:11" x14ac:dyDescent="0.25">
      <c r="A290" s="18">
        <v>7</v>
      </c>
      <c r="B290" s="19">
        <v>38</v>
      </c>
      <c r="C290" s="19" t="s">
        <v>53</v>
      </c>
      <c r="D290" s="20">
        <v>1</v>
      </c>
      <c r="E290" s="21">
        <v>2</v>
      </c>
      <c r="F290" s="22" t="s">
        <v>3346</v>
      </c>
      <c r="G290" s="22" t="s">
        <v>3345</v>
      </c>
      <c r="H290" s="22" t="s">
        <v>3294</v>
      </c>
      <c r="I290" s="21" t="s">
        <v>1457</v>
      </c>
      <c r="J290" s="22" t="s">
        <v>3328</v>
      </c>
      <c r="K290" s="23">
        <f>Tabelle5[[#This Row],[value_present]]*Tabelle5[[#This Row],[binding_level]]</f>
        <v>2</v>
      </c>
    </row>
    <row r="291" spans="1:11" x14ac:dyDescent="0.25">
      <c r="A291" s="24">
        <v>7</v>
      </c>
      <c r="B291" s="50">
        <v>38</v>
      </c>
      <c r="C291" s="50" t="s">
        <v>61</v>
      </c>
      <c r="D291" s="51">
        <v>0</v>
      </c>
      <c r="E291" s="53"/>
      <c r="F291" s="52"/>
      <c r="G291" s="52"/>
      <c r="H291" s="52"/>
      <c r="I291" s="53" t="s">
        <v>1457</v>
      </c>
      <c r="J291" s="52" t="s">
        <v>3329</v>
      </c>
      <c r="K291" s="25">
        <f>Tabelle5[[#This Row],[value_present]]*Tabelle5[[#This Row],[binding_level]]</f>
        <v>0</v>
      </c>
    </row>
    <row r="292" spans="1:11" x14ac:dyDescent="0.25">
      <c r="A292" s="24">
        <v>7</v>
      </c>
      <c r="B292" s="50">
        <v>38</v>
      </c>
      <c r="C292" s="50" t="s">
        <v>69</v>
      </c>
      <c r="D292" s="51">
        <v>1</v>
      </c>
      <c r="E292" s="53">
        <v>1</v>
      </c>
      <c r="F292" t="s">
        <v>3348</v>
      </c>
      <c r="G292" t="s">
        <v>3347</v>
      </c>
      <c r="H292" s="52" t="s">
        <v>3194</v>
      </c>
      <c r="I292" s="53" t="s">
        <v>1458</v>
      </c>
      <c r="J292" s="52" t="s">
        <v>3330</v>
      </c>
      <c r="K292" s="25">
        <f>Tabelle5[[#This Row],[value_present]]*Tabelle5[[#This Row],[binding_level]]</f>
        <v>1</v>
      </c>
    </row>
    <row r="293" spans="1:11" x14ac:dyDescent="0.25">
      <c r="A293" s="24">
        <v>7</v>
      </c>
      <c r="B293" s="50">
        <v>38</v>
      </c>
      <c r="C293" s="50" t="s">
        <v>76</v>
      </c>
      <c r="D293" s="51">
        <v>1</v>
      </c>
      <c r="E293" s="53">
        <v>1</v>
      </c>
      <c r="F293" t="s">
        <v>3350</v>
      </c>
      <c r="G293" t="s">
        <v>3349</v>
      </c>
      <c r="H293" s="52" t="s">
        <v>3294</v>
      </c>
      <c r="I293" s="53" t="s">
        <v>1458</v>
      </c>
      <c r="J293" s="52" t="s">
        <v>3331</v>
      </c>
      <c r="K293" s="25">
        <f>Tabelle5[[#This Row],[value_present]]*Tabelle5[[#This Row],[binding_level]]</f>
        <v>1</v>
      </c>
    </row>
    <row r="294" spans="1:11" x14ac:dyDescent="0.25">
      <c r="A294" s="24">
        <v>7</v>
      </c>
      <c r="B294" s="50">
        <v>38</v>
      </c>
      <c r="C294" s="50" t="s">
        <v>83</v>
      </c>
      <c r="D294" s="51">
        <v>0</v>
      </c>
      <c r="E294" s="53"/>
      <c r="F294" s="52"/>
      <c r="G294" s="52"/>
      <c r="H294" s="52"/>
      <c r="I294" s="53" t="s">
        <v>1457</v>
      </c>
      <c r="J294" s="52" t="s">
        <v>3332</v>
      </c>
      <c r="K294" s="25">
        <f>Tabelle5[[#This Row],[value_present]]*Tabelle5[[#This Row],[binding_level]]</f>
        <v>0</v>
      </c>
    </row>
    <row r="295" spans="1:11" x14ac:dyDescent="0.25">
      <c r="A295" s="24">
        <v>7</v>
      </c>
      <c r="B295" s="50">
        <v>38</v>
      </c>
      <c r="C295" s="50" t="s">
        <v>90</v>
      </c>
      <c r="D295" s="51">
        <v>0</v>
      </c>
      <c r="E295" s="53"/>
      <c r="F295" s="52"/>
      <c r="G295" s="52"/>
      <c r="H295" s="52"/>
      <c r="I295" s="53" t="s">
        <v>1458</v>
      </c>
      <c r="J295" s="52" t="s">
        <v>3333</v>
      </c>
      <c r="K295" s="25">
        <f>Tabelle5[[#This Row],[value_present]]*Tabelle5[[#This Row],[binding_level]]</f>
        <v>0</v>
      </c>
    </row>
    <row r="296" spans="1:11" x14ac:dyDescent="0.25">
      <c r="A296" s="24">
        <v>7</v>
      </c>
      <c r="B296" s="50">
        <v>38</v>
      </c>
      <c r="C296" s="50" t="s">
        <v>98</v>
      </c>
      <c r="D296" s="51">
        <v>0</v>
      </c>
      <c r="E296" s="53"/>
      <c r="F296" s="52"/>
      <c r="G296" s="52"/>
      <c r="H296" s="52"/>
      <c r="I296" s="53" t="s">
        <v>1458</v>
      </c>
      <c r="J296" s="52" t="s">
        <v>3334</v>
      </c>
      <c r="K296" s="25">
        <f>Tabelle5[[#This Row],[value_present]]*Tabelle5[[#This Row],[binding_level]]</f>
        <v>0</v>
      </c>
    </row>
    <row r="297" spans="1:11" x14ac:dyDescent="0.25">
      <c r="A297" s="24">
        <v>7</v>
      </c>
      <c r="B297" s="50">
        <v>38</v>
      </c>
      <c r="C297" s="50" t="s">
        <v>106</v>
      </c>
      <c r="D297" s="51">
        <v>0</v>
      </c>
      <c r="E297" s="53"/>
      <c r="F297" s="52"/>
      <c r="G297" s="52"/>
      <c r="H297" s="52"/>
      <c r="I297" s="53" t="s">
        <v>1458</v>
      </c>
      <c r="J297" s="52" t="s">
        <v>3335</v>
      </c>
      <c r="K297" s="25">
        <f>Tabelle5[[#This Row],[value_present]]*Tabelle5[[#This Row],[binding_level]]</f>
        <v>0</v>
      </c>
    </row>
    <row r="298" spans="1:11" x14ac:dyDescent="0.25">
      <c r="A298" s="24">
        <v>7</v>
      </c>
      <c r="B298" s="50">
        <v>38</v>
      </c>
      <c r="C298" s="50" t="s">
        <v>112</v>
      </c>
      <c r="D298" s="51">
        <v>0</v>
      </c>
      <c r="E298" s="53"/>
      <c r="F298" s="52"/>
      <c r="G298" s="52"/>
      <c r="H298" s="52"/>
      <c r="I298" s="53" t="s">
        <v>1458</v>
      </c>
      <c r="J298" s="52" t="s">
        <v>3336</v>
      </c>
      <c r="K298" s="25">
        <f>Tabelle5[[#This Row],[value_present]]*Tabelle5[[#This Row],[binding_level]]</f>
        <v>0</v>
      </c>
    </row>
    <row r="299" spans="1:11" x14ac:dyDescent="0.25">
      <c r="A299" s="24">
        <v>7</v>
      </c>
      <c r="B299" s="50">
        <v>38</v>
      </c>
      <c r="C299" s="50" t="s">
        <v>118</v>
      </c>
      <c r="D299" s="51">
        <v>0</v>
      </c>
      <c r="E299" s="53"/>
      <c r="F299" s="52"/>
      <c r="G299" s="52"/>
      <c r="H299" s="52"/>
      <c r="I299" s="53" t="s">
        <v>1457</v>
      </c>
      <c r="J299" s="52" t="s">
        <v>2161</v>
      </c>
      <c r="K299" s="25">
        <f>Tabelle5[[#This Row],[value_present]]*Tabelle5[[#This Row],[binding_level]]</f>
        <v>0</v>
      </c>
    </row>
    <row r="300" spans="1:11" x14ac:dyDescent="0.25">
      <c r="A300" s="24">
        <v>7</v>
      </c>
      <c r="B300" s="50">
        <v>38</v>
      </c>
      <c r="C300" s="50" t="s">
        <v>125</v>
      </c>
      <c r="D300" s="51">
        <v>0</v>
      </c>
      <c r="E300" s="53"/>
      <c r="F300" s="52"/>
      <c r="G300" s="52"/>
      <c r="H300" s="52"/>
      <c r="I300" s="53" t="s">
        <v>1458</v>
      </c>
      <c r="J300" s="52" t="s">
        <v>3337</v>
      </c>
      <c r="K300" s="25">
        <f>Tabelle5[[#This Row],[value_present]]*Tabelle5[[#This Row],[binding_level]]</f>
        <v>0</v>
      </c>
    </row>
    <row r="301" spans="1:11" x14ac:dyDescent="0.25">
      <c r="A301" s="24">
        <v>7</v>
      </c>
      <c r="B301" s="50">
        <v>38</v>
      </c>
      <c r="C301" s="50" t="s">
        <v>132</v>
      </c>
      <c r="D301" s="51">
        <v>0</v>
      </c>
      <c r="E301" s="53"/>
      <c r="F301" s="52"/>
      <c r="G301" s="52"/>
      <c r="H301" s="52"/>
      <c r="I301" s="53" t="s">
        <v>1457</v>
      </c>
      <c r="J301" s="52" t="s">
        <v>3338</v>
      </c>
      <c r="K301" s="25">
        <f>Tabelle5[[#This Row],[value_present]]*Tabelle5[[#This Row],[binding_level]]</f>
        <v>0</v>
      </c>
    </row>
    <row r="302" spans="1:11" x14ac:dyDescent="0.25">
      <c r="A302" s="24">
        <v>7</v>
      </c>
      <c r="B302" s="50">
        <v>38</v>
      </c>
      <c r="C302" s="50" t="s">
        <v>140</v>
      </c>
      <c r="D302" s="51">
        <v>0</v>
      </c>
      <c r="E302" s="53"/>
      <c r="F302" s="52"/>
      <c r="G302" s="52"/>
      <c r="H302" s="52"/>
      <c r="I302" s="53" t="s">
        <v>1458</v>
      </c>
      <c r="J302" s="52" t="s">
        <v>3339</v>
      </c>
      <c r="K302" s="25">
        <f>Tabelle5[[#This Row],[value_present]]*Tabelle5[[#This Row],[binding_level]]</f>
        <v>0</v>
      </c>
    </row>
    <row r="303" spans="1:11" x14ac:dyDescent="0.25">
      <c r="A303" s="24">
        <v>7</v>
      </c>
      <c r="B303" s="50">
        <v>38</v>
      </c>
      <c r="C303" s="50" t="s">
        <v>147</v>
      </c>
      <c r="D303" s="51">
        <v>0</v>
      </c>
      <c r="E303" s="53"/>
      <c r="F303" s="52"/>
      <c r="G303" s="52"/>
      <c r="H303" s="52"/>
      <c r="I303" s="53" t="s">
        <v>1458</v>
      </c>
      <c r="J303" s="52" t="s">
        <v>3340</v>
      </c>
      <c r="K303" s="25">
        <f>Tabelle5[[#This Row],[value_present]]*Tabelle5[[#This Row],[binding_level]]</f>
        <v>0</v>
      </c>
    </row>
    <row r="304" spans="1:11" x14ac:dyDescent="0.25">
      <c r="A304" s="24">
        <v>7</v>
      </c>
      <c r="B304" s="50">
        <v>38</v>
      </c>
      <c r="C304" s="50" t="s">
        <v>154</v>
      </c>
      <c r="D304" s="51">
        <v>0</v>
      </c>
      <c r="E304" s="53"/>
      <c r="F304" s="52"/>
      <c r="G304" s="52"/>
      <c r="H304" s="52"/>
      <c r="I304" s="53" t="s">
        <v>1457</v>
      </c>
      <c r="J304" s="52" t="s">
        <v>3341</v>
      </c>
      <c r="K304" s="25">
        <f>Tabelle5[[#This Row],[value_present]]*Tabelle5[[#This Row],[binding_level]]</f>
        <v>0</v>
      </c>
    </row>
    <row r="305" spans="1:11" x14ac:dyDescent="0.25">
      <c r="A305" s="24">
        <v>7</v>
      </c>
      <c r="B305" s="50">
        <v>38</v>
      </c>
      <c r="C305" s="50" t="s">
        <v>161</v>
      </c>
      <c r="D305" s="51">
        <v>0</v>
      </c>
      <c r="E305" s="53"/>
      <c r="F305" s="52"/>
      <c r="G305" s="52"/>
      <c r="H305" s="52"/>
      <c r="I305" s="53" t="s">
        <v>1458</v>
      </c>
      <c r="J305" s="52" t="s">
        <v>3342</v>
      </c>
      <c r="K305" s="25">
        <f>Tabelle5[[#This Row],[value_present]]*Tabelle5[[#This Row],[binding_level]]</f>
        <v>0</v>
      </c>
    </row>
    <row r="306" spans="1:11" x14ac:dyDescent="0.25">
      <c r="A306" s="24">
        <v>7</v>
      </c>
      <c r="B306" s="50">
        <v>38</v>
      </c>
      <c r="C306" s="50" t="s">
        <v>166</v>
      </c>
      <c r="D306" s="51">
        <v>0</v>
      </c>
      <c r="E306" s="53"/>
      <c r="F306" s="52"/>
      <c r="G306" s="52"/>
      <c r="H306" s="52"/>
      <c r="I306" s="53" t="s">
        <v>1457</v>
      </c>
      <c r="J306" s="52" t="s">
        <v>3343</v>
      </c>
      <c r="K306" s="25">
        <f>Tabelle5[[#This Row],[value_present]]*Tabelle5[[#This Row],[binding_level]]</f>
        <v>0</v>
      </c>
    </row>
    <row r="307" spans="1:11" ht="15.75" thickBot="1" x14ac:dyDescent="0.3">
      <c r="A307" s="26">
        <v>7</v>
      </c>
      <c r="B307" s="27">
        <v>38</v>
      </c>
      <c r="C307" s="27" t="s">
        <v>174</v>
      </c>
      <c r="D307" s="28">
        <v>0</v>
      </c>
      <c r="E307" s="29"/>
      <c r="F307" s="30"/>
      <c r="G307" s="30"/>
      <c r="H307" s="30"/>
      <c r="I307" s="29" t="s">
        <v>1457</v>
      </c>
      <c r="J307" s="30" t="s">
        <v>3344</v>
      </c>
      <c r="K307" s="31">
        <f>Tabelle5[[#This Row],[value_present]]*Tabelle5[[#This Row],[binding_level]]</f>
        <v>0</v>
      </c>
    </row>
    <row r="308" spans="1:11" x14ac:dyDescent="0.25">
      <c r="A308" s="18">
        <v>9</v>
      </c>
      <c r="B308" s="19">
        <v>46</v>
      </c>
      <c r="C308" s="19" t="s">
        <v>53</v>
      </c>
      <c r="D308" s="20">
        <v>1</v>
      </c>
      <c r="E308" s="21">
        <v>3</v>
      </c>
      <c r="F308" s="52" t="s">
        <v>3390</v>
      </c>
      <c r="G308" s="22" t="s">
        <v>3389</v>
      </c>
      <c r="H308" s="22" t="s">
        <v>3194</v>
      </c>
      <c r="I308" s="21" t="s">
        <v>1457</v>
      </c>
      <c r="J308" s="22" t="s">
        <v>3372</v>
      </c>
      <c r="K308" s="23">
        <f>Tabelle5[[#This Row],[value_present]]*Tabelle5[[#This Row],[binding_level]]</f>
        <v>3</v>
      </c>
    </row>
    <row r="309" spans="1:11" x14ac:dyDescent="0.25">
      <c r="A309" s="24">
        <v>9</v>
      </c>
      <c r="B309" s="50">
        <v>46</v>
      </c>
      <c r="C309" s="50" t="s">
        <v>61</v>
      </c>
      <c r="D309" s="51">
        <v>0</v>
      </c>
      <c r="E309" s="53"/>
      <c r="G309" s="52"/>
      <c r="H309" s="52"/>
      <c r="I309" s="53" t="s">
        <v>1458</v>
      </c>
      <c r="J309" s="52" t="s">
        <v>3373</v>
      </c>
      <c r="K309" s="25">
        <f>Tabelle5[[#This Row],[value_present]]*Tabelle5[[#This Row],[binding_level]]</f>
        <v>0</v>
      </c>
    </row>
    <row r="310" spans="1:11" x14ac:dyDescent="0.25">
      <c r="A310" s="24">
        <v>9</v>
      </c>
      <c r="B310" s="50">
        <v>46</v>
      </c>
      <c r="C310" s="50" t="s">
        <v>69</v>
      </c>
      <c r="D310" s="51">
        <v>1</v>
      </c>
      <c r="E310" s="53">
        <v>3</v>
      </c>
      <c r="F310" s="52" t="s">
        <v>3392</v>
      </c>
      <c r="G310" s="52" t="s">
        <v>3391</v>
      </c>
      <c r="H310" s="52" t="s">
        <v>2699</v>
      </c>
      <c r="I310" s="53" t="s">
        <v>1457</v>
      </c>
      <c r="J310" s="52" t="s">
        <v>3374</v>
      </c>
      <c r="K310" s="25">
        <f>Tabelle5[[#This Row],[value_present]]*Tabelle5[[#This Row],[binding_level]]</f>
        <v>3</v>
      </c>
    </row>
    <row r="311" spans="1:11" x14ac:dyDescent="0.25">
      <c r="A311" s="24">
        <v>9</v>
      </c>
      <c r="B311" s="50">
        <v>46</v>
      </c>
      <c r="C311" s="50" t="s">
        <v>76</v>
      </c>
      <c r="D311" s="51">
        <v>1</v>
      </c>
      <c r="E311" s="53">
        <v>2</v>
      </c>
      <c r="F311" s="52" t="s">
        <v>3394</v>
      </c>
      <c r="G311" t="s">
        <v>3393</v>
      </c>
      <c r="H311" s="52" t="s">
        <v>2603</v>
      </c>
      <c r="I311" s="53" t="s">
        <v>1457</v>
      </c>
      <c r="J311" s="52" t="s">
        <v>3375</v>
      </c>
      <c r="K311" s="25">
        <f>Tabelle5[[#This Row],[value_present]]*Tabelle5[[#This Row],[binding_level]]</f>
        <v>2</v>
      </c>
    </row>
    <row r="312" spans="1:11" x14ac:dyDescent="0.25">
      <c r="A312" s="24">
        <v>9</v>
      </c>
      <c r="B312" s="50">
        <v>46</v>
      </c>
      <c r="C312" s="50" t="s">
        <v>83</v>
      </c>
      <c r="D312" s="51">
        <v>1</v>
      </c>
      <c r="E312" s="53">
        <v>2</v>
      </c>
      <c r="F312" s="52" t="s">
        <v>3396</v>
      </c>
      <c r="G312" t="s">
        <v>3395</v>
      </c>
      <c r="H312" s="52" t="s">
        <v>3194</v>
      </c>
      <c r="I312" s="53" t="s">
        <v>1457</v>
      </c>
      <c r="J312" s="52" t="s">
        <v>3376</v>
      </c>
      <c r="K312" s="25">
        <f>Tabelle5[[#This Row],[value_present]]*Tabelle5[[#This Row],[binding_level]]</f>
        <v>2</v>
      </c>
    </row>
    <row r="313" spans="1:11" x14ac:dyDescent="0.25">
      <c r="A313" s="24">
        <v>9</v>
      </c>
      <c r="B313" s="50">
        <v>46</v>
      </c>
      <c r="C313" s="50" t="s">
        <v>90</v>
      </c>
      <c r="D313" s="51">
        <v>1</v>
      </c>
      <c r="E313" s="53">
        <v>2</v>
      </c>
      <c r="F313" t="s">
        <v>3398</v>
      </c>
      <c r="G313" t="s">
        <v>3397</v>
      </c>
      <c r="H313" s="52" t="s">
        <v>2699</v>
      </c>
      <c r="I313" s="53" t="s">
        <v>1457</v>
      </c>
      <c r="J313" s="52" t="s">
        <v>3377</v>
      </c>
      <c r="K313" s="25">
        <f>Tabelle5[[#This Row],[value_present]]*Tabelle5[[#This Row],[binding_level]]</f>
        <v>2</v>
      </c>
    </row>
    <row r="314" spans="1:11" x14ac:dyDescent="0.25">
      <c r="A314" s="24">
        <v>9</v>
      </c>
      <c r="B314" s="50">
        <v>46</v>
      </c>
      <c r="C314" s="50" t="s">
        <v>98</v>
      </c>
      <c r="D314" s="51">
        <v>1</v>
      </c>
      <c r="E314" s="53">
        <v>2</v>
      </c>
      <c r="F314" t="s">
        <v>3400</v>
      </c>
      <c r="G314" t="s">
        <v>3399</v>
      </c>
      <c r="H314" s="52" t="s">
        <v>3194</v>
      </c>
      <c r="I314" s="53" t="s">
        <v>1457</v>
      </c>
      <c r="J314" s="52" t="s">
        <v>3378</v>
      </c>
      <c r="K314" s="25">
        <f>Tabelle5[[#This Row],[value_present]]*Tabelle5[[#This Row],[binding_level]]</f>
        <v>2</v>
      </c>
    </row>
    <row r="315" spans="1:11" x14ac:dyDescent="0.25">
      <c r="A315" s="24">
        <v>9</v>
      </c>
      <c r="B315" s="50">
        <v>46</v>
      </c>
      <c r="C315" s="50" t="s">
        <v>106</v>
      </c>
      <c r="D315" s="51">
        <v>1</v>
      </c>
      <c r="E315" s="53">
        <v>2</v>
      </c>
      <c r="F315" t="s">
        <v>3402</v>
      </c>
      <c r="G315" t="s">
        <v>3401</v>
      </c>
      <c r="H315" s="52" t="s">
        <v>2699</v>
      </c>
      <c r="I315" s="53" t="s">
        <v>1457</v>
      </c>
      <c r="J315" s="52" t="s">
        <v>3379</v>
      </c>
      <c r="K315" s="25">
        <f>Tabelle5[[#This Row],[value_present]]*Tabelle5[[#This Row],[binding_level]]</f>
        <v>2</v>
      </c>
    </row>
    <row r="316" spans="1:11" x14ac:dyDescent="0.25">
      <c r="A316" s="24">
        <v>9</v>
      </c>
      <c r="B316" s="50">
        <v>46</v>
      </c>
      <c r="C316" s="50" t="s">
        <v>112</v>
      </c>
      <c r="D316" s="51">
        <v>1</v>
      </c>
      <c r="E316" s="53">
        <v>2</v>
      </c>
      <c r="F316" t="s">
        <v>3404</v>
      </c>
      <c r="G316" t="s">
        <v>3403</v>
      </c>
      <c r="H316" s="52" t="s">
        <v>3194</v>
      </c>
      <c r="I316" s="53" t="s">
        <v>1458</v>
      </c>
      <c r="J316" s="52" t="s">
        <v>3380</v>
      </c>
      <c r="K316" s="25">
        <f>Tabelle5[[#This Row],[value_present]]*Tabelle5[[#This Row],[binding_level]]</f>
        <v>2</v>
      </c>
    </row>
    <row r="317" spans="1:11" x14ac:dyDescent="0.25">
      <c r="A317" s="24">
        <v>9</v>
      </c>
      <c r="B317" s="50">
        <v>46</v>
      </c>
      <c r="C317" s="50" t="s">
        <v>118</v>
      </c>
      <c r="D317" s="51">
        <v>0</v>
      </c>
      <c r="E317" s="53"/>
      <c r="F317" s="52"/>
      <c r="G317" s="52"/>
      <c r="H317" s="52"/>
      <c r="I317" s="53" t="s">
        <v>1457</v>
      </c>
      <c r="J317" s="52" t="s">
        <v>3381</v>
      </c>
      <c r="K317" s="25">
        <f>Tabelle5[[#This Row],[value_present]]*Tabelle5[[#This Row],[binding_level]]</f>
        <v>0</v>
      </c>
    </row>
    <row r="318" spans="1:11" x14ac:dyDescent="0.25">
      <c r="A318" s="24">
        <v>9</v>
      </c>
      <c r="B318" s="50">
        <v>46</v>
      </c>
      <c r="C318" s="50" t="s">
        <v>125</v>
      </c>
      <c r="D318" s="51">
        <v>0</v>
      </c>
      <c r="E318" s="53"/>
      <c r="F318" s="52"/>
      <c r="G318" s="52"/>
      <c r="H318" s="52"/>
      <c r="I318" s="53" t="s">
        <v>1457</v>
      </c>
      <c r="J318" s="52" t="s">
        <v>3382</v>
      </c>
      <c r="K318" s="25">
        <f>Tabelle5[[#This Row],[value_present]]*Tabelle5[[#This Row],[binding_level]]</f>
        <v>0</v>
      </c>
    </row>
    <row r="319" spans="1:11" x14ac:dyDescent="0.25">
      <c r="A319" s="24">
        <v>9</v>
      </c>
      <c r="B319" s="50">
        <v>46</v>
      </c>
      <c r="C319" s="50" t="s">
        <v>132</v>
      </c>
      <c r="D319" s="51">
        <v>0</v>
      </c>
      <c r="E319" s="53"/>
      <c r="F319" s="52"/>
      <c r="G319" s="52"/>
      <c r="H319" s="52"/>
      <c r="I319" s="53" t="s">
        <v>1457</v>
      </c>
      <c r="J319" s="52" t="s">
        <v>3056</v>
      </c>
      <c r="K319" s="25">
        <f>Tabelle5[[#This Row],[value_present]]*Tabelle5[[#This Row],[binding_level]]</f>
        <v>0</v>
      </c>
    </row>
    <row r="320" spans="1:11" x14ac:dyDescent="0.25">
      <c r="A320" s="24">
        <v>9</v>
      </c>
      <c r="B320" s="50">
        <v>46</v>
      </c>
      <c r="C320" s="50" t="s">
        <v>140</v>
      </c>
      <c r="D320" s="51">
        <v>0</v>
      </c>
      <c r="E320" s="53"/>
      <c r="F320" s="52"/>
      <c r="G320" s="52"/>
      <c r="H320" s="52"/>
      <c r="I320" s="53" t="s">
        <v>1458</v>
      </c>
      <c r="J320" s="52" t="s">
        <v>3383</v>
      </c>
      <c r="K320" s="25">
        <f>Tabelle5[[#This Row],[value_present]]*Tabelle5[[#This Row],[binding_level]]</f>
        <v>0</v>
      </c>
    </row>
    <row r="321" spans="1:11" x14ac:dyDescent="0.25">
      <c r="A321" s="24">
        <v>9</v>
      </c>
      <c r="B321" s="50">
        <v>46</v>
      </c>
      <c r="C321" s="50" t="s">
        <v>147</v>
      </c>
      <c r="D321" s="51">
        <v>1</v>
      </c>
      <c r="E321" s="53">
        <v>2</v>
      </c>
      <c r="F321" t="s">
        <v>3406</v>
      </c>
      <c r="G321" t="s">
        <v>3405</v>
      </c>
      <c r="H321" s="52" t="s">
        <v>3294</v>
      </c>
      <c r="I321" s="53" t="s">
        <v>1457</v>
      </c>
      <c r="J321" s="52" t="s">
        <v>3384</v>
      </c>
      <c r="K321" s="25">
        <f>Tabelle5[[#This Row],[value_present]]*Tabelle5[[#This Row],[binding_level]]</f>
        <v>2</v>
      </c>
    </row>
    <row r="322" spans="1:11" x14ac:dyDescent="0.25">
      <c r="A322" s="24">
        <v>9</v>
      </c>
      <c r="B322" s="50">
        <v>46</v>
      </c>
      <c r="C322" s="50" t="s">
        <v>154</v>
      </c>
      <c r="D322" s="51">
        <v>1</v>
      </c>
      <c r="E322" s="53">
        <v>2</v>
      </c>
      <c r="F322" t="s">
        <v>3408</v>
      </c>
      <c r="G322" t="s">
        <v>3407</v>
      </c>
      <c r="H322" s="52" t="s">
        <v>3194</v>
      </c>
      <c r="I322" s="53" t="s">
        <v>1457</v>
      </c>
      <c r="J322" s="52" t="s">
        <v>3385</v>
      </c>
      <c r="K322" s="25">
        <f>Tabelle5[[#This Row],[value_present]]*Tabelle5[[#This Row],[binding_level]]</f>
        <v>2</v>
      </c>
    </row>
    <row r="323" spans="1:11" x14ac:dyDescent="0.25">
      <c r="A323" s="24">
        <v>9</v>
      </c>
      <c r="B323" s="50">
        <v>46</v>
      </c>
      <c r="C323" s="50" t="s">
        <v>161</v>
      </c>
      <c r="D323" s="51">
        <v>0</v>
      </c>
      <c r="E323" s="53"/>
      <c r="F323" s="52"/>
      <c r="G323" s="52"/>
      <c r="H323" s="52"/>
      <c r="I323" s="53" t="s">
        <v>1458</v>
      </c>
      <c r="J323" s="52" t="s">
        <v>3386</v>
      </c>
      <c r="K323" s="25">
        <f>Tabelle5[[#This Row],[value_present]]*Tabelle5[[#This Row],[binding_level]]</f>
        <v>0</v>
      </c>
    </row>
    <row r="324" spans="1:11" x14ac:dyDescent="0.25">
      <c r="A324" s="24">
        <v>9</v>
      </c>
      <c r="B324" s="50">
        <v>46</v>
      </c>
      <c r="C324" s="50" t="s">
        <v>166</v>
      </c>
      <c r="D324" s="51">
        <v>1</v>
      </c>
      <c r="E324" s="53">
        <v>1</v>
      </c>
      <c r="F324" t="s">
        <v>3410</v>
      </c>
      <c r="G324" t="s">
        <v>3409</v>
      </c>
      <c r="H324" s="52" t="s">
        <v>1388</v>
      </c>
      <c r="I324" s="53" t="s">
        <v>1458</v>
      </c>
      <c r="J324" s="52" t="s">
        <v>3387</v>
      </c>
      <c r="K324" s="25">
        <f>Tabelle5[[#This Row],[value_present]]*Tabelle5[[#This Row],[binding_level]]</f>
        <v>1</v>
      </c>
    </row>
    <row r="325" spans="1:11" ht="15.75" thickBot="1" x14ac:dyDescent="0.3">
      <c r="A325" s="24">
        <v>9</v>
      </c>
      <c r="B325" s="50">
        <v>46</v>
      </c>
      <c r="C325" s="50" t="s">
        <v>174</v>
      </c>
      <c r="D325" s="51">
        <v>1</v>
      </c>
      <c r="E325" s="53">
        <v>2</v>
      </c>
      <c r="F325" t="s">
        <v>3412</v>
      </c>
      <c r="G325" s="52" t="s">
        <v>3411</v>
      </c>
      <c r="H325" s="52" t="s">
        <v>3294</v>
      </c>
      <c r="I325" s="53" t="s">
        <v>1457</v>
      </c>
      <c r="J325" s="52" t="s">
        <v>3388</v>
      </c>
      <c r="K325" s="25">
        <f>Tabelle5[[#This Row],[value_present]]*Tabelle5[[#This Row],[binding_level]]</f>
        <v>2</v>
      </c>
    </row>
    <row r="326" spans="1:11" x14ac:dyDescent="0.25">
      <c r="A326" s="18">
        <v>9</v>
      </c>
      <c r="B326" s="19">
        <v>48</v>
      </c>
      <c r="C326" s="19" t="s">
        <v>53</v>
      </c>
      <c r="D326" s="20">
        <v>1</v>
      </c>
      <c r="E326" s="21">
        <v>1</v>
      </c>
      <c r="F326" t="s">
        <v>3460</v>
      </c>
      <c r="G326" t="s">
        <v>3459</v>
      </c>
      <c r="H326" s="22" t="s">
        <v>3257</v>
      </c>
      <c r="I326" s="21" t="s">
        <v>1458</v>
      </c>
      <c r="J326" s="22" t="s">
        <v>3441</v>
      </c>
      <c r="K326" s="23">
        <f>Tabelle5[[#This Row],[value_present]]*Tabelle5[[#This Row],[binding_level]]</f>
        <v>1</v>
      </c>
    </row>
    <row r="327" spans="1:11" x14ac:dyDescent="0.25">
      <c r="A327" s="24">
        <v>9</v>
      </c>
      <c r="B327" s="50">
        <v>48</v>
      </c>
      <c r="C327" s="50" t="s">
        <v>61</v>
      </c>
      <c r="D327" s="51">
        <v>1</v>
      </c>
      <c r="E327" s="53">
        <v>2</v>
      </c>
      <c r="F327" t="s">
        <v>3462</v>
      </c>
      <c r="G327" t="s">
        <v>3461</v>
      </c>
      <c r="H327" s="52" t="s">
        <v>1405</v>
      </c>
      <c r="I327" s="53" t="s">
        <v>1457</v>
      </c>
      <c r="J327" s="52" t="s">
        <v>3442</v>
      </c>
      <c r="K327" s="25">
        <f>Tabelle5[[#This Row],[value_present]]*Tabelle5[[#This Row],[binding_level]]</f>
        <v>2</v>
      </c>
    </row>
    <row r="328" spans="1:11" x14ac:dyDescent="0.25">
      <c r="A328" s="24">
        <v>9</v>
      </c>
      <c r="B328" s="50">
        <v>48</v>
      </c>
      <c r="C328" s="50" t="s">
        <v>69</v>
      </c>
      <c r="D328" s="51">
        <v>1</v>
      </c>
      <c r="E328" s="53">
        <v>1</v>
      </c>
      <c r="F328" t="s">
        <v>3464</v>
      </c>
      <c r="G328" t="s">
        <v>3463</v>
      </c>
      <c r="H328" s="52" t="s">
        <v>1388</v>
      </c>
      <c r="I328" s="53" t="s">
        <v>1457</v>
      </c>
      <c r="J328" s="52" t="s">
        <v>3443</v>
      </c>
      <c r="K328" s="25">
        <f>Tabelle5[[#This Row],[value_present]]*Tabelle5[[#This Row],[binding_level]]</f>
        <v>1</v>
      </c>
    </row>
    <row r="329" spans="1:11" x14ac:dyDescent="0.25">
      <c r="A329" s="24">
        <v>9</v>
      </c>
      <c r="B329" s="50">
        <v>48</v>
      </c>
      <c r="C329" s="50" t="s">
        <v>76</v>
      </c>
      <c r="D329" s="51">
        <v>1</v>
      </c>
      <c r="E329" s="53">
        <v>1</v>
      </c>
      <c r="F329" t="s">
        <v>3466</v>
      </c>
      <c r="G329" t="s">
        <v>3465</v>
      </c>
      <c r="H329" s="52" t="s">
        <v>3444</v>
      </c>
      <c r="I329" s="53" t="s">
        <v>1457</v>
      </c>
      <c r="J329" s="52" t="s">
        <v>3445</v>
      </c>
      <c r="K329" s="25">
        <f>Tabelle5[[#This Row],[value_present]]*Tabelle5[[#This Row],[binding_level]]</f>
        <v>1</v>
      </c>
    </row>
    <row r="330" spans="1:11" x14ac:dyDescent="0.25">
      <c r="A330" s="24">
        <v>9</v>
      </c>
      <c r="B330" s="50">
        <v>48</v>
      </c>
      <c r="C330" s="50" t="s">
        <v>83</v>
      </c>
      <c r="D330" s="51">
        <v>1</v>
      </c>
      <c r="E330" s="53">
        <v>2</v>
      </c>
      <c r="F330" t="s">
        <v>3467</v>
      </c>
      <c r="G330" t="s">
        <v>3468</v>
      </c>
      <c r="H330" s="52" t="s">
        <v>3444</v>
      </c>
      <c r="I330" s="53" t="s">
        <v>1457</v>
      </c>
      <c r="J330" s="52" t="s">
        <v>3446</v>
      </c>
      <c r="K330" s="25">
        <f>Tabelle5[[#This Row],[value_present]]*Tabelle5[[#This Row],[binding_level]]</f>
        <v>2</v>
      </c>
    </row>
    <row r="331" spans="1:11" x14ac:dyDescent="0.25">
      <c r="A331" s="24">
        <v>9</v>
      </c>
      <c r="B331" s="50">
        <v>48</v>
      </c>
      <c r="C331" s="50" t="s">
        <v>90</v>
      </c>
      <c r="D331" s="51">
        <v>1</v>
      </c>
      <c r="E331" s="53">
        <v>1</v>
      </c>
      <c r="F331" t="s">
        <v>3469</v>
      </c>
      <c r="G331" t="s">
        <v>3470</v>
      </c>
      <c r="H331" s="52" t="s">
        <v>1405</v>
      </c>
      <c r="I331" s="53" t="s">
        <v>1458</v>
      </c>
      <c r="J331" s="52" t="s">
        <v>3447</v>
      </c>
      <c r="K331" s="25">
        <f>Tabelle5[[#This Row],[value_present]]*Tabelle5[[#This Row],[binding_level]]</f>
        <v>1</v>
      </c>
    </row>
    <row r="332" spans="1:11" x14ac:dyDescent="0.25">
      <c r="A332" s="24">
        <v>9</v>
      </c>
      <c r="B332" s="50">
        <v>48</v>
      </c>
      <c r="C332" s="50" t="s">
        <v>98</v>
      </c>
      <c r="D332" s="51">
        <v>1</v>
      </c>
      <c r="E332" s="53">
        <v>1</v>
      </c>
      <c r="F332" t="s">
        <v>3471</v>
      </c>
      <c r="G332" t="s">
        <v>3472</v>
      </c>
      <c r="H332" s="52" t="s">
        <v>1388</v>
      </c>
      <c r="I332" s="53" t="s">
        <v>1458</v>
      </c>
      <c r="J332" s="52" t="s">
        <v>3448</v>
      </c>
      <c r="K332" s="25">
        <f>Tabelle5[[#This Row],[value_present]]*Tabelle5[[#This Row],[binding_level]]</f>
        <v>1</v>
      </c>
    </row>
    <row r="333" spans="1:11" x14ac:dyDescent="0.25">
      <c r="A333" s="24">
        <v>9</v>
      </c>
      <c r="B333" s="50">
        <v>48</v>
      </c>
      <c r="C333" s="50" t="s">
        <v>106</v>
      </c>
      <c r="D333" s="51">
        <v>0</v>
      </c>
      <c r="E333" s="53"/>
      <c r="F333" s="52"/>
      <c r="G333" s="52"/>
      <c r="H333" s="52"/>
      <c r="I333" s="53" t="s">
        <v>1458</v>
      </c>
      <c r="J333" s="52" t="s">
        <v>3449</v>
      </c>
      <c r="K333" s="25">
        <f>Tabelle5[[#This Row],[value_present]]*Tabelle5[[#This Row],[binding_level]]</f>
        <v>0</v>
      </c>
    </row>
    <row r="334" spans="1:11" x14ac:dyDescent="0.25">
      <c r="A334" s="24">
        <v>9</v>
      </c>
      <c r="B334" s="50">
        <v>48</v>
      </c>
      <c r="C334" s="50" t="s">
        <v>112</v>
      </c>
      <c r="D334" s="51">
        <v>1</v>
      </c>
      <c r="E334" s="53">
        <v>1</v>
      </c>
      <c r="F334" t="s">
        <v>3473</v>
      </c>
      <c r="G334" t="s">
        <v>3474</v>
      </c>
      <c r="H334" s="52" t="s">
        <v>1388</v>
      </c>
      <c r="I334" s="53" t="s">
        <v>1457</v>
      </c>
      <c r="J334" s="52" t="s">
        <v>3450</v>
      </c>
      <c r="K334" s="25">
        <f>Tabelle5[[#This Row],[value_present]]*Tabelle5[[#This Row],[binding_level]]</f>
        <v>1</v>
      </c>
    </row>
    <row r="335" spans="1:11" x14ac:dyDescent="0.25">
      <c r="A335" s="24">
        <v>9</v>
      </c>
      <c r="B335" s="50">
        <v>48</v>
      </c>
      <c r="C335" s="50" t="s">
        <v>118</v>
      </c>
      <c r="D335" s="51">
        <v>0</v>
      </c>
      <c r="E335" s="53"/>
      <c r="F335" s="52"/>
      <c r="G335" s="52"/>
      <c r="H335" s="52"/>
      <c r="I335" s="53" t="s">
        <v>1457</v>
      </c>
      <c r="J335" s="52" t="s">
        <v>2909</v>
      </c>
      <c r="K335" s="25">
        <f>Tabelle5[[#This Row],[value_present]]*Tabelle5[[#This Row],[binding_level]]</f>
        <v>0</v>
      </c>
    </row>
    <row r="336" spans="1:11" x14ac:dyDescent="0.25">
      <c r="A336" s="24">
        <v>9</v>
      </c>
      <c r="B336" s="50">
        <v>48</v>
      </c>
      <c r="C336" s="50" t="s">
        <v>125</v>
      </c>
      <c r="D336" s="51">
        <v>0</v>
      </c>
      <c r="E336" s="53"/>
      <c r="F336" s="52"/>
      <c r="G336" s="52"/>
      <c r="H336" s="52"/>
      <c r="I336" s="53" t="s">
        <v>1457</v>
      </c>
      <c r="J336" s="52" t="s">
        <v>3451</v>
      </c>
      <c r="K336" s="25">
        <f>Tabelle5[[#This Row],[value_present]]*Tabelle5[[#This Row],[binding_level]]</f>
        <v>0</v>
      </c>
    </row>
    <row r="337" spans="1:11" x14ac:dyDescent="0.25">
      <c r="A337" s="24">
        <v>9</v>
      </c>
      <c r="B337" s="50">
        <v>48</v>
      </c>
      <c r="C337" s="50" t="s">
        <v>132</v>
      </c>
      <c r="D337" s="51">
        <v>0</v>
      </c>
      <c r="E337" s="53"/>
      <c r="F337" s="52"/>
      <c r="G337" s="52"/>
      <c r="H337" s="52"/>
      <c r="I337" s="53" t="s">
        <v>1457</v>
      </c>
      <c r="J337" s="52" t="s">
        <v>3452</v>
      </c>
      <c r="K337" s="25">
        <f>Tabelle5[[#This Row],[value_present]]*Tabelle5[[#This Row],[binding_level]]</f>
        <v>0</v>
      </c>
    </row>
    <row r="338" spans="1:11" x14ac:dyDescent="0.25">
      <c r="A338" s="24">
        <v>9</v>
      </c>
      <c r="B338" s="50">
        <v>48</v>
      </c>
      <c r="C338" s="50" t="s">
        <v>140</v>
      </c>
      <c r="D338" s="51">
        <v>0</v>
      </c>
      <c r="E338" s="53"/>
      <c r="F338" s="52"/>
      <c r="G338" s="52"/>
      <c r="H338" s="52"/>
      <c r="I338" s="53" t="s">
        <v>1458</v>
      </c>
      <c r="J338" s="52" t="s">
        <v>3453</v>
      </c>
      <c r="K338" s="25">
        <f>Tabelle5[[#This Row],[value_present]]*Tabelle5[[#This Row],[binding_level]]</f>
        <v>0</v>
      </c>
    </row>
    <row r="339" spans="1:11" x14ac:dyDescent="0.25">
      <c r="A339" s="24">
        <v>9</v>
      </c>
      <c r="B339" s="50">
        <v>48</v>
      </c>
      <c r="C339" s="50" t="s">
        <v>147</v>
      </c>
      <c r="D339" s="51">
        <v>1</v>
      </c>
      <c r="E339" s="53">
        <v>2</v>
      </c>
      <c r="F339" t="s">
        <v>3475</v>
      </c>
      <c r="G339" t="s">
        <v>3476</v>
      </c>
      <c r="H339" s="52" t="s">
        <v>2834</v>
      </c>
      <c r="I339" s="53" t="s">
        <v>1457</v>
      </c>
      <c r="J339" s="52" t="s">
        <v>3454</v>
      </c>
      <c r="K339" s="25">
        <f>Tabelle5[[#This Row],[value_present]]*Tabelle5[[#This Row],[binding_level]]</f>
        <v>2</v>
      </c>
    </row>
    <row r="340" spans="1:11" x14ac:dyDescent="0.25">
      <c r="A340" s="24">
        <v>9</v>
      </c>
      <c r="B340" s="50">
        <v>48</v>
      </c>
      <c r="C340" s="50" t="s">
        <v>154</v>
      </c>
      <c r="D340" s="51">
        <v>1</v>
      </c>
      <c r="E340" s="53">
        <v>1</v>
      </c>
      <c r="F340" t="s">
        <v>3477</v>
      </c>
      <c r="G340" t="s">
        <v>3478</v>
      </c>
      <c r="H340" s="52" t="s">
        <v>3194</v>
      </c>
      <c r="I340" s="53" t="s">
        <v>1458</v>
      </c>
      <c r="J340" s="52" t="s">
        <v>3455</v>
      </c>
      <c r="K340" s="25">
        <f>Tabelle5[[#This Row],[value_present]]*Tabelle5[[#This Row],[binding_level]]</f>
        <v>1</v>
      </c>
    </row>
    <row r="341" spans="1:11" x14ac:dyDescent="0.25">
      <c r="A341" s="24">
        <v>9</v>
      </c>
      <c r="B341" s="50">
        <v>48</v>
      </c>
      <c r="C341" s="50" t="s">
        <v>161</v>
      </c>
      <c r="D341" s="51">
        <v>1</v>
      </c>
      <c r="E341" s="53">
        <v>1</v>
      </c>
      <c r="F341" t="s">
        <v>3479</v>
      </c>
      <c r="G341" t="s">
        <v>3480</v>
      </c>
      <c r="H341" s="52" t="s">
        <v>1388</v>
      </c>
      <c r="I341" s="53" t="s">
        <v>1457</v>
      </c>
      <c r="J341" s="52" t="s">
        <v>3456</v>
      </c>
      <c r="K341" s="25">
        <f>Tabelle5[[#This Row],[value_present]]*Tabelle5[[#This Row],[binding_level]]</f>
        <v>1</v>
      </c>
    </row>
    <row r="342" spans="1:11" x14ac:dyDescent="0.25">
      <c r="A342" s="24">
        <v>9</v>
      </c>
      <c r="B342" s="50">
        <v>48</v>
      </c>
      <c r="C342" s="50" t="s">
        <v>166</v>
      </c>
      <c r="D342" s="51">
        <v>1</v>
      </c>
      <c r="E342" s="53">
        <v>1</v>
      </c>
      <c r="F342" t="s">
        <v>3481</v>
      </c>
      <c r="G342" t="s">
        <v>3482</v>
      </c>
      <c r="H342" s="52" t="s">
        <v>3444</v>
      </c>
      <c r="I342" s="53" t="s">
        <v>1457</v>
      </c>
      <c r="J342" s="52" t="s">
        <v>3457</v>
      </c>
      <c r="K342" s="25">
        <f>Tabelle5[[#This Row],[value_present]]*Tabelle5[[#This Row],[binding_level]]</f>
        <v>1</v>
      </c>
    </row>
    <row r="343" spans="1:11" ht="15.75" thickBot="1" x14ac:dyDescent="0.3">
      <c r="A343" s="24">
        <v>9</v>
      </c>
      <c r="B343" s="50">
        <v>48</v>
      </c>
      <c r="C343" s="50" t="s">
        <v>174</v>
      </c>
      <c r="D343" s="51">
        <v>1</v>
      </c>
      <c r="E343" s="53">
        <v>1</v>
      </c>
      <c r="F343" t="s">
        <v>3483</v>
      </c>
      <c r="G343" t="s">
        <v>3484</v>
      </c>
      <c r="H343" s="52" t="s">
        <v>1388</v>
      </c>
      <c r="I343" s="53" t="s">
        <v>1458</v>
      </c>
      <c r="J343" s="52" t="s">
        <v>3458</v>
      </c>
      <c r="K343" s="25">
        <f>Tabelle5[[#This Row],[value_present]]*Tabelle5[[#This Row],[binding_level]]</f>
        <v>1</v>
      </c>
    </row>
    <row r="344" spans="1:11" x14ac:dyDescent="0.25">
      <c r="A344" s="18">
        <v>10</v>
      </c>
      <c r="B344" s="19">
        <v>52</v>
      </c>
      <c r="C344" s="19" t="s">
        <v>53</v>
      </c>
      <c r="D344" s="20">
        <v>0</v>
      </c>
      <c r="E344" s="21"/>
      <c r="F344" s="22"/>
      <c r="G344" s="22"/>
      <c r="H344" s="22"/>
      <c r="I344" s="21" t="s">
        <v>1457</v>
      </c>
      <c r="J344" s="22" t="s">
        <v>3514</v>
      </c>
      <c r="K344" s="23">
        <f>Tabelle5[[#This Row],[value_present]]*Tabelle5[[#This Row],[binding_level]]</f>
        <v>0</v>
      </c>
    </row>
    <row r="345" spans="1:11" x14ac:dyDescent="0.25">
      <c r="A345" s="24">
        <v>10</v>
      </c>
      <c r="B345" s="50">
        <v>52</v>
      </c>
      <c r="C345" s="50" t="s">
        <v>61</v>
      </c>
      <c r="D345" s="51">
        <v>0</v>
      </c>
      <c r="E345" s="53"/>
      <c r="F345" s="52"/>
      <c r="G345" s="52"/>
      <c r="H345" s="52"/>
      <c r="I345" s="53" t="s">
        <v>1458</v>
      </c>
      <c r="J345" s="52" t="s">
        <v>3515</v>
      </c>
      <c r="K345" s="25">
        <f>Tabelle5[[#This Row],[value_present]]*Tabelle5[[#This Row],[binding_level]]</f>
        <v>0</v>
      </c>
    </row>
    <row r="346" spans="1:11" x14ac:dyDescent="0.25">
      <c r="A346" s="24">
        <v>10</v>
      </c>
      <c r="B346" s="50">
        <v>52</v>
      </c>
      <c r="C346" s="50" t="s">
        <v>69</v>
      </c>
      <c r="D346" s="51">
        <v>1</v>
      </c>
      <c r="E346" s="53">
        <v>1</v>
      </c>
      <c r="F346" t="s">
        <v>3530</v>
      </c>
      <c r="G346" t="s">
        <v>3531</v>
      </c>
      <c r="H346" s="52" t="s">
        <v>3516</v>
      </c>
      <c r="I346" s="53" t="s">
        <v>1457</v>
      </c>
      <c r="J346" s="52" t="s">
        <v>3517</v>
      </c>
      <c r="K346" s="25">
        <f>Tabelle5[[#This Row],[value_present]]*Tabelle5[[#This Row],[binding_level]]</f>
        <v>1</v>
      </c>
    </row>
    <row r="347" spans="1:11" x14ac:dyDescent="0.25">
      <c r="A347" s="24">
        <v>10</v>
      </c>
      <c r="B347" s="50">
        <v>52</v>
      </c>
      <c r="C347" s="50" t="s">
        <v>76</v>
      </c>
      <c r="D347" s="51">
        <v>0</v>
      </c>
      <c r="E347" s="53"/>
      <c r="F347" s="52"/>
      <c r="G347" s="52"/>
      <c r="H347" s="52"/>
      <c r="I347" s="53" t="s">
        <v>1457</v>
      </c>
      <c r="J347" s="52" t="s">
        <v>2899</v>
      </c>
      <c r="K347" s="25">
        <f>Tabelle5[[#This Row],[value_present]]*Tabelle5[[#This Row],[binding_level]]</f>
        <v>0</v>
      </c>
    </row>
    <row r="348" spans="1:11" x14ac:dyDescent="0.25">
      <c r="A348" s="24">
        <v>10</v>
      </c>
      <c r="B348" s="50">
        <v>52</v>
      </c>
      <c r="C348" s="50" t="s">
        <v>83</v>
      </c>
      <c r="D348" s="51">
        <v>1</v>
      </c>
      <c r="E348" s="53">
        <v>1</v>
      </c>
      <c r="F348" t="s">
        <v>3535</v>
      </c>
      <c r="G348" t="s">
        <v>3534</v>
      </c>
      <c r="H348" s="52" t="s">
        <v>3516</v>
      </c>
      <c r="I348" s="53" t="s">
        <v>1457</v>
      </c>
      <c r="J348" s="52" t="s">
        <v>3518</v>
      </c>
      <c r="K348" s="25">
        <f>Tabelle5[[#This Row],[value_present]]*Tabelle5[[#This Row],[binding_level]]</f>
        <v>1</v>
      </c>
    </row>
    <row r="349" spans="1:11" x14ac:dyDescent="0.25">
      <c r="A349" s="24">
        <v>10</v>
      </c>
      <c r="B349" s="50">
        <v>52</v>
      </c>
      <c r="C349" s="50" t="s">
        <v>90</v>
      </c>
      <c r="D349" s="51">
        <v>0</v>
      </c>
      <c r="E349" s="53"/>
      <c r="F349" s="52"/>
      <c r="G349" s="52"/>
      <c r="H349" s="52"/>
      <c r="I349" s="53" t="s">
        <v>1458</v>
      </c>
      <c r="J349" s="52" t="s">
        <v>3519</v>
      </c>
      <c r="K349" s="25">
        <f>Tabelle5[[#This Row],[value_present]]*Tabelle5[[#This Row],[binding_level]]</f>
        <v>0</v>
      </c>
    </row>
    <row r="350" spans="1:11" x14ac:dyDescent="0.25">
      <c r="A350" s="24">
        <v>10</v>
      </c>
      <c r="B350" s="50">
        <v>52</v>
      </c>
      <c r="C350" s="50" t="s">
        <v>98</v>
      </c>
      <c r="D350" s="51">
        <v>0</v>
      </c>
      <c r="E350" s="53"/>
      <c r="F350" s="52"/>
      <c r="G350" s="52"/>
      <c r="H350" s="52"/>
      <c r="I350" s="53" t="s">
        <v>1458</v>
      </c>
      <c r="J350" s="52" t="s">
        <v>3520</v>
      </c>
      <c r="K350" s="25">
        <f>Tabelle5[[#This Row],[value_present]]*Tabelle5[[#This Row],[binding_level]]</f>
        <v>0</v>
      </c>
    </row>
    <row r="351" spans="1:11" x14ac:dyDescent="0.25">
      <c r="A351" s="24">
        <v>10</v>
      </c>
      <c r="B351" s="50">
        <v>52</v>
      </c>
      <c r="C351" s="50" t="s">
        <v>106</v>
      </c>
      <c r="D351" s="51">
        <v>1</v>
      </c>
      <c r="E351" s="53">
        <v>1</v>
      </c>
      <c r="F351" t="s">
        <v>3532</v>
      </c>
      <c r="G351" t="s">
        <v>3533</v>
      </c>
      <c r="H351" s="52" t="s">
        <v>3516</v>
      </c>
      <c r="I351" s="53" t="s">
        <v>1457</v>
      </c>
      <c r="J351" s="52" t="s">
        <v>3521</v>
      </c>
      <c r="K351" s="25">
        <f>Tabelle5[[#This Row],[value_present]]*Tabelle5[[#This Row],[binding_level]]</f>
        <v>1</v>
      </c>
    </row>
    <row r="352" spans="1:11" x14ac:dyDescent="0.25">
      <c r="A352" s="24">
        <v>10</v>
      </c>
      <c r="B352" s="50">
        <v>52</v>
      </c>
      <c r="C352" s="50" t="s">
        <v>112</v>
      </c>
      <c r="D352" s="51">
        <v>0</v>
      </c>
      <c r="E352" s="53"/>
      <c r="F352" s="52"/>
      <c r="G352" s="52"/>
      <c r="H352" s="52"/>
      <c r="I352" s="53" t="s">
        <v>1458</v>
      </c>
      <c r="J352" s="52" t="s">
        <v>3522</v>
      </c>
      <c r="K352" s="25">
        <f>Tabelle5[[#This Row],[value_present]]*Tabelle5[[#This Row],[binding_level]]</f>
        <v>0</v>
      </c>
    </row>
    <row r="353" spans="1:11" x14ac:dyDescent="0.25">
      <c r="A353" s="24">
        <v>10</v>
      </c>
      <c r="B353" s="50">
        <v>52</v>
      </c>
      <c r="C353" s="50" t="s">
        <v>118</v>
      </c>
      <c r="D353" s="51">
        <v>0</v>
      </c>
      <c r="E353" s="53"/>
      <c r="F353" s="52"/>
      <c r="G353" s="52"/>
      <c r="H353" s="52"/>
      <c r="I353" s="53" t="s">
        <v>1457</v>
      </c>
      <c r="J353" s="52" t="s">
        <v>2844</v>
      </c>
      <c r="K353" s="25">
        <f>Tabelle5[[#This Row],[value_present]]*Tabelle5[[#This Row],[binding_level]]</f>
        <v>0</v>
      </c>
    </row>
    <row r="354" spans="1:11" x14ac:dyDescent="0.25">
      <c r="A354" s="24">
        <v>10</v>
      </c>
      <c r="B354" s="50">
        <v>52</v>
      </c>
      <c r="C354" s="50" t="s">
        <v>125</v>
      </c>
      <c r="D354" s="51">
        <v>0</v>
      </c>
      <c r="E354" s="53"/>
      <c r="F354" s="52"/>
      <c r="G354" s="52"/>
      <c r="H354" s="52"/>
      <c r="I354" s="53" t="s">
        <v>1457</v>
      </c>
      <c r="J354" s="52" t="s">
        <v>3451</v>
      </c>
      <c r="K354" s="25">
        <f>Tabelle5[[#This Row],[value_present]]*Tabelle5[[#This Row],[binding_level]]</f>
        <v>0</v>
      </c>
    </row>
    <row r="355" spans="1:11" x14ac:dyDescent="0.25">
      <c r="A355" s="24">
        <v>10</v>
      </c>
      <c r="B355" s="50">
        <v>52</v>
      </c>
      <c r="C355" s="50" t="s">
        <v>132</v>
      </c>
      <c r="D355" s="51">
        <v>0</v>
      </c>
      <c r="E355" s="53"/>
      <c r="F355" s="52"/>
      <c r="G355" s="52"/>
      <c r="H355" s="52"/>
      <c r="I355" s="53" t="s">
        <v>1458</v>
      </c>
      <c r="J355" s="52" t="s">
        <v>3523</v>
      </c>
      <c r="K355" s="25">
        <f>Tabelle5[[#This Row],[value_present]]*Tabelle5[[#This Row],[binding_level]]</f>
        <v>0</v>
      </c>
    </row>
    <row r="356" spans="1:11" x14ac:dyDescent="0.25">
      <c r="A356" s="24">
        <v>10</v>
      </c>
      <c r="B356" s="50">
        <v>52</v>
      </c>
      <c r="C356" s="50" t="s">
        <v>140</v>
      </c>
      <c r="D356" s="51">
        <v>1</v>
      </c>
      <c r="E356" s="53">
        <v>1</v>
      </c>
      <c r="F356" t="s">
        <v>3537</v>
      </c>
      <c r="G356" t="s">
        <v>3536</v>
      </c>
      <c r="H356" s="52" t="s">
        <v>3516</v>
      </c>
      <c r="I356" s="53" t="s">
        <v>1457</v>
      </c>
      <c r="J356" s="52" t="s">
        <v>3524</v>
      </c>
      <c r="K356" s="25">
        <f>Tabelle5[[#This Row],[value_present]]*Tabelle5[[#This Row],[binding_level]]</f>
        <v>1</v>
      </c>
    </row>
    <row r="357" spans="1:11" x14ac:dyDescent="0.25">
      <c r="A357" s="24">
        <v>10</v>
      </c>
      <c r="B357" s="50">
        <v>52</v>
      </c>
      <c r="C357" s="50" t="s">
        <v>147</v>
      </c>
      <c r="D357" s="51">
        <v>0</v>
      </c>
      <c r="E357" s="53"/>
      <c r="F357" s="52"/>
      <c r="G357" s="52"/>
      <c r="H357" s="52"/>
      <c r="I357" s="53" t="s">
        <v>1458</v>
      </c>
      <c r="J357" s="52" t="s">
        <v>3525</v>
      </c>
      <c r="K357" s="25">
        <f>Tabelle5[[#This Row],[value_present]]*Tabelle5[[#This Row],[binding_level]]</f>
        <v>0</v>
      </c>
    </row>
    <row r="358" spans="1:11" x14ac:dyDescent="0.25">
      <c r="A358" s="24">
        <v>10</v>
      </c>
      <c r="B358" s="50">
        <v>52</v>
      </c>
      <c r="C358" s="50" t="s">
        <v>154</v>
      </c>
      <c r="D358" s="51">
        <v>1</v>
      </c>
      <c r="E358" s="53">
        <v>1</v>
      </c>
      <c r="F358" t="s">
        <v>3539</v>
      </c>
      <c r="G358" t="s">
        <v>3538</v>
      </c>
      <c r="H358" s="52" t="s">
        <v>3516</v>
      </c>
      <c r="I358" s="53" t="s">
        <v>1457</v>
      </c>
      <c r="J358" s="52" t="s">
        <v>3526</v>
      </c>
      <c r="K358" s="25">
        <f>Tabelle5[[#This Row],[value_present]]*Tabelle5[[#This Row],[binding_level]]</f>
        <v>1</v>
      </c>
    </row>
    <row r="359" spans="1:11" x14ac:dyDescent="0.25">
      <c r="A359" s="24">
        <v>10</v>
      </c>
      <c r="B359" s="50">
        <v>52</v>
      </c>
      <c r="C359" s="50" t="s">
        <v>161</v>
      </c>
      <c r="D359" s="51">
        <v>0</v>
      </c>
      <c r="E359" s="53"/>
      <c r="F359" s="52"/>
      <c r="G359" s="52"/>
      <c r="H359" s="52"/>
      <c r="I359" s="53" t="s">
        <v>1457</v>
      </c>
      <c r="J359" s="52" t="s">
        <v>3527</v>
      </c>
      <c r="K359" s="25">
        <f>Tabelle5[[#This Row],[value_present]]*Tabelle5[[#This Row],[binding_level]]</f>
        <v>0</v>
      </c>
    </row>
    <row r="360" spans="1:11" x14ac:dyDescent="0.25">
      <c r="A360" s="24">
        <v>10</v>
      </c>
      <c r="B360" s="50">
        <v>52</v>
      </c>
      <c r="C360" s="50" t="s">
        <v>166</v>
      </c>
      <c r="D360" s="51">
        <v>0</v>
      </c>
      <c r="E360" s="53"/>
      <c r="F360" s="52"/>
      <c r="G360" s="52"/>
      <c r="H360" s="52"/>
      <c r="I360" s="53" t="s">
        <v>1458</v>
      </c>
      <c r="J360" s="52" t="s">
        <v>3528</v>
      </c>
      <c r="K360" s="25">
        <f>Tabelle5[[#This Row],[value_present]]*Tabelle5[[#This Row],[binding_level]]</f>
        <v>0</v>
      </c>
    </row>
    <row r="361" spans="1:11" ht="15.75" thickBot="1" x14ac:dyDescent="0.3">
      <c r="A361" s="26">
        <v>10</v>
      </c>
      <c r="B361" s="27">
        <v>52</v>
      </c>
      <c r="C361" s="27" t="s">
        <v>174</v>
      </c>
      <c r="D361" s="28">
        <v>0</v>
      </c>
      <c r="E361" s="29"/>
      <c r="F361" s="30"/>
      <c r="G361" s="30"/>
      <c r="H361" s="30"/>
      <c r="I361" s="29" t="s">
        <v>1457</v>
      </c>
      <c r="J361" s="30" t="s">
        <v>3529</v>
      </c>
      <c r="K361" s="31">
        <f>Tabelle5[[#This Row],[value_present]]*Tabelle5[[#This Row],[binding_level]]</f>
        <v>0</v>
      </c>
    </row>
    <row r="362" spans="1:11" x14ac:dyDescent="0.25">
      <c r="A362" s="18">
        <v>10</v>
      </c>
      <c r="B362" s="19">
        <v>53</v>
      </c>
      <c r="C362" s="19" t="s">
        <v>53</v>
      </c>
      <c r="D362" s="20">
        <v>0</v>
      </c>
      <c r="E362" s="21"/>
      <c r="F362" s="22"/>
      <c r="G362" s="22"/>
      <c r="H362" s="22"/>
      <c r="I362" s="21" t="s">
        <v>1458</v>
      </c>
      <c r="J362" s="22" t="s">
        <v>3568</v>
      </c>
      <c r="K362" s="23">
        <f>Tabelle5[[#This Row],[value_present]]*Tabelle5[[#This Row],[binding_level]]</f>
        <v>0</v>
      </c>
    </row>
    <row r="363" spans="1:11" x14ac:dyDescent="0.25">
      <c r="A363" s="24">
        <v>10</v>
      </c>
      <c r="B363" s="50">
        <v>53</v>
      </c>
      <c r="C363" s="50" t="s">
        <v>61</v>
      </c>
      <c r="D363" s="51">
        <v>1</v>
      </c>
      <c r="E363" s="53">
        <v>2</v>
      </c>
      <c r="F363" t="s">
        <v>3583</v>
      </c>
      <c r="G363" t="s">
        <v>3584</v>
      </c>
      <c r="H363" s="52" t="s">
        <v>3217</v>
      </c>
      <c r="I363" s="53" t="s">
        <v>1457</v>
      </c>
      <c r="J363" s="52" t="s">
        <v>3569</v>
      </c>
      <c r="K363" s="25">
        <f>Tabelle5[[#This Row],[value_present]]*Tabelle5[[#This Row],[binding_level]]</f>
        <v>2</v>
      </c>
    </row>
    <row r="364" spans="1:11" x14ac:dyDescent="0.25">
      <c r="A364" s="24">
        <v>10</v>
      </c>
      <c r="B364" s="50">
        <v>53</v>
      </c>
      <c r="C364" s="50" t="s">
        <v>69</v>
      </c>
      <c r="D364" s="51">
        <v>0</v>
      </c>
      <c r="E364" s="53"/>
      <c r="F364" s="52"/>
      <c r="G364" s="52"/>
      <c r="H364" s="52"/>
      <c r="I364" s="53" t="s">
        <v>1457</v>
      </c>
      <c r="J364" s="52" t="s">
        <v>3570</v>
      </c>
      <c r="K364" s="25">
        <f>Tabelle5[[#This Row],[value_present]]*Tabelle5[[#This Row],[binding_level]]</f>
        <v>0</v>
      </c>
    </row>
    <row r="365" spans="1:11" x14ac:dyDescent="0.25">
      <c r="A365" s="24">
        <v>10</v>
      </c>
      <c r="B365" s="50">
        <v>53</v>
      </c>
      <c r="C365" s="50" t="s">
        <v>76</v>
      </c>
      <c r="D365" s="51">
        <v>1</v>
      </c>
      <c r="E365" s="53">
        <v>2</v>
      </c>
      <c r="F365" t="s">
        <v>3587</v>
      </c>
      <c r="G365" t="s">
        <v>3588</v>
      </c>
      <c r="H365" s="52" t="s">
        <v>3217</v>
      </c>
      <c r="I365" s="53" t="s">
        <v>1457</v>
      </c>
      <c r="J365" s="52" t="s">
        <v>3571</v>
      </c>
      <c r="K365" s="25">
        <f>Tabelle5[[#This Row],[value_present]]*Tabelle5[[#This Row],[binding_level]]</f>
        <v>2</v>
      </c>
    </row>
    <row r="366" spans="1:11" x14ac:dyDescent="0.25">
      <c r="A366" s="24">
        <v>10</v>
      </c>
      <c r="B366" s="50">
        <v>53</v>
      </c>
      <c r="C366" s="50" t="s">
        <v>83</v>
      </c>
      <c r="D366" s="51">
        <v>1</v>
      </c>
      <c r="E366" s="53">
        <v>2</v>
      </c>
      <c r="F366" t="s">
        <v>3585</v>
      </c>
      <c r="G366" t="s">
        <v>3586</v>
      </c>
      <c r="H366" s="52" t="s">
        <v>3217</v>
      </c>
      <c r="I366" s="53" t="s">
        <v>1457</v>
      </c>
      <c r="J366" s="52" t="s">
        <v>3572</v>
      </c>
      <c r="K366" s="25">
        <f>Tabelle5[[#This Row],[value_present]]*Tabelle5[[#This Row],[binding_level]]</f>
        <v>2</v>
      </c>
    </row>
    <row r="367" spans="1:11" x14ac:dyDescent="0.25">
      <c r="A367" s="24">
        <v>10</v>
      </c>
      <c r="B367" s="50">
        <v>53</v>
      </c>
      <c r="C367" s="50" t="s">
        <v>90</v>
      </c>
      <c r="D367" s="51">
        <v>0</v>
      </c>
      <c r="E367" s="53"/>
      <c r="F367" s="52"/>
      <c r="G367" s="52"/>
      <c r="H367" s="52"/>
      <c r="I367" s="53" t="s">
        <v>1458</v>
      </c>
      <c r="J367" s="52" t="s">
        <v>3573</v>
      </c>
      <c r="K367" s="25">
        <f>Tabelle5[[#This Row],[value_present]]*Tabelle5[[#This Row],[binding_level]]</f>
        <v>0</v>
      </c>
    </row>
    <row r="368" spans="1:11" x14ac:dyDescent="0.25">
      <c r="A368" s="24">
        <v>10</v>
      </c>
      <c r="B368" s="50">
        <v>53</v>
      </c>
      <c r="C368" s="50" t="s">
        <v>98</v>
      </c>
      <c r="D368" s="51">
        <v>0</v>
      </c>
      <c r="E368" s="53"/>
      <c r="F368" s="52"/>
      <c r="G368" s="52"/>
      <c r="H368" s="52"/>
      <c r="I368" s="53" t="s">
        <v>1458</v>
      </c>
      <c r="J368" s="52" t="s">
        <v>3574</v>
      </c>
      <c r="K368" s="25">
        <f>Tabelle5[[#This Row],[value_present]]*Tabelle5[[#This Row],[binding_level]]</f>
        <v>0</v>
      </c>
    </row>
    <row r="369" spans="1:11" x14ac:dyDescent="0.25">
      <c r="A369" s="24">
        <v>10</v>
      </c>
      <c r="B369" s="50">
        <v>53</v>
      </c>
      <c r="C369" s="50" t="s">
        <v>106</v>
      </c>
      <c r="D369" s="51">
        <v>0</v>
      </c>
      <c r="E369" s="53"/>
      <c r="F369" s="52"/>
      <c r="G369" s="52"/>
      <c r="H369" s="52"/>
      <c r="I369" s="53" t="s">
        <v>1458</v>
      </c>
      <c r="J369" s="52" t="s">
        <v>3575</v>
      </c>
      <c r="K369" s="25">
        <f>Tabelle5[[#This Row],[value_present]]*Tabelle5[[#This Row],[binding_level]]</f>
        <v>0</v>
      </c>
    </row>
    <row r="370" spans="1:11" x14ac:dyDescent="0.25">
      <c r="A370" s="24">
        <v>10</v>
      </c>
      <c r="B370" s="50">
        <v>53</v>
      </c>
      <c r="C370" s="50" t="s">
        <v>112</v>
      </c>
      <c r="D370" s="51">
        <v>0</v>
      </c>
      <c r="E370" s="53"/>
      <c r="F370" s="52"/>
      <c r="G370" s="52"/>
      <c r="H370" s="52"/>
      <c r="I370" s="53" t="s">
        <v>1457</v>
      </c>
      <c r="J370" s="52" t="s">
        <v>3576</v>
      </c>
      <c r="K370" s="25">
        <f>Tabelle5[[#This Row],[value_present]]*Tabelle5[[#This Row],[binding_level]]</f>
        <v>0</v>
      </c>
    </row>
    <row r="371" spans="1:11" x14ac:dyDescent="0.25">
      <c r="A371" s="24">
        <v>10</v>
      </c>
      <c r="B371" s="50">
        <v>53</v>
      </c>
      <c r="C371" s="50" t="s">
        <v>118</v>
      </c>
      <c r="D371" s="51">
        <v>0</v>
      </c>
      <c r="E371" s="53"/>
      <c r="F371" s="52"/>
      <c r="G371" s="52"/>
      <c r="H371" s="52"/>
      <c r="I371" s="53" t="s">
        <v>1457</v>
      </c>
      <c r="J371" s="52" t="s">
        <v>3577</v>
      </c>
      <c r="K371" s="25">
        <f>Tabelle5[[#This Row],[value_present]]*Tabelle5[[#This Row],[binding_level]]</f>
        <v>0</v>
      </c>
    </row>
    <row r="372" spans="1:11" x14ac:dyDescent="0.25">
      <c r="A372" s="24">
        <v>10</v>
      </c>
      <c r="B372" s="50">
        <v>53</v>
      </c>
      <c r="C372" s="50" t="s">
        <v>125</v>
      </c>
      <c r="D372" s="51">
        <v>0</v>
      </c>
      <c r="E372" s="53"/>
      <c r="F372" s="52"/>
      <c r="G372" s="52"/>
      <c r="H372" s="52"/>
      <c r="I372" s="53" t="s">
        <v>1457</v>
      </c>
      <c r="J372" s="52" t="s">
        <v>3451</v>
      </c>
      <c r="K372" s="25">
        <f>Tabelle5[[#This Row],[value_present]]*Tabelle5[[#This Row],[binding_level]]</f>
        <v>0</v>
      </c>
    </row>
    <row r="373" spans="1:11" x14ac:dyDescent="0.25">
      <c r="A373" s="24">
        <v>10</v>
      </c>
      <c r="B373" s="50">
        <v>53</v>
      </c>
      <c r="C373" s="50" t="s">
        <v>132</v>
      </c>
      <c r="D373" s="51">
        <v>0</v>
      </c>
      <c r="E373" s="53"/>
      <c r="F373" s="52"/>
      <c r="G373" s="52"/>
      <c r="H373" s="52"/>
      <c r="I373" s="53" t="s">
        <v>1457</v>
      </c>
      <c r="J373" s="52" t="s">
        <v>3578</v>
      </c>
      <c r="K373" s="25">
        <f>Tabelle5[[#This Row],[value_present]]*Tabelle5[[#This Row],[binding_level]]</f>
        <v>0</v>
      </c>
    </row>
    <row r="374" spans="1:11" x14ac:dyDescent="0.25">
      <c r="A374" s="24">
        <v>10</v>
      </c>
      <c r="B374" s="50">
        <v>53</v>
      </c>
      <c r="C374" s="50" t="s">
        <v>140</v>
      </c>
      <c r="D374" s="51">
        <v>0</v>
      </c>
      <c r="E374" s="53"/>
      <c r="F374" s="52"/>
      <c r="G374" s="52"/>
      <c r="H374" s="52"/>
      <c r="I374" s="53" t="s">
        <v>1457</v>
      </c>
      <c r="J374" s="52" t="s">
        <v>3579</v>
      </c>
      <c r="K374" s="25">
        <f>Tabelle5[[#This Row],[value_present]]*Tabelle5[[#This Row],[binding_level]]</f>
        <v>0</v>
      </c>
    </row>
    <row r="375" spans="1:11" x14ac:dyDescent="0.25">
      <c r="A375" s="24">
        <v>10</v>
      </c>
      <c r="B375" s="50">
        <v>53</v>
      </c>
      <c r="C375" s="50" t="s">
        <v>147</v>
      </c>
      <c r="D375" s="51">
        <v>1</v>
      </c>
      <c r="E375" s="53">
        <v>2</v>
      </c>
      <c r="F375" t="s">
        <v>3589</v>
      </c>
      <c r="G375" t="s">
        <v>3590</v>
      </c>
      <c r="H375" s="52" t="s">
        <v>3217</v>
      </c>
      <c r="I375" s="53" t="s">
        <v>1457</v>
      </c>
      <c r="J375" s="52" t="s">
        <v>3580</v>
      </c>
      <c r="K375" s="25">
        <f>Tabelle5[[#This Row],[value_present]]*Tabelle5[[#This Row],[binding_level]]</f>
        <v>2</v>
      </c>
    </row>
    <row r="376" spans="1:11" x14ac:dyDescent="0.25">
      <c r="A376" s="24">
        <v>10</v>
      </c>
      <c r="B376" s="50">
        <v>53</v>
      </c>
      <c r="C376" s="50" t="s">
        <v>154</v>
      </c>
      <c r="D376" s="51">
        <v>1</v>
      </c>
      <c r="E376" s="53">
        <v>2</v>
      </c>
      <c r="F376" t="s">
        <v>3591</v>
      </c>
      <c r="G376" t="s">
        <v>3592</v>
      </c>
      <c r="H376" s="52" t="s">
        <v>3217</v>
      </c>
      <c r="I376" s="53" t="s">
        <v>1457</v>
      </c>
      <c r="J376" s="52" t="s">
        <v>3581</v>
      </c>
      <c r="K376" s="25">
        <f>Tabelle5[[#This Row],[value_present]]*Tabelle5[[#This Row],[binding_level]]</f>
        <v>2</v>
      </c>
    </row>
    <row r="377" spans="1:11" x14ac:dyDescent="0.25">
      <c r="A377" s="24">
        <v>10</v>
      </c>
      <c r="B377" s="50">
        <v>53</v>
      </c>
      <c r="C377" s="50" t="s">
        <v>161</v>
      </c>
      <c r="D377" s="51">
        <v>0</v>
      </c>
      <c r="E377" s="53"/>
      <c r="F377" s="52"/>
      <c r="G377" s="52"/>
      <c r="H377" s="52"/>
      <c r="I377" s="53" t="s">
        <v>1457</v>
      </c>
      <c r="J377" s="52" t="s">
        <v>3582</v>
      </c>
      <c r="K377" s="25">
        <f>Tabelle5[[#This Row],[value_present]]*Tabelle5[[#This Row],[binding_level]]</f>
        <v>0</v>
      </c>
    </row>
    <row r="378" spans="1:11" x14ac:dyDescent="0.25">
      <c r="A378" s="24">
        <v>10</v>
      </c>
      <c r="B378" s="50">
        <v>53</v>
      </c>
      <c r="C378" s="50" t="s">
        <v>166</v>
      </c>
      <c r="D378" s="51">
        <v>0</v>
      </c>
      <c r="E378" s="53"/>
      <c r="F378" s="52"/>
      <c r="G378" s="52"/>
      <c r="H378" s="52"/>
      <c r="I378" s="53" t="s">
        <v>1458</v>
      </c>
      <c r="J378" s="52" t="s">
        <v>3528</v>
      </c>
      <c r="K378" s="25">
        <f>Tabelle5[[#This Row],[value_present]]*Tabelle5[[#This Row],[binding_level]]</f>
        <v>0</v>
      </c>
    </row>
    <row r="379" spans="1:11" ht="15.75" thickBot="1" x14ac:dyDescent="0.3">
      <c r="A379" s="26">
        <v>10</v>
      </c>
      <c r="B379" s="27">
        <v>53</v>
      </c>
      <c r="C379" s="27" t="s">
        <v>174</v>
      </c>
      <c r="D379" s="28">
        <v>0</v>
      </c>
      <c r="E379" s="29"/>
      <c r="F379" s="30"/>
      <c r="G379" s="30"/>
      <c r="H379" s="30"/>
      <c r="I379" s="29" t="s">
        <v>1457</v>
      </c>
      <c r="J379" s="30" t="s">
        <v>3529</v>
      </c>
      <c r="K379" s="31">
        <f>Tabelle5[[#This Row],[value_present]]*Tabelle5[[#This Row],[binding_level]]</f>
        <v>0</v>
      </c>
    </row>
    <row r="380" spans="1:11" x14ac:dyDescent="0.25">
      <c r="A380" s="18">
        <v>11</v>
      </c>
      <c r="B380" s="19">
        <v>56</v>
      </c>
      <c r="C380" s="19" t="s">
        <v>53</v>
      </c>
      <c r="D380" s="20">
        <v>0</v>
      </c>
      <c r="E380" s="21"/>
      <c r="F380" s="22"/>
      <c r="G380" s="22"/>
      <c r="H380" s="22"/>
      <c r="I380" s="21" t="s">
        <v>1457</v>
      </c>
      <c r="J380" s="22" t="s">
        <v>3626</v>
      </c>
      <c r="K380" s="23">
        <f>Tabelle5[[#This Row],[value_present]]*Tabelle5[[#This Row],[binding_level]]</f>
        <v>0</v>
      </c>
    </row>
    <row r="381" spans="1:11" x14ac:dyDescent="0.25">
      <c r="A381" s="24">
        <v>11</v>
      </c>
      <c r="B381" s="50">
        <v>56</v>
      </c>
      <c r="C381" s="50" t="s">
        <v>61</v>
      </c>
      <c r="D381" s="51">
        <v>0</v>
      </c>
      <c r="E381" s="53"/>
      <c r="F381" s="52"/>
      <c r="G381" s="52"/>
      <c r="H381" s="52"/>
      <c r="I381" s="53" t="s">
        <v>1458</v>
      </c>
      <c r="J381" s="52" t="s">
        <v>3627</v>
      </c>
      <c r="K381" s="25">
        <f>Tabelle5[[#This Row],[value_present]]*Tabelle5[[#This Row],[binding_level]]</f>
        <v>0</v>
      </c>
    </row>
    <row r="382" spans="1:11" x14ac:dyDescent="0.25">
      <c r="A382" s="24">
        <v>11</v>
      </c>
      <c r="B382" s="50">
        <v>56</v>
      </c>
      <c r="C382" s="50" t="s">
        <v>69</v>
      </c>
      <c r="D382" s="51">
        <v>0</v>
      </c>
      <c r="E382" s="53"/>
      <c r="F382" s="52"/>
      <c r="G382" s="52"/>
      <c r="H382" s="52"/>
      <c r="I382" s="53" t="s">
        <v>1458</v>
      </c>
      <c r="J382" s="52" t="s">
        <v>3628</v>
      </c>
      <c r="K382" s="25">
        <f>Tabelle5[[#This Row],[value_present]]*Tabelle5[[#This Row],[binding_level]]</f>
        <v>0</v>
      </c>
    </row>
    <row r="383" spans="1:11" x14ac:dyDescent="0.25">
      <c r="A383" s="24">
        <v>11</v>
      </c>
      <c r="B383" s="50">
        <v>56</v>
      </c>
      <c r="C383" s="50" t="s">
        <v>76</v>
      </c>
      <c r="D383" s="51">
        <v>1</v>
      </c>
      <c r="E383" s="53">
        <v>1</v>
      </c>
      <c r="F383" t="s">
        <v>3616</v>
      </c>
      <c r="G383" t="s">
        <v>3617</v>
      </c>
      <c r="H383" s="52" t="s">
        <v>3615</v>
      </c>
      <c r="I383" s="53" t="s">
        <v>1457</v>
      </c>
      <c r="J383" s="52" t="s">
        <v>3629</v>
      </c>
      <c r="K383" s="25">
        <f>Tabelle5[[#This Row],[value_present]]*Tabelle5[[#This Row],[binding_level]]</f>
        <v>1</v>
      </c>
    </row>
    <row r="384" spans="1:11" x14ac:dyDescent="0.25">
      <c r="A384" s="24">
        <v>11</v>
      </c>
      <c r="B384" s="50">
        <v>56</v>
      </c>
      <c r="C384" s="50" t="s">
        <v>83</v>
      </c>
      <c r="D384" s="51">
        <v>1</v>
      </c>
      <c r="E384" s="53">
        <v>1</v>
      </c>
      <c r="F384" t="s">
        <v>3624</v>
      </c>
      <c r="G384" t="s">
        <v>3625</v>
      </c>
      <c r="H384" s="52" t="s">
        <v>3615</v>
      </c>
      <c r="I384" s="53" t="s">
        <v>1458</v>
      </c>
      <c r="J384" s="52" t="s">
        <v>3630</v>
      </c>
      <c r="K384" s="25">
        <f>Tabelle5[[#This Row],[value_present]]*Tabelle5[[#This Row],[binding_level]]</f>
        <v>1</v>
      </c>
    </row>
    <row r="385" spans="1:11" x14ac:dyDescent="0.25">
      <c r="A385" s="24">
        <v>11</v>
      </c>
      <c r="B385" s="50">
        <v>56</v>
      </c>
      <c r="C385" s="50" t="s">
        <v>90</v>
      </c>
      <c r="D385" s="51">
        <v>1</v>
      </c>
      <c r="E385" s="53">
        <v>1</v>
      </c>
      <c r="F385" t="s">
        <v>3618</v>
      </c>
      <c r="G385" t="s">
        <v>3619</v>
      </c>
      <c r="H385" s="52" t="s">
        <v>3615</v>
      </c>
      <c r="I385" s="53" t="s">
        <v>1457</v>
      </c>
      <c r="J385" s="52" t="s">
        <v>3631</v>
      </c>
      <c r="K385" s="25">
        <f>Tabelle5[[#This Row],[value_present]]*Tabelle5[[#This Row],[binding_level]]</f>
        <v>1</v>
      </c>
    </row>
    <row r="386" spans="1:11" x14ac:dyDescent="0.25">
      <c r="A386" s="24">
        <v>11</v>
      </c>
      <c r="B386" s="50">
        <v>56</v>
      </c>
      <c r="C386" s="50" t="s">
        <v>98</v>
      </c>
      <c r="D386" s="51">
        <v>1</v>
      </c>
      <c r="E386" s="53">
        <v>1</v>
      </c>
      <c r="F386" t="s">
        <v>3620</v>
      </c>
      <c r="G386" t="s">
        <v>3621</v>
      </c>
      <c r="H386" s="52" t="s">
        <v>3615</v>
      </c>
      <c r="I386" s="53" t="s">
        <v>1457</v>
      </c>
      <c r="J386" s="52" t="s">
        <v>3632</v>
      </c>
      <c r="K386" s="25">
        <f>Tabelle5[[#This Row],[value_present]]*Tabelle5[[#This Row],[binding_level]]</f>
        <v>1</v>
      </c>
    </row>
    <row r="387" spans="1:11" x14ac:dyDescent="0.25">
      <c r="A387" s="24">
        <v>11</v>
      </c>
      <c r="B387" s="50">
        <v>56</v>
      </c>
      <c r="C387" s="50" t="s">
        <v>106</v>
      </c>
      <c r="D387" s="51">
        <v>0</v>
      </c>
      <c r="E387" s="53"/>
      <c r="F387" s="52"/>
      <c r="G387" s="52"/>
      <c r="H387" s="52"/>
      <c r="I387" s="53" t="s">
        <v>1458</v>
      </c>
      <c r="J387" s="52" t="s">
        <v>3633</v>
      </c>
      <c r="K387" s="25">
        <f>Tabelle5[[#This Row],[value_present]]*Tabelle5[[#This Row],[binding_level]]</f>
        <v>0</v>
      </c>
    </row>
    <row r="388" spans="1:11" x14ac:dyDescent="0.25">
      <c r="A388" s="24">
        <v>11</v>
      </c>
      <c r="B388" s="50">
        <v>56</v>
      </c>
      <c r="C388" s="50" t="s">
        <v>112</v>
      </c>
      <c r="D388" s="51">
        <v>1</v>
      </c>
      <c r="E388" s="53">
        <v>1</v>
      </c>
      <c r="F388" t="s">
        <v>3622</v>
      </c>
      <c r="G388" t="s">
        <v>3623</v>
      </c>
      <c r="H388" s="52" t="s">
        <v>3615</v>
      </c>
      <c r="I388" s="53" t="s">
        <v>1457</v>
      </c>
      <c r="J388" s="52" t="s">
        <v>3634</v>
      </c>
      <c r="K388" s="25">
        <f>Tabelle5[[#This Row],[value_present]]*Tabelle5[[#This Row],[binding_level]]</f>
        <v>1</v>
      </c>
    </row>
    <row r="389" spans="1:11" x14ac:dyDescent="0.25">
      <c r="A389" s="24">
        <v>11</v>
      </c>
      <c r="B389" s="50">
        <v>56</v>
      </c>
      <c r="C389" s="50" t="s">
        <v>118</v>
      </c>
      <c r="D389" s="51">
        <v>0</v>
      </c>
      <c r="E389" s="53"/>
      <c r="F389" s="52"/>
      <c r="G389" s="52"/>
      <c r="H389" s="52"/>
      <c r="I389" s="53" t="s">
        <v>1457</v>
      </c>
      <c r="J389" s="52" t="s">
        <v>3635</v>
      </c>
      <c r="K389" s="25">
        <f>Tabelle5[[#This Row],[value_present]]*Tabelle5[[#This Row],[binding_level]]</f>
        <v>0</v>
      </c>
    </row>
    <row r="390" spans="1:11" x14ac:dyDescent="0.25">
      <c r="A390" s="24">
        <v>11</v>
      </c>
      <c r="B390" s="50">
        <v>56</v>
      </c>
      <c r="C390" s="50" t="s">
        <v>125</v>
      </c>
      <c r="D390" s="51">
        <v>0</v>
      </c>
      <c r="E390" s="53"/>
      <c r="F390" s="52"/>
      <c r="G390" s="52"/>
      <c r="H390" s="52"/>
      <c r="I390" s="53" t="s">
        <v>1458</v>
      </c>
      <c r="J390" s="52" t="s">
        <v>3636</v>
      </c>
      <c r="K390" s="25">
        <f>Tabelle5[[#This Row],[value_present]]*Tabelle5[[#This Row],[binding_level]]</f>
        <v>0</v>
      </c>
    </row>
    <row r="391" spans="1:11" x14ac:dyDescent="0.25">
      <c r="A391" s="24">
        <v>11</v>
      </c>
      <c r="B391" s="50">
        <v>56</v>
      </c>
      <c r="C391" s="50" t="s">
        <v>132</v>
      </c>
      <c r="D391" s="51">
        <v>0</v>
      </c>
      <c r="E391" s="53"/>
      <c r="F391" s="52"/>
      <c r="G391" s="52"/>
      <c r="H391" s="52"/>
      <c r="I391" s="53" t="s">
        <v>1457</v>
      </c>
      <c r="J391" s="52" t="s">
        <v>3637</v>
      </c>
      <c r="K391" s="25">
        <f>Tabelle5[[#This Row],[value_present]]*Tabelle5[[#This Row],[binding_level]]</f>
        <v>0</v>
      </c>
    </row>
    <row r="392" spans="1:11" x14ac:dyDescent="0.25">
      <c r="A392" s="24">
        <v>11</v>
      </c>
      <c r="B392" s="50">
        <v>56</v>
      </c>
      <c r="C392" s="50" t="s">
        <v>140</v>
      </c>
      <c r="D392" s="51">
        <v>0</v>
      </c>
      <c r="E392" s="53"/>
      <c r="F392" s="52"/>
      <c r="G392" s="52"/>
      <c r="H392" s="52"/>
      <c r="I392" s="53" t="s">
        <v>1458</v>
      </c>
      <c r="J392" s="52" t="s">
        <v>3638</v>
      </c>
      <c r="K392" s="25">
        <f>Tabelle5[[#This Row],[value_present]]*Tabelle5[[#This Row],[binding_level]]</f>
        <v>0</v>
      </c>
    </row>
    <row r="393" spans="1:11" x14ac:dyDescent="0.25">
      <c r="A393" s="24">
        <v>11</v>
      </c>
      <c r="B393" s="50">
        <v>56</v>
      </c>
      <c r="C393" s="50" t="s">
        <v>147</v>
      </c>
      <c r="D393" s="51">
        <v>0</v>
      </c>
      <c r="E393" s="53"/>
      <c r="F393" s="52"/>
      <c r="G393" s="52"/>
      <c r="H393" s="52"/>
      <c r="I393" s="53" t="s">
        <v>1458</v>
      </c>
      <c r="J393" s="52" t="s">
        <v>3639</v>
      </c>
      <c r="K393" s="25">
        <f>Tabelle5[[#This Row],[value_present]]*Tabelle5[[#This Row],[binding_level]]</f>
        <v>0</v>
      </c>
    </row>
    <row r="394" spans="1:11" x14ac:dyDescent="0.25">
      <c r="A394" s="24">
        <v>11</v>
      </c>
      <c r="B394" s="50">
        <v>56</v>
      </c>
      <c r="C394" s="50" t="s">
        <v>154</v>
      </c>
      <c r="D394" s="51">
        <v>1</v>
      </c>
      <c r="E394" s="53">
        <v>1</v>
      </c>
      <c r="F394" t="s">
        <v>3613</v>
      </c>
      <c r="G394" t="s">
        <v>3614</v>
      </c>
      <c r="H394" s="52" t="s">
        <v>3615</v>
      </c>
      <c r="I394" s="53" t="s">
        <v>1457</v>
      </c>
      <c r="J394" s="52" t="s">
        <v>3640</v>
      </c>
      <c r="K394" s="25">
        <f>Tabelle5[[#This Row],[value_present]]*Tabelle5[[#This Row],[binding_level]]</f>
        <v>1</v>
      </c>
    </row>
    <row r="395" spans="1:11" x14ac:dyDescent="0.25">
      <c r="A395" s="24">
        <v>11</v>
      </c>
      <c r="B395" s="50">
        <v>56</v>
      </c>
      <c r="C395" s="50" t="s">
        <v>161</v>
      </c>
      <c r="D395" s="51">
        <v>0</v>
      </c>
      <c r="E395" s="53"/>
      <c r="F395" s="52"/>
      <c r="G395" s="52"/>
      <c r="H395" s="52"/>
      <c r="I395" s="53" t="s">
        <v>1458</v>
      </c>
      <c r="J395" s="52" t="s">
        <v>3641</v>
      </c>
      <c r="K395" s="25">
        <f>Tabelle5[[#This Row],[value_present]]*Tabelle5[[#This Row],[binding_level]]</f>
        <v>0</v>
      </c>
    </row>
    <row r="396" spans="1:11" x14ac:dyDescent="0.25">
      <c r="A396" s="24">
        <v>11</v>
      </c>
      <c r="B396" s="50">
        <v>56</v>
      </c>
      <c r="C396" s="50" t="s">
        <v>166</v>
      </c>
      <c r="D396" s="51">
        <v>0</v>
      </c>
      <c r="E396" s="53"/>
      <c r="F396" s="52"/>
      <c r="G396" s="52"/>
      <c r="H396" s="52"/>
      <c r="I396" s="53" t="s">
        <v>1458</v>
      </c>
      <c r="J396" s="52" t="s">
        <v>3642</v>
      </c>
      <c r="K396" s="25">
        <f>Tabelle5[[#This Row],[value_present]]*Tabelle5[[#This Row],[binding_level]]</f>
        <v>0</v>
      </c>
    </row>
    <row r="397" spans="1:11" ht="15.75" thickBot="1" x14ac:dyDescent="0.3">
      <c r="A397" s="26">
        <v>11</v>
      </c>
      <c r="B397" s="27">
        <v>56</v>
      </c>
      <c r="C397" s="27" t="s">
        <v>174</v>
      </c>
      <c r="D397" s="28">
        <v>0</v>
      </c>
      <c r="E397" s="29"/>
      <c r="F397" s="30"/>
      <c r="G397" s="30"/>
      <c r="H397" s="30"/>
      <c r="I397" s="29" t="s">
        <v>1458</v>
      </c>
      <c r="J397" s="30" t="s">
        <v>3643</v>
      </c>
      <c r="K397" s="31">
        <f>Tabelle5[[#This Row],[value_present]]*Tabelle5[[#This Row],[binding_level]]</f>
        <v>0</v>
      </c>
    </row>
    <row r="398" spans="1:11" x14ac:dyDescent="0.25">
      <c r="A398" s="18">
        <v>11</v>
      </c>
      <c r="B398" s="19">
        <v>57</v>
      </c>
      <c r="C398" s="19" t="s">
        <v>53</v>
      </c>
      <c r="D398" s="20">
        <v>0</v>
      </c>
      <c r="E398" s="21"/>
      <c r="F398" s="22"/>
      <c r="G398" s="22"/>
      <c r="H398" s="22"/>
      <c r="I398" s="21" t="s">
        <v>1457</v>
      </c>
      <c r="J398" s="22" t="s">
        <v>3672</v>
      </c>
      <c r="K398" s="23">
        <f>Tabelle5[[#This Row],[value_present]]*Tabelle5[[#This Row],[binding_level]]</f>
        <v>0</v>
      </c>
    </row>
    <row r="399" spans="1:11" x14ac:dyDescent="0.25">
      <c r="A399" s="24">
        <v>11</v>
      </c>
      <c r="B399" s="50">
        <v>57</v>
      </c>
      <c r="C399" s="50" t="s">
        <v>61</v>
      </c>
      <c r="D399" s="51">
        <v>0</v>
      </c>
      <c r="E399" s="53"/>
      <c r="F399" s="52"/>
      <c r="G399" s="52"/>
      <c r="H399" s="52"/>
      <c r="I399" s="53" t="s">
        <v>1458</v>
      </c>
      <c r="J399" s="52" t="s">
        <v>3673</v>
      </c>
      <c r="K399" s="25">
        <f>Tabelle5[[#This Row],[value_present]]*Tabelle5[[#This Row],[binding_level]]</f>
        <v>0</v>
      </c>
    </row>
    <row r="400" spans="1:11" x14ac:dyDescent="0.25">
      <c r="A400" s="24">
        <v>11</v>
      </c>
      <c r="B400" s="50">
        <v>57</v>
      </c>
      <c r="C400" s="50" t="s">
        <v>69</v>
      </c>
      <c r="D400" s="51">
        <v>0</v>
      </c>
      <c r="E400" s="53"/>
      <c r="F400" s="52"/>
      <c r="G400" s="52"/>
      <c r="H400" s="52"/>
      <c r="I400" s="53" t="s">
        <v>1458</v>
      </c>
      <c r="J400" s="52" t="s">
        <v>3674</v>
      </c>
      <c r="K400" s="25">
        <f>Tabelle5[[#This Row],[value_present]]*Tabelle5[[#This Row],[binding_level]]</f>
        <v>0</v>
      </c>
    </row>
    <row r="401" spans="1:11" x14ac:dyDescent="0.25">
      <c r="A401" s="24">
        <v>11</v>
      </c>
      <c r="B401" s="50">
        <v>57</v>
      </c>
      <c r="C401" s="50" t="s">
        <v>76</v>
      </c>
      <c r="D401" s="51">
        <v>1</v>
      </c>
      <c r="E401" s="53">
        <v>1</v>
      </c>
      <c r="F401" s="52" t="s">
        <v>3665</v>
      </c>
      <c r="G401" s="52" t="s">
        <v>3617</v>
      </c>
      <c r="H401" s="52" t="s">
        <v>3675</v>
      </c>
      <c r="I401" s="53" t="s">
        <v>1457</v>
      </c>
      <c r="J401" s="52" t="s">
        <v>3676</v>
      </c>
      <c r="K401" s="25">
        <f>Tabelle5[[#This Row],[value_present]]*Tabelle5[[#This Row],[binding_level]]</f>
        <v>1</v>
      </c>
    </row>
    <row r="402" spans="1:11" x14ac:dyDescent="0.25">
      <c r="A402" s="24">
        <v>11</v>
      </c>
      <c r="B402" s="50">
        <v>57</v>
      </c>
      <c r="C402" s="50" t="s">
        <v>83</v>
      </c>
      <c r="D402" s="51">
        <v>0</v>
      </c>
      <c r="E402" s="53"/>
      <c r="F402" s="52"/>
      <c r="G402" s="52"/>
      <c r="H402" s="52"/>
      <c r="I402" s="53" t="s">
        <v>1457</v>
      </c>
      <c r="J402" s="52" t="s">
        <v>3677</v>
      </c>
      <c r="K402" s="25">
        <f>Tabelle5[[#This Row],[value_present]]*Tabelle5[[#This Row],[binding_level]]</f>
        <v>0</v>
      </c>
    </row>
    <row r="403" spans="1:11" x14ac:dyDescent="0.25">
      <c r="A403" s="24">
        <v>11</v>
      </c>
      <c r="B403" s="50">
        <v>57</v>
      </c>
      <c r="C403" s="50" t="s">
        <v>90</v>
      </c>
      <c r="D403" s="51">
        <v>1</v>
      </c>
      <c r="E403" s="53">
        <v>1</v>
      </c>
      <c r="F403" s="52" t="s">
        <v>3666</v>
      </c>
      <c r="G403" s="52" t="s">
        <v>3667</v>
      </c>
      <c r="H403" s="52" t="s">
        <v>3675</v>
      </c>
      <c r="I403" s="53" t="s">
        <v>1457</v>
      </c>
      <c r="J403" s="52" t="s">
        <v>3678</v>
      </c>
      <c r="K403" s="25">
        <f>Tabelle5[[#This Row],[value_present]]*Tabelle5[[#This Row],[binding_level]]</f>
        <v>1</v>
      </c>
    </row>
    <row r="404" spans="1:11" x14ac:dyDescent="0.25">
      <c r="A404" s="24">
        <v>11</v>
      </c>
      <c r="B404" s="50">
        <v>57</v>
      </c>
      <c r="C404" s="50" t="s">
        <v>98</v>
      </c>
      <c r="D404" s="51">
        <v>1</v>
      </c>
      <c r="E404" s="53">
        <v>1</v>
      </c>
      <c r="F404" s="52" t="s">
        <v>3668</v>
      </c>
      <c r="G404" s="52" t="s">
        <v>3621</v>
      </c>
      <c r="H404" s="52" t="s">
        <v>3675</v>
      </c>
      <c r="I404" s="53" t="s">
        <v>1457</v>
      </c>
      <c r="J404" s="52" t="s">
        <v>3679</v>
      </c>
      <c r="K404" s="25">
        <f>Tabelle5[[#This Row],[value_present]]*Tabelle5[[#This Row],[binding_level]]</f>
        <v>1</v>
      </c>
    </row>
    <row r="405" spans="1:11" x14ac:dyDescent="0.25">
      <c r="A405" s="24">
        <v>11</v>
      </c>
      <c r="B405" s="50">
        <v>57</v>
      </c>
      <c r="C405" s="50" t="s">
        <v>106</v>
      </c>
      <c r="D405" s="51">
        <v>0</v>
      </c>
      <c r="E405" s="53"/>
      <c r="F405" s="52"/>
      <c r="G405" s="52"/>
      <c r="H405" s="52"/>
      <c r="I405" s="53" t="s">
        <v>1458</v>
      </c>
      <c r="J405" s="52" t="s">
        <v>3575</v>
      </c>
      <c r="K405" s="25">
        <f>Tabelle5[[#This Row],[value_present]]*Tabelle5[[#This Row],[binding_level]]</f>
        <v>0</v>
      </c>
    </row>
    <row r="406" spans="1:11" x14ac:dyDescent="0.25">
      <c r="A406" s="24">
        <v>11</v>
      </c>
      <c r="B406" s="50">
        <v>57</v>
      </c>
      <c r="C406" s="50" t="s">
        <v>112</v>
      </c>
      <c r="D406" s="51">
        <v>1</v>
      </c>
      <c r="E406" s="53">
        <v>1</v>
      </c>
      <c r="F406" s="52" t="s">
        <v>3669</v>
      </c>
      <c r="G406" s="52" t="s">
        <v>3623</v>
      </c>
      <c r="H406" s="52" t="s">
        <v>3675</v>
      </c>
      <c r="I406" s="53" t="s">
        <v>1457</v>
      </c>
      <c r="J406" s="52" t="s">
        <v>3680</v>
      </c>
      <c r="K406" s="25">
        <f>Tabelle5[[#This Row],[value_present]]*Tabelle5[[#This Row],[binding_level]]</f>
        <v>1</v>
      </c>
    </row>
    <row r="407" spans="1:11" x14ac:dyDescent="0.25">
      <c r="A407" s="24">
        <v>11</v>
      </c>
      <c r="B407" s="50">
        <v>57</v>
      </c>
      <c r="C407" s="50" t="s">
        <v>118</v>
      </c>
      <c r="D407" s="51">
        <v>0</v>
      </c>
      <c r="E407" s="53"/>
      <c r="F407" s="52"/>
      <c r="G407" s="52"/>
      <c r="H407" s="52"/>
      <c r="I407" s="53" t="s">
        <v>1457</v>
      </c>
      <c r="J407" s="52" t="s">
        <v>3577</v>
      </c>
      <c r="K407" s="25">
        <f>Tabelle5[[#This Row],[value_present]]*Tabelle5[[#This Row],[binding_level]]</f>
        <v>0</v>
      </c>
    </row>
    <row r="408" spans="1:11" x14ac:dyDescent="0.25">
      <c r="A408" s="24">
        <v>11</v>
      </c>
      <c r="B408" s="50">
        <v>57</v>
      </c>
      <c r="C408" s="50" t="s">
        <v>125</v>
      </c>
      <c r="D408" s="51">
        <v>0</v>
      </c>
      <c r="E408" s="53"/>
      <c r="F408" s="52"/>
      <c r="G408" s="52"/>
      <c r="H408" s="52"/>
      <c r="I408" s="53" t="s">
        <v>1457</v>
      </c>
      <c r="J408" s="52" t="s">
        <v>3451</v>
      </c>
      <c r="K408" s="25">
        <f>Tabelle5[[#This Row],[value_present]]*Tabelle5[[#This Row],[binding_level]]</f>
        <v>0</v>
      </c>
    </row>
    <row r="409" spans="1:11" x14ac:dyDescent="0.25">
      <c r="A409" s="24">
        <v>11</v>
      </c>
      <c r="B409" s="50">
        <v>57</v>
      </c>
      <c r="C409" s="50" t="s">
        <v>132</v>
      </c>
      <c r="D409" s="51">
        <v>0</v>
      </c>
      <c r="E409" s="53"/>
      <c r="F409" s="52"/>
      <c r="G409" s="52"/>
      <c r="H409" s="52"/>
      <c r="I409" s="53" t="s">
        <v>1457</v>
      </c>
      <c r="J409" s="52" t="s">
        <v>3578</v>
      </c>
      <c r="K409" s="25">
        <f>Tabelle5[[#This Row],[value_present]]*Tabelle5[[#This Row],[binding_level]]</f>
        <v>0</v>
      </c>
    </row>
    <row r="410" spans="1:11" x14ac:dyDescent="0.25">
      <c r="A410" s="24">
        <v>11</v>
      </c>
      <c r="B410" s="50">
        <v>57</v>
      </c>
      <c r="C410" s="50" t="s">
        <v>140</v>
      </c>
      <c r="D410" s="51">
        <v>0</v>
      </c>
      <c r="E410" s="53"/>
      <c r="F410" s="52"/>
      <c r="G410" s="52"/>
      <c r="H410" s="52"/>
      <c r="I410" s="53" t="s">
        <v>1458</v>
      </c>
      <c r="J410" s="52" t="s">
        <v>3681</v>
      </c>
      <c r="K410" s="25">
        <f>Tabelle5[[#This Row],[value_present]]*Tabelle5[[#This Row],[binding_level]]</f>
        <v>0</v>
      </c>
    </row>
    <row r="411" spans="1:11" x14ac:dyDescent="0.25">
      <c r="A411" s="24">
        <v>11</v>
      </c>
      <c r="B411" s="50">
        <v>57</v>
      </c>
      <c r="C411" s="50" t="s">
        <v>147</v>
      </c>
      <c r="D411" s="51">
        <v>0</v>
      </c>
      <c r="E411" s="53"/>
      <c r="F411" s="52"/>
      <c r="G411" s="52"/>
      <c r="H411" s="52"/>
      <c r="I411" s="53" t="s">
        <v>1458</v>
      </c>
      <c r="J411" s="52" t="s">
        <v>3682</v>
      </c>
      <c r="K411" s="25">
        <f>Tabelle5[[#This Row],[value_present]]*Tabelle5[[#This Row],[binding_level]]</f>
        <v>0</v>
      </c>
    </row>
    <row r="412" spans="1:11" x14ac:dyDescent="0.25">
      <c r="A412" s="24">
        <v>11</v>
      </c>
      <c r="B412" s="50">
        <v>57</v>
      </c>
      <c r="C412" s="50" t="s">
        <v>154</v>
      </c>
      <c r="D412" s="51">
        <v>1</v>
      </c>
      <c r="E412" s="53">
        <v>1</v>
      </c>
      <c r="F412" s="52" t="s">
        <v>3663</v>
      </c>
      <c r="G412" s="52" t="s">
        <v>3664</v>
      </c>
      <c r="H412" s="52" t="s">
        <v>3675</v>
      </c>
      <c r="I412" s="53" t="s">
        <v>1457</v>
      </c>
      <c r="J412" s="52" t="s">
        <v>3683</v>
      </c>
      <c r="K412" s="25">
        <f>Tabelle5[[#This Row],[value_present]]*Tabelle5[[#This Row],[binding_level]]</f>
        <v>1</v>
      </c>
    </row>
    <row r="413" spans="1:11" x14ac:dyDescent="0.25">
      <c r="A413" s="24">
        <v>11</v>
      </c>
      <c r="B413" s="50">
        <v>57</v>
      </c>
      <c r="C413" s="50" t="s">
        <v>161</v>
      </c>
      <c r="D413" s="51">
        <v>0</v>
      </c>
      <c r="E413" s="53"/>
      <c r="F413" s="52"/>
      <c r="G413" s="52"/>
      <c r="H413" s="52"/>
      <c r="I413" s="53" t="s">
        <v>1458</v>
      </c>
      <c r="J413" s="52" t="s">
        <v>3670</v>
      </c>
      <c r="K413" s="25">
        <f>Tabelle5[[#This Row],[value_present]]*Tabelle5[[#This Row],[binding_level]]</f>
        <v>0</v>
      </c>
    </row>
    <row r="414" spans="1:11" x14ac:dyDescent="0.25">
      <c r="A414" s="24">
        <v>11</v>
      </c>
      <c r="B414" s="50">
        <v>57</v>
      </c>
      <c r="C414" s="50" t="s">
        <v>166</v>
      </c>
      <c r="D414" s="51">
        <v>0</v>
      </c>
      <c r="E414" s="53"/>
      <c r="F414" s="52"/>
      <c r="G414" s="52"/>
      <c r="H414" s="52"/>
      <c r="I414" s="53" t="s">
        <v>1458</v>
      </c>
      <c r="J414" t="s">
        <v>3671</v>
      </c>
      <c r="K414" s="25">
        <f>Tabelle5[[#This Row],[value_present]]*Tabelle5[[#This Row],[binding_level]]</f>
        <v>0</v>
      </c>
    </row>
    <row r="415" spans="1:11" ht="15.75" thickBot="1" x14ac:dyDescent="0.3">
      <c r="A415" s="26">
        <v>11</v>
      </c>
      <c r="B415" s="27">
        <v>57</v>
      </c>
      <c r="C415" s="27" t="s">
        <v>174</v>
      </c>
      <c r="D415" s="28">
        <v>0</v>
      </c>
      <c r="E415" s="29"/>
      <c r="F415" s="30"/>
      <c r="G415" s="30"/>
      <c r="H415" s="30"/>
      <c r="I415" s="29" t="s">
        <v>1458</v>
      </c>
      <c r="J415" s="30" t="s">
        <v>3684</v>
      </c>
      <c r="K415" s="31">
        <f>Tabelle5[[#This Row],[value_present]]*Tabelle5[[#This Row],[binding_level]]</f>
        <v>0</v>
      </c>
    </row>
    <row r="416" spans="1:11" x14ac:dyDescent="0.25">
      <c r="A416" s="2">
        <v>12</v>
      </c>
      <c r="B416" s="2">
        <v>62</v>
      </c>
      <c r="C416" s="2" t="s">
        <v>53</v>
      </c>
      <c r="D416" s="3"/>
      <c r="E416" s="1"/>
      <c r="I416" s="1"/>
      <c r="K416" s="4">
        <f>Tabelle5[[#This Row],[value_present]]*Tabelle5[[#This Row],[binding_level]]</f>
        <v>0</v>
      </c>
    </row>
    <row r="417" spans="1:11" x14ac:dyDescent="0.25">
      <c r="A417" s="2"/>
      <c r="B417" s="2"/>
      <c r="C417" s="2" t="s">
        <v>61</v>
      </c>
      <c r="D417" s="3"/>
      <c r="E417" s="1"/>
      <c r="I417" s="1"/>
      <c r="K417" s="4">
        <f>Tabelle5[[#This Row],[value_present]]*Tabelle5[[#This Row],[binding_level]]</f>
        <v>0</v>
      </c>
    </row>
    <row r="418" spans="1:11" x14ac:dyDescent="0.25">
      <c r="A418" s="2"/>
      <c r="B418" s="2"/>
      <c r="C418" s="2" t="s">
        <v>69</v>
      </c>
      <c r="D418" s="3"/>
      <c r="E418" s="1"/>
      <c r="I418" s="1"/>
      <c r="K418" s="4">
        <f>Tabelle5[[#This Row],[value_present]]*Tabelle5[[#This Row],[binding_level]]</f>
        <v>0</v>
      </c>
    </row>
    <row r="419" spans="1:11" x14ac:dyDescent="0.25">
      <c r="A419" s="2"/>
      <c r="B419" s="2"/>
      <c r="C419" s="2" t="s">
        <v>76</v>
      </c>
      <c r="D419" s="3"/>
      <c r="E419" s="1"/>
      <c r="I419" s="1"/>
      <c r="K419" s="4">
        <f>Tabelle5[[#This Row],[value_present]]*Tabelle5[[#This Row],[binding_level]]</f>
        <v>0</v>
      </c>
    </row>
    <row r="420" spans="1:11" x14ac:dyDescent="0.25">
      <c r="A420" s="2"/>
      <c r="B420" s="2"/>
      <c r="C420" s="2" t="s">
        <v>83</v>
      </c>
      <c r="D420" s="3"/>
      <c r="E420" s="1"/>
      <c r="I420" s="1"/>
      <c r="K420" s="4">
        <f>Tabelle5[[#This Row],[value_present]]*Tabelle5[[#This Row],[binding_level]]</f>
        <v>0</v>
      </c>
    </row>
    <row r="421" spans="1:11" x14ac:dyDescent="0.25">
      <c r="A421" s="2"/>
      <c r="B421" s="2"/>
      <c r="C421" s="2" t="s">
        <v>90</v>
      </c>
      <c r="D421" s="3"/>
      <c r="E421" s="1"/>
      <c r="I421" s="1"/>
      <c r="K421" s="4">
        <f>Tabelle5[[#This Row],[value_present]]*Tabelle5[[#This Row],[binding_level]]</f>
        <v>0</v>
      </c>
    </row>
    <row r="422" spans="1:11" x14ac:dyDescent="0.25">
      <c r="A422" s="2"/>
      <c r="B422" s="2"/>
      <c r="C422" s="2" t="s">
        <v>98</v>
      </c>
      <c r="D422" s="3"/>
      <c r="E422" s="1"/>
      <c r="I422" s="1"/>
      <c r="K422" s="4">
        <f>Tabelle5[[#This Row],[value_present]]*Tabelle5[[#This Row],[binding_level]]</f>
        <v>0</v>
      </c>
    </row>
    <row r="423" spans="1:11" x14ac:dyDescent="0.25">
      <c r="A423" s="2"/>
      <c r="B423" s="2"/>
      <c r="C423" s="2" t="s">
        <v>106</v>
      </c>
      <c r="D423" s="3"/>
      <c r="E423" s="1"/>
      <c r="I423" s="1"/>
      <c r="K423" s="4">
        <f>Tabelle5[[#This Row],[value_present]]*Tabelle5[[#This Row],[binding_level]]</f>
        <v>0</v>
      </c>
    </row>
    <row r="424" spans="1:11" x14ac:dyDescent="0.25">
      <c r="A424" s="2"/>
      <c r="B424" s="2"/>
      <c r="C424" s="2" t="s">
        <v>112</v>
      </c>
      <c r="D424" s="3"/>
      <c r="E424" s="1"/>
      <c r="I424" s="1"/>
      <c r="K424" s="4">
        <f>Tabelle5[[#This Row],[value_present]]*Tabelle5[[#This Row],[binding_level]]</f>
        <v>0</v>
      </c>
    </row>
    <row r="425" spans="1:11" x14ac:dyDescent="0.25">
      <c r="A425" s="2"/>
      <c r="B425" s="2"/>
      <c r="C425" s="2" t="s">
        <v>118</v>
      </c>
      <c r="D425" s="3"/>
      <c r="E425" s="1"/>
      <c r="I425" s="1"/>
      <c r="K425" s="4">
        <f>Tabelle5[[#This Row],[value_present]]*Tabelle5[[#This Row],[binding_level]]</f>
        <v>0</v>
      </c>
    </row>
    <row r="426" spans="1:11" x14ac:dyDescent="0.25">
      <c r="A426" s="2"/>
      <c r="B426" s="2"/>
      <c r="C426" s="2" t="s">
        <v>125</v>
      </c>
      <c r="D426" s="3"/>
      <c r="E426" s="1"/>
      <c r="I426" s="1"/>
      <c r="K426" s="4">
        <f>Tabelle5[[#This Row],[value_present]]*Tabelle5[[#This Row],[binding_level]]</f>
        <v>0</v>
      </c>
    </row>
    <row r="427" spans="1:11" x14ac:dyDescent="0.25">
      <c r="A427" s="2"/>
      <c r="B427" s="2"/>
      <c r="C427" s="2" t="s">
        <v>132</v>
      </c>
      <c r="D427" s="3"/>
      <c r="E427" s="1"/>
      <c r="I427" s="1"/>
      <c r="K427" s="4">
        <f>Tabelle5[[#This Row],[value_present]]*Tabelle5[[#This Row],[binding_level]]</f>
        <v>0</v>
      </c>
    </row>
    <row r="428" spans="1:11" x14ac:dyDescent="0.25">
      <c r="A428" s="2"/>
      <c r="B428" s="2"/>
      <c r="C428" s="2" t="s">
        <v>140</v>
      </c>
      <c r="D428" s="3"/>
      <c r="E428" s="1"/>
      <c r="I428" s="1"/>
      <c r="K428" s="4">
        <f>Tabelle5[[#This Row],[value_present]]*Tabelle5[[#This Row],[binding_level]]</f>
        <v>0</v>
      </c>
    </row>
    <row r="429" spans="1:11" x14ac:dyDescent="0.25">
      <c r="A429" s="2"/>
      <c r="B429" s="2"/>
      <c r="C429" s="2" t="s">
        <v>147</v>
      </c>
      <c r="D429" s="3"/>
      <c r="E429" s="1"/>
      <c r="I429" s="1"/>
      <c r="K429" s="4">
        <f>Tabelle5[[#This Row],[value_present]]*Tabelle5[[#This Row],[binding_level]]</f>
        <v>0</v>
      </c>
    </row>
    <row r="430" spans="1:11" x14ac:dyDescent="0.25">
      <c r="A430" s="2"/>
      <c r="B430" s="2"/>
      <c r="C430" s="2" t="s">
        <v>154</v>
      </c>
      <c r="D430" s="3"/>
      <c r="E430" s="1"/>
      <c r="I430" s="1"/>
      <c r="K430" s="4">
        <f>Tabelle5[[#This Row],[value_present]]*Tabelle5[[#This Row],[binding_level]]</f>
        <v>0</v>
      </c>
    </row>
    <row r="431" spans="1:11" x14ac:dyDescent="0.25">
      <c r="A431" s="2"/>
      <c r="B431" s="2"/>
      <c r="C431" s="2" t="s">
        <v>161</v>
      </c>
      <c r="D431" s="3"/>
      <c r="E431" s="1"/>
      <c r="I431" s="1"/>
      <c r="K431" s="4">
        <f>Tabelle5[[#This Row],[value_present]]*Tabelle5[[#This Row],[binding_level]]</f>
        <v>0</v>
      </c>
    </row>
    <row r="432" spans="1:11" x14ac:dyDescent="0.25">
      <c r="A432" s="2"/>
      <c r="B432" s="2"/>
      <c r="C432" s="2" t="s">
        <v>166</v>
      </c>
      <c r="D432" s="3"/>
      <c r="E432" s="1"/>
      <c r="I432" s="1"/>
      <c r="K432" s="4">
        <f>Tabelle5[[#This Row],[value_present]]*Tabelle5[[#This Row],[binding_level]]</f>
        <v>0</v>
      </c>
    </row>
    <row r="433" spans="1:11" x14ac:dyDescent="0.25">
      <c r="A433" s="2"/>
      <c r="B433" s="2"/>
      <c r="C433" s="2" t="s">
        <v>174</v>
      </c>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row r="573" spans="1:11" x14ac:dyDescent="0.25">
      <c r="A573" s="2"/>
      <c r="B573" s="2"/>
      <c r="C573" s="2"/>
      <c r="D573" s="3"/>
      <c r="E573" s="1"/>
      <c r="I573" s="1"/>
      <c r="K573" s="54">
        <f>Tabelle5[[#This Row],[value_present]]*Tabelle5[[#This Row],[binding_level]]</f>
        <v>0</v>
      </c>
    </row>
    <row r="574" spans="1:11" x14ac:dyDescent="0.25">
      <c r="A574" s="2"/>
      <c r="B574" s="2"/>
      <c r="C574" s="2"/>
      <c r="D574" s="3"/>
      <c r="E574" s="1"/>
      <c r="I574" s="1"/>
      <c r="K574" s="54">
        <f>Tabelle5[[#This Row],[value_present]]*Tabelle5[[#This Row],[binding_level]]</f>
        <v>0</v>
      </c>
    </row>
    <row r="575" spans="1:11" x14ac:dyDescent="0.25">
      <c r="A575" s="2"/>
      <c r="B575" s="2"/>
      <c r="C575" s="2"/>
      <c r="D575" s="3"/>
      <c r="E575" s="1"/>
      <c r="I575" s="1"/>
      <c r="K575" s="54">
        <f>Tabelle5[[#This Row],[value_present]]*Tabelle5[[#This Row],[binding_level]]</f>
        <v>0</v>
      </c>
    </row>
    <row r="576" spans="1:11" x14ac:dyDescent="0.25">
      <c r="A576" s="2"/>
      <c r="B576" s="2"/>
      <c r="C576" s="2"/>
      <c r="D576" s="3"/>
      <c r="E576" s="1"/>
      <c r="I576" s="1"/>
      <c r="K576" s="54">
        <f>Tabelle5[[#This Row],[value_present]]*Tabelle5[[#This Row],[binding_level]]</f>
        <v>0</v>
      </c>
    </row>
    <row r="577" spans="1:11" x14ac:dyDescent="0.25">
      <c r="A577" s="2"/>
      <c r="B577" s="2"/>
      <c r="C577" s="2"/>
      <c r="D577" s="3"/>
      <c r="E577" s="1"/>
      <c r="I577" s="1"/>
      <c r="K577" s="54">
        <f>Tabelle5[[#This Row],[value_present]]*Tabelle5[[#This Row],[binding_level]]</f>
        <v>0</v>
      </c>
    </row>
    <row r="578" spans="1:11" x14ac:dyDescent="0.25">
      <c r="A578" s="2"/>
      <c r="B578" s="2"/>
      <c r="C578" s="2"/>
      <c r="D578" s="3"/>
      <c r="E578" s="1"/>
      <c r="I578" s="1"/>
      <c r="K578" s="54">
        <f>Tabelle5[[#This Row],[value_present]]*Tabelle5[[#This Row],[binding_level]]</f>
        <v>0</v>
      </c>
    </row>
    <row r="579" spans="1:11" x14ac:dyDescent="0.25">
      <c r="A579" s="2"/>
      <c r="B579" s="2"/>
      <c r="C579" s="2"/>
      <c r="D579" s="3"/>
      <c r="E579" s="1"/>
      <c r="I579" s="1"/>
      <c r="K579" s="54">
        <f>Tabelle5[[#This Row],[value_present]]*Tabelle5[[#This Row],[binding_level]]</f>
        <v>0</v>
      </c>
    </row>
    <row r="580" spans="1:11" x14ac:dyDescent="0.25">
      <c r="A580" s="2"/>
      <c r="B580" s="2"/>
      <c r="C580" s="2"/>
      <c r="D580" s="3"/>
      <c r="E580" s="1"/>
      <c r="I580" s="1"/>
      <c r="K580" s="54">
        <f>Tabelle5[[#This Row],[value_present]]*Tabelle5[[#This Row],[binding_level]]</f>
        <v>0</v>
      </c>
    </row>
    <row r="581" spans="1:11" x14ac:dyDescent="0.25">
      <c r="A581" s="2"/>
      <c r="B581" s="2"/>
      <c r="C581" s="2"/>
      <c r="D581" s="3"/>
      <c r="E581" s="1"/>
      <c r="I581" s="1"/>
      <c r="K581" s="54">
        <f>Tabelle5[[#This Row],[value_present]]*Tabelle5[[#This Row],[binding_level]]</f>
        <v>0</v>
      </c>
    </row>
    <row r="582" spans="1:11" x14ac:dyDescent="0.25">
      <c r="A582" s="2"/>
      <c r="B582" s="2"/>
      <c r="C582" s="2"/>
      <c r="D582" s="3"/>
      <c r="E582" s="1"/>
      <c r="I582" s="1"/>
      <c r="K582" s="54">
        <f>Tabelle5[[#This Row],[value_present]]*Tabelle5[[#This Row],[binding_level]]</f>
        <v>0</v>
      </c>
    </row>
    <row r="583" spans="1:11" x14ac:dyDescent="0.25">
      <c r="A583" s="2"/>
      <c r="B583" s="2"/>
      <c r="C583" s="2"/>
      <c r="D583" s="3"/>
      <c r="E583" s="1"/>
      <c r="I583" s="1"/>
      <c r="K583" s="54">
        <f>Tabelle5[[#This Row],[value_present]]*Tabelle5[[#This Row],[binding_level]]</f>
        <v>0</v>
      </c>
    </row>
    <row r="584" spans="1:11" x14ac:dyDescent="0.25">
      <c r="A584" s="2"/>
      <c r="B584" s="2"/>
      <c r="C584" s="2"/>
      <c r="D584" s="3"/>
      <c r="E584" s="1"/>
      <c r="I584" s="1"/>
      <c r="K584" s="54">
        <f>Tabelle5[[#This Row],[value_present]]*Tabelle5[[#This Row],[binding_level]]</f>
        <v>0</v>
      </c>
    </row>
    <row r="585" spans="1:11" x14ac:dyDescent="0.25">
      <c r="A585" s="2"/>
      <c r="B585" s="2"/>
      <c r="C585" s="2"/>
      <c r="D585" s="3"/>
      <c r="E585" s="1"/>
      <c r="I585" s="1"/>
      <c r="K585" s="54">
        <f>Tabelle5[[#This Row],[value_present]]*Tabelle5[[#This Row],[binding_level]]</f>
        <v>0</v>
      </c>
    </row>
    <row r="586" spans="1:11" x14ac:dyDescent="0.25">
      <c r="A586" s="2"/>
      <c r="B586" s="2"/>
      <c r="C586" s="2"/>
      <c r="D586" s="3"/>
      <c r="E586" s="1"/>
      <c r="I586" s="1"/>
      <c r="K586" s="54">
        <f>Tabelle5[[#This Row],[value_present]]*Tabelle5[[#This Row],[binding_level]]</f>
        <v>0</v>
      </c>
    </row>
    <row r="587" spans="1:11" x14ac:dyDescent="0.25">
      <c r="A587" s="2"/>
      <c r="B587" s="2"/>
      <c r="C587" s="2"/>
      <c r="D587" s="3"/>
      <c r="E587" s="1"/>
      <c r="I587" s="1"/>
      <c r="K587" s="54">
        <f>Tabelle5[[#This Row],[value_present]]*Tabelle5[[#This Row],[binding_level]]</f>
        <v>0</v>
      </c>
    </row>
    <row r="588" spans="1:11" x14ac:dyDescent="0.25">
      <c r="A588" s="2"/>
      <c r="B588" s="2"/>
      <c r="C588" s="2"/>
      <c r="D588" s="3"/>
      <c r="E588" s="1"/>
      <c r="I588" s="1"/>
      <c r="K588" s="54">
        <f>Tabelle5[[#This Row],[value_present]]*Tabelle5[[#This Row],[binding_level]]</f>
        <v>0</v>
      </c>
    </row>
    <row r="589" spans="1:11" x14ac:dyDescent="0.25">
      <c r="A589" s="2"/>
      <c r="B589" s="2"/>
      <c r="C589" s="2"/>
      <c r="D589" s="3"/>
      <c r="E589" s="1"/>
      <c r="I589" s="1"/>
      <c r="K589" s="54">
        <f>Tabelle5[[#This Row],[value_present]]*Tabelle5[[#This Row],[binding_level]]</f>
        <v>0</v>
      </c>
    </row>
    <row r="590" spans="1:11" x14ac:dyDescent="0.25">
      <c r="A590" s="2"/>
      <c r="B590" s="2"/>
      <c r="C590" s="2"/>
      <c r="D590" s="3"/>
      <c r="E590" s="1"/>
      <c r="I590" s="1"/>
      <c r="K590" s="54">
        <f>Tabelle5[[#This Row],[value_present]]*Tabelle5[[#This Row],[binding_level]]</f>
        <v>0</v>
      </c>
    </row>
    <row r="591" spans="1:11" x14ac:dyDescent="0.25">
      <c r="A591" s="2"/>
      <c r="B591" s="2"/>
      <c r="C591" s="2"/>
      <c r="D591" s="3"/>
      <c r="E591" s="1"/>
      <c r="I591" s="1"/>
      <c r="K591" s="54">
        <f>Tabelle5[[#This Row],[value_present]]*Tabelle5[[#This Row],[binding_level]]</f>
        <v>0</v>
      </c>
    </row>
    <row r="592" spans="1:11" x14ac:dyDescent="0.25">
      <c r="A592" s="2"/>
      <c r="B592" s="2"/>
      <c r="C592" s="2"/>
      <c r="D592" s="3"/>
      <c r="E592" s="1"/>
      <c r="I592" s="1"/>
      <c r="K592" s="54">
        <f>Tabelle5[[#This Row],[value_present]]*Tabelle5[[#This Row],[binding_level]]</f>
        <v>0</v>
      </c>
    </row>
    <row r="593" spans="1:11" x14ac:dyDescent="0.25">
      <c r="A593" s="2"/>
      <c r="B593" s="2"/>
      <c r="C593" s="2"/>
      <c r="D593" s="3"/>
      <c r="E593" s="1"/>
      <c r="I593" s="1"/>
      <c r="K593" s="54">
        <f>Tabelle5[[#This Row],[value_present]]*Tabelle5[[#This Row],[binding_level]]</f>
        <v>0</v>
      </c>
    </row>
    <row r="594" spans="1:11" x14ac:dyDescent="0.25">
      <c r="A594" s="2"/>
      <c r="B594" s="2"/>
      <c r="C594" s="2"/>
      <c r="D594" s="3"/>
      <c r="E594" s="1"/>
      <c r="I594" s="1"/>
      <c r="K594" s="54">
        <f>Tabelle5[[#This Row],[value_present]]*Tabelle5[[#This Row],[binding_level]]</f>
        <v>0</v>
      </c>
    </row>
    <row r="595" spans="1:11" x14ac:dyDescent="0.25">
      <c r="A595" s="2"/>
      <c r="B595" s="2"/>
      <c r="C595" s="2"/>
      <c r="D595" s="3"/>
      <c r="E595" s="1"/>
      <c r="I595" s="1"/>
      <c r="K595" s="54">
        <f>Tabelle5[[#This Row],[value_present]]*Tabelle5[[#This Row],[binding_level]]</f>
        <v>0</v>
      </c>
    </row>
    <row r="596" spans="1:11" x14ac:dyDescent="0.25">
      <c r="A596" s="2"/>
      <c r="B596" s="2"/>
      <c r="C596" s="2"/>
      <c r="D596" s="3"/>
      <c r="E596" s="1"/>
      <c r="I596" s="1"/>
      <c r="K596" s="54">
        <f>Tabelle5[[#This Row],[value_present]]*Tabelle5[[#This Row],[binding_level]]</f>
        <v>0</v>
      </c>
    </row>
    <row r="597" spans="1:11" x14ac:dyDescent="0.25">
      <c r="A597" s="2"/>
      <c r="B597" s="2"/>
      <c r="C597" s="2"/>
      <c r="D597" s="3"/>
      <c r="E597" s="1"/>
      <c r="I597" s="1"/>
      <c r="K597" s="54">
        <f>Tabelle5[[#This Row],[value_present]]*Tabelle5[[#This Row],[binding_level]]</f>
        <v>0</v>
      </c>
    </row>
    <row r="598" spans="1:11" x14ac:dyDescent="0.25">
      <c r="A598" s="2"/>
      <c r="B598" s="2"/>
      <c r="C598" s="2"/>
      <c r="D598" s="3"/>
      <c r="E598" s="1"/>
      <c r="I598" s="1"/>
      <c r="K598" s="54">
        <f>Tabelle5[[#This Row],[value_present]]*Tabelle5[[#This Row],[binding_level]]</f>
        <v>0</v>
      </c>
    </row>
    <row r="599" spans="1:11" x14ac:dyDescent="0.25">
      <c r="A599" s="2"/>
      <c r="B599" s="2"/>
      <c r="C599" s="2"/>
      <c r="D599" s="3"/>
      <c r="E599" s="1"/>
      <c r="I599" s="1"/>
      <c r="K599" s="54">
        <f>Tabelle5[[#This Row],[value_present]]*Tabelle5[[#This Row],[binding_level]]</f>
        <v>0</v>
      </c>
    </row>
    <row r="600" spans="1:11" x14ac:dyDescent="0.25">
      <c r="A600" s="2"/>
      <c r="B600" s="2"/>
      <c r="C600" s="2"/>
      <c r="D600" s="3"/>
      <c r="E600" s="1"/>
      <c r="I600" s="1"/>
      <c r="K600" s="54">
        <f>Tabelle5[[#This Row],[value_present]]*Tabelle5[[#This Row],[binding_level]]</f>
        <v>0</v>
      </c>
    </row>
    <row r="601" spans="1:11" x14ac:dyDescent="0.25">
      <c r="A601" s="2"/>
      <c r="B601" s="2"/>
      <c r="C601" s="2"/>
      <c r="D601" s="3"/>
      <c r="E601" s="1"/>
      <c r="I601" s="1"/>
      <c r="K601" s="54">
        <f>Tabelle5[[#This Row],[value_present]]*Tabelle5[[#This Row],[binding_level]]</f>
        <v>0</v>
      </c>
    </row>
    <row r="602" spans="1:11" x14ac:dyDescent="0.25">
      <c r="A602" s="2"/>
      <c r="B602" s="2"/>
      <c r="C602" s="2"/>
      <c r="D602" s="3"/>
      <c r="E602" s="1"/>
      <c r="I602" s="1"/>
      <c r="K602" s="54">
        <f>Tabelle5[[#This Row],[value_present]]*Tabelle5[[#This Row],[binding_level]]</f>
        <v>0</v>
      </c>
    </row>
    <row r="603" spans="1:11" x14ac:dyDescent="0.25">
      <c r="A603" s="2"/>
      <c r="B603" s="2"/>
      <c r="C603" s="2"/>
      <c r="D603" s="3"/>
      <c r="E603" s="1"/>
      <c r="I603" s="1"/>
      <c r="K603" s="54">
        <f>Tabelle5[[#This Row],[value_present]]*Tabelle5[[#This Row],[binding_level]]</f>
        <v>0</v>
      </c>
    </row>
    <row r="604" spans="1:11" x14ac:dyDescent="0.25">
      <c r="A604" s="2"/>
      <c r="B604" s="2"/>
      <c r="C604" s="2"/>
      <c r="D604" s="3"/>
      <c r="E604" s="1"/>
      <c r="I604" s="1"/>
      <c r="K604" s="54">
        <f>Tabelle5[[#This Row],[value_present]]*Tabelle5[[#This Row],[binding_level]]</f>
        <v>0</v>
      </c>
    </row>
    <row r="605" spans="1:11" x14ac:dyDescent="0.25">
      <c r="A605" s="2"/>
      <c r="B605" s="2"/>
      <c r="C605" s="2"/>
      <c r="D605" s="3"/>
      <c r="E605" s="1"/>
      <c r="I605" s="1"/>
      <c r="K605" s="54">
        <f>Tabelle5[[#This Row],[value_present]]*Tabelle5[[#This Row],[binding_level]]</f>
        <v>0</v>
      </c>
    </row>
    <row r="606" spans="1:11" x14ac:dyDescent="0.25">
      <c r="A606" s="2"/>
      <c r="B606" s="2"/>
      <c r="C606" s="2"/>
      <c r="D606" s="3"/>
      <c r="E606" s="1"/>
      <c r="I606" s="1"/>
      <c r="K606" s="54">
        <f>Tabelle5[[#This Row],[value_present]]*Tabelle5[[#This Row],[binding_level]]</f>
        <v>0</v>
      </c>
    </row>
    <row r="607" spans="1:11" x14ac:dyDescent="0.25">
      <c r="A607" s="2"/>
      <c r="B607" s="2"/>
      <c r="C607" s="2"/>
      <c r="D607" s="3"/>
      <c r="E607" s="1"/>
      <c r="I607" s="1"/>
      <c r="K607" s="54">
        <f>Tabelle5[[#This Row],[value_present]]*Tabelle5[[#This Row],[binding_level]]</f>
        <v>0</v>
      </c>
    </row>
    <row r="608" spans="1:11" x14ac:dyDescent="0.25">
      <c r="A608" s="2"/>
      <c r="B608" s="2"/>
      <c r="C608" s="2"/>
      <c r="D608" s="3"/>
      <c r="E608" s="1"/>
      <c r="I608" s="1"/>
      <c r="K608" s="54">
        <f>Tabelle5[[#This Row],[value_present]]*Tabelle5[[#This Row],[binding_level]]</f>
        <v>0</v>
      </c>
    </row>
    <row r="609" spans="1:11" x14ac:dyDescent="0.25">
      <c r="A609" s="2"/>
      <c r="B609" s="2"/>
      <c r="C609" s="2"/>
      <c r="D609" s="3"/>
      <c r="E609" s="1"/>
      <c r="I609" s="1"/>
      <c r="K609" s="54">
        <f>Tabelle5[[#This Row],[value_present]]*Tabelle5[[#This Row],[binding_level]]</f>
        <v>0</v>
      </c>
    </row>
    <row r="610" spans="1:11" x14ac:dyDescent="0.25">
      <c r="A610" s="2"/>
      <c r="B610" s="2"/>
      <c r="C610" s="2"/>
      <c r="D610" s="3"/>
      <c r="E610" s="1"/>
      <c r="I610" s="1"/>
      <c r="K610" s="54">
        <f>Tabelle5[[#This Row],[value_present]]*Tabelle5[[#This Row],[binding_level]]</f>
        <v>0</v>
      </c>
    </row>
    <row r="611" spans="1:11" x14ac:dyDescent="0.25">
      <c r="A611" s="2"/>
      <c r="B611" s="2"/>
      <c r="C611" s="2"/>
      <c r="D611" s="3"/>
      <c r="E611" s="1"/>
      <c r="I611" s="1"/>
      <c r="K611" s="54">
        <f>Tabelle5[[#This Row],[value_present]]*Tabelle5[[#This Row],[binding_level]]</f>
        <v>0</v>
      </c>
    </row>
    <row r="612" spans="1:11" x14ac:dyDescent="0.25">
      <c r="A612" s="2"/>
      <c r="B612" s="2"/>
      <c r="C612" s="2"/>
      <c r="D612" s="3"/>
      <c r="E612" s="1"/>
      <c r="I612" s="1"/>
      <c r="K612" s="54">
        <f>Tabelle5[[#This Row],[value_present]]*Tabelle5[[#This Row],[binding_level]]</f>
        <v>0</v>
      </c>
    </row>
    <row r="613" spans="1:11" x14ac:dyDescent="0.25">
      <c r="A613" s="2"/>
      <c r="B613" s="2"/>
      <c r="C613" s="2"/>
      <c r="D613" s="3"/>
      <c r="E613" s="1"/>
      <c r="I613" s="1"/>
      <c r="K613" s="54">
        <f>Tabelle5[[#This Row],[value_present]]*Tabelle5[[#This Row],[binding_level]]</f>
        <v>0</v>
      </c>
    </row>
    <row r="614" spans="1:11" x14ac:dyDescent="0.25">
      <c r="A614" s="2"/>
      <c r="B614" s="2"/>
      <c r="C614" s="2"/>
      <c r="D614" s="3"/>
      <c r="E614" s="1"/>
      <c r="I614" s="1"/>
      <c r="K614" s="54">
        <f>Tabelle5[[#This Row],[value_present]]*Tabelle5[[#This Row],[binding_level]]</f>
        <v>0</v>
      </c>
    </row>
    <row r="615" spans="1:11" x14ac:dyDescent="0.25">
      <c r="A615" s="2"/>
      <c r="B615" s="2"/>
      <c r="C615" s="2"/>
      <c r="D615" s="3"/>
      <c r="E615" s="1"/>
      <c r="I615" s="1"/>
      <c r="K615" s="54">
        <f>Tabelle5[[#This Row],[value_present]]*Tabelle5[[#This Row],[binding_level]]</f>
        <v>0</v>
      </c>
    </row>
    <row r="616" spans="1:11" x14ac:dyDescent="0.25">
      <c r="A616" s="2"/>
      <c r="B616" s="2"/>
      <c r="C616" s="2"/>
      <c r="D616" s="3"/>
      <c r="E616" s="1"/>
      <c r="I616" s="1"/>
      <c r="K616" s="54">
        <f>Tabelle5[[#This Row],[value_present]]*Tabelle5[[#This Row],[binding_level]]</f>
        <v>0</v>
      </c>
    </row>
    <row r="617" spans="1:11" x14ac:dyDescent="0.25">
      <c r="A617" s="2"/>
      <c r="B617" s="2"/>
      <c r="C617" s="2"/>
      <c r="D617" s="3"/>
      <c r="E617" s="1"/>
      <c r="I617" s="1"/>
      <c r="K617" s="54">
        <f>Tabelle5[[#This Row],[value_present]]*Tabelle5[[#This Row],[binding_level]]</f>
        <v>0</v>
      </c>
    </row>
    <row r="618" spans="1:11" x14ac:dyDescent="0.25">
      <c r="A618" s="2"/>
      <c r="B618" s="2"/>
      <c r="C618" s="2"/>
      <c r="D618" s="3"/>
      <c r="E618" s="1"/>
      <c r="I618" s="1"/>
      <c r="K618" s="54">
        <f>Tabelle5[[#This Row],[value_present]]*Tabelle5[[#This Row],[binding_level]]</f>
        <v>0</v>
      </c>
    </row>
    <row r="619" spans="1:11" x14ac:dyDescent="0.25">
      <c r="A619" s="2"/>
      <c r="B619" s="2"/>
      <c r="C619" s="2"/>
      <c r="D619" s="3"/>
      <c r="E619" s="1"/>
      <c r="I619" s="1"/>
      <c r="K619" s="54">
        <f>Tabelle5[[#This Row],[value_present]]*Tabelle5[[#This Row],[binding_level]]</f>
        <v>0</v>
      </c>
    </row>
    <row r="620" spans="1:11" x14ac:dyDescent="0.25">
      <c r="A620" s="2"/>
      <c r="B620" s="2"/>
      <c r="C620" s="2"/>
      <c r="D620" s="3"/>
      <c r="E620" s="1"/>
      <c r="I620" s="1"/>
      <c r="K620" s="54">
        <f>Tabelle5[[#This Row],[value_present]]*Tabelle5[[#This Row],[binding_level]]</f>
        <v>0</v>
      </c>
    </row>
    <row r="621" spans="1:11" x14ac:dyDescent="0.25">
      <c r="A621" s="2"/>
      <c r="B621" s="2"/>
      <c r="C621" s="2"/>
      <c r="D621" s="3"/>
      <c r="E621" s="1"/>
      <c r="I621" s="1"/>
      <c r="K621" s="54">
        <f>Tabelle5[[#This Row],[value_present]]*Tabelle5[[#This Row],[binding_level]]</f>
        <v>0</v>
      </c>
    </row>
    <row r="622" spans="1:11" x14ac:dyDescent="0.25">
      <c r="A622" s="2"/>
      <c r="B622" s="2"/>
      <c r="C622" s="2"/>
      <c r="D622" s="3"/>
      <c r="E622" s="1"/>
      <c r="I622" s="1"/>
      <c r="K622" s="54">
        <f>Tabelle5[[#This Row],[value_present]]*Tabelle5[[#This Row],[binding_level]]</f>
        <v>0</v>
      </c>
    </row>
    <row r="623" spans="1:11" x14ac:dyDescent="0.25">
      <c r="A623" s="2"/>
      <c r="B623" s="2"/>
      <c r="C623" s="2"/>
      <c r="D623" s="3"/>
      <c r="E623" s="1"/>
      <c r="I623" s="1"/>
      <c r="K623" s="54">
        <f>Tabelle5[[#This Row],[value_present]]*Tabelle5[[#This Row],[binding_level]]</f>
        <v>0</v>
      </c>
    </row>
    <row r="624" spans="1:11" x14ac:dyDescent="0.25">
      <c r="A624" s="2"/>
      <c r="B624" s="2"/>
      <c r="C624" s="2"/>
      <c r="D624" s="3"/>
      <c r="E624" s="1"/>
      <c r="I624" s="1"/>
      <c r="K624" s="54">
        <f>Tabelle5[[#This Row],[value_present]]*Tabelle5[[#This Row],[binding_level]]</f>
        <v>0</v>
      </c>
    </row>
    <row r="625" spans="1:11" x14ac:dyDescent="0.25">
      <c r="A625" s="2"/>
      <c r="B625" s="2"/>
      <c r="C625" s="2"/>
      <c r="D625" s="3"/>
      <c r="E625" s="1"/>
      <c r="I625" s="1"/>
      <c r="K625" s="54">
        <f>Tabelle5[[#This Row],[value_present]]*Tabelle5[[#This Row],[binding_level]]</f>
        <v>0</v>
      </c>
    </row>
    <row r="626" spans="1:11" x14ac:dyDescent="0.25">
      <c r="A626" s="2"/>
      <c r="B626" s="2"/>
      <c r="C626" s="2"/>
      <c r="D626" s="3"/>
      <c r="E626" s="1"/>
      <c r="I626" s="1"/>
      <c r="K626" s="54">
        <f>Tabelle5[[#This Row],[value_present]]*Tabelle5[[#This Row],[binding_level]]</f>
        <v>0</v>
      </c>
    </row>
    <row r="627" spans="1:11" x14ac:dyDescent="0.25">
      <c r="A627" s="2"/>
      <c r="B627" s="2"/>
      <c r="C627" s="2"/>
      <c r="D627" s="3"/>
      <c r="E627" s="1"/>
      <c r="I627" s="1"/>
      <c r="K627" s="54">
        <f>Tabelle5[[#This Row],[value_present]]*Tabelle5[[#This Row],[binding_level]]</f>
        <v>0</v>
      </c>
    </row>
    <row r="628" spans="1:11" x14ac:dyDescent="0.25">
      <c r="A628" s="2"/>
      <c r="B628" s="2"/>
      <c r="C628" s="2"/>
      <c r="D628" s="3"/>
      <c r="E628" s="1"/>
      <c r="I628" s="1"/>
      <c r="K628" s="54">
        <f>Tabelle5[[#This Row],[value_present]]*Tabelle5[[#This Row],[binding_level]]</f>
        <v>0</v>
      </c>
    </row>
    <row r="629" spans="1:11" x14ac:dyDescent="0.25">
      <c r="A629" s="2"/>
      <c r="B629" s="2"/>
      <c r="C629" s="2"/>
      <c r="D629" s="3"/>
      <c r="E629" s="1"/>
      <c r="I629" s="1"/>
      <c r="K629" s="54">
        <f>Tabelle5[[#This Row],[value_present]]*Tabelle5[[#This Row],[binding_level]]</f>
        <v>0</v>
      </c>
    </row>
    <row r="630" spans="1:11" x14ac:dyDescent="0.25">
      <c r="A630" s="2"/>
      <c r="B630" s="2"/>
      <c r="C630" s="2"/>
      <c r="D630" s="3"/>
      <c r="E630" s="1"/>
      <c r="I630" s="1"/>
      <c r="K630" s="54">
        <f>Tabelle5[[#This Row],[value_present]]*Tabelle5[[#This Row],[binding_level]]</f>
        <v>0</v>
      </c>
    </row>
    <row r="631" spans="1:11" x14ac:dyDescent="0.25">
      <c r="A631" s="2"/>
      <c r="B631" s="2"/>
      <c r="C631" s="2"/>
      <c r="D631" s="3"/>
      <c r="E631" s="1"/>
      <c r="I631" s="1"/>
      <c r="K631" s="54">
        <f>Tabelle5[[#This Row],[value_present]]*Tabelle5[[#This Row],[binding_level]]</f>
        <v>0</v>
      </c>
    </row>
    <row r="632" spans="1:11" x14ac:dyDescent="0.25">
      <c r="A632" s="2"/>
      <c r="B632" s="2"/>
      <c r="C632" s="2"/>
      <c r="D632" s="3"/>
      <c r="E632" s="1"/>
      <c r="I632" s="1"/>
      <c r="K632" s="54">
        <f>Tabelle5[[#This Row],[value_present]]*Tabelle5[[#This Row],[binding_level]]</f>
        <v>0</v>
      </c>
    </row>
    <row r="633" spans="1:11" x14ac:dyDescent="0.25">
      <c r="A633" s="2"/>
      <c r="B633" s="2"/>
      <c r="C633" s="2"/>
      <c r="D633" s="3"/>
      <c r="E633" s="1"/>
      <c r="I633" s="1"/>
      <c r="K633" s="54">
        <f>Tabelle5[[#This Row],[value_present]]*Tabelle5[[#This Row],[binding_level]]</f>
        <v>0</v>
      </c>
    </row>
    <row r="634" spans="1:11" x14ac:dyDescent="0.25">
      <c r="A634" s="2"/>
      <c r="B634" s="2"/>
      <c r="C634" s="2"/>
      <c r="D634" s="3"/>
      <c r="E634" s="1"/>
      <c r="I634" s="1"/>
      <c r="K634" s="54">
        <f>Tabelle5[[#This Row],[value_present]]*Tabelle5[[#This Row],[binding_level]]</f>
        <v>0</v>
      </c>
    </row>
    <row r="635" spans="1:11" x14ac:dyDescent="0.25">
      <c r="A635" s="2"/>
      <c r="B635" s="2"/>
      <c r="C635" s="2"/>
      <c r="D635" s="3"/>
      <c r="E635" s="1"/>
      <c r="I635" s="1"/>
      <c r="K635" s="54">
        <f>Tabelle5[[#This Row],[value_present]]*Tabelle5[[#This Row],[binding_level]]</f>
        <v>0</v>
      </c>
    </row>
    <row r="636" spans="1:11" x14ac:dyDescent="0.25">
      <c r="A636" s="2"/>
      <c r="B636" s="2"/>
      <c r="C636" s="2"/>
      <c r="D636" s="3"/>
      <c r="E636" s="1"/>
      <c r="I636" s="1"/>
      <c r="K636" s="54">
        <f>Tabelle5[[#This Row],[value_present]]*Tabelle5[[#This Row],[binding_level]]</f>
        <v>0</v>
      </c>
    </row>
    <row r="637" spans="1:11" x14ac:dyDescent="0.25">
      <c r="A637" s="2"/>
      <c r="B637" s="2"/>
      <c r="C637" s="2"/>
      <c r="D637" s="3"/>
      <c r="E637" s="1"/>
      <c r="I637" s="1"/>
      <c r="K637" s="54">
        <f>Tabelle5[[#This Row],[value_present]]*Tabelle5[[#This Row],[binding_level]]</f>
        <v>0</v>
      </c>
    </row>
    <row r="638" spans="1:11" x14ac:dyDescent="0.25">
      <c r="A638" s="2"/>
      <c r="B638" s="2"/>
      <c r="C638" s="2"/>
      <c r="D638" s="3"/>
      <c r="E638" s="1"/>
      <c r="I638" s="1"/>
      <c r="K638" s="54">
        <f>Tabelle5[[#This Row],[value_present]]*Tabelle5[[#This Row],[binding_level]]</f>
        <v>0</v>
      </c>
    </row>
    <row r="639" spans="1:11" x14ac:dyDescent="0.25">
      <c r="A639" s="2"/>
      <c r="B639" s="2"/>
      <c r="C639" s="2"/>
      <c r="D639" s="3"/>
      <c r="E639" s="1"/>
      <c r="I639" s="1"/>
      <c r="K639" s="54">
        <f>Tabelle5[[#This Row],[value_present]]*Tabelle5[[#This Row],[binding_level]]</f>
        <v>0</v>
      </c>
    </row>
    <row r="640" spans="1:11" x14ac:dyDescent="0.25">
      <c r="A640" s="2"/>
      <c r="B640" s="2"/>
      <c r="C640" s="2"/>
      <c r="D640" s="3"/>
      <c r="E640" s="1"/>
      <c r="I640" s="1"/>
      <c r="K640" s="54">
        <f>Tabelle5[[#This Row],[value_present]]*Tabelle5[[#This Row],[binding_level]]</f>
        <v>0</v>
      </c>
    </row>
    <row r="641" spans="1:11" x14ac:dyDescent="0.25">
      <c r="A641" s="2"/>
      <c r="B641" s="2"/>
      <c r="C641" s="2"/>
      <c r="D641" s="3"/>
      <c r="E641" s="1"/>
      <c r="I641" s="1"/>
      <c r="K641" s="54">
        <f>Tabelle5[[#This Row],[value_present]]*Tabelle5[[#This Row],[binding_level]]</f>
        <v>0</v>
      </c>
    </row>
    <row r="642" spans="1:11" x14ac:dyDescent="0.25">
      <c r="A642" s="2"/>
      <c r="B642" s="2"/>
      <c r="C642" s="2"/>
      <c r="D642" s="3"/>
      <c r="E642" s="1"/>
      <c r="I642" s="1"/>
      <c r="K642" s="54">
        <f>Tabelle5[[#This Row],[value_present]]*Tabelle5[[#This Row],[binding_level]]</f>
        <v>0</v>
      </c>
    </row>
    <row r="643" spans="1:11" x14ac:dyDescent="0.25">
      <c r="A643" s="2"/>
      <c r="B643" s="2"/>
      <c r="C643" s="2"/>
      <c r="D643" s="3"/>
      <c r="E643" s="1"/>
      <c r="I643" s="1"/>
      <c r="K643" s="54">
        <f>Tabelle5[[#This Row],[value_present]]*Tabelle5[[#This Row],[binding_level]]</f>
        <v>0</v>
      </c>
    </row>
    <row r="644" spans="1:11" x14ac:dyDescent="0.25">
      <c r="A644" s="2"/>
      <c r="B644" s="2"/>
      <c r="C644" s="2"/>
      <c r="D644" s="3"/>
      <c r="E644" s="1"/>
      <c r="I644" s="1"/>
      <c r="K644" s="54">
        <f>Tabelle5[[#This Row],[value_present]]*Tabelle5[[#This Row],[binding_level]]</f>
        <v>0</v>
      </c>
    </row>
    <row r="645" spans="1:11" x14ac:dyDescent="0.25">
      <c r="A645" s="2"/>
      <c r="B645" s="2"/>
      <c r="C645" s="2"/>
      <c r="D645" s="3"/>
      <c r="E645" s="1"/>
      <c r="I645" s="1"/>
      <c r="K645" s="54">
        <f>Tabelle5[[#This Row],[value_present]]*Tabelle5[[#This Row],[binding_level]]</f>
        <v>0</v>
      </c>
    </row>
    <row r="646" spans="1:11" x14ac:dyDescent="0.25">
      <c r="A646" s="2"/>
      <c r="B646" s="2"/>
      <c r="C646" s="2"/>
      <c r="D646" s="3"/>
      <c r="E646" s="1"/>
      <c r="I646" s="1"/>
      <c r="K646" s="54">
        <f>Tabelle5[[#This Row],[value_present]]*Tabelle5[[#This Row],[binding_level]]</f>
        <v>0</v>
      </c>
    </row>
    <row r="647" spans="1:11" x14ac:dyDescent="0.25">
      <c r="A647" s="2"/>
      <c r="B647" s="2"/>
      <c r="C647" s="2"/>
      <c r="D647" s="3"/>
      <c r="E647" s="1"/>
      <c r="I647" s="1"/>
      <c r="K647" s="54">
        <f>Tabelle5[[#This Row],[value_present]]*Tabelle5[[#This Row],[binding_level]]</f>
        <v>0</v>
      </c>
    </row>
    <row r="648" spans="1:11" x14ac:dyDescent="0.25">
      <c r="A648" s="2"/>
      <c r="B648" s="2"/>
      <c r="C648" s="2"/>
      <c r="D648" s="3"/>
      <c r="E648" s="1"/>
      <c r="I648" s="1"/>
      <c r="K648" s="54">
        <f>Tabelle5[[#This Row],[value_present]]*Tabelle5[[#This Row],[binding_level]]</f>
        <v>0</v>
      </c>
    </row>
    <row r="649" spans="1:11" x14ac:dyDescent="0.25">
      <c r="A649" s="2"/>
      <c r="B649" s="2"/>
      <c r="C649" s="2"/>
      <c r="D649" s="3"/>
      <c r="E649" s="1"/>
      <c r="I649" s="1"/>
      <c r="K649" s="54">
        <f>Tabelle5[[#This Row],[value_present]]*Tabelle5[[#This Row],[binding_level]]</f>
        <v>0</v>
      </c>
    </row>
    <row r="650" spans="1:11" x14ac:dyDescent="0.25">
      <c r="A650" s="2"/>
      <c r="B650" s="2"/>
      <c r="C650" s="2"/>
      <c r="D650" s="3"/>
      <c r="E650" s="1"/>
      <c r="I650" s="1"/>
      <c r="K650" s="54">
        <f>Tabelle5[[#This Row],[value_present]]*Tabelle5[[#This Row],[binding_level]]</f>
        <v>0</v>
      </c>
    </row>
    <row r="651" spans="1:11" x14ac:dyDescent="0.25">
      <c r="A651" s="2"/>
      <c r="B651" s="2"/>
      <c r="C651" s="2"/>
      <c r="D651" s="3"/>
      <c r="E651" s="1"/>
      <c r="I651" s="1"/>
      <c r="K651" s="54">
        <f>Tabelle5[[#This Row],[value_present]]*Tabelle5[[#This Row],[binding_level]]</f>
        <v>0</v>
      </c>
    </row>
    <row r="652" spans="1:11" x14ac:dyDescent="0.25">
      <c r="A652" s="2"/>
      <c r="B652" s="2"/>
      <c r="C652" s="2"/>
      <c r="D652" s="3"/>
      <c r="E652" s="1"/>
      <c r="I652" s="1"/>
      <c r="K652" s="54">
        <f>Tabelle5[[#This Row],[value_present]]*Tabelle5[[#This Row],[binding_level]]</f>
        <v>0</v>
      </c>
    </row>
    <row r="653" spans="1:11" x14ac:dyDescent="0.25">
      <c r="A653" s="2"/>
      <c r="B653" s="2"/>
      <c r="C653" s="2"/>
      <c r="D653" s="3"/>
      <c r="E653" s="1"/>
      <c r="I653" s="1"/>
      <c r="K653" s="54">
        <f>Tabelle5[[#This Row],[value_present]]*Tabelle5[[#This Row],[binding_level]]</f>
        <v>0</v>
      </c>
    </row>
    <row r="654" spans="1:11" x14ac:dyDescent="0.25">
      <c r="A654" s="2"/>
      <c r="B654" s="2"/>
      <c r="C654" s="2"/>
      <c r="D654" s="3"/>
      <c r="E654" s="1"/>
      <c r="I654" s="1"/>
      <c r="K654" s="54">
        <f>Tabelle5[[#This Row],[value_present]]*Tabelle5[[#This Row],[binding_level]]</f>
        <v>0</v>
      </c>
    </row>
    <row r="655" spans="1:11" x14ac:dyDescent="0.25">
      <c r="A655" s="2"/>
      <c r="B655" s="2"/>
      <c r="C655" s="2"/>
      <c r="D655" s="3"/>
      <c r="E655" s="1"/>
      <c r="I655" s="1"/>
      <c r="K655" s="54">
        <f>Tabelle5[[#This Row],[value_present]]*Tabelle5[[#This Row],[binding_level]]</f>
        <v>0</v>
      </c>
    </row>
    <row r="656" spans="1:11" x14ac:dyDescent="0.25">
      <c r="A656" s="2"/>
      <c r="B656" s="2"/>
      <c r="C656" s="2"/>
      <c r="D656" s="3"/>
      <c r="E656" s="1"/>
      <c r="I656" s="1"/>
      <c r="K656" s="54">
        <f>Tabelle5[[#This Row],[value_present]]*Tabelle5[[#This Row],[binding_level]]</f>
        <v>0</v>
      </c>
    </row>
    <row r="657" spans="1:11" x14ac:dyDescent="0.25">
      <c r="A657" s="2"/>
      <c r="B657" s="2"/>
      <c r="C657" s="2"/>
      <c r="D657" s="3"/>
      <c r="E657" s="1"/>
      <c r="I657" s="1"/>
      <c r="K657" s="54">
        <f>Tabelle5[[#This Row],[value_present]]*Tabelle5[[#This Row],[binding_level]]</f>
        <v>0</v>
      </c>
    </row>
    <row r="658" spans="1:11" x14ac:dyDescent="0.25">
      <c r="A658" s="2"/>
      <c r="B658" s="2"/>
      <c r="C658" s="2"/>
      <c r="D658" s="3"/>
      <c r="E658" s="1"/>
      <c r="I658" s="1"/>
      <c r="K658" s="54">
        <f>Tabelle5[[#This Row],[value_present]]*Tabelle5[[#This Row],[binding_level]]</f>
        <v>0</v>
      </c>
    </row>
    <row r="659" spans="1:11" x14ac:dyDescent="0.25">
      <c r="A659" s="2"/>
      <c r="B659" s="2"/>
      <c r="C659" s="2"/>
      <c r="D659" s="3"/>
      <c r="E659" s="1"/>
      <c r="I659" s="1"/>
      <c r="K659" s="54">
        <f>Tabelle5[[#This Row],[value_present]]*Tabelle5[[#This Row],[binding_level]]</f>
        <v>0</v>
      </c>
    </row>
    <row r="660" spans="1:11" x14ac:dyDescent="0.25">
      <c r="A660" s="2"/>
      <c r="B660" s="2"/>
      <c r="C660" s="2"/>
      <c r="D660" s="3"/>
      <c r="E660" s="1"/>
      <c r="I660" s="1"/>
      <c r="K660" s="54">
        <f>Tabelle5[[#This Row],[value_present]]*Tabelle5[[#This Row],[binding_level]]</f>
        <v>0</v>
      </c>
    </row>
    <row r="661" spans="1:11" x14ac:dyDescent="0.25">
      <c r="A661" s="2"/>
      <c r="B661" s="2"/>
      <c r="C661" s="2"/>
      <c r="D661" s="3"/>
      <c r="E661" s="1"/>
      <c r="I661" s="1"/>
      <c r="K661" s="54">
        <f>Tabelle5[[#This Row],[value_present]]*Tabelle5[[#This Row],[binding_level]]</f>
        <v>0</v>
      </c>
    </row>
    <row r="662" spans="1:11" x14ac:dyDescent="0.25">
      <c r="A662" s="2"/>
      <c r="B662" s="2"/>
      <c r="C662" s="2"/>
      <c r="D662" s="3"/>
      <c r="E662" s="1"/>
      <c r="I662" s="1"/>
      <c r="K662" s="54">
        <f>Tabelle5[[#This Row],[value_present]]*Tabelle5[[#This Row],[binding_level]]</f>
        <v>0</v>
      </c>
    </row>
    <row r="663" spans="1:11" x14ac:dyDescent="0.25">
      <c r="A663" s="2"/>
      <c r="B663" s="2"/>
      <c r="C663" s="2"/>
      <c r="D663" s="3"/>
      <c r="E663" s="1"/>
      <c r="I663" s="1"/>
      <c r="K663" s="54">
        <f>Tabelle5[[#This Row],[value_present]]*Tabelle5[[#This Row],[binding_level]]</f>
        <v>0</v>
      </c>
    </row>
    <row r="664" spans="1:11" x14ac:dyDescent="0.25">
      <c r="A664" s="2"/>
      <c r="B664" s="2"/>
      <c r="C664" s="2"/>
      <c r="D664" s="3"/>
      <c r="E664" s="1"/>
      <c r="I664" s="1"/>
      <c r="K664" s="54">
        <f>Tabelle5[[#This Row],[value_present]]*Tabelle5[[#This Row],[binding_level]]</f>
        <v>0</v>
      </c>
    </row>
    <row r="665" spans="1:11" x14ac:dyDescent="0.25">
      <c r="A665" s="2"/>
      <c r="B665" s="2"/>
      <c r="C665" s="2"/>
      <c r="D665" s="3"/>
      <c r="E665" s="1"/>
      <c r="I665" s="1"/>
      <c r="K665" s="54">
        <f>Tabelle5[[#This Row],[value_present]]*Tabelle5[[#This Row],[binding_level]]</f>
        <v>0</v>
      </c>
    </row>
    <row r="666" spans="1:11" x14ac:dyDescent="0.25">
      <c r="A666" s="2"/>
      <c r="B666" s="2"/>
      <c r="C666" s="2"/>
      <c r="D666" s="3"/>
      <c r="E666" s="1"/>
      <c r="I666" s="1"/>
      <c r="K666" s="54">
        <f>Tabelle5[[#This Row],[value_present]]*Tabelle5[[#This Row],[binding_level]]</f>
        <v>0</v>
      </c>
    </row>
    <row r="667" spans="1:11" x14ac:dyDescent="0.25">
      <c r="A667" s="2"/>
      <c r="B667" s="2"/>
      <c r="C667" s="2"/>
      <c r="D667" s="3"/>
      <c r="E667" s="1"/>
      <c r="I667" s="1"/>
      <c r="K667" s="54">
        <f>Tabelle5[[#This Row],[value_present]]*Tabelle5[[#This Row],[binding_level]]</f>
        <v>0</v>
      </c>
    </row>
    <row r="668" spans="1:11" x14ac:dyDescent="0.25">
      <c r="A668" s="2"/>
      <c r="B668" s="2"/>
      <c r="C668" s="2"/>
      <c r="D668" s="3"/>
      <c r="E668" s="1"/>
      <c r="I668" s="1"/>
      <c r="K668" s="54">
        <f>Tabelle5[[#This Row],[value_present]]*Tabelle5[[#This Row],[binding_level]]</f>
        <v>0</v>
      </c>
    </row>
    <row r="669" spans="1:11" x14ac:dyDescent="0.25">
      <c r="A669" s="2"/>
      <c r="B669" s="2"/>
      <c r="C669" s="2"/>
      <c r="D669" s="3"/>
      <c r="E669" s="1"/>
      <c r="I669" s="1"/>
      <c r="K669" s="54">
        <f>Tabelle5[[#This Row],[value_present]]*Tabelle5[[#This Row],[binding_level]]</f>
        <v>0</v>
      </c>
    </row>
    <row r="670" spans="1:11" x14ac:dyDescent="0.25">
      <c r="A670" s="2"/>
      <c r="B670" s="2"/>
      <c r="C670" s="2"/>
      <c r="D670" s="3"/>
      <c r="E670" s="1"/>
      <c r="I670" s="1"/>
      <c r="K670" s="54">
        <f>Tabelle5[[#This Row],[value_present]]*Tabelle5[[#This Row],[binding_level]]</f>
        <v>0</v>
      </c>
    </row>
    <row r="671" spans="1:11" x14ac:dyDescent="0.25">
      <c r="A671" s="2"/>
      <c r="B671" s="2"/>
      <c r="C671" s="2"/>
      <c r="D671" s="3"/>
      <c r="E671" s="1"/>
      <c r="I671" s="1"/>
      <c r="K671" s="54">
        <f>Tabelle5[[#This Row],[value_present]]*Tabelle5[[#This Row],[binding_level]]</f>
        <v>0</v>
      </c>
    </row>
    <row r="672" spans="1:11" x14ac:dyDescent="0.25">
      <c r="A672" s="2"/>
      <c r="B672" s="2"/>
      <c r="C672" s="2"/>
      <c r="D672" s="3"/>
      <c r="E672" s="1"/>
      <c r="I672" s="1"/>
      <c r="K672" s="54">
        <f>Tabelle5[[#This Row],[value_present]]*Tabelle5[[#This Row],[binding_level]]</f>
        <v>0</v>
      </c>
    </row>
    <row r="673" spans="1:11" x14ac:dyDescent="0.25">
      <c r="A673" s="2"/>
      <c r="B673" s="2"/>
      <c r="C673" s="2"/>
      <c r="D673" s="3"/>
      <c r="E673" s="1"/>
      <c r="I673" s="1"/>
      <c r="K673" s="54">
        <f>Tabelle5[[#This Row],[value_present]]*Tabelle5[[#This Row],[binding_level]]</f>
        <v>0</v>
      </c>
    </row>
    <row r="674" spans="1:11" x14ac:dyDescent="0.25">
      <c r="A674" s="2"/>
      <c r="B674" s="2"/>
      <c r="C674" s="2"/>
      <c r="D674" s="3"/>
      <c r="E674" s="1"/>
      <c r="I674" s="1"/>
      <c r="K674" s="54">
        <f>Tabelle5[[#This Row],[value_present]]*Tabelle5[[#This Row],[binding_level]]</f>
        <v>0</v>
      </c>
    </row>
    <row r="675" spans="1:11" x14ac:dyDescent="0.25">
      <c r="A675" s="2"/>
      <c r="B675" s="2"/>
      <c r="C675" s="2"/>
      <c r="D675" s="3"/>
      <c r="E675" s="1"/>
      <c r="I675" s="1"/>
      <c r="K675" s="54">
        <f>Tabelle5[[#This Row],[value_present]]*Tabelle5[[#This Row],[binding_level]]</f>
        <v>0</v>
      </c>
    </row>
    <row r="676" spans="1:11" x14ac:dyDescent="0.25">
      <c r="A676" s="2"/>
      <c r="B676" s="2"/>
      <c r="C676" s="2"/>
      <c r="D676" s="3"/>
      <c r="E676" s="1"/>
      <c r="I676" s="1"/>
      <c r="K676" s="54">
        <f>Tabelle5[[#This Row],[value_present]]*Tabelle5[[#This Row],[binding_level]]</f>
        <v>0</v>
      </c>
    </row>
    <row r="677" spans="1:11" x14ac:dyDescent="0.25">
      <c r="A677" s="2"/>
      <c r="B677" s="2"/>
      <c r="C677" s="2"/>
      <c r="D677" s="3"/>
      <c r="E677" s="1"/>
      <c r="I677" s="1"/>
      <c r="K677" s="54">
        <f>Tabelle5[[#This Row],[value_present]]*Tabelle5[[#This Row],[binding_level]]</f>
        <v>0</v>
      </c>
    </row>
    <row r="678" spans="1:11" x14ac:dyDescent="0.25">
      <c r="A678" s="2"/>
      <c r="B678" s="2"/>
      <c r="C678" s="2"/>
      <c r="D678" s="3"/>
      <c r="E678" s="1"/>
      <c r="I678" s="1"/>
      <c r="K678" s="54">
        <f>Tabelle5[[#This Row],[value_present]]*Tabelle5[[#This Row],[binding_level]]</f>
        <v>0</v>
      </c>
    </row>
    <row r="679" spans="1:11" x14ac:dyDescent="0.25">
      <c r="A679" s="2"/>
      <c r="B679" s="2"/>
      <c r="C679" s="2"/>
      <c r="D679" s="3"/>
      <c r="E679" s="1"/>
      <c r="I679" s="1"/>
      <c r="K679" s="54">
        <f>Tabelle5[[#This Row],[value_present]]*Tabelle5[[#This Row],[binding_level]]</f>
        <v>0</v>
      </c>
    </row>
    <row r="680" spans="1:11" x14ac:dyDescent="0.25">
      <c r="A680" s="2"/>
      <c r="B680" s="2"/>
      <c r="C680" s="2"/>
      <c r="D680" s="3"/>
      <c r="E680" s="1"/>
      <c r="I680" s="1"/>
      <c r="K680" s="54">
        <f>Tabelle5[[#This Row],[value_present]]*Tabelle5[[#This Row],[binding_level]]</f>
        <v>0</v>
      </c>
    </row>
    <row r="681" spans="1:11" x14ac:dyDescent="0.25">
      <c r="A681" s="2"/>
      <c r="B681" s="2"/>
      <c r="C681" s="2"/>
      <c r="D681" s="3"/>
      <c r="E681" s="1"/>
      <c r="I681" s="1"/>
      <c r="K681" s="54">
        <f>Tabelle5[[#This Row],[value_present]]*Tabelle5[[#This Row],[binding_level]]</f>
        <v>0</v>
      </c>
    </row>
    <row r="682" spans="1:11" x14ac:dyDescent="0.25">
      <c r="A682" s="2"/>
      <c r="B682" s="2"/>
      <c r="C682" s="2"/>
      <c r="D682" s="3"/>
      <c r="E682" s="1"/>
      <c r="I682" s="1"/>
      <c r="K682" s="54">
        <f>Tabelle5[[#This Row],[value_present]]*Tabelle5[[#This Row],[binding_level]]</f>
        <v>0</v>
      </c>
    </row>
    <row r="683" spans="1:11" x14ac:dyDescent="0.25">
      <c r="A683" s="2"/>
      <c r="B683" s="2"/>
      <c r="C683" s="2"/>
      <c r="D683" s="3"/>
      <c r="E683" s="1"/>
      <c r="I683" s="1"/>
      <c r="K683" s="54">
        <f>Tabelle5[[#This Row],[value_present]]*Tabelle5[[#This Row],[binding_level]]</f>
        <v>0</v>
      </c>
    </row>
    <row r="684" spans="1:11" x14ac:dyDescent="0.25">
      <c r="A684" s="2"/>
      <c r="B684" s="2"/>
      <c r="C684" s="2"/>
      <c r="D684" s="3"/>
      <c r="E684" s="1"/>
      <c r="I684" s="1"/>
      <c r="K684" s="54">
        <f>Tabelle5[[#This Row],[value_present]]*Tabelle5[[#This Row],[binding_level]]</f>
        <v>0</v>
      </c>
    </row>
    <row r="685" spans="1:11" x14ac:dyDescent="0.25">
      <c r="A685" s="2"/>
      <c r="B685" s="2"/>
      <c r="C685" s="2"/>
      <c r="D685" s="3"/>
      <c r="E685" s="1"/>
      <c r="I685" s="1"/>
      <c r="K685" s="54">
        <f>Tabelle5[[#This Row],[value_present]]*Tabelle5[[#This Row],[binding_level]]</f>
        <v>0</v>
      </c>
    </row>
    <row r="686" spans="1:11" x14ac:dyDescent="0.25">
      <c r="A686" s="2"/>
      <c r="B686" s="2"/>
      <c r="C686" s="2"/>
      <c r="D686" s="3"/>
      <c r="E686" s="1"/>
      <c r="I686" s="1"/>
      <c r="K686" s="54">
        <f>Tabelle5[[#This Row],[value_present]]*Tabelle5[[#This Row],[binding_level]]</f>
        <v>0</v>
      </c>
    </row>
    <row r="687" spans="1:11" x14ac:dyDescent="0.25">
      <c r="A687" s="2"/>
      <c r="B687" s="2"/>
      <c r="C687" s="2"/>
      <c r="D687" s="3"/>
      <c r="E687" s="1"/>
      <c r="I687" s="1"/>
      <c r="K687" s="54">
        <f>Tabelle5[[#This Row],[value_present]]*Tabelle5[[#This Row],[binding_level]]</f>
        <v>0</v>
      </c>
    </row>
    <row r="688" spans="1:11" x14ac:dyDescent="0.25">
      <c r="A688" s="2"/>
      <c r="B688" s="2"/>
      <c r="C688" s="2"/>
      <c r="D688" s="3"/>
      <c r="E688" s="1"/>
      <c r="I688" s="1"/>
      <c r="K688" s="54">
        <f>Tabelle5[[#This Row],[value_present]]*Tabelle5[[#This Row],[binding_level]]</f>
        <v>0</v>
      </c>
    </row>
    <row r="689" spans="1:11" x14ac:dyDescent="0.25">
      <c r="A689" s="2"/>
      <c r="B689" s="2"/>
      <c r="C689" s="2"/>
      <c r="D689" s="3"/>
      <c r="E689" s="1"/>
      <c r="I689" s="1"/>
      <c r="K689" s="54">
        <f>Tabelle5[[#This Row],[value_present]]*Tabelle5[[#This Row],[binding_level]]</f>
        <v>0</v>
      </c>
    </row>
    <row r="690" spans="1:11" x14ac:dyDescent="0.25">
      <c r="A690" s="2"/>
      <c r="B690" s="2"/>
      <c r="C690" s="2"/>
      <c r="D690" s="3"/>
      <c r="E690" s="1"/>
      <c r="I690" s="1"/>
      <c r="K690" s="54">
        <f>Tabelle5[[#This Row],[value_present]]*Tabelle5[[#This Row],[binding_level]]</f>
        <v>0</v>
      </c>
    </row>
    <row r="691" spans="1:11" x14ac:dyDescent="0.25">
      <c r="A691" s="2"/>
      <c r="B691" s="2"/>
      <c r="C691" s="2"/>
      <c r="D691" s="3"/>
      <c r="E691" s="1"/>
      <c r="I691" s="1"/>
      <c r="K691" s="54">
        <f>Tabelle5[[#This Row],[value_present]]*Tabelle5[[#This Row],[binding_level]]</f>
        <v>0</v>
      </c>
    </row>
    <row r="692" spans="1:11" x14ac:dyDescent="0.25">
      <c r="A692" s="2"/>
      <c r="B692" s="2"/>
      <c r="C692" s="2"/>
      <c r="D692" s="3"/>
      <c r="E692" s="1"/>
      <c r="I692" s="1"/>
      <c r="K692" s="54">
        <f>Tabelle5[[#This Row],[value_present]]*Tabelle5[[#This Row],[binding_level]]</f>
        <v>0</v>
      </c>
    </row>
    <row r="693" spans="1:11" x14ac:dyDescent="0.25">
      <c r="A693" s="2"/>
      <c r="B693" s="2"/>
      <c r="C693" s="2"/>
      <c r="D693" s="3"/>
      <c r="E693" s="1"/>
      <c r="I693" s="1"/>
      <c r="K693" s="54">
        <f>Tabelle5[[#This Row],[value_present]]*Tabelle5[[#This Row],[binding_level]]</f>
        <v>0</v>
      </c>
    </row>
    <row r="694" spans="1:11" x14ac:dyDescent="0.25">
      <c r="A694" s="2"/>
      <c r="B694" s="2"/>
      <c r="C694" s="2"/>
      <c r="D694" s="3"/>
      <c r="E694" s="1"/>
      <c r="I694" s="1"/>
      <c r="K694" s="54">
        <f>Tabelle5[[#This Row],[value_present]]*Tabelle5[[#This Row],[binding_level]]</f>
        <v>0</v>
      </c>
    </row>
    <row r="695" spans="1:11" x14ac:dyDescent="0.25">
      <c r="A695" s="2"/>
      <c r="B695" s="2"/>
      <c r="C695" s="2"/>
      <c r="D695" s="3"/>
      <c r="E695" s="1"/>
      <c r="I695" s="1"/>
      <c r="K695" s="54">
        <f>Tabelle5[[#This Row],[value_present]]*Tabelle5[[#This Row],[binding_level]]</f>
        <v>0</v>
      </c>
    </row>
    <row r="696" spans="1:11" x14ac:dyDescent="0.25">
      <c r="A696" s="2"/>
      <c r="B696" s="2"/>
      <c r="C696" s="2"/>
      <c r="D696" s="3"/>
      <c r="E696" s="1"/>
      <c r="I696" s="1"/>
      <c r="K696" s="54">
        <f>Tabelle5[[#This Row],[value_present]]*Tabelle5[[#This Row],[binding_level]]</f>
        <v>0</v>
      </c>
    </row>
    <row r="697" spans="1:11" x14ac:dyDescent="0.25">
      <c r="A697" s="2"/>
      <c r="B697" s="2"/>
      <c r="C697" s="2"/>
      <c r="D697" s="3"/>
      <c r="E697" s="1"/>
      <c r="I697" s="1"/>
      <c r="K697" s="54">
        <f>Tabelle5[[#This Row],[value_present]]*Tabelle5[[#This Row],[binding_level]]</f>
        <v>0</v>
      </c>
    </row>
    <row r="698" spans="1:11" x14ac:dyDescent="0.25">
      <c r="A698" s="2"/>
      <c r="B698" s="2"/>
      <c r="C698" s="2"/>
      <c r="D698" s="3"/>
      <c r="E698" s="1"/>
      <c r="I698" s="1"/>
      <c r="K698" s="54">
        <f>Tabelle5[[#This Row],[value_present]]*Tabelle5[[#This Row],[binding_level]]</f>
        <v>0</v>
      </c>
    </row>
    <row r="699" spans="1:11" x14ac:dyDescent="0.25">
      <c r="A699" s="2"/>
      <c r="B699" s="2"/>
      <c r="C699" s="2"/>
      <c r="D699" s="3"/>
      <c r="E699" s="1"/>
      <c r="I699" s="1"/>
      <c r="K699" s="54">
        <f>Tabelle5[[#This Row],[value_present]]*Tabelle5[[#This Row],[binding_level]]</f>
        <v>0</v>
      </c>
    </row>
    <row r="700" spans="1:11" x14ac:dyDescent="0.25">
      <c r="A700" s="2"/>
      <c r="B700" s="2"/>
      <c r="C700" s="2"/>
      <c r="D700" s="3"/>
      <c r="E700" s="1"/>
      <c r="I700" s="1"/>
      <c r="K700" s="54">
        <f>Tabelle5[[#This Row],[value_present]]*Tabelle5[[#This Row],[binding_level]]</f>
        <v>0</v>
      </c>
    </row>
    <row r="701" spans="1:11" x14ac:dyDescent="0.25">
      <c r="A701" s="2"/>
      <c r="B701" s="2"/>
      <c r="C701" s="2"/>
      <c r="D701" s="3"/>
      <c r="E701" s="1"/>
      <c r="I701" s="1"/>
      <c r="K701" s="54">
        <f>Tabelle5[[#This Row],[value_present]]*Tabelle5[[#This Row],[binding_level]]</f>
        <v>0</v>
      </c>
    </row>
    <row r="702" spans="1:11" x14ac:dyDescent="0.25">
      <c r="A702" s="2"/>
      <c r="B702" s="2"/>
      <c r="C702" s="2"/>
      <c r="D702" s="3"/>
      <c r="E702" s="1"/>
      <c r="I702" s="1"/>
      <c r="K702" s="54">
        <f>Tabelle5[[#This Row],[value_present]]*Tabelle5[[#This Row],[binding_level]]</f>
        <v>0</v>
      </c>
    </row>
    <row r="703" spans="1:11" x14ac:dyDescent="0.25">
      <c r="A703" s="2"/>
      <c r="B703" s="2"/>
      <c r="C703" s="2"/>
      <c r="D703" s="3"/>
      <c r="E703" s="1"/>
      <c r="I703" s="1"/>
      <c r="K703" s="54">
        <f>Tabelle5[[#This Row],[value_present]]*Tabelle5[[#This Row],[binding_level]]</f>
        <v>0</v>
      </c>
    </row>
    <row r="704" spans="1:11" x14ac:dyDescent="0.25">
      <c r="A704" s="2"/>
      <c r="B704" s="2"/>
      <c r="C704" s="2"/>
      <c r="D704" s="3"/>
      <c r="E704" s="1"/>
      <c r="I704" s="1"/>
      <c r="K704" s="54">
        <f>Tabelle5[[#This Row],[value_present]]*Tabelle5[[#This Row],[binding_level]]</f>
        <v>0</v>
      </c>
    </row>
    <row r="705" spans="1:11" x14ac:dyDescent="0.25">
      <c r="A705" s="2"/>
      <c r="B705" s="2"/>
      <c r="C705" s="2"/>
      <c r="D705" s="3"/>
      <c r="E705" s="1"/>
      <c r="I705" s="1"/>
      <c r="K705" s="54">
        <f>Tabelle5[[#This Row],[value_present]]*Tabelle5[[#This Row],[binding_level]]</f>
        <v>0</v>
      </c>
    </row>
    <row r="706" spans="1:11" x14ac:dyDescent="0.25">
      <c r="A706" s="2"/>
      <c r="B706" s="2"/>
      <c r="C706" s="2"/>
      <c r="D706" s="3"/>
      <c r="E706" s="1"/>
      <c r="I706" s="1"/>
      <c r="K706" s="54">
        <f>Tabelle5[[#This Row],[value_present]]*Tabelle5[[#This Row],[binding_level]]</f>
        <v>0</v>
      </c>
    </row>
    <row r="707" spans="1:11" x14ac:dyDescent="0.25">
      <c r="A707" s="2"/>
      <c r="B707" s="2"/>
      <c r="C707" s="2"/>
      <c r="D707" s="3"/>
      <c r="E707" s="1"/>
      <c r="I707" s="1"/>
      <c r="K707" s="54">
        <f>Tabelle5[[#This Row],[value_present]]*Tabelle5[[#This Row],[binding_level]]</f>
        <v>0</v>
      </c>
    </row>
    <row r="708" spans="1:11" x14ac:dyDescent="0.25">
      <c r="A708" s="2"/>
      <c r="B708" s="2"/>
      <c r="C708" s="2"/>
      <c r="D708" s="3"/>
      <c r="E708" s="1"/>
      <c r="I708" s="1"/>
      <c r="K708" s="54">
        <f>Tabelle5[[#This Row],[value_present]]*Tabelle5[[#This Row],[binding_level]]</f>
        <v>0</v>
      </c>
    </row>
    <row r="709" spans="1:11" x14ac:dyDescent="0.25">
      <c r="A709" s="2"/>
      <c r="B709" s="2"/>
      <c r="C709" s="2"/>
      <c r="D709" s="3"/>
      <c r="E709" s="1"/>
      <c r="I709" s="1"/>
      <c r="K709" s="54">
        <f>Tabelle5[[#This Row],[value_present]]*Tabelle5[[#This Row],[binding_level]]</f>
        <v>0</v>
      </c>
    </row>
    <row r="710" spans="1:11" x14ac:dyDescent="0.25">
      <c r="A710" s="2"/>
      <c r="B710" s="2"/>
      <c r="C710" s="2"/>
      <c r="D710" s="3"/>
      <c r="E710" s="1"/>
      <c r="I710" s="1"/>
      <c r="K710" s="54">
        <f>Tabelle5[[#This Row],[value_present]]*Tabelle5[[#This Row],[binding_level]]</f>
        <v>0</v>
      </c>
    </row>
    <row r="711" spans="1:11" x14ac:dyDescent="0.25">
      <c r="A711" s="2"/>
      <c r="B711" s="2"/>
      <c r="C711" s="2"/>
      <c r="D711" s="3"/>
      <c r="E711" s="1"/>
      <c r="I711" s="1"/>
      <c r="K711" s="54">
        <f>Tabelle5[[#This Row],[value_present]]*Tabelle5[[#This Row],[binding_level]]</f>
        <v>0</v>
      </c>
    </row>
    <row r="712" spans="1:11" x14ac:dyDescent="0.25">
      <c r="A712" s="2"/>
      <c r="B712" s="2"/>
      <c r="C712" s="2"/>
      <c r="D712" s="3"/>
      <c r="E712" s="1"/>
      <c r="I712" s="1"/>
      <c r="K712" s="54">
        <f>Tabelle5[[#This Row],[value_present]]*Tabelle5[[#This Row],[binding_level]]</f>
        <v>0</v>
      </c>
    </row>
    <row r="713" spans="1:11" x14ac:dyDescent="0.25">
      <c r="A713" s="2"/>
      <c r="B713" s="2"/>
      <c r="C713" s="2"/>
      <c r="D713" s="3"/>
      <c r="E713" s="1"/>
      <c r="I713" s="1"/>
      <c r="K713" s="54">
        <f>Tabelle5[[#This Row],[value_present]]*Tabelle5[[#This Row],[binding_level]]</f>
        <v>0</v>
      </c>
    </row>
    <row r="714" spans="1:11" x14ac:dyDescent="0.25">
      <c r="A714" s="2"/>
      <c r="B714" s="2"/>
      <c r="C714" s="2"/>
      <c r="D714" s="3"/>
      <c r="E714" s="1"/>
      <c r="I714" s="1"/>
      <c r="K714" s="54">
        <f>Tabelle5[[#This Row],[value_present]]*Tabelle5[[#This Row],[binding_level]]</f>
        <v>0</v>
      </c>
    </row>
    <row r="715" spans="1:11" x14ac:dyDescent="0.25">
      <c r="A715" s="2"/>
      <c r="B715" s="2"/>
      <c r="C715" s="2"/>
      <c r="D715" s="3"/>
      <c r="E715" s="1"/>
      <c r="I715" s="1"/>
      <c r="K715" s="54">
        <f>Tabelle5[[#This Row],[value_present]]*Tabelle5[[#This Row],[binding_level]]</f>
        <v>0</v>
      </c>
    </row>
    <row r="716" spans="1:11" x14ac:dyDescent="0.25">
      <c r="A716" s="2"/>
      <c r="B716" s="2"/>
      <c r="C716" s="2"/>
      <c r="D716" s="3"/>
      <c r="E716" s="1"/>
      <c r="I716" s="1"/>
      <c r="K716" s="54">
        <f>Tabelle5[[#This Row],[value_present]]*Tabelle5[[#This Row],[binding_level]]</f>
        <v>0</v>
      </c>
    </row>
    <row r="717" spans="1:11" x14ac:dyDescent="0.25">
      <c r="A717" s="2"/>
      <c r="B717" s="2"/>
      <c r="C717" s="2"/>
      <c r="D717" s="3"/>
      <c r="E717" s="1"/>
      <c r="I717" s="1"/>
      <c r="K717" s="54">
        <f>Tabelle5[[#This Row],[value_present]]*Tabelle5[[#This Row],[binding_level]]</f>
        <v>0</v>
      </c>
    </row>
    <row r="718" spans="1:11" x14ac:dyDescent="0.25">
      <c r="A718" s="2"/>
      <c r="B718" s="2"/>
      <c r="C718" s="2"/>
      <c r="D718" s="3"/>
      <c r="E718" s="1"/>
      <c r="I718" s="1"/>
      <c r="K718" s="54">
        <f>Tabelle5[[#This Row],[value_present]]*Tabelle5[[#This Row],[binding_level]]</f>
        <v>0</v>
      </c>
    </row>
    <row r="719" spans="1:11" x14ac:dyDescent="0.25">
      <c r="A719" s="2"/>
      <c r="B719" s="2"/>
      <c r="C719" s="2"/>
      <c r="D719" s="3"/>
      <c r="E719" s="1"/>
      <c r="I719" s="1"/>
      <c r="K719" s="54">
        <f>Tabelle5[[#This Row],[value_present]]*Tabelle5[[#This Row],[binding_level]]</f>
        <v>0</v>
      </c>
    </row>
    <row r="720" spans="1:11" x14ac:dyDescent="0.25">
      <c r="A720" s="2"/>
      <c r="B720" s="2"/>
      <c r="C720" s="2"/>
      <c r="D720" s="3"/>
      <c r="E720" s="1"/>
      <c r="I720" s="1"/>
      <c r="K720" s="54">
        <f>Tabelle5[[#This Row],[value_present]]*Tabelle5[[#This Row],[binding_level]]</f>
        <v>0</v>
      </c>
    </row>
    <row r="721" spans="1:11" x14ac:dyDescent="0.25">
      <c r="A721" s="2"/>
      <c r="B721" s="2"/>
      <c r="C721" s="2"/>
      <c r="D721" s="3"/>
      <c r="E721" s="1"/>
      <c r="I721" s="1"/>
      <c r="K721" s="54">
        <f>Tabelle5[[#This Row],[value_present]]*Tabelle5[[#This Row],[binding_level]]</f>
        <v>0</v>
      </c>
    </row>
    <row r="722" spans="1:11" x14ac:dyDescent="0.25">
      <c r="A722" s="2"/>
      <c r="B722" s="2"/>
      <c r="C722" s="2"/>
      <c r="D722" s="3"/>
      <c r="E722" s="1"/>
      <c r="I722" s="1"/>
      <c r="K722" s="54">
        <f>Tabelle5[[#This Row],[value_present]]*Tabelle5[[#This Row],[binding_level]]</f>
        <v>0</v>
      </c>
    </row>
    <row r="723" spans="1:11" x14ac:dyDescent="0.25">
      <c r="A723" s="2"/>
      <c r="B723" s="2"/>
      <c r="C723" s="2"/>
      <c r="D723" s="3"/>
      <c r="E723" s="1"/>
      <c r="I723" s="1"/>
      <c r="K723" s="54">
        <f>Tabelle5[[#This Row],[value_present]]*Tabelle5[[#This Row],[binding_level]]</f>
        <v>0</v>
      </c>
    </row>
    <row r="724" spans="1:11" x14ac:dyDescent="0.25">
      <c r="A724" s="2"/>
      <c r="B724" s="2"/>
      <c r="C724" s="2"/>
      <c r="D724" s="3"/>
      <c r="E724" s="1"/>
      <c r="I724" s="1"/>
      <c r="K724" s="54">
        <f>Tabelle5[[#This Row],[value_present]]*Tabelle5[[#This Row],[binding_level]]</f>
        <v>0</v>
      </c>
    </row>
    <row r="725" spans="1:11" x14ac:dyDescent="0.25">
      <c r="A725" s="2"/>
      <c r="B725" s="2"/>
      <c r="C725" s="2"/>
      <c r="D725" s="3"/>
      <c r="E725" s="1"/>
      <c r="I725" s="1"/>
      <c r="K725" s="54">
        <f>Tabelle5[[#This Row],[value_present]]*Tabelle5[[#This Row],[binding_level]]</f>
        <v>0</v>
      </c>
    </row>
    <row r="726" spans="1:11" x14ac:dyDescent="0.25">
      <c r="A726" s="2"/>
      <c r="B726" s="2"/>
      <c r="C726" s="2"/>
      <c r="D726" s="3"/>
      <c r="E726" s="1"/>
      <c r="I726" s="1"/>
      <c r="K726" s="54">
        <f>Tabelle5[[#This Row],[value_present]]*Tabelle5[[#This Row],[binding_level]]</f>
        <v>0</v>
      </c>
    </row>
    <row r="727" spans="1:11" x14ac:dyDescent="0.25">
      <c r="A727" s="2"/>
      <c r="B727" s="2"/>
      <c r="C727" s="2"/>
      <c r="D727" s="3"/>
      <c r="E727" s="1"/>
      <c r="I727" s="1"/>
      <c r="K727" s="54">
        <f>Tabelle5[[#This Row],[value_present]]*Tabelle5[[#This Row],[binding_level]]</f>
        <v>0</v>
      </c>
    </row>
    <row r="728" spans="1:11" x14ac:dyDescent="0.25">
      <c r="A728" s="2"/>
      <c r="B728" s="2"/>
      <c r="C728" s="2"/>
      <c r="D728" s="3"/>
      <c r="E728" s="1"/>
      <c r="I728" s="1"/>
      <c r="K728" s="54">
        <f>Tabelle5[[#This Row],[value_present]]*Tabelle5[[#This Row],[binding_level]]</f>
        <v>0</v>
      </c>
    </row>
    <row r="729" spans="1:11" x14ac:dyDescent="0.25">
      <c r="A729" s="2"/>
      <c r="B729" s="2"/>
      <c r="C729" s="2"/>
      <c r="D729" s="3"/>
      <c r="E729" s="1"/>
      <c r="I729" s="1"/>
      <c r="K729" s="54">
        <f>Tabelle5[[#This Row],[value_present]]*Tabelle5[[#This Row],[binding_level]]</f>
        <v>0</v>
      </c>
    </row>
    <row r="730" spans="1:11" x14ac:dyDescent="0.25">
      <c r="A730" s="2"/>
      <c r="B730" s="2"/>
      <c r="C730" s="2"/>
      <c r="D730" s="3"/>
      <c r="E730" s="1"/>
      <c r="I730" s="1"/>
      <c r="K730" s="54">
        <f>Tabelle5[[#This Row],[value_present]]*Tabelle5[[#This Row],[binding_level]]</f>
        <v>0</v>
      </c>
    </row>
    <row r="731" spans="1:11" x14ac:dyDescent="0.25">
      <c r="A731" s="2"/>
      <c r="B731" s="2"/>
      <c r="C731" s="2"/>
      <c r="D731" s="3"/>
      <c r="E731" s="1"/>
      <c r="I731" s="1"/>
      <c r="K731" s="54">
        <f>Tabelle5[[#This Row],[value_present]]*Tabelle5[[#This Row],[binding_level]]</f>
        <v>0</v>
      </c>
    </row>
    <row r="732" spans="1:11" x14ac:dyDescent="0.25">
      <c r="A732" s="2"/>
      <c r="B732" s="2"/>
      <c r="C732" s="2"/>
      <c r="D732" s="3"/>
      <c r="E732" s="1"/>
      <c r="I732" s="1"/>
      <c r="K732" s="54">
        <f>Tabelle5[[#This Row],[value_present]]*Tabelle5[[#This Row],[binding_level]]</f>
        <v>0</v>
      </c>
    </row>
    <row r="733" spans="1:11" x14ac:dyDescent="0.25">
      <c r="A733" s="2"/>
      <c r="B733" s="2"/>
      <c r="C733" s="2"/>
      <c r="D733" s="3"/>
      <c r="E733" s="1"/>
      <c r="I733" s="1"/>
      <c r="K733" s="54">
        <f>Tabelle5[[#This Row],[value_present]]*Tabelle5[[#This Row],[binding_level]]</f>
        <v>0</v>
      </c>
    </row>
    <row r="734" spans="1:11" x14ac:dyDescent="0.25">
      <c r="A734" s="2"/>
      <c r="B734" s="2"/>
      <c r="C734" s="2"/>
      <c r="D734" s="3"/>
      <c r="E734" s="1"/>
      <c r="I734" s="1"/>
      <c r="K734" s="54">
        <f>Tabelle5[[#This Row],[value_present]]*Tabelle5[[#This Row],[binding_level]]</f>
        <v>0</v>
      </c>
    </row>
    <row r="735" spans="1:11" x14ac:dyDescent="0.25">
      <c r="A735" s="2"/>
      <c r="B735" s="2"/>
      <c r="C735" s="2"/>
      <c r="D735" s="3"/>
      <c r="E735" s="1"/>
      <c r="I735" s="1"/>
      <c r="K735" s="54">
        <f>Tabelle5[[#This Row],[value_present]]*Tabelle5[[#This Row],[binding_level]]</f>
        <v>0</v>
      </c>
    </row>
    <row r="736" spans="1:11" x14ac:dyDescent="0.25">
      <c r="A736" s="2"/>
      <c r="B736" s="2"/>
      <c r="C736" s="2"/>
      <c r="D736" s="3"/>
      <c r="E736" s="1"/>
      <c r="I736" s="1"/>
      <c r="K736" s="54">
        <f>Tabelle5[[#This Row],[value_present]]*Tabelle5[[#This Row],[binding_level]]</f>
        <v>0</v>
      </c>
    </row>
    <row r="737" spans="1:11" x14ac:dyDescent="0.25">
      <c r="A737" s="2"/>
      <c r="B737" s="2"/>
      <c r="C737" s="2"/>
      <c r="D737" s="3"/>
      <c r="E737" s="1"/>
      <c r="I737" s="1"/>
      <c r="K737" s="54">
        <f>Tabelle5[[#This Row],[value_present]]*Tabelle5[[#This Row],[binding_level]]</f>
        <v>0</v>
      </c>
    </row>
    <row r="738" spans="1:11" x14ac:dyDescent="0.25">
      <c r="A738" s="2"/>
      <c r="B738" s="2"/>
      <c r="C738" s="2"/>
      <c r="D738" s="3"/>
      <c r="E738" s="1"/>
      <c r="I738" s="1"/>
      <c r="K738" s="54">
        <f>Tabelle5[[#This Row],[value_present]]*Tabelle5[[#This Row],[binding_level]]</f>
        <v>0</v>
      </c>
    </row>
    <row r="739" spans="1:11" x14ac:dyDescent="0.25">
      <c r="A739" s="2"/>
      <c r="B739" s="2"/>
      <c r="C739" s="2"/>
      <c r="D739" s="3"/>
      <c r="E739" s="1"/>
      <c r="I739" s="1"/>
      <c r="K739" s="54">
        <f>Tabelle5[[#This Row],[value_present]]*Tabelle5[[#This Row],[binding_level]]</f>
        <v>0</v>
      </c>
    </row>
    <row r="740" spans="1:11" x14ac:dyDescent="0.25">
      <c r="A740" s="2"/>
      <c r="B740" s="2"/>
      <c r="C740" s="2"/>
      <c r="D740" s="3"/>
      <c r="E740" s="1"/>
      <c r="I740" s="1"/>
      <c r="K740" s="54">
        <f>Tabelle5[[#This Row],[value_present]]*Tabelle5[[#This Row],[binding_level]]</f>
        <v>0</v>
      </c>
    </row>
    <row r="741" spans="1:11" x14ac:dyDescent="0.25">
      <c r="A741" s="2"/>
      <c r="B741" s="2"/>
      <c r="C741" s="2"/>
      <c r="D741" s="3"/>
      <c r="E741" s="1"/>
      <c r="I741" s="1"/>
      <c r="K741" s="54">
        <f>Tabelle5[[#This Row],[value_present]]*Tabelle5[[#This Row],[binding_level]]</f>
        <v>0</v>
      </c>
    </row>
    <row r="742" spans="1:11" x14ac:dyDescent="0.25">
      <c r="A742" s="2"/>
      <c r="B742" s="2"/>
      <c r="C742" s="2"/>
      <c r="D742" s="3"/>
      <c r="E742" s="1"/>
      <c r="I742" s="1"/>
      <c r="K742" s="54">
        <f>Tabelle5[[#This Row],[value_present]]*Tabelle5[[#This Row],[binding_level]]</f>
        <v>0</v>
      </c>
    </row>
    <row r="743" spans="1:11" x14ac:dyDescent="0.25">
      <c r="A743" s="2"/>
      <c r="B743" s="2"/>
      <c r="C743" s="2"/>
      <c r="D743" s="3"/>
      <c r="E743" s="1"/>
      <c r="I743" s="1"/>
      <c r="K743" s="54">
        <f>Tabelle5[[#This Row],[value_present]]*Tabelle5[[#This Row],[binding_level]]</f>
        <v>0</v>
      </c>
    </row>
    <row r="744" spans="1:11" x14ac:dyDescent="0.25">
      <c r="A744" s="2"/>
      <c r="B744" s="2"/>
      <c r="C744" s="2"/>
      <c r="D744" s="3"/>
      <c r="E744" s="1"/>
      <c r="I744" s="1"/>
      <c r="K744" s="54">
        <f>Tabelle5[[#This Row],[value_present]]*Tabelle5[[#This Row],[binding_level]]</f>
        <v>0</v>
      </c>
    </row>
    <row r="745" spans="1:11" x14ac:dyDescent="0.25">
      <c r="A745" s="2"/>
      <c r="B745" s="2"/>
      <c r="C745" s="2"/>
      <c r="D745" s="3"/>
      <c r="E745" s="1"/>
      <c r="I745" s="1"/>
      <c r="K745" s="54">
        <f>Tabelle5[[#This Row],[value_present]]*Tabelle5[[#This Row],[binding_level]]</f>
        <v>0</v>
      </c>
    </row>
    <row r="746" spans="1:11" x14ac:dyDescent="0.25">
      <c r="A746" s="2"/>
      <c r="B746" s="2"/>
      <c r="C746" s="2"/>
      <c r="D746" s="3"/>
      <c r="E746" s="1"/>
      <c r="I746" s="1"/>
      <c r="K746" s="54">
        <f>Tabelle5[[#This Row],[value_present]]*Tabelle5[[#This Row],[binding_level]]</f>
        <v>0</v>
      </c>
    </row>
    <row r="747" spans="1:11" x14ac:dyDescent="0.25">
      <c r="A747" s="2"/>
      <c r="B747" s="2"/>
      <c r="C747" s="2"/>
      <c r="D747" s="3"/>
      <c r="E747" s="1"/>
      <c r="I747" s="1"/>
      <c r="K747" s="54">
        <f>Tabelle5[[#This Row],[value_present]]*Tabelle5[[#This Row],[binding_level]]</f>
        <v>0</v>
      </c>
    </row>
    <row r="748" spans="1:11" x14ac:dyDescent="0.25">
      <c r="A748" s="2"/>
      <c r="B748" s="2"/>
      <c r="C748" s="2"/>
      <c r="D748" s="3"/>
      <c r="E748" s="1"/>
      <c r="I748" s="1"/>
      <c r="K748" s="54">
        <f>Tabelle5[[#This Row],[value_present]]*Tabelle5[[#This Row],[binding_level]]</f>
        <v>0</v>
      </c>
    </row>
    <row r="749" spans="1:11" x14ac:dyDescent="0.25">
      <c r="A749" s="2"/>
      <c r="B749" s="2"/>
      <c r="C749" s="2"/>
      <c r="D749" s="3"/>
      <c r="E749" s="1"/>
      <c r="I749" s="1"/>
      <c r="K749" s="54">
        <f>Tabelle5[[#This Row],[value_present]]*Tabelle5[[#This Row],[binding_level]]</f>
        <v>0</v>
      </c>
    </row>
    <row r="750" spans="1:11" x14ac:dyDescent="0.25">
      <c r="A750" s="2"/>
      <c r="B750" s="2"/>
      <c r="C750" s="2"/>
      <c r="D750" s="3"/>
      <c r="E750" s="1"/>
      <c r="I750" s="1"/>
      <c r="K750" s="54">
        <f>Tabelle5[[#This Row],[value_present]]*Tabelle5[[#This Row],[binding_level]]</f>
        <v>0</v>
      </c>
    </row>
    <row r="751" spans="1:11" x14ac:dyDescent="0.25">
      <c r="A751" s="2"/>
      <c r="B751" s="2"/>
      <c r="C751" s="2"/>
      <c r="D751" s="3"/>
      <c r="E751" s="1"/>
      <c r="I751" s="1"/>
      <c r="K751" s="54">
        <f>Tabelle5[[#This Row],[value_present]]*Tabelle5[[#This Row],[binding_level]]</f>
        <v>0</v>
      </c>
    </row>
    <row r="752" spans="1:11" x14ac:dyDescent="0.25">
      <c r="A752" s="2"/>
      <c r="B752" s="2"/>
      <c r="C752" s="2"/>
      <c r="D752" s="3"/>
      <c r="E752" s="1"/>
      <c r="I752" s="1"/>
      <c r="K752" s="54">
        <f>Tabelle5[[#This Row],[value_present]]*Tabelle5[[#This Row],[binding_level]]</f>
        <v>0</v>
      </c>
    </row>
    <row r="753" spans="1:11" x14ac:dyDescent="0.25">
      <c r="A753" s="2"/>
      <c r="B753" s="2"/>
      <c r="C753" s="2"/>
      <c r="D753" s="3"/>
      <c r="E753" s="1"/>
      <c r="I753" s="1"/>
      <c r="K753" s="54">
        <f>Tabelle5[[#This Row],[value_present]]*Tabelle5[[#This Row],[binding_level]]</f>
        <v>0</v>
      </c>
    </row>
    <row r="754" spans="1:11" x14ac:dyDescent="0.25">
      <c r="A754" s="2"/>
      <c r="B754" s="2"/>
      <c r="C754" s="2"/>
      <c r="D754" s="3"/>
      <c r="E754" s="1"/>
      <c r="I754" s="1"/>
      <c r="K754" s="54">
        <f>Tabelle5[[#This Row],[value_present]]*Tabelle5[[#This Row],[binding_level]]</f>
        <v>0</v>
      </c>
    </row>
    <row r="755" spans="1:11" x14ac:dyDescent="0.25">
      <c r="A755" s="2"/>
      <c r="B755" s="2"/>
      <c r="C755" s="2"/>
      <c r="D755" s="3"/>
      <c r="E755" s="1"/>
      <c r="I755" s="1"/>
      <c r="K755" s="54">
        <f>Tabelle5[[#This Row],[value_present]]*Tabelle5[[#This Row],[binding_level]]</f>
        <v>0</v>
      </c>
    </row>
    <row r="756" spans="1:11" x14ac:dyDescent="0.25">
      <c r="A756" s="2"/>
      <c r="B756" s="2"/>
      <c r="C756" s="2"/>
      <c r="D756" s="3"/>
      <c r="E756" s="1"/>
      <c r="I756" s="1"/>
      <c r="K756" s="54">
        <f>Tabelle5[[#This Row],[value_present]]*Tabelle5[[#This Row],[binding_level]]</f>
        <v>0</v>
      </c>
    </row>
    <row r="757" spans="1:11" x14ac:dyDescent="0.25">
      <c r="A757" s="2"/>
      <c r="B757" s="2"/>
      <c r="C757" s="2"/>
      <c r="D757" s="3"/>
      <c r="E757" s="1"/>
      <c r="I757" s="1"/>
      <c r="K757" s="54">
        <f>Tabelle5[[#This Row],[value_present]]*Tabelle5[[#This Row],[binding_level]]</f>
        <v>0</v>
      </c>
    </row>
    <row r="758" spans="1:11" x14ac:dyDescent="0.25">
      <c r="A758" s="2"/>
      <c r="B758" s="2"/>
      <c r="C758" s="2"/>
      <c r="D758" s="3"/>
      <c r="E758" s="1"/>
      <c r="I758" s="1"/>
      <c r="K758" s="54">
        <f>Tabelle5[[#This Row],[value_present]]*Tabelle5[[#This Row],[binding_level]]</f>
        <v>0</v>
      </c>
    </row>
    <row r="759" spans="1:11" x14ac:dyDescent="0.25">
      <c r="A759" s="2"/>
      <c r="B759" s="2"/>
      <c r="C759" s="2"/>
      <c r="D759" s="3"/>
      <c r="E759" s="1"/>
      <c r="I759" s="1"/>
      <c r="K759" s="54">
        <f>Tabelle5[[#This Row],[value_present]]*Tabelle5[[#This Row],[binding_level]]</f>
        <v>0</v>
      </c>
    </row>
    <row r="760" spans="1:11" x14ac:dyDescent="0.25">
      <c r="A760" s="2"/>
      <c r="B760" s="2"/>
      <c r="C760" s="2"/>
      <c r="D760" s="3"/>
      <c r="E760" s="1"/>
      <c r="I760" s="1"/>
      <c r="K760" s="54">
        <f>Tabelle5[[#This Row],[value_present]]*Tabelle5[[#This Row],[binding_level]]</f>
        <v>0</v>
      </c>
    </row>
    <row r="761" spans="1:11" x14ac:dyDescent="0.25">
      <c r="A761" s="2"/>
      <c r="B761" s="2"/>
      <c r="C761" s="2"/>
      <c r="D761" s="3"/>
      <c r="E761" s="1"/>
      <c r="I761" s="1"/>
      <c r="K761" s="54">
        <f>Tabelle5[[#This Row],[value_present]]*Tabelle5[[#This Row],[binding_level]]</f>
        <v>0</v>
      </c>
    </row>
    <row r="762" spans="1:11" x14ac:dyDescent="0.25">
      <c r="A762" s="2"/>
      <c r="B762" s="2"/>
      <c r="C762" s="2"/>
      <c r="D762" s="3"/>
      <c r="E762" s="1"/>
      <c r="I762" s="1"/>
      <c r="K762" s="54">
        <f>Tabelle5[[#This Row],[value_present]]*Tabelle5[[#This Row],[binding_level]]</f>
        <v>0</v>
      </c>
    </row>
    <row r="763" spans="1:11" x14ac:dyDescent="0.25">
      <c r="A763" s="2"/>
      <c r="B763" s="2"/>
      <c r="C763" s="2"/>
      <c r="D763" s="3"/>
      <c r="E763" s="1"/>
      <c r="I763" s="1"/>
      <c r="K763" s="54">
        <f>Tabelle5[[#This Row],[value_present]]*Tabelle5[[#This Row],[binding_level]]</f>
        <v>0</v>
      </c>
    </row>
    <row r="764" spans="1:11" x14ac:dyDescent="0.25">
      <c r="A764" s="2"/>
      <c r="B764" s="2"/>
      <c r="C764" s="2"/>
      <c r="D764" s="3"/>
      <c r="E764" s="1"/>
      <c r="I764" s="1"/>
      <c r="K764" s="54">
        <f>Tabelle5[[#This Row],[value_present]]*Tabelle5[[#This Row],[binding_level]]</f>
        <v>0</v>
      </c>
    </row>
    <row r="765" spans="1:11" x14ac:dyDescent="0.25">
      <c r="A765" s="2"/>
      <c r="B765" s="2"/>
      <c r="C765" s="2"/>
      <c r="D765" s="3"/>
      <c r="E765" s="1"/>
      <c r="I765" s="1"/>
      <c r="K765" s="54">
        <f>Tabelle5[[#This Row],[value_present]]*Tabelle5[[#This Row],[binding_level]]</f>
        <v>0</v>
      </c>
    </row>
    <row r="766" spans="1:11" x14ac:dyDescent="0.25">
      <c r="A766" s="2"/>
      <c r="B766" s="2"/>
      <c r="C766" s="2"/>
      <c r="D766" s="3"/>
      <c r="E766" s="1"/>
      <c r="I766" s="1"/>
      <c r="K766" s="54">
        <f>Tabelle5[[#This Row],[value_present]]*Tabelle5[[#This Row],[binding_level]]</f>
        <v>0</v>
      </c>
    </row>
    <row r="767" spans="1:11" x14ac:dyDescent="0.25">
      <c r="A767" s="2"/>
      <c r="B767" s="2"/>
      <c r="C767" s="2"/>
      <c r="D767" s="3"/>
      <c r="E767" s="1"/>
      <c r="I767" s="1"/>
      <c r="K767" s="54">
        <f>Tabelle5[[#This Row],[value_present]]*Tabelle5[[#This Row],[binding_level]]</f>
        <v>0</v>
      </c>
    </row>
    <row r="768" spans="1:11" x14ac:dyDescent="0.25">
      <c r="A768" s="2"/>
      <c r="B768" s="2"/>
      <c r="C768" s="2"/>
      <c r="D768" s="3"/>
      <c r="E768" s="1"/>
      <c r="I768" s="1"/>
      <c r="K768" s="54">
        <f>Tabelle5[[#This Row],[value_present]]*Tabelle5[[#This Row],[binding_level]]</f>
        <v>0</v>
      </c>
    </row>
    <row r="769" spans="1:11" x14ac:dyDescent="0.25">
      <c r="A769" s="2"/>
      <c r="B769" s="2"/>
      <c r="C769" s="2"/>
      <c r="D769" s="3"/>
      <c r="E769" s="1"/>
      <c r="I769" s="1"/>
      <c r="K769" s="54">
        <f>Tabelle5[[#This Row],[value_present]]*Tabelle5[[#This Row],[binding_level]]</f>
        <v>0</v>
      </c>
    </row>
    <row r="770" spans="1:11" x14ac:dyDescent="0.25">
      <c r="A770" s="2"/>
      <c r="B770" s="2"/>
      <c r="C770" s="2"/>
      <c r="D770" s="3"/>
      <c r="E770" s="1"/>
      <c r="I770" s="1"/>
      <c r="K770" s="54">
        <f>Tabelle5[[#This Row],[value_present]]*Tabelle5[[#This Row],[binding_level]]</f>
        <v>0</v>
      </c>
    </row>
    <row r="771" spans="1:11" x14ac:dyDescent="0.25">
      <c r="A771" s="2"/>
      <c r="B771" s="2"/>
      <c r="C771" s="2"/>
      <c r="D771" s="3"/>
      <c r="E771" s="1"/>
      <c r="I771" s="1"/>
      <c r="K771" s="54">
        <f>Tabelle5[[#This Row],[value_present]]*Tabelle5[[#This Row],[binding_level]]</f>
        <v>0</v>
      </c>
    </row>
    <row r="772" spans="1:11" x14ac:dyDescent="0.25">
      <c r="A772" s="2"/>
      <c r="B772" s="2"/>
      <c r="C772" s="2"/>
      <c r="D772" s="3"/>
      <c r="E772" s="1"/>
      <c r="I772" s="1"/>
      <c r="K772" s="54">
        <f>Tabelle5[[#This Row],[value_present]]*Tabelle5[[#This Row],[binding_level]]</f>
        <v>0</v>
      </c>
    </row>
    <row r="773" spans="1:11" x14ac:dyDescent="0.25">
      <c r="A773" s="2"/>
      <c r="B773" s="2"/>
      <c r="C773" s="2"/>
      <c r="D773" s="3"/>
      <c r="E773" s="1"/>
      <c r="I773" s="1"/>
      <c r="K773" s="54">
        <f>Tabelle5[[#This Row],[value_present]]*Tabelle5[[#This Row],[binding_level]]</f>
        <v>0</v>
      </c>
    </row>
    <row r="774" spans="1:11" x14ac:dyDescent="0.25">
      <c r="A774" s="2"/>
      <c r="B774" s="2"/>
      <c r="C774" s="2"/>
      <c r="D774" s="3"/>
      <c r="E774" s="1"/>
      <c r="I774" s="1"/>
      <c r="K774" s="54">
        <f>Tabelle5[[#This Row],[value_present]]*Tabelle5[[#This Row],[binding_level]]</f>
        <v>0</v>
      </c>
    </row>
    <row r="775" spans="1:11" x14ac:dyDescent="0.25">
      <c r="A775" s="2"/>
      <c r="B775" s="2"/>
      <c r="C775" s="2"/>
      <c r="D775" s="3"/>
      <c r="E775" s="1"/>
      <c r="I775" s="1"/>
      <c r="K775" s="54">
        <f>Tabelle5[[#This Row],[value_present]]*Tabelle5[[#This Row],[binding_level]]</f>
        <v>0</v>
      </c>
    </row>
    <row r="776" spans="1:11" x14ac:dyDescent="0.25">
      <c r="A776" s="2"/>
      <c r="B776" s="2"/>
      <c r="C776" s="2"/>
      <c r="D776" s="3"/>
      <c r="E776" s="1"/>
      <c r="I776" s="1"/>
      <c r="K776" s="54">
        <f>Tabelle5[[#This Row],[value_present]]*Tabelle5[[#This Row],[binding_level]]</f>
        <v>0</v>
      </c>
    </row>
    <row r="777" spans="1:11" x14ac:dyDescent="0.25">
      <c r="A777" s="2"/>
      <c r="B777" s="2"/>
      <c r="C777" s="2"/>
      <c r="D777" s="3"/>
      <c r="E777" s="1"/>
      <c r="I777" s="1"/>
      <c r="K777" s="54">
        <f>Tabelle5[[#This Row],[value_present]]*Tabelle5[[#This Row],[binding_level]]</f>
        <v>0</v>
      </c>
    </row>
    <row r="778" spans="1:11" x14ac:dyDescent="0.25">
      <c r="A778" s="2"/>
      <c r="B778" s="2"/>
      <c r="C778" s="2"/>
      <c r="D778" s="3"/>
      <c r="E778" s="1"/>
      <c r="I778" s="1"/>
      <c r="K778" s="54">
        <f>Tabelle5[[#This Row],[value_present]]*Tabelle5[[#This Row],[binding_level]]</f>
        <v>0</v>
      </c>
    </row>
    <row r="779" spans="1:11" x14ac:dyDescent="0.25">
      <c r="A779" s="2"/>
      <c r="B779" s="2"/>
      <c r="C779" s="2"/>
      <c r="D779" s="3"/>
      <c r="E779" s="1"/>
      <c r="I779" s="1"/>
      <c r="K779" s="54">
        <f>Tabelle5[[#This Row],[value_present]]*Tabelle5[[#This Row],[binding_level]]</f>
        <v>0</v>
      </c>
    </row>
    <row r="780" spans="1:11" x14ac:dyDescent="0.25">
      <c r="A780" s="2"/>
      <c r="B780" s="2"/>
      <c r="C780" s="2"/>
      <c r="D780" s="3"/>
      <c r="E780" s="1"/>
      <c r="I780" s="1"/>
      <c r="K780" s="54">
        <f>Tabelle5[[#This Row],[value_present]]*Tabelle5[[#This Row],[binding_level]]</f>
        <v>0</v>
      </c>
    </row>
    <row r="781" spans="1:11" x14ac:dyDescent="0.25">
      <c r="A781" s="2"/>
      <c r="B781" s="2"/>
      <c r="C781" s="2"/>
      <c r="D781" s="3"/>
      <c r="E781" s="1"/>
      <c r="I781" s="1"/>
      <c r="K781" s="54">
        <f>Tabelle5[[#This Row],[value_present]]*Tabelle5[[#This Row],[binding_level]]</f>
        <v>0</v>
      </c>
    </row>
    <row r="782" spans="1:11" x14ac:dyDescent="0.25">
      <c r="A782" s="2"/>
      <c r="B782" s="2"/>
      <c r="C782" s="2"/>
      <c r="D782" s="3"/>
      <c r="E782" s="1"/>
      <c r="I782" s="1"/>
      <c r="K782" s="54">
        <f>Tabelle5[[#This Row],[value_present]]*Tabelle5[[#This Row],[binding_level]]</f>
        <v>0</v>
      </c>
    </row>
    <row r="783" spans="1:11" x14ac:dyDescent="0.25">
      <c r="A783" s="2"/>
      <c r="B783" s="2"/>
      <c r="C783" s="2"/>
      <c r="D783" s="3"/>
      <c r="E783" s="1"/>
      <c r="I783" s="1"/>
      <c r="K783" s="54">
        <f>Tabelle5[[#This Row],[value_present]]*Tabelle5[[#This Row],[binding_level]]</f>
        <v>0</v>
      </c>
    </row>
    <row r="784" spans="1:11" x14ac:dyDescent="0.25">
      <c r="A784" s="2"/>
      <c r="B784" s="2"/>
      <c r="C784" s="2"/>
      <c r="D784" s="3"/>
      <c r="E784" s="1"/>
      <c r="I784" s="1"/>
      <c r="K784" s="54">
        <f>Tabelle5[[#This Row],[value_present]]*Tabelle5[[#This Row],[binding_level]]</f>
        <v>0</v>
      </c>
    </row>
    <row r="785" spans="1:11" x14ac:dyDescent="0.25">
      <c r="A785" s="2"/>
      <c r="B785" s="2"/>
      <c r="C785" s="2"/>
      <c r="D785" s="3"/>
      <c r="E785" s="1"/>
      <c r="I785" s="1"/>
      <c r="K785" s="54">
        <f>Tabelle5[[#This Row],[value_present]]*Tabelle5[[#This Row],[binding_level]]</f>
        <v>0</v>
      </c>
    </row>
    <row r="786" spans="1:11" x14ac:dyDescent="0.25">
      <c r="A786" s="2"/>
      <c r="B786" s="2"/>
      <c r="C786" s="2"/>
      <c r="D786" s="3"/>
      <c r="E786" s="1"/>
      <c r="I786" s="1"/>
      <c r="K786" s="54">
        <f>Tabelle5[[#This Row],[value_present]]*Tabelle5[[#This Row],[binding_level]]</f>
        <v>0</v>
      </c>
    </row>
    <row r="787" spans="1:11" x14ac:dyDescent="0.25">
      <c r="A787" s="2"/>
      <c r="B787" s="2"/>
      <c r="C787" s="2"/>
      <c r="D787" s="3"/>
      <c r="E787" s="1"/>
      <c r="I787" s="1"/>
      <c r="K787" s="54">
        <f>Tabelle5[[#This Row],[value_present]]*Tabelle5[[#This Row],[binding_level]]</f>
        <v>0</v>
      </c>
    </row>
    <row r="788" spans="1:11" x14ac:dyDescent="0.25">
      <c r="A788" s="2"/>
      <c r="B788" s="2"/>
      <c r="C788" s="2"/>
      <c r="D788" s="3"/>
      <c r="E788" s="1"/>
      <c r="I788" s="1"/>
      <c r="K788" s="54">
        <f>Tabelle5[[#This Row],[value_present]]*Tabelle5[[#This Row],[binding_level]]</f>
        <v>0</v>
      </c>
    </row>
    <row r="789" spans="1:11" x14ac:dyDescent="0.25">
      <c r="A789" s="2"/>
      <c r="B789" s="2"/>
      <c r="C789" s="2"/>
      <c r="D789" s="3"/>
      <c r="E789" s="1"/>
      <c r="I789" s="1"/>
      <c r="K789" s="54">
        <f>Tabelle5[[#This Row],[value_present]]*Tabelle5[[#This Row],[binding_level]]</f>
        <v>0</v>
      </c>
    </row>
    <row r="790" spans="1:11" x14ac:dyDescent="0.25">
      <c r="A790" s="2"/>
      <c r="B790" s="2"/>
      <c r="C790" s="2"/>
      <c r="D790" s="3"/>
      <c r="E790" s="1"/>
      <c r="I790" s="1"/>
      <c r="K790" s="54">
        <f>Tabelle5[[#This Row],[value_present]]*Tabelle5[[#This Row],[binding_level]]</f>
        <v>0</v>
      </c>
    </row>
    <row r="791" spans="1:11" x14ac:dyDescent="0.25">
      <c r="A791" s="2"/>
      <c r="B791" s="2"/>
      <c r="C791" s="2"/>
      <c r="D791" s="3"/>
      <c r="E791" s="1"/>
      <c r="I791" s="1"/>
      <c r="K791" s="54">
        <f>Tabelle5[[#This Row],[value_present]]*Tabelle5[[#This Row],[binding_level]]</f>
        <v>0</v>
      </c>
    </row>
    <row r="792" spans="1:11" x14ac:dyDescent="0.25">
      <c r="A792" s="2"/>
      <c r="B792" s="2"/>
      <c r="C792" s="2"/>
      <c r="D792" s="3"/>
      <c r="E792" s="1"/>
      <c r="I792" s="1"/>
      <c r="K792" s="54">
        <f>Tabelle5[[#This Row],[value_present]]*Tabelle5[[#This Row],[binding_level]]</f>
        <v>0</v>
      </c>
    </row>
    <row r="793" spans="1:11" x14ac:dyDescent="0.25">
      <c r="A793" s="2"/>
      <c r="B793" s="2"/>
      <c r="C793" s="2"/>
      <c r="D793" s="3"/>
      <c r="E793" s="1"/>
      <c r="I793" s="1"/>
      <c r="K793" s="54">
        <f>Tabelle5[[#This Row],[value_present]]*Tabelle5[[#This Row],[binding_level]]</f>
        <v>0</v>
      </c>
    </row>
    <row r="794" spans="1:11" x14ac:dyDescent="0.25">
      <c r="A794" s="2"/>
      <c r="B794" s="2"/>
      <c r="C794" s="2"/>
      <c r="D794" s="3"/>
      <c r="E794" s="1"/>
      <c r="I794" s="1"/>
      <c r="K794" s="54">
        <f>Tabelle5[[#This Row],[value_present]]*Tabelle5[[#This Row],[binding_level]]</f>
        <v>0</v>
      </c>
    </row>
    <row r="795" spans="1:11" x14ac:dyDescent="0.25">
      <c r="A795" s="2"/>
      <c r="B795" s="2"/>
      <c r="C795" s="2"/>
      <c r="D795" s="3"/>
      <c r="E795" s="1"/>
      <c r="I795" s="1"/>
      <c r="K795" s="54">
        <f>Tabelle5[[#This Row],[value_present]]*Tabelle5[[#This Row],[binding_level]]</f>
        <v>0</v>
      </c>
    </row>
    <row r="796" spans="1:11" x14ac:dyDescent="0.25">
      <c r="A796" s="2"/>
      <c r="B796" s="2"/>
      <c r="C796" s="2"/>
      <c r="D796" s="3"/>
      <c r="E796" s="1"/>
      <c r="I796" s="1"/>
      <c r="K796" s="54">
        <f>Tabelle5[[#This Row],[value_present]]*Tabelle5[[#This Row],[binding_level]]</f>
        <v>0</v>
      </c>
    </row>
    <row r="797" spans="1:11" x14ac:dyDescent="0.25">
      <c r="A797" s="2"/>
      <c r="B797" s="2"/>
      <c r="C797" s="2"/>
      <c r="D797" s="3"/>
      <c r="E797" s="1"/>
      <c r="I797" s="1"/>
      <c r="K797" s="54">
        <f>Tabelle5[[#This Row],[value_present]]*Tabelle5[[#This Row],[binding_level]]</f>
        <v>0</v>
      </c>
    </row>
    <row r="798" spans="1:11" x14ac:dyDescent="0.25">
      <c r="A798" s="2"/>
      <c r="B798" s="2"/>
      <c r="C798" s="2"/>
      <c r="D798" s="3"/>
      <c r="E798" s="1"/>
      <c r="I798" s="1"/>
      <c r="K798" s="54">
        <f>Tabelle5[[#This Row],[value_present]]*Tabelle5[[#This Row],[binding_level]]</f>
        <v>0</v>
      </c>
    </row>
    <row r="799" spans="1:11" x14ac:dyDescent="0.25">
      <c r="A799" s="2"/>
      <c r="B799" s="2"/>
      <c r="C799" s="2"/>
      <c r="D799" s="3"/>
      <c r="E799" s="1"/>
      <c r="I799" s="1"/>
      <c r="K799" s="54">
        <f>Tabelle5[[#This Row],[value_present]]*Tabelle5[[#This Row],[binding_level]]</f>
        <v>0</v>
      </c>
    </row>
    <row r="800" spans="1:11" x14ac:dyDescent="0.25">
      <c r="A800" s="2"/>
      <c r="B800" s="2"/>
      <c r="C800" s="2"/>
      <c r="D800" s="3"/>
      <c r="E800" s="1"/>
      <c r="I800" s="1"/>
      <c r="K800" s="54">
        <f>Tabelle5[[#This Row],[value_present]]*Tabelle5[[#This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D2:D800</xm:sqref>
        </x14:dataValidation>
        <x14:dataValidation type="list" showInputMessage="1" showErrorMessage="1" xr:uid="{645BC1A3-4DC8-4D9B-837C-7691C1DCD3DF}">
          <x14:formula1>
            <xm:f>'99_Lookups'!$M$2:$M$4</xm:f>
          </x14:formula1>
          <xm:sqref>E2:E800</xm:sqref>
        </x14:dataValidation>
        <x14:dataValidation type="list" showErrorMessage="1" xr:uid="{3A25E9A5-878D-4E9A-A433-6C3AA99501EF}">
          <x14:formula1>
            <xm:f>'99_Lookups'!$K$2:$K$4</xm:f>
          </x14:formula1>
          <xm:sqref>I2:I800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sheetPr>
    <tabColor theme="6"/>
  </sheetPr>
  <dimension ref="A1:O210"/>
  <sheetViews>
    <sheetView topLeftCell="A137" workbookViewId="0">
      <selection activeCell="L160" sqref="L160"/>
    </sheetView>
  </sheetViews>
  <sheetFormatPr baseColWidth="10" defaultRowHeight="15" x14ac:dyDescent="0.25"/>
  <cols>
    <col min="1" max="1" width="14" bestFit="1" customWidth="1"/>
    <col min="2" max="2" width="12.85546875" bestFit="1" customWidth="1"/>
    <col min="3" max="3" width="11.140625" customWidth="1"/>
    <col min="4" max="4" width="11.7109375" customWidth="1"/>
    <col min="5" max="5" width="16.7109375" customWidth="1"/>
    <col min="6" max="6" width="19" customWidth="1"/>
    <col min="7" max="7" width="16.7109375" customWidth="1"/>
    <col min="8" max="8" width="18.7109375" customWidth="1"/>
    <col min="9" max="9" width="61.85546875" bestFit="1" customWidth="1"/>
  </cols>
  <sheetData>
    <row r="1" spans="1:9" ht="15.75" thickBot="1" x14ac:dyDescent="0.3">
      <c r="A1" t="s">
        <v>0</v>
      </c>
      <c r="B1" t="s">
        <v>8</v>
      </c>
      <c r="C1" t="s">
        <v>2197</v>
      </c>
      <c r="D1" t="s">
        <v>46</v>
      </c>
      <c r="E1" t="s">
        <v>32</v>
      </c>
      <c r="F1" t="s">
        <v>33</v>
      </c>
      <c r="G1" t="s">
        <v>47</v>
      </c>
      <c r="H1" t="s">
        <v>34</v>
      </c>
      <c r="I1" t="s">
        <v>35</v>
      </c>
    </row>
    <row r="2" spans="1:9" ht="15.75" thickBot="1" x14ac:dyDescent="0.3">
      <c r="A2" s="18">
        <v>2</v>
      </c>
      <c r="B2" s="19">
        <v>8</v>
      </c>
      <c r="C2" s="19" t="s">
        <v>186</v>
      </c>
      <c r="D2" s="20">
        <v>0</v>
      </c>
      <c r="E2" s="22"/>
      <c r="F2" s="19"/>
      <c r="G2" s="22"/>
      <c r="H2" s="21" t="s">
        <v>1457</v>
      </c>
      <c r="I2" s="32" t="s">
        <v>2191</v>
      </c>
    </row>
    <row r="3" spans="1:9" x14ac:dyDescent="0.25">
      <c r="A3" s="24">
        <v>2</v>
      </c>
      <c r="B3" s="2">
        <v>8</v>
      </c>
      <c r="C3" s="2" t="s">
        <v>192</v>
      </c>
      <c r="D3" s="3">
        <v>1</v>
      </c>
      <c r="E3" t="s">
        <v>2200</v>
      </c>
      <c r="F3" s="19" t="s">
        <v>2170</v>
      </c>
      <c r="G3" t="s">
        <v>2198</v>
      </c>
      <c r="H3" s="1" t="s">
        <v>1458</v>
      </c>
      <c r="I3" s="33" t="s">
        <v>2199</v>
      </c>
    </row>
    <row r="4" spans="1:9" x14ac:dyDescent="0.25">
      <c r="A4" s="24">
        <v>2</v>
      </c>
      <c r="B4" s="2">
        <v>8</v>
      </c>
      <c r="C4" s="2" t="s">
        <v>198</v>
      </c>
      <c r="D4" s="3">
        <v>0</v>
      </c>
      <c r="F4" s="2"/>
      <c r="H4" s="1" t="s">
        <v>1457</v>
      </c>
      <c r="I4" s="33" t="s">
        <v>2192</v>
      </c>
    </row>
    <row r="5" spans="1:9" x14ac:dyDescent="0.25">
      <c r="A5" s="24">
        <v>2</v>
      </c>
      <c r="B5" s="2">
        <v>8</v>
      </c>
      <c r="C5" s="2" t="s">
        <v>204</v>
      </c>
      <c r="D5" s="3">
        <v>0</v>
      </c>
      <c r="F5" s="2"/>
      <c r="H5" s="1" t="s">
        <v>1457</v>
      </c>
      <c r="I5" s="33" t="s">
        <v>2193</v>
      </c>
    </row>
    <row r="6" spans="1:9" x14ac:dyDescent="0.25">
      <c r="A6" s="24">
        <v>2</v>
      </c>
      <c r="B6" s="2">
        <v>8</v>
      </c>
      <c r="C6" s="2" t="s">
        <v>210</v>
      </c>
      <c r="D6" s="3">
        <v>0</v>
      </c>
      <c r="F6" s="2"/>
      <c r="H6" s="1" t="s">
        <v>1457</v>
      </c>
      <c r="I6" s="33" t="s">
        <v>2194</v>
      </c>
    </row>
    <row r="7" spans="1:9" x14ac:dyDescent="0.25">
      <c r="A7" s="24">
        <v>2</v>
      </c>
      <c r="B7" s="2">
        <v>8</v>
      </c>
      <c r="C7" s="2" t="s">
        <v>215</v>
      </c>
      <c r="D7" s="3">
        <v>0</v>
      </c>
      <c r="F7" s="2"/>
      <c r="H7" s="1" t="s">
        <v>1457</v>
      </c>
      <c r="I7" s="33" t="s">
        <v>2195</v>
      </c>
    </row>
    <row r="8" spans="1:9" ht="15.75" thickBot="1" x14ac:dyDescent="0.3">
      <c r="A8" s="26">
        <v>2</v>
      </c>
      <c r="B8" s="27">
        <v>8</v>
      </c>
      <c r="C8" s="27" t="s">
        <v>221</v>
      </c>
      <c r="D8" s="28">
        <v>0</v>
      </c>
      <c r="E8" s="30"/>
      <c r="F8" s="27"/>
      <c r="G8" s="30"/>
      <c r="H8" s="29" t="s">
        <v>1457</v>
      </c>
      <c r="I8" s="34" t="s">
        <v>2196</v>
      </c>
    </row>
    <row r="9" spans="1:9" x14ac:dyDescent="0.25">
      <c r="A9" s="18">
        <v>2</v>
      </c>
      <c r="B9" s="19">
        <v>9</v>
      </c>
      <c r="C9" s="19" t="s">
        <v>186</v>
      </c>
      <c r="D9" s="20">
        <v>0</v>
      </c>
      <c r="E9" s="22"/>
      <c r="F9" s="19"/>
      <c r="G9" s="22"/>
      <c r="H9" s="21" t="s">
        <v>1457</v>
      </c>
      <c r="I9" s="32" t="s">
        <v>2251</v>
      </c>
    </row>
    <row r="10" spans="1:9" x14ac:dyDescent="0.25">
      <c r="A10" s="24">
        <v>2</v>
      </c>
      <c r="B10" s="2">
        <v>9</v>
      </c>
      <c r="C10" s="2" t="s">
        <v>192</v>
      </c>
      <c r="D10" s="3">
        <v>2</v>
      </c>
      <c r="E10" t="s">
        <v>2260</v>
      </c>
      <c r="F10" s="2" t="s">
        <v>2218</v>
      </c>
      <c r="G10" t="s">
        <v>2258</v>
      </c>
      <c r="H10" s="1" t="s">
        <v>1458</v>
      </c>
      <c r="I10" s="33" t="s">
        <v>2256</v>
      </c>
    </row>
    <row r="11" spans="1:9" x14ac:dyDescent="0.25">
      <c r="A11" s="24">
        <v>2</v>
      </c>
      <c r="B11" s="2">
        <v>9</v>
      </c>
      <c r="C11" s="2" t="s">
        <v>198</v>
      </c>
      <c r="D11" s="3">
        <v>2</v>
      </c>
      <c r="E11" t="s">
        <v>2241</v>
      </c>
      <c r="F11" s="2" t="s">
        <v>2218</v>
      </c>
      <c r="G11" t="s">
        <v>2257</v>
      </c>
      <c r="H11" s="1" t="s">
        <v>1458</v>
      </c>
      <c r="I11" s="33" t="s">
        <v>2259</v>
      </c>
    </row>
    <row r="12" spans="1:9" x14ac:dyDescent="0.25">
      <c r="A12" s="24">
        <v>2</v>
      </c>
      <c r="B12" s="2">
        <v>9</v>
      </c>
      <c r="C12" s="2" t="s">
        <v>204</v>
      </c>
      <c r="D12" s="3">
        <v>0</v>
      </c>
      <c r="F12" s="2"/>
      <c r="H12" s="1" t="s">
        <v>1457</v>
      </c>
      <c r="I12" s="33" t="s">
        <v>2252</v>
      </c>
    </row>
    <row r="13" spans="1:9" x14ac:dyDescent="0.25">
      <c r="A13" s="24">
        <v>2</v>
      </c>
      <c r="B13" s="2">
        <v>9</v>
      </c>
      <c r="C13" s="2" t="s">
        <v>210</v>
      </c>
      <c r="D13" s="3">
        <v>0</v>
      </c>
      <c r="F13" s="2"/>
      <c r="H13" s="1" t="s">
        <v>1457</v>
      </c>
      <c r="I13" s="33" t="s">
        <v>2253</v>
      </c>
    </row>
    <row r="14" spans="1:9" x14ac:dyDescent="0.25">
      <c r="A14" s="24">
        <v>2</v>
      </c>
      <c r="B14" s="2">
        <v>9</v>
      </c>
      <c r="C14" s="2" t="s">
        <v>215</v>
      </c>
      <c r="D14" s="3">
        <v>0</v>
      </c>
      <c r="F14" s="2"/>
      <c r="H14" s="1" t="s">
        <v>1457</v>
      </c>
      <c r="I14" s="33" t="s">
        <v>2254</v>
      </c>
    </row>
    <row r="15" spans="1:9" ht="15.75" thickBot="1" x14ac:dyDescent="0.3">
      <c r="A15" s="26">
        <v>2</v>
      </c>
      <c r="B15" s="27">
        <v>9</v>
      </c>
      <c r="C15" s="27" t="s">
        <v>221</v>
      </c>
      <c r="D15" s="28">
        <v>0</v>
      </c>
      <c r="E15" s="30"/>
      <c r="F15" s="27"/>
      <c r="G15" s="30"/>
      <c r="H15" s="29" t="s">
        <v>1457</v>
      </c>
      <c r="I15" s="34" t="s">
        <v>2255</v>
      </c>
    </row>
    <row r="16" spans="1:9" x14ac:dyDescent="0.25">
      <c r="A16" s="18">
        <v>3</v>
      </c>
      <c r="B16" s="19">
        <v>16</v>
      </c>
      <c r="C16" s="19" t="s">
        <v>186</v>
      </c>
      <c r="D16" s="20">
        <v>2</v>
      </c>
      <c r="E16" s="22" t="s">
        <v>2575</v>
      </c>
      <c r="F16" s="19" t="s">
        <v>2462</v>
      </c>
      <c r="G16" s="22" t="s">
        <v>2468</v>
      </c>
      <c r="H16" s="21" t="s">
        <v>1457</v>
      </c>
      <c r="I16" s="32" t="s">
        <v>2475</v>
      </c>
    </row>
    <row r="17" spans="1:9" x14ac:dyDescent="0.25">
      <c r="A17" s="24">
        <v>3</v>
      </c>
      <c r="B17" s="2">
        <v>16</v>
      </c>
      <c r="C17" s="2" t="s">
        <v>192</v>
      </c>
      <c r="D17" s="3">
        <v>2</v>
      </c>
      <c r="E17" t="s">
        <v>2576</v>
      </c>
      <c r="F17" s="2" t="s">
        <v>2463</v>
      </c>
      <c r="G17" t="s">
        <v>2469</v>
      </c>
      <c r="H17" s="1" t="s">
        <v>1457</v>
      </c>
      <c r="I17" s="33" t="s">
        <v>2476</v>
      </c>
    </row>
    <row r="18" spans="1:9" x14ac:dyDescent="0.25">
      <c r="A18" s="24">
        <v>3</v>
      </c>
      <c r="B18" s="2">
        <v>16</v>
      </c>
      <c r="C18" s="2" t="s">
        <v>198</v>
      </c>
      <c r="D18" s="3">
        <v>2</v>
      </c>
      <c r="E18" t="s">
        <v>2577</v>
      </c>
      <c r="F18" s="2" t="s">
        <v>2464</v>
      </c>
      <c r="G18" t="s">
        <v>2470</v>
      </c>
      <c r="H18" s="1" t="s">
        <v>1457</v>
      </c>
      <c r="I18" s="33" t="s">
        <v>2477</v>
      </c>
    </row>
    <row r="19" spans="1:9" x14ac:dyDescent="0.25">
      <c r="A19" s="24">
        <v>3</v>
      </c>
      <c r="B19" s="2">
        <v>16</v>
      </c>
      <c r="C19" s="2" t="s">
        <v>204</v>
      </c>
      <c r="D19" s="3">
        <v>0</v>
      </c>
      <c r="F19" s="2"/>
      <c r="H19" s="1" t="s">
        <v>1457</v>
      </c>
      <c r="I19" s="33" t="s">
        <v>2465</v>
      </c>
    </row>
    <row r="20" spans="1:9" x14ac:dyDescent="0.25">
      <c r="A20" s="24">
        <v>3</v>
      </c>
      <c r="B20" s="2">
        <v>16</v>
      </c>
      <c r="C20" s="2" t="s">
        <v>210</v>
      </c>
      <c r="D20" s="3">
        <v>2</v>
      </c>
      <c r="E20" t="s">
        <v>2578</v>
      </c>
      <c r="F20" s="2" t="s">
        <v>2463</v>
      </c>
      <c r="G20" t="s">
        <v>2471</v>
      </c>
      <c r="H20" s="1" t="s">
        <v>1457</v>
      </c>
      <c r="I20" s="33" t="s">
        <v>2474</v>
      </c>
    </row>
    <row r="21" spans="1:9" x14ac:dyDescent="0.25">
      <c r="A21" s="24">
        <v>3</v>
      </c>
      <c r="B21" s="2">
        <v>16</v>
      </c>
      <c r="C21" s="2" t="s">
        <v>215</v>
      </c>
      <c r="D21" s="3">
        <v>2</v>
      </c>
      <c r="E21" t="s">
        <v>2579</v>
      </c>
      <c r="F21" s="2" t="s">
        <v>2466</v>
      </c>
      <c r="G21" t="s">
        <v>2472</v>
      </c>
      <c r="H21" s="1" t="s">
        <v>1457</v>
      </c>
      <c r="I21" s="33" t="s">
        <v>2473</v>
      </c>
    </row>
    <row r="22" spans="1:9" ht="15.75" thickBot="1" x14ac:dyDescent="0.3">
      <c r="A22" s="26">
        <v>3</v>
      </c>
      <c r="B22" s="27">
        <v>16</v>
      </c>
      <c r="C22" s="27" t="s">
        <v>221</v>
      </c>
      <c r="D22" s="28">
        <v>0</v>
      </c>
      <c r="E22" s="30"/>
      <c r="F22" s="27"/>
      <c r="G22" s="30"/>
      <c r="H22" s="29" t="s">
        <v>1457</v>
      </c>
      <c r="I22" s="34" t="s">
        <v>2467</v>
      </c>
    </row>
    <row r="23" spans="1:9" x14ac:dyDescent="0.25">
      <c r="A23" s="18">
        <v>3</v>
      </c>
      <c r="B23" s="19">
        <v>17</v>
      </c>
      <c r="C23" s="19" t="s">
        <v>186</v>
      </c>
      <c r="D23" s="20">
        <v>0</v>
      </c>
      <c r="E23" s="22"/>
      <c r="F23" s="19"/>
      <c r="G23" s="22"/>
      <c r="H23" s="21" t="s">
        <v>1457</v>
      </c>
      <c r="I23" s="32" t="s">
        <v>2251</v>
      </c>
    </row>
    <row r="24" spans="1:9" x14ac:dyDescent="0.25">
      <c r="A24" s="24">
        <v>3</v>
      </c>
      <c r="B24" s="2">
        <v>17</v>
      </c>
      <c r="C24" s="2" t="s">
        <v>192</v>
      </c>
      <c r="D24" s="3">
        <v>0</v>
      </c>
      <c r="F24" s="2"/>
      <c r="H24" s="1" t="s">
        <v>1457</v>
      </c>
      <c r="I24" s="33" t="s">
        <v>2517</v>
      </c>
    </row>
    <row r="25" spans="1:9" x14ac:dyDescent="0.25">
      <c r="A25" s="24">
        <v>3</v>
      </c>
      <c r="B25" s="2">
        <v>17</v>
      </c>
      <c r="C25" s="2" t="s">
        <v>198</v>
      </c>
      <c r="D25" s="3">
        <v>0</v>
      </c>
      <c r="F25" s="2"/>
      <c r="H25" s="1" t="s">
        <v>1458</v>
      </c>
      <c r="I25" s="33" t="s">
        <v>2518</v>
      </c>
    </row>
    <row r="26" spans="1:9" x14ac:dyDescent="0.25">
      <c r="A26" s="24">
        <v>3</v>
      </c>
      <c r="B26" s="2">
        <v>17</v>
      </c>
      <c r="C26" s="2" t="s">
        <v>204</v>
      </c>
      <c r="D26" s="3">
        <v>0</v>
      </c>
      <c r="F26" s="2"/>
      <c r="H26" s="1" t="s">
        <v>1457</v>
      </c>
      <c r="I26" s="33" t="s">
        <v>2519</v>
      </c>
    </row>
    <row r="27" spans="1:9" x14ac:dyDescent="0.25">
      <c r="A27" s="24">
        <v>3</v>
      </c>
      <c r="B27" s="2">
        <v>17</v>
      </c>
      <c r="C27" s="2" t="s">
        <v>210</v>
      </c>
      <c r="D27" s="3">
        <v>0</v>
      </c>
      <c r="F27" s="2"/>
      <c r="H27" s="1" t="s">
        <v>1457</v>
      </c>
      <c r="I27" s="33" t="s">
        <v>2253</v>
      </c>
    </row>
    <row r="28" spans="1:9" x14ac:dyDescent="0.25">
      <c r="A28" s="24">
        <v>3</v>
      </c>
      <c r="B28" s="2">
        <v>17</v>
      </c>
      <c r="C28" s="2" t="s">
        <v>215</v>
      </c>
      <c r="D28" s="3">
        <v>0</v>
      </c>
      <c r="F28" s="2"/>
      <c r="H28" s="1" t="s">
        <v>1457</v>
      </c>
      <c r="I28" s="33" t="s">
        <v>2520</v>
      </c>
    </row>
    <row r="29" spans="1:9" ht="15.75" thickBot="1" x14ac:dyDescent="0.3">
      <c r="A29" s="26">
        <v>3</v>
      </c>
      <c r="B29" s="27">
        <v>17</v>
      </c>
      <c r="C29" s="27" t="s">
        <v>221</v>
      </c>
      <c r="D29" s="28">
        <v>0</v>
      </c>
      <c r="E29" s="30"/>
      <c r="F29" s="27"/>
      <c r="G29" s="30"/>
      <c r="H29" s="29" t="s">
        <v>1457</v>
      </c>
      <c r="I29" s="34" t="s">
        <v>2255</v>
      </c>
    </row>
    <row r="30" spans="1:9" x14ac:dyDescent="0.25">
      <c r="A30" s="18">
        <v>3</v>
      </c>
      <c r="B30" s="19">
        <v>18</v>
      </c>
      <c r="C30" s="19" t="s">
        <v>186</v>
      </c>
      <c r="D30" s="20">
        <v>1</v>
      </c>
      <c r="E30" t="s">
        <v>2571</v>
      </c>
      <c r="F30" s="19" t="s">
        <v>2531</v>
      </c>
      <c r="G30" s="22" t="s">
        <v>2563</v>
      </c>
      <c r="H30" s="21" t="s">
        <v>1458</v>
      </c>
      <c r="I30" s="32" t="s">
        <v>2568</v>
      </c>
    </row>
    <row r="31" spans="1:9" x14ac:dyDescent="0.25">
      <c r="A31" s="24">
        <v>3</v>
      </c>
      <c r="B31" s="2">
        <v>18</v>
      </c>
      <c r="C31" s="2" t="s">
        <v>192</v>
      </c>
      <c r="D31" s="3">
        <v>2</v>
      </c>
      <c r="E31" t="s">
        <v>2572</v>
      </c>
      <c r="F31" s="2" t="s">
        <v>2531</v>
      </c>
      <c r="G31" t="s">
        <v>2565</v>
      </c>
      <c r="H31" s="1" t="s">
        <v>1457</v>
      </c>
      <c r="I31" s="33" t="s">
        <v>2569</v>
      </c>
    </row>
    <row r="32" spans="1:9" x14ac:dyDescent="0.25">
      <c r="A32" s="24">
        <v>3</v>
      </c>
      <c r="B32" s="2">
        <v>18</v>
      </c>
      <c r="C32" s="2" t="s">
        <v>198</v>
      </c>
      <c r="D32" s="3">
        <v>2</v>
      </c>
      <c r="E32" t="s">
        <v>2573</v>
      </c>
      <c r="F32" s="2" t="s">
        <v>2531</v>
      </c>
      <c r="G32" t="s">
        <v>2564</v>
      </c>
      <c r="H32" s="1" t="s">
        <v>1457</v>
      </c>
      <c r="I32" s="33" t="s">
        <v>2570</v>
      </c>
    </row>
    <row r="33" spans="1:9" x14ac:dyDescent="0.25">
      <c r="A33" s="24">
        <v>3</v>
      </c>
      <c r="B33" s="2">
        <v>18</v>
      </c>
      <c r="C33" s="2" t="s">
        <v>204</v>
      </c>
      <c r="D33" s="3">
        <v>0</v>
      </c>
      <c r="F33" s="2"/>
      <c r="H33" s="1" t="s">
        <v>1458</v>
      </c>
      <c r="I33" s="33" t="s">
        <v>2560</v>
      </c>
    </row>
    <row r="34" spans="1:9" x14ac:dyDescent="0.25">
      <c r="A34" s="24">
        <v>3</v>
      </c>
      <c r="B34" s="2">
        <v>18</v>
      </c>
      <c r="C34" s="2" t="s">
        <v>210</v>
      </c>
      <c r="D34" s="3">
        <v>2</v>
      </c>
      <c r="E34" t="s">
        <v>2574</v>
      </c>
      <c r="F34" s="2" t="s">
        <v>2531</v>
      </c>
      <c r="G34" t="s">
        <v>2566</v>
      </c>
      <c r="H34" s="1" t="s">
        <v>1457</v>
      </c>
      <c r="I34" s="33" t="s">
        <v>2567</v>
      </c>
    </row>
    <row r="35" spans="1:9" x14ac:dyDescent="0.25">
      <c r="A35" s="24">
        <v>3</v>
      </c>
      <c r="B35" s="2">
        <v>18</v>
      </c>
      <c r="C35" s="2" t="s">
        <v>215</v>
      </c>
      <c r="D35" s="3">
        <v>0</v>
      </c>
      <c r="F35" s="2"/>
      <c r="H35" s="1" t="s">
        <v>1457</v>
      </c>
      <c r="I35" s="33" t="s">
        <v>2561</v>
      </c>
    </row>
    <row r="36" spans="1:9" ht="15.75" thickBot="1" x14ac:dyDescent="0.3">
      <c r="A36" s="26">
        <v>3</v>
      </c>
      <c r="B36" s="27">
        <v>18</v>
      </c>
      <c r="C36" s="27" t="s">
        <v>221</v>
      </c>
      <c r="D36" s="28">
        <v>0</v>
      </c>
      <c r="E36" s="30"/>
      <c r="F36" s="27"/>
      <c r="G36" s="30"/>
      <c r="H36" s="29" t="s">
        <v>1457</v>
      </c>
      <c r="I36" s="34" t="s">
        <v>2562</v>
      </c>
    </row>
    <row r="37" spans="1:9" x14ac:dyDescent="0.25">
      <c r="A37" s="18">
        <v>3</v>
      </c>
      <c r="B37" s="19">
        <v>21</v>
      </c>
      <c r="C37" s="19" t="s">
        <v>186</v>
      </c>
      <c r="D37" s="20">
        <v>1</v>
      </c>
      <c r="E37" s="22" t="s">
        <v>2660</v>
      </c>
      <c r="F37" s="19" t="s">
        <v>2599</v>
      </c>
      <c r="G37" s="22" t="s">
        <v>2654</v>
      </c>
      <c r="H37" s="21" t="s">
        <v>1458</v>
      </c>
      <c r="I37" s="32" t="s">
        <v>2648</v>
      </c>
    </row>
    <row r="38" spans="1:9" x14ac:dyDescent="0.25">
      <c r="A38" s="24">
        <v>3</v>
      </c>
      <c r="B38" s="2">
        <v>21</v>
      </c>
      <c r="C38" s="2" t="s">
        <v>192</v>
      </c>
      <c r="D38" s="3">
        <v>2</v>
      </c>
      <c r="E38" t="s">
        <v>2661</v>
      </c>
      <c r="F38" s="2" t="s">
        <v>2645</v>
      </c>
      <c r="G38" t="s">
        <v>2655</v>
      </c>
      <c r="H38" s="1" t="s">
        <v>1458</v>
      </c>
      <c r="I38" s="33" t="s">
        <v>2649</v>
      </c>
    </row>
    <row r="39" spans="1:9" x14ac:dyDescent="0.25">
      <c r="A39" s="24">
        <v>3</v>
      </c>
      <c r="B39" s="2">
        <v>21</v>
      </c>
      <c r="C39" s="2" t="s">
        <v>198</v>
      </c>
      <c r="D39" s="3">
        <v>1</v>
      </c>
      <c r="E39" t="s">
        <v>2662</v>
      </c>
      <c r="F39" s="2" t="s">
        <v>2591</v>
      </c>
      <c r="G39" t="s">
        <v>2656</v>
      </c>
      <c r="H39" s="1" t="s">
        <v>1542</v>
      </c>
      <c r="I39" s="33" t="s">
        <v>2650</v>
      </c>
    </row>
    <row r="40" spans="1:9" x14ac:dyDescent="0.25">
      <c r="A40" s="24">
        <v>3</v>
      </c>
      <c r="B40" s="2">
        <v>21</v>
      </c>
      <c r="C40" s="2" t="s">
        <v>204</v>
      </c>
      <c r="D40" s="3">
        <v>0</v>
      </c>
      <c r="F40" s="2"/>
      <c r="H40" s="1" t="s">
        <v>1457</v>
      </c>
      <c r="I40" s="33" t="s">
        <v>2646</v>
      </c>
    </row>
    <row r="41" spans="1:9" x14ac:dyDescent="0.25">
      <c r="A41" s="24">
        <v>3</v>
      </c>
      <c r="B41" s="2">
        <v>21</v>
      </c>
      <c r="C41" s="2" t="s">
        <v>210</v>
      </c>
      <c r="D41" s="3">
        <v>1</v>
      </c>
      <c r="E41" t="s">
        <v>2663</v>
      </c>
      <c r="F41" s="2" t="s">
        <v>2591</v>
      </c>
      <c r="G41" t="s">
        <v>2657</v>
      </c>
      <c r="H41" s="1" t="s">
        <v>1542</v>
      </c>
      <c r="I41" s="33" t="s">
        <v>2651</v>
      </c>
    </row>
    <row r="42" spans="1:9" x14ac:dyDescent="0.25">
      <c r="A42" s="24">
        <v>3</v>
      </c>
      <c r="B42" s="2">
        <v>21</v>
      </c>
      <c r="C42" s="2" t="s">
        <v>215</v>
      </c>
      <c r="D42" s="3">
        <v>1</v>
      </c>
      <c r="E42" t="s">
        <v>2662</v>
      </c>
      <c r="F42" s="2" t="s">
        <v>2591</v>
      </c>
      <c r="G42" t="s">
        <v>2658</v>
      </c>
      <c r="H42" s="1" t="s">
        <v>1542</v>
      </c>
      <c r="I42" s="33" t="s">
        <v>2652</v>
      </c>
    </row>
    <row r="43" spans="1:9" ht="15.75" thickBot="1" x14ac:dyDescent="0.3">
      <c r="A43" s="26">
        <v>3</v>
      </c>
      <c r="B43" s="27">
        <v>21</v>
      </c>
      <c r="C43" s="27" t="s">
        <v>221</v>
      </c>
      <c r="D43" s="28">
        <v>1</v>
      </c>
      <c r="E43" s="30" t="s">
        <v>2664</v>
      </c>
      <c r="F43" s="27" t="s">
        <v>2647</v>
      </c>
      <c r="G43" s="30" t="s">
        <v>2659</v>
      </c>
      <c r="H43" s="29" t="s">
        <v>1458</v>
      </c>
      <c r="I43" s="34" t="s">
        <v>2653</v>
      </c>
    </row>
    <row r="44" spans="1:9" x14ac:dyDescent="0.25">
      <c r="A44" s="18">
        <v>4</v>
      </c>
      <c r="B44" s="19">
        <v>22</v>
      </c>
      <c r="C44" s="19" t="s">
        <v>186</v>
      </c>
      <c r="D44" s="20">
        <v>1</v>
      </c>
      <c r="E44" t="s">
        <v>2737</v>
      </c>
      <c r="F44" s="19" t="s">
        <v>2729</v>
      </c>
      <c r="G44" s="22" t="s">
        <v>2736</v>
      </c>
      <c r="H44" s="21" t="s">
        <v>1458</v>
      </c>
      <c r="I44" s="32" t="s">
        <v>2731</v>
      </c>
    </row>
    <row r="45" spans="1:9" x14ac:dyDescent="0.25">
      <c r="A45" s="24">
        <v>4</v>
      </c>
      <c r="B45" s="2">
        <v>22</v>
      </c>
      <c r="C45" s="2" t="s">
        <v>192</v>
      </c>
      <c r="D45" s="3">
        <v>2</v>
      </c>
      <c r="E45" t="s">
        <v>2739</v>
      </c>
      <c r="F45" s="2" t="s">
        <v>2697</v>
      </c>
      <c r="G45" t="s">
        <v>2735</v>
      </c>
      <c r="H45" s="1" t="s">
        <v>1457</v>
      </c>
      <c r="I45" s="33" t="s">
        <v>2732</v>
      </c>
    </row>
    <row r="46" spans="1:9" x14ac:dyDescent="0.25">
      <c r="A46" s="24">
        <v>4</v>
      </c>
      <c r="B46" s="2">
        <v>22</v>
      </c>
      <c r="C46" s="2" t="s">
        <v>198</v>
      </c>
      <c r="D46" s="3">
        <v>2</v>
      </c>
      <c r="E46" t="s">
        <v>2738</v>
      </c>
      <c r="F46" s="2" t="s">
        <v>2697</v>
      </c>
      <c r="G46" t="s">
        <v>2734</v>
      </c>
      <c r="H46" s="1" t="s">
        <v>1457</v>
      </c>
      <c r="I46" s="33" t="s">
        <v>2733</v>
      </c>
    </row>
    <row r="47" spans="1:9" x14ac:dyDescent="0.25">
      <c r="A47" s="24">
        <v>4</v>
      </c>
      <c r="B47" s="2">
        <v>22</v>
      </c>
      <c r="C47" s="2" t="s">
        <v>204</v>
      </c>
      <c r="D47" s="3">
        <v>0</v>
      </c>
      <c r="F47" s="2"/>
      <c r="H47" s="1" t="s">
        <v>1457</v>
      </c>
      <c r="I47" s="33" t="s">
        <v>2252</v>
      </c>
    </row>
    <row r="48" spans="1:9" x14ac:dyDescent="0.25">
      <c r="A48" s="24">
        <v>4</v>
      </c>
      <c r="B48" s="2">
        <v>22</v>
      </c>
      <c r="C48" s="2" t="s">
        <v>210</v>
      </c>
      <c r="D48" s="3">
        <v>0</v>
      </c>
      <c r="F48" s="2"/>
      <c r="H48" s="1" t="s">
        <v>1457</v>
      </c>
      <c r="I48" s="33" t="s">
        <v>2730</v>
      </c>
    </row>
    <row r="49" spans="1:9" x14ac:dyDescent="0.25">
      <c r="A49" s="24">
        <v>4</v>
      </c>
      <c r="B49" s="2">
        <v>22</v>
      </c>
      <c r="C49" s="2" t="s">
        <v>215</v>
      </c>
      <c r="D49" s="3">
        <v>0</v>
      </c>
      <c r="F49" s="2"/>
      <c r="H49" s="1" t="s">
        <v>1457</v>
      </c>
      <c r="I49" s="33" t="s">
        <v>2561</v>
      </c>
    </row>
    <row r="50" spans="1:9" ht="15.75" thickBot="1" x14ac:dyDescent="0.3">
      <c r="A50" s="26">
        <v>4</v>
      </c>
      <c r="B50" s="27">
        <v>22</v>
      </c>
      <c r="C50" s="27" t="s">
        <v>221</v>
      </c>
      <c r="D50" s="28">
        <v>0</v>
      </c>
      <c r="E50" s="30"/>
      <c r="F50" s="27"/>
      <c r="G50" s="30"/>
      <c r="H50" s="29" t="s">
        <v>1457</v>
      </c>
      <c r="I50" s="34" t="s">
        <v>2255</v>
      </c>
    </row>
    <row r="51" spans="1:9" x14ac:dyDescent="0.25">
      <c r="A51" s="18">
        <v>4</v>
      </c>
      <c r="B51" s="19">
        <v>23</v>
      </c>
      <c r="C51" s="19" t="s">
        <v>186</v>
      </c>
      <c r="D51" s="20">
        <v>0</v>
      </c>
      <c r="E51" s="22"/>
      <c r="F51" s="19"/>
      <c r="G51" s="22"/>
      <c r="H51" s="21" t="s">
        <v>1457</v>
      </c>
      <c r="I51" s="32" t="s">
        <v>2251</v>
      </c>
    </row>
    <row r="52" spans="1:9" x14ac:dyDescent="0.25">
      <c r="A52" s="24">
        <v>4</v>
      </c>
      <c r="B52" s="2">
        <v>23</v>
      </c>
      <c r="C52" s="2" t="s">
        <v>192</v>
      </c>
      <c r="D52" s="3">
        <v>2</v>
      </c>
      <c r="E52" t="s">
        <v>2782</v>
      </c>
      <c r="F52" s="2" t="s">
        <v>2754</v>
      </c>
      <c r="G52" t="s">
        <v>2780</v>
      </c>
      <c r="H52" s="1" t="s">
        <v>1458</v>
      </c>
      <c r="I52" s="33" t="s">
        <v>2779</v>
      </c>
    </row>
    <row r="53" spans="1:9" x14ac:dyDescent="0.25">
      <c r="A53" s="24">
        <v>4</v>
      </c>
      <c r="B53" s="2">
        <v>23</v>
      </c>
      <c r="C53" s="2" t="s">
        <v>198</v>
      </c>
      <c r="D53" s="3">
        <v>0</v>
      </c>
      <c r="F53" s="2"/>
      <c r="H53" s="1" t="s">
        <v>1457</v>
      </c>
      <c r="I53" s="33" t="s">
        <v>2776</v>
      </c>
    </row>
    <row r="54" spans="1:9" x14ac:dyDescent="0.25">
      <c r="A54" s="24">
        <v>4</v>
      </c>
      <c r="B54" s="2">
        <v>23</v>
      </c>
      <c r="C54" s="2" t="s">
        <v>204</v>
      </c>
      <c r="D54" s="3">
        <v>0</v>
      </c>
      <c r="F54" s="2"/>
      <c r="H54" s="1" t="s">
        <v>1457</v>
      </c>
      <c r="I54" s="33" t="s">
        <v>2519</v>
      </c>
    </row>
    <row r="55" spans="1:9" x14ac:dyDescent="0.25">
      <c r="A55" s="24">
        <v>4</v>
      </c>
      <c r="B55" s="2">
        <v>23</v>
      </c>
      <c r="C55" s="2" t="s">
        <v>210</v>
      </c>
      <c r="D55" s="3">
        <v>1</v>
      </c>
      <c r="E55" t="s">
        <v>2783</v>
      </c>
      <c r="F55" s="2" t="s">
        <v>2754</v>
      </c>
      <c r="G55" t="s">
        <v>2781</v>
      </c>
      <c r="H55" s="1" t="s">
        <v>1458</v>
      </c>
      <c r="I55" s="33" t="s">
        <v>2778</v>
      </c>
    </row>
    <row r="56" spans="1:9" x14ac:dyDescent="0.25">
      <c r="A56" s="24">
        <v>4</v>
      </c>
      <c r="B56" s="2">
        <v>23</v>
      </c>
      <c r="C56" s="2" t="s">
        <v>215</v>
      </c>
      <c r="D56" s="3">
        <v>0</v>
      </c>
      <c r="F56" s="2"/>
      <c r="H56" s="1" t="s">
        <v>1457</v>
      </c>
      <c r="I56" s="33" t="s">
        <v>2561</v>
      </c>
    </row>
    <row r="57" spans="1:9" ht="15.75" thickBot="1" x14ac:dyDescent="0.3">
      <c r="A57" s="26">
        <v>4</v>
      </c>
      <c r="B57" s="27">
        <v>23</v>
      </c>
      <c r="C57" s="27" t="s">
        <v>221</v>
      </c>
      <c r="D57" s="28">
        <v>0</v>
      </c>
      <c r="E57" s="30"/>
      <c r="F57" s="27"/>
      <c r="G57" s="30"/>
      <c r="H57" s="29" t="s">
        <v>1458</v>
      </c>
      <c r="I57" s="34" t="s">
        <v>2777</v>
      </c>
    </row>
    <row r="58" spans="1:9" x14ac:dyDescent="0.25">
      <c r="A58" s="18">
        <v>4</v>
      </c>
      <c r="B58" s="19">
        <v>24</v>
      </c>
      <c r="C58" s="19" t="s">
        <v>186</v>
      </c>
      <c r="D58" s="20">
        <v>0</v>
      </c>
      <c r="E58" s="22"/>
      <c r="F58" s="19"/>
      <c r="G58" s="22"/>
      <c r="H58" s="21" t="s">
        <v>1458</v>
      </c>
      <c r="I58" s="32" t="s">
        <v>2817</v>
      </c>
    </row>
    <row r="59" spans="1:9" x14ac:dyDescent="0.25">
      <c r="A59" s="24">
        <v>4</v>
      </c>
      <c r="B59" s="2">
        <v>24</v>
      </c>
      <c r="C59" s="50" t="s">
        <v>192</v>
      </c>
      <c r="D59" s="51">
        <v>1</v>
      </c>
      <c r="E59" s="52" t="s">
        <v>2823</v>
      </c>
      <c r="F59" s="50" t="s">
        <v>2798</v>
      </c>
      <c r="G59" s="52" t="s">
        <v>2820</v>
      </c>
      <c r="H59" s="53" t="s">
        <v>1458</v>
      </c>
      <c r="I59" s="33" t="s">
        <v>2818</v>
      </c>
    </row>
    <row r="60" spans="1:9" x14ac:dyDescent="0.25">
      <c r="A60" s="24">
        <v>4</v>
      </c>
      <c r="B60" s="2">
        <v>24</v>
      </c>
      <c r="C60" s="50" t="s">
        <v>198</v>
      </c>
      <c r="D60" s="51">
        <v>1</v>
      </c>
      <c r="E60" s="52" t="s">
        <v>2822</v>
      </c>
      <c r="F60" s="50" t="s">
        <v>2798</v>
      </c>
      <c r="G60" s="52" t="s">
        <v>2821</v>
      </c>
      <c r="H60" s="53" t="s">
        <v>1458</v>
      </c>
      <c r="I60" s="33" t="s">
        <v>2819</v>
      </c>
    </row>
    <row r="61" spans="1:9" x14ac:dyDescent="0.25">
      <c r="A61" s="24">
        <v>4</v>
      </c>
      <c r="B61" s="2">
        <v>24</v>
      </c>
      <c r="C61" s="50" t="s">
        <v>204</v>
      </c>
      <c r="D61" s="51">
        <v>0</v>
      </c>
      <c r="E61" s="52"/>
      <c r="F61" s="50"/>
      <c r="G61" s="52"/>
      <c r="H61" s="53" t="s">
        <v>1457</v>
      </c>
      <c r="I61" s="33" t="s">
        <v>2252</v>
      </c>
    </row>
    <row r="62" spans="1:9" x14ac:dyDescent="0.25">
      <c r="A62" s="24">
        <v>4</v>
      </c>
      <c r="B62" s="2">
        <v>24</v>
      </c>
      <c r="C62" s="50" t="s">
        <v>210</v>
      </c>
      <c r="D62" s="51">
        <v>0</v>
      </c>
      <c r="E62" s="52"/>
      <c r="F62" s="50"/>
      <c r="G62" s="52"/>
      <c r="H62" s="53" t="s">
        <v>1457</v>
      </c>
      <c r="I62" s="33" t="s">
        <v>2253</v>
      </c>
    </row>
    <row r="63" spans="1:9" x14ac:dyDescent="0.25">
      <c r="A63" s="24">
        <v>4</v>
      </c>
      <c r="B63" s="2">
        <v>24</v>
      </c>
      <c r="C63" s="50" t="s">
        <v>215</v>
      </c>
      <c r="D63" s="51">
        <v>0</v>
      </c>
      <c r="E63" s="52"/>
      <c r="F63" s="50"/>
      <c r="G63" s="52"/>
      <c r="H63" s="53" t="s">
        <v>1457</v>
      </c>
      <c r="I63" s="33" t="s">
        <v>2561</v>
      </c>
    </row>
    <row r="64" spans="1:9" ht="15.75" thickBot="1" x14ac:dyDescent="0.3">
      <c r="A64" s="26">
        <v>4</v>
      </c>
      <c r="B64" s="27">
        <v>24</v>
      </c>
      <c r="C64" s="27" t="s">
        <v>221</v>
      </c>
      <c r="D64" s="28">
        <v>0</v>
      </c>
      <c r="E64" s="30"/>
      <c r="F64" s="27"/>
      <c r="G64" s="30"/>
      <c r="H64" s="29" t="s">
        <v>1457</v>
      </c>
      <c r="I64" s="34" t="s">
        <v>2255</v>
      </c>
    </row>
    <row r="65" spans="1:9" x14ac:dyDescent="0.25">
      <c r="A65" s="18">
        <v>5</v>
      </c>
      <c r="B65" s="19">
        <v>27</v>
      </c>
      <c r="C65" s="19" t="s">
        <v>186</v>
      </c>
      <c r="D65" s="20">
        <v>0</v>
      </c>
      <c r="E65" s="22"/>
      <c r="F65" s="19"/>
      <c r="G65" s="22"/>
      <c r="H65" s="21" t="s">
        <v>1457</v>
      </c>
      <c r="I65" s="32" t="s">
        <v>2870</v>
      </c>
    </row>
    <row r="66" spans="1:9" x14ac:dyDescent="0.25">
      <c r="A66" s="24">
        <v>5</v>
      </c>
      <c r="B66" s="50">
        <v>27</v>
      </c>
      <c r="C66" s="50" t="s">
        <v>192</v>
      </c>
      <c r="D66" s="51">
        <v>1</v>
      </c>
      <c r="E66" s="52" t="s">
        <v>2880</v>
      </c>
      <c r="F66" s="50" t="s">
        <v>2871</v>
      </c>
      <c r="G66" s="52" t="s">
        <v>2877</v>
      </c>
      <c r="H66" s="53" t="s">
        <v>1458</v>
      </c>
      <c r="I66" s="33" t="s">
        <v>2876</v>
      </c>
    </row>
    <row r="67" spans="1:9" x14ac:dyDescent="0.25">
      <c r="A67" s="24">
        <v>5</v>
      </c>
      <c r="B67" s="50">
        <v>27</v>
      </c>
      <c r="C67" s="50" t="s">
        <v>198</v>
      </c>
      <c r="D67" s="51">
        <v>2</v>
      </c>
      <c r="E67" s="52" t="s">
        <v>2881</v>
      </c>
      <c r="F67" s="50" t="s">
        <v>2834</v>
      </c>
      <c r="G67" s="52" t="s">
        <v>2878</v>
      </c>
      <c r="H67" s="53" t="s">
        <v>1457</v>
      </c>
      <c r="I67" s="33" t="s">
        <v>2879</v>
      </c>
    </row>
    <row r="68" spans="1:9" x14ac:dyDescent="0.25">
      <c r="A68" s="24">
        <v>5</v>
      </c>
      <c r="B68" s="50">
        <v>27</v>
      </c>
      <c r="C68" s="50" t="s">
        <v>204</v>
      </c>
      <c r="D68" s="51">
        <v>1</v>
      </c>
      <c r="E68" t="s">
        <v>2882</v>
      </c>
      <c r="F68" s="50" t="s">
        <v>2834</v>
      </c>
      <c r="G68" s="52" t="s">
        <v>2872</v>
      </c>
      <c r="H68" s="53" t="s">
        <v>1458</v>
      </c>
      <c r="I68" s="33"/>
    </row>
    <row r="69" spans="1:9" x14ac:dyDescent="0.25">
      <c r="A69" s="24">
        <v>5</v>
      </c>
      <c r="B69" s="50">
        <v>27</v>
      </c>
      <c r="C69" s="50" t="s">
        <v>210</v>
      </c>
      <c r="D69" s="51">
        <v>0</v>
      </c>
      <c r="E69" s="52"/>
      <c r="F69" s="50"/>
      <c r="G69" s="52"/>
      <c r="H69" s="53" t="s">
        <v>1457</v>
      </c>
      <c r="I69" s="33" t="s">
        <v>2873</v>
      </c>
    </row>
    <row r="70" spans="1:9" x14ac:dyDescent="0.25">
      <c r="A70" s="24">
        <v>5</v>
      </c>
      <c r="B70" s="50">
        <v>27</v>
      </c>
      <c r="C70" s="50" t="s">
        <v>215</v>
      </c>
      <c r="D70" s="51">
        <v>0</v>
      </c>
      <c r="E70" s="52"/>
      <c r="F70" s="50"/>
      <c r="G70" s="52"/>
      <c r="H70" s="53" t="s">
        <v>1457</v>
      </c>
      <c r="I70" s="33" t="s">
        <v>2874</v>
      </c>
    </row>
    <row r="71" spans="1:9" ht="15.75" thickBot="1" x14ac:dyDescent="0.3">
      <c r="A71" s="26">
        <v>5</v>
      </c>
      <c r="B71" s="27">
        <v>27</v>
      </c>
      <c r="C71" s="27" t="s">
        <v>221</v>
      </c>
      <c r="D71" s="28">
        <v>0</v>
      </c>
      <c r="E71" s="30"/>
      <c r="F71" s="27"/>
      <c r="G71" s="30"/>
      <c r="H71" s="29" t="s">
        <v>1457</v>
      </c>
      <c r="I71" s="34" t="s">
        <v>2875</v>
      </c>
    </row>
    <row r="72" spans="1:9" x14ac:dyDescent="0.25">
      <c r="A72" s="18">
        <v>5</v>
      </c>
      <c r="B72" s="19">
        <v>28</v>
      </c>
      <c r="C72" s="19" t="s">
        <v>186</v>
      </c>
      <c r="D72" s="20">
        <v>2</v>
      </c>
      <c r="E72" t="s">
        <v>2962</v>
      </c>
      <c r="F72" s="19" t="s">
        <v>2944</v>
      </c>
      <c r="G72" s="22" t="s">
        <v>2951</v>
      </c>
      <c r="H72" s="21" t="s">
        <v>1458</v>
      </c>
      <c r="I72" s="32" t="s">
        <v>2950</v>
      </c>
    </row>
    <row r="73" spans="1:9" x14ac:dyDescent="0.25">
      <c r="A73" s="24">
        <v>5</v>
      </c>
      <c r="B73" s="50">
        <v>28</v>
      </c>
      <c r="C73" s="50" t="s">
        <v>192</v>
      </c>
      <c r="D73" s="51">
        <v>2</v>
      </c>
      <c r="E73" t="s">
        <v>2963</v>
      </c>
      <c r="F73" s="50" t="s">
        <v>2945</v>
      </c>
      <c r="G73" s="52" t="s">
        <v>2953</v>
      </c>
      <c r="H73" s="53" t="s">
        <v>1457</v>
      </c>
      <c r="I73" s="33" t="s">
        <v>2952</v>
      </c>
    </row>
    <row r="74" spans="1:9" x14ac:dyDescent="0.25">
      <c r="A74" s="24">
        <v>5</v>
      </c>
      <c r="B74" s="50">
        <v>28</v>
      </c>
      <c r="C74" s="50" t="s">
        <v>198</v>
      </c>
      <c r="D74" s="51">
        <v>2</v>
      </c>
      <c r="E74" t="s">
        <v>2964</v>
      </c>
      <c r="F74" s="50" t="s">
        <v>2946</v>
      </c>
      <c r="G74" s="52" t="s">
        <v>2955</v>
      </c>
      <c r="H74" s="53" t="s">
        <v>1457</v>
      </c>
      <c r="I74" s="33" t="s">
        <v>2954</v>
      </c>
    </row>
    <row r="75" spans="1:9" x14ac:dyDescent="0.25">
      <c r="A75" s="24">
        <v>5</v>
      </c>
      <c r="B75" s="50">
        <v>28</v>
      </c>
      <c r="C75" s="50" t="s">
        <v>204</v>
      </c>
      <c r="D75" s="51">
        <v>1</v>
      </c>
      <c r="E75" t="s">
        <v>2965</v>
      </c>
      <c r="F75" s="50" t="s">
        <v>2947</v>
      </c>
      <c r="G75" s="52" t="s">
        <v>2957</v>
      </c>
      <c r="H75" s="53" t="s">
        <v>1458</v>
      </c>
      <c r="I75" s="33" t="s">
        <v>2956</v>
      </c>
    </row>
    <row r="76" spans="1:9" x14ac:dyDescent="0.25">
      <c r="A76" s="24">
        <v>5</v>
      </c>
      <c r="B76" s="50">
        <v>28</v>
      </c>
      <c r="C76" s="50" t="s">
        <v>210</v>
      </c>
      <c r="D76" s="51">
        <v>1</v>
      </c>
      <c r="E76" t="s">
        <v>2966</v>
      </c>
      <c r="F76" s="50" t="s">
        <v>2948</v>
      </c>
      <c r="G76" s="52" t="s">
        <v>2959</v>
      </c>
      <c r="H76" s="53" t="s">
        <v>1457</v>
      </c>
      <c r="I76" s="33" t="s">
        <v>2958</v>
      </c>
    </row>
    <row r="77" spans="1:9" x14ac:dyDescent="0.25">
      <c r="A77" s="24">
        <v>5</v>
      </c>
      <c r="B77" s="50">
        <v>28</v>
      </c>
      <c r="C77" s="50" t="s">
        <v>215</v>
      </c>
      <c r="D77" s="51">
        <v>1</v>
      </c>
      <c r="E77" t="s">
        <v>2967</v>
      </c>
      <c r="F77" s="50" t="s">
        <v>2949</v>
      </c>
      <c r="G77" s="52" t="s">
        <v>2961</v>
      </c>
      <c r="H77" s="53" t="s">
        <v>1457</v>
      </c>
      <c r="I77" s="33" t="s">
        <v>2960</v>
      </c>
    </row>
    <row r="78" spans="1:9" ht="15.75" thickBot="1" x14ac:dyDescent="0.3">
      <c r="A78" s="26">
        <v>5</v>
      </c>
      <c r="B78" s="27">
        <v>28</v>
      </c>
      <c r="C78" s="27" t="s">
        <v>221</v>
      </c>
      <c r="D78" s="28">
        <v>0</v>
      </c>
      <c r="E78" s="30"/>
      <c r="F78" s="27"/>
      <c r="G78" s="30"/>
      <c r="H78" s="29" t="s">
        <v>1457</v>
      </c>
      <c r="I78" s="34" t="s">
        <v>2875</v>
      </c>
    </row>
    <row r="79" spans="1:9" x14ac:dyDescent="0.25">
      <c r="A79" s="18">
        <v>5</v>
      </c>
      <c r="B79" s="19">
        <v>30</v>
      </c>
      <c r="C79" s="19" t="s">
        <v>186</v>
      </c>
      <c r="D79" s="20">
        <v>0</v>
      </c>
      <c r="E79" s="22"/>
      <c r="F79" s="19"/>
      <c r="G79" s="22"/>
      <c r="H79" s="21" t="s">
        <v>1457</v>
      </c>
      <c r="I79" s="32" t="s">
        <v>3022</v>
      </c>
    </row>
    <row r="80" spans="1:9" x14ac:dyDescent="0.25">
      <c r="A80" s="24">
        <v>5</v>
      </c>
      <c r="B80" s="50">
        <v>30</v>
      </c>
      <c r="C80" s="50" t="s">
        <v>192</v>
      </c>
      <c r="D80" s="51">
        <v>0</v>
      </c>
      <c r="E80" s="52"/>
      <c r="F80" s="50"/>
      <c r="G80" s="52"/>
      <c r="H80" s="53" t="s">
        <v>1457</v>
      </c>
      <c r="I80" s="33" t="s">
        <v>3023</v>
      </c>
    </row>
    <row r="81" spans="1:9" x14ac:dyDescent="0.25">
      <c r="A81" s="24">
        <v>5</v>
      </c>
      <c r="B81" s="50">
        <v>30</v>
      </c>
      <c r="C81" s="50" t="s">
        <v>198</v>
      </c>
      <c r="D81" s="51">
        <v>2</v>
      </c>
      <c r="E81" s="52" t="s">
        <v>3007</v>
      </c>
      <c r="F81" s="50" t="s">
        <v>2995</v>
      </c>
      <c r="G81" s="52" t="s">
        <v>3024</v>
      </c>
      <c r="H81" s="53" t="s">
        <v>1458</v>
      </c>
      <c r="I81" s="33"/>
    </row>
    <row r="82" spans="1:9" x14ac:dyDescent="0.25">
      <c r="A82" s="24">
        <v>5</v>
      </c>
      <c r="B82" s="50">
        <v>30</v>
      </c>
      <c r="C82" s="50" t="s">
        <v>204</v>
      </c>
      <c r="D82" s="51">
        <v>0</v>
      </c>
      <c r="E82" s="52"/>
      <c r="F82" s="50"/>
      <c r="G82" s="52"/>
      <c r="H82" s="53" t="s">
        <v>1457</v>
      </c>
      <c r="I82" s="33" t="s">
        <v>3025</v>
      </c>
    </row>
    <row r="83" spans="1:9" x14ac:dyDescent="0.25">
      <c r="A83" s="24">
        <v>5</v>
      </c>
      <c r="B83" s="50">
        <v>30</v>
      </c>
      <c r="C83" s="50" t="s">
        <v>210</v>
      </c>
      <c r="D83" s="51">
        <v>1</v>
      </c>
      <c r="E83" t="s">
        <v>3030</v>
      </c>
      <c r="F83" s="50" t="s">
        <v>3026</v>
      </c>
      <c r="G83" s="52" t="s">
        <v>3028</v>
      </c>
      <c r="H83" s="53" t="s">
        <v>1457</v>
      </c>
      <c r="I83" s="33" t="s">
        <v>3029</v>
      </c>
    </row>
    <row r="84" spans="1:9" x14ac:dyDescent="0.25">
      <c r="A84" s="24">
        <v>5</v>
      </c>
      <c r="B84" s="50">
        <v>30</v>
      </c>
      <c r="C84" s="50" t="s">
        <v>215</v>
      </c>
      <c r="D84" s="51">
        <v>0</v>
      </c>
      <c r="E84" s="52"/>
      <c r="F84" s="50"/>
      <c r="G84" s="52"/>
      <c r="H84" s="53" t="s">
        <v>1457</v>
      </c>
      <c r="I84" s="33" t="s">
        <v>3027</v>
      </c>
    </row>
    <row r="85" spans="1:9" ht="15.75" thickBot="1" x14ac:dyDescent="0.3">
      <c r="A85" s="26">
        <v>5</v>
      </c>
      <c r="B85" s="27">
        <v>30</v>
      </c>
      <c r="C85" s="27" t="s">
        <v>221</v>
      </c>
      <c r="D85" s="28">
        <v>0</v>
      </c>
      <c r="E85" s="30"/>
      <c r="F85" s="27"/>
      <c r="G85" s="30"/>
      <c r="H85" s="29" t="s">
        <v>1457</v>
      </c>
      <c r="I85" s="34" t="s">
        <v>2875</v>
      </c>
    </row>
    <row r="86" spans="1:9" x14ac:dyDescent="0.25">
      <c r="A86" s="18">
        <v>5</v>
      </c>
      <c r="B86" s="19">
        <v>31</v>
      </c>
      <c r="C86" s="19" t="s">
        <v>186</v>
      </c>
      <c r="D86" s="20">
        <v>1</v>
      </c>
      <c r="E86" s="22" t="s">
        <v>3092</v>
      </c>
      <c r="F86" s="19" t="s">
        <v>2701</v>
      </c>
      <c r="G86" s="22" t="s">
        <v>3097</v>
      </c>
      <c r="H86" s="21" t="s">
        <v>1458</v>
      </c>
      <c r="I86" s="32" t="s">
        <v>3096</v>
      </c>
    </row>
    <row r="87" spans="1:9" x14ac:dyDescent="0.25">
      <c r="A87" s="24">
        <v>5</v>
      </c>
      <c r="B87" s="50">
        <v>31</v>
      </c>
      <c r="C87" s="50" t="s">
        <v>192</v>
      </c>
      <c r="D87" s="51">
        <v>1</v>
      </c>
      <c r="E87" t="s">
        <v>3093</v>
      </c>
      <c r="F87" s="50" t="s">
        <v>3088</v>
      </c>
      <c r="G87" s="52" t="s">
        <v>3099</v>
      </c>
      <c r="H87" s="53" t="s">
        <v>1458</v>
      </c>
      <c r="I87" s="33" t="s">
        <v>3098</v>
      </c>
    </row>
    <row r="88" spans="1:9" x14ac:dyDescent="0.25">
      <c r="A88" s="24">
        <v>5</v>
      </c>
      <c r="B88" s="50">
        <v>31</v>
      </c>
      <c r="C88" s="50" t="s">
        <v>198</v>
      </c>
      <c r="D88" s="51">
        <v>1</v>
      </c>
      <c r="E88" t="s">
        <v>3094</v>
      </c>
      <c r="F88" s="50" t="s">
        <v>3088</v>
      </c>
      <c r="G88" s="52" t="s">
        <v>3100</v>
      </c>
      <c r="H88" s="53" t="s">
        <v>1458</v>
      </c>
      <c r="I88" s="33" t="s">
        <v>3101</v>
      </c>
    </row>
    <row r="89" spans="1:9" x14ac:dyDescent="0.25">
      <c r="A89" s="24">
        <v>5</v>
      </c>
      <c r="B89" s="50">
        <v>31</v>
      </c>
      <c r="C89" s="50" t="s">
        <v>204</v>
      </c>
      <c r="D89" s="51">
        <v>1</v>
      </c>
      <c r="E89" t="s">
        <v>3095</v>
      </c>
      <c r="F89" s="50" t="s">
        <v>3088</v>
      </c>
      <c r="G89" s="52" t="s">
        <v>3102</v>
      </c>
      <c r="H89" s="53" t="s">
        <v>1457</v>
      </c>
      <c r="I89" s="33" t="s">
        <v>3103</v>
      </c>
    </row>
    <row r="90" spans="1:9" x14ac:dyDescent="0.25">
      <c r="A90" s="24">
        <v>5</v>
      </c>
      <c r="B90" s="50">
        <v>31</v>
      </c>
      <c r="C90" s="50" t="s">
        <v>210</v>
      </c>
      <c r="D90" s="51">
        <v>0</v>
      </c>
      <c r="E90" s="52"/>
      <c r="F90" s="50"/>
      <c r="G90" s="52"/>
      <c r="H90" s="53" t="s">
        <v>1457</v>
      </c>
      <c r="I90" s="33" t="s">
        <v>3089</v>
      </c>
    </row>
    <row r="91" spans="1:9" x14ac:dyDescent="0.25">
      <c r="A91" s="24">
        <v>5</v>
      </c>
      <c r="B91" s="50">
        <v>31</v>
      </c>
      <c r="C91" s="50" t="s">
        <v>215</v>
      </c>
      <c r="D91" s="51">
        <v>0</v>
      </c>
      <c r="E91" s="52"/>
      <c r="F91" s="50"/>
      <c r="G91" s="52"/>
      <c r="H91" s="53" t="s">
        <v>1457</v>
      </c>
      <c r="I91" s="33" t="s">
        <v>3090</v>
      </c>
    </row>
    <row r="92" spans="1:9" ht="15.75" thickBot="1" x14ac:dyDescent="0.3">
      <c r="A92" s="26">
        <v>5</v>
      </c>
      <c r="B92" s="27">
        <v>31</v>
      </c>
      <c r="C92" s="27" t="s">
        <v>221</v>
      </c>
      <c r="D92" s="28">
        <v>0</v>
      </c>
      <c r="E92" s="30"/>
      <c r="F92" s="27"/>
      <c r="G92" s="30"/>
      <c r="H92" s="29" t="s">
        <v>1457</v>
      </c>
      <c r="I92" s="34" t="s">
        <v>3091</v>
      </c>
    </row>
    <row r="93" spans="1:9" x14ac:dyDescent="0.25">
      <c r="A93" s="18">
        <v>6</v>
      </c>
      <c r="B93" s="19">
        <v>34</v>
      </c>
      <c r="C93" s="19" t="s">
        <v>186</v>
      </c>
      <c r="D93" s="20">
        <v>2</v>
      </c>
      <c r="E93" s="22" t="s">
        <v>3169</v>
      </c>
      <c r="F93" s="19" t="s">
        <v>3154</v>
      </c>
      <c r="G93" s="22" t="s">
        <v>3162</v>
      </c>
      <c r="H93" s="21" t="s">
        <v>1458</v>
      </c>
      <c r="I93" s="32" t="s">
        <v>3161</v>
      </c>
    </row>
    <row r="94" spans="1:9" x14ac:dyDescent="0.25">
      <c r="A94" s="24">
        <v>6</v>
      </c>
      <c r="B94" s="50">
        <v>34</v>
      </c>
      <c r="C94" s="50" t="s">
        <v>192</v>
      </c>
      <c r="D94" s="51">
        <v>2</v>
      </c>
      <c r="E94" t="s">
        <v>3170</v>
      </c>
      <c r="F94" s="50" t="s">
        <v>3155</v>
      </c>
      <c r="G94" s="52" t="s">
        <v>3164</v>
      </c>
      <c r="H94" s="53" t="s">
        <v>1457</v>
      </c>
      <c r="I94" s="33" t="s">
        <v>3163</v>
      </c>
    </row>
    <row r="95" spans="1:9" x14ac:dyDescent="0.25">
      <c r="A95" s="24">
        <v>6</v>
      </c>
      <c r="B95" s="50">
        <v>34</v>
      </c>
      <c r="C95" s="50" t="s">
        <v>198</v>
      </c>
      <c r="D95" s="51">
        <v>2</v>
      </c>
      <c r="E95" t="s">
        <v>3171</v>
      </c>
      <c r="F95" s="50" t="s">
        <v>3156</v>
      </c>
      <c r="G95" s="52" t="s">
        <v>3166</v>
      </c>
      <c r="H95" s="53" t="s">
        <v>1457</v>
      </c>
      <c r="I95" s="33" t="s">
        <v>3165</v>
      </c>
    </row>
    <row r="96" spans="1:9" x14ac:dyDescent="0.25">
      <c r="A96" s="24">
        <v>6</v>
      </c>
      <c r="B96" s="50">
        <v>34</v>
      </c>
      <c r="C96" s="50" t="s">
        <v>204</v>
      </c>
      <c r="D96" s="51">
        <v>0</v>
      </c>
      <c r="E96" s="52"/>
      <c r="F96" s="50"/>
      <c r="G96" s="52"/>
      <c r="H96" s="53" t="s">
        <v>1457</v>
      </c>
      <c r="I96" s="33" t="s">
        <v>3157</v>
      </c>
    </row>
    <row r="97" spans="1:15" x14ac:dyDescent="0.25">
      <c r="A97" s="24">
        <v>6</v>
      </c>
      <c r="B97" s="50">
        <v>34</v>
      </c>
      <c r="C97" s="50" t="s">
        <v>210</v>
      </c>
      <c r="D97" s="51">
        <v>0</v>
      </c>
      <c r="E97" s="52"/>
      <c r="F97" s="50"/>
      <c r="G97" s="52"/>
      <c r="H97" s="53" t="s">
        <v>1457</v>
      </c>
      <c r="I97" s="33" t="s">
        <v>3158</v>
      </c>
    </row>
    <row r="98" spans="1:15" x14ac:dyDescent="0.25">
      <c r="A98" s="24">
        <v>6</v>
      </c>
      <c r="B98" s="50">
        <v>34</v>
      </c>
      <c r="C98" s="50" t="s">
        <v>215</v>
      </c>
      <c r="D98" s="51">
        <v>0</v>
      </c>
      <c r="E98" s="52"/>
      <c r="F98" s="50"/>
      <c r="G98" s="52"/>
      <c r="H98" s="53" t="s">
        <v>1457</v>
      </c>
      <c r="I98" s="33" t="s">
        <v>3159</v>
      </c>
    </row>
    <row r="99" spans="1:15" ht="15.75" thickBot="1" x14ac:dyDescent="0.3">
      <c r="A99" s="26">
        <v>6</v>
      </c>
      <c r="B99" s="27">
        <v>34</v>
      </c>
      <c r="C99" s="27" t="s">
        <v>221</v>
      </c>
      <c r="D99" s="28">
        <v>1</v>
      </c>
      <c r="E99" s="30" t="s">
        <v>3172</v>
      </c>
      <c r="F99" s="27" t="s">
        <v>3160</v>
      </c>
      <c r="G99" s="30" t="s">
        <v>3168</v>
      </c>
      <c r="H99" s="29" t="s">
        <v>1458</v>
      </c>
      <c r="I99" s="34" t="s">
        <v>3167</v>
      </c>
    </row>
    <row r="100" spans="1:15" x14ac:dyDescent="0.25">
      <c r="A100" s="18">
        <v>6</v>
      </c>
      <c r="B100" s="19">
        <v>36</v>
      </c>
      <c r="C100" s="19" t="s">
        <v>186</v>
      </c>
      <c r="D100" s="20">
        <v>1</v>
      </c>
      <c r="E100" s="22" t="s">
        <v>3220</v>
      </c>
      <c r="F100" s="19" t="s">
        <v>3217</v>
      </c>
      <c r="G100" s="22" t="s">
        <v>3097</v>
      </c>
      <c r="H100" s="21" t="s">
        <v>1458</v>
      </c>
      <c r="I100" s="32" t="s">
        <v>3223</v>
      </c>
    </row>
    <row r="101" spans="1:15" x14ac:dyDescent="0.25">
      <c r="A101" s="24">
        <v>6</v>
      </c>
      <c r="B101" s="50">
        <v>36</v>
      </c>
      <c r="C101" s="50" t="s">
        <v>192</v>
      </c>
      <c r="D101" s="51">
        <v>1</v>
      </c>
      <c r="E101" t="s">
        <v>3221</v>
      </c>
      <c r="F101" s="50" t="s">
        <v>3217</v>
      </c>
      <c r="G101" s="52" t="s">
        <v>3225</v>
      </c>
      <c r="H101" s="53" t="s">
        <v>1458</v>
      </c>
      <c r="I101" s="33" t="s">
        <v>3224</v>
      </c>
    </row>
    <row r="102" spans="1:15" x14ac:dyDescent="0.25">
      <c r="A102" s="24">
        <v>6</v>
      </c>
      <c r="B102" s="50">
        <v>36</v>
      </c>
      <c r="C102" s="50" t="s">
        <v>198</v>
      </c>
      <c r="D102" s="51">
        <v>1</v>
      </c>
      <c r="E102" t="s">
        <v>3222</v>
      </c>
      <c r="F102" s="50" t="s">
        <v>3217</v>
      </c>
      <c r="G102" s="52" t="s">
        <v>3227</v>
      </c>
      <c r="H102" s="53" t="s">
        <v>1458</v>
      </c>
      <c r="I102" s="33" t="s">
        <v>3226</v>
      </c>
    </row>
    <row r="103" spans="1:15" x14ac:dyDescent="0.25">
      <c r="A103" s="24">
        <v>6</v>
      </c>
      <c r="B103" s="50">
        <v>36</v>
      </c>
      <c r="C103" s="50" t="s">
        <v>204</v>
      </c>
      <c r="D103" s="51">
        <v>0</v>
      </c>
      <c r="E103" s="52"/>
      <c r="F103" s="50"/>
      <c r="G103" s="52"/>
      <c r="H103" s="53" t="s">
        <v>1457</v>
      </c>
      <c r="I103" s="33" t="s">
        <v>3218</v>
      </c>
    </row>
    <row r="104" spans="1:15" x14ac:dyDescent="0.25">
      <c r="A104" s="24">
        <v>6</v>
      </c>
      <c r="B104" s="50">
        <v>36</v>
      </c>
      <c r="C104" s="50" t="s">
        <v>210</v>
      </c>
      <c r="D104" s="51">
        <v>0</v>
      </c>
      <c r="E104" s="52"/>
      <c r="F104" s="50"/>
      <c r="G104" s="52"/>
      <c r="H104" s="53" t="s">
        <v>1457</v>
      </c>
      <c r="I104" s="33" t="s">
        <v>3089</v>
      </c>
      <c r="O104" t="s">
        <v>3327</v>
      </c>
    </row>
    <row r="105" spans="1:15" x14ac:dyDescent="0.25">
      <c r="A105" s="24">
        <v>6</v>
      </c>
      <c r="B105" s="50">
        <v>36</v>
      </c>
      <c r="C105" s="50" t="s">
        <v>215</v>
      </c>
      <c r="D105" s="51">
        <v>0</v>
      </c>
      <c r="E105" s="52"/>
      <c r="F105" s="50"/>
      <c r="G105" s="52"/>
      <c r="H105" s="53" t="s">
        <v>1457</v>
      </c>
      <c r="I105" s="33" t="s">
        <v>3219</v>
      </c>
    </row>
    <row r="106" spans="1:15" ht="15.75" thickBot="1" x14ac:dyDescent="0.3">
      <c r="A106" s="26">
        <v>6</v>
      </c>
      <c r="B106" s="27">
        <v>36</v>
      </c>
      <c r="C106" s="27" t="s">
        <v>221</v>
      </c>
      <c r="D106" s="28">
        <v>0</v>
      </c>
      <c r="E106" s="30"/>
      <c r="F106" s="27"/>
      <c r="G106" s="30"/>
      <c r="H106" s="29" t="s">
        <v>1457</v>
      </c>
      <c r="I106" s="34" t="s">
        <v>2875</v>
      </c>
    </row>
    <row r="107" spans="1:15" x14ac:dyDescent="0.25">
      <c r="A107" s="18">
        <v>7</v>
      </c>
      <c r="B107" s="19">
        <v>37</v>
      </c>
      <c r="C107" s="19" t="s">
        <v>186</v>
      </c>
      <c r="D107" s="20">
        <v>2</v>
      </c>
      <c r="E107" s="22" t="s">
        <v>3305</v>
      </c>
      <c r="F107" s="19" t="s">
        <v>3217</v>
      </c>
      <c r="G107" s="22" t="s">
        <v>3162</v>
      </c>
      <c r="H107" s="21" t="s">
        <v>1457</v>
      </c>
      <c r="I107" s="32" t="s">
        <v>3296</v>
      </c>
    </row>
    <row r="108" spans="1:15" x14ac:dyDescent="0.25">
      <c r="A108" s="24">
        <v>7</v>
      </c>
      <c r="B108" s="50">
        <v>37</v>
      </c>
      <c r="C108" s="50" t="s">
        <v>192</v>
      </c>
      <c r="D108" s="51">
        <v>2</v>
      </c>
      <c r="E108" t="s">
        <v>3306</v>
      </c>
      <c r="F108" s="50" t="s">
        <v>2603</v>
      </c>
      <c r="G108" s="52" t="s">
        <v>3298</v>
      </c>
      <c r="H108" s="53" t="s">
        <v>1457</v>
      </c>
      <c r="I108" s="33" t="s">
        <v>3297</v>
      </c>
    </row>
    <row r="109" spans="1:15" x14ac:dyDescent="0.25">
      <c r="A109" s="24">
        <v>7</v>
      </c>
      <c r="B109" s="50">
        <v>37</v>
      </c>
      <c r="C109" s="50" t="s">
        <v>198</v>
      </c>
      <c r="D109" s="51">
        <v>2</v>
      </c>
      <c r="E109" t="s">
        <v>3307</v>
      </c>
      <c r="F109" s="50" t="s">
        <v>3292</v>
      </c>
      <c r="G109" s="52" t="s">
        <v>3300</v>
      </c>
      <c r="H109" s="53" t="s">
        <v>1457</v>
      </c>
      <c r="I109" s="33" t="s">
        <v>3299</v>
      </c>
    </row>
    <row r="110" spans="1:15" x14ac:dyDescent="0.25">
      <c r="A110" s="24">
        <v>7</v>
      </c>
      <c r="B110" s="50">
        <v>37</v>
      </c>
      <c r="C110" s="50" t="s">
        <v>204</v>
      </c>
      <c r="D110" s="51">
        <v>0</v>
      </c>
      <c r="E110" s="52"/>
      <c r="F110" s="50"/>
      <c r="G110" s="52"/>
      <c r="H110" s="53" t="s">
        <v>1457</v>
      </c>
      <c r="I110" s="33" t="s">
        <v>3293</v>
      </c>
    </row>
    <row r="111" spans="1:15" x14ac:dyDescent="0.25">
      <c r="A111" s="24">
        <v>7</v>
      </c>
      <c r="B111" s="50">
        <v>37</v>
      </c>
      <c r="C111" s="50" t="s">
        <v>210</v>
      </c>
      <c r="D111" s="51">
        <v>1</v>
      </c>
      <c r="E111" t="s">
        <v>3308</v>
      </c>
      <c r="F111" s="50" t="s">
        <v>3294</v>
      </c>
      <c r="G111" s="52" t="s">
        <v>3302</v>
      </c>
      <c r="H111" s="53" t="s">
        <v>1458</v>
      </c>
      <c r="I111" s="33" t="s">
        <v>3301</v>
      </c>
    </row>
    <row r="112" spans="1:15" x14ac:dyDescent="0.25">
      <c r="A112" s="24">
        <v>7</v>
      </c>
      <c r="B112" s="50">
        <v>37</v>
      </c>
      <c r="C112" s="50" t="s">
        <v>215</v>
      </c>
      <c r="D112" s="51">
        <v>0</v>
      </c>
      <c r="E112" s="52"/>
      <c r="F112" s="50"/>
      <c r="G112" s="52"/>
      <c r="H112" s="53" t="s">
        <v>1457</v>
      </c>
      <c r="I112" s="33" t="s">
        <v>3295</v>
      </c>
    </row>
    <row r="113" spans="1:9" ht="15.75" thickBot="1" x14ac:dyDescent="0.3">
      <c r="A113" s="26">
        <v>7</v>
      </c>
      <c r="B113" s="27">
        <v>37</v>
      </c>
      <c r="C113" s="27" t="s">
        <v>221</v>
      </c>
      <c r="D113" s="28">
        <v>1</v>
      </c>
      <c r="E113" s="30" t="s">
        <v>3309</v>
      </c>
      <c r="F113" s="27" t="s">
        <v>3217</v>
      </c>
      <c r="G113" s="30" t="s">
        <v>3304</v>
      </c>
      <c r="H113" s="29" t="s">
        <v>1458</v>
      </c>
      <c r="I113" s="34" t="s">
        <v>3303</v>
      </c>
    </row>
    <row r="114" spans="1:9" x14ac:dyDescent="0.25">
      <c r="A114" s="18">
        <v>7</v>
      </c>
      <c r="B114" s="19">
        <v>38</v>
      </c>
      <c r="C114" s="19" t="s">
        <v>186</v>
      </c>
      <c r="D114" s="20">
        <v>0</v>
      </c>
      <c r="E114" s="22"/>
      <c r="F114" s="19"/>
      <c r="G114" s="22"/>
      <c r="H114" s="21" t="s">
        <v>1457</v>
      </c>
      <c r="I114" s="32" t="s">
        <v>3351</v>
      </c>
    </row>
    <row r="115" spans="1:9" x14ac:dyDescent="0.25">
      <c r="A115" s="24">
        <v>7</v>
      </c>
      <c r="B115" s="50">
        <v>38</v>
      </c>
      <c r="C115" s="50" t="s">
        <v>192</v>
      </c>
      <c r="D115" s="51">
        <v>0</v>
      </c>
      <c r="E115" s="52"/>
      <c r="F115" s="50"/>
      <c r="G115" s="52"/>
      <c r="H115" s="53" t="s">
        <v>1457</v>
      </c>
      <c r="I115" s="33" t="s">
        <v>3352</v>
      </c>
    </row>
    <row r="116" spans="1:9" x14ac:dyDescent="0.25">
      <c r="A116" s="24">
        <v>7</v>
      </c>
      <c r="B116" s="50">
        <v>38</v>
      </c>
      <c r="C116" s="50" t="s">
        <v>198</v>
      </c>
      <c r="D116" s="51">
        <v>1</v>
      </c>
      <c r="E116" t="s">
        <v>3358</v>
      </c>
      <c r="F116" s="50" t="s">
        <v>3194</v>
      </c>
      <c r="G116" s="52" t="s">
        <v>3354</v>
      </c>
      <c r="H116" s="53" t="s">
        <v>1542</v>
      </c>
      <c r="I116" s="33" t="s">
        <v>3355</v>
      </c>
    </row>
    <row r="117" spans="1:9" x14ac:dyDescent="0.25">
      <c r="A117" s="24">
        <v>7</v>
      </c>
      <c r="B117" s="50">
        <v>38</v>
      </c>
      <c r="C117" s="50" t="s">
        <v>204</v>
      </c>
      <c r="D117" s="51">
        <v>0</v>
      </c>
      <c r="E117" s="52"/>
      <c r="F117" s="50"/>
      <c r="G117" s="52"/>
      <c r="H117" s="53" t="s">
        <v>1457</v>
      </c>
      <c r="I117" s="33" t="s">
        <v>3353</v>
      </c>
    </row>
    <row r="118" spans="1:9" x14ac:dyDescent="0.25">
      <c r="A118" s="24">
        <v>7</v>
      </c>
      <c r="B118" s="50">
        <v>38</v>
      </c>
      <c r="C118" s="50" t="s">
        <v>210</v>
      </c>
      <c r="D118" s="51">
        <v>1</v>
      </c>
      <c r="E118" t="s">
        <v>3359</v>
      </c>
      <c r="F118" s="50" t="s">
        <v>3194</v>
      </c>
      <c r="G118" s="52" t="s">
        <v>3357</v>
      </c>
      <c r="H118" s="53" t="s">
        <v>1457</v>
      </c>
      <c r="I118" s="33" t="s">
        <v>3356</v>
      </c>
    </row>
    <row r="119" spans="1:9" x14ac:dyDescent="0.25">
      <c r="A119" s="24">
        <v>7</v>
      </c>
      <c r="B119" s="50">
        <v>38</v>
      </c>
      <c r="C119" s="50" t="s">
        <v>215</v>
      </c>
      <c r="D119" s="51">
        <v>0</v>
      </c>
      <c r="E119" s="52"/>
      <c r="F119" s="50"/>
      <c r="G119" s="52"/>
      <c r="H119" s="53" t="s">
        <v>1457</v>
      </c>
      <c r="I119" s="33" t="s">
        <v>3219</v>
      </c>
    </row>
    <row r="120" spans="1:9" ht="15.75" thickBot="1" x14ac:dyDescent="0.3">
      <c r="A120" s="26">
        <v>7</v>
      </c>
      <c r="B120" s="27">
        <v>38</v>
      </c>
      <c r="C120" s="27" t="s">
        <v>221</v>
      </c>
      <c r="D120" s="28">
        <v>0</v>
      </c>
      <c r="E120" s="30"/>
      <c r="F120" s="27"/>
      <c r="G120" s="30"/>
      <c r="H120" s="29" t="s">
        <v>1457</v>
      </c>
      <c r="I120" s="34" t="s">
        <v>2875</v>
      </c>
    </row>
    <row r="121" spans="1:9" x14ac:dyDescent="0.25">
      <c r="A121" s="18">
        <v>9</v>
      </c>
      <c r="B121" s="19">
        <v>46</v>
      </c>
      <c r="C121" s="19" t="s">
        <v>186</v>
      </c>
      <c r="D121" s="20">
        <v>2</v>
      </c>
      <c r="E121" s="22" t="s">
        <v>3419</v>
      </c>
      <c r="F121" s="19" t="s">
        <v>2699</v>
      </c>
      <c r="G121" s="22"/>
      <c r="H121" s="21" t="s">
        <v>1457</v>
      </c>
      <c r="I121" s="32" t="s">
        <v>3413</v>
      </c>
    </row>
    <row r="122" spans="1:9" x14ac:dyDescent="0.25">
      <c r="A122" s="24">
        <v>9</v>
      </c>
      <c r="B122" s="50">
        <v>46</v>
      </c>
      <c r="C122" s="50" t="s">
        <v>192</v>
      </c>
      <c r="D122" s="51">
        <v>2</v>
      </c>
      <c r="E122" t="s">
        <v>3420</v>
      </c>
      <c r="F122" s="50" t="s">
        <v>2699</v>
      </c>
      <c r="G122" s="52"/>
      <c r="H122" s="53" t="s">
        <v>1457</v>
      </c>
      <c r="I122" s="33" t="s">
        <v>3414</v>
      </c>
    </row>
    <row r="123" spans="1:9" x14ac:dyDescent="0.25">
      <c r="A123" s="24">
        <v>9</v>
      </c>
      <c r="B123" s="50">
        <v>46</v>
      </c>
      <c r="C123" s="50" t="s">
        <v>198</v>
      </c>
      <c r="D123" s="51">
        <v>2</v>
      </c>
      <c r="E123" t="s">
        <v>3421</v>
      </c>
      <c r="F123" s="50" t="s">
        <v>3257</v>
      </c>
      <c r="G123" s="52"/>
      <c r="H123" s="53" t="s">
        <v>1458</v>
      </c>
      <c r="I123" s="33" t="s">
        <v>3415</v>
      </c>
    </row>
    <row r="124" spans="1:9" x14ac:dyDescent="0.25">
      <c r="A124" s="24">
        <v>9</v>
      </c>
      <c r="B124" s="50">
        <v>46</v>
      </c>
      <c r="C124" s="50" t="s">
        <v>204</v>
      </c>
      <c r="D124" s="51">
        <v>0</v>
      </c>
      <c r="E124" s="52"/>
      <c r="F124" s="50"/>
      <c r="G124" s="52"/>
      <c r="H124" s="53" t="s">
        <v>1457</v>
      </c>
      <c r="I124" s="33" t="s">
        <v>3416</v>
      </c>
    </row>
    <row r="125" spans="1:9" x14ac:dyDescent="0.25">
      <c r="A125" s="24">
        <v>9</v>
      </c>
      <c r="B125" s="50">
        <v>46</v>
      </c>
      <c r="C125" s="50" t="s">
        <v>210</v>
      </c>
      <c r="D125" s="51">
        <v>1</v>
      </c>
      <c r="E125" s="52" t="s">
        <v>3422</v>
      </c>
      <c r="F125" s="50" t="s">
        <v>3294</v>
      </c>
      <c r="G125" s="52" t="s">
        <v>3423</v>
      </c>
      <c r="H125" s="53" t="s">
        <v>1458</v>
      </c>
      <c r="I125" s="33" t="s">
        <v>3424</v>
      </c>
    </row>
    <row r="126" spans="1:9" x14ac:dyDescent="0.25">
      <c r="A126" s="24">
        <v>9</v>
      </c>
      <c r="B126" s="50">
        <v>46</v>
      </c>
      <c r="C126" s="50" t="s">
        <v>215</v>
      </c>
      <c r="D126" s="51">
        <v>0</v>
      </c>
      <c r="E126" s="52"/>
      <c r="F126" s="50"/>
      <c r="G126" s="52"/>
      <c r="H126" s="53" t="s">
        <v>1457</v>
      </c>
      <c r="I126" s="33" t="s">
        <v>3417</v>
      </c>
    </row>
    <row r="127" spans="1:9" ht="15.75" thickBot="1" x14ac:dyDescent="0.3">
      <c r="A127" s="26">
        <v>9</v>
      </c>
      <c r="B127" s="27">
        <v>46</v>
      </c>
      <c r="C127" s="27" t="s">
        <v>221</v>
      </c>
      <c r="D127" s="28">
        <v>0</v>
      </c>
      <c r="E127" s="30"/>
      <c r="F127" s="27"/>
      <c r="G127" s="30"/>
      <c r="H127" s="29" t="s">
        <v>1457</v>
      </c>
      <c r="I127" s="34" t="s">
        <v>3418</v>
      </c>
    </row>
    <row r="128" spans="1:9" x14ac:dyDescent="0.25">
      <c r="A128" s="18">
        <v>9</v>
      </c>
      <c r="B128" s="19">
        <v>48</v>
      </c>
      <c r="C128" s="19" t="s">
        <v>186</v>
      </c>
      <c r="D128" s="20">
        <v>2</v>
      </c>
      <c r="E128" t="s">
        <v>3498</v>
      </c>
      <c r="F128" s="19" t="s">
        <v>3485</v>
      </c>
      <c r="G128" s="22"/>
      <c r="H128" s="21" t="s">
        <v>1457</v>
      </c>
      <c r="I128" s="32" t="s">
        <v>3486</v>
      </c>
    </row>
    <row r="129" spans="1:9" x14ac:dyDescent="0.25">
      <c r="A129" s="24">
        <v>9</v>
      </c>
      <c r="B129" s="50">
        <v>48</v>
      </c>
      <c r="C129" s="50" t="s">
        <v>192</v>
      </c>
      <c r="D129" s="51">
        <v>2</v>
      </c>
      <c r="E129" t="s">
        <v>3499</v>
      </c>
      <c r="F129" s="50" t="s">
        <v>3487</v>
      </c>
      <c r="G129" s="52" t="s">
        <v>3493</v>
      </c>
      <c r="H129" s="53" t="s">
        <v>1457</v>
      </c>
      <c r="I129" s="33" t="s">
        <v>3492</v>
      </c>
    </row>
    <row r="130" spans="1:9" x14ac:dyDescent="0.25">
      <c r="A130" s="24">
        <v>9</v>
      </c>
      <c r="B130" s="50">
        <v>48</v>
      </c>
      <c r="C130" s="50" t="s">
        <v>198</v>
      </c>
      <c r="D130" s="51">
        <v>2</v>
      </c>
      <c r="E130" t="s">
        <v>3496</v>
      </c>
      <c r="F130" s="50" t="s">
        <v>2834</v>
      </c>
      <c r="G130" s="52" t="s">
        <v>3495</v>
      </c>
      <c r="H130" s="53" t="s">
        <v>1458</v>
      </c>
      <c r="I130" s="33" t="s">
        <v>3494</v>
      </c>
    </row>
    <row r="131" spans="1:9" x14ac:dyDescent="0.25">
      <c r="A131" s="24">
        <v>9</v>
      </c>
      <c r="B131" s="50">
        <v>48</v>
      </c>
      <c r="C131" s="50" t="s">
        <v>204</v>
      </c>
      <c r="D131" s="51">
        <v>2</v>
      </c>
      <c r="E131" t="s">
        <v>3497</v>
      </c>
      <c r="F131" s="50" t="s">
        <v>1401</v>
      </c>
      <c r="G131" s="52"/>
      <c r="H131" s="53" t="s">
        <v>1457</v>
      </c>
      <c r="I131" s="33" t="s">
        <v>3488</v>
      </c>
    </row>
    <row r="132" spans="1:9" x14ac:dyDescent="0.25">
      <c r="A132" s="24">
        <v>9</v>
      </c>
      <c r="B132" s="50">
        <v>48</v>
      </c>
      <c r="C132" s="50" t="s">
        <v>210</v>
      </c>
      <c r="D132" s="51">
        <v>0</v>
      </c>
      <c r="E132" s="52"/>
      <c r="F132" s="50"/>
      <c r="G132" s="52"/>
      <c r="H132" s="53" t="s">
        <v>1457</v>
      </c>
      <c r="I132" s="33" t="s">
        <v>3489</v>
      </c>
    </row>
    <row r="133" spans="1:9" x14ac:dyDescent="0.25">
      <c r="A133" s="24">
        <v>9</v>
      </c>
      <c r="B133" s="50">
        <v>48</v>
      </c>
      <c r="C133" s="50" t="s">
        <v>215</v>
      </c>
      <c r="D133" s="51">
        <v>0</v>
      </c>
      <c r="E133" s="52"/>
      <c r="F133" s="50"/>
      <c r="G133" s="52"/>
      <c r="H133" s="53" t="s">
        <v>1457</v>
      </c>
      <c r="I133" s="33" t="s">
        <v>3490</v>
      </c>
    </row>
    <row r="134" spans="1:9" ht="15.75" thickBot="1" x14ac:dyDescent="0.3">
      <c r="A134" s="26">
        <v>9</v>
      </c>
      <c r="B134" s="27">
        <v>48</v>
      </c>
      <c r="C134" s="27" t="s">
        <v>221</v>
      </c>
      <c r="D134" s="28">
        <v>0</v>
      </c>
      <c r="E134" s="30"/>
      <c r="F134" s="27"/>
      <c r="G134" s="30"/>
      <c r="H134" s="29" t="s">
        <v>1457</v>
      </c>
      <c r="I134" s="34" t="s">
        <v>3491</v>
      </c>
    </row>
    <row r="135" spans="1:9" x14ac:dyDescent="0.25">
      <c r="A135" s="18">
        <v>10</v>
      </c>
      <c r="B135" s="19">
        <v>52</v>
      </c>
      <c r="C135" s="19" t="s">
        <v>186</v>
      </c>
      <c r="D135" s="20">
        <v>0</v>
      </c>
      <c r="E135" s="22"/>
      <c r="F135" s="19"/>
      <c r="G135" s="22"/>
      <c r="H135" s="21" t="s">
        <v>1458</v>
      </c>
      <c r="I135" s="32" t="s">
        <v>3540</v>
      </c>
    </row>
    <row r="136" spans="1:9" x14ac:dyDescent="0.25">
      <c r="A136" s="24">
        <v>10</v>
      </c>
      <c r="B136" s="50">
        <v>52</v>
      </c>
      <c r="C136" s="50" t="s">
        <v>192</v>
      </c>
      <c r="D136" s="51">
        <v>1</v>
      </c>
      <c r="E136" t="s">
        <v>3546</v>
      </c>
      <c r="F136" s="50" t="s">
        <v>3516</v>
      </c>
      <c r="G136" s="52" t="s">
        <v>3548</v>
      </c>
      <c r="H136" s="53" t="s">
        <v>1458</v>
      </c>
      <c r="I136" s="33" t="s">
        <v>3547</v>
      </c>
    </row>
    <row r="137" spans="1:9" x14ac:dyDescent="0.25">
      <c r="A137" s="24">
        <v>10</v>
      </c>
      <c r="B137" s="50">
        <v>52</v>
      </c>
      <c r="C137" s="50" t="s">
        <v>198</v>
      </c>
      <c r="D137" s="51">
        <v>0</v>
      </c>
      <c r="E137" s="52"/>
      <c r="F137" s="50"/>
      <c r="G137" s="52"/>
      <c r="H137" s="53" t="s">
        <v>1457</v>
      </c>
      <c r="I137" s="33" t="s">
        <v>3541</v>
      </c>
    </row>
    <row r="138" spans="1:9" x14ac:dyDescent="0.25">
      <c r="A138" s="24">
        <v>10</v>
      </c>
      <c r="B138" s="50">
        <v>52</v>
      </c>
      <c r="C138" s="50" t="s">
        <v>204</v>
      </c>
      <c r="D138" s="51">
        <v>0</v>
      </c>
      <c r="E138" s="52"/>
      <c r="F138" s="50"/>
      <c r="G138" s="52"/>
      <c r="H138" s="53" t="s">
        <v>1457</v>
      </c>
      <c r="I138" s="33" t="s">
        <v>3542</v>
      </c>
    </row>
    <row r="139" spans="1:9" x14ac:dyDescent="0.25">
      <c r="A139" s="24">
        <v>10</v>
      </c>
      <c r="B139" s="50">
        <v>52</v>
      </c>
      <c r="C139" s="50" t="s">
        <v>210</v>
      </c>
      <c r="D139" s="51">
        <v>0</v>
      </c>
      <c r="E139" s="52"/>
      <c r="F139" s="50"/>
      <c r="G139" s="52"/>
      <c r="H139" s="53" t="s">
        <v>1457</v>
      </c>
      <c r="I139" s="33" t="s">
        <v>3543</v>
      </c>
    </row>
    <row r="140" spans="1:9" x14ac:dyDescent="0.25">
      <c r="A140" s="24">
        <v>10</v>
      </c>
      <c r="B140" s="50">
        <v>52</v>
      </c>
      <c r="C140" s="50" t="s">
        <v>215</v>
      </c>
      <c r="D140" s="51">
        <v>1</v>
      </c>
      <c r="E140" t="s">
        <v>3545</v>
      </c>
      <c r="F140" s="50" t="s">
        <v>3516</v>
      </c>
      <c r="G140" s="52" t="s">
        <v>3550</v>
      </c>
      <c r="H140" s="53" t="s">
        <v>1457</v>
      </c>
      <c r="I140" s="33" t="s">
        <v>3549</v>
      </c>
    </row>
    <row r="141" spans="1:9" ht="15.75" thickBot="1" x14ac:dyDescent="0.3">
      <c r="A141" s="26">
        <v>10</v>
      </c>
      <c r="B141" s="27">
        <v>52</v>
      </c>
      <c r="C141" s="27" t="s">
        <v>221</v>
      </c>
      <c r="D141" s="28">
        <v>0</v>
      </c>
      <c r="E141" s="30"/>
      <c r="F141" s="27"/>
      <c r="G141" s="30"/>
      <c r="H141" s="29" t="s">
        <v>1457</v>
      </c>
      <c r="I141" s="34" t="s">
        <v>3544</v>
      </c>
    </row>
    <row r="142" spans="1:9" x14ac:dyDescent="0.25">
      <c r="A142" s="18">
        <v>10</v>
      </c>
      <c r="B142" s="19">
        <v>53</v>
      </c>
      <c r="C142" s="19" t="s">
        <v>186</v>
      </c>
      <c r="D142" s="20">
        <v>0</v>
      </c>
      <c r="E142" s="22"/>
      <c r="F142" s="19"/>
      <c r="G142" s="22"/>
      <c r="H142" s="21" t="s">
        <v>1457</v>
      </c>
      <c r="I142" s="32" t="s">
        <v>3593</v>
      </c>
    </row>
    <row r="143" spans="1:9" x14ac:dyDescent="0.25">
      <c r="A143" s="24">
        <v>10</v>
      </c>
      <c r="B143" s="50">
        <v>53</v>
      </c>
      <c r="C143" s="50" t="s">
        <v>192</v>
      </c>
      <c r="D143" s="51">
        <v>0</v>
      </c>
      <c r="E143" s="52"/>
      <c r="F143" s="50"/>
      <c r="G143" s="52"/>
      <c r="H143" s="53" t="s">
        <v>1458</v>
      </c>
      <c r="I143" s="33" t="s">
        <v>3594</v>
      </c>
    </row>
    <row r="144" spans="1:9" x14ac:dyDescent="0.25">
      <c r="A144" s="24">
        <v>10</v>
      </c>
      <c r="B144" s="50">
        <v>53</v>
      </c>
      <c r="C144" s="50" t="s">
        <v>198</v>
      </c>
      <c r="D144" s="51">
        <v>0</v>
      </c>
      <c r="E144" s="52"/>
      <c r="F144" s="50"/>
      <c r="G144" s="52"/>
      <c r="H144" s="53" t="s">
        <v>1457</v>
      </c>
      <c r="I144" s="33" t="s">
        <v>3595</v>
      </c>
    </row>
    <row r="145" spans="1:9" x14ac:dyDescent="0.25">
      <c r="A145" s="24">
        <v>10</v>
      </c>
      <c r="B145" s="50">
        <v>53</v>
      </c>
      <c r="C145" s="50" t="s">
        <v>204</v>
      </c>
      <c r="D145" s="51">
        <v>0</v>
      </c>
      <c r="E145" s="52"/>
      <c r="F145" s="50"/>
      <c r="G145" s="52"/>
      <c r="H145" s="53" t="s">
        <v>1458</v>
      </c>
      <c r="I145" s="33" t="s">
        <v>3596</v>
      </c>
    </row>
    <row r="146" spans="1:9" x14ac:dyDescent="0.25">
      <c r="A146" s="24">
        <v>10</v>
      </c>
      <c r="B146" s="50">
        <v>53</v>
      </c>
      <c r="C146" s="50" t="s">
        <v>210</v>
      </c>
      <c r="D146" s="51">
        <v>0</v>
      </c>
      <c r="E146" s="52"/>
      <c r="F146" s="50"/>
      <c r="G146" s="52"/>
      <c r="H146" s="53" t="s">
        <v>1458</v>
      </c>
      <c r="I146" s="33" t="s">
        <v>3597</v>
      </c>
    </row>
    <row r="147" spans="1:9" x14ac:dyDescent="0.25">
      <c r="A147" s="24">
        <v>10</v>
      </c>
      <c r="B147" s="50">
        <v>53</v>
      </c>
      <c r="C147" s="50" t="s">
        <v>215</v>
      </c>
      <c r="D147" s="51">
        <v>0</v>
      </c>
      <c r="E147" s="52"/>
      <c r="F147" s="50"/>
      <c r="G147" s="52"/>
      <c r="H147" s="53" t="s">
        <v>1458</v>
      </c>
      <c r="I147" s="33" t="s">
        <v>3598</v>
      </c>
    </row>
    <row r="148" spans="1:9" ht="15.75" thickBot="1" x14ac:dyDescent="0.3">
      <c r="A148" s="26">
        <v>10</v>
      </c>
      <c r="B148" s="27">
        <v>53</v>
      </c>
      <c r="C148" s="27" t="s">
        <v>221</v>
      </c>
      <c r="D148" s="28">
        <v>0</v>
      </c>
      <c r="E148" s="30"/>
      <c r="F148" s="27"/>
      <c r="G148" s="30"/>
      <c r="H148" s="29" t="s">
        <v>1457</v>
      </c>
      <c r="I148" s="34" t="s">
        <v>3544</v>
      </c>
    </row>
    <row r="149" spans="1:9" x14ac:dyDescent="0.25">
      <c r="A149" s="18">
        <v>11</v>
      </c>
      <c r="B149" s="19">
        <v>56</v>
      </c>
      <c r="C149" s="19" t="s">
        <v>186</v>
      </c>
      <c r="D149" s="20">
        <v>0</v>
      </c>
      <c r="E149" s="22"/>
      <c r="F149" s="19"/>
      <c r="G149" s="22"/>
      <c r="H149" s="21" t="s">
        <v>1457</v>
      </c>
      <c r="I149" s="32" t="s">
        <v>3644</v>
      </c>
    </row>
    <row r="150" spans="1:9" x14ac:dyDescent="0.25">
      <c r="A150" s="24">
        <v>11</v>
      </c>
      <c r="B150" s="50">
        <v>56</v>
      </c>
      <c r="C150" s="50" t="s">
        <v>192</v>
      </c>
      <c r="D150" s="51">
        <v>0</v>
      </c>
      <c r="E150" s="52"/>
      <c r="F150" s="50"/>
      <c r="G150" s="52"/>
      <c r="H150" s="53" t="s">
        <v>1458</v>
      </c>
      <c r="I150" s="33" t="s">
        <v>3645</v>
      </c>
    </row>
    <row r="151" spans="1:9" x14ac:dyDescent="0.25">
      <c r="A151" s="24">
        <v>11</v>
      </c>
      <c r="B151" s="50">
        <v>56</v>
      </c>
      <c r="C151" s="50" t="s">
        <v>198</v>
      </c>
      <c r="D151" s="51">
        <v>0</v>
      </c>
      <c r="E151" s="52"/>
      <c r="F151" s="50"/>
      <c r="G151" s="52"/>
      <c r="H151" s="53" t="s">
        <v>1457</v>
      </c>
      <c r="I151" s="33" t="s">
        <v>3541</v>
      </c>
    </row>
    <row r="152" spans="1:9" x14ac:dyDescent="0.25">
      <c r="A152" s="24">
        <v>11</v>
      </c>
      <c r="B152" s="50">
        <v>56</v>
      </c>
      <c r="C152" s="50" t="s">
        <v>204</v>
      </c>
      <c r="D152" s="51">
        <v>0</v>
      </c>
      <c r="E152" s="52"/>
      <c r="F152" s="50"/>
      <c r="G152" s="52"/>
      <c r="H152" s="53" t="s">
        <v>1457</v>
      </c>
      <c r="I152" s="33" t="s">
        <v>3646</v>
      </c>
    </row>
    <row r="153" spans="1:9" x14ac:dyDescent="0.25">
      <c r="A153" s="24">
        <v>11</v>
      </c>
      <c r="B153" s="50">
        <v>56</v>
      </c>
      <c r="C153" s="50" t="s">
        <v>210</v>
      </c>
      <c r="D153" s="51">
        <v>0</v>
      </c>
      <c r="E153" s="52"/>
      <c r="F153" s="50"/>
      <c r="G153" s="52"/>
      <c r="H153" s="53" t="s">
        <v>1458</v>
      </c>
      <c r="I153" s="33" t="s">
        <v>3647</v>
      </c>
    </row>
    <row r="154" spans="1:9" x14ac:dyDescent="0.25">
      <c r="A154" s="24">
        <v>11</v>
      </c>
      <c r="B154" s="50">
        <v>56</v>
      </c>
      <c r="C154" s="50" t="s">
        <v>215</v>
      </c>
      <c r="D154" s="51">
        <v>0</v>
      </c>
      <c r="E154" s="52"/>
      <c r="F154" s="50"/>
      <c r="G154" s="52"/>
      <c r="H154" s="53" t="s">
        <v>1458</v>
      </c>
      <c r="I154" s="33" t="s">
        <v>3648</v>
      </c>
    </row>
    <row r="155" spans="1:9" ht="15.75" thickBot="1" x14ac:dyDescent="0.3">
      <c r="A155" s="26">
        <v>11</v>
      </c>
      <c r="B155" s="27">
        <v>56</v>
      </c>
      <c r="C155" s="27" t="s">
        <v>221</v>
      </c>
      <c r="D155" s="28">
        <v>0</v>
      </c>
      <c r="E155" s="30"/>
      <c r="F155" s="27"/>
      <c r="G155" s="30"/>
      <c r="H155" s="29" t="s">
        <v>1457</v>
      </c>
      <c r="I155" s="34" t="s">
        <v>3544</v>
      </c>
    </row>
    <row r="156" spans="1:9" x14ac:dyDescent="0.25">
      <c r="A156" s="18">
        <v>11</v>
      </c>
      <c r="B156" s="19">
        <v>57</v>
      </c>
      <c r="C156" s="19" t="s">
        <v>186</v>
      </c>
      <c r="D156" s="20">
        <v>0</v>
      </c>
      <c r="E156" s="22"/>
      <c r="F156" s="19"/>
      <c r="G156" s="22"/>
      <c r="H156" s="21" t="s">
        <v>1457</v>
      </c>
      <c r="I156" s="32" t="s">
        <v>3644</v>
      </c>
    </row>
    <row r="157" spans="1:9" x14ac:dyDescent="0.25">
      <c r="A157" s="24">
        <v>11</v>
      </c>
      <c r="B157" s="50">
        <v>57</v>
      </c>
      <c r="C157" s="50" t="s">
        <v>192</v>
      </c>
      <c r="D157" s="51">
        <v>1</v>
      </c>
      <c r="E157" t="s">
        <v>3662</v>
      </c>
      <c r="F157" s="50" t="s">
        <v>3675</v>
      </c>
      <c r="G157" s="33" t="s">
        <v>3685</v>
      </c>
      <c r="H157" s="53" t="s">
        <v>1458</v>
      </c>
    </row>
    <row r="158" spans="1:9" x14ac:dyDescent="0.25">
      <c r="A158" s="24">
        <v>11</v>
      </c>
      <c r="B158" s="50">
        <v>57</v>
      </c>
      <c r="C158" s="50" t="s">
        <v>198</v>
      </c>
      <c r="D158" s="51">
        <v>0</v>
      </c>
      <c r="E158" s="52"/>
      <c r="F158" s="50"/>
      <c r="G158" s="52"/>
      <c r="H158" s="53" t="s">
        <v>1457</v>
      </c>
      <c r="I158" s="33" t="s">
        <v>3541</v>
      </c>
    </row>
    <row r="159" spans="1:9" x14ac:dyDescent="0.25">
      <c r="A159" s="24">
        <v>11</v>
      </c>
      <c r="B159" s="50">
        <v>57</v>
      </c>
      <c r="C159" s="50" t="s">
        <v>204</v>
      </c>
      <c r="D159" s="51">
        <v>0</v>
      </c>
      <c r="E159" s="52"/>
      <c r="F159" s="50"/>
      <c r="G159" s="52"/>
      <c r="H159" s="53" t="s">
        <v>1457</v>
      </c>
      <c r="I159" s="33" t="s">
        <v>3646</v>
      </c>
    </row>
    <row r="160" spans="1:9" x14ac:dyDescent="0.25">
      <c r="A160" s="24">
        <v>11</v>
      </c>
      <c r="B160" s="50">
        <v>57</v>
      </c>
      <c r="C160" s="50" t="s">
        <v>210</v>
      </c>
      <c r="D160" s="51">
        <v>0</v>
      </c>
      <c r="E160" s="52"/>
      <c r="F160" s="50"/>
      <c r="G160" s="52"/>
      <c r="H160" s="53" t="s">
        <v>1458</v>
      </c>
      <c r="I160" s="33" t="s">
        <v>3686</v>
      </c>
    </row>
    <row r="161" spans="1:9" x14ac:dyDescent="0.25">
      <c r="A161" s="24">
        <v>11</v>
      </c>
      <c r="B161" s="50">
        <v>57</v>
      </c>
      <c r="C161" s="50" t="s">
        <v>215</v>
      </c>
      <c r="D161" s="51">
        <v>0</v>
      </c>
      <c r="E161" s="52"/>
      <c r="F161" s="50"/>
      <c r="G161" s="52"/>
      <c r="H161" s="53" t="s">
        <v>1458</v>
      </c>
      <c r="I161" s="33" t="s">
        <v>3687</v>
      </c>
    </row>
    <row r="162" spans="1:9" ht="15.75" thickBot="1" x14ac:dyDescent="0.3">
      <c r="A162" s="26">
        <v>11</v>
      </c>
      <c r="B162" s="27">
        <v>57</v>
      </c>
      <c r="C162" s="27" t="s">
        <v>221</v>
      </c>
      <c r="D162" s="28">
        <v>0</v>
      </c>
      <c r="E162" s="30"/>
      <c r="F162" s="27"/>
      <c r="G162" s="30"/>
      <c r="H162" s="29" t="s">
        <v>1457</v>
      </c>
      <c r="I162" s="34" t="s">
        <v>3544</v>
      </c>
    </row>
    <row r="163" spans="1:9" x14ac:dyDescent="0.25">
      <c r="A163" s="2"/>
      <c r="B163" s="2"/>
      <c r="C163" s="2" t="s">
        <v>186</v>
      </c>
      <c r="D163" s="3"/>
      <c r="F163" s="2"/>
      <c r="H163" s="1"/>
    </row>
    <row r="164" spans="1:9" x14ac:dyDescent="0.25">
      <c r="A164" s="2"/>
      <c r="B164" s="2"/>
      <c r="C164" s="2" t="s">
        <v>192</v>
      </c>
      <c r="D164" s="3"/>
      <c r="F164" s="2"/>
      <c r="H164" s="1"/>
    </row>
    <row r="165" spans="1:9" x14ac:dyDescent="0.25">
      <c r="A165" s="2"/>
      <c r="B165" s="2"/>
      <c r="C165" s="2" t="s">
        <v>198</v>
      </c>
      <c r="D165" s="3"/>
      <c r="F165" s="2"/>
      <c r="H165" s="1"/>
    </row>
    <row r="166" spans="1:9" x14ac:dyDescent="0.25">
      <c r="A166" s="2"/>
      <c r="B166" s="2"/>
      <c r="C166" s="2" t="s">
        <v>204</v>
      </c>
      <c r="D166" s="3"/>
      <c r="F166" s="2"/>
      <c r="H166" s="1"/>
    </row>
    <row r="167" spans="1:9" x14ac:dyDescent="0.25">
      <c r="A167" s="2"/>
      <c r="B167" s="2"/>
      <c r="C167" s="2" t="s">
        <v>210</v>
      </c>
      <c r="D167" s="3"/>
      <c r="F167" s="2"/>
      <c r="H167" s="1"/>
    </row>
    <row r="168" spans="1:9" x14ac:dyDescent="0.25">
      <c r="A168" s="2"/>
      <c r="B168" s="2"/>
      <c r="C168" s="2" t="s">
        <v>215</v>
      </c>
      <c r="D168" s="3"/>
      <c r="F168" s="2"/>
      <c r="H168" s="1"/>
    </row>
    <row r="169" spans="1:9" x14ac:dyDescent="0.25">
      <c r="A169" s="2"/>
      <c r="B169" s="2"/>
      <c r="C169" s="2" t="s">
        <v>221</v>
      </c>
      <c r="D169" s="3"/>
      <c r="F169" s="2"/>
      <c r="H169" s="1"/>
    </row>
    <row r="170" spans="1:9" x14ac:dyDescent="0.25">
      <c r="A170" s="2"/>
      <c r="B170" s="2"/>
      <c r="C170" s="2"/>
      <c r="D170" s="3"/>
      <c r="F170" s="2"/>
      <c r="H170" s="1"/>
    </row>
    <row r="171" spans="1:9" x14ac:dyDescent="0.25">
      <c r="A171" s="2"/>
      <c r="B171" s="2"/>
      <c r="C171" s="2"/>
      <c r="D171" s="3"/>
      <c r="F171" s="2"/>
      <c r="H171" s="1"/>
    </row>
    <row r="172" spans="1:9" x14ac:dyDescent="0.25">
      <c r="A172" s="2"/>
      <c r="B172" s="2"/>
      <c r="C172" s="2"/>
      <c r="D172" s="3"/>
      <c r="F172" s="2"/>
      <c r="H172" s="1"/>
    </row>
    <row r="173" spans="1:9" x14ac:dyDescent="0.25">
      <c r="A173" s="2"/>
      <c r="B173" s="2"/>
      <c r="C173" s="2"/>
      <c r="D173" s="3"/>
      <c r="F173" s="2"/>
      <c r="H173" s="1"/>
    </row>
    <row r="174" spans="1:9" x14ac:dyDescent="0.25">
      <c r="A174" s="2"/>
      <c r="B174" s="2"/>
      <c r="C174" s="2"/>
      <c r="D174" s="3"/>
      <c r="F174" s="2"/>
      <c r="H174" s="1"/>
    </row>
    <row r="175" spans="1:9" x14ac:dyDescent="0.25">
      <c r="A175" s="2"/>
      <c r="B175" s="2"/>
      <c r="C175" s="2"/>
      <c r="D175" s="3"/>
      <c r="F175" s="2"/>
      <c r="H175" s="1"/>
    </row>
    <row r="176" spans="1:9"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D2:D99 D107:D210</xm:sqref>
        </x14:dataValidation>
        <x14:dataValidation type="list" showErrorMessage="1" xr:uid="{38C9CCAC-A8FD-4817-A813-A1EBF4030D40}">
          <x14:formula1>
            <xm:f>'99_Lookups'!$K$2:$K$4</xm:f>
          </x14:formula1>
          <xm:sqref>H2:H210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sheetPr>
    <tabColor theme="6"/>
  </sheetPr>
  <dimension ref="A1:J190"/>
  <sheetViews>
    <sheetView topLeftCell="A143" workbookViewId="0">
      <selection activeCell="F170" sqref="F170"/>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40" t="s">
        <v>1417</v>
      </c>
      <c r="B2" s="41" t="s">
        <v>1422</v>
      </c>
      <c r="C2" s="41">
        <v>3</v>
      </c>
      <c r="D2" s="41">
        <v>16</v>
      </c>
      <c r="E2" s="41"/>
      <c r="F2" s="41" t="s">
        <v>1424</v>
      </c>
      <c r="G2" s="41" t="s">
        <v>1426</v>
      </c>
      <c r="H2" s="41" t="s">
        <v>1435</v>
      </c>
      <c r="I2" s="41" t="s">
        <v>1432</v>
      </c>
      <c r="J2" s="42" t="s">
        <v>1434</v>
      </c>
    </row>
    <row r="3" spans="1:10" x14ac:dyDescent="0.25">
      <c r="A3" s="43" t="s">
        <v>1418</v>
      </c>
      <c r="B3" s="39" t="s">
        <v>1422</v>
      </c>
      <c r="C3" s="39">
        <v>3</v>
      </c>
      <c r="D3" s="39">
        <v>16</v>
      </c>
      <c r="E3" s="39"/>
      <c r="F3" s="39" t="s">
        <v>112</v>
      </c>
      <c r="G3" s="39" t="s">
        <v>1427</v>
      </c>
      <c r="H3" s="39" t="s">
        <v>1436</v>
      </c>
      <c r="I3" s="39" t="s">
        <v>1433</v>
      </c>
      <c r="J3" s="44" t="s">
        <v>1434</v>
      </c>
    </row>
    <row r="4" spans="1:10" x14ac:dyDescent="0.25">
      <c r="A4" s="43" t="s">
        <v>1419</v>
      </c>
      <c r="B4" s="39" t="s">
        <v>1422</v>
      </c>
      <c r="C4" s="39">
        <v>3</v>
      </c>
      <c r="D4" s="39">
        <v>16</v>
      </c>
      <c r="E4" s="39"/>
      <c r="F4" s="39" t="s">
        <v>192</v>
      </c>
      <c r="G4" s="39" t="s">
        <v>1428</v>
      </c>
      <c r="H4" s="39" t="s">
        <v>1437</v>
      </c>
      <c r="I4" s="39" t="s">
        <v>1433</v>
      </c>
      <c r="J4" s="44" t="s">
        <v>1434</v>
      </c>
    </row>
    <row r="5" spans="1:10" x14ac:dyDescent="0.25">
      <c r="A5" s="43" t="s">
        <v>1420</v>
      </c>
      <c r="B5" s="39" t="s">
        <v>1422</v>
      </c>
      <c r="C5" s="39">
        <v>3</v>
      </c>
      <c r="D5" s="39">
        <v>16</v>
      </c>
      <c r="E5" s="39"/>
      <c r="F5" s="39" t="s">
        <v>221</v>
      </c>
      <c r="G5" s="39" t="s">
        <v>1429</v>
      </c>
      <c r="H5" s="39" t="s">
        <v>1438</v>
      </c>
      <c r="I5" s="39" t="s">
        <v>1432</v>
      </c>
      <c r="J5" s="44" t="s">
        <v>1434</v>
      </c>
    </row>
    <row r="6" spans="1:10" x14ac:dyDescent="0.25">
      <c r="A6" s="43" t="s">
        <v>1421</v>
      </c>
      <c r="B6" s="39" t="s">
        <v>1422</v>
      </c>
      <c r="C6" s="39">
        <v>3</v>
      </c>
      <c r="D6" s="39">
        <v>16</v>
      </c>
      <c r="E6" s="39"/>
      <c r="F6" s="39" t="s">
        <v>154</v>
      </c>
      <c r="G6" s="39" t="s">
        <v>1430</v>
      </c>
      <c r="H6" s="39" t="s">
        <v>1439</v>
      </c>
      <c r="I6" s="39" t="s">
        <v>1433</v>
      </c>
      <c r="J6" s="44" t="s">
        <v>1434</v>
      </c>
    </row>
    <row r="7" spans="1:10" ht="15.75" thickBot="1" x14ac:dyDescent="0.3">
      <c r="A7" s="45" t="s">
        <v>1423</v>
      </c>
      <c r="B7" s="46" t="s">
        <v>1422</v>
      </c>
      <c r="C7" s="46">
        <v>3</v>
      </c>
      <c r="D7" s="46">
        <v>16</v>
      </c>
      <c r="E7" s="46"/>
      <c r="F7" s="46" t="s">
        <v>1425</v>
      </c>
      <c r="G7" s="46" t="s">
        <v>1431</v>
      </c>
      <c r="H7" s="46" t="s">
        <v>1440</v>
      </c>
      <c r="I7" s="46" t="s">
        <v>1433</v>
      </c>
      <c r="J7" s="47" t="s">
        <v>1434</v>
      </c>
    </row>
    <row r="8" spans="1:10" x14ac:dyDescent="0.25">
      <c r="A8" s="40" t="s">
        <v>1502</v>
      </c>
      <c r="B8" s="41" t="s">
        <v>1422</v>
      </c>
      <c r="C8" s="41">
        <v>4</v>
      </c>
      <c r="D8" s="41">
        <v>22</v>
      </c>
      <c r="E8" s="41"/>
      <c r="F8" s="41" t="s">
        <v>1508</v>
      </c>
      <c r="G8" s="41" t="s">
        <v>1509</v>
      </c>
      <c r="H8" s="41" t="s">
        <v>1510</v>
      </c>
      <c r="I8" s="41" t="s">
        <v>1433</v>
      </c>
      <c r="J8" s="42" t="s">
        <v>1434</v>
      </c>
    </row>
    <row r="9" spans="1:10" x14ac:dyDescent="0.25">
      <c r="A9" s="43" t="s">
        <v>1503</v>
      </c>
      <c r="B9" s="39" t="s">
        <v>1422</v>
      </c>
      <c r="C9" s="39">
        <v>4</v>
      </c>
      <c r="D9" s="39">
        <v>22</v>
      </c>
      <c r="E9" s="39"/>
      <c r="F9" s="39" t="s">
        <v>1511</v>
      </c>
      <c r="G9" s="39" t="s">
        <v>1512</v>
      </c>
      <c r="H9" s="39" t="s">
        <v>1513</v>
      </c>
      <c r="I9" s="39" t="s">
        <v>1433</v>
      </c>
      <c r="J9" s="44" t="s">
        <v>1434</v>
      </c>
    </row>
    <row r="10" spans="1:10" x14ac:dyDescent="0.25">
      <c r="A10" s="43" t="s">
        <v>1504</v>
      </c>
      <c r="B10" s="39" t="s">
        <v>1422</v>
      </c>
      <c r="C10" s="39">
        <v>4</v>
      </c>
      <c r="D10" s="39">
        <v>22</v>
      </c>
      <c r="E10" s="39"/>
      <c r="F10" s="39" t="s">
        <v>1514</v>
      </c>
      <c r="G10" s="39" t="s">
        <v>1515</v>
      </c>
      <c r="H10" s="39" t="s">
        <v>1516</v>
      </c>
      <c r="I10" s="39" t="s">
        <v>1433</v>
      </c>
      <c r="J10" s="44" t="s">
        <v>1434</v>
      </c>
    </row>
    <row r="11" spans="1:10" x14ac:dyDescent="0.25">
      <c r="A11" s="43" t="s">
        <v>1505</v>
      </c>
      <c r="B11" s="39" t="s">
        <v>1422</v>
      </c>
      <c r="C11" s="39">
        <v>4</v>
      </c>
      <c r="D11" s="39">
        <v>22</v>
      </c>
      <c r="E11" s="39"/>
      <c r="F11" s="39" t="s">
        <v>161</v>
      </c>
      <c r="G11" s="39" t="s">
        <v>1517</v>
      </c>
      <c r="H11" s="39" t="s">
        <v>1518</v>
      </c>
      <c r="I11" s="39" t="s">
        <v>1433</v>
      </c>
      <c r="J11" s="44" t="s">
        <v>1434</v>
      </c>
    </row>
    <row r="12" spans="1:10" x14ac:dyDescent="0.25">
      <c r="A12" s="43" t="s">
        <v>1506</v>
      </c>
      <c r="B12" s="39" t="s">
        <v>1422</v>
      </c>
      <c r="C12" s="39">
        <v>4</v>
      </c>
      <c r="D12" s="39">
        <v>22</v>
      </c>
      <c r="E12" s="39"/>
      <c r="F12" s="39" t="s">
        <v>106</v>
      </c>
      <c r="G12" s="39" t="s">
        <v>1519</v>
      </c>
      <c r="H12" s="39" t="s">
        <v>1520</v>
      </c>
      <c r="I12" s="39" t="s">
        <v>1433</v>
      </c>
      <c r="J12" s="44" t="s">
        <v>1434</v>
      </c>
    </row>
    <row r="13" spans="1:10" ht="15.75" thickBot="1" x14ac:dyDescent="0.3">
      <c r="A13" s="45" t="s">
        <v>1507</v>
      </c>
      <c r="B13" s="46" t="s">
        <v>1422</v>
      </c>
      <c r="C13" s="46">
        <v>4</v>
      </c>
      <c r="D13" s="46">
        <v>22</v>
      </c>
      <c r="E13" s="46"/>
      <c r="F13" s="46" t="s">
        <v>174</v>
      </c>
      <c r="G13" s="46" t="s">
        <v>1521</v>
      </c>
      <c r="H13" s="46" t="s">
        <v>1522</v>
      </c>
      <c r="I13" s="46" t="s">
        <v>1432</v>
      </c>
      <c r="J13" s="47" t="s">
        <v>1434</v>
      </c>
    </row>
    <row r="14" spans="1:10" x14ac:dyDescent="0.25">
      <c r="A14" s="40" t="s">
        <v>1575</v>
      </c>
      <c r="B14" s="41" t="s">
        <v>1422</v>
      </c>
      <c r="C14" s="41">
        <v>5</v>
      </c>
      <c r="D14" s="41">
        <v>27</v>
      </c>
      <c r="E14" s="41"/>
      <c r="F14" s="41" t="s">
        <v>198</v>
      </c>
      <c r="G14" s="41" t="s">
        <v>1562</v>
      </c>
      <c r="H14" s="41" t="s">
        <v>1563</v>
      </c>
      <c r="I14" s="41" t="s">
        <v>1433</v>
      </c>
      <c r="J14" s="42" t="s">
        <v>1434</v>
      </c>
    </row>
    <row r="15" spans="1:10" x14ac:dyDescent="0.25">
      <c r="A15" s="43" t="s">
        <v>1576</v>
      </c>
      <c r="B15" s="39" t="s">
        <v>1422</v>
      </c>
      <c r="C15" s="39">
        <v>5</v>
      </c>
      <c r="D15" s="39">
        <v>27</v>
      </c>
      <c r="E15" s="39"/>
      <c r="F15" s="39" t="s">
        <v>204</v>
      </c>
      <c r="G15" s="39" t="s">
        <v>1564</v>
      </c>
      <c r="H15" s="39" t="s">
        <v>1565</v>
      </c>
      <c r="I15" s="39" t="s">
        <v>1433</v>
      </c>
      <c r="J15" s="44" t="s">
        <v>1434</v>
      </c>
    </row>
    <row r="16" spans="1:10" x14ac:dyDescent="0.25">
      <c r="A16" s="43" t="s">
        <v>1577</v>
      </c>
      <c r="B16" s="39" t="s">
        <v>1422</v>
      </c>
      <c r="C16" s="39">
        <v>5</v>
      </c>
      <c r="D16" s="39">
        <v>27</v>
      </c>
      <c r="E16" s="39"/>
      <c r="F16" s="39" t="s">
        <v>186</v>
      </c>
      <c r="G16" s="39" t="s">
        <v>1566</v>
      </c>
      <c r="H16" s="39" t="s">
        <v>1567</v>
      </c>
      <c r="I16" s="39" t="s">
        <v>1433</v>
      </c>
      <c r="J16" s="44" t="s">
        <v>1434</v>
      </c>
    </row>
    <row r="17" spans="1:10" x14ac:dyDescent="0.25">
      <c r="A17" s="43" t="s">
        <v>1578</v>
      </c>
      <c r="B17" s="39" t="s">
        <v>1422</v>
      </c>
      <c r="C17" s="39">
        <v>5</v>
      </c>
      <c r="D17" s="39">
        <v>27</v>
      </c>
      <c r="E17" s="39"/>
      <c r="F17" s="39" t="s">
        <v>1568</v>
      </c>
      <c r="G17" s="39" t="s">
        <v>1569</v>
      </c>
      <c r="H17" s="39" t="s">
        <v>1570</v>
      </c>
      <c r="I17" s="39" t="s">
        <v>1433</v>
      </c>
      <c r="J17" s="44" t="s">
        <v>1434</v>
      </c>
    </row>
    <row r="18" spans="1:10" x14ac:dyDescent="0.25">
      <c r="A18" s="43" t="s">
        <v>1579</v>
      </c>
      <c r="B18" s="39" t="s">
        <v>1422</v>
      </c>
      <c r="C18" s="39">
        <v>5</v>
      </c>
      <c r="D18" s="39">
        <v>27</v>
      </c>
      <c r="E18" s="39"/>
      <c r="F18" s="39" t="s">
        <v>112</v>
      </c>
      <c r="G18" s="39" t="s">
        <v>1571</v>
      </c>
      <c r="H18" s="39" t="s">
        <v>1572</v>
      </c>
      <c r="I18" s="39" t="s">
        <v>1433</v>
      </c>
      <c r="J18" s="44" t="s">
        <v>1434</v>
      </c>
    </row>
    <row r="19" spans="1:10" ht="15.75" thickBot="1" x14ac:dyDescent="0.3">
      <c r="A19" s="45" t="s">
        <v>1580</v>
      </c>
      <c r="B19" s="46" t="s">
        <v>1422</v>
      </c>
      <c r="C19" s="46">
        <v>5</v>
      </c>
      <c r="D19" s="46">
        <v>27</v>
      </c>
      <c r="E19" s="46"/>
      <c r="F19" s="46" t="s">
        <v>1511</v>
      </c>
      <c r="G19" s="46" t="s">
        <v>1573</v>
      </c>
      <c r="H19" s="46" t="s">
        <v>1574</v>
      </c>
      <c r="I19" s="46" t="s">
        <v>1432</v>
      </c>
      <c r="J19" s="47" t="s">
        <v>1434</v>
      </c>
    </row>
    <row r="20" spans="1:10" x14ac:dyDescent="0.25">
      <c r="A20" s="40" t="s">
        <v>1614</v>
      </c>
      <c r="B20" s="41" t="s">
        <v>1422</v>
      </c>
      <c r="C20" s="41">
        <v>6</v>
      </c>
      <c r="D20" s="41">
        <v>32</v>
      </c>
      <c r="E20" s="41"/>
      <c r="F20" s="41" t="s">
        <v>90</v>
      </c>
      <c r="G20" s="41" t="s">
        <v>1601</v>
      </c>
      <c r="H20" s="41" t="s">
        <v>1602</v>
      </c>
      <c r="I20" s="41" t="s">
        <v>1433</v>
      </c>
      <c r="J20" s="42" t="s">
        <v>1434</v>
      </c>
    </row>
    <row r="21" spans="1:10" x14ac:dyDescent="0.25">
      <c r="A21" s="43" t="s">
        <v>1615</v>
      </c>
      <c r="B21" s="39" t="s">
        <v>1422</v>
      </c>
      <c r="C21" s="39">
        <v>6</v>
      </c>
      <c r="D21" s="39">
        <v>32</v>
      </c>
      <c r="E21" s="39"/>
      <c r="F21" s="39" t="s">
        <v>83</v>
      </c>
      <c r="G21" s="39" t="s">
        <v>1603</v>
      </c>
      <c r="H21" s="39" t="s">
        <v>1604</v>
      </c>
      <c r="I21" s="39" t="s">
        <v>1433</v>
      </c>
      <c r="J21" s="44" t="s">
        <v>1434</v>
      </c>
    </row>
    <row r="22" spans="1:10" x14ac:dyDescent="0.25">
      <c r="A22" s="43" t="s">
        <v>1616</v>
      </c>
      <c r="B22" s="39" t="s">
        <v>1422</v>
      </c>
      <c r="C22" s="39">
        <v>6</v>
      </c>
      <c r="D22" s="39">
        <v>32</v>
      </c>
      <c r="E22" s="39"/>
      <c r="F22" s="39" t="s">
        <v>186</v>
      </c>
      <c r="G22" s="39" t="s">
        <v>1605</v>
      </c>
      <c r="H22" s="39" t="s">
        <v>1606</v>
      </c>
      <c r="I22" s="39" t="s">
        <v>1433</v>
      </c>
      <c r="J22" s="44" t="s">
        <v>1434</v>
      </c>
    </row>
    <row r="23" spans="1:10" x14ac:dyDescent="0.25">
      <c r="A23" s="43" t="s">
        <v>1617</v>
      </c>
      <c r="B23" s="39" t="s">
        <v>1422</v>
      </c>
      <c r="C23" s="39">
        <v>6</v>
      </c>
      <c r="D23" s="39">
        <v>32</v>
      </c>
      <c r="E23" s="39"/>
      <c r="F23" s="39" t="s">
        <v>204</v>
      </c>
      <c r="G23" s="39" t="s">
        <v>1607</v>
      </c>
      <c r="H23" s="39" t="s">
        <v>1608</v>
      </c>
      <c r="I23" s="39" t="s">
        <v>1433</v>
      </c>
      <c r="J23" s="44" t="s">
        <v>1434</v>
      </c>
    </row>
    <row r="24" spans="1:10" x14ac:dyDescent="0.25">
      <c r="A24" s="43" t="s">
        <v>1618</v>
      </c>
      <c r="B24" s="39" t="s">
        <v>1422</v>
      </c>
      <c r="C24" s="39">
        <v>6</v>
      </c>
      <c r="D24" s="39">
        <v>32</v>
      </c>
      <c r="E24" s="39"/>
      <c r="F24" s="39" t="s">
        <v>215</v>
      </c>
      <c r="G24" s="39" t="s">
        <v>1609</v>
      </c>
      <c r="H24" s="39" t="s">
        <v>1610</v>
      </c>
      <c r="I24" s="39" t="s">
        <v>1433</v>
      </c>
      <c r="J24" s="44" t="s">
        <v>1434</v>
      </c>
    </row>
    <row r="25" spans="1:10" ht="15.75" thickBot="1" x14ac:dyDescent="0.3">
      <c r="A25" s="45" t="s">
        <v>1619</v>
      </c>
      <c r="B25" s="46" t="s">
        <v>1422</v>
      </c>
      <c r="C25" s="46">
        <v>6</v>
      </c>
      <c r="D25" s="46">
        <v>32</v>
      </c>
      <c r="E25" s="46"/>
      <c r="F25" s="46" t="s">
        <v>1611</v>
      </c>
      <c r="G25" s="46" t="s">
        <v>1612</v>
      </c>
      <c r="H25" s="46" t="s">
        <v>1613</v>
      </c>
      <c r="I25" s="46" t="s">
        <v>1433</v>
      </c>
      <c r="J25" s="47" t="s">
        <v>1434</v>
      </c>
    </row>
    <row r="26" spans="1:10" x14ac:dyDescent="0.25">
      <c r="A26" s="40" t="s">
        <v>1699</v>
      </c>
      <c r="B26" s="41" t="s">
        <v>1422</v>
      </c>
      <c r="C26" s="41">
        <v>7</v>
      </c>
      <c r="D26" s="41">
        <v>37</v>
      </c>
      <c r="E26" s="41"/>
      <c r="F26" s="41" t="s">
        <v>1686</v>
      </c>
      <c r="G26" s="41" t="s">
        <v>1687</v>
      </c>
      <c r="H26" s="41" t="s">
        <v>1688</v>
      </c>
      <c r="I26" s="41" t="s">
        <v>1433</v>
      </c>
      <c r="J26" s="42" t="s">
        <v>1434</v>
      </c>
    </row>
    <row r="27" spans="1:10" x14ac:dyDescent="0.25">
      <c r="A27" s="43" t="s">
        <v>1700</v>
      </c>
      <c r="B27" s="39" t="s">
        <v>1422</v>
      </c>
      <c r="C27" s="39">
        <v>7</v>
      </c>
      <c r="D27" s="39">
        <v>37</v>
      </c>
      <c r="E27" s="39"/>
      <c r="F27" s="39" t="s">
        <v>147</v>
      </c>
      <c r="G27" s="39" t="s">
        <v>1689</v>
      </c>
      <c r="H27" s="39" t="s">
        <v>1690</v>
      </c>
      <c r="I27" s="39" t="s">
        <v>1433</v>
      </c>
      <c r="J27" s="44" t="s">
        <v>1434</v>
      </c>
    </row>
    <row r="28" spans="1:10" x14ac:dyDescent="0.25">
      <c r="A28" s="43" t="s">
        <v>1701</v>
      </c>
      <c r="B28" s="39" t="s">
        <v>1422</v>
      </c>
      <c r="C28" s="39">
        <v>7</v>
      </c>
      <c r="D28" s="39">
        <v>37</v>
      </c>
      <c r="E28" s="39"/>
      <c r="F28" s="39" t="s">
        <v>69</v>
      </c>
      <c r="G28" s="39" t="s">
        <v>1691</v>
      </c>
      <c r="H28" s="39" t="s">
        <v>1692</v>
      </c>
      <c r="I28" s="39" t="s">
        <v>1433</v>
      </c>
      <c r="J28" s="44" t="s">
        <v>1434</v>
      </c>
    </row>
    <row r="29" spans="1:10" x14ac:dyDescent="0.25">
      <c r="A29" s="43" t="s">
        <v>1702</v>
      </c>
      <c r="B29" s="39" t="s">
        <v>1422</v>
      </c>
      <c r="C29" s="39">
        <v>7</v>
      </c>
      <c r="D29" s="39">
        <v>37</v>
      </c>
      <c r="E29" s="39"/>
      <c r="F29" s="39" t="s">
        <v>198</v>
      </c>
      <c r="G29" s="39" t="s">
        <v>1693</v>
      </c>
      <c r="H29" s="39" t="s">
        <v>1694</v>
      </c>
      <c r="I29" s="39" t="s">
        <v>1433</v>
      </c>
      <c r="J29" s="44" t="s">
        <v>1434</v>
      </c>
    </row>
    <row r="30" spans="1:10" x14ac:dyDescent="0.25">
      <c r="A30" s="43" t="s">
        <v>1703</v>
      </c>
      <c r="B30" s="39" t="s">
        <v>1422</v>
      </c>
      <c r="C30" s="39">
        <v>7</v>
      </c>
      <c r="D30" s="39">
        <v>37</v>
      </c>
      <c r="E30" s="39"/>
      <c r="F30" s="39" t="s">
        <v>210</v>
      </c>
      <c r="G30" s="39" t="s">
        <v>1695</v>
      </c>
      <c r="H30" s="39" t="s">
        <v>1696</v>
      </c>
      <c r="I30" s="39" t="s">
        <v>1433</v>
      </c>
      <c r="J30" s="44" t="s">
        <v>1434</v>
      </c>
    </row>
    <row r="31" spans="1:10" ht="15.75" thickBot="1" x14ac:dyDescent="0.3">
      <c r="A31" s="45" t="s">
        <v>1704</v>
      </c>
      <c r="B31" s="46" t="s">
        <v>1422</v>
      </c>
      <c r="C31" s="46">
        <v>7</v>
      </c>
      <c r="D31" s="46">
        <v>37</v>
      </c>
      <c r="E31" s="46"/>
      <c r="F31" s="46" t="s">
        <v>221</v>
      </c>
      <c r="G31" s="46" t="s">
        <v>1697</v>
      </c>
      <c r="H31" s="46" t="s">
        <v>1698</v>
      </c>
      <c r="I31" s="46" t="s">
        <v>1432</v>
      </c>
      <c r="J31" s="47" t="s">
        <v>1434</v>
      </c>
    </row>
    <row r="32" spans="1:10" x14ac:dyDescent="0.25">
      <c r="A32" s="40" t="s">
        <v>1770</v>
      </c>
      <c r="B32" s="41" t="s">
        <v>1422</v>
      </c>
      <c r="C32" s="41">
        <v>12</v>
      </c>
      <c r="D32" s="41">
        <v>62</v>
      </c>
      <c r="E32" s="41"/>
      <c r="F32" s="41" t="s">
        <v>1759</v>
      </c>
      <c r="G32" s="41" t="s">
        <v>1760</v>
      </c>
      <c r="H32" s="41" t="s">
        <v>1761</v>
      </c>
      <c r="I32" s="41" t="s">
        <v>1433</v>
      </c>
      <c r="J32" s="42" t="s">
        <v>1434</v>
      </c>
    </row>
    <row r="33" spans="1:10" x14ac:dyDescent="0.25">
      <c r="A33" s="43" t="s">
        <v>1771</v>
      </c>
      <c r="B33" s="39" t="s">
        <v>1422</v>
      </c>
      <c r="C33" s="39">
        <v>12</v>
      </c>
      <c r="D33" s="39">
        <v>62</v>
      </c>
      <c r="E33" s="39"/>
      <c r="F33" s="39" t="s">
        <v>125</v>
      </c>
      <c r="G33" s="39" t="s">
        <v>1762</v>
      </c>
      <c r="H33" s="39" t="s">
        <v>1763</v>
      </c>
      <c r="I33" s="39" t="s">
        <v>1433</v>
      </c>
      <c r="J33" s="44" t="s">
        <v>1434</v>
      </c>
    </row>
    <row r="34" spans="1:10" x14ac:dyDescent="0.25">
      <c r="A34" s="43" t="s">
        <v>1772</v>
      </c>
      <c r="B34" s="39" t="s">
        <v>1422</v>
      </c>
      <c r="C34" s="39">
        <v>12</v>
      </c>
      <c r="D34" s="39">
        <v>62</v>
      </c>
      <c r="E34" s="39"/>
      <c r="F34" s="39" t="s">
        <v>198</v>
      </c>
      <c r="G34" s="39" t="s">
        <v>1764</v>
      </c>
      <c r="H34" s="39" t="s">
        <v>1765</v>
      </c>
      <c r="I34" s="39" t="s">
        <v>1433</v>
      </c>
      <c r="J34" s="44" t="s">
        <v>1434</v>
      </c>
    </row>
    <row r="35" spans="1:10" x14ac:dyDescent="0.25">
      <c r="A35" s="43" t="s">
        <v>1773</v>
      </c>
      <c r="B35" s="39" t="s">
        <v>1422</v>
      </c>
      <c r="C35" s="39">
        <v>12</v>
      </c>
      <c r="D35" s="39">
        <v>62</v>
      </c>
      <c r="E35" s="39"/>
      <c r="F35" s="39" t="s">
        <v>186</v>
      </c>
      <c r="G35" s="39" t="s">
        <v>1766</v>
      </c>
      <c r="H35" s="39" t="s">
        <v>1767</v>
      </c>
      <c r="I35" s="39" t="s">
        <v>1433</v>
      </c>
      <c r="J35" s="44" t="s">
        <v>1434</v>
      </c>
    </row>
    <row r="36" spans="1:10" ht="15.75" thickBot="1" x14ac:dyDescent="0.3">
      <c r="A36" s="45" t="s">
        <v>1774</v>
      </c>
      <c r="B36" s="46" t="s">
        <v>1422</v>
      </c>
      <c r="C36" s="46">
        <v>12</v>
      </c>
      <c r="D36" s="46">
        <v>62</v>
      </c>
      <c r="E36" s="46"/>
      <c r="F36" s="46" t="s">
        <v>1686</v>
      </c>
      <c r="G36" s="46" t="s">
        <v>1768</v>
      </c>
      <c r="H36" s="46" t="s">
        <v>1769</v>
      </c>
      <c r="I36" s="46" t="s">
        <v>1433</v>
      </c>
      <c r="J36" s="47" t="s">
        <v>1434</v>
      </c>
    </row>
    <row r="37" spans="1:10" x14ac:dyDescent="0.25">
      <c r="A37" s="40" t="s">
        <v>1775</v>
      </c>
      <c r="B37" s="41" t="s">
        <v>1422</v>
      </c>
      <c r="C37" s="41">
        <v>15</v>
      </c>
      <c r="D37" s="41">
        <v>86</v>
      </c>
      <c r="E37" s="41"/>
      <c r="F37" s="41" t="s">
        <v>76</v>
      </c>
      <c r="G37" s="41" t="s">
        <v>1848</v>
      </c>
      <c r="H37" s="41" t="s">
        <v>1849</v>
      </c>
      <c r="I37" s="41" t="s">
        <v>1433</v>
      </c>
      <c r="J37" s="42" t="s">
        <v>1434</v>
      </c>
    </row>
    <row r="38" spans="1:10" x14ac:dyDescent="0.25">
      <c r="A38" s="43" t="s">
        <v>1776</v>
      </c>
      <c r="B38" s="39" t="s">
        <v>1422</v>
      </c>
      <c r="C38" s="39">
        <v>15</v>
      </c>
      <c r="D38" s="39">
        <v>86</v>
      </c>
      <c r="E38" s="39"/>
      <c r="F38" s="39" t="s">
        <v>204</v>
      </c>
      <c r="G38" s="39" t="s">
        <v>1850</v>
      </c>
      <c r="H38" s="39" t="s">
        <v>1851</v>
      </c>
      <c r="I38" s="39" t="s">
        <v>1433</v>
      </c>
      <c r="J38" s="44" t="s">
        <v>1434</v>
      </c>
    </row>
    <row r="39" spans="1:10" x14ac:dyDescent="0.25">
      <c r="A39" s="43" t="s">
        <v>1777</v>
      </c>
      <c r="B39" s="39" t="s">
        <v>1422</v>
      </c>
      <c r="C39" s="39">
        <v>15</v>
      </c>
      <c r="D39" s="39">
        <v>86</v>
      </c>
      <c r="E39" s="39"/>
      <c r="F39" s="39" t="s">
        <v>1852</v>
      </c>
      <c r="G39" s="39" t="s">
        <v>1853</v>
      </c>
      <c r="H39" s="39" t="s">
        <v>1854</v>
      </c>
      <c r="I39" s="39" t="s">
        <v>1433</v>
      </c>
      <c r="J39" s="44" t="s">
        <v>1434</v>
      </c>
    </row>
    <row r="40" spans="1:10" x14ac:dyDescent="0.25">
      <c r="A40" s="43" t="s">
        <v>1778</v>
      </c>
      <c r="B40" s="39" t="s">
        <v>1422</v>
      </c>
      <c r="C40" s="39">
        <v>15</v>
      </c>
      <c r="D40" s="39">
        <v>86</v>
      </c>
      <c r="E40" s="39"/>
      <c r="F40" s="39" t="s">
        <v>53</v>
      </c>
      <c r="G40" s="39" t="s">
        <v>1855</v>
      </c>
      <c r="H40" s="39" t="s">
        <v>1856</v>
      </c>
      <c r="I40" s="39" t="s">
        <v>1433</v>
      </c>
      <c r="J40" s="44" t="s">
        <v>1434</v>
      </c>
    </row>
    <row r="41" spans="1:10" x14ac:dyDescent="0.25">
      <c r="A41" s="43" t="s">
        <v>1779</v>
      </c>
      <c r="B41" s="39" t="s">
        <v>1422</v>
      </c>
      <c r="C41" s="39">
        <v>15</v>
      </c>
      <c r="D41" s="39">
        <v>86</v>
      </c>
      <c r="E41" s="39"/>
      <c r="F41" s="39" t="s">
        <v>140</v>
      </c>
      <c r="G41" s="39" t="s">
        <v>1857</v>
      </c>
      <c r="H41" s="39" t="s">
        <v>1858</v>
      </c>
      <c r="I41" s="39" t="s">
        <v>1433</v>
      </c>
      <c r="J41" s="44" t="s">
        <v>1434</v>
      </c>
    </row>
    <row r="42" spans="1:10" ht="15.75" thickBot="1" x14ac:dyDescent="0.3">
      <c r="A42" s="45" t="s">
        <v>1847</v>
      </c>
      <c r="B42" s="46" t="s">
        <v>1422</v>
      </c>
      <c r="C42" s="46">
        <v>15</v>
      </c>
      <c r="D42" s="46">
        <v>86</v>
      </c>
      <c r="E42" s="46"/>
      <c r="F42" s="46" t="s">
        <v>192</v>
      </c>
      <c r="G42" s="46" t="s">
        <v>1859</v>
      </c>
      <c r="H42" s="46" t="s">
        <v>1860</v>
      </c>
      <c r="I42" s="46" t="s">
        <v>1432</v>
      </c>
      <c r="J42" s="47" t="s">
        <v>1434</v>
      </c>
    </row>
    <row r="43" spans="1:10" x14ac:dyDescent="0.25">
      <c r="A43" s="40" t="s">
        <v>1861</v>
      </c>
      <c r="B43" s="41" t="s">
        <v>1422</v>
      </c>
      <c r="C43" s="41">
        <v>32</v>
      </c>
      <c r="D43" s="41">
        <v>188</v>
      </c>
      <c r="E43" s="41"/>
      <c r="F43" s="41" t="s">
        <v>198</v>
      </c>
      <c r="G43" s="41" t="s">
        <v>1951</v>
      </c>
      <c r="H43" s="41" t="s">
        <v>1952</v>
      </c>
      <c r="I43" s="41" t="s">
        <v>1433</v>
      </c>
      <c r="J43" s="42" t="s">
        <v>1434</v>
      </c>
    </row>
    <row r="44" spans="1:10" x14ac:dyDescent="0.25">
      <c r="A44" s="43" t="s">
        <v>1862</v>
      </c>
      <c r="B44" s="39" t="s">
        <v>1422</v>
      </c>
      <c r="C44" s="39">
        <v>32</v>
      </c>
      <c r="D44" s="39">
        <v>188</v>
      </c>
      <c r="E44" s="39"/>
      <c r="F44" s="39" t="s">
        <v>204</v>
      </c>
      <c r="G44" s="39" t="s">
        <v>1953</v>
      </c>
      <c r="H44" s="39" t="s">
        <v>1954</v>
      </c>
      <c r="I44" s="39" t="s">
        <v>1432</v>
      </c>
      <c r="J44" s="44" t="s">
        <v>1434</v>
      </c>
    </row>
    <row r="45" spans="1:10" x14ac:dyDescent="0.25">
      <c r="A45" s="43" t="s">
        <v>1863</v>
      </c>
      <c r="B45" s="39" t="s">
        <v>1422</v>
      </c>
      <c r="C45" s="39">
        <v>32</v>
      </c>
      <c r="D45" s="39">
        <v>188</v>
      </c>
      <c r="E45" s="39"/>
      <c r="F45" s="39" t="s">
        <v>118</v>
      </c>
      <c r="G45" s="39" t="s">
        <v>1955</v>
      </c>
      <c r="H45" s="39" t="s">
        <v>1956</v>
      </c>
      <c r="I45" s="39" t="s">
        <v>1433</v>
      </c>
      <c r="J45" s="44" t="s">
        <v>1434</v>
      </c>
    </row>
    <row r="46" spans="1:10" x14ac:dyDescent="0.25">
      <c r="A46" s="43" t="s">
        <v>1864</v>
      </c>
      <c r="B46" s="39" t="s">
        <v>1422</v>
      </c>
      <c r="C46" s="39">
        <v>32</v>
      </c>
      <c r="D46" s="39">
        <v>188</v>
      </c>
      <c r="E46" s="39"/>
      <c r="F46" s="39" t="s">
        <v>140</v>
      </c>
      <c r="G46" s="39" t="s">
        <v>1957</v>
      </c>
      <c r="H46" s="39" t="s">
        <v>1958</v>
      </c>
      <c r="I46" s="39" t="s">
        <v>1433</v>
      </c>
      <c r="J46" s="44" t="s">
        <v>1434</v>
      </c>
    </row>
    <row r="47" spans="1:10" x14ac:dyDescent="0.25">
      <c r="A47" s="43" t="s">
        <v>1865</v>
      </c>
      <c r="B47" s="39" t="s">
        <v>1422</v>
      </c>
      <c r="C47" s="39">
        <v>32</v>
      </c>
      <c r="D47" s="39">
        <v>188</v>
      </c>
      <c r="E47" s="39"/>
      <c r="F47" s="39" t="s">
        <v>112</v>
      </c>
      <c r="G47" s="39" t="s">
        <v>1959</v>
      </c>
      <c r="H47" s="39" t="s">
        <v>1960</v>
      </c>
      <c r="I47" s="39" t="s">
        <v>1432</v>
      </c>
      <c r="J47" s="44" t="s">
        <v>1434</v>
      </c>
    </row>
    <row r="48" spans="1:10" ht="15.75" thickBot="1" x14ac:dyDescent="0.3">
      <c r="A48" s="45" t="s">
        <v>1866</v>
      </c>
      <c r="B48" s="46" t="s">
        <v>1422</v>
      </c>
      <c r="C48" s="46">
        <v>32</v>
      </c>
      <c r="D48" s="46">
        <v>188</v>
      </c>
      <c r="E48" s="46"/>
      <c r="F48" s="46" t="s">
        <v>161</v>
      </c>
      <c r="G48" s="46" t="s">
        <v>1961</v>
      </c>
      <c r="H48" s="46" t="s">
        <v>1962</v>
      </c>
      <c r="I48" s="46" t="s">
        <v>1433</v>
      </c>
      <c r="J48" s="47" t="s">
        <v>1434</v>
      </c>
    </row>
    <row r="49" spans="1:10" x14ac:dyDescent="0.25">
      <c r="A49" s="35" t="s">
        <v>2213</v>
      </c>
      <c r="B49" s="22" t="s">
        <v>1964</v>
      </c>
      <c r="C49" s="22">
        <v>2</v>
      </c>
      <c r="D49" s="22">
        <v>8</v>
      </c>
      <c r="E49" s="22"/>
      <c r="F49" s="22" t="s">
        <v>2201</v>
      </c>
      <c r="G49" s="22" t="s">
        <v>2202</v>
      </c>
      <c r="H49" s="22" t="s">
        <v>2203</v>
      </c>
      <c r="I49" s="22" t="s">
        <v>1432</v>
      </c>
      <c r="J49" s="32" t="s">
        <v>2217</v>
      </c>
    </row>
    <row r="50" spans="1:10" x14ac:dyDescent="0.25">
      <c r="A50" s="36" t="s">
        <v>2214</v>
      </c>
      <c r="B50" t="s">
        <v>1964</v>
      </c>
      <c r="C50">
        <v>2</v>
      </c>
      <c r="D50">
        <v>8</v>
      </c>
      <c r="F50" t="s">
        <v>2204</v>
      </c>
      <c r="G50" t="s">
        <v>2205</v>
      </c>
      <c r="H50" t="s">
        <v>2206</v>
      </c>
      <c r="I50" t="s">
        <v>1432</v>
      </c>
      <c r="J50" s="33" t="s">
        <v>2217</v>
      </c>
    </row>
    <row r="51" spans="1:10" x14ac:dyDescent="0.25">
      <c r="A51" s="36" t="s">
        <v>2215</v>
      </c>
      <c r="B51" t="s">
        <v>1964</v>
      </c>
      <c r="C51">
        <v>2</v>
      </c>
      <c r="D51">
        <v>8</v>
      </c>
      <c r="F51" t="s">
        <v>2207</v>
      </c>
      <c r="G51" t="s">
        <v>2208</v>
      </c>
      <c r="H51" t="s">
        <v>2209</v>
      </c>
      <c r="I51" t="s">
        <v>1432</v>
      </c>
      <c r="J51" s="33" t="s">
        <v>2217</v>
      </c>
    </row>
    <row r="52" spans="1:10" ht="15.75" thickBot="1" x14ac:dyDescent="0.3">
      <c r="A52" s="37" t="s">
        <v>2216</v>
      </c>
      <c r="B52" s="30" t="s">
        <v>1964</v>
      </c>
      <c r="C52" s="30">
        <v>2</v>
      </c>
      <c r="D52" s="30">
        <v>8</v>
      </c>
      <c r="E52" s="30"/>
      <c r="F52" s="30" t="s">
        <v>2210</v>
      </c>
      <c r="G52" s="30" t="s">
        <v>2211</v>
      </c>
      <c r="H52" s="30" t="s">
        <v>2212</v>
      </c>
      <c r="I52" s="30" t="s">
        <v>1432</v>
      </c>
      <c r="J52" s="34" t="s">
        <v>2217</v>
      </c>
    </row>
    <row r="53" spans="1:10" x14ac:dyDescent="0.25">
      <c r="A53" s="35" t="s">
        <v>2272</v>
      </c>
      <c r="B53" s="22" t="s">
        <v>1964</v>
      </c>
      <c r="C53" s="22">
        <v>2</v>
      </c>
      <c r="D53" s="22">
        <v>9</v>
      </c>
      <c r="E53" s="22"/>
      <c r="F53" s="22" t="s">
        <v>53</v>
      </c>
      <c r="G53" s="22" t="s">
        <v>2261</v>
      </c>
      <c r="H53" s="22" t="s">
        <v>2262</v>
      </c>
      <c r="I53" s="22" t="s">
        <v>1432</v>
      </c>
      <c r="J53" s="32" t="s">
        <v>2217</v>
      </c>
    </row>
    <row r="54" spans="1:10" x14ac:dyDescent="0.25">
      <c r="A54" s="36" t="s">
        <v>2273</v>
      </c>
      <c r="B54" t="s">
        <v>1964</v>
      </c>
      <c r="C54">
        <v>2</v>
      </c>
      <c r="D54">
        <v>9</v>
      </c>
      <c r="F54" t="s">
        <v>2263</v>
      </c>
      <c r="G54" t="s">
        <v>2264</v>
      </c>
      <c r="H54" t="s">
        <v>2265</v>
      </c>
      <c r="I54" t="s">
        <v>1432</v>
      </c>
      <c r="J54" s="33" t="s">
        <v>2217</v>
      </c>
    </row>
    <row r="55" spans="1:10" x14ac:dyDescent="0.25">
      <c r="A55" s="36" t="s">
        <v>2274</v>
      </c>
      <c r="B55" t="s">
        <v>1964</v>
      </c>
      <c r="C55">
        <v>2</v>
      </c>
      <c r="D55">
        <v>9</v>
      </c>
      <c r="F55" t="s">
        <v>2266</v>
      </c>
      <c r="G55" t="s">
        <v>2267</v>
      </c>
      <c r="H55" t="s">
        <v>2268</v>
      </c>
      <c r="I55" t="s">
        <v>1432</v>
      </c>
      <c r="J55" s="33" t="s">
        <v>2217</v>
      </c>
    </row>
    <row r="56" spans="1:10" ht="15.75" thickBot="1" x14ac:dyDescent="0.3">
      <c r="A56" s="37" t="s">
        <v>2275</v>
      </c>
      <c r="B56" s="30" t="s">
        <v>1964</v>
      </c>
      <c r="C56" s="30">
        <v>2</v>
      </c>
      <c r="D56" s="30">
        <v>9</v>
      </c>
      <c r="E56" s="30"/>
      <c r="F56" s="30" t="s">
        <v>2269</v>
      </c>
      <c r="G56" s="30" t="s">
        <v>2270</v>
      </c>
      <c r="H56" s="30" t="s">
        <v>2271</v>
      </c>
      <c r="I56" s="30" t="s">
        <v>1432</v>
      </c>
      <c r="J56" s="34" t="s">
        <v>2217</v>
      </c>
    </row>
    <row r="57" spans="1:10" x14ac:dyDescent="0.25">
      <c r="A57" s="35" t="s">
        <v>2276</v>
      </c>
      <c r="B57" s="22" t="s">
        <v>1964</v>
      </c>
      <c r="C57" s="22">
        <v>3</v>
      </c>
      <c r="D57" s="22">
        <v>16</v>
      </c>
      <c r="E57" s="22"/>
      <c r="F57" s="22" t="s">
        <v>2478</v>
      </c>
      <c r="G57" s="22" t="s">
        <v>2479</v>
      </c>
      <c r="H57" s="22" t="s">
        <v>2480</v>
      </c>
      <c r="I57" s="22" t="s">
        <v>1432</v>
      </c>
      <c r="J57" s="32" t="s">
        <v>2217</v>
      </c>
    </row>
    <row r="58" spans="1:10" x14ac:dyDescent="0.25">
      <c r="A58" s="36" t="s">
        <v>2277</v>
      </c>
      <c r="B58" t="s">
        <v>1964</v>
      </c>
      <c r="C58">
        <v>3</v>
      </c>
      <c r="D58">
        <v>16</v>
      </c>
      <c r="F58" t="s">
        <v>174</v>
      </c>
      <c r="G58" t="s">
        <v>2481</v>
      </c>
      <c r="H58" t="s">
        <v>2482</v>
      </c>
      <c r="I58" t="s">
        <v>1432</v>
      </c>
      <c r="J58" s="33" t="s">
        <v>2217</v>
      </c>
    </row>
    <row r="59" spans="1:10" x14ac:dyDescent="0.25">
      <c r="A59" s="36" t="s">
        <v>2278</v>
      </c>
      <c r="B59" t="s">
        <v>1964</v>
      </c>
      <c r="C59">
        <v>3</v>
      </c>
      <c r="D59">
        <v>16</v>
      </c>
      <c r="F59" t="s">
        <v>2483</v>
      </c>
      <c r="G59" t="s">
        <v>2484</v>
      </c>
      <c r="H59" t="s">
        <v>2485</v>
      </c>
      <c r="I59" t="s">
        <v>1432</v>
      </c>
      <c r="J59" s="33" t="s">
        <v>2217</v>
      </c>
    </row>
    <row r="60" spans="1:10" x14ac:dyDescent="0.25">
      <c r="A60" s="36" t="s">
        <v>2279</v>
      </c>
      <c r="B60" t="s">
        <v>1964</v>
      </c>
      <c r="C60">
        <v>3</v>
      </c>
      <c r="D60">
        <v>16</v>
      </c>
      <c r="F60" t="s">
        <v>210</v>
      </c>
      <c r="G60" t="s">
        <v>2486</v>
      </c>
      <c r="H60" t="s">
        <v>2487</v>
      </c>
      <c r="I60" t="s">
        <v>1432</v>
      </c>
      <c r="J60" s="33" t="s">
        <v>2217</v>
      </c>
    </row>
    <row r="61" spans="1:10" ht="15.75" thickBot="1" x14ac:dyDescent="0.3">
      <c r="A61" s="37" t="s">
        <v>2280</v>
      </c>
      <c r="B61" s="30" t="s">
        <v>1964</v>
      </c>
      <c r="C61" s="30">
        <v>3</v>
      </c>
      <c r="D61" s="30">
        <v>16</v>
      </c>
      <c r="E61" s="30"/>
      <c r="F61" s="30" t="s">
        <v>125</v>
      </c>
      <c r="G61" s="30" t="s">
        <v>2488</v>
      </c>
      <c r="H61" s="30" t="s">
        <v>2489</v>
      </c>
      <c r="I61" s="30" t="s">
        <v>1432</v>
      </c>
      <c r="J61" s="34" t="s">
        <v>2217</v>
      </c>
    </row>
    <row r="62" spans="1:10" x14ac:dyDescent="0.25">
      <c r="A62" s="35" t="s">
        <v>2281</v>
      </c>
      <c r="B62" s="22" t="s">
        <v>1964</v>
      </c>
      <c r="C62" s="22">
        <v>3</v>
      </c>
      <c r="D62" s="22">
        <v>17</v>
      </c>
      <c r="E62" s="22"/>
      <c r="F62" s="22" t="s">
        <v>2521</v>
      </c>
      <c r="G62" s="22" t="s">
        <v>2522</v>
      </c>
      <c r="H62" s="22" t="s">
        <v>2523</v>
      </c>
      <c r="I62" s="22" t="s">
        <v>1432</v>
      </c>
      <c r="J62" s="32" t="s">
        <v>2217</v>
      </c>
    </row>
    <row r="63" spans="1:10" x14ac:dyDescent="0.25">
      <c r="A63" s="36" t="s">
        <v>2282</v>
      </c>
      <c r="B63" t="s">
        <v>1964</v>
      </c>
      <c r="C63">
        <v>3</v>
      </c>
      <c r="D63">
        <v>17</v>
      </c>
      <c r="F63" t="s">
        <v>112</v>
      </c>
      <c r="G63" t="s">
        <v>2524</v>
      </c>
      <c r="H63" t="s">
        <v>2525</v>
      </c>
      <c r="I63" t="s">
        <v>1432</v>
      </c>
      <c r="J63" s="33" t="s">
        <v>2217</v>
      </c>
    </row>
    <row r="64" spans="1:10" x14ac:dyDescent="0.25">
      <c r="A64" s="36" t="s">
        <v>2283</v>
      </c>
      <c r="B64" t="s">
        <v>1964</v>
      </c>
      <c r="C64">
        <v>3</v>
      </c>
      <c r="D64">
        <v>17</v>
      </c>
      <c r="F64" t="s">
        <v>198</v>
      </c>
      <c r="G64" t="s">
        <v>2526</v>
      </c>
      <c r="H64" t="s">
        <v>2527</v>
      </c>
      <c r="I64" t="s">
        <v>1432</v>
      </c>
      <c r="J64" s="33" t="s">
        <v>2217</v>
      </c>
    </row>
    <row r="65" spans="1:10" ht="15.75" thickBot="1" x14ac:dyDescent="0.3">
      <c r="A65" s="37" t="s">
        <v>2284</v>
      </c>
      <c r="B65" s="30" t="s">
        <v>1964</v>
      </c>
      <c r="C65" s="30">
        <v>3</v>
      </c>
      <c r="D65" s="30">
        <v>17</v>
      </c>
      <c r="E65" s="30"/>
      <c r="F65" s="30" t="s">
        <v>2528</v>
      </c>
      <c r="G65" s="30" t="s">
        <v>2529</v>
      </c>
      <c r="H65" s="30" t="s">
        <v>2530</v>
      </c>
      <c r="I65" s="30" t="s">
        <v>1432</v>
      </c>
      <c r="J65" s="34" t="s">
        <v>2217</v>
      </c>
    </row>
    <row r="66" spans="1:10" x14ac:dyDescent="0.25">
      <c r="A66" s="35" t="s">
        <v>2285</v>
      </c>
      <c r="B66" s="22" t="s">
        <v>1964</v>
      </c>
      <c r="C66" s="22">
        <v>3</v>
      </c>
      <c r="D66" s="22">
        <v>18</v>
      </c>
      <c r="E66" s="22"/>
      <c r="F66" s="22" t="s">
        <v>186</v>
      </c>
      <c r="G66" s="22" t="s">
        <v>2580</v>
      </c>
      <c r="H66" s="22" t="s">
        <v>2581</v>
      </c>
      <c r="I66" s="22" t="s">
        <v>1432</v>
      </c>
      <c r="J66" s="32" t="s">
        <v>2217</v>
      </c>
    </row>
    <row r="67" spans="1:10" x14ac:dyDescent="0.25">
      <c r="A67" s="36" t="s">
        <v>2286</v>
      </c>
      <c r="B67" t="s">
        <v>1964</v>
      </c>
      <c r="C67">
        <v>3</v>
      </c>
      <c r="D67">
        <v>18</v>
      </c>
      <c r="F67" t="s">
        <v>2582</v>
      </c>
      <c r="G67" t="s">
        <v>2583</v>
      </c>
      <c r="H67" t="s">
        <v>2584</v>
      </c>
      <c r="I67" t="s">
        <v>1432</v>
      </c>
      <c r="J67" s="33" t="s">
        <v>2217</v>
      </c>
    </row>
    <row r="68" spans="1:10" x14ac:dyDescent="0.25">
      <c r="A68" s="36" t="s">
        <v>2287</v>
      </c>
      <c r="B68" t="s">
        <v>1964</v>
      </c>
      <c r="C68">
        <v>3</v>
      </c>
      <c r="D68">
        <v>18</v>
      </c>
      <c r="F68" t="s">
        <v>2585</v>
      </c>
      <c r="G68" t="s">
        <v>2586</v>
      </c>
      <c r="H68" t="s">
        <v>2587</v>
      </c>
      <c r="I68" t="s">
        <v>1432</v>
      </c>
      <c r="J68" s="33" t="s">
        <v>2217</v>
      </c>
    </row>
    <row r="69" spans="1:10" ht="15.75" thickBot="1" x14ac:dyDescent="0.3">
      <c r="A69" s="37" t="s">
        <v>2288</v>
      </c>
      <c r="B69" s="30" t="s">
        <v>1964</v>
      </c>
      <c r="C69" s="30">
        <v>3</v>
      </c>
      <c r="D69" s="30">
        <v>18</v>
      </c>
      <c r="E69" s="30"/>
      <c r="F69" s="30" t="s">
        <v>2588</v>
      </c>
      <c r="G69" s="30" t="s">
        <v>2589</v>
      </c>
      <c r="H69" s="30" t="s">
        <v>2590</v>
      </c>
      <c r="I69" s="30" t="s">
        <v>1432</v>
      </c>
      <c r="J69" s="34" t="s">
        <v>2217</v>
      </c>
    </row>
    <row r="70" spans="1:10" x14ac:dyDescent="0.25">
      <c r="A70" s="35" t="s">
        <v>2289</v>
      </c>
      <c r="B70" s="22" t="s">
        <v>1964</v>
      </c>
      <c r="C70" s="22">
        <v>3</v>
      </c>
      <c r="D70" s="22">
        <v>21</v>
      </c>
      <c r="E70" s="22"/>
      <c r="F70" s="22" t="s">
        <v>186</v>
      </c>
      <c r="G70" s="22" t="s">
        <v>2665</v>
      </c>
      <c r="H70" s="22" t="s">
        <v>2666</v>
      </c>
      <c r="I70" s="22" t="s">
        <v>1432</v>
      </c>
      <c r="J70" s="32" t="s">
        <v>2217</v>
      </c>
    </row>
    <row r="71" spans="1:10" x14ac:dyDescent="0.25">
      <c r="A71" s="36" t="s">
        <v>2290</v>
      </c>
      <c r="B71" t="s">
        <v>1964</v>
      </c>
      <c r="C71">
        <v>3</v>
      </c>
      <c r="D71">
        <v>21</v>
      </c>
      <c r="F71" t="s">
        <v>2667</v>
      </c>
      <c r="G71" t="s">
        <v>2668</v>
      </c>
      <c r="H71" t="s">
        <v>2669</v>
      </c>
      <c r="I71" t="s">
        <v>1432</v>
      </c>
      <c r="J71" s="33" t="s">
        <v>2217</v>
      </c>
    </row>
    <row r="72" spans="1:10" x14ac:dyDescent="0.25">
      <c r="A72" s="36" t="s">
        <v>2291</v>
      </c>
      <c r="B72" t="s">
        <v>1964</v>
      </c>
      <c r="C72">
        <v>3</v>
      </c>
      <c r="D72">
        <v>21</v>
      </c>
      <c r="F72" t="s">
        <v>2670</v>
      </c>
      <c r="G72" t="s">
        <v>2671</v>
      </c>
      <c r="H72" t="s">
        <v>2672</v>
      </c>
      <c r="I72" t="s">
        <v>1432</v>
      </c>
      <c r="J72" s="33" t="s">
        <v>2217</v>
      </c>
    </row>
    <row r="73" spans="1:10" x14ac:dyDescent="0.25">
      <c r="A73" s="36" t="s">
        <v>2292</v>
      </c>
      <c r="B73" t="s">
        <v>1964</v>
      </c>
      <c r="C73">
        <v>3</v>
      </c>
      <c r="D73">
        <v>21</v>
      </c>
      <c r="F73" t="s">
        <v>125</v>
      </c>
      <c r="G73" t="s">
        <v>2673</v>
      </c>
      <c r="H73" t="s">
        <v>2674</v>
      </c>
      <c r="I73" t="s">
        <v>1432</v>
      </c>
      <c r="J73" s="33" t="s">
        <v>2217</v>
      </c>
    </row>
    <row r="74" spans="1:10" ht="15.75" thickBot="1" x14ac:dyDescent="0.3">
      <c r="A74" s="37" t="s">
        <v>2293</v>
      </c>
      <c r="B74" s="30" t="s">
        <v>1964</v>
      </c>
      <c r="C74" s="30">
        <v>3</v>
      </c>
      <c r="D74" s="30">
        <v>21</v>
      </c>
      <c r="E74" s="30"/>
      <c r="F74" s="30" t="s">
        <v>161</v>
      </c>
      <c r="G74" s="30" t="s">
        <v>2675</v>
      </c>
      <c r="H74" s="30" t="s">
        <v>2676</v>
      </c>
      <c r="I74" s="30" t="s">
        <v>1432</v>
      </c>
      <c r="J74" s="34" t="s">
        <v>2217</v>
      </c>
    </row>
    <row r="75" spans="1:10" x14ac:dyDescent="0.25">
      <c r="A75" s="35" t="s">
        <v>2294</v>
      </c>
      <c r="B75" s="22" t="s">
        <v>1964</v>
      </c>
      <c r="C75" s="22">
        <v>4</v>
      </c>
      <c r="D75" s="22">
        <v>22</v>
      </c>
      <c r="E75" s="22"/>
      <c r="F75" s="22" t="s">
        <v>76</v>
      </c>
      <c r="G75" s="22" t="s">
        <v>2740</v>
      </c>
      <c r="H75" s="22" t="s">
        <v>2741</v>
      </c>
      <c r="I75" s="22" t="s">
        <v>1432</v>
      </c>
      <c r="J75" s="32" t="s">
        <v>2217</v>
      </c>
    </row>
    <row r="76" spans="1:10" x14ac:dyDescent="0.25">
      <c r="A76" s="36" t="s">
        <v>2295</v>
      </c>
      <c r="B76" t="s">
        <v>1964</v>
      </c>
      <c r="C76">
        <v>4</v>
      </c>
      <c r="D76">
        <v>22</v>
      </c>
      <c r="F76" t="s">
        <v>161</v>
      </c>
      <c r="G76" t="s">
        <v>2742</v>
      </c>
      <c r="H76" t="s">
        <v>2743</v>
      </c>
      <c r="I76" t="s">
        <v>1432</v>
      </c>
      <c r="J76" s="33" t="s">
        <v>2217</v>
      </c>
    </row>
    <row r="77" spans="1:10" x14ac:dyDescent="0.25">
      <c r="A77" s="36" t="s">
        <v>2296</v>
      </c>
      <c r="B77" t="s">
        <v>1964</v>
      </c>
      <c r="C77">
        <v>4</v>
      </c>
      <c r="D77">
        <v>22</v>
      </c>
      <c r="F77" t="s">
        <v>166</v>
      </c>
      <c r="G77" t="s">
        <v>2744</v>
      </c>
      <c r="H77" t="s">
        <v>2745</v>
      </c>
      <c r="I77" t="s">
        <v>1432</v>
      </c>
      <c r="J77" s="33" t="s">
        <v>2217</v>
      </c>
    </row>
    <row r="78" spans="1:10" x14ac:dyDescent="0.25">
      <c r="A78" s="36" t="s">
        <v>2297</v>
      </c>
      <c r="B78" t="s">
        <v>1964</v>
      </c>
      <c r="C78">
        <v>4</v>
      </c>
      <c r="D78">
        <v>22</v>
      </c>
      <c r="F78" t="s">
        <v>2746</v>
      </c>
      <c r="G78" t="s">
        <v>2747</v>
      </c>
      <c r="H78" t="s">
        <v>2748</v>
      </c>
      <c r="I78" t="s">
        <v>1432</v>
      </c>
      <c r="J78" s="33" t="s">
        <v>2217</v>
      </c>
    </row>
    <row r="79" spans="1:10" ht="15.75" thickBot="1" x14ac:dyDescent="0.3">
      <c r="A79" s="37" t="s">
        <v>2298</v>
      </c>
      <c r="B79" s="30" t="s">
        <v>1964</v>
      </c>
      <c r="C79" s="30">
        <v>4</v>
      </c>
      <c r="D79" s="30">
        <v>22</v>
      </c>
      <c r="E79" s="30"/>
      <c r="F79" s="30" t="s">
        <v>186</v>
      </c>
      <c r="G79" s="30" t="s">
        <v>2749</v>
      </c>
      <c r="H79" s="30" t="s">
        <v>2750</v>
      </c>
      <c r="I79" s="30" t="s">
        <v>1432</v>
      </c>
      <c r="J79" s="34" t="s">
        <v>2217</v>
      </c>
    </row>
    <row r="80" spans="1:10" x14ac:dyDescent="0.25">
      <c r="A80" s="35" t="s">
        <v>2299</v>
      </c>
      <c r="B80" s="22" t="s">
        <v>1964</v>
      </c>
      <c r="C80" s="22">
        <v>4</v>
      </c>
      <c r="D80" s="22">
        <v>23</v>
      </c>
      <c r="E80" s="22"/>
      <c r="F80" s="22" t="s">
        <v>2784</v>
      </c>
      <c r="G80" s="22" t="s">
        <v>2785</v>
      </c>
      <c r="H80" s="22" t="s">
        <v>2786</v>
      </c>
      <c r="I80" s="22" t="s">
        <v>1432</v>
      </c>
      <c r="J80" s="32" t="s">
        <v>2217</v>
      </c>
    </row>
    <row r="81" spans="1:10" x14ac:dyDescent="0.25">
      <c r="A81" s="36" t="s">
        <v>2300</v>
      </c>
      <c r="B81" t="s">
        <v>1964</v>
      </c>
      <c r="C81">
        <v>4</v>
      </c>
      <c r="D81">
        <v>23</v>
      </c>
      <c r="F81" t="s">
        <v>2004</v>
      </c>
      <c r="G81" t="s">
        <v>2787</v>
      </c>
      <c r="H81" t="s">
        <v>2788</v>
      </c>
      <c r="I81" t="s">
        <v>1432</v>
      </c>
      <c r="J81" s="33" t="s">
        <v>2217</v>
      </c>
    </row>
    <row r="82" spans="1:10" x14ac:dyDescent="0.25">
      <c r="A82" s="36" t="s">
        <v>2301</v>
      </c>
      <c r="B82" t="s">
        <v>1964</v>
      </c>
      <c r="C82">
        <v>4</v>
      </c>
      <c r="D82">
        <v>23</v>
      </c>
      <c r="F82" t="s">
        <v>2789</v>
      </c>
      <c r="G82" t="s">
        <v>2790</v>
      </c>
      <c r="H82" t="s">
        <v>2791</v>
      </c>
      <c r="I82" t="s">
        <v>1432</v>
      </c>
      <c r="J82" s="33" t="s">
        <v>2217</v>
      </c>
    </row>
    <row r="83" spans="1:10" x14ac:dyDescent="0.25">
      <c r="A83" s="36" t="s">
        <v>2302</v>
      </c>
      <c r="B83" t="s">
        <v>1964</v>
      </c>
      <c r="C83">
        <v>4</v>
      </c>
      <c r="D83">
        <v>23</v>
      </c>
      <c r="F83" t="s">
        <v>2792</v>
      </c>
      <c r="G83" t="s">
        <v>2793</v>
      </c>
      <c r="H83" t="s">
        <v>2794</v>
      </c>
      <c r="I83" t="s">
        <v>1432</v>
      </c>
      <c r="J83" s="33" t="s">
        <v>2217</v>
      </c>
    </row>
    <row r="84" spans="1:10" ht="15.75" thickBot="1" x14ac:dyDescent="0.3">
      <c r="A84" s="37" t="s">
        <v>2303</v>
      </c>
      <c r="B84" s="30" t="s">
        <v>1964</v>
      </c>
      <c r="C84" s="30">
        <v>4</v>
      </c>
      <c r="D84" s="30">
        <v>23</v>
      </c>
      <c r="E84" s="30"/>
      <c r="F84" s="30" t="s">
        <v>2795</v>
      </c>
      <c r="G84" s="30" t="s">
        <v>2796</v>
      </c>
      <c r="H84" s="30" t="s">
        <v>2797</v>
      </c>
      <c r="I84" s="30" t="s">
        <v>1432</v>
      </c>
      <c r="J84" s="34" t="s">
        <v>2217</v>
      </c>
    </row>
    <row r="85" spans="1:10" x14ac:dyDescent="0.25">
      <c r="A85" s="35" t="s">
        <v>2304</v>
      </c>
      <c r="B85" s="22" t="s">
        <v>1964</v>
      </c>
      <c r="C85" s="22">
        <v>4</v>
      </c>
      <c r="D85" s="22">
        <v>24</v>
      </c>
      <c r="E85" s="22"/>
      <c r="F85" s="22" t="s">
        <v>2824</v>
      </c>
      <c r="G85" s="22" t="s">
        <v>2825</v>
      </c>
      <c r="H85" s="22" t="s">
        <v>2826</v>
      </c>
      <c r="I85" s="22" t="s">
        <v>1432</v>
      </c>
      <c r="J85" s="32" t="s">
        <v>2217</v>
      </c>
    </row>
    <row r="86" spans="1:10" x14ac:dyDescent="0.25">
      <c r="A86" s="36" t="s">
        <v>2305</v>
      </c>
      <c r="B86" t="s">
        <v>1964</v>
      </c>
      <c r="C86">
        <v>4</v>
      </c>
      <c r="D86">
        <v>24</v>
      </c>
      <c r="F86" t="s">
        <v>186</v>
      </c>
      <c r="G86" t="s">
        <v>2827</v>
      </c>
      <c r="H86" t="s">
        <v>2828</v>
      </c>
      <c r="I86" t="s">
        <v>1432</v>
      </c>
      <c r="J86" s="33" t="s">
        <v>2217</v>
      </c>
    </row>
    <row r="87" spans="1:10" x14ac:dyDescent="0.25">
      <c r="A87" s="36" t="s">
        <v>2306</v>
      </c>
      <c r="B87" t="s">
        <v>1964</v>
      </c>
      <c r="C87">
        <v>4</v>
      </c>
      <c r="D87">
        <v>24</v>
      </c>
      <c r="F87" t="s">
        <v>2585</v>
      </c>
      <c r="G87" t="s">
        <v>2829</v>
      </c>
      <c r="H87" t="s">
        <v>2830</v>
      </c>
      <c r="I87" t="s">
        <v>1432</v>
      </c>
      <c r="J87" s="33" t="s">
        <v>2217</v>
      </c>
    </row>
    <row r="88" spans="1:10" ht="15.75" thickBot="1" x14ac:dyDescent="0.3">
      <c r="A88" s="37" t="s">
        <v>2307</v>
      </c>
      <c r="B88" s="30" t="s">
        <v>1964</v>
      </c>
      <c r="C88" s="30">
        <v>4</v>
      </c>
      <c r="D88" s="30">
        <v>24</v>
      </c>
      <c r="E88" s="30"/>
      <c r="F88" s="30" t="s">
        <v>192</v>
      </c>
      <c r="G88" s="30" t="s">
        <v>2831</v>
      </c>
      <c r="H88" s="30" t="s">
        <v>2832</v>
      </c>
      <c r="I88" s="30" t="s">
        <v>1432</v>
      </c>
      <c r="J88" s="34" t="s">
        <v>2217</v>
      </c>
    </row>
    <row r="89" spans="1:10" x14ac:dyDescent="0.25">
      <c r="A89" s="35" t="s">
        <v>2308</v>
      </c>
      <c r="B89" s="22" t="s">
        <v>2833</v>
      </c>
      <c r="C89" s="22">
        <v>5</v>
      </c>
      <c r="D89" s="22">
        <v>27</v>
      </c>
      <c r="E89" s="22"/>
      <c r="F89" s="22" t="s">
        <v>2000</v>
      </c>
      <c r="G89" s="22" t="s">
        <v>2883</v>
      </c>
      <c r="H89" s="22" t="s">
        <v>2884</v>
      </c>
      <c r="I89" s="22" t="s">
        <v>1432</v>
      </c>
      <c r="J89" s="32" t="s">
        <v>2217</v>
      </c>
    </row>
    <row r="90" spans="1:10" x14ac:dyDescent="0.25">
      <c r="A90" s="36" t="s">
        <v>2309</v>
      </c>
      <c r="B90" s="52" t="s">
        <v>2833</v>
      </c>
      <c r="C90" s="52">
        <v>5</v>
      </c>
      <c r="D90" s="52">
        <v>27</v>
      </c>
      <c r="E90" s="52"/>
      <c r="F90" s="52" t="s">
        <v>154</v>
      </c>
      <c r="G90" s="52" t="s">
        <v>2885</v>
      </c>
      <c r="H90" s="52" t="s">
        <v>2886</v>
      </c>
      <c r="I90" s="52" t="s">
        <v>1432</v>
      </c>
      <c r="J90" s="33" t="s">
        <v>2217</v>
      </c>
    </row>
    <row r="91" spans="1:10" x14ac:dyDescent="0.25">
      <c r="A91" s="36" t="s">
        <v>2310</v>
      </c>
      <c r="B91" s="52" t="s">
        <v>2833</v>
      </c>
      <c r="C91" s="52">
        <v>5</v>
      </c>
      <c r="D91" s="52">
        <v>27</v>
      </c>
      <c r="E91" s="52"/>
      <c r="F91" s="52" t="s">
        <v>2887</v>
      </c>
      <c r="G91" s="52" t="s">
        <v>2888</v>
      </c>
      <c r="H91" s="52" t="s">
        <v>2889</v>
      </c>
      <c r="I91" s="52" t="s">
        <v>1432</v>
      </c>
      <c r="J91" s="33" t="s">
        <v>2217</v>
      </c>
    </row>
    <row r="92" spans="1:10" ht="15.75" thickBot="1" x14ac:dyDescent="0.3">
      <c r="A92" s="37" t="s">
        <v>2311</v>
      </c>
      <c r="B92" s="30" t="s">
        <v>2833</v>
      </c>
      <c r="C92" s="30">
        <v>5</v>
      </c>
      <c r="D92" s="30">
        <v>27</v>
      </c>
      <c r="E92" s="30"/>
      <c r="F92" s="30" t="s">
        <v>2890</v>
      </c>
      <c r="G92" s="30" t="s">
        <v>2891</v>
      </c>
      <c r="H92" s="30" t="s">
        <v>2892</v>
      </c>
      <c r="I92" s="30" t="s">
        <v>1432</v>
      </c>
      <c r="J92" s="34" t="s">
        <v>2217</v>
      </c>
    </row>
    <row r="93" spans="1:10" x14ac:dyDescent="0.25">
      <c r="A93" s="35" t="s">
        <v>2312</v>
      </c>
      <c r="B93" s="22" t="s">
        <v>2833</v>
      </c>
      <c r="C93" s="22">
        <v>5</v>
      </c>
      <c r="D93" s="22">
        <v>28</v>
      </c>
      <c r="E93" s="22"/>
      <c r="F93" s="22" t="s">
        <v>2968</v>
      </c>
      <c r="G93" s="22" t="s">
        <v>2969</v>
      </c>
      <c r="H93" s="22" t="s">
        <v>2970</v>
      </c>
      <c r="I93" s="22" t="s">
        <v>1432</v>
      </c>
      <c r="J93" s="32" t="s">
        <v>2217</v>
      </c>
    </row>
    <row r="94" spans="1:10" x14ac:dyDescent="0.25">
      <c r="A94" s="36" t="s">
        <v>2313</v>
      </c>
      <c r="B94" s="52" t="s">
        <v>2833</v>
      </c>
      <c r="C94" s="52">
        <v>5</v>
      </c>
      <c r="D94" s="52">
        <v>28</v>
      </c>
      <c r="E94" s="52"/>
      <c r="F94" s="52" t="s">
        <v>2971</v>
      </c>
      <c r="G94" s="52" t="s">
        <v>2972</v>
      </c>
      <c r="H94" s="52" t="s">
        <v>2973</v>
      </c>
      <c r="I94" s="52" t="s">
        <v>1432</v>
      </c>
      <c r="J94" s="33" t="s">
        <v>2217</v>
      </c>
    </row>
    <row r="95" spans="1:10" x14ac:dyDescent="0.25">
      <c r="A95" s="36" t="s">
        <v>2314</v>
      </c>
      <c r="B95" s="52" t="s">
        <v>2833</v>
      </c>
      <c r="C95" s="52">
        <v>5</v>
      </c>
      <c r="D95" s="52">
        <v>28</v>
      </c>
      <c r="E95" s="52"/>
      <c r="F95" s="52" t="s">
        <v>2974</v>
      </c>
      <c r="G95" s="52" t="s">
        <v>2975</v>
      </c>
      <c r="H95" s="52" t="s">
        <v>2976</v>
      </c>
      <c r="I95" s="52" t="s">
        <v>1432</v>
      </c>
      <c r="J95" s="33" t="s">
        <v>2217</v>
      </c>
    </row>
    <row r="96" spans="1:10" x14ac:dyDescent="0.25">
      <c r="A96" s="36" t="s">
        <v>2315</v>
      </c>
      <c r="B96" s="52" t="s">
        <v>2833</v>
      </c>
      <c r="C96" s="52">
        <v>5</v>
      </c>
      <c r="D96" s="52">
        <v>28</v>
      </c>
      <c r="E96" s="52"/>
      <c r="F96" s="52" t="s">
        <v>2977</v>
      </c>
      <c r="G96" s="52" t="s">
        <v>2978</v>
      </c>
      <c r="H96" s="52" t="s">
        <v>2979</v>
      </c>
      <c r="I96" s="52" t="s">
        <v>1432</v>
      </c>
      <c r="J96" s="33" t="s">
        <v>2217</v>
      </c>
    </row>
    <row r="97" spans="1:10" ht="15.75" thickBot="1" x14ac:dyDescent="0.3">
      <c r="A97" s="37" t="s">
        <v>2316</v>
      </c>
      <c r="B97" s="30" t="s">
        <v>2833</v>
      </c>
      <c r="C97" s="30">
        <v>5</v>
      </c>
      <c r="D97" s="30">
        <v>28</v>
      </c>
      <c r="E97" s="30"/>
      <c r="F97" s="30" t="s">
        <v>2980</v>
      </c>
      <c r="G97" s="30" t="s">
        <v>2981</v>
      </c>
      <c r="H97" s="30" t="s">
        <v>2982</v>
      </c>
      <c r="I97" s="30" t="s">
        <v>1432</v>
      </c>
      <c r="J97" s="34" t="s">
        <v>2217</v>
      </c>
    </row>
    <row r="98" spans="1:10" x14ac:dyDescent="0.25">
      <c r="A98" s="35" t="s">
        <v>2317</v>
      </c>
      <c r="B98" s="22" t="s">
        <v>2833</v>
      </c>
      <c r="C98" s="22">
        <v>5</v>
      </c>
      <c r="D98" s="22">
        <v>30</v>
      </c>
      <c r="E98" s="22"/>
      <c r="F98" s="22" t="s">
        <v>125</v>
      </c>
      <c r="G98" s="22" t="s">
        <v>3031</v>
      </c>
      <c r="H98" s="22" t="s">
        <v>3032</v>
      </c>
      <c r="I98" s="22" t="s">
        <v>1432</v>
      </c>
      <c r="J98" s="32" t="s">
        <v>2217</v>
      </c>
    </row>
    <row r="99" spans="1:10" x14ac:dyDescent="0.25">
      <c r="A99" s="36" t="s">
        <v>2318</v>
      </c>
      <c r="B99" s="52" t="s">
        <v>2833</v>
      </c>
      <c r="C99" s="52">
        <v>5</v>
      </c>
      <c r="D99" s="52">
        <v>30</v>
      </c>
      <c r="E99" s="52"/>
      <c r="F99" s="52" t="s">
        <v>154</v>
      </c>
      <c r="G99" s="52" t="s">
        <v>3033</v>
      </c>
      <c r="H99" s="52" t="s">
        <v>3034</v>
      </c>
      <c r="I99" s="52" t="s">
        <v>1432</v>
      </c>
      <c r="J99" s="33" t="s">
        <v>2217</v>
      </c>
    </row>
    <row r="100" spans="1:10" x14ac:dyDescent="0.25">
      <c r="A100" s="36" t="s">
        <v>2319</v>
      </c>
      <c r="B100" s="52" t="s">
        <v>2833</v>
      </c>
      <c r="C100" s="52">
        <v>5</v>
      </c>
      <c r="D100" s="52">
        <v>30</v>
      </c>
      <c r="E100" s="52"/>
      <c r="F100" s="52" t="s">
        <v>98</v>
      </c>
      <c r="G100" s="52" t="s">
        <v>3035</v>
      </c>
      <c r="H100" s="52" t="s">
        <v>3036</v>
      </c>
      <c r="I100" s="52" t="s">
        <v>1432</v>
      </c>
      <c r="J100" s="33" t="s">
        <v>2217</v>
      </c>
    </row>
    <row r="101" spans="1:10" x14ac:dyDescent="0.25">
      <c r="A101" s="36" t="s">
        <v>2320</v>
      </c>
      <c r="B101" s="52" t="s">
        <v>2833</v>
      </c>
      <c r="C101" s="52">
        <v>5</v>
      </c>
      <c r="D101" s="52">
        <v>30</v>
      </c>
      <c r="E101" s="52"/>
      <c r="F101" s="52" t="s">
        <v>3037</v>
      </c>
      <c r="G101" s="52" t="s">
        <v>3038</v>
      </c>
      <c r="H101" s="52" t="s">
        <v>3039</v>
      </c>
      <c r="I101" s="52" t="s">
        <v>1432</v>
      </c>
      <c r="J101" s="33" t="s">
        <v>2217</v>
      </c>
    </row>
    <row r="102" spans="1:10" ht="15.75" thickBot="1" x14ac:dyDescent="0.3">
      <c r="A102" s="37" t="s">
        <v>2321</v>
      </c>
      <c r="B102" s="30" t="s">
        <v>2833</v>
      </c>
      <c r="C102" s="30">
        <v>5</v>
      </c>
      <c r="D102" s="30">
        <v>30</v>
      </c>
      <c r="E102" s="30"/>
      <c r="F102" s="30" t="s">
        <v>147</v>
      </c>
      <c r="G102" s="30" t="s">
        <v>3040</v>
      </c>
      <c r="H102" s="30" t="s">
        <v>3041</v>
      </c>
      <c r="I102" s="30" t="s">
        <v>1432</v>
      </c>
      <c r="J102" s="34" t="s">
        <v>2217</v>
      </c>
    </row>
    <row r="103" spans="1:10" x14ac:dyDescent="0.25">
      <c r="A103" s="35" t="s">
        <v>2322</v>
      </c>
      <c r="B103" s="22" t="s">
        <v>2833</v>
      </c>
      <c r="C103" s="22">
        <v>5</v>
      </c>
      <c r="D103" s="22">
        <v>31</v>
      </c>
      <c r="E103" s="22"/>
      <c r="F103" s="22" t="s">
        <v>3104</v>
      </c>
      <c r="G103" s="22" t="s">
        <v>3105</v>
      </c>
      <c r="H103" s="22" t="s">
        <v>3106</v>
      </c>
      <c r="I103" s="22" t="s">
        <v>1432</v>
      </c>
      <c r="J103" s="32" t="s">
        <v>2217</v>
      </c>
    </row>
    <row r="104" spans="1:10" x14ac:dyDescent="0.25">
      <c r="A104" s="36" t="s">
        <v>2323</v>
      </c>
      <c r="B104" s="52" t="s">
        <v>2833</v>
      </c>
      <c r="C104" s="52">
        <v>5</v>
      </c>
      <c r="D104" s="52">
        <v>31</v>
      </c>
      <c r="E104" s="52"/>
      <c r="F104" s="52" t="s">
        <v>2207</v>
      </c>
      <c r="G104" s="52" t="s">
        <v>3107</v>
      </c>
      <c r="H104" s="52" t="s">
        <v>3108</v>
      </c>
      <c r="I104" s="52" t="s">
        <v>1432</v>
      </c>
      <c r="J104" s="33" t="s">
        <v>2217</v>
      </c>
    </row>
    <row r="105" spans="1:10" x14ac:dyDescent="0.25">
      <c r="A105" s="36" t="s">
        <v>2324</v>
      </c>
      <c r="B105" s="52" t="s">
        <v>2833</v>
      </c>
      <c r="C105" s="52">
        <v>5</v>
      </c>
      <c r="D105" s="52">
        <v>31</v>
      </c>
      <c r="E105" s="52"/>
      <c r="F105" s="52" t="s">
        <v>2824</v>
      </c>
      <c r="G105" s="52" t="s">
        <v>3109</v>
      </c>
      <c r="H105" s="52" t="s">
        <v>3110</v>
      </c>
      <c r="I105" s="52" t="s">
        <v>1432</v>
      </c>
      <c r="J105" s="33" t="s">
        <v>2217</v>
      </c>
    </row>
    <row r="106" spans="1:10" x14ac:dyDescent="0.25">
      <c r="A106" s="36" t="s">
        <v>2325</v>
      </c>
      <c r="B106" s="52" t="s">
        <v>2833</v>
      </c>
      <c r="C106" s="52">
        <v>5</v>
      </c>
      <c r="D106" s="52">
        <v>31</v>
      </c>
      <c r="E106" s="52"/>
      <c r="F106" s="52" t="s">
        <v>3111</v>
      </c>
      <c r="G106" s="52" t="s">
        <v>3112</v>
      </c>
      <c r="H106" s="52" t="s">
        <v>3113</v>
      </c>
      <c r="I106" s="52" t="s">
        <v>1432</v>
      </c>
      <c r="J106" s="33" t="s">
        <v>2217</v>
      </c>
    </row>
    <row r="107" spans="1:10" x14ac:dyDescent="0.25">
      <c r="A107" s="36" t="s">
        <v>2326</v>
      </c>
      <c r="B107" s="52" t="s">
        <v>2833</v>
      </c>
      <c r="C107" s="52">
        <v>5</v>
      </c>
      <c r="D107" s="52">
        <v>31</v>
      </c>
      <c r="E107" s="52"/>
      <c r="F107" s="52" t="s">
        <v>3114</v>
      </c>
      <c r="G107" s="52" t="s">
        <v>3115</v>
      </c>
      <c r="H107" s="52" t="s">
        <v>3116</v>
      </c>
      <c r="I107" s="52" t="s">
        <v>1432</v>
      </c>
      <c r="J107" s="33" t="s">
        <v>2217</v>
      </c>
    </row>
    <row r="108" spans="1:10" ht="15.75" thickBot="1" x14ac:dyDescent="0.3">
      <c r="A108" s="37" t="s">
        <v>2327</v>
      </c>
      <c r="B108" s="30" t="s">
        <v>2833</v>
      </c>
      <c r="C108" s="30">
        <v>5</v>
      </c>
      <c r="D108" s="30">
        <v>31</v>
      </c>
      <c r="E108" s="30"/>
      <c r="F108" s="30" t="s">
        <v>3117</v>
      </c>
      <c r="G108" s="30" t="s">
        <v>3118</v>
      </c>
      <c r="H108" s="30" t="s">
        <v>3119</v>
      </c>
      <c r="I108" s="30" t="s">
        <v>1432</v>
      </c>
      <c r="J108" s="34" t="s">
        <v>2217</v>
      </c>
    </row>
    <row r="109" spans="1:10" x14ac:dyDescent="0.25">
      <c r="A109" s="35" t="s">
        <v>2328</v>
      </c>
      <c r="B109" s="22" t="s">
        <v>2833</v>
      </c>
      <c r="C109" s="22">
        <v>6</v>
      </c>
      <c r="D109" s="22">
        <v>34</v>
      </c>
      <c r="E109" s="22"/>
      <c r="F109" s="22" t="s">
        <v>3173</v>
      </c>
      <c r="G109" s="22" t="s">
        <v>3174</v>
      </c>
      <c r="H109" s="22" t="s">
        <v>3175</v>
      </c>
      <c r="I109" s="22" t="s">
        <v>1432</v>
      </c>
      <c r="J109" s="32" t="s">
        <v>2217</v>
      </c>
    </row>
    <row r="110" spans="1:10" x14ac:dyDescent="0.25">
      <c r="A110" s="36" t="s">
        <v>2329</v>
      </c>
      <c r="B110" s="52" t="s">
        <v>2833</v>
      </c>
      <c r="C110" s="52">
        <v>6</v>
      </c>
      <c r="D110" s="52">
        <v>34</v>
      </c>
      <c r="E110" s="52"/>
      <c r="F110" s="52" t="s">
        <v>3176</v>
      </c>
      <c r="G110" s="52" t="s">
        <v>3177</v>
      </c>
      <c r="H110" s="52" t="s">
        <v>3178</v>
      </c>
      <c r="I110" s="52" t="s">
        <v>1432</v>
      </c>
      <c r="J110" s="33" t="s">
        <v>2217</v>
      </c>
    </row>
    <row r="111" spans="1:10" x14ac:dyDescent="0.25">
      <c r="A111" s="36" t="s">
        <v>2330</v>
      </c>
      <c r="B111" s="52" t="s">
        <v>2833</v>
      </c>
      <c r="C111" s="52">
        <v>6</v>
      </c>
      <c r="D111" s="52">
        <v>34</v>
      </c>
      <c r="E111" s="52"/>
      <c r="F111" s="52" t="s">
        <v>3179</v>
      </c>
      <c r="G111" s="52" t="s">
        <v>3180</v>
      </c>
      <c r="H111" s="52" t="s">
        <v>3181</v>
      </c>
      <c r="I111" s="52" t="s">
        <v>1432</v>
      </c>
      <c r="J111" s="33" t="s">
        <v>2217</v>
      </c>
    </row>
    <row r="112" spans="1:10" x14ac:dyDescent="0.25">
      <c r="A112" s="36" t="s">
        <v>2331</v>
      </c>
      <c r="B112" s="52" t="s">
        <v>2833</v>
      </c>
      <c r="C112" s="52">
        <v>6</v>
      </c>
      <c r="D112" s="52">
        <v>34</v>
      </c>
      <c r="E112" s="52"/>
      <c r="F112" s="52" t="s">
        <v>3182</v>
      </c>
      <c r="G112" s="52" t="s">
        <v>3183</v>
      </c>
      <c r="H112" s="52" t="s">
        <v>3184</v>
      </c>
      <c r="I112" s="52" t="s">
        <v>1432</v>
      </c>
      <c r="J112" s="33" t="s">
        <v>2217</v>
      </c>
    </row>
    <row r="113" spans="1:10" x14ac:dyDescent="0.25">
      <c r="A113" s="36" t="s">
        <v>2332</v>
      </c>
      <c r="B113" s="52" t="s">
        <v>2833</v>
      </c>
      <c r="C113" s="52">
        <v>6</v>
      </c>
      <c r="D113" s="52">
        <v>34</v>
      </c>
      <c r="E113" s="52"/>
      <c r="F113" s="52" t="s">
        <v>186</v>
      </c>
      <c r="G113" s="52" t="s">
        <v>3185</v>
      </c>
      <c r="H113" s="52" t="s">
        <v>3186</v>
      </c>
      <c r="I113" s="52" t="s">
        <v>1432</v>
      </c>
      <c r="J113" s="33" t="s">
        <v>2217</v>
      </c>
    </row>
    <row r="114" spans="1:10" ht="15.75" thickBot="1" x14ac:dyDescent="0.3">
      <c r="A114" s="37" t="s">
        <v>2333</v>
      </c>
      <c r="B114" s="30" t="s">
        <v>2833</v>
      </c>
      <c r="C114" s="30">
        <v>6</v>
      </c>
      <c r="D114" s="30">
        <v>34</v>
      </c>
      <c r="E114" s="30"/>
      <c r="F114" s="30" t="s">
        <v>3187</v>
      </c>
      <c r="G114" s="30" t="s">
        <v>3188</v>
      </c>
      <c r="H114" s="30" t="s">
        <v>3189</v>
      </c>
      <c r="I114" s="30" t="s">
        <v>1432</v>
      </c>
      <c r="J114" s="34" t="s">
        <v>2217</v>
      </c>
    </row>
    <row r="115" spans="1:10" x14ac:dyDescent="0.25">
      <c r="A115" s="35" t="s">
        <v>2334</v>
      </c>
      <c r="B115" s="22" t="s">
        <v>2833</v>
      </c>
      <c r="C115" s="22">
        <v>6</v>
      </c>
      <c r="D115" s="22">
        <v>36</v>
      </c>
      <c r="E115" s="22"/>
      <c r="F115" s="22" t="s">
        <v>154</v>
      </c>
      <c r="G115" s="22" t="s">
        <v>3228</v>
      </c>
      <c r="H115" s="22" t="s">
        <v>3229</v>
      </c>
      <c r="I115" s="22" t="s">
        <v>1432</v>
      </c>
      <c r="J115" s="32" t="s">
        <v>2217</v>
      </c>
    </row>
    <row r="116" spans="1:10" x14ac:dyDescent="0.25">
      <c r="A116" s="36" t="s">
        <v>2335</v>
      </c>
      <c r="B116" s="52" t="s">
        <v>2833</v>
      </c>
      <c r="C116" s="52">
        <v>6</v>
      </c>
      <c r="D116" s="52">
        <v>36</v>
      </c>
      <c r="E116" s="52"/>
      <c r="F116" s="52" t="s">
        <v>3230</v>
      </c>
      <c r="G116" s="52" t="s">
        <v>3231</v>
      </c>
      <c r="H116" s="52" t="s">
        <v>3232</v>
      </c>
      <c r="I116" s="52" t="s">
        <v>1432</v>
      </c>
      <c r="J116" s="33" t="s">
        <v>2217</v>
      </c>
    </row>
    <row r="117" spans="1:10" x14ac:dyDescent="0.25">
      <c r="A117" s="36" t="s">
        <v>2336</v>
      </c>
      <c r="B117" s="52" t="s">
        <v>2833</v>
      </c>
      <c r="C117" s="52">
        <v>6</v>
      </c>
      <c r="D117" s="52">
        <v>36</v>
      </c>
      <c r="E117" s="52"/>
      <c r="F117" s="52" t="s">
        <v>186</v>
      </c>
      <c r="G117" s="52" t="s">
        <v>3233</v>
      </c>
      <c r="H117" s="52" t="s">
        <v>3234</v>
      </c>
      <c r="I117" s="52" t="s">
        <v>1432</v>
      </c>
      <c r="J117" s="33" t="s">
        <v>2217</v>
      </c>
    </row>
    <row r="118" spans="1:10" x14ac:dyDescent="0.25">
      <c r="A118" s="36" t="s">
        <v>2337</v>
      </c>
      <c r="B118" s="52" t="s">
        <v>2833</v>
      </c>
      <c r="C118" s="52">
        <v>6</v>
      </c>
      <c r="D118" s="52">
        <v>36</v>
      </c>
      <c r="E118" s="52"/>
      <c r="F118" s="52" t="s">
        <v>198</v>
      </c>
      <c r="G118" s="52" t="s">
        <v>3235</v>
      </c>
      <c r="H118" s="52" t="s">
        <v>3236</v>
      </c>
      <c r="I118" s="52" t="s">
        <v>1432</v>
      </c>
      <c r="J118" s="33" t="s">
        <v>2217</v>
      </c>
    </row>
    <row r="119" spans="1:10" ht="15.75" thickBot="1" x14ac:dyDescent="0.3">
      <c r="A119" s="37" t="s">
        <v>2338</v>
      </c>
      <c r="B119" s="30" t="s">
        <v>2833</v>
      </c>
      <c r="C119" s="30">
        <v>6</v>
      </c>
      <c r="D119" s="30">
        <v>36</v>
      </c>
      <c r="E119" s="30"/>
      <c r="F119" s="30" t="s">
        <v>3237</v>
      </c>
      <c r="G119" s="30" t="s">
        <v>3238</v>
      </c>
      <c r="H119" s="30" t="s">
        <v>3239</v>
      </c>
      <c r="I119" s="30" t="s">
        <v>1432</v>
      </c>
      <c r="J119" s="34" t="s">
        <v>2217</v>
      </c>
    </row>
    <row r="120" spans="1:10" x14ac:dyDescent="0.25">
      <c r="A120" s="35" t="s">
        <v>2339</v>
      </c>
      <c r="B120" s="22" t="s">
        <v>2833</v>
      </c>
      <c r="C120" s="22">
        <v>7</v>
      </c>
      <c r="D120" s="22">
        <v>37</v>
      </c>
      <c r="E120" s="22"/>
      <c r="F120" s="22" t="s">
        <v>1990</v>
      </c>
      <c r="G120" s="22" t="s">
        <v>3310</v>
      </c>
      <c r="H120" s="22" t="s">
        <v>3311</v>
      </c>
      <c r="I120" s="22" t="s">
        <v>1432</v>
      </c>
      <c r="J120" s="32" t="s">
        <v>2217</v>
      </c>
    </row>
    <row r="121" spans="1:10" x14ac:dyDescent="0.25">
      <c r="A121" s="36" t="s">
        <v>2340</v>
      </c>
      <c r="B121" s="52" t="s">
        <v>2833</v>
      </c>
      <c r="C121" s="52">
        <v>7</v>
      </c>
      <c r="D121" s="52">
        <v>37</v>
      </c>
      <c r="E121" s="52"/>
      <c r="F121" s="52" t="s">
        <v>3312</v>
      </c>
      <c r="G121" s="52" t="s">
        <v>3313</v>
      </c>
      <c r="H121" s="52" t="s">
        <v>3314</v>
      </c>
      <c r="I121" s="52" t="s">
        <v>1432</v>
      </c>
      <c r="J121" s="33" t="s">
        <v>2217</v>
      </c>
    </row>
    <row r="122" spans="1:10" x14ac:dyDescent="0.25">
      <c r="A122" s="36" t="s">
        <v>2341</v>
      </c>
      <c r="B122" s="52" t="s">
        <v>2833</v>
      </c>
      <c r="C122" s="52">
        <v>7</v>
      </c>
      <c r="D122" s="52">
        <v>37</v>
      </c>
      <c r="E122" s="52"/>
      <c r="F122" s="52" t="s">
        <v>3315</v>
      </c>
      <c r="G122" s="52" t="s">
        <v>3316</v>
      </c>
      <c r="H122" s="52" t="s">
        <v>3317</v>
      </c>
      <c r="I122" s="52" t="s">
        <v>1432</v>
      </c>
      <c r="J122" s="33" t="s">
        <v>2217</v>
      </c>
    </row>
    <row r="123" spans="1:10" x14ac:dyDescent="0.25">
      <c r="A123" s="36" t="s">
        <v>2342</v>
      </c>
      <c r="B123" s="52" t="s">
        <v>2833</v>
      </c>
      <c r="C123" s="52">
        <v>7</v>
      </c>
      <c r="D123" s="52">
        <v>37</v>
      </c>
      <c r="E123" s="52"/>
      <c r="F123" s="52" t="s">
        <v>3318</v>
      </c>
      <c r="G123" s="52" t="s">
        <v>3319</v>
      </c>
      <c r="H123" s="52" t="s">
        <v>3320</v>
      </c>
      <c r="I123" s="52" t="s">
        <v>1432</v>
      </c>
      <c r="J123" s="33" t="s">
        <v>2217</v>
      </c>
    </row>
    <row r="124" spans="1:10" x14ac:dyDescent="0.25">
      <c r="A124" s="36" t="s">
        <v>2343</v>
      </c>
      <c r="B124" s="52" t="s">
        <v>2833</v>
      </c>
      <c r="C124" s="52">
        <v>7</v>
      </c>
      <c r="D124" s="52">
        <v>37</v>
      </c>
      <c r="E124" s="52"/>
      <c r="F124" s="52" t="s">
        <v>3321</v>
      </c>
      <c r="G124" s="52" t="s">
        <v>3322</v>
      </c>
      <c r="H124" s="52" t="s">
        <v>3323</v>
      </c>
      <c r="I124" s="52" t="s">
        <v>1432</v>
      </c>
      <c r="J124" s="33" t="s">
        <v>2217</v>
      </c>
    </row>
    <row r="125" spans="1:10" ht="15.75" thickBot="1" x14ac:dyDescent="0.3">
      <c r="A125" s="37" t="s">
        <v>2344</v>
      </c>
      <c r="B125" s="30" t="s">
        <v>2833</v>
      </c>
      <c r="C125" s="30">
        <v>7</v>
      </c>
      <c r="D125" s="30">
        <v>37</v>
      </c>
      <c r="E125" s="30"/>
      <c r="F125" s="30" t="s">
        <v>3324</v>
      </c>
      <c r="G125" s="30" t="s">
        <v>3325</v>
      </c>
      <c r="H125" s="30" t="s">
        <v>3326</v>
      </c>
      <c r="I125" s="30" t="s">
        <v>1432</v>
      </c>
      <c r="J125" s="34" t="s">
        <v>2217</v>
      </c>
    </row>
    <row r="126" spans="1:10" x14ac:dyDescent="0.25">
      <c r="A126" s="35" t="s">
        <v>2345</v>
      </c>
      <c r="B126" s="22" t="s">
        <v>2833</v>
      </c>
      <c r="C126" s="22">
        <v>7</v>
      </c>
      <c r="D126" s="22">
        <v>38</v>
      </c>
      <c r="E126" s="22"/>
      <c r="F126" s="22" t="s">
        <v>3360</v>
      </c>
      <c r="G126" s="22" t="s">
        <v>3361</v>
      </c>
      <c r="H126" s="22" t="s">
        <v>3362</v>
      </c>
      <c r="I126" s="22" t="s">
        <v>1432</v>
      </c>
      <c r="J126" s="32" t="s">
        <v>2217</v>
      </c>
    </row>
    <row r="127" spans="1:10" x14ac:dyDescent="0.25">
      <c r="A127" s="36" t="s">
        <v>2346</v>
      </c>
      <c r="B127" s="52" t="s">
        <v>2833</v>
      </c>
      <c r="C127" s="52">
        <v>7</v>
      </c>
      <c r="D127" s="52">
        <v>38</v>
      </c>
      <c r="E127" s="52"/>
      <c r="F127" s="52" t="s">
        <v>76</v>
      </c>
      <c r="G127" s="52" t="s">
        <v>3363</v>
      </c>
      <c r="H127" s="52" t="s">
        <v>3364</v>
      </c>
      <c r="I127" s="52" t="s">
        <v>1432</v>
      </c>
      <c r="J127" s="33" t="s">
        <v>2217</v>
      </c>
    </row>
    <row r="128" spans="1:10" x14ac:dyDescent="0.25">
      <c r="A128" s="36" t="s">
        <v>2347</v>
      </c>
      <c r="B128" s="52" t="s">
        <v>2833</v>
      </c>
      <c r="C128" s="52">
        <v>7</v>
      </c>
      <c r="D128" s="52">
        <v>38</v>
      </c>
      <c r="E128" s="52"/>
      <c r="F128" s="52" t="s">
        <v>3365</v>
      </c>
      <c r="G128" s="52" t="s">
        <v>3366</v>
      </c>
      <c r="H128" s="52" t="s">
        <v>3367</v>
      </c>
      <c r="I128" s="52" t="s">
        <v>1432</v>
      </c>
      <c r="J128" s="33" t="s">
        <v>2217</v>
      </c>
    </row>
    <row r="129" spans="1:10" x14ac:dyDescent="0.25">
      <c r="A129" s="36" t="s">
        <v>2348</v>
      </c>
      <c r="B129" s="52" t="s">
        <v>2833</v>
      </c>
      <c r="C129" s="52">
        <v>7</v>
      </c>
      <c r="D129" s="52">
        <v>38</v>
      </c>
      <c r="E129" s="52"/>
      <c r="F129" s="52" t="s">
        <v>3312</v>
      </c>
      <c r="G129" s="52" t="s">
        <v>3368</v>
      </c>
      <c r="H129" s="52" t="s">
        <v>3369</v>
      </c>
      <c r="I129" s="52" t="s">
        <v>1432</v>
      </c>
      <c r="J129" s="33" t="s">
        <v>2217</v>
      </c>
    </row>
    <row r="130" spans="1:10" ht="15.75" thickBot="1" x14ac:dyDescent="0.3">
      <c r="A130" s="37" t="s">
        <v>2349</v>
      </c>
      <c r="B130" s="30" t="s">
        <v>2833</v>
      </c>
      <c r="C130" s="30">
        <v>7</v>
      </c>
      <c r="D130" s="30">
        <v>38</v>
      </c>
      <c r="E130" s="30"/>
      <c r="F130" s="30" t="s">
        <v>125</v>
      </c>
      <c r="G130" s="30" t="s">
        <v>3370</v>
      </c>
      <c r="H130" s="30" t="s">
        <v>3371</v>
      </c>
      <c r="I130" s="30" t="s">
        <v>1432</v>
      </c>
      <c r="J130" s="34" t="s">
        <v>2217</v>
      </c>
    </row>
    <row r="131" spans="1:10" x14ac:dyDescent="0.25">
      <c r="A131" s="35" t="s">
        <v>2350</v>
      </c>
      <c r="B131" s="22" t="s">
        <v>2833</v>
      </c>
      <c r="C131" s="22">
        <v>9</v>
      </c>
      <c r="D131" s="22">
        <v>46</v>
      </c>
      <c r="E131" s="22"/>
      <c r="F131" s="22" t="s">
        <v>2980</v>
      </c>
      <c r="G131" s="22" t="s">
        <v>3425</v>
      </c>
      <c r="H131" s="22" t="s">
        <v>3426</v>
      </c>
      <c r="I131" s="22" t="s">
        <v>1432</v>
      </c>
      <c r="J131" s="32" t="s">
        <v>2217</v>
      </c>
    </row>
    <row r="132" spans="1:10" x14ac:dyDescent="0.25">
      <c r="A132" s="36" t="s">
        <v>2351</v>
      </c>
      <c r="B132" s="52" t="s">
        <v>2833</v>
      </c>
      <c r="C132" s="52">
        <v>9</v>
      </c>
      <c r="D132" s="52">
        <v>46</v>
      </c>
      <c r="E132" s="52"/>
      <c r="F132" s="52" t="s">
        <v>1990</v>
      </c>
      <c r="G132" s="52" t="s">
        <v>3427</v>
      </c>
      <c r="H132" s="52" t="s">
        <v>3428</v>
      </c>
      <c r="I132" s="52" t="s">
        <v>1432</v>
      </c>
      <c r="J132" s="33" t="s">
        <v>2217</v>
      </c>
    </row>
    <row r="133" spans="1:10" x14ac:dyDescent="0.25">
      <c r="A133" s="36" t="s">
        <v>2352</v>
      </c>
      <c r="B133" s="52" t="s">
        <v>2833</v>
      </c>
      <c r="C133" s="52">
        <v>9</v>
      </c>
      <c r="D133" s="52">
        <v>46</v>
      </c>
      <c r="E133" s="52"/>
      <c r="F133" s="52" t="s">
        <v>3429</v>
      </c>
      <c r="G133" s="52" t="s">
        <v>3430</v>
      </c>
      <c r="H133" s="52" t="s">
        <v>3431</v>
      </c>
      <c r="I133" s="52" t="s">
        <v>1432</v>
      </c>
      <c r="J133" s="33" t="s">
        <v>2217</v>
      </c>
    </row>
    <row r="134" spans="1:10" x14ac:dyDescent="0.25">
      <c r="A134" s="36" t="s">
        <v>2353</v>
      </c>
      <c r="B134" s="52" t="s">
        <v>2833</v>
      </c>
      <c r="C134" s="52">
        <v>9</v>
      </c>
      <c r="D134" s="52">
        <v>46</v>
      </c>
      <c r="E134" s="52"/>
      <c r="F134" s="52" t="s">
        <v>3432</v>
      </c>
      <c r="G134" s="52" t="s">
        <v>3433</v>
      </c>
      <c r="H134" s="52" t="s">
        <v>3434</v>
      </c>
      <c r="I134" s="52" t="s">
        <v>1432</v>
      </c>
      <c r="J134" s="33" t="s">
        <v>2217</v>
      </c>
    </row>
    <row r="135" spans="1:10" x14ac:dyDescent="0.25">
      <c r="A135" s="36" t="s">
        <v>2354</v>
      </c>
      <c r="B135" s="52" t="s">
        <v>2833</v>
      </c>
      <c r="C135" s="52">
        <v>9</v>
      </c>
      <c r="D135" s="52">
        <v>46</v>
      </c>
      <c r="E135" s="52"/>
      <c r="F135" s="52" t="s">
        <v>3435</v>
      </c>
      <c r="G135" s="52" t="s">
        <v>3436</v>
      </c>
      <c r="H135" s="52" t="s">
        <v>3437</v>
      </c>
      <c r="I135" s="52" t="s">
        <v>1432</v>
      </c>
      <c r="J135" s="33" t="s">
        <v>2217</v>
      </c>
    </row>
    <row r="136" spans="1:10" ht="15.75" thickBot="1" x14ac:dyDescent="0.3">
      <c r="A136" s="37" t="s">
        <v>2355</v>
      </c>
      <c r="B136" s="30" t="s">
        <v>2833</v>
      </c>
      <c r="C136" s="30">
        <v>9</v>
      </c>
      <c r="D136" s="30">
        <v>46</v>
      </c>
      <c r="E136" s="30"/>
      <c r="F136" s="30" t="s">
        <v>3438</v>
      </c>
      <c r="G136" s="30" t="s">
        <v>3439</v>
      </c>
      <c r="H136" s="30" t="s">
        <v>3440</v>
      </c>
      <c r="I136" s="30" t="s">
        <v>1432</v>
      </c>
      <c r="J136" s="34" t="s">
        <v>2217</v>
      </c>
    </row>
    <row r="137" spans="1:10" x14ac:dyDescent="0.25">
      <c r="A137" s="35" t="s">
        <v>2356</v>
      </c>
      <c r="B137" s="22" t="s">
        <v>2833</v>
      </c>
      <c r="C137" s="22">
        <v>9</v>
      </c>
      <c r="D137" s="22">
        <v>48</v>
      </c>
      <c r="E137" s="22"/>
      <c r="F137" s="22" t="s">
        <v>3360</v>
      </c>
      <c r="G137" s="22" t="s">
        <v>3500</v>
      </c>
      <c r="H137" s="22" t="s">
        <v>3501</v>
      </c>
      <c r="I137" s="22" t="s">
        <v>1432</v>
      </c>
      <c r="J137" s="32" t="s">
        <v>2217</v>
      </c>
    </row>
    <row r="138" spans="1:10" x14ac:dyDescent="0.25">
      <c r="A138" s="36" t="s">
        <v>2357</v>
      </c>
      <c r="B138" s="52" t="s">
        <v>2833</v>
      </c>
      <c r="C138" s="52">
        <v>9</v>
      </c>
      <c r="D138" s="52">
        <v>48</v>
      </c>
      <c r="E138" s="52"/>
      <c r="F138" s="52" t="s">
        <v>53</v>
      </c>
      <c r="G138" s="52" t="s">
        <v>3502</v>
      </c>
      <c r="H138" s="52" t="s">
        <v>3503</v>
      </c>
      <c r="I138" s="52" t="s">
        <v>1432</v>
      </c>
      <c r="J138" s="33" t="s">
        <v>2217</v>
      </c>
    </row>
    <row r="139" spans="1:10" x14ac:dyDescent="0.25">
      <c r="A139" s="36" t="s">
        <v>2358</v>
      </c>
      <c r="B139" s="52" t="s">
        <v>2833</v>
      </c>
      <c r="C139" s="52">
        <v>9</v>
      </c>
      <c r="D139" s="52">
        <v>48</v>
      </c>
      <c r="E139" s="52"/>
      <c r="F139" s="52" t="s">
        <v>3504</v>
      </c>
      <c r="G139" s="52" t="s">
        <v>3505</v>
      </c>
      <c r="H139" s="52" t="s">
        <v>3506</v>
      </c>
      <c r="I139" s="52" t="s">
        <v>1432</v>
      </c>
      <c r="J139" s="33" t="s">
        <v>2217</v>
      </c>
    </row>
    <row r="140" spans="1:10" x14ac:dyDescent="0.25">
      <c r="A140" s="36" t="s">
        <v>2359</v>
      </c>
      <c r="B140" s="52" t="s">
        <v>2833</v>
      </c>
      <c r="C140" s="52">
        <v>9</v>
      </c>
      <c r="D140" s="52">
        <v>48</v>
      </c>
      <c r="E140" s="52"/>
      <c r="F140" s="52" t="s">
        <v>198</v>
      </c>
      <c r="G140" s="52" t="s">
        <v>3507</v>
      </c>
      <c r="H140" s="52" t="s">
        <v>3508</v>
      </c>
      <c r="I140" s="52" t="s">
        <v>1432</v>
      </c>
      <c r="J140" s="33" t="s">
        <v>2217</v>
      </c>
    </row>
    <row r="141" spans="1:10" x14ac:dyDescent="0.25">
      <c r="A141" s="36" t="s">
        <v>2360</v>
      </c>
      <c r="B141" s="52" t="s">
        <v>2833</v>
      </c>
      <c r="C141" s="52">
        <v>9</v>
      </c>
      <c r="D141" s="52">
        <v>48</v>
      </c>
      <c r="E141" s="52"/>
      <c r="F141" s="52" t="s">
        <v>2980</v>
      </c>
      <c r="G141" s="52" t="s">
        <v>3509</v>
      </c>
      <c r="H141" s="52" t="s">
        <v>3510</v>
      </c>
      <c r="I141" s="52" t="s">
        <v>1432</v>
      </c>
      <c r="J141" s="33" t="s">
        <v>2217</v>
      </c>
    </row>
    <row r="142" spans="1:10" ht="15.75" thickBot="1" x14ac:dyDescent="0.3">
      <c r="A142" s="37" t="s">
        <v>2361</v>
      </c>
      <c r="B142" s="30" t="s">
        <v>2833</v>
      </c>
      <c r="C142" s="30">
        <v>9</v>
      </c>
      <c r="D142" s="30">
        <v>48</v>
      </c>
      <c r="E142" s="30"/>
      <c r="F142" s="30" t="s">
        <v>3511</v>
      </c>
      <c r="G142" s="30" t="s">
        <v>3512</v>
      </c>
      <c r="H142" s="30" t="s">
        <v>3513</v>
      </c>
      <c r="I142" s="30" t="s">
        <v>1432</v>
      </c>
      <c r="J142" s="34" t="s">
        <v>2217</v>
      </c>
    </row>
    <row r="143" spans="1:10" x14ac:dyDescent="0.25">
      <c r="A143" s="35" t="s">
        <v>2362</v>
      </c>
      <c r="B143" s="22" t="s">
        <v>2833</v>
      </c>
      <c r="C143" s="22">
        <v>10</v>
      </c>
      <c r="D143" s="22">
        <v>52</v>
      </c>
      <c r="E143" s="22"/>
      <c r="F143" s="22" t="s">
        <v>3551</v>
      </c>
      <c r="G143" s="22" t="s">
        <v>3552</v>
      </c>
      <c r="H143" s="22" t="s">
        <v>3553</v>
      </c>
      <c r="I143" s="22" t="s">
        <v>1432</v>
      </c>
      <c r="J143" s="32" t="s">
        <v>2217</v>
      </c>
    </row>
    <row r="144" spans="1:10" x14ac:dyDescent="0.25">
      <c r="A144" s="36" t="s">
        <v>2363</v>
      </c>
      <c r="B144" s="52" t="s">
        <v>2833</v>
      </c>
      <c r="C144" s="52">
        <v>10</v>
      </c>
      <c r="D144" s="52">
        <v>52</v>
      </c>
      <c r="E144" s="52"/>
      <c r="F144" s="52" t="s">
        <v>154</v>
      </c>
      <c r="G144" s="52" t="s">
        <v>3554</v>
      </c>
      <c r="H144" s="52" t="s">
        <v>3555</v>
      </c>
      <c r="I144" s="52" t="s">
        <v>1432</v>
      </c>
      <c r="J144" s="33" t="s">
        <v>2217</v>
      </c>
    </row>
    <row r="145" spans="1:10" x14ac:dyDescent="0.25">
      <c r="A145" s="36" t="s">
        <v>2364</v>
      </c>
      <c r="B145" s="52" t="s">
        <v>2833</v>
      </c>
      <c r="C145" s="52">
        <v>10</v>
      </c>
      <c r="D145" s="52">
        <v>52</v>
      </c>
      <c r="E145" s="52"/>
      <c r="F145" s="52" t="s">
        <v>3556</v>
      </c>
      <c r="G145" s="52" t="s">
        <v>3557</v>
      </c>
      <c r="H145" s="52" t="s">
        <v>3558</v>
      </c>
      <c r="I145" s="52" t="s">
        <v>1432</v>
      </c>
      <c r="J145" s="33" t="s">
        <v>2217</v>
      </c>
    </row>
    <row r="146" spans="1:10" x14ac:dyDescent="0.25">
      <c r="A146" s="36" t="s">
        <v>2365</v>
      </c>
      <c r="B146" s="52" t="s">
        <v>2833</v>
      </c>
      <c r="C146" s="52">
        <v>10</v>
      </c>
      <c r="D146" s="52">
        <v>52</v>
      </c>
      <c r="E146" s="52"/>
      <c r="F146" s="52" t="s">
        <v>3559</v>
      </c>
      <c r="G146" s="52" t="s">
        <v>3560</v>
      </c>
      <c r="H146" s="52" t="s">
        <v>3561</v>
      </c>
      <c r="I146" s="52" t="s">
        <v>1432</v>
      </c>
      <c r="J146" s="33" t="s">
        <v>2217</v>
      </c>
    </row>
    <row r="147" spans="1:10" x14ac:dyDescent="0.25">
      <c r="A147" s="36" t="s">
        <v>2366</v>
      </c>
      <c r="B147" s="52" t="s">
        <v>2833</v>
      </c>
      <c r="C147" s="52">
        <v>10</v>
      </c>
      <c r="D147" s="52">
        <v>52</v>
      </c>
      <c r="E147" s="52"/>
      <c r="F147" s="52" t="s">
        <v>3562</v>
      </c>
      <c r="G147" s="52" t="s">
        <v>3563</v>
      </c>
      <c r="H147" s="52" t="s">
        <v>3564</v>
      </c>
      <c r="I147" s="52" t="s">
        <v>1432</v>
      </c>
      <c r="J147" s="33" t="s">
        <v>2217</v>
      </c>
    </row>
    <row r="148" spans="1:10" ht="15.75" thickBot="1" x14ac:dyDescent="0.3">
      <c r="A148" s="37" t="s">
        <v>2367</v>
      </c>
      <c r="B148" s="30" t="s">
        <v>2833</v>
      </c>
      <c r="C148" s="30">
        <v>10</v>
      </c>
      <c r="D148" s="30">
        <v>52</v>
      </c>
      <c r="E148" s="30"/>
      <c r="F148" s="30" t="s">
        <v>3565</v>
      </c>
      <c r="G148" s="30" t="s">
        <v>3566</v>
      </c>
      <c r="H148" s="30" t="s">
        <v>3567</v>
      </c>
      <c r="I148" s="30" t="s">
        <v>1432</v>
      </c>
      <c r="J148" s="34" t="s">
        <v>2217</v>
      </c>
    </row>
    <row r="149" spans="1:10" x14ac:dyDescent="0.25">
      <c r="A149" s="35" t="s">
        <v>2368</v>
      </c>
      <c r="B149" s="22" t="s">
        <v>2833</v>
      </c>
      <c r="C149" s="22">
        <v>10</v>
      </c>
      <c r="D149" s="22">
        <v>53</v>
      </c>
      <c r="E149" s="22"/>
      <c r="F149" s="22" t="s">
        <v>53</v>
      </c>
      <c r="G149" s="22" t="s">
        <v>3599</v>
      </c>
      <c r="H149" s="22" t="s">
        <v>3600</v>
      </c>
      <c r="I149" s="22" t="s">
        <v>1432</v>
      </c>
      <c r="J149" s="32" t="s">
        <v>2217</v>
      </c>
    </row>
    <row r="150" spans="1:10" x14ac:dyDescent="0.25">
      <c r="A150" s="36" t="s">
        <v>2369</v>
      </c>
      <c r="B150" s="52" t="s">
        <v>2833</v>
      </c>
      <c r="C150" s="52">
        <v>10</v>
      </c>
      <c r="D150" s="52">
        <v>53</v>
      </c>
      <c r="E150" s="52"/>
      <c r="F150" s="52" t="s">
        <v>3601</v>
      </c>
      <c r="G150" s="52" t="s">
        <v>3602</v>
      </c>
      <c r="H150" s="52" t="s">
        <v>3603</v>
      </c>
      <c r="I150" s="52" t="s">
        <v>1432</v>
      </c>
      <c r="J150" s="33" t="s">
        <v>2217</v>
      </c>
    </row>
    <row r="151" spans="1:10" x14ac:dyDescent="0.25">
      <c r="A151" s="36" t="s">
        <v>2370</v>
      </c>
      <c r="B151" s="52" t="s">
        <v>2833</v>
      </c>
      <c r="C151" s="52">
        <v>10</v>
      </c>
      <c r="D151" s="52">
        <v>53</v>
      </c>
      <c r="E151" s="52"/>
      <c r="F151" s="52" t="s">
        <v>204</v>
      </c>
      <c r="G151" s="52" t="s">
        <v>3604</v>
      </c>
      <c r="H151" s="52" t="s">
        <v>3605</v>
      </c>
      <c r="I151" s="52" t="s">
        <v>1432</v>
      </c>
      <c r="J151" s="33" t="s">
        <v>2217</v>
      </c>
    </row>
    <row r="152" spans="1:10" x14ac:dyDescent="0.25">
      <c r="A152" s="36" t="s">
        <v>2371</v>
      </c>
      <c r="B152" s="52" t="s">
        <v>2833</v>
      </c>
      <c r="C152" s="52">
        <v>10</v>
      </c>
      <c r="D152" s="52">
        <v>53</v>
      </c>
      <c r="E152" s="52"/>
      <c r="F152" s="52" t="s">
        <v>210</v>
      </c>
      <c r="G152" s="52" t="s">
        <v>3606</v>
      </c>
      <c r="H152" s="52" t="s">
        <v>3607</v>
      </c>
      <c r="I152" s="52" t="s">
        <v>1432</v>
      </c>
      <c r="J152" s="33" t="s">
        <v>2217</v>
      </c>
    </row>
    <row r="153" spans="1:10" x14ac:dyDescent="0.25">
      <c r="A153" s="36" t="s">
        <v>2372</v>
      </c>
      <c r="B153" s="52" t="s">
        <v>2833</v>
      </c>
      <c r="C153" s="52">
        <v>10</v>
      </c>
      <c r="D153" s="52">
        <v>53</v>
      </c>
      <c r="E153" s="52"/>
      <c r="F153" s="52" t="s">
        <v>215</v>
      </c>
      <c r="G153" s="52" t="s">
        <v>3608</v>
      </c>
      <c r="H153" s="52" t="s">
        <v>3609</v>
      </c>
      <c r="I153" s="52" t="s">
        <v>1432</v>
      </c>
      <c r="J153" s="33" t="s">
        <v>2217</v>
      </c>
    </row>
    <row r="154" spans="1:10" ht="15.75" thickBot="1" x14ac:dyDescent="0.3">
      <c r="A154" s="37" t="s">
        <v>2373</v>
      </c>
      <c r="B154" s="30" t="s">
        <v>2833</v>
      </c>
      <c r="C154" s="30">
        <v>10</v>
      </c>
      <c r="D154" s="30">
        <v>53</v>
      </c>
      <c r="E154" s="30"/>
      <c r="F154" s="30" t="s">
        <v>3610</v>
      </c>
      <c r="G154" s="30" t="s">
        <v>3611</v>
      </c>
      <c r="H154" s="30" t="s">
        <v>3612</v>
      </c>
      <c r="I154" s="30" t="s">
        <v>1432</v>
      </c>
      <c r="J154" s="34" t="s">
        <v>2217</v>
      </c>
    </row>
    <row r="155" spans="1:10" x14ac:dyDescent="0.25">
      <c r="A155" s="35" t="s">
        <v>2374</v>
      </c>
      <c r="B155" s="22" t="s">
        <v>2833</v>
      </c>
      <c r="C155" s="22">
        <v>11</v>
      </c>
      <c r="D155" s="22">
        <v>56</v>
      </c>
      <c r="E155" s="22"/>
      <c r="F155" s="22" t="s">
        <v>69</v>
      </c>
      <c r="G155" s="22" t="s">
        <v>3649</v>
      </c>
      <c r="H155" s="22" t="s">
        <v>3650</v>
      </c>
      <c r="I155" s="22" t="s">
        <v>1432</v>
      </c>
      <c r="J155" s="32" t="s">
        <v>2217</v>
      </c>
    </row>
    <row r="156" spans="1:10" x14ac:dyDescent="0.25">
      <c r="A156" s="36" t="s">
        <v>2375</v>
      </c>
      <c r="B156" s="52" t="s">
        <v>2833</v>
      </c>
      <c r="C156" s="52">
        <v>11</v>
      </c>
      <c r="D156" s="52">
        <v>56</v>
      </c>
      <c r="E156" s="52"/>
      <c r="F156" s="52" t="s">
        <v>2207</v>
      </c>
      <c r="G156" s="52" t="s">
        <v>3651</v>
      </c>
      <c r="H156" s="52" t="s">
        <v>3652</v>
      </c>
      <c r="I156" s="52" t="s">
        <v>1432</v>
      </c>
      <c r="J156" s="33" t="s">
        <v>2217</v>
      </c>
    </row>
    <row r="157" spans="1:10" x14ac:dyDescent="0.25">
      <c r="A157" s="36" t="s">
        <v>2376</v>
      </c>
      <c r="B157" s="52" t="s">
        <v>2833</v>
      </c>
      <c r="C157" s="52">
        <v>11</v>
      </c>
      <c r="D157" s="52">
        <v>56</v>
      </c>
      <c r="E157" s="52"/>
      <c r="F157" s="52" t="s">
        <v>3653</v>
      </c>
      <c r="G157" s="52" t="s">
        <v>3654</v>
      </c>
      <c r="H157" s="52" t="s">
        <v>3655</v>
      </c>
      <c r="I157" s="52" t="s">
        <v>1432</v>
      </c>
      <c r="J157" s="33" t="s">
        <v>2217</v>
      </c>
    </row>
    <row r="158" spans="1:10" x14ac:dyDescent="0.25">
      <c r="A158" s="36" t="s">
        <v>2377</v>
      </c>
      <c r="B158" s="52" t="s">
        <v>2833</v>
      </c>
      <c r="C158" s="52">
        <v>11</v>
      </c>
      <c r="D158" s="52">
        <v>56</v>
      </c>
      <c r="E158" s="52"/>
      <c r="F158" s="52" t="s">
        <v>215</v>
      </c>
      <c r="G158" s="52" t="s">
        <v>3656</v>
      </c>
      <c r="H158" s="52" t="s">
        <v>3657</v>
      </c>
      <c r="I158" s="52" t="s">
        <v>1432</v>
      </c>
      <c r="J158" s="33" t="s">
        <v>2217</v>
      </c>
    </row>
    <row r="159" spans="1:10" x14ac:dyDescent="0.25">
      <c r="A159" s="36" t="s">
        <v>2378</v>
      </c>
      <c r="B159" s="52" t="s">
        <v>2833</v>
      </c>
      <c r="C159" s="52">
        <v>11</v>
      </c>
      <c r="D159" s="52">
        <v>56</v>
      </c>
      <c r="E159" s="52"/>
      <c r="F159" s="52" t="s">
        <v>210</v>
      </c>
      <c r="G159" s="52" t="s">
        <v>3658</v>
      </c>
      <c r="H159" s="52" t="s">
        <v>3659</v>
      </c>
      <c r="I159" s="52" t="s">
        <v>1432</v>
      </c>
      <c r="J159" s="33" t="s">
        <v>2217</v>
      </c>
    </row>
    <row r="160" spans="1:10" ht="15.75" thickBot="1" x14ac:dyDescent="0.3">
      <c r="A160" s="37" t="s">
        <v>2379</v>
      </c>
      <c r="B160" s="30" t="s">
        <v>2833</v>
      </c>
      <c r="C160" s="30">
        <v>11</v>
      </c>
      <c r="D160" s="30">
        <v>56</v>
      </c>
      <c r="E160" s="30"/>
      <c r="F160" s="30" t="s">
        <v>174</v>
      </c>
      <c r="G160" s="30" t="s">
        <v>3660</v>
      </c>
      <c r="H160" s="30" t="s">
        <v>3661</v>
      </c>
      <c r="I160" s="30" t="s">
        <v>1432</v>
      </c>
      <c r="J160" s="34" t="s">
        <v>2217</v>
      </c>
    </row>
    <row r="161" spans="1:10" x14ac:dyDescent="0.25">
      <c r="A161" s="35" t="s">
        <v>2380</v>
      </c>
      <c r="B161" s="22" t="s">
        <v>2833</v>
      </c>
      <c r="C161" s="22">
        <v>11</v>
      </c>
      <c r="D161" s="22">
        <v>57</v>
      </c>
      <c r="E161" s="22"/>
      <c r="F161" s="22" t="s">
        <v>2013</v>
      </c>
      <c r="G161" s="22" t="s">
        <v>3688</v>
      </c>
      <c r="H161" s="22" t="s">
        <v>3689</v>
      </c>
      <c r="I161" s="22" t="s">
        <v>1432</v>
      </c>
      <c r="J161" s="32" t="s">
        <v>2217</v>
      </c>
    </row>
    <row r="162" spans="1:10" x14ac:dyDescent="0.25">
      <c r="A162" s="36" t="s">
        <v>2381</v>
      </c>
      <c r="B162" s="52" t="s">
        <v>2833</v>
      </c>
      <c r="C162" s="52">
        <v>11</v>
      </c>
      <c r="D162" s="52">
        <v>57</v>
      </c>
      <c r="E162" s="52"/>
      <c r="F162" s="52" t="s">
        <v>192</v>
      </c>
      <c r="G162" s="52" t="s">
        <v>3690</v>
      </c>
      <c r="H162" s="52" t="s">
        <v>3691</v>
      </c>
      <c r="I162" s="52" t="s">
        <v>1432</v>
      </c>
      <c r="J162" s="33" t="s">
        <v>2217</v>
      </c>
    </row>
    <row r="163" spans="1:10" x14ac:dyDescent="0.25">
      <c r="A163" s="36" t="s">
        <v>2382</v>
      </c>
      <c r="B163" s="52" t="s">
        <v>2833</v>
      </c>
      <c r="C163" s="52">
        <v>11</v>
      </c>
      <c r="D163" s="52">
        <v>57</v>
      </c>
      <c r="E163" s="52"/>
      <c r="F163" s="52" t="s">
        <v>147</v>
      </c>
      <c r="G163" s="52" t="s">
        <v>3692</v>
      </c>
      <c r="H163" s="52" t="s">
        <v>3693</v>
      </c>
      <c r="I163" s="52" t="s">
        <v>1432</v>
      </c>
      <c r="J163" s="33" t="s">
        <v>2217</v>
      </c>
    </row>
    <row r="164" spans="1:10" x14ac:dyDescent="0.25">
      <c r="A164" s="36" t="s">
        <v>2383</v>
      </c>
      <c r="B164" s="52" t="s">
        <v>2833</v>
      </c>
      <c r="C164" s="52">
        <v>11</v>
      </c>
      <c r="D164" s="52">
        <v>57</v>
      </c>
      <c r="E164" s="52"/>
      <c r="F164" s="52" t="s">
        <v>215</v>
      </c>
      <c r="G164" s="52" t="s">
        <v>3694</v>
      </c>
      <c r="H164" s="52" t="s">
        <v>3695</v>
      </c>
      <c r="I164" s="52" t="s">
        <v>1432</v>
      </c>
      <c r="J164" s="33" t="s">
        <v>2217</v>
      </c>
    </row>
    <row r="165" spans="1:10" x14ac:dyDescent="0.25">
      <c r="A165" s="36" t="s">
        <v>2384</v>
      </c>
      <c r="B165" s="52" t="s">
        <v>2833</v>
      </c>
      <c r="C165" s="52">
        <v>11</v>
      </c>
      <c r="D165" s="52">
        <v>57</v>
      </c>
      <c r="E165" s="52"/>
      <c r="F165" s="52" t="s">
        <v>210</v>
      </c>
      <c r="G165" s="52" t="s">
        <v>3696</v>
      </c>
      <c r="H165" s="52" t="s">
        <v>3659</v>
      </c>
      <c r="I165" s="52" t="s">
        <v>1432</v>
      </c>
      <c r="J165" s="33" t="s">
        <v>2217</v>
      </c>
    </row>
    <row r="166" spans="1:10" ht="15.75" thickBot="1" x14ac:dyDescent="0.3">
      <c r="A166" s="37" t="s">
        <v>2385</v>
      </c>
      <c r="B166" s="30" t="s">
        <v>2833</v>
      </c>
      <c r="C166" s="30">
        <v>11</v>
      </c>
      <c r="D166" s="30">
        <v>57</v>
      </c>
      <c r="E166" s="30"/>
      <c r="F166" s="30" t="s">
        <v>166</v>
      </c>
      <c r="G166" s="30" t="s">
        <v>3697</v>
      </c>
      <c r="H166" s="30" t="s">
        <v>3698</v>
      </c>
      <c r="I166" s="30" t="s">
        <v>1432</v>
      </c>
      <c r="J166" s="34" t="s">
        <v>2217</v>
      </c>
    </row>
    <row r="167" spans="1:10" x14ac:dyDescent="0.25">
      <c r="A167" t="s">
        <v>2386</v>
      </c>
      <c r="J167" s="33" t="s">
        <v>2217</v>
      </c>
    </row>
    <row r="168" spans="1:10" x14ac:dyDescent="0.25">
      <c r="A168" t="s">
        <v>2387</v>
      </c>
      <c r="J168" s="33" t="s">
        <v>2217</v>
      </c>
    </row>
    <row r="169" spans="1:10" x14ac:dyDescent="0.25">
      <c r="A169" t="s">
        <v>2388</v>
      </c>
      <c r="J169" s="33" t="s">
        <v>2217</v>
      </c>
    </row>
    <row r="170" spans="1:10" x14ac:dyDescent="0.25">
      <c r="A170" t="s">
        <v>2389</v>
      </c>
      <c r="J170" s="33" t="s">
        <v>2217</v>
      </c>
    </row>
    <row r="171" spans="1:10" x14ac:dyDescent="0.25">
      <c r="A171" t="s">
        <v>2390</v>
      </c>
      <c r="J171" s="33" t="s">
        <v>2217</v>
      </c>
    </row>
    <row r="172" spans="1:10" x14ac:dyDescent="0.25">
      <c r="A172" t="s">
        <v>2391</v>
      </c>
      <c r="J172" s="33" t="s">
        <v>2217</v>
      </c>
    </row>
    <row r="173" spans="1:10" x14ac:dyDescent="0.25">
      <c r="A173" t="s">
        <v>2392</v>
      </c>
      <c r="J173" s="33" t="s">
        <v>2217</v>
      </c>
    </row>
    <row r="174" spans="1:10" x14ac:dyDescent="0.25">
      <c r="A174" t="s">
        <v>2393</v>
      </c>
      <c r="J174" s="33" t="s">
        <v>2217</v>
      </c>
    </row>
    <row r="175" spans="1:10" x14ac:dyDescent="0.25">
      <c r="A175" t="s">
        <v>2394</v>
      </c>
      <c r="J175" s="33" t="s">
        <v>2217</v>
      </c>
    </row>
    <row r="176" spans="1:10" x14ac:dyDescent="0.25">
      <c r="A176" t="s">
        <v>2395</v>
      </c>
      <c r="J176" s="33" t="s">
        <v>2217</v>
      </c>
    </row>
    <row r="177" spans="1:10" x14ac:dyDescent="0.25">
      <c r="A177" t="s">
        <v>2396</v>
      </c>
      <c r="J177" s="33" t="s">
        <v>2217</v>
      </c>
    </row>
    <row r="178" spans="1:10" x14ac:dyDescent="0.25">
      <c r="A178" t="s">
        <v>2397</v>
      </c>
      <c r="J178" s="33" t="s">
        <v>2217</v>
      </c>
    </row>
    <row r="179" spans="1:10" x14ac:dyDescent="0.25">
      <c r="A179" t="s">
        <v>2398</v>
      </c>
      <c r="J179" s="33" t="s">
        <v>2217</v>
      </c>
    </row>
    <row r="180" spans="1:10" x14ac:dyDescent="0.25">
      <c r="A180" t="s">
        <v>2399</v>
      </c>
      <c r="J180" s="33" t="s">
        <v>2217</v>
      </c>
    </row>
    <row r="181" spans="1:10" x14ac:dyDescent="0.25">
      <c r="A181" t="s">
        <v>2400</v>
      </c>
      <c r="J181" s="33" t="s">
        <v>2217</v>
      </c>
    </row>
    <row r="182" spans="1:10" x14ac:dyDescent="0.25">
      <c r="A182" t="s">
        <v>2401</v>
      </c>
      <c r="J182" s="33" t="s">
        <v>2217</v>
      </c>
    </row>
    <row r="183" spans="1:10" x14ac:dyDescent="0.25">
      <c r="A183" t="s">
        <v>2402</v>
      </c>
      <c r="J183" s="33" t="s">
        <v>2217</v>
      </c>
    </row>
    <row r="184" spans="1:10" x14ac:dyDescent="0.25">
      <c r="A184" t="s">
        <v>2403</v>
      </c>
      <c r="J184" s="33" t="s">
        <v>2217</v>
      </c>
    </row>
    <row r="185" spans="1:10" x14ac:dyDescent="0.25">
      <c r="A185" t="s">
        <v>2404</v>
      </c>
      <c r="J185" s="33" t="s">
        <v>2217</v>
      </c>
    </row>
    <row r="186" spans="1:10" x14ac:dyDescent="0.25">
      <c r="A186" t="s">
        <v>2405</v>
      </c>
      <c r="J186" s="33" t="s">
        <v>2217</v>
      </c>
    </row>
    <row r="187" spans="1:10" x14ac:dyDescent="0.25">
      <c r="A187" t="s">
        <v>2406</v>
      </c>
      <c r="J187" s="33" t="s">
        <v>2217</v>
      </c>
    </row>
    <row r="188" spans="1:10" x14ac:dyDescent="0.25">
      <c r="A188" t="s">
        <v>2407</v>
      </c>
      <c r="J188" s="33" t="s">
        <v>2217</v>
      </c>
    </row>
    <row r="189" spans="1:10" x14ac:dyDescent="0.25">
      <c r="A189" t="s">
        <v>2408</v>
      </c>
      <c r="J189" s="33" t="s">
        <v>2217</v>
      </c>
    </row>
    <row r="190" spans="1:10" x14ac:dyDescent="0.25">
      <c r="A190" t="s">
        <v>2409</v>
      </c>
      <c r="J190" s="33" t="s">
        <v>2217</v>
      </c>
    </row>
  </sheetData>
  <phoneticPr fontId="1"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sheetPr>
    <tabColor theme="4"/>
  </sheetPr>
  <dimension ref="A1:G721"/>
  <sheetViews>
    <sheetView topLeftCell="A15" workbookViewId="0">
      <selection activeCell="E20" sqref="E20"/>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ht="15.75" thickBot="1" x14ac:dyDescent="0.3">
      <c r="A1" t="s">
        <v>0</v>
      </c>
      <c r="B1" t="s">
        <v>21</v>
      </c>
      <c r="C1" t="s">
        <v>278</v>
      </c>
      <c r="D1" t="s">
        <v>279</v>
      </c>
      <c r="E1" t="s">
        <v>280</v>
      </c>
      <c r="F1" t="s">
        <v>281</v>
      </c>
      <c r="G1" t="s">
        <v>282</v>
      </c>
    </row>
    <row r="2" spans="1:7" x14ac:dyDescent="0.25">
      <c r="A2" s="35">
        <v>1</v>
      </c>
      <c r="B2" s="22" t="s">
        <v>53</v>
      </c>
      <c r="C2" s="48">
        <f>IF(Tabelle18[[#This Row],[binding_level_company]]&gt;=1,1,0)</f>
        <v>0</v>
      </c>
      <c r="D2" s="48">
        <f>_xlfn.MAXIFS(Tabelle5[[#This Row],[binding_level]], Tabelle5[[#This Row],[company_id]],Tabelle18[[#This Row],[company_id]], Tabelle5[[#This Row],[value_id]], Tabelle18[[#This Row],[value_id]], Tabelle5[[#This Row],[value_present]],"1")</f>
        <v>0</v>
      </c>
      <c r="E2" s="48">
        <f>_xlfn.MAXIFS(Tabelle5[[#This Row],[value_points]], Tabelle5[[#This Row],[company_id]],Tabelle18[[#This Row],[company_id]], Tabelle5[[#This Row],[value_id]], Tabelle18[[#This Row],[value_id]], Tabelle5[[#This Row],[value_present]],"1")</f>
        <v>0</v>
      </c>
      <c r="F2" s="22"/>
      <c r="G2" s="32"/>
    </row>
    <row r="3" spans="1:7" x14ac:dyDescent="0.25">
      <c r="A3" s="36">
        <v>1</v>
      </c>
      <c r="B3" t="s">
        <v>61</v>
      </c>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c r="G3" s="33"/>
    </row>
    <row r="4" spans="1:7" x14ac:dyDescent="0.25">
      <c r="A4" s="36">
        <v>1</v>
      </c>
      <c r="B4" t="s">
        <v>69</v>
      </c>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c r="G4" s="33"/>
    </row>
    <row r="5" spans="1:7" x14ac:dyDescent="0.25">
      <c r="A5" s="36">
        <v>1</v>
      </c>
      <c r="B5" t="s">
        <v>76</v>
      </c>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c r="G5" s="33"/>
    </row>
    <row r="6" spans="1:7" x14ac:dyDescent="0.25">
      <c r="A6" s="36">
        <v>1</v>
      </c>
      <c r="B6" t="s">
        <v>83</v>
      </c>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c r="G6" s="33"/>
    </row>
    <row r="7" spans="1:7" x14ac:dyDescent="0.25">
      <c r="A7" s="36">
        <v>1</v>
      </c>
      <c r="B7" t="s">
        <v>90</v>
      </c>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c r="G7" s="33"/>
    </row>
    <row r="8" spans="1:7" x14ac:dyDescent="0.25">
      <c r="A8" s="36">
        <v>1</v>
      </c>
      <c r="B8" t="s">
        <v>98</v>
      </c>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c r="G8" s="33"/>
    </row>
    <row r="9" spans="1:7" x14ac:dyDescent="0.25">
      <c r="A9" s="36">
        <v>1</v>
      </c>
      <c r="B9" t="s">
        <v>106</v>
      </c>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c r="G9" s="33"/>
    </row>
    <row r="10" spans="1:7" x14ac:dyDescent="0.25">
      <c r="A10" s="36">
        <v>1</v>
      </c>
      <c r="B10" t="s">
        <v>112</v>
      </c>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c r="G10" s="33"/>
    </row>
    <row r="11" spans="1:7" x14ac:dyDescent="0.25">
      <c r="A11" s="36">
        <v>1</v>
      </c>
      <c r="B11" t="s">
        <v>118</v>
      </c>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c r="G11" s="33"/>
    </row>
    <row r="12" spans="1:7" x14ac:dyDescent="0.25">
      <c r="A12" s="36">
        <v>1</v>
      </c>
      <c r="B12" t="s">
        <v>125</v>
      </c>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c r="G12" s="33"/>
    </row>
    <row r="13" spans="1:7" x14ac:dyDescent="0.25">
      <c r="A13" s="36">
        <v>1</v>
      </c>
      <c r="B13" t="s">
        <v>132</v>
      </c>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c r="G13" s="33"/>
    </row>
    <row r="14" spans="1:7" x14ac:dyDescent="0.25">
      <c r="A14" s="36">
        <v>1</v>
      </c>
      <c r="B14" t="s">
        <v>140</v>
      </c>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c r="G14" s="33"/>
    </row>
    <row r="15" spans="1:7" x14ac:dyDescent="0.25">
      <c r="A15" s="36">
        <v>1</v>
      </c>
      <c r="B15" t="s">
        <v>147</v>
      </c>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c r="G15" s="33"/>
    </row>
    <row r="16" spans="1:7" x14ac:dyDescent="0.25">
      <c r="A16" s="36">
        <v>1</v>
      </c>
      <c r="B16" t="s">
        <v>154</v>
      </c>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c r="G16" s="33"/>
    </row>
    <row r="17" spans="1:7" x14ac:dyDescent="0.25">
      <c r="A17" s="36">
        <v>1</v>
      </c>
      <c r="B17" t="s">
        <v>161</v>
      </c>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c r="G17" s="33"/>
    </row>
    <row r="18" spans="1:7" x14ac:dyDescent="0.25">
      <c r="A18" s="36">
        <v>1</v>
      </c>
      <c r="B18" t="s">
        <v>166</v>
      </c>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c r="G18" s="33"/>
    </row>
    <row r="19" spans="1:7" ht="15.75" thickBot="1" x14ac:dyDescent="0.3">
      <c r="A19" s="37">
        <v>1</v>
      </c>
      <c r="B19" s="30" t="s">
        <v>174</v>
      </c>
      <c r="C19" s="49">
        <f>IF(Tabelle18[[#This Row],[binding_level_company]]&gt;=1,1,0)</f>
        <v>0</v>
      </c>
      <c r="D19" s="49">
        <f>_xlfn.MAXIFS(Tabelle5[[#This Row],[binding_level]], Tabelle5[[#This Row],[company_id]],Tabelle18[[#This Row],[company_id]], Tabelle5[[#This Row],[value_id]], Tabelle18[[#This Row],[value_id]], Tabelle5[[#This Row],[value_present]],"1")</f>
        <v>0</v>
      </c>
      <c r="E19" s="49">
        <f>_xlfn.MAXIFS(Tabelle5[[#This Row],[value_points]], Tabelle5[[#This Row],[company_id]],Tabelle18[[#This Row],[company_id]], Tabelle5[[#This Row],[value_id]], Tabelle18[[#This Row],[value_id]], Tabelle5[[#This Row],[value_present]],"1")</f>
        <v>0</v>
      </c>
      <c r="F19" s="30"/>
      <c r="G19" s="34"/>
    </row>
    <row r="20" spans="1:7" x14ac:dyDescent="0.25">
      <c r="A20" s="35">
        <v>2</v>
      </c>
      <c r="B20" s="22" t="s">
        <v>53</v>
      </c>
      <c r="C20" s="4">
        <f>IF(Tabelle18[[#This Row],[binding_level_company]]&gt;=1,1,0)</f>
        <v>1</v>
      </c>
      <c r="D20" s="4">
        <f>_xlfn.MAXIFS(Tabelle5[[#This Row],[binding_level]], Tabelle5[[#This Row],[company_id]],Tabelle18[[#This Row],[company_id]], Tabelle5[[#This Row],[value_id]], Tabelle18[[#This Row],[value_id]], Tabelle5[[#This Row],[value_present]],"1")</f>
        <v>2</v>
      </c>
      <c r="E20" s="4">
        <f>_xlfn.MAXIFS(Tabelle5[[#This Row],[value_points]], Tabelle5[[#This Row],[company_id]],Tabelle18[[#This Row],[company_id]], Tabelle5[[#This Row],[value_id]], Tabelle18[[#This Row],[value_id]], Tabelle5[[#This Row],[value_present]],"1")</f>
        <v>2</v>
      </c>
    </row>
    <row r="21" spans="1:7" x14ac:dyDescent="0.25">
      <c r="A21" s="36">
        <v>2</v>
      </c>
      <c r="B21" t="s">
        <v>61</v>
      </c>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1:7" x14ac:dyDescent="0.25">
      <c r="A22" s="36">
        <v>2</v>
      </c>
      <c r="B22" t="s">
        <v>69</v>
      </c>
      <c r="C22" s="4">
        <f>IF(Tabelle18[[#This Row],[binding_level_company]]&gt;=1,1,0)</f>
        <v>1</v>
      </c>
      <c r="D22" s="4">
        <f>_xlfn.MAXIFS(Tabelle5[[#This Row],[binding_level]], Tabelle5[[#This Row],[company_id]],Tabelle18[[#This Row],[company_id]], Tabelle5[[#This Row],[value_id]], Tabelle18[[#This Row],[value_id]], Tabelle5[[#This Row],[value_present]],"1")</f>
        <v>2</v>
      </c>
      <c r="E22" s="4">
        <f>_xlfn.MAXIFS(Tabelle5[[#This Row],[value_points]], Tabelle5[[#This Row],[company_id]],Tabelle18[[#This Row],[company_id]], Tabelle5[[#This Row],[value_id]], Tabelle18[[#This Row],[value_id]], Tabelle5[[#This Row],[value_present]],"1")</f>
        <v>2</v>
      </c>
    </row>
    <row r="23" spans="1:7" x14ac:dyDescent="0.25">
      <c r="A23" s="36">
        <v>2</v>
      </c>
      <c r="B23" t="s">
        <v>76</v>
      </c>
      <c r="C23" s="4">
        <f>IF(Tabelle18[[#This Row],[binding_level_company]]&gt;=1,1,0)</f>
        <v>1</v>
      </c>
      <c r="D23" s="4">
        <f>_xlfn.MAXIFS(Tabelle5[[#This Row],[binding_level]], Tabelle5[[#This Row],[company_id]],Tabelle18[[#This Row],[company_id]], Tabelle5[[#This Row],[value_id]], Tabelle18[[#This Row],[value_id]], Tabelle5[[#This Row],[value_present]],"1")</f>
        <v>2</v>
      </c>
      <c r="E23" s="4">
        <f>_xlfn.MAXIFS(Tabelle5[[#This Row],[value_points]], Tabelle5[[#This Row],[company_id]],Tabelle18[[#This Row],[company_id]], Tabelle5[[#This Row],[value_id]], Tabelle18[[#This Row],[value_id]], Tabelle5[[#This Row],[value_present]],"1")</f>
        <v>2</v>
      </c>
    </row>
    <row r="24" spans="1:7" x14ac:dyDescent="0.25">
      <c r="A24" s="36">
        <v>2</v>
      </c>
      <c r="B24" t="s">
        <v>83</v>
      </c>
      <c r="C24" s="4">
        <f>IF(Tabelle18[[#This Row],[binding_level_company]]&gt;=1,1,0)</f>
        <v>1</v>
      </c>
      <c r="D24" s="4">
        <f>_xlfn.MAXIFS(Tabelle5[[#This Row],[binding_level]], Tabelle5[[#This Row],[company_id]],Tabelle18[[#This Row],[company_id]], Tabelle5[[#This Row],[value_id]], Tabelle18[[#This Row],[value_id]], Tabelle5[[#This Row],[value_present]],"1")</f>
        <v>3</v>
      </c>
      <c r="E24" s="4">
        <f>_xlfn.MAXIFS(Tabelle5[[#This Row],[value_points]], Tabelle5[[#This Row],[company_id]],Tabelle18[[#This Row],[company_id]], Tabelle5[[#This Row],[value_id]], Tabelle18[[#This Row],[value_id]], Tabelle5[[#This Row],[value_present]],"1")</f>
        <v>3</v>
      </c>
    </row>
    <row r="25" spans="1:7" x14ac:dyDescent="0.25">
      <c r="A25" s="36">
        <v>2</v>
      </c>
      <c r="B25" t="s">
        <v>90</v>
      </c>
      <c r="C25" s="4">
        <f>IF(Tabelle18[[#This Row],[binding_level_company]]&gt;=1,1,0)</f>
        <v>1</v>
      </c>
      <c r="D25" s="4">
        <f>_xlfn.MAXIFS(Tabelle5[[#This Row],[binding_level]], Tabelle5[[#This Row],[company_id]],Tabelle18[[#This Row],[company_id]], Tabelle5[[#This Row],[value_id]], Tabelle18[[#This Row],[value_id]], Tabelle5[[#This Row],[value_present]],"1")</f>
        <v>2</v>
      </c>
      <c r="E25" s="4">
        <f>_xlfn.MAXIFS(Tabelle5[[#This Row],[value_points]], Tabelle5[[#This Row],[company_id]],Tabelle18[[#This Row],[company_id]], Tabelle5[[#This Row],[value_id]], Tabelle18[[#This Row],[value_id]], Tabelle5[[#This Row],[value_present]],"1")</f>
        <v>2</v>
      </c>
    </row>
    <row r="26" spans="1:7" x14ac:dyDescent="0.25">
      <c r="A26" s="36">
        <v>2</v>
      </c>
      <c r="B26" t="s">
        <v>98</v>
      </c>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1:7" x14ac:dyDescent="0.25">
      <c r="A27" s="36">
        <v>2</v>
      </c>
      <c r="B27" t="s">
        <v>106</v>
      </c>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1:7" x14ac:dyDescent="0.25">
      <c r="A28" s="36">
        <v>2</v>
      </c>
      <c r="B28" t="s">
        <v>112</v>
      </c>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1:7" x14ac:dyDescent="0.25">
      <c r="A29" s="36">
        <v>2</v>
      </c>
      <c r="B29" t="s">
        <v>118</v>
      </c>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1:7" x14ac:dyDescent="0.25">
      <c r="A30" s="36">
        <v>2</v>
      </c>
      <c r="B30" t="s">
        <v>125</v>
      </c>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1:7" x14ac:dyDescent="0.25">
      <c r="A31" s="36">
        <v>2</v>
      </c>
      <c r="B31" t="s">
        <v>132</v>
      </c>
      <c r="C31" s="4">
        <f>IF(Tabelle18[[#This Row],[binding_level_company]]&gt;=1,1,0)</f>
        <v>1</v>
      </c>
      <c r="D31" s="4">
        <f>_xlfn.MAXIFS(Tabelle5[[#This Row],[binding_level]], Tabelle5[[#This Row],[company_id]],Tabelle18[[#This Row],[company_id]], Tabelle5[[#This Row],[value_id]], Tabelle18[[#This Row],[value_id]], Tabelle5[[#This Row],[value_present]],"1")</f>
        <v>1</v>
      </c>
      <c r="E31" s="4">
        <f>_xlfn.MAXIFS(Tabelle5[[#This Row],[value_points]], Tabelle5[[#This Row],[company_id]],Tabelle18[[#This Row],[company_id]], Tabelle5[[#This Row],[value_id]], Tabelle18[[#This Row],[value_id]], Tabelle5[[#This Row],[value_present]],"1")</f>
        <v>1</v>
      </c>
    </row>
    <row r="32" spans="1:7" x14ac:dyDescent="0.25">
      <c r="A32" s="36">
        <v>2</v>
      </c>
      <c r="B32" t="s">
        <v>140</v>
      </c>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1:5" x14ac:dyDescent="0.25">
      <c r="A33" s="36">
        <v>2</v>
      </c>
      <c r="B33" t="s">
        <v>147</v>
      </c>
      <c r="C33" s="4">
        <f>IF(Tabelle18[[#This Row],[binding_level_company]]&gt;=1,1,0)</f>
        <v>1</v>
      </c>
      <c r="D33" s="4">
        <f>_xlfn.MAXIFS(Tabelle5[[#This Row],[binding_level]], Tabelle5[[#This Row],[company_id]],Tabelle18[[#This Row],[company_id]], Tabelle5[[#This Row],[value_id]], Tabelle18[[#This Row],[value_id]], Tabelle5[[#This Row],[value_present]],"1")</f>
        <v>2</v>
      </c>
      <c r="E33" s="4">
        <f>_xlfn.MAXIFS(Tabelle5[[#This Row],[value_points]], Tabelle5[[#This Row],[company_id]],Tabelle18[[#This Row],[company_id]], Tabelle5[[#This Row],[value_id]], Tabelle18[[#This Row],[value_id]], Tabelle5[[#This Row],[value_present]],"1")</f>
        <v>2</v>
      </c>
    </row>
    <row r="34" spans="1:5" x14ac:dyDescent="0.25">
      <c r="A34" s="36">
        <v>2</v>
      </c>
      <c r="B34" t="s">
        <v>154</v>
      </c>
      <c r="C34" s="4">
        <f>IF(Tabelle18[[#This Row],[binding_level_company]]&gt;=1,1,0)</f>
        <v>1</v>
      </c>
      <c r="D34" s="4">
        <f>_xlfn.MAXIFS(Tabelle5[[#This Row],[binding_level]], Tabelle5[[#This Row],[company_id]],Tabelle18[[#This Row],[company_id]], Tabelle5[[#This Row],[value_id]], Tabelle18[[#This Row],[value_id]], Tabelle5[[#This Row],[value_present]],"1")</f>
        <v>2</v>
      </c>
      <c r="E34" s="4">
        <f>_xlfn.MAXIFS(Tabelle5[[#This Row],[value_points]], Tabelle5[[#This Row],[company_id]],Tabelle18[[#This Row],[company_id]], Tabelle5[[#This Row],[value_id]], Tabelle18[[#This Row],[value_id]], Tabelle5[[#This Row],[value_present]],"1")</f>
        <v>2</v>
      </c>
    </row>
    <row r="35" spans="1:5" x14ac:dyDescent="0.25">
      <c r="A35" s="36">
        <v>2</v>
      </c>
      <c r="B35" t="s">
        <v>161</v>
      </c>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1:5" x14ac:dyDescent="0.25">
      <c r="A36" s="36">
        <v>2</v>
      </c>
      <c r="B36" t="s">
        <v>166</v>
      </c>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1:5" ht="15.75" thickBot="1" x14ac:dyDescent="0.3">
      <c r="A37" s="37">
        <v>2</v>
      </c>
      <c r="B37" s="30" t="s">
        <v>174</v>
      </c>
      <c r="C37" s="4">
        <f>IF(Tabelle18[[#This Row],[binding_level_company]]&gt;=1,1,0)</f>
        <v>1</v>
      </c>
      <c r="D37" s="4">
        <f>_xlfn.MAXIFS(Tabelle5[[#This Row],[binding_level]], Tabelle5[[#This Row],[company_id]],Tabelle18[[#This Row],[company_id]], Tabelle5[[#This Row],[value_id]], Tabelle18[[#This Row],[value_id]], Tabelle5[[#This Row],[value_present]],"1")</f>
        <v>2</v>
      </c>
      <c r="E37" s="4">
        <f>_xlfn.MAXIFS(Tabelle5[[#This Row],[value_points]], Tabelle5[[#This Row],[company_id]],Tabelle18[[#This Row],[company_id]], Tabelle5[[#This Row],[value_id]], Tabelle18[[#This Row],[value_id]], Tabelle5[[#This Row],[value_present]],"1")</f>
        <v>2</v>
      </c>
    </row>
    <row r="38" spans="1:5" x14ac:dyDescent="0.25">
      <c r="A38">
        <v>4</v>
      </c>
      <c r="B38" s="22" t="s">
        <v>53</v>
      </c>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1:5" x14ac:dyDescent="0.25">
      <c r="A39">
        <v>3</v>
      </c>
      <c r="B39" t="s">
        <v>61</v>
      </c>
      <c r="C39" s="4">
        <f>IF(Tabelle18[[#This Row],[binding_level_company]]&gt;=1,1,0)</f>
        <v>1</v>
      </c>
      <c r="D39" s="4">
        <f>_xlfn.MAXIFS(Tabelle5[[#This Row],[binding_level]], Tabelle5[[#This Row],[company_id]],Tabelle18[[#This Row],[company_id]], Tabelle5[[#This Row],[value_id]], Tabelle18[[#This Row],[value_id]], Tabelle5[[#This Row],[value_present]],"1")</f>
        <v>3</v>
      </c>
      <c r="E39" s="4">
        <f>_xlfn.MAXIFS(Tabelle5[[#This Row],[value_points]], Tabelle5[[#This Row],[company_id]],Tabelle18[[#This Row],[company_id]], Tabelle5[[#This Row],[value_id]], Tabelle18[[#This Row],[value_id]], Tabelle5[[#This Row],[value_present]],"1")</f>
        <v>3</v>
      </c>
    </row>
    <row r="40" spans="1:5" x14ac:dyDescent="0.25">
      <c r="A40">
        <v>3</v>
      </c>
      <c r="B40" t="s">
        <v>69</v>
      </c>
      <c r="C40" s="4">
        <f>IF(Tabelle18[[#This Row],[binding_level_company]]&gt;=1,1,0)</f>
        <v>1</v>
      </c>
      <c r="D40" s="4">
        <f>_xlfn.MAXIFS(Tabelle5[[#This Row],[binding_level]], Tabelle5[[#This Row],[company_id]],Tabelle18[[#This Row],[company_id]], Tabelle5[[#This Row],[value_id]], Tabelle18[[#This Row],[value_id]], Tabelle5[[#This Row],[value_present]],"1")</f>
        <v>2</v>
      </c>
      <c r="E40" s="4">
        <f>_xlfn.MAXIFS(Tabelle5[[#This Row],[value_points]], Tabelle5[[#This Row],[company_id]],Tabelle18[[#This Row],[company_id]], Tabelle5[[#This Row],[value_id]], Tabelle18[[#This Row],[value_id]], Tabelle5[[#This Row],[value_present]],"1")</f>
        <v>2</v>
      </c>
    </row>
    <row r="41" spans="1:5" x14ac:dyDescent="0.25">
      <c r="A41">
        <v>3</v>
      </c>
      <c r="B41" t="s">
        <v>76</v>
      </c>
      <c r="C41" s="4">
        <f>IF(Tabelle18[[#This Row],[binding_level_company]]&gt;=1,1,0)</f>
        <v>1</v>
      </c>
      <c r="D41" s="4">
        <f>_xlfn.MAXIFS(Tabelle5[[#This Row],[binding_level]], Tabelle5[[#This Row],[company_id]],Tabelle18[[#This Row],[company_id]], Tabelle5[[#This Row],[value_id]], Tabelle18[[#This Row],[value_id]], Tabelle5[[#This Row],[value_present]],"1")</f>
        <v>2</v>
      </c>
      <c r="E41" s="4">
        <f>_xlfn.MAXIFS(Tabelle5[[#This Row],[value_points]], Tabelle5[[#This Row],[company_id]],Tabelle18[[#This Row],[company_id]], Tabelle5[[#This Row],[value_id]], Tabelle18[[#This Row],[value_id]], Tabelle5[[#This Row],[value_present]],"1")</f>
        <v>2</v>
      </c>
    </row>
    <row r="42" spans="1:5" x14ac:dyDescent="0.25">
      <c r="A42">
        <v>3</v>
      </c>
      <c r="B42" t="s">
        <v>83</v>
      </c>
      <c r="C42" s="54">
        <f>IF(Tabelle18[[#This Row],[binding_level_company]]&gt;=1,1,0)</f>
        <v>1</v>
      </c>
      <c r="D42" s="54">
        <f>_xlfn.MAXIFS(Tabelle5[[#This Row],[binding_level]], Tabelle5[[#This Row],[company_id]],Tabelle18[[#This Row],[company_id]], Tabelle5[[#This Row],[value_id]], Tabelle18[[#This Row],[value_id]], Tabelle5[[#This Row],[value_present]],"1")</f>
        <v>3</v>
      </c>
      <c r="E42" s="54">
        <f>_xlfn.MAXIFS(Tabelle5[[#This Row],[value_points]], Tabelle5[[#This Row],[company_id]],Tabelle18[[#This Row],[company_id]], Tabelle5[[#This Row],[value_id]], Tabelle18[[#This Row],[value_id]], Tabelle5[[#This Row],[value_present]],"1")</f>
        <v>3</v>
      </c>
    </row>
    <row r="43" spans="1:5" x14ac:dyDescent="0.25">
      <c r="A43">
        <v>3</v>
      </c>
      <c r="B43" t="s">
        <v>90</v>
      </c>
      <c r="C43" s="54">
        <f>IF(Tabelle18[[#This Row],[binding_level_company]]&gt;=1,1,0)</f>
        <v>1</v>
      </c>
      <c r="D43" s="54">
        <f>_xlfn.MAXIFS(Tabelle5[[#This Row],[binding_level]], Tabelle5[[#This Row],[company_id]],Tabelle18[[#This Row],[company_id]], Tabelle5[[#This Row],[value_id]], Tabelle18[[#This Row],[value_id]], Tabelle5[[#This Row],[value_present]],"1")</f>
        <v>3</v>
      </c>
      <c r="E43" s="54">
        <f>_xlfn.MAXIFS(Tabelle5[[#This Row],[value_points]], Tabelle5[[#This Row],[company_id]],Tabelle18[[#This Row],[company_id]], Tabelle5[[#This Row],[value_id]], Tabelle18[[#This Row],[value_id]], Tabelle5[[#This Row],[value_present]],"1")</f>
        <v>3</v>
      </c>
    </row>
    <row r="44" spans="1:5" x14ac:dyDescent="0.25">
      <c r="A44">
        <v>3</v>
      </c>
      <c r="B44" t="s">
        <v>98</v>
      </c>
      <c r="C44" s="54">
        <f>IF(Tabelle18[[#This Row],[binding_level_company]]&gt;=1,1,0)</f>
        <v>1</v>
      </c>
      <c r="D44" s="54">
        <f>_xlfn.MAXIFS(Tabelle5[[#This Row],[binding_level]], Tabelle5[[#This Row],[company_id]],Tabelle18[[#This Row],[company_id]], Tabelle5[[#This Row],[value_id]], Tabelle18[[#This Row],[value_id]], Tabelle5[[#This Row],[value_present]],"1")</f>
        <v>2</v>
      </c>
      <c r="E44" s="54">
        <f>_xlfn.MAXIFS(Tabelle5[[#This Row],[value_points]], Tabelle5[[#This Row],[company_id]],Tabelle18[[#This Row],[company_id]], Tabelle5[[#This Row],[value_id]], Tabelle18[[#This Row],[value_id]], Tabelle5[[#This Row],[value_present]],"1")</f>
        <v>2</v>
      </c>
    </row>
    <row r="45" spans="1:5" x14ac:dyDescent="0.25">
      <c r="A45">
        <v>3</v>
      </c>
      <c r="B45" t="s">
        <v>106</v>
      </c>
      <c r="C45" s="54">
        <f>IF(Tabelle18[[#This Row],[binding_level_company]]&gt;=1,1,0)</f>
        <v>1</v>
      </c>
      <c r="D45" s="54">
        <f>_xlfn.MAXIFS(Tabelle5[[#This Row],[binding_level]], Tabelle5[[#This Row],[company_id]],Tabelle18[[#This Row],[company_id]], Tabelle5[[#This Row],[value_id]], Tabelle18[[#This Row],[value_id]], Tabelle5[[#This Row],[value_present]],"1")</f>
        <v>2</v>
      </c>
      <c r="E45" s="54">
        <f>_xlfn.MAXIFS(Tabelle5[[#This Row],[value_points]], Tabelle5[[#This Row],[company_id]],Tabelle18[[#This Row],[company_id]], Tabelle5[[#This Row],[value_id]], Tabelle18[[#This Row],[value_id]], Tabelle5[[#This Row],[value_present]],"1")</f>
        <v>2</v>
      </c>
    </row>
    <row r="46" spans="1:5" x14ac:dyDescent="0.25">
      <c r="A46">
        <v>3</v>
      </c>
      <c r="B46" t="s">
        <v>112</v>
      </c>
      <c r="C46" s="54">
        <f>IF(Tabelle18[[#This Row],[binding_level_company]]&gt;=1,1,0)</f>
        <v>1</v>
      </c>
      <c r="D46" s="54">
        <f>_xlfn.MAXIFS(Tabelle5[[#This Row],[binding_level]], Tabelle5[[#This Row],[company_id]],Tabelle18[[#This Row],[company_id]], Tabelle5[[#This Row],[value_id]], Tabelle18[[#This Row],[value_id]], Tabelle5[[#This Row],[value_present]],"1")</f>
        <v>3</v>
      </c>
      <c r="E46" s="54">
        <f>_xlfn.MAXIFS(Tabelle5[[#This Row],[value_points]], Tabelle5[[#This Row],[company_id]],Tabelle18[[#This Row],[company_id]], Tabelle5[[#This Row],[value_id]], Tabelle18[[#This Row],[value_id]], Tabelle5[[#This Row],[value_present]],"1")</f>
        <v>3</v>
      </c>
    </row>
    <row r="47" spans="1:5" x14ac:dyDescent="0.25">
      <c r="A47">
        <v>3</v>
      </c>
      <c r="B47" t="s">
        <v>118</v>
      </c>
      <c r="C47" s="54">
        <f>IF(Tabelle18[[#This Row],[binding_level_company]]&gt;=1,1,0)</f>
        <v>0</v>
      </c>
      <c r="D47" s="54">
        <f>_xlfn.MAXIFS(Tabelle5[[#This Row],[binding_level]], Tabelle5[[#This Row],[company_id]],Tabelle18[[#This Row],[company_id]], Tabelle5[[#This Row],[value_id]], Tabelle18[[#This Row],[value_id]], Tabelle5[[#This Row],[value_present]],"1")</f>
        <v>0</v>
      </c>
      <c r="E47" s="54">
        <f>_xlfn.MAXIFS(Tabelle5[[#This Row],[value_points]], Tabelle5[[#This Row],[company_id]],Tabelle18[[#This Row],[company_id]], Tabelle5[[#This Row],[value_id]], Tabelle18[[#This Row],[value_id]], Tabelle5[[#This Row],[value_present]],"1")</f>
        <v>0</v>
      </c>
    </row>
    <row r="48" spans="1:5" x14ac:dyDescent="0.25">
      <c r="A48">
        <v>3</v>
      </c>
      <c r="B48" t="s">
        <v>125</v>
      </c>
      <c r="C48" s="54">
        <f>IF(Tabelle18[[#This Row],[binding_level_company]]&gt;=1,1,0)</f>
        <v>0</v>
      </c>
      <c r="D48" s="54">
        <f>_xlfn.MAXIFS(Tabelle5[[#This Row],[binding_level]], Tabelle5[[#This Row],[company_id]],Tabelle18[[#This Row],[company_id]], Tabelle5[[#This Row],[value_id]], Tabelle18[[#This Row],[value_id]], Tabelle5[[#This Row],[value_present]],"1")</f>
        <v>0</v>
      </c>
      <c r="E48" s="54">
        <f>_xlfn.MAXIFS(Tabelle5[[#This Row],[value_points]], Tabelle5[[#This Row],[company_id]],Tabelle18[[#This Row],[company_id]], Tabelle5[[#This Row],[value_id]], Tabelle18[[#This Row],[value_id]], Tabelle5[[#This Row],[value_present]],"1")</f>
        <v>0</v>
      </c>
    </row>
    <row r="49" spans="1:5" x14ac:dyDescent="0.25">
      <c r="A49">
        <v>3</v>
      </c>
      <c r="B49" t="s">
        <v>132</v>
      </c>
      <c r="C49" s="54">
        <f>IF(Tabelle18[[#This Row],[binding_level_company]]&gt;=1,1,0)</f>
        <v>0</v>
      </c>
      <c r="D49" s="54">
        <f>_xlfn.MAXIFS(Tabelle5[[#This Row],[binding_level]], Tabelle5[[#This Row],[company_id]],Tabelle18[[#This Row],[company_id]], Tabelle5[[#This Row],[value_id]], Tabelle18[[#This Row],[value_id]], Tabelle5[[#This Row],[value_present]],"1")</f>
        <v>0</v>
      </c>
      <c r="E49" s="54">
        <f>_xlfn.MAXIFS(Tabelle5[[#This Row],[value_points]], Tabelle5[[#This Row],[company_id]],Tabelle18[[#This Row],[company_id]], Tabelle5[[#This Row],[value_id]], Tabelle18[[#This Row],[value_id]], Tabelle5[[#This Row],[value_present]],"1")</f>
        <v>0</v>
      </c>
    </row>
    <row r="50" spans="1:5" x14ac:dyDescent="0.25">
      <c r="A50">
        <v>3</v>
      </c>
      <c r="B50" t="s">
        <v>140</v>
      </c>
      <c r="C50" s="54">
        <f>IF(Tabelle18[[#This Row],[binding_level_company]]&gt;=1,1,0)</f>
        <v>0</v>
      </c>
      <c r="D50" s="54">
        <f>_xlfn.MAXIFS(Tabelle5[[#This Row],[binding_level]], Tabelle5[[#This Row],[company_id]],Tabelle18[[#This Row],[company_id]], Tabelle5[[#This Row],[value_id]], Tabelle18[[#This Row],[value_id]], Tabelle5[[#This Row],[value_present]],"1")</f>
        <v>0</v>
      </c>
      <c r="E50" s="54">
        <f>_xlfn.MAXIFS(Tabelle5[[#This Row],[value_points]], Tabelle5[[#This Row],[company_id]],Tabelle18[[#This Row],[company_id]], Tabelle5[[#This Row],[value_id]], Tabelle18[[#This Row],[value_id]], Tabelle5[[#This Row],[value_present]],"1")</f>
        <v>0</v>
      </c>
    </row>
    <row r="51" spans="1:5" x14ac:dyDescent="0.25">
      <c r="A51">
        <v>3</v>
      </c>
      <c r="B51" t="s">
        <v>147</v>
      </c>
      <c r="C51" s="54">
        <f>IF(Tabelle18[[#This Row],[binding_level_company]]&gt;=1,1,0)</f>
        <v>1</v>
      </c>
      <c r="D51" s="54">
        <f>_xlfn.MAXIFS(Tabelle5[[#This Row],[binding_level]], Tabelle5[[#This Row],[company_id]],Tabelle18[[#This Row],[company_id]], Tabelle5[[#This Row],[value_id]], Tabelle18[[#This Row],[value_id]], Tabelle5[[#This Row],[value_present]],"1")</f>
        <v>2</v>
      </c>
      <c r="E51" s="54">
        <f>_xlfn.MAXIFS(Tabelle5[[#This Row],[value_points]], Tabelle5[[#This Row],[company_id]],Tabelle18[[#This Row],[company_id]], Tabelle5[[#This Row],[value_id]], Tabelle18[[#This Row],[value_id]], Tabelle5[[#This Row],[value_present]],"1")</f>
        <v>2</v>
      </c>
    </row>
    <row r="52" spans="1:5" x14ac:dyDescent="0.25">
      <c r="A52">
        <v>3</v>
      </c>
      <c r="B52" t="s">
        <v>154</v>
      </c>
      <c r="C52" s="54">
        <f>IF(Tabelle18[[#This Row],[binding_level_company]]&gt;=1,1,0)</f>
        <v>1</v>
      </c>
      <c r="D52" s="54">
        <f>_xlfn.MAXIFS(Tabelle5[[#This Row],[binding_level]], Tabelle5[[#This Row],[company_id]],Tabelle18[[#This Row],[company_id]], Tabelle5[[#This Row],[value_id]], Tabelle18[[#This Row],[value_id]], Tabelle5[[#This Row],[value_present]],"1")</f>
        <v>2</v>
      </c>
      <c r="E52" s="54">
        <f>_xlfn.MAXIFS(Tabelle5[[#This Row],[value_points]], Tabelle5[[#This Row],[company_id]],Tabelle18[[#This Row],[company_id]], Tabelle5[[#This Row],[value_id]], Tabelle18[[#This Row],[value_id]], Tabelle5[[#This Row],[value_present]],"1")</f>
        <v>2</v>
      </c>
    </row>
    <row r="53" spans="1:5" x14ac:dyDescent="0.25">
      <c r="A53">
        <v>3</v>
      </c>
      <c r="B53" t="s">
        <v>161</v>
      </c>
      <c r="C53" s="54">
        <f>IF(Tabelle18[[#This Row],[binding_level_company]]&gt;=1,1,0)</f>
        <v>1</v>
      </c>
      <c r="D53" s="54">
        <f>_xlfn.MAXIFS(Tabelle5[[#This Row],[binding_level]], Tabelle5[[#This Row],[company_id]],Tabelle18[[#This Row],[company_id]], Tabelle5[[#This Row],[value_id]], Tabelle18[[#This Row],[value_id]], Tabelle5[[#This Row],[value_present]],"1")</f>
        <v>2</v>
      </c>
      <c r="E53" s="54">
        <f>_xlfn.MAXIFS(Tabelle5[[#This Row],[value_points]], Tabelle5[[#This Row],[company_id]],Tabelle18[[#This Row],[company_id]], Tabelle5[[#This Row],[value_id]], Tabelle18[[#This Row],[value_id]], Tabelle5[[#This Row],[value_present]],"1")</f>
        <v>2</v>
      </c>
    </row>
    <row r="54" spans="1:5" x14ac:dyDescent="0.25">
      <c r="A54">
        <v>3</v>
      </c>
      <c r="B54" t="s">
        <v>166</v>
      </c>
      <c r="C54" s="54">
        <f>IF(Tabelle18[[#This Row],[binding_level_company]]&gt;=1,1,0)</f>
        <v>0</v>
      </c>
      <c r="D54" s="54">
        <f>_xlfn.MAXIFS(Tabelle5[[#This Row],[binding_level]], Tabelle5[[#This Row],[company_id]],Tabelle18[[#This Row],[company_id]], Tabelle5[[#This Row],[value_id]], Tabelle18[[#This Row],[value_id]], Tabelle5[[#This Row],[value_present]],"1")</f>
        <v>0</v>
      </c>
      <c r="E54" s="54">
        <f>_xlfn.MAXIFS(Tabelle5[[#This Row],[value_points]], Tabelle5[[#This Row],[company_id]],Tabelle18[[#This Row],[company_id]], Tabelle5[[#This Row],[value_id]], Tabelle18[[#This Row],[value_id]], Tabelle5[[#This Row],[value_present]],"1")</f>
        <v>0</v>
      </c>
    </row>
    <row r="55" spans="1:5" ht="15.75" thickBot="1" x14ac:dyDescent="0.3">
      <c r="A55">
        <v>3</v>
      </c>
      <c r="B55" s="30" t="s">
        <v>174</v>
      </c>
      <c r="C55" s="54">
        <f>IF(Tabelle18[[#This Row],[binding_level_company]]&gt;=1,1,0)</f>
        <v>0</v>
      </c>
      <c r="D55" s="54">
        <f>_xlfn.MAXIFS(Tabelle5[[#This Row],[binding_level]], Tabelle5[[#This Row],[company_id]],Tabelle18[[#This Row],[company_id]], Tabelle5[[#This Row],[value_id]], Tabelle18[[#This Row],[value_id]], Tabelle5[[#This Row],[value_present]],"1")</f>
        <v>0</v>
      </c>
      <c r="E55" s="54">
        <f>_xlfn.MAXIFS(Tabelle5[[#This Row],[value_points]], Tabelle5[[#This Row],[company_id]],Tabelle18[[#This Row],[company_id]], Tabelle5[[#This Row],[value_id]], Tabelle18[[#This Row],[value_id]], Tabelle5[[#This Row],[value_present]],"1")</f>
        <v>0</v>
      </c>
    </row>
    <row r="56" spans="1:5" x14ac:dyDescent="0.25">
      <c r="A56">
        <v>4</v>
      </c>
      <c r="B56" s="22" t="s">
        <v>53</v>
      </c>
      <c r="C56" s="54">
        <f>IF(Tabelle18[[#This Row],[binding_level_company]]&gt;=1,1,0)</f>
        <v>0</v>
      </c>
      <c r="D56" s="54">
        <f>_xlfn.MAXIFS(Tabelle5[[#This Row],[binding_level]], Tabelle5[[#This Row],[company_id]],Tabelle18[[#This Row],[company_id]], Tabelle5[[#This Row],[value_id]], Tabelle18[[#This Row],[value_id]], Tabelle5[[#This Row],[value_present]],"1")</f>
        <v>0</v>
      </c>
      <c r="E56" s="54">
        <f>_xlfn.MAXIFS(Tabelle5[[#This Row],[value_points]], Tabelle5[[#This Row],[company_id]],Tabelle18[[#This Row],[company_id]], Tabelle5[[#This Row],[value_id]], Tabelle18[[#This Row],[value_id]], Tabelle5[[#This Row],[value_present]],"1")</f>
        <v>0</v>
      </c>
    </row>
    <row r="57" spans="1:5" x14ac:dyDescent="0.25">
      <c r="A57">
        <v>4</v>
      </c>
      <c r="B57" t="s">
        <v>61</v>
      </c>
      <c r="C57" s="54">
        <f>IF(Tabelle18[[#This Row],[binding_level_company]]&gt;=1,1,0)</f>
        <v>0</v>
      </c>
      <c r="D57" s="54">
        <f>_xlfn.MAXIFS(Tabelle5[[#This Row],[binding_level]], Tabelle5[[#This Row],[company_id]],Tabelle18[[#This Row],[company_id]], Tabelle5[[#This Row],[value_id]], Tabelle18[[#This Row],[value_id]], Tabelle5[[#This Row],[value_present]],"1")</f>
        <v>0</v>
      </c>
      <c r="E57" s="54">
        <f>_xlfn.MAXIFS(Tabelle5[[#This Row],[value_points]], Tabelle5[[#This Row],[company_id]],Tabelle18[[#This Row],[company_id]], Tabelle5[[#This Row],[value_id]], Tabelle18[[#This Row],[value_id]], Tabelle5[[#This Row],[value_present]],"1")</f>
        <v>0</v>
      </c>
    </row>
    <row r="58" spans="1:5" x14ac:dyDescent="0.25">
      <c r="A58">
        <v>4</v>
      </c>
      <c r="B58" t="s">
        <v>69</v>
      </c>
      <c r="C58" s="54">
        <f>IF(Tabelle18[[#This Row],[binding_level_company]]&gt;=1,1,0)</f>
        <v>0</v>
      </c>
      <c r="D58" s="54">
        <f>_xlfn.MAXIFS(Tabelle5[[#This Row],[binding_level]], Tabelle5[[#This Row],[company_id]],Tabelle18[[#This Row],[company_id]], Tabelle5[[#This Row],[value_id]], Tabelle18[[#This Row],[value_id]], Tabelle5[[#This Row],[value_present]],"1")</f>
        <v>0</v>
      </c>
      <c r="E58" s="54">
        <f>_xlfn.MAXIFS(Tabelle5[[#This Row],[value_points]], Tabelle5[[#This Row],[company_id]],Tabelle18[[#This Row],[company_id]], Tabelle5[[#This Row],[value_id]], Tabelle18[[#This Row],[value_id]], Tabelle5[[#This Row],[value_present]],"1")</f>
        <v>0</v>
      </c>
    </row>
    <row r="59" spans="1:5" x14ac:dyDescent="0.25">
      <c r="A59">
        <v>4</v>
      </c>
      <c r="B59" t="s">
        <v>76</v>
      </c>
      <c r="C59" s="54">
        <f>IF(Tabelle18[[#This Row],[binding_level_company]]&gt;=1,1,0)</f>
        <v>0</v>
      </c>
      <c r="D59" s="54">
        <f>_xlfn.MAXIFS(Tabelle5[[#This Row],[binding_level]], Tabelle5[[#This Row],[company_id]],Tabelle18[[#This Row],[company_id]], Tabelle5[[#This Row],[value_id]], Tabelle18[[#This Row],[value_id]], Tabelle5[[#This Row],[value_present]],"1")</f>
        <v>0</v>
      </c>
      <c r="E59" s="54">
        <f>_xlfn.MAXIFS(Tabelle5[[#This Row],[value_points]], Tabelle5[[#This Row],[company_id]],Tabelle18[[#This Row],[company_id]], Tabelle5[[#This Row],[value_id]], Tabelle18[[#This Row],[value_id]], Tabelle5[[#This Row],[value_present]],"1")</f>
        <v>0</v>
      </c>
    </row>
    <row r="60" spans="1:5" x14ac:dyDescent="0.25">
      <c r="A60">
        <v>4</v>
      </c>
      <c r="B60" t="s">
        <v>83</v>
      </c>
      <c r="C60" s="54">
        <f>IF(Tabelle18[[#This Row],[binding_level_company]]&gt;=1,1,0)</f>
        <v>0</v>
      </c>
      <c r="D60" s="54">
        <f>_xlfn.MAXIFS(Tabelle5[[#This Row],[binding_level]], Tabelle5[[#This Row],[company_id]],Tabelle18[[#This Row],[company_id]], Tabelle5[[#This Row],[value_id]], Tabelle18[[#This Row],[value_id]], Tabelle5[[#This Row],[value_present]],"1")</f>
        <v>0</v>
      </c>
      <c r="E60" s="54">
        <f>_xlfn.MAXIFS(Tabelle5[[#This Row],[value_points]], Tabelle5[[#This Row],[company_id]],Tabelle18[[#This Row],[company_id]], Tabelle5[[#This Row],[value_id]], Tabelle18[[#This Row],[value_id]], Tabelle5[[#This Row],[value_present]],"1")</f>
        <v>0</v>
      </c>
    </row>
    <row r="61" spans="1:5" x14ac:dyDescent="0.25">
      <c r="A61">
        <v>4</v>
      </c>
      <c r="B61" t="s">
        <v>90</v>
      </c>
      <c r="C61" s="54">
        <f>IF(Tabelle18[[#This Row],[binding_level_company]]&gt;=1,1,0)</f>
        <v>0</v>
      </c>
      <c r="D61" s="54">
        <f>_xlfn.MAXIFS(Tabelle5[[#This Row],[binding_level]], Tabelle5[[#This Row],[company_id]],Tabelle18[[#This Row],[company_id]], Tabelle5[[#This Row],[value_id]], Tabelle18[[#This Row],[value_id]], Tabelle5[[#This Row],[value_present]],"1")</f>
        <v>0</v>
      </c>
      <c r="E61" s="54">
        <f>_xlfn.MAXIFS(Tabelle5[[#This Row],[value_points]], Tabelle5[[#This Row],[company_id]],Tabelle18[[#This Row],[company_id]], Tabelle5[[#This Row],[value_id]], Tabelle18[[#This Row],[value_id]], Tabelle5[[#This Row],[value_present]],"1")</f>
        <v>0</v>
      </c>
    </row>
    <row r="62" spans="1:5" x14ac:dyDescent="0.25">
      <c r="A62">
        <v>4</v>
      </c>
      <c r="B62" t="s">
        <v>98</v>
      </c>
      <c r="C62" s="54">
        <f>IF(Tabelle18[[#This Row],[binding_level_company]]&gt;=1,1,0)</f>
        <v>0</v>
      </c>
      <c r="D62" s="54">
        <f>_xlfn.MAXIFS(Tabelle5[[#This Row],[binding_level]], Tabelle5[[#This Row],[company_id]],Tabelle18[[#This Row],[company_id]], Tabelle5[[#This Row],[value_id]], Tabelle18[[#This Row],[value_id]], Tabelle5[[#This Row],[value_present]],"1")</f>
        <v>0</v>
      </c>
      <c r="E62" s="54">
        <f>_xlfn.MAXIFS(Tabelle5[[#This Row],[value_points]], Tabelle5[[#This Row],[company_id]],Tabelle18[[#This Row],[company_id]], Tabelle5[[#This Row],[value_id]], Tabelle18[[#This Row],[value_id]], Tabelle5[[#This Row],[value_present]],"1")</f>
        <v>0</v>
      </c>
    </row>
    <row r="63" spans="1:5" x14ac:dyDescent="0.25">
      <c r="A63">
        <v>4</v>
      </c>
      <c r="B63" t="s">
        <v>106</v>
      </c>
      <c r="C63" s="54">
        <f>IF(Tabelle18[[#This Row],[binding_level_company]]&gt;=1,1,0)</f>
        <v>0</v>
      </c>
      <c r="D63" s="54">
        <f>_xlfn.MAXIFS(Tabelle5[[#This Row],[binding_level]], Tabelle5[[#This Row],[company_id]],Tabelle18[[#This Row],[company_id]], Tabelle5[[#This Row],[value_id]], Tabelle18[[#This Row],[value_id]], Tabelle5[[#This Row],[value_present]],"1")</f>
        <v>0</v>
      </c>
      <c r="E63" s="54">
        <f>_xlfn.MAXIFS(Tabelle5[[#This Row],[value_points]], Tabelle5[[#This Row],[company_id]],Tabelle18[[#This Row],[company_id]], Tabelle5[[#This Row],[value_id]], Tabelle18[[#This Row],[value_id]], Tabelle5[[#This Row],[value_present]],"1")</f>
        <v>0</v>
      </c>
    </row>
    <row r="64" spans="1:5" x14ac:dyDescent="0.25">
      <c r="A64">
        <v>4</v>
      </c>
      <c r="B64" t="s">
        <v>112</v>
      </c>
      <c r="C64" s="54">
        <f>IF(Tabelle18[[#This Row],[binding_level_company]]&gt;=1,1,0)</f>
        <v>0</v>
      </c>
      <c r="D64" s="54">
        <f>_xlfn.MAXIFS(Tabelle5[[#This Row],[binding_level]], Tabelle5[[#This Row],[company_id]],Tabelle18[[#This Row],[company_id]], Tabelle5[[#This Row],[value_id]], Tabelle18[[#This Row],[value_id]], Tabelle5[[#This Row],[value_present]],"1")</f>
        <v>0</v>
      </c>
      <c r="E64" s="54">
        <f>_xlfn.MAXIFS(Tabelle5[[#This Row],[value_points]], Tabelle5[[#This Row],[company_id]],Tabelle18[[#This Row],[company_id]], Tabelle5[[#This Row],[value_id]], Tabelle18[[#This Row],[value_id]], Tabelle5[[#This Row],[value_present]],"1")</f>
        <v>0</v>
      </c>
    </row>
    <row r="65" spans="1:5" x14ac:dyDescent="0.25">
      <c r="A65">
        <v>4</v>
      </c>
      <c r="B65" t="s">
        <v>118</v>
      </c>
      <c r="C65" s="54">
        <f>IF(Tabelle18[[#This Row],[binding_level_company]]&gt;=1,1,0)</f>
        <v>0</v>
      </c>
      <c r="D65" s="54">
        <f>_xlfn.MAXIFS(Tabelle5[[#This Row],[binding_level]], Tabelle5[[#This Row],[company_id]],Tabelle18[[#This Row],[company_id]], Tabelle5[[#This Row],[value_id]], Tabelle18[[#This Row],[value_id]], Tabelle5[[#This Row],[value_present]],"1")</f>
        <v>0</v>
      </c>
      <c r="E65" s="54">
        <f>_xlfn.MAXIFS(Tabelle5[[#This Row],[value_points]], Tabelle5[[#This Row],[company_id]],Tabelle18[[#This Row],[company_id]], Tabelle5[[#This Row],[value_id]], Tabelle18[[#This Row],[value_id]], Tabelle5[[#This Row],[value_present]],"1")</f>
        <v>0</v>
      </c>
    </row>
    <row r="66" spans="1:5" x14ac:dyDescent="0.25">
      <c r="A66">
        <v>4</v>
      </c>
      <c r="B66" t="s">
        <v>125</v>
      </c>
      <c r="C66" s="54">
        <f>IF(Tabelle18[[#This Row],[binding_level_company]]&gt;=1,1,0)</f>
        <v>0</v>
      </c>
      <c r="D66" s="54">
        <f>_xlfn.MAXIFS(Tabelle5[[#This Row],[binding_level]], Tabelle5[[#This Row],[company_id]],Tabelle18[[#This Row],[company_id]], Tabelle5[[#This Row],[value_id]], Tabelle18[[#This Row],[value_id]], Tabelle5[[#This Row],[value_present]],"1")</f>
        <v>0</v>
      </c>
      <c r="E66" s="54">
        <f>_xlfn.MAXIFS(Tabelle5[[#This Row],[value_points]], Tabelle5[[#This Row],[company_id]],Tabelle18[[#This Row],[company_id]], Tabelle5[[#This Row],[value_id]], Tabelle18[[#This Row],[value_id]], Tabelle5[[#This Row],[value_present]],"1")</f>
        <v>0</v>
      </c>
    </row>
    <row r="67" spans="1:5" x14ac:dyDescent="0.25">
      <c r="A67">
        <v>4</v>
      </c>
      <c r="B67" t="s">
        <v>132</v>
      </c>
      <c r="C67" s="54">
        <f>IF(Tabelle18[[#This Row],[binding_level_company]]&gt;=1,1,0)</f>
        <v>0</v>
      </c>
      <c r="D67" s="54">
        <f>_xlfn.MAXIFS(Tabelle5[[#This Row],[binding_level]], Tabelle5[[#This Row],[company_id]],Tabelle18[[#This Row],[company_id]], Tabelle5[[#This Row],[value_id]], Tabelle18[[#This Row],[value_id]], Tabelle5[[#This Row],[value_present]],"1")</f>
        <v>0</v>
      </c>
      <c r="E67" s="54">
        <f>_xlfn.MAXIFS(Tabelle5[[#This Row],[value_points]], Tabelle5[[#This Row],[company_id]],Tabelle18[[#This Row],[company_id]], Tabelle5[[#This Row],[value_id]], Tabelle18[[#This Row],[value_id]], Tabelle5[[#This Row],[value_present]],"1")</f>
        <v>0</v>
      </c>
    </row>
    <row r="68" spans="1:5" x14ac:dyDescent="0.25">
      <c r="A68">
        <v>4</v>
      </c>
      <c r="B68" t="s">
        <v>140</v>
      </c>
      <c r="C68" s="54">
        <f>IF(Tabelle18[[#This Row],[binding_level_company]]&gt;=1,1,0)</f>
        <v>0</v>
      </c>
      <c r="D68" s="54">
        <f>_xlfn.MAXIFS(Tabelle5[[#This Row],[binding_level]], Tabelle5[[#This Row],[company_id]],Tabelle18[[#This Row],[company_id]], Tabelle5[[#This Row],[value_id]], Tabelle18[[#This Row],[value_id]], Tabelle5[[#This Row],[value_present]],"1")</f>
        <v>0</v>
      </c>
      <c r="E68" s="54">
        <f>_xlfn.MAXIFS(Tabelle5[[#This Row],[value_points]], Tabelle5[[#This Row],[company_id]],Tabelle18[[#This Row],[company_id]], Tabelle5[[#This Row],[value_id]], Tabelle18[[#This Row],[value_id]], Tabelle5[[#This Row],[value_present]],"1")</f>
        <v>0</v>
      </c>
    </row>
    <row r="69" spans="1:5" x14ac:dyDescent="0.25">
      <c r="A69">
        <v>4</v>
      </c>
      <c r="B69" t="s">
        <v>147</v>
      </c>
      <c r="C69" s="54">
        <f>IF(Tabelle18[[#This Row],[binding_level_company]]&gt;=1,1,0)</f>
        <v>0</v>
      </c>
      <c r="D69" s="54">
        <f>_xlfn.MAXIFS(Tabelle5[[#This Row],[binding_level]], Tabelle5[[#This Row],[company_id]],Tabelle18[[#This Row],[company_id]], Tabelle5[[#This Row],[value_id]], Tabelle18[[#This Row],[value_id]], Tabelle5[[#This Row],[value_present]],"1")</f>
        <v>0</v>
      </c>
      <c r="E69" s="54">
        <f>_xlfn.MAXIFS(Tabelle5[[#This Row],[value_points]], Tabelle5[[#This Row],[company_id]],Tabelle18[[#This Row],[company_id]], Tabelle5[[#This Row],[value_id]], Tabelle18[[#This Row],[value_id]], Tabelle5[[#This Row],[value_present]],"1")</f>
        <v>0</v>
      </c>
    </row>
    <row r="70" spans="1:5" x14ac:dyDescent="0.25">
      <c r="A70">
        <v>4</v>
      </c>
      <c r="B70" t="s">
        <v>154</v>
      </c>
      <c r="C70" s="54">
        <f>IF(Tabelle18[[#This Row],[binding_level_company]]&gt;=1,1,0)</f>
        <v>0</v>
      </c>
      <c r="D70" s="54">
        <f>_xlfn.MAXIFS(Tabelle5[[#This Row],[binding_level]], Tabelle5[[#This Row],[company_id]],Tabelle18[[#This Row],[company_id]], Tabelle5[[#This Row],[value_id]], Tabelle18[[#This Row],[value_id]], Tabelle5[[#This Row],[value_present]],"1")</f>
        <v>0</v>
      </c>
      <c r="E70" s="54">
        <f>_xlfn.MAXIFS(Tabelle5[[#This Row],[value_points]], Tabelle5[[#This Row],[company_id]],Tabelle18[[#This Row],[company_id]], Tabelle5[[#This Row],[value_id]], Tabelle18[[#This Row],[value_id]], Tabelle5[[#This Row],[value_present]],"1")</f>
        <v>0</v>
      </c>
    </row>
    <row r="71" spans="1:5" x14ac:dyDescent="0.25">
      <c r="A71">
        <v>4</v>
      </c>
      <c r="B71" t="s">
        <v>161</v>
      </c>
      <c r="C71" s="54">
        <f>IF(Tabelle18[[#This Row],[binding_level_company]]&gt;=1,1,0)</f>
        <v>0</v>
      </c>
      <c r="D71" s="54">
        <f>_xlfn.MAXIFS(Tabelle5[[#This Row],[binding_level]], Tabelle5[[#This Row],[company_id]],Tabelle18[[#This Row],[company_id]], Tabelle5[[#This Row],[value_id]], Tabelle18[[#This Row],[value_id]], Tabelle5[[#This Row],[value_present]],"1")</f>
        <v>0</v>
      </c>
      <c r="E71" s="54">
        <f>_xlfn.MAXIFS(Tabelle5[[#This Row],[value_points]], Tabelle5[[#This Row],[company_id]],Tabelle18[[#This Row],[company_id]], Tabelle5[[#This Row],[value_id]], Tabelle18[[#This Row],[value_id]], Tabelle5[[#This Row],[value_present]],"1")</f>
        <v>0</v>
      </c>
    </row>
    <row r="72" spans="1:5" x14ac:dyDescent="0.25">
      <c r="A72">
        <v>4</v>
      </c>
      <c r="B72" t="s">
        <v>166</v>
      </c>
      <c r="C72" s="54">
        <f>IF(Tabelle18[[#This Row],[binding_level_company]]&gt;=1,1,0)</f>
        <v>0</v>
      </c>
      <c r="D72" s="54">
        <f>_xlfn.MAXIFS(Tabelle5[[#This Row],[binding_level]], Tabelle5[[#This Row],[company_id]],Tabelle18[[#This Row],[company_id]], Tabelle5[[#This Row],[value_id]], Tabelle18[[#This Row],[value_id]], Tabelle5[[#This Row],[value_present]],"1")</f>
        <v>0</v>
      </c>
      <c r="E72" s="54">
        <f>_xlfn.MAXIFS(Tabelle5[[#This Row],[value_points]], Tabelle5[[#This Row],[company_id]],Tabelle18[[#This Row],[company_id]], Tabelle5[[#This Row],[value_id]], Tabelle18[[#This Row],[value_id]], Tabelle5[[#This Row],[value_present]],"1")</f>
        <v>0</v>
      </c>
    </row>
    <row r="73" spans="1:5" ht="15.75" thickBot="1" x14ac:dyDescent="0.3">
      <c r="A73">
        <v>4</v>
      </c>
      <c r="B73" s="30" t="s">
        <v>174</v>
      </c>
      <c r="C73" s="54">
        <f>IF(Tabelle18[[#This Row],[binding_level_company]]&gt;=1,1,0)</f>
        <v>0</v>
      </c>
      <c r="D73" s="54">
        <f>_xlfn.MAXIFS(Tabelle5[[#This Row],[binding_level]], Tabelle5[[#This Row],[company_id]],Tabelle18[[#This Row],[company_id]], Tabelle5[[#This Row],[value_id]], Tabelle18[[#This Row],[value_id]], Tabelle5[[#This Row],[value_present]],"1")</f>
        <v>0</v>
      </c>
      <c r="E73" s="54">
        <f>_xlfn.MAXIFS(Tabelle5[[#This Row],[value_points]], Tabelle5[[#This Row],[company_id]],Tabelle18[[#This Row],[company_id]], Tabelle5[[#This Row],[value_id]], Tabelle18[[#This Row],[value_id]], Tabelle5[[#This Row],[value_present]],"1")</f>
        <v>0</v>
      </c>
    </row>
    <row r="74" spans="1:5" x14ac:dyDescent="0.25">
      <c r="A74">
        <v>5</v>
      </c>
      <c r="B74" s="22" t="s">
        <v>53</v>
      </c>
      <c r="C74" s="54">
        <f>IF(Tabelle18[[#This Row],[binding_level_company]]&gt;=1,1,0)</f>
        <v>0</v>
      </c>
      <c r="D74" s="54">
        <f>_xlfn.MAXIFS(Tabelle5[[#This Row],[binding_level]], Tabelle5[[#This Row],[company_id]],Tabelle18[[#This Row],[company_id]], Tabelle5[[#This Row],[value_id]], Tabelle18[[#This Row],[value_id]], Tabelle5[[#This Row],[value_present]],"1")</f>
        <v>0</v>
      </c>
      <c r="E74" s="54">
        <f>_xlfn.MAXIFS(Tabelle5[[#This Row],[value_points]], Tabelle5[[#This Row],[company_id]],Tabelle18[[#This Row],[company_id]], Tabelle5[[#This Row],[value_id]], Tabelle18[[#This Row],[value_id]], Tabelle5[[#This Row],[value_present]],"1")</f>
        <v>0</v>
      </c>
    </row>
    <row r="75" spans="1:5" x14ac:dyDescent="0.25">
      <c r="A75">
        <v>5</v>
      </c>
      <c r="B75" t="s">
        <v>61</v>
      </c>
      <c r="C75" s="54">
        <f>IF(Tabelle18[[#This Row],[binding_level_company]]&gt;=1,1,0)</f>
        <v>0</v>
      </c>
      <c r="D75" s="54">
        <f>_xlfn.MAXIFS(Tabelle5[[#This Row],[binding_level]], Tabelle5[[#This Row],[company_id]],Tabelle18[[#This Row],[company_id]], Tabelle5[[#This Row],[value_id]], Tabelle18[[#This Row],[value_id]], Tabelle5[[#This Row],[value_present]],"1")</f>
        <v>0</v>
      </c>
      <c r="E75" s="54">
        <f>_xlfn.MAXIFS(Tabelle5[[#This Row],[value_points]], Tabelle5[[#This Row],[company_id]],Tabelle18[[#This Row],[company_id]], Tabelle5[[#This Row],[value_id]], Tabelle18[[#This Row],[value_id]], Tabelle5[[#This Row],[value_present]],"1")</f>
        <v>0</v>
      </c>
    </row>
    <row r="76" spans="1:5" x14ac:dyDescent="0.25">
      <c r="A76">
        <v>5</v>
      </c>
      <c r="B76" t="s">
        <v>69</v>
      </c>
      <c r="C76" s="54">
        <f>IF(Tabelle18[[#This Row],[binding_level_company]]&gt;=1,1,0)</f>
        <v>0</v>
      </c>
      <c r="D76" s="54">
        <f>_xlfn.MAXIFS(Tabelle5[[#This Row],[binding_level]], Tabelle5[[#This Row],[company_id]],Tabelle18[[#This Row],[company_id]], Tabelle5[[#This Row],[value_id]], Tabelle18[[#This Row],[value_id]], Tabelle5[[#This Row],[value_present]],"1")</f>
        <v>0</v>
      </c>
      <c r="E76" s="54">
        <f>_xlfn.MAXIFS(Tabelle5[[#This Row],[value_points]], Tabelle5[[#This Row],[company_id]],Tabelle18[[#This Row],[company_id]], Tabelle5[[#This Row],[value_id]], Tabelle18[[#This Row],[value_id]], Tabelle5[[#This Row],[value_present]],"1")</f>
        <v>0</v>
      </c>
    </row>
    <row r="77" spans="1:5" x14ac:dyDescent="0.25">
      <c r="A77">
        <v>5</v>
      </c>
      <c r="B77" t="s">
        <v>76</v>
      </c>
      <c r="C77" s="54">
        <f>IF(Tabelle18[[#This Row],[binding_level_company]]&gt;=1,1,0)</f>
        <v>0</v>
      </c>
      <c r="D77" s="54">
        <f>_xlfn.MAXIFS(Tabelle5[[#This Row],[binding_level]], Tabelle5[[#This Row],[company_id]],Tabelle18[[#This Row],[company_id]], Tabelle5[[#This Row],[value_id]], Tabelle18[[#This Row],[value_id]], Tabelle5[[#This Row],[value_present]],"1")</f>
        <v>0</v>
      </c>
      <c r="E77" s="54">
        <f>_xlfn.MAXIFS(Tabelle5[[#This Row],[value_points]], Tabelle5[[#This Row],[company_id]],Tabelle18[[#This Row],[company_id]], Tabelle5[[#This Row],[value_id]], Tabelle18[[#This Row],[value_id]], Tabelle5[[#This Row],[value_present]],"1")</f>
        <v>0</v>
      </c>
    </row>
    <row r="78" spans="1:5" x14ac:dyDescent="0.25">
      <c r="A78">
        <v>5</v>
      </c>
      <c r="B78" t="s">
        <v>83</v>
      </c>
      <c r="C78" s="54">
        <f>IF(Tabelle18[[#This Row],[binding_level_company]]&gt;=1,1,0)</f>
        <v>0</v>
      </c>
      <c r="D78" s="54">
        <f>_xlfn.MAXIFS(Tabelle5[[#This Row],[binding_level]], Tabelle5[[#This Row],[company_id]],Tabelle18[[#This Row],[company_id]], Tabelle5[[#This Row],[value_id]], Tabelle18[[#This Row],[value_id]], Tabelle5[[#This Row],[value_present]],"1")</f>
        <v>0</v>
      </c>
      <c r="E78" s="54">
        <f>_xlfn.MAXIFS(Tabelle5[[#This Row],[value_points]], Tabelle5[[#This Row],[company_id]],Tabelle18[[#This Row],[company_id]], Tabelle5[[#This Row],[value_id]], Tabelle18[[#This Row],[value_id]], Tabelle5[[#This Row],[value_present]],"1")</f>
        <v>0</v>
      </c>
    </row>
    <row r="79" spans="1:5" x14ac:dyDescent="0.25">
      <c r="A79">
        <v>5</v>
      </c>
      <c r="B79" t="s">
        <v>90</v>
      </c>
      <c r="C79" s="54">
        <f>IF(Tabelle18[[#This Row],[binding_level_company]]&gt;=1,1,0)</f>
        <v>0</v>
      </c>
      <c r="D79" s="54">
        <f>_xlfn.MAXIFS(Tabelle5[[#This Row],[binding_level]], Tabelle5[[#This Row],[company_id]],Tabelle18[[#This Row],[company_id]], Tabelle5[[#This Row],[value_id]], Tabelle18[[#This Row],[value_id]], Tabelle5[[#This Row],[value_present]],"1")</f>
        <v>0</v>
      </c>
      <c r="E79" s="54">
        <f>_xlfn.MAXIFS(Tabelle5[[#This Row],[value_points]], Tabelle5[[#This Row],[company_id]],Tabelle18[[#This Row],[company_id]], Tabelle5[[#This Row],[value_id]], Tabelle18[[#This Row],[value_id]], Tabelle5[[#This Row],[value_present]],"1")</f>
        <v>0</v>
      </c>
    </row>
    <row r="80" spans="1:5" x14ac:dyDescent="0.25">
      <c r="A80">
        <v>5</v>
      </c>
      <c r="B80" t="s">
        <v>98</v>
      </c>
      <c r="C80" s="54">
        <f>IF(Tabelle18[[#This Row],[binding_level_company]]&gt;=1,1,0)</f>
        <v>0</v>
      </c>
      <c r="D80" s="54">
        <f>_xlfn.MAXIFS(Tabelle5[[#This Row],[binding_level]], Tabelle5[[#This Row],[company_id]],Tabelle18[[#This Row],[company_id]], Tabelle5[[#This Row],[value_id]], Tabelle18[[#This Row],[value_id]], Tabelle5[[#This Row],[value_present]],"1")</f>
        <v>0</v>
      </c>
      <c r="E80" s="54">
        <f>_xlfn.MAXIFS(Tabelle5[[#This Row],[value_points]], Tabelle5[[#This Row],[company_id]],Tabelle18[[#This Row],[company_id]], Tabelle5[[#This Row],[value_id]], Tabelle18[[#This Row],[value_id]], Tabelle5[[#This Row],[value_present]],"1")</f>
        <v>0</v>
      </c>
    </row>
    <row r="81" spans="1:5" x14ac:dyDescent="0.25">
      <c r="A81">
        <v>5</v>
      </c>
      <c r="B81" t="s">
        <v>106</v>
      </c>
      <c r="C81" s="54">
        <f>IF(Tabelle18[[#This Row],[binding_level_company]]&gt;=1,1,0)</f>
        <v>0</v>
      </c>
      <c r="D81" s="54">
        <f>_xlfn.MAXIFS(Tabelle5[[#This Row],[binding_level]], Tabelle5[[#This Row],[company_id]],Tabelle18[[#This Row],[company_id]], Tabelle5[[#This Row],[value_id]], Tabelle18[[#This Row],[value_id]], Tabelle5[[#This Row],[value_present]],"1")</f>
        <v>0</v>
      </c>
      <c r="E81" s="54">
        <f>_xlfn.MAXIFS(Tabelle5[[#This Row],[value_points]], Tabelle5[[#This Row],[company_id]],Tabelle18[[#This Row],[company_id]], Tabelle5[[#This Row],[value_id]], Tabelle18[[#This Row],[value_id]], Tabelle5[[#This Row],[value_present]],"1")</f>
        <v>0</v>
      </c>
    </row>
    <row r="82" spans="1:5" x14ac:dyDescent="0.25">
      <c r="A82">
        <v>5</v>
      </c>
      <c r="B82" t="s">
        <v>112</v>
      </c>
      <c r="C82" s="54">
        <f>IF(Tabelle18[[#This Row],[binding_level_company]]&gt;=1,1,0)</f>
        <v>0</v>
      </c>
      <c r="D82" s="54">
        <f>_xlfn.MAXIFS(Tabelle5[[#This Row],[binding_level]], Tabelle5[[#This Row],[company_id]],Tabelle18[[#This Row],[company_id]], Tabelle5[[#This Row],[value_id]], Tabelle18[[#This Row],[value_id]], Tabelle5[[#This Row],[value_present]],"1")</f>
        <v>0</v>
      </c>
      <c r="E82" s="54">
        <f>_xlfn.MAXIFS(Tabelle5[[#This Row],[value_points]], Tabelle5[[#This Row],[company_id]],Tabelle18[[#This Row],[company_id]], Tabelle5[[#This Row],[value_id]], Tabelle18[[#This Row],[value_id]], Tabelle5[[#This Row],[value_present]],"1")</f>
        <v>0</v>
      </c>
    </row>
    <row r="83" spans="1:5" x14ac:dyDescent="0.25">
      <c r="A83">
        <v>5</v>
      </c>
      <c r="B83" t="s">
        <v>118</v>
      </c>
      <c r="C83" s="54">
        <f>IF(Tabelle18[[#This Row],[binding_level_company]]&gt;=1,1,0)</f>
        <v>0</v>
      </c>
      <c r="D83" s="54">
        <f>_xlfn.MAXIFS(Tabelle5[[#This Row],[binding_level]], Tabelle5[[#This Row],[company_id]],Tabelle18[[#This Row],[company_id]], Tabelle5[[#This Row],[value_id]], Tabelle18[[#This Row],[value_id]], Tabelle5[[#This Row],[value_present]],"1")</f>
        <v>0</v>
      </c>
      <c r="E83" s="54">
        <f>_xlfn.MAXIFS(Tabelle5[[#This Row],[value_points]], Tabelle5[[#This Row],[company_id]],Tabelle18[[#This Row],[company_id]], Tabelle5[[#This Row],[value_id]], Tabelle18[[#This Row],[value_id]], Tabelle5[[#This Row],[value_present]],"1")</f>
        <v>0</v>
      </c>
    </row>
    <row r="84" spans="1:5" x14ac:dyDescent="0.25">
      <c r="A84">
        <v>5</v>
      </c>
      <c r="B84" t="s">
        <v>125</v>
      </c>
      <c r="C84" s="54">
        <f>IF(Tabelle18[[#This Row],[binding_level_company]]&gt;=1,1,0)</f>
        <v>0</v>
      </c>
      <c r="D84" s="54">
        <f>_xlfn.MAXIFS(Tabelle5[[#This Row],[binding_level]], Tabelle5[[#This Row],[company_id]],Tabelle18[[#This Row],[company_id]], Tabelle5[[#This Row],[value_id]], Tabelle18[[#This Row],[value_id]], Tabelle5[[#This Row],[value_present]],"1")</f>
        <v>0</v>
      </c>
      <c r="E84" s="54">
        <f>_xlfn.MAXIFS(Tabelle5[[#This Row],[value_points]], Tabelle5[[#This Row],[company_id]],Tabelle18[[#This Row],[company_id]], Tabelle5[[#This Row],[value_id]], Tabelle18[[#This Row],[value_id]], Tabelle5[[#This Row],[value_present]],"1")</f>
        <v>0</v>
      </c>
    </row>
    <row r="85" spans="1:5" x14ac:dyDescent="0.25">
      <c r="A85">
        <v>5</v>
      </c>
      <c r="B85" t="s">
        <v>132</v>
      </c>
      <c r="C85" s="54">
        <f>IF(Tabelle18[[#This Row],[binding_level_company]]&gt;=1,1,0)</f>
        <v>0</v>
      </c>
      <c r="D85" s="54">
        <f>_xlfn.MAXIFS(Tabelle5[[#This Row],[binding_level]], Tabelle5[[#This Row],[company_id]],Tabelle18[[#This Row],[company_id]], Tabelle5[[#This Row],[value_id]], Tabelle18[[#This Row],[value_id]], Tabelle5[[#This Row],[value_present]],"1")</f>
        <v>0</v>
      </c>
      <c r="E85" s="54">
        <f>_xlfn.MAXIFS(Tabelle5[[#This Row],[value_points]], Tabelle5[[#This Row],[company_id]],Tabelle18[[#This Row],[company_id]], Tabelle5[[#This Row],[value_id]], Tabelle18[[#This Row],[value_id]], Tabelle5[[#This Row],[value_present]],"1")</f>
        <v>0</v>
      </c>
    </row>
    <row r="86" spans="1:5" x14ac:dyDescent="0.25">
      <c r="A86">
        <v>5</v>
      </c>
      <c r="B86" t="s">
        <v>140</v>
      </c>
      <c r="C86" s="54">
        <f>IF(Tabelle18[[#This Row],[binding_level_company]]&gt;=1,1,0)</f>
        <v>0</v>
      </c>
      <c r="D86" s="54">
        <f>_xlfn.MAXIFS(Tabelle5[[#This Row],[binding_level]], Tabelle5[[#This Row],[company_id]],Tabelle18[[#This Row],[company_id]], Tabelle5[[#This Row],[value_id]], Tabelle18[[#This Row],[value_id]], Tabelle5[[#This Row],[value_present]],"1")</f>
        <v>0</v>
      </c>
      <c r="E86" s="54">
        <f>_xlfn.MAXIFS(Tabelle5[[#This Row],[value_points]], Tabelle5[[#This Row],[company_id]],Tabelle18[[#This Row],[company_id]], Tabelle5[[#This Row],[value_id]], Tabelle18[[#This Row],[value_id]], Tabelle5[[#This Row],[value_present]],"1")</f>
        <v>0</v>
      </c>
    </row>
    <row r="87" spans="1:5" x14ac:dyDescent="0.25">
      <c r="A87">
        <v>5</v>
      </c>
      <c r="B87" t="s">
        <v>147</v>
      </c>
      <c r="C87" s="54">
        <f>IF(Tabelle18[[#This Row],[binding_level_company]]&gt;=1,1,0)</f>
        <v>0</v>
      </c>
      <c r="D87" s="54">
        <f>_xlfn.MAXIFS(Tabelle5[[#This Row],[binding_level]], Tabelle5[[#This Row],[company_id]],Tabelle18[[#This Row],[company_id]], Tabelle5[[#This Row],[value_id]], Tabelle18[[#This Row],[value_id]], Tabelle5[[#This Row],[value_present]],"1")</f>
        <v>0</v>
      </c>
      <c r="E87" s="54">
        <f>_xlfn.MAXIFS(Tabelle5[[#This Row],[value_points]], Tabelle5[[#This Row],[company_id]],Tabelle18[[#This Row],[company_id]], Tabelle5[[#This Row],[value_id]], Tabelle18[[#This Row],[value_id]], Tabelle5[[#This Row],[value_present]],"1")</f>
        <v>0</v>
      </c>
    </row>
    <row r="88" spans="1:5" x14ac:dyDescent="0.25">
      <c r="A88">
        <v>5</v>
      </c>
      <c r="B88" t="s">
        <v>154</v>
      </c>
      <c r="C88" s="54">
        <f>IF(Tabelle18[[#This Row],[binding_level_company]]&gt;=1,1,0)</f>
        <v>0</v>
      </c>
      <c r="D88" s="54">
        <f>_xlfn.MAXIFS(Tabelle5[[#This Row],[binding_level]], Tabelle5[[#This Row],[company_id]],Tabelle18[[#This Row],[company_id]], Tabelle5[[#This Row],[value_id]], Tabelle18[[#This Row],[value_id]], Tabelle5[[#This Row],[value_present]],"1")</f>
        <v>0</v>
      </c>
      <c r="E88" s="54">
        <f>_xlfn.MAXIFS(Tabelle5[[#This Row],[value_points]], Tabelle5[[#This Row],[company_id]],Tabelle18[[#This Row],[company_id]], Tabelle5[[#This Row],[value_id]], Tabelle18[[#This Row],[value_id]], Tabelle5[[#This Row],[value_present]],"1")</f>
        <v>0</v>
      </c>
    </row>
    <row r="89" spans="1:5" x14ac:dyDescent="0.25">
      <c r="A89">
        <v>5</v>
      </c>
      <c r="B89" t="s">
        <v>161</v>
      </c>
      <c r="C89" s="54">
        <f>IF(Tabelle18[[#This Row],[binding_level_company]]&gt;=1,1,0)</f>
        <v>0</v>
      </c>
      <c r="D89" s="54">
        <f>_xlfn.MAXIFS(Tabelle5[[#This Row],[binding_level]], Tabelle5[[#This Row],[company_id]],Tabelle18[[#This Row],[company_id]], Tabelle5[[#This Row],[value_id]], Tabelle18[[#This Row],[value_id]], Tabelle5[[#This Row],[value_present]],"1")</f>
        <v>0</v>
      </c>
      <c r="E89" s="54">
        <f>_xlfn.MAXIFS(Tabelle5[[#This Row],[value_points]], Tabelle5[[#This Row],[company_id]],Tabelle18[[#This Row],[company_id]], Tabelle5[[#This Row],[value_id]], Tabelle18[[#This Row],[value_id]], Tabelle5[[#This Row],[value_present]],"1")</f>
        <v>0</v>
      </c>
    </row>
    <row r="90" spans="1:5" x14ac:dyDescent="0.25">
      <c r="A90">
        <v>5</v>
      </c>
      <c r="B90" t="s">
        <v>166</v>
      </c>
      <c r="C90" s="54">
        <f>IF(Tabelle18[[#This Row],[binding_level_company]]&gt;=1,1,0)</f>
        <v>0</v>
      </c>
      <c r="D90" s="54">
        <f>_xlfn.MAXIFS(Tabelle5[[#This Row],[binding_level]], Tabelle5[[#This Row],[company_id]],Tabelle18[[#This Row],[company_id]], Tabelle5[[#This Row],[value_id]], Tabelle18[[#This Row],[value_id]], Tabelle5[[#This Row],[value_present]],"1")</f>
        <v>0</v>
      </c>
      <c r="E90" s="54">
        <f>_xlfn.MAXIFS(Tabelle5[[#This Row],[value_points]], Tabelle5[[#This Row],[company_id]],Tabelle18[[#This Row],[company_id]], Tabelle5[[#This Row],[value_id]], Tabelle18[[#This Row],[value_id]], Tabelle5[[#This Row],[value_present]],"1")</f>
        <v>0</v>
      </c>
    </row>
    <row r="91" spans="1:5" ht="15.75" thickBot="1" x14ac:dyDescent="0.3">
      <c r="A91">
        <v>5</v>
      </c>
      <c r="B91" s="30" t="s">
        <v>174</v>
      </c>
      <c r="C91" s="54">
        <f>IF(Tabelle18[[#This Row],[binding_level_company]]&gt;=1,1,0)</f>
        <v>0</v>
      </c>
      <c r="D91" s="54">
        <f>_xlfn.MAXIFS(Tabelle5[[#This Row],[binding_level]], Tabelle5[[#This Row],[company_id]],Tabelle18[[#This Row],[company_id]], Tabelle5[[#This Row],[value_id]], Tabelle18[[#This Row],[value_id]], Tabelle5[[#This Row],[value_present]],"1")</f>
        <v>0</v>
      </c>
      <c r="E91" s="54">
        <f>_xlfn.MAXIFS(Tabelle5[[#This Row],[value_points]], Tabelle5[[#This Row],[company_id]],Tabelle18[[#This Row],[company_id]], Tabelle5[[#This Row],[value_id]], Tabelle18[[#This Row],[value_id]], Tabelle5[[#This Row],[value_present]],"1")</f>
        <v>0</v>
      </c>
    </row>
    <row r="92" spans="1:5" x14ac:dyDescent="0.25">
      <c r="A92">
        <v>6</v>
      </c>
      <c r="B92" s="22" t="s">
        <v>53</v>
      </c>
      <c r="C92" s="54">
        <f>IF(Tabelle18[[#This Row],[binding_level_company]]&gt;=1,1,0)</f>
        <v>0</v>
      </c>
      <c r="D92" s="54">
        <f>_xlfn.MAXIFS(Tabelle5[[#This Row],[binding_level]], Tabelle5[[#This Row],[company_id]],Tabelle18[[#This Row],[company_id]], Tabelle5[[#This Row],[value_id]], Tabelle18[[#This Row],[value_id]], Tabelle5[[#This Row],[value_present]],"1")</f>
        <v>0</v>
      </c>
      <c r="E92" s="54">
        <f>_xlfn.MAXIFS(Tabelle5[[#This Row],[value_points]], Tabelle5[[#This Row],[company_id]],Tabelle18[[#This Row],[company_id]], Tabelle5[[#This Row],[value_id]], Tabelle18[[#This Row],[value_id]], Tabelle5[[#This Row],[value_present]],"1")</f>
        <v>0</v>
      </c>
    </row>
    <row r="93" spans="1:5" x14ac:dyDescent="0.25">
      <c r="A93">
        <v>6</v>
      </c>
      <c r="B93" t="s">
        <v>61</v>
      </c>
      <c r="C93" s="54">
        <f>IF(Tabelle18[[#This Row],[binding_level_company]]&gt;=1,1,0)</f>
        <v>0</v>
      </c>
      <c r="D93" s="54">
        <f>_xlfn.MAXIFS(Tabelle5[[#This Row],[binding_level]], Tabelle5[[#This Row],[company_id]],Tabelle18[[#This Row],[company_id]], Tabelle5[[#This Row],[value_id]], Tabelle18[[#This Row],[value_id]], Tabelle5[[#This Row],[value_present]],"1")</f>
        <v>0</v>
      </c>
      <c r="E93" s="54">
        <f>_xlfn.MAXIFS(Tabelle5[[#This Row],[value_points]], Tabelle5[[#This Row],[company_id]],Tabelle18[[#This Row],[company_id]], Tabelle5[[#This Row],[value_id]], Tabelle18[[#This Row],[value_id]], Tabelle5[[#This Row],[value_present]],"1")</f>
        <v>0</v>
      </c>
    </row>
    <row r="94" spans="1:5" x14ac:dyDescent="0.25">
      <c r="A94">
        <v>6</v>
      </c>
      <c r="B94" t="s">
        <v>69</v>
      </c>
      <c r="C94" s="54">
        <f>IF(Tabelle18[[#This Row],[binding_level_company]]&gt;=1,1,0)</f>
        <v>0</v>
      </c>
      <c r="D94" s="54">
        <f>_xlfn.MAXIFS(Tabelle5[[#This Row],[binding_level]], Tabelle5[[#This Row],[company_id]],Tabelle18[[#This Row],[company_id]], Tabelle5[[#This Row],[value_id]], Tabelle18[[#This Row],[value_id]], Tabelle5[[#This Row],[value_present]],"1")</f>
        <v>0</v>
      </c>
      <c r="E94" s="54">
        <f>_xlfn.MAXIFS(Tabelle5[[#This Row],[value_points]], Tabelle5[[#This Row],[company_id]],Tabelle18[[#This Row],[company_id]], Tabelle5[[#This Row],[value_id]], Tabelle18[[#This Row],[value_id]], Tabelle5[[#This Row],[value_present]],"1")</f>
        <v>0</v>
      </c>
    </row>
    <row r="95" spans="1:5" x14ac:dyDescent="0.25">
      <c r="A95">
        <v>6</v>
      </c>
      <c r="B95" t="s">
        <v>76</v>
      </c>
      <c r="C95" s="54">
        <f>IF(Tabelle18[[#This Row],[binding_level_company]]&gt;=1,1,0)</f>
        <v>0</v>
      </c>
      <c r="D95" s="54">
        <f>_xlfn.MAXIFS(Tabelle5[[#This Row],[binding_level]], Tabelle5[[#This Row],[company_id]],Tabelle18[[#This Row],[company_id]], Tabelle5[[#This Row],[value_id]], Tabelle18[[#This Row],[value_id]], Tabelle5[[#This Row],[value_present]],"1")</f>
        <v>0</v>
      </c>
      <c r="E95" s="54">
        <f>_xlfn.MAXIFS(Tabelle5[[#This Row],[value_points]], Tabelle5[[#This Row],[company_id]],Tabelle18[[#This Row],[company_id]], Tabelle5[[#This Row],[value_id]], Tabelle18[[#This Row],[value_id]], Tabelle5[[#This Row],[value_present]],"1")</f>
        <v>0</v>
      </c>
    </row>
    <row r="96" spans="1:5" x14ac:dyDescent="0.25">
      <c r="A96">
        <v>6</v>
      </c>
      <c r="B96" t="s">
        <v>83</v>
      </c>
      <c r="C96" s="54">
        <f>IF(Tabelle18[[#This Row],[binding_level_company]]&gt;=1,1,0)</f>
        <v>0</v>
      </c>
      <c r="D96" s="54">
        <f>_xlfn.MAXIFS(Tabelle5[[#This Row],[binding_level]], Tabelle5[[#This Row],[company_id]],Tabelle18[[#This Row],[company_id]], Tabelle5[[#This Row],[value_id]], Tabelle18[[#This Row],[value_id]], Tabelle5[[#This Row],[value_present]],"1")</f>
        <v>0</v>
      </c>
      <c r="E96" s="54">
        <f>_xlfn.MAXIFS(Tabelle5[[#This Row],[value_points]], Tabelle5[[#This Row],[company_id]],Tabelle18[[#This Row],[company_id]], Tabelle5[[#This Row],[value_id]], Tabelle18[[#This Row],[value_id]], Tabelle5[[#This Row],[value_present]],"1")</f>
        <v>0</v>
      </c>
    </row>
    <row r="97" spans="1:5" x14ac:dyDescent="0.25">
      <c r="A97">
        <v>6</v>
      </c>
      <c r="B97" t="s">
        <v>90</v>
      </c>
      <c r="C97" s="54">
        <f>IF(Tabelle18[[#This Row],[binding_level_company]]&gt;=1,1,0)</f>
        <v>0</v>
      </c>
      <c r="D97" s="54">
        <f>_xlfn.MAXIFS(Tabelle5[[#This Row],[binding_level]], Tabelle5[[#This Row],[company_id]],Tabelle18[[#This Row],[company_id]], Tabelle5[[#This Row],[value_id]], Tabelle18[[#This Row],[value_id]], Tabelle5[[#This Row],[value_present]],"1")</f>
        <v>0</v>
      </c>
      <c r="E97" s="54">
        <f>_xlfn.MAXIFS(Tabelle5[[#This Row],[value_points]], Tabelle5[[#This Row],[company_id]],Tabelle18[[#This Row],[company_id]], Tabelle5[[#This Row],[value_id]], Tabelle18[[#This Row],[value_id]], Tabelle5[[#This Row],[value_present]],"1")</f>
        <v>0</v>
      </c>
    </row>
    <row r="98" spans="1:5" x14ac:dyDescent="0.25">
      <c r="A98">
        <v>6</v>
      </c>
      <c r="B98" t="s">
        <v>98</v>
      </c>
      <c r="C98" s="54">
        <f>IF(Tabelle18[[#This Row],[binding_level_company]]&gt;=1,1,0)</f>
        <v>0</v>
      </c>
      <c r="D98" s="54">
        <f>_xlfn.MAXIFS(Tabelle5[[#This Row],[binding_level]], Tabelle5[[#This Row],[company_id]],Tabelle18[[#This Row],[company_id]], Tabelle5[[#This Row],[value_id]], Tabelle18[[#This Row],[value_id]], Tabelle5[[#This Row],[value_present]],"1")</f>
        <v>0</v>
      </c>
      <c r="E98" s="54">
        <f>_xlfn.MAXIFS(Tabelle5[[#This Row],[value_points]], Tabelle5[[#This Row],[company_id]],Tabelle18[[#This Row],[company_id]], Tabelle5[[#This Row],[value_id]], Tabelle18[[#This Row],[value_id]], Tabelle5[[#This Row],[value_present]],"1")</f>
        <v>0</v>
      </c>
    </row>
    <row r="99" spans="1:5" x14ac:dyDescent="0.25">
      <c r="A99">
        <v>6</v>
      </c>
      <c r="B99" t="s">
        <v>106</v>
      </c>
      <c r="C99" s="54">
        <f>IF(Tabelle18[[#This Row],[binding_level_company]]&gt;=1,1,0)</f>
        <v>0</v>
      </c>
      <c r="D99" s="54">
        <f>_xlfn.MAXIFS(Tabelle5[[#This Row],[binding_level]], Tabelle5[[#This Row],[company_id]],Tabelle18[[#This Row],[company_id]], Tabelle5[[#This Row],[value_id]], Tabelle18[[#This Row],[value_id]], Tabelle5[[#This Row],[value_present]],"1")</f>
        <v>0</v>
      </c>
      <c r="E99" s="54">
        <f>_xlfn.MAXIFS(Tabelle5[[#This Row],[value_points]], Tabelle5[[#This Row],[company_id]],Tabelle18[[#This Row],[company_id]], Tabelle5[[#This Row],[value_id]], Tabelle18[[#This Row],[value_id]], Tabelle5[[#This Row],[value_present]],"1")</f>
        <v>0</v>
      </c>
    </row>
    <row r="100" spans="1:5" x14ac:dyDescent="0.25">
      <c r="A100">
        <v>6</v>
      </c>
      <c r="B100" t="s">
        <v>112</v>
      </c>
      <c r="C100" s="54">
        <f>IF(Tabelle18[[#This Row],[binding_level_company]]&gt;=1,1,0)</f>
        <v>0</v>
      </c>
      <c r="D100" s="54">
        <f>_xlfn.MAXIFS(Tabelle5[[#This Row],[binding_level]], Tabelle5[[#This Row],[company_id]],Tabelle18[[#This Row],[company_id]], Tabelle5[[#This Row],[value_id]], Tabelle18[[#This Row],[value_id]], Tabelle5[[#This Row],[value_present]],"1")</f>
        <v>0</v>
      </c>
      <c r="E100" s="54">
        <f>_xlfn.MAXIFS(Tabelle5[[#This Row],[value_points]], Tabelle5[[#This Row],[company_id]],Tabelle18[[#This Row],[company_id]], Tabelle5[[#This Row],[value_id]], Tabelle18[[#This Row],[value_id]], Tabelle5[[#This Row],[value_present]],"1")</f>
        <v>0</v>
      </c>
    </row>
    <row r="101" spans="1:5" x14ac:dyDescent="0.25">
      <c r="A101">
        <v>6</v>
      </c>
      <c r="B101" t="s">
        <v>118</v>
      </c>
      <c r="C101" s="54">
        <f>IF(Tabelle18[[#This Row],[binding_level_company]]&gt;=1,1,0)</f>
        <v>0</v>
      </c>
      <c r="D101" s="54">
        <f>_xlfn.MAXIFS(Tabelle5[[#This Row],[binding_level]], Tabelle5[[#This Row],[company_id]],Tabelle18[[#This Row],[company_id]], Tabelle5[[#This Row],[value_id]], Tabelle18[[#This Row],[value_id]], Tabelle5[[#This Row],[value_present]],"1")</f>
        <v>0</v>
      </c>
      <c r="E101" s="54">
        <f>_xlfn.MAXIFS(Tabelle5[[#This Row],[value_points]], Tabelle5[[#This Row],[company_id]],Tabelle18[[#This Row],[company_id]], Tabelle5[[#This Row],[value_id]], Tabelle18[[#This Row],[value_id]], Tabelle5[[#This Row],[value_present]],"1")</f>
        <v>0</v>
      </c>
    </row>
    <row r="102" spans="1:5" x14ac:dyDescent="0.25">
      <c r="A102">
        <v>6</v>
      </c>
      <c r="B102" t="s">
        <v>125</v>
      </c>
      <c r="C102" s="54">
        <f>IF(Tabelle18[[#This Row],[binding_level_company]]&gt;=1,1,0)</f>
        <v>0</v>
      </c>
      <c r="D102" s="54">
        <f>_xlfn.MAXIFS(Tabelle5[[#This Row],[binding_level]], Tabelle5[[#This Row],[company_id]],Tabelle18[[#This Row],[company_id]], Tabelle5[[#This Row],[value_id]], Tabelle18[[#This Row],[value_id]], Tabelle5[[#This Row],[value_present]],"1")</f>
        <v>0</v>
      </c>
      <c r="E102" s="54">
        <f>_xlfn.MAXIFS(Tabelle5[[#This Row],[value_points]], Tabelle5[[#This Row],[company_id]],Tabelle18[[#This Row],[company_id]], Tabelle5[[#This Row],[value_id]], Tabelle18[[#This Row],[value_id]], Tabelle5[[#This Row],[value_present]],"1")</f>
        <v>0</v>
      </c>
    </row>
    <row r="103" spans="1:5" x14ac:dyDescent="0.25">
      <c r="A103">
        <v>6</v>
      </c>
      <c r="B103" t="s">
        <v>132</v>
      </c>
      <c r="C103" s="54">
        <f>IF(Tabelle18[[#This Row],[binding_level_company]]&gt;=1,1,0)</f>
        <v>0</v>
      </c>
      <c r="D103" s="54">
        <f>_xlfn.MAXIFS(Tabelle5[[#This Row],[binding_level]], Tabelle5[[#This Row],[company_id]],Tabelle18[[#This Row],[company_id]], Tabelle5[[#This Row],[value_id]], Tabelle18[[#This Row],[value_id]], Tabelle5[[#This Row],[value_present]],"1")</f>
        <v>0</v>
      </c>
      <c r="E103" s="54">
        <f>_xlfn.MAXIFS(Tabelle5[[#This Row],[value_points]], Tabelle5[[#This Row],[company_id]],Tabelle18[[#This Row],[company_id]], Tabelle5[[#This Row],[value_id]], Tabelle18[[#This Row],[value_id]], Tabelle5[[#This Row],[value_present]],"1")</f>
        <v>0</v>
      </c>
    </row>
    <row r="104" spans="1:5" x14ac:dyDescent="0.25">
      <c r="A104">
        <v>6</v>
      </c>
      <c r="B104" t="s">
        <v>140</v>
      </c>
      <c r="C104" s="54">
        <f>IF(Tabelle18[[#This Row],[binding_level_company]]&gt;=1,1,0)</f>
        <v>0</v>
      </c>
      <c r="D104" s="54">
        <f>_xlfn.MAXIFS(Tabelle5[[#This Row],[binding_level]], Tabelle5[[#This Row],[company_id]],Tabelle18[[#This Row],[company_id]], Tabelle5[[#This Row],[value_id]], Tabelle18[[#This Row],[value_id]], Tabelle5[[#This Row],[value_present]],"1")</f>
        <v>0</v>
      </c>
      <c r="E104" s="54">
        <f>_xlfn.MAXIFS(Tabelle5[[#This Row],[value_points]], Tabelle5[[#This Row],[company_id]],Tabelle18[[#This Row],[company_id]], Tabelle5[[#This Row],[value_id]], Tabelle18[[#This Row],[value_id]], Tabelle5[[#This Row],[value_present]],"1")</f>
        <v>0</v>
      </c>
    </row>
    <row r="105" spans="1:5" x14ac:dyDescent="0.25">
      <c r="A105">
        <v>6</v>
      </c>
      <c r="B105" t="s">
        <v>147</v>
      </c>
      <c r="C105" s="54">
        <f>IF(Tabelle18[[#This Row],[binding_level_company]]&gt;=1,1,0)</f>
        <v>0</v>
      </c>
      <c r="D105" s="54">
        <f>_xlfn.MAXIFS(Tabelle5[[#This Row],[binding_level]], Tabelle5[[#This Row],[company_id]],Tabelle18[[#This Row],[company_id]], Tabelle5[[#This Row],[value_id]], Tabelle18[[#This Row],[value_id]], Tabelle5[[#This Row],[value_present]],"1")</f>
        <v>0</v>
      </c>
      <c r="E105" s="54">
        <f>_xlfn.MAXIFS(Tabelle5[[#This Row],[value_points]], Tabelle5[[#This Row],[company_id]],Tabelle18[[#This Row],[company_id]], Tabelle5[[#This Row],[value_id]], Tabelle18[[#This Row],[value_id]], Tabelle5[[#This Row],[value_present]],"1")</f>
        <v>0</v>
      </c>
    </row>
    <row r="106" spans="1:5" x14ac:dyDescent="0.25">
      <c r="A106">
        <v>6</v>
      </c>
      <c r="B106" t="s">
        <v>154</v>
      </c>
      <c r="C106" s="54">
        <f>IF(Tabelle18[[#This Row],[binding_level_company]]&gt;=1,1,0)</f>
        <v>0</v>
      </c>
      <c r="D106" s="54">
        <f>_xlfn.MAXIFS(Tabelle5[[#This Row],[binding_level]], Tabelle5[[#This Row],[company_id]],Tabelle18[[#This Row],[company_id]], Tabelle5[[#This Row],[value_id]], Tabelle18[[#This Row],[value_id]], Tabelle5[[#This Row],[value_present]],"1")</f>
        <v>0</v>
      </c>
      <c r="E106" s="54">
        <f>_xlfn.MAXIFS(Tabelle5[[#This Row],[value_points]], Tabelle5[[#This Row],[company_id]],Tabelle18[[#This Row],[company_id]], Tabelle5[[#This Row],[value_id]], Tabelle18[[#This Row],[value_id]], Tabelle5[[#This Row],[value_present]],"1")</f>
        <v>0</v>
      </c>
    </row>
    <row r="107" spans="1:5" x14ac:dyDescent="0.25">
      <c r="A107">
        <v>6</v>
      </c>
      <c r="B107" t="s">
        <v>161</v>
      </c>
      <c r="C107" s="54">
        <f>IF(Tabelle18[[#This Row],[binding_level_company]]&gt;=1,1,0)</f>
        <v>0</v>
      </c>
      <c r="D107" s="54">
        <f>_xlfn.MAXIFS(Tabelle5[[#This Row],[binding_level]], Tabelle5[[#This Row],[company_id]],Tabelle18[[#This Row],[company_id]], Tabelle5[[#This Row],[value_id]], Tabelle18[[#This Row],[value_id]], Tabelle5[[#This Row],[value_present]],"1")</f>
        <v>0</v>
      </c>
      <c r="E107" s="54">
        <f>_xlfn.MAXIFS(Tabelle5[[#This Row],[value_points]], Tabelle5[[#This Row],[company_id]],Tabelle18[[#This Row],[company_id]], Tabelle5[[#This Row],[value_id]], Tabelle18[[#This Row],[value_id]], Tabelle5[[#This Row],[value_present]],"1")</f>
        <v>0</v>
      </c>
    </row>
    <row r="108" spans="1:5" x14ac:dyDescent="0.25">
      <c r="A108">
        <v>6</v>
      </c>
      <c r="B108" t="s">
        <v>166</v>
      </c>
      <c r="C108" s="54">
        <f>IF(Tabelle18[[#This Row],[binding_level_company]]&gt;=1,1,0)</f>
        <v>0</v>
      </c>
      <c r="D108" s="54">
        <f>_xlfn.MAXIFS(Tabelle5[[#This Row],[binding_level]], Tabelle5[[#This Row],[company_id]],Tabelle18[[#This Row],[company_id]], Tabelle5[[#This Row],[value_id]], Tabelle18[[#This Row],[value_id]], Tabelle5[[#This Row],[value_present]],"1")</f>
        <v>0</v>
      </c>
      <c r="E108" s="54">
        <f>_xlfn.MAXIFS(Tabelle5[[#This Row],[value_points]], Tabelle5[[#This Row],[company_id]],Tabelle18[[#This Row],[company_id]], Tabelle5[[#This Row],[value_id]], Tabelle18[[#This Row],[value_id]], Tabelle5[[#This Row],[value_present]],"1")</f>
        <v>0</v>
      </c>
    </row>
    <row r="109" spans="1:5" ht="15.75" thickBot="1" x14ac:dyDescent="0.3">
      <c r="A109">
        <v>6</v>
      </c>
      <c r="B109" s="30" t="s">
        <v>174</v>
      </c>
      <c r="C109" s="54">
        <f>IF(Tabelle18[[#This Row],[binding_level_company]]&gt;=1,1,0)</f>
        <v>0</v>
      </c>
      <c r="D109" s="54">
        <f>_xlfn.MAXIFS(Tabelle5[[#This Row],[binding_level]], Tabelle5[[#This Row],[company_id]],Tabelle18[[#This Row],[company_id]], Tabelle5[[#This Row],[value_id]], Tabelle18[[#This Row],[value_id]], Tabelle5[[#This Row],[value_present]],"1")</f>
        <v>0</v>
      </c>
      <c r="E109" s="54">
        <f>_xlfn.MAXIFS(Tabelle5[[#This Row],[value_points]], Tabelle5[[#This Row],[company_id]],Tabelle18[[#This Row],[company_id]], Tabelle5[[#This Row],[value_id]], Tabelle18[[#This Row],[value_id]], Tabelle5[[#This Row],[value_present]],"1")</f>
        <v>0</v>
      </c>
    </row>
    <row r="110" spans="1:5" x14ac:dyDescent="0.25">
      <c r="A110">
        <v>7</v>
      </c>
      <c r="B110" s="22" t="s">
        <v>53</v>
      </c>
      <c r="C110" s="54">
        <f>IF(Tabelle18[[#This Row],[binding_level_company]]&gt;=1,1,0)</f>
        <v>0</v>
      </c>
      <c r="D110" s="54">
        <f>_xlfn.MAXIFS(Tabelle5[[#This Row],[binding_level]], Tabelle5[[#This Row],[company_id]],Tabelle18[[#This Row],[company_id]], Tabelle5[[#This Row],[value_id]], Tabelle18[[#This Row],[value_id]], Tabelle5[[#This Row],[value_present]],"1")</f>
        <v>0</v>
      </c>
      <c r="E110" s="54">
        <f>_xlfn.MAXIFS(Tabelle5[[#This Row],[value_points]], Tabelle5[[#This Row],[company_id]],Tabelle18[[#This Row],[company_id]], Tabelle5[[#This Row],[value_id]], Tabelle18[[#This Row],[value_id]], Tabelle5[[#This Row],[value_present]],"1")</f>
        <v>0</v>
      </c>
    </row>
    <row r="111" spans="1:5" x14ac:dyDescent="0.25">
      <c r="A111">
        <v>7</v>
      </c>
      <c r="B111" t="s">
        <v>61</v>
      </c>
      <c r="C111" s="54">
        <f>IF(Tabelle18[[#This Row],[binding_level_company]]&gt;=1,1,0)</f>
        <v>0</v>
      </c>
      <c r="D111" s="54">
        <f>_xlfn.MAXIFS(Tabelle5[[#This Row],[binding_level]], Tabelle5[[#This Row],[company_id]],Tabelle18[[#This Row],[company_id]], Tabelle5[[#This Row],[value_id]], Tabelle18[[#This Row],[value_id]], Tabelle5[[#This Row],[value_present]],"1")</f>
        <v>0</v>
      </c>
      <c r="E111" s="54">
        <f>_xlfn.MAXIFS(Tabelle5[[#This Row],[value_points]], Tabelle5[[#This Row],[company_id]],Tabelle18[[#This Row],[company_id]], Tabelle5[[#This Row],[value_id]], Tabelle18[[#This Row],[value_id]], Tabelle5[[#This Row],[value_present]],"1")</f>
        <v>0</v>
      </c>
    </row>
    <row r="112" spans="1:5" x14ac:dyDescent="0.25">
      <c r="A112">
        <v>7</v>
      </c>
      <c r="B112" t="s">
        <v>69</v>
      </c>
      <c r="C112" s="54">
        <f>IF(Tabelle18[[#This Row],[binding_level_company]]&gt;=1,1,0)</f>
        <v>0</v>
      </c>
      <c r="D112" s="54">
        <f>_xlfn.MAXIFS(Tabelle5[[#This Row],[binding_level]], Tabelle5[[#This Row],[company_id]],Tabelle18[[#This Row],[company_id]], Tabelle5[[#This Row],[value_id]], Tabelle18[[#This Row],[value_id]], Tabelle5[[#This Row],[value_present]],"1")</f>
        <v>0</v>
      </c>
      <c r="E112" s="54">
        <f>_xlfn.MAXIFS(Tabelle5[[#This Row],[value_points]], Tabelle5[[#This Row],[company_id]],Tabelle18[[#This Row],[company_id]], Tabelle5[[#This Row],[value_id]], Tabelle18[[#This Row],[value_id]], Tabelle5[[#This Row],[value_present]],"1")</f>
        <v>0</v>
      </c>
    </row>
    <row r="113" spans="1:5" x14ac:dyDescent="0.25">
      <c r="A113">
        <v>7</v>
      </c>
      <c r="B113" t="s">
        <v>76</v>
      </c>
      <c r="C113" s="54">
        <f>IF(Tabelle18[[#This Row],[binding_level_company]]&gt;=1,1,0)</f>
        <v>0</v>
      </c>
      <c r="D113" s="54">
        <f>_xlfn.MAXIFS(Tabelle5[[#This Row],[binding_level]], Tabelle5[[#This Row],[company_id]],Tabelle18[[#This Row],[company_id]], Tabelle5[[#This Row],[value_id]], Tabelle18[[#This Row],[value_id]], Tabelle5[[#This Row],[value_present]],"1")</f>
        <v>0</v>
      </c>
      <c r="E113" s="54">
        <f>_xlfn.MAXIFS(Tabelle5[[#This Row],[value_points]], Tabelle5[[#This Row],[company_id]],Tabelle18[[#This Row],[company_id]], Tabelle5[[#This Row],[value_id]], Tabelle18[[#This Row],[value_id]], Tabelle5[[#This Row],[value_present]],"1")</f>
        <v>0</v>
      </c>
    </row>
    <row r="114" spans="1:5" x14ac:dyDescent="0.25">
      <c r="A114">
        <v>7</v>
      </c>
      <c r="B114" t="s">
        <v>83</v>
      </c>
      <c r="C114" s="54">
        <f>IF(Tabelle18[[#This Row],[binding_level_company]]&gt;=1,1,0)</f>
        <v>0</v>
      </c>
      <c r="D114" s="54">
        <f>_xlfn.MAXIFS(Tabelle5[[#This Row],[binding_level]], Tabelle5[[#This Row],[company_id]],Tabelle18[[#This Row],[company_id]], Tabelle5[[#This Row],[value_id]], Tabelle18[[#This Row],[value_id]], Tabelle5[[#This Row],[value_present]],"1")</f>
        <v>0</v>
      </c>
      <c r="E114" s="54">
        <f>_xlfn.MAXIFS(Tabelle5[[#This Row],[value_points]], Tabelle5[[#This Row],[company_id]],Tabelle18[[#This Row],[company_id]], Tabelle5[[#This Row],[value_id]], Tabelle18[[#This Row],[value_id]], Tabelle5[[#This Row],[value_present]],"1")</f>
        <v>0</v>
      </c>
    </row>
    <row r="115" spans="1:5" x14ac:dyDescent="0.25">
      <c r="A115">
        <v>7</v>
      </c>
      <c r="B115" t="s">
        <v>90</v>
      </c>
      <c r="C115" s="54">
        <f>IF(Tabelle18[[#This Row],[binding_level_company]]&gt;=1,1,0)</f>
        <v>0</v>
      </c>
      <c r="D115" s="54">
        <f>_xlfn.MAXIFS(Tabelle5[[#This Row],[binding_level]], Tabelle5[[#This Row],[company_id]],Tabelle18[[#This Row],[company_id]], Tabelle5[[#This Row],[value_id]], Tabelle18[[#This Row],[value_id]], Tabelle5[[#This Row],[value_present]],"1")</f>
        <v>0</v>
      </c>
      <c r="E115" s="54">
        <f>_xlfn.MAXIFS(Tabelle5[[#This Row],[value_points]], Tabelle5[[#This Row],[company_id]],Tabelle18[[#This Row],[company_id]], Tabelle5[[#This Row],[value_id]], Tabelle18[[#This Row],[value_id]], Tabelle5[[#This Row],[value_present]],"1")</f>
        <v>0</v>
      </c>
    </row>
    <row r="116" spans="1:5" x14ac:dyDescent="0.25">
      <c r="A116">
        <v>7</v>
      </c>
      <c r="B116" t="s">
        <v>98</v>
      </c>
      <c r="C116" s="54">
        <f>IF(Tabelle18[[#This Row],[binding_level_company]]&gt;=1,1,0)</f>
        <v>0</v>
      </c>
      <c r="D116" s="54">
        <f>_xlfn.MAXIFS(Tabelle5[[#This Row],[binding_level]], Tabelle5[[#This Row],[company_id]],Tabelle18[[#This Row],[company_id]], Tabelle5[[#This Row],[value_id]], Tabelle18[[#This Row],[value_id]], Tabelle5[[#This Row],[value_present]],"1")</f>
        <v>0</v>
      </c>
      <c r="E116" s="54">
        <f>_xlfn.MAXIFS(Tabelle5[[#This Row],[value_points]], Tabelle5[[#This Row],[company_id]],Tabelle18[[#This Row],[company_id]], Tabelle5[[#This Row],[value_id]], Tabelle18[[#This Row],[value_id]], Tabelle5[[#This Row],[value_present]],"1")</f>
        <v>0</v>
      </c>
    </row>
    <row r="117" spans="1:5" x14ac:dyDescent="0.25">
      <c r="A117">
        <v>7</v>
      </c>
      <c r="B117" t="s">
        <v>106</v>
      </c>
      <c r="C117" s="54">
        <f>IF(Tabelle18[[#This Row],[binding_level_company]]&gt;=1,1,0)</f>
        <v>0</v>
      </c>
      <c r="D117" s="54">
        <f>_xlfn.MAXIFS(Tabelle5[[#This Row],[binding_level]], Tabelle5[[#This Row],[company_id]],Tabelle18[[#This Row],[company_id]], Tabelle5[[#This Row],[value_id]], Tabelle18[[#This Row],[value_id]], Tabelle5[[#This Row],[value_present]],"1")</f>
        <v>0</v>
      </c>
      <c r="E117" s="54">
        <f>_xlfn.MAXIFS(Tabelle5[[#This Row],[value_points]], Tabelle5[[#This Row],[company_id]],Tabelle18[[#This Row],[company_id]], Tabelle5[[#This Row],[value_id]], Tabelle18[[#This Row],[value_id]], Tabelle5[[#This Row],[value_present]],"1")</f>
        <v>0</v>
      </c>
    </row>
    <row r="118" spans="1:5" x14ac:dyDescent="0.25">
      <c r="A118">
        <v>7</v>
      </c>
      <c r="B118" t="s">
        <v>112</v>
      </c>
      <c r="C118" s="54">
        <f>IF(Tabelle18[[#This Row],[binding_level_company]]&gt;=1,1,0)</f>
        <v>0</v>
      </c>
      <c r="D118" s="54">
        <f>_xlfn.MAXIFS(Tabelle5[[#This Row],[binding_level]], Tabelle5[[#This Row],[company_id]],Tabelle18[[#This Row],[company_id]], Tabelle5[[#This Row],[value_id]], Tabelle18[[#This Row],[value_id]], Tabelle5[[#This Row],[value_present]],"1")</f>
        <v>0</v>
      </c>
      <c r="E118" s="54">
        <f>_xlfn.MAXIFS(Tabelle5[[#This Row],[value_points]], Tabelle5[[#This Row],[company_id]],Tabelle18[[#This Row],[company_id]], Tabelle5[[#This Row],[value_id]], Tabelle18[[#This Row],[value_id]], Tabelle5[[#This Row],[value_present]],"1")</f>
        <v>0</v>
      </c>
    </row>
    <row r="119" spans="1:5" x14ac:dyDescent="0.25">
      <c r="A119">
        <v>7</v>
      </c>
      <c r="B119" t="s">
        <v>118</v>
      </c>
      <c r="C119" s="54">
        <f>IF(Tabelle18[[#This Row],[binding_level_company]]&gt;=1,1,0)</f>
        <v>0</v>
      </c>
      <c r="D119" s="54">
        <f>_xlfn.MAXIFS(Tabelle5[[#This Row],[binding_level]], Tabelle5[[#This Row],[company_id]],Tabelle18[[#This Row],[company_id]], Tabelle5[[#This Row],[value_id]], Tabelle18[[#This Row],[value_id]], Tabelle5[[#This Row],[value_present]],"1")</f>
        <v>0</v>
      </c>
      <c r="E119" s="54">
        <f>_xlfn.MAXIFS(Tabelle5[[#This Row],[value_points]], Tabelle5[[#This Row],[company_id]],Tabelle18[[#This Row],[company_id]], Tabelle5[[#This Row],[value_id]], Tabelle18[[#This Row],[value_id]], Tabelle5[[#This Row],[value_present]],"1")</f>
        <v>0</v>
      </c>
    </row>
    <row r="120" spans="1:5" x14ac:dyDescent="0.25">
      <c r="A120">
        <v>7</v>
      </c>
      <c r="B120" t="s">
        <v>125</v>
      </c>
      <c r="C120" s="54">
        <f>IF(Tabelle18[[#This Row],[binding_level_company]]&gt;=1,1,0)</f>
        <v>0</v>
      </c>
      <c r="D120" s="54">
        <f>_xlfn.MAXIFS(Tabelle5[[#This Row],[binding_level]], Tabelle5[[#This Row],[company_id]],Tabelle18[[#This Row],[company_id]], Tabelle5[[#This Row],[value_id]], Tabelle18[[#This Row],[value_id]], Tabelle5[[#This Row],[value_present]],"1")</f>
        <v>0</v>
      </c>
      <c r="E120" s="54">
        <f>_xlfn.MAXIFS(Tabelle5[[#This Row],[value_points]], Tabelle5[[#This Row],[company_id]],Tabelle18[[#This Row],[company_id]], Tabelle5[[#This Row],[value_id]], Tabelle18[[#This Row],[value_id]], Tabelle5[[#This Row],[value_present]],"1")</f>
        <v>0</v>
      </c>
    </row>
    <row r="121" spans="1:5" x14ac:dyDescent="0.25">
      <c r="A121">
        <v>7</v>
      </c>
      <c r="B121" t="s">
        <v>132</v>
      </c>
      <c r="C121" s="54">
        <f>IF(Tabelle18[[#This Row],[binding_level_company]]&gt;=1,1,0)</f>
        <v>0</v>
      </c>
      <c r="D121" s="54">
        <f>_xlfn.MAXIFS(Tabelle5[[#This Row],[binding_level]], Tabelle5[[#This Row],[company_id]],Tabelle18[[#This Row],[company_id]], Tabelle5[[#This Row],[value_id]], Tabelle18[[#This Row],[value_id]], Tabelle5[[#This Row],[value_present]],"1")</f>
        <v>0</v>
      </c>
      <c r="E121" s="54">
        <f>_xlfn.MAXIFS(Tabelle5[[#This Row],[value_points]], Tabelle5[[#This Row],[company_id]],Tabelle18[[#This Row],[company_id]], Tabelle5[[#This Row],[value_id]], Tabelle18[[#This Row],[value_id]], Tabelle5[[#This Row],[value_present]],"1")</f>
        <v>0</v>
      </c>
    </row>
    <row r="122" spans="1:5" x14ac:dyDescent="0.25">
      <c r="A122">
        <v>7</v>
      </c>
      <c r="B122" t="s">
        <v>140</v>
      </c>
      <c r="C122" s="54">
        <f>IF(Tabelle18[[#This Row],[binding_level_company]]&gt;=1,1,0)</f>
        <v>0</v>
      </c>
      <c r="D122" s="54">
        <f>_xlfn.MAXIFS(Tabelle5[[#This Row],[binding_level]], Tabelle5[[#This Row],[company_id]],Tabelle18[[#This Row],[company_id]], Tabelle5[[#This Row],[value_id]], Tabelle18[[#This Row],[value_id]], Tabelle5[[#This Row],[value_present]],"1")</f>
        <v>0</v>
      </c>
      <c r="E122" s="54">
        <f>_xlfn.MAXIFS(Tabelle5[[#This Row],[value_points]], Tabelle5[[#This Row],[company_id]],Tabelle18[[#This Row],[company_id]], Tabelle5[[#This Row],[value_id]], Tabelle18[[#This Row],[value_id]], Tabelle5[[#This Row],[value_present]],"1")</f>
        <v>0</v>
      </c>
    </row>
    <row r="123" spans="1:5" x14ac:dyDescent="0.25">
      <c r="A123">
        <v>7</v>
      </c>
      <c r="B123" t="s">
        <v>147</v>
      </c>
      <c r="C123" s="54">
        <f>IF(Tabelle18[[#This Row],[binding_level_company]]&gt;=1,1,0)</f>
        <v>0</v>
      </c>
      <c r="D123" s="54">
        <f>_xlfn.MAXIFS(Tabelle5[[#This Row],[binding_level]], Tabelle5[[#This Row],[company_id]],Tabelle18[[#This Row],[company_id]], Tabelle5[[#This Row],[value_id]], Tabelle18[[#This Row],[value_id]], Tabelle5[[#This Row],[value_present]],"1")</f>
        <v>0</v>
      </c>
      <c r="E123" s="54">
        <f>_xlfn.MAXIFS(Tabelle5[[#This Row],[value_points]], Tabelle5[[#This Row],[company_id]],Tabelle18[[#This Row],[company_id]], Tabelle5[[#This Row],[value_id]], Tabelle18[[#This Row],[value_id]], Tabelle5[[#This Row],[value_present]],"1")</f>
        <v>0</v>
      </c>
    </row>
    <row r="124" spans="1:5" x14ac:dyDescent="0.25">
      <c r="A124">
        <v>7</v>
      </c>
      <c r="B124" t="s">
        <v>154</v>
      </c>
      <c r="C124" s="54">
        <f>IF(Tabelle18[[#This Row],[binding_level_company]]&gt;=1,1,0)</f>
        <v>0</v>
      </c>
      <c r="D124" s="54">
        <f>_xlfn.MAXIFS(Tabelle5[[#This Row],[binding_level]], Tabelle5[[#This Row],[company_id]],Tabelle18[[#This Row],[company_id]], Tabelle5[[#This Row],[value_id]], Tabelle18[[#This Row],[value_id]], Tabelle5[[#This Row],[value_present]],"1")</f>
        <v>0</v>
      </c>
      <c r="E124" s="54">
        <f>_xlfn.MAXIFS(Tabelle5[[#This Row],[value_points]], Tabelle5[[#This Row],[company_id]],Tabelle18[[#This Row],[company_id]], Tabelle5[[#This Row],[value_id]], Tabelle18[[#This Row],[value_id]], Tabelle5[[#This Row],[value_present]],"1")</f>
        <v>0</v>
      </c>
    </row>
    <row r="125" spans="1:5" x14ac:dyDescent="0.25">
      <c r="A125">
        <v>7</v>
      </c>
      <c r="B125" t="s">
        <v>161</v>
      </c>
      <c r="C125" s="54">
        <f>IF(Tabelle18[[#This Row],[binding_level_company]]&gt;=1,1,0)</f>
        <v>0</v>
      </c>
      <c r="D125" s="54">
        <f>_xlfn.MAXIFS(Tabelle5[[#This Row],[binding_level]], Tabelle5[[#This Row],[company_id]],Tabelle18[[#This Row],[company_id]], Tabelle5[[#This Row],[value_id]], Tabelle18[[#This Row],[value_id]], Tabelle5[[#This Row],[value_present]],"1")</f>
        <v>0</v>
      </c>
      <c r="E125" s="54">
        <f>_xlfn.MAXIFS(Tabelle5[[#This Row],[value_points]], Tabelle5[[#This Row],[company_id]],Tabelle18[[#This Row],[company_id]], Tabelle5[[#This Row],[value_id]], Tabelle18[[#This Row],[value_id]], Tabelle5[[#This Row],[value_present]],"1")</f>
        <v>0</v>
      </c>
    </row>
    <row r="126" spans="1:5" x14ac:dyDescent="0.25">
      <c r="A126">
        <v>7</v>
      </c>
      <c r="B126" t="s">
        <v>166</v>
      </c>
      <c r="C126" s="54">
        <f>IF(Tabelle18[[#This Row],[binding_level_company]]&gt;=1,1,0)</f>
        <v>0</v>
      </c>
      <c r="D126" s="54">
        <f>_xlfn.MAXIFS(Tabelle5[[#This Row],[binding_level]], Tabelle5[[#This Row],[company_id]],Tabelle18[[#This Row],[company_id]], Tabelle5[[#This Row],[value_id]], Tabelle18[[#This Row],[value_id]], Tabelle5[[#This Row],[value_present]],"1")</f>
        <v>0</v>
      </c>
      <c r="E126" s="54">
        <f>_xlfn.MAXIFS(Tabelle5[[#This Row],[value_points]], Tabelle5[[#This Row],[company_id]],Tabelle18[[#This Row],[company_id]], Tabelle5[[#This Row],[value_id]], Tabelle18[[#This Row],[value_id]], Tabelle5[[#This Row],[value_present]],"1")</f>
        <v>0</v>
      </c>
    </row>
    <row r="127" spans="1:5" ht="15.75" thickBot="1" x14ac:dyDescent="0.3">
      <c r="A127">
        <v>7</v>
      </c>
      <c r="B127" s="30" t="s">
        <v>174</v>
      </c>
      <c r="C127" s="54">
        <f>IF(Tabelle18[[#This Row],[binding_level_company]]&gt;=1,1,0)</f>
        <v>0</v>
      </c>
      <c r="D127" s="54">
        <f>_xlfn.MAXIFS(Tabelle5[[#This Row],[binding_level]], Tabelle5[[#This Row],[company_id]],Tabelle18[[#This Row],[company_id]], Tabelle5[[#This Row],[value_id]], Tabelle18[[#This Row],[value_id]], Tabelle5[[#This Row],[value_present]],"1")</f>
        <v>0</v>
      </c>
      <c r="E127" s="54">
        <f>_xlfn.MAXIFS(Tabelle5[[#This Row],[value_points]], Tabelle5[[#This Row],[company_id]],Tabelle18[[#This Row],[company_id]], Tabelle5[[#This Row],[value_id]], Tabelle18[[#This Row],[value_id]], Tabelle5[[#This Row],[value_present]],"1")</f>
        <v>0</v>
      </c>
    </row>
    <row r="128" spans="1:5" x14ac:dyDescent="0.25">
      <c r="A128">
        <v>8</v>
      </c>
      <c r="B128" s="22" t="s">
        <v>53</v>
      </c>
      <c r="C128" s="54">
        <f>IF(Tabelle18[[#This Row],[binding_level_company]]&gt;=1,1,0)</f>
        <v>0</v>
      </c>
      <c r="D128" s="54">
        <f>_xlfn.MAXIFS(Tabelle5[[#This Row],[binding_level]], Tabelle5[[#This Row],[company_id]],Tabelle18[[#This Row],[company_id]], Tabelle5[[#This Row],[value_id]], Tabelle18[[#This Row],[value_id]], Tabelle5[[#This Row],[value_present]],"1")</f>
        <v>0</v>
      </c>
      <c r="E128" s="54">
        <f>_xlfn.MAXIFS(Tabelle5[[#This Row],[value_points]], Tabelle5[[#This Row],[company_id]],Tabelle18[[#This Row],[company_id]], Tabelle5[[#This Row],[value_id]], Tabelle18[[#This Row],[value_id]], Tabelle5[[#This Row],[value_present]],"1")</f>
        <v>0</v>
      </c>
    </row>
    <row r="129" spans="1:5" x14ac:dyDescent="0.25">
      <c r="A129">
        <v>8</v>
      </c>
      <c r="B129" t="s">
        <v>61</v>
      </c>
      <c r="C129" s="54">
        <f>IF(Tabelle18[[#This Row],[binding_level_company]]&gt;=1,1,0)</f>
        <v>0</v>
      </c>
      <c r="D129" s="54">
        <f>_xlfn.MAXIFS(Tabelle5[[#This Row],[binding_level]], Tabelle5[[#This Row],[company_id]],Tabelle18[[#This Row],[company_id]], Tabelle5[[#This Row],[value_id]], Tabelle18[[#This Row],[value_id]], Tabelle5[[#This Row],[value_present]],"1")</f>
        <v>0</v>
      </c>
      <c r="E129" s="54">
        <f>_xlfn.MAXIFS(Tabelle5[[#This Row],[value_points]], Tabelle5[[#This Row],[company_id]],Tabelle18[[#This Row],[company_id]], Tabelle5[[#This Row],[value_id]], Tabelle18[[#This Row],[value_id]], Tabelle5[[#This Row],[value_present]],"1")</f>
        <v>0</v>
      </c>
    </row>
    <row r="130" spans="1:5" x14ac:dyDescent="0.25">
      <c r="A130">
        <v>8</v>
      </c>
      <c r="B130" t="s">
        <v>69</v>
      </c>
      <c r="C130" s="54">
        <f>IF(Tabelle18[[#This Row],[binding_level_company]]&gt;=1,1,0)</f>
        <v>0</v>
      </c>
      <c r="D130" s="54">
        <f>_xlfn.MAXIFS(Tabelle5[[#This Row],[binding_level]], Tabelle5[[#This Row],[company_id]],Tabelle18[[#This Row],[company_id]], Tabelle5[[#This Row],[value_id]], Tabelle18[[#This Row],[value_id]], Tabelle5[[#This Row],[value_present]],"1")</f>
        <v>0</v>
      </c>
      <c r="E130" s="54">
        <f>_xlfn.MAXIFS(Tabelle5[[#This Row],[value_points]], Tabelle5[[#This Row],[company_id]],Tabelle18[[#This Row],[company_id]], Tabelle5[[#This Row],[value_id]], Tabelle18[[#This Row],[value_id]], Tabelle5[[#This Row],[value_present]],"1")</f>
        <v>0</v>
      </c>
    </row>
    <row r="131" spans="1:5" x14ac:dyDescent="0.25">
      <c r="A131">
        <v>8</v>
      </c>
      <c r="B131" t="s">
        <v>76</v>
      </c>
      <c r="C131" s="54">
        <f>IF(Tabelle18[[#This Row],[binding_level_company]]&gt;=1,1,0)</f>
        <v>0</v>
      </c>
      <c r="D131" s="54">
        <f>_xlfn.MAXIFS(Tabelle5[[#This Row],[binding_level]], Tabelle5[[#This Row],[company_id]],Tabelle18[[#This Row],[company_id]], Tabelle5[[#This Row],[value_id]], Tabelle18[[#This Row],[value_id]], Tabelle5[[#This Row],[value_present]],"1")</f>
        <v>0</v>
      </c>
      <c r="E131" s="54">
        <f>_xlfn.MAXIFS(Tabelle5[[#This Row],[value_points]], Tabelle5[[#This Row],[company_id]],Tabelle18[[#This Row],[company_id]], Tabelle5[[#This Row],[value_id]], Tabelle18[[#This Row],[value_id]], Tabelle5[[#This Row],[value_present]],"1")</f>
        <v>0</v>
      </c>
    </row>
    <row r="132" spans="1:5" x14ac:dyDescent="0.25">
      <c r="A132">
        <v>8</v>
      </c>
      <c r="B132" t="s">
        <v>83</v>
      </c>
      <c r="C132" s="54">
        <f>IF(Tabelle18[[#This Row],[binding_level_company]]&gt;=1,1,0)</f>
        <v>0</v>
      </c>
      <c r="D132" s="54">
        <f>_xlfn.MAXIFS(Tabelle5[[#This Row],[binding_level]], Tabelle5[[#This Row],[company_id]],Tabelle18[[#This Row],[company_id]], Tabelle5[[#This Row],[value_id]], Tabelle18[[#This Row],[value_id]], Tabelle5[[#This Row],[value_present]],"1")</f>
        <v>0</v>
      </c>
      <c r="E132" s="54">
        <f>_xlfn.MAXIFS(Tabelle5[[#This Row],[value_points]], Tabelle5[[#This Row],[company_id]],Tabelle18[[#This Row],[company_id]], Tabelle5[[#This Row],[value_id]], Tabelle18[[#This Row],[value_id]], Tabelle5[[#This Row],[value_present]],"1")</f>
        <v>0</v>
      </c>
    </row>
    <row r="133" spans="1:5" x14ac:dyDescent="0.25">
      <c r="A133">
        <v>8</v>
      </c>
      <c r="B133" t="s">
        <v>90</v>
      </c>
      <c r="C133" s="54">
        <f>IF(Tabelle18[[#This Row],[binding_level_company]]&gt;=1,1,0)</f>
        <v>0</v>
      </c>
      <c r="D133" s="54">
        <f>_xlfn.MAXIFS(Tabelle5[[#This Row],[binding_level]], Tabelle5[[#This Row],[company_id]],Tabelle18[[#This Row],[company_id]], Tabelle5[[#This Row],[value_id]], Tabelle18[[#This Row],[value_id]], Tabelle5[[#This Row],[value_present]],"1")</f>
        <v>0</v>
      </c>
      <c r="E133" s="54">
        <f>_xlfn.MAXIFS(Tabelle5[[#This Row],[value_points]], Tabelle5[[#This Row],[company_id]],Tabelle18[[#This Row],[company_id]], Tabelle5[[#This Row],[value_id]], Tabelle18[[#This Row],[value_id]], Tabelle5[[#This Row],[value_present]],"1")</f>
        <v>0</v>
      </c>
    </row>
    <row r="134" spans="1:5" x14ac:dyDescent="0.25">
      <c r="A134">
        <v>8</v>
      </c>
      <c r="B134" t="s">
        <v>98</v>
      </c>
      <c r="C134" s="54">
        <f>IF(Tabelle18[[#This Row],[binding_level_company]]&gt;=1,1,0)</f>
        <v>0</v>
      </c>
      <c r="D134" s="54">
        <f>_xlfn.MAXIFS(Tabelle5[[#This Row],[binding_level]], Tabelle5[[#This Row],[company_id]],Tabelle18[[#This Row],[company_id]], Tabelle5[[#This Row],[value_id]], Tabelle18[[#This Row],[value_id]], Tabelle5[[#This Row],[value_present]],"1")</f>
        <v>0</v>
      </c>
      <c r="E134" s="54">
        <f>_xlfn.MAXIFS(Tabelle5[[#This Row],[value_points]], Tabelle5[[#This Row],[company_id]],Tabelle18[[#This Row],[company_id]], Tabelle5[[#This Row],[value_id]], Tabelle18[[#This Row],[value_id]], Tabelle5[[#This Row],[value_present]],"1")</f>
        <v>0</v>
      </c>
    </row>
    <row r="135" spans="1:5" x14ac:dyDescent="0.25">
      <c r="A135">
        <v>8</v>
      </c>
      <c r="B135" t="s">
        <v>106</v>
      </c>
      <c r="C135" s="54">
        <f>IF(Tabelle18[[#This Row],[binding_level_company]]&gt;=1,1,0)</f>
        <v>0</v>
      </c>
      <c r="D135" s="54">
        <f>_xlfn.MAXIFS(Tabelle5[[#This Row],[binding_level]], Tabelle5[[#This Row],[company_id]],Tabelle18[[#This Row],[company_id]], Tabelle5[[#This Row],[value_id]], Tabelle18[[#This Row],[value_id]], Tabelle5[[#This Row],[value_present]],"1")</f>
        <v>0</v>
      </c>
      <c r="E135" s="54">
        <f>_xlfn.MAXIFS(Tabelle5[[#This Row],[value_points]], Tabelle5[[#This Row],[company_id]],Tabelle18[[#This Row],[company_id]], Tabelle5[[#This Row],[value_id]], Tabelle18[[#This Row],[value_id]], Tabelle5[[#This Row],[value_present]],"1")</f>
        <v>0</v>
      </c>
    </row>
    <row r="136" spans="1:5" x14ac:dyDescent="0.25">
      <c r="A136">
        <v>8</v>
      </c>
      <c r="B136" t="s">
        <v>112</v>
      </c>
      <c r="C136" s="54">
        <f>IF(Tabelle18[[#This Row],[binding_level_company]]&gt;=1,1,0)</f>
        <v>0</v>
      </c>
      <c r="D136" s="54">
        <f>_xlfn.MAXIFS(Tabelle5[[#This Row],[binding_level]], Tabelle5[[#This Row],[company_id]],Tabelle18[[#This Row],[company_id]], Tabelle5[[#This Row],[value_id]], Tabelle18[[#This Row],[value_id]], Tabelle5[[#This Row],[value_present]],"1")</f>
        <v>0</v>
      </c>
      <c r="E136" s="54">
        <f>_xlfn.MAXIFS(Tabelle5[[#This Row],[value_points]], Tabelle5[[#This Row],[company_id]],Tabelle18[[#This Row],[company_id]], Tabelle5[[#This Row],[value_id]], Tabelle18[[#This Row],[value_id]], Tabelle5[[#This Row],[value_present]],"1")</f>
        <v>0</v>
      </c>
    </row>
    <row r="137" spans="1:5" x14ac:dyDescent="0.25">
      <c r="A137">
        <v>8</v>
      </c>
      <c r="B137" t="s">
        <v>118</v>
      </c>
      <c r="C137" s="54">
        <f>IF(Tabelle18[[#This Row],[binding_level_company]]&gt;=1,1,0)</f>
        <v>0</v>
      </c>
      <c r="D137" s="54">
        <f>_xlfn.MAXIFS(Tabelle5[[#This Row],[binding_level]], Tabelle5[[#This Row],[company_id]],Tabelle18[[#This Row],[company_id]], Tabelle5[[#This Row],[value_id]], Tabelle18[[#This Row],[value_id]], Tabelle5[[#This Row],[value_present]],"1")</f>
        <v>0</v>
      </c>
      <c r="E137" s="54">
        <f>_xlfn.MAXIFS(Tabelle5[[#This Row],[value_points]], Tabelle5[[#This Row],[company_id]],Tabelle18[[#This Row],[company_id]], Tabelle5[[#This Row],[value_id]], Tabelle18[[#This Row],[value_id]], Tabelle5[[#This Row],[value_present]],"1")</f>
        <v>0</v>
      </c>
    </row>
    <row r="138" spans="1:5" x14ac:dyDescent="0.25">
      <c r="A138">
        <v>8</v>
      </c>
      <c r="B138" t="s">
        <v>125</v>
      </c>
      <c r="C138" s="54">
        <f>IF(Tabelle18[[#This Row],[binding_level_company]]&gt;=1,1,0)</f>
        <v>0</v>
      </c>
      <c r="D138" s="54">
        <f>_xlfn.MAXIFS(Tabelle5[[#This Row],[binding_level]], Tabelle5[[#This Row],[company_id]],Tabelle18[[#This Row],[company_id]], Tabelle5[[#This Row],[value_id]], Tabelle18[[#This Row],[value_id]], Tabelle5[[#This Row],[value_present]],"1")</f>
        <v>0</v>
      </c>
      <c r="E138" s="54">
        <f>_xlfn.MAXIFS(Tabelle5[[#This Row],[value_points]], Tabelle5[[#This Row],[company_id]],Tabelle18[[#This Row],[company_id]], Tabelle5[[#This Row],[value_id]], Tabelle18[[#This Row],[value_id]], Tabelle5[[#This Row],[value_present]],"1")</f>
        <v>0</v>
      </c>
    </row>
    <row r="139" spans="1:5" x14ac:dyDescent="0.25">
      <c r="A139">
        <v>8</v>
      </c>
      <c r="B139" t="s">
        <v>132</v>
      </c>
      <c r="C139" s="54">
        <f>IF(Tabelle18[[#This Row],[binding_level_company]]&gt;=1,1,0)</f>
        <v>0</v>
      </c>
      <c r="D139" s="54">
        <f>_xlfn.MAXIFS(Tabelle5[[#This Row],[binding_level]], Tabelle5[[#This Row],[company_id]],Tabelle18[[#This Row],[company_id]], Tabelle5[[#This Row],[value_id]], Tabelle18[[#This Row],[value_id]], Tabelle5[[#This Row],[value_present]],"1")</f>
        <v>0</v>
      </c>
      <c r="E139" s="54">
        <f>_xlfn.MAXIFS(Tabelle5[[#This Row],[value_points]], Tabelle5[[#This Row],[company_id]],Tabelle18[[#This Row],[company_id]], Tabelle5[[#This Row],[value_id]], Tabelle18[[#This Row],[value_id]], Tabelle5[[#This Row],[value_present]],"1")</f>
        <v>0</v>
      </c>
    </row>
    <row r="140" spans="1:5" x14ac:dyDescent="0.25">
      <c r="A140">
        <v>8</v>
      </c>
      <c r="B140" t="s">
        <v>140</v>
      </c>
      <c r="C140" s="54">
        <f>IF(Tabelle18[[#This Row],[binding_level_company]]&gt;=1,1,0)</f>
        <v>0</v>
      </c>
      <c r="D140" s="54">
        <f>_xlfn.MAXIFS(Tabelle5[[#This Row],[binding_level]], Tabelle5[[#This Row],[company_id]],Tabelle18[[#This Row],[company_id]], Tabelle5[[#This Row],[value_id]], Tabelle18[[#This Row],[value_id]], Tabelle5[[#This Row],[value_present]],"1")</f>
        <v>0</v>
      </c>
      <c r="E140" s="54">
        <f>_xlfn.MAXIFS(Tabelle5[[#This Row],[value_points]], Tabelle5[[#This Row],[company_id]],Tabelle18[[#This Row],[company_id]], Tabelle5[[#This Row],[value_id]], Tabelle18[[#This Row],[value_id]], Tabelle5[[#This Row],[value_present]],"1")</f>
        <v>0</v>
      </c>
    </row>
    <row r="141" spans="1:5" x14ac:dyDescent="0.25">
      <c r="A141">
        <v>8</v>
      </c>
      <c r="B141" t="s">
        <v>147</v>
      </c>
      <c r="C141" s="54">
        <f>IF(Tabelle18[[#This Row],[binding_level_company]]&gt;=1,1,0)</f>
        <v>0</v>
      </c>
      <c r="D141" s="54">
        <f>_xlfn.MAXIFS(Tabelle5[[#This Row],[binding_level]], Tabelle5[[#This Row],[company_id]],Tabelle18[[#This Row],[company_id]], Tabelle5[[#This Row],[value_id]], Tabelle18[[#This Row],[value_id]], Tabelle5[[#This Row],[value_present]],"1")</f>
        <v>0</v>
      </c>
      <c r="E141" s="54">
        <f>_xlfn.MAXIFS(Tabelle5[[#This Row],[value_points]], Tabelle5[[#This Row],[company_id]],Tabelle18[[#This Row],[company_id]], Tabelle5[[#This Row],[value_id]], Tabelle18[[#This Row],[value_id]], Tabelle5[[#This Row],[value_present]],"1")</f>
        <v>0</v>
      </c>
    </row>
    <row r="142" spans="1:5" x14ac:dyDescent="0.25">
      <c r="A142">
        <v>8</v>
      </c>
      <c r="B142" t="s">
        <v>154</v>
      </c>
      <c r="C142" s="54">
        <f>IF(Tabelle18[[#This Row],[binding_level_company]]&gt;=1,1,0)</f>
        <v>0</v>
      </c>
      <c r="D142" s="54">
        <f>_xlfn.MAXIFS(Tabelle5[[#This Row],[binding_level]], Tabelle5[[#This Row],[company_id]],Tabelle18[[#This Row],[company_id]], Tabelle5[[#This Row],[value_id]], Tabelle18[[#This Row],[value_id]], Tabelle5[[#This Row],[value_present]],"1")</f>
        <v>0</v>
      </c>
      <c r="E142" s="54">
        <f>_xlfn.MAXIFS(Tabelle5[[#This Row],[value_points]], Tabelle5[[#This Row],[company_id]],Tabelle18[[#This Row],[company_id]], Tabelle5[[#This Row],[value_id]], Tabelle18[[#This Row],[value_id]], Tabelle5[[#This Row],[value_present]],"1")</f>
        <v>0</v>
      </c>
    </row>
    <row r="143" spans="1:5" x14ac:dyDescent="0.25">
      <c r="A143">
        <v>8</v>
      </c>
      <c r="B143" t="s">
        <v>161</v>
      </c>
      <c r="C143" s="54">
        <f>IF(Tabelle18[[#This Row],[binding_level_company]]&gt;=1,1,0)</f>
        <v>0</v>
      </c>
      <c r="D143" s="54">
        <f>_xlfn.MAXIFS(Tabelle5[[#This Row],[binding_level]], Tabelle5[[#This Row],[company_id]],Tabelle18[[#This Row],[company_id]], Tabelle5[[#This Row],[value_id]], Tabelle18[[#This Row],[value_id]], Tabelle5[[#This Row],[value_present]],"1")</f>
        <v>0</v>
      </c>
      <c r="E143" s="54">
        <f>_xlfn.MAXIFS(Tabelle5[[#This Row],[value_points]], Tabelle5[[#This Row],[company_id]],Tabelle18[[#This Row],[company_id]], Tabelle5[[#This Row],[value_id]], Tabelle18[[#This Row],[value_id]], Tabelle5[[#This Row],[value_present]],"1")</f>
        <v>0</v>
      </c>
    </row>
    <row r="144" spans="1:5" x14ac:dyDescent="0.25">
      <c r="A144">
        <v>8</v>
      </c>
      <c r="B144" t="s">
        <v>166</v>
      </c>
      <c r="C144" s="54">
        <f>IF(Tabelle18[[#This Row],[binding_level_company]]&gt;=1,1,0)</f>
        <v>0</v>
      </c>
      <c r="D144" s="54">
        <f>_xlfn.MAXIFS(Tabelle5[[#This Row],[binding_level]], Tabelle5[[#This Row],[company_id]],Tabelle18[[#This Row],[company_id]], Tabelle5[[#This Row],[value_id]], Tabelle18[[#This Row],[value_id]], Tabelle5[[#This Row],[value_present]],"1")</f>
        <v>0</v>
      </c>
      <c r="E144" s="54">
        <f>_xlfn.MAXIFS(Tabelle5[[#This Row],[value_points]], Tabelle5[[#This Row],[company_id]],Tabelle18[[#This Row],[company_id]], Tabelle5[[#This Row],[value_id]], Tabelle18[[#This Row],[value_id]], Tabelle5[[#This Row],[value_present]],"1")</f>
        <v>0</v>
      </c>
    </row>
    <row r="145" spans="1:5" ht="15.75" thickBot="1" x14ac:dyDescent="0.3">
      <c r="A145">
        <v>8</v>
      </c>
      <c r="B145" s="30" t="s">
        <v>174</v>
      </c>
      <c r="C145" s="54">
        <f>IF(Tabelle18[[#This Row],[binding_level_company]]&gt;=1,1,0)</f>
        <v>0</v>
      </c>
      <c r="D145" s="54">
        <f>_xlfn.MAXIFS(Tabelle5[[#This Row],[binding_level]], Tabelle5[[#This Row],[company_id]],Tabelle18[[#This Row],[company_id]], Tabelle5[[#This Row],[value_id]], Tabelle18[[#This Row],[value_id]], Tabelle5[[#This Row],[value_present]],"1")</f>
        <v>0</v>
      </c>
      <c r="E145" s="54">
        <f>_xlfn.MAXIFS(Tabelle5[[#This Row],[value_points]], Tabelle5[[#This Row],[company_id]],Tabelle18[[#This Row],[company_id]], Tabelle5[[#This Row],[value_id]], Tabelle18[[#This Row],[value_id]], Tabelle5[[#This Row],[value_present]],"1")</f>
        <v>0</v>
      </c>
    </row>
    <row r="146" spans="1:5" x14ac:dyDescent="0.25">
      <c r="A146">
        <v>9</v>
      </c>
      <c r="B146" s="22" t="s">
        <v>53</v>
      </c>
      <c r="C146" s="54">
        <f>IF(Tabelle18[[#This Row],[binding_level_company]]&gt;=1,1,0)</f>
        <v>0</v>
      </c>
      <c r="D146" s="54">
        <f>_xlfn.MAXIFS(Tabelle5[[#This Row],[binding_level]], Tabelle5[[#This Row],[company_id]],Tabelle18[[#This Row],[company_id]], Tabelle5[[#This Row],[value_id]], Tabelle18[[#This Row],[value_id]], Tabelle5[[#This Row],[value_present]],"1")</f>
        <v>0</v>
      </c>
      <c r="E146" s="54">
        <f>_xlfn.MAXIFS(Tabelle5[[#This Row],[value_points]], Tabelle5[[#This Row],[company_id]],Tabelle18[[#This Row],[company_id]], Tabelle5[[#This Row],[value_id]], Tabelle18[[#This Row],[value_id]], Tabelle5[[#This Row],[value_present]],"1")</f>
        <v>0</v>
      </c>
    </row>
    <row r="147" spans="1:5" x14ac:dyDescent="0.25">
      <c r="A147">
        <v>9</v>
      </c>
      <c r="B147" t="s">
        <v>61</v>
      </c>
      <c r="C147" s="54">
        <f>IF(Tabelle18[[#This Row],[binding_level_company]]&gt;=1,1,0)</f>
        <v>0</v>
      </c>
      <c r="D147" s="54">
        <f>_xlfn.MAXIFS(Tabelle5[[#This Row],[binding_level]], Tabelle5[[#This Row],[company_id]],Tabelle18[[#This Row],[company_id]], Tabelle5[[#This Row],[value_id]], Tabelle18[[#This Row],[value_id]], Tabelle5[[#This Row],[value_present]],"1")</f>
        <v>0</v>
      </c>
      <c r="E147" s="54">
        <f>_xlfn.MAXIFS(Tabelle5[[#This Row],[value_points]], Tabelle5[[#This Row],[company_id]],Tabelle18[[#This Row],[company_id]], Tabelle5[[#This Row],[value_id]], Tabelle18[[#This Row],[value_id]], Tabelle5[[#This Row],[value_present]],"1")</f>
        <v>0</v>
      </c>
    </row>
    <row r="148" spans="1:5" x14ac:dyDescent="0.25">
      <c r="A148">
        <v>9</v>
      </c>
      <c r="B148" t="s">
        <v>69</v>
      </c>
      <c r="C148" s="54">
        <f>IF(Tabelle18[[#This Row],[binding_level_company]]&gt;=1,1,0)</f>
        <v>0</v>
      </c>
      <c r="D148" s="54">
        <f>_xlfn.MAXIFS(Tabelle5[[#This Row],[binding_level]], Tabelle5[[#This Row],[company_id]],Tabelle18[[#This Row],[company_id]], Tabelle5[[#This Row],[value_id]], Tabelle18[[#This Row],[value_id]], Tabelle5[[#This Row],[value_present]],"1")</f>
        <v>0</v>
      </c>
      <c r="E148" s="54">
        <f>_xlfn.MAXIFS(Tabelle5[[#This Row],[value_points]], Tabelle5[[#This Row],[company_id]],Tabelle18[[#This Row],[company_id]], Tabelle5[[#This Row],[value_id]], Tabelle18[[#This Row],[value_id]], Tabelle5[[#This Row],[value_present]],"1")</f>
        <v>0</v>
      </c>
    </row>
    <row r="149" spans="1:5" x14ac:dyDescent="0.25">
      <c r="A149">
        <v>9</v>
      </c>
      <c r="B149" t="s">
        <v>76</v>
      </c>
      <c r="C149" s="54">
        <f>IF(Tabelle18[[#This Row],[binding_level_company]]&gt;=1,1,0)</f>
        <v>0</v>
      </c>
      <c r="D149" s="54">
        <f>_xlfn.MAXIFS(Tabelle5[[#This Row],[binding_level]], Tabelle5[[#This Row],[company_id]],Tabelle18[[#This Row],[company_id]], Tabelle5[[#This Row],[value_id]], Tabelle18[[#This Row],[value_id]], Tabelle5[[#This Row],[value_present]],"1")</f>
        <v>0</v>
      </c>
      <c r="E149" s="54">
        <f>_xlfn.MAXIFS(Tabelle5[[#This Row],[value_points]], Tabelle5[[#This Row],[company_id]],Tabelle18[[#This Row],[company_id]], Tabelle5[[#This Row],[value_id]], Tabelle18[[#This Row],[value_id]], Tabelle5[[#This Row],[value_present]],"1")</f>
        <v>0</v>
      </c>
    </row>
    <row r="150" spans="1:5" x14ac:dyDescent="0.25">
      <c r="A150">
        <v>9</v>
      </c>
      <c r="B150" t="s">
        <v>83</v>
      </c>
      <c r="C150" s="54">
        <f>IF(Tabelle18[[#This Row],[binding_level_company]]&gt;=1,1,0)</f>
        <v>0</v>
      </c>
      <c r="D150" s="54">
        <f>_xlfn.MAXIFS(Tabelle5[[#This Row],[binding_level]], Tabelle5[[#This Row],[company_id]],Tabelle18[[#This Row],[company_id]], Tabelle5[[#This Row],[value_id]], Tabelle18[[#This Row],[value_id]], Tabelle5[[#This Row],[value_present]],"1")</f>
        <v>0</v>
      </c>
      <c r="E150" s="54">
        <f>_xlfn.MAXIFS(Tabelle5[[#This Row],[value_points]], Tabelle5[[#This Row],[company_id]],Tabelle18[[#This Row],[company_id]], Tabelle5[[#This Row],[value_id]], Tabelle18[[#This Row],[value_id]], Tabelle5[[#This Row],[value_present]],"1")</f>
        <v>0</v>
      </c>
    </row>
    <row r="151" spans="1:5" x14ac:dyDescent="0.25">
      <c r="A151">
        <v>9</v>
      </c>
      <c r="B151" t="s">
        <v>90</v>
      </c>
      <c r="C151" s="54">
        <f>IF(Tabelle18[[#This Row],[binding_level_company]]&gt;=1,1,0)</f>
        <v>0</v>
      </c>
      <c r="D151" s="54">
        <f>_xlfn.MAXIFS(Tabelle5[[#This Row],[binding_level]], Tabelle5[[#This Row],[company_id]],Tabelle18[[#This Row],[company_id]], Tabelle5[[#This Row],[value_id]], Tabelle18[[#This Row],[value_id]], Tabelle5[[#This Row],[value_present]],"1")</f>
        <v>0</v>
      </c>
      <c r="E151" s="54">
        <f>_xlfn.MAXIFS(Tabelle5[[#This Row],[value_points]], Tabelle5[[#This Row],[company_id]],Tabelle18[[#This Row],[company_id]], Tabelle5[[#This Row],[value_id]], Tabelle18[[#This Row],[value_id]], Tabelle5[[#This Row],[value_present]],"1")</f>
        <v>0</v>
      </c>
    </row>
    <row r="152" spans="1:5" x14ac:dyDescent="0.25">
      <c r="A152">
        <v>9</v>
      </c>
      <c r="B152" t="s">
        <v>98</v>
      </c>
      <c r="C152" s="54">
        <f>IF(Tabelle18[[#This Row],[binding_level_company]]&gt;=1,1,0)</f>
        <v>0</v>
      </c>
      <c r="D152" s="54">
        <f>_xlfn.MAXIFS(Tabelle5[[#This Row],[binding_level]], Tabelle5[[#This Row],[company_id]],Tabelle18[[#This Row],[company_id]], Tabelle5[[#This Row],[value_id]], Tabelle18[[#This Row],[value_id]], Tabelle5[[#This Row],[value_present]],"1")</f>
        <v>0</v>
      </c>
      <c r="E152" s="54">
        <f>_xlfn.MAXIFS(Tabelle5[[#This Row],[value_points]], Tabelle5[[#This Row],[company_id]],Tabelle18[[#This Row],[company_id]], Tabelle5[[#This Row],[value_id]], Tabelle18[[#This Row],[value_id]], Tabelle5[[#This Row],[value_present]],"1")</f>
        <v>0</v>
      </c>
    </row>
    <row r="153" spans="1:5" x14ac:dyDescent="0.25">
      <c r="A153">
        <v>9</v>
      </c>
      <c r="B153" t="s">
        <v>106</v>
      </c>
      <c r="C153" s="54">
        <f>IF(Tabelle18[[#This Row],[binding_level_company]]&gt;=1,1,0)</f>
        <v>0</v>
      </c>
      <c r="D153" s="54">
        <f>_xlfn.MAXIFS(Tabelle5[[#This Row],[binding_level]], Tabelle5[[#This Row],[company_id]],Tabelle18[[#This Row],[company_id]], Tabelle5[[#This Row],[value_id]], Tabelle18[[#This Row],[value_id]], Tabelle5[[#This Row],[value_present]],"1")</f>
        <v>0</v>
      </c>
      <c r="E153" s="54">
        <f>_xlfn.MAXIFS(Tabelle5[[#This Row],[value_points]], Tabelle5[[#This Row],[company_id]],Tabelle18[[#This Row],[company_id]], Tabelle5[[#This Row],[value_id]], Tabelle18[[#This Row],[value_id]], Tabelle5[[#This Row],[value_present]],"1")</f>
        <v>0</v>
      </c>
    </row>
    <row r="154" spans="1:5" x14ac:dyDescent="0.25">
      <c r="A154">
        <v>9</v>
      </c>
      <c r="B154" t="s">
        <v>112</v>
      </c>
      <c r="C154" s="54">
        <f>IF(Tabelle18[[#This Row],[binding_level_company]]&gt;=1,1,0)</f>
        <v>0</v>
      </c>
      <c r="D154" s="54">
        <f>_xlfn.MAXIFS(Tabelle5[[#This Row],[binding_level]], Tabelle5[[#This Row],[company_id]],Tabelle18[[#This Row],[company_id]], Tabelle5[[#This Row],[value_id]], Tabelle18[[#This Row],[value_id]], Tabelle5[[#This Row],[value_present]],"1")</f>
        <v>0</v>
      </c>
      <c r="E154" s="54">
        <f>_xlfn.MAXIFS(Tabelle5[[#This Row],[value_points]], Tabelle5[[#This Row],[company_id]],Tabelle18[[#This Row],[company_id]], Tabelle5[[#This Row],[value_id]], Tabelle18[[#This Row],[value_id]], Tabelle5[[#This Row],[value_present]],"1")</f>
        <v>0</v>
      </c>
    </row>
    <row r="155" spans="1:5" x14ac:dyDescent="0.25">
      <c r="A155">
        <v>9</v>
      </c>
      <c r="B155" t="s">
        <v>118</v>
      </c>
      <c r="C155" s="54">
        <f>IF(Tabelle18[[#This Row],[binding_level_company]]&gt;=1,1,0)</f>
        <v>0</v>
      </c>
      <c r="D155" s="54">
        <f>_xlfn.MAXIFS(Tabelle5[[#This Row],[binding_level]], Tabelle5[[#This Row],[company_id]],Tabelle18[[#This Row],[company_id]], Tabelle5[[#This Row],[value_id]], Tabelle18[[#This Row],[value_id]], Tabelle5[[#This Row],[value_present]],"1")</f>
        <v>0</v>
      </c>
      <c r="E155" s="54">
        <f>_xlfn.MAXIFS(Tabelle5[[#This Row],[value_points]], Tabelle5[[#This Row],[company_id]],Tabelle18[[#This Row],[company_id]], Tabelle5[[#This Row],[value_id]], Tabelle18[[#This Row],[value_id]], Tabelle5[[#This Row],[value_present]],"1")</f>
        <v>0</v>
      </c>
    </row>
    <row r="156" spans="1:5" x14ac:dyDescent="0.25">
      <c r="A156">
        <v>9</v>
      </c>
      <c r="B156" t="s">
        <v>125</v>
      </c>
      <c r="C156" s="54">
        <f>IF(Tabelle18[[#This Row],[binding_level_company]]&gt;=1,1,0)</f>
        <v>0</v>
      </c>
      <c r="D156" s="54">
        <f>_xlfn.MAXIFS(Tabelle5[[#This Row],[binding_level]], Tabelle5[[#This Row],[company_id]],Tabelle18[[#This Row],[company_id]], Tabelle5[[#This Row],[value_id]], Tabelle18[[#This Row],[value_id]], Tabelle5[[#This Row],[value_present]],"1")</f>
        <v>0</v>
      </c>
      <c r="E156" s="54">
        <f>_xlfn.MAXIFS(Tabelle5[[#This Row],[value_points]], Tabelle5[[#This Row],[company_id]],Tabelle18[[#This Row],[company_id]], Tabelle5[[#This Row],[value_id]], Tabelle18[[#This Row],[value_id]], Tabelle5[[#This Row],[value_present]],"1")</f>
        <v>0</v>
      </c>
    </row>
    <row r="157" spans="1:5" x14ac:dyDescent="0.25">
      <c r="A157">
        <v>9</v>
      </c>
      <c r="B157" t="s">
        <v>132</v>
      </c>
      <c r="C157" s="54">
        <f>IF(Tabelle18[[#This Row],[binding_level_company]]&gt;=1,1,0)</f>
        <v>0</v>
      </c>
      <c r="D157" s="54">
        <f>_xlfn.MAXIFS(Tabelle5[[#This Row],[binding_level]], Tabelle5[[#This Row],[company_id]],Tabelle18[[#This Row],[company_id]], Tabelle5[[#This Row],[value_id]], Tabelle18[[#This Row],[value_id]], Tabelle5[[#This Row],[value_present]],"1")</f>
        <v>0</v>
      </c>
      <c r="E157" s="54">
        <f>_xlfn.MAXIFS(Tabelle5[[#This Row],[value_points]], Tabelle5[[#This Row],[company_id]],Tabelle18[[#This Row],[company_id]], Tabelle5[[#This Row],[value_id]], Tabelle18[[#This Row],[value_id]], Tabelle5[[#This Row],[value_present]],"1")</f>
        <v>0</v>
      </c>
    </row>
    <row r="158" spans="1:5" x14ac:dyDescent="0.25">
      <c r="A158">
        <v>9</v>
      </c>
      <c r="B158" t="s">
        <v>140</v>
      </c>
      <c r="C158" s="54">
        <f>IF(Tabelle18[[#This Row],[binding_level_company]]&gt;=1,1,0)</f>
        <v>0</v>
      </c>
      <c r="D158" s="54">
        <f>_xlfn.MAXIFS(Tabelle5[[#This Row],[binding_level]], Tabelle5[[#This Row],[company_id]],Tabelle18[[#This Row],[company_id]], Tabelle5[[#This Row],[value_id]], Tabelle18[[#This Row],[value_id]], Tabelle5[[#This Row],[value_present]],"1")</f>
        <v>0</v>
      </c>
      <c r="E158" s="54">
        <f>_xlfn.MAXIFS(Tabelle5[[#This Row],[value_points]], Tabelle5[[#This Row],[company_id]],Tabelle18[[#This Row],[company_id]], Tabelle5[[#This Row],[value_id]], Tabelle18[[#This Row],[value_id]], Tabelle5[[#This Row],[value_present]],"1")</f>
        <v>0</v>
      </c>
    </row>
    <row r="159" spans="1:5" x14ac:dyDescent="0.25">
      <c r="A159">
        <v>9</v>
      </c>
      <c r="B159" t="s">
        <v>147</v>
      </c>
      <c r="C159" s="54">
        <f>IF(Tabelle18[[#This Row],[binding_level_company]]&gt;=1,1,0)</f>
        <v>0</v>
      </c>
      <c r="D159" s="54">
        <f>_xlfn.MAXIFS(Tabelle5[[#This Row],[binding_level]], Tabelle5[[#This Row],[company_id]],Tabelle18[[#This Row],[company_id]], Tabelle5[[#This Row],[value_id]], Tabelle18[[#This Row],[value_id]], Tabelle5[[#This Row],[value_present]],"1")</f>
        <v>0</v>
      </c>
      <c r="E159" s="54">
        <f>_xlfn.MAXIFS(Tabelle5[[#This Row],[value_points]], Tabelle5[[#This Row],[company_id]],Tabelle18[[#This Row],[company_id]], Tabelle5[[#This Row],[value_id]], Tabelle18[[#This Row],[value_id]], Tabelle5[[#This Row],[value_present]],"1")</f>
        <v>0</v>
      </c>
    </row>
    <row r="160" spans="1:5" x14ac:dyDescent="0.25">
      <c r="A160">
        <v>9</v>
      </c>
      <c r="B160" t="s">
        <v>154</v>
      </c>
      <c r="C160" s="54">
        <f>IF(Tabelle18[[#This Row],[binding_level_company]]&gt;=1,1,0)</f>
        <v>0</v>
      </c>
      <c r="D160" s="54">
        <f>_xlfn.MAXIFS(Tabelle5[[#This Row],[binding_level]], Tabelle5[[#This Row],[company_id]],Tabelle18[[#This Row],[company_id]], Tabelle5[[#This Row],[value_id]], Tabelle18[[#This Row],[value_id]], Tabelle5[[#This Row],[value_present]],"1")</f>
        <v>0</v>
      </c>
      <c r="E160" s="54">
        <f>_xlfn.MAXIFS(Tabelle5[[#This Row],[value_points]], Tabelle5[[#This Row],[company_id]],Tabelle18[[#This Row],[company_id]], Tabelle5[[#This Row],[value_id]], Tabelle18[[#This Row],[value_id]], Tabelle5[[#This Row],[value_present]],"1")</f>
        <v>0</v>
      </c>
    </row>
    <row r="161" spans="1:5" x14ac:dyDescent="0.25">
      <c r="A161">
        <v>9</v>
      </c>
      <c r="B161" t="s">
        <v>161</v>
      </c>
      <c r="C161" s="54">
        <f>IF(Tabelle18[[#This Row],[binding_level_company]]&gt;=1,1,0)</f>
        <v>0</v>
      </c>
      <c r="D161" s="54">
        <f>_xlfn.MAXIFS(Tabelle5[[#This Row],[binding_level]], Tabelle5[[#This Row],[company_id]],Tabelle18[[#This Row],[company_id]], Tabelle5[[#This Row],[value_id]], Tabelle18[[#This Row],[value_id]], Tabelle5[[#This Row],[value_present]],"1")</f>
        <v>0</v>
      </c>
      <c r="E161" s="54">
        <f>_xlfn.MAXIFS(Tabelle5[[#This Row],[value_points]], Tabelle5[[#This Row],[company_id]],Tabelle18[[#This Row],[company_id]], Tabelle5[[#This Row],[value_id]], Tabelle18[[#This Row],[value_id]], Tabelle5[[#This Row],[value_present]],"1")</f>
        <v>0</v>
      </c>
    </row>
    <row r="162" spans="1:5" x14ac:dyDescent="0.25">
      <c r="A162">
        <v>9</v>
      </c>
      <c r="B162" t="s">
        <v>166</v>
      </c>
      <c r="C162" s="54">
        <f>IF(Tabelle18[[#This Row],[binding_level_company]]&gt;=1,1,0)</f>
        <v>0</v>
      </c>
      <c r="D162" s="54">
        <f>_xlfn.MAXIFS(Tabelle5[[#This Row],[binding_level]], Tabelle5[[#This Row],[company_id]],Tabelle18[[#This Row],[company_id]], Tabelle5[[#This Row],[value_id]], Tabelle18[[#This Row],[value_id]], Tabelle5[[#This Row],[value_present]],"1")</f>
        <v>0</v>
      </c>
      <c r="E162" s="54">
        <f>_xlfn.MAXIFS(Tabelle5[[#This Row],[value_points]], Tabelle5[[#This Row],[company_id]],Tabelle18[[#This Row],[company_id]], Tabelle5[[#This Row],[value_id]], Tabelle18[[#This Row],[value_id]], Tabelle5[[#This Row],[value_present]],"1")</f>
        <v>0</v>
      </c>
    </row>
    <row r="163" spans="1:5" ht="15.75" thickBot="1" x14ac:dyDescent="0.3">
      <c r="A163">
        <v>9</v>
      </c>
      <c r="B163" s="30" t="s">
        <v>174</v>
      </c>
      <c r="C163" s="54">
        <f>IF(Tabelle18[[#This Row],[binding_level_company]]&gt;=1,1,0)</f>
        <v>0</v>
      </c>
      <c r="D163" s="54">
        <f>_xlfn.MAXIFS(Tabelle5[[#This Row],[binding_level]], Tabelle5[[#This Row],[company_id]],Tabelle18[[#This Row],[company_id]], Tabelle5[[#This Row],[value_id]], Tabelle18[[#This Row],[value_id]], Tabelle5[[#This Row],[value_present]],"1")</f>
        <v>0</v>
      </c>
      <c r="E163" s="54">
        <f>_xlfn.MAXIFS(Tabelle5[[#This Row],[value_points]], Tabelle5[[#This Row],[company_id]],Tabelle18[[#This Row],[company_id]], Tabelle5[[#This Row],[value_id]], Tabelle18[[#This Row],[value_id]], Tabelle5[[#This Row],[value_present]],"1")</f>
        <v>0</v>
      </c>
    </row>
    <row r="164" spans="1:5" x14ac:dyDescent="0.25">
      <c r="A164">
        <v>10</v>
      </c>
      <c r="B164" s="22" t="s">
        <v>53</v>
      </c>
      <c r="C164" s="54">
        <f>IF(Tabelle18[[#This Row],[binding_level_company]]&gt;=1,1,0)</f>
        <v>0</v>
      </c>
      <c r="D164" s="54">
        <f>_xlfn.MAXIFS(Tabelle5[[#This Row],[binding_level]], Tabelle5[[#This Row],[company_id]],Tabelle18[[#This Row],[company_id]], Tabelle5[[#This Row],[value_id]], Tabelle18[[#This Row],[value_id]], Tabelle5[[#This Row],[value_present]],"1")</f>
        <v>0</v>
      </c>
      <c r="E164" s="54">
        <f>_xlfn.MAXIFS(Tabelle5[[#This Row],[value_points]], Tabelle5[[#This Row],[company_id]],Tabelle18[[#This Row],[company_id]], Tabelle5[[#This Row],[value_id]], Tabelle18[[#This Row],[value_id]], Tabelle5[[#This Row],[value_present]],"1")</f>
        <v>0</v>
      </c>
    </row>
    <row r="165" spans="1:5" x14ac:dyDescent="0.25">
      <c r="A165">
        <v>10</v>
      </c>
      <c r="B165" t="s">
        <v>61</v>
      </c>
      <c r="C165" s="54">
        <f>IF(Tabelle18[[#This Row],[binding_level_company]]&gt;=1,1,0)</f>
        <v>0</v>
      </c>
      <c r="D165" s="54">
        <f>_xlfn.MAXIFS(Tabelle5[[#This Row],[binding_level]], Tabelle5[[#This Row],[company_id]],Tabelle18[[#This Row],[company_id]], Tabelle5[[#This Row],[value_id]], Tabelle18[[#This Row],[value_id]], Tabelle5[[#This Row],[value_present]],"1")</f>
        <v>0</v>
      </c>
      <c r="E165" s="54">
        <f>_xlfn.MAXIFS(Tabelle5[[#This Row],[value_points]], Tabelle5[[#This Row],[company_id]],Tabelle18[[#This Row],[company_id]], Tabelle5[[#This Row],[value_id]], Tabelle18[[#This Row],[value_id]], Tabelle5[[#This Row],[value_present]],"1")</f>
        <v>0</v>
      </c>
    </row>
    <row r="166" spans="1:5" x14ac:dyDescent="0.25">
      <c r="A166">
        <v>10</v>
      </c>
      <c r="B166" t="s">
        <v>69</v>
      </c>
      <c r="C166" s="54">
        <f>IF(Tabelle18[[#This Row],[binding_level_company]]&gt;=1,1,0)</f>
        <v>0</v>
      </c>
      <c r="D166" s="54">
        <f>_xlfn.MAXIFS(Tabelle5[[#This Row],[binding_level]], Tabelle5[[#This Row],[company_id]],Tabelle18[[#This Row],[company_id]], Tabelle5[[#This Row],[value_id]], Tabelle18[[#This Row],[value_id]], Tabelle5[[#This Row],[value_present]],"1")</f>
        <v>0</v>
      </c>
      <c r="E166" s="54">
        <f>_xlfn.MAXIFS(Tabelle5[[#This Row],[value_points]], Tabelle5[[#This Row],[company_id]],Tabelle18[[#This Row],[company_id]], Tabelle5[[#This Row],[value_id]], Tabelle18[[#This Row],[value_id]], Tabelle5[[#This Row],[value_present]],"1")</f>
        <v>0</v>
      </c>
    </row>
    <row r="167" spans="1:5" x14ac:dyDescent="0.25">
      <c r="A167">
        <v>10</v>
      </c>
      <c r="B167" t="s">
        <v>76</v>
      </c>
      <c r="C167" s="54">
        <f>IF(Tabelle18[[#This Row],[binding_level_company]]&gt;=1,1,0)</f>
        <v>0</v>
      </c>
      <c r="D167" s="54">
        <f>_xlfn.MAXIFS(Tabelle5[[#This Row],[binding_level]], Tabelle5[[#This Row],[company_id]],Tabelle18[[#This Row],[company_id]], Tabelle5[[#This Row],[value_id]], Tabelle18[[#This Row],[value_id]], Tabelle5[[#This Row],[value_present]],"1")</f>
        <v>0</v>
      </c>
      <c r="E167" s="54">
        <f>_xlfn.MAXIFS(Tabelle5[[#This Row],[value_points]], Tabelle5[[#This Row],[company_id]],Tabelle18[[#This Row],[company_id]], Tabelle5[[#This Row],[value_id]], Tabelle18[[#This Row],[value_id]], Tabelle5[[#This Row],[value_present]],"1")</f>
        <v>0</v>
      </c>
    </row>
    <row r="168" spans="1:5" x14ac:dyDescent="0.25">
      <c r="A168">
        <v>10</v>
      </c>
      <c r="B168" t="s">
        <v>83</v>
      </c>
      <c r="C168" s="54">
        <f>IF(Tabelle18[[#This Row],[binding_level_company]]&gt;=1,1,0)</f>
        <v>0</v>
      </c>
      <c r="D168" s="54">
        <f>_xlfn.MAXIFS(Tabelle5[[#This Row],[binding_level]], Tabelle5[[#This Row],[company_id]],Tabelle18[[#This Row],[company_id]], Tabelle5[[#This Row],[value_id]], Tabelle18[[#This Row],[value_id]], Tabelle5[[#This Row],[value_present]],"1")</f>
        <v>0</v>
      </c>
      <c r="E168" s="54">
        <f>_xlfn.MAXIFS(Tabelle5[[#This Row],[value_points]], Tabelle5[[#This Row],[company_id]],Tabelle18[[#This Row],[company_id]], Tabelle5[[#This Row],[value_id]], Tabelle18[[#This Row],[value_id]], Tabelle5[[#This Row],[value_present]],"1")</f>
        <v>0</v>
      </c>
    </row>
    <row r="169" spans="1:5" x14ac:dyDescent="0.25">
      <c r="A169">
        <v>10</v>
      </c>
      <c r="B169" t="s">
        <v>90</v>
      </c>
      <c r="C169" s="54">
        <f>IF(Tabelle18[[#This Row],[binding_level_company]]&gt;=1,1,0)</f>
        <v>0</v>
      </c>
      <c r="D169" s="54">
        <f>_xlfn.MAXIFS(Tabelle5[[#This Row],[binding_level]], Tabelle5[[#This Row],[company_id]],Tabelle18[[#This Row],[company_id]], Tabelle5[[#This Row],[value_id]], Tabelle18[[#This Row],[value_id]], Tabelle5[[#This Row],[value_present]],"1")</f>
        <v>0</v>
      </c>
      <c r="E169" s="54">
        <f>_xlfn.MAXIFS(Tabelle5[[#This Row],[value_points]], Tabelle5[[#This Row],[company_id]],Tabelle18[[#This Row],[company_id]], Tabelle5[[#This Row],[value_id]], Tabelle18[[#This Row],[value_id]], Tabelle5[[#This Row],[value_present]],"1")</f>
        <v>0</v>
      </c>
    </row>
    <row r="170" spans="1:5" x14ac:dyDescent="0.25">
      <c r="A170">
        <v>10</v>
      </c>
      <c r="B170" t="s">
        <v>98</v>
      </c>
      <c r="C170" s="54">
        <f>IF(Tabelle18[[#This Row],[binding_level_company]]&gt;=1,1,0)</f>
        <v>0</v>
      </c>
      <c r="D170" s="54">
        <f>_xlfn.MAXIFS(Tabelle5[[#This Row],[binding_level]], Tabelle5[[#This Row],[company_id]],Tabelle18[[#This Row],[company_id]], Tabelle5[[#This Row],[value_id]], Tabelle18[[#This Row],[value_id]], Tabelle5[[#This Row],[value_present]],"1")</f>
        <v>0</v>
      </c>
      <c r="E170" s="54">
        <f>_xlfn.MAXIFS(Tabelle5[[#This Row],[value_points]], Tabelle5[[#This Row],[company_id]],Tabelle18[[#This Row],[company_id]], Tabelle5[[#This Row],[value_id]], Tabelle18[[#This Row],[value_id]], Tabelle5[[#This Row],[value_present]],"1")</f>
        <v>0</v>
      </c>
    </row>
    <row r="171" spans="1:5" x14ac:dyDescent="0.25">
      <c r="A171">
        <v>10</v>
      </c>
      <c r="B171" t="s">
        <v>106</v>
      </c>
      <c r="C171" s="54">
        <f>IF(Tabelle18[[#This Row],[binding_level_company]]&gt;=1,1,0)</f>
        <v>0</v>
      </c>
      <c r="D171" s="54">
        <f>_xlfn.MAXIFS(Tabelle5[[#This Row],[binding_level]], Tabelle5[[#This Row],[company_id]],Tabelle18[[#This Row],[company_id]], Tabelle5[[#This Row],[value_id]], Tabelle18[[#This Row],[value_id]], Tabelle5[[#This Row],[value_present]],"1")</f>
        <v>0</v>
      </c>
      <c r="E171" s="54">
        <f>_xlfn.MAXIFS(Tabelle5[[#This Row],[value_points]], Tabelle5[[#This Row],[company_id]],Tabelle18[[#This Row],[company_id]], Tabelle5[[#This Row],[value_id]], Tabelle18[[#This Row],[value_id]], Tabelle5[[#This Row],[value_present]],"1")</f>
        <v>0</v>
      </c>
    </row>
    <row r="172" spans="1:5" x14ac:dyDescent="0.25">
      <c r="A172">
        <v>10</v>
      </c>
      <c r="B172" t="s">
        <v>112</v>
      </c>
      <c r="C172" s="54">
        <f>IF(Tabelle18[[#This Row],[binding_level_company]]&gt;=1,1,0)</f>
        <v>0</v>
      </c>
      <c r="D172" s="54">
        <f>_xlfn.MAXIFS(Tabelle5[[#This Row],[binding_level]], Tabelle5[[#This Row],[company_id]],Tabelle18[[#This Row],[company_id]], Tabelle5[[#This Row],[value_id]], Tabelle18[[#This Row],[value_id]], Tabelle5[[#This Row],[value_present]],"1")</f>
        <v>0</v>
      </c>
      <c r="E172" s="54">
        <f>_xlfn.MAXIFS(Tabelle5[[#This Row],[value_points]], Tabelle5[[#This Row],[company_id]],Tabelle18[[#This Row],[company_id]], Tabelle5[[#This Row],[value_id]], Tabelle18[[#This Row],[value_id]], Tabelle5[[#This Row],[value_present]],"1")</f>
        <v>0</v>
      </c>
    </row>
    <row r="173" spans="1:5" x14ac:dyDescent="0.25">
      <c r="A173">
        <v>10</v>
      </c>
      <c r="B173" t="s">
        <v>118</v>
      </c>
      <c r="C173" s="54">
        <f>IF(Tabelle18[[#This Row],[binding_level_company]]&gt;=1,1,0)</f>
        <v>0</v>
      </c>
      <c r="D173" s="54">
        <f>_xlfn.MAXIFS(Tabelle5[[#This Row],[binding_level]], Tabelle5[[#This Row],[company_id]],Tabelle18[[#This Row],[company_id]], Tabelle5[[#This Row],[value_id]], Tabelle18[[#This Row],[value_id]], Tabelle5[[#This Row],[value_present]],"1")</f>
        <v>0</v>
      </c>
      <c r="E173" s="54">
        <f>_xlfn.MAXIFS(Tabelle5[[#This Row],[value_points]], Tabelle5[[#This Row],[company_id]],Tabelle18[[#This Row],[company_id]], Tabelle5[[#This Row],[value_id]], Tabelle18[[#This Row],[value_id]], Tabelle5[[#This Row],[value_present]],"1")</f>
        <v>0</v>
      </c>
    </row>
    <row r="174" spans="1:5" x14ac:dyDescent="0.25">
      <c r="A174">
        <v>10</v>
      </c>
      <c r="B174" t="s">
        <v>125</v>
      </c>
      <c r="C174" s="54">
        <f>IF(Tabelle18[[#This Row],[binding_level_company]]&gt;=1,1,0)</f>
        <v>0</v>
      </c>
      <c r="D174" s="54">
        <f>_xlfn.MAXIFS(Tabelle5[[#This Row],[binding_level]], Tabelle5[[#This Row],[company_id]],Tabelle18[[#This Row],[company_id]], Tabelle5[[#This Row],[value_id]], Tabelle18[[#This Row],[value_id]], Tabelle5[[#This Row],[value_present]],"1")</f>
        <v>0</v>
      </c>
      <c r="E174" s="54">
        <f>_xlfn.MAXIFS(Tabelle5[[#This Row],[value_points]], Tabelle5[[#This Row],[company_id]],Tabelle18[[#This Row],[company_id]], Tabelle5[[#This Row],[value_id]], Tabelle18[[#This Row],[value_id]], Tabelle5[[#This Row],[value_present]],"1")</f>
        <v>0</v>
      </c>
    </row>
    <row r="175" spans="1:5" x14ac:dyDescent="0.25">
      <c r="A175">
        <v>10</v>
      </c>
      <c r="B175" t="s">
        <v>132</v>
      </c>
      <c r="C175" s="54">
        <f>IF(Tabelle18[[#This Row],[binding_level_company]]&gt;=1,1,0)</f>
        <v>0</v>
      </c>
      <c r="D175" s="54">
        <f>_xlfn.MAXIFS(Tabelle5[[#This Row],[binding_level]], Tabelle5[[#This Row],[company_id]],Tabelle18[[#This Row],[company_id]], Tabelle5[[#This Row],[value_id]], Tabelle18[[#This Row],[value_id]], Tabelle5[[#This Row],[value_present]],"1")</f>
        <v>0</v>
      </c>
      <c r="E175" s="54">
        <f>_xlfn.MAXIFS(Tabelle5[[#This Row],[value_points]], Tabelle5[[#This Row],[company_id]],Tabelle18[[#This Row],[company_id]], Tabelle5[[#This Row],[value_id]], Tabelle18[[#This Row],[value_id]], Tabelle5[[#This Row],[value_present]],"1")</f>
        <v>0</v>
      </c>
    </row>
    <row r="176" spans="1:5" x14ac:dyDescent="0.25">
      <c r="A176">
        <v>10</v>
      </c>
      <c r="B176" t="s">
        <v>140</v>
      </c>
      <c r="C176" s="54">
        <f>IF(Tabelle18[[#This Row],[binding_level_company]]&gt;=1,1,0)</f>
        <v>0</v>
      </c>
      <c r="D176" s="54">
        <f>_xlfn.MAXIFS(Tabelle5[[#This Row],[binding_level]], Tabelle5[[#This Row],[company_id]],Tabelle18[[#This Row],[company_id]], Tabelle5[[#This Row],[value_id]], Tabelle18[[#This Row],[value_id]], Tabelle5[[#This Row],[value_present]],"1")</f>
        <v>0</v>
      </c>
      <c r="E176" s="54">
        <f>_xlfn.MAXIFS(Tabelle5[[#This Row],[value_points]], Tabelle5[[#This Row],[company_id]],Tabelle18[[#This Row],[company_id]], Tabelle5[[#This Row],[value_id]], Tabelle18[[#This Row],[value_id]], Tabelle5[[#This Row],[value_present]],"1")</f>
        <v>0</v>
      </c>
    </row>
    <row r="177" spans="1:5" x14ac:dyDescent="0.25">
      <c r="A177">
        <v>10</v>
      </c>
      <c r="B177" t="s">
        <v>147</v>
      </c>
      <c r="C177" s="54">
        <f>IF(Tabelle18[[#This Row],[binding_level_company]]&gt;=1,1,0)</f>
        <v>0</v>
      </c>
      <c r="D177" s="54">
        <f>_xlfn.MAXIFS(Tabelle5[[#This Row],[binding_level]], Tabelle5[[#This Row],[company_id]],Tabelle18[[#This Row],[company_id]], Tabelle5[[#This Row],[value_id]], Tabelle18[[#This Row],[value_id]], Tabelle5[[#This Row],[value_present]],"1")</f>
        <v>0</v>
      </c>
      <c r="E177" s="54">
        <f>_xlfn.MAXIFS(Tabelle5[[#This Row],[value_points]], Tabelle5[[#This Row],[company_id]],Tabelle18[[#This Row],[company_id]], Tabelle5[[#This Row],[value_id]], Tabelle18[[#This Row],[value_id]], Tabelle5[[#This Row],[value_present]],"1")</f>
        <v>0</v>
      </c>
    </row>
    <row r="178" spans="1:5" x14ac:dyDescent="0.25">
      <c r="A178">
        <v>10</v>
      </c>
      <c r="B178" t="s">
        <v>154</v>
      </c>
      <c r="C178" s="54">
        <f>IF(Tabelle18[[#This Row],[binding_level_company]]&gt;=1,1,0)</f>
        <v>0</v>
      </c>
      <c r="D178" s="54">
        <f>_xlfn.MAXIFS(Tabelle5[[#This Row],[binding_level]], Tabelle5[[#This Row],[company_id]],Tabelle18[[#This Row],[company_id]], Tabelle5[[#This Row],[value_id]], Tabelle18[[#This Row],[value_id]], Tabelle5[[#This Row],[value_present]],"1")</f>
        <v>0</v>
      </c>
      <c r="E178" s="54">
        <f>_xlfn.MAXIFS(Tabelle5[[#This Row],[value_points]], Tabelle5[[#This Row],[company_id]],Tabelle18[[#This Row],[company_id]], Tabelle5[[#This Row],[value_id]], Tabelle18[[#This Row],[value_id]], Tabelle5[[#This Row],[value_present]],"1")</f>
        <v>0</v>
      </c>
    </row>
    <row r="179" spans="1:5" x14ac:dyDescent="0.25">
      <c r="A179">
        <v>10</v>
      </c>
      <c r="B179" t="s">
        <v>161</v>
      </c>
      <c r="C179" s="54">
        <f>IF(Tabelle18[[#This Row],[binding_level_company]]&gt;=1,1,0)</f>
        <v>0</v>
      </c>
      <c r="D179" s="54">
        <f>_xlfn.MAXIFS(Tabelle5[[#This Row],[binding_level]], Tabelle5[[#This Row],[company_id]],Tabelle18[[#This Row],[company_id]], Tabelle5[[#This Row],[value_id]], Tabelle18[[#This Row],[value_id]], Tabelle5[[#This Row],[value_present]],"1")</f>
        <v>0</v>
      </c>
      <c r="E179" s="54">
        <f>_xlfn.MAXIFS(Tabelle5[[#This Row],[value_points]], Tabelle5[[#This Row],[company_id]],Tabelle18[[#This Row],[company_id]], Tabelle5[[#This Row],[value_id]], Tabelle18[[#This Row],[value_id]], Tabelle5[[#This Row],[value_present]],"1")</f>
        <v>0</v>
      </c>
    </row>
    <row r="180" spans="1:5" x14ac:dyDescent="0.25">
      <c r="A180">
        <v>10</v>
      </c>
      <c r="B180" t="s">
        <v>166</v>
      </c>
      <c r="C180" s="54">
        <f>IF(Tabelle18[[#This Row],[binding_level_company]]&gt;=1,1,0)</f>
        <v>0</v>
      </c>
      <c r="D180" s="54">
        <f>_xlfn.MAXIFS(Tabelle5[[#This Row],[binding_level]], Tabelle5[[#This Row],[company_id]],Tabelle18[[#This Row],[company_id]], Tabelle5[[#This Row],[value_id]], Tabelle18[[#This Row],[value_id]], Tabelle5[[#This Row],[value_present]],"1")</f>
        <v>0</v>
      </c>
      <c r="E180" s="54">
        <f>_xlfn.MAXIFS(Tabelle5[[#This Row],[value_points]], Tabelle5[[#This Row],[company_id]],Tabelle18[[#This Row],[company_id]], Tabelle5[[#This Row],[value_id]], Tabelle18[[#This Row],[value_id]], Tabelle5[[#This Row],[value_present]],"1")</f>
        <v>0</v>
      </c>
    </row>
    <row r="181" spans="1:5" ht="15.75" thickBot="1" x14ac:dyDescent="0.3">
      <c r="A181">
        <v>10</v>
      </c>
      <c r="B181" s="30" t="s">
        <v>174</v>
      </c>
      <c r="C181" s="54">
        <f>IF(Tabelle18[[#This Row],[binding_level_company]]&gt;=1,1,0)</f>
        <v>0</v>
      </c>
      <c r="D181" s="54">
        <f>_xlfn.MAXIFS(Tabelle5[[#This Row],[binding_level]], Tabelle5[[#This Row],[company_id]],Tabelle18[[#This Row],[company_id]], Tabelle5[[#This Row],[value_id]], Tabelle18[[#This Row],[value_id]], Tabelle5[[#This Row],[value_present]],"1")</f>
        <v>0</v>
      </c>
      <c r="E181" s="54">
        <f>_xlfn.MAXIFS(Tabelle5[[#This Row],[value_points]], Tabelle5[[#This Row],[company_id]],Tabelle18[[#This Row],[company_id]], Tabelle5[[#This Row],[value_id]], Tabelle18[[#This Row],[value_id]], Tabelle5[[#This Row],[value_present]],"1")</f>
        <v>0</v>
      </c>
    </row>
    <row r="182" spans="1:5" x14ac:dyDescent="0.25">
      <c r="B182" s="22" t="s">
        <v>53</v>
      </c>
      <c r="C182" s="54">
        <f>IF(Tabelle18[[#This Row],[binding_level_company]]&gt;=1,1,0)</f>
        <v>0</v>
      </c>
      <c r="D182" s="54">
        <f>_xlfn.MAXIFS(Tabelle5[[#This Row],[binding_level]], Tabelle5[[#This Row],[company_id]],Tabelle18[[#This Row],[company_id]], Tabelle5[[#This Row],[value_id]], Tabelle18[[#This Row],[value_id]], Tabelle5[[#This Row],[value_present]],"1")</f>
        <v>0</v>
      </c>
      <c r="E182" s="54">
        <f>_xlfn.MAXIFS(Tabelle5[[#This Row],[value_points]], Tabelle5[[#This Row],[company_id]],Tabelle18[[#This Row],[company_id]], Tabelle5[[#This Row],[value_id]], Tabelle18[[#This Row],[value_id]], Tabelle5[[#This Row],[value_present]],"1")</f>
        <v>0</v>
      </c>
    </row>
    <row r="183" spans="1:5" x14ac:dyDescent="0.25">
      <c r="A183">
        <v>11</v>
      </c>
      <c r="B183" t="s">
        <v>61</v>
      </c>
      <c r="C183" s="54">
        <f>IF(Tabelle18[[#This Row],[binding_level_company]]&gt;=1,1,0)</f>
        <v>0</v>
      </c>
      <c r="D183" s="54">
        <f>_xlfn.MAXIFS(Tabelle5[[#This Row],[binding_level]], Tabelle5[[#This Row],[company_id]],Tabelle18[[#This Row],[company_id]], Tabelle5[[#This Row],[value_id]], Tabelle18[[#This Row],[value_id]], Tabelle5[[#This Row],[value_present]],"1")</f>
        <v>0</v>
      </c>
      <c r="E183" s="54">
        <f>_xlfn.MAXIFS(Tabelle5[[#This Row],[value_points]], Tabelle5[[#This Row],[company_id]],Tabelle18[[#This Row],[company_id]], Tabelle5[[#This Row],[value_id]], Tabelle18[[#This Row],[value_id]], Tabelle5[[#This Row],[value_present]],"1")</f>
        <v>0</v>
      </c>
    </row>
    <row r="184" spans="1:5" x14ac:dyDescent="0.25">
      <c r="A184">
        <v>11</v>
      </c>
      <c r="B184" t="s">
        <v>69</v>
      </c>
      <c r="C184" s="54">
        <f>IF(Tabelle18[[#This Row],[binding_level_company]]&gt;=1,1,0)</f>
        <v>0</v>
      </c>
      <c r="D184" s="54">
        <f>_xlfn.MAXIFS(Tabelle5[[#This Row],[binding_level]], Tabelle5[[#This Row],[company_id]],Tabelle18[[#This Row],[company_id]], Tabelle5[[#This Row],[value_id]], Tabelle18[[#This Row],[value_id]], Tabelle5[[#This Row],[value_present]],"1")</f>
        <v>0</v>
      </c>
      <c r="E184" s="54">
        <f>_xlfn.MAXIFS(Tabelle5[[#This Row],[value_points]], Tabelle5[[#This Row],[company_id]],Tabelle18[[#This Row],[company_id]], Tabelle5[[#This Row],[value_id]], Tabelle18[[#This Row],[value_id]], Tabelle5[[#This Row],[value_present]],"1")</f>
        <v>0</v>
      </c>
    </row>
    <row r="185" spans="1:5" x14ac:dyDescent="0.25">
      <c r="A185">
        <v>11</v>
      </c>
      <c r="B185" t="s">
        <v>76</v>
      </c>
      <c r="C185" s="54">
        <f>IF(Tabelle18[[#This Row],[binding_level_company]]&gt;=1,1,0)</f>
        <v>0</v>
      </c>
      <c r="D185" s="54">
        <f>_xlfn.MAXIFS(Tabelle5[[#This Row],[binding_level]], Tabelle5[[#This Row],[company_id]],Tabelle18[[#This Row],[company_id]], Tabelle5[[#This Row],[value_id]], Tabelle18[[#This Row],[value_id]], Tabelle5[[#This Row],[value_present]],"1")</f>
        <v>0</v>
      </c>
      <c r="E185" s="54">
        <f>_xlfn.MAXIFS(Tabelle5[[#This Row],[value_points]], Tabelle5[[#This Row],[company_id]],Tabelle18[[#This Row],[company_id]], Tabelle5[[#This Row],[value_id]], Tabelle18[[#This Row],[value_id]], Tabelle5[[#This Row],[value_present]],"1")</f>
        <v>0</v>
      </c>
    </row>
    <row r="186" spans="1:5" x14ac:dyDescent="0.25">
      <c r="A186">
        <v>11</v>
      </c>
      <c r="B186" t="s">
        <v>83</v>
      </c>
      <c r="C186" s="54">
        <f>IF(Tabelle18[[#This Row],[binding_level_company]]&gt;=1,1,0)</f>
        <v>0</v>
      </c>
      <c r="D186" s="54">
        <f>_xlfn.MAXIFS(Tabelle5[[#This Row],[binding_level]], Tabelle5[[#This Row],[company_id]],Tabelle18[[#This Row],[company_id]], Tabelle5[[#This Row],[value_id]], Tabelle18[[#This Row],[value_id]], Tabelle5[[#This Row],[value_present]],"1")</f>
        <v>0</v>
      </c>
      <c r="E186" s="54">
        <f>_xlfn.MAXIFS(Tabelle5[[#This Row],[value_points]], Tabelle5[[#This Row],[company_id]],Tabelle18[[#This Row],[company_id]], Tabelle5[[#This Row],[value_id]], Tabelle18[[#This Row],[value_id]], Tabelle5[[#This Row],[value_present]],"1")</f>
        <v>0</v>
      </c>
    </row>
    <row r="187" spans="1:5" x14ac:dyDescent="0.25">
      <c r="A187">
        <v>11</v>
      </c>
      <c r="B187" t="s">
        <v>90</v>
      </c>
      <c r="C187" s="54">
        <f>IF(Tabelle18[[#This Row],[binding_level_company]]&gt;=1,1,0)</f>
        <v>0</v>
      </c>
      <c r="D187" s="54">
        <f>_xlfn.MAXIFS(Tabelle5[[#This Row],[binding_level]], Tabelle5[[#This Row],[company_id]],Tabelle18[[#This Row],[company_id]], Tabelle5[[#This Row],[value_id]], Tabelle18[[#This Row],[value_id]], Tabelle5[[#This Row],[value_present]],"1")</f>
        <v>0</v>
      </c>
      <c r="E187" s="54">
        <f>_xlfn.MAXIFS(Tabelle5[[#This Row],[value_points]], Tabelle5[[#This Row],[company_id]],Tabelle18[[#This Row],[company_id]], Tabelle5[[#This Row],[value_id]], Tabelle18[[#This Row],[value_id]], Tabelle5[[#This Row],[value_present]],"1")</f>
        <v>0</v>
      </c>
    </row>
    <row r="188" spans="1:5" x14ac:dyDescent="0.25">
      <c r="A188">
        <v>11</v>
      </c>
      <c r="B188" t="s">
        <v>98</v>
      </c>
      <c r="C188" s="54">
        <f>IF(Tabelle18[[#This Row],[binding_level_company]]&gt;=1,1,0)</f>
        <v>0</v>
      </c>
      <c r="D188" s="54">
        <f>_xlfn.MAXIFS(Tabelle5[[#This Row],[binding_level]], Tabelle5[[#This Row],[company_id]],Tabelle18[[#This Row],[company_id]], Tabelle5[[#This Row],[value_id]], Tabelle18[[#This Row],[value_id]], Tabelle5[[#This Row],[value_present]],"1")</f>
        <v>0</v>
      </c>
      <c r="E188" s="54">
        <f>_xlfn.MAXIFS(Tabelle5[[#This Row],[value_points]], Tabelle5[[#This Row],[company_id]],Tabelle18[[#This Row],[company_id]], Tabelle5[[#This Row],[value_id]], Tabelle18[[#This Row],[value_id]], Tabelle5[[#This Row],[value_present]],"1")</f>
        <v>0</v>
      </c>
    </row>
    <row r="189" spans="1:5" x14ac:dyDescent="0.25">
      <c r="A189">
        <v>11</v>
      </c>
      <c r="B189" t="s">
        <v>106</v>
      </c>
      <c r="C189" s="54">
        <f>IF(Tabelle18[[#This Row],[binding_level_company]]&gt;=1,1,0)</f>
        <v>0</v>
      </c>
      <c r="D189" s="54">
        <f>_xlfn.MAXIFS(Tabelle5[[#This Row],[binding_level]], Tabelle5[[#This Row],[company_id]],Tabelle18[[#This Row],[company_id]], Tabelle5[[#This Row],[value_id]], Tabelle18[[#This Row],[value_id]], Tabelle5[[#This Row],[value_present]],"1")</f>
        <v>0</v>
      </c>
      <c r="E189" s="54">
        <f>_xlfn.MAXIFS(Tabelle5[[#This Row],[value_points]], Tabelle5[[#This Row],[company_id]],Tabelle18[[#This Row],[company_id]], Tabelle5[[#This Row],[value_id]], Tabelle18[[#This Row],[value_id]], Tabelle5[[#This Row],[value_present]],"1")</f>
        <v>0</v>
      </c>
    </row>
    <row r="190" spans="1:5" x14ac:dyDescent="0.25">
      <c r="A190">
        <v>11</v>
      </c>
      <c r="B190" t="s">
        <v>112</v>
      </c>
      <c r="C190" s="54">
        <f>IF(Tabelle18[[#This Row],[binding_level_company]]&gt;=1,1,0)</f>
        <v>0</v>
      </c>
      <c r="D190" s="54">
        <f>_xlfn.MAXIFS(Tabelle5[[#This Row],[binding_level]], Tabelle5[[#This Row],[company_id]],Tabelle18[[#This Row],[company_id]], Tabelle5[[#This Row],[value_id]], Tabelle18[[#This Row],[value_id]], Tabelle5[[#This Row],[value_present]],"1")</f>
        <v>0</v>
      </c>
      <c r="E190" s="54">
        <f>_xlfn.MAXIFS(Tabelle5[[#This Row],[value_points]], Tabelle5[[#This Row],[company_id]],Tabelle18[[#This Row],[company_id]], Tabelle5[[#This Row],[value_id]], Tabelle18[[#This Row],[value_id]], Tabelle5[[#This Row],[value_present]],"1")</f>
        <v>0</v>
      </c>
    </row>
    <row r="191" spans="1:5" x14ac:dyDescent="0.25">
      <c r="A191">
        <v>11</v>
      </c>
      <c r="B191" t="s">
        <v>118</v>
      </c>
      <c r="C191" s="54">
        <f>IF(Tabelle18[[#This Row],[binding_level_company]]&gt;=1,1,0)</f>
        <v>0</v>
      </c>
      <c r="D191" s="54">
        <f>_xlfn.MAXIFS(Tabelle5[[#This Row],[binding_level]], Tabelle5[[#This Row],[company_id]],Tabelle18[[#This Row],[company_id]], Tabelle5[[#This Row],[value_id]], Tabelle18[[#This Row],[value_id]], Tabelle5[[#This Row],[value_present]],"1")</f>
        <v>0</v>
      </c>
      <c r="E191" s="54">
        <f>_xlfn.MAXIFS(Tabelle5[[#This Row],[value_points]], Tabelle5[[#This Row],[company_id]],Tabelle18[[#This Row],[company_id]], Tabelle5[[#This Row],[value_id]], Tabelle18[[#This Row],[value_id]], Tabelle5[[#This Row],[value_present]],"1")</f>
        <v>0</v>
      </c>
    </row>
    <row r="192" spans="1:5" x14ac:dyDescent="0.25">
      <c r="A192">
        <v>11</v>
      </c>
      <c r="B192" t="s">
        <v>125</v>
      </c>
      <c r="C192" s="54">
        <f>IF(Tabelle18[[#This Row],[binding_level_company]]&gt;=1,1,0)</f>
        <v>0</v>
      </c>
      <c r="D192" s="54">
        <f>_xlfn.MAXIFS(Tabelle5[[#This Row],[binding_level]], Tabelle5[[#This Row],[company_id]],Tabelle18[[#This Row],[company_id]], Tabelle5[[#This Row],[value_id]], Tabelle18[[#This Row],[value_id]], Tabelle5[[#This Row],[value_present]],"1")</f>
        <v>0</v>
      </c>
      <c r="E192" s="54">
        <f>_xlfn.MAXIFS(Tabelle5[[#This Row],[value_points]], Tabelle5[[#This Row],[company_id]],Tabelle18[[#This Row],[company_id]], Tabelle5[[#This Row],[value_id]], Tabelle18[[#This Row],[value_id]], Tabelle5[[#This Row],[value_present]],"1")</f>
        <v>0</v>
      </c>
    </row>
    <row r="193" spans="1:5" x14ac:dyDescent="0.25">
      <c r="A193">
        <v>11</v>
      </c>
      <c r="B193" t="s">
        <v>132</v>
      </c>
      <c r="C193" s="54">
        <f>IF(Tabelle18[[#This Row],[binding_level_company]]&gt;=1,1,0)</f>
        <v>0</v>
      </c>
      <c r="D193" s="54">
        <f>_xlfn.MAXIFS(Tabelle5[[#This Row],[binding_level]], Tabelle5[[#This Row],[company_id]],Tabelle18[[#This Row],[company_id]], Tabelle5[[#This Row],[value_id]], Tabelle18[[#This Row],[value_id]], Tabelle5[[#This Row],[value_present]],"1")</f>
        <v>0</v>
      </c>
      <c r="E193" s="54">
        <f>_xlfn.MAXIFS(Tabelle5[[#This Row],[value_points]], Tabelle5[[#This Row],[company_id]],Tabelle18[[#This Row],[company_id]], Tabelle5[[#This Row],[value_id]], Tabelle18[[#This Row],[value_id]], Tabelle5[[#This Row],[value_present]],"1")</f>
        <v>0</v>
      </c>
    </row>
    <row r="194" spans="1:5" x14ac:dyDescent="0.25">
      <c r="A194">
        <v>11</v>
      </c>
      <c r="B194" t="s">
        <v>140</v>
      </c>
      <c r="C194" s="54">
        <f>IF(Tabelle18[[#This Row],[binding_level_company]]&gt;=1,1,0)</f>
        <v>0</v>
      </c>
      <c r="D194" s="54">
        <f>_xlfn.MAXIFS(Tabelle5[[#This Row],[binding_level]], Tabelle5[[#This Row],[company_id]],Tabelle18[[#This Row],[company_id]], Tabelle5[[#This Row],[value_id]], Tabelle18[[#This Row],[value_id]], Tabelle5[[#This Row],[value_present]],"1")</f>
        <v>0</v>
      </c>
      <c r="E194" s="54">
        <f>_xlfn.MAXIFS(Tabelle5[[#This Row],[value_points]], Tabelle5[[#This Row],[company_id]],Tabelle18[[#This Row],[company_id]], Tabelle5[[#This Row],[value_id]], Tabelle18[[#This Row],[value_id]], Tabelle5[[#This Row],[value_present]],"1")</f>
        <v>0</v>
      </c>
    </row>
    <row r="195" spans="1:5" x14ac:dyDescent="0.25">
      <c r="A195">
        <v>11</v>
      </c>
      <c r="B195" t="s">
        <v>147</v>
      </c>
      <c r="C195" s="54">
        <f>IF(Tabelle18[[#This Row],[binding_level_company]]&gt;=1,1,0)</f>
        <v>0</v>
      </c>
      <c r="D195" s="54">
        <f>_xlfn.MAXIFS(Tabelle5[[#This Row],[binding_level]], Tabelle5[[#This Row],[company_id]],Tabelle18[[#This Row],[company_id]], Tabelle5[[#This Row],[value_id]], Tabelle18[[#This Row],[value_id]], Tabelle5[[#This Row],[value_present]],"1")</f>
        <v>0</v>
      </c>
      <c r="E195" s="54">
        <f>_xlfn.MAXIFS(Tabelle5[[#This Row],[value_points]], Tabelle5[[#This Row],[company_id]],Tabelle18[[#This Row],[company_id]], Tabelle5[[#This Row],[value_id]], Tabelle18[[#This Row],[value_id]], Tabelle5[[#This Row],[value_present]],"1")</f>
        <v>0</v>
      </c>
    </row>
    <row r="196" spans="1:5" x14ac:dyDescent="0.25">
      <c r="A196">
        <v>11</v>
      </c>
      <c r="B196" t="s">
        <v>154</v>
      </c>
      <c r="C196" s="54">
        <f>IF(Tabelle18[[#This Row],[binding_level_company]]&gt;=1,1,0)</f>
        <v>0</v>
      </c>
      <c r="D196" s="54">
        <f>_xlfn.MAXIFS(Tabelle5[[#This Row],[binding_level]], Tabelle5[[#This Row],[company_id]],Tabelle18[[#This Row],[company_id]], Tabelle5[[#This Row],[value_id]], Tabelle18[[#This Row],[value_id]], Tabelle5[[#This Row],[value_present]],"1")</f>
        <v>0</v>
      </c>
      <c r="E196" s="54">
        <f>_xlfn.MAXIFS(Tabelle5[[#This Row],[value_points]], Tabelle5[[#This Row],[company_id]],Tabelle18[[#This Row],[company_id]], Tabelle5[[#This Row],[value_id]], Tabelle18[[#This Row],[value_id]], Tabelle5[[#This Row],[value_present]],"1")</f>
        <v>0</v>
      </c>
    </row>
    <row r="197" spans="1:5" x14ac:dyDescent="0.25">
      <c r="A197">
        <v>11</v>
      </c>
      <c r="B197" t="s">
        <v>161</v>
      </c>
      <c r="C197" s="54">
        <f>IF(Tabelle18[[#This Row],[binding_level_company]]&gt;=1,1,0)</f>
        <v>0</v>
      </c>
      <c r="D197" s="54">
        <f>_xlfn.MAXIFS(Tabelle5[[#This Row],[binding_level]], Tabelle5[[#This Row],[company_id]],Tabelle18[[#This Row],[company_id]], Tabelle5[[#This Row],[value_id]], Tabelle18[[#This Row],[value_id]], Tabelle5[[#This Row],[value_present]],"1")</f>
        <v>0</v>
      </c>
      <c r="E197" s="54">
        <f>_xlfn.MAXIFS(Tabelle5[[#This Row],[value_points]], Tabelle5[[#This Row],[company_id]],Tabelle18[[#This Row],[company_id]], Tabelle5[[#This Row],[value_id]], Tabelle18[[#This Row],[value_id]], Tabelle5[[#This Row],[value_present]],"1")</f>
        <v>0</v>
      </c>
    </row>
    <row r="198" spans="1:5" x14ac:dyDescent="0.25">
      <c r="A198">
        <v>11</v>
      </c>
      <c r="B198" t="s">
        <v>166</v>
      </c>
      <c r="C198" s="54">
        <f>IF(Tabelle18[[#This Row],[binding_level_company]]&gt;=1,1,0)</f>
        <v>0</v>
      </c>
      <c r="D198" s="54">
        <f>_xlfn.MAXIFS(Tabelle5[[#This Row],[binding_level]], Tabelle5[[#This Row],[company_id]],Tabelle18[[#This Row],[company_id]], Tabelle5[[#This Row],[value_id]], Tabelle18[[#This Row],[value_id]], Tabelle5[[#This Row],[value_present]],"1")</f>
        <v>0</v>
      </c>
      <c r="E198" s="54">
        <f>_xlfn.MAXIFS(Tabelle5[[#This Row],[value_points]], Tabelle5[[#This Row],[company_id]],Tabelle18[[#This Row],[company_id]], Tabelle5[[#This Row],[value_id]], Tabelle18[[#This Row],[value_id]], Tabelle5[[#This Row],[value_present]],"1")</f>
        <v>0</v>
      </c>
    </row>
    <row r="199" spans="1:5" ht="15.75" thickBot="1" x14ac:dyDescent="0.3">
      <c r="A199">
        <v>11</v>
      </c>
      <c r="B199" s="30" t="s">
        <v>174</v>
      </c>
      <c r="C199" s="54">
        <f>IF(Tabelle18[[#This Row],[binding_level_company]]&gt;=1,1,0)</f>
        <v>0</v>
      </c>
      <c r="D199" s="54">
        <f>_xlfn.MAXIFS(Tabelle5[[#This Row],[binding_level]], Tabelle5[[#This Row],[company_id]],Tabelle18[[#This Row],[company_id]], Tabelle5[[#This Row],[value_id]], Tabelle18[[#This Row],[value_id]], Tabelle5[[#This Row],[value_present]],"1")</f>
        <v>0</v>
      </c>
      <c r="E199" s="54">
        <f>_xlfn.MAXIFS(Tabelle5[[#This Row],[value_points]], Tabelle5[[#This Row],[company_id]],Tabelle18[[#This Row],[company_id]], Tabelle5[[#This Row],[value_id]], Tabelle18[[#This Row],[value_id]], Tabelle5[[#This Row],[value_present]],"1")</f>
        <v>0</v>
      </c>
    </row>
    <row r="200" spans="1:5" x14ac:dyDescent="0.25">
      <c r="A200">
        <v>12</v>
      </c>
      <c r="B200" s="22" t="s">
        <v>53</v>
      </c>
      <c r="C200" s="54">
        <f>IF(Tabelle18[[#This Row],[binding_level_company]]&gt;=1,1,0)</f>
        <v>0</v>
      </c>
      <c r="D200" s="54">
        <f>_xlfn.MAXIFS(Tabelle5[[#This Row],[binding_level]], Tabelle5[[#This Row],[company_id]],Tabelle18[[#This Row],[company_id]], Tabelle5[[#This Row],[value_id]], Tabelle18[[#This Row],[value_id]], Tabelle5[[#This Row],[value_present]],"1")</f>
        <v>0</v>
      </c>
      <c r="E200" s="54">
        <f>_xlfn.MAXIFS(Tabelle5[[#This Row],[value_points]], Tabelle5[[#This Row],[company_id]],Tabelle18[[#This Row],[company_id]], Tabelle5[[#This Row],[value_id]], Tabelle18[[#This Row],[value_id]], Tabelle5[[#This Row],[value_present]],"1")</f>
        <v>0</v>
      </c>
    </row>
    <row r="201" spans="1:5" x14ac:dyDescent="0.25">
      <c r="A201">
        <v>12</v>
      </c>
      <c r="B201" t="s">
        <v>61</v>
      </c>
      <c r="C201" s="54">
        <f>IF(Tabelle18[[#This Row],[binding_level_company]]&gt;=1,1,0)</f>
        <v>0</v>
      </c>
      <c r="D201" s="54">
        <f>_xlfn.MAXIFS(Tabelle5[[#This Row],[binding_level]], Tabelle5[[#This Row],[company_id]],Tabelle18[[#This Row],[company_id]], Tabelle5[[#This Row],[value_id]], Tabelle18[[#This Row],[value_id]], Tabelle5[[#This Row],[value_present]],"1")</f>
        <v>0</v>
      </c>
      <c r="E201" s="54">
        <f>_xlfn.MAXIFS(Tabelle5[[#This Row],[value_points]], Tabelle5[[#This Row],[company_id]],Tabelle18[[#This Row],[company_id]], Tabelle5[[#This Row],[value_id]], Tabelle18[[#This Row],[value_id]], Tabelle5[[#This Row],[value_present]],"1")</f>
        <v>0</v>
      </c>
    </row>
    <row r="202" spans="1:5" x14ac:dyDescent="0.25">
      <c r="A202">
        <v>12</v>
      </c>
      <c r="B202" t="s">
        <v>69</v>
      </c>
      <c r="C202" s="54">
        <f>IF(Tabelle18[[#This Row],[binding_level_company]]&gt;=1,1,0)</f>
        <v>0</v>
      </c>
      <c r="D202" s="54">
        <f>_xlfn.MAXIFS(Tabelle5[[#This Row],[binding_level]], Tabelle5[[#This Row],[company_id]],Tabelle18[[#This Row],[company_id]], Tabelle5[[#This Row],[value_id]], Tabelle18[[#This Row],[value_id]], Tabelle5[[#This Row],[value_present]],"1")</f>
        <v>0</v>
      </c>
      <c r="E202" s="54">
        <f>_xlfn.MAXIFS(Tabelle5[[#This Row],[value_points]], Tabelle5[[#This Row],[company_id]],Tabelle18[[#This Row],[company_id]], Tabelle5[[#This Row],[value_id]], Tabelle18[[#This Row],[value_id]], Tabelle5[[#This Row],[value_present]],"1")</f>
        <v>0</v>
      </c>
    </row>
    <row r="203" spans="1:5" x14ac:dyDescent="0.25">
      <c r="A203">
        <v>12</v>
      </c>
      <c r="B203" t="s">
        <v>76</v>
      </c>
      <c r="C203" s="54">
        <f>IF(Tabelle18[[#This Row],[binding_level_company]]&gt;=1,1,0)</f>
        <v>0</v>
      </c>
      <c r="D203" s="54">
        <f>_xlfn.MAXIFS(Tabelle5[[#This Row],[binding_level]], Tabelle5[[#This Row],[company_id]],Tabelle18[[#This Row],[company_id]], Tabelle5[[#This Row],[value_id]], Tabelle18[[#This Row],[value_id]], Tabelle5[[#This Row],[value_present]],"1")</f>
        <v>0</v>
      </c>
      <c r="E203" s="54">
        <f>_xlfn.MAXIFS(Tabelle5[[#This Row],[value_points]], Tabelle5[[#This Row],[company_id]],Tabelle18[[#This Row],[company_id]], Tabelle5[[#This Row],[value_id]], Tabelle18[[#This Row],[value_id]], Tabelle5[[#This Row],[value_present]],"1")</f>
        <v>0</v>
      </c>
    </row>
    <row r="204" spans="1:5" x14ac:dyDescent="0.25">
      <c r="A204">
        <v>12</v>
      </c>
      <c r="B204" t="s">
        <v>83</v>
      </c>
      <c r="C204" s="54">
        <f>IF(Tabelle18[[#This Row],[binding_level_company]]&gt;=1,1,0)</f>
        <v>0</v>
      </c>
      <c r="D204" s="54">
        <f>_xlfn.MAXIFS(Tabelle5[[#This Row],[binding_level]], Tabelle5[[#This Row],[company_id]],Tabelle18[[#This Row],[company_id]], Tabelle5[[#This Row],[value_id]], Tabelle18[[#This Row],[value_id]], Tabelle5[[#This Row],[value_present]],"1")</f>
        <v>0</v>
      </c>
      <c r="E204" s="54">
        <f>_xlfn.MAXIFS(Tabelle5[[#This Row],[value_points]], Tabelle5[[#This Row],[company_id]],Tabelle18[[#This Row],[company_id]], Tabelle5[[#This Row],[value_id]], Tabelle18[[#This Row],[value_id]], Tabelle5[[#This Row],[value_present]],"1")</f>
        <v>0</v>
      </c>
    </row>
    <row r="205" spans="1:5" x14ac:dyDescent="0.25">
      <c r="A205">
        <v>12</v>
      </c>
      <c r="B205" t="s">
        <v>90</v>
      </c>
      <c r="C205" s="54">
        <f>IF(Tabelle18[[#This Row],[binding_level_company]]&gt;=1,1,0)</f>
        <v>0</v>
      </c>
      <c r="D205" s="54">
        <f>_xlfn.MAXIFS(Tabelle5[[#This Row],[binding_level]], Tabelle5[[#This Row],[company_id]],Tabelle18[[#This Row],[company_id]], Tabelle5[[#This Row],[value_id]], Tabelle18[[#This Row],[value_id]], Tabelle5[[#This Row],[value_present]],"1")</f>
        <v>0</v>
      </c>
      <c r="E205" s="54">
        <f>_xlfn.MAXIFS(Tabelle5[[#This Row],[value_points]], Tabelle5[[#This Row],[company_id]],Tabelle18[[#This Row],[company_id]], Tabelle5[[#This Row],[value_id]], Tabelle18[[#This Row],[value_id]], Tabelle5[[#This Row],[value_present]],"1")</f>
        <v>0</v>
      </c>
    </row>
    <row r="206" spans="1:5" x14ac:dyDescent="0.25">
      <c r="A206">
        <v>12</v>
      </c>
      <c r="B206" t="s">
        <v>98</v>
      </c>
      <c r="C206" s="54">
        <f>IF(Tabelle18[[#This Row],[binding_level_company]]&gt;=1,1,0)</f>
        <v>0</v>
      </c>
      <c r="D206" s="54">
        <f>_xlfn.MAXIFS(Tabelle5[[#This Row],[binding_level]], Tabelle5[[#This Row],[company_id]],Tabelle18[[#This Row],[company_id]], Tabelle5[[#This Row],[value_id]], Tabelle18[[#This Row],[value_id]], Tabelle5[[#This Row],[value_present]],"1")</f>
        <v>0</v>
      </c>
      <c r="E206" s="54">
        <f>_xlfn.MAXIFS(Tabelle5[[#This Row],[value_points]], Tabelle5[[#This Row],[company_id]],Tabelle18[[#This Row],[company_id]], Tabelle5[[#This Row],[value_id]], Tabelle18[[#This Row],[value_id]], Tabelle5[[#This Row],[value_present]],"1")</f>
        <v>0</v>
      </c>
    </row>
    <row r="207" spans="1:5" x14ac:dyDescent="0.25">
      <c r="A207">
        <v>12</v>
      </c>
      <c r="B207" t="s">
        <v>106</v>
      </c>
      <c r="C207" s="54">
        <f>IF(Tabelle18[[#This Row],[binding_level_company]]&gt;=1,1,0)</f>
        <v>0</v>
      </c>
      <c r="D207" s="54">
        <f>_xlfn.MAXIFS(Tabelle5[[#This Row],[binding_level]], Tabelle5[[#This Row],[company_id]],Tabelle18[[#This Row],[company_id]], Tabelle5[[#This Row],[value_id]], Tabelle18[[#This Row],[value_id]], Tabelle5[[#This Row],[value_present]],"1")</f>
        <v>0</v>
      </c>
      <c r="E207" s="54">
        <f>_xlfn.MAXIFS(Tabelle5[[#This Row],[value_points]], Tabelle5[[#This Row],[company_id]],Tabelle18[[#This Row],[company_id]], Tabelle5[[#This Row],[value_id]], Tabelle18[[#This Row],[value_id]], Tabelle5[[#This Row],[value_present]],"1")</f>
        <v>0</v>
      </c>
    </row>
    <row r="208" spans="1:5" x14ac:dyDescent="0.25">
      <c r="A208">
        <v>12</v>
      </c>
      <c r="B208" t="s">
        <v>112</v>
      </c>
      <c r="C208" s="54">
        <f>IF(Tabelle18[[#This Row],[binding_level_company]]&gt;=1,1,0)</f>
        <v>0</v>
      </c>
      <c r="D208" s="54">
        <f>_xlfn.MAXIFS(Tabelle5[[#This Row],[binding_level]], Tabelle5[[#This Row],[company_id]],Tabelle18[[#This Row],[company_id]], Tabelle5[[#This Row],[value_id]], Tabelle18[[#This Row],[value_id]], Tabelle5[[#This Row],[value_present]],"1")</f>
        <v>0</v>
      </c>
      <c r="E208" s="54">
        <f>_xlfn.MAXIFS(Tabelle5[[#This Row],[value_points]], Tabelle5[[#This Row],[company_id]],Tabelle18[[#This Row],[company_id]], Tabelle5[[#This Row],[value_id]], Tabelle18[[#This Row],[value_id]], Tabelle5[[#This Row],[value_present]],"1")</f>
        <v>0</v>
      </c>
    </row>
    <row r="209" spans="1:5" x14ac:dyDescent="0.25">
      <c r="A209">
        <v>12</v>
      </c>
      <c r="B209" t="s">
        <v>118</v>
      </c>
      <c r="C209" s="54">
        <f>IF(Tabelle18[[#This Row],[binding_level_company]]&gt;=1,1,0)</f>
        <v>0</v>
      </c>
      <c r="D209" s="54">
        <f>_xlfn.MAXIFS(Tabelle5[[#This Row],[binding_level]], Tabelle5[[#This Row],[company_id]],Tabelle18[[#This Row],[company_id]], Tabelle5[[#This Row],[value_id]], Tabelle18[[#This Row],[value_id]], Tabelle5[[#This Row],[value_present]],"1")</f>
        <v>0</v>
      </c>
      <c r="E209" s="54">
        <f>_xlfn.MAXIFS(Tabelle5[[#This Row],[value_points]], Tabelle5[[#This Row],[company_id]],Tabelle18[[#This Row],[company_id]], Tabelle5[[#This Row],[value_id]], Tabelle18[[#This Row],[value_id]], Tabelle5[[#This Row],[value_present]],"1")</f>
        <v>0</v>
      </c>
    </row>
    <row r="210" spans="1:5" x14ac:dyDescent="0.25">
      <c r="A210">
        <v>12</v>
      </c>
      <c r="B210" t="s">
        <v>125</v>
      </c>
      <c r="C210" s="54">
        <f>IF(Tabelle18[[#This Row],[binding_level_company]]&gt;=1,1,0)</f>
        <v>0</v>
      </c>
      <c r="D210" s="54">
        <f>_xlfn.MAXIFS(Tabelle5[[#This Row],[binding_level]], Tabelle5[[#This Row],[company_id]],Tabelle18[[#This Row],[company_id]], Tabelle5[[#This Row],[value_id]], Tabelle18[[#This Row],[value_id]], Tabelle5[[#This Row],[value_present]],"1")</f>
        <v>0</v>
      </c>
      <c r="E210" s="54">
        <f>_xlfn.MAXIFS(Tabelle5[[#This Row],[value_points]], Tabelle5[[#This Row],[company_id]],Tabelle18[[#This Row],[company_id]], Tabelle5[[#This Row],[value_id]], Tabelle18[[#This Row],[value_id]], Tabelle5[[#This Row],[value_present]],"1")</f>
        <v>0</v>
      </c>
    </row>
    <row r="211" spans="1:5" x14ac:dyDescent="0.25">
      <c r="A211">
        <v>12</v>
      </c>
      <c r="B211" t="s">
        <v>132</v>
      </c>
      <c r="C211" s="54">
        <f>IF(Tabelle18[[#This Row],[binding_level_company]]&gt;=1,1,0)</f>
        <v>0</v>
      </c>
      <c r="D211" s="54">
        <f>_xlfn.MAXIFS(Tabelle5[[#This Row],[binding_level]], Tabelle5[[#This Row],[company_id]],Tabelle18[[#This Row],[company_id]], Tabelle5[[#This Row],[value_id]], Tabelle18[[#This Row],[value_id]], Tabelle5[[#This Row],[value_present]],"1")</f>
        <v>0</v>
      </c>
      <c r="E211" s="54">
        <f>_xlfn.MAXIFS(Tabelle5[[#This Row],[value_points]], Tabelle5[[#This Row],[company_id]],Tabelle18[[#This Row],[company_id]], Tabelle5[[#This Row],[value_id]], Tabelle18[[#This Row],[value_id]], Tabelle5[[#This Row],[value_present]],"1")</f>
        <v>0</v>
      </c>
    </row>
    <row r="212" spans="1:5" x14ac:dyDescent="0.25">
      <c r="A212">
        <v>12</v>
      </c>
      <c r="B212" t="s">
        <v>140</v>
      </c>
      <c r="C212" s="54">
        <f>IF(Tabelle18[[#This Row],[binding_level_company]]&gt;=1,1,0)</f>
        <v>0</v>
      </c>
      <c r="D212" s="54">
        <f>_xlfn.MAXIFS(Tabelle5[[#This Row],[binding_level]], Tabelle5[[#This Row],[company_id]],Tabelle18[[#This Row],[company_id]], Tabelle5[[#This Row],[value_id]], Tabelle18[[#This Row],[value_id]], Tabelle5[[#This Row],[value_present]],"1")</f>
        <v>0</v>
      </c>
      <c r="E212" s="54">
        <f>_xlfn.MAXIFS(Tabelle5[[#This Row],[value_points]], Tabelle5[[#This Row],[company_id]],Tabelle18[[#This Row],[company_id]], Tabelle5[[#This Row],[value_id]], Tabelle18[[#This Row],[value_id]], Tabelle5[[#This Row],[value_present]],"1")</f>
        <v>0</v>
      </c>
    </row>
    <row r="213" spans="1:5" x14ac:dyDescent="0.25">
      <c r="A213">
        <v>12</v>
      </c>
      <c r="B213" t="s">
        <v>147</v>
      </c>
      <c r="C213" s="54">
        <f>IF(Tabelle18[[#This Row],[binding_level_company]]&gt;=1,1,0)</f>
        <v>0</v>
      </c>
      <c r="D213" s="54">
        <f>_xlfn.MAXIFS(Tabelle5[[#This Row],[binding_level]], Tabelle5[[#This Row],[company_id]],Tabelle18[[#This Row],[company_id]], Tabelle5[[#This Row],[value_id]], Tabelle18[[#This Row],[value_id]], Tabelle5[[#This Row],[value_present]],"1")</f>
        <v>0</v>
      </c>
      <c r="E213" s="54">
        <f>_xlfn.MAXIFS(Tabelle5[[#This Row],[value_points]], Tabelle5[[#This Row],[company_id]],Tabelle18[[#This Row],[company_id]], Tabelle5[[#This Row],[value_id]], Tabelle18[[#This Row],[value_id]], Tabelle5[[#This Row],[value_present]],"1")</f>
        <v>0</v>
      </c>
    </row>
    <row r="214" spans="1:5" x14ac:dyDescent="0.25">
      <c r="A214">
        <v>12</v>
      </c>
      <c r="B214" t="s">
        <v>154</v>
      </c>
      <c r="C214" s="54">
        <f>IF(Tabelle18[[#This Row],[binding_level_company]]&gt;=1,1,0)</f>
        <v>0</v>
      </c>
      <c r="D214" s="54">
        <f>_xlfn.MAXIFS(Tabelle5[[#This Row],[binding_level]], Tabelle5[[#This Row],[company_id]],Tabelle18[[#This Row],[company_id]], Tabelle5[[#This Row],[value_id]], Tabelle18[[#This Row],[value_id]], Tabelle5[[#This Row],[value_present]],"1")</f>
        <v>0</v>
      </c>
      <c r="E214" s="54">
        <f>_xlfn.MAXIFS(Tabelle5[[#This Row],[value_points]], Tabelle5[[#This Row],[company_id]],Tabelle18[[#This Row],[company_id]], Tabelle5[[#This Row],[value_id]], Tabelle18[[#This Row],[value_id]], Tabelle5[[#This Row],[value_present]],"1")</f>
        <v>0</v>
      </c>
    </row>
    <row r="215" spans="1:5" x14ac:dyDescent="0.25">
      <c r="A215">
        <v>12</v>
      </c>
      <c r="B215" t="s">
        <v>161</v>
      </c>
      <c r="C215" s="54">
        <f>IF(Tabelle18[[#This Row],[binding_level_company]]&gt;=1,1,0)</f>
        <v>0</v>
      </c>
      <c r="D215" s="54">
        <f>_xlfn.MAXIFS(Tabelle5[[#This Row],[binding_level]], Tabelle5[[#This Row],[company_id]],Tabelle18[[#This Row],[company_id]], Tabelle5[[#This Row],[value_id]], Tabelle18[[#This Row],[value_id]], Tabelle5[[#This Row],[value_present]],"1")</f>
        <v>0</v>
      </c>
      <c r="E215" s="54">
        <f>_xlfn.MAXIFS(Tabelle5[[#This Row],[value_points]], Tabelle5[[#This Row],[company_id]],Tabelle18[[#This Row],[company_id]], Tabelle5[[#This Row],[value_id]], Tabelle18[[#This Row],[value_id]], Tabelle5[[#This Row],[value_present]],"1")</f>
        <v>0</v>
      </c>
    </row>
    <row r="216" spans="1:5" x14ac:dyDescent="0.25">
      <c r="A216">
        <v>12</v>
      </c>
      <c r="B216" t="s">
        <v>166</v>
      </c>
      <c r="C216" s="54">
        <f>IF(Tabelle18[[#This Row],[binding_level_company]]&gt;=1,1,0)</f>
        <v>0</v>
      </c>
      <c r="D216" s="54">
        <f>_xlfn.MAXIFS(Tabelle5[[#This Row],[binding_level]], Tabelle5[[#This Row],[company_id]],Tabelle18[[#This Row],[company_id]], Tabelle5[[#This Row],[value_id]], Tabelle18[[#This Row],[value_id]], Tabelle5[[#This Row],[value_present]],"1")</f>
        <v>0</v>
      </c>
      <c r="E216" s="54">
        <f>_xlfn.MAXIFS(Tabelle5[[#This Row],[value_points]], Tabelle5[[#This Row],[company_id]],Tabelle18[[#This Row],[company_id]], Tabelle5[[#This Row],[value_id]], Tabelle18[[#This Row],[value_id]], Tabelle5[[#This Row],[value_present]],"1")</f>
        <v>0</v>
      </c>
    </row>
    <row r="217" spans="1:5" ht="15.75" thickBot="1" x14ac:dyDescent="0.3">
      <c r="A217">
        <v>12</v>
      </c>
      <c r="B217" s="30" t="s">
        <v>174</v>
      </c>
      <c r="C217" s="54">
        <f>IF(Tabelle18[[#This Row],[binding_level_company]]&gt;=1,1,0)</f>
        <v>0</v>
      </c>
      <c r="D217" s="54">
        <f>_xlfn.MAXIFS(Tabelle5[[#This Row],[binding_level]], Tabelle5[[#This Row],[company_id]],Tabelle18[[#This Row],[company_id]], Tabelle5[[#This Row],[value_id]], Tabelle18[[#This Row],[value_id]], Tabelle5[[#This Row],[value_present]],"1")</f>
        <v>0</v>
      </c>
      <c r="E217" s="54">
        <f>_xlfn.MAXIFS(Tabelle5[[#This Row],[value_points]], Tabelle5[[#This Row],[company_id]],Tabelle18[[#This Row],[company_id]], Tabelle5[[#This Row],[value_id]], Tabelle18[[#This Row],[value_id]], Tabelle5[[#This Row],[value_present]],"1")</f>
        <v>0</v>
      </c>
    </row>
    <row r="218" spans="1:5" x14ac:dyDescent="0.25">
      <c r="A218">
        <v>13</v>
      </c>
      <c r="B218" s="22" t="s">
        <v>53</v>
      </c>
      <c r="C218" s="54">
        <f>IF(Tabelle18[[#This Row],[binding_level_company]]&gt;=1,1,0)</f>
        <v>0</v>
      </c>
      <c r="D218" s="54">
        <f>_xlfn.MAXIFS(Tabelle5[[#This Row],[binding_level]], Tabelle5[[#This Row],[company_id]],Tabelle18[[#This Row],[company_id]], Tabelle5[[#This Row],[value_id]], Tabelle18[[#This Row],[value_id]], Tabelle5[[#This Row],[value_present]],"1")</f>
        <v>0</v>
      </c>
      <c r="E218" s="54">
        <f>_xlfn.MAXIFS(Tabelle5[[#This Row],[value_points]], Tabelle5[[#This Row],[company_id]],Tabelle18[[#This Row],[company_id]], Tabelle5[[#This Row],[value_id]], Tabelle18[[#This Row],[value_id]], Tabelle5[[#This Row],[value_present]],"1")</f>
        <v>0</v>
      </c>
    </row>
    <row r="219" spans="1:5" x14ac:dyDescent="0.25">
      <c r="A219">
        <v>13</v>
      </c>
      <c r="B219" t="s">
        <v>61</v>
      </c>
      <c r="C219" s="54">
        <f>IF(Tabelle18[[#This Row],[binding_level_company]]&gt;=1,1,0)</f>
        <v>0</v>
      </c>
      <c r="D219" s="54">
        <f>_xlfn.MAXIFS(Tabelle5[[#This Row],[binding_level]], Tabelle5[[#This Row],[company_id]],Tabelle18[[#This Row],[company_id]], Tabelle5[[#This Row],[value_id]], Tabelle18[[#This Row],[value_id]], Tabelle5[[#This Row],[value_present]],"1")</f>
        <v>0</v>
      </c>
      <c r="E219" s="54">
        <f>_xlfn.MAXIFS(Tabelle5[[#This Row],[value_points]], Tabelle5[[#This Row],[company_id]],Tabelle18[[#This Row],[company_id]], Tabelle5[[#This Row],[value_id]], Tabelle18[[#This Row],[value_id]], Tabelle5[[#This Row],[value_present]],"1")</f>
        <v>0</v>
      </c>
    </row>
    <row r="220" spans="1:5" x14ac:dyDescent="0.25">
      <c r="A220">
        <v>13</v>
      </c>
      <c r="B220" t="s">
        <v>69</v>
      </c>
      <c r="C220" s="54">
        <f>IF(Tabelle18[[#This Row],[binding_level_company]]&gt;=1,1,0)</f>
        <v>0</v>
      </c>
      <c r="D220" s="54">
        <f>_xlfn.MAXIFS(Tabelle5[[#This Row],[binding_level]], Tabelle5[[#This Row],[company_id]],Tabelle18[[#This Row],[company_id]], Tabelle5[[#This Row],[value_id]], Tabelle18[[#This Row],[value_id]], Tabelle5[[#This Row],[value_present]],"1")</f>
        <v>0</v>
      </c>
      <c r="E220" s="54">
        <f>_xlfn.MAXIFS(Tabelle5[[#This Row],[value_points]], Tabelle5[[#This Row],[company_id]],Tabelle18[[#This Row],[company_id]], Tabelle5[[#This Row],[value_id]], Tabelle18[[#This Row],[value_id]], Tabelle5[[#This Row],[value_present]],"1")</f>
        <v>0</v>
      </c>
    </row>
    <row r="221" spans="1:5" x14ac:dyDescent="0.25">
      <c r="A221">
        <v>13</v>
      </c>
      <c r="B221" t="s">
        <v>76</v>
      </c>
      <c r="C221" s="54">
        <f>IF(Tabelle18[[#This Row],[binding_level_company]]&gt;=1,1,0)</f>
        <v>0</v>
      </c>
      <c r="D221" s="54">
        <f>_xlfn.MAXIFS(Tabelle5[[#This Row],[binding_level]], Tabelle5[[#This Row],[company_id]],Tabelle18[[#This Row],[company_id]], Tabelle5[[#This Row],[value_id]], Tabelle18[[#This Row],[value_id]], Tabelle5[[#This Row],[value_present]],"1")</f>
        <v>0</v>
      </c>
      <c r="E221" s="54">
        <f>_xlfn.MAXIFS(Tabelle5[[#This Row],[value_points]], Tabelle5[[#This Row],[company_id]],Tabelle18[[#This Row],[company_id]], Tabelle5[[#This Row],[value_id]], Tabelle18[[#This Row],[value_id]], Tabelle5[[#This Row],[value_present]],"1")</f>
        <v>0</v>
      </c>
    </row>
    <row r="222" spans="1:5" x14ac:dyDescent="0.25">
      <c r="A222">
        <v>13</v>
      </c>
      <c r="B222" t="s">
        <v>83</v>
      </c>
      <c r="C222" s="54">
        <f>IF(Tabelle18[[#This Row],[binding_level_company]]&gt;=1,1,0)</f>
        <v>0</v>
      </c>
      <c r="D222" s="54">
        <f>_xlfn.MAXIFS(Tabelle5[[#This Row],[binding_level]], Tabelle5[[#This Row],[company_id]],Tabelle18[[#This Row],[company_id]], Tabelle5[[#This Row],[value_id]], Tabelle18[[#This Row],[value_id]], Tabelle5[[#This Row],[value_present]],"1")</f>
        <v>0</v>
      </c>
      <c r="E222" s="54">
        <f>_xlfn.MAXIFS(Tabelle5[[#This Row],[value_points]], Tabelle5[[#This Row],[company_id]],Tabelle18[[#This Row],[company_id]], Tabelle5[[#This Row],[value_id]], Tabelle18[[#This Row],[value_id]], Tabelle5[[#This Row],[value_present]],"1")</f>
        <v>0</v>
      </c>
    </row>
    <row r="223" spans="1:5" x14ac:dyDescent="0.25">
      <c r="A223">
        <v>13</v>
      </c>
      <c r="B223" t="s">
        <v>90</v>
      </c>
      <c r="C223" s="54">
        <f>IF(Tabelle18[[#This Row],[binding_level_company]]&gt;=1,1,0)</f>
        <v>0</v>
      </c>
      <c r="D223" s="54">
        <f>_xlfn.MAXIFS(Tabelle5[[#This Row],[binding_level]], Tabelle5[[#This Row],[company_id]],Tabelle18[[#This Row],[company_id]], Tabelle5[[#This Row],[value_id]], Tabelle18[[#This Row],[value_id]], Tabelle5[[#This Row],[value_present]],"1")</f>
        <v>0</v>
      </c>
      <c r="E223" s="54">
        <f>_xlfn.MAXIFS(Tabelle5[[#This Row],[value_points]], Tabelle5[[#This Row],[company_id]],Tabelle18[[#This Row],[company_id]], Tabelle5[[#This Row],[value_id]], Tabelle18[[#This Row],[value_id]], Tabelle5[[#This Row],[value_present]],"1")</f>
        <v>0</v>
      </c>
    </row>
    <row r="224" spans="1:5" x14ac:dyDescent="0.25">
      <c r="A224">
        <v>13</v>
      </c>
      <c r="B224" t="s">
        <v>98</v>
      </c>
      <c r="C224" s="54">
        <f>IF(Tabelle18[[#This Row],[binding_level_company]]&gt;=1,1,0)</f>
        <v>0</v>
      </c>
      <c r="D224" s="54">
        <f>_xlfn.MAXIFS(Tabelle5[[#This Row],[binding_level]], Tabelle5[[#This Row],[company_id]],Tabelle18[[#This Row],[company_id]], Tabelle5[[#This Row],[value_id]], Tabelle18[[#This Row],[value_id]], Tabelle5[[#This Row],[value_present]],"1")</f>
        <v>0</v>
      </c>
      <c r="E224" s="54">
        <f>_xlfn.MAXIFS(Tabelle5[[#This Row],[value_points]], Tabelle5[[#This Row],[company_id]],Tabelle18[[#This Row],[company_id]], Tabelle5[[#This Row],[value_id]], Tabelle18[[#This Row],[value_id]], Tabelle5[[#This Row],[value_present]],"1")</f>
        <v>0</v>
      </c>
    </row>
    <row r="225" spans="1:5" x14ac:dyDescent="0.25">
      <c r="A225">
        <v>13</v>
      </c>
      <c r="B225" t="s">
        <v>106</v>
      </c>
      <c r="C225" s="54">
        <f>IF(Tabelle18[[#This Row],[binding_level_company]]&gt;=1,1,0)</f>
        <v>0</v>
      </c>
      <c r="D225" s="54">
        <f>_xlfn.MAXIFS(Tabelle5[[#This Row],[binding_level]], Tabelle5[[#This Row],[company_id]],Tabelle18[[#This Row],[company_id]], Tabelle5[[#This Row],[value_id]], Tabelle18[[#This Row],[value_id]], Tabelle5[[#This Row],[value_present]],"1")</f>
        <v>0</v>
      </c>
      <c r="E225" s="54">
        <f>_xlfn.MAXIFS(Tabelle5[[#This Row],[value_points]], Tabelle5[[#This Row],[company_id]],Tabelle18[[#This Row],[company_id]], Tabelle5[[#This Row],[value_id]], Tabelle18[[#This Row],[value_id]], Tabelle5[[#This Row],[value_present]],"1")</f>
        <v>0</v>
      </c>
    </row>
    <row r="226" spans="1:5" x14ac:dyDescent="0.25">
      <c r="A226">
        <v>13</v>
      </c>
      <c r="B226" t="s">
        <v>112</v>
      </c>
      <c r="C226" s="54">
        <f>IF(Tabelle18[[#This Row],[binding_level_company]]&gt;=1,1,0)</f>
        <v>0</v>
      </c>
      <c r="D226" s="54">
        <f>_xlfn.MAXIFS(Tabelle5[[#This Row],[binding_level]], Tabelle5[[#This Row],[company_id]],Tabelle18[[#This Row],[company_id]], Tabelle5[[#This Row],[value_id]], Tabelle18[[#This Row],[value_id]], Tabelle5[[#This Row],[value_present]],"1")</f>
        <v>0</v>
      </c>
      <c r="E226" s="54">
        <f>_xlfn.MAXIFS(Tabelle5[[#This Row],[value_points]], Tabelle5[[#This Row],[company_id]],Tabelle18[[#This Row],[company_id]], Tabelle5[[#This Row],[value_id]], Tabelle18[[#This Row],[value_id]], Tabelle5[[#This Row],[value_present]],"1")</f>
        <v>0</v>
      </c>
    </row>
    <row r="227" spans="1:5" x14ac:dyDescent="0.25">
      <c r="A227">
        <v>13</v>
      </c>
      <c r="B227" t="s">
        <v>118</v>
      </c>
      <c r="C227" s="54">
        <f>IF(Tabelle18[[#This Row],[binding_level_company]]&gt;=1,1,0)</f>
        <v>0</v>
      </c>
      <c r="D227" s="54">
        <f>_xlfn.MAXIFS(Tabelle5[[#This Row],[binding_level]], Tabelle5[[#This Row],[company_id]],Tabelle18[[#This Row],[company_id]], Tabelle5[[#This Row],[value_id]], Tabelle18[[#This Row],[value_id]], Tabelle5[[#This Row],[value_present]],"1")</f>
        <v>0</v>
      </c>
      <c r="E227" s="54">
        <f>_xlfn.MAXIFS(Tabelle5[[#This Row],[value_points]], Tabelle5[[#This Row],[company_id]],Tabelle18[[#This Row],[company_id]], Tabelle5[[#This Row],[value_id]], Tabelle18[[#This Row],[value_id]], Tabelle5[[#This Row],[value_present]],"1")</f>
        <v>0</v>
      </c>
    </row>
    <row r="228" spans="1:5" x14ac:dyDescent="0.25">
      <c r="A228">
        <v>13</v>
      </c>
      <c r="B228" t="s">
        <v>125</v>
      </c>
      <c r="C228" s="54">
        <f>IF(Tabelle18[[#This Row],[binding_level_company]]&gt;=1,1,0)</f>
        <v>0</v>
      </c>
      <c r="D228" s="54">
        <f>_xlfn.MAXIFS(Tabelle5[[#This Row],[binding_level]], Tabelle5[[#This Row],[company_id]],Tabelle18[[#This Row],[company_id]], Tabelle5[[#This Row],[value_id]], Tabelle18[[#This Row],[value_id]], Tabelle5[[#This Row],[value_present]],"1")</f>
        <v>0</v>
      </c>
      <c r="E228" s="54">
        <f>_xlfn.MAXIFS(Tabelle5[[#This Row],[value_points]], Tabelle5[[#This Row],[company_id]],Tabelle18[[#This Row],[company_id]], Tabelle5[[#This Row],[value_id]], Tabelle18[[#This Row],[value_id]], Tabelle5[[#This Row],[value_present]],"1")</f>
        <v>0</v>
      </c>
    </row>
    <row r="229" spans="1:5" x14ac:dyDescent="0.25">
      <c r="A229">
        <v>13</v>
      </c>
      <c r="B229" t="s">
        <v>132</v>
      </c>
      <c r="C229" s="54">
        <f>IF(Tabelle18[[#This Row],[binding_level_company]]&gt;=1,1,0)</f>
        <v>0</v>
      </c>
      <c r="D229" s="54">
        <f>_xlfn.MAXIFS(Tabelle5[[#This Row],[binding_level]], Tabelle5[[#This Row],[company_id]],Tabelle18[[#This Row],[company_id]], Tabelle5[[#This Row],[value_id]], Tabelle18[[#This Row],[value_id]], Tabelle5[[#This Row],[value_present]],"1")</f>
        <v>0</v>
      </c>
      <c r="E229" s="54">
        <f>_xlfn.MAXIFS(Tabelle5[[#This Row],[value_points]], Tabelle5[[#This Row],[company_id]],Tabelle18[[#This Row],[company_id]], Tabelle5[[#This Row],[value_id]], Tabelle18[[#This Row],[value_id]], Tabelle5[[#This Row],[value_present]],"1")</f>
        <v>0</v>
      </c>
    </row>
    <row r="230" spans="1:5" x14ac:dyDescent="0.25">
      <c r="A230">
        <v>13</v>
      </c>
      <c r="B230" t="s">
        <v>140</v>
      </c>
      <c r="C230" s="54">
        <f>IF(Tabelle18[[#This Row],[binding_level_company]]&gt;=1,1,0)</f>
        <v>0</v>
      </c>
      <c r="D230" s="54">
        <f>_xlfn.MAXIFS(Tabelle5[[#This Row],[binding_level]], Tabelle5[[#This Row],[company_id]],Tabelle18[[#This Row],[company_id]], Tabelle5[[#This Row],[value_id]], Tabelle18[[#This Row],[value_id]], Tabelle5[[#This Row],[value_present]],"1")</f>
        <v>0</v>
      </c>
      <c r="E230" s="54">
        <f>_xlfn.MAXIFS(Tabelle5[[#This Row],[value_points]], Tabelle5[[#This Row],[company_id]],Tabelle18[[#This Row],[company_id]], Tabelle5[[#This Row],[value_id]], Tabelle18[[#This Row],[value_id]], Tabelle5[[#This Row],[value_present]],"1")</f>
        <v>0</v>
      </c>
    </row>
    <row r="231" spans="1:5" x14ac:dyDescent="0.25">
      <c r="A231">
        <v>13</v>
      </c>
      <c r="B231" t="s">
        <v>147</v>
      </c>
      <c r="C231" s="54">
        <f>IF(Tabelle18[[#This Row],[binding_level_company]]&gt;=1,1,0)</f>
        <v>0</v>
      </c>
      <c r="D231" s="54">
        <f>_xlfn.MAXIFS(Tabelle5[[#This Row],[binding_level]], Tabelle5[[#This Row],[company_id]],Tabelle18[[#This Row],[company_id]], Tabelle5[[#This Row],[value_id]], Tabelle18[[#This Row],[value_id]], Tabelle5[[#This Row],[value_present]],"1")</f>
        <v>0</v>
      </c>
      <c r="E231" s="54">
        <f>_xlfn.MAXIFS(Tabelle5[[#This Row],[value_points]], Tabelle5[[#This Row],[company_id]],Tabelle18[[#This Row],[company_id]], Tabelle5[[#This Row],[value_id]], Tabelle18[[#This Row],[value_id]], Tabelle5[[#This Row],[value_present]],"1")</f>
        <v>0</v>
      </c>
    </row>
    <row r="232" spans="1:5" x14ac:dyDescent="0.25">
      <c r="A232">
        <v>13</v>
      </c>
      <c r="B232" t="s">
        <v>154</v>
      </c>
      <c r="C232" s="54">
        <f>IF(Tabelle18[[#This Row],[binding_level_company]]&gt;=1,1,0)</f>
        <v>0</v>
      </c>
      <c r="D232" s="54">
        <f>_xlfn.MAXIFS(Tabelle5[[#This Row],[binding_level]], Tabelle5[[#This Row],[company_id]],Tabelle18[[#This Row],[company_id]], Tabelle5[[#This Row],[value_id]], Tabelle18[[#This Row],[value_id]], Tabelle5[[#This Row],[value_present]],"1")</f>
        <v>0</v>
      </c>
      <c r="E232" s="54">
        <f>_xlfn.MAXIFS(Tabelle5[[#This Row],[value_points]], Tabelle5[[#This Row],[company_id]],Tabelle18[[#This Row],[company_id]], Tabelle5[[#This Row],[value_id]], Tabelle18[[#This Row],[value_id]], Tabelle5[[#This Row],[value_present]],"1")</f>
        <v>0</v>
      </c>
    </row>
    <row r="233" spans="1:5" x14ac:dyDescent="0.25">
      <c r="A233">
        <v>13</v>
      </c>
      <c r="B233" t="s">
        <v>161</v>
      </c>
      <c r="C233" s="54">
        <f>IF(Tabelle18[[#This Row],[binding_level_company]]&gt;=1,1,0)</f>
        <v>0</v>
      </c>
      <c r="D233" s="54">
        <f>_xlfn.MAXIFS(Tabelle5[[#This Row],[binding_level]], Tabelle5[[#This Row],[company_id]],Tabelle18[[#This Row],[company_id]], Tabelle5[[#This Row],[value_id]], Tabelle18[[#This Row],[value_id]], Tabelle5[[#This Row],[value_present]],"1")</f>
        <v>0</v>
      </c>
      <c r="E233" s="54">
        <f>_xlfn.MAXIFS(Tabelle5[[#This Row],[value_points]], Tabelle5[[#This Row],[company_id]],Tabelle18[[#This Row],[company_id]], Tabelle5[[#This Row],[value_id]], Tabelle18[[#This Row],[value_id]], Tabelle5[[#This Row],[value_present]],"1")</f>
        <v>0</v>
      </c>
    </row>
    <row r="234" spans="1:5" x14ac:dyDescent="0.25">
      <c r="A234">
        <v>13</v>
      </c>
      <c r="B234" t="s">
        <v>166</v>
      </c>
      <c r="C234" s="54">
        <f>IF(Tabelle18[[#This Row],[binding_level_company]]&gt;=1,1,0)</f>
        <v>0</v>
      </c>
      <c r="D234" s="54">
        <f>_xlfn.MAXIFS(Tabelle5[[#This Row],[binding_level]], Tabelle5[[#This Row],[company_id]],Tabelle18[[#This Row],[company_id]], Tabelle5[[#This Row],[value_id]], Tabelle18[[#This Row],[value_id]], Tabelle5[[#This Row],[value_present]],"1")</f>
        <v>0</v>
      </c>
      <c r="E234" s="54">
        <f>_xlfn.MAXIFS(Tabelle5[[#This Row],[value_points]], Tabelle5[[#This Row],[company_id]],Tabelle18[[#This Row],[company_id]], Tabelle5[[#This Row],[value_id]], Tabelle18[[#This Row],[value_id]], Tabelle5[[#This Row],[value_present]],"1")</f>
        <v>0</v>
      </c>
    </row>
    <row r="235" spans="1:5" ht="15.75" thickBot="1" x14ac:dyDescent="0.3">
      <c r="A235">
        <v>13</v>
      </c>
      <c r="B235" s="30" t="s">
        <v>174</v>
      </c>
      <c r="C235" s="54">
        <f>IF(Tabelle18[[#This Row],[binding_level_company]]&gt;=1,1,0)</f>
        <v>0</v>
      </c>
      <c r="D235" s="54">
        <f>_xlfn.MAXIFS(Tabelle5[[#This Row],[binding_level]], Tabelle5[[#This Row],[company_id]],Tabelle18[[#This Row],[company_id]], Tabelle5[[#This Row],[value_id]], Tabelle18[[#This Row],[value_id]], Tabelle5[[#This Row],[value_present]],"1")</f>
        <v>0</v>
      </c>
      <c r="E235" s="54">
        <f>_xlfn.MAXIFS(Tabelle5[[#This Row],[value_points]], Tabelle5[[#This Row],[company_id]],Tabelle18[[#This Row],[company_id]], Tabelle5[[#This Row],[value_id]], Tabelle18[[#This Row],[value_id]], Tabelle5[[#This Row],[value_present]],"1")</f>
        <v>0</v>
      </c>
    </row>
    <row r="236" spans="1:5" x14ac:dyDescent="0.25">
      <c r="A236">
        <v>14</v>
      </c>
      <c r="B236" s="22" t="s">
        <v>53</v>
      </c>
      <c r="C236" s="54">
        <f>IF(Tabelle18[[#This Row],[binding_level_company]]&gt;=1,1,0)</f>
        <v>0</v>
      </c>
      <c r="D236" s="54">
        <f>_xlfn.MAXIFS(Tabelle5[[#This Row],[binding_level]], Tabelle5[[#This Row],[company_id]],Tabelle18[[#This Row],[company_id]], Tabelle5[[#This Row],[value_id]], Tabelle18[[#This Row],[value_id]], Tabelle5[[#This Row],[value_present]],"1")</f>
        <v>0</v>
      </c>
      <c r="E236" s="54">
        <f>_xlfn.MAXIFS(Tabelle5[[#This Row],[value_points]], Tabelle5[[#This Row],[company_id]],Tabelle18[[#This Row],[company_id]], Tabelle5[[#This Row],[value_id]], Tabelle18[[#This Row],[value_id]], Tabelle5[[#This Row],[value_present]],"1")</f>
        <v>0</v>
      </c>
    </row>
    <row r="237" spans="1:5" x14ac:dyDescent="0.25">
      <c r="A237">
        <v>14</v>
      </c>
      <c r="B237" t="s">
        <v>61</v>
      </c>
      <c r="C237" s="54">
        <f>IF(Tabelle18[[#This Row],[binding_level_company]]&gt;=1,1,0)</f>
        <v>0</v>
      </c>
      <c r="D237" s="54">
        <f>_xlfn.MAXIFS(Tabelle5[[#This Row],[binding_level]], Tabelle5[[#This Row],[company_id]],Tabelle18[[#This Row],[company_id]], Tabelle5[[#This Row],[value_id]], Tabelle18[[#This Row],[value_id]], Tabelle5[[#This Row],[value_present]],"1")</f>
        <v>0</v>
      </c>
      <c r="E237" s="54">
        <f>_xlfn.MAXIFS(Tabelle5[[#This Row],[value_points]], Tabelle5[[#This Row],[company_id]],Tabelle18[[#This Row],[company_id]], Tabelle5[[#This Row],[value_id]], Tabelle18[[#This Row],[value_id]], Tabelle5[[#This Row],[value_present]],"1")</f>
        <v>0</v>
      </c>
    </row>
    <row r="238" spans="1:5" x14ac:dyDescent="0.25">
      <c r="A238">
        <v>14</v>
      </c>
      <c r="B238" t="s">
        <v>69</v>
      </c>
      <c r="C238" s="54">
        <f>IF(Tabelle18[[#This Row],[binding_level_company]]&gt;=1,1,0)</f>
        <v>0</v>
      </c>
      <c r="D238" s="54">
        <f>_xlfn.MAXIFS(Tabelle5[[#This Row],[binding_level]], Tabelle5[[#This Row],[company_id]],Tabelle18[[#This Row],[company_id]], Tabelle5[[#This Row],[value_id]], Tabelle18[[#This Row],[value_id]], Tabelle5[[#This Row],[value_present]],"1")</f>
        <v>0</v>
      </c>
      <c r="E238" s="54">
        <f>_xlfn.MAXIFS(Tabelle5[[#This Row],[value_points]], Tabelle5[[#This Row],[company_id]],Tabelle18[[#This Row],[company_id]], Tabelle5[[#This Row],[value_id]], Tabelle18[[#This Row],[value_id]], Tabelle5[[#This Row],[value_present]],"1")</f>
        <v>0</v>
      </c>
    </row>
    <row r="239" spans="1:5" x14ac:dyDescent="0.25">
      <c r="A239">
        <v>14</v>
      </c>
      <c r="B239" t="s">
        <v>76</v>
      </c>
      <c r="C239" s="54">
        <f>IF(Tabelle18[[#This Row],[binding_level_company]]&gt;=1,1,0)</f>
        <v>0</v>
      </c>
      <c r="D239" s="54">
        <f>_xlfn.MAXIFS(Tabelle5[[#This Row],[binding_level]], Tabelle5[[#This Row],[company_id]],Tabelle18[[#This Row],[company_id]], Tabelle5[[#This Row],[value_id]], Tabelle18[[#This Row],[value_id]], Tabelle5[[#This Row],[value_present]],"1")</f>
        <v>0</v>
      </c>
      <c r="E239" s="54">
        <f>_xlfn.MAXIFS(Tabelle5[[#This Row],[value_points]], Tabelle5[[#This Row],[company_id]],Tabelle18[[#This Row],[company_id]], Tabelle5[[#This Row],[value_id]], Tabelle18[[#This Row],[value_id]], Tabelle5[[#This Row],[value_present]],"1")</f>
        <v>0</v>
      </c>
    </row>
    <row r="240" spans="1:5" x14ac:dyDescent="0.25">
      <c r="A240">
        <v>14</v>
      </c>
      <c r="B240" t="s">
        <v>83</v>
      </c>
      <c r="C240" s="54">
        <f>IF(Tabelle18[[#This Row],[binding_level_company]]&gt;=1,1,0)</f>
        <v>0</v>
      </c>
      <c r="D240" s="54">
        <f>_xlfn.MAXIFS(Tabelle5[[#This Row],[binding_level]], Tabelle5[[#This Row],[company_id]],Tabelle18[[#This Row],[company_id]], Tabelle5[[#This Row],[value_id]], Tabelle18[[#This Row],[value_id]], Tabelle5[[#This Row],[value_present]],"1")</f>
        <v>0</v>
      </c>
      <c r="E240" s="54">
        <f>_xlfn.MAXIFS(Tabelle5[[#This Row],[value_points]], Tabelle5[[#This Row],[company_id]],Tabelle18[[#This Row],[company_id]], Tabelle5[[#This Row],[value_id]], Tabelle18[[#This Row],[value_id]], Tabelle5[[#This Row],[value_present]],"1")</f>
        <v>0</v>
      </c>
    </row>
    <row r="241" spans="1:5" x14ac:dyDescent="0.25">
      <c r="A241">
        <v>14</v>
      </c>
      <c r="B241" t="s">
        <v>90</v>
      </c>
      <c r="C241" s="54">
        <f>IF(Tabelle18[[#This Row],[binding_level_company]]&gt;=1,1,0)</f>
        <v>0</v>
      </c>
      <c r="D241" s="54">
        <f>_xlfn.MAXIFS(Tabelle5[[#This Row],[binding_level]], Tabelle5[[#This Row],[company_id]],Tabelle18[[#This Row],[company_id]], Tabelle5[[#This Row],[value_id]], Tabelle18[[#This Row],[value_id]], Tabelle5[[#This Row],[value_present]],"1")</f>
        <v>0</v>
      </c>
      <c r="E241" s="54">
        <f>_xlfn.MAXIFS(Tabelle5[[#This Row],[value_points]], Tabelle5[[#This Row],[company_id]],Tabelle18[[#This Row],[company_id]], Tabelle5[[#This Row],[value_id]], Tabelle18[[#This Row],[value_id]], Tabelle5[[#This Row],[value_present]],"1")</f>
        <v>0</v>
      </c>
    </row>
    <row r="242" spans="1:5" x14ac:dyDescent="0.25">
      <c r="A242">
        <v>14</v>
      </c>
      <c r="B242" t="s">
        <v>98</v>
      </c>
      <c r="C242" s="54">
        <f>IF(Tabelle18[[#This Row],[binding_level_company]]&gt;=1,1,0)</f>
        <v>0</v>
      </c>
      <c r="D242" s="54">
        <f>_xlfn.MAXIFS(Tabelle5[[#This Row],[binding_level]], Tabelle5[[#This Row],[company_id]],Tabelle18[[#This Row],[company_id]], Tabelle5[[#This Row],[value_id]], Tabelle18[[#This Row],[value_id]], Tabelle5[[#This Row],[value_present]],"1")</f>
        <v>0</v>
      </c>
      <c r="E242" s="54">
        <f>_xlfn.MAXIFS(Tabelle5[[#This Row],[value_points]], Tabelle5[[#This Row],[company_id]],Tabelle18[[#This Row],[company_id]], Tabelle5[[#This Row],[value_id]], Tabelle18[[#This Row],[value_id]], Tabelle5[[#This Row],[value_present]],"1")</f>
        <v>0</v>
      </c>
    </row>
    <row r="243" spans="1:5" x14ac:dyDescent="0.25">
      <c r="A243">
        <v>14</v>
      </c>
      <c r="B243" t="s">
        <v>106</v>
      </c>
      <c r="C243" s="54">
        <f>IF(Tabelle18[[#This Row],[binding_level_company]]&gt;=1,1,0)</f>
        <v>0</v>
      </c>
      <c r="D243" s="54">
        <f>_xlfn.MAXIFS(Tabelle5[[#This Row],[binding_level]], Tabelle5[[#This Row],[company_id]],Tabelle18[[#This Row],[company_id]], Tabelle5[[#This Row],[value_id]], Tabelle18[[#This Row],[value_id]], Tabelle5[[#This Row],[value_present]],"1")</f>
        <v>0</v>
      </c>
      <c r="E243" s="54">
        <f>_xlfn.MAXIFS(Tabelle5[[#This Row],[value_points]], Tabelle5[[#This Row],[company_id]],Tabelle18[[#This Row],[company_id]], Tabelle5[[#This Row],[value_id]], Tabelle18[[#This Row],[value_id]], Tabelle5[[#This Row],[value_present]],"1")</f>
        <v>0</v>
      </c>
    </row>
    <row r="244" spans="1:5" x14ac:dyDescent="0.25">
      <c r="A244">
        <v>14</v>
      </c>
      <c r="B244" t="s">
        <v>112</v>
      </c>
      <c r="C244" s="54">
        <f>IF(Tabelle18[[#This Row],[binding_level_company]]&gt;=1,1,0)</f>
        <v>0</v>
      </c>
      <c r="D244" s="54">
        <f>_xlfn.MAXIFS(Tabelle5[[#This Row],[binding_level]], Tabelle5[[#This Row],[company_id]],Tabelle18[[#This Row],[company_id]], Tabelle5[[#This Row],[value_id]], Tabelle18[[#This Row],[value_id]], Tabelle5[[#This Row],[value_present]],"1")</f>
        <v>0</v>
      </c>
      <c r="E244" s="54">
        <f>_xlfn.MAXIFS(Tabelle5[[#This Row],[value_points]], Tabelle5[[#This Row],[company_id]],Tabelle18[[#This Row],[company_id]], Tabelle5[[#This Row],[value_id]], Tabelle18[[#This Row],[value_id]], Tabelle5[[#This Row],[value_present]],"1")</f>
        <v>0</v>
      </c>
    </row>
    <row r="245" spans="1:5" x14ac:dyDescent="0.25">
      <c r="A245">
        <v>14</v>
      </c>
      <c r="B245" t="s">
        <v>118</v>
      </c>
      <c r="C245" s="54">
        <f>IF(Tabelle18[[#This Row],[binding_level_company]]&gt;=1,1,0)</f>
        <v>0</v>
      </c>
      <c r="D245" s="54">
        <f>_xlfn.MAXIFS(Tabelle5[[#This Row],[binding_level]], Tabelle5[[#This Row],[company_id]],Tabelle18[[#This Row],[company_id]], Tabelle5[[#This Row],[value_id]], Tabelle18[[#This Row],[value_id]], Tabelle5[[#This Row],[value_present]],"1")</f>
        <v>0</v>
      </c>
      <c r="E245" s="54">
        <f>_xlfn.MAXIFS(Tabelle5[[#This Row],[value_points]], Tabelle5[[#This Row],[company_id]],Tabelle18[[#This Row],[company_id]], Tabelle5[[#This Row],[value_id]], Tabelle18[[#This Row],[value_id]], Tabelle5[[#This Row],[value_present]],"1")</f>
        <v>0</v>
      </c>
    </row>
    <row r="246" spans="1:5" x14ac:dyDescent="0.25">
      <c r="A246">
        <v>14</v>
      </c>
      <c r="B246" t="s">
        <v>125</v>
      </c>
      <c r="C246" s="54">
        <f>IF(Tabelle18[[#This Row],[binding_level_company]]&gt;=1,1,0)</f>
        <v>0</v>
      </c>
      <c r="D246" s="54">
        <f>_xlfn.MAXIFS(Tabelle5[[#This Row],[binding_level]], Tabelle5[[#This Row],[company_id]],Tabelle18[[#This Row],[company_id]], Tabelle5[[#This Row],[value_id]], Tabelle18[[#This Row],[value_id]], Tabelle5[[#This Row],[value_present]],"1")</f>
        <v>0</v>
      </c>
      <c r="E246" s="54">
        <f>_xlfn.MAXIFS(Tabelle5[[#This Row],[value_points]], Tabelle5[[#This Row],[company_id]],Tabelle18[[#This Row],[company_id]], Tabelle5[[#This Row],[value_id]], Tabelle18[[#This Row],[value_id]], Tabelle5[[#This Row],[value_present]],"1")</f>
        <v>0</v>
      </c>
    </row>
    <row r="247" spans="1:5" x14ac:dyDescent="0.25">
      <c r="A247">
        <v>14</v>
      </c>
      <c r="B247" t="s">
        <v>132</v>
      </c>
      <c r="C247" s="54">
        <f>IF(Tabelle18[[#This Row],[binding_level_company]]&gt;=1,1,0)</f>
        <v>0</v>
      </c>
      <c r="D247" s="54">
        <f>_xlfn.MAXIFS(Tabelle5[[#This Row],[binding_level]], Tabelle5[[#This Row],[company_id]],Tabelle18[[#This Row],[company_id]], Tabelle5[[#This Row],[value_id]], Tabelle18[[#This Row],[value_id]], Tabelle5[[#This Row],[value_present]],"1")</f>
        <v>0</v>
      </c>
      <c r="E247" s="54">
        <f>_xlfn.MAXIFS(Tabelle5[[#This Row],[value_points]], Tabelle5[[#This Row],[company_id]],Tabelle18[[#This Row],[company_id]], Tabelle5[[#This Row],[value_id]], Tabelle18[[#This Row],[value_id]], Tabelle5[[#This Row],[value_present]],"1")</f>
        <v>0</v>
      </c>
    </row>
    <row r="248" spans="1:5" x14ac:dyDescent="0.25">
      <c r="A248">
        <v>14</v>
      </c>
      <c r="B248" t="s">
        <v>140</v>
      </c>
      <c r="C248" s="54">
        <f>IF(Tabelle18[[#This Row],[binding_level_company]]&gt;=1,1,0)</f>
        <v>0</v>
      </c>
      <c r="D248" s="54">
        <f>_xlfn.MAXIFS(Tabelle5[[#This Row],[binding_level]], Tabelle5[[#This Row],[company_id]],Tabelle18[[#This Row],[company_id]], Tabelle5[[#This Row],[value_id]], Tabelle18[[#This Row],[value_id]], Tabelle5[[#This Row],[value_present]],"1")</f>
        <v>0</v>
      </c>
      <c r="E248" s="54">
        <f>_xlfn.MAXIFS(Tabelle5[[#This Row],[value_points]], Tabelle5[[#This Row],[company_id]],Tabelle18[[#This Row],[company_id]], Tabelle5[[#This Row],[value_id]], Tabelle18[[#This Row],[value_id]], Tabelle5[[#This Row],[value_present]],"1")</f>
        <v>0</v>
      </c>
    </row>
    <row r="249" spans="1:5" x14ac:dyDescent="0.25">
      <c r="A249">
        <v>14</v>
      </c>
      <c r="B249" t="s">
        <v>147</v>
      </c>
      <c r="C249" s="54">
        <f>IF(Tabelle18[[#This Row],[binding_level_company]]&gt;=1,1,0)</f>
        <v>0</v>
      </c>
      <c r="D249" s="54">
        <f>_xlfn.MAXIFS(Tabelle5[[#This Row],[binding_level]], Tabelle5[[#This Row],[company_id]],Tabelle18[[#This Row],[company_id]], Tabelle5[[#This Row],[value_id]], Tabelle18[[#This Row],[value_id]], Tabelle5[[#This Row],[value_present]],"1")</f>
        <v>0</v>
      </c>
      <c r="E249" s="54">
        <f>_xlfn.MAXIFS(Tabelle5[[#This Row],[value_points]], Tabelle5[[#This Row],[company_id]],Tabelle18[[#This Row],[company_id]], Tabelle5[[#This Row],[value_id]], Tabelle18[[#This Row],[value_id]], Tabelle5[[#This Row],[value_present]],"1")</f>
        <v>0</v>
      </c>
    </row>
    <row r="250" spans="1:5" x14ac:dyDescent="0.25">
      <c r="A250">
        <v>14</v>
      </c>
      <c r="B250" t="s">
        <v>154</v>
      </c>
      <c r="C250" s="54">
        <f>IF(Tabelle18[[#This Row],[binding_level_company]]&gt;=1,1,0)</f>
        <v>0</v>
      </c>
      <c r="D250" s="54">
        <f>_xlfn.MAXIFS(Tabelle5[[#This Row],[binding_level]], Tabelle5[[#This Row],[company_id]],Tabelle18[[#This Row],[company_id]], Tabelle5[[#This Row],[value_id]], Tabelle18[[#This Row],[value_id]], Tabelle5[[#This Row],[value_present]],"1")</f>
        <v>0</v>
      </c>
      <c r="E250" s="54">
        <f>_xlfn.MAXIFS(Tabelle5[[#This Row],[value_points]], Tabelle5[[#This Row],[company_id]],Tabelle18[[#This Row],[company_id]], Tabelle5[[#This Row],[value_id]], Tabelle18[[#This Row],[value_id]], Tabelle5[[#This Row],[value_present]],"1")</f>
        <v>0</v>
      </c>
    </row>
    <row r="251" spans="1:5" x14ac:dyDescent="0.25">
      <c r="A251">
        <v>14</v>
      </c>
      <c r="B251" t="s">
        <v>161</v>
      </c>
      <c r="C251" s="54">
        <f>IF(Tabelle18[[#This Row],[binding_level_company]]&gt;=1,1,0)</f>
        <v>0</v>
      </c>
      <c r="D251" s="54">
        <f>_xlfn.MAXIFS(Tabelle5[[#This Row],[binding_level]], Tabelle5[[#This Row],[company_id]],Tabelle18[[#This Row],[company_id]], Tabelle5[[#This Row],[value_id]], Tabelle18[[#This Row],[value_id]], Tabelle5[[#This Row],[value_present]],"1")</f>
        <v>0</v>
      </c>
      <c r="E251" s="54">
        <f>_xlfn.MAXIFS(Tabelle5[[#This Row],[value_points]], Tabelle5[[#This Row],[company_id]],Tabelle18[[#This Row],[company_id]], Tabelle5[[#This Row],[value_id]], Tabelle18[[#This Row],[value_id]], Tabelle5[[#This Row],[value_present]],"1")</f>
        <v>0</v>
      </c>
    </row>
    <row r="252" spans="1:5" x14ac:dyDescent="0.25">
      <c r="A252">
        <v>14</v>
      </c>
      <c r="B252" t="s">
        <v>166</v>
      </c>
      <c r="C252" s="54">
        <f>IF(Tabelle18[[#This Row],[binding_level_company]]&gt;=1,1,0)</f>
        <v>0</v>
      </c>
      <c r="D252" s="54">
        <f>_xlfn.MAXIFS(Tabelle5[[#This Row],[binding_level]], Tabelle5[[#This Row],[company_id]],Tabelle18[[#This Row],[company_id]], Tabelle5[[#This Row],[value_id]], Tabelle18[[#This Row],[value_id]], Tabelle5[[#This Row],[value_present]],"1")</f>
        <v>0</v>
      </c>
      <c r="E252" s="54">
        <f>_xlfn.MAXIFS(Tabelle5[[#This Row],[value_points]], Tabelle5[[#This Row],[company_id]],Tabelle18[[#This Row],[company_id]], Tabelle5[[#This Row],[value_id]], Tabelle18[[#This Row],[value_id]], Tabelle5[[#This Row],[value_present]],"1")</f>
        <v>0</v>
      </c>
    </row>
    <row r="253" spans="1:5" ht="15.75" thickBot="1" x14ac:dyDescent="0.3">
      <c r="A253">
        <v>14</v>
      </c>
      <c r="B253" s="30" t="s">
        <v>174</v>
      </c>
      <c r="C253" s="54">
        <f>IF(Tabelle18[[#This Row],[binding_level_company]]&gt;=1,1,0)</f>
        <v>0</v>
      </c>
      <c r="D253" s="54">
        <f>_xlfn.MAXIFS(Tabelle5[[#This Row],[binding_level]], Tabelle5[[#This Row],[company_id]],Tabelle18[[#This Row],[company_id]], Tabelle5[[#This Row],[value_id]], Tabelle18[[#This Row],[value_id]], Tabelle5[[#This Row],[value_present]],"1")</f>
        <v>0</v>
      </c>
      <c r="E253" s="54">
        <f>_xlfn.MAXIFS(Tabelle5[[#This Row],[value_points]], Tabelle5[[#This Row],[company_id]],Tabelle18[[#This Row],[company_id]], Tabelle5[[#This Row],[value_id]], Tabelle18[[#This Row],[value_id]], Tabelle5[[#This Row],[value_present]],"1")</f>
        <v>0</v>
      </c>
    </row>
    <row r="254" spans="1:5" x14ac:dyDescent="0.25">
      <c r="A254">
        <v>15</v>
      </c>
      <c r="B254" s="22" t="s">
        <v>53</v>
      </c>
      <c r="C254" s="54">
        <f>IF(Tabelle18[[#This Row],[binding_level_company]]&gt;=1,1,0)</f>
        <v>0</v>
      </c>
      <c r="D254" s="54">
        <f>_xlfn.MAXIFS(Tabelle5[[#This Row],[binding_level]], Tabelle5[[#This Row],[company_id]],Tabelle18[[#This Row],[company_id]], Tabelle5[[#This Row],[value_id]], Tabelle18[[#This Row],[value_id]], Tabelle5[[#This Row],[value_present]],"1")</f>
        <v>0</v>
      </c>
      <c r="E254" s="54">
        <f>_xlfn.MAXIFS(Tabelle5[[#This Row],[value_points]], Tabelle5[[#This Row],[company_id]],Tabelle18[[#This Row],[company_id]], Tabelle5[[#This Row],[value_id]], Tabelle18[[#This Row],[value_id]], Tabelle5[[#This Row],[value_present]],"1")</f>
        <v>0</v>
      </c>
    </row>
    <row r="255" spans="1:5" x14ac:dyDescent="0.25">
      <c r="A255">
        <v>15</v>
      </c>
      <c r="B255" t="s">
        <v>61</v>
      </c>
      <c r="C255" s="54">
        <f>IF(Tabelle18[[#This Row],[binding_level_company]]&gt;=1,1,0)</f>
        <v>0</v>
      </c>
      <c r="D255" s="54">
        <f>_xlfn.MAXIFS(Tabelle5[[#This Row],[binding_level]], Tabelle5[[#This Row],[company_id]],Tabelle18[[#This Row],[company_id]], Tabelle5[[#This Row],[value_id]], Tabelle18[[#This Row],[value_id]], Tabelle5[[#This Row],[value_present]],"1")</f>
        <v>0</v>
      </c>
      <c r="E255" s="54">
        <f>_xlfn.MAXIFS(Tabelle5[[#This Row],[value_points]], Tabelle5[[#This Row],[company_id]],Tabelle18[[#This Row],[company_id]], Tabelle5[[#This Row],[value_id]], Tabelle18[[#This Row],[value_id]], Tabelle5[[#This Row],[value_present]],"1")</f>
        <v>0</v>
      </c>
    </row>
    <row r="256" spans="1:5" x14ac:dyDescent="0.25">
      <c r="A256">
        <v>15</v>
      </c>
      <c r="B256" t="s">
        <v>69</v>
      </c>
      <c r="C256" s="54">
        <f>IF(Tabelle18[[#This Row],[binding_level_company]]&gt;=1,1,0)</f>
        <v>0</v>
      </c>
      <c r="D256" s="54">
        <f>_xlfn.MAXIFS(Tabelle5[[#This Row],[binding_level]], Tabelle5[[#This Row],[company_id]],Tabelle18[[#This Row],[company_id]], Tabelle5[[#This Row],[value_id]], Tabelle18[[#This Row],[value_id]], Tabelle5[[#This Row],[value_present]],"1")</f>
        <v>0</v>
      </c>
      <c r="E256" s="54">
        <f>_xlfn.MAXIFS(Tabelle5[[#This Row],[value_points]], Tabelle5[[#This Row],[company_id]],Tabelle18[[#This Row],[company_id]], Tabelle5[[#This Row],[value_id]], Tabelle18[[#This Row],[value_id]], Tabelle5[[#This Row],[value_present]],"1")</f>
        <v>0</v>
      </c>
    </row>
    <row r="257" spans="1:5" x14ac:dyDescent="0.25">
      <c r="A257">
        <v>15</v>
      </c>
      <c r="B257" t="s">
        <v>76</v>
      </c>
      <c r="C257" s="54">
        <f>IF(Tabelle18[[#This Row],[binding_level_company]]&gt;=1,1,0)</f>
        <v>0</v>
      </c>
      <c r="D257" s="54">
        <f>_xlfn.MAXIFS(Tabelle5[[#This Row],[binding_level]], Tabelle5[[#This Row],[company_id]],Tabelle18[[#This Row],[company_id]], Tabelle5[[#This Row],[value_id]], Tabelle18[[#This Row],[value_id]], Tabelle5[[#This Row],[value_present]],"1")</f>
        <v>0</v>
      </c>
      <c r="E257" s="54">
        <f>_xlfn.MAXIFS(Tabelle5[[#This Row],[value_points]], Tabelle5[[#This Row],[company_id]],Tabelle18[[#This Row],[company_id]], Tabelle5[[#This Row],[value_id]], Tabelle18[[#This Row],[value_id]], Tabelle5[[#This Row],[value_present]],"1")</f>
        <v>0</v>
      </c>
    </row>
    <row r="258" spans="1:5" x14ac:dyDescent="0.25">
      <c r="A258">
        <v>15</v>
      </c>
      <c r="B258" t="s">
        <v>83</v>
      </c>
      <c r="C258" s="54">
        <f>IF(Tabelle18[[#This Row],[binding_level_company]]&gt;=1,1,0)</f>
        <v>0</v>
      </c>
      <c r="D258" s="54">
        <f>_xlfn.MAXIFS(Tabelle5[[#This Row],[binding_level]], Tabelle5[[#This Row],[company_id]],Tabelle18[[#This Row],[company_id]], Tabelle5[[#This Row],[value_id]], Tabelle18[[#This Row],[value_id]], Tabelle5[[#This Row],[value_present]],"1")</f>
        <v>0</v>
      </c>
      <c r="E258" s="54">
        <f>_xlfn.MAXIFS(Tabelle5[[#This Row],[value_points]], Tabelle5[[#This Row],[company_id]],Tabelle18[[#This Row],[company_id]], Tabelle5[[#This Row],[value_id]], Tabelle18[[#This Row],[value_id]], Tabelle5[[#This Row],[value_present]],"1")</f>
        <v>0</v>
      </c>
    </row>
    <row r="259" spans="1:5" x14ac:dyDescent="0.25">
      <c r="A259">
        <v>15</v>
      </c>
      <c r="B259" t="s">
        <v>90</v>
      </c>
      <c r="C259" s="54">
        <f>IF(Tabelle18[[#This Row],[binding_level_company]]&gt;=1,1,0)</f>
        <v>0</v>
      </c>
      <c r="D259" s="54">
        <f>_xlfn.MAXIFS(Tabelle5[[#This Row],[binding_level]], Tabelle5[[#This Row],[company_id]],Tabelle18[[#This Row],[company_id]], Tabelle5[[#This Row],[value_id]], Tabelle18[[#This Row],[value_id]], Tabelle5[[#This Row],[value_present]],"1")</f>
        <v>0</v>
      </c>
      <c r="E259" s="54">
        <f>_xlfn.MAXIFS(Tabelle5[[#This Row],[value_points]], Tabelle5[[#This Row],[company_id]],Tabelle18[[#This Row],[company_id]], Tabelle5[[#This Row],[value_id]], Tabelle18[[#This Row],[value_id]], Tabelle5[[#This Row],[value_present]],"1")</f>
        <v>0</v>
      </c>
    </row>
    <row r="260" spans="1:5" x14ac:dyDescent="0.25">
      <c r="A260">
        <v>15</v>
      </c>
      <c r="B260" t="s">
        <v>98</v>
      </c>
      <c r="C260" s="54">
        <f>IF(Tabelle18[[#This Row],[binding_level_company]]&gt;=1,1,0)</f>
        <v>0</v>
      </c>
      <c r="D260" s="54">
        <f>_xlfn.MAXIFS(Tabelle5[[#This Row],[binding_level]], Tabelle5[[#This Row],[company_id]],Tabelle18[[#This Row],[company_id]], Tabelle5[[#This Row],[value_id]], Tabelle18[[#This Row],[value_id]], Tabelle5[[#This Row],[value_present]],"1")</f>
        <v>0</v>
      </c>
      <c r="E260" s="54">
        <f>_xlfn.MAXIFS(Tabelle5[[#This Row],[value_points]], Tabelle5[[#This Row],[company_id]],Tabelle18[[#This Row],[company_id]], Tabelle5[[#This Row],[value_id]], Tabelle18[[#This Row],[value_id]], Tabelle5[[#This Row],[value_present]],"1")</f>
        <v>0</v>
      </c>
    </row>
    <row r="261" spans="1:5" x14ac:dyDescent="0.25">
      <c r="A261">
        <v>15</v>
      </c>
      <c r="B261" t="s">
        <v>106</v>
      </c>
      <c r="C261" s="54">
        <f>IF(Tabelle18[[#This Row],[binding_level_company]]&gt;=1,1,0)</f>
        <v>0</v>
      </c>
      <c r="D261" s="54">
        <f>_xlfn.MAXIFS(Tabelle5[[#This Row],[binding_level]], Tabelle5[[#This Row],[company_id]],Tabelle18[[#This Row],[company_id]], Tabelle5[[#This Row],[value_id]], Tabelle18[[#This Row],[value_id]], Tabelle5[[#This Row],[value_present]],"1")</f>
        <v>0</v>
      </c>
      <c r="E261" s="54">
        <f>_xlfn.MAXIFS(Tabelle5[[#This Row],[value_points]], Tabelle5[[#This Row],[company_id]],Tabelle18[[#This Row],[company_id]], Tabelle5[[#This Row],[value_id]], Tabelle18[[#This Row],[value_id]], Tabelle5[[#This Row],[value_present]],"1")</f>
        <v>0</v>
      </c>
    </row>
    <row r="262" spans="1:5" x14ac:dyDescent="0.25">
      <c r="A262">
        <v>15</v>
      </c>
      <c r="B262" t="s">
        <v>112</v>
      </c>
      <c r="C262" s="54">
        <f>IF(Tabelle18[[#This Row],[binding_level_company]]&gt;=1,1,0)</f>
        <v>0</v>
      </c>
      <c r="D262" s="54">
        <f>_xlfn.MAXIFS(Tabelle5[[#This Row],[binding_level]], Tabelle5[[#This Row],[company_id]],Tabelle18[[#This Row],[company_id]], Tabelle5[[#This Row],[value_id]], Tabelle18[[#This Row],[value_id]], Tabelle5[[#This Row],[value_present]],"1")</f>
        <v>0</v>
      </c>
      <c r="E262" s="54">
        <f>_xlfn.MAXIFS(Tabelle5[[#This Row],[value_points]], Tabelle5[[#This Row],[company_id]],Tabelle18[[#This Row],[company_id]], Tabelle5[[#This Row],[value_id]], Tabelle18[[#This Row],[value_id]], Tabelle5[[#This Row],[value_present]],"1")</f>
        <v>0</v>
      </c>
    </row>
    <row r="263" spans="1:5" x14ac:dyDescent="0.25">
      <c r="A263">
        <v>15</v>
      </c>
      <c r="B263" t="s">
        <v>118</v>
      </c>
      <c r="C263" s="54">
        <f>IF(Tabelle18[[#This Row],[binding_level_company]]&gt;=1,1,0)</f>
        <v>0</v>
      </c>
      <c r="D263" s="54">
        <f>_xlfn.MAXIFS(Tabelle5[[#This Row],[binding_level]], Tabelle5[[#This Row],[company_id]],Tabelle18[[#This Row],[company_id]], Tabelle5[[#This Row],[value_id]], Tabelle18[[#This Row],[value_id]], Tabelle5[[#This Row],[value_present]],"1")</f>
        <v>0</v>
      </c>
      <c r="E263" s="54">
        <f>_xlfn.MAXIFS(Tabelle5[[#This Row],[value_points]], Tabelle5[[#This Row],[company_id]],Tabelle18[[#This Row],[company_id]], Tabelle5[[#This Row],[value_id]], Tabelle18[[#This Row],[value_id]], Tabelle5[[#This Row],[value_present]],"1")</f>
        <v>0</v>
      </c>
    </row>
    <row r="264" spans="1:5" x14ac:dyDescent="0.25">
      <c r="A264">
        <v>15</v>
      </c>
      <c r="B264" t="s">
        <v>125</v>
      </c>
      <c r="C264" s="54">
        <f>IF(Tabelle18[[#This Row],[binding_level_company]]&gt;=1,1,0)</f>
        <v>0</v>
      </c>
      <c r="D264" s="54">
        <f>_xlfn.MAXIFS(Tabelle5[[#This Row],[binding_level]], Tabelle5[[#This Row],[company_id]],Tabelle18[[#This Row],[company_id]], Tabelle5[[#This Row],[value_id]], Tabelle18[[#This Row],[value_id]], Tabelle5[[#This Row],[value_present]],"1")</f>
        <v>0</v>
      </c>
      <c r="E264" s="54">
        <f>_xlfn.MAXIFS(Tabelle5[[#This Row],[value_points]], Tabelle5[[#This Row],[company_id]],Tabelle18[[#This Row],[company_id]], Tabelle5[[#This Row],[value_id]], Tabelle18[[#This Row],[value_id]], Tabelle5[[#This Row],[value_present]],"1")</f>
        <v>0</v>
      </c>
    </row>
    <row r="265" spans="1:5" x14ac:dyDescent="0.25">
      <c r="A265">
        <v>15</v>
      </c>
      <c r="B265" t="s">
        <v>132</v>
      </c>
      <c r="C265" s="54">
        <f>IF(Tabelle18[[#This Row],[binding_level_company]]&gt;=1,1,0)</f>
        <v>0</v>
      </c>
      <c r="D265" s="54">
        <f>_xlfn.MAXIFS(Tabelle5[[#This Row],[binding_level]], Tabelle5[[#This Row],[company_id]],Tabelle18[[#This Row],[company_id]], Tabelle5[[#This Row],[value_id]], Tabelle18[[#This Row],[value_id]], Tabelle5[[#This Row],[value_present]],"1")</f>
        <v>0</v>
      </c>
      <c r="E265" s="54">
        <f>_xlfn.MAXIFS(Tabelle5[[#This Row],[value_points]], Tabelle5[[#This Row],[company_id]],Tabelle18[[#This Row],[company_id]], Tabelle5[[#This Row],[value_id]], Tabelle18[[#This Row],[value_id]], Tabelle5[[#This Row],[value_present]],"1")</f>
        <v>0</v>
      </c>
    </row>
    <row r="266" spans="1:5" x14ac:dyDescent="0.25">
      <c r="A266">
        <v>15</v>
      </c>
      <c r="B266" t="s">
        <v>140</v>
      </c>
      <c r="C266" s="54">
        <f>IF(Tabelle18[[#This Row],[binding_level_company]]&gt;=1,1,0)</f>
        <v>0</v>
      </c>
      <c r="D266" s="54">
        <f>_xlfn.MAXIFS(Tabelle5[[#This Row],[binding_level]], Tabelle5[[#This Row],[company_id]],Tabelle18[[#This Row],[company_id]], Tabelle5[[#This Row],[value_id]], Tabelle18[[#This Row],[value_id]], Tabelle5[[#This Row],[value_present]],"1")</f>
        <v>0</v>
      </c>
      <c r="E266" s="54">
        <f>_xlfn.MAXIFS(Tabelle5[[#This Row],[value_points]], Tabelle5[[#This Row],[company_id]],Tabelle18[[#This Row],[company_id]], Tabelle5[[#This Row],[value_id]], Tabelle18[[#This Row],[value_id]], Tabelle5[[#This Row],[value_present]],"1")</f>
        <v>0</v>
      </c>
    </row>
    <row r="267" spans="1:5" x14ac:dyDescent="0.25">
      <c r="A267">
        <v>15</v>
      </c>
      <c r="B267" t="s">
        <v>147</v>
      </c>
      <c r="C267" s="54">
        <f>IF(Tabelle18[[#This Row],[binding_level_company]]&gt;=1,1,0)</f>
        <v>0</v>
      </c>
      <c r="D267" s="54">
        <f>_xlfn.MAXIFS(Tabelle5[[#This Row],[binding_level]], Tabelle5[[#This Row],[company_id]],Tabelle18[[#This Row],[company_id]], Tabelle5[[#This Row],[value_id]], Tabelle18[[#This Row],[value_id]], Tabelle5[[#This Row],[value_present]],"1")</f>
        <v>0</v>
      </c>
      <c r="E267" s="54">
        <f>_xlfn.MAXIFS(Tabelle5[[#This Row],[value_points]], Tabelle5[[#This Row],[company_id]],Tabelle18[[#This Row],[company_id]], Tabelle5[[#This Row],[value_id]], Tabelle18[[#This Row],[value_id]], Tabelle5[[#This Row],[value_present]],"1")</f>
        <v>0</v>
      </c>
    </row>
    <row r="268" spans="1:5" x14ac:dyDescent="0.25">
      <c r="A268">
        <v>15</v>
      </c>
      <c r="B268" t="s">
        <v>154</v>
      </c>
      <c r="C268" s="54">
        <f>IF(Tabelle18[[#This Row],[binding_level_company]]&gt;=1,1,0)</f>
        <v>0</v>
      </c>
      <c r="D268" s="54">
        <f>_xlfn.MAXIFS(Tabelle5[[#This Row],[binding_level]], Tabelle5[[#This Row],[company_id]],Tabelle18[[#This Row],[company_id]], Tabelle5[[#This Row],[value_id]], Tabelle18[[#This Row],[value_id]], Tabelle5[[#This Row],[value_present]],"1")</f>
        <v>0</v>
      </c>
      <c r="E268" s="54">
        <f>_xlfn.MAXIFS(Tabelle5[[#This Row],[value_points]], Tabelle5[[#This Row],[company_id]],Tabelle18[[#This Row],[company_id]], Tabelle5[[#This Row],[value_id]], Tabelle18[[#This Row],[value_id]], Tabelle5[[#This Row],[value_present]],"1")</f>
        <v>0</v>
      </c>
    </row>
    <row r="269" spans="1:5" x14ac:dyDescent="0.25">
      <c r="A269">
        <v>15</v>
      </c>
      <c r="B269" t="s">
        <v>161</v>
      </c>
      <c r="C269" s="54">
        <f>IF(Tabelle18[[#This Row],[binding_level_company]]&gt;=1,1,0)</f>
        <v>0</v>
      </c>
      <c r="D269" s="54">
        <f>_xlfn.MAXIFS(Tabelle5[[#This Row],[binding_level]], Tabelle5[[#This Row],[company_id]],Tabelle18[[#This Row],[company_id]], Tabelle5[[#This Row],[value_id]], Tabelle18[[#This Row],[value_id]], Tabelle5[[#This Row],[value_present]],"1")</f>
        <v>0</v>
      </c>
      <c r="E269" s="54">
        <f>_xlfn.MAXIFS(Tabelle5[[#This Row],[value_points]], Tabelle5[[#This Row],[company_id]],Tabelle18[[#This Row],[company_id]], Tabelle5[[#This Row],[value_id]], Tabelle18[[#This Row],[value_id]], Tabelle5[[#This Row],[value_present]],"1")</f>
        <v>0</v>
      </c>
    </row>
    <row r="270" spans="1:5" x14ac:dyDescent="0.25">
      <c r="A270">
        <v>15</v>
      </c>
      <c r="B270" t="s">
        <v>166</v>
      </c>
      <c r="C270" s="54">
        <f>IF(Tabelle18[[#This Row],[binding_level_company]]&gt;=1,1,0)</f>
        <v>0</v>
      </c>
      <c r="D270" s="54">
        <f>_xlfn.MAXIFS(Tabelle5[[#This Row],[binding_level]], Tabelle5[[#This Row],[company_id]],Tabelle18[[#This Row],[company_id]], Tabelle5[[#This Row],[value_id]], Tabelle18[[#This Row],[value_id]], Tabelle5[[#This Row],[value_present]],"1")</f>
        <v>0</v>
      </c>
      <c r="E270" s="54">
        <f>_xlfn.MAXIFS(Tabelle5[[#This Row],[value_points]], Tabelle5[[#This Row],[company_id]],Tabelle18[[#This Row],[company_id]], Tabelle5[[#This Row],[value_id]], Tabelle18[[#This Row],[value_id]], Tabelle5[[#This Row],[value_present]],"1")</f>
        <v>0</v>
      </c>
    </row>
    <row r="271" spans="1:5" ht="15.75" thickBot="1" x14ac:dyDescent="0.3">
      <c r="A271">
        <v>15</v>
      </c>
      <c r="B271" s="30" t="s">
        <v>174</v>
      </c>
      <c r="C271" s="54">
        <f>IF(Tabelle18[[#This Row],[binding_level_company]]&gt;=1,1,0)</f>
        <v>0</v>
      </c>
      <c r="D271" s="54">
        <f>_xlfn.MAXIFS(Tabelle5[[#This Row],[binding_level]], Tabelle5[[#This Row],[company_id]],Tabelle18[[#This Row],[company_id]], Tabelle5[[#This Row],[value_id]], Tabelle18[[#This Row],[value_id]], Tabelle5[[#This Row],[value_present]],"1")</f>
        <v>0</v>
      </c>
      <c r="E271" s="54">
        <f>_xlfn.MAXIFS(Tabelle5[[#This Row],[value_points]], Tabelle5[[#This Row],[company_id]],Tabelle18[[#This Row],[company_id]], Tabelle5[[#This Row],[value_id]], Tabelle18[[#This Row],[value_id]], Tabelle5[[#This Row],[value_present]],"1")</f>
        <v>0</v>
      </c>
    </row>
    <row r="272" spans="1:5" x14ac:dyDescent="0.25">
      <c r="A272">
        <v>16</v>
      </c>
      <c r="B272" s="22" t="s">
        <v>53</v>
      </c>
      <c r="C272" s="54">
        <f>IF(Tabelle18[[#This Row],[binding_level_company]]&gt;=1,1,0)</f>
        <v>0</v>
      </c>
      <c r="D272" s="54">
        <f>_xlfn.MAXIFS(Tabelle5[[#This Row],[binding_level]], Tabelle5[[#This Row],[company_id]],Tabelle18[[#This Row],[company_id]], Tabelle5[[#This Row],[value_id]], Tabelle18[[#This Row],[value_id]], Tabelle5[[#This Row],[value_present]],"1")</f>
        <v>0</v>
      </c>
      <c r="E272" s="54">
        <f>_xlfn.MAXIFS(Tabelle5[[#This Row],[value_points]], Tabelle5[[#This Row],[company_id]],Tabelle18[[#This Row],[company_id]], Tabelle5[[#This Row],[value_id]], Tabelle18[[#This Row],[value_id]], Tabelle5[[#This Row],[value_present]],"1")</f>
        <v>0</v>
      </c>
    </row>
    <row r="273" spans="1:5" x14ac:dyDescent="0.25">
      <c r="A273">
        <v>16</v>
      </c>
      <c r="B273" t="s">
        <v>61</v>
      </c>
      <c r="C273" s="54">
        <f>IF(Tabelle18[[#This Row],[binding_level_company]]&gt;=1,1,0)</f>
        <v>0</v>
      </c>
      <c r="D273" s="54">
        <f>_xlfn.MAXIFS(Tabelle5[[#This Row],[binding_level]], Tabelle5[[#This Row],[company_id]],Tabelle18[[#This Row],[company_id]], Tabelle5[[#This Row],[value_id]], Tabelle18[[#This Row],[value_id]], Tabelle5[[#This Row],[value_present]],"1")</f>
        <v>0</v>
      </c>
      <c r="E273" s="54">
        <f>_xlfn.MAXIFS(Tabelle5[[#This Row],[value_points]], Tabelle5[[#This Row],[company_id]],Tabelle18[[#This Row],[company_id]], Tabelle5[[#This Row],[value_id]], Tabelle18[[#This Row],[value_id]], Tabelle5[[#This Row],[value_present]],"1")</f>
        <v>0</v>
      </c>
    </row>
    <row r="274" spans="1:5" x14ac:dyDescent="0.25">
      <c r="A274">
        <v>16</v>
      </c>
      <c r="B274" t="s">
        <v>69</v>
      </c>
      <c r="C274" s="54">
        <f>IF(Tabelle18[[#This Row],[binding_level_company]]&gt;=1,1,0)</f>
        <v>0</v>
      </c>
      <c r="D274" s="54">
        <f>_xlfn.MAXIFS(Tabelle5[[#This Row],[binding_level]], Tabelle5[[#This Row],[company_id]],Tabelle18[[#This Row],[company_id]], Tabelle5[[#This Row],[value_id]], Tabelle18[[#This Row],[value_id]], Tabelle5[[#This Row],[value_present]],"1")</f>
        <v>0</v>
      </c>
      <c r="E274" s="54">
        <f>_xlfn.MAXIFS(Tabelle5[[#This Row],[value_points]], Tabelle5[[#This Row],[company_id]],Tabelle18[[#This Row],[company_id]], Tabelle5[[#This Row],[value_id]], Tabelle18[[#This Row],[value_id]], Tabelle5[[#This Row],[value_present]],"1")</f>
        <v>0</v>
      </c>
    </row>
    <row r="275" spans="1:5" x14ac:dyDescent="0.25">
      <c r="A275">
        <v>16</v>
      </c>
      <c r="B275" t="s">
        <v>76</v>
      </c>
      <c r="C275" s="54">
        <f>IF(Tabelle18[[#This Row],[binding_level_company]]&gt;=1,1,0)</f>
        <v>0</v>
      </c>
      <c r="D275" s="54">
        <f>_xlfn.MAXIFS(Tabelle5[[#This Row],[binding_level]], Tabelle5[[#This Row],[company_id]],Tabelle18[[#This Row],[company_id]], Tabelle5[[#This Row],[value_id]], Tabelle18[[#This Row],[value_id]], Tabelle5[[#This Row],[value_present]],"1")</f>
        <v>0</v>
      </c>
      <c r="E275" s="54">
        <f>_xlfn.MAXIFS(Tabelle5[[#This Row],[value_points]], Tabelle5[[#This Row],[company_id]],Tabelle18[[#This Row],[company_id]], Tabelle5[[#This Row],[value_id]], Tabelle18[[#This Row],[value_id]], Tabelle5[[#This Row],[value_present]],"1")</f>
        <v>0</v>
      </c>
    </row>
    <row r="276" spans="1:5" x14ac:dyDescent="0.25">
      <c r="A276">
        <v>16</v>
      </c>
      <c r="B276" t="s">
        <v>83</v>
      </c>
      <c r="C276" s="54">
        <f>IF(Tabelle18[[#This Row],[binding_level_company]]&gt;=1,1,0)</f>
        <v>0</v>
      </c>
      <c r="D276" s="54">
        <f>_xlfn.MAXIFS(Tabelle5[[#This Row],[binding_level]], Tabelle5[[#This Row],[company_id]],Tabelle18[[#This Row],[company_id]], Tabelle5[[#This Row],[value_id]], Tabelle18[[#This Row],[value_id]], Tabelle5[[#This Row],[value_present]],"1")</f>
        <v>0</v>
      </c>
      <c r="E276" s="54">
        <f>_xlfn.MAXIFS(Tabelle5[[#This Row],[value_points]], Tabelle5[[#This Row],[company_id]],Tabelle18[[#This Row],[company_id]], Tabelle5[[#This Row],[value_id]], Tabelle18[[#This Row],[value_id]], Tabelle5[[#This Row],[value_present]],"1")</f>
        <v>0</v>
      </c>
    </row>
    <row r="277" spans="1:5" x14ac:dyDescent="0.25">
      <c r="A277">
        <v>16</v>
      </c>
      <c r="B277" t="s">
        <v>90</v>
      </c>
      <c r="C277" s="54">
        <f>IF(Tabelle18[[#This Row],[binding_level_company]]&gt;=1,1,0)</f>
        <v>0</v>
      </c>
      <c r="D277" s="54">
        <f>_xlfn.MAXIFS(Tabelle5[[#This Row],[binding_level]], Tabelle5[[#This Row],[company_id]],Tabelle18[[#This Row],[company_id]], Tabelle5[[#This Row],[value_id]], Tabelle18[[#This Row],[value_id]], Tabelle5[[#This Row],[value_present]],"1")</f>
        <v>0</v>
      </c>
      <c r="E277" s="54">
        <f>_xlfn.MAXIFS(Tabelle5[[#This Row],[value_points]], Tabelle5[[#This Row],[company_id]],Tabelle18[[#This Row],[company_id]], Tabelle5[[#This Row],[value_id]], Tabelle18[[#This Row],[value_id]], Tabelle5[[#This Row],[value_present]],"1")</f>
        <v>0</v>
      </c>
    </row>
    <row r="278" spans="1:5" x14ac:dyDescent="0.25">
      <c r="A278">
        <v>16</v>
      </c>
      <c r="B278" t="s">
        <v>98</v>
      </c>
      <c r="C278" s="54">
        <f>IF(Tabelle18[[#This Row],[binding_level_company]]&gt;=1,1,0)</f>
        <v>0</v>
      </c>
      <c r="D278" s="54">
        <f>_xlfn.MAXIFS(Tabelle5[[#This Row],[binding_level]], Tabelle5[[#This Row],[company_id]],Tabelle18[[#This Row],[company_id]], Tabelle5[[#This Row],[value_id]], Tabelle18[[#This Row],[value_id]], Tabelle5[[#This Row],[value_present]],"1")</f>
        <v>0</v>
      </c>
      <c r="E278" s="54">
        <f>_xlfn.MAXIFS(Tabelle5[[#This Row],[value_points]], Tabelle5[[#This Row],[company_id]],Tabelle18[[#This Row],[company_id]], Tabelle5[[#This Row],[value_id]], Tabelle18[[#This Row],[value_id]], Tabelle5[[#This Row],[value_present]],"1")</f>
        <v>0</v>
      </c>
    </row>
    <row r="279" spans="1:5" x14ac:dyDescent="0.25">
      <c r="A279">
        <v>16</v>
      </c>
      <c r="B279" t="s">
        <v>106</v>
      </c>
      <c r="C279" s="54">
        <f>IF(Tabelle18[[#This Row],[binding_level_company]]&gt;=1,1,0)</f>
        <v>0</v>
      </c>
      <c r="D279" s="54">
        <f>_xlfn.MAXIFS(Tabelle5[[#This Row],[binding_level]], Tabelle5[[#This Row],[company_id]],Tabelle18[[#This Row],[company_id]], Tabelle5[[#This Row],[value_id]], Tabelle18[[#This Row],[value_id]], Tabelle5[[#This Row],[value_present]],"1")</f>
        <v>0</v>
      </c>
      <c r="E279" s="54">
        <f>_xlfn.MAXIFS(Tabelle5[[#This Row],[value_points]], Tabelle5[[#This Row],[company_id]],Tabelle18[[#This Row],[company_id]], Tabelle5[[#This Row],[value_id]], Tabelle18[[#This Row],[value_id]], Tabelle5[[#This Row],[value_present]],"1")</f>
        <v>0</v>
      </c>
    </row>
    <row r="280" spans="1:5" x14ac:dyDescent="0.25">
      <c r="A280">
        <v>16</v>
      </c>
      <c r="B280" t="s">
        <v>112</v>
      </c>
      <c r="C280" s="54">
        <f>IF(Tabelle18[[#This Row],[binding_level_company]]&gt;=1,1,0)</f>
        <v>0</v>
      </c>
      <c r="D280" s="54">
        <f>_xlfn.MAXIFS(Tabelle5[[#This Row],[binding_level]], Tabelle5[[#This Row],[company_id]],Tabelle18[[#This Row],[company_id]], Tabelle5[[#This Row],[value_id]], Tabelle18[[#This Row],[value_id]], Tabelle5[[#This Row],[value_present]],"1")</f>
        <v>0</v>
      </c>
      <c r="E280" s="54">
        <f>_xlfn.MAXIFS(Tabelle5[[#This Row],[value_points]], Tabelle5[[#This Row],[company_id]],Tabelle18[[#This Row],[company_id]], Tabelle5[[#This Row],[value_id]], Tabelle18[[#This Row],[value_id]], Tabelle5[[#This Row],[value_present]],"1")</f>
        <v>0</v>
      </c>
    </row>
    <row r="281" spans="1:5" x14ac:dyDescent="0.25">
      <c r="A281">
        <v>16</v>
      </c>
      <c r="B281" t="s">
        <v>118</v>
      </c>
      <c r="C281" s="54">
        <f>IF(Tabelle18[[#This Row],[binding_level_company]]&gt;=1,1,0)</f>
        <v>0</v>
      </c>
      <c r="D281" s="54">
        <f>_xlfn.MAXIFS(Tabelle5[[#This Row],[binding_level]], Tabelle5[[#This Row],[company_id]],Tabelle18[[#This Row],[company_id]], Tabelle5[[#This Row],[value_id]], Tabelle18[[#This Row],[value_id]], Tabelle5[[#This Row],[value_present]],"1")</f>
        <v>0</v>
      </c>
      <c r="E281" s="54">
        <f>_xlfn.MAXIFS(Tabelle5[[#This Row],[value_points]], Tabelle5[[#This Row],[company_id]],Tabelle18[[#This Row],[company_id]], Tabelle5[[#This Row],[value_id]], Tabelle18[[#This Row],[value_id]], Tabelle5[[#This Row],[value_present]],"1")</f>
        <v>0</v>
      </c>
    </row>
    <row r="282" spans="1:5" x14ac:dyDescent="0.25">
      <c r="A282">
        <v>16</v>
      </c>
      <c r="B282" t="s">
        <v>125</v>
      </c>
      <c r="C282" s="54">
        <f>IF(Tabelle18[[#This Row],[binding_level_company]]&gt;=1,1,0)</f>
        <v>0</v>
      </c>
      <c r="D282" s="54">
        <f>_xlfn.MAXIFS(Tabelle5[[#This Row],[binding_level]], Tabelle5[[#This Row],[company_id]],Tabelle18[[#This Row],[company_id]], Tabelle5[[#This Row],[value_id]], Tabelle18[[#This Row],[value_id]], Tabelle5[[#This Row],[value_present]],"1")</f>
        <v>0</v>
      </c>
      <c r="E282" s="54">
        <f>_xlfn.MAXIFS(Tabelle5[[#This Row],[value_points]], Tabelle5[[#This Row],[company_id]],Tabelle18[[#This Row],[company_id]], Tabelle5[[#This Row],[value_id]], Tabelle18[[#This Row],[value_id]], Tabelle5[[#This Row],[value_present]],"1")</f>
        <v>0</v>
      </c>
    </row>
    <row r="283" spans="1:5" x14ac:dyDescent="0.25">
      <c r="A283">
        <v>16</v>
      </c>
      <c r="B283" t="s">
        <v>132</v>
      </c>
      <c r="C283" s="54">
        <f>IF(Tabelle18[[#This Row],[binding_level_company]]&gt;=1,1,0)</f>
        <v>0</v>
      </c>
      <c r="D283" s="54">
        <f>_xlfn.MAXIFS(Tabelle5[[#This Row],[binding_level]], Tabelle5[[#This Row],[company_id]],Tabelle18[[#This Row],[company_id]], Tabelle5[[#This Row],[value_id]], Tabelle18[[#This Row],[value_id]], Tabelle5[[#This Row],[value_present]],"1")</f>
        <v>0</v>
      </c>
      <c r="E283" s="54">
        <f>_xlfn.MAXIFS(Tabelle5[[#This Row],[value_points]], Tabelle5[[#This Row],[company_id]],Tabelle18[[#This Row],[company_id]], Tabelle5[[#This Row],[value_id]], Tabelle18[[#This Row],[value_id]], Tabelle5[[#This Row],[value_present]],"1")</f>
        <v>0</v>
      </c>
    </row>
    <row r="284" spans="1:5" x14ac:dyDescent="0.25">
      <c r="A284">
        <v>16</v>
      </c>
      <c r="B284" t="s">
        <v>140</v>
      </c>
      <c r="C284" s="54">
        <f>IF(Tabelle18[[#This Row],[binding_level_company]]&gt;=1,1,0)</f>
        <v>0</v>
      </c>
      <c r="D284" s="54">
        <f>_xlfn.MAXIFS(Tabelle5[[#This Row],[binding_level]], Tabelle5[[#This Row],[company_id]],Tabelle18[[#This Row],[company_id]], Tabelle5[[#This Row],[value_id]], Tabelle18[[#This Row],[value_id]], Tabelle5[[#This Row],[value_present]],"1")</f>
        <v>0</v>
      </c>
      <c r="E284" s="54">
        <f>_xlfn.MAXIFS(Tabelle5[[#This Row],[value_points]], Tabelle5[[#This Row],[company_id]],Tabelle18[[#This Row],[company_id]], Tabelle5[[#This Row],[value_id]], Tabelle18[[#This Row],[value_id]], Tabelle5[[#This Row],[value_present]],"1")</f>
        <v>0</v>
      </c>
    </row>
    <row r="285" spans="1:5" x14ac:dyDescent="0.25">
      <c r="A285">
        <v>16</v>
      </c>
      <c r="B285" t="s">
        <v>147</v>
      </c>
      <c r="C285" s="54">
        <f>IF(Tabelle18[[#This Row],[binding_level_company]]&gt;=1,1,0)</f>
        <v>0</v>
      </c>
      <c r="D285" s="54">
        <f>_xlfn.MAXIFS(Tabelle5[[#This Row],[binding_level]], Tabelle5[[#This Row],[company_id]],Tabelle18[[#This Row],[company_id]], Tabelle5[[#This Row],[value_id]], Tabelle18[[#This Row],[value_id]], Tabelle5[[#This Row],[value_present]],"1")</f>
        <v>0</v>
      </c>
      <c r="E285" s="54">
        <f>_xlfn.MAXIFS(Tabelle5[[#This Row],[value_points]], Tabelle5[[#This Row],[company_id]],Tabelle18[[#This Row],[company_id]], Tabelle5[[#This Row],[value_id]], Tabelle18[[#This Row],[value_id]], Tabelle5[[#This Row],[value_present]],"1")</f>
        <v>0</v>
      </c>
    </row>
    <row r="286" spans="1:5" x14ac:dyDescent="0.25">
      <c r="A286">
        <v>16</v>
      </c>
      <c r="B286" t="s">
        <v>154</v>
      </c>
      <c r="C286" s="54">
        <f>IF(Tabelle18[[#This Row],[binding_level_company]]&gt;=1,1,0)</f>
        <v>0</v>
      </c>
      <c r="D286" s="54">
        <f>_xlfn.MAXIFS(Tabelle5[[#This Row],[binding_level]], Tabelle5[[#This Row],[company_id]],Tabelle18[[#This Row],[company_id]], Tabelle5[[#This Row],[value_id]], Tabelle18[[#This Row],[value_id]], Tabelle5[[#This Row],[value_present]],"1")</f>
        <v>0</v>
      </c>
      <c r="E286" s="54">
        <f>_xlfn.MAXIFS(Tabelle5[[#This Row],[value_points]], Tabelle5[[#This Row],[company_id]],Tabelle18[[#This Row],[company_id]], Tabelle5[[#This Row],[value_id]], Tabelle18[[#This Row],[value_id]], Tabelle5[[#This Row],[value_present]],"1")</f>
        <v>0</v>
      </c>
    </row>
    <row r="287" spans="1:5" x14ac:dyDescent="0.25">
      <c r="A287">
        <v>16</v>
      </c>
      <c r="B287" t="s">
        <v>161</v>
      </c>
      <c r="C287" s="54">
        <f>IF(Tabelle18[[#This Row],[binding_level_company]]&gt;=1,1,0)</f>
        <v>0</v>
      </c>
      <c r="D287" s="54">
        <f>_xlfn.MAXIFS(Tabelle5[[#This Row],[binding_level]], Tabelle5[[#This Row],[company_id]],Tabelle18[[#This Row],[company_id]], Tabelle5[[#This Row],[value_id]], Tabelle18[[#This Row],[value_id]], Tabelle5[[#This Row],[value_present]],"1")</f>
        <v>0</v>
      </c>
      <c r="E287" s="54">
        <f>_xlfn.MAXIFS(Tabelle5[[#This Row],[value_points]], Tabelle5[[#This Row],[company_id]],Tabelle18[[#This Row],[company_id]], Tabelle5[[#This Row],[value_id]], Tabelle18[[#This Row],[value_id]], Tabelle5[[#This Row],[value_present]],"1")</f>
        <v>0</v>
      </c>
    </row>
    <row r="288" spans="1:5" x14ac:dyDescent="0.25">
      <c r="A288">
        <v>16</v>
      </c>
      <c r="B288" t="s">
        <v>166</v>
      </c>
      <c r="C288" s="54">
        <f>IF(Tabelle18[[#This Row],[binding_level_company]]&gt;=1,1,0)</f>
        <v>0</v>
      </c>
      <c r="D288" s="54">
        <f>_xlfn.MAXIFS(Tabelle5[[#This Row],[binding_level]], Tabelle5[[#This Row],[company_id]],Tabelle18[[#This Row],[company_id]], Tabelle5[[#This Row],[value_id]], Tabelle18[[#This Row],[value_id]], Tabelle5[[#This Row],[value_present]],"1")</f>
        <v>0</v>
      </c>
      <c r="E288" s="54">
        <f>_xlfn.MAXIFS(Tabelle5[[#This Row],[value_points]], Tabelle5[[#This Row],[company_id]],Tabelle18[[#This Row],[company_id]], Tabelle5[[#This Row],[value_id]], Tabelle18[[#This Row],[value_id]], Tabelle5[[#This Row],[value_present]],"1")</f>
        <v>0</v>
      </c>
    </row>
    <row r="289" spans="1:5" ht="15.75" thickBot="1" x14ac:dyDescent="0.3">
      <c r="A289">
        <v>16</v>
      </c>
      <c r="B289" s="30" t="s">
        <v>174</v>
      </c>
      <c r="C289" s="54">
        <f>IF(Tabelle18[[#This Row],[binding_level_company]]&gt;=1,1,0)</f>
        <v>0</v>
      </c>
      <c r="D289" s="54">
        <f>_xlfn.MAXIFS(Tabelle5[[#This Row],[binding_level]], Tabelle5[[#This Row],[company_id]],Tabelle18[[#This Row],[company_id]], Tabelle5[[#This Row],[value_id]], Tabelle18[[#This Row],[value_id]], Tabelle5[[#This Row],[value_present]],"1")</f>
        <v>0</v>
      </c>
      <c r="E289" s="54">
        <f>_xlfn.MAXIFS(Tabelle5[[#This Row],[value_points]], Tabelle5[[#This Row],[company_id]],Tabelle18[[#This Row],[company_id]], Tabelle5[[#This Row],[value_id]], Tabelle18[[#This Row],[value_id]], Tabelle5[[#This Row],[value_present]],"1")</f>
        <v>0</v>
      </c>
    </row>
    <row r="290" spans="1:5" x14ac:dyDescent="0.25">
      <c r="A290">
        <v>17</v>
      </c>
      <c r="B290" s="22" t="s">
        <v>53</v>
      </c>
      <c r="C290" s="54">
        <f>IF(Tabelle18[[#This Row],[binding_level_company]]&gt;=1,1,0)</f>
        <v>0</v>
      </c>
      <c r="D290" s="54">
        <f>_xlfn.MAXIFS(Tabelle5[[#This Row],[binding_level]], Tabelle5[[#This Row],[company_id]],Tabelle18[[#This Row],[company_id]], Tabelle5[[#This Row],[value_id]], Tabelle18[[#This Row],[value_id]], Tabelle5[[#This Row],[value_present]],"1")</f>
        <v>0</v>
      </c>
      <c r="E290" s="54">
        <f>_xlfn.MAXIFS(Tabelle5[[#This Row],[value_points]], Tabelle5[[#This Row],[company_id]],Tabelle18[[#This Row],[company_id]], Tabelle5[[#This Row],[value_id]], Tabelle18[[#This Row],[value_id]], Tabelle5[[#This Row],[value_present]],"1")</f>
        <v>0</v>
      </c>
    </row>
    <row r="291" spans="1:5" x14ac:dyDescent="0.25">
      <c r="A291">
        <v>17</v>
      </c>
      <c r="B291" t="s">
        <v>61</v>
      </c>
      <c r="C291" s="54">
        <f>IF(Tabelle18[[#This Row],[binding_level_company]]&gt;=1,1,0)</f>
        <v>0</v>
      </c>
      <c r="D291" s="54">
        <f>_xlfn.MAXIFS(Tabelle5[[#This Row],[binding_level]], Tabelle5[[#This Row],[company_id]],Tabelle18[[#This Row],[company_id]], Tabelle5[[#This Row],[value_id]], Tabelle18[[#This Row],[value_id]], Tabelle5[[#This Row],[value_present]],"1")</f>
        <v>0</v>
      </c>
      <c r="E291" s="54">
        <f>_xlfn.MAXIFS(Tabelle5[[#This Row],[value_points]], Tabelle5[[#This Row],[company_id]],Tabelle18[[#This Row],[company_id]], Tabelle5[[#This Row],[value_id]], Tabelle18[[#This Row],[value_id]], Tabelle5[[#This Row],[value_present]],"1")</f>
        <v>0</v>
      </c>
    </row>
    <row r="292" spans="1:5" x14ac:dyDescent="0.25">
      <c r="A292">
        <v>17</v>
      </c>
      <c r="B292" t="s">
        <v>69</v>
      </c>
      <c r="C292" s="54">
        <f>IF(Tabelle18[[#This Row],[binding_level_company]]&gt;=1,1,0)</f>
        <v>0</v>
      </c>
      <c r="D292" s="54">
        <f>_xlfn.MAXIFS(Tabelle5[[#This Row],[binding_level]], Tabelle5[[#This Row],[company_id]],Tabelle18[[#This Row],[company_id]], Tabelle5[[#This Row],[value_id]], Tabelle18[[#This Row],[value_id]], Tabelle5[[#This Row],[value_present]],"1")</f>
        <v>0</v>
      </c>
      <c r="E292" s="54">
        <f>_xlfn.MAXIFS(Tabelle5[[#This Row],[value_points]], Tabelle5[[#This Row],[company_id]],Tabelle18[[#This Row],[company_id]], Tabelle5[[#This Row],[value_id]], Tabelle18[[#This Row],[value_id]], Tabelle5[[#This Row],[value_present]],"1")</f>
        <v>0</v>
      </c>
    </row>
    <row r="293" spans="1:5" x14ac:dyDescent="0.25">
      <c r="A293">
        <v>17</v>
      </c>
      <c r="B293" t="s">
        <v>76</v>
      </c>
      <c r="C293" s="54">
        <f>IF(Tabelle18[[#This Row],[binding_level_company]]&gt;=1,1,0)</f>
        <v>0</v>
      </c>
      <c r="D293" s="54">
        <f>_xlfn.MAXIFS(Tabelle5[[#This Row],[binding_level]], Tabelle5[[#This Row],[company_id]],Tabelle18[[#This Row],[company_id]], Tabelle5[[#This Row],[value_id]], Tabelle18[[#This Row],[value_id]], Tabelle5[[#This Row],[value_present]],"1")</f>
        <v>0</v>
      </c>
      <c r="E293" s="54">
        <f>_xlfn.MAXIFS(Tabelle5[[#This Row],[value_points]], Tabelle5[[#This Row],[company_id]],Tabelle18[[#This Row],[company_id]], Tabelle5[[#This Row],[value_id]], Tabelle18[[#This Row],[value_id]], Tabelle5[[#This Row],[value_present]],"1")</f>
        <v>0</v>
      </c>
    </row>
    <row r="294" spans="1:5" x14ac:dyDescent="0.25">
      <c r="A294">
        <v>17</v>
      </c>
      <c r="B294" t="s">
        <v>83</v>
      </c>
      <c r="C294" s="54">
        <f>IF(Tabelle18[[#This Row],[binding_level_company]]&gt;=1,1,0)</f>
        <v>0</v>
      </c>
      <c r="D294" s="54">
        <f>_xlfn.MAXIFS(Tabelle5[[#This Row],[binding_level]], Tabelle5[[#This Row],[company_id]],Tabelle18[[#This Row],[company_id]], Tabelle5[[#This Row],[value_id]], Tabelle18[[#This Row],[value_id]], Tabelle5[[#This Row],[value_present]],"1")</f>
        <v>0</v>
      </c>
      <c r="E294" s="54">
        <f>_xlfn.MAXIFS(Tabelle5[[#This Row],[value_points]], Tabelle5[[#This Row],[company_id]],Tabelle18[[#This Row],[company_id]], Tabelle5[[#This Row],[value_id]], Tabelle18[[#This Row],[value_id]], Tabelle5[[#This Row],[value_present]],"1")</f>
        <v>0</v>
      </c>
    </row>
    <row r="295" spans="1:5" x14ac:dyDescent="0.25">
      <c r="A295">
        <v>17</v>
      </c>
      <c r="B295" t="s">
        <v>90</v>
      </c>
      <c r="C295" s="54">
        <f>IF(Tabelle18[[#This Row],[binding_level_company]]&gt;=1,1,0)</f>
        <v>0</v>
      </c>
      <c r="D295" s="54">
        <f>_xlfn.MAXIFS(Tabelle5[[#This Row],[binding_level]], Tabelle5[[#This Row],[company_id]],Tabelle18[[#This Row],[company_id]], Tabelle5[[#This Row],[value_id]], Tabelle18[[#This Row],[value_id]], Tabelle5[[#This Row],[value_present]],"1")</f>
        <v>0</v>
      </c>
      <c r="E295" s="54">
        <f>_xlfn.MAXIFS(Tabelle5[[#This Row],[value_points]], Tabelle5[[#This Row],[company_id]],Tabelle18[[#This Row],[company_id]], Tabelle5[[#This Row],[value_id]], Tabelle18[[#This Row],[value_id]], Tabelle5[[#This Row],[value_present]],"1")</f>
        <v>0</v>
      </c>
    </row>
    <row r="296" spans="1:5" x14ac:dyDescent="0.25">
      <c r="A296">
        <v>17</v>
      </c>
      <c r="B296" t="s">
        <v>98</v>
      </c>
      <c r="C296" s="54">
        <f>IF(Tabelle18[[#This Row],[binding_level_company]]&gt;=1,1,0)</f>
        <v>0</v>
      </c>
      <c r="D296" s="54">
        <f>_xlfn.MAXIFS(Tabelle5[[#This Row],[binding_level]], Tabelle5[[#This Row],[company_id]],Tabelle18[[#This Row],[company_id]], Tabelle5[[#This Row],[value_id]], Tabelle18[[#This Row],[value_id]], Tabelle5[[#This Row],[value_present]],"1")</f>
        <v>0</v>
      </c>
      <c r="E296" s="54">
        <f>_xlfn.MAXIFS(Tabelle5[[#This Row],[value_points]], Tabelle5[[#This Row],[company_id]],Tabelle18[[#This Row],[company_id]], Tabelle5[[#This Row],[value_id]], Tabelle18[[#This Row],[value_id]], Tabelle5[[#This Row],[value_present]],"1")</f>
        <v>0</v>
      </c>
    </row>
    <row r="297" spans="1:5" x14ac:dyDescent="0.25">
      <c r="A297">
        <v>17</v>
      </c>
      <c r="B297" t="s">
        <v>106</v>
      </c>
      <c r="C297" s="54">
        <f>IF(Tabelle18[[#This Row],[binding_level_company]]&gt;=1,1,0)</f>
        <v>0</v>
      </c>
      <c r="D297" s="54">
        <f>_xlfn.MAXIFS(Tabelle5[[#This Row],[binding_level]], Tabelle5[[#This Row],[company_id]],Tabelle18[[#This Row],[company_id]], Tabelle5[[#This Row],[value_id]], Tabelle18[[#This Row],[value_id]], Tabelle5[[#This Row],[value_present]],"1")</f>
        <v>0</v>
      </c>
      <c r="E297" s="54">
        <f>_xlfn.MAXIFS(Tabelle5[[#This Row],[value_points]], Tabelle5[[#This Row],[company_id]],Tabelle18[[#This Row],[company_id]], Tabelle5[[#This Row],[value_id]], Tabelle18[[#This Row],[value_id]], Tabelle5[[#This Row],[value_present]],"1")</f>
        <v>0</v>
      </c>
    </row>
    <row r="298" spans="1:5" x14ac:dyDescent="0.25">
      <c r="A298">
        <v>17</v>
      </c>
      <c r="B298" t="s">
        <v>112</v>
      </c>
      <c r="C298" s="54">
        <f>IF(Tabelle18[[#This Row],[binding_level_company]]&gt;=1,1,0)</f>
        <v>0</v>
      </c>
      <c r="D298" s="54">
        <f>_xlfn.MAXIFS(Tabelle5[[#This Row],[binding_level]], Tabelle5[[#This Row],[company_id]],Tabelle18[[#This Row],[company_id]], Tabelle5[[#This Row],[value_id]], Tabelle18[[#This Row],[value_id]], Tabelle5[[#This Row],[value_present]],"1")</f>
        <v>0</v>
      </c>
      <c r="E298" s="54">
        <f>_xlfn.MAXIFS(Tabelle5[[#This Row],[value_points]], Tabelle5[[#This Row],[company_id]],Tabelle18[[#This Row],[company_id]], Tabelle5[[#This Row],[value_id]], Tabelle18[[#This Row],[value_id]], Tabelle5[[#This Row],[value_present]],"1")</f>
        <v>0</v>
      </c>
    </row>
    <row r="299" spans="1:5" x14ac:dyDescent="0.25">
      <c r="A299">
        <v>17</v>
      </c>
      <c r="B299" t="s">
        <v>118</v>
      </c>
      <c r="C299" s="54">
        <f>IF(Tabelle18[[#This Row],[binding_level_company]]&gt;=1,1,0)</f>
        <v>0</v>
      </c>
      <c r="D299" s="54">
        <f>_xlfn.MAXIFS(Tabelle5[[#This Row],[binding_level]], Tabelle5[[#This Row],[company_id]],Tabelle18[[#This Row],[company_id]], Tabelle5[[#This Row],[value_id]], Tabelle18[[#This Row],[value_id]], Tabelle5[[#This Row],[value_present]],"1")</f>
        <v>0</v>
      </c>
      <c r="E299" s="54">
        <f>_xlfn.MAXIFS(Tabelle5[[#This Row],[value_points]], Tabelle5[[#This Row],[company_id]],Tabelle18[[#This Row],[company_id]], Tabelle5[[#This Row],[value_id]], Tabelle18[[#This Row],[value_id]], Tabelle5[[#This Row],[value_present]],"1")</f>
        <v>0</v>
      </c>
    </row>
    <row r="300" spans="1:5" x14ac:dyDescent="0.25">
      <c r="A300">
        <v>17</v>
      </c>
      <c r="B300" t="s">
        <v>125</v>
      </c>
      <c r="C300" s="54">
        <f>IF(Tabelle18[[#This Row],[binding_level_company]]&gt;=1,1,0)</f>
        <v>0</v>
      </c>
      <c r="D300" s="54">
        <f>_xlfn.MAXIFS(Tabelle5[[#This Row],[binding_level]], Tabelle5[[#This Row],[company_id]],Tabelle18[[#This Row],[company_id]], Tabelle5[[#This Row],[value_id]], Tabelle18[[#This Row],[value_id]], Tabelle5[[#This Row],[value_present]],"1")</f>
        <v>0</v>
      </c>
      <c r="E300" s="54">
        <f>_xlfn.MAXIFS(Tabelle5[[#This Row],[value_points]], Tabelle5[[#This Row],[company_id]],Tabelle18[[#This Row],[company_id]], Tabelle5[[#This Row],[value_id]], Tabelle18[[#This Row],[value_id]], Tabelle5[[#This Row],[value_present]],"1")</f>
        <v>0</v>
      </c>
    </row>
    <row r="301" spans="1:5" x14ac:dyDescent="0.25">
      <c r="A301">
        <v>17</v>
      </c>
      <c r="B301" t="s">
        <v>132</v>
      </c>
      <c r="C301" s="54">
        <f>IF(Tabelle18[[#This Row],[binding_level_company]]&gt;=1,1,0)</f>
        <v>0</v>
      </c>
      <c r="D301" s="54">
        <f>_xlfn.MAXIFS(Tabelle5[[#This Row],[binding_level]], Tabelle5[[#This Row],[company_id]],Tabelle18[[#This Row],[company_id]], Tabelle5[[#This Row],[value_id]], Tabelle18[[#This Row],[value_id]], Tabelle5[[#This Row],[value_present]],"1")</f>
        <v>0</v>
      </c>
      <c r="E301" s="54">
        <f>_xlfn.MAXIFS(Tabelle5[[#This Row],[value_points]], Tabelle5[[#This Row],[company_id]],Tabelle18[[#This Row],[company_id]], Tabelle5[[#This Row],[value_id]], Tabelle18[[#This Row],[value_id]], Tabelle5[[#This Row],[value_present]],"1")</f>
        <v>0</v>
      </c>
    </row>
    <row r="302" spans="1:5" x14ac:dyDescent="0.25">
      <c r="A302">
        <v>17</v>
      </c>
      <c r="B302" t="s">
        <v>140</v>
      </c>
      <c r="C302" s="54">
        <f>IF(Tabelle18[[#This Row],[binding_level_company]]&gt;=1,1,0)</f>
        <v>0</v>
      </c>
      <c r="D302" s="54">
        <f>_xlfn.MAXIFS(Tabelle5[[#This Row],[binding_level]], Tabelle5[[#This Row],[company_id]],Tabelle18[[#This Row],[company_id]], Tabelle5[[#This Row],[value_id]], Tabelle18[[#This Row],[value_id]], Tabelle5[[#This Row],[value_present]],"1")</f>
        <v>0</v>
      </c>
      <c r="E302" s="54">
        <f>_xlfn.MAXIFS(Tabelle5[[#This Row],[value_points]], Tabelle5[[#This Row],[company_id]],Tabelle18[[#This Row],[company_id]], Tabelle5[[#This Row],[value_id]], Tabelle18[[#This Row],[value_id]], Tabelle5[[#This Row],[value_present]],"1")</f>
        <v>0</v>
      </c>
    </row>
    <row r="303" spans="1:5" x14ac:dyDescent="0.25">
      <c r="A303">
        <v>17</v>
      </c>
      <c r="B303" t="s">
        <v>147</v>
      </c>
      <c r="C303" s="54">
        <f>IF(Tabelle18[[#This Row],[binding_level_company]]&gt;=1,1,0)</f>
        <v>0</v>
      </c>
      <c r="D303" s="54">
        <f>_xlfn.MAXIFS(Tabelle5[[#This Row],[binding_level]], Tabelle5[[#This Row],[company_id]],Tabelle18[[#This Row],[company_id]], Tabelle5[[#This Row],[value_id]], Tabelle18[[#This Row],[value_id]], Tabelle5[[#This Row],[value_present]],"1")</f>
        <v>0</v>
      </c>
      <c r="E303" s="54">
        <f>_xlfn.MAXIFS(Tabelle5[[#This Row],[value_points]], Tabelle5[[#This Row],[company_id]],Tabelle18[[#This Row],[company_id]], Tabelle5[[#This Row],[value_id]], Tabelle18[[#This Row],[value_id]], Tabelle5[[#This Row],[value_present]],"1")</f>
        <v>0</v>
      </c>
    </row>
    <row r="304" spans="1:5" x14ac:dyDescent="0.25">
      <c r="A304">
        <v>17</v>
      </c>
      <c r="B304" t="s">
        <v>154</v>
      </c>
      <c r="C304" s="54">
        <f>IF(Tabelle18[[#This Row],[binding_level_company]]&gt;=1,1,0)</f>
        <v>0</v>
      </c>
      <c r="D304" s="54">
        <f>_xlfn.MAXIFS(Tabelle5[[#This Row],[binding_level]], Tabelle5[[#This Row],[company_id]],Tabelle18[[#This Row],[company_id]], Tabelle5[[#This Row],[value_id]], Tabelle18[[#This Row],[value_id]], Tabelle5[[#This Row],[value_present]],"1")</f>
        <v>0</v>
      </c>
      <c r="E304" s="54">
        <f>_xlfn.MAXIFS(Tabelle5[[#This Row],[value_points]], Tabelle5[[#This Row],[company_id]],Tabelle18[[#This Row],[company_id]], Tabelle5[[#This Row],[value_id]], Tabelle18[[#This Row],[value_id]], Tabelle5[[#This Row],[value_present]],"1")</f>
        <v>0</v>
      </c>
    </row>
    <row r="305" spans="1:5" x14ac:dyDescent="0.25">
      <c r="A305">
        <v>17</v>
      </c>
      <c r="B305" t="s">
        <v>161</v>
      </c>
      <c r="C305" s="54">
        <f>IF(Tabelle18[[#This Row],[binding_level_company]]&gt;=1,1,0)</f>
        <v>0</v>
      </c>
      <c r="D305" s="54">
        <f>_xlfn.MAXIFS(Tabelle5[[#This Row],[binding_level]], Tabelle5[[#This Row],[company_id]],Tabelle18[[#This Row],[company_id]], Tabelle5[[#This Row],[value_id]], Tabelle18[[#This Row],[value_id]], Tabelle5[[#This Row],[value_present]],"1")</f>
        <v>0</v>
      </c>
      <c r="E305" s="54">
        <f>_xlfn.MAXIFS(Tabelle5[[#This Row],[value_points]], Tabelle5[[#This Row],[company_id]],Tabelle18[[#This Row],[company_id]], Tabelle5[[#This Row],[value_id]], Tabelle18[[#This Row],[value_id]], Tabelle5[[#This Row],[value_present]],"1")</f>
        <v>0</v>
      </c>
    </row>
    <row r="306" spans="1:5" x14ac:dyDescent="0.25">
      <c r="A306">
        <v>17</v>
      </c>
      <c r="B306" t="s">
        <v>166</v>
      </c>
      <c r="C306" s="54">
        <f>IF(Tabelle18[[#This Row],[binding_level_company]]&gt;=1,1,0)</f>
        <v>0</v>
      </c>
      <c r="D306" s="54">
        <f>_xlfn.MAXIFS(Tabelle5[[#This Row],[binding_level]], Tabelle5[[#This Row],[company_id]],Tabelle18[[#This Row],[company_id]], Tabelle5[[#This Row],[value_id]], Tabelle18[[#This Row],[value_id]], Tabelle5[[#This Row],[value_present]],"1")</f>
        <v>0</v>
      </c>
      <c r="E306" s="54">
        <f>_xlfn.MAXIFS(Tabelle5[[#This Row],[value_points]], Tabelle5[[#This Row],[company_id]],Tabelle18[[#This Row],[company_id]], Tabelle5[[#This Row],[value_id]], Tabelle18[[#This Row],[value_id]], Tabelle5[[#This Row],[value_present]],"1")</f>
        <v>0</v>
      </c>
    </row>
    <row r="307" spans="1:5" ht="15.75" thickBot="1" x14ac:dyDescent="0.3">
      <c r="A307">
        <v>17</v>
      </c>
      <c r="B307" s="30" t="s">
        <v>174</v>
      </c>
      <c r="C307" s="54">
        <f>IF(Tabelle18[[#This Row],[binding_level_company]]&gt;=1,1,0)</f>
        <v>0</v>
      </c>
      <c r="D307" s="54">
        <f>_xlfn.MAXIFS(Tabelle5[[#This Row],[binding_level]], Tabelle5[[#This Row],[company_id]],Tabelle18[[#This Row],[company_id]], Tabelle5[[#This Row],[value_id]], Tabelle18[[#This Row],[value_id]], Tabelle5[[#This Row],[value_present]],"1")</f>
        <v>0</v>
      </c>
      <c r="E307" s="54">
        <f>_xlfn.MAXIFS(Tabelle5[[#This Row],[value_points]], Tabelle5[[#This Row],[company_id]],Tabelle18[[#This Row],[company_id]], Tabelle5[[#This Row],[value_id]], Tabelle18[[#This Row],[value_id]], Tabelle5[[#This Row],[value_present]],"1")</f>
        <v>0</v>
      </c>
    </row>
    <row r="308" spans="1:5" x14ac:dyDescent="0.25">
      <c r="A308">
        <v>18</v>
      </c>
      <c r="B308" s="22" t="s">
        <v>53</v>
      </c>
      <c r="C308" s="54">
        <f>IF(Tabelle18[[#This Row],[binding_level_company]]&gt;=1,1,0)</f>
        <v>0</v>
      </c>
      <c r="D308" s="54">
        <f>_xlfn.MAXIFS(Tabelle5[[#This Row],[binding_level]], Tabelle5[[#This Row],[company_id]],Tabelle18[[#This Row],[company_id]], Tabelle5[[#This Row],[value_id]], Tabelle18[[#This Row],[value_id]], Tabelle5[[#This Row],[value_present]],"1")</f>
        <v>0</v>
      </c>
      <c r="E308" s="54">
        <f>_xlfn.MAXIFS(Tabelle5[[#This Row],[value_points]], Tabelle5[[#This Row],[company_id]],Tabelle18[[#This Row],[company_id]], Tabelle5[[#This Row],[value_id]], Tabelle18[[#This Row],[value_id]], Tabelle5[[#This Row],[value_present]],"1")</f>
        <v>0</v>
      </c>
    </row>
    <row r="309" spans="1:5" x14ac:dyDescent="0.25">
      <c r="A309">
        <v>18</v>
      </c>
      <c r="B309" t="s">
        <v>61</v>
      </c>
      <c r="C309" s="54">
        <f>IF(Tabelle18[[#This Row],[binding_level_company]]&gt;=1,1,0)</f>
        <v>0</v>
      </c>
      <c r="D309" s="54">
        <f>_xlfn.MAXIFS(Tabelle5[[#This Row],[binding_level]], Tabelle5[[#This Row],[company_id]],Tabelle18[[#This Row],[company_id]], Tabelle5[[#This Row],[value_id]], Tabelle18[[#This Row],[value_id]], Tabelle5[[#This Row],[value_present]],"1")</f>
        <v>0</v>
      </c>
      <c r="E309" s="54">
        <f>_xlfn.MAXIFS(Tabelle5[[#This Row],[value_points]], Tabelle5[[#This Row],[company_id]],Tabelle18[[#This Row],[company_id]], Tabelle5[[#This Row],[value_id]], Tabelle18[[#This Row],[value_id]], Tabelle5[[#This Row],[value_present]],"1")</f>
        <v>0</v>
      </c>
    </row>
    <row r="310" spans="1:5" x14ac:dyDescent="0.25">
      <c r="A310">
        <v>18</v>
      </c>
      <c r="B310" t="s">
        <v>69</v>
      </c>
      <c r="C310" s="54">
        <f>IF(Tabelle18[[#This Row],[binding_level_company]]&gt;=1,1,0)</f>
        <v>0</v>
      </c>
      <c r="D310" s="54">
        <f>_xlfn.MAXIFS(Tabelle5[[#This Row],[binding_level]], Tabelle5[[#This Row],[company_id]],Tabelle18[[#This Row],[company_id]], Tabelle5[[#This Row],[value_id]], Tabelle18[[#This Row],[value_id]], Tabelle5[[#This Row],[value_present]],"1")</f>
        <v>0</v>
      </c>
      <c r="E310" s="54">
        <f>_xlfn.MAXIFS(Tabelle5[[#This Row],[value_points]], Tabelle5[[#This Row],[company_id]],Tabelle18[[#This Row],[company_id]], Tabelle5[[#This Row],[value_id]], Tabelle18[[#This Row],[value_id]], Tabelle5[[#This Row],[value_present]],"1")</f>
        <v>0</v>
      </c>
    </row>
    <row r="311" spans="1:5" x14ac:dyDescent="0.25">
      <c r="A311">
        <v>18</v>
      </c>
      <c r="B311" t="s">
        <v>76</v>
      </c>
      <c r="C311" s="54">
        <f>IF(Tabelle18[[#This Row],[binding_level_company]]&gt;=1,1,0)</f>
        <v>0</v>
      </c>
      <c r="D311" s="54">
        <f>_xlfn.MAXIFS(Tabelle5[[#This Row],[binding_level]], Tabelle5[[#This Row],[company_id]],Tabelle18[[#This Row],[company_id]], Tabelle5[[#This Row],[value_id]], Tabelle18[[#This Row],[value_id]], Tabelle5[[#This Row],[value_present]],"1")</f>
        <v>0</v>
      </c>
      <c r="E311" s="54">
        <f>_xlfn.MAXIFS(Tabelle5[[#This Row],[value_points]], Tabelle5[[#This Row],[company_id]],Tabelle18[[#This Row],[company_id]], Tabelle5[[#This Row],[value_id]], Tabelle18[[#This Row],[value_id]], Tabelle5[[#This Row],[value_present]],"1")</f>
        <v>0</v>
      </c>
    </row>
    <row r="312" spans="1:5" x14ac:dyDescent="0.25">
      <c r="A312">
        <v>18</v>
      </c>
      <c r="B312" t="s">
        <v>83</v>
      </c>
      <c r="C312" s="54">
        <f>IF(Tabelle18[[#This Row],[binding_level_company]]&gt;=1,1,0)</f>
        <v>0</v>
      </c>
      <c r="D312" s="54">
        <f>_xlfn.MAXIFS(Tabelle5[[#This Row],[binding_level]], Tabelle5[[#This Row],[company_id]],Tabelle18[[#This Row],[company_id]], Tabelle5[[#This Row],[value_id]], Tabelle18[[#This Row],[value_id]], Tabelle5[[#This Row],[value_present]],"1")</f>
        <v>0</v>
      </c>
      <c r="E312" s="54">
        <f>_xlfn.MAXIFS(Tabelle5[[#This Row],[value_points]], Tabelle5[[#This Row],[company_id]],Tabelle18[[#This Row],[company_id]], Tabelle5[[#This Row],[value_id]], Tabelle18[[#This Row],[value_id]], Tabelle5[[#This Row],[value_present]],"1")</f>
        <v>0</v>
      </c>
    </row>
    <row r="313" spans="1:5" x14ac:dyDescent="0.25">
      <c r="A313">
        <v>18</v>
      </c>
      <c r="B313" t="s">
        <v>90</v>
      </c>
      <c r="C313" s="54">
        <f>IF(Tabelle18[[#This Row],[binding_level_company]]&gt;=1,1,0)</f>
        <v>0</v>
      </c>
      <c r="D313" s="54">
        <f>_xlfn.MAXIFS(Tabelle5[[#This Row],[binding_level]], Tabelle5[[#This Row],[company_id]],Tabelle18[[#This Row],[company_id]], Tabelle5[[#This Row],[value_id]], Tabelle18[[#This Row],[value_id]], Tabelle5[[#This Row],[value_present]],"1")</f>
        <v>0</v>
      </c>
      <c r="E313" s="54">
        <f>_xlfn.MAXIFS(Tabelle5[[#This Row],[value_points]], Tabelle5[[#This Row],[company_id]],Tabelle18[[#This Row],[company_id]], Tabelle5[[#This Row],[value_id]], Tabelle18[[#This Row],[value_id]], Tabelle5[[#This Row],[value_present]],"1")</f>
        <v>0</v>
      </c>
    </row>
    <row r="314" spans="1:5" x14ac:dyDescent="0.25">
      <c r="A314">
        <v>18</v>
      </c>
      <c r="B314" t="s">
        <v>98</v>
      </c>
      <c r="C314" s="54">
        <f>IF(Tabelle18[[#This Row],[binding_level_company]]&gt;=1,1,0)</f>
        <v>0</v>
      </c>
      <c r="D314" s="54">
        <f>_xlfn.MAXIFS(Tabelle5[[#This Row],[binding_level]], Tabelle5[[#This Row],[company_id]],Tabelle18[[#This Row],[company_id]], Tabelle5[[#This Row],[value_id]], Tabelle18[[#This Row],[value_id]], Tabelle5[[#This Row],[value_present]],"1")</f>
        <v>0</v>
      </c>
      <c r="E314" s="54">
        <f>_xlfn.MAXIFS(Tabelle5[[#This Row],[value_points]], Tabelle5[[#This Row],[company_id]],Tabelle18[[#This Row],[company_id]], Tabelle5[[#This Row],[value_id]], Tabelle18[[#This Row],[value_id]], Tabelle5[[#This Row],[value_present]],"1")</f>
        <v>0</v>
      </c>
    </row>
    <row r="315" spans="1:5" x14ac:dyDescent="0.25">
      <c r="A315">
        <v>18</v>
      </c>
      <c r="B315" t="s">
        <v>106</v>
      </c>
      <c r="C315" s="54">
        <f>IF(Tabelle18[[#This Row],[binding_level_company]]&gt;=1,1,0)</f>
        <v>0</v>
      </c>
      <c r="D315" s="54">
        <f>_xlfn.MAXIFS(Tabelle5[[#This Row],[binding_level]], Tabelle5[[#This Row],[company_id]],Tabelle18[[#This Row],[company_id]], Tabelle5[[#This Row],[value_id]], Tabelle18[[#This Row],[value_id]], Tabelle5[[#This Row],[value_present]],"1")</f>
        <v>0</v>
      </c>
      <c r="E315" s="54">
        <f>_xlfn.MAXIFS(Tabelle5[[#This Row],[value_points]], Tabelle5[[#This Row],[company_id]],Tabelle18[[#This Row],[company_id]], Tabelle5[[#This Row],[value_id]], Tabelle18[[#This Row],[value_id]], Tabelle5[[#This Row],[value_present]],"1")</f>
        <v>0</v>
      </c>
    </row>
    <row r="316" spans="1:5" x14ac:dyDescent="0.25">
      <c r="A316">
        <v>18</v>
      </c>
      <c r="B316" t="s">
        <v>112</v>
      </c>
      <c r="C316" s="54">
        <f>IF(Tabelle18[[#This Row],[binding_level_company]]&gt;=1,1,0)</f>
        <v>0</v>
      </c>
      <c r="D316" s="54">
        <f>_xlfn.MAXIFS(Tabelle5[[#This Row],[binding_level]], Tabelle5[[#This Row],[company_id]],Tabelle18[[#This Row],[company_id]], Tabelle5[[#This Row],[value_id]], Tabelle18[[#This Row],[value_id]], Tabelle5[[#This Row],[value_present]],"1")</f>
        <v>0</v>
      </c>
      <c r="E316" s="54">
        <f>_xlfn.MAXIFS(Tabelle5[[#This Row],[value_points]], Tabelle5[[#This Row],[company_id]],Tabelle18[[#This Row],[company_id]], Tabelle5[[#This Row],[value_id]], Tabelle18[[#This Row],[value_id]], Tabelle5[[#This Row],[value_present]],"1")</f>
        <v>0</v>
      </c>
    </row>
    <row r="317" spans="1:5" x14ac:dyDescent="0.25">
      <c r="A317">
        <v>18</v>
      </c>
      <c r="B317" t="s">
        <v>118</v>
      </c>
      <c r="C317" s="54">
        <f>IF(Tabelle18[[#This Row],[binding_level_company]]&gt;=1,1,0)</f>
        <v>0</v>
      </c>
      <c r="D317" s="54">
        <f>_xlfn.MAXIFS(Tabelle5[[#This Row],[binding_level]], Tabelle5[[#This Row],[company_id]],Tabelle18[[#This Row],[company_id]], Tabelle5[[#This Row],[value_id]], Tabelle18[[#This Row],[value_id]], Tabelle5[[#This Row],[value_present]],"1")</f>
        <v>0</v>
      </c>
      <c r="E317" s="54">
        <f>_xlfn.MAXIFS(Tabelle5[[#This Row],[value_points]], Tabelle5[[#This Row],[company_id]],Tabelle18[[#This Row],[company_id]], Tabelle5[[#This Row],[value_id]], Tabelle18[[#This Row],[value_id]], Tabelle5[[#This Row],[value_present]],"1")</f>
        <v>0</v>
      </c>
    </row>
    <row r="318" spans="1:5" x14ac:dyDescent="0.25">
      <c r="A318">
        <v>18</v>
      </c>
      <c r="B318" t="s">
        <v>125</v>
      </c>
      <c r="C318" s="54">
        <f>IF(Tabelle18[[#This Row],[binding_level_company]]&gt;=1,1,0)</f>
        <v>0</v>
      </c>
      <c r="D318" s="54">
        <f>_xlfn.MAXIFS(Tabelle5[[#This Row],[binding_level]], Tabelle5[[#This Row],[company_id]],Tabelle18[[#This Row],[company_id]], Tabelle5[[#This Row],[value_id]], Tabelle18[[#This Row],[value_id]], Tabelle5[[#This Row],[value_present]],"1")</f>
        <v>0</v>
      </c>
      <c r="E318" s="54">
        <f>_xlfn.MAXIFS(Tabelle5[[#This Row],[value_points]], Tabelle5[[#This Row],[company_id]],Tabelle18[[#This Row],[company_id]], Tabelle5[[#This Row],[value_id]], Tabelle18[[#This Row],[value_id]], Tabelle5[[#This Row],[value_present]],"1")</f>
        <v>0</v>
      </c>
    </row>
    <row r="319" spans="1:5" x14ac:dyDescent="0.25">
      <c r="A319">
        <v>18</v>
      </c>
      <c r="B319" t="s">
        <v>132</v>
      </c>
      <c r="C319" s="54">
        <f>IF(Tabelle18[[#This Row],[binding_level_company]]&gt;=1,1,0)</f>
        <v>0</v>
      </c>
      <c r="D319" s="54">
        <f>_xlfn.MAXIFS(Tabelle5[[#This Row],[binding_level]], Tabelle5[[#This Row],[company_id]],Tabelle18[[#This Row],[company_id]], Tabelle5[[#This Row],[value_id]], Tabelle18[[#This Row],[value_id]], Tabelle5[[#This Row],[value_present]],"1")</f>
        <v>0</v>
      </c>
      <c r="E319" s="54">
        <f>_xlfn.MAXIFS(Tabelle5[[#This Row],[value_points]], Tabelle5[[#This Row],[company_id]],Tabelle18[[#This Row],[company_id]], Tabelle5[[#This Row],[value_id]], Tabelle18[[#This Row],[value_id]], Tabelle5[[#This Row],[value_present]],"1")</f>
        <v>0</v>
      </c>
    </row>
    <row r="320" spans="1:5" x14ac:dyDescent="0.25">
      <c r="A320">
        <v>18</v>
      </c>
      <c r="B320" t="s">
        <v>140</v>
      </c>
      <c r="C320" s="54">
        <f>IF(Tabelle18[[#This Row],[binding_level_company]]&gt;=1,1,0)</f>
        <v>0</v>
      </c>
      <c r="D320" s="54">
        <f>_xlfn.MAXIFS(Tabelle5[[#This Row],[binding_level]], Tabelle5[[#This Row],[company_id]],Tabelle18[[#This Row],[company_id]], Tabelle5[[#This Row],[value_id]], Tabelle18[[#This Row],[value_id]], Tabelle5[[#This Row],[value_present]],"1")</f>
        <v>0</v>
      </c>
      <c r="E320" s="54">
        <f>_xlfn.MAXIFS(Tabelle5[[#This Row],[value_points]], Tabelle5[[#This Row],[company_id]],Tabelle18[[#This Row],[company_id]], Tabelle5[[#This Row],[value_id]], Tabelle18[[#This Row],[value_id]], Tabelle5[[#This Row],[value_present]],"1")</f>
        <v>0</v>
      </c>
    </row>
    <row r="321" spans="1:5" x14ac:dyDescent="0.25">
      <c r="A321">
        <v>18</v>
      </c>
      <c r="B321" t="s">
        <v>147</v>
      </c>
      <c r="C321" s="54">
        <f>IF(Tabelle18[[#This Row],[binding_level_company]]&gt;=1,1,0)</f>
        <v>0</v>
      </c>
      <c r="D321" s="54">
        <f>_xlfn.MAXIFS(Tabelle5[[#This Row],[binding_level]], Tabelle5[[#This Row],[company_id]],Tabelle18[[#This Row],[company_id]], Tabelle5[[#This Row],[value_id]], Tabelle18[[#This Row],[value_id]], Tabelle5[[#This Row],[value_present]],"1")</f>
        <v>0</v>
      </c>
      <c r="E321" s="54">
        <f>_xlfn.MAXIFS(Tabelle5[[#This Row],[value_points]], Tabelle5[[#This Row],[company_id]],Tabelle18[[#This Row],[company_id]], Tabelle5[[#This Row],[value_id]], Tabelle18[[#This Row],[value_id]], Tabelle5[[#This Row],[value_present]],"1")</f>
        <v>0</v>
      </c>
    </row>
    <row r="322" spans="1:5" x14ac:dyDescent="0.25">
      <c r="A322">
        <v>18</v>
      </c>
      <c r="B322" t="s">
        <v>154</v>
      </c>
      <c r="C322" s="54">
        <f>IF(Tabelle18[[#This Row],[binding_level_company]]&gt;=1,1,0)</f>
        <v>0</v>
      </c>
      <c r="D322" s="54">
        <f>_xlfn.MAXIFS(Tabelle5[[#This Row],[binding_level]], Tabelle5[[#This Row],[company_id]],Tabelle18[[#This Row],[company_id]], Tabelle5[[#This Row],[value_id]], Tabelle18[[#This Row],[value_id]], Tabelle5[[#This Row],[value_present]],"1")</f>
        <v>0</v>
      </c>
      <c r="E322" s="54">
        <f>_xlfn.MAXIFS(Tabelle5[[#This Row],[value_points]], Tabelle5[[#This Row],[company_id]],Tabelle18[[#This Row],[company_id]], Tabelle5[[#This Row],[value_id]], Tabelle18[[#This Row],[value_id]], Tabelle5[[#This Row],[value_present]],"1")</f>
        <v>0</v>
      </c>
    </row>
    <row r="323" spans="1:5" x14ac:dyDescent="0.25">
      <c r="A323">
        <v>18</v>
      </c>
      <c r="B323" t="s">
        <v>161</v>
      </c>
      <c r="C323" s="54">
        <f>IF(Tabelle18[[#This Row],[binding_level_company]]&gt;=1,1,0)</f>
        <v>0</v>
      </c>
      <c r="D323" s="54">
        <f>_xlfn.MAXIFS(Tabelle5[[#This Row],[binding_level]], Tabelle5[[#This Row],[company_id]],Tabelle18[[#This Row],[company_id]], Tabelle5[[#This Row],[value_id]], Tabelle18[[#This Row],[value_id]], Tabelle5[[#This Row],[value_present]],"1")</f>
        <v>0</v>
      </c>
      <c r="E323" s="54">
        <f>_xlfn.MAXIFS(Tabelle5[[#This Row],[value_points]], Tabelle5[[#This Row],[company_id]],Tabelle18[[#This Row],[company_id]], Tabelle5[[#This Row],[value_id]], Tabelle18[[#This Row],[value_id]], Tabelle5[[#This Row],[value_present]],"1")</f>
        <v>0</v>
      </c>
    </row>
    <row r="324" spans="1:5" x14ac:dyDescent="0.25">
      <c r="A324">
        <v>18</v>
      </c>
      <c r="B324" t="s">
        <v>166</v>
      </c>
      <c r="C324" s="54">
        <f>IF(Tabelle18[[#This Row],[binding_level_company]]&gt;=1,1,0)</f>
        <v>0</v>
      </c>
      <c r="D324" s="54">
        <f>_xlfn.MAXIFS(Tabelle5[[#This Row],[binding_level]], Tabelle5[[#This Row],[company_id]],Tabelle18[[#This Row],[company_id]], Tabelle5[[#This Row],[value_id]], Tabelle18[[#This Row],[value_id]], Tabelle5[[#This Row],[value_present]],"1")</f>
        <v>0</v>
      </c>
      <c r="E324" s="54">
        <f>_xlfn.MAXIFS(Tabelle5[[#This Row],[value_points]], Tabelle5[[#This Row],[company_id]],Tabelle18[[#This Row],[company_id]], Tabelle5[[#This Row],[value_id]], Tabelle18[[#This Row],[value_id]], Tabelle5[[#This Row],[value_present]],"1")</f>
        <v>0</v>
      </c>
    </row>
    <row r="325" spans="1:5" ht="15.75" thickBot="1" x14ac:dyDescent="0.3">
      <c r="A325">
        <v>18</v>
      </c>
      <c r="B325" s="30" t="s">
        <v>174</v>
      </c>
      <c r="C325" s="54">
        <f>IF(Tabelle18[[#This Row],[binding_level_company]]&gt;=1,1,0)</f>
        <v>0</v>
      </c>
      <c r="D325" s="54">
        <f>_xlfn.MAXIFS(Tabelle5[[#This Row],[binding_level]], Tabelle5[[#This Row],[company_id]],Tabelle18[[#This Row],[company_id]], Tabelle5[[#This Row],[value_id]], Tabelle18[[#This Row],[value_id]], Tabelle5[[#This Row],[value_present]],"1")</f>
        <v>0</v>
      </c>
      <c r="E325" s="54">
        <f>_xlfn.MAXIFS(Tabelle5[[#This Row],[value_points]], Tabelle5[[#This Row],[company_id]],Tabelle18[[#This Row],[company_id]], Tabelle5[[#This Row],[value_id]], Tabelle18[[#This Row],[value_id]], Tabelle5[[#This Row],[value_present]],"1")</f>
        <v>0</v>
      </c>
    </row>
    <row r="326" spans="1:5" x14ac:dyDescent="0.25">
      <c r="A326">
        <v>19</v>
      </c>
      <c r="B326" s="22" t="s">
        <v>53</v>
      </c>
      <c r="C326" s="54">
        <f>IF(Tabelle18[[#This Row],[binding_level_company]]&gt;=1,1,0)</f>
        <v>0</v>
      </c>
      <c r="D326" s="54">
        <f>_xlfn.MAXIFS(Tabelle5[[#This Row],[binding_level]], Tabelle5[[#This Row],[company_id]],Tabelle18[[#This Row],[company_id]], Tabelle5[[#This Row],[value_id]], Tabelle18[[#This Row],[value_id]], Tabelle5[[#This Row],[value_present]],"1")</f>
        <v>0</v>
      </c>
      <c r="E326" s="54">
        <f>_xlfn.MAXIFS(Tabelle5[[#This Row],[value_points]], Tabelle5[[#This Row],[company_id]],Tabelle18[[#This Row],[company_id]], Tabelle5[[#This Row],[value_id]], Tabelle18[[#This Row],[value_id]], Tabelle5[[#This Row],[value_present]],"1")</f>
        <v>0</v>
      </c>
    </row>
    <row r="327" spans="1:5" x14ac:dyDescent="0.25">
      <c r="A327">
        <v>19</v>
      </c>
      <c r="B327" t="s">
        <v>61</v>
      </c>
      <c r="C327" s="54">
        <f>IF(Tabelle18[[#This Row],[binding_level_company]]&gt;=1,1,0)</f>
        <v>0</v>
      </c>
      <c r="D327" s="54">
        <f>_xlfn.MAXIFS(Tabelle5[[#This Row],[binding_level]], Tabelle5[[#This Row],[company_id]],Tabelle18[[#This Row],[company_id]], Tabelle5[[#This Row],[value_id]], Tabelle18[[#This Row],[value_id]], Tabelle5[[#This Row],[value_present]],"1")</f>
        <v>0</v>
      </c>
      <c r="E327" s="54">
        <f>_xlfn.MAXIFS(Tabelle5[[#This Row],[value_points]], Tabelle5[[#This Row],[company_id]],Tabelle18[[#This Row],[company_id]], Tabelle5[[#This Row],[value_id]], Tabelle18[[#This Row],[value_id]], Tabelle5[[#This Row],[value_present]],"1")</f>
        <v>0</v>
      </c>
    </row>
    <row r="328" spans="1:5" x14ac:dyDescent="0.25">
      <c r="A328">
        <v>19</v>
      </c>
      <c r="B328" t="s">
        <v>69</v>
      </c>
      <c r="C328" s="54">
        <f>IF(Tabelle18[[#This Row],[binding_level_company]]&gt;=1,1,0)</f>
        <v>0</v>
      </c>
      <c r="D328" s="54">
        <f>_xlfn.MAXIFS(Tabelle5[[#This Row],[binding_level]], Tabelle5[[#This Row],[company_id]],Tabelle18[[#This Row],[company_id]], Tabelle5[[#This Row],[value_id]], Tabelle18[[#This Row],[value_id]], Tabelle5[[#This Row],[value_present]],"1")</f>
        <v>0</v>
      </c>
      <c r="E328" s="54">
        <f>_xlfn.MAXIFS(Tabelle5[[#This Row],[value_points]], Tabelle5[[#This Row],[company_id]],Tabelle18[[#This Row],[company_id]], Tabelle5[[#This Row],[value_id]], Tabelle18[[#This Row],[value_id]], Tabelle5[[#This Row],[value_present]],"1")</f>
        <v>0</v>
      </c>
    </row>
    <row r="329" spans="1:5" x14ac:dyDescent="0.25">
      <c r="A329">
        <v>19</v>
      </c>
      <c r="B329" t="s">
        <v>76</v>
      </c>
      <c r="C329" s="54">
        <f>IF(Tabelle18[[#This Row],[binding_level_company]]&gt;=1,1,0)</f>
        <v>0</v>
      </c>
      <c r="D329" s="54">
        <f>_xlfn.MAXIFS(Tabelle5[[#This Row],[binding_level]], Tabelle5[[#This Row],[company_id]],Tabelle18[[#This Row],[company_id]], Tabelle5[[#This Row],[value_id]], Tabelle18[[#This Row],[value_id]], Tabelle5[[#This Row],[value_present]],"1")</f>
        <v>0</v>
      </c>
      <c r="E329" s="54">
        <f>_xlfn.MAXIFS(Tabelle5[[#This Row],[value_points]], Tabelle5[[#This Row],[company_id]],Tabelle18[[#This Row],[company_id]], Tabelle5[[#This Row],[value_id]], Tabelle18[[#This Row],[value_id]], Tabelle5[[#This Row],[value_present]],"1")</f>
        <v>0</v>
      </c>
    </row>
    <row r="330" spans="1:5" x14ac:dyDescent="0.25">
      <c r="A330">
        <v>19</v>
      </c>
      <c r="B330" t="s">
        <v>83</v>
      </c>
      <c r="C330" s="54">
        <f>IF(Tabelle18[[#This Row],[binding_level_company]]&gt;=1,1,0)</f>
        <v>0</v>
      </c>
      <c r="D330" s="54">
        <f>_xlfn.MAXIFS(Tabelle5[[#This Row],[binding_level]], Tabelle5[[#This Row],[company_id]],Tabelle18[[#This Row],[company_id]], Tabelle5[[#This Row],[value_id]], Tabelle18[[#This Row],[value_id]], Tabelle5[[#This Row],[value_present]],"1")</f>
        <v>0</v>
      </c>
      <c r="E330" s="54">
        <f>_xlfn.MAXIFS(Tabelle5[[#This Row],[value_points]], Tabelle5[[#This Row],[company_id]],Tabelle18[[#This Row],[company_id]], Tabelle5[[#This Row],[value_id]], Tabelle18[[#This Row],[value_id]], Tabelle5[[#This Row],[value_present]],"1")</f>
        <v>0</v>
      </c>
    </row>
    <row r="331" spans="1:5" x14ac:dyDescent="0.25">
      <c r="A331">
        <v>19</v>
      </c>
      <c r="B331" t="s">
        <v>90</v>
      </c>
      <c r="C331" s="54">
        <f>IF(Tabelle18[[#This Row],[binding_level_company]]&gt;=1,1,0)</f>
        <v>0</v>
      </c>
      <c r="D331" s="54">
        <f>_xlfn.MAXIFS(Tabelle5[[#This Row],[binding_level]], Tabelle5[[#This Row],[company_id]],Tabelle18[[#This Row],[company_id]], Tabelle5[[#This Row],[value_id]], Tabelle18[[#This Row],[value_id]], Tabelle5[[#This Row],[value_present]],"1")</f>
        <v>0</v>
      </c>
      <c r="E331" s="54">
        <f>_xlfn.MAXIFS(Tabelle5[[#This Row],[value_points]], Tabelle5[[#This Row],[company_id]],Tabelle18[[#This Row],[company_id]], Tabelle5[[#This Row],[value_id]], Tabelle18[[#This Row],[value_id]], Tabelle5[[#This Row],[value_present]],"1")</f>
        <v>0</v>
      </c>
    </row>
    <row r="332" spans="1:5" x14ac:dyDescent="0.25">
      <c r="A332">
        <v>19</v>
      </c>
      <c r="B332" t="s">
        <v>98</v>
      </c>
      <c r="C332" s="54">
        <f>IF(Tabelle18[[#This Row],[binding_level_company]]&gt;=1,1,0)</f>
        <v>0</v>
      </c>
      <c r="D332" s="54">
        <f>_xlfn.MAXIFS(Tabelle5[[#This Row],[binding_level]], Tabelle5[[#This Row],[company_id]],Tabelle18[[#This Row],[company_id]], Tabelle5[[#This Row],[value_id]], Tabelle18[[#This Row],[value_id]], Tabelle5[[#This Row],[value_present]],"1")</f>
        <v>0</v>
      </c>
      <c r="E332" s="54">
        <f>_xlfn.MAXIFS(Tabelle5[[#This Row],[value_points]], Tabelle5[[#This Row],[company_id]],Tabelle18[[#This Row],[company_id]], Tabelle5[[#This Row],[value_id]], Tabelle18[[#This Row],[value_id]], Tabelle5[[#This Row],[value_present]],"1")</f>
        <v>0</v>
      </c>
    </row>
    <row r="333" spans="1:5" x14ac:dyDescent="0.25">
      <c r="A333">
        <v>19</v>
      </c>
      <c r="B333" t="s">
        <v>106</v>
      </c>
      <c r="C333" s="54">
        <f>IF(Tabelle18[[#This Row],[binding_level_company]]&gt;=1,1,0)</f>
        <v>0</v>
      </c>
      <c r="D333" s="54">
        <f>_xlfn.MAXIFS(Tabelle5[[#This Row],[binding_level]], Tabelle5[[#This Row],[company_id]],Tabelle18[[#This Row],[company_id]], Tabelle5[[#This Row],[value_id]], Tabelle18[[#This Row],[value_id]], Tabelle5[[#This Row],[value_present]],"1")</f>
        <v>0</v>
      </c>
      <c r="E333" s="54">
        <f>_xlfn.MAXIFS(Tabelle5[[#This Row],[value_points]], Tabelle5[[#This Row],[company_id]],Tabelle18[[#This Row],[company_id]], Tabelle5[[#This Row],[value_id]], Tabelle18[[#This Row],[value_id]], Tabelle5[[#This Row],[value_present]],"1")</f>
        <v>0</v>
      </c>
    </row>
    <row r="334" spans="1:5" x14ac:dyDescent="0.25">
      <c r="A334">
        <v>19</v>
      </c>
      <c r="B334" t="s">
        <v>112</v>
      </c>
      <c r="C334" s="54">
        <f>IF(Tabelle18[[#This Row],[binding_level_company]]&gt;=1,1,0)</f>
        <v>0</v>
      </c>
      <c r="D334" s="54">
        <f>_xlfn.MAXIFS(Tabelle5[[#This Row],[binding_level]], Tabelle5[[#This Row],[company_id]],Tabelle18[[#This Row],[company_id]], Tabelle5[[#This Row],[value_id]], Tabelle18[[#This Row],[value_id]], Tabelle5[[#This Row],[value_present]],"1")</f>
        <v>0</v>
      </c>
      <c r="E334" s="54">
        <f>_xlfn.MAXIFS(Tabelle5[[#This Row],[value_points]], Tabelle5[[#This Row],[company_id]],Tabelle18[[#This Row],[company_id]], Tabelle5[[#This Row],[value_id]], Tabelle18[[#This Row],[value_id]], Tabelle5[[#This Row],[value_present]],"1")</f>
        <v>0</v>
      </c>
    </row>
    <row r="335" spans="1:5" x14ac:dyDescent="0.25">
      <c r="A335">
        <v>19</v>
      </c>
      <c r="B335" t="s">
        <v>118</v>
      </c>
      <c r="C335" s="54">
        <f>IF(Tabelle18[[#This Row],[binding_level_company]]&gt;=1,1,0)</f>
        <v>0</v>
      </c>
      <c r="D335" s="54">
        <f>_xlfn.MAXIFS(Tabelle5[[#This Row],[binding_level]], Tabelle5[[#This Row],[company_id]],Tabelle18[[#This Row],[company_id]], Tabelle5[[#This Row],[value_id]], Tabelle18[[#This Row],[value_id]], Tabelle5[[#This Row],[value_present]],"1")</f>
        <v>0</v>
      </c>
      <c r="E335" s="54">
        <f>_xlfn.MAXIFS(Tabelle5[[#This Row],[value_points]], Tabelle5[[#This Row],[company_id]],Tabelle18[[#This Row],[company_id]], Tabelle5[[#This Row],[value_id]], Tabelle18[[#This Row],[value_id]], Tabelle5[[#This Row],[value_present]],"1")</f>
        <v>0</v>
      </c>
    </row>
    <row r="336" spans="1:5" x14ac:dyDescent="0.25">
      <c r="A336">
        <v>19</v>
      </c>
      <c r="B336" t="s">
        <v>125</v>
      </c>
      <c r="C336" s="54">
        <f>IF(Tabelle18[[#This Row],[binding_level_company]]&gt;=1,1,0)</f>
        <v>0</v>
      </c>
      <c r="D336" s="54">
        <f>_xlfn.MAXIFS(Tabelle5[[#This Row],[binding_level]], Tabelle5[[#This Row],[company_id]],Tabelle18[[#This Row],[company_id]], Tabelle5[[#This Row],[value_id]], Tabelle18[[#This Row],[value_id]], Tabelle5[[#This Row],[value_present]],"1")</f>
        <v>0</v>
      </c>
      <c r="E336" s="54">
        <f>_xlfn.MAXIFS(Tabelle5[[#This Row],[value_points]], Tabelle5[[#This Row],[company_id]],Tabelle18[[#This Row],[company_id]], Tabelle5[[#This Row],[value_id]], Tabelle18[[#This Row],[value_id]], Tabelle5[[#This Row],[value_present]],"1")</f>
        <v>0</v>
      </c>
    </row>
    <row r="337" spans="1:5" x14ac:dyDescent="0.25">
      <c r="A337">
        <v>19</v>
      </c>
      <c r="B337" t="s">
        <v>132</v>
      </c>
      <c r="C337" s="54">
        <f>IF(Tabelle18[[#This Row],[binding_level_company]]&gt;=1,1,0)</f>
        <v>0</v>
      </c>
      <c r="D337" s="54">
        <f>_xlfn.MAXIFS(Tabelle5[[#This Row],[binding_level]], Tabelle5[[#This Row],[company_id]],Tabelle18[[#This Row],[company_id]], Tabelle5[[#This Row],[value_id]], Tabelle18[[#This Row],[value_id]], Tabelle5[[#This Row],[value_present]],"1")</f>
        <v>0</v>
      </c>
      <c r="E337" s="54">
        <f>_xlfn.MAXIFS(Tabelle5[[#This Row],[value_points]], Tabelle5[[#This Row],[company_id]],Tabelle18[[#This Row],[company_id]], Tabelle5[[#This Row],[value_id]], Tabelle18[[#This Row],[value_id]], Tabelle5[[#This Row],[value_present]],"1")</f>
        <v>0</v>
      </c>
    </row>
    <row r="338" spans="1:5" x14ac:dyDescent="0.25">
      <c r="A338">
        <v>19</v>
      </c>
      <c r="B338" t="s">
        <v>140</v>
      </c>
      <c r="C338" s="54">
        <f>IF(Tabelle18[[#This Row],[binding_level_company]]&gt;=1,1,0)</f>
        <v>0</v>
      </c>
      <c r="D338" s="54">
        <f>_xlfn.MAXIFS(Tabelle5[[#This Row],[binding_level]], Tabelle5[[#This Row],[company_id]],Tabelle18[[#This Row],[company_id]], Tabelle5[[#This Row],[value_id]], Tabelle18[[#This Row],[value_id]], Tabelle5[[#This Row],[value_present]],"1")</f>
        <v>0</v>
      </c>
      <c r="E338" s="54">
        <f>_xlfn.MAXIFS(Tabelle5[[#This Row],[value_points]], Tabelle5[[#This Row],[company_id]],Tabelle18[[#This Row],[company_id]], Tabelle5[[#This Row],[value_id]], Tabelle18[[#This Row],[value_id]], Tabelle5[[#This Row],[value_present]],"1")</f>
        <v>0</v>
      </c>
    </row>
    <row r="339" spans="1:5" x14ac:dyDescent="0.25">
      <c r="A339">
        <v>19</v>
      </c>
      <c r="B339" t="s">
        <v>147</v>
      </c>
      <c r="C339" s="54">
        <f>IF(Tabelle18[[#This Row],[binding_level_company]]&gt;=1,1,0)</f>
        <v>0</v>
      </c>
      <c r="D339" s="54">
        <f>_xlfn.MAXIFS(Tabelle5[[#This Row],[binding_level]], Tabelle5[[#This Row],[company_id]],Tabelle18[[#This Row],[company_id]], Tabelle5[[#This Row],[value_id]], Tabelle18[[#This Row],[value_id]], Tabelle5[[#This Row],[value_present]],"1")</f>
        <v>0</v>
      </c>
      <c r="E339" s="54">
        <f>_xlfn.MAXIFS(Tabelle5[[#This Row],[value_points]], Tabelle5[[#This Row],[company_id]],Tabelle18[[#This Row],[company_id]], Tabelle5[[#This Row],[value_id]], Tabelle18[[#This Row],[value_id]], Tabelle5[[#This Row],[value_present]],"1")</f>
        <v>0</v>
      </c>
    </row>
    <row r="340" spans="1:5" x14ac:dyDescent="0.25">
      <c r="A340">
        <v>19</v>
      </c>
      <c r="B340" t="s">
        <v>154</v>
      </c>
      <c r="C340" s="54">
        <f>IF(Tabelle18[[#This Row],[binding_level_company]]&gt;=1,1,0)</f>
        <v>0</v>
      </c>
      <c r="D340" s="54">
        <f>_xlfn.MAXIFS(Tabelle5[[#This Row],[binding_level]], Tabelle5[[#This Row],[company_id]],Tabelle18[[#This Row],[company_id]], Tabelle5[[#This Row],[value_id]], Tabelle18[[#This Row],[value_id]], Tabelle5[[#This Row],[value_present]],"1")</f>
        <v>0</v>
      </c>
      <c r="E340" s="54">
        <f>_xlfn.MAXIFS(Tabelle5[[#This Row],[value_points]], Tabelle5[[#This Row],[company_id]],Tabelle18[[#This Row],[company_id]], Tabelle5[[#This Row],[value_id]], Tabelle18[[#This Row],[value_id]], Tabelle5[[#This Row],[value_present]],"1")</f>
        <v>0</v>
      </c>
    </row>
    <row r="341" spans="1:5" x14ac:dyDescent="0.25">
      <c r="A341">
        <v>19</v>
      </c>
      <c r="B341" t="s">
        <v>161</v>
      </c>
      <c r="C341" s="54">
        <f>IF(Tabelle18[[#This Row],[binding_level_company]]&gt;=1,1,0)</f>
        <v>0</v>
      </c>
      <c r="D341" s="54">
        <f>_xlfn.MAXIFS(Tabelle5[[#This Row],[binding_level]], Tabelle5[[#This Row],[company_id]],Tabelle18[[#This Row],[company_id]], Tabelle5[[#This Row],[value_id]], Tabelle18[[#This Row],[value_id]], Tabelle5[[#This Row],[value_present]],"1")</f>
        <v>0</v>
      </c>
      <c r="E341" s="54">
        <f>_xlfn.MAXIFS(Tabelle5[[#This Row],[value_points]], Tabelle5[[#This Row],[company_id]],Tabelle18[[#This Row],[company_id]], Tabelle5[[#This Row],[value_id]], Tabelle18[[#This Row],[value_id]], Tabelle5[[#This Row],[value_present]],"1")</f>
        <v>0</v>
      </c>
    </row>
    <row r="342" spans="1:5" x14ac:dyDescent="0.25">
      <c r="A342">
        <v>19</v>
      </c>
      <c r="B342" t="s">
        <v>166</v>
      </c>
      <c r="C342" s="54">
        <f>IF(Tabelle18[[#This Row],[binding_level_company]]&gt;=1,1,0)</f>
        <v>0</v>
      </c>
      <c r="D342" s="54">
        <f>_xlfn.MAXIFS(Tabelle5[[#This Row],[binding_level]], Tabelle5[[#This Row],[company_id]],Tabelle18[[#This Row],[company_id]], Tabelle5[[#This Row],[value_id]], Tabelle18[[#This Row],[value_id]], Tabelle5[[#This Row],[value_present]],"1")</f>
        <v>0</v>
      </c>
      <c r="E342" s="54">
        <f>_xlfn.MAXIFS(Tabelle5[[#This Row],[value_points]], Tabelle5[[#This Row],[company_id]],Tabelle18[[#This Row],[company_id]], Tabelle5[[#This Row],[value_id]], Tabelle18[[#This Row],[value_id]], Tabelle5[[#This Row],[value_present]],"1")</f>
        <v>0</v>
      </c>
    </row>
    <row r="343" spans="1:5" ht="15.75" thickBot="1" x14ac:dyDescent="0.3">
      <c r="A343">
        <v>19</v>
      </c>
      <c r="B343" s="30" t="s">
        <v>174</v>
      </c>
      <c r="C343" s="54">
        <f>IF(Tabelle18[[#This Row],[binding_level_company]]&gt;=1,1,0)</f>
        <v>0</v>
      </c>
      <c r="D343" s="54">
        <f>_xlfn.MAXIFS(Tabelle5[[#This Row],[binding_level]], Tabelle5[[#This Row],[company_id]],Tabelle18[[#This Row],[company_id]], Tabelle5[[#This Row],[value_id]], Tabelle18[[#This Row],[value_id]], Tabelle5[[#This Row],[value_present]],"1")</f>
        <v>0</v>
      </c>
      <c r="E343" s="54">
        <f>_xlfn.MAXIFS(Tabelle5[[#This Row],[value_points]], Tabelle5[[#This Row],[company_id]],Tabelle18[[#This Row],[company_id]], Tabelle5[[#This Row],[value_id]], Tabelle18[[#This Row],[value_id]], Tabelle5[[#This Row],[value_present]],"1")</f>
        <v>0</v>
      </c>
    </row>
    <row r="344" spans="1:5" x14ac:dyDescent="0.25">
      <c r="A344">
        <v>20</v>
      </c>
      <c r="B344" s="22" t="s">
        <v>53</v>
      </c>
      <c r="C344" s="54">
        <f>IF(Tabelle18[[#This Row],[binding_level_company]]&gt;=1,1,0)</f>
        <v>0</v>
      </c>
      <c r="D344" s="54">
        <f>_xlfn.MAXIFS(Tabelle5[[#This Row],[binding_level]], Tabelle5[[#This Row],[company_id]],Tabelle18[[#This Row],[company_id]], Tabelle5[[#This Row],[value_id]], Tabelle18[[#This Row],[value_id]], Tabelle5[[#This Row],[value_present]],"1")</f>
        <v>0</v>
      </c>
      <c r="E344" s="54">
        <f>_xlfn.MAXIFS(Tabelle5[[#This Row],[value_points]], Tabelle5[[#This Row],[company_id]],Tabelle18[[#This Row],[company_id]], Tabelle5[[#This Row],[value_id]], Tabelle18[[#This Row],[value_id]], Tabelle5[[#This Row],[value_present]],"1")</f>
        <v>0</v>
      </c>
    </row>
    <row r="345" spans="1:5" x14ac:dyDescent="0.25">
      <c r="A345">
        <v>20</v>
      </c>
      <c r="B345" t="s">
        <v>61</v>
      </c>
      <c r="C345" s="54">
        <f>IF(Tabelle18[[#This Row],[binding_level_company]]&gt;=1,1,0)</f>
        <v>0</v>
      </c>
      <c r="D345" s="54">
        <f>_xlfn.MAXIFS(Tabelle5[[#This Row],[binding_level]], Tabelle5[[#This Row],[company_id]],Tabelle18[[#This Row],[company_id]], Tabelle5[[#This Row],[value_id]], Tabelle18[[#This Row],[value_id]], Tabelle5[[#This Row],[value_present]],"1")</f>
        <v>0</v>
      </c>
      <c r="E345" s="54">
        <f>_xlfn.MAXIFS(Tabelle5[[#This Row],[value_points]], Tabelle5[[#This Row],[company_id]],Tabelle18[[#This Row],[company_id]], Tabelle5[[#This Row],[value_id]], Tabelle18[[#This Row],[value_id]], Tabelle5[[#This Row],[value_present]],"1")</f>
        <v>0</v>
      </c>
    </row>
    <row r="346" spans="1:5" x14ac:dyDescent="0.25">
      <c r="A346">
        <v>20</v>
      </c>
      <c r="B346" t="s">
        <v>69</v>
      </c>
      <c r="C346" s="54">
        <f>IF(Tabelle18[[#This Row],[binding_level_company]]&gt;=1,1,0)</f>
        <v>0</v>
      </c>
      <c r="D346" s="54">
        <f>_xlfn.MAXIFS(Tabelle5[[#This Row],[binding_level]], Tabelle5[[#This Row],[company_id]],Tabelle18[[#This Row],[company_id]], Tabelle5[[#This Row],[value_id]], Tabelle18[[#This Row],[value_id]], Tabelle5[[#This Row],[value_present]],"1")</f>
        <v>0</v>
      </c>
      <c r="E346" s="54">
        <f>_xlfn.MAXIFS(Tabelle5[[#This Row],[value_points]], Tabelle5[[#This Row],[company_id]],Tabelle18[[#This Row],[company_id]], Tabelle5[[#This Row],[value_id]], Tabelle18[[#This Row],[value_id]], Tabelle5[[#This Row],[value_present]],"1")</f>
        <v>0</v>
      </c>
    </row>
    <row r="347" spans="1:5" x14ac:dyDescent="0.25">
      <c r="A347">
        <v>20</v>
      </c>
      <c r="B347" t="s">
        <v>76</v>
      </c>
      <c r="C347" s="54">
        <f>IF(Tabelle18[[#This Row],[binding_level_company]]&gt;=1,1,0)</f>
        <v>0</v>
      </c>
      <c r="D347" s="54">
        <f>_xlfn.MAXIFS(Tabelle5[[#This Row],[binding_level]], Tabelle5[[#This Row],[company_id]],Tabelle18[[#This Row],[company_id]], Tabelle5[[#This Row],[value_id]], Tabelle18[[#This Row],[value_id]], Tabelle5[[#This Row],[value_present]],"1")</f>
        <v>0</v>
      </c>
      <c r="E347" s="54">
        <f>_xlfn.MAXIFS(Tabelle5[[#This Row],[value_points]], Tabelle5[[#This Row],[company_id]],Tabelle18[[#This Row],[company_id]], Tabelle5[[#This Row],[value_id]], Tabelle18[[#This Row],[value_id]], Tabelle5[[#This Row],[value_present]],"1")</f>
        <v>0</v>
      </c>
    </row>
    <row r="348" spans="1:5" x14ac:dyDescent="0.25">
      <c r="A348">
        <v>20</v>
      </c>
      <c r="B348" t="s">
        <v>83</v>
      </c>
      <c r="C348" s="54">
        <f>IF(Tabelle18[[#This Row],[binding_level_company]]&gt;=1,1,0)</f>
        <v>0</v>
      </c>
      <c r="D348" s="54">
        <f>_xlfn.MAXIFS(Tabelle5[[#This Row],[binding_level]], Tabelle5[[#This Row],[company_id]],Tabelle18[[#This Row],[company_id]], Tabelle5[[#This Row],[value_id]], Tabelle18[[#This Row],[value_id]], Tabelle5[[#This Row],[value_present]],"1")</f>
        <v>0</v>
      </c>
      <c r="E348" s="54">
        <f>_xlfn.MAXIFS(Tabelle5[[#This Row],[value_points]], Tabelle5[[#This Row],[company_id]],Tabelle18[[#This Row],[company_id]], Tabelle5[[#This Row],[value_id]], Tabelle18[[#This Row],[value_id]], Tabelle5[[#This Row],[value_present]],"1")</f>
        <v>0</v>
      </c>
    </row>
    <row r="349" spans="1:5" x14ac:dyDescent="0.25">
      <c r="A349">
        <v>20</v>
      </c>
      <c r="B349" t="s">
        <v>90</v>
      </c>
      <c r="C349" s="54">
        <f>IF(Tabelle18[[#This Row],[binding_level_company]]&gt;=1,1,0)</f>
        <v>0</v>
      </c>
      <c r="D349" s="54">
        <f>_xlfn.MAXIFS(Tabelle5[[#This Row],[binding_level]], Tabelle5[[#This Row],[company_id]],Tabelle18[[#This Row],[company_id]], Tabelle5[[#This Row],[value_id]], Tabelle18[[#This Row],[value_id]], Tabelle5[[#This Row],[value_present]],"1")</f>
        <v>0</v>
      </c>
      <c r="E349" s="54">
        <f>_xlfn.MAXIFS(Tabelle5[[#This Row],[value_points]], Tabelle5[[#This Row],[company_id]],Tabelle18[[#This Row],[company_id]], Tabelle5[[#This Row],[value_id]], Tabelle18[[#This Row],[value_id]], Tabelle5[[#This Row],[value_present]],"1")</f>
        <v>0</v>
      </c>
    </row>
    <row r="350" spans="1:5" x14ac:dyDescent="0.25">
      <c r="A350">
        <v>20</v>
      </c>
      <c r="B350" t="s">
        <v>98</v>
      </c>
      <c r="C350" s="54">
        <f>IF(Tabelle18[[#This Row],[binding_level_company]]&gt;=1,1,0)</f>
        <v>0</v>
      </c>
      <c r="D350" s="54">
        <f>_xlfn.MAXIFS(Tabelle5[[#This Row],[binding_level]], Tabelle5[[#This Row],[company_id]],Tabelle18[[#This Row],[company_id]], Tabelle5[[#This Row],[value_id]], Tabelle18[[#This Row],[value_id]], Tabelle5[[#This Row],[value_present]],"1")</f>
        <v>0</v>
      </c>
      <c r="E350" s="54">
        <f>_xlfn.MAXIFS(Tabelle5[[#This Row],[value_points]], Tabelle5[[#This Row],[company_id]],Tabelle18[[#This Row],[company_id]], Tabelle5[[#This Row],[value_id]], Tabelle18[[#This Row],[value_id]], Tabelle5[[#This Row],[value_present]],"1")</f>
        <v>0</v>
      </c>
    </row>
    <row r="351" spans="1:5" x14ac:dyDescent="0.25">
      <c r="A351">
        <v>20</v>
      </c>
      <c r="B351" t="s">
        <v>106</v>
      </c>
      <c r="C351" s="54">
        <f>IF(Tabelle18[[#This Row],[binding_level_company]]&gt;=1,1,0)</f>
        <v>0</v>
      </c>
      <c r="D351" s="54">
        <f>_xlfn.MAXIFS(Tabelle5[[#This Row],[binding_level]], Tabelle5[[#This Row],[company_id]],Tabelle18[[#This Row],[company_id]], Tabelle5[[#This Row],[value_id]], Tabelle18[[#This Row],[value_id]], Tabelle5[[#This Row],[value_present]],"1")</f>
        <v>0</v>
      </c>
      <c r="E351" s="54">
        <f>_xlfn.MAXIFS(Tabelle5[[#This Row],[value_points]], Tabelle5[[#This Row],[company_id]],Tabelle18[[#This Row],[company_id]], Tabelle5[[#This Row],[value_id]], Tabelle18[[#This Row],[value_id]], Tabelle5[[#This Row],[value_present]],"1")</f>
        <v>0</v>
      </c>
    </row>
    <row r="352" spans="1:5" x14ac:dyDescent="0.25">
      <c r="A352">
        <v>20</v>
      </c>
      <c r="B352" t="s">
        <v>112</v>
      </c>
      <c r="C352" s="54">
        <f>IF(Tabelle18[[#This Row],[binding_level_company]]&gt;=1,1,0)</f>
        <v>0</v>
      </c>
      <c r="D352" s="54">
        <f>_xlfn.MAXIFS(Tabelle5[[#This Row],[binding_level]], Tabelle5[[#This Row],[company_id]],Tabelle18[[#This Row],[company_id]], Tabelle5[[#This Row],[value_id]], Tabelle18[[#This Row],[value_id]], Tabelle5[[#This Row],[value_present]],"1")</f>
        <v>0</v>
      </c>
      <c r="E352" s="54">
        <f>_xlfn.MAXIFS(Tabelle5[[#This Row],[value_points]], Tabelle5[[#This Row],[company_id]],Tabelle18[[#This Row],[company_id]], Tabelle5[[#This Row],[value_id]], Tabelle18[[#This Row],[value_id]], Tabelle5[[#This Row],[value_present]],"1")</f>
        <v>0</v>
      </c>
    </row>
    <row r="353" spans="1:5" x14ac:dyDescent="0.25">
      <c r="A353">
        <v>20</v>
      </c>
      <c r="B353" t="s">
        <v>118</v>
      </c>
      <c r="C353" s="54">
        <f>IF(Tabelle18[[#This Row],[binding_level_company]]&gt;=1,1,0)</f>
        <v>0</v>
      </c>
      <c r="D353" s="54">
        <f>_xlfn.MAXIFS(Tabelle5[[#This Row],[binding_level]], Tabelle5[[#This Row],[company_id]],Tabelle18[[#This Row],[company_id]], Tabelle5[[#This Row],[value_id]], Tabelle18[[#This Row],[value_id]], Tabelle5[[#This Row],[value_present]],"1")</f>
        <v>0</v>
      </c>
      <c r="E353" s="54">
        <f>_xlfn.MAXIFS(Tabelle5[[#This Row],[value_points]], Tabelle5[[#This Row],[company_id]],Tabelle18[[#This Row],[company_id]], Tabelle5[[#This Row],[value_id]], Tabelle18[[#This Row],[value_id]], Tabelle5[[#This Row],[value_present]],"1")</f>
        <v>0</v>
      </c>
    </row>
    <row r="354" spans="1:5" x14ac:dyDescent="0.25">
      <c r="A354">
        <v>20</v>
      </c>
      <c r="B354" t="s">
        <v>125</v>
      </c>
      <c r="C354" s="54">
        <f>IF(Tabelle18[[#This Row],[binding_level_company]]&gt;=1,1,0)</f>
        <v>0</v>
      </c>
      <c r="D354" s="54">
        <f>_xlfn.MAXIFS(Tabelle5[[#This Row],[binding_level]], Tabelle5[[#This Row],[company_id]],Tabelle18[[#This Row],[company_id]], Tabelle5[[#This Row],[value_id]], Tabelle18[[#This Row],[value_id]], Tabelle5[[#This Row],[value_present]],"1")</f>
        <v>0</v>
      </c>
      <c r="E354" s="54">
        <f>_xlfn.MAXIFS(Tabelle5[[#This Row],[value_points]], Tabelle5[[#This Row],[company_id]],Tabelle18[[#This Row],[company_id]], Tabelle5[[#This Row],[value_id]], Tabelle18[[#This Row],[value_id]], Tabelle5[[#This Row],[value_present]],"1")</f>
        <v>0</v>
      </c>
    </row>
    <row r="355" spans="1:5" x14ac:dyDescent="0.25">
      <c r="A355">
        <v>20</v>
      </c>
      <c r="B355" t="s">
        <v>132</v>
      </c>
      <c r="C355" s="54">
        <f>IF(Tabelle18[[#This Row],[binding_level_company]]&gt;=1,1,0)</f>
        <v>0</v>
      </c>
      <c r="D355" s="54">
        <f>_xlfn.MAXIFS(Tabelle5[[#This Row],[binding_level]], Tabelle5[[#This Row],[company_id]],Tabelle18[[#This Row],[company_id]], Tabelle5[[#This Row],[value_id]], Tabelle18[[#This Row],[value_id]], Tabelle5[[#This Row],[value_present]],"1")</f>
        <v>0</v>
      </c>
      <c r="E355" s="54">
        <f>_xlfn.MAXIFS(Tabelle5[[#This Row],[value_points]], Tabelle5[[#This Row],[company_id]],Tabelle18[[#This Row],[company_id]], Tabelle5[[#This Row],[value_id]], Tabelle18[[#This Row],[value_id]], Tabelle5[[#This Row],[value_present]],"1")</f>
        <v>0</v>
      </c>
    </row>
    <row r="356" spans="1:5" x14ac:dyDescent="0.25">
      <c r="A356">
        <v>20</v>
      </c>
      <c r="B356" t="s">
        <v>140</v>
      </c>
      <c r="C356" s="54">
        <f>IF(Tabelle18[[#This Row],[binding_level_company]]&gt;=1,1,0)</f>
        <v>0</v>
      </c>
      <c r="D356" s="54">
        <f>_xlfn.MAXIFS(Tabelle5[[#This Row],[binding_level]], Tabelle5[[#This Row],[company_id]],Tabelle18[[#This Row],[company_id]], Tabelle5[[#This Row],[value_id]], Tabelle18[[#This Row],[value_id]], Tabelle5[[#This Row],[value_present]],"1")</f>
        <v>0</v>
      </c>
      <c r="E356" s="54">
        <f>_xlfn.MAXIFS(Tabelle5[[#This Row],[value_points]], Tabelle5[[#This Row],[company_id]],Tabelle18[[#This Row],[company_id]], Tabelle5[[#This Row],[value_id]], Tabelle18[[#This Row],[value_id]], Tabelle5[[#This Row],[value_present]],"1")</f>
        <v>0</v>
      </c>
    </row>
    <row r="357" spans="1:5" x14ac:dyDescent="0.25">
      <c r="A357">
        <v>20</v>
      </c>
      <c r="B357" t="s">
        <v>147</v>
      </c>
      <c r="C357" s="54">
        <f>IF(Tabelle18[[#This Row],[binding_level_company]]&gt;=1,1,0)</f>
        <v>0</v>
      </c>
      <c r="D357" s="54">
        <f>_xlfn.MAXIFS(Tabelle5[[#This Row],[binding_level]], Tabelle5[[#This Row],[company_id]],Tabelle18[[#This Row],[company_id]], Tabelle5[[#This Row],[value_id]], Tabelle18[[#This Row],[value_id]], Tabelle5[[#This Row],[value_present]],"1")</f>
        <v>0</v>
      </c>
      <c r="E357" s="54">
        <f>_xlfn.MAXIFS(Tabelle5[[#This Row],[value_points]], Tabelle5[[#This Row],[company_id]],Tabelle18[[#This Row],[company_id]], Tabelle5[[#This Row],[value_id]], Tabelle18[[#This Row],[value_id]], Tabelle5[[#This Row],[value_present]],"1")</f>
        <v>0</v>
      </c>
    </row>
    <row r="358" spans="1:5" x14ac:dyDescent="0.25">
      <c r="A358">
        <v>20</v>
      </c>
      <c r="B358" t="s">
        <v>154</v>
      </c>
      <c r="C358" s="54">
        <f>IF(Tabelle18[[#This Row],[binding_level_company]]&gt;=1,1,0)</f>
        <v>0</v>
      </c>
      <c r="D358" s="54">
        <f>_xlfn.MAXIFS(Tabelle5[[#This Row],[binding_level]], Tabelle5[[#This Row],[company_id]],Tabelle18[[#This Row],[company_id]], Tabelle5[[#This Row],[value_id]], Tabelle18[[#This Row],[value_id]], Tabelle5[[#This Row],[value_present]],"1")</f>
        <v>0</v>
      </c>
      <c r="E358" s="54">
        <f>_xlfn.MAXIFS(Tabelle5[[#This Row],[value_points]], Tabelle5[[#This Row],[company_id]],Tabelle18[[#This Row],[company_id]], Tabelle5[[#This Row],[value_id]], Tabelle18[[#This Row],[value_id]], Tabelle5[[#This Row],[value_present]],"1")</f>
        <v>0</v>
      </c>
    </row>
    <row r="359" spans="1:5" x14ac:dyDescent="0.25">
      <c r="A359">
        <v>20</v>
      </c>
      <c r="B359" t="s">
        <v>161</v>
      </c>
      <c r="C359" s="54">
        <f>IF(Tabelle18[[#This Row],[binding_level_company]]&gt;=1,1,0)</f>
        <v>0</v>
      </c>
      <c r="D359" s="54">
        <f>_xlfn.MAXIFS(Tabelle5[[#This Row],[binding_level]], Tabelle5[[#This Row],[company_id]],Tabelle18[[#This Row],[company_id]], Tabelle5[[#This Row],[value_id]], Tabelle18[[#This Row],[value_id]], Tabelle5[[#This Row],[value_present]],"1")</f>
        <v>0</v>
      </c>
      <c r="E359" s="54">
        <f>_xlfn.MAXIFS(Tabelle5[[#This Row],[value_points]], Tabelle5[[#This Row],[company_id]],Tabelle18[[#This Row],[company_id]], Tabelle5[[#This Row],[value_id]], Tabelle18[[#This Row],[value_id]], Tabelle5[[#This Row],[value_present]],"1")</f>
        <v>0</v>
      </c>
    </row>
    <row r="360" spans="1:5" x14ac:dyDescent="0.25">
      <c r="A360">
        <v>20</v>
      </c>
      <c r="B360" t="s">
        <v>166</v>
      </c>
      <c r="C360" s="54">
        <f>IF(Tabelle18[[#This Row],[binding_level_company]]&gt;=1,1,0)</f>
        <v>0</v>
      </c>
      <c r="D360" s="54">
        <f>_xlfn.MAXIFS(Tabelle5[[#This Row],[binding_level]], Tabelle5[[#This Row],[company_id]],Tabelle18[[#This Row],[company_id]], Tabelle5[[#This Row],[value_id]], Tabelle18[[#This Row],[value_id]], Tabelle5[[#This Row],[value_present]],"1")</f>
        <v>0</v>
      </c>
      <c r="E360" s="54">
        <f>_xlfn.MAXIFS(Tabelle5[[#This Row],[value_points]], Tabelle5[[#This Row],[company_id]],Tabelle18[[#This Row],[company_id]], Tabelle5[[#This Row],[value_id]], Tabelle18[[#This Row],[value_id]], Tabelle5[[#This Row],[value_present]],"1")</f>
        <v>0</v>
      </c>
    </row>
    <row r="361" spans="1:5" ht="15.75" thickBot="1" x14ac:dyDescent="0.3">
      <c r="A361">
        <v>20</v>
      </c>
      <c r="B361" s="30" t="s">
        <v>174</v>
      </c>
      <c r="C361" s="54">
        <f>IF(Tabelle18[[#This Row],[binding_level_company]]&gt;=1,1,0)</f>
        <v>0</v>
      </c>
      <c r="D361" s="54">
        <f>_xlfn.MAXIFS(Tabelle5[[#This Row],[binding_level]], Tabelle5[[#This Row],[company_id]],Tabelle18[[#This Row],[company_id]], Tabelle5[[#This Row],[value_id]], Tabelle18[[#This Row],[value_id]], Tabelle5[[#This Row],[value_present]],"1")</f>
        <v>0</v>
      </c>
      <c r="E361" s="54">
        <f>_xlfn.MAXIFS(Tabelle5[[#This Row],[value_points]], Tabelle5[[#This Row],[company_id]],Tabelle18[[#This Row],[company_id]], Tabelle5[[#This Row],[value_id]], Tabelle18[[#This Row],[value_id]], Tabelle5[[#This Row],[value_present]],"1")</f>
        <v>0</v>
      </c>
    </row>
    <row r="362" spans="1:5" x14ac:dyDescent="0.25">
      <c r="A362">
        <v>21</v>
      </c>
      <c r="B362" s="22" t="s">
        <v>53</v>
      </c>
      <c r="C362" s="54">
        <f>IF(Tabelle18[[#This Row],[binding_level_company]]&gt;=1,1,0)</f>
        <v>0</v>
      </c>
      <c r="D362" s="54">
        <f>_xlfn.MAXIFS(Tabelle5[[#This Row],[binding_level]], Tabelle5[[#This Row],[company_id]],Tabelle18[[#This Row],[company_id]], Tabelle5[[#This Row],[value_id]], Tabelle18[[#This Row],[value_id]], Tabelle5[[#This Row],[value_present]],"1")</f>
        <v>0</v>
      </c>
      <c r="E362" s="54">
        <f>_xlfn.MAXIFS(Tabelle5[[#This Row],[value_points]], Tabelle5[[#This Row],[company_id]],Tabelle18[[#This Row],[company_id]], Tabelle5[[#This Row],[value_id]], Tabelle18[[#This Row],[value_id]], Tabelle5[[#This Row],[value_present]],"1")</f>
        <v>0</v>
      </c>
    </row>
    <row r="363" spans="1:5" x14ac:dyDescent="0.25">
      <c r="A363">
        <v>21</v>
      </c>
      <c r="B363" t="s">
        <v>61</v>
      </c>
      <c r="C363" s="54">
        <f>IF(Tabelle18[[#This Row],[binding_level_company]]&gt;=1,1,0)</f>
        <v>0</v>
      </c>
      <c r="D363" s="54">
        <f>_xlfn.MAXIFS(Tabelle5[[#This Row],[binding_level]], Tabelle5[[#This Row],[company_id]],Tabelle18[[#This Row],[company_id]], Tabelle5[[#This Row],[value_id]], Tabelle18[[#This Row],[value_id]], Tabelle5[[#This Row],[value_present]],"1")</f>
        <v>0</v>
      </c>
      <c r="E363" s="54">
        <f>_xlfn.MAXIFS(Tabelle5[[#This Row],[value_points]], Tabelle5[[#This Row],[company_id]],Tabelle18[[#This Row],[company_id]], Tabelle5[[#This Row],[value_id]], Tabelle18[[#This Row],[value_id]], Tabelle5[[#This Row],[value_present]],"1")</f>
        <v>0</v>
      </c>
    </row>
    <row r="364" spans="1:5" x14ac:dyDescent="0.25">
      <c r="A364">
        <v>21</v>
      </c>
      <c r="B364" t="s">
        <v>69</v>
      </c>
      <c r="C364" s="54">
        <f>IF(Tabelle18[[#This Row],[binding_level_company]]&gt;=1,1,0)</f>
        <v>0</v>
      </c>
      <c r="D364" s="54">
        <f>_xlfn.MAXIFS(Tabelle5[[#This Row],[binding_level]], Tabelle5[[#This Row],[company_id]],Tabelle18[[#This Row],[company_id]], Tabelle5[[#This Row],[value_id]], Tabelle18[[#This Row],[value_id]], Tabelle5[[#This Row],[value_present]],"1")</f>
        <v>0</v>
      </c>
      <c r="E364" s="54">
        <f>_xlfn.MAXIFS(Tabelle5[[#This Row],[value_points]], Tabelle5[[#This Row],[company_id]],Tabelle18[[#This Row],[company_id]], Tabelle5[[#This Row],[value_id]], Tabelle18[[#This Row],[value_id]], Tabelle5[[#This Row],[value_present]],"1")</f>
        <v>0</v>
      </c>
    </row>
    <row r="365" spans="1:5" x14ac:dyDescent="0.25">
      <c r="A365">
        <v>21</v>
      </c>
      <c r="B365" t="s">
        <v>76</v>
      </c>
      <c r="C365" s="54">
        <f>IF(Tabelle18[[#This Row],[binding_level_company]]&gt;=1,1,0)</f>
        <v>0</v>
      </c>
      <c r="D365" s="54">
        <f>_xlfn.MAXIFS(Tabelle5[[#This Row],[binding_level]], Tabelle5[[#This Row],[company_id]],Tabelle18[[#This Row],[company_id]], Tabelle5[[#This Row],[value_id]], Tabelle18[[#This Row],[value_id]], Tabelle5[[#This Row],[value_present]],"1")</f>
        <v>0</v>
      </c>
      <c r="E365" s="54">
        <f>_xlfn.MAXIFS(Tabelle5[[#This Row],[value_points]], Tabelle5[[#This Row],[company_id]],Tabelle18[[#This Row],[company_id]], Tabelle5[[#This Row],[value_id]], Tabelle18[[#This Row],[value_id]], Tabelle5[[#This Row],[value_present]],"1")</f>
        <v>0</v>
      </c>
    </row>
    <row r="366" spans="1:5" x14ac:dyDescent="0.25">
      <c r="A366">
        <v>21</v>
      </c>
      <c r="B366" t="s">
        <v>83</v>
      </c>
      <c r="C366" s="54">
        <f>IF(Tabelle18[[#This Row],[binding_level_company]]&gt;=1,1,0)</f>
        <v>0</v>
      </c>
      <c r="D366" s="54">
        <f>_xlfn.MAXIFS(Tabelle5[[#This Row],[binding_level]], Tabelle5[[#This Row],[company_id]],Tabelle18[[#This Row],[company_id]], Tabelle5[[#This Row],[value_id]], Tabelle18[[#This Row],[value_id]], Tabelle5[[#This Row],[value_present]],"1")</f>
        <v>0</v>
      </c>
      <c r="E366" s="54">
        <f>_xlfn.MAXIFS(Tabelle5[[#This Row],[value_points]], Tabelle5[[#This Row],[company_id]],Tabelle18[[#This Row],[company_id]], Tabelle5[[#This Row],[value_id]], Tabelle18[[#This Row],[value_id]], Tabelle5[[#This Row],[value_present]],"1")</f>
        <v>0</v>
      </c>
    </row>
    <row r="367" spans="1:5" x14ac:dyDescent="0.25">
      <c r="A367">
        <v>21</v>
      </c>
      <c r="B367" t="s">
        <v>90</v>
      </c>
      <c r="C367" s="54">
        <f>IF(Tabelle18[[#This Row],[binding_level_company]]&gt;=1,1,0)</f>
        <v>0</v>
      </c>
      <c r="D367" s="54">
        <f>_xlfn.MAXIFS(Tabelle5[[#This Row],[binding_level]], Tabelle5[[#This Row],[company_id]],Tabelle18[[#This Row],[company_id]], Tabelle5[[#This Row],[value_id]], Tabelle18[[#This Row],[value_id]], Tabelle5[[#This Row],[value_present]],"1")</f>
        <v>0</v>
      </c>
      <c r="E367" s="54">
        <f>_xlfn.MAXIFS(Tabelle5[[#This Row],[value_points]], Tabelle5[[#This Row],[company_id]],Tabelle18[[#This Row],[company_id]], Tabelle5[[#This Row],[value_id]], Tabelle18[[#This Row],[value_id]], Tabelle5[[#This Row],[value_present]],"1")</f>
        <v>0</v>
      </c>
    </row>
    <row r="368" spans="1:5" x14ac:dyDescent="0.25">
      <c r="A368">
        <v>21</v>
      </c>
      <c r="B368" t="s">
        <v>98</v>
      </c>
      <c r="C368" s="54">
        <f>IF(Tabelle18[[#This Row],[binding_level_company]]&gt;=1,1,0)</f>
        <v>0</v>
      </c>
      <c r="D368" s="54">
        <f>_xlfn.MAXIFS(Tabelle5[[#This Row],[binding_level]], Tabelle5[[#This Row],[company_id]],Tabelle18[[#This Row],[company_id]], Tabelle5[[#This Row],[value_id]], Tabelle18[[#This Row],[value_id]], Tabelle5[[#This Row],[value_present]],"1")</f>
        <v>0</v>
      </c>
      <c r="E368" s="54">
        <f>_xlfn.MAXIFS(Tabelle5[[#This Row],[value_points]], Tabelle5[[#This Row],[company_id]],Tabelle18[[#This Row],[company_id]], Tabelle5[[#This Row],[value_id]], Tabelle18[[#This Row],[value_id]], Tabelle5[[#This Row],[value_present]],"1")</f>
        <v>0</v>
      </c>
    </row>
    <row r="369" spans="1:5" x14ac:dyDescent="0.25">
      <c r="A369">
        <v>21</v>
      </c>
      <c r="B369" t="s">
        <v>106</v>
      </c>
      <c r="C369" s="54">
        <f>IF(Tabelle18[[#This Row],[binding_level_company]]&gt;=1,1,0)</f>
        <v>0</v>
      </c>
      <c r="D369" s="54">
        <f>_xlfn.MAXIFS(Tabelle5[[#This Row],[binding_level]], Tabelle5[[#This Row],[company_id]],Tabelle18[[#This Row],[company_id]], Tabelle5[[#This Row],[value_id]], Tabelle18[[#This Row],[value_id]], Tabelle5[[#This Row],[value_present]],"1")</f>
        <v>0</v>
      </c>
      <c r="E369" s="54">
        <f>_xlfn.MAXIFS(Tabelle5[[#This Row],[value_points]], Tabelle5[[#This Row],[company_id]],Tabelle18[[#This Row],[company_id]], Tabelle5[[#This Row],[value_id]], Tabelle18[[#This Row],[value_id]], Tabelle5[[#This Row],[value_present]],"1")</f>
        <v>0</v>
      </c>
    </row>
    <row r="370" spans="1:5" x14ac:dyDescent="0.25">
      <c r="A370">
        <v>21</v>
      </c>
      <c r="B370" t="s">
        <v>112</v>
      </c>
      <c r="C370" s="54">
        <f>IF(Tabelle18[[#This Row],[binding_level_company]]&gt;=1,1,0)</f>
        <v>0</v>
      </c>
      <c r="D370" s="54">
        <f>_xlfn.MAXIFS(Tabelle5[[#This Row],[binding_level]], Tabelle5[[#This Row],[company_id]],Tabelle18[[#This Row],[company_id]], Tabelle5[[#This Row],[value_id]], Tabelle18[[#This Row],[value_id]], Tabelle5[[#This Row],[value_present]],"1")</f>
        <v>0</v>
      </c>
      <c r="E370" s="54">
        <f>_xlfn.MAXIFS(Tabelle5[[#This Row],[value_points]], Tabelle5[[#This Row],[company_id]],Tabelle18[[#This Row],[company_id]], Tabelle5[[#This Row],[value_id]], Tabelle18[[#This Row],[value_id]], Tabelle5[[#This Row],[value_present]],"1")</f>
        <v>0</v>
      </c>
    </row>
    <row r="371" spans="1:5" x14ac:dyDescent="0.25">
      <c r="A371">
        <v>21</v>
      </c>
      <c r="B371" t="s">
        <v>118</v>
      </c>
      <c r="C371" s="54">
        <f>IF(Tabelle18[[#This Row],[binding_level_company]]&gt;=1,1,0)</f>
        <v>0</v>
      </c>
      <c r="D371" s="54">
        <f>_xlfn.MAXIFS(Tabelle5[[#This Row],[binding_level]], Tabelle5[[#This Row],[company_id]],Tabelle18[[#This Row],[company_id]], Tabelle5[[#This Row],[value_id]], Tabelle18[[#This Row],[value_id]], Tabelle5[[#This Row],[value_present]],"1")</f>
        <v>0</v>
      </c>
      <c r="E371" s="54">
        <f>_xlfn.MAXIFS(Tabelle5[[#This Row],[value_points]], Tabelle5[[#This Row],[company_id]],Tabelle18[[#This Row],[company_id]], Tabelle5[[#This Row],[value_id]], Tabelle18[[#This Row],[value_id]], Tabelle5[[#This Row],[value_present]],"1")</f>
        <v>0</v>
      </c>
    </row>
    <row r="372" spans="1:5" x14ac:dyDescent="0.25">
      <c r="A372">
        <v>21</v>
      </c>
      <c r="B372" t="s">
        <v>125</v>
      </c>
      <c r="C372" s="54">
        <f>IF(Tabelle18[[#This Row],[binding_level_company]]&gt;=1,1,0)</f>
        <v>0</v>
      </c>
      <c r="D372" s="54">
        <f>_xlfn.MAXIFS(Tabelle5[[#This Row],[binding_level]], Tabelle5[[#This Row],[company_id]],Tabelle18[[#This Row],[company_id]], Tabelle5[[#This Row],[value_id]], Tabelle18[[#This Row],[value_id]], Tabelle5[[#This Row],[value_present]],"1")</f>
        <v>0</v>
      </c>
      <c r="E372" s="54">
        <f>_xlfn.MAXIFS(Tabelle5[[#This Row],[value_points]], Tabelle5[[#This Row],[company_id]],Tabelle18[[#This Row],[company_id]], Tabelle5[[#This Row],[value_id]], Tabelle18[[#This Row],[value_id]], Tabelle5[[#This Row],[value_present]],"1")</f>
        <v>0</v>
      </c>
    </row>
    <row r="373" spans="1:5" x14ac:dyDescent="0.25">
      <c r="A373">
        <v>21</v>
      </c>
      <c r="B373" t="s">
        <v>132</v>
      </c>
      <c r="C373" s="54">
        <f>IF(Tabelle18[[#This Row],[binding_level_company]]&gt;=1,1,0)</f>
        <v>0</v>
      </c>
      <c r="D373" s="54">
        <f>_xlfn.MAXIFS(Tabelle5[[#This Row],[binding_level]], Tabelle5[[#This Row],[company_id]],Tabelle18[[#This Row],[company_id]], Tabelle5[[#This Row],[value_id]], Tabelle18[[#This Row],[value_id]], Tabelle5[[#This Row],[value_present]],"1")</f>
        <v>0</v>
      </c>
      <c r="E373" s="54">
        <f>_xlfn.MAXIFS(Tabelle5[[#This Row],[value_points]], Tabelle5[[#This Row],[company_id]],Tabelle18[[#This Row],[company_id]], Tabelle5[[#This Row],[value_id]], Tabelle18[[#This Row],[value_id]], Tabelle5[[#This Row],[value_present]],"1")</f>
        <v>0</v>
      </c>
    </row>
    <row r="374" spans="1:5" x14ac:dyDescent="0.25">
      <c r="A374">
        <v>21</v>
      </c>
      <c r="B374" t="s">
        <v>140</v>
      </c>
      <c r="C374" s="54">
        <f>IF(Tabelle18[[#This Row],[binding_level_company]]&gt;=1,1,0)</f>
        <v>0</v>
      </c>
      <c r="D374" s="54">
        <f>_xlfn.MAXIFS(Tabelle5[[#This Row],[binding_level]], Tabelle5[[#This Row],[company_id]],Tabelle18[[#This Row],[company_id]], Tabelle5[[#This Row],[value_id]], Tabelle18[[#This Row],[value_id]], Tabelle5[[#This Row],[value_present]],"1")</f>
        <v>0</v>
      </c>
      <c r="E374" s="54">
        <f>_xlfn.MAXIFS(Tabelle5[[#This Row],[value_points]], Tabelle5[[#This Row],[company_id]],Tabelle18[[#This Row],[company_id]], Tabelle5[[#This Row],[value_id]], Tabelle18[[#This Row],[value_id]], Tabelle5[[#This Row],[value_present]],"1")</f>
        <v>0</v>
      </c>
    </row>
    <row r="375" spans="1:5" x14ac:dyDescent="0.25">
      <c r="A375">
        <v>21</v>
      </c>
      <c r="B375" t="s">
        <v>147</v>
      </c>
      <c r="C375" s="54">
        <f>IF(Tabelle18[[#This Row],[binding_level_company]]&gt;=1,1,0)</f>
        <v>0</v>
      </c>
      <c r="D375" s="54">
        <f>_xlfn.MAXIFS(Tabelle5[[#This Row],[binding_level]], Tabelle5[[#This Row],[company_id]],Tabelle18[[#This Row],[company_id]], Tabelle5[[#This Row],[value_id]], Tabelle18[[#This Row],[value_id]], Tabelle5[[#This Row],[value_present]],"1")</f>
        <v>0</v>
      </c>
      <c r="E375" s="54">
        <f>_xlfn.MAXIFS(Tabelle5[[#This Row],[value_points]], Tabelle5[[#This Row],[company_id]],Tabelle18[[#This Row],[company_id]], Tabelle5[[#This Row],[value_id]], Tabelle18[[#This Row],[value_id]], Tabelle5[[#This Row],[value_present]],"1")</f>
        <v>0</v>
      </c>
    </row>
    <row r="376" spans="1:5" x14ac:dyDescent="0.25">
      <c r="A376">
        <v>21</v>
      </c>
      <c r="B376" t="s">
        <v>154</v>
      </c>
      <c r="C376" s="54">
        <f>IF(Tabelle18[[#This Row],[binding_level_company]]&gt;=1,1,0)</f>
        <v>0</v>
      </c>
      <c r="D376" s="54">
        <f>_xlfn.MAXIFS(Tabelle5[[#This Row],[binding_level]], Tabelle5[[#This Row],[company_id]],Tabelle18[[#This Row],[company_id]], Tabelle5[[#This Row],[value_id]], Tabelle18[[#This Row],[value_id]], Tabelle5[[#This Row],[value_present]],"1")</f>
        <v>0</v>
      </c>
      <c r="E376" s="54">
        <f>_xlfn.MAXIFS(Tabelle5[[#This Row],[value_points]], Tabelle5[[#This Row],[company_id]],Tabelle18[[#This Row],[company_id]], Tabelle5[[#This Row],[value_id]], Tabelle18[[#This Row],[value_id]], Tabelle5[[#This Row],[value_present]],"1")</f>
        <v>0</v>
      </c>
    </row>
    <row r="377" spans="1:5" x14ac:dyDescent="0.25">
      <c r="A377">
        <v>21</v>
      </c>
      <c r="B377" t="s">
        <v>161</v>
      </c>
      <c r="C377" s="54">
        <f>IF(Tabelle18[[#This Row],[binding_level_company]]&gt;=1,1,0)</f>
        <v>0</v>
      </c>
      <c r="D377" s="54">
        <f>_xlfn.MAXIFS(Tabelle5[[#This Row],[binding_level]], Tabelle5[[#This Row],[company_id]],Tabelle18[[#This Row],[company_id]], Tabelle5[[#This Row],[value_id]], Tabelle18[[#This Row],[value_id]], Tabelle5[[#This Row],[value_present]],"1")</f>
        <v>0</v>
      </c>
      <c r="E377" s="54">
        <f>_xlfn.MAXIFS(Tabelle5[[#This Row],[value_points]], Tabelle5[[#This Row],[company_id]],Tabelle18[[#This Row],[company_id]], Tabelle5[[#This Row],[value_id]], Tabelle18[[#This Row],[value_id]], Tabelle5[[#This Row],[value_present]],"1")</f>
        <v>0</v>
      </c>
    </row>
    <row r="378" spans="1:5" x14ac:dyDescent="0.25">
      <c r="A378">
        <v>21</v>
      </c>
      <c r="B378" t="s">
        <v>166</v>
      </c>
      <c r="C378" s="54">
        <f>IF(Tabelle18[[#This Row],[binding_level_company]]&gt;=1,1,0)</f>
        <v>0</v>
      </c>
      <c r="D378" s="54">
        <f>_xlfn.MAXIFS(Tabelle5[[#This Row],[binding_level]], Tabelle5[[#This Row],[company_id]],Tabelle18[[#This Row],[company_id]], Tabelle5[[#This Row],[value_id]], Tabelle18[[#This Row],[value_id]], Tabelle5[[#This Row],[value_present]],"1")</f>
        <v>0</v>
      </c>
      <c r="E378" s="54">
        <f>_xlfn.MAXIFS(Tabelle5[[#This Row],[value_points]], Tabelle5[[#This Row],[company_id]],Tabelle18[[#This Row],[company_id]], Tabelle5[[#This Row],[value_id]], Tabelle18[[#This Row],[value_id]], Tabelle5[[#This Row],[value_present]],"1")</f>
        <v>0</v>
      </c>
    </row>
    <row r="379" spans="1:5" ht="15.75" thickBot="1" x14ac:dyDescent="0.3">
      <c r="A379">
        <v>21</v>
      </c>
      <c r="B379" s="30" t="s">
        <v>174</v>
      </c>
      <c r="C379" s="54">
        <f>IF(Tabelle18[[#This Row],[binding_level_company]]&gt;=1,1,0)</f>
        <v>0</v>
      </c>
      <c r="D379" s="54">
        <f>_xlfn.MAXIFS(Tabelle5[[#This Row],[binding_level]], Tabelle5[[#This Row],[company_id]],Tabelle18[[#This Row],[company_id]], Tabelle5[[#This Row],[value_id]], Tabelle18[[#This Row],[value_id]], Tabelle5[[#This Row],[value_present]],"1")</f>
        <v>0</v>
      </c>
      <c r="E379" s="54">
        <f>_xlfn.MAXIFS(Tabelle5[[#This Row],[value_points]], Tabelle5[[#This Row],[company_id]],Tabelle18[[#This Row],[company_id]], Tabelle5[[#This Row],[value_id]], Tabelle18[[#This Row],[value_id]], Tabelle5[[#This Row],[value_present]],"1")</f>
        <v>0</v>
      </c>
    </row>
    <row r="380" spans="1:5" x14ac:dyDescent="0.25">
      <c r="A380">
        <v>22</v>
      </c>
      <c r="B380" s="22" t="s">
        <v>53</v>
      </c>
      <c r="C380" s="54">
        <f>IF(Tabelle18[[#This Row],[binding_level_company]]&gt;=1,1,0)</f>
        <v>0</v>
      </c>
      <c r="D380" s="54">
        <f>_xlfn.MAXIFS(Tabelle5[[#This Row],[binding_level]], Tabelle5[[#This Row],[company_id]],Tabelle18[[#This Row],[company_id]], Tabelle5[[#This Row],[value_id]], Tabelle18[[#This Row],[value_id]], Tabelle5[[#This Row],[value_present]],"1")</f>
        <v>0</v>
      </c>
      <c r="E380" s="54">
        <f>_xlfn.MAXIFS(Tabelle5[[#This Row],[value_points]], Tabelle5[[#This Row],[company_id]],Tabelle18[[#This Row],[company_id]], Tabelle5[[#This Row],[value_id]], Tabelle18[[#This Row],[value_id]], Tabelle5[[#This Row],[value_present]],"1")</f>
        <v>0</v>
      </c>
    </row>
    <row r="381" spans="1:5" x14ac:dyDescent="0.25">
      <c r="A381">
        <v>22</v>
      </c>
      <c r="B381" t="s">
        <v>61</v>
      </c>
      <c r="C381" s="54">
        <f>IF(Tabelle18[[#This Row],[binding_level_company]]&gt;=1,1,0)</f>
        <v>0</v>
      </c>
      <c r="D381" s="54">
        <f>_xlfn.MAXIFS(Tabelle5[[#This Row],[binding_level]], Tabelle5[[#This Row],[company_id]],Tabelle18[[#This Row],[company_id]], Tabelle5[[#This Row],[value_id]], Tabelle18[[#This Row],[value_id]], Tabelle5[[#This Row],[value_present]],"1")</f>
        <v>0</v>
      </c>
      <c r="E381" s="54">
        <f>_xlfn.MAXIFS(Tabelle5[[#This Row],[value_points]], Tabelle5[[#This Row],[company_id]],Tabelle18[[#This Row],[company_id]], Tabelle5[[#This Row],[value_id]], Tabelle18[[#This Row],[value_id]], Tabelle5[[#This Row],[value_present]],"1")</f>
        <v>0</v>
      </c>
    </row>
    <row r="382" spans="1:5" x14ac:dyDescent="0.25">
      <c r="A382">
        <v>22</v>
      </c>
      <c r="B382" t="s">
        <v>69</v>
      </c>
      <c r="C382" s="54">
        <f>IF(Tabelle18[[#This Row],[binding_level_company]]&gt;=1,1,0)</f>
        <v>0</v>
      </c>
      <c r="D382" s="54">
        <f>_xlfn.MAXIFS(Tabelle5[[#This Row],[binding_level]], Tabelle5[[#This Row],[company_id]],Tabelle18[[#This Row],[company_id]], Tabelle5[[#This Row],[value_id]], Tabelle18[[#This Row],[value_id]], Tabelle5[[#This Row],[value_present]],"1")</f>
        <v>0</v>
      </c>
      <c r="E382" s="54">
        <f>_xlfn.MAXIFS(Tabelle5[[#This Row],[value_points]], Tabelle5[[#This Row],[company_id]],Tabelle18[[#This Row],[company_id]], Tabelle5[[#This Row],[value_id]], Tabelle18[[#This Row],[value_id]], Tabelle5[[#This Row],[value_present]],"1")</f>
        <v>0</v>
      </c>
    </row>
    <row r="383" spans="1:5" x14ac:dyDescent="0.25">
      <c r="A383">
        <v>22</v>
      </c>
      <c r="B383" t="s">
        <v>76</v>
      </c>
      <c r="C383" s="54">
        <f>IF(Tabelle18[[#This Row],[binding_level_company]]&gt;=1,1,0)</f>
        <v>0</v>
      </c>
      <c r="D383" s="54">
        <f>_xlfn.MAXIFS(Tabelle5[[#This Row],[binding_level]], Tabelle5[[#This Row],[company_id]],Tabelle18[[#This Row],[company_id]], Tabelle5[[#This Row],[value_id]], Tabelle18[[#This Row],[value_id]], Tabelle5[[#This Row],[value_present]],"1")</f>
        <v>0</v>
      </c>
      <c r="E383" s="54">
        <f>_xlfn.MAXIFS(Tabelle5[[#This Row],[value_points]], Tabelle5[[#This Row],[company_id]],Tabelle18[[#This Row],[company_id]], Tabelle5[[#This Row],[value_id]], Tabelle18[[#This Row],[value_id]], Tabelle5[[#This Row],[value_present]],"1")</f>
        <v>0</v>
      </c>
    </row>
    <row r="384" spans="1:5" x14ac:dyDescent="0.25">
      <c r="A384">
        <v>22</v>
      </c>
      <c r="B384" t="s">
        <v>83</v>
      </c>
      <c r="C384" s="54">
        <f>IF(Tabelle18[[#This Row],[binding_level_company]]&gt;=1,1,0)</f>
        <v>0</v>
      </c>
      <c r="D384" s="54">
        <f>_xlfn.MAXIFS(Tabelle5[[#This Row],[binding_level]], Tabelle5[[#This Row],[company_id]],Tabelle18[[#This Row],[company_id]], Tabelle5[[#This Row],[value_id]], Tabelle18[[#This Row],[value_id]], Tabelle5[[#This Row],[value_present]],"1")</f>
        <v>0</v>
      </c>
      <c r="E384" s="54">
        <f>_xlfn.MAXIFS(Tabelle5[[#This Row],[value_points]], Tabelle5[[#This Row],[company_id]],Tabelle18[[#This Row],[company_id]], Tabelle5[[#This Row],[value_id]], Tabelle18[[#This Row],[value_id]], Tabelle5[[#This Row],[value_present]],"1")</f>
        <v>0</v>
      </c>
    </row>
    <row r="385" spans="1:5" x14ac:dyDescent="0.25">
      <c r="A385">
        <v>22</v>
      </c>
      <c r="B385" t="s">
        <v>90</v>
      </c>
      <c r="C385" s="54">
        <f>IF(Tabelle18[[#This Row],[binding_level_company]]&gt;=1,1,0)</f>
        <v>0</v>
      </c>
      <c r="D385" s="54">
        <f>_xlfn.MAXIFS(Tabelle5[[#This Row],[binding_level]], Tabelle5[[#This Row],[company_id]],Tabelle18[[#This Row],[company_id]], Tabelle5[[#This Row],[value_id]], Tabelle18[[#This Row],[value_id]], Tabelle5[[#This Row],[value_present]],"1")</f>
        <v>0</v>
      </c>
      <c r="E385" s="54">
        <f>_xlfn.MAXIFS(Tabelle5[[#This Row],[value_points]], Tabelle5[[#This Row],[company_id]],Tabelle18[[#This Row],[company_id]], Tabelle5[[#This Row],[value_id]], Tabelle18[[#This Row],[value_id]], Tabelle5[[#This Row],[value_present]],"1")</f>
        <v>0</v>
      </c>
    </row>
    <row r="386" spans="1:5" x14ac:dyDescent="0.25">
      <c r="A386">
        <v>22</v>
      </c>
      <c r="B386" t="s">
        <v>98</v>
      </c>
      <c r="C386" s="54">
        <f>IF(Tabelle18[[#This Row],[binding_level_company]]&gt;=1,1,0)</f>
        <v>0</v>
      </c>
      <c r="D386" s="54">
        <f>_xlfn.MAXIFS(Tabelle5[[#This Row],[binding_level]], Tabelle5[[#This Row],[company_id]],Tabelle18[[#This Row],[company_id]], Tabelle5[[#This Row],[value_id]], Tabelle18[[#This Row],[value_id]], Tabelle5[[#This Row],[value_present]],"1")</f>
        <v>0</v>
      </c>
      <c r="E386" s="54">
        <f>_xlfn.MAXIFS(Tabelle5[[#This Row],[value_points]], Tabelle5[[#This Row],[company_id]],Tabelle18[[#This Row],[company_id]], Tabelle5[[#This Row],[value_id]], Tabelle18[[#This Row],[value_id]], Tabelle5[[#This Row],[value_present]],"1")</f>
        <v>0</v>
      </c>
    </row>
    <row r="387" spans="1:5" x14ac:dyDescent="0.25">
      <c r="A387">
        <v>22</v>
      </c>
      <c r="B387" t="s">
        <v>106</v>
      </c>
      <c r="C387" s="54">
        <f>IF(Tabelle18[[#This Row],[binding_level_company]]&gt;=1,1,0)</f>
        <v>0</v>
      </c>
      <c r="D387" s="54">
        <f>_xlfn.MAXIFS(Tabelle5[[#This Row],[binding_level]], Tabelle5[[#This Row],[company_id]],Tabelle18[[#This Row],[company_id]], Tabelle5[[#This Row],[value_id]], Tabelle18[[#This Row],[value_id]], Tabelle5[[#This Row],[value_present]],"1")</f>
        <v>0</v>
      </c>
      <c r="E387" s="54">
        <f>_xlfn.MAXIFS(Tabelle5[[#This Row],[value_points]], Tabelle5[[#This Row],[company_id]],Tabelle18[[#This Row],[company_id]], Tabelle5[[#This Row],[value_id]], Tabelle18[[#This Row],[value_id]], Tabelle5[[#This Row],[value_present]],"1")</f>
        <v>0</v>
      </c>
    </row>
    <row r="388" spans="1:5" x14ac:dyDescent="0.25">
      <c r="A388">
        <v>22</v>
      </c>
      <c r="B388" t="s">
        <v>112</v>
      </c>
      <c r="C388" s="54">
        <f>IF(Tabelle18[[#This Row],[binding_level_company]]&gt;=1,1,0)</f>
        <v>0</v>
      </c>
      <c r="D388" s="54">
        <f>_xlfn.MAXIFS(Tabelle5[[#This Row],[binding_level]], Tabelle5[[#This Row],[company_id]],Tabelle18[[#This Row],[company_id]], Tabelle5[[#This Row],[value_id]], Tabelle18[[#This Row],[value_id]], Tabelle5[[#This Row],[value_present]],"1")</f>
        <v>0</v>
      </c>
      <c r="E388" s="54">
        <f>_xlfn.MAXIFS(Tabelle5[[#This Row],[value_points]], Tabelle5[[#This Row],[company_id]],Tabelle18[[#This Row],[company_id]], Tabelle5[[#This Row],[value_id]], Tabelle18[[#This Row],[value_id]], Tabelle5[[#This Row],[value_present]],"1")</f>
        <v>0</v>
      </c>
    </row>
    <row r="389" spans="1:5" x14ac:dyDescent="0.25">
      <c r="A389">
        <v>22</v>
      </c>
      <c r="B389" t="s">
        <v>118</v>
      </c>
      <c r="C389" s="54">
        <f>IF(Tabelle18[[#This Row],[binding_level_company]]&gt;=1,1,0)</f>
        <v>0</v>
      </c>
      <c r="D389" s="54">
        <f>_xlfn.MAXIFS(Tabelle5[[#This Row],[binding_level]], Tabelle5[[#This Row],[company_id]],Tabelle18[[#This Row],[company_id]], Tabelle5[[#This Row],[value_id]], Tabelle18[[#This Row],[value_id]], Tabelle5[[#This Row],[value_present]],"1")</f>
        <v>0</v>
      </c>
      <c r="E389" s="54">
        <f>_xlfn.MAXIFS(Tabelle5[[#This Row],[value_points]], Tabelle5[[#This Row],[company_id]],Tabelle18[[#This Row],[company_id]], Tabelle5[[#This Row],[value_id]], Tabelle18[[#This Row],[value_id]], Tabelle5[[#This Row],[value_present]],"1")</f>
        <v>0</v>
      </c>
    </row>
    <row r="390" spans="1:5" x14ac:dyDescent="0.25">
      <c r="A390">
        <v>22</v>
      </c>
      <c r="B390" t="s">
        <v>125</v>
      </c>
      <c r="C390" s="54">
        <f>IF(Tabelle18[[#This Row],[binding_level_company]]&gt;=1,1,0)</f>
        <v>0</v>
      </c>
      <c r="D390" s="54">
        <f>_xlfn.MAXIFS(Tabelle5[[#This Row],[binding_level]], Tabelle5[[#This Row],[company_id]],Tabelle18[[#This Row],[company_id]], Tabelle5[[#This Row],[value_id]], Tabelle18[[#This Row],[value_id]], Tabelle5[[#This Row],[value_present]],"1")</f>
        <v>0</v>
      </c>
      <c r="E390" s="54">
        <f>_xlfn.MAXIFS(Tabelle5[[#This Row],[value_points]], Tabelle5[[#This Row],[company_id]],Tabelle18[[#This Row],[company_id]], Tabelle5[[#This Row],[value_id]], Tabelle18[[#This Row],[value_id]], Tabelle5[[#This Row],[value_present]],"1")</f>
        <v>0</v>
      </c>
    </row>
    <row r="391" spans="1:5" x14ac:dyDescent="0.25">
      <c r="A391">
        <v>22</v>
      </c>
      <c r="B391" t="s">
        <v>132</v>
      </c>
      <c r="C391" s="54">
        <f>IF(Tabelle18[[#This Row],[binding_level_company]]&gt;=1,1,0)</f>
        <v>0</v>
      </c>
      <c r="D391" s="54">
        <f>_xlfn.MAXIFS(Tabelle5[[#This Row],[binding_level]], Tabelle5[[#This Row],[company_id]],Tabelle18[[#This Row],[company_id]], Tabelle5[[#This Row],[value_id]], Tabelle18[[#This Row],[value_id]], Tabelle5[[#This Row],[value_present]],"1")</f>
        <v>0</v>
      </c>
      <c r="E391" s="54">
        <f>_xlfn.MAXIFS(Tabelle5[[#This Row],[value_points]], Tabelle5[[#This Row],[company_id]],Tabelle18[[#This Row],[company_id]], Tabelle5[[#This Row],[value_id]], Tabelle18[[#This Row],[value_id]], Tabelle5[[#This Row],[value_present]],"1")</f>
        <v>0</v>
      </c>
    </row>
    <row r="392" spans="1:5" x14ac:dyDescent="0.25">
      <c r="A392">
        <v>22</v>
      </c>
      <c r="B392" t="s">
        <v>140</v>
      </c>
      <c r="C392" s="54">
        <f>IF(Tabelle18[[#This Row],[binding_level_company]]&gt;=1,1,0)</f>
        <v>0</v>
      </c>
      <c r="D392" s="54">
        <f>_xlfn.MAXIFS(Tabelle5[[#This Row],[binding_level]], Tabelle5[[#This Row],[company_id]],Tabelle18[[#This Row],[company_id]], Tabelle5[[#This Row],[value_id]], Tabelle18[[#This Row],[value_id]], Tabelle5[[#This Row],[value_present]],"1")</f>
        <v>0</v>
      </c>
      <c r="E392" s="54">
        <f>_xlfn.MAXIFS(Tabelle5[[#This Row],[value_points]], Tabelle5[[#This Row],[company_id]],Tabelle18[[#This Row],[company_id]], Tabelle5[[#This Row],[value_id]], Tabelle18[[#This Row],[value_id]], Tabelle5[[#This Row],[value_present]],"1")</f>
        <v>0</v>
      </c>
    </row>
    <row r="393" spans="1:5" x14ac:dyDescent="0.25">
      <c r="A393">
        <v>22</v>
      </c>
      <c r="B393" t="s">
        <v>147</v>
      </c>
      <c r="C393" s="54">
        <f>IF(Tabelle18[[#This Row],[binding_level_company]]&gt;=1,1,0)</f>
        <v>0</v>
      </c>
      <c r="D393" s="54">
        <f>_xlfn.MAXIFS(Tabelle5[[#This Row],[binding_level]], Tabelle5[[#This Row],[company_id]],Tabelle18[[#This Row],[company_id]], Tabelle5[[#This Row],[value_id]], Tabelle18[[#This Row],[value_id]], Tabelle5[[#This Row],[value_present]],"1")</f>
        <v>0</v>
      </c>
      <c r="E393" s="54">
        <f>_xlfn.MAXIFS(Tabelle5[[#This Row],[value_points]], Tabelle5[[#This Row],[company_id]],Tabelle18[[#This Row],[company_id]], Tabelle5[[#This Row],[value_id]], Tabelle18[[#This Row],[value_id]], Tabelle5[[#This Row],[value_present]],"1")</f>
        <v>0</v>
      </c>
    </row>
    <row r="394" spans="1:5" x14ac:dyDescent="0.25">
      <c r="A394">
        <v>22</v>
      </c>
      <c r="B394" t="s">
        <v>154</v>
      </c>
      <c r="C394" s="54">
        <f>IF(Tabelle18[[#This Row],[binding_level_company]]&gt;=1,1,0)</f>
        <v>0</v>
      </c>
      <c r="D394" s="54">
        <f>_xlfn.MAXIFS(Tabelle5[[#This Row],[binding_level]], Tabelle5[[#This Row],[company_id]],Tabelle18[[#This Row],[company_id]], Tabelle5[[#This Row],[value_id]], Tabelle18[[#This Row],[value_id]], Tabelle5[[#This Row],[value_present]],"1")</f>
        <v>0</v>
      </c>
      <c r="E394" s="54">
        <f>_xlfn.MAXIFS(Tabelle5[[#This Row],[value_points]], Tabelle5[[#This Row],[company_id]],Tabelle18[[#This Row],[company_id]], Tabelle5[[#This Row],[value_id]], Tabelle18[[#This Row],[value_id]], Tabelle5[[#This Row],[value_present]],"1")</f>
        <v>0</v>
      </c>
    </row>
    <row r="395" spans="1:5" x14ac:dyDescent="0.25">
      <c r="A395">
        <v>22</v>
      </c>
      <c r="B395" t="s">
        <v>161</v>
      </c>
      <c r="C395" s="54">
        <f>IF(Tabelle18[[#This Row],[binding_level_company]]&gt;=1,1,0)</f>
        <v>0</v>
      </c>
      <c r="D395" s="54">
        <f>_xlfn.MAXIFS(Tabelle5[[#This Row],[binding_level]], Tabelle5[[#This Row],[company_id]],Tabelle18[[#This Row],[company_id]], Tabelle5[[#This Row],[value_id]], Tabelle18[[#This Row],[value_id]], Tabelle5[[#This Row],[value_present]],"1")</f>
        <v>0</v>
      </c>
      <c r="E395" s="54">
        <f>_xlfn.MAXIFS(Tabelle5[[#This Row],[value_points]], Tabelle5[[#This Row],[company_id]],Tabelle18[[#This Row],[company_id]], Tabelle5[[#This Row],[value_id]], Tabelle18[[#This Row],[value_id]], Tabelle5[[#This Row],[value_present]],"1")</f>
        <v>0</v>
      </c>
    </row>
    <row r="396" spans="1:5" x14ac:dyDescent="0.25">
      <c r="A396">
        <v>22</v>
      </c>
      <c r="B396" t="s">
        <v>166</v>
      </c>
      <c r="C396" s="54">
        <f>IF(Tabelle18[[#This Row],[binding_level_company]]&gt;=1,1,0)</f>
        <v>0</v>
      </c>
      <c r="D396" s="54">
        <f>_xlfn.MAXIFS(Tabelle5[[#This Row],[binding_level]], Tabelle5[[#This Row],[company_id]],Tabelle18[[#This Row],[company_id]], Tabelle5[[#This Row],[value_id]], Tabelle18[[#This Row],[value_id]], Tabelle5[[#This Row],[value_present]],"1")</f>
        <v>0</v>
      </c>
      <c r="E396" s="54">
        <f>_xlfn.MAXIFS(Tabelle5[[#This Row],[value_points]], Tabelle5[[#This Row],[company_id]],Tabelle18[[#This Row],[company_id]], Tabelle5[[#This Row],[value_id]], Tabelle18[[#This Row],[value_id]], Tabelle5[[#This Row],[value_present]],"1")</f>
        <v>0</v>
      </c>
    </row>
    <row r="397" spans="1:5" ht="15.75" thickBot="1" x14ac:dyDescent="0.3">
      <c r="A397">
        <v>22</v>
      </c>
      <c r="B397" s="30" t="s">
        <v>174</v>
      </c>
      <c r="C397" s="54">
        <f>IF(Tabelle18[[#This Row],[binding_level_company]]&gt;=1,1,0)</f>
        <v>0</v>
      </c>
      <c r="D397" s="54">
        <f>_xlfn.MAXIFS(Tabelle5[[#This Row],[binding_level]], Tabelle5[[#This Row],[company_id]],Tabelle18[[#This Row],[company_id]], Tabelle5[[#This Row],[value_id]], Tabelle18[[#This Row],[value_id]], Tabelle5[[#This Row],[value_present]],"1")</f>
        <v>0</v>
      </c>
      <c r="E397" s="54">
        <f>_xlfn.MAXIFS(Tabelle5[[#This Row],[value_points]], Tabelle5[[#This Row],[company_id]],Tabelle18[[#This Row],[company_id]], Tabelle5[[#This Row],[value_id]], Tabelle18[[#This Row],[value_id]], Tabelle5[[#This Row],[value_present]],"1")</f>
        <v>0</v>
      </c>
    </row>
    <row r="398" spans="1:5" x14ac:dyDescent="0.25">
      <c r="A398">
        <v>23</v>
      </c>
      <c r="B398" s="22" t="s">
        <v>53</v>
      </c>
      <c r="C398" s="54">
        <f>IF(Tabelle18[[#This Row],[binding_level_company]]&gt;=1,1,0)</f>
        <v>0</v>
      </c>
      <c r="D398" s="54">
        <f>_xlfn.MAXIFS(Tabelle5[[#This Row],[binding_level]], Tabelle5[[#This Row],[company_id]],Tabelle18[[#This Row],[company_id]], Tabelle5[[#This Row],[value_id]], Tabelle18[[#This Row],[value_id]], Tabelle5[[#This Row],[value_present]],"1")</f>
        <v>0</v>
      </c>
      <c r="E398" s="54">
        <f>_xlfn.MAXIFS(Tabelle5[[#This Row],[value_points]], Tabelle5[[#This Row],[company_id]],Tabelle18[[#This Row],[company_id]], Tabelle5[[#This Row],[value_id]], Tabelle18[[#This Row],[value_id]], Tabelle5[[#This Row],[value_present]],"1")</f>
        <v>0</v>
      </c>
    </row>
    <row r="399" spans="1:5" x14ac:dyDescent="0.25">
      <c r="A399">
        <v>23</v>
      </c>
      <c r="B399" t="s">
        <v>61</v>
      </c>
      <c r="C399" s="54">
        <f>IF(Tabelle18[[#This Row],[binding_level_company]]&gt;=1,1,0)</f>
        <v>0</v>
      </c>
      <c r="D399" s="54">
        <f>_xlfn.MAXIFS(Tabelle5[[#This Row],[binding_level]], Tabelle5[[#This Row],[company_id]],Tabelle18[[#This Row],[company_id]], Tabelle5[[#This Row],[value_id]], Tabelle18[[#This Row],[value_id]], Tabelle5[[#This Row],[value_present]],"1")</f>
        <v>0</v>
      </c>
      <c r="E399" s="54">
        <f>_xlfn.MAXIFS(Tabelle5[[#This Row],[value_points]], Tabelle5[[#This Row],[company_id]],Tabelle18[[#This Row],[company_id]], Tabelle5[[#This Row],[value_id]], Tabelle18[[#This Row],[value_id]], Tabelle5[[#This Row],[value_present]],"1")</f>
        <v>0</v>
      </c>
    </row>
    <row r="400" spans="1:5" x14ac:dyDescent="0.25">
      <c r="A400">
        <v>23</v>
      </c>
      <c r="B400" t="s">
        <v>69</v>
      </c>
      <c r="C400" s="54">
        <f>IF(Tabelle18[[#This Row],[binding_level_company]]&gt;=1,1,0)</f>
        <v>0</v>
      </c>
      <c r="D400" s="54">
        <f>_xlfn.MAXIFS(Tabelle5[[#This Row],[binding_level]], Tabelle5[[#This Row],[company_id]],Tabelle18[[#This Row],[company_id]], Tabelle5[[#This Row],[value_id]], Tabelle18[[#This Row],[value_id]], Tabelle5[[#This Row],[value_present]],"1")</f>
        <v>0</v>
      </c>
      <c r="E400" s="54">
        <f>_xlfn.MAXIFS(Tabelle5[[#This Row],[value_points]], Tabelle5[[#This Row],[company_id]],Tabelle18[[#This Row],[company_id]], Tabelle5[[#This Row],[value_id]], Tabelle18[[#This Row],[value_id]], Tabelle5[[#This Row],[value_present]],"1")</f>
        <v>0</v>
      </c>
    </row>
    <row r="401" spans="1:5" x14ac:dyDescent="0.25">
      <c r="A401">
        <v>23</v>
      </c>
      <c r="B401" t="s">
        <v>76</v>
      </c>
      <c r="C401" s="54">
        <f>IF(Tabelle18[[#This Row],[binding_level_company]]&gt;=1,1,0)</f>
        <v>0</v>
      </c>
      <c r="D401" s="54">
        <f>_xlfn.MAXIFS(Tabelle5[[#This Row],[binding_level]], Tabelle5[[#This Row],[company_id]],Tabelle18[[#This Row],[company_id]], Tabelle5[[#This Row],[value_id]], Tabelle18[[#This Row],[value_id]], Tabelle5[[#This Row],[value_present]],"1")</f>
        <v>0</v>
      </c>
      <c r="E401" s="54">
        <f>_xlfn.MAXIFS(Tabelle5[[#This Row],[value_points]], Tabelle5[[#This Row],[company_id]],Tabelle18[[#This Row],[company_id]], Tabelle5[[#This Row],[value_id]], Tabelle18[[#This Row],[value_id]], Tabelle5[[#This Row],[value_present]],"1")</f>
        <v>0</v>
      </c>
    </row>
    <row r="402" spans="1:5" x14ac:dyDescent="0.25">
      <c r="A402">
        <v>23</v>
      </c>
      <c r="B402" t="s">
        <v>83</v>
      </c>
      <c r="C402" s="54">
        <f>IF(Tabelle18[[#This Row],[binding_level_company]]&gt;=1,1,0)</f>
        <v>0</v>
      </c>
      <c r="D402" s="54">
        <f>_xlfn.MAXIFS(Tabelle5[[#This Row],[binding_level]], Tabelle5[[#This Row],[company_id]],Tabelle18[[#This Row],[company_id]], Tabelle5[[#This Row],[value_id]], Tabelle18[[#This Row],[value_id]], Tabelle5[[#This Row],[value_present]],"1")</f>
        <v>0</v>
      </c>
      <c r="E402" s="54">
        <f>_xlfn.MAXIFS(Tabelle5[[#This Row],[value_points]], Tabelle5[[#This Row],[company_id]],Tabelle18[[#This Row],[company_id]], Tabelle5[[#This Row],[value_id]], Tabelle18[[#This Row],[value_id]], Tabelle5[[#This Row],[value_present]],"1")</f>
        <v>0</v>
      </c>
    </row>
    <row r="403" spans="1:5" x14ac:dyDescent="0.25">
      <c r="A403">
        <v>23</v>
      </c>
      <c r="B403" t="s">
        <v>90</v>
      </c>
      <c r="C403" s="54">
        <f>IF(Tabelle18[[#This Row],[binding_level_company]]&gt;=1,1,0)</f>
        <v>0</v>
      </c>
      <c r="D403" s="54">
        <f>_xlfn.MAXIFS(Tabelle5[[#This Row],[binding_level]], Tabelle5[[#This Row],[company_id]],Tabelle18[[#This Row],[company_id]], Tabelle5[[#This Row],[value_id]], Tabelle18[[#This Row],[value_id]], Tabelle5[[#This Row],[value_present]],"1")</f>
        <v>0</v>
      </c>
      <c r="E403" s="54">
        <f>_xlfn.MAXIFS(Tabelle5[[#This Row],[value_points]], Tabelle5[[#This Row],[company_id]],Tabelle18[[#This Row],[company_id]], Tabelle5[[#This Row],[value_id]], Tabelle18[[#This Row],[value_id]], Tabelle5[[#This Row],[value_present]],"1")</f>
        <v>0</v>
      </c>
    </row>
    <row r="404" spans="1:5" x14ac:dyDescent="0.25">
      <c r="A404">
        <v>23</v>
      </c>
      <c r="B404" t="s">
        <v>98</v>
      </c>
      <c r="C404" s="54">
        <f>IF(Tabelle18[[#This Row],[binding_level_company]]&gt;=1,1,0)</f>
        <v>0</v>
      </c>
      <c r="D404" s="54">
        <f>_xlfn.MAXIFS(Tabelle5[[#This Row],[binding_level]], Tabelle5[[#This Row],[company_id]],Tabelle18[[#This Row],[company_id]], Tabelle5[[#This Row],[value_id]], Tabelle18[[#This Row],[value_id]], Tabelle5[[#This Row],[value_present]],"1")</f>
        <v>0</v>
      </c>
      <c r="E404" s="54">
        <f>_xlfn.MAXIFS(Tabelle5[[#This Row],[value_points]], Tabelle5[[#This Row],[company_id]],Tabelle18[[#This Row],[company_id]], Tabelle5[[#This Row],[value_id]], Tabelle18[[#This Row],[value_id]], Tabelle5[[#This Row],[value_present]],"1")</f>
        <v>0</v>
      </c>
    </row>
    <row r="405" spans="1:5" x14ac:dyDescent="0.25">
      <c r="A405">
        <v>23</v>
      </c>
      <c r="B405" t="s">
        <v>106</v>
      </c>
      <c r="C405" s="54">
        <f>IF(Tabelle18[[#This Row],[binding_level_company]]&gt;=1,1,0)</f>
        <v>0</v>
      </c>
      <c r="D405" s="54">
        <f>_xlfn.MAXIFS(Tabelle5[[#This Row],[binding_level]], Tabelle5[[#This Row],[company_id]],Tabelle18[[#This Row],[company_id]], Tabelle5[[#This Row],[value_id]], Tabelle18[[#This Row],[value_id]], Tabelle5[[#This Row],[value_present]],"1")</f>
        <v>0</v>
      </c>
      <c r="E405" s="54">
        <f>_xlfn.MAXIFS(Tabelle5[[#This Row],[value_points]], Tabelle5[[#This Row],[company_id]],Tabelle18[[#This Row],[company_id]], Tabelle5[[#This Row],[value_id]], Tabelle18[[#This Row],[value_id]], Tabelle5[[#This Row],[value_present]],"1")</f>
        <v>0</v>
      </c>
    </row>
    <row r="406" spans="1:5" x14ac:dyDescent="0.25">
      <c r="A406">
        <v>23</v>
      </c>
      <c r="B406" t="s">
        <v>112</v>
      </c>
      <c r="C406" s="54">
        <f>IF(Tabelle18[[#This Row],[binding_level_company]]&gt;=1,1,0)</f>
        <v>0</v>
      </c>
      <c r="D406" s="54">
        <f>_xlfn.MAXIFS(Tabelle5[[#This Row],[binding_level]], Tabelle5[[#This Row],[company_id]],Tabelle18[[#This Row],[company_id]], Tabelle5[[#This Row],[value_id]], Tabelle18[[#This Row],[value_id]], Tabelle5[[#This Row],[value_present]],"1")</f>
        <v>0</v>
      </c>
      <c r="E406" s="54">
        <f>_xlfn.MAXIFS(Tabelle5[[#This Row],[value_points]], Tabelle5[[#This Row],[company_id]],Tabelle18[[#This Row],[company_id]], Tabelle5[[#This Row],[value_id]], Tabelle18[[#This Row],[value_id]], Tabelle5[[#This Row],[value_present]],"1")</f>
        <v>0</v>
      </c>
    </row>
    <row r="407" spans="1:5" x14ac:dyDescent="0.25">
      <c r="A407">
        <v>23</v>
      </c>
      <c r="B407" t="s">
        <v>118</v>
      </c>
      <c r="C407" s="54">
        <f>IF(Tabelle18[[#This Row],[binding_level_company]]&gt;=1,1,0)</f>
        <v>0</v>
      </c>
      <c r="D407" s="54">
        <f>_xlfn.MAXIFS(Tabelle5[[#This Row],[binding_level]], Tabelle5[[#This Row],[company_id]],Tabelle18[[#This Row],[company_id]], Tabelle5[[#This Row],[value_id]], Tabelle18[[#This Row],[value_id]], Tabelle5[[#This Row],[value_present]],"1")</f>
        <v>0</v>
      </c>
      <c r="E407" s="54">
        <f>_xlfn.MAXIFS(Tabelle5[[#This Row],[value_points]], Tabelle5[[#This Row],[company_id]],Tabelle18[[#This Row],[company_id]], Tabelle5[[#This Row],[value_id]], Tabelle18[[#This Row],[value_id]], Tabelle5[[#This Row],[value_present]],"1")</f>
        <v>0</v>
      </c>
    </row>
    <row r="408" spans="1:5" x14ac:dyDescent="0.25">
      <c r="A408">
        <v>23</v>
      </c>
      <c r="B408" t="s">
        <v>125</v>
      </c>
      <c r="C408" s="54">
        <f>IF(Tabelle18[[#This Row],[binding_level_company]]&gt;=1,1,0)</f>
        <v>0</v>
      </c>
      <c r="D408" s="54">
        <f>_xlfn.MAXIFS(Tabelle5[[#This Row],[binding_level]], Tabelle5[[#This Row],[company_id]],Tabelle18[[#This Row],[company_id]], Tabelle5[[#This Row],[value_id]], Tabelle18[[#This Row],[value_id]], Tabelle5[[#This Row],[value_present]],"1")</f>
        <v>0</v>
      </c>
      <c r="E408" s="54">
        <f>_xlfn.MAXIFS(Tabelle5[[#This Row],[value_points]], Tabelle5[[#This Row],[company_id]],Tabelle18[[#This Row],[company_id]], Tabelle5[[#This Row],[value_id]], Tabelle18[[#This Row],[value_id]], Tabelle5[[#This Row],[value_present]],"1")</f>
        <v>0</v>
      </c>
    </row>
    <row r="409" spans="1:5" x14ac:dyDescent="0.25">
      <c r="A409">
        <v>23</v>
      </c>
      <c r="B409" t="s">
        <v>132</v>
      </c>
      <c r="C409" s="54">
        <f>IF(Tabelle18[[#This Row],[binding_level_company]]&gt;=1,1,0)</f>
        <v>0</v>
      </c>
      <c r="D409" s="54">
        <f>_xlfn.MAXIFS(Tabelle5[[#This Row],[binding_level]], Tabelle5[[#This Row],[company_id]],Tabelle18[[#This Row],[company_id]], Tabelle5[[#This Row],[value_id]], Tabelle18[[#This Row],[value_id]], Tabelle5[[#This Row],[value_present]],"1")</f>
        <v>0</v>
      </c>
      <c r="E409" s="54">
        <f>_xlfn.MAXIFS(Tabelle5[[#This Row],[value_points]], Tabelle5[[#This Row],[company_id]],Tabelle18[[#This Row],[company_id]], Tabelle5[[#This Row],[value_id]], Tabelle18[[#This Row],[value_id]], Tabelle5[[#This Row],[value_present]],"1")</f>
        <v>0</v>
      </c>
    </row>
    <row r="410" spans="1:5" x14ac:dyDescent="0.25">
      <c r="A410">
        <v>23</v>
      </c>
      <c r="B410" t="s">
        <v>140</v>
      </c>
      <c r="C410" s="54">
        <f>IF(Tabelle18[[#This Row],[binding_level_company]]&gt;=1,1,0)</f>
        <v>0</v>
      </c>
      <c r="D410" s="54">
        <f>_xlfn.MAXIFS(Tabelle5[[#This Row],[binding_level]], Tabelle5[[#This Row],[company_id]],Tabelle18[[#This Row],[company_id]], Tabelle5[[#This Row],[value_id]], Tabelle18[[#This Row],[value_id]], Tabelle5[[#This Row],[value_present]],"1")</f>
        <v>0</v>
      </c>
      <c r="E410" s="54">
        <f>_xlfn.MAXIFS(Tabelle5[[#This Row],[value_points]], Tabelle5[[#This Row],[company_id]],Tabelle18[[#This Row],[company_id]], Tabelle5[[#This Row],[value_id]], Tabelle18[[#This Row],[value_id]], Tabelle5[[#This Row],[value_present]],"1")</f>
        <v>0</v>
      </c>
    </row>
    <row r="411" spans="1:5" x14ac:dyDescent="0.25">
      <c r="A411">
        <v>23</v>
      </c>
      <c r="B411" t="s">
        <v>147</v>
      </c>
      <c r="C411" s="54">
        <f>IF(Tabelle18[[#This Row],[binding_level_company]]&gt;=1,1,0)</f>
        <v>0</v>
      </c>
      <c r="D411" s="54">
        <f>_xlfn.MAXIFS(Tabelle5[[#This Row],[binding_level]], Tabelle5[[#This Row],[company_id]],Tabelle18[[#This Row],[company_id]], Tabelle5[[#This Row],[value_id]], Tabelle18[[#This Row],[value_id]], Tabelle5[[#This Row],[value_present]],"1")</f>
        <v>0</v>
      </c>
      <c r="E411" s="54">
        <f>_xlfn.MAXIFS(Tabelle5[[#This Row],[value_points]], Tabelle5[[#This Row],[company_id]],Tabelle18[[#This Row],[company_id]], Tabelle5[[#This Row],[value_id]], Tabelle18[[#This Row],[value_id]], Tabelle5[[#This Row],[value_present]],"1")</f>
        <v>0</v>
      </c>
    </row>
    <row r="412" spans="1:5" x14ac:dyDescent="0.25">
      <c r="A412">
        <v>23</v>
      </c>
      <c r="B412" t="s">
        <v>154</v>
      </c>
      <c r="C412" s="54">
        <f>IF(Tabelle18[[#This Row],[binding_level_company]]&gt;=1,1,0)</f>
        <v>0</v>
      </c>
      <c r="D412" s="54">
        <f>_xlfn.MAXIFS(Tabelle5[[#This Row],[binding_level]], Tabelle5[[#This Row],[company_id]],Tabelle18[[#This Row],[company_id]], Tabelle5[[#This Row],[value_id]], Tabelle18[[#This Row],[value_id]], Tabelle5[[#This Row],[value_present]],"1")</f>
        <v>0</v>
      </c>
      <c r="E412" s="54">
        <f>_xlfn.MAXIFS(Tabelle5[[#This Row],[value_points]], Tabelle5[[#This Row],[company_id]],Tabelle18[[#This Row],[company_id]], Tabelle5[[#This Row],[value_id]], Tabelle18[[#This Row],[value_id]], Tabelle5[[#This Row],[value_present]],"1")</f>
        <v>0</v>
      </c>
    </row>
    <row r="413" spans="1:5" x14ac:dyDescent="0.25">
      <c r="A413">
        <v>23</v>
      </c>
      <c r="B413" t="s">
        <v>161</v>
      </c>
      <c r="C413" s="54">
        <f>IF(Tabelle18[[#This Row],[binding_level_company]]&gt;=1,1,0)</f>
        <v>0</v>
      </c>
      <c r="D413" s="54">
        <f>_xlfn.MAXIFS(Tabelle5[[#This Row],[binding_level]], Tabelle5[[#This Row],[company_id]],Tabelle18[[#This Row],[company_id]], Tabelle5[[#This Row],[value_id]], Tabelle18[[#This Row],[value_id]], Tabelle5[[#This Row],[value_present]],"1")</f>
        <v>0</v>
      </c>
      <c r="E413" s="54">
        <f>_xlfn.MAXIFS(Tabelle5[[#This Row],[value_points]], Tabelle5[[#This Row],[company_id]],Tabelle18[[#This Row],[company_id]], Tabelle5[[#This Row],[value_id]], Tabelle18[[#This Row],[value_id]], Tabelle5[[#This Row],[value_present]],"1")</f>
        <v>0</v>
      </c>
    </row>
    <row r="414" spans="1:5" x14ac:dyDescent="0.25">
      <c r="A414">
        <v>23</v>
      </c>
      <c r="B414" t="s">
        <v>166</v>
      </c>
      <c r="C414" s="54">
        <f>IF(Tabelle18[[#This Row],[binding_level_company]]&gt;=1,1,0)</f>
        <v>0</v>
      </c>
      <c r="D414" s="54">
        <f>_xlfn.MAXIFS(Tabelle5[[#This Row],[binding_level]], Tabelle5[[#This Row],[company_id]],Tabelle18[[#This Row],[company_id]], Tabelle5[[#This Row],[value_id]], Tabelle18[[#This Row],[value_id]], Tabelle5[[#This Row],[value_present]],"1")</f>
        <v>0</v>
      </c>
      <c r="E414" s="54">
        <f>_xlfn.MAXIFS(Tabelle5[[#This Row],[value_points]], Tabelle5[[#This Row],[company_id]],Tabelle18[[#This Row],[company_id]], Tabelle5[[#This Row],[value_id]], Tabelle18[[#This Row],[value_id]], Tabelle5[[#This Row],[value_present]],"1")</f>
        <v>0</v>
      </c>
    </row>
    <row r="415" spans="1:5" ht="15.75" thickBot="1" x14ac:dyDescent="0.3">
      <c r="A415">
        <v>23</v>
      </c>
      <c r="B415" s="30" t="s">
        <v>174</v>
      </c>
      <c r="C415" s="54">
        <f>IF(Tabelle18[[#This Row],[binding_level_company]]&gt;=1,1,0)</f>
        <v>0</v>
      </c>
      <c r="D415" s="54">
        <f>_xlfn.MAXIFS(Tabelle5[[#This Row],[binding_level]], Tabelle5[[#This Row],[company_id]],Tabelle18[[#This Row],[company_id]], Tabelle5[[#This Row],[value_id]], Tabelle18[[#This Row],[value_id]], Tabelle5[[#This Row],[value_present]],"1")</f>
        <v>0</v>
      </c>
      <c r="E415" s="54">
        <f>_xlfn.MAXIFS(Tabelle5[[#This Row],[value_points]], Tabelle5[[#This Row],[company_id]],Tabelle18[[#This Row],[company_id]], Tabelle5[[#This Row],[value_id]], Tabelle18[[#This Row],[value_id]], Tabelle5[[#This Row],[value_present]],"1")</f>
        <v>0</v>
      </c>
    </row>
    <row r="416" spans="1:5" x14ac:dyDescent="0.25">
      <c r="A416">
        <v>24</v>
      </c>
      <c r="B416" s="22" t="s">
        <v>53</v>
      </c>
      <c r="C416" s="54">
        <f>IF(Tabelle18[[#This Row],[binding_level_company]]&gt;=1,1,0)</f>
        <v>0</v>
      </c>
      <c r="D416" s="54">
        <f>_xlfn.MAXIFS(Tabelle5[[#This Row],[binding_level]], Tabelle5[[#This Row],[company_id]],Tabelle18[[#This Row],[company_id]], Tabelle5[[#This Row],[value_id]], Tabelle18[[#This Row],[value_id]], Tabelle5[[#This Row],[value_present]],"1")</f>
        <v>0</v>
      </c>
      <c r="E416" s="54">
        <f>_xlfn.MAXIFS(Tabelle5[[#This Row],[value_points]], Tabelle5[[#This Row],[company_id]],Tabelle18[[#This Row],[company_id]], Tabelle5[[#This Row],[value_id]], Tabelle18[[#This Row],[value_id]], Tabelle5[[#This Row],[value_present]],"1")</f>
        <v>0</v>
      </c>
    </row>
    <row r="417" spans="1:5" x14ac:dyDescent="0.25">
      <c r="A417">
        <v>24</v>
      </c>
      <c r="B417" t="s">
        <v>61</v>
      </c>
      <c r="C417" s="54">
        <f>IF(Tabelle18[[#This Row],[binding_level_company]]&gt;=1,1,0)</f>
        <v>0</v>
      </c>
      <c r="D417" s="54">
        <f>_xlfn.MAXIFS(Tabelle5[[#This Row],[binding_level]], Tabelle5[[#This Row],[company_id]],Tabelle18[[#This Row],[company_id]], Tabelle5[[#This Row],[value_id]], Tabelle18[[#This Row],[value_id]], Tabelle5[[#This Row],[value_present]],"1")</f>
        <v>0</v>
      </c>
      <c r="E417" s="54">
        <f>_xlfn.MAXIFS(Tabelle5[[#This Row],[value_points]], Tabelle5[[#This Row],[company_id]],Tabelle18[[#This Row],[company_id]], Tabelle5[[#This Row],[value_id]], Tabelle18[[#This Row],[value_id]], Tabelle5[[#This Row],[value_present]],"1")</f>
        <v>0</v>
      </c>
    </row>
    <row r="418" spans="1:5" x14ac:dyDescent="0.25">
      <c r="A418">
        <v>24</v>
      </c>
      <c r="B418" t="s">
        <v>69</v>
      </c>
      <c r="C418" s="54">
        <f>IF(Tabelle18[[#This Row],[binding_level_company]]&gt;=1,1,0)</f>
        <v>0</v>
      </c>
      <c r="D418" s="54">
        <f>_xlfn.MAXIFS(Tabelle5[[#This Row],[binding_level]], Tabelle5[[#This Row],[company_id]],Tabelle18[[#This Row],[company_id]], Tabelle5[[#This Row],[value_id]], Tabelle18[[#This Row],[value_id]], Tabelle5[[#This Row],[value_present]],"1")</f>
        <v>0</v>
      </c>
      <c r="E418" s="54">
        <f>_xlfn.MAXIFS(Tabelle5[[#This Row],[value_points]], Tabelle5[[#This Row],[company_id]],Tabelle18[[#This Row],[company_id]], Tabelle5[[#This Row],[value_id]], Tabelle18[[#This Row],[value_id]], Tabelle5[[#This Row],[value_present]],"1")</f>
        <v>0</v>
      </c>
    </row>
    <row r="419" spans="1:5" x14ac:dyDescent="0.25">
      <c r="A419">
        <v>24</v>
      </c>
      <c r="B419" t="s">
        <v>76</v>
      </c>
      <c r="C419" s="54">
        <f>IF(Tabelle18[[#This Row],[binding_level_company]]&gt;=1,1,0)</f>
        <v>0</v>
      </c>
      <c r="D419" s="54">
        <f>_xlfn.MAXIFS(Tabelle5[[#This Row],[binding_level]], Tabelle5[[#This Row],[company_id]],Tabelle18[[#This Row],[company_id]], Tabelle5[[#This Row],[value_id]], Tabelle18[[#This Row],[value_id]], Tabelle5[[#This Row],[value_present]],"1")</f>
        <v>0</v>
      </c>
      <c r="E419" s="54">
        <f>_xlfn.MAXIFS(Tabelle5[[#This Row],[value_points]], Tabelle5[[#This Row],[company_id]],Tabelle18[[#This Row],[company_id]], Tabelle5[[#This Row],[value_id]], Tabelle18[[#This Row],[value_id]], Tabelle5[[#This Row],[value_present]],"1")</f>
        <v>0</v>
      </c>
    </row>
    <row r="420" spans="1:5" x14ac:dyDescent="0.25">
      <c r="A420">
        <v>24</v>
      </c>
      <c r="B420" t="s">
        <v>83</v>
      </c>
      <c r="C420" s="54">
        <f>IF(Tabelle18[[#This Row],[binding_level_company]]&gt;=1,1,0)</f>
        <v>0</v>
      </c>
      <c r="D420" s="54">
        <f>_xlfn.MAXIFS(Tabelle5[[#This Row],[binding_level]], Tabelle5[[#This Row],[company_id]],Tabelle18[[#This Row],[company_id]], Tabelle5[[#This Row],[value_id]], Tabelle18[[#This Row],[value_id]], Tabelle5[[#This Row],[value_present]],"1")</f>
        <v>0</v>
      </c>
      <c r="E420" s="54">
        <f>_xlfn.MAXIFS(Tabelle5[[#This Row],[value_points]], Tabelle5[[#This Row],[company_id]],Tabelle18[[#This Row],[company_id]], Tabelle5[[#This Row],[value_id]], Tabelle18[[#This Row],[value_id]], Tabelle5[[#This Row],[value_present]],"1")</f>
        <v>0</v>
      </c>
    </row>
    <row r="421" spans="1:5" x14ac:dyDescent="0.25">
      <c r="A421">
        <v>24</v>
      </c>
      <c r="B421" t="s">
        <v>90</v>
      </c>
      <c r="C421" s="54">
        <f>IF(Tabelle18[[#This Row],[binding_level_company]]&gt;=1,1,0)</f>
        <v>0</v>
      </c>
      <c r="D421" s="54">
        <f>_xlfn.MAXIFS(Tabelle5[[#This Row],[binding_level]], Tabelle5[[#This Row],[company_id]],Tabelle18[[#This Row],[company_id]], Tabelle5[[#This Row],[value_id]], Tabelle18[[#This Row],[value_id]], Tabelle5[[#This Row],[value_present]],"1")</f>
        <v>0</v>
      </c>
      <c r="E421" s="54">
        <f>_xlfn.MAXIFS(Tabelle5[[#This Row],[value_points]], Tabelle5[[#This Row],[company_id]],Tabelle18[[#This Row],[company_id]], Tabelle5[[#This Row],[value_id]], Tabelle18[[#This Row],[value_id]], Tabelle5[[#This Row],[value_present]],"1")</f>
        <v>0</v>
      </c>
    </row>
    <row r="422" spans="1:5" x14ac:dyDescent="0.25">
      <c r="A422">
        <v>24</v>
      </c>
      <c r="B422" t="s">
        <v>98</v>
      </c>
      <c r="C422" s="54">
        <f>IF(Tabelle18[[#This Row],[binding_level_company]]&gt;=1,1,0)</f>
        <v>0</v>
      </c>
      <c r="D422" s="54">
        <f>_xlfn.MAXIFS(Tabelle5[[#This Row],[binding_level]], Tabelle5[[#This Row],[company_id]],Tabelle18[[#This Row],[company_id]], Tabelle5[[#This Row],[value_id]], Tabelle18[[#This Row],[value_id]], Tabelle5[[#This Row],[value_present]],"1")</f>
        <v>0</v>
      </c>
      <c r="E422" s="54">
        <f>_xlfn.MAXIFS(Tabelle5[[#This Row],[value_points]], Tabelle5[[#This Row],[company_id]],Tabelle18[[#This Row],[company_id]], Tabelle5[[#This Row],[value_id]], Tabelle18[[#This Row],[value_id]], Tabelle5[[#This Row],[value_present]],"1")</f>
        <v>0</v>
      </c>
    </row>
    <row r="423" spans="1:5" x14ac:dyDescent="0.25">
      <c r="A423">
        <v>24</v>
      </c>
      <c r="B423" t="s">
        <v>106</v>
      </c>
      <c r="C423" s="54">
        <f>IF(Tabelle18[[#This Row],[binding_level_company]]&gt;=1,1,0)</f>
        <v>0</v>
      </c>
      <c r="D423" s="54">
        <f>_xlfn.MAXIFS(Tabelle5[[#This Row],[binding_level]], Tabelle5[[#This Row],[company_id]],Tabelle18[[#This Row],[company_id]], Tabelle5[[#This Row],[value_id]], Tabelle18[[#This Row],[value_id]], Tabelle5[[#This Row],[value_present]],"1")</f>
        <v>0</v>
      </c>
      <c r="E423" s="54">
        <f>_xlfn.MAXIFS(Tabelle5[[#This Row],[value_points]], Tabelle5[[#This Row],[company_id]],Tabelle18[[#This Row],[company_id]], Tabelle5[[#This Row],[value_id]], Tabelle18[[#This Row],[value_id]], Tabelle5[[#This Row],[value_present]],"1")</f>
        <v>0</v>
      </c>
    </row>
    <row r="424" spans="1:5" x14ac:dyDescent="0.25">
      <c r="A424">
        <v>24</v>
      </c>
      <c r="B424" t="s">
        <v>112</v>
      </c>
      <c r="C424" s="54">
        <f>IF(Tabelle18[[#This Row],[binding_level_company]]&gt;=1,1,0)</f>
        <v>0</v>
      </c>
      <c r="D424" s="54">
        <f>_xlfn.MAXIFS(Tabelle5[[#This Row],[binding_level]], Tabelle5[[#This Row],[company_id]],Tabelle18[[#This Row],[company_id]], Tabelle5[[#This Row],[value_id]], Tabelle18[[#This Row],[value_id]], Tabelle5[[#This Row],[value_present]],"1")</f>
        <v>0</v>
      </c>
      <c r="E424" s="54">
        <f>_xlfn.MAXIFS(Tabelle5[[#This Row],[value_points]], Tabelle5[[#This Row],[company_id]],Tabelle18[[#This Row],[company_id]], Tabelle5[[#This Row],[value_id]], Tabelle18[[#This Row],[value_id]], Tabelle5[[#This Row],[value_present]],"1")</f>
        <v>0</v>
      </c>
    </row>
    <row r="425" spans="1:5" x14ac:dyDescent="0.25">
      <c r="A425">
        <v>24</v>
      </c>
      <c r="B425" t="s">
        <v>118</v>
      </c>
      <c r="C425" s="54">
        <f>IF(Tabelle18[[#This Row],[binding_level_company]]&gt;=1,1,0)</f>
        <v>0</v>
      </c>
      <c r="D425" s="54">
        <f>_xlfn.MAXIFS(Tabelle5[[#This Row],[binding_level]], Tabelle5[[#This Row],[company_id]],Tabelle18[[#This Row],[company_id]], Tabelle5[[#This Row],[value_id]], Tabelle18[[#This Row],[value_id]], Tabelle5[[#This Row],[value_present]],"1")</f>
        <v>0</v>
      </c>
      <c r="E425" s="54">
        <f>_xlfn.MAXIFS(Tabelle5[[#This Row],[value_points]], Tabelle5[[#This Row],[company_id]],Tabelle18[[#This Row],[company_id]], Tabelle5[[#This Row],[value_id]], Tabelle18[[#This Row],[value_id]], Tabelle5[[#This Row],[value_present]],"1")</f>
        <v>0</v>
      </c>
    </row>
    <row r="426" spans="1:5" x14ac:dyDescent="0.25">
      <c r="A426">
        <v>24</v>
      </c>
      <c r="B426" t="s">
        <v>125</v>
      </c>
      <c r="C426" s="54">
        <f>IF(Tabelle18[[#This Row],[binding_level_company]]&gt;=1,1,0)</f>
        <v>0</v>
      </c>
      <c r="D426" s="54">
        <f>_xlfn.MAXIFS(Tabelle5[[#This Row],[binding_level]], Tabelle5[[#This Row],[company_id]],Tabelle18[[#This Row],[company_id]], Tabelle5[[#This Row],[value_id]], Tabelle18[[#This Row],[value_id]], Tabelle5[[#This Row],[value_present]],"1")</f>
        <v>0</v>
      </c>
      <c r="E426" s="54">
        <f>_xlfn.MAXIFS(Tabelle5[[#This Row],[value_points]], Tabelle5[[#This Row],[company_id]],Tabelle18[[#This Row],[company_id]], Tabelle5[[#This Row],[value_id]], Tabelle18[[#This Row],[value_id]], Tabelle5[[#This Row],[value_present]],"1")</f>
        <v>0</v>
      </c>
    </row>
    <row r="427" spans="1:5" x14ac:dyDescent="0.25">
      <c r="A427">
        <v>24</v>
      </c>
      <c r="B427" t="s">
        <v>132</v>
      </c>
      <c r="C427" s="54">
        <f>IF(Tabelle18[[#This Row],[binding_level_company]]&gt;=1,1,0)</f>
        <v>0</v>
      </c>
      <c r="D427" s="54">
        <f>_xlfn.MAXIFS(Tabelle5[[#This Row],[binding_level]], Tabelle5[[#This Row],[company_id]],Tabelle18[[#This Row],[company_id]], Tabelle5[[#This Row],[value_id]], Tabelle18[[#This Row],[value_id]], Tabelle5[[#This Row],[value_present]],"1")</f>
        <v>0</v>
      </c>
      <c r="E427" s="54">
        <f>_xlfn.MAXIFS(Tabelle5[[#This Row],[value_points]], Tabelle5[[#This Row],[company_id]],Tabelle18[[#This Row],[company_id]], Tabelle5[[#This Row],[value_id]], Tabelle18[[#This Row],[value_id]], Tabelle5[[#This Row],[value_present]],"1")</f>
        <v>0</v>
      </c>
    </row>
    <row r="428" spans="1:5" x14ac:dyDescent="0.25">
      <c r="A428">
        <v>24</v>
      </c>
      <c r="B428" t="s">
        <v>140</v>
      </c>
      <c r="C428" s="54">
        <f>IF(Tabelle18[[#This Row],[binding_level_company]]&gt;=1,1,0)</f>
        <v>0</v>
      </c>
      <c r="D428" s="54">
        <f>_xlfn.MAXIFS(Tabelle5[[#This Row],[binding_level]], Tabelle5[[#This Row],[company_id]],Tabelle18[[#This Row],[company_id]], Tabelle5[[#This Row],[value_id]], Tabelle18[[#This Row],[value_id]], Tabelle5[[#This Row],[value_present]],"1")</f>
        <v>0</v>
      </c>
      <c r="E428" s="54">
        <f>_xlfn.MAXIFS(Tabelle5[[#This Row],[value_points]], Tabelle5[[#This Row],[company_id]],Tabelle18[[#This Row],[company_id]], Tabelle5[[#This Row],[value_id]], Tabelle18[[#This Row],[value_id]], Tabelle5[[#This Row],[value_present]],"1")</f>
        <v>0</v>
      </c>
    </row>
    <row r="429" spans="1:5" x14ac:dyDescent="0.25">
      <c r="A429">
        <v>24</v>
      </c>
      <c r="B429" t="s">
        <v>147</v>
      </c>
      <c r="C429" s="54">
        <f>IF(Tabelle18[[#This Row],[binding_level_company]]&gt;=1,1,0)</f>
        <v>0</v>
      </c>
      <c r="D429" s="54">
        <f>_xlfn.MAXIFS(Tabelle5[[#This Row],[binding_level]], Tabelle5[[#This Row],[company_id]],Tabelle18[[#This Row],[company_id]], Tabelle5[[#This Row],[value_id]], Tabelle18[[#This Row],[value_id]], Tabelle5[[#This Row],[value_present]],"1")</f>
        <v>0</v>
      </c>
      <c r="E429" s="54">
        <f>_xlfn.MAXIFS(Tabelle5[[#This Row],[value_points]], Tabelle5[[#This Row],[company_id]],Tabelle18[[#This Row],[company_id]], Tabelle5[[#This Row],[value_id]], Tabelle18[[#This Row],[value_id]], Tabelle5[[#This Row],[value_present]],"1")</f>
        <v>0</v>
      </c>
    </row>
    <row r="430" spans="1:5" x14ac:dyDescent="0.25">
      <c r="A430">
        <v>24</v>
      </c>
      <c r="B430" t="s">
        <v>154</v>
      </c>
      <c r="C430" s="54">
        <f>IF(Tabelle18[[#This Row],[binding_level_company]]&gt;=1,1,0)</f>
        <v>0</v>
      </c>
      <c r="D430" s="54">
        <f>_xlfn.MAXIFS(Tabelle5[[#This Row],[binding_level]], Tabelle5[[#This Row],[company_id]],Tabelle18[[#This Row],[company_id]], Tabelle5[[#This Row],[value_id]], Tabelle18[[#This Row],[value_id]], Tabelle5[[#This Row],[value_present]],"1")</f>
        <v>0</v>
      </c>
      <c r="E430" s="54">
        <f>_xlfn.MAXIFS(Tabelle5[[#This Row],[value_points]], Tabelle5[[#This Row],[company_id]],Tabelle18[[#This Row],[company_id]], Tabelle5[[#This Row],[value_id]], Tabelle18[[#This Row],[value_id]], Tabelle5[[#This Row],[value_present]],"1")</f>
        <v>0</v>
      </c>
    </row>
    <row r="431" spans="1:5" x14ac:dyDescent="0.25">
      <c r="A431">
        <v>24</v>
      </c>
      <c r="B431" t="s">
        <v>161</v>
      </c>
      <c r="C431" s="54">
        <f>IF(Tabelle18[[#This Row],[binding_level_company]]&gt;=1,1,0)</f>
        <v>0</v>
      </c>
      <c r="D431" s="54">
        <f>_xlfn.MAXIFS(Tabelle5[[#This Row],[binding_level]], Tabelle5[[#This Row],[company_id]],Tabelle18[[#This Row],[company_id]], Tabelle5[[#This Row],[value_id]], Tabelle18[[#This Row],[value_id]], Tabelle5[[#This Row],[value_present]],"1")</f>
        <v>0</v>
      </c>
      <c r="E431" s="54">
        <f>_xlfn.MAXIFS(Tabelle5[[#This Row],[value_points]], Tabelle5[[#This Row],[company_id]],Tabelle18[[#This Row],[company_id]], Tabelle5[[#This Row],[value_id]], Tabelle18[[#This Row],[value_id]], Tabelle5[[#This Row],[value_present]],"1")</f>
        <v>0</v>
      </c>
    </row>
    <row r="432" spans="1:5" x14ac:dyDescent="0.25">
      <c r="A432">
        <v>24</v>
      </c>
      <c r="B432" t="s">
        <v>166</v>
      </c>
      <c r="C432" s="54">
        <f>IF(Tabelle18[[#This Row],[binding_level_company]]&gt;=1,1,0)</f>
        <v>0</v>
      </c>
      <c r="D432" s="54">
        <f>_xlfn.MAXIFS(Tabelle5[[#This Row],[binding_level]], Tabelle5[[#This Row],[company_id]],Tabelle18[[#This Row],[company_id]], Tabelle5[[#This Row],[value_id]], Tabelle18[[#This Row],[value_id]], Tabelle5[[#This Row],[value_present]],"1")</f>
        <v>0</v>
      </c>
      <c r="E432" s="54">
        <f>_xlfn.MAXIFS(Tabelle5[[#This Row],[value_points]], Tabelle5[[#This Row],[company_id]],Tabelle18[[#This Row],[company_id]], Tabelle5[[#This Row],[value_id]], Tabelle18[[#This Row],[value_id]], Tabelle5[[#This Row],[value_present]],"1")</f>
        <v>0</v>
      </c>
    </row>
    <row r="433" spans="1:5" ht="15.75" thickBot="1" x14ac:dyDescent="0.3">
      <c r="A433">
        <v>24</v>
      </c>
      <c r="B433" s="30" t="s">
        <v>174</v>
      </c>
      <c r="C433" s="54">
        <f>IF(Tabelle18[[#This Row],[binding_level_company]]&gt;=1,1,0)</f>
        <v>0</v>
      </c>
      <c r="D433" s="54">
        <f>_xlfn.MAXIFS(Tabelle5[[#This Row],[binding_level]], Tabelle5[[#This Row],[company_id]],Tabelle18[[#This Row],[company_id]], Tabelle5[[#This Row],[value_id]], Tabelle18[[#This Row],[value_id]], Tabelle5[[#This Row],[value_present]],"1")</f>
        <v>0</v>
      </c>
      <c r="E433" s="54">
        <f>_xlfn.MAXIFS(Tabelle5[[#This Row],[value_points]], Tabelle5[[#This Row],[company_id]],Tabelle18[[#This Row],[company_id]], Tabelle5[[#This Row],[value_id]], Tabelle18[[#This Row],[value_id]], Tabelle5[[#This Row],[value_present]],"1")</f>
        <v>0</v>
      </c>
    </row>
    <row r="434" spans="1:5" x14ac:dyDescent="0.25">
      <c r="A434">
        <v>25</v>
      </c>
      <c r="B434" s="22" t="s">
        <v>53</v>
      </c>
      <c r="C434" s="54">
        <f>IF(Tabelle18[[#This Row],[binding_level_company]]&gt;=1,1,0)</f>
        <v>0</v>
      </c>
      <c r="D434" s="54">
        <f>_xlfn.MAXIFS(Tabelle5[[#This Row],[binding_level]], Tabelle5[[#This Row],[company_id]],Tabelle18[[#This Row],[company_id]], Tabelle5[[#This Row],[value_id]], Tabelle18[[#This Row],[value_id]], Tabelle5[[#This Row],[value_present]],"1")</f>
        <v>0</v>
      </c>
      <c r="E434" s="54">
        <f>_xlfn.MAXIFS(Tabelle5[[#This Row],[value_points]], Tabelle5[[#This Row],[company_id]],Tabelle18[[#This Row],[company_id]], Tabelle5[[#This Row],[value_id]], Tabelle18[[#This Row],[value_id]], Tabelle5[[#This Row],[value_present]],"1")</f>
        <v>0</v>
      </c>
    </row>
    <row r="435" spans="1:5" x14ac:dyDescent="0.25">
      <c r="A435">
        <v>25</v>
      </c>
      <c r="B435" t="s">
        <v>61</v>
      </c>
      <c r="C435" s="54">
        <f>IF(Tabelle18[[#This Row],[binding_level_company]]&gt;=1,1,0)</f>
        <v>0</v>
      </c>
      <c r="D435" s="54">
        <f>_xlfn.MAXIFS(Tabelle5[[#This Row],[binding_level]], Tabelle5[[#This Row],[company_id]],Tabelle18[[#This Row],[company_id]], Tabelle5[[#This Row],[value_id]], Tabelle18[[#This Row],[value_id]], Tabelle5[[#This Row],[value_present]],"1")</f>
        <v>0</v>
      </c>
      <c r="E435" s="54">
        <f>_xlfn.MAXIFS(Tabelle5[[#This Row],[value_points]], Tabelle5[[#This Row],[company_id]],Tabelle18[[#This Row],[company_id]], Tabelle5[[#This Row],[value_id]], Tabelle18[[#This Row],[value_id]], Tabelle5[[#This Row],[value_present]],"1")</f>
        <v>0</v>
      </c>
    </row>
    <row r="436" spans="1:5" x14ac:dyDescent="0.25">
      <c r="A436">
        <v>25</v>
      </c>
      <c r="B436" t="s">
        <v>69</v>
      </c>
      <c r="C436" s="54">
        <f>IF(Tabelle18[[#This Row],[binding_level_company]]&gt;=1,1,0)</f>
        <v>0</v>
      </c>
      <c r="D436" s="54">
        <f>_xlfn.MAXIFS(Tabelle5[[#This Row],[binding_level]], Tabelle5[[#This Row],[company_id]],Tabelle18[[#This Row],[company_id]], Tabelle5[[#This Row],[value_id]], Tabelle18[[#This Row],[value_id]], Tabelle5[[#This Row],[value_present]],"1")</f>
        <v>0</v>
      </c>
      <c r="E436" s="54">
        <f>_xlfn.MAXIFS(Tabelle5[[#This Row],[value_points]], Tabelle5[[#This Row],[company_id]],Tabelle18[[#This Row],[company_id]], Tabelle5[[#This Row],[value_id]], Tabelle18[[#This Row],[value_id]], Tabelle5[[#This Row],[value_present]],"1")</f>
        <v>0</v>
      </c>
    </row>
    <row r="437" spans="1:5" x14ac:dyDescent="0.25">
      <c r="A437">
        <v>25</v>
      </c>
      <c r="B437" t="s">
        <v>76</v>
      </c>
      <c r="C437" s="54">
        <f>IF(Tabelle18[[#This Row],[binding_level_company]]&gt;=1,1,0)</f>
        <v>0</v>
      </c>
      <c r="D437" s="54">
        <f>_xlfn.MAXIFS(Tabelle5[[#This Row],[binding_level]], Tabelle5[[#This Row],[company_id]],Tabelle18[[#This Row],[company_id]], Tabelle5[[#This Row],[value_id]], Tabelle18[[#This Row],[value_id]], Tabelle5[[#This Row],[value_present]],"1")</f>
        <v>0</v>
      </c>
      <c r="E437" s="54">
        <f>_xlfn.MAXIFS(Tabelle5[[#This Row],[value_points]], Tabelle5[[#This Row],[company_id]],Tabelle18[[#This Row],[company_id]], Tabelle5[[#This Row],[value_id]], Tabelle18[[#This Row],[value_id]], Tabelle5[[#This Row],[value_present]],"1")</f>
        <v>0</v>
      </c>
    </row>
    <row r="438" spans="1:5" x14ac:dyDescent="0.25">
      <c r="A438">
        <v>25</v>
      </c>
      <c r="B438" t="s">
        <v>83</v>
      </c>
      <c r="C438" s="54">
        <f>IF(Tabelle18[[#This Row],[binding_level_company]]&gt;=1,1,0)</f>
        <v>0</v>
      </c>
      <c r="D438" s="54">
        <f>_xlfn.MAXIFS(Tabelle5[[#This Row],[binding_level]], Tabelle5[[#This Row],[company_id]],Tabelle18[[#This Row],[company_id]], Tabelle5[[#This Row],[value_id]], Tabelle18[[#This Row],[value_id]], Tabelle5[[#This Row],[value_present]],"1")</f>
        <v>0</v>
      </c>
      <c r="E438" s="54">
        <f>_xlfn.MAXIFS(Tabelle5[[#This Row],[value_points]], Tabelle5[[#This Row],[company_id]],Tabelle18[[#This Row],[company_id]], Tabelle5[[#This Row],[value_id]], Tabelle18[[#This Row],[value_id]], Tabelle5[[#This Row],[value_present]],"1")</f>
        <v>0</v>
      </c>
    </row>
    <row r="439" spans="1:5" x14ac:dyDescent="0.25">
      <c r="A439">
        <v>25</v>
      </c>
      <c r="B439" t="s">
        <v>90</v>
      </c>
      <c r="C439" s="54">
        <f>IF(Tabelle18[[#This Row],[binding_level_company]]&gt;=1,1,0)</f>
        <v>0</v>
      </c>
      <c r="D439" s="54">
        <f>_xlfn.MAXIFS(Tabelle5[[#This Row],[binding_level]], Tabelle5[[#This Row],[company_id]],Tabelle18[[#This Row],[company_id]], Tabelle5[[#This Row],[value_id]], Tabelle18[[#This Row],[value_id]], Tabelle5[[#This Row],[value_present]],"1")</f>
        <v>0</v>
      </c>
      <c r="E439" s="54">
        <f>_xlfn.MAXIFS(Tabelle5[[#This Row],[value_points]], Tabelle5[[#This Row],[company_id]],Tabelle18[[#This Row],[company_id]], Tabelle5[[#This Row],[value_id]], Tabelle18[[#This Row],[value_id]], Tabelle5[[#This Row],[value_present]],"1")</f>
        <v>0</v>
      </c>
    </row>
    <row r="440" spans="1:5" x14ac:dyDescent="0.25">
      <c r="A440">
        <v>25</v>
      </c>
      <c r="B440" t="s">
        <v>98</v>
      </c>
      <c r="C440" s="54">
        <f>IF(Tabelle18[[#This Row],[binding_level_company]]&gt;=1,1,0)</f>
        <v>0</v>
      </c>
      <c r="D440" s="54">
        <f>_xlfn.MAXIFS(Tabelle5[[#This Row],[binding_level]], Tabelle5[[#This Row],[company_id]],Tabelle18[[#This Row],[company_id]], Tabelle5[[#This Row],[value_id]], Tabelle18[[#This Row],[value_id]], Tabelle5[[#This Row],[value_present]],"1")</f>
        <v>0</v>
      </c>
      <c r="E440" s="54">
        <f>_xlfn.MAXIFS(Tabelle5[[#This Row],[value_points]], Tabelle5[[#This Row],[company_id]],Tabelle18[[#This Row],[company_id]], Tabelle5[[#This Row],[value_id]], Tabelle18[[#This Row],[value_id]], Tabelle5[[#This Row],[value_present]],"1")</f>
        <v>0</v>
      </c>
    </row>
    <row r="441" spans="1:5" x14ac:dyDescent="0.25">
      <c r="A441">
        <v>25</v>
      </c>
      <c r="B441" t="s">
        <v>106</v>
      </c>
      <c r="C441" s="54">
        <f>IF(Tabelle18[[#This Row],[binding_level_company]]&gt;=1,1,0)</f>
        <v>0</v>
      </c>
      <c r="D441" s="54">
        <f>_xlfn.MAXIFS(Tabelle5[[#This Row],[binding_level]], Tabelle5[[#This Row],[company_id]],Tabelle18[[#This Row],[company_id]], Tabelle5[[#This Row],[value_id]], Tabelle18[[#This Row],[value_id]], Tabelle5[[#This Row],[value_present]],"1")</f>
        <v>0</v>
      </c>
      <c r="E441" s="54">
        <f>_xlfn.MAXIFS(Tabelle5[[#This Row],[value_points]], Tabelle5[[#This Row],[company_id]],Tabelle18[[#This Row],[company_id]], Tabelle5[[#This Row],[value_id]], Tabelle18[[#This Row],[value_id]], Tabelle5[[#This Row],[value_present]],"1")</f>
        <v>0</v>
      </c>
    </row>
    <row r="442" spans="1:5" x14ac:dyDescent="0.25">
      <c r="A442">
        <v>25</v>
      </c>
      <c r="B442" t="s">
        <v>112</v>
      </c>
      <c r="C442" s="54">
        <f>IF(Tabelle18[[#This Row],[binding_level_company]]&gt;=1,1,0)</f>
        <v>0</v>
      </c>
      <c r="D442" s="54">
        <f>_xlfn.MAXIFS(Tabelle5[[#This Row],[binding_level]], Tabelle5[[#This Row],[company_id]],Tabelle18[[#This Row],[company_id]], Tabelle5[[#This Row],[value_id]], Tabelle18[[#This Row],[value_id]], Tabelle5[[#This Row],[value_present]],"1")</f>
        <v>0</v>
      </c>
      <c r="E442" s="54">
        <f>_xlfn.MAXIFS(Tabelle5[[#This Row],[value_points]], Tabelle5[[#This Row],[company_id]],Tabelle18[[#This Row],[company_id]], Tabelle5[[#This Row],[value_id]], Tabelle18[[#This Row],[value_id]], Tabelle5[[#This Row],[value_present]],"1")</f>
        <v>0</v>
      </c>
    </row>
    <row r="443" spans="1:5" x14ac:dyDescent="0.25">
      <c r="A443">
        <v>25</v>
      </c>
      <c r="B443" t="s">
        <v>118</v>
      </c>
      <c r="C443" s="54">
        <f>IF(Tabelle18[[#This Row],[binding_level_company]]&gt;=1,1,0)</f>
        <v>0</v>
      </c>
      <c r="D443" s="54">
        <f>_xlfn.MAXIFS(Tabelle5[[#This Row],[binding_level]], Tabelle5[[#This Row],[company_id]],Tabelle18[[#This Row],[company_id]], Tabelle5[[#This Row],[value_id]], Tabelle18[[#This Row],[value_id]], Tabelle5[[#This Row],[value_present]],"1")</f>
        <v>0</v>
      </c>
      <c r="E443" s="54">
        <f>_xlfn.MAXIFS(Tabelle5[[#This Row],[value_points]], Tabelle5[[#This Row],[company_id]],Tabelle18[[#This Row],[company_id]], Tabelle5[[#This Row],[value_id]], Tabelle18[[#This Row],[value_id]], Tabelle5[[#This Row],[value_present]],"1")</f>
        <v>0</v>
      </c>
    </row>
    <row r="444" spans="1:5" x14ac:dyDescent="0.25">
      <c r="A444">
        <v>25</v>
      </c>
      <c r="B444" t="s">
        <v>125</v>
      </c>
      <c r="C444" s="54">
        <f>IF(Tabelle18[[#This Row],[binding_level_company]]&gt;=1,1,0)</f>
        <v>0</v>
      </c>
      <c r="D444" s="54">
        <f>_xlfn.MAXIFS(Tabelle5[[#This Row],[binding_level]], Tabelle5[[#This Row],[company_id]],Tabelle18[[#This Row],[company_id]], Tabelle5[[#This Row],[value_id]], Tabelle18[[#This Row],[value_id]], Tabelle5[[#This Row],[value_present]],"1")</f>
        <v>0</v>
      </c>
      <c r="E444" s="54">
        <f>_xlfn.MAXIFS(Tabelle5[[#This Row],[value_points]], Tabelle5[[#This Row],[company_id]],Tabelle18[[#This Row],[company_id]], Tabelle5[[#This Row],[value_id]], Tabelle18[[#This Row],[value_id]], Tabelle5[[#This Row],[value_present]],"1")</f>
        <v>0</v>
      </c>
    </row>
    <row r="445" spans="1:5" x14ac:dyDescent="0.25">
      <c r="A445">
        <v>25</v>
      </c>
      <c r="B445" t="s">
        <v>132</v>
      </c>
      <c r="C445" s="54">
        <f>IF(Tabelle18[[#This Row],[binding_level_company]]&gt;=1,1,0)</f>
        <v>0</v>
      </c>
      <c r="D445" s="54">
        <f>_xlfn.MAXIFS(Tabelle5[[#This Row],[binding_level]], Tabelle5[[#This Row],[company_id]],Tabelle18[[#This Row],[company_id]], Tabelle5[[#This Row],[value_id]], Tabelle18[[#This Row],[value_id]], Tabelle5[[#This Row],[value_present]],"1")</f>
        <v>0</v>
      </c>
      <c r="E445" s="54">
        <f>_xlfn.MAXIFS(Tabelle5[[#This Row],[value_points]], Tabelle5[[#This Row],[company_id]],Tabelle18[[#This Row],[company_id]], Tabelle5[[#This Row],[value_id]], Tabelle18[[#This Row],[value_id]], Tabelle5[[#This Row],[value_present]],"1")</f>
        <v>0</v>
      </c>
    </row>
    <row r="446" spans="1:5" x14ac:dyDescent="0.25">
      <c r="A446">
        <v>25</v>
      </c>
      <c r="B446" t="s">
        <v>140</v>
      </c>
      <c r="C446" s="54">
        <f>IF(Tabelle18[[#This Row],[binding_level_company]]&gt;=1,1,0)</f>
        <v>0</v>
      </c>
      <c r="D446" s="54">
        <f>_xlfn.MAXIFS(Tabelle5[[#This Row],[binding_level]], Tabelle5[[#This Row],[company_id]],Tabelle18[[#This Row],[company_id]], Tabelle5[[#This Row],[value_id]], Tabelle18[[#This Row],[value_id]], Tabelle5[[#This Row],[value_present]],"1")</f>
        <v>0</v>
      </c>
      <c r="E446" s="54">
        <f>_xlfn.MAXIFS(Tabelle5[[#This Row],[value_points]], Tabelle5[[#This Row],[company_id]],Tabelle18[[#This Row],[company_id]], Tabelle5[[#This Row],[value_id]], Tabelle18[[#This Row],[value_id]], Tabelle5[[#This Row],[value_present]],"1")</f>
        <v>0</v>
      </c>
    </row>
    <row r="447" spans="1:5" x14ac:dyDescent="0.25">
      <c r="A447">
        <v>25</v>
      </c>
      <c r="B447" t="s">
        <v>147</v>
      </c>
      <c r="C447" s="54">
        <f>IF(Tabelle18[[#This Row],[binding_level_company]]&gt;=1,1,0)</f>
        <v>0</v>
      </c>
      <c r="D447" s="54">
        <f>_xlfn.MAXIFS(Tabelle5[[#This Row],[binding_level]], Tabelle5[[#This Row],[company_id]],Tabelle18[[#This Row],[company_id]], Tabelle5[[#This Row],[value_id]], Tabelle18[[#This Row],[value_id]], Tabelle5[[#This Row],[value_present]],"1")</f>
        <v>0</v>
      </c>
      <c r="E447" s="54">
        <f>_xlfn.MAXIFS(Tabelle5[[#This Row],[value_points]], Tabelle5[[#This Row],[company_id]],Tabelle18[[#This Row],[company_id]], Tabelle5[[#This Row],[value_id]], Tabelle18[[#This Row],[value_id]], Tabelle5[[#This Row],[value_present]],"1")</f>
        <v>0</v>
      </c>
    </row>
    <row r="448" spans="1:5" x14ac:dyDescent="0.25">
      <c r="A448">
        <v>25</v>
      </c>
      <c r="B448" t="s">
        <v>154</v>
      </c>
      <c r="C448" s="54">
        <f>IF(Tabelle18[[#This Row],[binding_level_company]]&gt;=1,1,0)</f>
        <v>0</v>
      </c>
      <c r="D448" s="54">
        <f>_xlfn.MAXIFS(Tabelle5[[#This Row],[binding_level]], Tabelle5[[#This Row],[company_id]],Tabelle18[[#This Row],[company_id]], Tabelle5[[#This Row],[value_id]], Tabelle18[[#This Row],[value_id]], Tabelle5[[#This Row],[value_present]],"1")</f>
        <v>0</v>
      </c>
      <c r="E448" s="54">
        <f>_xlfn.MAXIFS(Tabelle5[[#This Row],[value_points]], Tabelle5[[#This Row],[company_id]],Tabelle18[[#This Row],[company_id]], Tabelle5[[#This Row],[value_id]], Tabelle18[[#This Row],[value_id]], Tabelle5[[#This Row],[value_present]],"1")</f>
        <v>0</v>
      </c>
    </row>
    <row r="449" spans="1:5" x14ac:dyDescent="0.25">
      <c r="A449">
        <v>25</v>
      </c>
      <c r="B449" t="s">
        <v>161</v>
      </c>
      <c r="C449" s="54">
        <f>IF(Tabelle18[[#This Row],[binding_level_company]]&gt;=1,1,0)</f>
        <v>0</v>
      </c>
      <c r="D449" s="54">
        <f>_xlfn.MAXIFS(Tabelle5[[#This Row],[binding_level]], Tabelle5[[#This Row],[company_id]],Tabelle18[[#This Row],[company_id]], Tabelle5[[#This Row],[value_id]], Tabelle18[[#This Row],[value_id]], Tabelle5[[#This Row],[value_present]],"1")</f>
        <v>0</v>
      </c>
      <c r="E449" s="54">
        <f>_xlfn.MAXIFS(Tabelle5[[#This Row],[value_points]], Tabelle5[[#This Row],[company_id]],Tabelle18[[#This Row],[company_id]], Tabelle5[[#This Row],[value_id]], Tabelle18[[#This Row],[value_id]], Tabelle5[[#This Row],[value_present]],"1")</f>
        <v>0</v>
      </c>
    </row>
    <row r="450" spans="1:5" x14ac:dyDescent="0.25">
      <c r="A450">
        <v>25</v>
      </c>
      <c r="B450" t="s">
        <v>166</v>
      </c>
      <c r="C450" s="54">
        <f>IF(Tabelle18[[#This Row],[binding_level_company]]&gt;=1,1,0)</f>
        <v>0</v>
      </c>
      <c r="D450" s="54">
        <f>_xlfn.MAXIFS(Tabelle5[[#This Row],[binding_level]], Tabelle5[[#This Row],[company_id]],Tabelle18[[#This Row],[company_id]], Tabelle5[[#This Row],[value_id]], Tabelle18[[#This Row],[value_id]], Tabelle5[[#This Row],[value_present]],"1")</f>
        <v>0</v>
      </c>
      <c r="E450" s="54">
        <f>_xlfn.MAXIFS(Tabelle5[[#This Row],[value_points]], Tabelle5[[#This Row],[company_id]],Tabelle18[[#This Row],[company_id]], Tabelle5[[#This Row],[value_id]], Tabelle18[[#This Row],[value_id]], Tabelle5[[#This Row],[value_present]],"1")</f>
        <v>0</v>
      </c>
    </row>
    <row r="451" spans="1:5" ht="15.75" thickBot="1" x14ac:dyDescent="0.3">
      <c r="A451">
        <v>25</v>
      </c>
      <c r="B451" s="30" t="s">
        <v>174</v>
      </c>
      <c r="C451" s="54">
        <f>IF(Tabelle18[[#This Row],[binding_level_company]]&gt;=1,1,0)</f>
        <v>0</v>
      </c>
      <c r="D451" s="54">
        <f>_xlfn.MAXIFS(Tabelle5[[#This Row],[binding_level]], Tabelle5[[#This Row],[company_id]],Tabelle18[[#This Row],[company_id]], Tabelle5[[#This Row],[value_id]], Tabelle18[[#This Row],[value_id]], Tabelle5[[#This Row],[value_present]],"1")</f>
        <v>0</v>
      </c>
      <c r="E451" s="54">
        <f>_xlfn.MAXIFS(Tabelle5[[#This Row],[value_points]], Tabelle5[[#This Row],[company_id]],Tabelle18[[#This Row],[company_id]], Tabelle5[[#This Row],[value_id]], Tabelle18[[#This Row],[value_id]], Tabelle5[[#This Row],[value_present]],"1")</f>
        <v>0</v>
      </c>
    </row>
    <row r="452" spans="1:5" x14ac:dyDescent="0.25">
      <c r="A452">
        <v>26</v>
      </c>
      <c r="B452" s="22" t="s">
        <v>53</v>
      </c>
      <c r="C452" s="54">
        <f>IF(Tabelle18[[#This Row],[binding_level_company]]&gt;=1,1,0)</f>
        <v>0</v>
      </c>
      <c r="D452" s="54">
        <f>_xlfn.MAXIFS(Tabelle5[[#This Row],[binding_level]], Tabelle5[[#This Row],[company_id]],Tabelle18[[#This Row],[company_id]], Tabelle5[[#This Row],[value_id]], Tabelle18[[#This Row],[value_id]], Tabelle5[[#This Row],[value_present]],"1")</f>
        <v>0</v>
      </c>
      <c r="E452" s="54">
        <f>_xlfn.MAXIFS(Tabelle5[[#This Row],[value_points]], Tabelle5[[#This Row],[company_id]],Tabelle18[[#This Row],[company_id]], Tabelle5[[#This Row],[value_id]], Tabelle18[[#This Row],[value_id]], Tabelle5[[#This Row],[value_present]],"1")</f>
        <v>0</v>
      </c>
    </row>
    <row r="453" spans="1:5" x14ac:dyDescent="0.25">
      <c r="A453">
        <v>26</v>
      </c>
      <c r="B453" t="s">
        <v>61</v>
      </c>
      <c r="C453" s="54">
        <f>IF(Tabelle18[[#This Row],[binding_level_company]]&gt;=1,1,0)</f>
        <v>0</v>
      </c>
      <c r="D453" s="54">
        <f>_xlfn.MAXIFS(Tabelle5[[#This Row],[binding_level]], Tabelle5[[#This Row],[company_id]],Tabelle18[[#This Row],[company_id]], Tabelle5[[#This Row],[value_id]], Tabelle18[[#This Row],[value_id]], Tabelle5[[#This Row],[value_present]],"1")</f>
        <v>0</v>
      </c>
      <c r="E453" s="54">
        <f>_xlfn.MAXIFS(Tabelle5[[#This Row],[value_points]], Tabelle5[[#This Row],[company_id]],Tabelle18[[#This Row],[company_id]], Tabelle5[[#This Row],[value_id]], Tabelle18[[#This Row],[value_id]], Tabelle5[[#This Row],[value_present]],"1")</f>
        <v>0</v>
      </c>
    </row>
    <row r="454" spans="1:5" x14ac:dyDescent="0.25">
      <c r="A454">
        <v>26</v>
      </c>
      <c r="B454" t="s">
        <v>69</v>
      </c>
      <c r="C454" s="54">
        <f>IF(Tabelle18[[#This Row],[binding_level_company]]&gt;=1,1,0)</f>
        <v>0</v>
      </c>
      <c r="D454" s="54">
        <f>_xlfn.MAXIFS(Tabelle5[[#This Row],[binding_level]], Tabelle5[[#This Row],[company_id]],Tabelle18[[#This Row],[company_id]], Tabelle5[[#This Row],[value_id]], Tabelle18[[#This Row],[value_id]], Tabelle5[[#This Row],[value_present]],"1")</f>
        <v>0</v>
      </c>
      <c r="E454" s="54">
        <f>_xlfn.MAXIFS(Tabelle5[[#This Row],[value_points]], Tabelle5[[#This Row],[company_id]],Tabelle18[[#This Row],[company_id]], Tabelle5[[#This Row],[value_id]], Tabelle18[[#This Row],[value_id]], Tabelle5[[#This Row],[value_present]],"1")</f>
        <v>0</v>
      </c>
    </row>
    <row r="455" spans="1:5" x14ac:dyDescent="0.25">
      <c r="A455">
        <v>26</v>
      </c>
      <c r="B455" t="s">
        <v>76</v>
      </c>
      <c r="C455" s="54">
        <f>IF(Tabelle18[[#This Row],[binding_level_company]]&gt;=1,1,0)</f>
        <v>0</v>
      </c>
      <c r="D455" s="54">
        <f>_xlfn.MAXIFS(Tabelle5[[#This Row],[binding_level]], Tabelle5[[#This Row],[company_id]],Tabelle18[[#This Row],[company_id]], Tabelle5[[#This Row],[value_id]], Tabelle18[[#This Row],[value_id]], Tabelle5[[#This Row],[value_present]],"1")</f>
        <v>0</v>
      </c>
      <c r="E455" s="54">
        <f>_xlfn.MAXIFS(Tabelle5[[#This Row],[value_points]], Tabelle5[[#This Row],[company_id]],Tabelle18[[#This Row],[company_id]], Tabelle5[[#This Row],[value_id]], Tabelle18[[#This Row],[value_id]], Tabelle5[[#This Row],[value_present]],"1")</f>
        <v>0</v>
      </c>
    </row>
    <row r="456" spans="1:5" x14ac:dyDescent="0.25">
      <c r="A456">
        <v>26</v>
      </c>
      <c r="B456" t="s">
        <v>83</v>
      </c>
      <c r="C456" s="54">
        <f>IF(Tabelle18[[#This Row],[binding_level_company]]&gt;=1,1,0)</f>
        <v>0</v>
      </c>
      <c r="D456" s="54">
        <f>_xlfn.MAXIFS(Tabelle5[[#This Row],[binding_level]], Tabelle5[[#This Row],[company_id]],Tabelle18[[#This Row],[company_id]], Tabelle5[[#This Row],[value_id]], Tabelle18[[#This Row],[value_id]], Tabelle5[[#This Row],[value_present]],"1")</f>
        <v>0</v>
      </c>
      <c r="E456" s="54">
        <f>_xlfn.MAXIFS(Tabelle5[[#This Row],[value_points]], Tabelle5[[#This Row],[company_id]],Tabelle18[[#This Row],[company_id]], Tabelle5[[#This Row],[value_id]], Tabelle18[[#This Row],[value_id]], Tabelle5[[#This Row],[value_present]],"1")</f>
        <v>0</v>
      </c>
    </row>
    <row r="457" spans="1:5" x14ac:dyDescent="0.25">
      <c r="A457">
        <v>26</v>
      </c>
      <c r="B457" t="s">
        <v>90</v>
      </c>
      <c r="C457" s="54">
        <f>IF(Tabelle18[[#This Row],[binding_level_company]]&gt;=1,1,0)</f>
        <v>0</v>
      </c>
      <c r="D457" s="54">
        <f>_xlfn.MAXIFS(Tabelle5[[#This Row],[binding_level]], Tabelle5[[#This Row],[company_id]],Tabelle18[[#This Row],[company_id]], Tabelle5[[#This Row],[value_id]], Tabelle18[[#This Row],[value_id]], Tabelle5[[#This Row],[value_present]],"1")</f>
        <v>0</v>
      </c>
      <c r="E457" s="54">
        <f>_xlfn.MAXIFS(Tabelle5[[#This Row],[value_points]], Tabelle5[[#This Row],[company_id]],Tabelle18[[#This Row],[company_id]], Tabelle5[[#This Row],[value_id]], Tabelle18[[#This Row],[value_id]], Tabelle5[[#This Row],[value_present]],"1")</f>
        <v>0</v>
      </c>
    </row>
    <row r="458" spans="1:5" x14ac:dyDescent="0.25">
      <c r="A458">
        <v>26</v>
      </c>
      <c r="B458" t="s">
        <v>98</v>
      </c>
      <c r="C458" s="54">
        <f>IF(Tabelle18[[#This Row],[binding_level_company]]&gt;=1,1,0)</f>
        <v>0</v>
      </c>
      <c r="D458" s="54">
        <f>_xlfn.MAXIFS(Tabelle5[[#This Row],[binding_level]], Tabelle5[[#This Row],[company_id]],Tabelle18[[#This Row],[company_id]], Tabelle5[[#This Row],[value_id]], Tabelle18[[#This Row],[value_id]], Tabelle5[[#This Row],[value_present]],"1")</f>
        <v>0</v>
      </c>
      <c r="E458" s="54">
        <f>_xlfn.MAXIFS(Tabelle5[[#This Row],[value_points]], Tabelle5[[#This Row],[company_id]],Tabelle18[[#This Row],[company_id]], Tabelle5[[#This Row],[value_id]], Tabelle18[[#This Row],[value_id]], Tabelle5[[#This Row],[value_present]],"1")</f>
        <v>0</v>
      </c>
    </row>
    <row r="459" spans="1:5" x14ac:dyDescent="0.25">
      <c r="A459">
        <v>26</v>
      </c>
      <c r="B459" t="s">
        <v>106</v>
      </c>
      <c r="C459" s="54">
        <f>IF(Tabelle18[[#This Row],[binding_level_company]]&gt;=1,1,0)</f>
        <v>0</v>
      </c>
      <c r="D459" s="54">
        <f>_xlfn.MAXIFS(Tabelle5[[#This Row],[binding_level]], Tabelle5[[#This Row],[company_id]],Tabelle18[[#This Row],[company_id]], Tabelle5[[#This Row],[value_id]], Tabelle18[[#This Row],[value_id]], Tabelle5[[#This Row],[value_present]],"1")</f>
        <v>0</v>
      </c>
      <c r="E459" s="54">
        <f>_xlfn.MAXIFS(Tabelle5[[#This Row],[value_points]], Tabelle5[[#This Row],[company_id]],Tabelle18[[#This Row],[company_id]], Tabelle5[[#This Row],[value_id]], Tabelle18[[#This Row],[value_id]], Tabelle5[[#This Row],[value_present]],"1")</f>
        <v>0</v>
      </c>
    </row>
    <row r="460" spans="1:5" x14ac:dyDescent="0.25">
      <c r="A460">
        <v>26</v>
      </c>
      <c r="B460" t="s">
        <v>112</v>
      </c>
      <c r="C460" s="54">
        <f>IF(Tabelle18[[#This Row],[binding_level_company]]&gt;=1,1,0)</f>
        <v>0</v>
      </c>
      <c r="D460" s="54">
        <f>_xlfn.MAXIFS(Tabelle5[[#This Row],[binding_level]], Tabelle5[[#This Row],[company_id]],Tabelle18[[#This Row],[company_id]], Tabelle5[[#This Row],[value_id]], Tabelle18[[#This Row],[value_id]], Tabelle5[[#This Row],[value_present]],"1")</f>
        <v>0</v>
      </c>
      <c r="E460" s="54">
        <f>_xlfn.MAXIFS(Tabelle5[[#This Row],[value_points]], Tabelle5[[#This Row],[company_id]],Tabelle18[[#This Row],[company_id]], Tabelle5[[#This Row],[value_id]], Tabelle18[[#This Row],[value_id]], Tabelle5[[#This Row],[value_present]],"1")</f>
        <v>0</v>
      </c>
    </row>
    <row r="461" spans="1:5" x14ac:dyDescent="0.25">
      <c r="A461">
        <v>26</v>
      </c>
      <c r="B461" t="s">
        <v>118</v>
      </c>
      <c r="C461" s="54">
        <f>IF(Tabelle18[[#This Row],[binding_level_company]]&gt;=1,1,0)</f>
        <v>0</v>
      </c>
      <c r="D461" s="54">
        <f>_xlfn.MAXIFS(Tabelle5[[#This Row],[binding_level]], Tabelle5[[#This Row],[company_id]],Tabelle18[[#This Row],[company_id]], Tabelle5[[#This Row],[value_id]], Tabelle18[[#This Row],[value_id]], Tabelle5[[#This Row],[value_present]],"1")</f>
        <v>0</v>
      </c>
      <c r="E461" s="54">
        <f>_xlfn.MAXIFS(Tabelle5[[#This Row],[value_points]], Tabelle5[[#This Row],[company_id]],Tabelle18[[#This Row],[company_id]], Tabelle5[[#This Row],[value_id]], Tabelle18[[#This Row],[value_id]], Tabelle5[[#This Row],[value_present]],"1")</f>
        <v>0</v>
      </c>
    </row>
    <row r="462" spans="1:5" x14ac:dyDescent="0.25">
      <c r="A462">
        <v>26</v>
      </c>
      <c r="B462" t="s">
        <v>125</v>
      </c>
      <c r="C462" s="54">
        <f>IF(Tabelle18[[#This Row],[binding_level_company]]&gt;=1,1,0)</f>
        <v>0</v>
      </c>
      <c r="D462" s="54">
        <f>_xlfn.MAXIFS(Tabelle5[[#This Row],[binding_level]], Tabelle5[[#This Row],[company_id]],Tabelle18[[#This Row],[company_id]], Tabelle5[[#This Row],[value_id]], Tabelle18[[#This Row],[value_id]], Tabelle5[[#This Row],[value_present]],"1")</f>
        <v>0</v>
      </c>
      <c r="E462" s="54">
        <f>_xlfn.MAXIFS(Tabelle5[[#This Row],[value_points]], Tabelle5[[#This Row],[company_id]],Tabelle18[[#This Row],[company_id]], Tabelle5[[#This Row],[value_id]], Tabelle18[[#This Row],[value_id]], Tabelle5[[#This Row],[value_present]],"1")</f>
        <v>0</v>
      </c>
    </row>
    <row r="463" spans="1:5" x14ac:dyDescent="0.25">
      <c r="A463">
        <v>26</v>
      </c>
      <c r="B463" t="s">
        <v>132</v>
      </c>
      <c r="C463" s="54">
        <f>IF(Tabelle18[[#This Row],[binding_level_company]]&gt;=1,1,0)</f>
        <v>0</v>
      </c>
      <c r="D463" s="54">
        <f>_xlfn.MAXIFS(Tabelle5[[#This Row],[binding_level]], Tabelle5[[#This Row],[company_id]],Tabelle18[[#This Row],[company_id]], Tabelle5[[#This Row],[value_id]], Tabelle18[[#This Row],[value_id]], Tabelle5[[#This Row],[value_present]],"1")</f>
        <v>0</v>
      </c>
      <c r="E463" s="54">
        <f>_xlfn.MAXIFS(Tabelle5[[#This Row],[value_points]], Tabelle5[[#This Row],[company_id]],Tabelle18[[#This Row],[company_id]], Tabelle5[[#This Row],[value_id]], Tabelle18[[#This Row],[value_id]], Tabelle5[[#This Row],[value_present]],"1")</f>
        <v>0</v>
      </c>
    </row>
    <row r="464" spans="1:5" x14ac:dyDescent="0.25">
      <c r="A464">
        <v>26</v>
      </c>
      <c r="B464" t="s">
        <v>140</v>
      </c>
      <c r="C464" s="54">
        <f>IF(Tabelle18[[#This Row],[binding_level_company]]&gt;=1,1,0)</f>
        <v>0</v>
      </c>
      <c r="D464" s="54">
        <f>_xlfn.MAXIFS(Tabelle5[[#This Row],[binding_level]], Tabelle5[[#This Row],[company_id]],Tabelle18[[#This Row],[company_id]], Tabelle5[[#This Row],[value_id]], Tabelle18[[#This Row],[value_id]], Tabelle5[[#This Row],[value_present]],"1")</f>
        <v>0</v>
      </c>
      <c r="E464" s="54">
        <f>_xlfn.MAXIFS(Tabelle5[[#This Row],[value_points]], Tabelle5[[#This Row],[company_id]],Tabelle18[[#This Row],[company_id]], Tabelle5[[#This Row],[value_id]], Tabelle18[[#This Row],[value_id]], Tabelle5[[#This Row],[value_present]],"1")</f>
        <v>0</v>
      </c>
    </row>
    <row r="465" spans="1:5" x14ac:dyDescent="0.25">
      <c r="A465">
        <v>26</v>
      </c>
      <c r="B465" t="s">
        <v>147</v>
      </c>
      <c r="C465" s="54">
        <f>IF(Tabelle18[[#This Row],[binding_level_company]]&gt;=1,1,0)</f>
        <v>0</v>
      </c>
      <c r="D465" s="54">
        <f>_xlfn.MAXIFS(Tabelle5[[#This Row],[binding_level]], Tabelle5[[#This Row],[company_id]],Tabelle18[[#This Row],[company_id]], Tabelle5[[#This Row],[value_id]], Tabelle18[[#This Row],[value_id]], Tabelle5[[#This Row],[value_present]],"1")</f>
        <v>0</v>
      </c>
      <c r="E465" s="54">
        <f>_xlfn.MAXIFS(Tabelle5[[#This Row],[value_points]], Tabelle5[[#This Row],[company_id]],Tabelle18[[#This Row],[company_id]], Tabelle5[[#This Row],[value_id]], Tabelle18[[#This Row],[value_id]], Tabelle5[[#This Row],[value_present]],"1")</f>
        <v>0</v>
      </c>
    </row>
    <row r="466" spans="1:5" x14ac:dyDescent="0.25">
      <c r="A466">
        <v>26</v>
      </c>
      <c r="B466" t="s">
        <v>154</v>
      </c>
      <c r="C466" s="54">
        <f>IF(Tabelle18[[#This Row],[binding_level_company]]&gt;=1,1,0)</f>
        <v>0</v>
      </c>
      <c r="D466" s="54">
        <f>_xlfn.MAXIFS(Tabelle5[[#This Row],[binding_level]], Tabelle5[[#This Row],[company_id]],Tabelle18[[#This Row],[company_id]], Tabelle5[[#This Row],[value_id]], Tabelle18[[#This Row],[value_id]], Tabelle5[[#This Row],[value_present]],"1")</f>
        <v>0</v>
      </c>
      <c r="E466" s="54">
        <f>_xlfn.MAXIFS(Tabelle5[[#This Row],[value_points]], Tabelle5[[#This Row],[company_id]],Tabelle18[[#This Row],[company_id]], Tabelle5[[#This Row],[value_id]], Tabelle18[[#This Row],[value_id]], Tabelle5[[#This Row],[value_present]],"1")</f>
        <v>0</v>
      </c>
    </row>
    <row r="467" spans="1:5" x14ac:dyDescent="0.25">
      <c r="A467">
        <v>26</v>
      </c>
      <c r="B467" t="s">
        <v>161</v>
      </c>
      <c r="C467" s="54">
        <f>IF(Tabelle18[[#This Row],[binding_level_company]]&gt;=1,1,0)</f>
        <v>0</v>
      </c>
      <c r="D467" s="54">
        <f>_xlfn.MAXIFS(Tabelle5[[#This Row],[binding_level]], Tabelle5[[#This Row],[company_id]],Tabelle18[[#This Row],[company_id]], Tabelle5[[#This Row],[value_id]], Tabelle18[[#This Row],[value_id]], Tabelle5[[#This Row],[value_present]],"1")</f>
        <v>0</v>
      </c>
      <c r="E467" s="54">
        <f>_xlfn.MAXIFS(Tabelle5[[#This Row],[value_points]], Tabelle5[[#This Row],[company_id]],Tabelle18[[#This Row],[company_id]], Tabelle5[[#This Row],[value_id]], Tabelle18[[#This Row],[value_id]], Tabelle5[[#This Row],[value_present]],"1")</f>
        <v>0</v>
      </c>
    </row>
    <row r="468" spans="1:5" x14ac:dyDescent="0.25">
      <c r="A468">
        <v>26</v>
      </c>
      <c r="B468" t="s">
        <v>166</v>
      </c>
      <c r="C468" s="54">
        <f>IF(Tabelle18[[#This Row],[binding_level_company]]&gt;=1,1,0)</f>
        <v>0</v>
      </c>
      <c r="D468" s="54">
        <f>_xlfn.MAXIFS(Tabelle5[[#This Row],[binding_level]], Tabelle5[[#This Row],[company_id]],Tabelle18[[#This Row],[company_id]], Tabelle5[[#This Row],[value_id]], Tabelle18[[#This Row],[value_id]], Tabelle5[[#This Row],[value_present]],"1")</f>
        <v>0</v>
      </c>
      <c r="E468" s="54">
        <f>_xlfn.MAXIFS(Tabelle5[[#This Row],[value_points]], Tabelle5[[#This Row],[company_id]],Tabelle18[[#This Row],[company_id]], Tabelle5[[#This Row],[value_id]], Tabelle18[[#This Row],[value_id]], Tabelle5[[#This Row],[value_present]],"1")</f>
        <v>0</v>
      </c>
    </row>
    <row r="469" spans="1:5" ht="15.75" thickBot="1" x14ac:dyDescent="0.3">
      <c r="A469">
        <v>26</v>
      </c>
      <c r="B469" s="30" t="s">
        <v>174</v>
      </c>
      <c r="C469" s="54">
        <f>IF(Tabelle18[[#This Row],[binding_level_company]]&gt;=1,1,0)</f>
        <v>0</v>
      </c>
      <c r="D469" s="54">
        <f>_xlfn.MAXIFS(Tabelle5[[#This Row],[binding_level]], Tabelle5[[#This Row],[company_id]],Tabelle18[[#This Row],[company_id]], Tabelle5[[#This Row],[value_id]], Tabelle18[[#This Row],[value_id]], Tabelle5[[#This Row],[value_present]],"1")</f>
        <v>0</v>
      </c>
      <c r="E469" s="54">
        <f>_xlfn.MAXIFS(Tabelle5[[#This Row],[value_points]], Tabelle5[[#This Row],[company_id]],Tabelle18[[#This Row],[company_id]], Tabelle5[[#This Row],[value_id]], Tabelle18[[#This Row],[value_id]], Tabelle5[[#This Row],[value_present]],"1")</f>
        <v>0</v>
      </c>
    </row>
    <row r="470" spans="1:5" x14ac:dyDescent="0.25">
      <c r="A470">
        <v>27</v>
      </c>
      <c r="B470" s="22" t="s">
        <v>53</v>
      </c>
      <c r="C470" s="54">
        <f>IF(Tabelle18[[#This Row],[binding_level_company]]&gt;=1,1,0)</f>
        <v>0</v>
      </c>
      <c r="D470" s="54">
        <f>_xlfn.MAXIFS(Tabelle5[[#This Row],[binding_level]], Tabelle5[[#This Row],[company_id]],Tabelle18[[#This Row],[company_id]], Tabelle5[[#This Row],[value_id]], Tabelle18[[#This Row],[value_id]], Tabelle5[[#This Row],[value_present]],"1")</f>
        <v>0</v>
      </c>
      <c r="E470" s="54">
        <f>_xlfn.MAXIFS(Tabelle5[[#This Row],[value_points]], Tabelle5[[#This Row],[company_id]],Tabelle18[[#This Row],[company_id]], Tabelle5[[#This Row],[value_id]], Tabelle18[[#This Row],[value_id]], Tabelle5[[#This Row],[value_present]],"1")</f>
        <v>0</v>
      </c>
    </row>
    <row r="471" spans="1:5" x14ac:dyDescent="0.25">
      <c r="A471">
        <v>27</v>
      </c>
      <c r="B471" t="s">
        <v>61</v>
      </c>
      <c r="C471" s="54">
        <f>IF(Tabelle18[[#This Row],[binding_level_company]]&gt;=1,1,0)</f>
        <v>0</v>
      </c>
      <c r="D471" s="54">
        <f>_xlfn.MAXIFS(Tabelle5[[#This Row],[binding_level]], Tabelle5[[#This Row],[company_id]],Tabelle18[[#This Row],[company_id]], Tabelle5[[#This Row],[value_id]], Tabelle18[[#This Row],[value_id]], Tabelle5[[#This Row],[value_present]],"1")</f>
        <v>0</v>
      </c>
      <c r="E471" s="54">
        <f>_xlfn.MAXIFS(Tabelle5[[#This Row],[value_points]], Tabelle5[[#This Row],[company_id]],Tabelle18[[#This Row],[company_id]], Tabelle5[[#This Row],[value_id]], Tabelle18[[#This Row],[value_id]], Tabelle5[[#This Row],[value_present]],"1")</f>
        <v>0</v>
      </c>
    </row>
    <row r="472" spans="1:5" x14ac:dyDescent="0.25">
      <c r="A472">
        <v>27</v>
      </c>
      <c r="B472" t="s">
        <v>69</v>
      </c>
      <c r="C472" s="54">
        <f>IF(Tabelle18[[#This Row],[binding_level_company]]&gt;=1,1,0)</f>
        <v>0</v>
      </c>
      <c r="D472" s="54">
        <f>_xlfn.MAXIFS(Tabelle5[[#This Row],[binding_level]], Tabelle5[[#This Row],[company_id]],Tabelle18[[#This Row],[company_id]], Tabelle5[[#This Row],[value_id]], Tabelle18[[#This Row],[value_id]], Tabelle5[[#This Row],[value_present]],"1")</f>
        <v>0</v>
      </c>
      <c r="E472" s="54">
        <f>_xlfn.MAXIFS(Tabelle5[[#This Row],[value_points]], Tabelle5[[#This Row],[company_id]],Tabelle18[[#This Row],[company_id]], Tabelle5[[#This Row],[value_id]], Tabelle18[[#This Row],[value_id]], Tabelle5[[#This Row],[value_present]],"1")</f>
        <v>0</v>
      </c>
    </row>
    <row r="473" spans="1:5" x14ac:dyDescent="0.25">
      <c r="A473">
        <v>27</v>
      </c>
      <c r="B473" t="s">
        <v>76</v>
      </c>
      <c r="C473" s="54">
        <f>IF(Tabelle18[[#This Row],[binding_level_company]]&gt;=1,1,0)</f>
        <v>0</v>
      </c>
      <c r="D473" s="54">
        <f>_xlfn.MAXIFS(Tabelle5[[#This Row],[binding_level]], Tabelle5[[#This Row],[company_id]],Tabelle18[[#This Row],[company_id]], Tabelle5[[#This Row],[value_id]], Tabelle18[[#This Row],[value_id]], Tabelle5[[#This Row],[value_present]],"1")</f>
        <v>0</v>
      </c>
      <c r="E473" s="54">
        <f>_xlfn.MAXIFS(Tabelle5[[#This Row],[value_points]], Tabelle5[[#This Row],[company_id]],Tabelle18[[#This Row],[company_id]], Tabelle5[[#This Row],[value_id]], Tabelle18[[#This Row],[value_id]], Tabelle5[[#This Row],[value_present]],"1")</f>
        <v>0</v>
      </c>
    </row>
    <row r="474" spans="1:5" x14ac:dyDescent="0.25">
      <c r="A474">
        <v>27</v>
      </c>
      <c r="B474" t="s">
        <v>83</v>
      </c>
      <c r="C474" s="54">
        <f>IF(Tabelle18[[#This Row],[binding_level_company]]&gt;=1,1,0)</f>
        <v>0</v>
      </c>
      <c r="D474" s="54">
        <f>_xlfn.MAXIFS(Tabelle5[[#This Row],[binding_level]], Tabelle5[[#This Row],[company_id]],Tabelle18[[#This Row],[company_id]], Tabelle5[[#This Row],[value_id]], Tabelle18[[#This Row],[value_id]], Tabelle5[[#This Row],[value_present]],"1")</f>
        <v>0</v>
      </c>
      <c r="E474" s="54">
        <f>_xlfn.MAXIFS(Tabelle5[[#This Row],[value_points]], Tabelle5[[#This Row],[company_id]],Tabelle18[[#This Row],[company_id]], Tabelle5[[#This Row],[value_id]], Tabelle18[[#This Row],[value_id]], Tabelle5[[#This Row],[value_present]],"1")</f>
        <v>0</v>
      </c>
    </row>
    <row r="475" spans="1:5" x14ac:dyDescent="0.25">
      <c r="A475">
        <v>27</v>
      </c>
      <c r="B475" t="s">
        <v>90</v>
      </c>
      <c r="C475" s="54">
        <f>IF(Tabelle18[[#This Row],[binding_level_company]]&gt;=1,1,0)</f>
        <v>0</v>
      </c>
      <c r="D475" s="54">
        <f>_xlfn.MAXIFS(Tabelle5[[#This Row],[binding_level]], Tabelle5[[#This Row],[company_id]],Tabelle18[[#This Row],[company_id]], Tabelle5[[#This Row],[value_id]], Tabelle18[[#This Row],[value_id]], Tabelle5[[#This Row],[value_present]],"1")</f>
        <v>0</v>
      </c>
      <c r="E475" s="54">
        <f>_xlfn.MAXIFS(Tabelle5[[#This Row],[value_points]], Tabelle5[[#This Row],[company_id]],Tabelle18[[#This Row],[company_id]], Tabelle5[[#This Row],[value_id]], Tabelle18[[#This Row],[value_id]], Tabelle5[[#This Row],[value_present]],"1")</f>
        <v>0</v>
      </c>
    </row>
    <row r="476" spans="1:5" x14ac:dyDescent="0.25">
      <c r="A476">
        <v>27</v>
      </c>
      <c r="B476" t="s">
        <v>98</v>
      </c>
      <c r="C476" s="54">
        <f>IF(Tabelle18[[#This Row],[binding_level_company]]&gt;=1,1,0)</f>
        <v>0</v>
      </c>
      <c r="D476" s="54">
        <f>_xlfn.MAXIFS(Tabelle5[[#This Row],[binding_level]], Tabelle5[[#This Row],[company_id]],Tabelle18[[#This Row],[company_id]], Tabelle5[[#This Row],[value_id]], Tabelle18[[#This Row],[value_id]], Tabelle5[[#This Row],[value_present]],"1")</f>
        <v>0</v>
      </c>
      <c r="E476" s="54">
        <f>_xlfn.MAXIFS(Tabelle5[[#This Row],[value_points]], Tabelle5[[#This Row],[company_id]],Tabelle18[[#This Row],[company_id]], Tabelle5[[#This Row],[value_id]], Tabelle18[[#This Row],[value_id]], Tabelle5[[#This Row],[value_present]],"1")</f>
        <v>0</v>
      </c>
    </row>
    <row r="477" spans="1:5" x14ac:dyDescent="0.25">
      <c r="A477">
        <v>27</v>
      </c>
      <c r="B477" t="s">
        <v>106</v>
      </c>
      <c r="C477" s="54">
        <f>IF(Tabelle18[[#This Row],[binding_level_company]]&gt;=1,1,0)</f>
        <v>0</v>
      </c>
      <c r="D477" s="54">
        <f>_xlfn.MAXIFS(Tabelle5[[#This Row],[binding_level]], Tabelle5[[#This Row],[company_id]],Tabelle18[[#This Row],[company_id]], Tabelle5[[#This Row],[value_id]], Tabelle18[[#This Row],[value_id]], Tabelle5[[#This Row],[value_present]],"1")</f>
        <v>0</v>
      </c>
      <c r="E477" s="54">
        <f>_xlfn.MAXIFS(Tabelle5[[#This Row],[value_points]], Tabelle5[[#This Row],[company_id]],Tabelle18[[#This Row],[company_id]], Tabelle5[[#This Row],[value_id]], Tabelle18[[#This Row],[value_id]], Tabelle5[[#This Row],[value_present]],"1")</f>
        <v>0</v>
      </c>
    </row>
    <row r="478" spans="1:5" x14ac:dyDescent="0.25">
      <c r="A478">
        <v>27</v>
      </c>
      <c r="B478" t="s">
        <v>112</v>
      </c>
      <c r="C478" s="54">
        <f>IF(Tabelle18[[#This Row],[binding_level_company]]&gt;=1,1,0)</f>
        <v>0</v>
      </c>
      <c r="D478" s="54">
        <f>_xlfn.MAXIFS(Tabelle5[[#This Row],[binding_level]], Tabelle5[[#This Row],[company_id]],Tabelle18[[#This Row],[company_id]], Tabelle5[[#This Row],[value_id]], Tabelle18[[#This Row],[value_id]], Tabelle5[[#This Row],[value_present]],"1")</f>
        <v>0</v>
      </c>
      <c r="E478" s="54">
        <f>_xlfn.MAXIFS(Tabelle5[[#This Row],[value_points]], Tabelle5[[#This Row],[company_id]],Tabelle18[[#This Row],[company_id]], Tabelle5[[#This Row],[value_id]], Tabelle18[[#This Row],[value_id]], Tabelle5[[#This Row],[value_present]],"1")</f>
        <v>0</v>
      </c>
    </row>
    <row r="479" spans="1:5" x14ac:dyDescent="0.25">
      <c r="A479">
        <v>27</v>
      </c>
      <c r="B479" t="s">
        <v>118</v>
      </c>
      <c r="C479" s="54">
        <f>IF(Tabelle18[[#This Row],[binding_level_company]]&gt;=1,1,0)</f>
        <v>0</v>
      </c>
      <c r="D479" s="54">
        <f>_xlfn.MAXIFS(Tabelle5[[#This Row],[binding_level]], Tabelle5[[#This Row],[company_id]],Tabelle18[[#This Row],[company_id]], Tabelle5[[#This Row],[value_id]], Tabelle18[[#This Row],[value_id]], Tabelle5[[#This Row],[value_present]],"1")</f>
        <v>0</v>
      </c>
      <c r="E479" s="54">
        <f>_xlfn.MAXIFS(Tabelle5[[#This Row],[value_points]], Tabelle5[[#This Row],[company_id]],Tabelle18[[#This Row],[company_id]], Tabelle5[[#This Row],[value_id]], Tabelle18[[#This Row],[value_id]], Tabelle5[[#This Row],[value_present]],"1")</f>
        <v>0</v>
      </c>
    </row>
    <row r="480" spans="1:5" x14ac:dyDescent="0.25">
      <c r="A480">
        <v>27</v>
      </c>
      <c r="B480" t="s">
        <v>125</v>
      </c>
      <c r="C480" s="54">
        <f>IF(Tabelle18[[#This Row],[binding_level_company]]&gt;=1,1,0)</f>
        <v>0</v>
      </c>
      <c r="D480" s="54">
        <f>_xlfn.MAXIFS(Tabelle5[[#This Row],[binding_level]], Tabelle5[[#This Row],[company_id]],Tabelle18[[#This Row],[company_id]], Tabelle5[[#This Row],[value_id]], Tabelle18[[#This Row],[value_id]], Tabelle5[[#This Row],[value_present]],"1")</f>
        <v>0</v>
      </c>
      <c r="E480" s="54">
        <f>_xlfn.MAXIFS(Tabelle5[[#This Row],[value_points]], Tabelle5[[#This Row],[company_id]],Tabelle18[[#This Row],[company_id]], Tabelle5[[#This Row],[value_id]], Tabelle18[[#This Row],[value_id]], Tabelle5[[#This Row],[value_present]],"1")</f>
        <v>0</v>
      </c>
    </row>
    <row r="481" spans="1:5" x14ac:dyDescent="0.25">
      <c r="A481">
        <v>27</v>
      </c>
      <c r="B481" t="s">
        <v>132</v>
      </c>
      <c r="C481" s="54">
        <f>IF(Tabelle18[[#This Row],[binding_level_company]]&gt;=1,1,0)</f>
        <v>0</v>
      </c>
      <c r="D481" s="54">
        <f>_xlfn.MAXIFS(Tabelle5[[#This Row],[binding_level]], Tabelle5[[#This Row],[company_id]],Tabelle18[[#This Row],[company_id]], Tabelle5[[#This Row],[value_id]], Tabelle18[[#This Row],[value_id]], Tabelle5[[#This Row],[value_present]],"1")</f>
        <v>0</v>
      </c>
      <c r="E481" s="54">
        <f>_xlfn.MAXIFS(Tabelle5[[#This Row],[value_points]], Tabelle5[[#This Row],[company_id]],Tabelle18[[#This Row],[company_id]], Tabelle5[[#This Row],[value_id]], Tabelle18[[#This Row],[value_id]], Tabelle5[[#This Row],[value_present]],"1")</f>
        <v>0</v>
      </c>
    </row>
    <row r="482" spans="1:5" x14ac:dyDescent="0.25">
      <c r="A482">
        <v>27</v>
      </c>
      <c r="B482" t="s">
        <v>140</v>
      </c>
      <c r="C482" s="54">
        <f>IF(Tabelle18[[#This Row],[binding_level_company]]&gt;=1,1,0)</f>
        <v>0</v>
      </c>
      <c r="D482" s="54">
        <f>_xlfn.MAXIFS(Tabelle5[[#This Row],[binding_level]], Tabelle5[[#This Row],[company_id]],Tabelle18[[#This Row],[company_id]], Tabelle5[[#This Row],[value_id]], Tabelle18[[#This Row],[value_id]], Tabelle5[[#This Row],[value_present]],"1")</f>
        <v>0</v>
      </c>
      <c r="E482" s="54">
        <f>_xlfn.MAXIFS(Tabelle5[[#This Row],[value_points]], Tabelle5[[#This Row],[company_id]],Tabelle18[[#This Row],[company_id]], Tabelle5[[#This Row],[value_id]], Tabelle18[[#This Row],[value_id]], Tabelle5[[#This Row],[value_present]],"1")</f>
        <v>0</v>
      </c>
    </row>
    <row r="483" spans="1:5" x14ac:dyDescent="0.25">
      <c r="A483">
        <v>27</v>
      </c>
      <c r="B483" t="s">
        <v>147</v>
      </c>
      <c r="C483" s="54">
        <f>IF(Tabelle18[[#This Row],[binding_level_company]]&gt;=1,1,0)</f>
        <v>0</v>
      </c>
      <c r="D483" s="54">
        <f>_xlfn.MAXIFS(Tabelle5[[#This Row],[binding_level]], Tabelle5[[#This Row],[company_id]],Tabelle18[[#This Row],[company_id]], Tabelle5[[#This Row],[value_id]], Tabelle18[[#This Row],[value_id]], Tabelle5[[#This Row],[value_present]],"1")</f>
        <v>0</v>
      </c>
      <c r="E483" s="54">
        <f>_xlfn.MAXIFS(Tabelle5[[#This Row],[value_points]], Tabelle5[[#This Row],[company_id]],Tabelle18[[#This Row],[company_id]], Tabelle5[[#This Row],[value_id]], Tabelle18[[#This Row],[value_id]], Tabelle5[[#This Row],[value_present]],"1")</f>
        <v>0</v>
      </c>
    </row>
    <row r="484" spans="1:5" x14ac:dyDescent="0.25">
      <c r="A484">
        <v>27</v>
      </c>
      <c r="B484" t="s">
        <v>154</v>
      </c>
      <c r="C484" s="54">
        <f>IF(Tabelle18[[#This Row],[binding_level_company]]&gt;=1,1,0)</f>
        <v>0</v>
      </c>
      <c r="D484" s="54">
        <f>_xlfn.MAXIFS(Tabelle5[[#This Row],[binding_level]], Tabelle5[[#This Row],[company_id]],Tabelle18[[#This Row],[company_id]], Tabelle5[[#This Row],[value_id]], Tabelle18[[#This Row],[value_id]], Tabelle5[[#This Row],[value_present]],"1")</f>
        <v>0</v>
      </c>
      <c r="E484" s="54">
        <f>_xlfn.MAXIFS(Tabelle5[[#This Row],[value_points]], Tabelle5[[#This Row],[company_id]],Tabelle18[[#This Row],[company_id]], Tabelle5[[#This Row],[value_id]], Tabelle18[[#This Row],[value_id]], Tabelle5[[#This Row],[value_present]],"1")</f>
        <v>0</v>
      </c>
    </row>
    <row r="485" spans="1:5" x14ac:dyDescent="0.25">
      <c r="A485">
        <v>27</v>
      </c>
      <c r="B485" t="s">
        <v>161</v>
      </c>
      <c r="C485" s="54">
        <f>IF(Tabelle18[[#This Row],[binding_level_company]]&gt;=1,1,0)</f>
        <v>0</v>
      </c>
      <c r="D485" s="54">
        <f>_xlfn.MAXIFS(Tabelle5[[#This Row],[binding_level]], Tabelle5[[#This Row],[company_id]],Tabelle18[[#This Row],[company_id]], Tabelle5[[#This Row],[value_id]], Tabelle18[[#This Row],[value_id]], Tabelle5[[#This Row],[value_present]],"1")</f>
        <v>0</v>
      </c>
      <c r="E485" s="54">
        <f>_xlfn.MAXIFS(Tabelle5[[#This Row],[value_points]], Tabelle5[[#This Row],[company_id]],Tabelle18[[#This Row],[company_id]], Tabelle5[[#This Row],[value_id]], Tabelle18[[#This Row],[value_id]], Tabelle5[[#This Row],[value_present]],"1")</f>
        <v>0</v>
      </c>
    </row>
    <row r="486" spans="1:5" x14ac:dyDescent="0.25">
      <c r="A486">
        <v>27</v>
      </c>
      <c r="B486" t="s">
        <v>166</v>
      </c>
      <c r="C486" s="54">
        <f>IF(Tabelle18[[#This Row],[binding_level_company]]&gt;=1,1,0)</f>
        <v>0</v>
      </c>
      <c r="D486" s="54">
        <f>_xlfn.MAXIFS(Tabelle5[[#This Row],[binding_level]], Tabelle5[[#This Row],[company_id]],Tabelle18[[#This Row],[company_id]], Tabelle5[[#This Row],[value_id]], Tabelle18[[#This Row],[value_id]], Tabelle5[[#This Row],[value_present]],"1")</f>
        <v>0</v>
      </c>
      <c r="E486" s="54">
        <f>_xlfn.MAXIFS(Tabelle5[[#This Row],[value_points]], Tabelle5[[#This Row],[company_id]],Tabelle18[[#This Row],[company_id]], Tabelle5[[#This Row],[value_id]], Tabelle18[[#This Row],[value_id]], Tabelle5[[#This Row],[value_present]],"1")</f>
        <v>0</v>
      </c>
    </row>
    <row r="487" spans="1:5" ht="15.75" thickBot="1" x14ac:dyDescent="0.3">
      <c r="A487">
        <v>27</v>
      </c>
      <c r="B487" s="30" t="s">
        <v>174</v>
      </c>
      <c r="C487" s="54">
        <f>IF(Tabelle18[[#This Row],[binding_level_company]]&gt;=1,1,0)</f>
        <v>0</v>
      </c>
      <c r="D487" s="54">
        <f>_xlfn.MAXIFS(Tabelle5[[#This Row],[binding_level]], Tabelle5[[#This Row],[company_id]],Tabelle18[[#This Row],[company_id]], Tabelle5[[#This Row],[value_id]], Tabelle18[[#This Row],[value_id]], Tabelle5[[#This Row],[value_present]],"1")</f>
        <v>0</v>
      </c>
      <c r="E487" s="54">
        <f>_xlfn.MAXIFS(Tabelle5[[#This Row],[value_points]], Tabelle5[[#This Row],[company_id]],Tabelle18[[#This Row],[company_id]], Tabelle5[[#This Row],[value_id]], Tabelle18[[#This Row],[value_id]], Tabelle5[[#This Row],[value_present]],"1")</f>
        <v>0</v>
      </c>
    </row>
    <row r="488" spans="1:5" x14ac:dyDescent="0.25">
      <c r="A488">
        <v>28</v>
      </c>
      <c r="B488" s="22" t="s">
        <v>53</v>
      </c>
      <c r="C488" s="54">
        <f>IF(Tabelle18[[#This Row],[binding_level_company]]&gt;=1,1,0)</f>
        <v>0</v>
      </c>
      <c r="D488" s="54">
        <f>_xlfn.MAXIFS(Tabelle5[[#This Row],[binding_level]], Tabelle5[[#This Row],[company_id]],Tabelle18[[#This Row],[company_id]], Tabelle5[[#This Row],[value_id]], Tabelle18[[#This Row],[value_id]], Tabelle5[[#This Row],[value_present]],"1")</f>
        <v>0</v>
      </c>
      <c r="E488" s="54">
        <f>_xlfn.MAXIFS(Tabelle5[[#This Row],[value_points]], Tabelle5[[#This Row],[company_id]],Tabelle18[[#This Row],[company_id]], Tabelle5[[#This Row],[value_id]], Tabelle18[[#This Row],[value_id]], Tabelle5[[#This Row],[value_present]],"1")</f>
        <v>0</v>
      </c>
    </row>
    <row r="489" spans="1:5" x14ac:dyDescent="0.25">
      <c r="A489">
        <v>28</v>
      </c>
      <c r="B489" t="s">
        <v>61</v>
      </c>
      <c r="C489" s="54">
        <f>IF(Tabelle18[[#This Row],[binding_level_company]]&gt;=1,1,0)</f>
        <v>0</v>
      </c>
      <c r="D489" s="54">
        <f>_xlfn.MAXIFS(Tabelle5[[#This Row],[binding_level]], Tabelle5[[#This Row],[company_id]],Tabelle18[[#This Row],[company_id]], Tabelle5[[#This Row],[value_id]], Tabelle18[[#This Row],[value_id]], Tabelle5[[#This Row],[value_present]],"1")</f>
        <v>0</v>
      </c>
      <c r="E489" s="54">
        <f>_xlfn.MAXIFS(Tabelle5[[#This Row],[value_points]], Tabelle5[[#This Row],[company_id]],Tabelle18[[#This Row],[company_id]], Tabelle5[[#This Row],[value_id]], Tabelle18[[#This Row],[value_id]], Tabelle5[[#This Row],[value_present]],"1")</f>
        <v>0</v>
      </c>
    </row>
    <row r="490" spans="1:5" x14ac:dyDescent="0.25">
      <c r="A490">
        <v>28</v>
      </c>
      <c r="B490" t="s">
        <v>69</v>
      </c>
      <c r="C490" s="54">
        <f>IF(Tabelle18[[#This Row],[binding_level_company]]&gt;=1,1,0)</f>
        <v>0</v>
      </c>
      <c r="D490" s="54">
        <f>_xlfn.MAXIFS(Tabelle5[[#This Row],[binding_level]], Tabelle5[[#This Row],[company_id]],Tabelle18[[#This Row],[company_id]], Tabelle5[[#This Row],[value_id]], Tabelle18[[#This Row],[value_id]], Tabelle5[[#This Row],[value_present]],"1")</f>
        <v>0</v>
      </c>
      <c r="E490" s="54">
        <f>_xlfn.MAXIFS(Tabelle5[[#This Row],[value_points]], Tabelle5[[#This Row],[company_id]],Tabelle18[[#This Row],[company_id]], Tabelle5[[#This Row],[value_id]], Tabelle18[[#This Row],[value_id]], Tabelle5[[#This Row],[value_present]],"1")</f>
        <v>0</v>
      </c>
    </row>
    <row r="491" spans="1:5" x14ac:dyDescent="0.25">
      <c r="A491">
        <v>28</v>
      </c>
      <c r="B491" t="s">
        <v>76</v>
      </c>
      <c r="C491" s="54">
        <f>IF(Tabelle18[[#This Row],[binding_level_company]]&gt;=1,1,0)</f>
        <v>0</v>
      </c>
      <c r="D491" s="54">
        <f>_xlfn.MAXIFS(Tabelle5[[#This Row],[binding_level]], Tabelle5[[#This Row],[company_id]],Tabelle18[[#This Row],[company_id]], Tabelle5[[#This Row],[value_id]], Tabelle18[[#This Row],[value_id]], Tabelle5[[#This Row],[value_present]],"1")</f>
        <v>0</v>
      </c>
      <c r="E491" s="54">
        <f>_xlfn.MAXIFS(Tabelle5[[#This Row],[value_points]], Tabelle5[[#This Row],[company_id]],Tabelle18[[#This Row],[company_id]], Tabelle5[[#This Row],[value_id]], Tabelle18[[#This Row],[value_id]], Tabelle5[[#This Row],[value_present]],"1")</f>
        <v>0</v>
      </c>
    </row>
    <row r="492" spans="1:5" x14ac:dyDescent="0.25">
      <c r="A492">
        <v>28</v>
      </c>
      <c r="B492" t="s">
        <v>83</v>
      </c>
      <c r="C492" s="54">
        <f>IF(Tabelle18[[#This Row],[binding_level_company]]&gt;=1,1,0)</f>
        <v>0</v>
      </c>
      <c r="D492" s="54">
        <f>_xlfn.MAXIFS(Tabelle5[[#This Row],[binding_level]], Tabelle5[[#This Row],[company_id]],Tabelle18[[#This Row],[company_id]], Tabelle5[[#This Row],[value_id]], Tabelle18[[#This Row],[value_id]], Tabelle5[[#This Row],[value_present]],"1")</f>
        <v>0</v>
      </c>
      <c r="E492" s="54">
        <f>_xlfn.MAXIFS(Tabelle5[[#This Row],[value_points]], Tabelle5[[#This Row],[company_id]],Tabelle18[[#This Row],[company_id]], Tabelle5[[#This Row],[value_id]], Tabelle18[[#This Row],[value_id]], Tabelle5[[#This Row],[value_present]],"1")</f>
        <v>0</v>
      </c>
    </row>
    <row r="493" spans="1:5" x14ac:dyDescent="0.25">
      <c r="A493">
        <v>28</v>
      </c>
      <c r="B493" t="s">
        <v>90</v>
      </c>
      <c r="C493" s="54">
        <f>IF(Tabelle18[[#This Row],[binding_level_company]]&gt;=1,1,0)</f>
        <v>0</v>
      </c>
      <c r="D493" s="54">
        <f>_xlfn.MAXIFS(Tabelle5[[#This Row],[binding_level]], Tabelle5[[#This Row],[company_id]],Tabelle18[[#This Row],[company_id]], Tabelle5[[#This Row],[value_id]], Tabelle18[[#This Row],[value_id]], Tabelle5[[#This Row],[value_present]],"1")</f>
        <v>0</v>
      </c>
      <c r="E493" s="54">
        <f>_xlfn.MAXIFS(Tabelle5[[#This Row],[value_points]], Tabelle5[[#This Row],[company_id]],Tabelle18[[#This Row],[company_id]], Tabelle5[[#This Row],[value_id]], Tabelle18[[#This Row],[value_id]], Tabelle5[[#This Row],[value_present]],"1")</f>
        <v>0</v>
      </c>
    </row>
    <row r="494" spans="1:5" x14ac:dyDescent="0.25">
      <c r="A494">
        <v>28</v>
      </c>
      <c r="B494" t="s">
        <v>98</v>
      </c>
      <c r="C494" s="54">
        <f>IF(Tabelle18[[#This Row],[binding_level_company]]&gt;=1,1,0)</f>
        <v>0</v>
      </c>
      <c r="D494" s="54">
        <f>_xlfn.MAXIFS(Tabelle5[[#This Row],[binding_level]], Tabelle5[[#This Row],[company_id]],Tabelle18[[#This Row],[company_id]], Tabelle5[[#This Row],[value_id]], Tabelle18[[#This Row],[value_id]], Tabelle5[[#This Row],[value_present]],"1")</f>
        <v>0</v>
      </c>
      <c r="E494" s="54">
        <f>_xlfn.MAXIFS(Tabelle5[[#This Row],[value_points]], Tabelle5[[#This Row],[company_id]],Tabelle18[[#This Row],[company_id]], Tabelle5[[#This Row],[value_id]], Tabelle18[[#This Row],[value_id]], Tabelle5[[#This Row],[value_present]],"1")</f>
        <v>0</v>
      </c>
    </row>
    <row r="495" spans="1:5" x14ac:dyDescent="0.25">
      <c r="A495">
        <v>28</v>
      </c>
      <c r="B495" t="s">
        <v>106</v>
      </c>
      <c r="C495" s="54">
        <f>IF(Tabelle18[[#This Row],[binding_level_company]]&gt;=1,1,0)</f>
        <v>0</v>
      </c>
      <c r="D495" s="54">
        <f>_xlfn.MAXIFS(Tabelle5[[#This Row],[binding_level]], Tabelle5[[#This Row],[company_id]],Tabelle18[[#This Row],[company_id]], Tabelle5[[#This Row],[value_id]], Tabelle18[[#This Row],[value_id]], Tabelle5[[#This Row],[value_present]],"1")</f>
        <v>0</v>
      </c>
      <c r="E495" s="54">
        <f>_xlfn.MAXIFS(Tabelle5[[#This Row],[value_points]], Tabelle5[[#This Row],[company_id]],Tabelle18[[#This Row],[company_id]], Tabelle5[[#This Row],[value_id]], Tabelle18[[#This Row],[value_id]], Tabelle5[[#This Row],[value_present]],"1")</f>
        <v>0</v>
      </c>
    </row>
    <row r="496" spans="1:5" x14ac:dyDescent="0.25">
      <c r="A496">
        <v>28</v>
      </c>
      <c r="B496" t="s">
        <v>112</v>
      </c>
      <c r="C496" s="54">
        <f>IF(Tabelle18[[#This Row],[binding_level_company]]&gt;=1,1,0)</f>
        <v>0</v>
      </c>
      <c r="D496" s="54">
        <f>_xlfn.MAXIFS(Tabelle5[[#This Row],[binding_level]], Tabelle5[[#This Row],[company_id]],Tabelle18[[#This Row],[company_id]], Tabelle5[[#This Row],[value_id]], Tabelle18[[#This Row],[value_id]], Tabelle5[[#This Row],[value_present]],"1")</f>
        <v>0</v>
      </c>
      <c r="E496" s="54">
        <f>_xlfn.MAXIFS(Tabelle5[[#This Row],[value_points]], Tabelle5[[#This Row],[company_id]],Tabelle18[[#This Row],[company_id]], Tabelle5[[#This Row],[value_id]], Tabelle18[[#This Row],[value_id]], Tabelle5[[#This Row],[value_present]],"1")</f>
        <v>0</v>
      </c>
    </row>
    <row r="497" spans="1:5" x14ac:dyDescent="0.25">
      <c r="A497">
        <v>28</v>
      </c>
      <c r="B497" t="s">
        <v>118</v>
      </c>
      <c r="C497" s="54">
        <f>IF(Tabelle18[[#This Row],[binding_level_company]]&gt;=1,1,0)</f>
        <v>0</v>
      </c>
      <c r="D497" s="54">
        <f>_xlfn.MAXIFS(Tabelle5[[#This Row],[binding_level]], Tabelle5[[#This Row],[company_id]],Tabelle18[[#This Row],[company_id]], Tabelle5[[#This Row],[value_id]], Tabelle18[[#This Row],[value_id]], Tabelle5[[#This Row],[value_present]],"1")</f>
        <v>0</v>
      </c>
      <c r="E497" s="54">
        <f>_xlfn.MAXIFS(Tabelle5[[#This Row],[value_points]], Tabelle5[[#This Row],[company_id]],Tabelle18[[#This Row],[company_id]], Tabelle5[[#This Row],[value_id]], Tabelle18[[#This Row],[value_id]], Tabelle5[[#This Row],[value_present]],"1")</f>
        <v>0</v>
      </c>
    </row>
    <row r="498" spans="1:5" x14ac:dyDescent="0.25">
      <c r="A498">
        <v>28</v>
      </c>
      <c r="B498" t="s">
        <v>125</v>
      </c>
      <c r="C498" s="54">
        <f>IF(Tabelle18[[#This Row],[binding_level_company]]&gt;=1,1,0)</f>
        <v>0</v>
      </c>
      <c r="D498" s="54">
        <f>_xlfn.MAXIFS(Tabelle5[[#This Row],[binding_level]], Tabelle5[[#This Row],[company_id]],Tabelle18[[#This Row],[company_id]], Tabelle5[[#This Row],[value_id]], Tabelle18[[#This Row],[value_id]], Tabelle5[[#This Row],[value_present]],"1")</f>
        <v>0</v>
      </c>
      <c r="E498" s="54">
        <f>_xlfn.MAXIFS(Tabelle5[[#This Row],[value_points]], Tabelle5[[#This Row],[company_id]],Tabelle18[[#This Row],[company_id]], Tabelle5[[#This Row],[value_id]], Tabelle18[[#This Row],[value_id]], Tabelle5[[#This Row],[value_present]],"1")</f>
        <v>0</v>
      </c>
    </row>
    <row r="499" spans="1:5" x14ac:dyDescent="0.25">
      <c r="A499">
        <v>28</v>
      </c>
      <c r="B499" t="s">
        <v>132</v>
      </c>
      <c r="C499" s="54">
        <f>IF(Tabelle18[[#This Row],[binding_level_company]]&gt;=1,1,0)</f>
        <v>0</v>
      </c>
      <c r="D499" s="54">
        <f>_xlfn.MAXIFS(Tabelle5[[#This Row],[binding_level]], Tabelle5[[#This Row],[company_id]],Tabelle18[[#This Row],[company_id]], Tabelle5[[#This Row],[value_id]], Tabelle18[[#This Row],[value_id]], Tabelle5[[#This Row],[value_present]],"1")</f>
        <v>0</v>
      </c>
      <c r="E499" s="54">
        <f>_xlfn.MAXIFS(Tabelle5[[#This Row],[value_points]], Tabelle5[[#This Row],[company_id]],Tabelle18[[#This Row],[company_id]], Tabelle5[[#This Row],[value_id]], Tabelle18[[#This Row],[value_id]], Tabelle5[[#This Row],[value_present]],"1")</f>
        <v>0</v>
      </c>
    </row>
    <row r="500" spans="1:5" x14ac:dyDescent="0.25">
      <c r="A500">
        <v>28</v>
      </c>
      <c r="B500" t="s">
        <v>140</v>
      </c>
      <c r="C500" s="54">
        <f>IF(Tabelle18[[#This Row],[binding_level_company]]&gt;=1,1,0)</f>
        <v>0</v>
      </c>
      <c r="D500" s="54">
        <f>_xlfn.MAXIFS(Tabelle5[[#This Row],[binding_level]], Tabelle5[[#This Row],[company_id]],Tabelle18[[#This Row],[company_id]], Tabelle5[[#This Row],[value_id]], Tabelle18[[#This Row],[value_id]], Tabelle5[[#This Row],[value_present]],"1")</f>
        <v>0</v>
      </c>
      <c r="E500" s="54">
        <f>_xlfn.MAXIFS(Tabelle5[[#This Row],[value_points]], Tabelle5[[#This Row],[company_id]],Tabelle18[[#This Row],[company_id]], Tabelle5[[#This Row],[value_id]], Tabelle18[[#This Row],[value_id]], Tabelle5[[#This Row],[value_present]],"1")</f>
        <v>0</v>
      </c>
    </row>
    <row r="501" spans="1:5" x14ac:dyDescent="0.25">
      <c r="A501">
        <v>28</v>
      </c>
      <c r="B501" t="s">
        <v>147</v>
      </c>
      <c r="C501" s="54">
        <f>IF(Tabelle18[[#This Row],[binding_level_company]]&gt;=1,1,0)</f>
        <v>0</v>
      </c>
      <c r="D501" s="54">
        <f>_xlfn.MAXIFS(Tabelle5[[#This Row],[binding_level]], Tabelle5[[#This Row],[company_id]],Tabelle18[[#This Row],[company_id]], Tabelle5[[#This Row],[value_id]], Tabelle18[[#This Row],[value_id]], Tabelle5[[#This Row],[value_present]],"1")</f>
        <v>0</v>
      </c>
      <c r="E501" s="54">
        <f>_xlfn.MAXIFS(Tabelle5[[#This Row],[value_points]], Tabelle5[[#This Row],[company_id]],Tabelle18[[#This Row],[company_id]], Tabelle5[[#This Row],[value_id]], Tabelle18[[#This Row],[value_id]], Tabelle5[[#This Row],[value_present]],"1")</f>
        <v>0</v>
      </c>
    </row>
    <row r="502" spans="1:5" x14ac:dyDescent="0.25">
      <c r="A502">
        <v>28</v>
      </c>
      <c r="B502" t="s">
        <v>154</v>
      </c>
      <c r="C502" s="54">
        <f>IF(Tabelle18[[#This Row],[binding_level_company]]&gt;=1,1,0)</f>
        <v>0</v>
      </c>
      <c r="D502" s="54">
        <f>_xlfn.MAXIFS(Tabelle5[[#This Row],[binding_level]], Tabelle5[[#This Row],[company_id]],Tabelle18[[#This Row],[company_id]], Tabelle5[[#This Row],[value_id]], Tabelle18[[#This Row],[value_id]], Tabelle5[[#This Row],[value_present]],"1")</f>
        <v>0</v>
      </c>
      <c r="E502" s="54">
        <f>_xlfn.MAXIFS(Tabelle5[[#This Row],[value_points]], Tabelle5[[#This Row],[company_id]],Tabelle18[[#This Row],[company_id]], Tabelle5[[#This Row],[value_id]], Tabelle18[[#This Row],[value_id]], Tabelle5[[#This Row],[value_present]],"1")</f>
        <v>0</v>
      </c>
    </row>
    <row r="503" spans="1:5" x14ac:dyDescent="0.25">
      <c r="A503">
        <v>28</v>
      </c>
      <c r="B503" t="s">
        <v>161</v>
      </c>
      <c r="C503" s="54">
        <f>IF(Tabelle18[[#This Row],[binding_level_company]]&gt;=1,1,0)</f>
        <v>0</v>
      </c>
      <c r="D503" s="54">
        <f>_xlfn.MAXIFS(Tabelle5[[#This Row],[binding_level]], Tabelle5[[#This Row],[company_id]],Tabelle18[[#This Row],[company_id]], Tabelle5[[#This Row],[value_id]], Tabelle18[[#This Row],[value_id]], Tabelle5[[#This Row],[value_present]],"1")</f>
        <v>0</v>
      </c>
      <c r="E503" s="54">
        <f>_xlfn.MAXIFS(Tabelle5[[#This Row],[value_points]], Tabelle5[[#This Row],[company_id]],Tabelle18[[#This Row],[company_id]], Tabelle5[[#This Row],[value_id]], Tabelle18[[#This Row],[value_id]], Tabelle5[[#This Row],[value_present]],"1")</f>
        <v>0</v>
      </c>
    </row>
    <row r="504" spans="1:5" x14ac:dyDescent="0.25">
      <c r="A504">
        <v>28</v>
      </c>
      <c r="B504" t="s">
        <v>166</v>
      </c>
      <c r="C504" s="54">
        <f>IF(Tabelle18[[#This Row],[binding_level_company]]&gt;=1,1,0)</f>
        <v>0</v>
      </c>
      <c r="D504" s="54">
        <f>_xlfn.MAXIFS(Tabelle5[[#This Row],[binding_level]], Tabelle5[[#This Row],[company_id]],Tabelle18[[#This Row],[company_id]], Tabelle5[[#This Row],[value_id]], Tabelle18[[#This Row],[value_id]], Tabelle5[[#This Row],[value_present]],"1")</f>
        <v>0</v>
      </c>
      <c r="E504" s="54">
        <f>_xlfn.MAXIFS(Tabelle5[[#This Row],[value_points]], Tabelle5[[#This Row],[company_id]],Tabelle18[[#This Row],[company_id]], Tabelle5[[#This Row],[value_id]], Tabelle18[[#This Row],[value_id]], Tabelle5[[#This Row],[value_present]],"1")</f>
        <v>0</v>
      </c>
    </row>
    <row r="505" spans="1:5" ht="15.75" thickBot="1" x14ac:dyDescent="0.3">
      <c r="A505">
        <v>28</v>
      </c>
      <c r="B505" s="30" t="s">
        <v>174</v>
      </c>
      <c r="C505" s="54">
        <f>IF(Tabelle18[[#This Row],[binding_level_company]]&gt;=1,1,0)</f>
        <v>0</v>
      </c>
      <c r="D505" s="54">
        <f>_xlfn.MAXIFS(Tabelle5[[#This Row],[binding_level]], Tabelle5[[#This Row],[company_id]],Tabelle18[[#This Row],[company_id]], Tabelle5[[#This Row],[value_id]], Tabelle18[[#This Row],[value_id]], Tabelle5[[#This Row],[value_present]],"1")</f>
        <v>0</v>
      </c>
      <c r="E505" s="54">
        <f>_xlfn.MAXIFS(Tabelle5[[#This Row],[value_points]], Tabelle5[[#This Row],[company_id]],Tabelle18[[#This Row],[company_id]], Tabelle5[[#This Row],[value_id]], Tabelle18[[#This Row],[value_id]], Tabelle5[[#This Row],[value_present]],"1")</f>
        <v>0</v>
      </c>
    </row>
    <row r="506" spans="1:5" x14ac:dyDescent="0.25">
      <c r="A506">
        <v>29</v>
      </c>
      <c r="B506" s="22" t="s">
        <v>53</v>
      </c>
      <c r="C506" s="54">
        <f>IF(Tabelle18[[#This Row],[binding_level_company]]&gt;=1,1,0)</f>
        <v>0</v>
      </c>
      <c r="D506" s="54">
        <f>_xlfn.MAXIFS(Tabelle5[[#This Row],[binding_level]], Tabelle5[[#This Row],[company_id]],Tabelle18[[#This Row],[company_id]], Tabelle5[[#This Row],[value_id]], Tabelle18[[#This Row],[value_id]], Tabelle5[[#This Row],[value_present]],"1")</f>
        <v>0</v>
      </c>
      <c r="E506" s="54">
        <f>_xlfn.MAXIFS(Tabelle5[[#This Row],[value_points]], Tabelle5[[#This Row],[company_id]],Tabelle18[[#This Row],[company_id]], Tabelle5[[#This Row],[value_id]], Tabelle18[[#This Row],[value_id]], Tabelle5[[#This Row],[value_present]],"1")</f>
        <v>0</v>
      </c>
    </row>
    <row r="507" spans="1:5" x14ac:dyDescent="0.25">
      <c r="A507">
        <v>29</v>
      </c>
      <c r="B507" t="s">
        <v>61</v>
      </c>
      <c r="C507" s="54">
        <f>IF(Tabelle18[[#This Row],[binding_level_company]]&gt;=1,1,0)</f>
        <v>0</v>
      </c>
      <c r="D507" s="54">
        <f>_xlfn.MAXIFS(Tabelle5[[#This Row],[binding_level]], Tabelle5[[#This Row],[company_id]],Tabelle18[[#This Row],[company_id]], Tabelle5[[#This Row],[value_id]], Tabelle18[[#This Row],[value_id]], Tabelle5[[#This Row],[value_present]],"1")</f>
        <v>0</v>
      </c>
      <c r="E507" s="54">
        <f>_xlfn.MAXIFS(Tabelle5[[#This Row],[value_points]], Tabelle5[[#This Row],[company_id]],Tabelle18[[#This Row],[company_id]], Tabelle5[[#This Row],[value_id]], Tabelle18[[#This Row],[value_id]], Tabelle5[[#This Row],[value_present]],"1")</f>
        <v>0</v>
      </c>
    </row>
    <row r="508" spans="1:5" x14ac:dyDescent="0.25">
      <c r="A508">
        <v>29</v>
      </c>
      <c r="B508" t="s">
        <v>69</v>
      </c>
      <c r="C508" s="54">
        <f>IF(Tabelle18[[#This Row],[binding_level_company]]&gt;=1,1,0)</f>
        <v>0</v>
      </c>
      <c r="D508" s="54">
        <f>_xlfn.MAXIFS(Tabelle5[[#This Row],[binding_level]], Tabelle5[[#This Row],[company_id]],Tabelle18[[#This Row],[company_id]], Tabelle5[[#This Row],[value_id]], Tabelle18[[#This Row],[value_id]], Tabelle5[[#This Row],[value_present]],"1")</f>
        <v>0</v>
      </c>
      <c r="E508" s="54">
        <f>_xlfn.MAXIFS(Tabelle5[[#This Row],[value_points]], Tabelle5[[#This Row],[company_id]],Tabelle18[[#This Row],[company_id]], Tabelle5[[#This Row],[value_id]], Tabelle18[[#This Row],[value_id]], Tabelle5[[#This Row],[value_present]],"1")</f>
        <v>0</v>
      </c>
    </row>
    <row r="509" spans="1:5" x14ac:dyDescent="0.25">
      <c r="A509">
        <v>29</v>
      </c>
      <c r="B509" t="s">
        <v>76</v>
      </c>
      <c r="C509" s="54">
        <f>IF(Tabelle18[[#This Row],[binding_level_company]]&gt;=1,1,0)</f>
        <v>0</v>
      </c>
      <c r="D509" s="54">
        <f>_xlfn.MAXIFS(Tabelle5[[#This Row],[binding_level]], Tabelle5[[#This Row],[company_id]],Tabelle18[[#This Row],[company_id]], Tabelle5[[#This Row],[value_id]], Tabelle18[[#This Row],[value_id]], Tabelle5[[#This Row],[value_present]],"1")</f>
        <v>0</v>
      </c>
      <c r="E509" s="54">
        <f>_xlfn.MAXIFS(Tabelle5[[#This Row],[value_points]], Tabelle5[[#This Row],[company_id]],Tabelle18[[#This Row],[company_id]], Tabelle5[[#This Row],[value_id]], Tabelle18[[#This Row],[value_id]], Tabelle5[[#This Row],[value_present]],"1")</f>
        <v>0</v>
      </c>
    </row>
    <row r="510" spans="1:5" x14ac:dyDescent="0.25">
      <c r="A510">
        <v>29</v>
      </c>
      <c r="B510" t="s">
        <v>83</v>
      </c>
      <c r="C510" s="54">
        <f>IF(Tabelle18[[#This Row],[binding_level_company]]&gt;=1,1,0)</f>
        <v>0</v>
      </c>
      <c r="D510" s="54">
        <f>_xlfn.MAXIFS(Tabelle5[[#This Row],[binding_level]], Tabelle5[[#This Row],[company_id]],Tabelle18[[#This Row],[company_id]], Tabelle5[[#This Row],[value_id]], Tabelle18[[#This Row],[value_id]], Tabelle5[[#This Row],[value_present]],"1")</f>
        <v>0</v>
      </c>
      <c r="E510" s="54">
        <f>_xlfn.MAXIFS(Tabelle5[[#This Row],[value_points]], Tabelle5[[#This Row],[company_id]],Tabelle18[[#This Row],[company_id]], Tabelle5[[#This Row],[value_id]], Tabelle18[[#This Row],[value_id]], Tabelle5[[#This Row],[value_present]],"1")</f>
        <v>0</v>
      </c>
    </row>
    <row r="511" spans="1:5" x14ac:dyDescent="0.25">
      <c r="A511">
        <v>29</v>
      </c>
      <c r="B511" t="s">
        <v>90</v>
      </c>
      <c r="C511" s="54">
        <f>IF(Tabelle18[[#This Row],[binding_level_company]]&gt;=1,1,0)</f>
        <v>0</v>
      </c>
      <c r="D511" s="54">
        <f>_xlfn.MAXIFS(Tabelle5[[#This Row],[binding_level]], Tabelle5[[#This Row],[company_id]],Tabelle18[[#This Row],[company_id]], Tabelle5[[#This Row],[value_id]], Tabelle18[[#This Row],[value_id]], Tabelle5[[#This Row],[value_present]],"1")</f>
        <v>0</v>
      </c>
      <c r="E511" s="54">
        <f>_xlfn.MAXIFS(Tabelle5[[#This Row],[value_points]], Tabelle5[[#This Row],[company_id]],Tabelle18[[#This Row],[company_id]], Tabelle5[[#This Row],[value_id]], Tabelle18[[#This Row],[value_id]], Tabelle5[[#This Row],[value_present]],"1")</f>
        <v>0</v>
      </c>
    </row>
    <row r="512" spans="1:5" x14ac:dyDescent="0.25">
      <c r="A512">
        <v>29</v>
      </c>
      <c r="B512" t="s">
        <v>98</v>
      </c>
      <c r="C512" s="54">
        <f>IF(Tabelle18[[#This Row],[binding_level_company]]&gt;=1,1,0)</f>
        <v>0</v>
      </c>
      <c r="D512" s="54">
        <f>_xlfn.MAXIFS(Tabelle5[[#This Row],[binding_level]], Tabelle5[[#This Row],[company_id]],Tabelle18[[#This Row],[company_id]], Tabelle5[[#This Row],[value_id]], Tabelle18[[#This Row],[value_id]], Tabelle5[[#This Row],[value_present]],"1")</f>
        <v>0</v>
      </c>
      <c r="E512" s="54">
        <f>_xlfn.MAXIFS(Tabelle5[[#This Row],[value_points]], Tabelle5[[#This Row],[company_id]],Tabelle18[[#This Row],[company_id]], Tabelle5[[#This Row],[value_id]], Tabelle18[[#This Row],[value_id]], Tabelle5[[#This Row],[value_present]],"1")</f>
        <v>0</v>
      </c>
    </row>
    <row r="513" spans="1:5" x14ac:dyDescent="0.25">
      <c r="A513">
        <v>29</v>
      </c>
      <c r="B513" t="s">
        <v>106</v>
      </c>
      <c r="C513" s="54">
        <f>IF(Tabelle18[[#This Row],[binding_level_company]]&gt;=1,1,0)</f>
        <v>0</v>
      </c>
      <c r="D513" s="54">
        <f>_xlfn.MAXIFS(Tabelle5[[#This Row],[binding_level]], Tabelle5[[#This Row],[company_id]],Tabelle18[[#This Row],[company_id]], Tabelle5[[#This Row],[value_id]], Tabelle18[[#This Row],[value_id]], Tabelle5[[#This Row],[value_present]],"1")</f>
        <v>0</v>
      </c>
      <c r="E513" s="54">
        <f>_xlfn.MAXIFS(Tabelle5[[#This Row],[value_points]], Tabelle5[[#This Row],[company_id]],Tabelle18[[#This Row],[company_id]], Tabelle5[[#This Row],[value_id]], Tabelle18[[#This Row],[value_id]], Tabelle5[[#This Row],[value_present]],"1")</f>
        <v>0</v>
      </c>
    </row>
    <row r="514" spans="1:5" x14ac:dyDescent="0.25">
      <c r="A514">
        <v>29</v>
      </c>
      <c r="B514" t="s">
        <v>112</v>
      </c>
      <c r="C514" s="54">
        <f>IF(Tabelle18[[#This Row],[binding_level_company]]&gt;=1,1,0)</f>
        <v>0</v>
      </c>
      <c r="D514" s="54">
        <f>_xlfn.MAXIFS(Tabelle5[[#This Row],[binding_level]], Tabelle5[[#This Row],[company_id]],Tabelle18[[#This Row],[company_id]], Tabelle5[[#This Row],[value_id]], Tabelle18[[#This Row],[value_id]], Tabelle5[[#This Row],[value_present]],"1")</f>
        <v>0</v>
      </c>
      <c r="E514" s="54">
        <f>_xlfn.MAXIFS(Tabelle5[[#This Row],[value_points]], Tabelle5[[#This Row],[company_id]],Tabelle18[[#This Row],[company_id]], Tabelle5[[#This Row],[value_id]], Tabelle18[[#This Row],[value_id]], Tabelle5[[#This Row],[value_present]],"1")</f>
        <v>0</v>
      </c>
    </row>
    <row r="515" spans="1:5" x14ac:dyDescent="0.25">
      <c r="A515">
        <v>29</v>
      </c>
      <c r="B515" t="s">
        <v>118</v>
      </c>
      <c r="C515" s="54">
        <f>IF(Tabelle18[[#This Row],[binding_level_company]]&gt;=1,1,0)</f>
        <v>0</v>
      </c>
      <c r="D515" s="54">
        <f>_xlfn.MAXIFS(Tabelle5[[#This Row],[binding_level]], Tabelle5[[#This Row],[company_id]],Tabelle18[[#This Row],[company_id]], Tabelle5[[#This Row],[value_id]], Tabelle18[[#This Row],[value_id]], Tabelle5[[#This Row],[value_present]],"1")</f>
        <v>0</v>
      </c>
      <c r="E515" s="54">
        <f>_xlfn.MAXIFS(Tabelle5[[#This Row],[value_points]], Tabelle5[[#This Row],[company_id]],Tabelle18[[#This Row],[company_id]], Tabelle5[[#This Row],[value_id]], Tabelle18[[#This Row],[value_id]], Tabelle5[[#This Row],[value_present]],"1")</f>
        <v>0</v>
      </c>
    </row>
    <row r="516" spans="1:5" x14ac:dyDescent="0.25">
      <c r="A516">
        <v>29</v>
      </c>
      <c r="B516" t="s">
        <v>125</v>
      </c>
      <c r="C516" s="54">
        <f>IF(Tabelle18[[#This Row],[binding_level_company]]&gt;=1,1,0)</f>
        <v>0</v>
      </c>
      <c r="D516" s="54">
        <f>_xlfn.MAXIFS(Tabelle5[[#This Row],[binding_level]], Tabelle5[[#This Row],[company_id]],Tabelle18[[#This Row],[company_id]], Tabelle5[[#This Row],[value_id]], Tabelle18[[#This Row],[value_id]], Tabelle5[[#This Row],[value_present]],"1")</f>
        <v>0</v>
      </c>
      <c r="E516" s="54">
        <f>_xlfn.MAXIFS(Tabelle5[[#This Row],[value_points]], Tabelle5[[#This Row],[company_id]],Tabelle18[[#This Row],[company_id]], Tabelle5[[#This Row],[value_id]], Tabelle18[[#This Row],[value_id]], Tabelle5[[#This Row],[value_present]],"1")</f>
        <v>0</v>
      </c>
    </row>
    <row r="517" spans="1:5" x14ac:dyDescent="0.25">
      <c r="A517">
        <v>29</v>
      </c>
      <c r="B517" t="s">
        <v>132</v>
      </c>
      <c r="C517" s="54">
        <f>IF(Tabelle18[[#This Row],[binding_level_company]]&gt;=1,1,0)</f>
        <v>0</v>
      </c>
      <c r="D517" s="54">
        <f>_xlfn.MAXIFS(Tabelle5[[#This Row],[binding_level]], Tabelle5[[#This Row],[company_id]],Tabelle18[[#This Row],[company_id]], Tabelle5[[#This Row],[value_id]], Tabelle18[[#This Row],[value_id]], Tabelle5[[#This Row],[value_present]],"1")</f>
        <v>0</v>
      </c>
      <c r="E517" s="54">
        <f>_xlfn.MAXIFS(Tabelle5[[#This Row],[value_points]], Tabelle5[[#This Row],[company_id]],Tabelle18[[#This Row],[company_id]], Tabelle5[[#This Row],[value_id]], Tabelle18[[#This Row],[value_id]], Tabelle5[[#This Row],[value_present]],"1")</f>
        <v>0</v>
      </c>
    </row>
    <row r="518" spans="1:5" x14ac:dyDescent="0.25">
      <c r="A518">
        <v>29</v>
      </c>
      <c r="B518" t="s">
        <v>140</v>
      </c>
      <c r="C518" s="54">
        <f>IF(Tabelle18[[#This Row],[binding_level_company]]&gt;=1,1,0)</f>
        <v>0</v>
      </c>
      <c r="D518" s="54">
        <f>_xlfn.MAXIFS(Tabelle5[[#This Row],[binding_level]], Tabelle5[[#This Row],[company_id]],Tabelle18[[#This Row],[company_id]], Tabelle5[[#This Row],[value_id]], Tabelle18[[#This Row],[value_id]], Tabelle5[[#This Row],[value_present]],"1")</f>
        <v>0</v>
      </c>
      <c r="E518" s="54">
        <f>_xlfn.MAXIFS(Tabelle5[[#This Row],[value_points]], Tabelle5[[#This Row],[company_id]],Tabelle18[[#This Row],[company_id]], Tabelle5[[#This Row],[value_id]], Tabelle18[[#This Row],[value_id]], Tabelle5[[#This Row],[value_present]],"1")</f>
        <v>0</v>
      </c>
    </row>
    <row r="519" spans="1:5" x14ac:dyDescent="0.25">
      <c r="A519">
        <v>29</v>
      </c>
      <c r="B519" t="s">
        <v>147</v>
      </c>
      <c r="C519" s="54">
        <f>IF(Tabelle18[[#This Row],[binding_level_company]]&gt;=1,1,0)</f>
        <v>0</v>
      </c>
      <c r="D519" s="54">
        <f>_xlfn.MAXIFS(Tabelle5[[#This Row],[binding_level]], Tabelle5[[#This Row],[company_id]],Tabelle18[[#This Row],[company_id]], Tabelle5[[#This Row],[value_id]], Tabelle18[[#This Row],[value_id]], Tabelle5[[#This Row],[value_present]],"1")</f>
        <v>0</v>
      </c>
      <c r="E519" s="54">
        <f>_xlfn.MAXIFS(Tabelle5[[#This Row],[value_points]], Tabelle5[[#This Row],[company_id]],Tabelle18[[#This Row],[company_id]], Tabelle5[[#This Row],[value_id]], Tabelle18[[#This Row],[value_id]], Tabelle5[[#This Row],[value_present]],"1")</f>
        <v>0</v>
      </c>
    </row>
    <row r="520" spans="1:5" x14ac:dyDescent="0.25">
      <c r="A520">
        <v>29</v>
      </c>
      <c r="B520" t="s">
        <v>154</v>
      </c>
      <c r="C520" s="54">
        <f>IF(Tabelle18[[#This Row],[binding_level_company]]&gt;=1,1,0)</f>
        <v>0</v>
      </c>
      <c r="D520" s="54">
        <f>_xlfn.MAXIFS(Tabelle5[[#This Row],[binding_level]], Tabelle5[[#This Row],[company_id]],Tabelle18[[#This Row],[company_id]], Tabelle5[[#This Row],[value_id]], Tabelle18[[#This Row],[value_id]], Tabelle5[[#This Row],[value_present]],"1")</f>
        <v>0</v>
      </c>
      <c r="E520" s="54">
        <f>_xlfn.MAXIFS(Tabelle5[[#This Row],[value_points]], Tabelle5[[#This Row],[company_id]],Tabelle18[[#This Row],[company_id]], Tabelle5[[#This Row],[value_id]], Tabelle18[[#This Row],[value_id]], Tabelle5[[#This Row],[value_present]],"1")</f>
        <v>0</v>
      </c>
    </row>
    <row r="521" spans="1:5" x14ac:dyDescent="0.25">
      <c r="A521">
        <v>29</v>
      </c>
      <c r="B521" t="s">
        <v>161</v>
      </c>
      <c r="C521" s="54">
        <f>IF(Tabelle18[[#This Row],[binding_level_company]]&gt;=1,1,0)</f>
        <v>0</v>
      </c>
      <c r="D521" s="54">
        <f>_xlfn.MAXIFS(Tabelle5[[#This Row],[binding_level]], Tabelle5[[#This Row],[company_id]],Tabelle18[[#This Row],[company_id]], Tabelle5[[#This Row],[value_id]], Tabelle18[[#This Row],[value_id]], Tabelle5[[#This Row],[value_present]],"1")</f>
        <v>0</v>
      </c>
      <c r="E521" s="54">
        <f>_xlfn.MAXIFS(Tabelle5[[#This Row],[value_points]], Tabelle5[[#This Row],[company_id]],Tabelle18[[#This Row],[company_id]], Tabelle5[[#This Row],[value_id]], Tabelle18[[#This Row],[value_id]], Tabelle5[[#This Row],[value_present]],"1")</f>
        <v>0</v>
      </c>
    </row>
    <row r="522" spans="1:5" x14ac:dyDescent="0.25">
      <c r="A522">
        <v>29</v>
      </c>
      <c r="B522" t="s">
        <v>166</v>
      </c>
      <c r="C522" s="54">
        <f>IF(Tabelle18[[#This Row],[binding_level_company]]&gt;=1,1,0)</f>
        <v>0</v>
      </c>
      <c r="D522" s="54">
        <f>_xlfn.MAXIFS(Tabelle5[[#This Row],[binding_level]], Tabelle5[[#This Row],[company_id]],Tabelle18[[#This Row],[company_id]], Tabelle5[[#This Row],[value_id]], Tabelle18[[#This Row],[value_id]], Tabelle5[[#This Row],[value_present]],"1")</f>
        <v>0</v>
      </c>
      <c r="E522" s="54">
        <f>_xlfn.MAXIFS(Tabelle5[[#This Row],[value_points]], Tabelle5[[#This Row],[company_id]],Tabelle18[[#This Row],[company_id]], Tabelle5[[#This Row],[value_id]], Tabelle18[[#This Row],[value_id]], Tabelle5[[#This Row],[value_present]],"1")</f>
        <v>0</v>
      </c>
    </row>
    <row r="523" spans="1:5" ht="15.75" thickBot="1" x14ac:dyDescent="0.3">
      <c r="A523">
        <v>29</v>
      </c>
      <c r="B523" s="30" t="s">
        <v>174</v>
      </c>
      <c r="C523" s="54">
        <f>IF(Tabelle18[[#This Row],[binding_level_company]]&gt;=1,1,0)</f>
        <v>0</v>
      </c>
      <c r="D523" s="54">
        <f>_xlfn.MAXIFS(Tabelle5[[#This Row],[binding_level]], Tabelle5[[#This Row],[company_id]],Tabelle18[[#This Row],[company_id]], Tabelle5[[#This Row],[value_id]], Tabelle18[[#This Row],[value_id]], Tabelle5[[#This Row],[value_present]],"1")</f>
        <v>0</v>
      </c>
      <c r="E523" s="54">
        <f>_xlfn.MAXIFS(Tabelle5[[#This Row],[value_points]], Tabelle5[[#This Row],[company_id]],Tabelle18[[#This Row],[company_id]], Tabelle5[[#This Row],[value_id]], Tabelle18[[#This Row],[value_id]], Tabelle5[[#This Row],[value_present]],"1")</f>
        <v>0</v>
      </c>
    </row>
    <row r="524" spans="1:5" x14ac:dyDescent="0.25">
      <c r="A524">
        <v>30</v>
      </c>
      <c r="B524" s="22" t="s">
        <v>53</v>
      </c>
      <c r="C524" s="54">
        <f>IF(Tabelle18[[#This Row],[binding_level_company]]&gt;=1,1,0)</f>
        <v>0</v>
      </c>
      <c r="D524" s="54">
        <f>_xlfn.MAXIFS(Tabelle5[[#This Row],[binding_level]], Tabelle5[[#This Row],[company_id]],Tabelle18[[#This Row],[company_id]], Tabelle5[[#This Row],[value_id]], Tabelle18[[#This Row],[value_id]], Tabelle5[[#This Row],[value_present]],"1")</f>
        <v>0</v>
      </c>
      <c r="E524" s="54">
        <f>_xlfn.MAXIFS(Tabelle5[[#This Row],[value_points]], Tabelle5[[#This Row],[company_id]],Tabelle18[[#This Row],[company_id]], Tabelle5[[#This Row],[value_id]], Tabelle18[[#This Row],[value_id]], Tabelle5[[#This Row],[value_present]],"1")</f>
        <v>0</v>
      </c>
    </row>
    <row r="525" spans="1:5" x14ac:dyDescent="0.25">
      <c r="A525">
        <v>30</v>
      </c>
      <c r="B525" t="s">
        <v>61</v>
      </c>
      <c r="C525" s="54">
        <f>IF(Tabelle18[[#This Row],[binding_level_company]]&gt;=1,1,0)</f>
        <v>0</v>
      </c>
      <c r="D525" s="54">
        <f>_xlfn.MAXIFS(Tabelle5[[#This Row],[binding_level]], Tabelle5[[#This Row],[company_id]],Tabelle18[[#This Row],[company_id]], Tabelle5[[#This Row],[value_id]], Tabelle18[[#This Row],[value_id]], Tabelle5[[#This Row],[value_present]],"1")</f>
        <v>0</v>
      </c>
      <c r="E525" s="54">
        <f>_xlfn.MAXIFS(Tabelle5[[#This Row],[value_points]], Tabelle5[[#This Row],[company_id]],Tabelle18[[#This Row],[company_id]], Tabelle5[[#This Row],[value_id]], Tabelle18[[#This Row],[value_id]], Tabelle5[[#This Row],[value_present]],"1")</f>
        <v>0</v>
      </c>
    </row>
    <row r="526" spans="1:5" x14ac:dyDescent="0.25">
      <c r="A526">
        <v>30</v>
      </c>
      <c r="B526" t="s">
        <v>69</v>
      </c>
      <c r="C526" s="54">
        <f>IF(Tabelle18[[#This Row],[binding_level_company]]&gt;=1,1,0)</f>
        <v>0</v>
      </c>
      <c r="D526" s="54">
        <f>_xlfn.MAXIFS(Tabelle5[[#This Row],[binding_level]], Tabelle5[[#This Row],[company_id]],Tabelle18[[#This Row],[company_id]], Tabelle5[[#This Row],[value_id]], Tabelle18[[#This Row],[value_id]], Tabelle5[[#This Row],[value_present]],"1")</f>
        <v>0</v>
      </c>
      <c r="E526" s="54">
        <f>_xlfn.MAXIFS(Tabelle5[[#This Row],[value_points]], Tabelle5[[#This Row],[company_id]],Tabelle18[[#This Row],[company_id]], Tabelle5[[#This Row],[value_id]], Tabelle18[[#This Row],[value_id]], Tabelle5[[#This Row],[value_present]],"1")</f>
        <v>0</v>
      </c>
    </row>
    <row r="527" spans="1:5" x14ac:dyDescent="0.25">
      <c r="A527">
        <v>30</v>
      </c>
      <c r="B527" t="s">
        <v>76</v>
      </c>
      <c r="C527" s="54">
        <f>IF(Tabelle18[[#This Row],[binding_level_company]]&gt;=1,1,0)</f>
        <v>0</v>
      </c>
      <c r="D527" s="54">
        <f>_xlfn.MAXIFS(Tabelle5[[#This Row],[binding_level]], Tabelle5[[#This Row],[company_id]],Tabelle18[[#This Row],[company_id]], Tabelle5[[#This Row],[value_id]], Tabelle18[[#This Row],[value_id]], Tabelle5[[#This Row],[value_present]],"1")</f>
        <v>0</v>
      </c>
      <c r="E527" s="54">
        <f>_xlfn.MAXIFS(Tabelle5[[#This Row],[value_points]], Tabelle5[[#This Row],[company_id]],Tabelle18[[#This Row],[company_id]], Tabelle5[[#This Row],[value_id]], Tabelle18[[#This Row],[value_id]], Tabelle5[[#This Row],[value_present]],"1")</f>
        <v>0</v>
      </c>
    </row>
    <row r="528" spans="1:5" x14ac:dyDescent="0.25">
      <c r="A528">
        <v>30</v>
      </c>
      <c r="B528" t="s">
        <v>83</v>
      </c>
      <c r="C528" s="54">
        <f>IF(Tabelle18[[#This Row],[binding_level_company]]&gt;=1,1,0)</f>
        <v>0</v>
      </c>
      <c r="D528" s="54">
        <f>_xlfn.MAXIFS(Tabelle5[[#This Row],[binding_level]], Tabelle5[[#This Row],[company_id]],Tabelle18[[#This Row],[company_id]], Tabelle5[[#This Row],[value_id]], Tabelle18[[#This Row],[value_id]], Tabelle5[[#This Row],[value_present]],"1")</f>
        <v>0</v>
      </c>
      <c r="E528" s="54">
        <f>_xlfn.MAXIFS(Tabelle5[[#This Row],[value_points]], Tabelle5[[#This Row],[company_id]],Tabelle18[[#This Row],[company_id]], Tabelle5[[#This Row],[value_id]], Tabelle18[[#This Row],[value_id]], Tabelle5[[#This Row],[value_present]],"1")</f>
        <v>0</v>
      </c>
    </row>
    <row r="529" spans="1:5" x14ac:dyDescent="0.25">
      <c r="A529">
        <v>30</v>
      </c>
      <c r="B529" t="s">
        <v>90</v>
      </c>
      <c r="C529" s="54">
        <f>IF(Tabelle18[[#This Row],[binding_level_company]]&gt;=1,1,0)</f>
        <v>0</v>
      </c>
      <c r="D529" s="54">
        <f>_xlfn.MAXIFS(Tabelle5[[#This Row],[binding_level]], Tabelle5[[#This Row],[company_id]],Tabelle18[[#This Row],[company_id]], Tabelle5[[#This Row],[value_id]], Tabelle18[[#This Row],[value_id]], Tabelle5[[#This Row],[value_present]],"1")</f>
        <v>0</v>
      </c>
      <c r="E529" s="54">
        <f>_xlfn.MAXIFS(Tabelle5[[#This Row],[value_points]], Tabelle5[[#This Row],[company_id]],Tabelle18[[#This Row],[company_id]], Tabelle5[[#This Row],[value_id]], Tabelle18[[#This Row],[value_id]], Tabelle5[[#This Row],[value_present]],"1")</f>
        <v>0</v>
      </c>
    </row>
    <row r="530" spans="1:5" x14ac:dyDescent="0.25">
      <c r="A530">
        <v>30</v>
      </c>
      <c r="B530" t="s">
        <v>98</v>
      </c>
      <c r="C530" s="54">
        <f>IF(Tabelle18[[#This Row],[binding_level_company]]&gt;=1,1,0)</f>
        <v>0</v>
      </c>
      <c r="D530" s="54">
        <f>_xlfn.MAXIFS(Tabelle5[[#This Row],[binding_level]], Tabelle5[[#This Row],[company_id]],Tabelle18[[#This Row],[company_id]], Tabelle5[[#This Row],[value_id]], Tabelle18[[#This Row],[value_id]], Tabelle5[[#This Row],[value_present]],"1")</f>
        <v>0</v>
      </c>
      <c r="E530" s="54">
        <f>_xlfn.MAXIFS(Tabelle5[[#This Row],[value_points]], Tabelle5[[#This Row],[company_id]],Tabelle18[[#This Row],[company_id]], Tabelle5[[#This Row],[value_id]], Tabelle18[[#This Row],[value_id]], Tabelle5[[#This Row],[value_present]],"1")</f>
        <v>0</v>
      </c>
    </row>
    <row r="531" spans="1:5" x14ac:dyDescent="0.25">
      <c r="A531">
        <v>30</v>
      </c>
      <c r="B531" t="s">
        <v>106</v>
      </c>
      <c r="C531" s="54">
        <f>IF(Tabelle18[[#This Row],[binding_level_company]]&gt;=1,1,0)</f>
        <v>0</v>
      </c>
      <c r="D531" s="54">
        <f>_xlfn.MAXIFS(Tabelle5[[#This Row],[binding_level]], Tabelle5[[#This Row],[company_id]],Tabelle18[[#This Row],[company_id]], Tabelle5[[#This Row],[value_id]], Tabelle18[[#This Row],[value_id]], Tabelle5[[#This Row],[value_present]],"1")</f>
        <v>0</v>
      </c>
      <c r="E531" s="54">
        <f>_xlfn.MAXIFS(Tabelle5[[#This Row],[value_points]], Tabelle5[[#This Row],[company_id]],Tabelle18[[#This Row],[company_id]], Tabelle5[[#This Row],[value_id]], Tabelle18[[#This Row],[value_id]], Tabelle5[[#This Row],[value_present]],"1")</f>
        <v>0</v>
      </c>
    </row>
    <row r="532" spans="1:5" x14ac:dyDescent="0.25">
      <c r="A532">
        <v>30</v>
      </c>
      <c r="B532" t="s">
        <v>112</v>
      </c>
      <c r="C532" s="54">
        <f>IF(Tabelle18[[#This Row],[binding_level_company]]&gt;=1,1,0)</f>
        <v>0</v>
      </c>
      <c r="D532" s="54">
        <f>_xlfn.MAXIFS(Tabelle5[[#This Row],[binding_level]], Tabelle5[[#This Row],[company_id]],Tabelle18[[#This Row],[company_id]], Tabelle5[[#This Row],[value_id]], Tabelle18[[#This Row],[value_id]], Tabelle5[[#This Row],[value_present]],"1")</f>
        <v>0</v>
      </c>
      <c r="E532" s="54">
        <f>_xlfn.MAXIFS(Tabelle5[[#This Row],[value_points]], Tabelle5[[#This Row],[company_id]],Tabelle18[[#This Row],[company_id]], Tabelle5[[#This Row],[value_id]], Tabelle18[[#This Row],[value_id]], Tabelle5[[#This Row],[value_present]],"1")</f>
        <v>0</v>
      </c>
    </row>
    <row r="533" spans="1:5" x14ac:dyDescent="0.25">
      <c r="A533">
        <v>30</v>
      </c>
      <c r="B533" t="s">
        <v>118</v>
      </c>
      <c r="C533" s="54">
        <f>IF(Tabelle18[[#This Row],[binding_level_company]]&gt;=1,1,0)</f>
        <v>0</v>
      </c>
      <c r="D533" s="54">
        <f>_xlfn.MAXIFS(Tabelle5[[#This Row],[binding_level]], Tabelle5[[#This Row],[company_id]],Tabelle18[[#This Row],[company_id]], Tabelle5[[#This Row],[value_id]], Tabelle18[[#This Row],[value_id]], Tabelle5[[#This Row],[value_present]],"1")</f>
        <v>0</v>
      </c>
      <c r="E533" s="54">
        <f>_xlfn.MAXIFS(Tabelle5[[#This Row],[value_points]], Tabelle5[[#This Row],[company_id]],Tabelle18[[#This Row],[company_id]], Tabelle5[[#This Row],[value_id]], Tabelle18[[#This Row],[value_id]], Tabelle5[[#This Row],[value_present]],"1")</f>
        <v>0</v>
      </c>
    </row>
    <row r="534" spans="1:5" x14ac:dyDescent="0.25">
      <c r="A534">
        <v>30</v>
      </c>
      <c r="B534" t="s">
        <v>125</v>
      </c>
      <c r="C534" s="54">
        <f>IF(Tabelle18[[#This Row],[binding_level_company]]&gt;=1,1,0)</f>
        <v>0</v>
      </c>
      <c r="D534" s="54">
        <f>_xlfn.MAXIFS(Tabelle5[[#This Row],[binding_level]], Tabelle5[[#This Row],[company_id]],Tabelle18[[#This Row],[company_id]], Tabelle5[[#This Row],[value_id]], Tabelle18[[#This Row],[value_id]], Tabelle5[[#This Row],[value_present]],"1")</f>
        <v>0</v>
      </c>
      <c r="E534" s="54">
        <f>_xlfn.MAXIFS(Tabelle5[[#This Row],[value_points]], Tabelle5[[#This Row],[company_id]],Tabelle18[[#This Row],[company_id]], Tabelle5[[#This Row],[value_id]], Tabelle18[[#This Row],[value_id]], Tabelle5[[#This Row],[value_present]],"1")</f>
        <v>0</v>
      </c>
    </row>
    <row r="535" spans="1:5" x14ac:dyDescent="0.25">
      <c r="A535">
        <v>30</v>
      </c>
      <c r="B535" t="s">
        <v>132</v>
      </c>
      <c r="C535" s="54">
        <f>IF(Tabelle18[[#This Row],[binding_level_company]]&gt;=1,1,0)</f>
        <v>0</v>
      </c>
      <c r="D535" s="54">
        <f>_xlfn.MAXIFS(Tabelle5[[#This Row],[binding_level]], Tabelle5[[#This Row],[company_id]],Tabelle18[[#This Row],[company_id]], Tabelle5[[#This Row],[value_id]], Tabelle18[[#This Row],[value_id]], Tabelle5[[#This Row],[value_present]],"1")</f>
        <v>0</v>
      </c>
      <c r="E535" s="54">
        <f>_xlfn.MAXIFS(Tabelle5[[#This Row],[value_points]], Tabelle5[[#This Row],[company_id]],Tabelle18[[#This Row],[company_id]], Tabelle5[[#This Row],[value_id]], Tabelle18[[#This Row],[value_id]], Tabelle5[[#This Row],[value_present]],"1")</f>
        <v>0</v>
      </c>
    </row>
    <row r="536" spans="1:5" x14ac:dyDescent="0.25">
      <c r="A536">
        <v>30</v>
      </c>
      <c r="B536" t="s">
        <v>140</v>
      </c>
      <c r="C536" s="54">
        <f>IF(Tabelle18[[#This Row],[binding_level_company]]&gt;=1,1,0)</f>
        <v>0</v>
      </c>
      <c r="D536" s="54">
        <f>_xlfn.MAXIFS(Tabelle5[[#This Row],[binding_level]], Tabelle5[[#This Row],[company_id]],Tabelle18[[#This Row],[company_id]], Tabelle5[[#This Row],[value_id]], Tabelle18[[#This Row],[value_id]], Tabelle5[[#This Row],[value_present]],"1")</f>
        <v>0</v>
      </c>
      <c r="E536" s="54">
        <f>_xlfn.MAXIFS(Tabelle5[[#This Row],[value_points]], Tabelle5[[#This Row],[company_id]],Tabelle18[[#This Row],[company_id]], Tabelle5[[#This Row],[value_id]], Tabelle18[[#This Row],[value_id]], Tabelle5[[#This Row],[value_present]],"1")</f>
        <v>0</v>
      </c>
    </row>
    <row r="537" spans="1:5" x14ac:dyDescent="0.25">
      <c r="A537">
        <v>30</v>
      </c>
      <c r="B537" t="s">
        <v>147</v>
      </c>
      <c r="C537" s="54">
        <f>IF(Tabelle18[[#This Row],[binding_level_company]]&gt;=1,1,0)</f>
        <v>0</v>
      </c>
      <c r="D537" s="54">
        <f>_xlfn.MAXIFS(Tabelle5[[#This Row],[binding_level]], Tabelle5[[#This Row],[company_id]],Tabelle18[[#This Row],[company_id]], Tabelle5[[#This Row],[value_id]], Tabelle18[[#This Row],[value_id]], Tabelle5[[#This Row],[value_present]],"1")</f>
        <v>0</v>
      </c>
      <c r="E537" s="54">
        <f>_xlfn.MAXIFS(Tabelle5[[#This Row],[value_points]], Tabelle5[[#This Row],[company_id]],Tabelle18[[#This Row],[company_id]], Tabelle5[[#This Row],[value_id]], Tabelle18[[#This Row],[value_id]], Tabelle5[[#This Row],[value_present]],"1")</f>
        <v>0</v>
      </c>
    </row>
    <row r="538" spans="1:5" x14ac:dyDescent="0.25">
      <c r="A538">
        <v>30</v>
      </c>
      <c r="B538" t="s">
        <v>154</v>
      </c>
      <c r="C538" s="54">
        <f>IF(Tabelle18[[#This Row],[binding_level_company]]&gt;=1,1,0)</f>
        <v>0</v>
      </c>
      <c r="D538" s="54">
        <f>_xlfn.MAXIFS(Tabelle5[[#This Row],[binding_level]], Tabelle5[[#This Row],[company_id]],Tabelle18[[#This Row],[company_id]], Tabelle5[[#This Row],[value_id]], Tabelle18[[#This Row],[value_id]], Tabelle5[[#This Row],[value_present]],"1")</f>
        <v>0</v>
      </c>
      <c r="E538" s="54">
        <f>_xlfn.MAXIFS(Tabelle5[[#This Row],[value_points]], Tabelle5[[#This Row],[company_id]],Tabelle18[[#This Row],[company_id]], Tabelle5[[#This Row],[value_id]], Tabelle18[[#This Row],[value_id]], Tabelle5[[#This Row],[value_present]],"1")</f>
        <v>0</v>
      </c>
    </row>
    <row r="539" spans="1:5" x14ac:dyDescent="0.25">
      <c r="A539">
        <v>30</v>
      </c>
      <c r="B539" t="s">
        <v>161</v>
      </c>
      <c r="C539" s="54">
        <f>IF(Tabelle18[[#This Row],[binding_level_company]]&gt;=1,1,0)</f>
        <v>0</v>
      </c>
      <c r="D539" s="54">
        <f>_xlfn.MAXIFS(Tabelle5[[#This Row],[binding_level]], Tabelle5[[#This Row],[company_id]],Tabelle18[[#This Row],[company_id]], Tabelle5[[#This Row],[value_id]], Tabelle18[[#This Row],[value_id]], Tabelle5[[#This Row],[value_present]],"1")</f>
        <v>0</v>
      </c>
      <c r="E539" s="54">
        <f>_xlfn.MAXIFS(Tabelle5[[#This Row],[value_points]], Tabelle5[[#This Row],[company_id]],Tabelle18[[#This Row],[company_id]], Tabelle5[[#This Row],[value_id]], Tabelle18[[#This Row],[value_id]], Tabelle5[[#This Row],[value_present]],"1")</f>
        <v>0</v>
      </c>
    </row>
    <row r="540" spans="1:5" x14ac:dyDescent="0.25">
      <c r="A540">
        <v>30</v>
      </c>
      <c r="B540" t="s">
        <v>166</v>
      </c>
      <c r="C540" s="54">
        <f>IF(Tabelle18[[#This Row],[binding_level_company]]&gt;=1,1,0)</f>
        <v>0</v>
      </c>
      <c r="D540" s="54">
        <f>_xlfn.MAXIFS(Tabelle5[[#This Row],[binding_level]], Tabelle5[[#This Row],[company_id]],Tabelle18[[#This Row],[company_id]], Tabelle5[[#This Row],[value_id]], Tabelle18[[#This Row],[value_id]], Tabelle5[[#This Row],[value_present]],"1")</f>
        <v>0</v>
      </c>
      <c r="E540" s="54">
        <f>_xlfn.MAXIFS(Tabelle5[[#This Row],[value_points]], Tabelle5[[#This Row],[company_id]],Tabelle18[[#This Row],[company_id]], Tabelle5[[#This Row],[value_id]], Tabelle18[[#This Row],[value_id]], Tabelle5[[#This Row],[value_present]],"1")</f>
        <v>0</v>
      </c>
    </row>
    <row r="541" spans="1:5" ht="15.75" thickBot="1" x14ac:dyDescent="0.3">
      <c r="A541">
        <v>30</v>
      </c>
      <c r="B541" s="30" t="s">
        <v>174</v>
      </c>
      <c r="C541" s="54">
        <f>IF(Tabelle18[[#This Row],[binding_level_company]]&gt;=1,1,0)</f>
        <v>0</v>
      </c>
      <c r="D541" s="54">
        <f>_xlfn.MAXIFS(Tabelle5[[#This Row],[binding_level]], Tabelle5[[#This Row],[company_id]],Tabelle18[[#This Row],[company_id]], Tabelle5[[#This Row],[value_id]], Tabelle18[[#This Row],[value_id]], Tabelle5[[#This Row],[value_present]],"1")</f>
        <v>0</v>
      </c>
      <c r="E541" s="54">
        <f>_xlfn.MAXIFS(Tabelle5[[#This Row],[value_points]], Tabelle5[[#This Row],[company_id]],Tabelle18[[#This Row],[company_id]], Tabelle5[[#This Row],[value_id]], Tabelle18[[#This Row],[value_id]], Tabelle5[[#This Row],[value_present]],"1")</f>
        <v>0</v>
      </c>
    </row>
    <row r="542" spans="1:5" x14ac:dyDescent="0.25">
      <c r="A542">
        <v>31</v>
      </c>
      <c r="B542" s="22" t="s">
        <v>53</v>
      </c>
      <c r="C542" s="54">
        <f>IF(Tabelle18[[#This Row],[binding_level_company]]&gt;=1,1,0)</f>
        <v>0</v>
      </c>
      <c r="D542" s="54">
        <f>_xlfn.MAXIFS(Tabelle5[[#This Row],[binding_level]], Tabelle5[[#This Row],[company_id]],Tabelle18[[#This Row],[company_id]], Tabelle5[[#This Row],[value_id]], Tabelle18[[#This Row],[value_id]], Tabelle5[[#This Row],[value_present]],"1")</f>
        <v>0</v>
      </c>
      <c r="E542" s="54">
        <f>_xlfn.MAXIFS(Tabelle5[[#This Row],[value_points]], Tabelle5[[#This Row],[company_id]],Tabelle18[[#This Row],[company_id]], Tabelle5[[#This Row],[value_id]], Tabelle18[[#This Row],[value_id]], Tabelle5[[#This Row],[value_present]],"1")</f>
        <v>0</v>
      </c>
    </row>
    <row r="543" spans="1:5" x14ac:dyDescent="0.25">
      <c r="A543">
        <v>31</v>
      </c>
      <c r="B543" t="s">
        <v>61</v>
      </c>
      <c r="C543" s="54">
        <f>IF(Tabelle18[[#This Row],[binding_level_company]]&gt;=1,1,0)</f>
        <v>0</v>
      </c>
      <c r="D543" s="54">
        <f>_xlfn.MAXIFS(Tabelle5[[#This Row],[binding_level]], Tabelle5[[#This Row],[company_id]],Tabelle18[[#This Row],[company_id]], Tabelle5[[#This Row],[value_id]], Tabelle18[[#This Row],[value_id]], Tabelle5[[#This Row],[value_present]],"1")</f>
        <v>0</v>
      </c>
      <c r="E543" s="54">
        <f>_xlfn.MAXIFS(Tabelle5[[#This Row],[value_points]], Tabelle5[[#This Row],[company_id]],Tabelle18[[#This Row],[company_id]], Tabelle5[[#This Row],[value_id]], Tabelle18[[#This Row],[value_id]], Tabelle5[[#This Row],[value_present]],"1")</f>
        <v>0</v>
      </c>
    </row>
    <row r="544" spans="1:5" x14ac:dyDescent="0.25">
      <c r="A544">
        <v>31</v>
      </c>
      <c r="B544" t="s">
        <v>69</v>
      </c>
      <c r="C544" s="54">
        <f>IF(Tabelle18[[#This Row],[binding_level_company]]&gt;=1,1,0)</f>
        <v>0</v>
      </c>
      <c r="D544" s="54">
        <f>_xlfn.MAXIFS(Tabelle5[[#This Row],[binding_level]], Tabelle5[[#This Row],[company_id]],Tabelle18[[#This Row],[company_id]], Tabelle5[[#This Row],[value_id]], Tabelle18[[#This Row],[value_id]], Tabelle5[[#This Row],[value_present]],"1")</f>
        <v>0</v>
      </c>
      <c r="E544" s="54">
        <f>_xlfn.MAXIFS(Tabelle5[[#This Row],[value_points]], Tabelle5[[#This Row],[company_id]],Tabelle18[[#This Row],[company_id]], Tabelle5[[#This Row],[value_id]], Tabelle18[[#This Row],[value_id]], Tabelle5[[#This Row],[value_present]],"1")</f>
        <v>0</v>
      </c>
    </row>
    <row r="545" spans="1:5" x14ac:dyDescent="0.25">
      <c r="A545">
        <v>31</v>
      </c>
      <c r="B545" t="s">
        <v>76</v>
      </c>
      <c r="C545" s="54">
        <f>IF(Tabelle18[[#This Row],[binding_level_company]]&gt;=1,1,0)</f>
        <v>0</v>
      </c>
      <c r="D545" s="54">
        <f>_xlfn.MAXIFS(Tabelle5[[#This Row],[binding_level]], Tabelle5[[#This Row],[company_id]],Tabelle18[[#This Row],[company_id]], Tabelle5[[#This Row],[value_id]], Tabelle18[[#This Row],[value_id]], Tabelle5[[#This Row],[value_present]],"1")</f>
        <v>0</v>
      </c>
      <c r="E545" s="54">
        <f>_xlfn.MAXIFS(Tabelle5[[#This Row],[value_points]], Tabelle5[[#This Row],[company_id]],Tabelle18[[#This Row],[company_id]], Tabelle5[[#This Row],[value_id]], Tabelle18[[#This Row],[value_id]], Tabelle5[[#This Row],[value_present]],"1")</f>
        <v>0</v>
      </c>
    </row>
    <row r="546" spans="1:5" x14ac:dyDescent="0.25">
      <c r="A546">
        <v>31</v>
      </c>
      <c r="B546" t="s">
        <v>83</v>
      </c>
      <c r="C546" s="54">
        <f>IF(Tabelle18[[#This Row],[binding_level_company]]&gt;=1,1,0)</f>
        <v>0</v>
      </c>
      <c r="D546" s="54">
        <f>_xlfn.MAXIFS(Tabelle5[[#This Row],[binding_level]], Tabelle5[[#This Row],[company_id]],Tabelle18[[#This Row],[company_id]], Tabelle5[[#This Row],[value_id]], Tabelle18[[#This Row],[value_id]], Tabelle5[[#This Row],[value_present]],"1")</f>
        <v>0</v>
      </c>
      <c r="E546" s="54">
        <f>_xlfn.MAXIFS(Tabelle5[[#This Row],[value_points]], Tabelle5[[#This Row],[company_id]],Tabelle18[[#This Row],[company_id]], Tabelle5[[#This Row],[value_id]], Tabelle18[[#This Row],[value_id]], Tabelle5[[#This Row],[value_present]],"1")</f>
        <v>0</v>
      </c>
    </row>
    <row r="547" spans="1:5" x14ac:dyDescent="0.25">
      <c r="A547">
        <v>31</v>
      </c>
      <c r="B547" t="s">
        <v>90</v>
      </c>
      <c r="C547" s="54">
        <f>IF(Tabelle18[[#This Row],[binding_level_company]]&gt;=1,1,0)</f>
        <v>0</v>
      </c>
      <c r="D547" s="54">
        <f>_xlfn.MAXIFS(Tabelle5[[#This Row],[binding_level]], Tabelle5[[#This Row],[company_id]],Tabelle18[[#This Row],[company_id]], Tabelle5[[#This Row],[value_id]], Tabelle18[[#This Row],[value_id]], Tabelle5[[#This Row],[value_present]],"1")</f>
        <v>0</v>
      </c>
      <c r="E547" s="54">
        <f>_xlfn.MAXIFS(Tabelle5[[#This Row],[value_points]], Tabelle5[[#This Row],[company_id]],Tabelle18[[#This Row],[company_id]], Tabelle5[[#This Row],[value_id]], Tabelle18[[#This Row],[value_id]], Tabelle5[[#This Row],[value_present]],"1")</f>
        <v>0</v>
      </c>
    </row>
    <row r="548" spans="1:5" x14ac:dyDescent="0.25">
      <c r="A548">
        <v>31</v>
      </c>
      <c r="B548" t="s">
        <v>98</v>
      </c>
      <c r="C548" s="54">
        <f>IF(Tabelle18[[#This Row],[binding_level_company]]&gt;=1,1,0)</f>
        <v>0</v>
      </c>
      <c r="D548" s="54">
        <f>_xlfn.MAXIFS(Tabelle5[[#This Row],[binding_level]], Tabelle5[[#This Row],[company_id]],Tabelle18[[#This Row],[company_id]], Tabelle5[[#This Row],[value_id]], Tabelle18[[#This Row],[value_id]], Tabelle5[[#This Row],[value_present]],"1")</f>
        <v>0</v>
      </c>
      <c r="E548" s="54">
        <f>_xlfn.MAXIFS(Tabelle5[[#This Row],[value_points]], Tabelle5[[#This Row],[company_id]],Tabelle18[[#This Row],[company_id]], Tabelle5[[#This Row],[value_id]], Tabelle18[[#This Row],[value_id]], Tabelle5[[#This Row],[value_present]],"1")</f>
        <v>0</v>
      </c>
    </row>
    <row r="549" spans="1:5" x14ac:dyDescent="0.25">
      <c r="A549">
        <v>31</v>
      </c>
      <c r="B549" t="s">
        <v>106</v>
      </c>
      <c r="C549" s="54">
        <f>IF(Tabelle18[[#This Row],[binding_level_company]]&gt;=1,1,0)</f>
        <v>0</v>
      </c>
      <c r="D549" s="54">
        <f>_xlfn.MAXIFS(Tabelle5[[#This Row],[binding_level]], Tabelle5[[#This Row],[company_id]],Tabelle18[[#This Row],[company_id]], Tabelle5[[#This Row],[value_id]], Tabelle18[[#This Row],[value_id]], Tabelle5[[#This Row],[value_present]],"1")</f>
        <v>0</v>
      </c>
      <c r="E549" s="54">
        <f>_xlfn.MAXIFS(Tabelle5[[#This Row],[value_points]], Tabelle5[[#This Row],[company_id]],Tabelle18[[#This Row],[company_id]], Tabelle5[[#This Row],[value_id]], Tabelle18[[#This Row],[value_id]], Tabelle5[[#This Row],[value_present]],"1")</f>
        <v>0</v>
      </c>
    </row>
    <row r="550" spans="1:5" x14ac:dyDescent="0.25">
      <c r="A550">
        <v>31</v>
      </c>
      <c r="B550" t="s">
        <v>112</v>
      </c>
      <c r="C550" s="54">
        <f>IF(Tabelle18[[#This Row],[binding_level_company]]&gt;=1,1,0)</f>
        <v>0</v>
      </c>
      <c r="D550" s="54">
        <f>_xlfn.MAXIFS(Tabelle5[[#This Row],[binding_level]], Tabelle5[[#This Row],[company_id]],Tabelle18[[#This Row],[company_id]], Tabelle5[[#This Row],[value_id]], Tabelle18[[#This Row],[value_id]], Tabelle5[[#This Row],[value_present]],"1")</f>
        <v>0</v>
      </c>
      <c r="E550" s="54">
        <f>_xlfn.MAXIFS(Tabelle5[[#This Row],[value_points]], Tabelle5[[#This Row],[company_id]],Tabelle18[[#This Row],[company_id]], Tabelle5[[#This Row],[value_id]], Tabelle18[[#This Row],[value_id]], Tabelle5[[#This Row],[value_present]],"1")</f>
        <v>0</v>
      </c>
    </row>
    <row r="551" spans="1:5" x14ac:dyDescent="0.25">
      <c r="A551">
        <v>31</v>
      </c>
      <c r="B551" t="s">
        <v>118</v>
      </c>
      <c r="C551" s="54">
        <f>IF(Tabelle18[[#This Row],[binding_level_company]]&gt;=1,1,0)</f>
        <v>0</v>
      </c>
      <c r="D551" s="54">
        <f>_xlfn.MAXIFS(Tabelle5[[#This Row],[binding_level]], Tabelle5[[#This Row],[company_id]],Tabelle18[[#This Row],[company_id]], Tabelle5[[#This Row],[value_id]], Tabelle18[[#This Row],[value_id]], Tabelle5[[#This Row],[value_present]],"1")</f>
        <v>0</v>
      </c>
      <c r="E551" s="54">
        <f>_xlfn.MAXIFS(Tabelle5[[#This Row],[value_points]], Tabelle5[[#This Row],[company_id]],Tabelle18[[#This Row],[company_id]], Tabelle5[[#This Row],[value_id]], Tabelle18[[#This Row],[value_id]], Tabelle5[[#This Row],[value_present]],"1")</f>
        <v>0</v>
      </c>
    </row>
    <row r="552" spans="1:5" x14ac:dyDescent="0.25">
      <c r="A552">
        <v>31</v>
      </c>
      <c r="B552" t="s">
        <v>125</v>
      </c>
      <c r="C552" s="54">
        <f>IF(Tabelle18[[#This Row],[binding_level_company]]&gt;=1,1,0)</f>
        <v>0</v>
      </c>
      <c r="D552" s="54">
        <f>_xlfn.MAXIFS(Tabelle5[[#This Row],[binding_level]], Tabelle5[[#This Row],[company_id]],Tabelle18[[#This Row],[company_id]], Tabelle5[[#This Row],[value_id]], Tabelle18[[#This Row],[value_id]], Tabelle5[[#This Row],[value_present]],"1")</f>
        <v>0</v>
      </c>
      <c r="E552" s="54">
        <f>_xlfn.MAXIFS(Tabelle5[[#This Row],[value_points]], Tabelle5[[#This Row],[company_id]],Tabelle18[[#This Row],[company_id]], Tabelle5[[#This Row],[value_id]], Tabelle18[[#This Row],[value_id]], Tabelle5[[#This Row],[value_present]],"1")</f>
        <v>0</v>
      </c>
    </row>
    <row r="553" spans="1:5" x14ac:dyDescent="0.25">
      <c r="A553">
        <v>31</v>
      </c>
      <c r="B553" t="s">
        <v>132</v>
      </c>
      <c r="C553" s="54">
        <f>IF(Tabelle18[[#This Row],[binding_level_company]]&gt;=1,1,0)</f>
        <v>0</v>
      </c>
      <c r="D553" s="54">
        <f>_xlfn.MAXIFS(Tabelle5[[#This Row],[binding_level]], Tabelle5[[#This Row],[company_id]],Tabelle18[[#This Row],[company_id]], Tabelle5[[#This Row],[value_id]], Tabelle18[[#This Row],[value_id]], Tabelle5[[#This Row],[value_present]],"1")</f>
        <v>0</v>
      </c>
      <c r="E553" s="54">
        <f>_xlfn.MAXIFS(Tabelle5[[#This Row],[value_points]], Tabelle5[[#This Row],[company_id]],Tabelle18[[#This Row],[company_id]], Tabelle5[[#This Row],[value_id]], Tabelle18[[#This Row],[value_id]], Tabelle5[[#This Row],[value_present]],"1")</f>
        <v>0</v>
      </c>
    </row>
    <row r="554" spans="1:5" x14ac:dyDescent="0.25">
      <c r="A554">
        <v>31</v>
      </c>
      <c r="B554" t="s">
        <v>140</v>
      </c>
      <c r="C554" s="54">
        <f>IF(Tabelle18[[#This Row],[binding_level_company]]&gt;=1,1,0)</f>
        <v>0</v>
      </c>
      <c r="D554" s="54">
        <f>_xlfn.MAXIFS(Tabelle5[[#This Row],[binding_level]], Tabelle5[[#This Row],[company_id]],Tabelle18[[#This Row],[company_id]], Tabelle5[[#This Row],[value_id]], Tabelle18[[#This Row],[value_id]], Tabelle5[[#This Row],[value_present]],"1")</f>
        <v>0</v>
      </c>
      <c r="E554" s="54">
        <f>_xlfn.MAXIFS(Tabelle5[[#This Row],[value_points]], Tabelle5[[#This Row],[company_id]],Tabelle18[[#This Row],[company_id]], Tabelle5[[#This Row],[value_id]], Tabelle18[[#This Row],[value_id]], Tabelle5[[#This Row],[value_present]],"1")</f>
        <v>0</v>
      </c>
    </row>
    <row r="555" spans="1:5" x14ac:dyDescent="0.25">
      <c r="A555">
        <v>31</v>
      </c>
      <c r="B555" t="s">
        <v>147</v>
      </c>
      <c r="C555" s="54">
        <f>IF(Tabelle18[[#This Row],[binding_level_company]]&gt;=1,1,0)</f>
        <v>0</v>
      </c>
      <c r="D555" s="54">
        <f>_xlfn.MAXIFS(Tabelle5[[#This Row],[binding_level]], Tabelle5[[#This Row],[company_id]],Tabelle18[[#This Row],[company_id]], Tabelle5[[#This Row],[value_id]], Tabelle18[[#This Row],[value_id]], Tabelle5[[#This Row],[value_present]],"1")</f>
        <v>0</v>
      </c>
      <c r="E555" s="54">
        <f>_xlfn.MAXIFS(Tabelle5[[#This Row],[value_points]], Tabelle5[[#This Row],[company_id]],Tabelle18[[#This Row],[company_id]], Tabelle5[[#This Row],[value_id]], Tabelle18[[#This Row],[value_id]], Tabelle5[[#This Row],[value_present]],"1")</f>
        <v>0</v>
      </c>
    </row>
    <row r="556" spans="1:5" x14ac:dyDescent="0.25">
      <c r="A556">
        <v>31</v>
      </c>
      <c r="B556" t="s">
        <v>154</v>
      </c>
      <c r="C556" s="54">
        <f>IF(Tabelle18[[#This Row],[binding_level_company]]&gt;=1,1,0)</f>
        <v>0</v>
      </c>
      <c r="D556" s="54">
        <f>_xlfn.MAXIFS(Tabelle5[[#This Row],[binding_level]], Tabelle5[[#This Row],[company_id]],Tabelle18[[#This Row],[company_id]], Tabelle5[[#This Row],[value_id]], Tabelle18[[#This Row],[value_id]], Tabelle5[[#This Row],[value_present]],"1")</f>
        <v>0</v>
      </c>
      <c r="E556" s="54">
        <f>_xlfn.MAXIFS(Tabelle5[[#This Row],[value_points]], Tabelle5[[#This Row],[company_id]],Tabelle18[[#This Row],[company_id]], Tabelle5[[#This Row],[value_id]], Tabelle18[[#This Row],[value_id]], Tabelle5[[#This Row],[value_present]],"1")</f>
        <v>0</v>
      </c>
    </row>
    <row r="557" spans="1:5" x14ac:dyDescent="0.25">
      <c r="A557">
        <v>31</v>
      </c>
      <c r="B557" t="s">
        <v>161</v>
      </c>
      <c r="C557" s="54">
        <f>IF(Tabelle18[[#This Row],[binding_level_company]]&gt;=1,1,0)</f>
        <v>0</v>
      </c>
      <c r="D557" s="54">
        <f>_xlfn.MAXIFS(Tabelle5[[#This Row],[binding_level]], Tabelle5[[#This Row],[company_id]],Tabelle18[[#This Row],[company_id]], Tabelle5[[#This Row],[value_id]], Tabelle18[[#This Row],[value_id]], Tabelle5[[#This Row],[value_present]],"1")</f>
        <v>0</v>
      </c>
      <c r="E557" s="54">
        <f>_xlfn.MAXIFS(Tabelle5[[#This Row],[value_points]], Tabelle5[[#This Row],[company_id]],Tabelle18[[#This Row],[company_id]], Tabelle5[[#This Row],[value_id]], Tabelle18[[#This Row],[value_id]], Tabelle5[[#This Row],[value_present]],"1")</f>
        <v>0</v>
      </c>
    </row>
    <row r="558" spans="1:5" x14ac:dyDescent="0.25">
      <c r="A558">
        <v>31</v>
      </c>
      <c r="B558" t="s">
        <v>166</v>
      </c>
      <c r="C558" s="54">
        <f>IF(Tabelle18[[#This Row],[binding_level_company]]&gt;=1,1,0)</f>
        <v>0</v>
      </c>
      <c r="D558" s="54">
        <f>_xlfn.MAXIFS(Tabelle5[[#This Row],[binding_level]], Tabelle5[[#This Row],[company_id]],Tabelle18[[#This Row],[company_id]], Tabelle5[[#This Row],[value_id]], Tabelle18[[#This Row],[value_id]], Tabelle5[[#This Row],[value_present]],"1")</f>
        <v>0</v>
      </c>
      <c r="E558" s="54">
        <f>_xlfn.MAXIFS(Tabelle5[[#This Row],[value_points]], Tabelle5[[#This Row],[company_id]],Tabelle18[[#This Row],[company_id]], Tabelle5[[#This Row],[value_id]], Tabelle18[[#This Row],[value_id]], Tabelle5[[#This Row],[value_present]],"1")</f>
        <v>0</v>
      </c>
    </row>
    <row r="559" spans="1:5" ht="15.75" thickBot="1" x14ac:dyDescent="0.3">
      <c r="A559">
        <v>31</v>
      </c>
      <c r="B559" s="30" t="s">
        <v>174</v>
      </c>
      <c r="C559" s="54">
        <f>IF(Tabelle18[[#This Row],[binding_level_company]]&gt;=1,1,0)</f>
        <v>0</v>
      </c>
      <c r="D559" s="54">
        <f>_xlfn.MAXIFS(Tabelle5[[#This Row],[binding_level]], Tabelle5[[#This Row],[company_id]],Tabelle18[[#This Row],[company_id]], Tabelle5[[#This Row],[value_id]], Tabelle18[[#This Row],[value_id]], Tabelle5[[#This Row],[value_present]],"1")</f>
        <v>0</v>
      </c>
      <c r="E559" s="54">
        <f>_xlfn.MAXIFS(Tabelle5[[#This Row],[value_points]], Tabelle5[[#This Row],[company_id]],Tabelle18[[#This Row],[company_id]], Tabelle5[[#This Row],[value_id]], Tabelle18[[#This Row],[value_id]], Tabelle5[[#This Row],[value_present]],"1")</f>
        <v>0</v>
      </c>
    </row>
    <row r="560" spans="1:5" x14ac:dyDescent="0.25">
      <c r="A560">
        <v>32</v>
      </c>
      <c r="B560" s="22" t="s">
        <v>53</v>
      </c>
      <c r="C560" s="54">
        <f>IF(Tabelle18[[#This Row],[binding_level_company]]&gt;=1,1,0)</f>
        <v>0</v>
      </c>
      <c r="D560" s="54">
        <f>_xlfn.MAXIFS(Tabelle5[[#This Row],[binding_level]], Tabelle5[[#This Row],[company_id]],Tabelle18[[#This Row],[company_id]], Tabelle5[[#This Row],[value_id]], Tabelle18[[#This Row],[value_id]], Tabelle5[[#This Row],[value_present]],"1")</f>
        <v>0</v>
      </c>
      <c r="E560" s="54">
        <f>_xlfn.MAXIFS(Tabelle5[[#This Row],[value_points]], Tabelle5[[#This Row],[company_id]],Tabelle18[[#This Row],[company_id]], Tabelle5[[#This Row],[value_id]], Tabelle18[[#This Row],[value_id]], Tabelle5[[#This Row],[value_present]],"1")</f>
        <v>0</v>
      </c>
    </row>
    <row r="561" spans="1:5" x14ac:dyDescent="0.25">
      <c r="A561">
        <v>32</v>
      </c>
      <c r="B561" t="s">
        <v>61</v>
      </c>
      <c r="C561" s="54">
        <f>IF(Tabelle18[[#This Row],[binding_level_company]]&gt;=1,1,0)</f>
        <v>0</v>
      </c>
      <c r="D561" s="54">
        <f>_xlfn.MAXIFS(Tabelle5[[#This Row],[binding_level]], Tabelle5[[#This Row],[company_id]],Tabelle18[[#This Row],[company_id]], Tabelle5[[#This Row],[value_id]], Tabelle18[[#This Row],[value_id]], Tabelle5[[#This Row],[value_present]],"1")</f>
        <v>0</v>
      </c>
      <c r="E561" s="54">
        <f>_xlfn.MAXIFS(Tabelle5[[#This Row],[value_points]], Tabelle5[[#This Row],[company_id]],Tabelle18[[#This Row],[company_id]], Tabelle5[[#This Row],[value_id]], Tabelle18[[#This Row],[value_id]], Tabelle5[[#This Row],[value_present]],"1")</f>
        <v>0</v>
      </c>
    </row>
    <row r="562" spans="1:5" x14ac:dyDescent="0.25">
      <c r="A562">
        <v>32</v>
      </c>
      <c r="B562" t="s">
        <v>69</v>
      </c>
      <c r="C562" s="54">
        <f>IF(Tabelle18[[#This Row],[binding_level_company]]&gt;=1,1,0)</f>
        <v>0</v>
      </c>
      <c r="D562" s="54">
        <f>_xlfn.MAXIFS(Tabelle5[[#This Row],[binding_level]], Tabelle5[[#This Row],[company_id]],Tabelle18[[#This Row],[company_id]], Tabelle5[[#This Row],[value_id]], Tabelle18[[#This Row],[value_id]], Tabelle5[[#This Row],[value_present]],"1")</f>
        <v>0</v>
      </c>
      <c r="E562" s="54">
        <f>_xlfn.MAXIFS(Tabelle5[[#This Row],[value_points]], Tabelle5[[#This Row],[company_id]],Tabelle18[[#This Row],[company_id]], Tabelle5[[#This Row],[value_id]], Tabelle18[[#This Row],[value_id]], Tabelle5[[#This Row],[value_present]],"1")</f>
        <v>0</v>
      </c>
    </row>
    <row r="563" spans="1:5" x14ac:dyDescent="0.25">
      <c r="A563">
        <v>32</v>
      </c>
      <c r="B563" t="s">
        <v>76</v>
      </c>
      <c r="C563" s="54">
        <f>IF(Tabelle18[[#This Row],[binding_level_company]]&gt;=1,1,0)</f>
        <v>0</v>
      </c>
      <c r="D563" s="54">
        <f>_xlfn.MAXIFS(Tabelle5[[#This Row],[binding_level]], Tabelle5[[#This Row],[company_id]],Tabelle18[[#This Row],[company_id]], Tabelle5[[#This Row],[value_id]], Tabelle18[[#This Row],[value_id]], Tabelle5[[#This Row],[value_present]],"1")</f>
        <v>0</v>
      </c>
      <c r="E563" s="54">
        <f>_xlfn.MAXIFS(Tabelle5[[#This Row],[value_points]], Tabelle5[[#This Row],[company_id]],Tabelle18[[#This Row],[company_id]], Tabelle5[[#This Row],[value_id]], Tabelle18[[#This Row],[value_id]], Tabelle5[[#This Row],[value_present]],"1")</f>
        <v>0</v>
      </c>
    </row>
    <row r="564" spans="1:5" x14ac:dyDescent="0.25">
      <c r="A564">
        <v>32</v>
      </c>
      <c r="B564" t="s">
        <v>83</v>
      </c>
      <c r="C564" s="54">
        <f>IF(Tabelle18[[#This Row],[binding_level_company]]&gt;=1,1,0)</f>
        <v>0</v>
      </c>
      <c r="D564" s="54">
        <f>_xlfn.MAXIFS(Tabelle5[[#This Row],[binding_level]], Tabelle5[[#This Row],[company_id]],Tabelle18[[#This Row],[company_id]], Tabelle5[[#This Row],[value_id]], Tabelle18[[#This Row],[value_id]], Tabelle5[[#This Row],[value_present]],"1")</f>
        <v>0</v>
      </c>
      <c r="E564" s="54">
        <f>_xlfn.MAXIFS(Tabelle5[[#This Row],[value_points]], Tabelle5[[#This Row],[company_id]],Tabelle18[[#This Row],[company_id]], Tabelle5[[#This Row],[value_id]], Tabelle18[[#This Row],[value_id]], Tabelle5[[#This Row],[value_present]],"1")</f>
        <v>0</v>
      </c>
    </row>
    <row r="565" spans="1:5" x14ac:dyDescent="0.25">
      <c r="A565">
        <v>32</v>
      </c>
      <c r="B565" t="s">
        <v>90</v>
      </c>
      <c r="C565" s="54">
        <f>IF(Tabelle18[[#This Row],[binding_level_company]]&gt;=1,1,0)</f>
        <v>0</v>
      </c>
      <c r="D565" s="54">
        <f>_xlfn.MAXIFS(Tabelle5[[#This Row],[binding_level]], Tabelle5[[#This Row],[company_id]],Tabelle18[[#This Row],[company_id]], Tabelle5[[#This Row],[value_id]], Tabelle18[[#This Row],[value_id]], Tabelle5[[#This Row],[value_present]],"1")</f>
        <v>0</v>
      </c>
      <c r="E565" s="54">
        <f>_xlfn.MAXIFS(Tabelle5[[#This Row],[value_points]], Tabelle5[[#This Row],[company_id]],Tabelle18[[#This Row],[company_id]], Tabelle5[[#This Row],[value_id]], Tabelle18[[#This Row],[value_id]], Tabelle5[[#This Row],[value_present]],"1")</f>
        <v>0</v>
      </c>
    </row>
    <row r="566" spans="1:5" x14ac:dyDescent="0.25">
      <c r="A566">
        <v>32</v>
      </c>
      <c r="B566" t="s">
        <v>98</v>
      </c>
      <c r="C566" s="54">
        <f>IF(Tabelle18[[#This Row],[binding_level_company]]&gt;=1,1,0)</f>
        <v>0</v>
      </c>
      <c r="D566" s="54">
        <f>_xlfn.MAXIFS(Tabelle5[[#This Row],[binding_level]], Tabelle5[[#This Row],[company_id]],Tabelle18[[#This Row],[company_id]], Tabelle5[[#This Row],[value_id]], Tabelle18[[#This Row],[value_id]], Tabelle5[[#This Row],[value_present]],"1")</f>
        <v>0</v>
      </c>
      <c r="E566" s="54">
        <f>_xlfn.MAXIFS(Tabelle5[[#This Row],[value_points]], Tabelle5[[#This Row],[company_id]],Tabelle18[[#This Row],[company_id]], Tabelle5[[#This Row],[value_id]], Tabelle18[[#This Row],[value_id]], Tabelle5[[#This Row],[value_present]],"1")</f>
        <v>0</v>
      </c>
    </row>
    <row r="567" spans="1:5" x14ac:dyDescent="0.25">
      <c r="A567">
        <v>32</v>
      </c>
      <c r="B567" t="s">
        <v>106</v>
      </c>
      <c r="C567" s="54">
        <f>IF(Tabelle18[[#This Row],[binding_level_company]]&gt;=1,1,0)</f>
        <v>0</v>
      </c>
      <c r="D567" s="54">
        <f>_xlfn.MAXIFS(Tabelle5[[#This Row],[binding_level]], Tabelle5[[#This Row],[company_id]],Tabelle18[[#This Row],[company_id]], Tabelle5[[#This Row],[value_id]], Tabelle18[[#This Row],[value_id]], Tabelle5[[#This Row],[value_present]],"1")</f>
        <v>0</v>
      </c>
      <c r="E567" s="54">
        <f>_xlfn.MAXIFS(Tabelle5[[#This Row],[value_points]], Tabelle5[[#This Row],[company_id]],Tabelle18[[#This Row],[company_id]], Tabelle5[[#This Row],[value_id]], Tabelle18[[#This Row],[value_id]], Tabelle5[[#This Row],[value_present]],"1")</f>
        <v>0</v>
      </c>
    </row>
    <row r="568" spans="1:5" x14ac:dyDescent="0.25">
      <c r="A568">
        <v>32</v>
      </c>
      <c r="B568" t="s">
        <v>112</v>
      </c>
      <c r="C568" s="54">
        <f>IF(Tabelle18[[#This Row],[binding_level_company]]&gt;=1,1,0)</f>
        <v>0</v>
      </c>
      <c r="D568" s="54">
        <f>_xlfn.MAXIFS(Tabelle5[[#This Row],[binding_level]], Tabelle5[[#This Row],[company_id]],Tabelle18[[#This Row],[company_id]], Tabelle5[[#This Row],[value_id]], Tabelle18[[#This Row],[value_id]], Tabelle5[[#This Row],[value_present]],"1")</f>
        <v>0</v>
      </c>
      <c r="E568" s="54">
        <f>_xlfn.MAXIFS(Tabelle5[[#This Row],[value_points]], Tabelle5[[#This Row],[company_id]],Tabelle18[[#This Row],[company_id]], Tabelle5[[#This Row],[value_id]], Tabelle18[[#This Row],[value_id]], Tabelle5[[#This Row],[value_present]],"1")</f>
        <v>0</v>
      </c>
    </row>
    <row r="569" spans="1:5" x14ac:dyDescent="0.25">
      <c r="A569">
        <v>32</v>
      </c>
      <c r="B569" t="s">
        <v>118</v>
      </c>
      <c r="C569" s="54">
        <f>IF(Tabelle18[[#This Row],[binding_level_company]]&gt;=1,1,0)</f>
        <v>0</v>
      </c>
      <c r="D569" s="54">
        <f>_xlfn.MAXIFS(Tabelle5[[#This Row],[binding_level]], Tabelle5[[#This Row],[company_id]],Tabelle18[[#This Row],[company_id]], Tabelle5[[#This Row],[value_id]], Tabelle18[[#This Row],[value_id]], Tabelle5[[#This Row],[value_present]],"1")</f>
        <v>0</v>
      </c>
      <c r="E569" s="54">
        <f>_xlfn.MAXIFS(Tabelle5[[#This Row],[value_points]], Tabelle5[[#This Row],[company_id]],Tabelle18[[#This Row],[company_id]], Tabelle5[[#This Row],[value_id]], Tabelle18[[#This Row],[value_id]], Tabelle5[[#This Row],[value_present]],"1")</f>
        <v>0</v>
      </c>
    </row>
    <row r="570" spans="1:5" x14ac:dyDescent="0.25">
      <c r="A570">
        <v>32</v>
      </c>
      <c r="B570" t="s">
        <v>125</v>
      </c>
      <c r="C570" s="54">
        <f>IF(Tabelle18[[#This Row],[binding_level_company]]&gt;=1,1,0)</f>
        <v>0</v>
      </c>
      <c r="D570" s="54">
        <f>_xlfn.MAXIFS(Tabelle5[[#This Row],[binding_level]], Tabelle5[[#This Row],[company_id]],Tabelle18[[#This Row],[company_id]], Tabelle5[[#This Row],[value_id]], Tabelle18[[#This Row],[value_id]], Tabelle5[[#This Row],[value_present]],"1")</f>
        <v>0</v>
      </c>
      <c r="E570" s="54">
        <f>_xlfn.MAXIFS(Tabelle5[[#This Row],[value_points]], Tabelle5[[#This Row],[company_id]],Tabelle18[[#This Row],[company_id]], Tabelle5[[#This Row],[value_id]], Tabelle18[[#This Row],[value_id]], Tabelle5[[#This Row],[value_present]],"1")</f>
        <v>0</v>
      </c>
    </row>
    <row r="571" spans="1:5" x14ac:dyDescent="0.25">
      <c r="A571">
        <v>32</v>
      </c>
      <c r="B571" t="s">
        <v>132</v>
      </c>
      <c r="C571" s="54">
        <f>IF(Tabelle18[[#This Row],[binding_level_company]]&gt;=1,1,0)</f>
        <v>0</v>
      </c>
      <c r="D571" s="54">
        <f>_xlfn.MAXIFS(Tabelle5[[#This Row],[binding_level]], Tabelle5[[#This Row],[company_id]],Tabelle18[[#This Row],[company_id]], Tabelle5[[#This Row],[value_id]], Tabelle18[[#This Row],[value_id]], Tabelle5[[#This Row],[value_present]],"1")</f>
        <v>0</v>
      </c>
      <c r="E571" s="54">
        <f>_xlfn.MAXIFS(Tabelle5[[#This Row],[value_points]], Tabelle5[[#This Row],[company_id]],Tabelle18[[#This Row],[company_id]], Tabelle5[[#This Row],[value_id]], Tabelle18[[#This Row],[value_id]], Tabelle5[[#This Row],[value_present]],"1")</f>
        <v>0</v>
      </c>
    </row>
    <row r="572" spans="1:5" x14ac:dyDescent="0.25">
      <c r="A572">
        <v>32</v>
      </c>
      <c r="B572" t="s">
        <v>140</v>
      </c>
      <c r="C572" s="54">
        <f>IF(Tabelle18[[#This Row],[binding_level_company]]&gt;=1,1,0)</f>
        <v>0</v>
      </c>
      <c r="D572" s="54">
        <f>_xlfn.MAXIFS(Tabelle5[[#This Row],[binding_level]], Tabelle5[[#This Row],[company_id]],Tabelle18[[#This Row],[company_id]], Tabelle5[[#This Row],[value_id]], Tabelle18[[#This Row],[value_id]], Tabelle5[[#This Row],[value_present]],"1")</f>
        <v>0</v>
      </c>
      <c r="E572" s="54">
        <f>_xlfn.MAXIFS(Tabelle5[[#This Row],[value_points]], Tabelle5[[#This Row],[company_id]],Tabelle18[[#This Row],[company_id]], Tabelle5[[#This Row],[value_id]], Tabelle18[[#This Row],[value_id]], Tabelle5[[#This Row],[value_present]],"1")</f>
        <v>0</v>
      </c>
    </row>
    <row r="573" spans="1:5" x14ac:dyDescent="0.25">
      <c r="A573">
        <v>32</v>
      </c>
      <c r="B573" t="s">
        <v>147</v>
      </c>
      <c r="C573" s="54">
        <f>IF(Tabelle18[[#This Row],[binding_level_company]]&gt;=1,1,0)</f>
        <v>0</v>
      </c>
      <c r="D573" s="54">
        <f>_xlfn.MAXIFS(Tabelle5[[#This Row],[binding_level]], Tabelle5[[#This Row],[company_id]],Tabelle18[[#This Row],[company_id]], Tabelle5[[#This Row],[value_id]], Tabelle18[[#This Row],[value_id]], Tabelle5[[#This Row],[value_present]],"1")</f>
        <v>0</v>
      </c>
      <c r="E573" s="54">
        <f>_xlfn.MAXIFS(Tabelle5[[#This Row],[value_points]], Tabelle5[[#This Row],[company_id]],Tabelle18[[#This Row],[company_id]], Tabelle5[[#This Row],[value_id]], Tabelle18[[#This Row],[value_id]], Tabelle5[[#This Row],[value_present]],"1")</f>
        <v>0</v>
      </c>
    </row>
    <row r="574" spans="1:5" x14ac:dyDescent="0.25">
      <c r="A574">
        <v>32</v>
      </c>
      <c r="B574" t="s">
        <v>154</v>
      </c>
      <c r="C574" s="54">
        <f>IF(Tabelle18[[#This Row],[binding_level_company]]&gt;=1,1,0)</f>
        <v>0</v>
      </c>
      <c r="D574" s="54">
        <f>_xlfn.MAXIFS(Tabelle5[[#This Row],[binding_level]], Tabelle5[[#This Row],[company_id]],Tabelle18[[#This Row],[company_id]], Tabelle5[[#This Row],[value_id]], Tabelle18[[#This Row],[value_id]], Tabelle5[[#This Row],[value_present]],"1")</f>
        <v>0</v>
      </c>
      <c r="E574" s="54">
        <f>_xlfn.MAXIFS(Tabelle5[[#This Row],[value_points]], Tabelle5[[#This Row],[company_id]],Tabelle18[[#This Row],[company_id]], Tabelle5[[#This Row],[value_id]], Tabelle18[[#This Row],[value_id]], Tabelle5[[#This Row],[value_present]],"1")</f>
        <v>0</v>
      </c>
    </row>
    <row r="575" spans="1:5" x14ac:dyDescent="0.25">
      <c r="A575">
        <v>32</v>
      </c>
      <c r="B575" t="s">
        <v>161</v>
      </c>
      <c r="C575" s="54">
        <f>IF(Tabelle18[[#This Row],[binding_level_company]]&gt;=1,1,0)</f>
        <v>0</v>
      </c>
      <c r="D575" s="54">
        <f>_xlfn.MAXIFS(Tabelle5[[#This Row],[binding_level]], Tabelle5[[#This Row],[company_id]],Tabelle18[[#This Row],[company_id]], Tabelle5[[#This Row],[value_id]], Tabelle18[[#This Row],[value_id]], Tabelle5[[#This Row],[value_present]],"1")</f>
        <v>0</v>
      </c>
      <c r="E575" s="54">
        <f>_xlfn.MAXIFS(Tabelle5[[#This Row],[value_points]], Tabelle5[[#This Row],[company_id]],Tabelle18[[#This Row],[company_id]], Tabelle5[[#This Row],[value_id]], Tabelle18[[#This Row],[value_id]], Tabelle5[[#This Row],[value_present]],"1")</f>
        <v>0</v>
      </c>
    </row>
    <row r="576" spans="1:5" x14ac:dyDescent="0.25">
      <c r="A576">
        <v>32</v>
      </c>
      <c r="B576" t="s">
        <v>166</v>
      </c>
      <c r="C576" s="54">
        <f>IF(Tabelle18[[#This Row],[binding_level_company]]&gt;=1,1,0)</f>
        <v>0</v>
      </c>
      <c r="D576" s="54">
        <f>_xlfn.MAXIFS(Tabelle5[[#This Row],[binding_level]], Tabelle5[[#This Row],[company_id]],Tabelle18[[#This Row],[company_id]], Tabelle5[[#This Row],[value_id]], Tabelle18[[#This Row],[value_id]], Tabelle5[[#This Row],[value_present]],"1")</f>
        <v>0</v>
      </c>
      <c r="E576" s="54">
        <f>_xlfn.MAXIFS(Tabelle5[[#This Row],[value_points]], Tabelle5[[#This Row],[company_id]],Tabelle18[[#This Row],[company_id]], Tabelle5[[#This Row],[value_id]], Tabelle18[[#This Row],[value_id]], Tabelle5[[#This Row],[value_present]],"1")</f>
        <v>0</v>
      </c>
    </row>
    <row r="577" spans="1:5" ht="15.75" thickBot="1" x14ac:dyDescent="0.3">
      <c r="A577">
        <v>32</v>
      </c>
      <c r="B577" s="30" t="s">
        <v>174</v>
      </c>
      <c r="C577" s="54">
        <f>IF(Tabelle18[[#This Row],[binding_level_company]]&gt;=1,1,0)</f>
        <v>0</v>
      </c>
      <c r="D577" s="54">
        <f>_xlfn.MAXIFS(Tabelle5[[#This Row],[binding_level]], Tabelle5[[#This Row],[company_id]],Tabelle18[[#This Row],[company_id]], Tabelle5[[#This Row],[value_id]], Tabelle18[[#This Row],[value_id]], Tabelle5[[#This Row],[value_present]],"1")</f>
        <v>0</v>
      </c>
      <c r="E577" s="54">
        <f>_xlfn.MAXIFS(Tabelle5[[#This Row],[value_points]], Tabelle5[[#This Row],[company_id]],Tabelle18[[#This Row],[company_id]], Tabelle5[[#This Row],[value_id]], Tabelle18[[#This Row],[value_id]], Tabelle5[[#This Row],[value_present]],"1")</f>
        <v>0</v>
      </c>
    </row>
    <row r="578" spans="1:5" x14ac:dyDescent="0.25">
      <c r="A578">
        <v>33</v>
      </c>
      <c r="B578" s="22" t="s">
        <v>53</v>
      </c>
      <c r="C578" s="54">
        <f>IF(Tabelle18[[#This Row],[binding_level_company]]&gt;=1,1,0)</f>
        <v>0</v>
      </c>
      <c r="D578" s="54">
        <f>_xlfn.MAXIFS(Tabelle5[[#This Row],[binding_level]], Tabelle5[[#This Row],[company_id]],Tabelle18[[#This Row],[company_id]], Tabelle5[[#This Row],[value_id]], Tabelle18[[#This Row],[value_id]], Tabelle5[[#This Row],[value_present]],"1")</f>
        <v>0</v>
      </c>
      <c r="E578" s="54">
        <f>_xlfn.MAXIFS(Tabelle5[[#This Row],[value_points]], Tabelle5[[#This Row],[company_id]],Tabelle18[[#This Row],[company_id]], Tabelle5[[#This Row],[value_id]], Tabelle18[[#This Row],[value_id]], Tabelle5[[#This Row],[value_present]],"1")</f>
        <v>0</v>
      </c>
    </row>
    <row r="579" spans="1:5" x14ac:dyDescent="0.25">
      <c r="A579">
        <v>33</v>
      </c>
      <c r="B579" t="s">
        <v>61</v>
      </c>
      <c r="C579" s="54">
        <f>IF(Tabelle18[[#This Row],[binding_level_company]]&gt;=1,1,0)</f>
        <v>0</v>
      </c>
      <c r="D579" s="54">
        <f>_xlfn.MAXIFS(Tabelle5[[#This Row],[binding_level]], Tabelle5[[#This Row],[company_id]],Tabelle18[[#This Row],[company_id]], Tabelle5[[#This Row],[value_id]], Tabelle18[[#This Row],[value_id]], Tabelle5[[#This Row],[value_present]],"1")</f>
        <v>0</v>
      </c>
      <c r="E579" s="54">
        <f>_xlfn.MAXIFS(Tabelle5[[#This Row],[value_points]], Tabelle5[[#This Row],[company_id]],Tabelle18[[#This Row],[company_id]], Tabelle5[[#This Row],[value_id]], Tabelle18[[#This Row],[value_id]], Tabelle5[[#This Row],[value_present]],"1")</f>
        <v>0</v>
      </c>
    </row>
    <row r="580" spans="1:5" x14ac:dyDescent="0.25">
      <c r="A580">
        <v>33</v>
      </c>
      <c r="B580" t="s">
        <v>69</v>
      </c>
      <c r="C580" s="54">
        <f>IF(Tabelle18[[#This Row],[binding_level_company]]&gt;=1,1,0)</f>
        <v>0</v>
      </c>
      <c r="D580" s="54">
        <f>_xlfn.MAXIFS(Tabelle5[[#This Row],[binding_level]], Tabelle5[[#This Row],[company_id]],Tabelle18[[#This Row],[company_id]], Tabelle5[[#This Row],[value_id]], Tabelle18[[#This Row],[value_id]], Tabelle5[[#This Row],[value_present]],"1")</f>
        <v>0</v>
      </c>
      <c r="E580" s="54">
        <f>_xlfn.MAXIFS(Tabelle5[[#This Row],[value_points]], Tabelle5[[#This Row],[company_id]],Tabelle18[[#This Row],[company_id]], Tabelle5[[#This Row],[value_id]], Tabelle18[[#This Row],[value_id]], Tabelle5[[#This Row],[value_present]],"1")</f>
        <v>0</v>
      </c>
    </row>
    <row r="581" spans="1:5" x14ac:dyDescent="0.25">
      <c r="A581">
        <v>33</v>
      </c>
      <c r="B581" t="s">
        <v>76</v>
      </c>
      <c r="C581" s="54">
        <f>IF(Tabelle18[[#This Row],[binding_level_company]]&gt;=1,1,0)</f>
        <v>0</v>
      </c>
      <c r="D581" s="54">
        <f>_xlfn.MAXIFS(Tabelle5[[#This Row],[binding_level]], Tabelle5[[#This Row],[company_id]],Tabelle18[[#This Row],[company_id]], Tabelle5[[#This Row],[value_id]], Tabelle18[[#This Row],[value_id]], Tabelle5[[#This Row],[value_present]],"1")</f>
        <v>0</v>
      </c>
      <c r="E581" s="54">
        <f>_xlfn.MAXIFS(Tabelle5[[#This Row],[value_points]], Tabelle5[[#This Row],[company_id]],Tabelle18[[#This Row],[company_id]], Tabelle5[[#This Row],[value_id]], Tabelle18[[#This Row],[value_id]], Tabelle5[[#This Row],[value_present]],"1")</f>
        <v>0</v>
      </c>
    </row>
    <row r="582" spans="1:5" x14ac:dyDescent="0.25">
      <c r="A582">
        <v>33</v>
      </c>
      <c r="B582" t="s">
        <v>83</v>
      </c>
      <c r="C582" s="54">
        <f>IF(Tabelle18[[#This Row],[binding_level_company]]&gt;=1,1,0)</f>
        <v>0</v>
      </c>
      <c r="D582" s="54">
        <f>_xlfn.MAXIFS(Tabelle5[[#This Row],[binding_level]], Tabelle5[[#This Row],[company_id]],Tabelle18[[#This Row],[company_id]], Tabelle5[[#This Row],[value_id]], Tabelle18[[#This Row],[value_id]], Tabelle5[[#This Row],[value_present]],"1")</f>
        <v>0</v>
      </c>
      <c r="E582" s="54">
        <f>_xlfn.MAXIFS(Tabelle5[[#This Row],[value_points]], Tabelle5[[#This Row],[company_id]],Tabelle18[[#This Row],[company_id]], Tabelle5[[#This Row],[value_id]], Tabelle18[[#This Row],[value_id]], Tabelle5[[#This Row],[value_present]],"1")</f>
        <v>0</v>
      </c>
    </row>
    <row r="583" spans="1:5" x14ac:dyDescent="0.25">
      <c r="A583">
        <v>33</v>
      </c>
      <c r="B583" t="s">
        <v>90</v>
      </c>
      <c r="C583" s="54">
        <f>IF(Tabelle18[[#This Row],[binding_level_company]]&gt;=1,1,0)</f>
        <v>0</v>
      </c>
      <c r="D583" s="54">
        <f>_xlfn.MAXIFS(Tabelle5[[#This Row],[binding_level]], Tabelle5[[#This Row],[company_id]],Tabelle18[[#This Row],[company_id]], Tabelle5[[#This Row],[value_id]], Tabelle18[[#This Row],[value_id]], Tabelle5[[#This Row],[value_present]],"1")</f>
        <v>0</v>
      </c>
      <c r="E583" s="54">
        <f>_xlfn.MAXIFS(Tabelle5[[#This Row],[value_points]], Tabelle5[[#This Row],[company_id]],Tabelle18[[#This Row],[company_id]], Tabelle5[[#This Row],[value_id]], Tabelle18[[#This Row],[value_id]], Tabelle5[[#This Row],[value_present]],"1")</f>
        <v>0</v>
      </c>
    </row>
    <row r="584" spans="1:5" x14ac:dyDescent="0.25">
      <c r="A584">
        <v>33</v>
      </c>
      <c r="B584" t="s">
        <v>98</v>
      </c>
      <c r="C584" s="54">
        <f>IF(Tabelle18[[#This Row],[binding_level_company]]&gt;=1,1,0)</f>
        <v>0</v>
      </c>
      <c r="D584" s="54">
        <f>_xlfn.MAXIFS(Tabelle5[[#This Row],[binding_level]], Tabelle5[[#This Row],[company_id]],Tabelle18[[#This Row],[company_id]], Tabelle5[[#This Row],[value_id]], Tabelle18[[#This Row],[value_id]], Tabelle5[[#This Row],[value_present]],"1")</f>
        <v>0</v>
      </c>
      <c r="E584" s="54">
        <f>_xlfn.MAXIFS(Tabelle5[[#This Row],[value_points]], Tabelle5[[#This Row],[company_id]],Tabelle18[[#This Row],[company_id]], Tabelle5[[#This Row],[value_id]], Tabelle18[[#This Row],[value_id]], Tabelle5[[#This Row],[value_present]],"1")</f>
        <v>0</v>
      </c>
    </row>
    <row r="585" spans="1:5" x14ac:dyDescent="0.25">
      <c r="A585">
        <v>33</v>
      </c>
      <c r="B585" t="s">
        <v>106</v>
      </c>
      <c r="C585" s="54">
        <f>IF(Tabelle18[[#This Row],[binding_level_company]]&gt;=1,1,0)</f>
        <v>0</v>
      </c>
      <c r="D585" s="54">
        <f>_xlfn.MAXIFS(Tabelle5[[#This Row],[binding_level]], Tabelle5[[#This Row],[company_id]],Tabelle18[[#This Row],[company_id]], Tabelle5[[#This Row],[value_id]], Tabelle18[[#This Row],[value_id]], Tabelle5[[#This Row],[value_present]],"1")</f>
        <v>0</v>
      </c>
      <c r="E585" s="54">
        <f>_xlfn.MAXIFS(Tabelle5[[#This Row],[value_points]], Tabelle5[[#This Row],[company_id]],Tabelle18[[#This Row],[company_id]], Tabelle5[[#This Row],[value_id]], Tabelle18[[#This Row],[value_id]], Tabelle5[[#This Row],[value_present]],"1")</f>
        <v>0</v>
      </c>
    </row>
    <row r="586" spans="1:5" x14ac:dyDescent="0.25">
      <c r="A586">
        <v>33</v>
      </c>
      <c r="B586" t="s">
        <v>112</v>
      </c>
      <c r="C586" s="54">
        <f>IF(Tabelle18[[#This Row],[binding_level_company]]&gt;=1,1,0)</f>
        <v>0</v>
      </c>
      <c r="D586" s="54">
        <f>_xlfn.MAXIFS(Tabelle5[[#This Row],[binding_level]], Tabelle5[[#This Row],[company_id]],Tabelle18[[#This Row],[company_id]], Tabelle5[[#This Row],[value_id]], Tabelle18[[#This Row],[value_id]], Tabelle5[[#This Row],[value_present]],"1")</f>
        <v>0</v>
      </c>
      <c r="E586" s="54">
        <f>_xlfn.MAXIFS(Tabelle5[[#This Row],[value_points]], Tabelle5[[#This Row],[company_id]],Tabelle18[[#This Row],[company_id]], Tabelle5[[#This Row],[value_id]], Tabelle18[[#This Row],[value_id]], Tabelle5[[#This Row],[value_present]],"1")</f>
        <v>0</v>
      </c>
    </row>
    <row r="587" spans="1:5" x14ac:dyDescent="0.25">
      <c r="A587">
        <v>33</v>
      </c>
      <c r="B587" t="s">
        <v>118</v>
      </c>
      <c r="C587" s="54">
        <f>IF(Tabelle18[[#This Row],[binding_level_company]]&gt;=1,1,0)</f>
        <v>0</v>
      </c>
      <c r="D587" s="54">
        <f>_xlfn.MAXIFS(Tabelle5[[#This Row],[binding_level]], Tabelle5[[#This Row],[company_id]],Tabelle18[[#This Row],[company_id]], Tabelle5[[#This Row],[value_id]], Tabelle18[[#This Row],[value_id]], Tabelle5[[#This Row],[value_present]],"1")</f>
        <v>0</v>
      </c>
      <c r="E587" s="54">
        <f>_xlfn.MAXIFS(Tabelle5[[#This Row],[value_points]], Tabelle5[[#This Row],[company_id]],Tabelle18[[#This Row],[company_id]], Tabelle5[[#This Row],[value_id]], Tabelle18[[#This Row],[value_id]], Tabelle5[[#This Row],[value_present]],"1")</f>
        <v>0</v>
      </c>
    </row>
    <row r="588" spans="1:5" x14ac:dyDescent="0.25">
      <c r="A588">
        <v>33</v>
      </c>
      <c r="B588" t="s">
        <v>125</v>
      </c>
      <c r="C588" s="54">
        <f>IF(Tabelle18[[#This Row],[binding_level_company]]&gt;=1,1,0)</f>
        <v>0</v>
      </c>
      <c r="D588" s="54">
        <f>_xlfn.MAXIFS(Tabelle5[[#This Row],[binding_level]], Tabelle5[[#This Row],[company_id]],Tabelle18[[#This Row],[company_id]], Tabelle5[[#This Row],[value_id]], Tabelle18[[#This Row],[value_id]], Tabelle5[[#This Row],[value_present]],"1")</f>
        <v>0</v>
      </c>
      <c r="E588" s="54">
        <f>_xlfn.MAXIFS(Tabelle5[[#This Row],[value_points]], Tabelle5[[#This Row],[company_id]],Tabelle18[[#This Row],[company_id]], Tabelle5[[#This Row],[value_id]], Tabelle18[[#This Row],[value_id]], Tabelle5[[#This Row],[value_present]],"1")</f>
        <v>0</v>
      </c>
    </row>
    <row r="589" spans="1:5" x14ac:dyDescent="0.25">
      <c r="A589">
        <v>33</v>
      </c>
      <c r="B589" t="s">
        <v>132</v>
      </c>
      <c r="C589" s="54">
        <f>IF(Tabelle18[[#This Row],[binding_level_company]]&gt;=1,1,0)</f>
        <v>0</v>
      </c>
      <c r="D589" s="54">
        <f>_xlfn.MAXIFS(Tabelle5[[#This Row],[binding_level]], Tabelle5[[#This Row],[company_id]],Tabelle18[[#This Row],[company_id]], Tabelle5[[#This Row],[value_id]], Tabelle18[[#This Row],[value_id]], Tabelle5[[#This Row],[value_present]],"1")</f>
        <v>0</v>
      </c>
      <c r="E589" s="54">
        <f>_xlfn.MAXIFS(Tabelle5[[#This Row],[value_points]], Tabelle5[[#This Row],[company_id]],Tabelle18[[#This Row],[company_id]], Tabelle5[[#This Row],[value_id]], Tabelle18[[#This Row],[value_id]], Tabelle5[[#This Row],[value_present]],"1")</f>
        <v>0</v>
      </c>
    </row>
    <row r="590" spans="1:5" x14ac:dyDescent="0.25">
      <c r="A590">
        <v>33</v>
      </c>
      <c r="B590" t="s">
        <v>140</v>
      </c>
      <c r="C590" s="54">
        <f>IF(Tabelle18[[#This Row],[binding_level_company]]&gt;=1,1,0)</f>
        <v>0</v>
      </c>
      <c r="D590" s="54">
        <f>_xlfn.MAXIFS(Tabelle5[[#This Row],[binding_level]], Tabelle5[[#This Row],[company_id]],Tabelle18[[#This Row],[company_id]], Tabelle5[[#This Row],[value_id]], Tabelle18[[#This Row],[value_id]], Tabelle5[[#This Row],[value_present]],"1")</f>
        <v>0</v>
      </c>
      <c r="E590" s="54">
        <f>_xlfn.MAXIFS(Tabelle5[[#This Row],[value_points]], Tabelle5[[#This Row],[company_id]],Tabelle18[[#This Row],[company_id]], Tabelle5[[#This Row],[value_id]], Tabelle18[[#This Row],[value_id]], Tabelle5[[#This Row],[value_present]],"1")</f>
        <v>0</v>
      </c>
    </row>
    <row r="591" spans="1:5" x14ac:dyDescent="0.25">
      <c r="A591">
        <v>33</v>
      </c>
      <c r="B591" t="s">
        <v>147</v>
      </c>
      <c r="C591" s="54">
        <f>IF(Tabelle18[[#This Row],[binding_level_company]]&gt;=1,1,0)</f>
        <v>0</v>
      </c>
      <c r="D591" s="54">
        <f>_xlfn.MAXIFS(Tabelle5[[#This Row],[binding_level]], Tabelle5[[#This Row],[company_id]],Tabelle18[[#This Row],[company_id]], Tabelle5[[#This Row],[value_id]], Tabelle18[[#This Row],[value_id]], Tabelle5[[#This Row],[value_present]],"1")</f>
        <v>0</v>
      </c>
      <c r="E591" s="54">
        <f>_xlfn.MAXIFS(Tabelle5[[#This Row],[value_points]], Tabelle5[[#This Row],[company_id]],Tabelle18[[#This Row],[company_id]], Tabelle5[[#This Row],[value_id]], Tabelle18[[#This Row],[value_id]], Tabelle5[[#This Row],[value_present]],"1")</f>
        <v>0</v>
      </c>
    </row>
    <row r="592" spans="1:5" x14ac:dyDescent="0.25">
      <c r="A592">
        <v>33</v>
      </c>
      <c r="B592" t="s">
        <v>154</v>
      </c>
      <c r="C592" s="54">
        <f>IF(Tabelle18[[#This Row],[binding_level_company]]&gt;=1,1,0)</f>
        <v>0</v>
      </c>
      <c r="D592" s="54">
        <f>_xlfn.MAXIFS(Tabelle5[[#This Row],[binding_level]], Tabelle5[[#This Row],[company_id]],Tabelle18[[#This Row],[company_id]], Tabelle5[[#This Row],[value_id]], Tabelle18[[#This Row],[value_id]], Tabelle5[[#This Row],[value_present]],"1")</f>
        <v>0</v>
      </c>
      <c r="E592" s="54">
        <f>_xlfn.MAXIFS(Tabelle5[[#This Row],[value_points]], Tabelle5[[#This Row],[company_id]],Tabelle18[[#This Row],[company_id]], Tabelle5[[#This Row],[value_id]], Tabelle18[[#This Row],[value_id]], Tabelle5[[#This Row],[value_present]],"1")</f>
        <v>0</v>
      </c>
    </row>
    <row r="593" spans="1:5" x14ac:dyDescent="0.25">
      <c r="A593">
        <v>33</v>
      </c>
      <c r="B593" t="s">
        <v>161</v>
      </c>
      <c r="C593" s="54">
        <f>IF(Tabelle18[[#This Row],[binding_level_company]]&gt;=1,1,0)</f>
        <v>0</v>
      </c>
      <c r="D593" s="54">
        <f>_xlfn.MAXIFS(Tabelle5[[#This Row],[binding_level]], Tabelle5[[#This Row],[company_id]],Tabelle18[[#This Row],[company_id]], Tabelle5[[#This Row],[value_id]], Tabelle18[[#This Row],[value_id]], Tabelle5[[#This Row],[value_present]],"1")</f>
        <v>0</v>
      </c>
      <c r="E593" s="54">
        <f>_xlfn.MAXIFS(Tabelle5[[#This Row],[value_points]], Tabelle5[[#This Row],[company_id]],Tabelle18[[#This Row],[company_id]], Tabelle5[[#This Row],[value_id]], Tabelle18[[#This Row],[value_id]], Tabelle5[[#This Row],[value_present]],"1")</f>
        <v>0</v>
      </c>
    </row>
    <row r="594" spans="1:5" x14ac:dyDescent="0.25">
      <c r="A594">
        <v>33</v>
      </c>
      <c r="B594" t="s">
        <v>166</v>
      </c>
      <c r="C594" s="54">
        <f>IF(Tabelle18[[#This Row],[binding_level_company]]&gt;=1,1,0)</f>
        <v>0</v>
      </c>
      <c r="D594" s="54">
        <f>_xlfn.MAXIFS(Tabelle5[[#This Row],[binding_level]], Tabelle5[[#This Row],[company_id]],Tabelle18[[#This Row],[company_id]], Tabelle5[[#This Row],[value_id]], Tabelle18[[#This Row],[value_id]], Tabelle5[[#This Row],[value_present]],"1")</f>
        <v>0</v>
      </c>
      <c r="E594" s="54">
        <f>_xlfn.MAXIFS(Tabelle5[[#This Row],[value_points]], Tabelle5[[#This Row],[company_id]],Tabelle18[[#This Row],[company_id]], Tabelle5[[#This Row],[value_id]], Tabelle18[[#This Row],[value_id]], Tabelle5[[#This Row],[value_present]],"1")</f>
        <v>0</v>
      </c>
    </row>
    <row r="595" spans="1:5" ht="15.75" thickBot="1" x14ac:dyDescent="0.3">
      <c r="A595">
        <v>33</v>
      </c>
      <c r="B595" s="30" t="s">
        <v>174</v>
      </c>
      <c r="C595" s="54">
        <f>IF(Tabelle18[[#This Row],[binding_level_company]]&gt;=1,1,0)</f>
        <v>0</v>
      </c>
      <c r="D595" s="54">
        <f>_xlfn.MAXIFS(Tabelle5[[#This Row],[binding_level]], Tabelle5[[#This Row],[company_id]],Tabelle18[[#This Row],[company_id]], Tabelle5[[#This Row],[value_id]], Tabelle18[[#This Row],[value_id]], Tabelle5[[#This Row],[value_present]],"1")</f>
        <v>0</v>
      </c>
      <c r="E595" s="54">
        <f>_xlfn.MAXIFS(Tabelle5[[#This Row],[value_points]], Tabelle5[[#This Row],[company_id]],Tabelle18[[#This Row],[company_id]], Tabelle5[[#This Row],[value_id]], Tabelle18[[#This Row],[value_id]], Tabelle5[[#This Row],[value_present]],"1")</f>
        <v>0</v>
      </c>
    </row>
    <row r="596" spans="1:5" x14ac:dyDescent="0.25">
      <c r="A596">
        <v>34</v>
      </c>
      <c r="B596" s="22" t="s">
        <v>53</v>
      </c>
      <c r="C596" s="54">
        <f>IF(Tabelle18[[#This Row],[binding_level_company]]&gt;=1,1,0)</f>
        <v>0</v>
      </c>
      <c r="D596" s="54">
        <f>_xlfn.MAXIFS(Tabelle5[[#This Row],[binding_level]], Tabelle5[[#This Row],[company_id]],Tabelle18[[#This Row],[company_id]], Tabelle5[[#This Row],[value_id]], Tabelle18[[#This Row],[value_id]], Tabelle5[[#This Row],[value_present]],"1")</f>
        <v>0</v>
      </c>
      <c r="E596" s="54">
        <f>_xlfn.MAXIFS(Tabelle5[[#This Row],[value_points]], Tabelle5[[#This Row],[company_id]],Tabelle18[[#This Row],[company_id]], Tabelle5[[#This Row],[value_id]], Tabelle18[[#This Row],[value_id]], Tabelle5[[#This Row],[value_present]],"1")</f>
        <v>0</v>
      </c>
    </row>
    <row r="597" spans="1:5" x14ac:dyDescent="0.25">
      <c r="A597">
        <v>34</v>
      </c>
      <c r="B597" t="s">
        <v>61</v>
      </c>
      <c r="C597" s="54">
        <f>IF(Tabelle18[[#This Row],[binding_level_company]]&gt;=1,1,0)</f>
        <v>0</v>
      </c>
      <c r="D597" s="54">
        <f>_xlfn.MAXIFS(Tabelle5[[#This Row],[binding_level]], Tabelle5[[#This Row],[company_id]],Tabelle18[[#This Row],[company_id]], Tabelle5[[#This Row],[value_id]], Tabelle18[[#This Row],[value_id]], Tabelle5[[#This Row],[value_present]],"1")</f>
        <v>0</v>
      </c>
      <c r="E597" s="54">
        <f>_xlfn.MAXIFS(Tabelle5[[#This Row],[value_points]], Tabelle5[[#This Row],[company_id]],Tabelle18[[#This Row],[company_id]], Tabelle5[[#This Row],[value_id]], Tabelle18[[#This Row],[value_id]], Tabelle5[[#This Row],[value_present]],"1")</f>
        <v>0</v>
      </c>
    </row>
    <row r="598" spans="1:5" x14ac:dyDescent="0.25">
      <c r="A598">
        <v>34</v>
      </c>
      <c r="B598" t="s">
        <v>69</v>
      </c>
      <c r="C598" s="54">
        <f>IF(Tabelle18[[#This Row],[binding_level_company]]&gt;=1,1,0)</f>
        <v>0</v>
      </c>
      <c r="D598" s="54">
        <f>_xlfn.MAXIFS(Tabelle5[[#This Row],[binding_level]], Tabelle5[[#This Row],[company_id]],Tabelle18[[#This Row],[company_id]], Tabelle5[[#This Row],[value_id]], Tabelle18[[#This Row],[value_id]], Tabelle5[[#This Row],[value_present]],"1")</f>
        <v>0</v>
      </c>
      <c r="E598" s="54">
        <f>_xlfn.MAXIFS(Tabelle5[[#This Row],[value_points]], Tabelle5[[#This Row],[company_id]],Tabelle18[[#This Row],[company_id]], Tabelle5[[#This Row],[value_id]], Tabelle18[[#This Row],[value_id]], Tabelle5[[#This Row],[value_present]],"1")</f>
        <v>0</v>
      </c>
    </row>
    <row r="599" spans="1:5" x14ac:dyDescent="0.25">
      <c r="A599">
        <v>34</v>
      </c>
      <c r="B599" t="s">
        <v>76</v>
      </c>
      <c r="C599" s="54">
        <f>IF(Tabelle18[[#This Row],[binding_level_company]]&gt;=1,1,0)</f>
        <v>0</v>
      </c>
      <c r="D599" s="54">
        <f>_xlfn.MAXIFS(Tabelle5[[#This Row],[binding_level]], Tabelle5[[#This Row],[company_id]],Tabelle18[[#This Row],[company_id]], Tabelle5[[#This Row],[value_id]], Tabelle18[[#This Row],[value_id]], Tabelle5[[#This Row],[value_present]],"1")</f>
        <v>0</v>
      </c>
      <c r="E599" s="54">
        <f>_xlfn.MAXIFS(Tabelle5[[#This Row],[value_points]], Tabelle5[[#This Row],[company_id]],Tabelle18[[#This Row],[company_id]], Tabelle5[[#This Row],[value_id]], Tabelle18[[#This Row],[value_id]], Tabelle5[[#This Row],[value_present]],"1")</f>
        <v>0</v>
      </c>
    </row>
    <row r="600" spans="1:5" x14ac:dyDescent="0.25">
      <c r="A600">
        <v>34</v>
      </c>
      <c r="B600" t="s">
        <v>83</v>
      </c>
      <c r="C600" s="54">
        <f>IF(Tabelle18[[#This Row],[binding_level_company]]&gt;=1,1,0)</f>
        <v>0</v>
      </c>
      <c r="D600" s="54">
        <f>_xlfn.MAXIFS(Tabelle5[[#This Row],[binding_level]], Tabelle5[[#This Row],[company_id]],Tabelle18[[#This Row],[company_id]], Tabelle5[[#This Row],[value_id]], Tabelle18[[#This Row],[value_id]], Tabelle5[[#This Row],[value_present]],"1")</f>
        <v>0</v>
      </c>
      <c r="E600" s="54">
        <f>_xlfn.MAXIFS(Tabelle5[[#This Row],[value_points]], Tabelle5[[#This Row],[company_id]],Tabelle18[[#This Row],[company_id]], Tabelle5[[#This Row],[value_id]], Tabelle18[[#This Row],[value_id]], Tabelle5[[#This Row],[value_present]],"1")</f>
        <v>0</v>
      </c>
    </row>
    <row r="601" spans="1:5" x14ac:dyDescent="0.25">
      <c r="A601">
        <v>34</v>
      </c>
      <c r="B601" t="s">
        <v>90</v>
      </c>
      <c r="C601" s="54">
        <f>IF(Tabelle18[[#This Row],[binding_level_company]]&gt;=1,1,0)</f>
        <v>0</v>
      </c>
      <c r="D601" s="54">
        <f>_xlfn.MAXIFS(Tabelle5[[#This Row],[binding_level]], Tabelle5[[#This Row],[company_id]],Tabelle18[[#This Row],[company_id]], Tabelle5[[#This Row],[value_id]], Tabelle18[[#This Row],[value_id]], Tabelle5[[#This Row],[value_present]],"1")</f>
        <v>0</v>
      </c>
      <c r="E601" s="54">
        <f>_xlfn.MAXIFS(Tabelle5[[#This Row],[value_points]], Tabelle5[[#This Row],[company_id]],Tabelle18[[#This Row],[company_id]], Tabelle5[[#This Row],[value_id]], Tabelle18[[#This Row],[value_id]], Tabelle5[[#This Row],[value_present]],"1")</f>
        <v>0</v>
      </c>
    </row>
    <row r="602" spans="1:5" x14ac:dyDescent="0.25">
      <c r="A602">
        <v>34</v>
      </c>
      <c r="B602" t="s">
        <v>98</v>
      </c>
      <c r="C602" s="54">
        <f>IF(Tabelle18[[#This Row],[binding_level_company]]&gt;=1,1,0)</f>
        <v>0</v>
      </c>
      <c r="D602" s="54">
        <f>_xlfn.MAXIFS(Tabelle5[[#This Row],[binding_level]], Tabelle5[[#This Row],[company_id]],Tabelle18[[#This Row],[company_id]], Tabelle5[[#This Row],[value_id]], Tabelle18[[#This Row],[value_id]], Tabelle5[[#This Row],[value_present]],"1")</f>
        <v>0</v>
      </c>
      <c r="E602" s="54">
        <f>_xlfn.MAXIFS(Tabelle5[[#This Row],[value_points]], Tabelle5[[#This Row],[company_id]],Tabelle18[[#This Row],[company_id]], Tabelle5[[#This Row],[value_id]], Tabelle18[[#This Row],[value_id]], Tabelle5[[#This Row],[value_present]],"1")</f>
        <v>0</v>
      </c>
    </row>
    <row r="603" spans="1:5" x14ac:dyDescent="0.25">
      <c r="A603">
        <v>34</v>
      </c>
      <c r="B603" t="s">
        <v>106</v>
      </c>
      <c r="C603" s="54">
        <f>IF(Tabelle18[[#This Row],[binding_level_company]]&gt;=1,1,0)</f>
        <v>0</v>
      </c>
      <c r="D603" s="54">
        <f>_xlfn.MAXIFS(Tabelle5[[#This Row],[binding_level]], Tabelle5[[#This Row],[company_id]],Tabelle18[[#This Row],[company_id]], Tabelle5[[#This Row],[value_id]], Tabelle18[[#This Row],[value_id]], Tabelle5[[#This Row],[value_present]],"1")</f>
        <v>0</v>
      </c>
      <c r="E603" s="54">
        <f>_xlfn.MAXIFS(Tabelle5[[#This Row],[value_points]], Tabelle5[[#This Row],[company_id]],Tabelle18[[#This Row],[company_id]], Tabelle5[[#This Row],[value_id]], Tabelle18[[#This Row],[value_id]], Tabelle5[[#This Row],[value_present]],"1")</f>
        <v>0</v>
      </c>
    </row>
    <row r="604" spans="1:5" x14ac:dyDescent="0.25">
      <c r="A604">
        <v>34</v>
      </c>
      <c r="B604" t="s">
        <v>112</v>
      </c>
      <c r="C604" s="54">
        <f>IF(Tabelle18[[#This Row],[binding_level_company]]&gt;=1,1,0)</f>
        <v>0</v>
      </c>
      <c r="D604" s="54">
        <f>_xlfn.MAXIFS(Tabelle5[[#This Row],[binding_level]], Tabelle5[[#This Row],[company_id]],Tabelle18[[#This Row],[company_id]], Tabelle5[[#This Row],[value_id]], Tabelle18[[#This Row],[value_id]], Tabelle5[[#This Row],[value_present]],"1")</f>
        <v>0</v>
      </c>
      <c r="E604" s="54">
        <f>_xlfn.MAXIFS(Tabelle5[[#This Row],[value_points]], Tabelle5[[#This Row],[company_id]],Tabelle18[[#This Row],[company_id]], Tabelle5[[#This Row],[value_id]], Tabelle18[[#This Row],[value_id]], Tabelle5[[#This Row],[value_present]],"1")</f>
        <v>0</v>
      </c>
    </row>
    <row r="605" spans="1:5" x14ac:dyDescent="0.25">
      <c r="A605">
        <v>34</v>
      </c>
      <c r="B605" t="s">
        <v>118</v>
      </c>
      <c r="C605" s="54">
        <f>IF(Tabelle18[[#This Row],[binding_level_company]]&gt;=1,1,0)</f>
        <v>0</v>
      </c>
      <c r="D605" s="54">
        <f>_xlfn.MAXIFS(Tabelle5[[#This Row],[binding_level]], Tabelle5[[#This Row],[company_id]],Tabelle18[[#This Row],[company_id]], Tabelle5[[#This Row],[value_id]], Tabelle18[[#This Row],[value_id]], Tabelle5[[#This Row],[value_present]],"1")</f>
        <v>0</v>
      </c>
      <c r="E605" s="54">
        <f>_xlfn.MAXIFS(Tabelle5[[#This Row],[value_points]], Tabelle5[[#This Row],[company_id]],Tabelle18[[#This Row],[company_id]], Tabelle5[[#This Row],[value_id]], Tabelle18[[#This Row],[value_id]], Tabelle5[[#This Row],[value_present]],"1")</f>
        <v>0</v>
      </c>
    </row>
    <row r="606" spans="1:5" x14ac:dyDescent="0.25">
      <c r="A606">
        <v>34</v>
      </c>
      <c r="B606" t="s">
        <v>125</v>
      </c>
      <c r="C606" s="54">
        <f>IF(Tabelle18[[#This Row],[binding_level_company]]&gt;=1,1,0)</f>
        <v>0</v>
      </c>
      <c r="D606" s="54">
        <f>_xlfn.MAXIFS(Tabelle5[[#This Row],[binding_level]], Tabelle5[[#This Row],[company_id]],Tabelle18[[#This Row],[company_id]], Tabelle5[[#This Row],[value_id]], Tabelle18[[#This Row],[value_id]], Tabelle5[[#This Row],[value_present]],"1")</f>
        <v>0</v>
      </c>
      <c r="E606" s="54">
        <f>_xlfn.MAXIFS(Tabelle5[[#This Row],[value_points]], Tabelle5[[#This Row],[company_id]],Tabelle18[[#This Row],[company_id]], Tabelle5[[#This Row],[value_id]], Tabelle18[[#This Row],[value_id]], Tabelle5[[#This Row],[value_present]],"1")</f>
        <v>0</v>
      </c>
    </row>
    <row r="607" spans="1:5" x14ac:dyDescent="0.25">
      <c r="A607">
        <v>34</v>
      </c>
      <c r="B607" t="s">
        <v>132</v>
      </c>
      <c r="C607" s="54">
        <f>IF(Tabelle18[[#This Row],[binding_level_company]]&gt;=1,1,0)</f>
        <v>0</v>
      </c>
      <c r="D607" s="54">
        <f>_xlfn.MAXIFS(Tabelle5[[#This Row],[binding_level]], Tabelle5[[#This Row],[company_id]],Tabelle18[[#This Row],[company_id]], Tabelle5[[#This Row],[value_id]], Tabelle18[[#This Row],[value_id]], Tabelle5[[#This Row],[value_present]],"1")</f>
        <v>0</v>
      </c>
      <c r="E607" s="54">
        <f>_xlfn.MAXIFS(Tabelle5[[#This Row],[value_points]], Tabelle5[[#This Row],[company_id]],Tabelle18[[#This Row],[company_id]], Tabelle5[[#This Row],[value_id]], Tabelle18[[#This Row],[value_id]], Tabelle5[[#This Row],[value_present]],"1")</f>
        <v>0</v>
      </c>
    </row>
    <row r="608" spans="1:5" x14ac:dyDescent="0.25">
      <c r="A608">
        <v>34</v>
      </c>
      <c r="B608" t="s">
        <v>140</v>
      </c>
      <c r="C608" s="54">
        <f>IF(Tabelle18[[#This Row],[binding_level_company]]&gt;=1,1,0)</f>
        <v>0</v>
      </c>
      <c r="D608" s="54">
        <f>_xlfn.MAXIFS(Tabelle5[[#This Row],[binding_level]], Tabelle5[[#This Row],[company_id]],Tabelle18[[#This Row],[company_id]], Tabelle5[[#This Row],[value_id]], Tabelle18[[#This Row],[value_id]], Tabelle5[[#This Row],[value_present]],"1")</f>
        <v>0</v>
      </c>
      <c r="E608" s="54">
        <f>_xlfn.MAXIFS(Tabelle5[[#This Row],[value_points]], Tabelle5[[#This Row],[company_id]],Tabelle18[[#This Row],[company_id]], Tabelle5[[#This Row],[value_id]], Tabelle18[[#This Row],[value_id]], Tabelle5[[#This Row],[value_present]],"1")</f>
        <v>0</v>
      </c>
    </row>
    <row r="609" spans="1:5" x14ac:dyDescent="0.25">
      <c r="A609">
        <v>34</v>
      </c>
      <c r="B609" t="s">
        <v>147</v>
      </c>
      <c r="C609" s="54">
        <f>IF(Tabelle18[[#This Row],[binding_level_company]]&gt;=1,1,0)</f>
        <v>0</v>
      </c>
      <c r="D609" s="54">
        <f>_xlfn.MAXIFS(Tabelle5[[#This Row],[binding_level]], Tabelle5[[#This Row],[company_id]],Tabelle18[[#This Row],[company_id]], Tabelle5[[#This Row],[value_id]], Tabelle18[[#This Row],[value_id]], Tabelle5[[#This Row],[value_present]],"1")</f>
        <v>0</v>
      </c>
      <c r="E609" s="54">
        <f>_xlfn.MAXIFS(Tabelle5[[#This Row],[value_points]], Tabelle5[[#This Row],[company_id]],Tabelle18[[#This Row],[company_id]], Tabelle5[[#This Row],[value_id]], Tabelle18[[#This Row],[value_id]], Tabelle5[[#This Row],[value_present]],"1")</f>
        <v>0</v>
      </c>
    </row>
    <row r="610" spans="1:5" x14ac:dyDescent="0.25">
      <c r="A610">
        <v>34</v>
      </c>
      <c r="B610" t="s">
        <v>154</v>
      </c>
      <c r="C610" s="54">
        <f>IF(Tabelle18[[#This Row],[binding_level_company]]&gt;=1,1,0)</f>
        <v>0</v>
      </c>
      <c r="D610" s="54">
        <f>_xlfn.MAXIFS(Tabelle5[[#This Row],[binding_level]], Tabelle5[[#This Row],[company_id]],Tabelle18[[#This Row],[company_id]], Tabelle5[[#This Row],[value_id]], Tabelle18[[#This Row],[value_id]], Tabelle5[[#This Row],[value_present]],"1")</f>
        <v>0</v>
      </c>
      <c r="E610" s="54">
        <f>_xlfn.MAXIFS(Tabelle5[[#This Row],[value_points]], Tabelle5[[#This Row],[company_id]],Tabelle18[[#This Row],[company_id]], Tabelle5[[#This Row],[value_id]], Tabelle18[[#This Row],[value_id]], Tabelle5[[#This Row],[value_present]],"1")</f>
        <v>0</v>
      </c>
    </row>
    <row r="611" spans="1:5" x14ac:dyDescent="0.25">
      <c r="A611">
        <v>34</v>
      </c>
      <c r="B611" t="s">
        <v>161</v>
      </c>
      <c r="C611" s="54">
        <f>IF(Tabelle18[[#This Row],[binding_level_company]]&gt;=1,1,0)</f>
        <v>0</v>
      </c>
      <c r="D611" s="54">
        <f>_xlfn.MAXIFS(Tabelle5[[#This Row],[binding_level]], Tabelle5[[#This Row],[company_id]],Tabelle18[[#This Row],[company_id]], Tabelle5[[#This Row],[value_id]], Tabelle18[[#This Row],[value_id]], Tabelle5[[#This Row],[value_present]],"1")</f>
        <v>0</v>
      </c>
      <c r="E611" s="54">
        <f>_xlfn.MAXIFS(Tabelle5[[#This Row],[value_points]], Tabelle5[[#This Row],[company_id]],Tabelle18[[#This Row],[company_id]], Tabelle5[[#This Row],[value_id]], Tabelle18[[#This Row],[value_id]], Tabelle5[[#This Row],[value_present]],"1")</f>
        <v>0</v>
      </c>
    </row>
    <row r="612" spans="1:5" x14ac:dyDescent="0.25">
      <c r="A612">
        <v>34</v>
      </c>
      <c r="B612" t="s">
        <v>166</v>
      </c>
      <c r="C612" s="54">
        <f>IF(Tabelle18[[#This Row],[binding_level_company]]&gt;=1,1,0)</f>
        <v>0</v>
      </c>
      <c r="D612" s="54">
        <f>_xlfn.MAXIFS(Tabelle5[[#This Row],[binding_level]], Tabelle5[[#This Row],[company_id]],Tabelle18[[#This Row],[company_id]], Tabelle5[[#This Row],[value_id]], Tabelle18[[#This Row],[value_id]], Tabelle5[[#This Row],[value_present]],"1")</f>
        <v>0</v>
      </c>
      <c r="E612" s="54">
        <f>_xlfn.MAXIFS(Tabelle5[[#This Row],[value_points]], Tabelle5[[#This Row],[company_id]],Tabelle18[[#This Row],[company_id]], Tabelle5[[#This Row],[value_id]], Tabelle18[[#This Row],[value_id]], Tabelle5[[#This Row],[value_present]],"1")</f>
        <v>0</v>
      </c>
    </row>
    <row r="613" spans="1:5" ht="15.75" thickBot="1" x14ac:dyDescent="0.3">
      <c r="A613">
        <v>34</v>
      </c>
      <c r="B613" s="30" t="s">
        <v>174</v>
      </c>
      <c r="C613" s="54">
        <f>IF(Tabelle18[[#This Row],[binding_level_company]]&gt;=1,1,0)</f>
        <v>0</v>
      </c>
      <c r="D613" s="54">
        <f>_xlfn.MAXIFS(Tabelle5[[#This Row],[binding_level]], Tabelle5[[#This Row],[company_id]],Tabelle18[[#This Row],[company_id]], Tabelle5[[#This Row],[value_id]], Tabelle18[[#This Row],[value_id]], Tabelle5[[#This Row],[value_present]],"1")</f>
        <v>0</v>
      </c>
      <c r="E613" s="54">
        <f>_xlfn.MAXIFS(Tabelle5[[#This Row],[value_points]], Tabelle5[[#This Row],[company_id]],Tabelle18[[#This Row],[company_id]], Tabelle5[[#This Row],[value_id]], Tabelle18[[#This Row],[value_id]], Tabelle5[[#This Row],[value_present]],"1")</f>
        <v>0</v>
      </c>
    </row>
    <row r="614" spans="1:5" x14ac:dyDescent="0.25">
      <c r="A614">
        <v>35</v>
      </c>
      <c r="B614" s="22" t="s">
        <v>53</v>
      </c>
      <c r="C614" s="54">
        <f>IF(Tabelle18[[#This Row],[binding_level_company]]&gt;=1,1,0)</f>
        <v>0</v>
      </c>
      <c r="D614" s="54">
        <f>_xlfn.MAXIFS(Tabelle5[[#This Row],[binding_level]], Tabelle5[[#This Row],[company_id]],Tabelle18[[#This Row],[company_id]], Tabelle5[[#This Row],[value_id]], Tabelle18[[#This Row],[value_id]], Tabelle5[[#This Row],[value_present]],"1")</f>
        <v>0</v>
      </c>
      <c r="E614" s="54">
        <f>_xlfn.MAXIFS(Tabelle5[[#This Row],[value_points]], Tabelle5[[#This Row],[company_id]],Tabelle18[[#This Row],[company_id]], Tabelle5[[#This Row],[value_id]], Tabelle18[[#This Row],[value_id]], Tabelle5[[#This Row],[value_present]],"1")</f>
        <v>0</v>
      </c>
    </row>
    <row r="615" spans="1:5" x14ac:dyDescent="0.25">
      <c r="A615">
        <v>35</v>
      </c>
      <c r="B615" t="s">
        <v>61</v>
      </c>
      <c r="C615" s="54">
        <f>IF(Tabelle18[[#This Row],[binding_level_company]]&gt;=1,1,0)</f>
        <v>0</v>
      </c>
      <c r="D615" s="54">
        <f>_xlfn.MAXIFS(Tabelle5[[#This Row],[binding_level]], Tabelle5[[#This Row],[company_id]],Tabelle18[[#This Row],[company_id]], Tabelle5[[#This Row],[value_id]], Tabelle18[[#This Row],[value_id]], Tabelle5[[#This Row],[value_present]],"1")</f>
        <v>0</v>
      </c>
      <c r="E615" s="54">
        <f>_xlfn.MAXIFS(Tabelle5[[#This Row],[value_points]], Tabelle5[[#This Row],[company_id]],Tabelle18[[#This Row],[company_id]], Tabelle5[[#This Row],[value_id]], Tabelle18[[#This Row],[value_id]], Tabelle5[[#This Row],[value_present]],"1")</f>
        <v>0</v>
      </c>
    </row>
    <row r="616" spans="1:5" x14ac:dyDescent="0.25">
      <c r="A616">
        <v>35</v>
      </c>
      <c r="B616" t="s">
        <v>69</v>
      </c>
      <c r="C616" s="54">
        <f>IF(Tabelle18[[#This Row],[binding_level_company]]&gt;=1,1,0)</f>
        <v>0</v>
      </c>
      <c r="D616" s="54">
        <f>_xlfn.MAXIFS(Tabelle5[[#This Row],[binding_level]], Tabelle5[[#This Row],[company_id]],Tabelle18[[#This Row],[company_id]], Tabelle5[[#This Row],[value_id]], Tabelle18[[#This Row],[value_id]], Tabelle5[[#This Row],[value_present]],"1")</f>
        <v>0</v>
      </c>
      <c r="E616" s="54">
        <f>_xlfn.MAXIFS(Tabelle5[[#This Row],[value_points]], Tabelle5[[#This Row],[company_id]],Tabelle18[[#This Row],[company_id]], Tabelle5[[#This Row],[value_id]], Tabelle18[[#This Row],[value_id]], Tabelle5[[#This Row],[value_present]],"1")</f>
        <v>0</v>
      </c>
    </row>
    <row r="617" spans="1:5" x14ac:dyDescent="0.25">
      <c r="A617">
        <v>35</v>
      </c>
      <c r="B617" t="s">
        <v>76</v>
      </c>
      <c r="C617" s="54">
        <f>IF(Tabelle18[[#This Row],[binding_level_company]]&gt;=1,1,0)</f>
        <v>0</v>
      </c>
      <c r="D617" s="54">
        <f>_xlfn.MAXIFS(Tabelle5[[#This Row],[binding_level]], Tabelle5[[#This Row],[company_id]],Tabelle18[[#This Row],[company_id]], Tabelle5[[#This Row],[value_id]], Tabelle18[[#This Row],[value_id]], Tabelle5[[#This Row],[value_present]],"1")</f>
        <v>0</v>
      </c>
      <c r="E617" s="54">
        <f>_xlfn.MAXIFS(Tabelle5[[#This Row],[value_points]], Tabelle5[[#This Row],[company_id]],Tabelle18[[#This Row],[company_id]], Tabelle5[[#This Row],[value_id]], Tabelle18[[#This Row],[value_id]], Tabelle5[[#This Row],[value_present]],"1")</f>
        <v>0</v>
      </c>
    </row>
    <row r="618" spans="1:5" x14ac:dyDescent="0.25">
      <c r="A618">
        <v>35</v>
      </c>
      <c r="B618" t="s">
        <v>83</v>
      </c>
      <c r="C618" s="54">
        <f>IF(Tabelle18[[#This Row],[binding_level_company]]&gt;=1,1,0)</f>
        <v>0</v>
      </c>
      <c r="D618" s="54">
        <f>_xlfn.MAXIFS(Tabelle5[[#This Row],[binding_level]], Tabelle5[[#This Row],[company_id]],Tabelle18[[#This Row],[company_id]], Tabelle5[[#This Row],[value_id]], Tabelle18[[#This Row],[value_id]], Tabelle5[[#This Row],[value_present]],"1")</f>
        <v>0</v>
      </c>
      <c r="E618" s="54">
        <f>_xlfn.MAXIFS(Tabelle5[[#This Row],[value_points]], Tabelle5[[#This Row],[company_id]],Tabelle18[[#This Row],[company_id]], Tabelle5[[#This Row],[value_id]], Tabelle18[[#This Row],[value_id]], Tabelle5[[#This Row],[value_present]],"1")</f>
        <v>0</v>
      </c>
    </row>
    <row r="619" spans="1:5" x14ac:dyDescent="0.25">
      <c r="A619">
        <v>35</v>
      </c>
      <c r="B619" t="s">
        <v>90</v>
      </c>
      <c r="C619" s="54">
        <f>IF(Tabelle18[[#This Row],[binding_level_company]]&gt;=1,1,0)</f>
        <v>0</v>
      </c>
      <c r="D619" s="54">
        <f>_xlfn.MAXIFS(Tabelle5[[#This Row],[binding_level]], Tabelle5[[#This Row],[company_id]],Tabelle18[[#This Row],[company_id]], Tabelle5[[#This Row],[value_id]], Tabelle18[[#This Row],[value_id]], Tabelle5[[#This Row],[value_present]],"1")</f>
        <v>0</v>
      </c>
      <c r="E619" s="54">
        <f>_xlfn.MAXIFS(Tabelle5[[#This Row],[value_points]], Tabelle5[[#This Row],[company_id]],Tabelle18[[#This Row],[company_id]], Tabelle5[[#This Row],[value_id]], Tabelle18[[#This Row],[value_id]], Tabelle5[[#This Row],[value_present]],"1")</f>
        <v>0</v>
      </c>
    </row>
    <row r="620" spans="1:5" x14ac:dyDescent="0.25">
      <c r="A620">
        <v>35</v>
      </c>
      <c r="B620" t="s">
        <v>98</v>
      </c>
      <c r="C620" s="54">
        <f>IF(Tabelle18[[#This Row],[binding_level_company]]&gt;=1,1,0)</f>
        <v>0</v>
      </c>
      <c r="D620" s="54">
        <f>_xlfn.MAXIFS(Tabelle5[[#This Row],[binding_level]], Tabelle5[[#This Row],[company_id]],Tabelle18[[#This Row],[company_id]], Tabelle5[[#This Row],[value_id]], Tabelle18[[#This Row],[value_id]], Tabelle5[[#This Row],[value_present]],"1")</f>
        <v>0</v>
      </c>
      <c r="E620" s="54">
        <f>_xlfn.MAXIFS(Tabelle5[[#This Row],[value_points]], Tabelle5[[#This Row],[company_id]],Tabelle18[[#This Row],[company_id]], Tabelle5[[#This Row],[value_id]], Tabelle18[[#This Row],[value_id]], Tabelle5[[#This Row],[value_present]],"1")</f>
        <v>0</v>
      </c>
    </row>
    <row r="621" spans="1:5" x14ac:dyDescent="0.25">
      <c r="A621">
        <v>35</v>
      </c>
      <c r="B621" t="s">
        <v>106</v>
      </c>
      <c r="C621" s="54">
        <f>IF(Tabelle18[[#This Row],[binding_level_company]]&gt;=1,1,0)</f>
        <v>0</v>
      </c>
      <c r="D621" s="54">
        <f>_xlfn.MAXIFS(Tabelle5[[#This Row],[binding_level]], Tabelle5[[#This Row],[company_id]],Tabelle18[[#This Row],[company_id]], Tabelle5[[#This Row],[value_id]], Tabelle18[[#This Row],[value_id]], Tabelle5[[#This Row],[value_present]],"1")</f>
        <v>0</v>
      </c>
      <c r="E621" s="54">
        <f>_xlfn.MAXIFS(Tabelle5[[#This Row],[value_points]], Tabelle5[[#This Row],[company_id]],Tabelle18[[#This Row],[company_id]], Tabelle5[[#This Row],[value_id]], Tabelle18[[#This Row],[value_id]], Tabelle5[[#This Row],[value_present]],"1")</f>
        <v>0</v>
      </c>
    </row>
    <row r="622" spans="1:5" x14ac:dyDescent="0.25">
      <c r="A622">
        <v>35</v>
      </c>
      <c r="B622" t="s">
        <v>112</v>
      </c>
      <c r="C622" s="54">
        <f>IF(Tabelle18[[#This Row],[binding_level_company]]&gt;=1,1,0)</f>
        <v>0</v>
      </c>
      <c r="D622" s="54">
        <f>_xlfn.MAXIFS(Tabelle5[[#This Row],[binding_level]], Tabelle5[[#This Row],[company_id]],Tabelle18[[#This Row],[company_id]], Tabelle5[[#This Row],[value_id]], Tabelle18[[#This Row],[value_id]], Tabelle5[[#This Row],[value_present]],"1")</f>
        <v>0</v>
      </c>
      <c r="E622" s="54">
        <f>_xlfn.MAXIFS(Tabelle5[[#This Row],[value_points]], Tabelle5[[#This Row],[company_id]],Tabelle18[[#This Row],[company_id]], Tabelle5[[#This Row],[value_id]], Tabelle18[[#This Row],[value_id]], Tabelle5[[#This Row],[value_present]],"1")</f>
        <v>0</v>
      </c>
    </row>
    <row r="623" spans="1:5" x14ac:dyDescent="0.25">
      <c r="A623">
        <v>35</v>
      </c>
      <c r="B623" t="s">
        <v>118</v>
      </c>
      <c r="C623" s="54">
        <f>IF(Tabelle18[[#This Row],[binding_level_company]]&gt;=1,1,0)</f>
        <v>0</v>
      </c>
      <c r="D623" s="54">
        <f>_xlfn.MAXIFS(Tabelle5[[#This Row],[binding_level]], Tabelle5[[#This Row],[company_id]],Tabelle18[[#This Row],[company_id]], Tabelle5[[#This Row],[value_id]], Tabelle18[[#This Row],[value_id]], Tabelle5[[#This Row],[value_present]],"1")</f>
        <v>0</v>
      </c>
      <c r="E623" s="54">
        <f>_xlfn.MAXIFS(Tabelle5[[#This Row],[value_points]], Tabelle5[[#This Row],[company_id]],Tabelle18[[#This Row],[company_id]], Tabelle5[[#This Row],[value_id]], Tabelle18[[#This Row],[value_id]], Tabelle5[[#This Row],[value_present]],"1")</f>
        <v>0</v>
      </c>
    </row>
    <row r="624" spans="1:5" x14ac:dyDescent="0.25">
      <c r="A624">
        <v>35</v>
      </c>
      <c r="B624" t="s">
        <v>125</v>
      </c>
      <c r="C624" s="54">
        <f>IF(Tabelle18[[#This Row],[binding_level_company]]&gt;=1,1,0)</f>
        <v>0</v>
      </c>
      <c r="D624" s="54">
        <f>_xlfn.MAXIFS(Tabelle5[[#This Row],[binding_level]], Tabelle5[[#This Row],[company_id]],Tabelle18[[#This Row],[company_id]], Tabelle5[[#This Row],[value_id]], Tabelle18[[#This Row],[value_id]], Tabelle5[[#This Row],[value_present]],"1")</f>
        <v>0</v>
      </c>
      <c r="E624" s="54">
        <f>_xlfn.MAXIFS(Tabelle5[[#This Row],[value_points]], Tabelle5[[#This Row],[company_id]],Tabelle18[[#This Row],[company_id]], Tabelle5[[#This Row],[value_id]], Tabelle18[[#This Row],[value_id]], Tabelle5[[#This Row],[value_present]],"1")</f>
        <v>0</v>
      </c>
    </row>
    <row r="625" spans="1:5" x14ac:dyDescent="0.25">
      <c r="A625">
        <v>35</v>
      </c>
      <c r="B625" t="s">
        <v>132</v>
      </c>
      <c r="C625" s="54">
        <f>IF(Tabelle18[[#This Row],[binding_level_company]]&gt;=1,1,0)</f>
        <v>0</v>
      </c>
      <c r="D625" s="54">
        <f>_xlfn.MAXIFS(Tabelle5[[#This Row],[binding_level]], Tabelle5[[#This Row],[company_id]],Tabelle18[[#This Row],[company_id]], Tabelle5[[#This Row],[value_id]], Tabelle18[[#This Row],[value_id]], Tabelle5[[#This Row],[value_present]],"1")</f>
        <v>0</v>
      </c>
      <c r="E625" s="54">
        <f>_xlfn.MAXIFS(Tabelle5[[#This Row],[value_points]], Tabelle5[[#This Row],[company_id]],Tabelle18[[#This Row],[company_id]], Tabelle5[[#This Row],[value_id]], Tabelle18[[#This Row],[value_id]], Tabelle5[[#This Row],[value_present]],"1")</f>
        <v>0</v>
      </c>
    </row>
    <row r="626" spans="1:5" x14ac:dyDescent="0.25">
      <c r="A626">
        <v>35</v>
      </c>
      <c r="B626" t="s">
        <v>140</v>
      </c>
      <c r="C626" s="54">
        <f>IF(Tabelle18[[#This Row],[binding_level_company]]&gt;=1,1,0)</f>
        <v>0</v>
      </c>
      <c r="D626" s="54">
        <f>_xlfn.MAXIFS(Tabelle5[[#This Row],[binding_level]], Tabelle5[[#This Row],[company_id]],Tabelle18[[#This Row],[company_id]], Tabelle5[[#This Row],[value_id]], Tabelle18[[#This Row],[value_id]], Tabelle5[[#This Row],[value_present]],"1")</f>
        <v>0</v>
      </c>
      <c r="E626" s="54">
        <f>_xlfn.MAXIFS(Tabelle5[[#This Row],[value_points]], Tabelle5[[#This Row],[company_id]],Tabelle18[[#This Row],[company_id]], Tabelle5[[#This Row],[value_id]], Tabelle18[[#This Row],[value_id]], Tabelle5[[#This Row],[value_present]],"1")</f>
        <v>0</v>
      </c>
    </row>
    <row r="627" spans="1:5" x14ac:dyDescent="0.25">
      <c r="A627">
        <v>35</v>
      </c>
      <c r="B627" t="s">
        <v>147</v>
      </c>
      <c r="C627" s="54">
        <f>IF(Tabelle18[[#This Row],[binding_level_company]]&gt;=1,1,0)</f>
        <v>0</v>
      </c>
      <c r="D627" s="54">
        <f>_xlfn.MAXIFS(Tabelle5[[#This Row],[binding_level]], Tabelle5[[#This Row],[company_id]],Tabelle18[[#This Row],[company_id]], Tabelle5[[#This Row],[value_id]], Tabelle18[[#This Row],[value_id]], Tabelle5[[#This Row],[value_present]],"1")</f>
        <v>0</v>
      </c>
      <c r="E627" s="54">
        <f>_xlfn.MAXIFS(Tabelle5[[#This Row],[value_points]], Tabelle5[[#This Row],[company_id]],Tabelle18[[#This Row],[company_id]], Tabelle5[[#This Row],[value_id]], Tabelle18[[#This Row],[value_id]], Tabelle5[[#This Row],[value_present]],"1")</f>
        <v>0</v>
      </c>
    </row>
    <row r="628" spans="1:5" x14ac:dyDescent="0.25">
      <c r="A628">
        <v>35</v>
      </c>
      <c r="B628" t="s">
        <v>154</v>
      </c>
      <c r="C628" s="54">
        <f>IF(Tabelle18[[#This Row],[binding_level_company]]&gt;=1,1,0)</f>
        <v>0</v>
      </c>
      <c r="D628" s="54">
        <f>_xlfn.MAXIFS(Tabelle5[[#This Row],[binding_level]], Tabelle5[[#This Row],[company_id]],Tabelle18[[#This Row],[company_id]], Tabelle5[[#This Row],[value_id]], Tabelle18[[#This Row],[value_id]], Tabelle5[[#This Row],[value_present]],"1")</f>
        <v>0</v>
      </c>
      <c r="E628" s="54">
        <f>_xlfn.MAXIFS(Tabelle5[[#This Row],[value_points]], Tabelle5[[#This Row],[company_id]],Tabelle18[[#This Row],[company_id]], Tabelle5[[#This Row],[value_id]], Tabelle18[[#This Row],[value_id]], Tabelle5[[#This Row],[value_present]],"1")</f>
        <v>0</v>
      </c>
    </row>
    <row r="629" spans="1:5" x14ac:dyDescent="0.25">
      <c r="A629">
        <v>35</v>
      </c>
      <c r="B629" t="s">
        <v>161</v>
      </c>
      <c r="C629" s="54">
        <f>IF(Tabelle18[[#This Row],[binding_level_company]]&gt;=1,1,0)</f>
        <v>0</v>
      </c>
      <c r="D629" s="54">
        <f>_xlfn.MAXIFS(Tabelle5[[#This Row],[binding_level]], Tabelle5[[#This Row],[company_id]],Tabelle18[[#This Row],[company_id]], Tabelle5[[#This Row],[value_id]], Tabelle18[[#This Row],[value_id]], Tabelle5[[#This Row],[value_present]],"1")</f>
        <v>0</v>
      </c>
      <c r="E629" s="54">
        <f>_xlfn.MAXIFS(Tabelle5[[#This Row],[value_points]], Tabelle5[[#This Row],[company_id]],Tabelle18[[#This Row],[company_id]], Tabelle5[[#This Row],[value_id]], Tabelle18[[#This Row],[value_id]], Tabelle5[[#This Row],[value_present]],"1")</f>
        <v>0</v>
      </c>
    </row>
    <row r="630" spans="1:5" x14ac:dyDescent="0.25">
      <c r="A630">
        <v>35</v>
      </c>
      <c r="B630" t="s">
        <v>166</v>
      </c>
      <c r="C630" s="54">
        <f>IF(Tabelle18[[#This Row],[binding_level_company]]&gt;=1,1,0)</f>
        <v>0</v>
      </c>
      <c r="D630" s="54">
        <f>_xlfn.MAXIFS(Tabelle5[[#This Row],[binding_level]], Tabelle5[[#This Row],[company_id]],Tabelle18[[#This Row],[company_id]], Tabelle5[[#This Row],[value_id]], Tabelle18[[#This Row],[value_id]], Tabelle5[[#This Row],[value_present]],"1")</f>
        <v>0</v>
      </c>
      <c r="E630" s="54">
        <f>_xlfn.MAXIFS(Tabelle5[[#This Row],[value_points]], Tabelle5[[#This Row],[company_id]],Tabelle18[[#This Row],[company_id]], Tabelle5[[#This Row],[value_id]], Tabelle18[[#This Row],[value_id]], Tabelle5[[#This Row],[value_present]],"1")</f>
        <v>0</v>
      </c>
    </row>
    <row r="631" spans="1:5" ht="15.75" thickBot="1" x14ac:dyDescent="0.3">
      <c r="A631">
        <v>35</v>
      </c>
      <c r="B631" s="30" t="s">
        <v>174</v>
      </c>
      <c r="C631" s="54">
        <f>IF(Tabelle18[[#This Row],[binding_level_company]]&gt;=1,1,0)</f>
        <v>0</v>
      </c>
      <c r="D631" s="54">
        <f>_xlfn.MAXIFS(Tabelle5[[#This Row],[binding_level]], Tabelle5[[#This Row],[company_id]],Tabelle18[[#This Row],[company_id]], Tabelle5[[#This Row],[value_id]], Tabelle18[[#This Row],[value_id]], Tabelle5[[#This Row],[value_present]],"1")</f>
        <v>0</v>
      </c>
      <c r="E631" s="54">
        <f>_xlfn.MAXIFS(Tabelle5[[#This Row],[value_points]], Tabelle5[[#This Row],[company_id]],Tabelle18[[#This Row],[company_id]], Tabelle5[[#This Row],[value_id]], Tabelle18[[#This Row],[value_id]], Tabelle5[[#This Row],[value_present]],"1")</f>
        <v>0</v>
      </c>
    </row>
    <row r="632" spans="1:5" x14ac:dyDescent="0.25">
      <c r="A632">
        <v>36</v>
      </c>
      <c r="B632" s="22" t="s">
        <v>53</v>
      </c>
      <c r="C632" s="54">
        <f>IF(Tabelle18[[#This Row],[binding_level_company]]&gt;=1,1,0)</f>
        <v>0</v>
      </c>
      <c r="D632" s="54">
        <f>_xlfn.MAXIFS(Tabelle5[[#This Row],[binding_level]], Tabelle5[[#This Row],[company_id]],Tabelle18[[#This Row],[company_id]], Tabelle5[[#This Row],[value_id]], Tabelle18[[#This Row],[value_id]], Tabelle5[[#This Row],[value_present]],"1")</f>
        <v>0</v>
      </c>
      <c r="E632" s="54">
        <f>_xlfn.MAXIFS(Tabelle5[[#This Row],[value_points]], Tabelle5[[#This Row],[company_id]],Tabelle18[[#This Row],[company_id]], Tabelle5[[#This Row],[value_id]], Tabelle18[[#This Row],[value_id]], Tabelle5[[#This Row],[value_present]],"1")</f>
        <v>0</v>
      </c>
    </row>
    <row r="633" spans="1:5" x14ac:dyDescent="0.25">
      <c r="A633">
        <v>36</v>
      </c>
      <c r="B633" t="s">
        <v>61</v>
      </c>
      <c r="C633" s="54">
        <f>IF(Tabelle18[[#This Row],[binding_level_company]]&gt;=1,1,0)</f>
        <v>0</v>
      </c>
      <c r="D633" s="54">
        <f>_xlfn.MAXIFS(Tabelle5[[#This Row],[binding_level]], Tabelle5[[#This Row],[company_id]],Tabelle18[[#This Row],[company_id]], Tabelle5[[#This Row],[value_id]], Tabelle18[[#This Row],[value_id]], Tabelle5[[#This Row],[value_present]],"1")</f>
        <v>0</v>
      </c>
      <c r="E633" s="54">
        <f>_xlfn.MAXIFS(Tabelle5[[#This Row],[value_points]], Tabelle5[[#This Row],[company_id]],Tabelle18[[#This Row],[company_id]], Tabelle5[[#This Row],[value_id]], Tabelle18[[#This Row],[value_id]], Tabelle5[[#This Row],[value_present]],"1")</f>
        <v>0</v>
      </c>
    </row>
    <row r="634" spans="1:5" x14ac:dyDescent="0.25">
      <c r="A634">
        <v>36</v>
      </c>
      <c r="B634" t="s">
        <v>69</v>
      </c>
      <c r="C634" s="54">
        <f>IF(Tabelle18[[#This Row],[binding_level_company]]&gt;=1,1,0)</f>
        <v>0</v>
      </c>
      <c r="D634" s="54">
        <f>_xlfn.MAXIFS(Tabelle5[[#This Row],[binding_level]], Tabelle5[[#This Row],[company_id]],Tabelle18[[#This Row],[company_id]], Tabelle5[[#This Row],[value_id]], Tabelle18[[#This Row],[value_id]], Tabelle5[[#This Row],[value_present]],"1")</f>
        <v>0</v>
      </c>
      <c r="E634" s="54">
        <f>_xlfn.MAXIFS(Tabelle5[[#This Row],[value_points]], Tabelle5[[#This Row],[company_id]],Tabelle18[[#This Row],[company_id]], Tabelle5[[#This Row],[value_id]], Tabelle18[[#This Row],[value_id]], Tabelle5[[#This Row],[value_present]],"1")</f>
        <v>0</v>
      </c>
    </row>
    <row r="635" spans="1:5" x14ac:dyDescent="0.25">
      <c r="A635">
        <v>36</v>
      </c>
      <c r="B635" t="s">
        <v>76</v>
      </c>
      <c r="C635" s="54">
        <f>IF(Tabelle18[[#This Row],[binding_level_company]]&gt;=1,1,0)</f>
        <v>0</v>
      </c>
      <c r="D635" s="54">
        <f>_xlfn.MAXIFS(Tabelle5[[#This Row],[binding_level]], Tabelle5[[#This Row],[company_id]],Tabelle18[[#This Row],[company_id]], Tabelle5[[#This Row],[value_id]], Tabelle18[[#This Row],[value_id]], Tabelle5[[#This Row],[value_present]],"1")</f>
        <v>0</v>
      </c>
      <c r="E635" s="54">
        <f>_xlfn.MAXIFS(Tabelle5[[#This Row],[value_points]], Tabelle5[[#This Row],[company_id]],Tabelle18[[#This Row],[company_id]], Tabelle5[[#This Row],[value_id]], Tabelle18[[#This Row],[value_id]], Tabelle5[[#This Row],[value_present]],"1")</f>
        <v>0</v>
      </c>
    </row>
    <row r="636" spans="1:5" x14ac:dyDescent="0.25">
      <c r="A636">
        <v>36</v>
      </c>
      <c r="B636" t="s">
        <v>83</v>
      </c>
      <c r="C636" s="54">
        <f>IF(Tabelle18[[#This Row],[binding_level_company]]&gt;=1,1,0)</f>
        <v>0</v>
      </c>
      <c r="D636" s="54">
        <f>_xlfn.MAXIFS(Tabelle5[[#This Row],[binding_level]], Tabelle5[[#This Row],[company_id]],Tabelle18[[#This Row],[company_id]], Tabelle5[[#This Row],[value_id]], Tabelle18[[#This Row],[value_id]], Tabelle5[[#This Row],[value_present]],"1")</f>
        <v>0</v>
      </c>
      <c r="E636" s="54">
        <f>_xlfn.MAXIFS(Tabelle5[[#This Row],[value_points]], Tabelle5[[#This Row],[company_id]],Tabelle18[[#This Row],[company_id]], Tabelle5[[#This Row],[value_id]], Tabelle18[[#This Row],[value_id]], Tabelle5[[#This Row],[value_present]],"1")</f>
        <v>0</v>
      </c>
    </row>
    <row r="637" spans="1:5" x14ac:dyDescent="0.25">
      <c r="A637">
        <v>36</v>
      </c>
      <c r="B637" t="s">
        <v>90</v>
      </c>
      <c r="C637" s="54">
        <f>IF(Tabelle18[[#This Row],[binding_level_company]]&gt;=1,1,0)</f>
        <v>0</v>
      </c>
      <c r="D637" s="54">
        <f>_xlfn.MAXIFS(Tabelle5[[#This Row],[binding_level]], Tabelle5[[#This Row],[company_id]],Tabelle18[[#This Row],[company_id]], Tabelle5[[#This Row],[value_id]], Tabelle18[[#This Row],[value_id]], Tabelle5[[#This Row],[value_present]],"1")</f>
        <v>0</v>
      </c>
      <c r="E637" s="54">
        <f>_xlfn.MAXIFS(Tabelle5[[#This Row],[value_points]], Tabelle5[[#This Row],[company_id]],Tabelle18[[#This Row],[company_id]], Tabelle5[[#This Row],[value_id]], Tabelle18[[#This Row],[value_id]], Tabelle5[[#This Row],[value_present]],"1")</f>
        <v>0</v>
      </c>
    </row>
    <row r="638" spans="1:5" x14ac:dyDescent="0.25">
      <c r="A638">
        <v>36</v>
      </c>
      <c r="B638" t="s">
        <v>98</v>
      </c>
      <c r="C638" s="54">
        <f>IF(Tabelle18[[#This Row],[binding_level_company]]&gt;=1,1,0)</f>
        <v>0</v>
      </c>
      <c r="D638" s="54">
        <f>_xlfn.MAXIFS(Tabelle5[[#This Row],[binding_level]], Tabelle5[[#This Row],[company_id]],Tabelle18[[#This Row],[company_id]], Tabelle5[[#This Row],[value_id]], Tabelle18[[#This Row],[value_id]], Tabelle5[[#This Row],[value_present]],"1")</f>
        <v>0</v>
      </c>
      <c r="E638" s="54">
        <f>_xlfn.MAXIFS(Tabelle5[[#This Row],[value_points]], Tabelle5[[#This Row],[company_id]],Tabelle18[[#This Row],[company_id]], Tabelle5[[#This Row],[value_id]], Tabelle18[[#This Row],[value_id]], Tabelle5[[#This Row],[value_present]],"1")</f>
        <v>0</v>
      </c>
    </row>
    <row r="639" spans="1:5" x14ac:dyDescent="0.25">
      <c r="A639">
        <v>36</v>
      </c>
      <c r="B639" t="s">
        <v>106</v>
      </c>
      <c r="C639" s="54">
        <f>IF(Tabelle18[[#This Row],[binding_level_company]]&gt;=1,1,0)</f>
        <v>0</v>
      </c>
      <c r="D639" s="54">
        <f>_xlfn.MAXIFS(Tabelle5[[#This Row],[binding_level]], Tabelle5[[#This Row],[company_id]],Tabelle18[[#This Row],[company_id]], Tabelle5[[#This Row],[value_id]], Tabelle18[[#This Row],[value_id]], Tabelle5[[#This Row],[value_present]],"1")</f>
        <v>0</v>
      </c>
      <c r="E639" s="54">
        <f>_xlfn.MAXIFS(Tabelle5[[#This Row],[value_points]], Tabelle5[[#This Row],[company_id]],Tabelle18[[#This Row],[company_id]], Tabelle5[[#This Row],[value_id]], Tabelle18[[#This Row],[value_id]], Tabelle5[[#This Row],[value_present]],"1")</f>
        <v>0</v>
      </c>
    </row>
    <row r="640" spans="1:5" x14ac:dyDescent="0.25">
      <c r="A640">
        <v>36</v>
      </c>
      <c r="B640" t="s">
        <v>112</v>
      </c>
      <c r="C640" s="54">
        <f>IF(Tabelle18[[#This Row],[binding_level_company]]&gt;=1,1,0)</f>
        <v>0</v>
      </c>
      <c r="D640" s="54">
        <f>_xlfn.MAXIFS(Tabelle5[[#This Row],[binding_level]], Tabelle5[[#This Row],[company_id]],Tabelle18[[#This Row],[company_id]], Tabelle5[[#This Row],[value_id]], Tabelle18[[#This Row],[value_id]], Tabelle5[[#This Row],[value_present]],"1")</f>
        <v>0</v>
      </c>
      <c r="E640" s="54">
        <f>_xlfn.MAXIFS(Tabelle5[[#This Row],[value_points]], Tabelle5[[#This Row],[company_id]],Tabelle18[[#This Row],[company_id]], Tabelle5[[#This Row],[value_id]], Tabelle18[[#This Row],[value_id]], Tabelle5[[#This Row],[value_present]],"1")</f>
        <v>0</v>
      </c>
    </row>
    <row r="641" spans="1:5" x14ac:dyDescent="0.25">
      <c r="A641">
        <v>36</v>
      </c>
      <c r="B641" t="s">
        <v>118</v>
      </c>
      <c r="C641" s="54">
        <f>IF(Tabelle18[[#This Row],[binding_level_company]]&gt;=1,1,0)</f>
        <v>0</v>
      </c>
      <c r="D641" s="54">
        <f>_xlfn.MAXIFS(Tabelle5[[#This Row],[binding_level]], Tabelle5[[#This Row],[company_id]],Tabelle18[[#This Row],[company_id]], Tabelle5[[#This Row],[value_id]], Tabelle18[[#This Row],[value_id]], Tabelle5[[#This Row],[value_present]],"1")</f>
        <v>0</v>
      </c>
      <c r="E641" s="54">
        <f>_xlfn.MAXIFS(Tabelle5[[#This Row],[value_points]], Tabelle5[[#This Row],[company_id]],Tabelle18[[#This Row],[company_id]], Tabelle5[[#This Row],[value_id]], Tabelle18[[#This Row],[value_id]], Tabelle5[[#This Row],[value_present]],"1")</f>
        <v>0</v>
      </c>
    </row>
    <row r="642" spans="1:5" x14ac:dyDescent="0.25">
      <c r="A642">
        <v>36</v>
      </c>
      <c r="B642" t="s">
        <v>125</v>
      </c>
      <c r="C642" s="54">
        <f>IF(Tabelle18[[#This Row],[binding_level_company]]&gt;=1,1,0)</f>
        <v>0</v>
      </c>
      <c r="D642" s="54">
        <f>_xlfn.MAXIFS(Tabelle5[[#This Row],[binding_level]], Tabelle5[[#This Row],[company_id]],Tabelle18[[#This Row],[company_id]], Tabelle5[[#This Row],[value_id]], Tabelle18[[#This Row],[value_id]], Tabelle5[[#This Row],[value_present]],"1")</f>
        <v>0</v>
      </c>
      <c r="E642" s="54">
        <f>_xlfn.MAXIFS(Tabelle5[[#This Row],[value_points]], Tabelle5[[#This Row],[company_id]],Tabelle18[[#This Row],[company_id]], Tabelle5[[#This Row],[value_id]], Tabelle18[[#This Row],[value_id]], Tabelle5[[#This Row],[value_present]],"1")</f>
        <v>0</v>
      </c>
    </row>
    <row r="643" spans="1:5" x14ac:dyDescent="0.25">
      <c r="A643">
        <v>36</v>
      </c>
      <c r="B643" t="s">
        <v>132</v>
      </c>
      <c r="C643" s="54">
        <f>IF(Tabelle18[[#This Row],[binding_level_company]]&gt;=1,1,0)</f>
        <v>0</v>
      </c>
      <c r="D643" s="54">
        <f>_xlfn.MAXIFS(Tabelle5[[#This Row],[binding_level]], Tabelle5[[#This Row],[company_id]],Tabelle18[[#This Row],[company_id]], Tabelle5[[#This Row],[value_id]], Tabelle18[[#This Row],[value_id]], Tabelle5[[#This Row],[value_present]],"1")</f>
        <v>0</v>
      </c>
      <c r="E643" s="54">
        <f>_xlfn.MAXIFS(Tabelle5[[#This Row],[value_points]], Tabelle5[[#This Row],[company_id]],Tabelle18[[#This Row],[company_id]], Tabelle5[[#This Row],[value_id]], Tabelle18[[#This Row],[value_id]], Tabelle5[[#This Row],[value_present]],"1")</f>
        <v>0</v>
      </c>
    </row>
    <row r="644" spans="1:5" x14ac:dyDescent="0.25">
      <c r="A644">
        <v>36</v>
      </c>
      <c r="B644" t="s">
        <v>140</v>
      </c>
      <c r="C644" s="54">
        <f>IF(Tabelle18[[#This Row],[binding_level_company]]&gt;=1,1,0)</f>
        <v>0</v>
      </c>
      <c r="D644" s="54">
        <f>_xlfn.MAXIFS(Tabelle5[[#This Row],[binding_level]], Tabelle5[[#This Row],[company_id]],Tabelle18[[#This Row],[company_id]], Tabelle5[[#This Row],[value_id]], Tabelle18[[#This Row],[value_id]], Tabelle5[[#This Row],[value_present]],"1")</f>
        <v>0</v>
      </c>
      <c r="E644" s="54">
        <f>_xlfn.MAXIFS(Tabelle5[[#This Row],[value_points]], Tabelle5[[#This Row],[company_id]],Tabelle18[[#This Row],[company_id]], Tabelle5[[#This Row],[value_id]], Tabelle18[[#This Row],[value_id]], Tabelle5[[#This Row],[value_present]],"1")</f>
        <v>0</v>
      </c>
    </row>
    <row r="645" spans="1:5" x14ac:dyDescent="0.25">
      <c r="A645">
        <v>36</v>
      </c>
      <c r="B645" t="s">
        <v>147</v>
      </c>
      <c r="C645" s="54">
        <f>IF(Tabelle18[[#This Row],[binding_level_company]]&gt;=1,1,0)</f>
        <v>0</v>
      </c>
      <c r="D645" s="54">
        <f>_xlfn.MAXIFS(Tabelle5[[#This Row],[binding_level]], Tabelle5[[#This Row],[company_id]],Tabelle18[[#This Row],[company_id]], Tabelle5[[#This Row],[value_id]], Tabelle18[[#This Row],[value_id]], Tabelle5[[#This Row],[value_present]],"1")</f>
        <v>0</v>
      </c>
      <c r="E645" s="54">
        <f>_xlfn.MAXIFS(Tabelle5[[#This Row],[value_points]], Tabelle5[[#This Row],[company_id]],Tabelle18[[#This Row],[company_id]], Tabelle5[[#This Row],[value_id]], Tabelle18[[#This Row],[value_id]], Tabelle5[[#This Row],[value_present]],"1")</f>
        <v>0</v>
      </c>
    </row>
    <row r="646" spans="1:5" x14ac:dyDescent="0.25">
      <c r="A646">
        <v>36</v>
      </c>
      <c r="B646" t="s">
        <v>154</v>
      </c>
      <c r="C646" s="54">
        <f>IF(Tabelle18[[#This Row],[binding_level_company]]&gt;=1,1,0)</f>
        <v>0</v>
      </c>
      <c r="D646" s="54">
        <f>_xlfn.MAXIFS(Tabelle5[[#This Row],[binding_level]], Tabelle5[[#This Row],[company_id]],Tabelle18[[#This Row],[company_id]], Tabelle5[[#This Row],[value_id]], Tabelle18[[#This Row],[value_id]], Tabelle5[[#This Row],[value_present]],"1")</f>
        <v>0</v>
      </c>
      <c r="E646" s="54">
        <f>_xlfn.MAXIFS(Tabelle5[[#This Row],[value_points]], Tabelle5[[#This Row],[company_id]],Tabelle18[[#This Row],[company_id]], Tabelle5[[#This Row],[value_id]], Tabelle18[[#This Row],[value_id]], Tabelle5[[#This Row],[value_present]],"1")</f>
        <v>0</v>
      </c>
    </row>
    <row r="647" spans="1:5" x14ac:dyDescent="0.25">
      <c r="A647">
        <v>36</v>
      </c>
      <c r="B647" t="s">
        <v>161</v>
      </c>
      <c r="C647" s="54">
        <f>IF(Tabelle18[[#This Row],[binding_level_company]]&gt;=1,1,0)</f>
        <v>0</v>
      </c>
      <c r="D647" s="54">
        <f>_xlfn.MAXIFS(Tabelle5[[#This Row],[binding_level]], Tabelle5[[#This Row],[company_id]],Tabelle18[[#This Row],[company_id]], Tabelle5[[#This Row],[value_id]], Tabelle18[[#This Row],[value_id]], Tabelle5[[#This Row],[value_present]],"1")</f>
        <v>0</v>
      </c>
      <c r="E647" s="54">
        <f>_xlfn.MAXIFS(Tabelle5[[#This Row],[value_points]], Tabelle5[[#This Row],[company_id]],Tabelle18[[#This Row],[company_id]], Tabelle5[[#This Row],[value_id]], Tabelle18[[#This Row],[value_id]], Tabelle5[[#This Row],[value_present]],"1")</f>
        <v>0</v>
      </c>
    </row>
    <row r="648" spans="1:5" x14ac:dyDescent="0.25">
      <c r="A648">
        <v>36</v>
      </c>
      <c r="B648" t="s">
        <v>166</v>
      </c>
      <c r="C648" s="54">
        <f>IF(Tabelle18[[#This Row],[binding_level_company]]&gt;=1,1,0)</f>
        <v>0</v>
      </c>
      <c r="D648" s="54">
        <f>_xlfn.MAXIFS(Tabelle5[[#This Row],[binding_level]], Tabelle5[[#This Row],[company_id]],Tabelle18[[#This Row],[company_id]], Tabelle5[[#This Row],[value_id]], Tabelle18[[#This Row],[value_id]], Tabelle5[[#This Row],[value_present]],"1")</f>
        <v>0</v>
      </c>
      <c r="E648" s="54">
        <f>_xlfn.MAXIFS(Tabelle5[[#This Row],[value_points]], Tabelle5[[#This Row],[company_id]],Tabelle18[[#This Row],[company_id]], Tabelle5[[#This Row],[value_id]], Tabelle18[[#This Row],[value_id]], Tabelle5[[#This Row],[value_present]],"1")</f>
        <v>0</v>
      </c>
    </row>
    <row r="649" spans="1:5" ht="15.75" thickBot="1" x14ac:dyDescent="0.3">
      <c r="A649">
        <v>36</v>
      </c>
      <c r="B649" s="30" t="s">
        <v>174</v>
      </c>
      <c r="C649" s="54">
        <f>IF(Tabelle18[[#This Row],[binding_level_company]]&gt;=1,1,0)</f>
        <v>0</v>
      </c>
      <c r="D649" s="54">
        <f>_xlfn.MAXIFS(Tabelle5[[#This Row],[binding_level]], Tabelle5[[#This Row],[company_id]],Tabelle18[[#This Row],[company_id]], Tabelle5[[#This Row],[value_id]], Tabelle18[[#This Row],[value_id]], Tabelle5[[#This Row],[value_present]],"1")</f>
        <v>0</v>
      </c>
      <c r="E649" s="54">
        <f>_xlfn.MAXIFS(Tabelle5[[#This Row],[value_points]], Tabelle5[[#This Row],[company_id]],Tabelle18[[#This Row],[company_id]], Tabelle5[[#This Row],[value_id]], Tabelle18[[#This Row],[value_id]], Tabelle5[[#This Row],[value_present]],"1")</f>
        <v>0</v>
      </c>
    </row>
    <row r="650" spans="1:5" x14ac:dyDescent="0.25">
      <c r="A650">
        <v>37</v>
      </c>
      <c r="B650" s="22" t="s">
        <v>53</v>
      </c>
      <c r="C650" s="54">
        <f>IF(Tabelle18[[#This Row],[binding_level_company]]&gt;=1,1,0)</f>
        <v>0</v>
      </c>
      <c r="D650" s="54">
        <f>_xlfn.MAXIFS(Tabelle5[[#This Row],[binding_level]], Tabelle5[[#This Row],[company_id]],Tabelle18[[#This Row],[company_id]], Tabelle5[[#This Row],[value_id]], Tabelle18[[#This Row],[value_id]], Tabelle5[[#This Row],[value_present]],"1")</f>
        <v>0</v>
      </c>
      <c r="E650" s="54">
        <f>_xlfn.MAXIFS(Tabelle5[[#This Row],[value_points]], Tabelle5[[#This Row],[company_id]],Tabelle18[[#This Row],[company_id]], Tabelle5[[#This Row],[value_id]], Tabelle18[[#This Row],[value_id]], Tabelle5[[#This Row],[value_present]],"1")</f>
        <v>0</v>
      </c>
    </row>
    <row r="651" spans="1:5" x14ac:dyDescent="0.25">
      <c r="A651">
        <v>37</v>
      </c>
      <c r="B651" t="s">
        <v>61</v>
      </c>
      <c r="C651" s="54">
        <f>IF(Tabelle18[[#This Row],[binding_level_company]]&gt;=1,1,0)</f>
        <v>0</v>
      </c>
      <c r="D651" s="54">
        <f>_xlfn.MAXIFS(Tabelle5[[#This Row],[binding_level]], Tabelle5[[#This Row],[company_id]],Tabelle18[[#This Row],[company_id]], Tabelle5[[#This Row],[value_id]], Tabelle18[[#This Row],[value_id]], Tabelle5[[#This Row],[value_present]],"1")</f>
        <v>0</v>
      </c>
      <c r="E651" s="54">
        <f>_xlfn.MAXIFS(Tabelle5[[#This Row],[value_points]], Tabelle5[[#This Row],[company_id]],Tabelle18[[#This Row],[company_id]], Tabelle5[[#This Row],[value_id]], Tabelle18[[#This Row],[value_id]], Tabelle5[[#This Row],[value_present]],"1")</f>
        <v>0</v>
      </c>
    </row>
    <row r="652" spans="1:5" x14ac:dyDescent="0.25">
      <c r="A652">
        <v>37</v>
      </c>
      <c r="B652" t="s">
        <v>69</v>
      </c>
      <c r="C652" s="54">
        <f>IF(Tabelle18[[#This Row],[binding_level_company]]&gt;=1,1,0)</f>
        <v>0</v>
      </c>
      <c r="D652" s="54">
        <f>_xlfn.MAXIFS(Tabelle5[[#This Row],[binding_level]], Tabelle5[[#This Row],[company_id]],Tabelle18[[#This Row],[company_id]], Tabelle5[[#This Row],[value_id]], Tabelle18[[#This Row],[value_id]], Tabelle5[[#This Row],[value_present]],"1")</f>
        <v>0</v>
      </c>
      <c r="E652" s="54">
        <f>_xlfn.MAXIFS(Tabelle5[[#This Row],[value_points]], Tabelle5[[#This Row],[company_id]],Tabelle18[[#This Row],[company_id]], Tabelle5[[#This Row],[value_id]], Tabelle18[[#This Row],[value_id]], Tabelle5[[#This Row],[value_present]],"1")</f>
        <v>0</v>
      </c>
    </row>
    <row r="653" spans="1:5" x14ac:dyDescent="0.25">
      <c r="A653">
        <v>37</v>
      </c>
      <c r="B653" t="s">
        <v>76</v>
      </c>
      <c r="C653" s="54">
        <f>IF(Tabelle18[[#This Row],[binding_level_company]]&gt;=1,1,0)</f>
        <v>0</v>
      </c>
      <c r="D653" s="54">
        <f>_xlfn.MAXIFS(Tabelle5[[#This Row],[binding_level]], Tabelle5[[#This Row],[company_id]],Tabelle18[[#This Row],[company_id]], Tabelle5[[#This Row],[value_id]], Tabelle18[[#This Row],[value_id]], Tabelle5[[#This Row],[value_present]],"1")</f>
        <v>0</v>
      </c>
      <c r="E653" s="54">
        <f>_xlfn.MAXIFS(Tabelle5[[#This Row],[value_points]], Tabelle5[[#This Row],[company_id]],Tabelle18[[#This Row],[company_id]], Tabelle5[[#This Row],[value_id]], Tabelle18[[#This Row],[value_id]], Tabelle5[[#This Row],[value_present]],"1")</f>
        <v>0</v>
      </c>
    </row>
    <row r="654" spans="1:5" x14ac:dyDescent="0.25">
      <c r="A654">
        <v>37</v>
      </c>
      <c r="B654" t="s">
        <v>83</v>
      </c>
      <c r="C654" s="54">
        <f>IF(Tabelle18[[#This Row],[binding_level_company]]&gt;=1,1,0)</f>
        <v>0</v>
      </c>
      <c r="D654" s="54">
        <f>_xlfn.MAXIFS(Tabelle5[[#This Row],[binding_level]], Tabelle5[[#This Row],[company_id]],Tabelle18[[#This Row],[company_id]], Tabelle5[[#This Row],[value_id]], Tabelle18[[#This Row],[value_id]], Tabelle5[[#This Row],[value_present]],"1")</f>
        <v>0</v>
      </c>
      <c r="E654" s="54">
        <f>_xlfn.MAXIFS(Tabelle5[[#This Row],[value_points]], Tabelle5[[#This Row],[company_id]],Tabelle18[[#This Row],[company_id]], Tabelle5[[#This Row],[value_id]], Tabelle18[[#This Row],[value_id]], Tabelle5[[#This Row],[value_present]],"1")</f>
        <v>0</v>
      </c>
    </row>
    <row r="655" spans="1:5" x14ac:dyDescent="0.25">
      <c r="A655">
        <v>37</v>
      </c>
      <c r="B655" t="s">
        <v>90</v>
      </c>
      <c r="C655" s="54">
        <f>IF(Tabelle18[[#This Row],[binding_level_company]]&gt;=1,1,0)</f>
        <v>0</v>
      </c>
      <c r="D655" s="54">
        <f>_xlfn.MAXIFS(Tabelle5[[#This Row],[binding_level]], Tabelle5[[#This Row],[company_id]],Tabelle18[[#This Row],[company_id]], Tabelle5[[#This Row],[value_id]], Tabelle18[[#This Row],[value_id]], Tabelle5[[#This Row],[value_present]],"1")</f>
        <v>0</v>
      </c>
      <c r="E655" s="54">
        <f>_xlfn.MAXIFS(Tabelle5[[#This Row],[value_points]], Tabelle5[[#This Row],[company_id]],Tabelle18[[#This Row],[company_id]], Tabelle5[[#This Row],[value_id]], Tabelle18[[#This Row],[value_id]], Tabelle5[[#This Row],[value_present]],"1")</f>
        <v>0</v>
      </c>
    </row>
    <row r="656" spans="1:5" x14ac:dyDescent="0.25">
      <c r="A656">
        <v>37</v>
      </c>
      <c r="B656" t="s">
        <v>98</v>
      </c>
      <c r="C656" s="54">
        <f>IF(Tabelle18[[#This Row],[binding_level_company]]&gt;=1,1,0)</f>
        <v>0</v>
      </c>
      <c r="D656" s="54">
        <f>_xlfn.MAXIFS(Tabelle5[[#This Row],[binding_level]], Tabelle5[[#This Row],[company_id]],Tabelle18[[#This Row],[company_id]], Tabelle5[[#This Row],[value_id]], Tabelle18[[#This Row],[value_id]], Tabelle5[[#This Row],[value_present]],"1")</f>
        <v>0</v>
      </c>
      <c r="E656" s="54">
        <f>_xlfn.MAXIFS(Tabelle5[[#This Row],[value_points]], Tabelle5[[#This Row],[company_id]],Tabelle18[[#This Row],[company_id]], Tabelle5[[#This Row],[value_id]], Tabelle18[[#This Row],[value_id]], Tabelle5[[#This Row],[value_present]],"1")</f>
        <v>0</v>
      </c>
    </row>
    <row r="657" spans="1:5" x14ac:dyDescent="0.25">
      <c r="A657">
        <v>37</v>
      </c>
      <c r="B657" t="s">
        <v>106</v>
      </c>
      <c r="C657" s="54">
        <f>IF(Tabelle18[[#This Row],[binding_level_company]]&gt;=1,1,0)</f>
        <v>0</v>
      </c>
      <c r="D657" s="54">
        <f>_xlfn.MAXIFS(Tabelle5[[#This Row],[binding_level]], Tabelle5[[#This Row],[company_id]],Tabelle18[[#This Row],[company_id]], Tabelle5[[#This Row],[value_id]], Tabelle18[[#This Row],[value_id]], Tabelle5[[#This Row],[value_present]],"1")</f>
        <v>0</v>
      </c>
      <c r="E657" s="54">
        <f>_xlfn.MAXIFS(Tabelle5[[#This Row],[value_points]], Tabelle5[[#This Row],[company_id]],Tabelle18[[#This Row],[company_id]], Tabelle5[[#This Row],[value_id]], Tabelle18[[#This Row],[value_id]], Tabelle5[[#This Row],[value_present]],"1")</f>
        <v>0</v>
      </c>
    </row>
    <row r="658" spans="1:5" x14ac:dyDescent="0.25">
      <c r="A658">
        <v>37</v>
      </c>
      <c r="B658" t="s">
        <v>112</v>
      </c>
      <c r="C658" s="54">
        <f>IF(Tabelle18[[#This Row],[binding_level_company]]&gt;=1,1,0)</f>
        <v>0</v>
      </c>
      <c r="D658" s="54">
        <f>_xlfn.MAXIFS(Tabelle5[[#This Row],[binding_level]], Tabelle5[[#This Row],[company_id]],Tabelle18[[#This Row],[company_id]], Tabelle5[[#This Row],[value_id]], Tabelle18[[#This Row],[value_id]], Tabelle5[[#This Row],[value_present]],"1")</f>
        <v>0</v>
      </c>
      <c r="E658" s="54">
        <f>_xlfn.MAXIFS(Tabelle5[[#This Row],[value_points]], Tabelle5[[#This Row],[company_id]],Tabelle18[[#This Row],[company_id]], Tabelle5[[#This Row],[value_id]], Tabelle18[[#This Row],[value_id]], Tabelle5[[#This Row],[value_present]],"1")</f>
        <v>0</v>
      </c>
    </row>
    <row r="659" spans="1:5" x14ac:dyDescent="0.25">
      <c r="A659">
        <v>37</v>
      </c>
      <c r="B659" t="s">
        <v>118</v>
      </c>
      <c r="C659" s="54">
        <f>IF(Tabelle18[[#This Row],[binding_level_company]]&gt;=1,1,0)</f>
        <v>0</v>
      </c>
      <c r="D659" s="54">
        <f>_xlfn.MAXIFS(Tabelle5[[#This Row],[binding_level]], Tabelle5[[#This Row],[company_id]],Tabelle18[[#This Row],[company_id]], Tabelle5[[#This Row],[value_id]], Tabelle18[[#This Row],[value_id]], Tabelle5[[#This Row],[value_present]],"1")</f>
        <v>0</v>
      </c>
      <c r="E659" s="54">
        <f>_xlfn.MAXIFS(Tabelle5[[#This Row],[value_points]], Tabelle5[[#This Row],[company_id]],Tabelle18[[#This Row],[company_id]], Tabelle5[[#This Row],[value_id]], Tabelle18[[#This Row],[value_id]], Tabelle5[[#This Row],[value_present]],"1")</f>
        <v>0</v>
      </c>
    </row>
    <row r="660" spans="1:5" x14ac:dyDescent="0.25">
      <c r="A660">
        <v>37</v>
      </c>
      <c r="B660" t="s">
        <v>125</v>
      </c>
      <c r="C660" s="54">
        <f>IF(Tabelle18[[#This Row],[binding_level_company]]&gt;=1,1,0)</f>
        <v>0</v>
      </c>
      <c r="D660" s="54">
        <f>_xlfn.MAXIFS(Tabelle5[[#This Row],[binding_level]], Tabelle5[[#This Row],[company_id]],Tabelle18[[#This Row],[company_id]], Tabelle5[[#This Row],[value_id]], Tabelle18[[#This Row],[value_id]], Tabelle5[[#This Row],[value_present]],"1")</f>
        <v>0</v>
      </c>
      <c r="E660" s="54">
        <f>_xlfn.MAXIFS(Tabelle5[[#This Row],[value_points]], Tabelle5[[#This Row],[company_id]],Tabelle18[[#This Row],[company_id]], Tabelle5[[#This Row],[value_id]], Tabelle18[[#This Row],[value_id]], Tabelle5[[#This Row],[value_present]],"1")</f>
        <v>0</v>
      </c>
    </row>
    <row r="661" spans="1:5" x14ac:dyDescent="0.25">
      <c r="A661">
        <v>37</v>
      </c>
      <c r="B661" t="s">
        <v>132</v>
      </c>
      <c r="C661" s="54">
        <f>IF(Tabelle18[[#This Row],[binding_level_company]]&gt;=1,1,0)</f>
        <v>0</v>
      </c>
      <c r="D661" s="54">
        <f>_xlfn.MAXIFS(Tabelle5[[#This Row],[binding_level]], Tabelle5[[#This Row],[company_id]],Tabelle18[[#This Row],[company_id]], Tabelle5[[#This Row],[value_id]], Tabelle18[[#This Row],[value_id]], Tabelle5[[#This Row],[value_present]],"1")</f>
        <v>0</v>
      </c>
      <c r="E661" s="54">
        <f>_xlfn.MAXIFS(Tabelle5[[#This Row],[value_points]], Tabelle5[[#This Row],[company_id]],Tabelle18[[#This Row],[company_id]], Tabelle5[[#This Row],[value_id]], Tabelle18[[#This Row],[value_id]], Tabelle5[[#This Row],[value_present]],"1")</f>
        <v>0</v>
      </c>
    </row>
    <row r="662" spans="1:5" x14ac:dyDescent="0.25">
      <c r="A662">
        <v>37</v>
      </c>
      <c r="B662" t="s">
        <v>140</v>
      </c>
      <c r="C662" s="54">
        <f>IF(Tabelle18[[#This Row],[binding_level_company]]&gt;=1,1,0)</f>
        <v>0</v>
      </c>
      <c r="D662" s="54">
        <f>_xlfn.MAXIFS(Tabelle5[[#This Row],[binding_level]], Tabelle5[[#This Row],[company_id]],Tabelle18[[#This Row],[company_id]], Tabelle5[[#This Row],[value_id]], Tabelle18[[#This Row],[value_id]], Tabelle5[[#This Row],[value_present]],"1")</f>
        <v>0</v>
      </c>
      <c r="E662" s="54">
        <f>_xlfn.MAXIFS(Tabelle5[[#This Row],[value_points]], Tabelle5[[#This Row],[company_id]],Tabelle18[[#This Row],[company_id]], Tabelle5[[#This Row],[value_id]], Tabelle18[[#This Row],[value_id]], Tabelle5[[#This Row],[value_present]],"1")</f>
        <v>0</v>
      </c>
    </row>
    <row r="663" spans="1:5" x14ac:dyDescent="0.25">
      <c r="A663">
        <v>37</v>
      </c>
      <c r="B663" t="s">
        <v>147</v>
      </c>
      <c r="C663" s="54">
        <f>IF(Tabelle18[[#This Row],[binding_level_company]]&gt;=1,1,0)</f>
        <v>0</v>
      </c>
      <c r="D663" s="54">
        <f>_xlfn.MAXIFS(Tabelle5[[#This Row],[binding_level]], Tabelle5[[#This Row],[company_id]],Tabelle18[[#This Row],[company_id]], Tabelle5[[#This Row],[value_id]], Tabelle18[[#This Row],[value_id]], Tabelle5[[#This Row],[value_present]],"1")</f>
        <v>0</v>
      </c>
      <c r="E663" s="54">
        <f>_xlfn.MAXIFS(Tabelle5[[#This Row],[value_points]], Tabelle5[[#This Row],[company_id]],Tabelle18[[#This Row],[company_id]], Tabelle5[[#This Row],[value_id]], Tabelle18[[#This Row],[value_id]], Tabelle5[[#This Row],[value_present]],"1")</f>
        <v>0</v>
      </c>
    </row>
    <row r="664" spans="1:5" x14ac:dyDescent="0.25">
      <c r="A664">
        <v>37</v>
      </c>
      <c r="B664" t="s">
        <v>154</v>
      </c>
      <c r="C664" s="54">
        <f>IF(Tabelle18[[#This Row],[binding_level_company]]&gt;=1,1,0)</f>
        <v>0</v>
      </c>
      <c r="D664" s="54">
        <f>_xlfn.MAXIFS(Tabelle5[[#This Row],[binding_level]], Tabelle5[[#This Row],[company_id]],Tabelle18[[#This Row],[company_id]], Tabelle5[[#This Row],[value_id]], Tabelle18[[#This Row],[value_id]], Tabelle5[[#This Row],[value_present]],"1")</f>
        <v>0</v>
      </c>
      <c r="E664" s="54">
        <f>_xlfn.MAXIFS(Tabelle5[[#This Row],[value_points]], Tabelle5[[#This Row],[company_id]],Tabelle18[[#This Row],[company_id]], Tabelle5[[#This Row],[value_id]], Tabelle18[[#This Row],[value_id]], Tabelle5[[#This Row],[value_present]],"1")</f>
        <v>0</v>
      </c>
    </row>
    <row r="665" spans="1:5" x14ac:dyDescent="0.25">
      <c r="A665">
        <v>37</v>
      </c>
      <c r="B665" t="s">
        <v>161</v>
      </c>
      <c r="C665" s="54">
        <f>IF(Tabelle18[[#This Row],[binding_level_company]]&gt;=1,1,0)</f>
        <v>0</v>
      </c>
      <c r="D665" s="54">
        <f>_xlfn.MAXIFS(Tabelle5[[#This Row],[binding_level]], Tabelle5[[#This Row],[company_id]],Tabelle18[[#This Row],[company_id]], Tabelle5[[#This Row],[value_id]], Tabelle18[[#This Row],[value_id]], Tabelle5[[#This Row],[value_present]],"1")</f>
        <v>0</v>
      </c>
      <c r="E665" s="54">
        <f>_xlfn.MAXIFS(Tabelle5[[#This Row],[value_points]], Tabelle5[[#This Row],[company_id]],Tabelle18[[#This Row],[company_id]], Tabelle5[[#This Row],[value_id]], Tabelle18[[#This Row],[value_id]], Tabelle5[[#This Row],[value_present]],"1")</f>
        <v>0</v>
      </c>
    </row>
    <row r="666" spans="1:5" x14ac:dyDescent="0.25">
      <c r="A666">
        <v>37</v>
      </c>
      <c r="B666" t="s">
        <v>166</v>
      </c>
      <c r="C666" s="54">
        <f>IF(Tabelle18[[#This Row],[binding_level_company]]&gt;=1,1,0)</f>
        <v>0</v>
      </c>
      <c r="D666" s="54">
        <f>_xlfn.MAXIFS(Tabelle5[[#This Row],[binding_level]], Tabelle5[[#This Row],[company_id]],Tabelle18[[#This Row],[company_id]], Tabelle5[[#This Row],[value_id]], Tabelle18[[#This Row],[value_id]], Tabelle5[[#This Row],[value_present]],"1")</f>
        <v>0</v>
      </c>
      <c r="E666" s="54">
        <f>_xlfn.MAXIFS(Tabelle5[[#This Row],[value_points]], Tabelle5[[#This Row],[company_id]],Tabelle18[[#This Row],[company_id]], Tabelle5[[#This Row],[value_id]], Tabelle18[[#This Row],[value_id]], Tabelle5[[#This Row],[value_present]],"1")</f>
        <v>0</v>
      </c>
    </row>
    <row r="667" spans="1:5" ht="15.75" thickBot="1" x14ac:dyDescent="0.3">
      <c r="A667">
        <v>37</v>
      </c>
      <c r="B667" s="30" t="s">
        <v>174</v>
      </c>
      <c r="C667" s="54">
        <f>IF(Tabelle18[[#This Row],[binding_level_company]]&gt;=1,1,0)</f>
        <v>0</v>
      </c>
      <c r="D667" s="54">
        <f>_xlfn.MAXIFS(Tabelle5[[#This Row],[binding_level]], Tabelle5[[#This Row],[company_id]],Tabelle18[[#This Row],[company_id]], Tabelle5[[#This Row],[value_id]], Tabelle18[[#This Row],[value_id]], Tabelle5[[#This Row],[value_present]],"1")</f>
        <v>0</v>
      </c>
      <c r="E667" s="54">
        <f>_xlfn.MAXIFS(Tabelle5[[#This Row],[value_points]], Tabelle5[[#This Row],[company_id]],Tabelle18[[#This Row],[company_id]], Tabelle5[[#This Row],[value_id]], Tabelle18[[#This Row],[value_id]], Tabelle5[[#This Row],[value_present]],"1")</f>
        <v>0</v>
      </c>
    </row>
    <row r="668" spans="1:5" x14ac:dyDescent="0.25">
      <c r="A668">
        <v>38</v>
      </c>
      <c r="B668" s="22" t="s">
        <v>53</v>
      </c>
      <c r="C668" s="54">
        <f>IF(Tabelle18[[#This Row],[binding_level_company]]&gt;=1,1,0)</f>
        <v>0</v>
      </c>
      <c r="D668" s="54">
        <f>_xlfn.MAXIFS(Tabelle5[[#This Row],[binding_level]], Tabelle5[[#This Row],[company_id]],Tabelle18[[#This Row],[company_id]], Tabelle5[[#This Row],[value_id]], Tabelle18[[#This Row],[value_id]], Tabelle5[[#This Row],[value_present]],"1")</f>
        <v>0</v>
      </c>
      <c r="E668" s="54">
        <f>_xlfn.MAXIFS(Tabelle5[[#This Row],[value_points]], Tabelle5[[#This Row],[company_id]],Tabelle18[[#This Row],[company_id]], Tabelle5[[#This Row],[value_id]], Tabelle18[[#This Row],[value_id]], Tabelle5[[#This Row],[value_present]],"1")</f>
        <v>0</v>
      </c>
    </row>
    <row r="669" spans="1:5" x14ac:dyDescent="0.25">
      <c r="A669">
        <v>38</v>
      </c>
      <c r="B669" t="s">
        <v>61</v>
      </c>
      <c r="C669" s="54">
        <f>IF(Tabelle18[[#This Row],[binding_level_company]]&gt;=1,1,0)</f>
        <v>0</v>
      </c>
      <c r="D669" s="54">
        <f>_xlfn.MAXIFS(Tabelle5[[#This Row],[binding_level]], Tabelle5[[#This Row],[company_id]],Tabelle18[[#This Row],[company_id]], Tabelle5[[#This Row],[value_id]], Tabelle18[[#This Row],[value_id]], Tabelle5[[#This Row],[value_present]],"1")</f>
        <v>0</v>
      </c>
      <c r="E669" s="54">
        <f>_xlfn.MAXIFS(Tabelle5[[#This Row],[value_points]], Tabelle5[[#This Row],[company_id]],Tabelle18[[#This Row],[company_id]], Tabelle5[[#This Row],[value_id]], Tabelle18[[#This Row],[value_id]], Tabelle5[[#This Row],[value_present]],"1")</f>
        <v>0</v>
      </c>
    </row>
    <row r="670" spans="1:5" x14ac:dyDescent="0.25">
      <c r="A670">
        <v>38</v>
      </c>
      <c r="B670" t="s">
        <v>69</v>
      </c>
      <c r="C670" s="54">
        <f>IF(Tabelle18[[#This Row],[binding_level_company]]&gt;=1,1,0)</f>
        <v>0</v>
      </c>
      <c r="D670" s="54">
        <f>_xlfn.MAXIFS(Tabelle5[[#This Row],[binding_level]], Tabelle5[[#This Row],[company_id]],Tabelle18[[#This Row],[company_id]], Tabelle5[[#This Row],[value_id]], Tabelle18[[#This Row],[value_id]], Tabelle5[[#This Row],[value_present]],"1")</f>
        <v>0</v>
      </c>
      <c r="E670" s="54">
        <f>_xlfn.MAXIFS(Tabelle5[[#This Row],[value_points]], Tabelle5[[#This Row],[company_id]],Tabelle18[[#This Row],[company_id]], Tabelle5[[#This Row],[value_id]], Tabelle18[[#This Row],[value_id]], Tabelle5[[#This Row],[value_present]],"1")</f>
        <v>0</v>
      </c>
    </row>
    <row r="671" spans="1:5" x14ac:dyDescent="0.25">
      <c r="A671">
        <v>38</v>
      </c>
      <c r="B671" t="s">
        <v>76</v>
      </c>
      <c r="C671" s="54">
        <f>IF(Tabelle18[[#This Row],[binding_level_company]]&gt;=1,1,0)</f>
        <v>0</v>
      </c>
      <c r="D671" s="54">
        <f>_xlfn.MAXIFS(Tabelle5[[#This Row],[binding_level]], Tabelle5[[#This Row],[company_id]],Tabelle18[[#This Row],[company_id]], Tabelle5[[#This Row],[value_id]], Tabelle18[[#This Row],[value_id]], Tabelle5[[#This Row],[value_present]],"1")</f>
        <v>0</v>
      </c>
      <c r="E671" s="54">
        <f>_xlfn.MAXIFS(Tabelle5[[#This Row],[value_points]], Tabelle5[[#This Row],[company_id]],Tabelle18[[#This Row],[company_id]], Tabelle5[[#This Row],[value_id]], Tabelle18[[#This Row],[value_id]], Tabelle5[[#This Row],[value_present]],"1")</f>
        <v>0</v>
      </c>
    </row>
    <row r="672" spans="1:5" x14ac:dyDescent="0.25">
      <c r="A672">
        <v>38</v>
      </c>
      <c r="B672" t="s">
        <v>83</v>
      </c>
      <c r="C672" s="54">
        <f>IF(Tabelle18[[#This Row],[binding_level_company]]&gt;=1,1,0)</f>
        <v>0</v>
      </c>
      <c r="D672" s="54">
        <f>_xlfn.MAXIFS(Tabelle5[[#This Row],[binding_level]], Tabelle5[[#This Row],[company_id]],Tabelle18[[#This Row],[company_id]], Tabelle5[[#This Row],[value_id]], Tabelle18[[#This Row],[value_id]], Tabelle5[[#This Row],[value_present]],"1")</f>
        <v>0</v>
      </c>
      <c r="E672" s="54">
        <f>_xlfn.MAXIFS(Tabelle5[[#This Row],[value_points]], Tabelle5[[#This Row],[company_id]],Tabelle18[[#This Row],[company_id]], Tabelle5[[#This Row],[value_id]], Tabelle18[[#This Row],[value_id]], Tabelle5[[#This Row],[value_present]],"1")</f>
        <v>0</v>
      </c>
    </row>
    <row r="673" spans="1:5" x14ac:dyDescent="0.25">
      <c r="A673">
        <v>38</v>
      </c>
      <c r="B673" t="s">
        <v>90</v>
      </c>
      <c r="C673" s="54">
        <f>IF(Tabelle18[[#This Row],[binding_level_company]]&gt;=1,1,0)</f>
        <v>0</v>
      </c>
      <c r="D673" s="54">
        <f>_xlfn.MAXIFS(Tabelle5[[#This Row],[binding_level]], Tabelle5[[#This Row],[company_id]],Tabelle18[[#This Row],[company_id]], Tabelle5[[#This Row],[value_id]], Tabelle18[[#This Row],[value_id]], Tabelle5[[#This Row],[value_present]],"1")</f>
        <v>0</v>
      </c>
      <c r="E673" s="54">
        <f>_xlfn.MAXIFS(Tabelle5[[#This Row],[value_points]], Tabelle5[[#This Row],[company_id]],Tabelle18[[#This Row],[company_id]], Tabelle5[[#This Row],[value_id]], Tabelle18[[#This Row],[value_id]], Tabelle5[[#This Row],[value_present]],"1")</f>
        <v>0</v>
      </c>
    </row>
    <row r="674" spans="1:5" x14ac:dyDescent="0.25">
      <c r="A674">
        <v>38</v>
      </c>
      <c r="B674" t="s">
        <v>98</v>
      </c>
      <c r="C674" s="54">
        <f>IF(Tabelle18[[#This Row],[binding_level_company]]&gt;=1,1,0)</f>
        <v>0</v>
      </c>
      <c r="D674" s="54">
        <f>_xlfn.MAXIFS(Tabelle5[[#This Row],[binding_level]], Tabelle5[[#This Row],[company_id]],Tabelle18[[#This Row],[company_id]], Tabelle5[[#This Row],[value_id]], Tabelle18[[#This Row],[value_id]], Tabelle5[[#This Row],[value_present]],"1")</f>
        <v>0</v>
      </c>
      <c r="E674" s="54">
        <f>_xlfn.MAXIFS(Tabelle5[[#This Row],[value_points]], Tabelle5[[#This Row],[company_id]],Tabelle18[[#This Row],[company_id]], Tabelle5[[#This Row],[value_id]], Tabelle18[[#This Row],[value_id]], Tabelle5[[#This Row],[value_present]],"1")</f>
        <v>0</v>
      </c>
    </row>
    <row r="675" spans="1:5" x14ac:dyDescent="0.25">
      <c r="A675">
        <v>38</v>
      </c>
      <c r="B675" t="s">
        <v>106</v>
      </c>
      <c r="C675" s="54">
        <f>IF(Tabelle18[[#This Row],[binding_level_company]]&gt;=1,1,0)</f>
        <v>0</v>
      </c>
      <c r="D675" s="54">
        <f>_xlfn.MAXIFS(Tabelle5[[#This Row],[binding_level]], Tabelle5[[#This Row],[company_id]],Tabelle18[[#This Row],[company_id]], Tabelle5[[#This Row],[value_id]], Tabelle18[[#This Row],[value_id]], Tabelle5[[#This Row],[value_present]],"1")</f>
        <v>0</v>
      </c>
      <c r="E675" s="54">
        <f>_xlfn.MAXIFS(Tabelle5[[#This Row],[value_points]], Tabelle5[[#This Row],[company_id]],Tabelle18[[#This Row],[company_id]], Tabelle5[[#This Row],[value_id]], Tabelle18[[#This Row],[value_id]], Tabelle5[[#This Row],[value_present]],"1")</f>
        <v>0</v>
      </c>
    </row>
    <row r="676" spans="1:5" x14ac:dyDescent="0.25">
      <c r="A676">
        <v>38</v>
      </c>
      <c r="B676" t="s">
        <v>112</v>
      </c>
      <c r="C676" s="54">
        <f>IF(Tabelle18[[#This Row],[binding_level_company]]&gt;=1,1,0)</f>
        <v>0</v>
      </c>
      <c r="D676" s="54">
        <f>_xlfn.MAXIFS(Tabelle5[[#This Row],[binding_level]], Tabelle5[[#This Row],[company_id]],Tabelle18[[#This Row],[company_id]], Tabelle5[[#This Row],[value_id]], Tabelle18[[#This Row],[value_id]], Tabelle5[[#This Row],[value_present]],"1")</f>
        <v>0</v>
      </c>
      <c r="E676" s="54">
        <f>_xlfn.MAXIFS(Tabelle5[[#This Row],[value_points]], Tabelle5[[#This Row],[company_id]],Tabelle18[[#This Row],[company_id]], Tabelle5[[#This Row],[value_id]], Tabelle18[[#This Row],[value_id]], Tabelle5[[#This Row],[value_present]],"1")</f>
        <v>0</v>
      </c>
    </row>
    <row r="677" spans="1:5" x14ac:dyDescent="0.25">
      <c r="A677">
        <v>38</v>
      </c>
      <c r="B677" t="s">
        <v>118</v>
      </c>
      <c r="C677" s="54">
        <f>IF(Tabelle18[[#This Row],[binding_level_company]]&gt;=1,1,0)</f>
        <v>0</v>
      </c>
      <c r="D677" s="54">
        <f>_xlfn.MAXIFS(Tabelle5[[#This Row],[binding_level]], Tabelle5[[#This Row],[company_id]],Tabelle18[[#This Row],[company_id]], Tabelle5[[#This Row],[value_id]], Tabelle18[[#This Row],[value_id]], Tabelle5[[#This Row],[value_present]],"1")</f>
        <v>0</v>
      </c>
      <c r="E677" s="54">
        <f>_xlfn.MAXIFS(Tabelle5[[#This Row],[value_points]], Tabelle5[[#This Row],[company_id]],Tabelle18[[#This Row],[company_id]], Tabelle5[[#This Row],[value_id]], Tabelle18[[#This Row],[value_id]], Tabelle5[[#This Row],[value_present]],"1")</f>
        <v>0</v>
      </c>
    </row>
    <row r="678" spans="1:5" x14ac:dyDescent="0.25">
      <c r="A678">
        <v>38</v>
      </c>
      <c r="B678" t="s">
        <v>125</v>
      </c>
      <c r="C678" s="54">
        <f>IF(Tabelle18[[#This Row],[binding_level_company]]&gt;=1,1,0)</f>
        <v>0</v>
      </c>
      <c r="D678" s="54">
        <f>_xlfn.MAXIFS(Tabelle5[[#This Row],[binding_level]], Tabelle5[[#This Row],[company_id]],Tabelle18[[#This Row],[company_id]], Tabelle5[[#This Row],[value_id]], Tabelle18[[#This Row],[value_id]], Tabelle5[[#This Row],[value_present]],"1")</f>
        <v>0</v>
      </c>
      <c r="E678" s="54">
        <f>_xlfn.MAXIFS(Tabelle5[[#This Row],[value_points]], Tabelle5[[#This Row],[company_id]],Tabelle18[[#This Row],[company_id]], Tabelle5[[#This Row],[value_id]], Tabelle18[[#This Row],[value_id]], Tabelle5[[#This Row],[value_present]],"1")</f>
        <v>0</v>
      </c>
    </row>
    <row r="679" spans="1:5" x14ac:dyDescent="0.25">
      <c r="A679">
        <v>38</v>
      </c>
      <c r="B679" t="s">
        <v>132</v>
      </c>
      <c r="C679" s="54">
        <f>IF(Tabelle18[[#This Row],[binding_level_company]]&gt;=1,1,0)</f>
        <v>0</v>
      </c>
      <c r="D679" s="54">
        <f>_xlfn.MAXIFS(Tabelle5[[#This Row],[binding_level]], Tabelle5[[#This Row],[company_id]],Tabelle18[[#This Row],[company_id]], Tabelle5[[#This Row],[value_id]], Tabelle18[[#This Row],[value_id]], Tabelle5[[#This Row],[value_present]],"1")</f>
        <v>0</v>
      </c>
      <c r="E679" s="54">
        <f>_xlfn.MAXIFS(Tabelle5[[#This Row],[value_points]], Tabelle5[[#This Row],[company_id]],Tabelle18[[#This Row],[company_id]], Tabelle5[[#This Row],[value_id]], Tabelle18[[#This Row],[value_id]], Tabelle5[[#This Row],[value_present]],"1")</f>
        <v>0</v>
      </c>
    </row>
    <row r="680" spans="1:5" x14ac:dyDescent="0.25">
      <c r="A680">
        <v>38</v>
      </c>
      <c r="B680" t="s">
        <v>140</v>
      </c>
      <c r="C680" s="54">
        <f>IF(Tabelle18[[#This Row],[binding_level_company]]&gt;=1,1,0)</f>
        <v>0</v>
      </c>
      <c r="D680" s="54">
        <f>_xlfn.MAXIFS(Tabelle5[[#This Row],[binding_level]], Tabelle5[[#This Row],[company_id]],Tabelle18[[#This Row],[company_id]], Tabelle5[[#This Row],[value_id]], Tabelle18[[#This Row],[value_id]], Tabelle5[[#This Row],[value_present]],"1")</f>
        <v>0</v>
      </c>
      <c r="E680" s="54">
        <f>_xlfn.MAXIFS(Tabelle5[[#This Row],[value_points]], Tabelle5[[#This Row],[company_id]],Tabelle18[[#This Row],[company_id]], Tabelle5[[#This Row],[value_id]], Tabelle18[[#This Row],[value_id]], Tabelle5[[#This Row],[value_present]],"1")</f>
        <v>0</v>
      </c>
    </row>
    <row r="681" spans="1:5" x14ac:dyDescent="0.25">
      <c r="A681">
        <v>38</v>
      </c>
      <c r="B681" t="s">
        <v>147</v>
      </c>
      <c r="C681" s="54">
        <f>IF(Tabelle18[[#This Row],[binding_level_company]]&gt;=1,1,0)</f>
        <v>0</v>
      </c>
      <c r="D681" s="54">
        <f>_xlfn.MAXIFS(Tabelle5[[#This Row],[binding_level]], Tabelle5[[#This Row],[company_id]],Tabelle18[[#This Row],[company_id]], Tabelle5[[#This Row],[value_id]], Tabelle18[[#This Row],[value_id]], Tabelle5[[#This Row],[value_present]],"1")</f>
        <v>0</v>
      </c>
      <c r="E681" s="54">
        <f>_xlfn.MAXIFS(Tabelle5[[#This Row],[value_points]], Tabelle5[[#This Row],[company_id]],Tabelle18[[#This Row],[company_id]], Tabelle5[[#This Row],[value_id]], Tabelle18[[#This Row],[value_id]], Tabelle5[[#This Row],[value_present]],"1")</f>
        <v>0</v>
      </c>
    </row>
    <row r="682" spans="1:5" x14ac:dyDescent="0.25">
      <c r="A682">
        <v>38</v>
      </c>
      <c r="B682" t="s">
        <v>154</v>
      </c>
      <c r="C682" s="54">
        <f>IF(Tabelle18[[#This Row],[binding_level_company]]&gt;=1,1,0)</f>
        <v>0</v>
      </c>
      <c r="D682" s="54">
        <f>_xlfn.MAXIFS(Tabelle5[[#This Row],[binding_level]], Tabelle5[[#This Row],[company_id]],Tabelle18[[#This Row],[company_id]], Tabelle5[[#This Row],[value_id]], Tabelle18[[#This Row],[value_id]], Tabelle5[[#This Row],[value_present]],"1")</f>
        <v>0</v>
      </c>
      <c r="E682" s="54">
        <f>_xlfn.MAXIFS(Tabelle5[[#This Row],[value_points]], Tabelle5[[#This Row],[company_id]],Tabelle18[[#This Row],[company_id]], Tabelle5[[#This Row],[value_id]], Tabelle18[[#This Row],[value_id]], Tabelle5[[#This Row],[value_present]],"1")</f>
        <v>0</v>
      </c>
    </row>
    <row r="683" spans="1:5" x14ac:dyDescent="0.25">
      <c r="A683">
        <v>38</v>
      </c>
      <c r="B683" t="s">
        <v>161</v>
      </c>
      <c r="C683" s="54">
        <f>IF(Tabelle18[[#This Row],[binding_level_company]]&gt;=1,1,0)</f>
        <v>0</v>
      </c>
      <c r="D683" s="54">
        <f>_xlfn.MAXIFS(Tabelle5[[#This Row],[binding_level]], Tabelle5[[#This Row],[company_id]],Tabelle18[[#This Row],[company_id]], Tabelle5[[#This Row],[value_id]], Tabelle18[[#This Row],[value_id]], Tabelle5[[#This Row],[value_present]],"1")</f>
        <v>0</v>
      </c>
      <c r="E683" s="54">
        <f>_xlfn.MAXIFS(Tabelle5[[#This Row],[value_points]], Tabelle5[[#This Row],[company_id]],Tabelle18[[#This Row],[company_id]], Tabelle5[[#This Row],[value_id]], Tabelle18[[#This Row],[value_id]], Tabelle5[[#This Row],[value_present]],"1")</f>
        <v>0</v>
      </c>
    </row>
    <row r="684" spans="1:5" x14ac:dyDescent="0.25">
      <c r="A684">
        <v>38</v>
      </c>
      <c r="B684" t="s">
        <v>166</v>
      </c>
      <c r="C684" s="54">
        <f>IF(Tabelle18[[#This Row],[binding_level_company]]&gt;=1,1,0)</f>
        <v>0</v>
      </c>
      <c r="D684" s="54">
        <f>_xlfn.MAXIFS(Tabelle5[[#This Row],[binding_level]], Tabelle5[[#This Row],[company_id]],Tabelle18[[#This Row],[company_id]], Tabelle5[[#This Row],[value_id]], Tabelle18[[#This Row],[value_id]], Tabelle5[[#This Row],[value_present]],"1")</f>
        <v>0</v>
      </c>
      <c r="E684" s="54">
        <f>_xlfn.MAXIFS(Tabelle5[[#This Row],[value_points]], Tabelle5[[#This Row],[company_id]],Tabelle18[[#This Row],[company_id]], Tabelle5[[#This Row],[value_id]], Tabelle18[[#This Row],[value_id]], Tabelle5[[#This Row],[value_present]],"1")</f>
        <v>0</v>
      </c>
    </row>
    <row r="685" spans="1:5" ht="15.75" thickBot="1" x14ac:dyDescent="0.3">
      <c r="A685">
        <v>38</v>
      </c>
      <c r="B685" s="30" t="s">
        <v>174</v>
      </c>
      <c r="C685" s="54">
        <f>IF(Tabelle18[[#This Row],[binding_level_company]]&gt;=1,1,0)</f>
        <v>0</v>
      </c>
      <c r="D685" s="54">
        <f>_xlfn.MAXIFS(Tabelle5[[#This Row],[binding_level]], Tabelle5[[#This Row],[company_id]],Tabelle18[[#This Row],[company_id]], Tabelle5[[#This Row],[value_id]], Tabelle18[[#This Row],[value_id]], Tabelle5[[#This Row],[value_present]],"1")</f>
        <v>0</v>
      </c>
      <c r="E685" s="54">
        <f>_xlfn.MAXIFS(Tabelle5[[#This Row],[value_points]], Tabelle5[[#This Row],[company_id]],Tabelle18[[#This Row],[company_id]], Tabelle5[[#This Row],[value_id]], Tabelle18[[#This Row],[value_id]], Tabelle5[[#This Row],[value_present]],"1")</f>
        <v>0</v>
      </c>
    </row>
    <row r="686" spans="1:5" x14ac:dyDescent="0.25">
      <c r="A686">
        <v>39</v>
      </c>
      <c r="B686" s="22" t="s">
        <v>53</v>
      </c>
      <c r="C686" s="54">
        <f>IF(Tabelle18[[#This Row],[binding_level_company]]&gt;=1,1,0)</f>
        <v>0</v>
      </c>
      <c r="D686" s="54">
        <f>_xlfn.MAXIFS(Tabelle5[[#This Row],[binding_level]], Tabelle5[[#This Row],[company_id]],Tabelle18[[#This Row],[company_id]], Tabelle5[[#This Row],[value_id]], Tabelle18[[#This Row],[value_id]], Tabelle5[[#This Row],[value_present]],"1")</f>
        <v>0</v>
      </c>
      <c r="E686" s="54">
        <f>_xlfn.MAXIFS(Tabelle5[[#This Row],[value_points]], Tabelle5[[#This Row],[company_id]],Tabelle18[[#This Row],[company_id]], Tabelle5[[#This Row],[value_id]], Tabelle18[[#This Row],[value_id]], Tabelle5[[#This Row],[value_present]],"1")</f>
        <v>0</v>
      </c>
    </row>
    <row r="687" spans="1:5" x14ac:dyDescent="0.25">
      <c r="A687">
        <v>39</v>
      </c>
      <c r="B687" t="s">
        <v>61</v>
      </c>
      <c r="C687" s="54">
        <f>IF(Tabelle18[[#This Row],[binding_level_company]]&gt;=1,1,0)</f>
        <v>0</v>
      </c>
      <c r="D687" s="54">
        <f>_xlfn.MAXIFS(Tabelle5[[#This Row],[binding_level]], Tabelle5[[#This Row],[company_id]],Tabelle18[[#This Row],[company_id]], Tabelle5[[#This Row],[value_id]], Tabelle18[[#This Row],[value_id]], Tabelle5[[#This Row],[value_present]],"1")</f>
        <v>0</v>
      </c>
      <c r="E687" s="54">
        <f>_xlfn.MAXIFS(Tabelle5[[#This Row],[value_points]], Tabelle5[[#This Row],[company_id]],Tabelle18[[#This Row],[company_id]], Tabelle5[[#This Row],[value_id]], Tabelle18[[#This Row],[value_id]], Tabelle5[[#This Row],[value_present]],"1")</f>
        <v>0</v>
      </c>
    </row>
    <row r="688" spans="1:5" x14ac:dyDescent="0.25">
      <c r="A688">
        <v>39</v>
      </c>
      <c r="B688" t="s">
        <v>69</v>
      </c>
      <c r="C688" s="54">
        <f>IF(Tabelle18[[#This Row],[binding_level_company]]&gt;=1,1,0)</f>
        <v>0</v>
      </c>
      <c r="D688" s="54">
        <f>_xlfn.MAXIFS(Tabelle5[[#This Row],[binding_level]], Tabelle5[[#This Row],[company_id]],Tabelle18[[#This Row],[company_id]], Tabelle5[[#This Row],[value_id]], Tabelle18[[#This Row],[value_id]], Tabelle5[[#This Row],[value_present]],"1")</f>
        <v>0</v>
      </c>
      <c r="E688" s="54">
        <f>_xlfn.MAXIFS(Tabelle5[[#This Row],[value_points]], Tabelle5[[#This Row],[company_id]],Tabelle18[[#This Row],[company_id]], Tabelle5[[#This Row],[value_id]], Tabelle18[[#This Row],[value_id]], Tabelle5[[#This Row],[value_present]],"1")</f>
        <v>0</v>
      </c>
    </row>
    <row r="689" spans="1:5" x14ac:dyDescent="0.25">
      <c r="A689">
        <v>39</v>
      </c>
      <c r="B689" t="s">
        <v>76</v>
      </c>
      <c r="C689" s="54">
        <f>IF(Tabelle18[[#This Row],[binding_level_company]]&gt;=1,1,0)</f>
        <v>0</v>
      </c>
      <c r="D689" s="54">
        <f>_xlfn.MAXIFS(Tabelle5[[#This Row],[binding_level]], Tabelle5[[#This Row],[company_id]],Tabelle18[[#This Row],[company_id]], Tabelle5[[#This Row],[value_id]], Tabelle18[[#This Row],[value_id]], Tabelle5[[#This Row],[value_present]],"1")</f>
        <v>0</v>
      </c>
      <c r="E689" s="54">
        <f>_xlfn.MAXIFS(Tabelle5[[#This Row],[value_points]], Tabelle5[[#This Row],[company_id]],Tabelle18[[#This Row],[company_id]], Tabelle5[[#This Row],[value_id]], Tabelle18[[#This Row],[value_id]], Tabelle5[[#This Row],[value_present]],"1")</f>
        <v>0</v>
      </c>
    </row>
    <row r="690" spans="1:5" x14ac:dyDescent="0.25">
      <c r="A690">
        <v>39</v>
      </c>
      <c r="B690" t="s">
        <v>83</v>
      </c>
      <c r="C690" s="54">
        <f>IF(Tabelle18[[#This Row],[binding_level_company]]&gt;=1,1,0)</f>
        <v>0</v>
      </c>
      <c r="D690" s="54">
        <f>_xlfn.MAXIFS(Tabelle5[[#This Row],[binding_level]], Tabelle5[[#This Row],[company_id]],Tabelle18[[#This Row],[company_id]], Tabelle5[[#This Row],[value_id]], Tabelle18[[#This Row],[value_id]], Tabelle5[[#This Row],[value_present]],"1")</f>
        <v>0</v>
      </c>
      <c r="E690" s="54">
        <f>_xlfn.MAXIFS(Tabelle5[[#This Row],[value_points]], Tabelle5[[#This Row],[company_id]],Tabelle18[[#This Row],[company_id]], Tabelle5[[#This Row],[value_id]], Tabelle18[[#This Row],[value_id]], Tabelle5[[#This Row],[value_present]],"1")</f>
        <v>0</v>
      </c>
    </row>
    <row r="691" spans="1:5" x14ac:dyDescent="0.25">
      <c r="A691">
        <v>39</v>
      </c>
      <c r="B691" t="s">
        <v>90</v>
      </c>
      <c r="C691" s="54">
        <f>IF(Tabelle18[[#This Row],[binding_level_company]]&gt;=1,1,0)</f>
        <v>0</v>
      </c>
      <c r="D691" s="54">
        <f>_xlfn.MAXIFS(Tabelle5[[#This Row],[binding_level]], Tabelle5[[#This Row],[company_id]],Tabelle18[[#This Row],[company_id]], Tabelle5[[#This Row],[value_id]], Tabelle18[[#This Row],[value_id]], Tabelle5[[#This Row],[value_present]],"1")</f>
        <v>0</v>
      </c>
      <c r="E691" s="54">
        <f>_xlfn.MAXIFS(Tabelle5[[#This Row],[value_points]], Tabelle5[[#This Row],[company_id]],Tabelle18[[#This Row],[company_id]], Tabelle5[[#This Row],[value_id]], Tabelle18[[#This Row],[value_id]], Tabelle5[[#This Row],[value_present]],"1")</f>
        <v>0</v>
      </c>
    </row>
    <row r="692" spans="1:5" x14ac:dyDescent="0.25">
      <c r="A692">
        <v>39</v>
      </c>
      <c r="B692" t="s">
        <v>98</v>
      </c>
      <c r="C692" s="54">
        <f>IF(Tabelle18[[#This Row],[binding_level_company]]&gt;=1,1,0)</f>
        <v>0</v>
      </c>
      <c r="D692" s="54">
        <f>_xlfn.MAXIFS(Tabelle5[[#This Row],[binding_level]], Tabelle5[[#This Row],[company_id]],Tabelle18[[#This Row],[company_id]], Tabelle5[[#This Row],[value_id]], Tabelle18[[#This Row],[value_id]], Tabelle5[[#This Row],[value_present]],"1")</f>
        <v>0</v>
      </c>
      <c r="E692" s="54">
        <f>_xlfn.MAXIFS(Tabelle5[[#This Row],[value_points]], Tabelle5[[#This Row],[company_id]],Tabelle18[[#This Row],[company_id]], Tabelle5[[#This Row],[value_id]], Tabelle18[[#This Row],[value_id]], Tabelle5[[#This Row],[value_present]],"1")</f>
        <v>0</v>
      </c>
    </row>
    <row r="693" spans="1:5" x14ac:dyDescent="0.25">
      <c r="A693">
        <v>39</v>
      </c>
      <c r="B693" t="s">
        <v>106</v>
      </c>
      <c r="C693" s="54">
        <f>IF(Tabelle18[[#This Row],[binding_level_company]]&gt;=1,1,0)</f>
        <v>0</v>
      </c>
      <c r="D693" s="54">
        <f>_xlfn.MAXIFS(Tabelle5[[#This Row],[binding_level]], Tabelle5[[#This Row],[company_id]],Tabelle18[[#This Row],[company_id]], Tabelle5[[#This Row],[value_id]], Tabelle18[[#This Row],[value_id]], Tabelle5[[#This Row],[value_present]],"1")</f>
        <v>0</v>
      </c>
      <c r="E693" s="54">
        <f>_xlfn.MAXIFS(Tabelle5[[#This Row],[value_points]], Tabelle5[[#This Row],[company_id]],Tabelle18[[#This Row],[company_id]], Tabelle5[[#This Row],[value_id]], Tabelle18[[#This Row],[value_id]], Tabelle5[[#This Row],[value_present]],"1")</f>
        <v>0</v>
      </c>
    </row>
    <row r="694" spans="1:5" x14ac:dyDescent="0.25">
      <c r="A694">
        <v>39</v>
      </c>
      <c r="B694" t="s">
        <v>112</v>
      </c>
      <c r="C694" s="54">
        <f>IF(Tabelle18[[#This Row],[binding_level_company]]&gt;=1,1,0)</f>
        <v>0</v>
      </c>
      <c r="D694" s="54">
        <f>_xlfn.MAXIFS(Tabelle5[[#This Row],[binding_level]], Tabelle5[[#This Row],[company_id]],Tabelle18[[#This Row],[company_id]], Tabelle5[[#This Row],[value_id]], Tabelle18[[#This Row],[value_id]], Tabelle5[[#This Row],[value_present]],"1")</f>
        <v>0</v>
      </c>
      <c r="E694" s="54">
        <f>_xlfn.MAXIFS(Tabelle5[[#This Row],[value_points]], Tabelle5[[#This Row],[company_id]],Tabelle18[[#This Row],[company_id]], Tabelle5[[#This Row],[value_id]], Tabelle18[[#This Row],[value_id]], Tabelle5[[#This Row],[value_present]],"1")</f>
        <v>0</v>
      </c>
    </row>
    <row r="695" spans="1:5" x14ac:dyDescent="0.25">
      <c r="A695">
        <v>39</v>
      </c>
      <c r="B695" t="s">
        <v>118</v>
      </c>
      <c r="C695" s="54">
        <f>IF(Tabelle18[[#This Row],[binding_level_company]]&gt;=1,1,0)</f>
        <v>0</v>
      </c>
      <c r="D695" s="54">
        <f>_xlfn.MAXIFS(Tabelle5[[#This Row],[binding_level]], Tabelle5[[#This Row],[company_id]],Tabelle18[[#This Row],[company_id]], Tabelle5[[#This Row],[value_id]], Tabelle18[[#This Row],[value_id]], Tabelle5[[#This Row],[value_present]],"1")</f>
        <v>0</v>
      </c>
      <c r="E695" s="54">
        <f>_xlfn.MAXIFS(Tabelle5[[#This Row],[value_points]], Tabelle5[[#This Row],[company_id]],Tabelle18[[#This Row],[company_id]], Tabelle5[[#This Row],[value_id]], Tabelle18[[#This Row],[value_id]], Tabelle5[[#This Row],[value_present]],"1")</f>
        <v>0</v>
      </c>
    </row>
    <row r="696" spans="1:5" x14ac:dyDescent="0.25">
      <c r="A696">
        <v>39</v>
      </c>
      <c r="B696" t="s">
        <v>125</v>
      </c>
      <c r="C696" s="54">
        <f>IF(Tabelle18[[#This Row],[binding_level_company]]&gt;=1,1,0)</f>
        <v>0</v>
      </c>
      <c r="D696" s="54">
        <f>_xlfn.MAXIFS(Tabelle5[[#This Row],[binding_level]], Tabelle5[[#This Row],[company_id]],Tabelle18[[#This Row],[company_id]], Tabelle5[[#This Row],[value_id]], Tabelle18[[#This Row],[value_id]], Tabelle5[[#This Row],[value_present]],"1")</f>
        <v>0</v>
      </c>
      <c r="E696" s="54">
        <f>_xlfn.MAXIFS(Tabelle5[[#This Row],[value_points]], Tabelle5[[#This Row],[company_id]],Tabelle18[[#This Row],[company_id]], Tabelle5[[#This Row],[value_id]], Tabelle18[[#This Row],[value_id]], Tabelle5[[#This Row],[value_present]],"1")</f>
        <v>0</v>
      </c>
    </row>
    <row r="697" spans="1:5" x14ac:dyDescent="0.25">
      <c r="A697">
        <v>39</v>
      </c>
      <c r="B697" t="s">
        <v>132</v>
      </c>
      <c r="C697" s="54">
        <f>IF(Tabelle18[[#This Row],[binding_level_company]]&gt;=1,1,0)</f>
        <v>0</v>
      </c>
      <c r="D697" s="54">
        <f>_xlfn.MAXIFS(Tabelle5[[#This Row],[binding_level]], Tabelle5[[#This Row],[company_id]],Tabelle18[[#This Row],[company_id]], Tabelle5[[#This Row],[value_id]], Tabelle18[[#This Row],[value_id]], Tabelle5[[#This Row],[value_present]],"1")</f>
        <v>0</v>
      </c>
      <c r="E697" s="54">
        <f>_xlfn.MAXIFS(Tabelle5[[#This Row],[value_points]], Tabelle5[[#This Row],[company_id]],Tabelle18[[#This Row],[company_id]], Tabelle5[[#This Row],[value_id]], Tabelle18[[#This Row],[value_id]], Tabelle5[[#This Row],[value_present]],"1")</f>
        <v>0</v>
      </c>
    </row>
    <row r="698" spans="1:5" x14ac:dyDescent="0.25">
      <c r="A698">
        <v>39</v>
      </c>
      <c r="B698" t="s">
        <v>140</v>
      </c>
      <c r="C698" s="54">
        <f>IF(Tabelle18[[#This Row],[binding_level_company]]&gt;=1,1,0)</f>
        <v>0</v>
      </c>
      <c r="D698" s="54">
        <f>_xlfn.MAXIFS(Tabelle5[[#This Row],[binding_level]], Tabelle5[[#This Row],[company_id]],Tabelle18[[#This Row],[company_id]], Tabelle5[[#This Row],[value_id]], Tabelle18[[#This Row],[value_id]], Tabelle5[[#This Row],[value_present]],"1")</f>
        <v>0</v>
      </c>
      <c r="E698" s="54">
        <f>_xlfn.MAXIFS(Tabelle5[[#This Row],[value_points]], Tabelle5[[#This Row],[company_id]],Tabelle18[[#This Row],[company_id]], Tabelle5[[#This Row],[value_id]], Tabelle18[[#This Row],[value_id]], Tabelle5[[#This Row],[value_present]],"1")</f>
        <v>0</v>
      </c>
    </row>
    <row r="699" spans="1:5" x14ac:dyDescent="0.25">
      <c r="A699">
        <v>39</v>
      </c>
      <c r="B699" t="s">
        <v>147</v>
      </c>
      <c r="C699" s="54">
        <f>IF(Tabelle18[[#This Row],[binding_level_company]]&gt;=1,1,0)</f>
        <v>0</v>
      </c>
      <c r="D699" s="54">
        <f>_xlfn.MAXIFS(Tabelle5[[#This Row],[binding_level]], Tabelle5[[#This Row],[company_id]],Tabelle18[[#This Row],[company_id]], Tabelle5[[#This Row],[value_id]], Tabelle18[[#This Row],[value_id]], Tabelle5[[#This Row],[value_present]],"1")</f>
        <v>0</v>
      </c>
      <c r="E699" s="54">
        <f>_xlfn.MAXIFS(Tabelle5[[#This Row],[value_points]], Tabelle5[[#This Row],[company_id]],Tabelle18[[#This Row],[company_id]], Tabelle5[[#This Row],[value_id]], Tabelle18[[#This Row],[value_id]], Tabelle5[[#This Row],[value_present]],"1")</f>
        <v>0</v>
      </c>
    </row>
    <row r="700" spans="1:5" x14ac:dyDescent="0.25">
      <c r="A700">
        <v>39</v>
      </c>
      <c r="B700" t="s">
        <v>154</v>
      </c>
      <c r="C700" s="54">
        <f>IF(Tabelle18[[#This Row],[binding_level_company]]&gt;=1,1,0)</f>
        <v>0</v>
      </c>
      <c r="D700" s="54">
        <f>_xlfn.MAXIFS(Tabelle5[[#This Row],[binding_level]], Tabelle5[[#This Row],[company_id]],Tabelle18[[#This Row],[company_id]], Tabelle5[[#This Row],[value_id]], Tabelle18[[#This Row],[value_id]], Tabelle5[[#This Row],[value_present]],"1")</f>
        <v>0</v>
      </c>
      <c r="E700" s="54">
        <f>_xlfn.MAXIFS(Tabelle5[[#This Row],[value_points]], Tabelle5[[#This Row],[company_id]],Tabelle18[[#This Row],[company_id]], Tabelle5[[#This Row],[value_id]], Tabelle18[[#This Row],[value_id]], Tabelle5[[#This Row],[value_present]],"1")</f>
        <v>0</v>
      </c>
    </row>
    <row r="701" spans="1:5" x14ac:dyDescent="0.25">
      <c r="A701">
        <v>39</v>
      </c>
      <c r="B701" t="s">
        <v>161</v>
      </c>
      <c r="C701" s="54">
        <f>IF(Tabelle18[[#This Row],[binding_level_company]]&gt;=1,1,0)</f>
        <v>0</v>
      </c>
      <c r="D701" s="54">
        <f>_xlfn.MAXIFS(Tabelle5[[#This Row],[binding_level]], Tabelle5[[#This Row],[company_id]],Tabelle18[[#This Row],[company_id]], Tabelle5[[#This Row],[value_id]], Tabelle18[[#This Row],[value_id]], Tabelle5[[#This Row],[value_present]],"1")</f>
        <v>0</v>
      </c>
      <c r="E701" s="54">
        <f>_xlfn.MAXIFS(Tabelle5[[#This Row],[value_points]], Tabelle5[[#This Row],[company_id]],Tabelle18[[#This Row],[company_id]], Tabelle5[[#This Row],[value_id]], Tabelle18[[#This Row],[value_id]], Tabelle5[[#This Row],[value_present]],"1")</f>
        <v>0</v>
      </c>
    </row>
    <row r="702" spans="1:5" x14ac:dyDescent="0.25">
      <c r="A702">
        <v>39</v>
      </c>
      <c r="B702" t="s">
        <v>166</v>
      </c>
      <c r="C702" s="54">
        <f>IF(Tabelle18[[#This Row],[binding_level_company]]&gt;=1,1,0)</f>
        <v>0</v>
      </c>
      <c r="D702" s="54">
        <f>_xlfn.MAXIFS(Tabelle5[[#This Row],[binding_level]], Tabelle5[[#This Row],[company_id]],Tabelle18[[#This Row],[company_id]], Tabelle5[[#This Row],[value_id]], Tabelle18[[#This Row],[value_id]], Tabelle5[[#This Row],[value_present]],"1")</f>
        <v>0</v>
      </c>
      <c r="E702" s="54">
        <f>_xlfn.MAXIFS(Tabelle5[[#This Row],[value_points]], Tabelle5[[#This Row],[company_id]],Tabelle18[[#This Row],[company_id]], Tabelle5[[#This Row],[value_id]], Tabelle18[[#This Row],[value_id]], Tabelle5[[#This Row],[value_present]],"1")</f>
        <v>0</v>
      </c>
    </row>
    <row r="703" spans="1:5" ht="15.75" thickBot="1" x14ac:dyDescent="0.3">
      <c r="A703">
        <v>39</v>
      </c>
      <c r="B703" s="30" t="s">
        <v>174</v>
      </c>
      <c r="C703" s="54">
        <f>IF(Tabelle18[[#This Row],[binding_level_company]]&gt;=1,1,0)</f>
        <v>0</v>
      </c>
      <c r="D703" s="54">
        <f>_xlfn.MAXIFS(Tabelle5[[#This Row],[binding_level]], Tabelle5[[#This Row],[company_id]],Tabelle18[[#This Row],[company_id]], Tabelle5[[#This Row],[value_id]], Tabelle18[[#This Row],[value_id]], Tabelle5[[#This Row],[value_present]],"1")</f>
        <v>0</v>
      </c>
      <c r="E703" s="54">
        <f>_xlfn.MAXIFS(Tabelle5[[#This Row],[value_points]], Tabelle5[[#This Row],[company_id]],Tabelle18[[#This Row],[company_id]], Tabelle5[[#This Row],[value_id]], Tabelle18[[#This Row],[value_id]], Tabelle5[[#This Row],[value_present]],"1")</f>
        <v>0</v>
      </c>
    </row>
    <row r="704" spans="1:5" x14ac:dyDescent="0.25">
      <c r="A704">
        <v>40</v>
      </c>
      <c r="B704" s="22" t="s">
        <v>53</v>
      </c>
      <c r="C704" s="54">
        <f>IF(Tabelle18[[#This Row],[binding_level_company]]&gt;=1,1,0)</f>
        <v>0</v>
      </c>
      <c r="D704" s="54">
        <f>_xlfn.MAXIFS(Tabelle5[[#This Row],[binding_level]], Tabelle5[[#This Row],[company_id]],Tabelle18[[#This Row],[company_id]], Tabelle5[[#This Row],[value_id]], Tabelle18[[#This Row],[value_id]], Tabelle5[[#This Row],[value_present]],"1")</f>
        <v>0</v>
      </c>
      <c r="E704" s="54">
        <f>_xlfn.MAXIFS(Tabelle5[[#This Row],[value_points]], Tabelle5[[#This Row],[company_id]],Tabelle18[[#This Row],[company_id]], Tabelle5[[#This Row],[value_id]], Tabelle18[[#This Row],[value_id]], Tabelle5[[#This Row],[value_present]],"1")</f>
        <v>0</v>
      </c>
    </row>
    <row r="705" spans="1:5" x14ac:dyDescent="0.25">
      <c r="A705">
        <v>40</v>
      </c>
      <c r="B705" t="s">
        <v>61</v>
      </c>
      <c r="C705" s="54">
        <f>IF(Tabelle18[[#This Row],[binding_level_company]]&gt;=1,1,0)</f>
        <v>0</v>
      </c>
      <c r="D705" s="54">
        <f>_xlfn.MAXIFS(Tabelle5[[#This Row],[binding_level]], Tabelle5[[#This Row],[company_id]],Tabelle18[[#This Row],[company_id]], Tabelle5[[#This Row],[value_id]], Tabelle18[[#This Row],[value_id]], Tabelle5[[#This Row],[value_present]],"1")</f>
        <v>0</v>
      </c>
      <c r="E705" s="54">
        <f>_xlfn.MAXIFS(Tabelle5[[#This Row],[value_points]], Tabelle5[[#This Row],[company_id]],Tabelle18[[#This Row],[company_id]], Tabelle5[[#This Row],[value_id]], Tabelle18[[#This Row],[value_id]], Tabelle5[[#This Row],[value_present]],"1")</f>
        <v>0</v>
      </c>
    </row>
    <row r="706" spans="1:5" x14ac:dyDescent="0.25">
      <c r="A706">
        <v>40</v>
      </c>
      <c r="B706" t="s">
        <v>69</v>
      </c>
      <c r="C706" s="54">
        <f>IF(Tabelle18[[#This Row],[binding_level_company]]&gt;=1,1,0)</f>
        <v>0</v>
      </c>
      <c r="D706" s="54">
        <f>_xlfn.MAXIFS(Tabelle5[[#This Row],[binding_level]], Tabelle5[[#This Row],[company_id]],Tabelle18[[#This Row],[company_id]], Tabelle5[[#This Row],[value_id]], Tabelle18[[#This Row],[value_id]], Tabelle5[[#This Row],[value_present]],"1")</f>
        <v>0</v>
      </c>
      <c r="E706" s="54">
        <f>_xlfn.MAXIFS(Tabelle5[[#This Row],[value_points]], Tabelle5[[#This Row],[company_id]],Tabelle18[[#This Row],[company_id]], Tabelle5[[#This Row],[value_id]], Tabelle18[[#This Row],[value_id]], Tabelle5[[#This Row],[value_present]],"1")</f>
        <v>0</v>
      </c>
    </row>
    <row r="707" spans="1:5" x14ac:dyDescent="0.25">
      <c r="A707">
        <v>40</v>
      </c>
      <c r="B707" t="s">
        <v>76</v>
      </c>
      <c r="C707" s="54">
        <f>IF(Tabelle18[[#This Row],[binding_level_company]]&gt;=1,1,0)</f>
        <v>0</v>
      </c>
      <c r="D707" s="54">
        <f>_xlfn.MAXIFS(Tabelle5[[#This Row],[binding_level]], Tabelle5[[#This Row],[company_id]],Tabelle18[[#This Row],[company_id]], Tabelle5[[#This Row],[value_id]], Tabelle18[[#This Row],[value_id]], Tabelle5[[#This Row],[value_present]],"1")</f>
        <v>0</v>
      </c>
      <c r="E707" s="54">
        <f>_xlfn.MAXIFS(Tabelle5[[#This Row],[value_points]], Tabelle5[[#This Row],[company_id]],Tabelle18[[#This Row],[company_id]], Tabelle5[[#This Row],[value_id]], Tabelle18[[#This Row],[value_id]], Tabelle5[[#This Row],[value_present]],"1")</f>
        <v>0</v>
      </c>
    </row>
    <row r="708" spans="1:5" x14ac:dyDescent="0.25">
      <c r="A708">
        <v>40</v>
      </c>
      <c r="B708" t="s">
        <v>83</v>
      </c>
      <c r="C708" s="54">
        <f>IF(Tabelle18[[#This Row],[binding_level_company]]&gt;=1,1,0)</f>
        <v>0</v>
      </c>
      <c r="D708" s="54">
        <f>_xlfn.MAXIFS(Tabelle5[[#This Row],[binding_level]], Tabelle5[[#This Row],[company_id]],Tabelle18[[#This Row],[company_id]], Tabelle5[[#This Row],[value_id]], Tabelle18[[#This Row],[value_id]], Tabelle5[[#This Row],[value_present]],"1")</f>
        <v>0</v>
      </c>
      <c r="E708" s="54">
        <f>_xlfn.MAXIFS(Tabelle5[[#This Row],[value_points]], Tabelle5[[#This Row],[company_id]],Tabelle18[[#This Row],[company_id]], Tabelle5[[#This Row],[value_id]], Tabelle18[[#This Row],[value_id]], Tabelle5[[#This Row],[value_present]],"1")</f>
        <v>0</v>
      </c>
    </row>
    <row r="709" spans="1:5" x14ac:dyDescent="0.25">
      <c r="A709">
        <v>40</v>
      </c>
      <c r="B709" t="s">
        <v>90</v>
      </c>
      <c r="C709" s="54">
        <f>IF(Tabelle18[[#This Row],[binding_level_company]]&gt;=1,1,0)</f>
        <v>0</v>
      </c>
      <c r="D709" s="54">
        <f>_xlfn.MAXIFS(Tabelle5[[#This Row],[binding_level]], Tabelle5[[#This Row],[company_id]],Tabelle18[[#This Row],[company_id]], Tabelle5[[#This Row],[value_id]], Tabelle18[[#This Row],[value_id]], Tabelle5[[#This Row],[value_present]],"1")</f>
        <v>0</v>
      </c>
      <c r="E709" s="54">
        <f>_xlfn.MAXIFS(Tabelle5[[#This Row],[value_points]], Tabelle5[[#This Row],[company_id]],Tabelle18[[#This Row],[company_id]], Tabelle5[[#This Row],[value_id]], Tabelle18[[#This Row],[value_id]], Tabelle5[[#This Row],[value_present]],"1")</f>
        <v>0</v>
      </c>
    </row>
    <row r="710" spans="1:5" x14ac:dyDescent="0.25">
      <c r="A710">
        <v>40</v>
      </c>
      <c r="B710" t="s">
        <v>98</v>
      </c>
      <c r="C710" s="54">
        <f>IF(Tabelle18[[#This Row],[binding_level_company]]&gt;=1,1,0)</f>
        <v>0</v>
      </c>
      <c r="D710" s="54">
        <f>_xlfn.MAXIFS(Tabelle5[[#This Row],[binding_level]], Tabelle5[[#This Row],[company_id]],Tabelle18[[#This Row],[company_id]], Tabelle5[[#This Row],[value_id]], Tabelle18[[#This Row],[value_id]], Tabelle5[[#This Row],[value_present]],"1")</f>
        <v>0</v>
      </c>
      <c r="E710" s="54">
        <f>_xlfn.MAXIFS(Tabelle5[[#This Row],[value_points]], Tabelle5[[#This Row],[company_id]],Tabelle18[[#This Row],[company_id]], Tabelle5[[#This Row],[value_id]], Tabelle18[[#This Row],[value_id]], Tabelle5[[#This Row],[value_present]],"1")</f>
        <v>0</v>
      </c>
    </row>
    <row r="711" spans="1:5" x14ac:dyDescent="0.25">
      <c r="A711">
        <v>40</v>
      </c>
      <c r="B711" t="s">
        <v>106</v>
      </c>
      <c r="C711" s="54">
        <f>IF(Tabelle18[[#This Row],[binding_level_company]]&gt;=1,1,0)</f>
        <v>0</v>
      </c>
      <c r="D711" s="54">
        <f>_xlfn.MAXIFS(Tabelle5[[#This Row],[binding_level]], Tabelle5[[#This Row],[company_id]],Tabelle18[[#This Row],[company_id]], Tabelle5[[#This Row],[value_id]], Tabelle18[[#This Row],[value_id]], Tabelle5[[#This Row],[value_present]],"1")</f>
        <v>0</v>
      </c>
      <c r="E711" s="54">
        <f>_xlfn.MAXIFS(Tabelle5[[#This Row],[value_points]], Tabelle5[[#This Row],[company_id]],Tabelle18[[#This Row],[company_id]], Tabelle5[[#This Row],[value_id]], Tabelle18[[#This Row],[value_id]], Tabelle5[[#This Row],[value_present]],"1")</f>
        <v>0</v>
      </c>
    </row>
    <row r="712" spans="1:5" x14ac:dyDescent="0.25">
      <c r="A712">
        <v>40</v>
      </c>
      <c r="B712" t="s">
        <v>112</v>
      </c>
      <c r="C712" s="54">
        <f>IF(Tabelle18[[#This Row],[binding_level_company]]&gt;=1,1,0)</f>
        <v>0</v>
      </c>
      <c r="D712" s="54">
        <f>_xlfn.MAXIFS(Tabelle5[[#This Row],[binding_level]], Tabelle5[[#This Row],[company_id]],Tabelle18[[#This Row],[company_id]], Tabelle5[[#This Row],[value_id]], Tabelle18[[#This Row],[value_id]], Tabelle5[[#This Row],[value_present]],"1")</f>
        <v>0</v>
      </c>
      <c r="E712" s="54">
        <f>_xlfn.MAXIFS(Tabelle5[[#This Row],[value_points]], Tabelle5[[#This Row],[company_id]],Tabelle18[[#This Row],[company_id]], Tabelle5[[#This Row],[value_id]], Tabelle18[[#This Row],[value_id]], Tabelle5[[#This Row],[value_present]],"1")</f>
        <v>0</v>
      </c>
    </row>
    <row r="713" spans="1:5" x14ac:dyDescent="0.25">
      <c r="A713">
        <v>40</v>
      </c>
      <c r="B713" t="s">
        <v>118</v>
      </c>
      <c r="C713" s="54">
        <f>IF(Tabelle18[[#This Row],[binding_level_company]]&gt;=1,1,0)</f>
        <v>0</v>
      </c>
      <c r="D713" s="54">
        <f>_xlfn.MAXIFS(Tabelle5[[#This Row],[binding_level]], Tabelle5[[#This Row],[company_id]],Tabelle18[[#This Row],[company_id]], Tabelle5[[#This Row],[value_id]], Tabelle18[[#This Row],[value_id]], Tabelle5[[#This Row],[value_present]],"1")</f>
        <v>0</v>
      </c>
      <c r="E713" s="54">
        <f>_xlfn.MAXIFS(Tabelle5[[#This Row],[value_points]], Tabelle5[[#This Row],[company_id]],Tabelle18[[#This Row],[company_id]], Tabelle5[[#This Row],[value_id]], Tabelle18[[#This Row],[value_id]], Tabelle5[[#This Row],[value_present]],"1")</f>
        <v>0</v>
      </c>
    </row>
    <row r="714" spans="1:5" x14ac:dyDescent="0.25">
      <c r="A714">
        <v>40</v>
      </c>
      <c r="B714" t="s">
        <v>125</v>
      </c>
      <c r="C714" s="54">
        <f>IF(Tabelle18[[#This Row],[binding_level_company]]&gt;=1,1,0)</f>
        <v>0</v>
      </c>
      <c r="D714" s="54">
        <f>_xlfn.MAXIFS(Tabelle5[[#This Row],[binding_level]], Tabelle5[[#This Row],[company_id]],Tabelle18[[#This Row],[company_id]], Tabelle5[[#This Row],[value_id]], Tabelle18[[#This Row],[value_id]], Tabelle5[[#This Row],[value_present]],"1")</f>
        <v>0</v>
      </c>
      <c r="E714" s="54">
        <f>_xlfn.MAXIFS(Tabelle5[[#This Row],[value_points]], Tabelle5[[#This Row],[company_id]],Tabelle18[[#This Row],[company_id]], Tabelle5[[#This Row],[value_id]], Tabelle18[[#This Row],[value_id]], Tabelle5[[#This Row],[value_present]],"1")</f>
        <v>0</v>
      </c>
    </row>
    <row r="715" spans="1:5" x14ac:dyDescent="0.25">
      <c r="A715">
        <v>40</v>
      </c>
      <c r="B715" t="s">
        <v>132</v>
      </c>
      <c r="C715" s="54">
        <f>IF(Tabelle18[[#This Row],[binding_level_company]]&gt;=1,1,0)</f>
        <v>0</v>
      </c>
      <c r="D715" s="54">
        <f>_xlfn.MAXIFS(Tabelle5[[#This Row],[binding_level]], Tabelle5[[#This Row],[company_id]],Tabelle18[[#This Row],[company_id]], Tabelle5[[#This Row],[value_id]], Tabelle18[[#This Row],[value_id]], Tabelle5[[#This Row],[value_present]],"1")</f>
        <v>0</v>
      </c>
      <c r="E715" s="54">
        <f>_xlfn.MAXIFS(Tabelle5[[#This Row],[value_points]], Tabelle5[[#This Row],[company_id]],Tabelle18[[#This Row],[company_id]], Tabelle5[[#This Row],[value_id]], Tabelle18[[#This Row],[value_id]], Tabelle5[[#This Row],[value_present]],"1")</f>
        <v>0</v>
      </c>
    </row>
    <row r="716" spans="1:5" x14ac:dyDescent="0.25">
      <c r="A716">
        <v>40</v>
      </c>
      <c r="B716" t="s">
        <v>140</v>
      </c>
      <c r="C716" s="54">
        <f>IF(Tabelle18[[#This Row],[binding_level_company]]&gt;=1,1,0)</f>
        <v>0</v>
      </c>
      <c r="D716" s="54">
        <f>_xlfn.MAXIFS(Tabelle5[[#This Row],[binding_level]], Tabelle5[[#This Row],[company_id]],Tabelle18[[#This Row],[company_id]], Tabelle5[[#This Row],[value_id]], Tabelle18[[#This Row],[value_id]], Tabelle5[[#This Row],[value_present]],"1")</f>
        <v>0</v>
      </c>
      <c r="E716" s="54">
        <f>_xlfn.MAXIFS(Tabelle5[[#This Row],[value_points]], Tabelle5[[#This Row],[company_id]],Tabelle18[[#This Row],[company_id]], Tabelle5[[#This Row],[value_id]], Tabelle18[[#This Row],[value_id]], Tabelle5[[#This Row],[value_present]],"1")</f>
        <v>0</v>
      </c>
    </row>
    <row r="717" spans="1:5" x14ac:dyDescent="0.25">
      <c r="A717">
        <v>40</v>
      </c>
      <c r="B717" t="s">
        <v>147</v>
      </c>
      <c r="C717" s="54">
        <f>IF(Tabelle18[[#This Row],[binding_level_company]]&gt;=1,1,0)</f>
        <v>0</v>
      </c>
      <c r="D717" s="54">
        <f>_xlfn.MAXIFS(Tabelle5[[#This Row],[binding_level]], Tabelle5[[#This Row],[company_id]],Tabelle18[[#This Row],[company_id]], Tabelle5[[#This Row],[value_id]], Tabelle18[[#This Row],[value_id]], Tabelle5[[#This Row],[value_present]],"1")</f>
        <v>0</v>
      </c>
      <c r="E717" s="54">
        <f>_xlfn.MAXIFS(Tabelle5[[#This Row],[value_points]], Tabelle5[[#This Row],[company_id]],Tabelle18[[#This Row],[company_id]], Tabelle5[[#This Row],[value_id]], Tabelle18[[#This Row],[value_id]], Tabelle5[[#This Row],[value_present]],"1")</f>
        <v>0</v>
      </c>
    </row>
    <row r="718" spans="1:5" x14ac:dyDescent="0.25">
      <c r="A718">
        <v>40</v>
      </c>
      <c r="B718" t="s">
        <v>154</v>
      </c>
      <c r="C718" s="54">
        <f>IF(Tabelle18[[#This Row],[binding_level_company]]&gt;=1,1,0)</f>
        <v>0</v>
      </c>
      <c r="D718" s="54">
        <f>_xlfn.MAXIFS(Tabelle5[[#This Row],[binding_level]], Tabelle5[[#This Row],[company_id]],Tabelle18[[#This Row],[company_id]], Tabelle5[[#This Row],[value_id]], Tabelle18[[#This Row],[value_id]], Tabelle5[[#This Row],[value_present]],"1")</f>
        <v>0</v>
      </c>
      <c r="E718" s="54">
        <f>_xlfn.MAXIFS(Tabelle5[[#This Row],[value_points]], Tabelle5[[#This Row],[company_id]],Tabelle18[[#This Row],[company_id]], Tabelle5[[#This Row],[value_id]], Tabelle18[[#This Row],[value_id]], Tabelle5[[#This Row],[value_present]],"1")</f>
        <v>0</v>
      </c>
    </row>
    <row r="719" spans="1:5" x14ac:dyDescent="0.25">
      <c r="A719">
        <v>40</v>
      </c>
      <c r="B719" t="s">
        <v>161</v>
      </c>
      <c r="C719" s="54">
        <f>IF(Tabelle18[[#This Row],[binding_level_company]]&gt;=1,1,0)</f>
        <v>0</v>
      </c>
      <c r="D719" s="54">
        <f>_xlfn.MAXIFS(Tabelle5[[#This Row],[binding_level]], Tabelle5[[#This Row],[company_id]],Tabelle18[[#This Row],[company_id]], Tabelle5[[#This Row],[value_id]], Tabelle18[[#This Row],[value_id]], Tabelle5[[#This Row],[value_present]],"1")</f>
        <v>0</v>
      </c>
      <c r="E719" s="54">
        <f>_xlfn.MAXIFS(Tabelle5[[#This Row],[value_points]], Tabelle5[[#This Row],[company_id]],Tabelle18[[#This Row],[company_id]], Tabelle5[[#This Row],[value_id]], Tabelle18[[#This Row],[value_id]], Tabelle5[[#This Row],[value_present]],"1")</f>
        <v>0</v>
      </c>
    </row>
    <row r="720" spans="1:5" x14ac:dyDescent="0.25">
      <c r="A720">
        <v>40</v>
      </c>
      <c r="B720" t="s">
        <v>166</v>
      </c>
      <c r="C720" s="54">
        <f>IF(Tabelle18[[#This Row],[binding_level_company]]&gt;=1,1,0)</f>
        <v>0</v>
      </c>
      <c r="D720" s="54">
        <f>_xlfn.MAXIFS(Tabelle5[[#This Row],[binding_level]], Tabelle5[[#This Row],[company_id]],Tabelle18[[#This Row],[company_id]], Tabelle5[[#This Row],[value_id]], Tabelle18[[#This Row],[value_id]], Tabelle5[[#This Row],[value_present]],"1")</f>
        <v>0</v>
      </c>
      <c r="E720" s="54">
        <f>_xlfn.MAXIFS(Tabelle5[[#This Row],[value_points]], Tabelle5[[#This Row],[company_id]],Tabelle18[[#This Row],[company_id]], Tabelle5[[#This Row],[value_id]], Tabelle18[[#This Row],[value_id]], Tabelle5[[#This Row],[value_present]],"1")</f>
        <v>0</v>
      </c>
    </row>
    <row r="721" spans="1:5" ht="15.75" thickBot="1" x14ac:dyDescent="0.3">
      <c r="A721">
        <v>40</v>
      </c>
      <c r="B721" s="30" t="s">
        <v>174</v>
      </c>
      <c r="C721" s="54">
        <f>IF(Tabelle18[[#This Row],[binding_level_company]]&gt;=1,1,0)</f>
        <v>0</v>
      </c>
      <c r="D721" s="54">
        <f>_xlfn.MAXIFS(Tabelle5[[#This Row],[binding_level]], Tabelle5[[#This Row],[company_id]],Tabelle18[[#This Row],[company_id]], Tabelle5[[#This Row],[value_id]], Tabelle18[[#This Row],[value_id]], Tabelle5[[#This Row],[value_present]],"1")</f>
        <v>0</v>
      </c>
      <c r="E721" s="54">
        <f>_xlfn.MAXIFS(Tabelle5[[#This Row],[value_points]], Tabelle5[[#This Row],[company_id]],Tabelle18[[#This Row],[company_id]], Tabelle5[[#This Row],[value_id]], Tabelle18[[#This Row],[value_id]], Tabelle5[[#This Row],[value_present]],"1")</f>
        <v>0</v>
      </c>
    </row>
  </sheetData>
  <phoneticPr fontId="1"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432C-A6A2-414E-984B-A1197E0F3D16}">
  <sheetPr>
    <tabColor theme="4"/>
  </sheetPr>
  <dimension ref="A1:F281"/>
  <sheetViews>
    <sheetView workbookViewId="0">
      <selection activeCell="C282" sqref="C282"/>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s>
  <sheetData>
    <row r="1" spans="1:6" ht="15.75" thickBot="1" x14ac:dyDescent="0.3">
      <c r="A1" t="s">
        <v>0</v>
      </c>
      <c r="B1" t="s">
        <v>37</v>
      </c>
      <c r="C1" t="s">
        <v>45</v>
      </c>
      <c r="D1" t="s">
        <v>46</v>
      </c>
      <c r="E1" t="s">
        <v>32</v>
      </c>
      <c r="F1" t="s">
        <v>33</v>
      </c>
    </row>
    <row r="2" spans="1:6" x14ac:dyDescent="0.25">
      <c r="A2" s="18">
        <v>1</v>
      </c>
      <c r="B2" s="19" t="s">
        <v>186</v>
      </c>
      <c r="C2" s="19">
        <v>8</v>
      </c>
      <c r="D2" s="20"/>
      <c r="E2" s="22"/>
      <c r="F2" s="19"/>
    </row>
    <row r="3" spans="1:6" x14ac:dyDescent="0.25">
      <c r="A3" s="24">
        <v>1</v>
      </c>
      <c r="B3" s="2" t="s">
        <v>192</v>
      </c>
      <c r="C3" s="2"/>
      <c r="D3" s="3"/>
      <c r="F3" s="2"/>
    </row>
    <row r="4" spans="1:6" x14ac:dyDescent="0.25">
      <c r="A4" s="24">
        <v>1</v>
      </c>
      <c r="B4" s="2" t="s">
        <v>198</v>
      </c>
      <c r="C4" s="2"/>
      <c r="D4" s="3"/>
      <c r="F4" s="2"/>
    </row>
    <row r="5" spans="1:6" x14ac:dyDescent="0.25">
      <c r="A5" s="24">
        <v>1</v>
      </c>
      <c r="B5" s="2" t="s">
        <v>204</v>
      </c>
      <c r="C5" s="2"/>
      <c r="D5" s="3"/>
      <c r="F5" s="2"/>
    </row>
    <row r="6" spans="1:6" x14ac:dyDescent="0.25">
      <c r="A6" s="24">
        <v>1</v>
      </c>
      <c r="B6" s="2" t="s">
        <v>210</v>
      </c>
      <c r="C6" s="2"/>
      <c r="D6" s="3"/>
      <c r="F6" s="2"/>
    </row>
    <row r="7" spans="1:6" x14ac:dyDescent="0.25">
      <c r="A7" s="24">
        <v>1</v>
      </c>
      <c r="B7" s="2" t="s">
        <v>215</v>
      </c>
      <c r="C7" s="2"/>
      <c r="D7" s="3"/>
      <c r="F7" s="2"/>
    </row>
    <row r="8" spans="1:6" ht="15.75" thickBot="1" x14ac:dyDescent="0.3">
      <c r="A8" s="26">
        <v>1</v>
      </c>
      <c r="B8" s="27" t="s">
        <v>221</v>
      </c>
      <c r="C8" s="27"/>
      <c r="D8" s="28"/>
      <c r="E8" s="30"/>
      <c r="F8" s="27"/>
    </row>
    <row r="9" spans="1:6" x14ac:dyDescent="0.25">
      <c r="A9" s="2">
        <v>2</v>
      </c>
      <c r="B9" s="19" t="s">
        <v>186</v>
      </c>
      <c r="C9" s="2"/>
      <c r="D9" s="3"/>
      <c r="F9" s="2"/>
    </row>
    <row r="10" spans="1:6" x14ac:dyDescent="0.25">
      <c r="A10" s="2">
        <v>2</v>
      </c>
      <c r="B10" s="2" t="s">
        <v>192</v>
      </c>
      <c r="C10" s="2"/>
      <c r="D10" s="3"/>
      <c r="F10" s="2"/>
    </row>
    <row r="11" spans="1:6" x14ac:dyDescent="0.25">
      <c r="A11" s="2">
        <v>2</v>
      </c>
      <c r="B11" s="2" t="s">
        <v>198</v>
      </c>
      <c r="C11" s="2"/>
      <c r="D11" s="3"/>
      <c r="F11" s="2"/>
    </row>
    <row r="12" spans="1:6" x14ac:dyDescent="0.25">
      <c r="A12" s="2">
        <v>2</v>
      </c>
      <c r="B12" s="2" t="s">
        <v>204</v>
      </c>
      <c r="C12" s="2"/>
      <c r="D12" s="3"/>
      <c r="F12" s="2"/>
    </row>
    <row r="13" spans="1:6" x14ac:dyDescent="0.25">
      <c r="A13" s="2">
        <v>2</v>
      </c>
      <c r="B13" s="2" t="s">
        <v>210</v>
      </c>
      <c r="C13" s="2"/>
      <c r="D13" s="3"/>
      <c r="F13" s="2"/>
    </row>
    <row r="14" spans="1:6" x14ac:dyDescent="0.25">
      <c r="A14" s="2">
        <v>2</v>
      </c>
      <c r="B14" s="2" t="s">
        <v>215</v>
      </c>
      <c r="C14" s="2"/>
      <c r="D14" s="3"/>
      <c r="F14" s="2"/>
    </row>
    <row r="15" spans="1:6" ht="15.75" thickBot="1" x14ac:dyDescent="0.3">
      <c r="A15" s="2">
        <v>2</v>
      </c>
      <c r="B15" s="27" t="s">
        <v>221</v>
      </c>
      <c r="C15" s="2"/>
      <c r="D15" s="3"/>
      <c r="F15" s="2"/>
    </row>
    <row r="16" spans="1:6" x14ac:dyDescent="0.25">
      <c r="A16" s="2">
        <v>3</v>
      </c>
      <c r="B16" s="19" t="s">
        <v>186</v>
      </c>
      <c r="C16" s="2"/>
      <c r="D16" s="3"/>
      <c r="F16" s="2"/>
    </row>
    <row r="17" spans="1:6" x14ac:dyDescent="0.25">
      <c r="A17" s="2">
        <v>3</v>
      </c>
      <c r="B17" s="2" t="s">
        <v>192</v>
      </c>
      <c r="C17" s="2"/>
      <c r="D17" s="3"/>
      <c r="F17" s="2"/>
    </row>
    <row r="18" spans="1:6" x14ac:dyDescent="0.25">
      <c r="A18" s="2">
        <v>3</v>
      </c>
      <c r="B18" s="2" t="s">
        <v>198</v>
      </c>
      <c r="C18" s="2"/>
      <c r="D18" s="3"/>
      <c r="F18" s="2"/>
    </row>
    <row r="19" spans="1:6" x14ac:dyDescent="0.25">
      <c r="A19" s="2">
        <v>3</v>
      </c>
      <c r="B19" s="2" t="s">
        <v>204</v>
      </c>
      <c r="C19" s="2"/>
      <c r="D19" s="3"/>
      <c r="F19" s="2"/>
    </row>
    <row r="20" spans="1:6" x14ac:dyDescent="0.25">
      <c r="A20" s="2">
        <v>3</v>
      </c>
      <c r="B20" s="2" t="s">
        <v>210</v>
      </c>
      <c r="C20" s="2"/>
      <c r="D20" s="3"/>
      <c r="F20" s="2"/>
    </row>
    <row r="21" spans="1:6" x14ac:dyDescent="0.25">
      <c r="A21" s="2">
        <v>3</v>
      </c>
      <c r="B21" s="2" t="s">
        <v>215</v>
      </c>
      <c r="C21" s="2"/>
      <c r="D21" s="3"/>
      <c r="F21" s="2"/>
    </row>
    <row r="22" spans="1:6" ht="15.75" thickBot="1" x14ac:dyDescent="0.3">
      <c r="A22" s="2">
        <v>3</v>
      </c>
      <c r="B22" s="27" t="s">
        <v>221</v>
      </c>
      <c r="C22" s="2"/>
      <c r="D22" s="3"/>
      <c r="F22" s="2"/>
    </row>
    <row r="23" spans="1:6" x14ac:dyDescent="0.25">
      <c r="A23" s="2">
        <v>4</v>
      </c>
      <c r="B23" s="19" t="s">
        <v>186</v>
      </c>
      <c r="C23" s="2"/>
      <c r="D23" s="3"/>
      <c r="F23" s="2"/>
    </row>
    <row r="24" spans="1:6" x14ac:dyDescent="0.25">
      <c r="A24" s="2">
        <v>4</v>
      </c>
      <c r="B24" s="2" t="s">
        <v>192</v>
      </c>
      <c r="C24" s="2"/>
      <c r="D24" s="3"/>
      <c r="F24" s="2"/>
    </row>
    <row r="25" spans="1:6" x14ac:dyDescent="0.25">
      <c r="A25" s="2">
        <v>4</v>
      </c>
      <c r="B25" s="2" t="s">
        <v>198</v>
      </c>
      <c r="C25" s="2"/>
      <c r="D25" s="3"/>
      <c r="F25" s="2"/>
    </row>
    <row r="26" spans="1:6" x14ac:dyDescent="0.25">
      <c r="A26" s="2">
        <v>4</v>
      </c>
      <c r="B26" s="2" t="s">
        <v>204</v>
      </c>
      <c r="C26" s="2"/>
      <c r="D26" s="3"/>
      <c r="F26" s="2"/>
    </row>
    <row r="27" spans="1:6" x14ac:dyDescent="0.25">
      <c r="A27" s="2">
        <v>4</v>
      </c>
      <c r="B27" s="2" t="s">
        <v>210</v>
      </c>
      <c r="C27" s="2"/>
      <c r="D27" s="3"/>
      <c r="F27" s="2"/>
    </row>
    <row r="28" spans="1:6" x14ac:dyDescent="0.25">
      <c r="A28" s="2">
        <v>4</v>
      </c>
      <c r="B28" s="2" t="s">
        <v>215</v>
      </c>
      <c r="C28" s="2"/>
      <c r="D28" s="3"/>
      <c r="F28" s="2"/>
    </row>
    <row r="29" spans="1:6" ht="15.75" thickBot="1" x14ac:dyDescent="0.3">
      <c r="A29" s="2">
        <v>4</v>
      </c>
      <c r="B29" s="27" t="s">
        <v>221</v>
      </c>
      <c r="C29" s="2"/>
      <c r="D29" s="3"/>
      <c r="F29" s="2"/>
    </row>
    <row r="30" spans="1:6" x14ac:dyDescent="0.25">
      <c r="A30" s="2">
        <v>5</v>
      </c>
      <c r="B30" s="19" t="s">
        <v>186</v>
      </c>
      <c r="C30" s="2"/>
      <c r="D30" s="3"/>
      <c r="F30" s="2"/>
    </row>
    <row r="31" spans="1:6" x14ac:dyDescent="0.25">
      <c r="A31" s="2">
        <v>5</v>
      </c>
      <c r="B31" s="2" t="s">
        <v>192</v>
      </c>
      <c r="C31" s="2"/>
      <c r="D31" s="3"/>
      <c r="F31" s="2"/>
    </row>
    <row r="32" spans="1:6" x14ac:dyDescent="0.25">
      <c r="A32" s="2">
        <v>5</v>
      </c>
      <c r="B32" s="2" t="s">
        <v>198</v>
      </c>
      <c r="C32" s="2"/>
      <c r="D32" s="3"/>
      <c r="F32" s="2"/>
    </row>
    <row r="33" spans="1:6" x14ac:dyDescent="0.25">
      <c r="A33" s="2">
        <v>5</v>
      </c>
      <c r="B33" s="2" t="s">
        <v>204</v>
      </c>
      <c r="C33" s="2"/>
      <c r="D33" s="3"/>
      <c r="F33" s="2"/>
    </row>
    <row r="34" spans="1:6" x14ac:dyDescent="0.25">
      <c r="A34" s="2">
        <v>5</v>
      </c>
      <c r="B34" s="2" t="s">
        <v>210</v>
      </c>
      <c r="C34" s="2"/>
      <c r="D34" s="3"/>
      <c r="F34" s="2"/>
    </row>
    <row r="35" spans="1:6" x14ac:dyDescent="0.25">
      <c r="A35" s="2">
        <v>5</v>
      </c>
      <c r="B35" s="2" t="s">
        <v>215</v>
      </c>
      <c r="C35" s="2"/>
      <c r="D35" s="3"/>
      <c r="F35" s="2"/>
    </row>
    <row r="36" spans="1:6" ht="15.75" thickBot="1" x14ac:dyDescent="0.3">
      <c r="A36" s="2">
        <v>5</v>
      </c>
      <c r="B36" s="27" t="s">
        <v>221</v>
      </c>
      <c r="C36" s="2"/>
      <c r="D36" s="3"/>
      <c r="F36" s="2"/>
    </row>
    <row r="37" spans="1:6" x14ac:dyDescent="0.25">
      <c r="A37" s="2">
        <v>6</v>
      </c>
      <c r="B37" s="19" t="s">
        <v>186</v>
      </c>
      <c r="C37" s="2"/>
      <c r="D37" s="3"/>
      <c r="F37" s="2"/>
    </row>
    <row r="38" spans="1:6" x14ac:dyDescent="0.25">
      <c r="A38" s="2">
        <v>6</v>
      </c>
      <c r="B38" s="2" t="s">
        <v>192</v>
      </c>
      <c r="C38" s="2"/>
      <c r="D38" s="3"/>
      <c r="F38" s="2"/>
    </row>
    <row r="39" spans="1:6" x14ac:dyDescent="0.25">
      <c r="A39" s="2">
        <v>6</v>
      </c>
      <c r="B39" s="2" t="s">
        <v>198</v>
      </c>
      <c r="C39" s="2"/>
      <c r="D39" s="3"/>
      <c r="F39" s="2"/>
    </row>
    <row r="40" spans="1:6" x14ac:dyDescent="0.25">
      <c r="A40" s="2">
        <v>6</v>
      </c>
      <c r="B40" s="2" t="s">
        <v>204</v>
      </c>
      <c r="C40" s="2"/>
      <c r="D40" s="3"/>
      <c r="F40" s="2"/>
    </row>
    <row r="41" spans="1:6" x14ac:dyDescent="0.25">
      <c r="A41" s="2">
        <v>6</v>
      </c>
      <c r="B41" s="2" t="s">
        <v>210</v>
      </c>
      <c r="C41" s="2"/>
      <c r="D41" s="3"/>
      <c r="F41" s="2"/>
    </row>
    <row r="42" spans="1:6" x14ac:dyDescent="0.25">
      <c r="A42" s="2">
        <v>6</v>
      </c>
      <c r="B42" s="2" t="s">
        <v>215</v>
      </c>
      <c r="C42" s="2"/>
      <c r="D42" s="3"/>
      <c r="F42" s="2"/>
    </row>
    <row r="43" spans="1:6" ht="15.75" thickBot="1" x14ac:dyDescent="0.3">
      <c r="A43" s="2">
        <v>6</v>
      </c>
      <c r="B43" s="27" t="s">
        <v>221</v>
      </c>
      <c r="C43" s="2"/>
      <c r="D43" s="3"/>
      <c r="F43" s="2"/>
    </row>
    <row r="44" spans="1:6" x14ac:dyDescent="0.25">
      <c r="A44" s="2">
        <v>7</v>
      </c>
      <c r="B44" s="19" t="s">
        <v>186</v>
      </c>
      <c r="C44" s="2"/>
      <c r="D44" s="3"/>
      <c r="F44" s="2"/>
    </row>
    <row r="45" spans="1:6" x14ac:dyDescent="0.25">
      <c r="A45" s="2">
        <v>7</v>
      </c>
      <c r="B45" s="2" t="s">
        <v>192</v>
      </c>
      <c r="C45" s="2"/>
      <c r="D45" s="3"/>
      <c r="F45" s="2"/>
    </row>
    <row r="46" spans="1:6" x14ac:dyDescent="0.25">
      <c r="A46" s="2">
        <v>7</v>
      </c>
      <c r="B46" s="2" t="s">
        <v>198</v>
      </c>
      <c r="C46" s="2"/>
      <c r="D46" s="3"/>
      <c r="F46" s="2"/>
    </row>
    <row r="47" spans="1:6" x14ac:dyDescent="0.25">
      <c r="A47" s="2">
        <v>7</v>
      </c>
      <c r="B47" s="2" t="s">
        <v>204</v>
      </c>
      <c r="C47" s="2"/>
      <c r="D47" s="3"/>
      <c r="F47" s="2"/>
    </row>
    <row r="48" spans="1:6" x14ac:dyDescent="0.25">
      <c r="A48" s="2">
        <v>7</v>
      </c>
      <c r="B48" s="2" t="s">
        <v>210</v>
      </c>
      <c r="C48" s="2"/>
      <c r="D48" s="3"/>
      <c r="F48" s="2"/>
    </row>
    <row r="49" spans="1:6" x14ac:dyDescent="0.25">
      <c r="A49" s="2">
        <v>7</v>
      </c>
      <c r="B49" s="2" t="s">
        <v>215</v>
      </c>
      <c r="C49" s="2"/>
      <c r="D49" s="3"/>
      <c r="F49" s="2"/>
    </row>
    <row r="50" spans="1:6" ht="15.75" thickBot="1" x14ac:dyDescent="0.3">
      <c r="A50" s="2">
        <v>7</v>
      </c>
      <c r="B50" s="27" t="s">
        <v>221</v>
      </c>
      <c r="C50" s="2"/>
      <c r="D50" s="3"/>
      <c r="F50" s="2"/>
    </row>
    <row r="51" spans="1:6" x14ac:dyDescent="0.25">
      <c r="A51" s="2">
        <v>8</v>
      </c>
      <c r="B51" s="19" t="s">
        <v>186</v>
      </c>
      <c r="C51" s="2"/>
      <c r="D51" s="3"/>
      <c r="F51" s="2"/>
    </row>
    <row r="52" spans="1:6" x14ac:dyDescent="0.25">
      <c r="A52" s="2">
        <v>8</v>
      </c>
      <c r="B52" s="2" t="s">
        <v>192</v>
      </c>
      <c r="C52" s="2"/>
      <c r="D52" s="3"/>
      <c r="F52" s="2"/>
    </row>
    <row r="53" spans="1:6" x14ac:dyDescent="0.25">
      <c r="A53" s="2">
        <v>8</v>
      </c>
      <c r="B53" s="2" t="s">
        <v>198</v>
      </c>
      <c r="C53" s="2"/>
      <c r="D53" s="3"/>
      <c r="F53" s="2"/>
    </row>
    <row r="54" spans="1:6" x14ac:dyDescent="0.25">
      <c r="A54" s="2">
        <v>8</v>
      </c>
      <c r="B54" s="2" t="s">
        <v>204</v>
      </c>
      <c r="C54" s="2"/>
      <c r="D54" s="3"/>
      <c r="F54" s="2"/>
    </row>
    <row r="55" spans="1:6" x14ac:dyDescent="0.25">
      <c r="A55" s="2">
        <v>8</v>
      </c>
      <c r="B55" s="2" t="s">
        <v>210</v>
      </c>
      <c r="C55" s="2"/>
      <c r="D55" s="3"/>
      <c r="F55" s="2"/>
    </row>
    <row r="56" spans="1:6" x14ac:dyDescent="0.25">
      <c r="A56" s="2">
        <v>8</v>
      </c>
      <c r="B56" s="2" t="s">
        <v>215</v>
      </c>
      <c r="C56" s="2"/>
      <c r="D56" s="3"/>
      <c r="F56" s="2"/>
    </row>
    <row r="57" spans="1:6" ht="15.75" thickBot="1" x14ac:dyDescent="0.3">
      <c r="A57" s="2">
        <v>8</v>
      </c>
      <c r="B57" s="27" t="s">
        <v>221</v>
      </c>
      <c r="C57" s="2"/>
      <c r="D57" s="3"/>
      <c r="F57" s="2"/>
    </row>
    <row r="58" spans="1:6" x14ac:dyDescent="0.25">
      <c r="A58" s="2">
        <v>9</v>
      </c>
      <c r="B58" s="19" t="s">
        <v>186</v>
      </c>
      <c r="C58" s="2"/>
      <c r="D58" s="3"/>
      <c r="F58" s="2"/>
    </row>
    <row r="59" spans="1:6" x14ac:dyDescent="0.25">
      <c r="A59" s="2">
        <v>9</v>
      </c>
      <c r="B59" s="2" t="s">
        <v>192</v>
      </c>
      <c r="C59" s="2"/>
      <c r="D59" s="3"/>
      <c r="F59" s="2"/>
    </row>
    <row r="60" spans="1:6" x14ac:dyDescent="0.25">
      <c r="A60" s="2">
        <v>9</v>
      </c>
      <c r="B60" s="2" t="s">
        <v>198</v>
      </c>
      <c r="C60" s="2"/>
      <c r="D60" s="3"/>
      <c r="F60" s="2"/>
    </row>
    <row r="61" spans="1:6" x14ac:dyDescent="0.25">
      <c r="A61" s="2">
        <v>9</v>
      </c>
      <c r="B61" s="2" t="s">
        <v>204</v>
      </c>
      <c r="C61" s="2"/>
      <c r="D61" s="3"/>
      <c r="F61" s="2"/>
    </row>
    <row r="62" spans="1:6" x14ac:dyDescent="0.25">
      <c r="A62" s="2">
        <v>9</v>
      </c>
      <c r="B62" s="2" t="s">
        <v>210</v>
      </c>
      <c r="C62" s="2"/>
      <c r="D62" s="3"/>
      <c r="F62" s="2"/>
    </row>
    <row r="63" spans="1:6" x14ac:dyDescent="0.25">
      <c r="A63" s="2">
        <v>9</v>
      </c>
      <c r="B63" s="2" t="s">
        <v>215</v>
      </c>
      <c r="C63" s="2"/>
      <c r="D63" s="3"/>
      <c r="F63" s="2"/>
    </row>
    <row r="64" spans="1:6" ht="15.75" thickBot="1" x14ac:dyDescent="0.3">
      <c r="A64" s="2">
        <v>9</v>
      </c>
      <c r="B64" s="27" t="s">
        <v>221</v>
      </c>
      <c r="C64" s="2"/>
      <c r="D64" s="3"/>
      <c r="F64" s="2"/>
    </row>
    <row r="65" spans="1:6" x14ac:dyDescent="0.25">
      <c r="A65" s="2">
        <v>10</v>
      </c>
      <c r="B65" s="19" t="s">
        <v>186</v>
      </c>
      <c r="C65" s="2"/>
      <c r="D65" s="3"/>
      <c r="F65" s="2"/>
    </row>
    <row r="66" spans="1:6" x14ac:dyDescent="0.25">
      <c r="A66" s="2">
        <v>10</v>
      </c>
      <c r="B66" s="2" t="s">
        <v>192</v>
      </c>
      <c r="C66" s="2"/>
      <c r="D66" s="3"/>
      <c r="F66" s="2"/>
    </row>
    <row r="67" spans="1:6" x14ac:dyDescent="0.25">
      <c r="A67" s="2">
        <v>10</v>
      </c>
      <c r="B67" s="2" t="s">
        <v>198</v>
      </c>
      <c r="C67" s="2"/>
      <c r="D67" s="3"/>
      <c r="F67" s="2"/>
    </row>
    <row r="68" spans="1:6" x14ac:dyDescent="0.25">
      <c r="A68" s="2">
        <v>10</v>
      </c>
      <c r="B68" s="2" t="s">
        <v>204</v>
      </c>
      <c r="C68" s="2"/>
      <c r="D68" s="3"/>
      <c r="F68" s="2"/>
    </row>
    <row r="69" spans="1:6" x14ac:dyDescent="0.25">
      <c r="A69" s="2">
        <v>10</v>
      </c>
      <c r="B69" s="2" t="s">
        <v>210</v>
      </c>
      <c r="C69" s="2"/>
      <c r="D69" s="3"/>
      <c r="F69" s="2"/>
    </row>
    <row r="70" spans="1:6" x14ac:dyDescent="0.25">
      <c r="A70" s="2">
        <v>10</v>
      </c>
      <c r="B70" s="2" t="s">
        <v>215</v>
      </c>
      <c r="C70" s="2"/>
      <c r="D70" s="3"/>
      <c r="F70" s="2"/>
    </row>
    <row r="71" spans="1:6" ht="15.75" thickBot="1" x14ac:dyDescent="0.3">
      <c r="A71" s="2">
        <v>10</v>
      </c>
      <c r="B71" s="27" t="s">
        <v>221</v>
      </c>
      <c r="C71" s="2"/>
      <c r="D71" s="3"/>
      <c r="F71" s="2"/>
    </row>
    <row r="72" spans="1:6" x14ac:dyDescent="0.25">
      <c r="A72" s="2">
        <v>11</v>
      </c>
      <c r="B72" s="19" t="s">
        <v>186</v>
      </c>
      <c r="C72" s="2"/>
      <c r="D72" s="3"/>
      <c r="F72" s="2"/>
    </row>
    <row r="73" spans="1:6" x14ac:dyDescent="0.25">
      <c r="A73" s="2">
        <v>11</v>
      </c>
      <c r="B73" s="2" t="s">
        <v>192</v>
      </c>
      <c r="C73" s="2"/>
      <c r="D73" s="3"/>
      <c r="F73" s="2"/>
    </row>
    <row r="74" spans="1:6" x14ac:dyDescent="0.25">
      <c r="A74" s="2">
        <v>11</v>
      </c>
      <c r="B74" s="2" t="s">
        <v>198</v>
      </c>
      <c r="C74" s="2"/>
      <c r="D74" s="3"/>
      <c r="F74" s="2"/>
    </row>
    <row r="75" spans="1:6" x14ac:dyDescent="0.25">
      <c r="A75" s="2">
        <v>11</v>
      </c>
      <c r="B75" s="2" t="s">
        <v>204</v>
      </c>
      <c r="C75" s="2"/>
      <c r="D75" s="3"/>
      <c r="F75" s="2"/>
    </row>
    <row r="76" spans="1:6" x14ac:dyDescent="0.25">
      <c r="A76" s="2">
        <v>11</v>
      </c>
      <c r="B76" s="2" t="s">
        <v>210</v>
      </c>
      <c r="C76" s="2"/>
      <c r="D76" s="3"/>
      <c r="F76" s="2"/>
    </row>
    <row r="77" spans="1:6" x14ac:dyDescent="0.25">
      <c r="A77" s="2">
        <v>11</v>
      </c>
      <c r="B77" s="2" t="s">
        <v>215</v>
      </c>
      <c r="C77" s="2"/>
      <c r="D77" s="3"/>
      <c r="F77" s="2"/>
    </row>
    <row r="78" spans="1:6" ht="15.75" thickBot="1" x14ac:dyDescent="0.3">
      <c r="A78" s="2">
        <v>11</v>
      </c>
      <c r="B78" s="27" t="s">
        <v>221</v>
      </c>
      <c r="C78" s="2"/>
      <c r="D78" s="3"/>
      <c r="F78" s="2"/>
    </row>
    <row r="79" spans="1:6" x14ac:dyDescent="0.25">
      <c r="A79" s="2">
        <v>12</v>
      </c>
      <c r="B79" s="19" t="s">
        <v>186</v>
      </c>
      <c r="C79" s="2"/>
      <c r="D79" s="3"/>
      <c r="F79" s="2"/>
    </row>
    <row r="80" spans="1:6" x14ac:dyDescent="0.25">
      <c r="A80" s="2">
        <v>12</v>
      </c>
      <c r="B80" s="2" t="s">
        <v>192</v>
      </c>
      <c r="C80" s="2"/>
      <c r="D80" s="3"/>
      <c r="F80" s="2"/>
    </row>
    <row r="81" spans="1:6" x14ac:dyDescent="0.25">
      <c r="A81" s="2">
        <v>12</v>
      </c>
      <c r="B81" s="2" t="s">
        <v>198</v>
      </c>
      <c r="C81" s="2"/>
      <c r="D81" s="3"/>
      <c r="F81" s="2"/>
    </row>
    <row r="82" spans="1:6" x14ac:dyDescent="0.25">
      <c r="A82" s="2">
        <v>12</v>
      </c>
      <c r="B82" s="2" t="s">
        <v>204</v>
      </c>
      <c r="C82" s="2"/>
      <c r="D82" s="3"/>
      <c r="F82" s="2"/>
    </row>
    <row r="83" spans="1:6" x14ac:dyDescent="0.25">
      <c r="A83" s="2">
        <v>12</v>
      </c>
      <c r="B83" s="2" t="s">
        <v>210</v>
      </c>
      <c r="C83" s="2"/>
      <c r="D83" s="3"/>
      <c r="F83" s="2"/>
    </row>
    <row r="84" spans="1:6" x14ac:dyDescent="0.25">
      <c r="A84" s="2">
        <v>12</v>
      </c>
      <c r="B84" s="2" t="s">
        <v>215</v>
      </c>
      <c r="C84" s="2"/>
      <c r="D84" s="3"/>
      <c r="F84" s="2"/>
    </row>
    <row r="85" spans="1:6" ht="15.75" thickBot="1" x14ac:dyDescent="0.3">
      <c r="A85" s="2">
        <v>12</v>
      </c>
      <c r="B85" s="27" t="s">
        <v>221</v>
      </c>
      <c r="C85" s="2"/>
      <c r="D85" s="3"/>
      <c r="F85" s="2"/>
    </row>
    <row r="86" spans="1:6" x14ac:dyDescent="0.25">
      <c r="A86" s="2">
        <v>13</v>
      </c>
      <c r="B86" s="19" t="s">
        <v>186</v>
      </c>
      <c r="C86" s="2"/>
      <c r="D86" s="3"/>
      <c r="F86" s="2"/>
    </row>
    <row r="87" spans="1:6" x14ac:dyDescent="0.25">
      <c r="A87" s="2">
        <v>13</v>
      </c>
      <c r="B87" s="2" t="s">
        <v>192</v>
      </c>
      <c r="C87" s="2"/>
      <c r="D87" s="3"/>
      <c r="F87" s="2"/>
    </row>
    <row r="88" spans="1:6" x14ac:dyDescent="0.25">
      <c r="A88" s="2">
        <v>13</v>
      </c>
      <c r="B88" s="2" t="s">
        <v>198</v>
      </c>
      <c r="C88" s="2"/>
      <c r="D88" s="3"/>
      <c r="F88" s="2"/>
    </row>
    <row r="89" spans="1:6" x14ac:dyDescent="0.25">
      <c r="A89" s="2">
        <v>13</v>
      </c>
      <c r="B89" s="2" t="s">
        <v>204</v>
      </c>
      <c r="C89" s="2"/>
      <c r="D89" s="3"/>
      <c r="F89" s="2"/>
    </row>
    <row r="90" spans="1:6" x14ac:dyDescent="0.25">
      <c r="A90" s="2">
        <v>13</v>
      </c>
      <c r="B90" s="2" t="s">
        <v>210</v>
      </c>
      <c r="C90" s="2"/>
      <c r="D90" s="3"/>
      <c r="F90" s="2"/>
    </row>
    <row r="91" spans="1:6" x14ac:dyDescent="0.25">
      <c r="A91" s="2">
        <v>13</v>
      </c>
      <c r="B91" s="2" t="s">
        <v>215</v>
      </c>
      <c r="C91" s="2"/>
      <c r="D91" s="3"/>
      <c r="F91" s="2"/>
    </row>
    <row r="92" spans="1:6" ht="15.75" thickBot="1" x14ac:dyDescent="0.3">
      <c r="A92" s="2">
        <v>13</v>
      </c>
      <c r="B92" s="27" t="s">
        <v>221</v>
      </c>
      <c r="C92" s="2"/>
      <c r="D92" s="3"/>
      <c r="F92" s="2"/>
    </row>
    <row r="93" spans="1:6" x14ac:dyDescent="0.25">
      <c r="A93" s="2">
        <v>14</v>
      </c>
      <c r="B93" s="19" t="s">
        <v>186</v>
      </c>
      <c r="C93" s="2"/>
      <c r="D93" s="3"/>
      <c r="F93" s="2"/>
    </row>
    <row r="94" spans="1:6" x14ac:dyDescent="0.25">
      <c r="A94" s="2">
        <v>14</v>
      </c>
      <c r="B94" s="2" t="s">
        <v>192</v>
      </c>
      <c r="C94" s="2"/>
      <c r="D94" s="3"/>
      <c r="F94" s="2"/>
    </row>
    <row r="95" spans="1:6" x14ac:dyDescent="0.25">
      <c r="A95" s="2">
        <v>14</v>
      </c>
      <c r="B95" s="2" t="s">
        <v>198</v>
      </c>
      <c r="C95" s="2"/>
      <c r="D95" s="3"/>
      <c r="F95" s="2"/>
    </row>
    <row r="96" spans="1:6" x14ac:dyDescent="0.25">
      <c r="A96" s="2">
        <v>14</v>
      </c>
      <c r="B96" s="2" t="s">
        <v>204</v>
      </c>
      <c r="C96" s="2"/>
      <c r="D96" s="3"/>
      <c r="F96" s="2"/>
    </row>
    <row r="97" spans="1:6" x14ac:dyDescent="0.25">
      <c r="A97" s="2">
        <v>14</v>
      </c>
      <c r="B97" s="2" t="s">
        <v>210</v>
      </c>
      <c r="C97" s="2"/>
      <c r="D97" s="3"/>
      <c r="F97" s="2"/>
    </row>
    <row r="98" spans="1:6" x14ac:dyDescent="0.25">
      <c r="A98" s="2">
        <v>14</v>
      </c>
      <c r="B98" s="2" t="s">
        <v>215</v>
      </c>
      <c r="C98" s="2"/>
      <c r="D98" s="3"/>
      <c r="F98" s="2"/>
    </row>
    <row r="99" spans="1:6" ht="15.75" thickBot="1" x14ac:dyDescent="0.3">
      <c r="A99" s="2">
        <v>14</v>
      </c>
      <c r="B99" s="27" t="s">
        <v>221</v>
      </c>
      <c r="C99" s="2"/>
      <c r="D99" s="3"/>
      <c r="F99" s="2"/>
    </row>
    <row r="100" spans="1:6" x14ac:dyDescent="0.25">
      <c r="A100" s="2">
        <v>15</v>
      </c>
      <c r="B100" s="19" t="s">
        <v>186</v>
      </c>
      <c r="C100" s="2"/>
      <c r="D100" s="3"/>
      <c r="F100" s="2"/>
    </row>
    <row r="101" spans="1:6" x14ac:dyDescent="0.25">
      <c r="A101" s="2">
        <v>15</v>
      </c>
      <c r="B101" s="2" t="s">
        <v>192</v>
      </c>
      <c r="C101" s="2"/>
      <c r="D101" s="3"/>
      <c r="F101" s="2"/>
    </row>
    <row r="102" spans="1:6" x14ac:dyDescent="0.25">
      <c r="A102" s="2">
        <v>15</v>
      </c>
      <c r="B102" s="2" t="s">
        <v>198</v>
      </c>
      <c r="C102" s="2"/>
      <c r="D102" s="3"/>
      <c r="F102" s="2"/>
    </row>
    <row r="103" spans="1:6" x14ac:dyDescent="0.25">
      <c r="A103" s="2">
        <v>15</v>
      </c>
      <c r="B103" s="2" t="s">
        <v>204</v>
      </c>
      <c r="C103" s="2"/>
      <c r="D103" s="3"/>
      <c r="F103" s="2"/>
    </row>
    <row r="104" spans="1:6" x14ac:dyDescent="0.25">
      <c r="A104" s="2">
        <v>15</v>
      </c>
      <c r="B104" s="2" t="s">
        <v>210</v>
      </c>
      <c r="C104" s="2"/>
      <c r="D104" s="3"/>
      <c r="F104" s="2"/>
    </row>
    <row r="105" spans="1:6" x14ac:dyDescent="0.25">
      <c r="A105" s="2">
        <v>15</v>
      </c>
      <c r="B105" s="2" t="s">
        <v>215</v>
      </c>
      <c r="C105" s="2"/>
      <c r="D105" s="3"/>
      <c r="F105" s="2"/>
    </row>
    <row r="106" spans="1:6" ht="15.75" thickBot="1" x14ac:dyDescent="0.3">
      <c r="A106" s="2">
        <v>15</v>
      </c>
      <c r="B106" s="27" t="s">
        <v>221</v>
      </c>
      <c r="C106" s="2"/>
      <c r="D106" s="3"/>
      <c r="F106" s="2"/>
    </row>
    <row r="107" spans="1:6" x14ac:dyDescent="0.25">
      <c r="A107" s="2">
        <v>16</v>
      </c>
      <c r="B107" s="19" t="s">
        <v>186</v>
      </c>
      <c r="C107" s="2"/>
      <c r="D107" s="3"/>
      <c r="F107" s="2"/>
    </row>
    <row r="108" spans="1:6" x14ac:dyDescent="0.25">
      <c r="A108" s="2">
        <v>16</v>
      </c>
      <c r="B108" s="2" t="s">
        <v>192</v>
      </c>
      <c r="C108" s="2"/>
      <c r="D108" s="3"/>
      <c r="F108" s="2"/>
    </row>
    <row r="109" spans="1:6" x14ac:dyDescent="0.25">
      <c r="A109" s="2">
        <v>16</v>
      </c>
      <c r="B109" s="2" t="s">
        <v>198</v>
      </c>
      <c r="C109" s="2"/>
      <c r="D109" s="3"/>
      <c r="F109" s="2"/>
    </row>
    <row r="110" spans="1:6" x14ac:dyDescent="0.25">
      <c r="A110" s="2">
        <v>16</v>
      </c>
      <c r="B110" s="2" t="s">
        <v>204</v>
      </c>
      <c r="C110" s="2"/>
      <c r="D110" s="3"/>
      <c r="F110" s="2"/>
    </row>
    <row r="111" spans="1:6" x14ac:dyDescent="0.25">
      <c r="A111" s="2">
        <v>16</v>
      </c>
      <c r="B111" s="2" t="s">
        <v>210</v>
      </c>
      <c r="C111" s="2"/>
      <c r="D111" s="3"/>
      <c r="F111" s="2"/>
    </row>
    <row r="112" spans="1:6" x14ac:dyDescent="0.25">
      <c r="A112" s="2">
        <v>16</v>
      </c>
      <c r="B112" s="2" t="s">
        <v>215</v>
      </c>
      <c r="C112" s="2"/>
      <c r="D112" s="3"/>
      <c r="F112" s="2"/>
    </row>
    <row r="113" spans="1:6" ht="15.75" thickBot="1" x14ac:dyDescent="0.3">
      <c r="A113" s="2">
        <v>16</v>
      </c>
      <c r="B113" s="27" t="s">
        <v>221</v>
      </c>
      <c r="C113" s="2"/>
      <c r="D113" s="3"/>
      <c r="F113" s="2"/>
    </row>
    <row r="114" spans="1:6" x14ac:dyDescent="0.25">
      <c r="A114" s="2">
        <v>17</v>
      </c>
      <c r="B114" s="19" t="s">
        <v>186</v>
      </c>
      <c r="C114" s="2"/>
      <c r="D114" s="3"/>
      <c r="F114" s="2"/>
    </row>
    <row r="115" spans="1:6" x14ac:dyDescent="0.25">
      <c r="A115" s="2">
        <v>17</v>
      </c>
      <c r="B115" s="2" t="s">
        <v>192</v>
      </c>
      <c r="C115" s="2"/>
      <c r="D115" s="3"/>
      <c r="F115" s="2"/>
    </row>
    <row r="116" spans="1:6" x14ac:dyDescent="0.25">
      <c r="A116" s="2">
        <v>17</v>
      </c>
      <c r="B116" s="2" t="s">
        <v>198</v>
      </c>
      <c r="C116" s="2"/>
      <c r="D116" s="3"/>
      <c r="F116" s="2"/>
    </row>
    <row r="117" spans="1:6" x14ac:dyDescent="0.25">
      <c r="A117" s="2">
        <v>17</v>
      </c>
      <c r="B117" s="2" t="s">
        <v>204</v>
      </c>
      <c r="C117" s="2"/>
      <c r="D117" s="3"/>
      <c r="F117" s="2"/>
    </row>
    <row r="118" spans="1:6" x14ac:dyDescent="0.25">
      <c r="A118" s="2">
        <v>17</v>
      </c>
      <c r="B118" s="2" t="s">
        <v>210</v>
      </c>
      <c r="C118" s="2"/>
      <c r="D118" s="3"/>
      <c r="F118" s="2"/>
    </row>
    <row r="119" spans="1:6" x14ac:dyDescent="0.25">
      <c r="A119" s="2">
        <v>17</v>
      </c>
      <c r="B119" s="2" t="s">
        <v>215</v>
      </c>
      <c r="C119" s="2"/>
      <c r="D119" s="3"/>
      <c r="F119" s="2"/>
    </row>
    <row r="120" spans="1:6" ht="15.75" thickBot="1" x14ac:dyDescent="0.3">
      <c r="A120" s="2">
        <v>17</v>
      </c>
      <c r="B120" s="27" t="s">
        <v>221</v>
      </c>
      <c r="C120" s="2"/>
      <c r="D120" s="3"/>
      <c r="F120" s="2"/>
    </row>
    <row r="121" spans="1:6" x14ac:dyDescent="0.25">
      <c r="A121" s="2">
        <v>18</v>
      </c>
      <c r="B121" s="19" t="s">
        <v>186</v>
      </c>
      <c r="C121" s="2"/>
      <c r="D121" s="3"/>
      <c r="F121" s="2"/>
    </row>
    <row r="122" spans="1:6" x14ac:dyDescent="0.25">
      <c r="A122" s="2">
        <v>18</v>
      </c>
      <c r="B122" s="2" t="s">
        <v>192</v>
      </c>
      <c r="C122" s="2"/>
      <c r="D122" s="3"/>
      <c r="F122" s="2"/>
    </row>
    <row r="123" spans="1:6" x14ac:dyDescent="0.25">
      <c r="A123" s="2">
        <v>18</v>
      </c>
      <c r="B123" s="2" t="s">
        <v>198</v>
      </c>
      <c r="C123" s="2"/>
      <c r="D123" s="3"/>
      <c r="F123" s="2"/>
    </row>
    <row r="124" spans="1:6" x14ac:dyDescent="0.25">
      <c r="A124" s="2">
        <v>18</v>
      </c>
      <c r="B124" s="2" t="s">
        <v>204</v>
      </c>
      <c r="C124" s="2"/>
      <c r="D124" s="3"/>
      <c r="F124" s="2"/>
    </row>
    <row r="125" spans="1:6" x14ac:dyDescent="0.25">
      <c r="A125" s="2">
        <v>18</v>
      </c>
      <c r="B125" s="2" t="s">
        <v>210</v>
      </c>
      <c r="C125" s="2"/>
      <c r="D125" s="3"/>
      <c r="F125" s="2"/>
    </row>
    <row r="126" spans="1:6" x14ac:dyDescent="0.25">
      <c r="A126" s="2">
        <v>18</v>
      </c>
      <c r="B126" s="2" t="s">
        <v>215</v>
      </c>
      <c r="C126" s="2"/>
      <c r="D126" s="3"/>
      <c r="F126" s="2"/>
    </row>
    <row r="127" spans="1:6" ht="15.75" thickBot="1" x14ac:dyDescent="0.3">
      <c r="A127" s="2">
        <v>18</v>
      </c>
      <c r="B127" s="27" t="s">
        <v>221</v>
      </c>
      <c r="C127" s="2"/>
      <c r="D127" s="3"/>
      <c r="F127" s="2"/>
    </row>
    <row r="128" spans="1:6" x14ac:dyDescent="0.25">
      <c r="A128" s="2">
        <v>19</v>
      </c>
      <c r="B128" s="19" t="s">
        <v>186</v>
      </c>
      <c r="C128" s="2"/>
      <c r="D128" s="3"/>
      <c r="F128" s="2"/>
    </row>
    <row r="129" spans="1:6" x14ac:dyDescent="0.25">
      <c r="A129" s="2">
        <v>19</v>
      </c>
      <c r="B129" s="2" t="s">
        <v>192</v>
      </c>
      <c r="C129" s="2"/>
      <c r="D129" s="3"/>
      <c r="F129" s="2"/>
    </row>
    <row r="130" spans="1:6" x14ac:dyDescent="0.25">
      <c r="A130" s="2">
        <v>19</v>
      </c>
      <c r="B130" s="2" t="s">
        <v>198</v>
      </c>
      <c r="C130" s="2"/>
      <c r="D130" s="3"/>
      <c r="F130" s="2"/>
    </row>
    <row r="131" spans="1:6" x14ac:dyDescent="0.25">
      <c r="A131" s="2">
        <v>19</v>
      </c>
      <c r="B131" s="2" t="s">
        <v>204</v>
      </c>
      <c r="C131" s="2"/>
      <c r="D131" s="3"/>
      <c r="F131" s="2"/>
    </row>
    <row r="132" spans="1:6" x14ac:dyDescent="0.25">
      <c r="A132" s="2">
        <v>19</v>
      </c>
      <c r="B132" s="2" t="s">
        <v>210</v>
      </c>
      <c r="C132" s="2"/>
      <c r="D132" s="3"/>
      <c r="F132" s="2"/>
    </row>
    <row r="133" spans="1:6" x14ac:dyDescent="0.25">
      <c r="A133" s="2">
        <v>19</v>
      </c>
      <c r="B133" s="2" t="s">
        <v>215</v>
      </c>
      <c r="C133" s="2"/>
      <c r="D133" s="3"/>
      <c r="F133" s="2"/>
    </row>
    <row r="134" spans="1:6" ht="15.75" thickBot="1" x14ac:dyDescent="0.3">
      <c r="A134" s="2">
        <v>19</v>
      </c>
      <c r="B134" s="27" t="s">
        <v>221</v>
      </c>
      <c r="C134" s="2"/>
      <c r="D134" s="3"/>
      <c r="F134" s="2"/>
    </row>
    <row r="135" spans="1:6" x14ac:dyDescent="0.25">
      <c r="A135" s="2">
        <v>20</v>
      </c>
      <c r="B135" s="19" t="s">
        <v>186</v>
      </c>
      <c r="C135" s="2"/>
      <c r="D135" s="3"/>
      <c r="F135" s="2"/>
    </row>
    <row r="136" spans="1:6" x14ac:dyDescent="0.25">
      <c r="A136" s="2">
        <v>20</v>
      </c>
      <c r="B136" s="2" t="s">
        <v>192</v>
      </c>
      <c r="C136" s="2"/>
      <c r="D136" s="3"/>
      <c r="F136" s="2"/>
    </row>
    <row r="137" spans="1:6" x14ac:dyDescent="0.25">
      <c r="A137" s="2">
        <v>20</v>
      </c>
      <c r="B137" s="2" t="s">
        <v>198</v>
      </c>
      <c r="C137" s="2"/>
      <c r="D137" s="3"/>
      <c r="F137" s="2"/>
    </row>
    <row r="138" spans="1:6" x14ac:dyDescent="0.25">
      <c r="A138" s="2">
        <v>20</v>
      </c>
      <c r="B138" s="2" t="s">
        <v>204</v>
      </c>
      <c r="C138" s="2"/>
      <c r="D138" s="3"/>
      <c r="F138" s="2"/>
    </row>
    <row r="139" spans="1:6" x14ac:dyDescent="0.25">
      <c r="A139" s="2">
        <v>20</v>
      </c>
      <c r="B139" s="2" t="s">
        <v>210</v>
      </c>
      <c r="C139" s="2"/>
      <c r="D139" s="3"/>
      <c r="F139" s="2"/>
    </row>
    <row r="140" spans="1:6" x14ac:dyDescent="0.25">
      <c r="A140" s="2">
        <v>20</v>
      </c>
      <c r="B140" s="2" t="s">
        <v>215</v>
      </c>
      <c r="C140" s="2"/>
      <c r="D140" s="3"/>
      <c r="F140" s="2"/>
    </row>
    <row r="141" spans="1:6" ht="15.75" thickBot="1" x14ac:dyDescent="0.3">
      <c r="A141" s="2">
        <v>20</v>
      </c>
      <c r="B141" s="27" t="s">
        <v>221</v>
      </c>
      <c r="C141" s="2"/>
      <c r="D141" s="3"/>
      <c r="F141" s="2"/>
    </row>
    <row r="142" spans="1:6" x14ac:dyDescent="0.25">
      <c r="A142" s="2">
        <v>21</v>
      </c>
      <c r="B142" s="19" t="s">
        <v>186</v>
      </c>
      <c r="C142" s="2"/>
      <c r="D142" s="3"/>
      <c r="F142" s="2"/>
    </row>
    <row r="143" spans="1:6" x14ac:dyDescent="0.25">
      <c r="A143" s="2">
        <v>21</v>
      </c>
      <c r="B143" s="2" t="s">
        <v>192</v>
      </c>
      <c r="C143" s="2"/>
      <c r="D143" s="3"/>
      <c r="F143" s="2"/>
    </row>
    <row r="144" spans="1:6" x14ac:dyDescent="0.25">
      <c r="A144" s="2">
        <v>21</v>
      </c>
      <c r="B144" s="2" t="s">
        <v>198</v>
      </c>
      <c r="C144" s="2"/>
      <c r="D144" s="3"/>
      <c r="F144" s="2"/>
    </row>
    <row r="145" spans="1:6" x14ac:dyDescent="0.25">
      <c r="A145" s="2">
        <v>21</v>
      </c>
      <c r="B145" s="2" t="s">
        <v>204</v>
      </c>
      <c r="C145" s="2"/>
      <c r="D145" s="3"/>
      <c r="F145" s="2"/>
    </row>
    <row r="146" spans="1:6" x14ac:dyDescent="0.25">
      <c r="A146" s="2">
        <v>21</v>
      </c>
      <c r="B146" s="2" t="s">
        <v>210</v>
      </c>
      <c r="C146" s="2"/>
      <c r="D146" s="3"/>
      <c r="F146" s="2"/>
    </row>
    <row r="147" spans="1:6" x14ac:dyDescent="0.25">
      <c r="A147" s="2">
        <v>21</v>
      </c>
      <c r="B147" s="2" t="s">
        <v>215</v>
      </c>
      <c r="C147" s="2"/>
      <c r="D147" s="3"/>
      <c r="F147" s="2"/>
    </row>
    <row r="148" spans="1:6" ht="15.75" thickBot="1" x14ac:dyDescent="0.3">
      <c r="A148" s="2">
        <v>21</v>
      </c>
      <c r="B148" s="27" t="s">
        <v>221</v>
      </c>
      <c r="C148" s="2"/>
      <c r="D148" s="3"/>
      <c r="F148" s="2"/>
    </row>
    <row r="149" spans="1:6" x14ac:dyDescent="0.25">
      <c r="A149" s="2">
        <v>22</v>
      </c>
      <c r="B149" s="19" t="s">
        <v>186</v>
      </c>
      <c r="C149" s="2"/>
      <c r="D149" s="3"/>
      <c r="F149" s="2"/>
    </row>
    <row r="150" spans="1:6" x14ac:dyDescent="0.25">
      <c r="A150" s="2">
        <v>22</v>
      </c>
      <c r="B150" s="2" t="s">
        <v>192</v>
      </c>
      <c r="C150" s="2"/>
      <c r="D150" s="3"/>
      <c r="F150" s="2"/>
    </row>
    <row r="151" spans="1:6" x14ac:dyDescent="0.25">
      <c r="A151" s="2">
        <v>22</v>
      </c>
      <c r="B151" s="2" t="s">
        <v>198</v>
      </c>
      <c r="C151" s="2"/>
      <c r="D151" s="3"/>
      <c r="F151" s="2"/>
    </row>
    <row r="152" spans="1:6" x14ac:dyDescent="0.25">
      <c r="A152" s="2">
        <v>22</v>
      </c>
      <c r="B152" s="2" t="s">
        <v>204</v>
      </c>
      <c r="C152" s="2"/>
      <c r="D152" s="3"/>
      <c r="F152" s="2"/>
    </row>
    <row r="153" spans="1:6" x14ac:dyDescent="0.25">
      <c r="A153" s="2">
        <v>22</v>
      </c>
      <c r="B153" s="2" t="s">
        <v>210</v>
      </c>
      <c r="C153" s="2"/>
      <c r="D153" s="3"/>
      <c r="F153" s="2"/>
    </row>
    <row r="154" spans="1:6" x14ac:dyDescent="0.25">
      <c r="A154" s="2">
        <v>22</v>
      </c>
      <c r="B154" s="2" t="s">
        <v>215</v>
      </c>
      <c r="C154" s="2"/>
      <c r="D154" s="3"/>
      <c r="F154" s="2"/>
    </row>
    <row r="155" spans="1:6" ht="15.75" thickBot="1" x14ac:dyDescent="0.3">
      <c r="A155" s="2">
        <v>22</v>
      </c>
      <c r="B155" s="27" t="s">
        <v>221</v>
      </c>
      <c r="C155" s="2"/>
      <c r="D155" s="3"/>
      <c r="F155" s="2"/>
    </row>
    <row r="156" spans="1:6" x14ac:dyDescent="0.25">
      <c r="A156" s="2">
        <v>23</v>
      </c>
      <c r="B156" s="19" t="s">
        <v>186</v>
      </c>
      <c r="C156" s="2"/>
      <c r="D156" s="3"/>
      <c r="F156" s="2"/>
    </row>
    <row r="157" spans="1:6" x14ac:dyDescent="0.25">
      <c r="A157" s="2">
        <v>23</v>
      </c>
      <c r="B157" s="2" t="s">
        <v>192</v>
      </c>
      <c r="C157" s="2"/>
      <c r="D157" s="3"/>
      <c r="F157" s="2"/>
    </row>
    <row r="158" spans="1:6" x14ac:dyDescent="0.25">
      <c r="A158" s="2">
        <v>23</v>
      </c>
      <c r="B158" s="2" t="s">
        <v>198</v>
      </c>
      <c r="C158" s="2"/>
      <c r="D158" s="3"/>
      <c r="F158" s="2"/>
    </row>
    <row r="159" spans="1:6" x14ac:dyDescent="0.25">
      <c r="A159" s="2">
        <v>23</v>
      </c>
      <c r="B159" s="2" t="s">
        <v>204</v>
      </c>
      <c r="C159" s="2"/>
      <c r="D159" s="3"/>
      <c r="F159" s="2"/>
    </row>
    <row r="160" spans="1:6" x14ac:dyDescent="0.25">
      <c r="A160" s="2">
        <v>23</v>
      </c>
      <c r="B160" s="2" t="s">
        <v>210</v>
      </c>
      <c r="C160" s="2"/>
      <c r="D160" s="3"/>
      <c r="F160" s="2"/>
    </row>
    <row r="161" spans="1:6" x14ac:dyDescent="0.25">
      <c r="A161" s="2">
        <v>23</v>
      </c>
      <c r="B161" s="2" t="s">
        <v>215</v>
      </c>
      <c r="C161" s="2"/>
      <c r="D161" s="3"/>
      <c r="F161" s="2"/>
    </row>
    <row r="162" spans="1:6" ht="15.75" thickBot="1" x14ac:dyDescent="0.3">
      <c r="A162" s="2">
        <v>23</v>
      </c>
      <c r="B162" s="27" t="s">
        <v>221</v>
      </c>
      <c r="C162" s="2"/>
      <c r="D162" s="3"/>
      <c r="F162" s="2"/>
    </row>
    <row r="163" spans="1:6" x14ac:dyDescent="0.25">
      <c r="A163" s="2">
        <v>24</v>
      </c>
      <c r="B163" s="19" t="s">
        <v>186</v>
      </c>
      <c r="C163" s="2"/>
      <c r="D163" s="3"/>
      <c r="F163" s="2"/>
    </row>
    <row r="164" spans="1:6" x14ac:dyDescent="0.25">
      <c r="A164" s="2">
        <v>24</v>
      </c>
      <c r="B164" s="2" t="s">
        <v>192</v>
      </c>
      <c r="C164" s="2"/>
      <c r="D164" s="3"/>
      <c r="F164" s="2"/>
    </row>
    <row r="165" spans="1:6" x14ac:dyDescent="0.25">
      <c r="A165" s="2">
        <v>24</v>
      </c>
      <c r="B165" s="2" t="s">
        <v>198</v>
      </c>
      <c r="C165" s="2"/>
      <c r="D165" s="3"/>
      <c r="F165" s="2"/>
    </row>
    <row r="166" spans="1:6" x14ac:dyDescent="0.25">
      <c r="A166" s="2">
        <v>24</v>
      </c>
      <c r="B166" s="2" t="s">
        <v>204</v>
      </c>
      <c r="C166" s="2"/>
      <c r="D166" s="3"/>
      <c r="F166" s="2"/>
    </row>
    <row r="167" spans="1:6" x14ac:dyDescent="0.25">
      <c r="A167" s="2">
        <v>24</v>
      </c>
      <c r="B167" s="2" t="s">
        <v>210</v>
      </c>
      <c r="C167" s="2"/>
      <c r="D167" s="3"/>
      <c r="F167" s="2"/>
    </row>
    <row r="168" spans="1:6" x14ac:dyDescent="0.25">
      <c r="A168" s="2">
        <v>24</v>
      </c>
      <c r="B168" s="2" t="s">
        <v>215</v>
      </c>
      <c r="C168" s="2"/>
      <c r="D168" s="3"/>
      <c r="F168" s="2"/>
    </row>
    <row r="169" spans="1:6" ht="15.75" thickBot="1" x14ac:dyDescent="0.3">
      <c r="A169" s="2">
        <v>24</v>
      </c>
      <c r="B169" s="27" t="s">
        <v>221</v>
      </c>
      <c r="C169" s="2"/>
      <c r="D169" s="3"/>
      <c r="F169" s="2"/>
    </row>
    <row r="170" spans="1:6" x14ac:dyDescent="0.25">
      <c r="A170" s="2">
        <v>25</v>
      </c>
      <c r="B170" s="19" t="s">
        <v>186</v>
      </c>
      <c r="C170" s="2"/>
      <c r="D170" s="3"/>
      <c r="F170" s="2"/>
    </row>
    <row r="171" spans="1:6" x14ac:dyDescent="0.25">
      <c r="A171" s="2">
        <v>25</v>
      </c>
      <c r="B171" s="2" t="s">
        <v>192</v>
      </c>
      <c r="C171" s="2"/>
      <c r="D171" s="3"/>
      <c r="F171" s="2"/>
    </row>
    <row r="172" spans="1:6" x14ac:dyDescent="0.25">
      <c r="A172" s="2">
        <v>25</v>
      </c>
      <c r="B172" s="2" t="s">
        <v>198</v>
      </c>
      <c r="C172" s="2"/>
      <c r="D172" s="3"/>
      <c r="F172" s="2"/>
    </row>
    <row r="173" spans="1:6" x14ac:dyDescent="0.25">
      <c r="A173" s="2">
        <v>25</v>
      </c>
      <c r="B173" s="2" t="s">
        <v>204</v>
      </c>
      <c r="C173" s="2"/>
      <c r="D173" s="3"/>
      <c r="F173" s="2"/>
    </row>
    <row r="174" spans="1:6" x14ac:dyDescent="0.25">
      <c r="A174" s="2">
        <v>25</v>
      </c>
      <c r="B174" s="2" t="s">
        <v>210</v>
      </c>
      <c r="C174" s="2"/>
      <c r="D174" s="3"/>
      <c r="F174" s="2"/>
    </row>
    <row r="175" spans="1:6" x14ac:dyDescent="0.25">
      <c r="A175" s="2">
        <v>25</v>
      </c>
      <c r="B175" s="2" t="s">
        <v>215</v>
      </c>
      <c r="C175" s="2"/>
      <c r="D175" s="3"/>
      <c r="F175" s="2"/>
    </row>
    <row r="176" spans="1:6" ht="15.75" thickBot="1" x14ac:dyDescent="0.3">
      <c r="A176" s="2">
        <v>25</v>
      </c>
      <c r="B176" s="27" t="s">
        <v>221</v>
      </c>
      <c r="C176" s="2"/>
      <c r="D176" s="3"/>
      <c r="F176" s="2"/>
    </row>
    <row r="177" spans="1:6" x14ac:dyDescent="0.25">
      <c r="A177" s="2">
        <v>26</v>
      </c>
      <c r="B177" s="19" t="s">
        <v>186</v>
      </c>
      <c r="C177" s="2"/>
      <c r="D177" s="3"/>
      <c r="F177" s="2"/>
    </row>
    <row r="178" spans="1:6" x14ac:dyDescent="0.25">
      <c r="A178" s="2">
        <v>26</v>
      </c>
      <c r="B178" s="2" t="s">
        <v>192</v>
      </c>
      <c r="C178" s="2"/>
      <c r="D178" s="3"/>
      <c r="F178" s="2"/>
    </row>
    <row r="179" spans="1:6" x14ac:dyDescent="0.25">
      <c r="A179" s="2">
        <v>26</v>
      </c>
      <c r="B179" s="2" t="s">
        <v>198</v>
      </c>
      <c r="C179" s="2"/>
      <c r="D179" s="3"/>
      <c r="F179" s="2"/>
    </row>
    <row r="180" spans="1:6" x14ac:dyDescent="0.25">
      <c r="A180" s="2">
        <v>26</v>
      </c>
      <c r="B180" s="2" t="s">
        <v>204</v>
      </c>
      <c r="C180" s="2"/>
      <c r="D180" s="3"/>
      <c r="F180" s="2"/>
    </row>
    <row r="181" spans="1:6" x14ac:dyDescent="0.25">
      <c r="A181" s="2">
        <v>26</v>
      </c>
      <c r="B181" s="2" t="s">
        <v>210</v>
      </c>
      <c r="C181" s="2"/>
      <c r="D181" s="3"/>
      <c r="F181" s="2"/>
    </row>
    <row r="182" spans="1:6" x14ac:dyDescent="0.25">
      <c r="A182" s="2">
        <v>26</v>
      </c>
      <c r="B182" s="2" t="s">
        <v>215</v>
      </c>
      <c r="C182" s="2"/>
      <c r="D182" s="3"/>
      <c r="F182" s="2"/>
    </row>
    <row r="183" spans="1:6" ht="15.75" thickBot="1" x14ac:dyDescent="0.3">
      <c r="A183" s="2">
        <v>26</v>
      </c>
      <c r="B183" s="27" t="s">
        <v>221</v>
      </c>
      <c r="C183" s="2"/>
      <c r="D183" s="3"/>
      <c r="F183" s="2"/>
    </row>
    <row r="184" spans="1:6" x14ac:dyDescent="0.25">
      <c r="A184" s="2">
        <v>27</v>
      </c>
      <c r="B184" s="19" t="s">
        <v>186</v>
      </c>
      <c r="C184" s="2"/>
      <c r="D184" s="3"/>
      <c r="F184" s="2"/>
    </row>
    <row r="185" spans="1:6" x14ac:dyDescent="0.25">
      <c r="A185" s="2">
        <v>27</v>
      </c>
      <c r="B185" s="2" t="s">
        <v>192</v>
      </c>
      <c r="C185" s="2"/>
      <c r="D185" s="3"/>
      <c r="F185" s="2"/>
    </row>
    <row r="186" spans="1:6" x14ac:dyDescent="0.25">
      <c r="A186" s="2">
        <v>27</v>
      </c>
      <c r="B186" s="2" t="s">
        <v>198</v>
      </c>
      <c r="C186" s="2"/>
      <c r="D186" s="3"/>
      <c r="F186" s="2"/>
    </row>
    <row r="187" spans="1:6" x14ac:dyDescent="0.25">
      <c r="A187" s="2">
        <v>27</v>
      </c>
      <c r="B187" s="2" t="s">
        <v>204</v>
      </c>
      <c r="C187" s="2"/>
      <c r="D187" s="3"/>
      <c r="F187" s="2"/>
    </row>
    <row r="188" spans="1:6" x14ac:dyDescent="0.25">
      <c r="A188" s="2">
        <v>27</v>
      </c>
      <c r="B188" s="2" t="s">
        <v>210</v>
      </c>
      <c r="C188" s="2"/>
      <c r="D188" s="3"/>
      <c r="F188" s="2"/>
    </row>
    <row r="189" spans="1:6" x14ac:dyDescent="0.25">
      <c r="A189" s="2">
        <v>27</v>
      </c>
      <c r="B189" s="2" t="s">
        <v>215</v>
      </c>
      <c r="C189" s="2"/>
      <c r="D189" s="3"/>
      <c r="F189" s="2"/>
    </row>
    <row r="190" spans="1:6" ht="15.75" thickBot="1" x14ac:dyDescent="0.3">
      <c r="A190" s="2">
        <v>27</v>
      </c>
      <c r="B190" s="27" t="s">
        <v>221</v>
      </c>
      <c r="C190" s="2"/>
      <c r="D190" s="3"/>
      <c r="F190" s="2"/>
    </row>
    <row r="191" spans="1:6" x14ac:dyDescent="0.25">
      <c r="A191" s="2">
        <v>28</v>
      </c>
      <c r="B191" s="19" t="s">
        <v>186</v>
      </c>
      <c r="C191" s="2"/>
      <c r="D191" s="3"/>
      <c r="F191" s="2"/>
    </row>
    <row r="192" spans="1:6" x14ac:dyDescent="0.25">
      <c r="A192" s="2">
        <v>28</v>
      </c>
      <c r="B192" s="2" t="s">
        <v>192</v>
      </c>
      <c r="C192" s="2"/>
      <c r="D192" s="3"/>
      <c r="F192" s="2"/>
    </row>
    <row r="193" spans="1:6" x14ac:dyDescent="0.25">
      <c r="A193" s="2">
        <v>28</v>
      </c>
      <c r="B193" s="2" t="s">
        <v>198</v>
      </c>
      <c r="C193" s="2"/>
      <c r="D193" s="3"/>
      <c r="F193" s="2"/>
    </row>
    <row r="194" spans="1:6" x14ac:dyDescent="0.25">
      <c r="A194" s="2">
        <v>28</v>
      </c>
      <c r="B194" s="2" t="s">
        <v>204</v>
      </c>
      <c r="C194" s="2"/>
      <c r="D194" s="3"/>
      <c r="F194" s="2"/>
    </row>
    <row r="195" spans="1:6" x14ac:dyDescent="0.25">
      <c r="A195" s="2">
        <v>28</v>
      </c>
      <c r="B195" s="2" t="s">
        <v>210</v>
      </c>
      <c r="C195" s="2"/>
      <c r="D195" s="3"/>
      <c r="F195" s="2"/>
    </row>
    <row r="196" spans="1:6" x14ac:dyDescent="0.25">
      <c r="A196" s="2">
        <v>28</v>
      </c>
      <c r="B196" s="2" t="s">
        <v>215</v>
      </c>
      <c r="C196" s="2"/>
      <c r="D196" s="3"/>
      <c r="F196" s="2"/>
    </row>
    <row r="197" spans="1:6" ht="15.75" thickBot="1" x14ac:dyDescent="0.3">
      <c r="A197" s="2">
        <v>28</v>
      </c>
      <c r="B197" s="27" t="s">
        <v>221</v>
      </c>
      <c r="C197" s="2"/>
      <c r="D197" s="3"/>
      <c r="F197" s="2"/>
    </row>
    <row r="198" spans="1:6" x14ac:dyDescent="0.25">
      <c r="A198" s="2">
        <v>29</v>
      </c>
      <c r="B198" s="19" t="s">
        <v>186</v>
      </c>
      <c r="C198" s="2"/>
      <c r="D198" s="3"/>
      <c r="F198" s="2"/>
    </row>
    <row r="199" spans="1:6" x14ac:dyDescent="0.25">
      <c r="A199" s="2">
        <v>29</v>
      </c>
      <c r="B199" s="2" t="s">
        <v>192</v>
      </c>
      <c r="C199" s="2"/>
      <c r="D199" s="3"/>
      <c r="F199" s="2"/>
    </row>
    <row r="200" spans="1:6" x14ac:dyDescent="0.25">
      <c r="A200" s="2">
        <v>29</v>
      </c>
      <c r="B200" s="2" t="s">
        <v>198</v>
      </c>
      <c r="C200" s="2"/>
      <c r="D200" s="3"/>
      <c r="F200" s="2"/>
    </row>
    <row r="201" spans="1:6" x14ac:dyDescent="0.25">
      <c r="A201" s="2">
        <v>29</v>
      </c>
      <c r="B201" s="2" t="s">
        <v>204</v>
      </c>
      <c r="C201" s="2"/>
      <c r="D201" s="3"/>
      <c r="F201" s="2"/>
    </row>
    <row r="202" spans="1:6" x14ac:dyDescent="0.25">
      <c r="A202" s="2">
        <v>29</v>
      </c>
      <c r="B202" s="2" t="s">
        <v>210</v>
      </c>
      <c r="C202" s="2"/>
      <c r="D202" s="3"/>
      <c r="F202" s="2"/>
    </row>
    <row r="203" spans="1:6" x14ac:dyDescent="0.25">
      <c r="A203" s="2">
        <v>29</v>
      </c>
      <c r="B203" s="2" t="s">
        <v>215</v>
      </c>
      <c r="C203" s="2"/>
      <c r="D203" s="3"/>
      <c r="F203" s="2"/>
    </row>
    <row r="204" spans="1:6" ht="15.75" thickBot="1" x14ac:dyDescent="0.3">
      <c r="A204" s="2">
        <v>29</v>
      </c>
      <c r="B204" s="27" t="s">
        <v>221</v>
      </c>
      <c r="C204" s="2"/>
      <c r="D204" s="3"/>
      <c r="F204" s="2"/>
    </row>
    <row r="205" spans="1:6" x14ac:dyDescent="0.25">
      <c r="A205" s="2">
        <v>30</v>
      </c>
      <c r="B205" s="19" t="s">
        <v>186</v>
      </c>
      <c r="C205" s="2"/>
      <c r="D205" s="3"/>
      <c r="F205" s="2"/>
    </row>
    <row r="206" spans="1:6" x14ac:dyDescent="0.25">
      <c r="A206" s="2">
        <v>30</v>
      </c>
      <c r="B206" s="2" t="s">
        <v>192</v>
      </c>
      <c r="C206" s="2"/>
      <c r="D206" s="3"/>
      <c r="F206" s="2"/>
    </row>
    <row r="207" spans="1:6" x14ac:dyDescent="0.25">
      <c r="A207" s="2">
        <v>30</v>
      </c>
      <c r="B207" s="2" t="s">
        <v>198</v>
      </c>
      <c r="C207" s="2"/>
      <c r="D207" s="3"/>
      <c r="F207" s="2"/>
    </row>
    <row r="208" spans="1:6" x14ac:dyDescent="0.25">
      <c r="A208" s="2">
        <v>30</v>
      </c>
      <c r="B208" s="2" t="s">
        <v>204</v>
      </c>
      <c r="C208" s="2"/>
      <c r="D208" s="3"/>
      <c r="F208" s="2"/>
    </row>
    <row r="209" spans="1:6" x14ac:dyDescent="0.25">
      <c r="A209" s="2">
        <v>30</v>
      </c>
      <c r="B209" s="2" t="s">
        <v>210</v>
      </c>
      <c r="C209" s="2"/>
      <c r="D209" s="3"/>
      <c r="F209" s="2"/>
    </row>
    <row r="210" spans="1:6" x14ac:dyDescent="0.25">
      <c r="A210" s="2">
        <v>30</v>
      </c>
      <c r="B210" s="2" t="s">
        <v>215</v>
      </c>
      <c r="C210" s="2"/>
      <c r="D210" s="3"/>
      <c r="F210" s="2"/>
    </row>
    <row r="211" spans="1:6" ht="15.75" thickBot="1" x14ac:dyDescent="0.3">
      <c r="A211" s="2">
        <v>30</v>
      </c>
      <c r="B211" s="27" t="s">
        <v>221</v>
      </c>
      <c r="C211" s="2"/>
      <c r="D211" s="3"/>
      <c r="F211" s="2"/>
    </row>
    <row r="212" spans="1:6" x14ac:dyDescent="0.25">
      <c r="A212" s="2">
        <v>31</v>
      </c>
      <c r="B212" s="19" t="s">
        <v>186</v>
      </c>
      <c r="C212" s="2"/>
      <c r="D212" s="3"/>
      <c r="F212" s="2"/>
    </row>
    <row r="213" spans="1:6" x14ac:dyDescent="0.25">
      <c r="A213" s="2">
        <v>31</v>
      </c>
      <c r="B213" s="2" t="s">
        <v>192</v>
      </c>
      <c r="C213" s="2"/>
      <c r="D213" s="3"/>
      <c r="F213" s="2"/>
    </row>
    <row r="214" spans="1:6" x14ac:dyDescent="0.25">
      <c r="A214" s="2">
        <v>31</v>
      </c>
      <c r="B214" s="2" t="s">
        <v>198</v>
      </c>
      <c r="C214" s="2"/>
      <c r="D214" s="3"/>
      <c r="F214" s="2"/>
    </row>
    <row r="215" spans="1:6" x14ac:dyDescent="0.25">
      <c r="A215" s="2">
        <v>31</v>
      </c>
      <c r="B215" s="2" t="s">
        <v>204</v>
      </c>
      <c r="C215" s="2"/>
      <c r="D215" s="3"/>
      <c r="F215" s="2"/>
    </row>
    <row r="216" spans="1:6" x14ac:dyDescent="0.25">
      <c r="A216" s="2">
        <v>31</v>
      </c>
      <c r="B216" s="2" t="s">
        <v>210</v>
      </c>
      <c r="C216" s="2"/>
      <c r="D216" s="3"/>
      <c r="F216" s="2"/>
    </row>
    <row r="217" spans="1:6" x14ac:dyDescent="0.25">
      <c r="A217" s="2">
        <v>31</v>
      </c>
      <c r="B217" s="2" t="s">
        <v>215</v>
      </c>
      <c r="C217" s="2"/>
      <c r="D217" s="3"/>
      <c r="F217" s="2"/>
    </row>
    <row r="218" spans="1:6" ht="15.75" thickBot="1" x14ac:dyDescent="0.3">
      <c r="A218" s="2">
        <v>31</v>
      </c>
      <c r="B218" s="27" t="s">
        <v>221</v>
      </c>
      <c r="C218" s="2"/>
      <c r="D218" s="3"/>
      <c r="F218" s="2"/>
    </row>
    <row r="219" spans="1:6" x14ac:dyDescent="0.25">
      <c r="A219" s="2">
        <v>32</v>
      </c>
      <c r="B219" s="19" t="s">
        <v>186</v>
      </c>
      <c r="C219" s="2"/>
      <c r="D219" s="3"/>
      <c r="F219" s="2"/>
    </row>
    <row r="220" spans="1:6" x14ac:dyDescent="0.25">
      <c r="A220" s="2">
        <v>32</v>
      </c>
      <c r="B220" s="2" t="s">
        <v>192</v>
      </c>
      <c r="C220" s="2"/>
      <c r="D220" s="3"/>
      <c r="F220" s="2"/>
    </row>
    <row r="221" spans="1:6" x14ac:dyDescent="0.25">
      <c r="A221" s="2">
        <v>32</v>
      </c>
      <c r="B221" s="2" t="s">
        <v>198</v>
      </c>
      <c r="C221" s="2"/>
      <c r="D221" s="3"/>
      <c r="F221" s="2"/>
    </row>
    <row r="222" spans="1:6" x14ac:dyDescent="0.25">
      <c r="A222" s="2">
        <v>32</v>
      </c>
      <c r="B222" s="2" t="s">
        <v>204</v>
      </c>
      <c r="C222" s="2"/>
      <c r="D222" s="3"/>
      <c r="F222" s="2"/>
    </row>
    <row r="223" spans="1:6" x14ac:dyDescent="0.25">
      <c r="A223" s="2">
        <v>32</v>
      </c>
      <c r="B223" s="2" t="s">
        <v>210</v>
      </c>
      <c r="C223" s="2"/>
      <c r="D223" s="3"/>
      <c r="F223" s="2"/>
    </row>
    <row r="224" spans="1:6" x14ac:dyDescent="0.25">
      <c r="A224" s="2">
        <v>32</v>
      </c>
      <c r="B224" s="2" t="s">
        <v>215</v>
      </c>
      <c r="C224" s="2"/>
      <c r="D224" s="3"/>
      <c r="F224" s="2"/>
    </row>
    <row r="225" spans="1:6" ht="15.75" thickBot="1" x14ac:dyDescent="0.3">
      <c r="A225" s="2">
        <v>32</v>
      </c>
      <c r="B225" s="27" t="s">
        <v>221</v>
      </c>
      <c r="C225" s="2"/>
      <c r="D225" s="3"/>
      <c r="F225" s="2"/>
    </row>
    <row r="226" spans="1:6" x14ac:dyDescent="0.25">
      <c r="A226" s="2">
        <v>33</v>
      </c>
      <c r="B226" s="19" t="s">
        <v>186</v>
      </c>
      <c r="C226" s="2"/>
      <c r="D226" s="3"/>
      <c r="F226" s="2"/>
    </row>
    <row r="227" spans="1:6" x14ac:dyDescent="0.25">
      <c r="A227" s="2">
        <v>33</v>
      </c>
      <c r="B227" s="2" t="s">
        <v>192</v>
      </c>
      <c r="C227" s="2"/>
      <c r="D227" s="3"/>
      <c r="F227" s="2"/>
    </row>
    <row r="228" spans="1:6" x14ac:dyDescent="0.25">
      <c r="A228" s="2">
        <v>33</v>
      </c>
      <c r="B228" s="2" t="s">
        <v>198</v>
      </c>
      <c r="C228" s="2"/>
      <c r="D228" s="3"/>
      <c r="F228" s="2"/>
    </row>
    <row r="229" spans="1:6" x14ac:dyDescent="0.25">
      <c r="A229" s="2">
        <v>33</v>
      </c>
      <c r="B229" s="2" t="s">
        <v>204</v>
      </c>
      <c r="C229" s="2"/>
      <c r="D229" s="3"/>
      <c r="F229" s="2"/>
    </row>
    <row r="230" spans="1:6" x14ac:dyDescent="0.25">
      <c r="A230" s="2">
        <v>33</v>
      </c>
      <c r="B230" s="2" t="s">
        <v>210</v>
      </c>
      <c r="C230" s="2"/>
      <c r="D230" s="3"/>
      <c r="F230" s="2"/>
    </row>
    <row r="231" spans="1:6" x14ac:dyDescent="0.25">
      <c r="A231" s="2">
        <v>33</v>
      </c>
      <c r="B231" s="2" t="s">
        <v>215</v>
      </c>
      <c r="C231" s="2"/>
      <c r="D231" s="3"/>
      <c r="F231" s="2"/>
    </row>
    <row r="232" spans="1:6" ht="15.75" thickBot="1" x14ac:dyDescent="0.3">
      <c r="A232" s="2">
        <v>33</v>
      </c>
      <c r="B232" s="27" t="s">
        <v>221</v>
      </c>
      <c r="C232" s="2"/>
      <c r="D232" s="3"/>
      <c r="F232" s="2"/>
    </row>
    <row r="233" spans="1:6" x14ac:dyDescent="0.25">
      <c r="A233" s="2">
        <v>34</v>
      </c>
      <c r="B233" s="19" t="s">
        <v>186</v>
      </c>
      <c r="C233" s="2"/>
      <c r="D233" s="3"/>
      <c r="F233" s="2"/>
    </row>
    <row r="234" spans="1:6" x14ac:dyDescent="0.25">
      <c r="A234" s="2">
        <v>34</v>
      </c>
      <c r="B234" s="2" t="s">
        <v>192</v>
      </c>
      <c r="C234" s="2"/>
      <c r="D234" s="3"/>
      <c r="F234" s="2"/>
    </row>
    <row r="235" spans="1:6" x14ac:dyDescent="0.25">
      <c r="A235" s="2">
        <v>34</v>
      </c>
      <c r="B235" s="2" t="s">
        <v>198</v>
      </c>
      <c r="C235" s="2"/>
      <c r="D235" s="3"/>
      <c r="F235" s="2"/>
    </row>
    <row r="236" spans="1:6" x14ac:dyDescent="0.25">
      <c r="A236" s="2">
        <v>34</v>
      </c>
      <c r="B236" s="2" t="s">
        <v>204</v>
      </c>
      <c r="C236" s="2"/>
      <c r="D236" s="3"/>
      <c r="F236" s="2"/>
    </row>
    <row r="237" spans="1:6" x14ac:dyDescent="0.25">
      <c r="A237" s="2">
        <v>34</v>
      </c>
      <c r="B237" s="2" t="s">
        <v>210</v>
      </c>
      <c r="C237" s="2"/>
      <c r="D237" s="3"/>
      <c r="F237" s="2"/>
    </row>
    <row r="238" spans="1:6" x14ac:dyDescent="0.25">
      <c r="A238" s="2">
        <v>34</v>
      </c>
      <c r="B238" s="2" t="s">
        <v>215</v>
      </c>
      <c r="C238" s="2"/>
      <c r="D238" s="3"/>
      <c r="F238" s="2"/>
    </row>
    <row r="239" spans="1:6" ht="15.75" thickBot="1" x14ac:dyDescent="0.3">
      <c r="A239" s="2">
        <v>34</v>
      </c>
      <c r="B239" s="27" t="s">
        <v>221</v>
      </c>
      <c r="C239" s="2"/>
      <c r="D239" s="3"/>
      <c r="F239" s="2"/>
    </row>
    <row r="240" spans="1:6" x14ac:dyDescent="0.25">
      <c r="A240" s="2">
        <v>35</v>
      </c>
      <c r="B240" s="19" t="s">
        <v>186</v>
      </c>
      <c r="C240" s="2"/>
      <c r="D240" s="3"/>
      <c r="F240" s="2"/>
    </row>
    <row r="241" spans="1:6" x14ac:dyDescent="0.25">
      <c r="A241" s="2">
        <v>35</v>
      </c>
      <c r="B241" s="2" t="s">
        <v>192</v>
      </c>
      <c r="C241" s="2"/>
      <c r="D241" s="3"/>
      <c r="F241" s="2"/>
    </row>
    <row r="242" spans="1:6" x14ac:dyDescent="0.25">
      <c r="A242" s="2">
        <v>35</v>
      </c>
      <c r="B242" s="2" t="s">
        <v>198</v>
      </c>
      <c r="C242" s="2"/>
      <c r="D242" s="3"/>
      <c r="F242" s="2"/>
    </row>
    <row r="243" spans="1:6" x14ac:dyDescent="0.25">
      <c r="A243" s="2">
        <v>35</v>
      </c>
      <c r="B243" s="2" t="s">
        <v>204</v>
      </c>
      <c r="C243" s="2"/>
      <c r="D243" s="3"/>
      <c r="F243" s="2"/>
    </row>
    <row r="244" spans="1:6" x14ac:dyDescent="0.25">
      <c r="A244" s="2">
        <v>35</v>
      </c>
      <c r="B244" s="2" t="s">
        <v>210</v>
      </c>
      <c r="C244" s="2"/>
      <c r="D244" s="3"/>
      <c r="F244" s="2"/>
    </row>
    <row r="245" spans="1:6" x14ac:dyDescent="0.25">
      <c r="A245" s="2">
        <v>35</v>
      </c>
      <c r="B245" s="2" t="s">
        <v>215</v>
      </c>
      <c r="C245" s="2"/>
      <c r="D245" s="3"/>
      <c r="F245" s="2"/>
    </row>
    <row r="246" spans="1:6" ht="15.75" thickBot="1" x14ac:dyDescent="0.3">
      <c r="A246" s="2">
        <v>35</v>
      </c>
      <c r="B246" s="27" t="s">
        <v>221</v>
      </c>
      <c r="C246" s="2"/>
      <c r="D246" s="3"/>
      <c r="F246" s="2"/>
    </row>
    <row r="247" spans="1:6" x14ac:dyDescent="0.25">
      <c r="A247" s="2">
        <v>36</v>
      </c>
      <c r="B247" s="19" t="s">
        <v>186</v>
      </c>
      <c r="C247" s="2"/>
      <c r="D247" s="3"/>
      <c r="F247" s="2"/>
    </row>
    <row r="248" spans="1:6" x14ac:dyDescent="0.25">
      <c r="A248" s="2">
        <v>36</v>
      </c>
      <c r="B248" s="2" t="s">
        <v>192</v>
      </c>
      <c r="C248" s="2"/>
      <c r="D248" s="3"/>
      <c r="F248" s="2"/>
    </row>
    <row r="249" spans="1:6" x14ac:dyDescent="0.25">
      <c r="A249" s="2">
        <v>36</v>
      </c>
      <c r="B249" s="2" t="s">
        <v>198</v>
      </c>
      <c r="C249" s="2"/>
      <c r="D249" s="3"/>
      <c r="F249" s="2"/>
    </row>
    <row r="250" spans="1:6" x14ac:dyDescent="0.25">
      <c r="A250" s="2">
        <v>36</v>
      </c>
      <c r="B250" s="2" t="s">
        <v>204</v>
      </c>
      <c r="C250" s="2"/>
      <c r="D250" s="3"/>
      <c r="F250" s="2"/>
    </row>
    <row r="251" spans="1:6" x14ac:dyDescent="0.25">
      <c r="A251" s="2">
        <v>36</v>
      </c>
      <c r="B251" s="2" t="s">
        <v>210</v>
      </c>
      <c r="C251" s="2"/>
      <c r="D251" s="3"/>
      <c r="F251" s="2"/>
    </row>
    <row r="252" spans="1:6" x14ac:dyDescent="0.25">
      <c r="A252" s="2">
        <v>36</v>
      </c>
      <c r="B252" s="2" t="s">
        <v>215</v>
      </c>
      <c r="C252" s="2"/>
      <c r="D252" s="3"/>
      <c r="F252" s="2"/>
    </row>
    <row r="253" spans="1:6" ht="15.75" thickBot="1" x14ac:dyDescent="0.3">
      <c r="A253" s="2">
        <v>36</v>
      </c>
      <c r="B253" s="27" t="s">
        <v>221</v>
      </c>
      <c r="C253" s="2"/>
      <c r="D253" s="3"/>
      <c r="F253" s="2"/>
    </row>
    <row r="254" spans="1:6" x14ac:dyDescent="0.25">
      <c r="A254" s="2">
        <v>37</v>
      </c>
      <c r="B254" s="19" t="s">
        <v>186</v>
      </c>
      <c r="C254" s="2"/>
      <c r="D254" s="3"/>
      <c r="F254" s="2"/>
    </row>
    <row r="255" spans="1:6" x14ac:dyDescent="0.25">
      <c r="A255" s="2">
        <v>37</v>
      </c>
      <c r="B255" s="2" t="s">
        <v>192</v>
      </c>
      <c r="C255" s="2"/>
      <c r="D255" s="3"/>
      <c r="F255" s="2"/>
    </row>
    <row r="256" spans="1:6" x14ac:dyDescent="0.25">
      <c r="A256" s="2">
        <v>37</v>
      </c>
      <c r="B256" s="2" t="s">
        <v>198</v>
      </c>
      <c r="C256" s="2"/>
      <c r="D256" s="3"/>
      <c r="F256" s="2"/>
    </row>
    <row r="257" spans="1:6" x14ac:dyDescent="0.25">
      <c r="A257" s="2">
        <v>37</v>
      </c>
      <c r="B257" s="2" t="s">
        <v>204</v>
      </c>
      <c r="C257" s="2"/>
      <c r="D257" s="3"/>
      <c r="F257" s="2"/>
    </row>
    <row r="258" spans="1:6" x14ac:dyDescent="0.25">
      <c r="A258" s="2">
        <v>37</v>
      </c>
      <c r="B258" s="2" t="s">
        <v>210</v>
      </c>
      <c r="C258" s="2"/>
      <c r="D258" s="3"/>
      <c r="F258" s="2"/>
    </row>
    <row r="259" spans="1:6" x14ac:dyDescent="0.25">
      <c r="A259" s="2">
        <v>37</v>
      </c>
      <c r="B259" s="2" t="s">
        <v>215</v>
      </c>
      <c r="C259" s="2"/>
      <c r="D259" s="3"/>
      <c r="F259" s="2"/>
    </row>
    <row r="260" spans="1:6" ht="15.75" thickBot="1" x14ac:dyDescent="0.3">
      <c r="A260" s="2">
        <v>37</v>
      </c>
      <c r="B260" s="27" t="s">
        <v>221</v>
      </c>
      <c r="C260" s="2"/>
      <c r="D260" s="3"/>
      <c r="F260" s="2"/>
    </row>
    <row r="261" spans="1:6" x14ac:dyDescent="0.25">
      <c r="A261" s="2">
        <v>38</v>
      </c>
      <c r="B261" s="19" t="s">
        <v>186</v>
      </c>
      <c r="C261" s="2"/>
      <c r="D261" s="3"/>
      <c r="F261" s="2"/>
    </row>
    <row r="262" spans="1:6" x14ac:dyDescent="0.25">
      <c r="A262" s="2">
        <v>38</v>
      </c>
      <c r="B262" s="2" t="s">
        <v>192</v>
      </c>
      <c r="C262" s="2"/>
      <c r="D262" s="3"/>
      <c r="F262" s="2"/>
    </row>
    <row r="263" spans="1:6" x14ac:dyDescent="0.25">
      <c r="A263" s="2">
        <v>38</v>
      </c>
      <c r="B263" s="2" t="s">
        <v>198</v>
      </c>
      <c r="C263" s="2"/>
      <c r="D263" s="3"/>
      <c r="F263" s="2"/>
    </row>
    <row r="264" spans="1:6" x14ac:dyDescent="0.25">
      <c r="A264" s="2">
        <v>38</v>
      </c>
      <c r="B264" s="2" t="s">
        <v>204</v>
      </c>
      <c r="C264" s="2"/>
      <c r="D264" s="3"/>
      <c r="F264" s="2"/>
    </row>
    <row r="265" spans="1:6" x14ac:dyDescent="0.25">
      <c r="A265" s="2">
        <v>38</v>
      </c>
      <c r="B265" s="2" t="s">
        <v>210</v>
      </c>
      <c r="C265" s="2"/>
      <c r="D265" s="3"/>
      <c r="F265" s="2"/>
    </row>
    <row r="266" spans="1:6" x14ac:dyDescent="0.25">
      <c r="A266" s="2">
        <v>38</v>
      </c>
      <c r="B266" s="2" t="s">
        <v>215</v>
      </c>
      <c r="C266" s="2"/>
      <c r="D266" s="3"/>
      <c r="F266" s="2"/>
    </row>
    <row r="267" spans="1:6" ht="15.75" thickBot="1" x14ac:dyDescent="0.3">
      <c r="A267" s="2">
        <v>38</v>
      </c>
      <c r="B267" s="27" t="s">
        <v>221</v>
      </c>
      <c r="C267" s="2"/>
      <c r="D267" s="3"/>
      <c r="F267" s="2"/>
    </row>
    <row r="268" spans="1:6" x14ac:dyDescent="0.25">
      <c r="A268" s="2">
        <v>39</v>
      </c>
      <c r="B268" s="19" t="s">
        <v>186</v>
      </c>
      <c r="C268" s="2"/>
      <c r="D268" s="3"/>
      <c r="F268" s="2"/>
    </row>
    <row r="269" spans="1:6" x14ac:dyDescent="0.25">
      <c r="A269" s="2">
        <v>39</v>
      </c>
      <c r="B269" s="2" t="s">
        <v>192</v>
      </c>
      <c r="C269" s="2"/>
      <c r="D269" s="3"/>
      <c r="F269" s="2"/>
    </row>
    <row r="270" spans="1:6" x14ac:dyDescent="0.25">
      <c r="A270" s="2">
        <v>39</v>
      </c>
      <c r="B270" s="2" t="s">
        <v>198</v>
      </c>
      <c r="C270" s="2"/>
      <c r="D270" s="3"/>
      <c r="F270" s="2"/>
    </row>
    <row r="271" spans="1:6" x14ac:dyDescent="0.25">
      <c r="A271" s="2">
        <v>39</v>
      </c>
      <c r="B271" s="2" t="s">
        <v>204</v>
      </c>
      <c r="C271" s="2"/>
      <c r="D271" s="3"/>
      <c r="F271" s="2"/>
    </row>
    <row r="272" spans="1:6" x14ac:dyDescent="0.25">
      <c r="A272" s="2">
        <v>39</v>
      </c>
      <c r="B272" s="2" t="s">
        <v>210</v>
      </c>
      <c r="C272" s="2"/>
      <c r="D272" s="3"/>
      <c r="F272" s="2"/>
    </row>
    <row r="273" spans="1:6" x14ac:dyDescent="0.25">
      <c r="A273" s="2">
        <v>39</v>
      </c>
      <c r="B273" s="2" t="s">
        <v>215</v>
      </c>
      <c r="C273" s="2"/>
      <c r="D273" s="3"/>
      <c r="F273" s="2"/>
    </row>
    <row r="274" spans="1:6" ht="15.75" thickBot="1" x14ac:dyDescent="0.3">
      <c r="A274" s="2">
        <v>39</v>
      </c>
      <c r="B274" s="27" t="s">
        <v>221</v>
      </c>
      <c r="C274" s="2"/>
      <c r="D274" s="3"/>
      <c r="F274" s="2"/>
    </row>
    <row r="275" spans="1:6" x14ac:dyDescent="0.25">
      <c r="A275" s="2">
        <v>40</v>
      </c>
      <c r="B275" s="19" t="s">
        <v>186</v>
      </c>
      <c r="C275" s="2"/>
      <c r="D275" s="3"/>
      <c r="F275" s="2"/>
    </row>
    <row r="276" spans="1:6" x14ac:dyDescent="0.25">
      <c r="A276" s="2">
        <v>40</v>
      </c>
      <c r="B276" s="2" t="s">
        <v>192</v>
      </c>
      <c r="C276" s="2"/>
      <c r="D276" s="3"/>
      <c r="F276" s="2"/>
    </row>
    <row r="277" spans="1:6" x14ac:dyDescent="0.25">
      <c r="A277" s="2">
        <v>40</v>
      </c>
      <c r="B277" s="2" t="s">
        <v>198</v>
      </c>
      <c r="C277" s="2"/>
      <c r="D277" s="3"/>
      <c r="F277" s="2"/>
    </row>
    <row r="278" spans="1:6" x14ac:dyDescent="0.25">
      <c r="A278" s="2">
        <v>40</v>
      </c>
      <c r="B278" s="2" t="s">
        <v>204</v>
      </c>
      <c r="C278" s="2"/>
      <c r="D278" s="3"/>
      <c r="F278" s="2"/>
    </row>
    <row r="279" spans="1:6" x14ac:dyDescent="0.25">
      <c r="A279" s="2">
        <v>40</v>
      </c>
      <c r="B279" s="2" t="s">
        <v>210</v>
      </c>
      <c r="C279" s="2"/>
      <c r="D279" s="3"/>
      <c r="F279" s="2"/>
    </row>
    <row r="280" spans="1:6" x14ac:dyDescent="0.25">
      <c r="A280" s="2">
        <v>40</v>
      </c>
      <c r="B280" s="2" t="s">
        <v>215</v>
      </c>
      <c r="C280" s="2"/>
      <c r="D280" s="3"/>
      <c r="F280" s="2"/>
    </row>
    <row r="281" spans="1:6" ht="15.75" thickBot="1" x14ac:dyDescent="0.3">
      <c r="A281" s="2">
        <v>40</v>
      </c>
      <c r="B281" s="27" t="s">
        <v>221</v>
      </c>
      <c r="C281" s="2"/>
      <c r="D281" s="3"/>
      <c r="F281" s="2"/>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98E3AD21-2C6E-40A4-A7F1-35592A013B91}">
          <x14:formula1>
            <xm:f>'99_Lookups'!$Q$2:$Q$5</xm:f>
          </x14:formula1>
          <xm:sqref>D2:D281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sheetPr>
    <tabColor theme="8"/>
  </sheetPr>
  <dimension ref="A1:G41"/>
  <sheetViews>
    <sheetView workbookViewId="0">
      <selection activeCell="D19" sqref="D19"/>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A2">
        <v>1</v>
      </c>
      <c r="B2" t="str">
        <f>_xlfn.XLOOKUP(Tabelle8[[#This Row],[company_id]],'00_DAX_Master'!A:A,'00_DAX_Master'!D:D)</f>
        <v>Consumer</v>
      </c>
      <c r="C2">
        <f ca="1">SUMIF('03b_Values_Company_Level'!E:E,'03b_Values_Company_Level'!A:A,Tabelle8[[#This Row],[company_id]])</f>
        <v>31</v>
      </c>
      <c r="D2">
        <f>(COUNTA('02_Values_Codebook'!A:A)-1)*3</f>
        <v>54</v>
      </c>
      <c r="E2">
        <f ca="1">Tabelle8[[#This Row],[values_raw_points]]/Tabelle8[[#This Row],[values_max_points]]</f>
        <v>0.57407407407407407</v>
      </c>
      <c r="F2">
        <f>SUMIF(Tabelle7[[#This Row],[score_0_3]],Tabelle7[[#This Row],[company_id]],Tabelle8[[#This Row],[company_id]])</f>
        <v>0</v>
      </c>
      <c r="G2">
        <f xml:space="preserve"> (Tabelle8[[#This Row],[gov_points_sum]]/21)*100</f>
        <v>0</v>
      </c>
    </row>
    <row r="3" spans="1:7" x14ac:dyDescent="0.25">
      <c r="A3">
        <v>2</v>
      </c>
      <c r="B3" t="str">
        <f>_xlfn.XLOOKUP(Tabelle8[[#This Row],[company_id]],'00_DAX_Master'!A:A,'00_DAX_Master'!D:D)</f>
        <v>Industrie</v>
      </c>
      <c r="C3">
        <f ca="1">SUMIF('03b_Values_Company_Level'!E:E,'03b_Values_Company_Level'!A:A,Tabelle8[[#This Row],[company_id]])</f>
        <v>32</v>
      </c>
      <c r="D3">
        <f>(COUNTA('02_Values_Codebook'!A:A)-1)*3</f>
        <v>54</v>
      </c>
      <c r="E3">
        <f ca="1">Tabelle8[[#This Row],[values_raw_points]]/Tabelle8[[#This Row],[values_max_points]]</f>
        <v>0.59259259259259256</v>
      </c>
      <c r="F3">
        <f>SUMIF(Tabelle7[[#This Row],[score_0_3]],Tabelle7[[#This Row],[company_id]],Tabelle8[[#This Row],[company_id]])</f>
        <v>0</v>
      </c>
      <c r="G3">
        <f xml:space="preserve"> (Tabelle8[[#This Row],[gov_points_sum]]/21)*100</f>
        <v>0</v>
      </c>
    </row>
    <row r="4" spans="1:7" x14ac:dyDescent="0.25">
      <c r="A4">
        <v>3</v>
      </c>
      <c r="B4" t="str">
        <f>_xlfn.XLOOKUP(Tabelle8[[#This Row],[company_id]],'00_DAX_Master'!A:A,'00_DAX_Master'!D:D)</f>
        <v>Finance</v>
      </c>
      <c r="C4">
        <f ca="1">SUMIF('03b_Values_Company_Level'!E:E,'03b_Values_Company_Level'!A:A,Tabelle8[[#This Row],[company_id]])</f>
        <v>33</v>
      </c>
      <c r="D4">
        <f>(COUNTA('02_Values_Codebook'!A:A)-1)*3</f>
        <v>54</v>
      </c>
      <c r="E4">
        <f ca="1">Tabelle8[[#This Row],[values_raw_points]]/Tabelle8[[#This Row],[values_max_points]]</f>
        <v>0.61111111111111116</v>
      </c>
      <c r="F4">
        <f>SUMIF(Tabelle7[[#This Row],[score_0_3]],Tabelle7[[#This Row],[company_id]],Tabelle8[[#This Row],[company_id]])</f>
        <v>0</v>
      </c>
      <c r="G4">
        <f xml:space="preserve"> (Tabelle8[[#This Row],[gov_points_sum]]/21)*100</f>
        <v>0</v>
      </c>
    </row>
    <row r="5" spans="1:7" x14ac:dyDescent="0.25">
      <c r="A5">
        <v>4</v>
      </c>
      <c r="B5" t="str">
        <f>_xlfn.XLOOKUP(Tabelle8[[#This Row],[company_id]],'00_DAX_Master'!A:A,'00_DAX_Master'!D:D)</f>
        <v>Materials/Chemicals</v>
      </c>
      <c r="C5">
        <f ca="1">SUMIF('03b_Values_Company_Level'!E:E,'03b_Values_Company_Level'!A:A,Tabelle8[[#This Row],[company_id]])</f>
        <v>34</v>
      </c>
      <c r="D5">
        <f>(COUNTA('02_Values_Codebook'!A:A)-1)*3</f>
        <v>54</v>
      </c>
      <c r="E5">
        <f ca="1">Tabelle8[[#This Row],[values_raw_points]]/Tabelle8[[#This Row],[values_max_points]]</f>
        <v>0.62962962962962965</v>
      </c>
      <c r="F5">
        <f>SUMIF(Tabelle7[[#This Row],[score_0_3]],Tabelle7[[#This Row],[company_id]],Tabelle8[[#This Row],[company_id]])</f>
        <v>0</v>
      </c>
      <c r="G5">
        <f xml:space="preserve"> (Tabelle8[[#This Row],[gov_points_sum]]/21)*100</f>
        <v>0</v>
      </c>
    </row>
    <row r="6" spans="1:7" x14ac:dyDescent="0.25">
      <c r="A6">
        <v>5</v>
      </c>
      <c r="B6" t="str">
        <f>_xlfn.XLOOKUP(Tabelle8[[#This Row],[company_id]],'00_DAX_Master'!A:A,'00_DAX_Master'!D:D)</f>
        <v>Materials/Chemicals</v>
      </c>
      <c r="C6">
        <f ca="1">SUMIF('03b_Values_Company_Level'!E:E,'03b_Values_Company_Level'!A:A,Tabelle8[[#This Row],[company_id]])</f>
        <v>35</v>
      </c>
      <c r="D6">
        <f>(COUNTA('02_Values_Codebook'!A:A)-1)*3</f>
        <v>54</v>
      </c>
      <c r="E6">
        <f ca="1">Tabelle8[[#This Row],[values_raw_points]]/Tabelle8[[#This Row],[values_max_points]]</f>
        <v>0.64814814814814814</v>
      </c>
      <c r="F6">
        <f>SUMIF(Tabelle7[[#This Row],[score_0_3]],Tabelle7[[#This Row],[company_id]],Tabelle8[[#This Row],[company_id]])</f>
        <v>0</v>
      </c>
      <c r="G6">
        <f xml:space="preserve"> (Tabelle8[[#This Row],[gov_points_sum]]/21)*100</f>
        <v>0</v>
      </c>
    </row>
    <row r="7" spans="1:7" x14ac:dyDescent="0.25">
      <c r="A7">
        <v>6</v>
      </c>
      <c r="B7" t="str">
        <f>_xlfn.XLOOKUP(Tabelle8[[#This Row],[company_id]],'00_DAX_Master'!A:A,'00_DAX_Master'!D:D)</f>
        <v>Consumer</v>
      </c>
      <c r="C7">
        <f ca="1">SUMIF('03b_Values_Company_Level'!E:E,'03b_Values_Company_Level'!A:A,Tabelle8[[#This Row],[company_id]])</f>
        <v>36</v>
      </c>
      <c r="D7">
        <f>(COUNTA('02_Values_Codebook'!A:A)-1)*3</f>
        <v>54</v>
      </c>
      <c r="E7">
        <f ca="1">Tabelle8[[#This Row],[values_raw_points]]/Tabelle8[[#This Row],[values_max_points]]</f>
        <v>0.66666666666666663</v>
      </c>
      <c r="F7">
        <f>SUMIF(Tabelle7[[#This Row],[score_0_3]],Tabelle7[[#This Row],[company_id]],Tabelle8[[#This Row],[company_id]])</f>
        <v>0</v>
      </c>
      <c r="G7">
        <f xml:space="preserve"> (Tabelle8[[#This Row],[gov_points_sum]]/21)*100</f>
        <v>0</v>
      </c>
    </row>
    <row r="8" spans="1:7" x14ac:dyDescent="0.25">
      <c r="A8">
        <v>7</v>
      </c>
      <c r="B8" t="str">
        <f>_xlfn.XLOOKUP(Tabelle8[[#This Row],[company_id]],'00_DAX_Master'!A:A,'00_DAX_Master'!D:D)</f>
        <v>Industrie</v>
      </c>
      <c r="C8">
        <f ca="1">SUMIF('03b_Values_Company_Level'!E:E,'03b_Values_Company_Level'!A:A,Tabelle8[[#This Row],[company_id]])</f>
        <v>37</v>
      </c>
      <c r="D8">
        <f>(COUNTA('02_Values_Codebook'!A:A)-1)*3</f>
        <v>54</v>
      </c>
      <c r="E8">
        <f ca="1">Tabelle8[[#This Row],[values_raw_points]]/Tabelle8[[#This Row],[values_max_points]]</f>
        <v>0.68518518518518523</v>
      </c>
      <c r="F8">
        <f>SUMIF(Tabelle7[[#This Row],[score_0_3]],Tabelle7[[#This Row],[company_id]],Tabelle8[[#This Row],[company_id]])</f>
        <v>0</v>
      </c>
      <c r="G8">
        <f xml:space="preserve"> (Tabelle8[[#This Row],[gov_points_sum]]/21)*100</f>
        <v>0</v>
      </c>
    </row>
    <row r="9" spans="1:7" x14ac:dyDescent="0.25">
      <c r="A9">
        <v>8</v>
      </c>
      <c r="B9" t="str">
        <f>_xlfn.XLOOKUP(Tabelle8[[#This Row],[company_id]],'00_DAX_Master'!A:A,'00_DAX_Master'!D:D)</f>
        <v>Materials/Chemicals</v>
      </c>
      <c r="C9">
        <f ca="1">SUMIF('03b_Values_Company_Level'!E:E,'03b_Values_Company_Level'!A:A,Tabelle8[[#This Row],[company_id]])</f>
        <v>38</v>
      </c>
      <c r="D9">
        <f>(COUNTA('02_Values_Codebook'!A:A)-1)*3</f>
        <v>54</v>
      </c>
      <c r="E9">
        <f ca="1">Tabelle8[[#This Row],[values_raw_points]]/Tabelle8[[#This Row],[values_max_points]]</f>
        <v>0.70370370370370372</v>
      </c>
      <c r="F9">
        <f>SUMIF(Tabelle7[[#This Row],[score_0_3]],Tabelle7[[#This Row],[company_id]],Tabelle8[[#This Row],[company_id]])</f>
        <v>0</v>
      </c>
      <c r="G9">
        <f xml:space="preserve"> (Tabelle8[[#This Row],[gov_points_sum]]/21)*100</f>
        <v>0</v>
      </c>
    </row>
    <row r="10" spans="1:7" x14ac:dyDescent="0.25">
      <c r="A10">
        <v>9</v>
      </c>
      <c r="B10" t="str">
        <f>_xlfn.XLOOKUP(Tabelle8[[#This Row],[company_id]],'00_DAX_Master'!A:A,'00_DAX_Master'!D:D)</f>
        <v>Finance</v>
      </c>
      <c r="C10">
        <f ca="1">SUMIF('03b_Values_Company_Level'!E:E,'03b_Values_Company_Level'!A:A,Tabelle8[[#This Row],[company_id]])</f>
        <v>39</v>
      </c>
      <c r="D10">
        <f>(COUNTA('02_Values_Codebook'!A:A)-1)*3</f>
        <v>54</v>
      </c>
      <c r="E10">
        <f ca="1">Tabelle8[[#This Row],[values_raw_points]]/Tabelle8[[#This Row],[values_max_points]]</f>
        <v>0.72222222222222221</v>
      </c>
      <c r="F10">
        <f>SUMIF(Tabelle7[[#This Row],[score_0_3]],Tabelle7[[#This Row],[company_id]],Tabelle8[[#This Row],[company_id]])</f>
        <v>9</v>
      </c>
      <c r="G10">
        <f xml:space="preserve"> (Tabelle8[[#This Row],[gov_points_sum]]/21)*100</f>
        <v>42.857142857142854</v>
      </c>
    </row>
    <row r="11" spans="1:7" x14ac:dyDescent="0.25">
      <c r="A11">
        <v>10</v>
      </c>
      <c r="B11" t="str">
        <f>_xlfn.XLOOKUP(Tabelle8[[#This Row],[company_id]],'00_DAX_Master'!A:A,'00_DAX_Master'!D:D)</f>
        <v>Industrie</v>
      </c>
      <c r="C11">
        <f ca="1">SUMIF('03b_Values_Company_Level'!E:E,'03b_Values_Company_Level'!A:A,Tabelle8[[#This Row],[company_id]])</f>
        <v>40</v>
      </c>
      <c r="D11">
        <f>(COUNTA('02_Values_Codebook'!A:A)-1)*3</f>
        <v>54</v>
      </c>
      <c r="E11">
        <f ca="1">Tabelle8[[#This Row],[values_raw_points]]/Tabelle8[[#This Row],[values_max_points]]</f>
        <v>0.7407407407407407</v>
      </c>
      <c r="F11">
        <f>SUMIF(Tabelle7[[#This Row],[score_0_3]],Tabelle7[[#This Row],[company_id]],Tabelle8[[#This Row],[company_id]])</f>
        <v>10</v>
      </c>
      <c r="G11">
        <f xml:space="preserve"> (Tabelle8[[#This Row],[gov_points_sum]]/21)*100</f>
        <v>47.619047619047613</v>
      </c>
    </row>
    <row r="12" spans="1:7" x14ac:dyDescent="0.25">
      <c r="A12">
        <v>11</v>
      </c>
      <c r="B12" t="str">
        <f>_xlfn.XLOOKUP(Tabelle8[[#This Row],[company_id]],'00_DAX_Master'!A:A,'00_DAX_Master'!D:D)</f>
        <v>Industrie</v>
      </c>
      <c r="C12">
        <f ca="1">SUMIF('03b_Values_Company_Level'!E:E,'03b_Values_Company_Level'!A:A,Tabelle8[[#This Row],[company_id]])</f>
        <v>0</v>
      </c>
      <c r="D12">
        <f>(COUNTA('02_Values_Codebook'!A:A)-1)*3</f>
        <v>54</v>
      </c>
      <c r="E12">
        <f ca="1">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A13">
        <v>12</v>
      </c>
      <c r="B13" t="str">
        <f>_xlfn.XLOOKUP(Tabelle8[[#This Row],[company_id]],'00_DAX_Master'!A:A,'00_DAX_Master'!D:D)</f>
        <v>Finance</v>
      </c>
      <c r="C13">
        <f ca="1">SUMIF('03b_Values_Company_Level'!E:E,'03b_Values_Company_Level'!A:A,Tabelle8[[#This Row],[company_id]])</f>
        <v>0</v>
      </c>
      <c r="D13">
        <f>(COUNTA('02_Values_Codebook'!A:A)-1)*3</f>
        <v>54</v>
      </c>
      <c r="E13">
        <f ca="1">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A14">
        <v>13</v>
      </c>
      <c r="B14" t="str">
        <f>_xlfn.XLOOKUP(Tabelle8[[#This Row],[company_id]],'00_DAX_Master'!A:A,'00_DAX_Master'!D:D)</f>
        <v>Finance</v>
      </c>
      <c r="C14">
        <f ca="1">SUMIF('03b_Values_Company_Level'!E:E,'03b_Values_Company_Level'!A:A,Tabelle8[[#This Row],[company_id]])</f>
        <v>0</v>
      </c>
      <c r="D14">
        <f>(COUNTA('02_Values_Codebook'!A:A)-1)*3</f>
        <v>54</v>
      </c>
      <c r="E14">
        <f ca="1">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A15">
        <v>14</v>
      </c>
      <c r="B15" t="str">
        <f>_xlfn.XLOOKUP(Tabelle8[[#This Row],[company_id]],'00_DAX_Master'!A:A,'00_DAX_Master'!D:D)</f>
        <v>Other/Hybrid</v>
      </c>
      <c r="C15">
        <f ca="1">SUMIF('03b_Values_Company_Level'!E:E,'03b_Values_Company_Level'!A:A,Tabelle8[[#This Row],[company_id]])</f>
        <v>0</v>
      </c>
      <c r="D15">
        <f>(COUNTA('02_Values_Codebook'!A:A)-1)*3</f>
        <v>54</v>
      </c>
      <c r="E15">
        <f ca="1">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A16">
        <v>15</v>
      </c>
      <c r="B16" t="str">
        <f>_xlfn.XLOOKUP(Tabelle8[[#This Row],[company_id]],'00_DAX_Master'!A:A,'00_DAX_Master'!D:D)</f>
        <v>Utilities</v>
      </c>
      <c r="C16">
        <f ca="1">SUMIF('03b_Values_Company_Level'!E:E,'03b_Values_Company_Level'!A:A,Tabelle8[[#This Row],[company_id]])</f>
        <v>0</v>
      </c>
      <c r="D16">
        <f>(COUNTA('02_Values_Codebook'!A:A)-1)*3</f>
        <v>54</v>
      </c>
      <c r="E16">
        <f ca="1">Tabelle8[[#This Row],[values_raw_points]]/Tabelle8[[#This Row],[values_max_points]]</f>
        <v>0</v>
      </c>
      <c r="F16">
        <f>SUMIF(Tabelle7[[#This Row],[score_0_3]],Tabelle7[[#This Row],[company_id]],Tabelle8[[#This Row],[company_id]])</f>
        <v>0</v>
      </c>
      <c r="G16">
        <f xml:space="preserve"> (Tabelle8[[#This Row],[gov_points_sum]]/21)*100</f>
        <v>0</v>
      </c>
    </row>
    <row r="17" spans="1:7" x14ac:dyDescent="0.25">
      <c r="A17">
        <v>16</v>
      </c>
      <c r="B17" t="str">
        <f>_xlfn.XLOOKUP(Tabelle8[[#This Row],[company_id]],'00_DAX_Master'!A:A,'00_DAX_Master'!D:D)</f>
        <v>Utilities</v>
      </c>
      <c r="C17">
        <f ca="1">SUMIF('03b_Values_Company_Level'!E:E,'03b_Values_Company_Level'!A:A,Tabelle8[[#This Row],[company_id]])</f>
        <v>0</v>
      </c>
      <c r="D17">
        <f>(COUNTA('02_Values_Codebook'!A:A)-1)*3</f>
        <v>54</v>
      </c>
      <c r="E17">
        <f ca="1">Tabelle8[[#This Row],[values_raw_points]]/Tabelle8[[#This Row],[values_max_points]]</f>
        <v>0</v>
      </c>
      <c r="F17">
        <f>SUMIF(Tabelle7[[#This Row],[score_0_3]],Tabelle7[[#This Row],[company_id]],Tabelle8[[#This Row],[company_id]])</f>
        <v>0</v>
      </c>
      <c r="G17">
        <f xml:space="preserve"> (Tabelle8[[#This Row],[gov_points_sum]]/21)*100</f>
        <v>0</v>
      </c>
    </row>
    <row r="18" spans="1:7" x14ac:dyDescent="0.25">
      <c r="A18">
        <v>17</v>
      </c>
      <c r="B18" t="str">
        <f>_xlfn.XLOOKUP(Tabelle8[[#This Row],[company_id]],'00_DAX_Master'!A:A,'00_DAX_Master'!D:D)</f>
        <v>Tech</v>
      </c>
      <c r="C18">
        <f ca="1">SUMIF('03b_Values_Company_Level'!E:E,'03b_Values_Company_Level'!A:A,Tabelle8[[#This Row],[company_id]])</f>
        <v>0</v>
      </c>
      <c r="D18">
        <f>(COUNTA('02_Values_Codebook'!A:A)-1)*3</f>
        <v>54</v>
      </c>
      <c r="E18">
        <f ca="1">Tabelle8[[#This Row],[values_raw_points]]/Tabelle8[[#This Row],[values_max_points]]</f>
        <v>0</v>
      </c>
      <c r="F18">
        <f>SUMIF(Tabelle7[[#This Row],[score_0_3]],Tabelle7[[#This Row],[company_id]],Tabelle8[[#This Row],[company_id]])</f>
        <v>0</v>
      </c>
      <c r="G18">
        <f xml:space="preserve"> (Tabelle8[[#This Row],[gov_points_sum]]/21)*100</f>
        <v>0</v>
      </c>
    </row>
    <row r="19" spans="1:7" x14ac:dyDescent="0.25">
      <c r="A19">
        <v>18</v>
      </c>
      <c r="B19" t="str">
        <f>_xlfn.XLOOKUP(Tabelle8[[#This Row],[company_id]],'00_DAX_Master'!A:A,'00_DAX_Master'!D:D)</f>
        <v>Tech</v>
      </c>
      <c r="C19">
        <f ca="1">SUMIF('03b_Values_Company_Level'!E:E,'03b_Values_Company_Level'!A:A,Tabelle8[[#This Row],[company_id]])</f>
        <v>0</v>
      </c>
      <c r="D19">
        <f>(COUNTA('02_Values_Codebook'!A:A)-1)*3</f>
        <v>54</v>
      </c>
      <c r="E19">
        <f ca="1">Tabelle8[[#This Row],[values_raw_points]]/Tabelle8[[#This Row],[values_max_points]]</f>
        <v>0</v>
      </c>
      <c r="F19">
        <f>SUMIF(Tabelle7[[#This Row],[score_0_3]],Tabelle7[[#This Row],[company_id]],Tabelle8[[#This Row],[company_id]])</f>
        <v>0</v>
      </c>
      <c r="G19">
        <f xml:space="preserve"> (Tabelle8[[#This Row],[gov_points_sum]]/21)*100</f>
        <v>0</v>
      </c>
    </row>
    <row r="20" spans="1:7" x14ac:dyDescent="0.25">
      <c r="A20">
        <v>19</v>
      </c>
      <c r="B20" t="str">
        <f>_xlfn.XLOOKUP(Tabelle8[[#This Row],[company_id]],'00_DAX_Master'!A:A,'00_DAX_Master'!D:D)</f>
        <v>Industrie</v>
      </c>
      <c r="C20">
        <f ca="1">SUMIF('03b_Values_Company_Level'!E:E,'03b_Values_Company_Level'!A:A,Tabelle8[[#This Row],[company_id]])</f>
        <v>78</v>
      </c>
      <c r="D20">
        <f>(COUNTA('02_Values_Codebook'!A:A)-1)*3</f>
        <v>54</v>
      </c>
      <c r="E20">
        <f ca="1">Tabelle8[[#This Row],[values_raw_points]]/Tabelle8[[#This Row],[values_max_points]]</f>
        <v>1.4444444444444444</v>
      </c>
      <c r="F20">
        <f>SUMIF(Tabelle7[[#This Row],[score_0_3]],Tabelle7[[#This Row],[company_id]],Tabelle8[[#This Row],[company_id]])</f>
        <v>0</v>
      </c>
      <c r="G20">
        <f xml:space="preserve"> (Tabelle8[[#This Row],[gov_points_sum]]/21)*100</f>
        <v>0</v>
      </c>
    </row>
    <row r="21" spans="1:7" x14ac:dyDescent="0.25">
      <c r="A21">
        <v>20</v>
      </c>
      <c r="B21" t="str">
        <f>_xlfn.XLOOKUP(Tabelle8[[#This Row],[company_id]],'00_DAX_Master'!A:A,'00_DAX_Master'!D:D)</f>
        <v>Finance</v>
      </c>
      <c r="C21">
        <f ca="1">SUMIF('03b_Values_Company_Level'!E:E,'03b_Values_Company_Level'!A:A,Tabelle8[[#This Row],[company_id]])</f>
        <v>39</v>
      </c>
      <c r="D21">
        <f>(COUNTA('02_Values_Codebook'!A:A)-1)*3</f>
        <v>54</v>
      </c>
      <c r="E21">
        <f ca="1">Tabelle8[[#This Row],[values_raw_points]]/Tabelle8[[#This Row],[values_max_points]]</f>
        <v>0.72222222222222221</v>
      </c>
      <c r="F21">
        <f>SUMIF(Tabelle7[[#This Row],[score_0_3]],Tabelle7[[#This Row],[company_id]],Tabelle8[[#This Row],[company_id]])</f>
        <v>0</v>
      </c>
      <c r="G21">
        <f xml:space="preserve"> (Tabelle8[[#This Row],[gov_points_sum]]/21)*100</f>
        <v>0</v>
      </c>
    </row>
    <row r="22" spans="1:7" x14ac:dyDescent="0.25">
      <c r="A22">
        <v>21</v>
      </c>
      <c r="B22" t="str">
        <f>_xlfn.XLOOKUP(Tabelle8[[#This Row],[company_id]],'00_DAX_Master'!A:A,'00_DAX_Master'!D:D)</f>
        <v>Materials/Chemicals</v>
      </c>
      <c r="C22">
        <f ca="1">SUMIF('03b_Values_Company_Level'!E:E,'03b_Values_Company_Level'!A:A,Tabelle8[[#This Row],[company_id]])</f>
        <v>40</v>
      </c>
      <c r="D22">
        <f>(COUNTA('02_Values_Codebook'!A:A)-1)*3</f>
        <v>54</v>
      </c>
      <c r="E22">
        <f ca="1">Tabelle8[[#This Row],[values_raw_points]]/Tabelle8[[#This Row],[values_max_points]]</f>
        <v>0.7407407407407407</v>
      </c>
      <c r="F22">
        <f>SUMIF(Tabelle7[[#This Row],[score_0_3]],Tabelle7[[#This Row],[company_id]],Tabelle8[[#This Row],[company_id]])</f>
        <v>0</v>
      </c>
      <c r="G22">
        <f xml:space="preserve"> (Tabelle8[[#This Row],[gov_points_sum]]/21)*100</f>
        <v>0</v>
      </c>
    </row>
    <row r="23" spans="1:7" x14ac:dyDescent="0.25">
      <c r="A23">
        <v>22</v>
      </c>
      <c r="B23" t="str">
        <f>_xlfn.XLOOKUP(Tabelle8[[#This Row],[company_id]],'00_DAX_Master'!A:A,'00_DAX_Master'!D:D)</f>
        <v>Materials/Chemicals</v>
      </c>
      <c r="C23">
        <f ca="1">SUMIF('03b_Values_Company_Level'!E:E,'03b_Values_Company_Level'!A:A,Tabelle8[[#This Row],[company_id]])</f>
        <v>0</v>
      </c>
      <c r="D23">
        <f>(COUNTA('02_Values_Codebook'!A:A)-1)*3</f>
        <v>54</v>
      </c>
      <c r="E23">
        <f ca="1">Tabelle8[[#This Row],[values_raw_points]]/Tabelle8[[#This Row],[values_max_points]]</f>
        <v>0</v>
      </c>
      <c r="F23">
        <f>SUMIF(Tabelle7[[#This Row],[score_0_3]],Tabelle7[[#This Row],[company_id]],Tabelle8[[#This Row],[company_id]])</f>
        <v>0</v>
      </c>
      <c r="G23">
        <f xml:space="preserve"> (Tabelle8[[#This Row],[gov_points_sum]]/21)*100</f>
        <v>0</v>
      </c>
    </row>
    <row r="24" spans="1:7" x14ac:dyDescent="0.25">
      <c r="A24">
        <v>23</v>
      </c>
      <c r="B24" t="str">
        <f>_xlfn.XLOOKUP(Tabelle8[[#This Row],[company_id]],'00_DAX_Master'!A:A,'00_DAX_Master'!D:D)</f>
        <v>Tech</v>
      </c>
      <c r="C24">
        <f ca="1">SUMIF('03b_Values_Company_Level'!E:E,'03b_Values_Company_Level'!A:A,Tabelle8[[#This Row],[company_id]])</f>
        <v>0</v>
      </c>
      <c r="D24">
        <f>(COUNTA('02_Values_Codebook'!A:A)-1)*3</f>
        <v>54</v>
      </c>
      <c r="E24">
        <f ca="1">Tabelle8[[#This Row],[values_raw_points]]/Tabelle8[[#This Row],[values_max_points]]</f>
        <v>0</v>
      </c>
      <c r="F24">
        <f>SUMIF(Tabelle7[[#This Row],[score_0_3]],Tabelle7[[#This Row],[company_id]],Tabelle8[[#This Row],[company_id]])</f>
        <v>0</v>
      </c>
      <c r="G24">
        <f xml:space="preserve"> (Tabelle8[[#This Row],[gov_points_sum]]/21)*100</f>
        <v>0</v>
      </c>
    </row>
    <row r="25" spans="1:7" x14ac:dyDescent="0.25">
      <c r="A25">
        <v>24</v>
      </c>
      <c r="B25" t="str">
        <f>_xlfn.XLOOKUP(Tabelle8[[#This Row],[company_id]],'00_DAX_Master'!A:A,'00_DAX_Master'!D:D)</f>
        <v>Industrie</v>
      </c>
      <c r="C25">
        <f ca="1">SUMIF('03b_Values_Company_Level'!E:E,'03b_Values_Company_Level'!A:A,Tabelle8[[#This Row],[company_id]])</f>
        <v>0</v>
      </c>
      <c r="D25">
        <f>(COUNTA('02_Values_Codebook'!A:A)-1)*3</f>
        <v>54</v>
      </c>
      <c r="E25">
        <f ca="1">Tabelle8[[#This Row],[values_raw_points]]/Tabelle8[[#This Row],[values_max_points]]</f>
        <v>0</v>
      </c>
      <c r="F25">
        <f>SUMIF(Tabelle7[[#This Row],[score_0_3]],Tabelle7[[#This Row],[company_id]],Tabelle8[[#This Row],[company_id]])</f>
        <v>0</v>
      </c>
      <c r="G25">
        <f xml:space="preserve"> (Tabelle8[[#This Row],[gov_points_sum]]/21)*100</f>
        <v>0</v>
      </c>
    </row>
    <row r="26" spans="1:7" x14ac:dyDescent="0.25">
      <c r="A26">
        <v>25</v>
      </c>
      <c r="B26" t="str">
        <f>_xlfn.XLOOKUP(Tabelle8[[#This Row],[company_id]],'00_DAX_Master'!A:A,'00_DAX_Master'!D:D)</f>
        <v>Materials/Chemicals</v>
      </c>
      <c r="C26">
        <f ca="1">SUMIF('03b_Values_Company_Level'!E:E,'03b_Values_Company_Level'!A:A,Tabelle8[[#This Row],[company_id]])</f>
        <v>0</v>
      </c>
      <c r="D26">
        <f>(COUNTA('02_Values_Codebook'!A:A)-1)*3</f>
        <v>54</v>
      </c>
      <c r="E26">
        <f ca="1">Tabelle8[[#This Row],[values_raw_points]]/Tabelle8[[#This Row],[values_max_points]]</f>
        <v>0</v>
      </c>
      <c r="F26">
        <f>SUMIF(Tabelle7[[#This Row],[score_0_3]],Tabelle7[[#This Row],[company_id]],Tabelle8[[#This Row],[company_id]])</f>
        <v>0</v>
      </c>
      <c r="G26">
        <f xml:space="preserve"> (Tabelle8[[#This Row],[gov_points_sum]]/21)*100</f>
        <v>0</v>
      </c>
    </row>
    <row r="27" spans="1:7" x14ac:dyDescent="0.25">
      <c r="A27">
        <v>26</v>
      </c>
      <c r="B27" t="str">
        <f>_xlfn.XLOOKUP(Tabelle8[[#This Row],[company_id]],'00_DAX_Master'!A:A,'00_DAX_Master'!D:D)</f>
        <v>Industrie</v>
      </c>
      <c r="C27">
        <f ca="1">SUMIF('03b_Values_Company_Level'!E:E,'03b_Values_Company_Level'!A:A,Tabelle8[[#This Row],[company_id]])</f>
        <v>0</v>
      </c>
      <c r="D27">
        <f>(COUNTA('02_Values_Codebook'!A:A)-1)*3</f>
        <v>54</v>
      </c>
      <c r="E27">
        <f ca="1">Tabelle8[[#This Row],[values_raw_points]]/Tabelle8[[#This Row],[values_max_points]]</f>
        <v>0</v>
      </c>
      <c r="F27">
        <f>SUMIF(Tabelle7[[#This Row],[score_0_3]],Tabelle7[[#This Row],[company_id]],Tabelle8[[#This Row],[company_id]])</f>
        <v>0</v>
      </c>
      <c r="G27">
        <f xml:space="preserve"> (Tabelle8[[#This Row],[gov_points_sum]]/21)*100</f>
        <v>0</v>
      </c>
    </row>
    <row r="28" spans="1:7" x14ac:dyDescent="0.25">
      <c r="A28">
        <v>27</v>
      </c>
      <c r="B28" t="str">
        <f>_xlfn.XLOOKUP(Tabelle8[[#This Row],[company_id]],'00_DAX_Master'!A:A,'00_DAX_Master'!D:D)</f>
        <v>Finance</v>
      </c>
      <c r="C28">
        <f ca="1">SUMIF('03b_Values_Company_Level'!E:E,'03b_Values_Company_Level'!A:A,Tabelle8[[#This Row],[company_id]])</f>
        <v>0</v>
      </c>
      <c r="D28">
        <f>(COUNTA('02_Values_Codebook'!A:A)-1)*3</f>
        <v>54</v>
      </c>
      <c r="E28">
        <f ca="1">Tabelle8[[#This Row],[values_raw_points]]/Tabelle8[[#This Row],[values_max_points]]</f>
        <v>0</v>
      </c>
      <c r="F28">
        <f>SUMIF(Tabelle7[[#This Row],[score_0_3]],Tabelle7[[#This Row],[company_id]],Tabelle8[[#This Row],[company_id]])</f>
        <v>0</v>
      </c>
      <c r="G28">
        <f xml:space="preserve"> (Tabelle8[[#This Row],[gov_points_sum]]/21)*100</f>
        <v>0</v>
      </c>
    </row>
    <row r="29" spans="1:7" x14ac:dyDescent="0.25">
      <c r="A29">
        <v>28</v>
      </c>
      <c r="B29" t="str">
        <f>_xlfn.XLOOKUP(Tabelle8[[#This Row],[company_id]],'00_DAX_Master'!A:A,'00_DAX_Master'!D:D)</f>
        <v>Industrie</v>
      </c>
      <c r="C29">
        <f ca="1">SUMIF('03b_Values_Company_Level'!E:E,'03b_Values_Company_Level'!A:A,Tabelle8[[#This Row],[company_id]])</f>
        <v>0</v>
      </c>
      <c r="D29">
        <f>(COUNTA('02_Values_Codebook'!A:A)-1)*3</f>
        <v>54</v>
      </c>
      <c r="E29">
        <f ca="1">Tabelle8[[#This Row],[values_raw_points]]/Tabelle8[[#This Row],[values_max_points]]</f>
        <v>0</v>
      </c>
      <c r="F29">
        <f>SUMIF(Tabelle7[[#This Row],[score_0_3]],Tabelle7[[#This Row],[company_id]],Tabelle8[[#This Row],[company_id]])</f>
        <v>0</v>
      </c>
      <c r="G29">
        <f xml:space="preserve"> (Tabelle8[[#This Row],[gov_points_sum]]/21)*100</f>
        <v>0</v>
      </c>
    </row>
    <row r="30" spans="1:7" x14ac:dyDescent="0.25">
      <c r="A30">
        <v>29</v>
      </c>
      <c r="B30" t="str">
        <f>_xlfn.XLOOKUP(Tabelle8[[#This Row],[company_id]],'00_DAX_Master'!A:A,'00_DAX_Master'!D:D)</f>
        <v>Tech</v>
      </c>
      <c r="C30">
        <f ca="1">SUMIF('03b_Values_Company_Level'!E:E,'03b_Values_Company_Level'!A:A,Tabelle8[[#This Row],[company_id]])</f>
        <v>0</v>
      </c>
      <c r="D30">
        <f>(COUNTA('02_Values_Codebook'!A:A)-1)*3</f>
        <v>54</v>
      </c>
      <c r="E30">
        <f ca="1">Tabelle8[[#This Row],[values_raw_points]]/Tabelle8[[#This Row],[values_max_points]]</f>
        <v>0</v>
      </c>
      <c r="F30">
        <f>SUMIF(Tabelle7[[#This Row],[score_0_3]],Tabelle7[[#This Row],[company_id]],Tabelle8[[#This Row],[company_id]])</f>
        <v>0</v>
      </c>
      <c r="G30">
        <f xml:space="preserve"> (Tabelle8[[#This Row],[gov_points_sum]]/21)*100</f>
        <v>0</v>
      </c>
    </row>
    <row r="31" spans="1:7" x14ac:dyDescent="0.25">
      <c r="A31">
        <v>30</v>
      </c>
      <c r="B31" t="str">
        <f>_xlfn.XLOOKUP(Tabelle8[[#This Row],[company_id]],'00_DAX_Master'!A:A,'00_DAX_Master'!D:D)</f>
        <v>Industrie</v>
      </c>
      <c r="C31">
        <f ca="1">SUMIF('03b_Values_Company_Level'!E:E,'03b_Values_Company_Level'!A:A,Tabelle8[[#This Row],[company_id]])</f>
        <v>0</v>
      </c>
      <c r="D31">
        <f>(COUNTA('02_Values_Codebook'!A:A)-1)*3</f>
        <v>54</v>
      </c>
      <c r="E31">
        <f ca="1">Tabelle8[[#This Row],[values_raw_points]]/Tabelle8[[#This Row],[values_max_points]]</f>
        <v>0</v>
      </c>
      <c r="F31">
        <f>SUMIF(Tabelle7[[#This Row],[score_0_3]],Tabelle7[[#This Row],[company_id]],Tabelle8[[#This Row],[company_id]])</f>
        <v>0</v>
      </c>
      <c r="G31">
        <f xml:space="preserve"> (Tabelle8[[#This Row],[gov_points_sum]]/21)*100</f>
        <v>0</v>
      </c>
    </row>
    <row r="32" spans="1:7" x14ac:dyDescent="0.25">
      <c r="A32">
        <v>31</v>
      </c>
      <c r="B32" t="str">
        <f>_xlfn.XLOOKUP(Tabelle8[[#This Row],[company_id]],'00_DAX_Master'!A:A,'00_DAX_Master'!D:D)</f>
        <v>Utilities</v>
      </c>
      <c r="C32">
        <f ca="1">SUMIF('03b_Values_Company_Level'!E:E,'03b_Values_Company_Level'!A:A,Tabelle8[[#This Row],[company_id]])</f>
        <v>0</v>
      </c>
      <c r="D32">
        <f>(COUNTA('02_Values_Codebook'!A:A)-1)*3</f>
        <v>54</v>
      </c>
      <c r="E32">
        <f ca="1">Tabelle8[[#This Row],[values_raw_points]]/Tabelle8[[#This Row],[values_max_points]]</f>
        <v>0</v>
      </c>
      <c r="F32">
        <f>SUMIF(Tabelle7[[#This Row],[score_0_3]],Tabelle7[[#This Row],[company_id]],Tabelle8[[#This Row],[company_id]])</f>
        <v>0</v>
      </c>
      <c r="G32">
        <f xml:space="preserve"> (Tabelle8[[#This Row],[gov_points_sum]]/21)*100</f>
        <v>0</v>
      </c>
    </row>
    <row r="33" spans="1:7" x14ac:dyDescent="0.25">
      <c r="A33">
        <v>32</v>
      </c>
      <c r="B33" t="str">
        <f>_xlfn.XLOOKUP(Tabelle8[[#This Row],[company_id]],'00_DAX_Master'!A:A,'00_DAX_Master'!D:D)</f>
        <v>Tech</v>
      </c>
      <c r="C33">
        <f ca="1">SUMIF('03b_Values_Company_Level'!E:E,'03b_Values_Company_Level'!A:A,Tabelle8[[#This Row],[company_id]])</f>
        <v>0</v>
      </c>
      <c r="D33">
        <f>(COUNTA('02_Values_Codebook'!A:A)-1)*3</f>
        <v>54</v>
      </c>
      <c r="E33">
        <f ca="1">Tabelle8[[#This Row],[values_raw_points]]/Tabelle8[[#This Row],[values_max_points]]</f>
        <v>0</v>
      </c>
      <c r="F33">
        <f>SUMIF(Tabelle7[[#This Row],[score_0_3]],Tabelle7[[#This Row],[company_id]],Tabelle8[[#This Row],[company_id]])</f>
        <v>0</v>
      </c>
      <c r="G33">
        <f xml:space="preserve"> (Tabelle8[[#This Row],[gov_points_sum]]/21)*100</f>
        <v>0</v>
      </c>
    </row>
    <row r="34" spans="1:7" x14ac:dyDescent="0.25">
      <c r="A34">
        <v>33</v>
      </c>
      <c r="B34" t="str">
        <f>_xlfn.XLOOKUP(Tabelle8[[#This Row],[company_id]],'00_DAX_Master'!A:A,'00_DAX_Master'!D:D)</f>
        <v>Tech</v>
      </c>
      <c r="C34">
        <f ca="1">SUMIF('03b_Values_Company_Level'!E:E,'03b_Values_Company_Level'!A:A,Tabelle8[[#This Row],[company_id]])</f>
        <v>0</v>
      </c>
      <c r="D34">
        <f>(COUNTA('02_Values_Codebook'!A:A)-1)*3</f>
        <v>54</v>
      </c>
      <c r="E34">
        <f ca="1">Tabelle8[[#This Row],[values_raw_points]]/Tabelle8[[#This Row],[values_max_points]]</f>
        <v>0</v>
      </c>
      <c r="F34">
        <f>SUMIF(Tabelle7[[#This Row],[score_0_3]],Tabelle7[[#This Row],[company_id]],Tabelle8[[#This Row],[company_id]])</f>
        <v>0</v>
      </c>
      <c r="G34">
        <f xml:space="preserve"> (Tabelle8[[#This Row],[gov_points_sum]]/21)*100</f>
        <v>0</v>
      </c>
    </row>
    <row r="35" spans="1:7" x14ac:dyDescent="0.25">
      <c r="A35">
        <v>34</v>
      </c>
      <c r="B35" t="str">
        <f>_xlfn.XLOOKUP(Tabelle8[[#This Row],[company_id]],'00_DAX_Master'!A:A,'00_DAX_Master'!D:D)</f>
        <v>Industrie</v>
      </c>
      <c r="C35">
        <f ca="1">SUMIF('03b_Values_Company_Level'!E:E,'03b_Values_Company_Level'!A:A,Tabelle8[[#This Row],[company_id]])</f>
        <v>0</v>
      </c>
      <c r="D35">
        <f>(COUNTA('02_Values_Codebook'!A:A)-1)*3</f>
        <v>54</v>
      </c>
      <c r="E35">
        <f ca="1">Tabelle8[[#This Row],[values_raw_points]]/Tabelle8[[#This Row],[values_max_points]]</f>
        <v>0</v>
      </c>
      <c r="F35">
        <f>SUMIF(Tabelle7[[#This Row],[score_0_3]],Tabelle7[[#This Row],[company_id]],Tabelle8[[#This Row],[company_id]])</f>
        <v>0</v>
      </c>
      <c r="G35">
        <f xml:space="preserve"> (Tabelle8[[#This Row],[gov_points_sum]]/21)*100</f>
        <v>0</v>
      </c>
    </row>
    <row r="36" spans="1:7" x14ac:dyDescent="0.25">
      <c r="A36">
        <v>35</v>
      </c>
      <c r="B36" t="str">
        <f>_xlfn.XLOOKUP(Tabelle8[[#This Row],[company_id]],'00_DAX_Master'!A:A,'00_DAX_Master'!D:D)</f>
        <v>Industrie</v>
      </c>
      <c r="C36">
        <f ca="1">SUMIF('03b_Values_Company_Level'!E:E,'03b_Values_Company_Level'!A:A,Tabelle8[[#This Row],[company_id]])</f>
        <v>0</v>
      </c>
      <c r="D36">
        <f>(COUNTA('02_Values_Codebook'!A:A)-1)*3</f>
        <v>54</v>
      </c>
      <c r="E36">
        <f ca="1">Tabelle8[[#This Row],[values_raw_points]]/Tabelle8[[#This Row],[values_max_points]]</f>
        <v>0</v>
      </c>
      <c r="F36">
        <f>SUMIF(Tabelle7[[#This Row],[score_0_3]],Tabelle7[[#This Row],[company_id]],Tabelle8[[#This Row],[company_id]])</f>
        <v>0</v>
      </c>
      <c r="G36">
        <f xml:space="preserve"> (Tabelle8[[#This Row],[gov_points_sum]]/21)*100</f>
        <v>0</v>
      </c>
    </row>
    <row r="37" spans="1:7" x14ac:dyDescent="0.25">
      <c r="A37">
        <v>36</v>
      </c>
      <c r="B37" t="str">
        <f>_xlfn.XLOOKUP(Tabelle8[[#This Row],[company_id]],'00_DAX_Master'!A:A,'00_DAX_Master'!D:D)</f>
        <v>Tech</v>
      </c>
      <c r="C37">
        <f ca="1">SUMIF('03b_Values_Company_Level'!E:E,'03b_Values_Company_Level'!A:A,Tabelle8[[#This Row],[company_id]])</f>
        <v>0</v>
      </c>
      <c r="D37">
        <f>(COUNTA('02_Values_Codebook'!A:A)-1)*3</f>
        <v>54</v>
      </c>
      <c r="E37">
        <f ca="1">Tabelle8[[#This Row],[values_raw_points]]/Tabelle8[[#This Row],[values_max_points]]</f>
        <v>0</v>
      </c>
      <c r="F37">
        <f>SUMIF(Tabelle7[[#This Row],[score_0_3]],Tabelle7[[#This Row],[company_id]],Tabelle8[[#This Row],[company_id]])</f>
        <v>0</v>
      </c>
      <c r="G37">
        <f xml:space="preserve"> (Tabelle8[[#This Row],[gov_points_sum]]/21)*100</f>
        <v>0</v>
      </c>
    </row>
    <row r="38" spans="1:7" x14ac:dyDescent="0.25">
      <c r="A38">
        <v>37</v>
      </c>
      <c r="B38" t="str">
        <f>_xlfn.XLOOKUP(Tabelle8[[#This Row],[company_id]],'00_DAX_Master'!A:A,'00_DAX_Master'!D:D)</f>
        <v>Consumer</v>
      </c>
      <c r="C38">
        <f ca="1">SUMIF('03b_Values_Company_Level'!E:E,'03b_Values_Company_Level'!A:A,Tabelle8[[#This Row],[company_id]])</f>
        <v>0</v>
      </c>
      <c r="D38">
        <f>(COUNTA('02_Values_Codebook'!A:A)-1)*3</f>
        <v>54</v>
      </c>
      <c r="E38">
        <f ca="1">Tabelle8[[#This Row],[values_raw_points]]/Tabelle8[[#This Row],[values_max_points]]</f>
        <v>0</v>
      </c>
      <c r="F38">
        <f>SUMIF(Tabelle7[[#This Row],[score_0_3]],Tabelle7[[#This Row],[company_id]],Tabelle8[[#This Row],[company_id]])</f>
        <v>0</v>
      </c>
      <c r="G38">
        <f xml:space="preserve"> (Tabelle8[[#This Row],[gov_points_sum]]/21)*100</f>
        <v>0</v>
      </c>
    </row>
    <row r="39" spans="1:7" x14ac:dyDescent="0.25">
      <c r="A39">
        <v>38</v>
      </c>
      <c r="B39" t="str">
        <f>_xlfn.XLOOKUP(Tabelle8[[#This Row],[company_id]],'00_DAX_Master'!A:A,'00_DAX_Master'!D:D)</f>
        <v>Industrie</v>
      </c>
      <c r="C39">
        <f ca="1">SUMIF('03b_Values_Company_Level'!E:E,'03b_Values_Company_Level'!A:A,Tabelle8[[#This Row],[company_id]])</f>
        <v>0</v>
      </c>
      <c r="D39">
        <f>(COUNTA('02_Values_Codebook'!A:A)-1)*3</f>
        <v>54</v>
      </c>
      <c r="E39">
        <f ca="1">Tabelle8[[#This Row],[values_raw_points]]/Tabelle8[[#This Row],[values_max_points]]</f>
        <v>0</v>
      </c>
      <c r="F39">
        <f>SUMIF(Tabelle7[[#This Row],[score_0_3]],Tabelle7[[#This Row],[company_id]],Tabelle8[[#This Row],[company_id]])</f>
        <v>0</v>
      </c>
      <c r="G39">
        <f xml:space="preserve"> (Tabelle8[[#This Row],[gov_points_sum]]/21)*100</f>
        <v>0</v>
      </c>
    </row>
    <row r="40" spans="1:7" x14ac:dyDescent="0.25">
      <c r="A40">
        <v>39</v>
      </c>
      <c r="B40" t="str">
        <f>_xlfn.XLOOKUP(Tabelle8[[#This Row],[company_id]],'00_DAX_Master'!A:A,'00_DAX_Master'!D:D)</f>
        <v>Consumer</v>
      </c>
      <c r="C40">
        <f ca="1">SUMIF('03b_Values_Company_Level'!E:E,'03b_Values_Company_Level'!A:A,Tabelle8[[#This Row],[company_id]])</f>
        <v>0</v>
      </c>
      <c r="D40">
        <f>(COUNTA('02_Values_Codebook'!A:A)-1)*3</f>
        <v>54</v>
      </c>
      <c r="E40">
        <f ca="1">Tabelle8[[#This Row],[values_raw_points]]/Tabelle8[[#This Row],[values_max_points]]</f>
        <v>0</v>
      </c>
      <c r="F40">
        <f>SUMIF(Tabelle7[[#This Row],[score_0_3]],Tabelle7[[#This Row],[company_id]],Tabelle8[[#This Row],[company_id]])</f>
        <v>0</v>
      </c>
      <c r="G40">
        <f xml:space="preserve"> (Tabelle8[[#This Row],[gov_points_sum]]/21)*100</f>
        <v>0</v>
      </c>
    </row>
    <row r="41" spans="1:7" x14ac:dyDescent="0.25">
      <c r="A41">
        <v>40</v>
      </c>
      <c r="B41" t="str">
        <f>_xlfn.XLOOKUP(Tabelle8[[#This Row],[company_id]],'00_DAX_Master'!A:A,'00_DAX_Master'!D:D)</f>
        <v>Consumer</v>
      </c>
      <c r="C41">
        <f ca="1">SUMIF('03b_Values_Company_Level'!E:E,'03b_Values_Company_Level'!A:A,Tabelle8[[#This Row],[company_id]])</f>
        <v>0</v>
      </c>
      <c r="D41">
        <f>(COUNTA('02_Values_Codebook'!A:A)-1)*3</f>
        <v>54</v>
      </c>
      <c r="E41">
        <f ca="1">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sheetPr>
    <tabColor theme="5"/>
  </sheetPr>
  <dimension ref="A1:G21"/>
  <sheetViews>
    <sheetView workbookViewId="0">
      <selection activeCell="L17" sqref="K17:L17"/>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52.42578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995</v>
      </c>
      <c r="B3" t="s">
        <v>953</v>
      </c>
      <c r="C3" t="s">
        <v>2043</v>
      </c>
      <c r="E3" t="s">
        <v>996</v>
      </c>
      <c r="F3" t="s">
        <v>997</v>
      </c>
      <c r="G3" t="s">
        <v>1965</v>
      </c>
    </row>
    <row r="4" spans="1:7" x14ac:dyDescent="0.25">
      <c r="A4" t="s">
        <v>1963</v>
      </c>
      <c r="B4" t="s">
        <v>1964</v>
      </c>
      <c r="C4" t="s">
        <v>2044</v>
      </c>
      <c r="D4" t="s">
        <v>69</v>
      </c>
      <c r="E4" t="s">
        <v>2045</v>
      </c>
      <c r="F4" t="s">
        <v>2047</v>
      </c>
      <c r="G4" t="s">
        <v>1965</v>
      </c>
    </row>
    <row r="5" spans="1:7" x14ac:dyDescent="0.25">
      <c r="A5" t="s">
        <v>1963</v>
      </c>
      <c r="B5" t="s">
        <v>1964</v>
      </c>
      <c r="C5" t="s">
        <v>2044</v>
      </c>
      <c r="D5" t="s">
        <v>76</v>
      </c>
      <c r="E5" t="s">
        <v>2048</v>
      </c>
      <c r="F5" t="s">
        <v>2050</v>
      </c>
      <c r="G5" t="s">
        <v>1965</v>
      </c>
    </row>
    <row r="6" spans="1:7" x14ac:dyDescent="0.25">
      <c r="A6" t="s">
        <v>1963</v>
      </c>
      <c r="B6" t="s">
        <v>1964</v>
      </c>
      <c r="C6" t="s">
        <v>2044</v>
      </c>
      <c r="D6" t="s">
        <v>106</v>
      </c>
      <c r="E6" t="s">
        <v>2045</v>
      </c>
      <c r="F6" t="s">
        <v>2052</v>
      </c>
      <c r="G6" t="s">
        <v>1965</v>
      </c>
    </row>
    <row r="7" spans="1:7" x14ac:dyDescent="0.25">
      <c r="A7" t="s">
        <v>1963</v>
      </c>
      <c r="B7" t="s">
        <v>1964</v>
      </c>
      <c r="C7" t="s">
        <v>2044</v>
      </c>
      <c r="D7" t="s">
        <v>112</v>
      </c>
      <c r="E7" t="s">
        <v>2048</v>
      </c>
      <c r="F7" t="s">
        <v>2054</v>
      </c>
      <c r="G7" t="s">
        <v>1965</v>
      </c>
    </row>
    <row r="8" spans="1:7" x14ac:dyDescent="0.25">
      <c r="A8" t="s">
        <v>1963</v>
      </c>
      <c r="B8" t="s">
        <v>1964</v>
      </c>
      <c r="C8" t="s">
        <v>2044</v>
      </c>
      <c r="D8" t="s">
        <v>125</v>
      </c>
      <c r="E8" t="s">
        <v>2055</v>
      </c>
      <c r="F8" t="s">
        <v>2057</v>
      </c>
      <c r="G8" t="s">
        <v>1965</v>
      </c>
    </row>
    <row r="9" spans="1:7" x14ac:dyDescent="0.25">
      <c r="A9" t="s">
        <v>1963</v>
      </c>
      <c r="B9" t="s">
        <v>1964</v>
      </c>
      <c r="C9" t="s">
        <v>2044</v>
      </c>
      <c r="D9" t="s">
        <v>140</v>
      </c>
      <c r="E9" t="s">
        <v>2048</v>
      </c>
      <c r="F9" t="s">
        <v>2059</v>
      </c>
      <c r="G9" t="s">
        <v>1965</v>
      </c>
    </row>
    <row r="10" spans="1:7" x14ac:dyDescent="0.25">
      <c r="A10" t="s">
        <v>1963</v>
      </c>
      <c r="B10" t="s">
        <v>1964</v>
      </c>
      <c r="C10" t="s">
        <v>2044</v>
      </c>
      <c r="D10" t="s">
        <v>147</v>
      </c>
      <c r="E10" t="s">
        <v>2045</v>
      </c>
      <c r="F10" t="s">
        <v>2061</v>
      </c>
      <c r="G10" t="s">
        <v>1965</v>
      </c>
    </row>
    <row r="11" spans="1:7" x14ac:dyDescent="0.25">
      <c r="A11" t="s">
        <v>1963</v>
      </c>
      <c r="B11" t="s">
        <v>1964</v>
      </c>
      <c r="C11" t="s">
        <v>2044</v>
      </c>
      <c r="D11" t="s">
        <v>154</v>
      </c>
      <c r="E11" t="s">
        <v>2055</v>
      </c>
      <c r="F11" t="s">
        <v>2063</v>
      </c>
      <c r="G11" t="s">
        <v>1965</v>
      </c>
    </row>
    <row r="12" spans="1:7" x14ac:dyDescent="0.25">
      <c r="A12" t="s">
        <v>1963</v>
      </c>
      <c r="B12" t="s">
        <v>1964</v>
      </c>
      <c r="C12" t="s">
        <v>2044</v>
      </c>
      <c r="D12" t="s">
        <v>161</v>
      </c>
      <c r="E12" t="s">
        <v>2048</v>
      </c>
      <c r="F12" t="s">
        <v>2065</v>
      </c>
      <c r="G12" t="s">
        <v>1965</v>
      </c>
    </row>
    <row r="13" spans="1:7" x14ac:dyDescent="0.25">
      <c r="A13" t="s">
        <v>1963</v>
      </c>
      <c r="B13" t="s">
        <v>1964</v>
      </c>
      <c r="C13" t="s">
        <v>2044</v>
      </c>
      <c r="D13" t="s">
        <v>161</v>
      </c>
      <c r="E13" t="s">
        <v>2055</v>
      </c>
      <c r="F13" t="s">
        <v>2067</v>
      </c>
      <c r="G13" t="s">
        <v>1965</v>
      </c>
    </row>
    <row r="14" spans="1:7" x14ac:dyDescent="0.25">
      <c r="A14" t="s">
        <v>1963</v>
      </c>
      <c r="B14" t="s">
        <v>1964</v>
      </c>
      <c r="C14" t="s">
        <v>2044</v>
      </c>
      <c r="D14" t="s">
        <v>174</v>
      </c>
      <c r="E14" t="s">
        <v>2048</v>
      </c>
      <c r="F14" t="s">
        <v>2069</v>
      </c>
      <c r="G14" t="s">
        <v>1965</v>
      </c>
    </row>
    <row r="15" spans="1:7" x14ac:dyDescent="0.25">
      <c r="A15" t="s">
        <v>1963</v>
      </c>
      <c r="B15" t="s">
        <v>1964</v>
      </c>
      <c r="C15" t="s">
        <v>2044</v>
      </c>
      <c r="D15" t="s">
        <v>186</v>
      </c>
      <c r="E15" t="s">
        <v>2070</v>
      </c>
      <c r="F15" t="s">
        <v>2072</v>
      </c>
      <c r="G15" t="s">
        <v>1965</v>
      </c>
    </row>
    <row r="16" spans="1:7" x14ac:dyDescent="0.25">
      <c r="A16" t="s">
        <v>1963</v>
      </c>
      <c r="B16" t="s">
        <v>1964</v>
      </c>
      <c r="C16" t="s">
        <v>2044</v>
      </c>
      <c r="D16" t="s">
        <v>198</v>
      </c>
      <c r="E16" t="s">
        <v>2073</v>
      </c>
      <c r="F16" t="s">
        <v>2075</v>
      </c>
      <c r="G16" t="s">
        <v>1965</v>
      </c>
    </row>
    <row r="17" spans="1:7" x14ac:dyDescent="0.25">
      <c r="A17" t="s">
        <v>1963</v>
      </c>
      <c r="B17" t="s">
        <v>1964</v>
      </c>
      <c r="C17" t="s">
        <v>2044</v>
      </c>
      <c r="D17" t="s">
        <v>198</v>
      </c>
      <c r="E17" t="s">
        <v>2076</v>
      </c>
      <c r="F17" t="s">
        <v>2078</v>
      </c>
      <c r="G17" t="s">
        <v>1965</v>
      </c>
    </row>
    <row r="18" spans="1:7" x14ac:dyDescent="0.25">
      <c r="A18" t="s">
        <v>1963</v>
      </c>
      <c r="B18" t="s">
        <v>1964</v>
      </c>
      <c r="C18" t="s">
        <v>2044</v>
      </c>
      <c r="D18" t="s">
        <v>204</v>
      </c>
      <c r="E18" t="s">
        <v>2070</v>
      </c>
      <c r="F18" t="s">
        <v>2080</v>
      </c>
      <c r="G18" t="s">
        <v>2081</v>
      </c>
    </row>
    <row r="19" spans="1:7" x14ac:dyDescent="0.25">
      <c r="A19" t="s">
        <v>1963</v>
      </c>
      <c r="B19" t="s">
        <v>1964</v>
      </c>
      <c r="C19" t="s">
        <v>2044</v>
      </c>
      <c r="D19" t="s">
        <v>210</v>
      </c>
      <c r="E19" t="s">
        <v>2070</v>
      </c>
      <c r="F19" t="s">
        <v>2083</v>
      </c>
      <c r="G19" t="s">
        <v>1965</v>
      </c>
    </row>
    <row r="20" spans="1:7" x14ac:dyDescent="0.25">
      <c r="A20" t="s">
        <v>1963</v>
      </c>
      <c r="B20" t="s">
        <v>1964</v>
      </c>
      <c r="C20" t="s">
        <v>2044</v>
      </c>
      <c r="D20" t="s">
        <v>221</v>
      </c>
      <c r="E20" t="s">
        <v>2070</v>
      </c>
      <c r="F20" t="s">
        <v>2085</v>
      </c>
      <c r="G20" t="s">
        <v>1965</v>
      </c>
    </row>
    <row r="21" spans="1:7" x14ac:dyDescent="0.25">
      <c r="A21" s="39" t="s">
        <v>2150</v>
      </c>
      <c r="B21" s="39" t="s">
        <v>1964</v>
      </c>
      <c r="C21" s="39" t="s">
        <v>2151</v>
      </c>
      <c r="D21" s="39"/>
      <c r="E21" s="39"/>
      <c r="F21" s="39"/>
      <c r="G21" s="39"/>
    </row>
  </sheetData>
  <phoneticPr fontId="1" type="noConversion"/>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sheetPr>
    <tabColor theme="5"/>
  </sheetPr>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sheetPr>
    <tabColor theme="0" tint="-0.499984740745262"/>
  </sheetPr>
  <dimension ref="A1:Q11"/>
  <sheetViews>
    <sheetView workbookViewId="0">
      <selection activeCell="G28" sqref="G28"/>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sheetPr>
    <tabColor theme="0" tint="-0.499984740745262"/>
  </sheetPr>
  <dimension ref="A1:K572"/>
  <sheetViews>
    <sheetView topLeftCell="A105" workbookViewId="0">
      <selection activeCell="D118" sqref="D118"/>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1365</v>
      </c>
      <c r="G2" s="22" t="s">
        <v>1366</v>
      </c>
      <c r="H2" s="22" t="s">
        <v>1367</v>
      </c>
      <c r="I2" s="21" t="s">
        <v>272</v>
      </c>
      <c r="J2" s="22" t="s">
        <v>1368</v>
      </c>
      <c r="K2" s="23">
        <f>Tabelle52[[#This Row],[value_present]]*Tabelle52[[#This Row],[binding_level]]</f>
        <v>2</v>
      </c>
    </row>
    <row r="3" spans="1:11" x14ac:dyDescent="0.25">
      <c r="A3" s="24">
        <v>3</v>
      </c>
      <c r="B3" s="2">
        <v>16</v>
      </c>
      <c r="C3" s="2" t="s">
        <v>61</v>
      </c>
      <c r="D3" s="3">
        <v>1</v>
      </c>
      <c r="E3" s="1">
        <v>1</v>
      </c>
      <c r="F3" t="s">
        <v>1371</v>
      </c>
      <c r="G3" t="s">
        <v>1372</v>
      </c>
      <c r="H3" t="s">
        <v>1370</v>
      </c>
      <c r="I3" s="1" t="s">
        <v>272</v>
      </c>
      <c r="J3" t="s">
        <v>1373</v>
      </c>
      <c r="K3" s="25">
        <f>Tabelle52[[#This Row],[value_present]]*Tabelle52[[#This Row],[binding_level]]</f>
        <v>1</v>
      </c>
    </row>
    <row r="4" spans="1:11" x14ac:dyDescent="0.25">
      <c r="A4" s="24">
        <v>3</v>
      </c>
      <c r="B4" s="2">
        <v>16</v>
      </c>
      <c r="C4" s="2" t="s">
        <v>69</v>
      </c>
      <c r="D4" s="3">
        <v>1</v>
      </c>
      <c r="E4" s="1">
        <v>1</v>
      </c>
      <c r="F4" t="s">
        <v>1374</v>
      </c>
      <c r="G4" t="s">
        <v>1375</v>
      </c>
      <c r="H4" t="s">
        <v>1370</v>
      </c>
      <c r="I4" s="1" t="s">
        <v>272</v>
      </c>
      <c r="J4" t="s">
        <v>1376</v>
      </c>
      <c r="K4" s="25">
        <f>Tabelle52[[#This Row],[value_present]]*Tabelle52[[#This Row],[binding_level]]</f>
        <v>1</v>
      </c>
    </row>
    <row r="5" spans="1:11" x14ac:dyDescent="0.25">
      <c r="A5" s="24">
        <v>3</v>
      </c>
      <c r="B5" s="2">
        <v>16</v>
      </c>
      <c r="C5" s="2" t="s">
        <v>76</v>
      </c>
      <c r="D5" s="3">
        <v>1</v>
      </c>
      <c r="E5" s="1">
        <v>1</v>
      </c>
      <c r="F5" t="s">
        <v>1377</v>
      </c>
      <c r="G5" t="s">
        <v>1378</v>
      </c>
      <c r="H5" t="s">
        <v>1370</v>
      </c>
      <c r="I5" s="1" t="s">
        <v>272</v>
      </c>
      <c r="J5" t="s">
        <v>1379</v>
      </c>
      <c r="K5" s="25">
        <f>Tabelle52[[#This Row],[value_present]]*Tabelle52[[#This Row],[binding_level]]</f>
        <v>1</v>
      </c>
    </row>
    <row r="6" spans="1:11" x14ac:dyDescent="0.25">
      <c r="A6" s="24">
        <v>3</v>
      </c>
      <c r="B6" s="2">
        <v>16</v>
      </c>
      <c r="C6" s="2" t="s">
        <v>83</v>
      </c>
      <c r="D6" s="3">
        <v>1</v>
      </c>
      <c r="E6" s="1">
        <v>1</v>
      </c>
      <c r="F6" t="s">
        <v>1380</v>
      </c>
      <c r="G6" t="s">
        <v>1381</v>
      </c>
      <c r="H6" t="s">
        <v>1382</v>
      </c>
      <c r="I6" s="1" t="s">
        <v>272</v>
      </c>
      <c r="J6" t="s">
        <v>1383</v>
      </c>
      <c r="K6" s="25">
        <f>Tabelle52[[#This Row],[value_present]]*Tabelle52[[#This Row],[binding_level]]</f>
        <v>1</v>
      </c>
    </row>
    <row r="7" spans="1:11" x14ac:dyDescent="0.25">
      <c r="A7" s="24">
        <v>3</v>
      </c>
      <c r="B7" s="2">
        <v>16</v>
      </c>
      <c r="C7" s="2" t="s">
        <v>90</v>
      </c>
      <c r="D7" s="3">
        <v>1</v>
      </c>
      <c r="E7" s="1">
        <v>3</v>
      </c>
      <c r="F7" t="s">
        <v>1384</v>
      </c>
      <c r="G7" t="s">
        <v>1385</v>
      </c>
      <c r="H7" t="s">
        <v>1386</v>
      </c>
      <c r="I7" s="1" t="s">
        <v>273</v>
      </c>
      <c r="J7" t="s">
        <v>1387</v>
      </c>
      <c r="K7" s="25">
        <f>Tabelle52[[#This Row],[value_present]]*Tabelle52[[#This Row],[binding_level]]</f>
        <v>3</v>
      </c>
    </row>
    <row r="8" spans="1:11" x14ac:dyDescent="0.25">
      <c r="A8" s="24">
        <v>3</v>
      </c>
      <c r="B8" s="2">
        <v>16</v>
      </c>
      <c r="C8" s="2" t="s">
        <v>98</v>
      </c>
      <c r="D8" s="3">
        <v>1</v>
      </c>
      <c r="E8" s="1">
        <v>1</v>
      </c>
      <c r="F8" t="s">
        <v>1389</v>
      </c>
      <c r="G8" t="s">
        <v>1390</v>
      </c>
      <c r="H8" t="s">
        <v>1388</v>
      </c>
      <c r="I8" s="1" t="s">
        <v>272</v>
      </c>
      <c r="K8" s="25">
        <f>Tabelle52[[#This Row],[value_present]]*Tabelle52[[#This Row],[binding_level]]</f>
        <v>1</v>
      </c>
    </row>
    <row r="9" spans="1:11" x14ac:dyDescent="0.25">
      <c r="A9" s="24">
        <v>3</v>
      </c>
      <c r="B9" s="2">
        <v>16</v>
      </c>
      <c r="C9" s="2" t="s">
        <v>106</v>
      </c>
      <c r="D9" s="3">
        <v>0</v>
      </c>
      <c r="E9" s="1"/>
      <c r="I9" s="1" t="s">
        <v>272</v>
      </c>
      <c r="J9" t="s">
        <v>1391</v>
      </c>
      <c r="K9" s="25">
        <f>Tabelle52[[#This Row],[value_present]]*Tabelle52[[#This Row],[binding_level]]</f>
        <v>0</v>
      </c>
    </row>
    <row r="10" spans="1:11" x14ac:dyDescent="0.25">
      <c r="A10" s="24">
        <v>3</v>
      </c>
      <c r="B10" s="2">
        <v>16</v>
      </c>
      <c r="C10" s="2" t="s">
        <v>112</v>
      </c>
      <c r="D10" s="3">
        <v>1</v>
      </c>
      <c r="E10" s="1">
        <v>1</v>
      </c>
      <c r="F10" t="s">
        <v>1392</v>
      </c>
      <c r="G10" t="s">
        <v>1393</v>
      </c>
      <c r="H10" t="s">
        <v>1370</v>
      </c>
      <c r="I10" s="1" t="s">
        <v>273</v>
      </c>
      <c r="J10" t="s">
        <v>1394</v>
      </c>
      <c r="K10" s="25">
        <f>Tabelle52[[#This Row],[value_present]]*Tabelle52[[#This Row],[binding_level]]</f>
        <v>1</v>
      </c>
    </row>
    <row r="11" spans="1:11" x14ac:dyDescent="0.25">
      <c r="A11" s="24">
        <v>3</v>
      </c>
      <c r="B11" s="2">
        <v>16</v>
      </c>
      <c r="C11" s="2" t="s">
        <v>118</v>
      </c>
      <c r="D11" s="3">
        <v>0</v>
      </c>
      <c r="E11" s="1"/>
      <c r="I11" s="1" t="s">
        <v>272</v>
      </c>
      <c r="J11" t="s">
        <v>1391</v>
      </c>
      <c r="K11" s="25">
        <f>Tabelle52[[#This Row],[value_present]]*Tabelle52[[#This Row],[binding_level]]</f>
        <v>0</v>
      </c>
    </row>
    <row r="12" spans="1:11" x14ac:dyDescent="0.25">
      <c r="A12" s="24">
        <v>3</v>
      </c>
      <c r="B12" s="2">
        <v>16</v>
      </c>
      <c r="C12" s="2" t="s">
        <v>125</v>
      </c>
      <c r="D12" s="3">
        <v>0</v>
      </c>
      <c r="E12" s="1"/>
      <c r="I12" s="1" t="s">
        <v>272</v>
      </c>
      <c r="J12" t="s">
        <v>1391</v>
      </c>
      <c r="K12" s="25">
        <f>Tabelle52[[#This Row],[value_present]]*Tabelle52[[#This Row],[binding_level]]</f>
        <v>0</v>
      </c>
    </row>
    <row r="13" spans="1:11" x14ac:dyDescent="0.25">
      <c r="A13" s="24">
        <v>3</v>
      </c>
      <c r="B13" s="2">
        <v>16</v>
      </c>
      <c r="C13" s="2" t="s">
        <v>132</v>
      </c>
      <c r="D13" s="3">
        <v>0</v>
      </c>
      <c r="E13" s="1"/>
      <c r="I13" s="1" t="s">
        <v>272</v>
      </c>
      <c r="J13" t="s">
        <v>1391</v>
      </c>
      <c r="K13" s="25">
        <f>Tabelle52[[#This Row],[value_present]]*Tabelle52[[#This Row],[binding_level]]</f>
        <v>0</v>
      </c>
    </row>
    <row r="14" spans="1:11" ht="14.25" customHeight="1" x14ac:dyDescent="0.25">
      <c r="A14" s="24">
        <v>3</v>
      </c>
      <c r="B14" s="2">
        <v>16</v>
      </c>
      <c r="C14" s="2" t="s">
        <v>140</v>
      </c>
      <c r="D14" s="3">
        <v>0</v>
      </c>
      <c r="E14" s="1"/>
      <c r="I14" s="1" t="s">
        <v>272</v>
      </c>
      <c r="J14" t="s">
        <v>1391</v>
      </c>
      <c r="K14" s="25">
        <f>Tabelle52[[#This Row],[value_present]]*Tabelle52[[#This Row],[binding_level]]</f>
        <v>0</v>
      </c>
    </row>
    <row r="15" spans="1:11" x14ac:dyDescent="0.25">
      <c r="A15" s="24">
        <v>3</v>
      </c>
      <c r="B15" s="2">
        <v>16</v>
      </c>
      <c r="C15" s="2" t="s">
        <v>147</v>
      </c>
      <c r="D15" s="3">
        <v>1</v>
      </c>
      <c r="E15" s="1">
        <v>2</v>
      </c>
      <c r="F15" t="s">
        <v>1395</v>
      </c>
      <c r="G15" t="s">
        <v>1396</v>
      </c>
      <c r="H15" t="s">
        <v>1397</v>
      </c>
      <c r="I15" s="1" t="s">
        <v>272</v>
      </c>
      <c r="J15" t="s">
        <v>1398</v>
      </c>
      <c r="K15" s="25">
        <f>Tabelle52[[#This Row],[value_present]]*Tabelle52[[#This Row],[binding_level]]</f>
        <v>2</v>
      </c>
    </row>
    <row r="16" spans="1:11" x14ac:dyDescent="0.25">
      <c r="A16" s="24">
        <v>3</v>
      </c>
      <c r="B16" s="2">
        <v>16</v>
      </c>
      <c r="C16" s="2" t="s">
        <v>154</v>
      </c>
      <c r="D16" s="3">
        <v>0</v>
      </c>
      <c r="E16" s="1"/>
      <c r="I16" s="1" t="s">
        <v>273</v>
      </c>
      <c r="J16" t="s">
        <v>1403</v>
      </c>
      <c r="K16" s="25">
        <f>Tabelle52[[#This Row],[value_present]]*Tabelle52[[#This Row],[binding_level]]</f>
        <v>0</v>
      </c>
    </row>
    <row r="17" spans="1:11" x14ac:dyDescent="0.25">
      <c r="A17" s="24">
        <v>3</v>
      </c>
      <c r="B17" s="2">
        <v>16</v>
      </c>
      <c r="C17" s="2" t="s">
        <v>161</v>
      </c>
      <c r="D17" s="3">
        <v>1</v>
      </c>
      <c r="E17" s="1">
        <v>2</v>
      </c>
      <c r="F17" t="s">
        <v>1399</v>
      </c>
      <c r="G17" t="s">
        <v>1400</v>
      </c>
      <c r="H17" t="s">
        <v>1401</v>
      </c>
      <c r="I17" s="1" t="s">
        <v>272</v>
      </c>
      <c r="J17" t="s">
        <v>1402</v>
      </c>
      <c r="K17" s="25">
        <f>Tabelle52[[#This Row],[value_present]]*Tabelle52[[#This Row],[binding_level]]</f>
        <v>2</v>
      </c>
    </row>
    <row r="18" spans="1:11" x14ac:dyDescent="0.25">
      <c r="A18" s="24">
        <v>3</v>
      </c>
      <c r="B18" s="2">
        <v>16</v>
      </c>
      <c r="C18" s="2" t="s">
        <v>166</v>
      </c>
      <c r="D18" s="3">
        <v>0</v>
      </c>
      <c r="E18" s="1"/>
      <c r="I18" s="1" t="s">
        <v>272</v>
      </c>
      <c r="J18" t="s">
        <v>1391</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1391</v>
      </c>
      <c r="K19" s="31">
        <f>Tabelle52[[#This Row],[value_present]]*Tabelle52[[#This Row],[binding_level]]</f>
        <v>0</v>
      </c>
    </row>
    <row r="20" spans="1:11" x14ac:dyDescent="0.25">
      <c r="A20" s="18">
        <v>4</v>
      </c>
      <c r="B20" s="19">
        <v>22</v>
      </c>
      <c r="C20" s="19" t="s">
        <v>53</v>
      </c>
      <c r="D20" s="20">
        <v>1</v>
      </c>
      <c r="E20" s="21">
        <v>1</v>
      </c>
      <c r="F20" t="s">
        <v>1441</v>
      </c>
      <c r="G20" s="22" t="s">
        <v>1442</v>
      </c>
      <c r="H20" s="22" t="s">
        <v>1470</v>
      </c>
      <c r="I20" s="21" t="s">
        <v>1457</v>
      </c>
      <c r="J20" s="22" t="s">
        <v>1443</v>
      </c>
      <c r="K20" s="23">
        <f>Tabelle52[[#This Row],[value_present]]*Tabelle52[[#This Row],[binding_level]]</f>
        <v>1</v>
      </c>
    </row>
    <row r="21" spans="1:11" x14ac:dyDescent="0.25">
      <c r="A21" s="24">
        <v>4</v>
      </c>
      <c r="B21" s="2">
        <v>22</v>
      </c>
      <c r="C21" s="2" t="s">
        <v>61</v>
      </c>
      <c r="D21" s="3">
        <v>1</v>
      </c>
      <c r="E21" s="1">
        <v>1</v>
      </c>
      <c r="F21" t="s">
        <v>1444</v>
      </c>
      <c r="G21" t="s">
        <v>1445</v>
      </c>
      <c r="H21" t="s">
        <v>1470</v>
      </c>
      <c r="I21" s="1" t="s">
        <v>1457</v>
      </c>
      <c r="J21" t="s">
        <v>1446</v>
      </c>
      <c r="K21" s="25">
        <f>Tabelle52[[#This Row],[value_present]]*Tabelle52[[#This Row],[binding_level]]</f>
        <v>1</v>
      </c>
    </row>
    <row r="22" spans="1:11" x14ac:dyDescent="0.25">
      <c r="A22" s="24">
        <v>4</v>
      </c>
      <c r="B22" s="2">
        <v>22</v>
      </c>
      <c r="C22" s="2" t="s">
        <v>69</v>
      </c>
      <c r="D22" s="3">
        <v>1</v>
      </c>
      <c r="E22" s="1">
        <v>1</v>
      </c>
      <c r="F22" t="s">
        <v>1447</v>
      </c>
      <c r="G22" t="s">
        <v>1448</v>
      </c>
      <c r="H22" t="s">
        <v>1471</v>
      </c>
      <c r="I22" s="1" t="s">
        <v>1457</v>
      </c>
      <c r="J22" t="s">
        <v>1449</v>
      </c>
      <c r="K22" s="25">
        <f>Tabelle52[[#This Row],[value_present]]*Tabelle52[[#This Row],[binding_level]]</f>
        <v>1</v>
      </c>
    </row>
    <row r="23" spans="1:11" x14ac:dyDescent="0.25">
      <c r="A23" s="24">
        <v>4</v>
      </c>
      <c r="B23" s="2">
        <v>22</v>
      </c>
      <c r="C23" s="2" t="s">
        <v>76</v>
      </c>
      <c r="D23" s="3">
        <v>1</v>
      </c>
      <c r="E23" s="1">
        <v>1</v>
      </c>
      <c r="F23" t="s">
        <v>1450</v>
      </c>
      <c r="G23" t="s">
        <v>1451</v>
      </c>
      <c r="H23" t="s">
        <v>1471</v>
      </c>
      <c r="I23" s="1" t="s">
        <v>1458</v>
      </c>
      <c r="J23" t="s">
        <v>1459</v>
      </c>
      <c r="K23" s="25">
        <f>Tabelle52[[#This Row],[value_present]]*Tabelle52[[#This Row],[binding_level]]</f>
        <v>1</v>
      </c>
    </row>
    <row r="24" spans="1:11" x14ac:dyDescent="0.25">
      <c r="A24" s="24">
        <v>4</v>
      </c>
      <c r="B24" s="2">
        <v>22</v>
      </c>
      <c r="C24" s="2" t="s">
        <v>83</v>
      </c>
      <c r="D24" s="3">
        <v>1</v>
      </c>
      <c r="E24" s="1">
        <v>1</v>
      </c>
      <c r="F24" t="s">
        <v>1452</v>
      </c>
      <c r="G24" t="s">
        <v>1453</v>
      </c>
      <c r="H24" t="s">
        <v>1472</v>
      </c>
      <c r="I24" s="1" t="s">
        <v>1457</v>
      </c>
      <c r="J24" t="s">
        <v>1460</v>
      </c>
      <c r="K24" s="25">
        <f>Tabelle52[[#This Row],[value_present]]*Tabelle52[[#This Row],[binding_level]]</f>
        <v>1</v>
      </c>
    </row>
    <row r="25" spans="1:11" x14ac:dyDescent="0.25">
      <c r="A25" s="24">
        <v>4</v>
      </c>
      <c r="B25" s="2">
        <v>22</v>
      </c>
      <c r="C25" s="2" t="s">
        <v>90</v>
      </c>
      <c r="D25" s="3">
        <v>1</v>
      </c>
      <c r="E25" s="1">
        <v>1</v>
      </c>
      <c r="F25" t="s">
        <v>1454</v>
      </c>
      <c r="G25" t="s">
        <v>1455</v>
      </c>
      <c r="H25" t="s">
        <v>1473</v>
      </c>
      <c r="I25" s="1" t="s">
        <v>1457</v>
      </c>
      <c r="J25" t="s">
        <v>1456</v>
      </c>
      <c r="K25" s="25">
        <f>Tabelle52[[#This Row],[value_present]]*Tabelle52[[#This Row],[binding_level]]</f>
        <v>1</v>
      </c>
    </row>
    <row r="26" spans="1:11" x14ac:dyDescent="0.25">
      <c r="A26" s="24">
        <v>4</v>
      </c>
      <c r="B26" s="2">
        <v>22</v>
      </c>
      <c r="C26" s="2" t="s">
        <v>98</v>
      </c>
      <c r="D26" s="3">
        <v>1</v>
      </c>
      <c r="E26" s="1">
        <v>1</v>
      </c>
      <c r="F26" t="s">
        <v>1481</v>
      </c>
      <c r="G26" t="s">
        <v>1482</v>
      </c>
      <c r="H26" t="s">
        <v>1474</v>
      </c>
      <c r="I26" s="1" t="s">
        <v>1457</v>
      </c>
      <c r="J26" t="s">
        <v>1461</v>
      </c>
      <c r="K26" s="25">
        <f>Tabelle52[[#This Row],[value_present]]*Tabelle52[[#This Row],[binding_level]]</f>
        <v>1</v>
      </c>
    </row>
    <row r="27" spans="1:11" x14ac:dyDescent="0.25">
      <c r="A27" s="24">
        <v>4</v>
      </c>
      <c r="B27" s="2">
        <v>22</v>
      </c>
      <c r="C27" s="2" t="s">
        <v>106</v>
      </c>
      <c r="D27" s="3">
        <v>1</v>
      </c>
      <c r="E27" s="1">
        <v>1</v>
      </c>
      <c r="F27" t="s">
        <v>1483</v>
      </c>
      <c r="G27" t="s">
        <v>1484</v>
      </c>
      <c r="H27" t="s">
        <v>1475</v>
      </c>
      <c r="I27" s="1" t="s">
        <v>1458</v>
      </c>
      <c r="J27" t="s">
        <v>1462</v>
      </c>
      <c r="K27" s="25">
        <f>Tabelle52[[#This Row],[value_present]]*Tabelle52[[#This Row],[binding_level]]</f>
        <v>1</v>
      </c>
    </row>
    <row r="28" spans="1:11" x14ac:dyDescent="0.25">
      <c r="A28" s="24">
        <v>4</v>
      </c>
      <c r="B28" s="2">
        <v>22</v>
      </c>
      <c r="C28" s="2" t="s">
        <v>112</v>
      </c>
      <c r="D28" s="3">
        <v>1</v>
      </c>
      <c r="E28" s="1">
        <v>1</v>
      </c>
      <c r="F28" t="s">
        <v>1486</v>
      </c>
      <c r="G28" t="s">
        <v>1485</v>
      </c>
      <c r="H28" t="s">
        <v>1476</v>
      </c>
      <c r="I28" s="1" t="s">
        <v>1457</v>
      </c>
      <c r="J28" t="s">
        <v>1463</v>
      </c>
      <c r="K28" s="25">
        <f>Tabelle52[[#This Row],[value_present]]*Tabelle52[[#This Row],[binding_level]]</f>
        <v>1</v>
      </c>
    </row>
    <row r="29" spans="1:11" x14ac:dyDescent="0.25">
      <c r="A29" s="24">
        <v>4</v>
      </c>
      <c r="B29" s="2">
        <v>22</v>
      </c>
      <c r="C29" s="2" t="s">
        <v>118</v>
      </c>
      <c r="D29" s="3">
        <v>0</v>
      </c>
      <c r="E29" s="1"/>
      <c r="I29" s="1" t="s">
        <v>1457</v>
      </c>
      <c r="J29" t="s">
        <v>1391</v>
      </c>
      <c r="K29" s="25">
        <f>Tabelle52[[#This Row],[value_present]]*Tabelle52[[#This Row],[binding_level]]</f>
        <v>0</v>
      </c>
    </row>
    <row r="30" spans="1:11" x14ac:dyDescent="0.25">
      <c r="A30" s="24">
        <v>4</v>
      </c>
      <c r="B30" s="2">
        <v>22</v>
      </c>
      <c r="C30" s="2" t="s">
        <v>125</v>
      </c>
      <c r="D30" s="3">
        <v>0</v>
      </c>
      <c r="E30" s="1"/>
      <c r="I30" s="1" t="s">
        <v>1457</v>
      </c>
      <c r="J30" t="s">
        <v>1391</v>
      </c>
      <c r="K30" s="25">
        <f>Tabelle52[[#This Row],[value_present]]*Tabelle52[[#This Row],[binding_level]]</f>
        <v>0</v>
      </c>
    </row>
    <row r="31" spans="1:11" x14ac:dyDescent="0.25">
      <c r="A31" s="24">
        <v>4</v>
      </c>
      <c r="B31" s="2">
        <v>22</v>
      </c>
      <c r="C31" s="2" t="s">
        <v>132</v>
      </c>
      <c r="D31" s="3">
        <v>0</v>
      </c>
      <c r="E31" s="1"/>
      <c r="I31" s="1" t="s">
        <v>1457</v>
      </c>
      <c r="J31" t="s">
        <v>1391</v>
      </c>
      <c r="K31" s="25">
        <f>Tabelle52[[#This Row],[value_present]]*Tabelle52[[#This Row],[binding_level]]</f>
        <v>0</v>
      </c>
    </row>
    <row r="32" spans="1:11" x14ac:dyDescent="0.25">
      <c r="A32" s="24">
        <v>4</v>
      </c>
      <c r="B32" s="2">
        <v>22</v>
      </c>
      <c r="C32" s="2" t="s">
        <v>140</v>
      </c>
      <c r="D32" s="3">
        <v>0</v>
      </c>
      <c r="E32" s="1"/>
      <c r="I32" s="1" t="s">
        <v>1457</v>
      </c>
      <c r="J32" t="s">
        <v>1464</v>
      </c>
      <c r="K32" s="25">
        <f>Tabelle52[[#This Row],[value_present]]*Tabelle52[[#This Row],[binding_level]]</f>
        <v>0</v>
      </c>
    </row>
    <row r="33" spans="1:11" x14ac:dyDescent="0.25">
      <c r="A33" s="24">
        <v>4</v>
      </c>
      <c r="B33" s="2">
        <v>22</v>
      </c>
      <c r="C33" s="2" t="s">
        <v>147</v>
      </c>
      <c r="D33" s="3">
        <v>1</v>
      </c>
      <c r="E33" s="1">
        <v>2</v>
      </c>
      <c r="F33" t="s">
        <v>1487</v>
      </c>
      <c r="G33" t="s">
        <v>1488</v>
      </c>
      <c r="H33" t="s">
        <v>1477</v>
      </c>
      <c r="I33" s="1" t="s">
        <v>1458</v>
      </c>
      <c r="J33" t="s">
        <v>1465</v>
      </c>
      <c r="K33" s="25">
        <f>Tabelle52[[#This Row],[value_present]]*Tabelle52[[#This Row],[binding_level]]</f>
        <v>2</v>
      </c>
    </row>
    <row r="34" spans="1:11" x14ac:dyDescent="0.25">
      <c r="A34" s="24">
        <v>4</v>
      </c>
      <c r="B34" s="2">
        <v>22</v>
      </c>
      <c r="C34" s="2" t="s">
        <v>154</v>
      </c>
      <c r="D34" s="3">
        <v>1</v>
      </c>
      <c r="E34" s="1">
        <v>1</v>
      </c>
      <c r="F34" t="s">
        <v>1489</v>
      </c>
      <c r="G34" t="s">
        <v>1490</v>
      </c>
      <c r="H34" t="s">
        <v>1478</v>
      </c>
      <c r="I34" s="1" t="s">
        <v>1457</v>
      </c>
      <c r="J34" t="s">
        <v>1466</v>
      </c>
      <c r="K34" s="25">
        <f>Tabelle52[[#This Row],[value_present]]*Tabelle52[[#This Row],[binding_level]]</f>
        <v>1</v>
      </c>
    </row>
    <row r="35" spans="1:11" x14ac:dyDescent="0.25">
      <c r="A35" s="24">
        <v>4</v>
      </c>
      <c r="B35" s="2">
        <v>22</v>
      </c>
      <c r="C35" s="2" t="s">
        <v>161</v>
      </c>
      <c r="D35" s="3">
        <v>1</v>
      </c>
      <c r="E35" s="1">
        <v>1</v>
      </c>
      <c r="F35" t="s">
        <v>1491</v>
      </c>
      <c r="G35" t="s">
        <v>1492</v>
      </c>
      <c r="H35" t="s">
        <v>1479</v>
      </c>
      <c r="I35" s="1" t="s">
        <v>1458</v>
      </c>
      <c r="J35" t="s">
        <v>1467</v>
      </c>
      <c r="K35" s="25">
        <f>Tabelle52[[#This Row],[value_present]]*Tabelle52[[#This Row],[binding_level]]</f>
        <v>1</v>
      </c>
    </row>
    <row r="36" spans="1:11" x14ac:dyDescent="0.25">
      <c r="A36" s="24">
        <v>4</v>
      </c>
      <c r="B36" s="2">
        <v>22</v>
      </c>
      <c r="C36" s="2" t="s">
        <v>166</v>
      </c>
      <c r="D36" s="3">
        <v>0</v>
      </c>
      <c r="E36" s="1"/>
      <c r="I36" s="1" t="s">
        <v>1458</v>
      </c>
      <c r="J36" t="s">
        <v>1468</v>
      </c>
      <c r="K36" s="25">
        <f>Tabelle52[[#This Row],[value_present]]*Tabelle52[[#This Row],[binding_level]]</f>
        <v>0</v>
      </c>
    </row>
    <row r="37" spans="1:11" ht="15.75" thickBot="1" x14ac:dyDescent="0.3">
      <c r="A37" s="26">
        <v>4</v>
      </c>
      <c r="B37" s="27">
        <v>22</v>
      </c>
      <c r="C37" s="27" t="s">
        <v>174</v>
      </c>
      <c r="D37" s="28">
        <v>1</v>
      </c>
      <c r="E37" s="29">
        <v>1</v>
      </c>
      <c r="F37" s="30" t="s">
        <v>1493</v>
      </c>
      <c r="G37" s="30" t="s">
        <v>1494</v>
      </c>
      <c r="H37" s="30" t="s">
        <v>1480</v>
      </c>
      <c r="I37" s="29" t="s">
        <v>1458</v>
      </c>
      <c r="J37" s="30" t="s">
        <v>1469</v>
      </c>
      <c r="K37" s="31">
        <f>Tabelle52[[#This Row],[value_present]]*Tabelle52[[#This Row],[binding_level]]</f>
        <v>1</v>
      </c>
    </row>
    <row r="38" spans="1:11" x14ac:dyDescent="0.25">
      <c r="A38" s="18">
        <v>5</v>
      </c>
      <c r="B38" s="19">
        <v>27</v>
      </c>
      <c r="C38" s="19" t="s">
        <v>53</v>
      </c>
      <c r="D38" s="20">
        <v>1</v>
      </c>
      <c r="E38" s="21">
        <v>1</v>
      </c>
      <c r="F38" s="22" t="s">
        <v>1551</v>
      </c>
      <c r="G38" s="22" t="s">
        <v>1552</v>
      </c>
      <c r="H38" s="22" t="s">
        <v>1550</v>
      </c>
      <c r="I38" s="21" t="s">
        <v>1457</v>
      </c>
      <c r="J38" s="22" t="s">
        <v>1535</v>
      </c>
      <c r="K38" s="23">
        <f>Tabelle52[[#This Row],[value_present]]*Tabelle52[[#This Row],[binding_level]]</f>
        <v>1</v>
      </c>
    </row>
    <row r="39" spans="1:11" x14ac:dyDescent="0.25">
      <c r="A39" s="24">
        <v>5</v>
      </c>
      <c r="B39" s="2">
        <v>27</v>
      </c>
      <c r="C39" s="2" t="s">
        <v>61</v>
      </c>
      <c r="D39" s="3">
        <v>1</v>
      </c>
      <c r="E39" s="1">
        <v>1</v>
      </c>
      <c r="F39" t="s">
        <v>1527</v>
      </c>
      <c r="G39" t="s">
        <v>1528</v>
      </c>
      <c r="H39" t="s">
        <v>1550</v>
      </c>
      <c r="I39" s="1" t="s">
        <v>1458</v>
      </c>
      <c r="J39" t="s">
        <v>1536</v>
      </c>
      <c r="K39" s="25">
        <f>Tabelle52[[#This Row],[value_present]]*Tabelle52[[#This Row],[binding_level]]</f>
        <v>1</v>
      </c>
    </row>
    <row r="40" spans="1:11" x14ac:dyDescent="0.25">
      <c r="A40" s="24">
        <v>5</v>
      </c>
      <c r="B40" s="2">
        <v>27</v>
      </c>
      <c r="C40" s="2" t="s">
        <v>69</v>
      </c>
      <c r="D40" s="3">
        <v>1</v>
      </c>
      <c r="E40" s="1">
        <v>1</v>
      </c>
      <c r="F40" t="s">
        <v>1523</v>
      </c>
      <c r="G40" t="s">
        <v>1524</v>
      </c>
      <c r="H40" t="s">
        <v>1550</v>
      </c>
      <c r="I40" s="1" t="s">
        <v>1457</v>
      </c>
      <c r="J40" t="s">
        <v>1537</v>
      </c>
      <c r="K40" s="25">
        <f>Tabelle52[[#This Row],[value_present]]*Tabelle52[[#This Row],[binding_level]]</f>
        <v>1</v>
      </c>
    </row>
    <row r="41" spans="1:11" x14ac:dyDescent="0.25">
      <c r="A41" s="24">
        <v>5</v>
      </c>
      <c r="B41" s="2">
        <v>27</v>
      </c>
      <c r="C41" s="2" t="s">
        <v>76</v>
      </c>
      <c r="D41" s="3">
        <v>0</v>
      </c>
      <c r="E41" s="1"/>
      <c r="I41" s="1" t="s">
        <v>1457</v>
      </c>
      <c r="J41" t="s">
        <v>1538</v>
      </c>
      <c r="K41" s="25">
        <f>Tabelle52[[#This Row],[value_present]]*Tabelle52[[#This Row],[binding_level]]</f>
        <v>0</v>
      </c>
    </row>
    <row r="42" spans="1:11" x14ac:dyDescent="0.25">
      <c r="A42" s="24">
        <v>5</v>
      </c>
      <c r="B42" s="2">
        <v>27</v>
      </c>
      <c r="C42" s="2" t="s">
        <v>83</v>
      </c>
      <c r="D42" s="3">
        <v>1</v>
      </c>
      <c r="E42" s="1">
        <v>1</v>
      </c>
      <c r="F42" t="s">
        <v>1527</v>
      </c>
      <c r="G42" t="s">
        <v>1528</v>
      </c>
      <c r="H42" t="s">
        <v>1550</v>
      </c>
      <c r="I42" s="1" t="s">
        <v>1458</v>
      </c>
      <c r="J42" t="s">
        <v>1539</v>
      </c>
      <c r="K42" s="25">
        <f>Tabelle52[[#This Row],[value_present]]*Tabelle52[[#This Row],[binding_level]]</f>
        <v>1</v>
      </c>
    </row>
    <row r="43" spans="1:11" x14ac:dyDescent="0.25">
      <c r="A43" s="24">
        <v>5</v>
      </c>
      <c r="B43" s="2">
        <v>27</v>
      </c>
      <c r="C43" s="2" t="s">
        <v>90</v>
      </c>
      <c r="D43" s="3">
        <v>0</v>
      </c>
      <c r="E43" s="1"/>
      <c r="I43" s="1" t="s">
        <v>1457</v>
      </c>
      <c r="J43" t="s">
        <v>1540</v>
      </c>
      <c r="K43" s="25">
        <f>Tabelle52[[#This Row],[value_present]]*Tabelle52[[#This Row],[binding_level]]</f>
        <v>0</v>
      </c>
    </row>
    <row r="44" spans="1:11" x14ac:dyDescent="0.25">
      <c r="A44" s="24">
        <v>5</v>
      </c>
      <c r="B44" s="2">
        <v>27</v>
      </c>
      <c r="C44" s="2" t="s">
        <v>98</v>
      </c>
      <c r="D44" s="3">
        <v>0</v>
      </c>
      <c r="E44" s="1"/>
      <c r="I44" s="1" t="s">
        <v>1457</v>
      </c>
      <c r="J44" t="s">
        <v>1391</v>
      </c>
      <c r="K44" s="25">
        <f>Tabelle52[[#This Row],[value_present]]*Tabelle52[[#This Row],[binding_level]]</f>
        <v>0</v>
      </c>
    </row>
    <row r="45" spans="1:11" x14ac:dyDescent="0.25">
      <c r="A45" s="24">
        <v>5</v>
      </c>
      <c r="B45" s="2">
        <v>27</v>
      </c>
      <c r="C45" s="2" t="s">
        <v>106</v>
      </c>
      <c r="D45" s="3">
        <v>1</v>
      </c>
      <c r="E45" s="1">
        <v>1</v>
      </c>
      <c r="F45" t="s">
        <v>1525</v>
      </c>
      <c r="G45" t="s">
        <v>1526</v>
      </c>
      <c r="H45" t="s">
        <v>1550</v>
      </c>
      <c r="I45" s="1" t="s">
        <v>1457</v>
      </c>
      <c r="J45" t="s">
        <v>1541</v>
      </c>
      <c r="K45" s="25">
        <f>Tabelle52[[#This Row],[value_present]]*Tabelle52[[#This Row],[binding_level]]</f>
        <v>1</v>
      </c>
    </row>
    <row r="46" spans="1:11" x14ac:dyDescent="0.25">
      <c r="A46" s="24">
        <v>5</v>
      </c>
      <c r="B46" s="2">
        <v>27</v>
      </c>
      <c r="C46" s="2" t="s">
        <v>112</v>
      </c>
      <c r="D46" s="3">
        <v>1</v>
      </c>
      <c r="E46" s="1">
        <v>1</v>
      </c>
      <c r="F46" t="s">
        <v>1531</v>
      </c>
      <c r="G46" t="s">
        <v>1532</v>
      </c>
      <c r="H46" t="s">
        <v>1550</v>
      </c>
      <c r="I46" s="1" t="s">
        <v>1542</v>
      </c>
      <c r="J46" t="s">
        <v>1543</v>
      </c>
      <c r="K46" s="25">
        <f>Tabelle52[[#This Row],[value_present]]*Tabelle52[[#This Row],[binding_level]]</f>
        <v>1</v>
      </c>
    </row>
    <row r="47" spans="1:11" x14ac:dyDescent="0.25">
      <c r="A47" s="24">
        <v>5</v>
      </c>
      <c r="B47" s="2">
        <v>27</v>
      </c>
      <c r="C47" s="2" t="s">
        <v>118</v>
      </c>
      <c r="D47" s="3">
        <v>0</v>
      </c>
      <c r="E47" s="1"/>
      <c r="I47" s="1" t="s">
        <v>1457</v>
      </c>
      <c r="J47" t="s">
        <v>1391</v>
      </c>
      <c r="K47" s="25">
        <f>Tabelle52[[#This Row],[value_present]]*Tabelle52[[#This Row],[binding_level]]</f>
        <v>0</v>
      </c>
    </row>
    <row r="48" spans="1:11" x14ac:dyDescent="0.25">
      <c r="A48" s="24">
        <v>5</v>
      </c>
      <c r="B48" s="2">
        <v>27</v>
      </c>
      <c r="C48" s="2" t="s">
        <v>125</v>
      </c>
      <c r="D48" s="3">
        <v>0</v>
      </c>
      <c r="E48" s="1"/>
      <c r="I48" s="1" t="s">
        <v>1458</v>
      </c>
      <c r="J48" t="s">
        <v>1544</v>
      </c>
      <c r="K48" s="25">
        <f>Tabelle52[[#This Row],[value_present]]*Tabelle52[[#This Row],[binding_level]]</f>
        <v>0</v>
      </c>
    </row>
    <row r="49" spans="1:11" x14ac:dyDescent="0.25">
      <c r="A49" s="24">
        <v>5</v>
      </c>
      <c r="B49" s="2">
        <v>27</v>
      </c>
      <c r="C49" s="2" t="s">
        <v>132</v>
      </c>
      <c r="D49" s="3">
        <v>0</v>
      </c>
      <c r="E49" s="1"/>
      <c r="I49" s="1" t="s">
        <v>1457</v>
      </c>
      <c r="J49" t="s">
        <v>1391</v>
      </c>
      <c r="K49" s="25">
        <f>Tabelle52[[#This Row],[value_present]]*Tabelle52[[#This Row],[binding_level]]</f>
        <v>0</v>
      </c>
    </row>
    <row r="50" spans="1:11" x14ac:dyDescent="0.25">
      <c r="A50" s="24">
        <v>5</v>
      </c>
      <c r="B50" s="2">
        <v>27</v>
      </c>
      <c r="C50" s="2" t="s">
        <v>140</v>
      </c>
      <c r="D50" s="3">
        <v>1</v>
      </c>
      <c r="E50" s="1">
        <v>1</v>
      </c>
      <c r="F50" t="s">
        <v>1525</v>
      </c>
      <c r="G50" t="s">
        <v>1526</v>
      </c>
      <c r="H50" t="s">
        <v>1550</v>
      </c>
      <c r="I50" s="1" t="s">
        <v>1457</v>
      </c>
      <c r="J50" t="s">
        <v>1545</v>
      </c>
      <c r="K50" s="25">
        <f>Tabelle52[[#This Row],[value_present]]*Tabelle52[[#This Row],[binding_level]]</f>
        <v>1</v>
      </c>
    </row>
    <row r="51" spans="1:11" x14ac:dyDescent="0.25">
      <c r="A51" s="24">
        <v>5</v>
      </c>
      <c r="B51" s="2">
        <v>27</v>
      </c>
      <c r="C51" s="2" t="s">
        <v>147</v>
      </c>
      <c r="D51" s="3">
        <v>1</v>
      </c>
      <c r="E51" s="1">
        <v>2</v>
      </c>
      <c r="F51" t="s">
        <v>1529</v>
      </c>
      <c r="G51" t="s">
        <v>1530</v>
      </c>
      <c r="H51" t="s">
        <v>1550</v>
      </c>
      <c r="I51" s="1" t="s">
        <v>1457</v>
      </c>
      <c r="J51" t="s">
        <v>1546</v>
      </c>
      <c r="K51" s="25">
        <f>Tabelle52[[#This Row],[value_present]]*Tabelle52[[#This Row],[binding_level]]</f>
        <v>2</v>
      </c>
    </row>
    <row r="52" spans="1:11" x14ac:dyDescent="0.25">
      <c r="A52" s="24">
        <v>5</v>
      </c>
      <c r="B52" s="2">
        <v>27</v>
      </c>
      <c r="C52" s="2" t="s">
        <v>154</v>
      </c>
      <c r="D52" s="3">
        <v>1</v>
      </c>
      <c r="E52" s="1">
        <v>1</v>
      </c>
      <c r="F52" t="s">
        <v>1523</v>
      </c>
      <c r="G52" t="s">
        <v>1524</v>
      </c>
      <c r="H52" t="s">
        <v>1550</v>
      </c>
      <c r="I52" s="1" t="s">
        <v>1458</v>
      </c>
      <c r="J52" t="s">
        <v>1547</v>
      </c>
      <c r="K52" s="25">
        <f>Tabelle52[[#This Row],[value_present]]*Tabelle52[[#This Row],[binding_level]]</f>
        <v>1</v>
      </c>
    </row>
    <row r="53" spans="1:11" x14ac:dyDescent="0.25">
      <c r="A53" s="24">
        <v>5</v>
      </c>
      <c r="B53" s="2">
        <v>27</v>
      </c>
      <c r="C53" s="2" t="s">
        <v>161</v>
      </c>
      <c r="D53" s="3">
        <v>1</v>
      </c>
      <c r="E53" s="1">
        <v>2</v>
      </c>
      <c r="F53" t="s">
        <v>1553</v>
      </c>
      <c r="G53" t="s">
        <v>1554</v>
      </c>
      <c r="H53" t="s">
        <v>1550</v>
      </c>
      <c r="I53" s="1" t="s">
        <v>1457</v>
      </c>
      <c r="J53" t="s">
        <v>1548</v>
      </c>
      <c r="K53" s="25">
        <f>Tabelle52[[#This Row],[value_present]]*Tabelle52[[#This Row],[binding_level]]</f>
        <v>2</v>
      </c>
    </row>
    <row r="54" spans="1:11" x14ac:dyDescent="0.25">
      <c r="A54" s="24">
        <v>5</v>
      </c>
      <c r="B54" s="2">
        <v>27</v>
      </c>
      <c r="C54" s="2" t="s">
        <v>166</v>
      </c>
      <c r="D54" s="3">
        <v>0</v>
      </c>
      <c r="E54" s="1"/>
      <c r="I54" s="1" t="s">
        <v>1457</v>
      </c>
      <c r="J54" t="s">
        <v>1391</v>
      </c>
      <c r="K54" s="25">
        <f>Tabelle52[[#This Row],[value_present]]*Tabelle52[[#This Row],[binding_level]]</f>
        <v>0</v>
      </c>
    </row>
    <row r="55" spans="1:11" ht="15.75" thickBot="1" x14ac:dyDescent="0.3">
      <c r="A55" s="26">
        <v>5</v>
      </c>
      <c r="B55" s="27">
        <v>27</v>
      </c>
      <c r="C55" s="27" t="s">
        <v>174</v>
      </c>
      <c r="D55" s="28">
        <v>0</v>
      </c>
      <c r="E55" s="29"/>
      <c r="F55" s="30"/>
      <c r="G55" s="30"/>
      <c r="H55" s="30"/>
      <c r="I55" s="29" t="s">
        <v>1457</v>
      </c>
      <c r="J55" s="30" t="s">
        <v>1549</v>
      </c>
      <c r="K55" s="31">
        <f>Tabelle52[[#This Row],[value_present]]*Tabelle52[[#This Row],[binding_level]]</f>
        <v>0</v>
      </c>
    </row>
    <row r="56" spans="1:11" x14ac:dyDescent="0.25">
      <c r="A56" s="18">
        <v>6</v>
      </c>
      <c r="B56" s="19">
        <v>32</v>
      </c>
      <c r="C56" s="19" t="s">
        <v>53</v>
      </c>
      <c r="D56" s="20">
        <v>0</v>
      </c>
      <c r="E56" s="21"/>
      <c r="F56" s="22"/>
      <c r="G56" s="22"/>
      <c r="H56" s="22"/>
      <c r="I56" s="21" t="s">
        <v>1457</v>
      </c>
      <c r="J56" s="22" t="s">
        <v>1581</v>
      </c>
      <c r="K56" s="23">
        <f>Tabelle52[[#This Row],[value_present]]*Tabelle52[[#This Row],[binding_level]]</f>
        <v>0</v>
      </c>
    </row>
    <row r="57" spans="1:11" x14ac:dyDescent="0.25">
      <c r="A57" s="24">
        <v>6</v>
      </c>
      <c r="B57" s="2">
        <v>32</v>
      </c>
      <c r="C57" s="2" t="s">
        <v>61</v>
      </c>
      <c r="D57" s="3">
        <v>0</v>
      </c>
      <c r="E57" s="1"/>
      <c r="I57" s="1" t="s">
        <v>1457</v>
      </c>
      <c r="J57" t="s">
        <v>1581</v>
      </c>
      <c r="K57" s="25">
        <f>Tabelle52[[#This Row],[value_present]]*Tabelle52[[#This Row],[binding_level]]</f>
        <v>0</v>
      </c>
    </row>
    <row r="58" spans="1:11" x14ac:dyDescent="0.25">
      <c r="A58" s="24">
        <v>6</v>
      </c>
      <c r="B58" s="2">
        <v>32</v>
      </c>
      <c r="C58" s="2" t="s">
        <v>69</v>
      </c>
      <c r="D58" s="3">
        <v>0</v>
      </c>
      <c r="E58" s="1"/>
      <c r="I58" s="1" t="s">
        <v>1457</v>
      </c>
      <c r="J58" t="s">
        <v>1581</v>
      </c>
      <c r="K58" s="25">
        <f>Tabelle52[[#This Row],[value_present]]*Tabelle52[[#This Row],[binding_level]]</f>
        <v>0</v>
      </c>
    </row>
    <row r="59" spans="1:11" x14ac:dyDescent="0.25">
      <c r="A59" s="24">
        <v>6</v>
      </c>
      <c r="B59" s="2">
        <v>32</v>
      </c>
      <c r="C59" s="2" t="s">
        <v>76</v>
      </c>
      <c r="D59" s="3">
        <v>0</v>
      </c>
      <c r="E59" s="1"/>
      <c r="I59" s="1" t="s">
        <v>1457</v>
      </c>
      <c r="J59" t="s">
        <v>1581</v>
      </c>
      <c r="K59" s="25">
        <f>Tabelle52[[#This Row],[value_present]]*Tabelle52[[#This Row],[binding_level]]</f>
        <v>0</v>
      </c>
    </row>
    <row r="60" spans="1:11" x14ac:dyDescent="0.25">
      <c r="A60" s="24">
        <v>6</v>
      </c>
      <c r="B60" s="2">
        <v>32</v>
      </c>
      <c r="C60" s="2" t="s">
        <v>83</v>
      </c>
      <c r="D60" s="3">
        <v>0</v>
      </c>
      <c r="E60" s="1"/>
      <c r="I60" s="1" t="s">
        <v>1457</v>
      </c>
      <c r="J60" t="s">
        <v>1582</v>
      </c>
      <c r="K60" s="25">
        <f>Tabelle52[[#This Row],[value_present]]*Tabelle52[[#This Row],[binding_level]]</f>
        <v>0</v>
      </c>
    </row>
    <row r="61" spans="1:11" x14ac:dyDescent="0.25">
      <c r="A61" s="24">
        <v>6</v>
      </c>
      <c r="B61" s="2">
        <v>32</v>
      </c>
      <c r="C61" s="2" t="s">
        <v>90</v>
      </c>
      <c r="D61" s="3">
        <v>0</v>
      </c>
      <c r="E61" s="1"/>
      <c r="I61" s="1" t="s">
        <v>1457</v>
      </c>
      <c r="J61" t="s">
        <v>1583</v>
      </c>
      <c r="K61" s="25">
        <f>Tabelle52[[#This Row],[value_present]]*Tabelle52[[#This Row],[binding_level]]</f>
        <v>0</v>
      </c>
    </row>
    <row r="62" spans="1:11" x14ac:dyDescent="0.25">
      <c r="A62" s="24">
        <v>6</v>
      </c>
      <c r="B62" s="2">
        <v>32</v>
      </c>
      <c r="C62" s="2" t="s">
        <v>98</v>
      </c>
      <c r="D62" s="3">
        <v>0</v>
      </c>
      <c r="E62" s="1"/>
      <c r="I62" s="1" t="s">
        <v>1457</v>
      </c>
      <c r="J62" t="s">
        <v>1584</v>
      </c>
      <c r="K62" s="25">
        <f>Tabelle52[[#This Row],[value_present]]*Tabelle52[[#This Row],[binding_level]]</f>
        <v>0</v>
      </c>
    </row>
    <row r="63" spans="1:11" x14ac:dyDescent="0.25">
      <c r="A63" s="24">
        <v>6</v>
      </c>
      <c r="B63" s="2">
        <v>32</v>
      </c>
      <c r="C63" s="2" t="s">
        <v>106</v>
      </c>
      <c r="D63" s="3">
        <v>0</v>
      </c>
      <c r="E63" s="1"/>
      <c r="I63" s="1" t="s">
        <v>1457</v>
      </c>
      <c r="J63" t="s">
        <v>1585</v>
      </c>
      <c r="K63" s="25">
        <f>Tabelle52[[#This Row],[value_present]]*Tabelle52[[#This Row],[binding_level]]</f>
        <v>0</v>
      </c>
    </row>
    <row r="64" spans="1:11" x14ac:dyDescent="0.25">
      <c r="A64" s="24">
        <v>6</v>
      </c>
      <c r="B64" s="2">
        <v>32</v>
      </c>
      <c r="C64" s="2" t="s">
        <v>112</v>
      </c>
      <c r="D64" s="3">
        <v>0</v>
      </c>
      <c r="E64" s="1"/>
      <c r="I64" s="1" t="s">
        <v>1457</v>
      </c>
      <c r="J64" t="s">
        <v>1586</v>
      </c>
      <c r="K64" s="25">
        <f>Tabelle52[[#This Row],[value_present]]*Tabelle52[[#This Row],[binding_level]]</f>
        <v>0</v>
      </c>
    </row>
    <row r="65" spans="1:11" x14ac:dyDescent="0.25">
      <c r="A65" s="24">
        <v>6</v>
      </c>
      <c r="B65" s="2">
        <v>32</v>
      </c>
      <c r="C65" s="2" t="s">
        <v>118</v>
      </c>
      <c r="D65" s="3">
        <v>0</v>
      </c>
      <c r="E65" s="1"/>
      <c r="I65" s="1" t="s">
        <v>1457</v>
      </c>
      <c r="J65" t="s">
        <v>1587</v>
      </c>
      <c r="K65" s="25">
        <f>Tabelle52[[#This Row],[value_present]]*Tabelle52[[#This Row],[binding_level]]</f>
        <v>0</v>
      </c>
    </row>
    <row r="66" spans="1:11" x14ac:dyDescent="0.25">
      <c r="A66" s="24">
        <v>6</v>
      </c>
      <c r="B66" s="2">
        <v>32</v>
      </c>
      <c r="C66" s="2" t="s">
        <v>125</v>
      </c>
      <c r="D66" s="3">
        <v>0</v>
      </c>
      <c r="E66" s="1"/>
      <c r="I66" s="1" t="s">
        <v>1457</v>
      </c>
      <c r="J66" t="s">
        <v>1587</v>
      </c>
      <c r="K66" s="25">
        <f>Tabelle52[[#This Row],[value_present]]*Tabelle52[[#This Row],[binding_level]]</f>
        <v>0</v>
      </c>
    </row>
    <row r="67" spans="1:11" x14ac:dyDescent="0.25">
      <c r="A67" s="24">
        <v>6</v>
      </c>
      <c r="B67" s="2">
        <v>32</v>
      </c>
      <c r="C67" s="2" t="s">
        <v>132</v>
      </c>
      <c r="D67" s="3">
        <v>0</v>
      </c>
      <c r="E67" s="1"/>
      <c r="I67" s="1" t="s">
        <v>1457</v>
      </c>
      <c r="J67" t="s">
        <v>1588</v>
      </c>
      <c r="K67" s="25">
        <f>Tabelle52[[#This Row],[value_present]]*Tabelle52[[#This Row],[binding_level]]</f>
        <v>0</v>
      </c>
    </row>
    <row r="68" spans="1:11" x14ac:dyDescent="0.25">
      <c r="A68" s="24">
        <v>6</v>
      </c>
      <c r="B68" s="2">
        <v>32</v>
      </c>
      <c r="C68" s="2" t="s">
        <v>140</v>
      </c>
      <c r="D68" s="3">
        <v>0</v>
      </c>
      <c r="E68" s="1"/>
      <c r="I68" s="1" t="s">
        <v>1457</v>
      </c>
      <c r="J68" t="s">
        <v>1587</v>
      </c>
      <c r="K68" s="25">
        <f>Tabelle52[[#This Row],[value_present]]*Tabelle52[[#This Row],[binding_level]]</f>
        <v>0</v>
      </c>
    </row>
    <row r="69" spans="1:11" x14ac:dyDescent="0.25">
      <c r="A69" s="24">
        <v>6</v>
      </c>
      <c r="B69" s="2">
        <v>32</v>
      </c>
      <c r="C69" s="2" t="s">
        <v>147</v>
      </c>
      <c r="D69" s="3">
        <v>0</v>
      </c>
      <c r="E69" s="1"/>
      <c r="I69" s="1" t="s">
        <v>1457</v>
      </c>
      <c r="J69" t="s">
        <v>1589</v>
      </c>
      <c r="K69" s="25">
        <f>Tabelle52[[#This Row],[value_present]]*Tabelle52[[#This Row],[binding_level]]</f>
        <v>0</v>
      </c>
    </row>
    <row r="70" spans="1:11" x14ac:dyDescent="0.25">
      <c r="A70" s="24">
        <v>6</v>
      </c>
      <c r="B70" s="2">
        <v>32</v>
      </c>
      <c r="C70" s="2" t="s">
        <v>154</v>
      </c>
      <c r="D70" s="3">
        <v>0</v>
      </c>
      <c r="E70" s="1"/>
      <c r="I70" s="1" t="s">
        <v>1457</v>
      </c>
      <c r="J70" t="s">
        <v>1590</v>
      </c>
      <c r="K70" s="25">
        <f>Tabelle52[[#This Row],[value_present]]*Tabelle52[[#This Row],[binding_level]]</f>
        <v>0</v>
      </c>
    </row>
    <row r="71" spans="1:11" x14ac:dyDescent="0.25">
      <c r="A71" s="24">
        <v>6</v>
      </c>
      <c r="B71" s="2">
        <v>32</v>
      </c>
      <c r="C71" s="2" t="s">
        <v>161</v>
      </c>
      <c r="D71" s="3">
        <v>0</v>
      </c>
      <c r="E71" s="1"/>
      <c r="I71" s="1" t="s">
        <v>1457</v>
      </c>
      <c r="J71" t="s">
        <v>1591</v>
      </c>
      <c r="K71" s="25">
        <f>Tabelle52[[#This Row],[value_present]]*Tabelle52[[#This Row],[binding_level]]</f>
        <v>0</v>
      </c>
    </row>
    <row r="72" spans="1:11" x14ac:dyDescent="0.25">
      <c r="A72" s="24">
        <v>6</v>
      </c>
      <c r="B72" s="2">
        <v>32</v>
      </c>
      <c r="C72" s="2" t="s">
        <v>166</v>
      </c>
      <c r="D72" s="3">
        <v>0</v>
      </c>
      <c r="E72" s="1"/>
      <c r="I72" s="1" t="s">
        <v>1457</v>
      </c>
      <c r="J72" t="s">
        <v>1592</v>
      </c>
      <c r="K72" s="25">
        <f>Tabelle52[[#This Row],[value_present]]*Tabelle52[[#This Row],[binding_level]]</f>
        <v>0</v>
      </c>
    </row>
    <row r="73" spans="1:11" ht="15.75" thickBot="1" x14ac:dyDescent="0.3">
      <c r="A73" s="26">
        <v>6</v>
      </c>
      <c r="B73" s="27">
        <v>32</v>
      </c>
      <c r="C73" s="27" t="s">
        <v>174</v>
      </c>
      <c r="D73" s="28">
        <v>0</v>
      </c>
      <c r="E73" s="29"/>
      <c r="F73" s="30"/>
      <c r="G73" s="30"/>
      <c r="H73" s="30"/>
      <c r="I73" s="29" t="s">
        <v>1457</v>
      </c>
      <c r="J73" s="30" t="s">
        <v>1593</v>
      </c>
      <c r="K73" s="31">
        <f>Tabelle52[[#This Row],[value_present]]*Tabelle52[[#This Row],[binding_level]]</f>
        <v>0</v>
      </c>
    </row>
    <row r="74" spans="1:11" x14ac:dyDescent="0.25">
      <c r="A74" s="18">
        <v>7</v>
      </c>
      <c r="B74" s="19">
        <v>37</v>
      </c>
      <c r="C74" s="19" t="s">
        <v>53</v>
      </c>
      <c r="D74" s="20">
        <v>1</v>
      </c>
      <c r="E74" s="21">
        <v>1</v>
      </c>
      <c r="F74" s="22" t="s">
        <v>1644</v>
      </c>
      <c r="G74" s="22" t="s">
        <v>1645</v>
      </c>
      <c r="H74" s="22" t="s">
        <v>1636</v>
      </c>
      <c r="I74" s="21" t="s">
        <v>1457</v>
      </c>
      <c r="J74" s="22" t="s">
        <v>1621</v>
      </c>
      <c r="K74" s="23">
        <f>Tabelle52[[#This Row],[value_present]]*Tabelle52[[#This Row],[binding_level]]</f>
        <v>1</v>
      </c>
    </row>
    <row r="75" spans="1:11" x14ac:dyDescent="0.25">
      <c r="A75" s="24">
        <v>7</v>
      </c>
      <c r="B75" s="2">
        <v>37</v>
      </c>
      <c r="C75" s="2" t="s">
        <v>61</v>
      </c>
      <c r="D75" s="3">
        <v>1</v>
      </c>
      <c r="E75" s="1">
        <v>1</v>
      </c>
      <c r="F75" t="s">
        <v>1646</v>
      </c>
      <c r="G75" t="s">
        <v>1647</v>
      </c>
      <c r="H75" t="s">
        <v>1637</v>
      </c>
      <c r="I75" s="1" t="s">
        <v>1458</v>
      </c>
      <c r="J75" t="s">
        <v>1622</v>
      </c>
      <c r="K75" s="25">
        <f>Tabelle52[[#This Row],[value_present]]*Tabelle52[[#This Row],[binding_level]]</f>
        <v>1</v>
      </c>
    </row>
    <row r="76" spans="1:11" x14ac:dyDescent="0.25">
      <c r="A76" s="24">
        <v>7</v>
      </c>
      <c r="B76" s="2">
        <v>37</v>
      </c>
      <c r="C76" s="2" t="s">
        <v>69</v>
      </c>
      <c r="D76" s="3">
        <v>1</v>
      </c>
      <c r="E76" s="1">
        <v>1</v>
      </c>
      <c r="F76" t="s">
        <v>1648</v>
      </c>
      <c r="G76" t="s">
        <v>1649</v>
      </c>
      <c r="H76" t="s">
        <v>1638</v>
      </c>
      <c r="I76" s="1" t="s">
        <v>1458</v>
      </c>
      <c r="J76" t="s">
        <v>1623</v>
      </c>
      <c r="K76" s="25">
        <f>Tabelle52[[#This Row],[value_present]]*Tabelle52[[#This Row],[binding_level]]</f>
        <v>1</v>
      </c>
    </row>
    <row r="77" spans="1:11" x14ac:dyDescent="0.25">
      <c r="A77" s="24">
        <v>7</v>
      </c>
      <c r="B77" s="2">
        <v>37</v>
      </c>
      <c r="C77" s="2" t="s">
        <v>76</v>
      </c>
      <c r="D77" s="3">
        <v>1</v>
      </c>
      <c r="E77" s="1">
        <v>1</v>
      </c>
      <c r="F77" t="s">
        <v>1650</v>
      </c>
      <c r="G77" t="s">
        <v>1651</v>
      </c>
      <c r="H77" t="s">
        <v>1638</v>
      </c>
      <c r="I77" s="1" t="s">
        <v>1457</v>
      </c>
      <c r="J77" t="s">
        <v>1624</v>
      </c>
      <c r="K77" s="25">
        <f>Tabelle52[[#This Row],[value_present]]*Tabelle52[[#This Row],[binding_level]]</f>
        <v>1</v>
      </c>
    </row>
    <row r="78" spans="1:11" x14ac:dyDescent="0.25">
      <c r="A78" s="24">
        <v>7</v>
      </c>
      <c r="B78" s="2">
        <v>37</v>
      </c>
      <c r="C78" s="2" t="s">
        <v>83</v>
      </c>
      <c r="D78" s="3">
        <v>1</v>
      </c>
      <c r="E78" s="1">
        <v>1</v>
      </c>
      <c r="F78" t="s">
        <v>1652</v>
      </c>
      <c r="G78" t="s">
        <v>1653</v>
      </c>
      <c r="H78" t="s">
        <v>1639</v>
      </c>
      <c r="I78" s="1" t="s">
        <v>1457</v>
      </c>
      <c r="J78" t="s">
        <v>1625</v>
      </c>
      <c r="K78" s="25">
        <f>Tabelle52[[#This Row],[value_present]]*Tabelle52[[#This Row],[binding_level]]</f>
        <v>1</v>
      </c>
    </row>
    <row r="79" spans="1:11" x14ac:dyDescent="0.25">
      <c r="A79" s="24">
        <v>7</v>
      </c>
      <c r="B79" s="2">
        <v>37</v>
      </c>
      <c r="C79" s="2" t="s">
        <v>90</v>
      </c>
      <c r="D79" s="3">
        <v>1</v>
      </c>
      <c r="E79" s="1">
        <v>1</v>
      </c>
      <c r="F79" t="s">
        <v>1654</v>
      </c>
      <c r="G79" t="s">
        <v>1655</v>
      </c>
      <c r="H79" t="s">
        <v>1640</v>
      </c>
      <c r="I79" s="1" t="s">
        <v>1457</v>
      </c>
      <c r="J79" t="s">
        <v>1626</v>
      </c>
      <c r="K79" s="25">
        <f>Tabelle52[[#This Row],[value_present]]*Tabelle52[[#This Row],[binding_level]]</f>
        <v>1</v>
      </c>
    </row>
    <row r="80" spans="1:11" x14ac:dyDescent="0.25">
      <c r="A80" s="24">
        <v>7</v>
      </c>
      <c r="B80" s="2">
        <v>37</v>
      </c>
      <c r="C80" s="2" t="s">
        <v>98</v>
      </c>
      <c r="D80" s="3">
        <v>1</v>
      </c>
      <c r="E80" s="1">
        <v>1</v>
      </c>
      <c r="F80" t="s">
        <v>1656</v>
      </c>
      <c r="G80" t="s">
        <v>1657</v>
      </c>
      <c r="H80" t="s">
        <v>1640</v>
      </c>
      <c r="I80" s="1" t="s">
        <v>1458</v>
      </c>
      <c r="J80" t="s">
        <v>1627</v>
      </c>
      <c r="K80" s="25">
        <f>Tabelle52[[#This Row],[value_present]]*Tabelle52[[#This Row],[binding_level]]</f>
        <v>1</v>
      </c>
    </row>
    <row r="81" spans="1:11" x14ac:dyDescent="0.25">
      <c r="A81" s="24">
        <v>7</v>
      </c>
      <c r="B81" s="2">
        <v>37</v>
      </c>
      <c r="C81" s="2" t="s">
        <v>106</v>
      </c>
      <c r="D81" s="3">
        <v>1</v>
      </c>
      <c r="E81" s="1">
        <v>1</v>
      </c>
      <c r="F81" t="s">
        <v>1658</v>
      </c>
      <c r="G81" t="s">
        <v>1659</v>
      </c>
      <c r="H81" t="s">
        <v>1641</v>
      </c>
      <c r="I81" s="1" t="s">
        <v>1458</v>
      </c>
      <c r="J81" t="s">
        <v>1628</v>
      </c>
      <c r="K81" s="25">
        <f>Tabelle52[[#This Row],[value_present]]*Tabelle52[[#This Row],[binding_level]]</f>
        <v>1</v>
      </c>
    </row>
    <row r="82" spans="1:11" x14ac:dyDescent="0.25">
      <c r="A82" s="24">
        <v>7</v>
      </c>
      <c r="B82" s="2">
        <v>37</v>
      </c>
      <c r="C82" s="2" t="s">
        <v>112</v>
      </c>
      <c r="D82" s="3">
        <v>1</v>
      </c>
      <c r="E82" s="1">
        <v>1</v>
      </c>
      <c r="F82" t="s">
        <v>1660</v>
      </c>
      <c r="G82" t="s">
        <v>1661</v>
      </c>
      <c r="H82" t="s">
        <v>1641</v>
      </c>
      <c r="I82" s="1" t="s">
        <v>1457</v>
      </c>
      <c r="J82" t="s">
        <v>1629</v>
      </c>
      <c r="K82" s="25">
        <f>Tabelle52[[#This Row],[value_present]]*Tabelle52[[#This Row],[binding_level]]</f>
        <v>1</v>
      </c>
    </row>
    <row r="83" spans="1:11" x14ac:dyDescent="0.25">
      <c r="A83" s="24">
        <v>7</v>
      </c>
      <c r="B83" s="2">
        <v>37</v>
      </c>
      <c r="C83" s="2" t="s">
        <v>118</v>
      </c>
      <c r="D83" s="3">
        <v>0</v>
      </c>
      <c r="E83" s="1"/>
      <c r="I83" s="1" t="s">
        <v>1457</v>
      </c>
      <c r="J83" t="s">
        <v>1391</v>
      </c>
      <c r="K83" s="25">
        <f>Tabelle52[[#This Row],[value_present]]*Tabelle52[[#This Row],[binding_level]]</f>
        <v>0</v>
      </c>
    </row>
    <row r="84" spans="1:11" x14ac:dyDescent="0.25">
      <c r="A84" s="24">
        <v>7</v>
      </c>
      <c r="B84" s="2">
        <v>37</v>
      </c>
      <c r="C84" s="2" t="s">
        <v>125</v>
      </c>
      <c r="D84" s="3">
        <v>0</v>
      </c>
      <c r="E84" s="1"/>
      <c r="I84" s="1" t="s">
        <v>1457</v>
      </c>
      <c r="J84" t="s">
        <v>1391</v>
      </c>
      <c r="K84" s="25">
        <f>Tabelle52[[#This Row],[value_present]]*Tabelle52[[#This Row],[binding_level]]</f>
        <v>0</v>
      </c>
    </row>
    <row r="85" spans="1:11" x14ac:dyDescent="0.25">
      <c r="A85" s="24">
        <v>7</v>
      </c>
      <c r="B85" s="2">
        <v>37</v>
      </c>
      <c r="C85" s="2" t="s">
        <v>132</v>
      </c>
      <c r="D85" s="3">
        <v>1</v>
      </c>
      <c r="E85" s="1">
        <v>1</v>
      </c>
      <c r="F85" t="s">
        <v>1662</v>
      </c>
      <c r="G85" t="s">
        <v>1663</v>
      </c>
      <c r="H85" t="s">
        <v>1642</v>
      </c>
      <c r="I85" s="1" t="s">
        <v>1457</v>
      </c>
      <c r="J85" t="s">
        <v>1630</v>
      </c>
      <c r="K85" s="25">
        <f>Tabelle52[[#This Row],[value_present]]*Tabelle52[[#This Row],[binding_level]]</f>
        <v>1</v>
      </c>
    </row>
    <row r="86" spans="1:11" x14ac:dyDescent="0.25">
      <c r="A86" s="24">
        <v>7</v>
      </c>
      <c r="B86" s="2">
        <v>37</v>
      </c>
      <c r="C86" s="2" t="s">
        <v>140</v>
      </c>
      <c r="D86" s="3">
        <v>1</v>
      </c>
      <c r="E86" s="1">
        <v>1</v>
      </c>
      <c r="F86" t="s">
        <v>1664</v>
      </c>
      <c r="G86" t="s">
        <v>1665</v>
      </c>
      <c r="H86" t="s">
        <v>1642</v>
      </c>
      <c r="I86" s="1" t="s">
        <v>1457</v>
      </c>
      <c r="J86" t="s">
        <v>1631</v>
      </c>
      <c r="K86" s="25">
        <f>Tabelle52[[#This Row],[value_present]]*Tabelle52[[#This Row],[binding_level]]</f>
        <v>1</v>
      </c>
    </row>
    <row r="87" spans="1:11" x14ac:dyDescent="0.25">
      <c r="A87" s="24">
        <v>7</v>
      </c>
      <c r="B87" s="2">
        <v>37</v>
      </c>
      <c r="C87" s="2" t="s">
        <v>147</v>
      </c>
      <c r="D87" s="3">
        <v>1</v>
      </c>
      <c r="E87" s="1">
        <v>1</v>
      </c>
      <c r="F87" t="s">
        <v>1666</v>
      </c>
      <c r="G87" t="s">
        <v>1667</v>
      </c>
      <c r="H87" t="s">
        <v>1641</v>
      </c>
      <c r="I87" s="1" t="s">
        <v>1542</v>
      </c>
      <c r="J87" t="s">
        <v>1632</v>
      </c>
      <c r="K87" s="25">
        <f>Tabelle52[[#This Row],[value_present]]*Tabelle52[[#This Row],[binding_level]]</f>
        <v>1</v>
      </c>
    </row>
    <row r="88" spans="1:11" x14ac:dyDescent="0.25">
      <c r="A88" s="24">
        <v>7</v>
      </c>
      <c r="B88" s="2">
        <v>37</v>
      </c>
      <c r="C88" s="2" t="s">
        <v>154</v>
      </c>
      <c r="D88" s="3">
        <v>1</v>
      </c>
      <c r="E88" s="1">
        <v>1</v>
      </c>
      <c r="F88" t="s">
        <v>1668</v>
      </c>
      <c r="G88" t="s">
        <v>1669</v>
      </c>
      <c r="H88" t="s">
        <v>1643</v>
      </c>
      <c r="I88" s="1" t="s">
        <v>1458</v>
      </c>
      <c r="J88" t="s">
        <v>1633</v>
      </c>
      <c r="K88" s="25">
        <f>Tabelle52[[#This Row],[value_present]]*Tabelle52[[#This Row],[binding_level]]</f>
        <v>1</v>
      </c>
    </row>
    <row r="89" spans="1:11" x14ac:dyDescent="0.25">
      <c r="A89" s="24">
        <v>7</v>
      </c>
      <c r="B89" s="2">
        <v>37</v>
      </c>
      <c r="C89" s="2" t="s">
        <v>161</v>
      </c>
      <c r="D89" s="3">
        <v>0</v>
      </c>
      <c r="E89" s="1"/>
      <c r="I89" s="1" t="s">
        <v>1457</v>
      </c>
      <c r="J89" t="s">
        <v>1634</v>
      </c>
      <c r="K89" s="25">
        <f>Tabelle52[[#This Row],[value_present]]*Tabelle52[[#This Row],[binding_level]]</f>
        <v>0</v>
      </c>
    </row>
    <row r="90" spans="1:11" x14ac:dyDescent="0.25">
      <c r="A90" s="24">
        <v>7</v>
      </c>
      <c r="B90" s="2">
        <v>37</v>
      </c>
      <c r="C90" s="2" t="s">
        <v>166</v>
      </c>
      <c r="D90" s="3">
        <v>0</v>
      </c>
      <c r="E90" s="1"/>
      <c r="I90" s="1" t="s">
        <v>1457</v>
      </c>
      <c r="J90" t="s">
        <v>1391</v>
      </c>
      <c r="K90" s="25">
        <f>Tabelle52[[#This Row],[value_present]]*Tabelle52[[#This Row],[binding_level]]</f>
        <v>0</v>
      </c>
    </row>
    <row r="91" spans="1:11" ht="15.75" thickBot="1" x14ac:dyDescent="0.3">
      <c r="A91" s="26">
        <v>7</v>
      </c>
      <c r="B91" s="27">
        <v>37</v>
      </c>
      <c r="C91" s="27" t="s">
        <v>174</v>
      </c>
      <c r="D91" s="28">
        <v>1</v>
      </c>
      <c r="E91" s="29">
        <v>1</v>
      </c>
      <c r="F91" s="30" t="s">
        <v>1670</v>
      </c>
      <c r="G91" s="30" t="s">
        <v>1671</v>
      </c>
      <c r="H91" s="30" t="s">
        <v>1642</v>
      </c>
      <c r="I91" s="29" t="s">
        <v>1458</v>
      </c>
      <c r="J91" s="30" t="s">
        <v>1635</v>
      </c>
      <c r="K91" s="31">
        <f>Tabelle52[[#This Row],[value_present]]*Tabelle52[[#This Row],[binding_level]]</f>
        <v>1</v>
      </c>
    </row>
    <row r="92" spans="1:11" x14ac:dyDescent="0.25">
      <c r="A92" s="18">
        <v>12</v>
      </c>
      <c r="B92" s="19">
        <v>62</v>
      </c>
      <c r="C92" s="19" t="s">
        <v>53</v>
      </c>
      <c r="D92" s="20">
        <v>1</v>
      </c>
      <c r="E92" s="21">
        <v>1</v>
      </c>
      <c r="F92" s="22" t="s">
        <v>1730</v>
      </c>
      <c r="G92" s="22" t="s">
        <v>1731</v>
      </c>
      <c r="H92" s="22" t="s">
        <v>1722</v>
      </c>
      <c r="I92" s="21" t="s">
        <v>1457</v>
      </c>
      <c r="J92" s="22" t="s">
        <v>1705</v>
      </c>
      <c r="K92" s="23">
        <f>Tabelle52[[#This Row],[value_present]]*Tabelle52[[#This Row],[binding_level]]</f>
        <v>1</v>
      </c>
    </row>
    <row r="93" spans="1:11" x14ac:dyDescent="0.25">
      <c r="A93" s="24">
        <v>12</v>
      </c>
      <c r="B93" s="2">
        <v>62</v>
      </c>
      <c r="C93" s="2" t="s">
        <v>61</v>
      </c>
      <c r="D93" s="3">
        <v>1</v>
      </c>
      <c r="E93" s="1">
        <v>1</v>
      </c>
      <c r="F93" t="s">
        <v>1732</v>
      </c>
      <c r="G93" t="s">
        <v>1733</v>
      </c>
      <c r="H93" t="s">
        <v>1723</v>
      </c>
      <c r="I93" s="1" t="s">
        <v>1457</v>
      </c>
      <c r="J93" t="s">
        <v>1706</v>
      </c>
      <c r="K93" s="25">
        <f>Tabelle52[[#This Row],[value_present]]*Tabelle52[[#This Row],[binding_level]]</f>
        <v>1</v>
      </c>
    </row>
    <row r="94" spans="1:11" x14ac:dyDescent="0.25">
      <c r="A94" s="24">
        <v>12</v>
      </c>
      <c r="B94" s="2">
        <v>62</v>
      </c>
      <c r="C94" s="2" t="s">
        <v>69</v>
      </c>
      <c r="D94" s="3">
        <v>1</v>
      </c>
      <c r="E94" s="1">
        <v>1</v>
      </c>
      <c r="F94" t="s">
        <v>1734</v>
      </c>
      <c r="G94" t="s">
        <v>1735</v>
      </c>
      <c r="H94" t="s">
        <v>1724</v>
      </c>
      <c r="I94" s="1" t="s">
        <v>1457</v>
      </c>
      <c r="J94" t="s">
        <v>1707</v>
      </c>
      <c r="K94" s="25">
        <f>Tabelle52[[#This Row],[value_present]]*Tabelle52[[#This Row],[binding_level]]</f>
        <v>1</v>
      </c>
    </row>
    <row r="95" spans="1:11" x14ac:dyDescent="0.25">
      <c r="A95" s="24">
        <v>12</v>
      </c>
      <c r="B95" s="2">
        <v>62</v>
      </c>
      <c r="C95" s="2" t="s">
        <v>76</v>
      </c>
      <c r="D95" s="3">
        <v>1</v>
      </c>
      <c r="E95" s="1">
        <v>1</v>
      </c>
      <c r="F95" t="s">
        <v>1738</v>
      </c>
      <c r="G95" t="s">
        <v>1739</v>
      </c>
      <c r="H95" t="s">
        <v>1724</v>
      </c>
      <c r="I95" s="1" t="s">
        <v>1457</v>
      </c>
      <c r="J95" t="s">
        <v>1708</v>
      </c>
      <c r="K95" s="25">
        <f>Tabelle52[[#This Row],[value_present]]*Tabelle52[[#This Row],[binding_level]]</f>
        <v>1</v>
      </c>
    </row>
    <row r="96" spans="1:11" x14ac:dyDescent="0.25">
      <c r="A96" s="24">
        <v>12</v>
      </c>
      <c r="B96" s="2">
        <v>62</v>
      </c>
      <c r="C96" s="2" t="s">
        <v>83</v>
      </c>
      <c r="D96" s="3">
        <v>1</v>
      </c>
      <c r="E96" s="1">
        <v>1</v>
      </c>
      <c r="F96" t="s">
        <v>1736</v>
      </c>
      <c r="G96" t="s">
        <v>1737</v>
      </c>
      <c r="H96" t="s">
        <v>1725</v>
      </c>
      <c r="I96" s="1" t="s">
        <v>1457</v>
      </c>
      <c r="J96" t="s">
        <v>1709</v>
      </c>
      <c r="K96" s="25">
        <f>Tabelle52[[#This Row],[value_present]]*Tabelle52[[#This Row],[binding_level]]</f>
        <v>1</v>
      </c>
    </row>
    <row r="97" spans="1:11" x14ac:dyDescent="0.25">
      <c r="A97" s="24">
        <v>12</v>
      </c>
      <c r="B97" s="2">
        <v>62</v>
      </c>
      <c r="C97" s="2" t="s">
        <v>90</v>
      </c>
      <c r="D97" s="3">
        <v>1</v>
      </c>
      <c r="E97" s="1">
        <v>1</v>
      </c>
      <c r="F97" t="s">
        <v>1740</v>
      </c>
      <c r="G97" t="s">
        <v>1741</v>
      </c>
      <c r="H97" t="s">
        <v>1726</v>
      </c>
      <c r="I97" s="1" t="s">
        <v>1457</v>
      </c>
      <c r="J97" t="s">
        <v>1710</v>
      </c>
      <c r="K97" s="25">
        <f>Tabelle52[[#This Row],[value_present]]*Tabelle52[[#This Row],[binding_level]]</f>
        <v>1</v>
      </c>
    </row>
    <row r="98" spans="1:11" x14ac:dyDescent="0.25">
      <c r="A98" s="24">
        <v>12</v>
      </c>
      <c r="B98" s="2">
        <v>62</v>
      </c>
      <c r="C98" s="2" t="s">
        <v>98</v>
      </c>
      <c r="D98" s="3">
        <v>1</v>
      </c>
      <c r="E98" s="1">
        <v>1</v>
      </c>
      <c r="F98" t="s">
        <v>1742</v>
      </c>
      <c r="G98" t="s">
        <v>1743</v>
      </c>
      <c r="H98" t="s">
        <v>1727</v>
      </c>
      <c r="I98" s="1" t="s">
        <v>1457</v>
      </c>
      <c r="J98" t="s">
        <v>1711</v>
      </c>
      <c r="K98" s="25">
        <f>Tabelle52[[#This Row],[value_present]]*Tabelle52[[#This Row],[binding_level]]</f>
        <v>1</v>
      </c>
    </row>
    <row r="99" spans="1:11" x14ac:dyDescent="0.25">
      <c r="A99" s="24">
        <v>12</v>
      </c>
      <c r="B99" s="2">
        <v>62</v>
      </c>
      <c r="C99" s="2" t="s">
        <v>106</v>
      </c>
      <c r="D99" s="3">
        <v>1</v>
      </c>
      <c r="E99" s="1">
        <v>1</v>
      </c>
      <c r="F99" t="s">
        <v>1744</v>
      </c>
      <c r="G99" t="s">
        <v>1745</v>
      </c>
      <c r="H99" t="s">
        <v>1727</v>
      </c>
      <c r="I99" s="1" t="s">
        <v>1458</v>
      </c>
      <c r="J99" t="s">
        <v>1712</v>
      </c>
      <c r="K99" s="25">
        <f>Tabelle52[[#This Row],[value_present]]*Tabelle52[[#This Row],[binding_level]]</f>
        <v>1</v>
      </c>
    </row>
    <row r="100" spans="1:11" x14ac:dyDescent="0.25">
      <c r="A100" s="24">
        <v>12</v>
      </c>
      <c r="B100" s="2">
        <v>62</v>
      </c>
      <c r="C100" s="2" t="s">
        <v>112</v>
      </c>
      <c r="D100" s="3">
        <v>1</v>
      </c>
      <c r="E100" s="1">
        <v>1</v>
      </c>
      <c r="F100" t="s">
        <v>1746</v>
      </c>
      <c r="G100" t="s">
        <v>1747</v>
      </c>
      <c r="H100" t="s">
        <v>1727</v>
      </c>
      <c r="I100" s="1" t="s">
        <v>1457</v>
      </c>
      <c r="J100" t="s">
        <v>1713</v>
      </c>
      <c r="K100" s="25">
        <f>Tabelle52[[#This Row],[value_present]]*Tabelle52[[#This Row],[binding_level]]</f>
        <v>1</v>
      </c>
    </row>
    <row r="101" spans="1:11" x14ac:dyDescent="0.25">
      <c r="A101" s="24">
        <v>12</v>
      </c>
      <c r="B101" s="2">
        <v>62</v>
      </c>
      <c r="C101" s="2" t="s">
        <v>118</v>
      </c>
      <c r="D101" s="3">
        <v>0</v>
      </c>
      <c r="E101" s="1"/>
      <c r="I101" s="1" t="s">
        <v>1457</v>
      </c>
      <c r="J101" t="s">
        <v>1714</v>
      </c>
      <c r="K101" s="25">
        <f>Tabelle52[[#This Row],[value_present]]*Tabelle52[[#This Row],[binding_level]]</f>
        <v>0</v>
      </c>
    </row>
    <row r="102" spans="1:11" x14ac:dyDescent="0.25">
      <c r="A102" s="24">
        <v>12</v>
      </c>
      <c r="B102" s="2">
        <v>62</v>
      </c>
      <c r="C102" s="2" t="s">
        <v>125</v>
      </c>
      <c r="D102" s="3">
        <v>1</v>
      </c>
      <c r="E102" s="1">
        <v>1</v>
      </c>
      <c r="F102" t="s">
        <v>1748</v>
      </c>
      <c r="G102" t="s">
        <v>1749</v>
      </c>
      <c r="H102" t="s">
        <v>1725</v>
      </c>
      <c r="I102" s="1" t="s">
        <v>1458</v>
      </c>
      <c r="J102" t="s">
        <v>1715</v>
      </c>
      <c r="K102" s="25">
        <f>Tabelle52[[#This Row],[value_present]]*Tabelle52[[#This Row],[binding_level]]</f>
        <v>1</v>
      </c>
    </row>
    <row r="103" spans="1:11" x14ac:dyDescent="0.25">
      <c r="A103" s="24">
        <v>12</v>
      </c>
      <c r="B103" s="2">
        <v>62</v>
      </c>
      <c r="C103" s="2" t="s">
        <v>132</v>
      </c>
      <c r="D103" s="3">
        <v>0</v>
      </c>
      <c r="E103" s="1"/>
      <c r="I103" s="1" t="s">
        <v>1457</v>
      </c>
      <c r="J103" t="s">
        <v>1714</v>
      </c>
      <c r="K103" s="25">
        <f>Tabelle52[[#This Row],[value_present]]*Tabelle52[[#This Row],[binding_level]]</f>
        <v>0</v>
      </c>
    </row>
    <row r="104" spans="1:11" x14ac:dyDescent="0.25">
      <c r="A104" s="24">
        <v>12</v>
      </c>
      <c r="B104" s="2">
        <v>62</v>
      </c>
      <c r="C104" s="2" t="s">
        <v>140</v>
      </c>
      <c r="D104" s="3">
        <v>0</v>
      </c>
      <c r="E104" s="1"/>
      <c r="I104" s="1" t="s">
        <v>1458</v>
      </c>
      <c r="J104" t="s">
        <v>1716</v>
      </c>
      <c r="K104" s="25">
        <f>Tabelle52[[#This Row],[value_present]]*Tabelle52[[#This Row],[binding_level]]</f>
        <v>0</v>
      </c>
    </row>
    <row r="105" spans="1:11" x14ac:dyDescent="0.25">
      <c r="A105" s="24">
        <v>12</v>
      </c>
      <c r="B105" s="2">
        <v>62</v>
      </c>
      <c r="C105" s="2" t="s">
        <v>147</v>
      </c>
      <c r="D105" s="3">
        <v>1</v>
      </c>
      <c r="E105" s="1">
        <v>2</v>
      </c>
      <c r="F105" t="s">
        <v>1750</v>
      </c>
      <c r="G105" t="s">
        <v>1751</v>
      </c>
      <c r="H105" t="s">
        <v>1728</v>
      </c>
      <c r="I105" s="1" t="s">
        <v>1457</v>
      </c>
      <c r="J105" t="s">
        <v>1717</v>
      </c>
      <c r="K105" s="25">
        <f>Tabelle52[[#This Row],[value_present]]*Tabelle52[[#This Row],[binding_level]]</f>
        <v>2</v>
      </c>
    </row>
    <row r="106" spans="1:11" x14ac:dyDescent="0.25">
      <c r="A106" s="24">
        <v>12</v>
      </c>
      <c r="B106" s="2">
        <v>62</v>
      </c>
      <c r="C106" s="2" t="s">
        <v>154</v>
      </c>
      <c r="D106" s="3">
        <v>1</v>
      </c>
      <c r="E106" s="1">
        <v>1</v>
      </c>
      <c r="F106" t="s">
        <v>1752</v>
      </c>
      <c r="G106" t="s">
        <v>1753</v>
      </c>
      <c r="H106" t="s">
        <v>1729</v>
      </c>
      <c r="I106" s="1" t="s">
        <v>1457</v>
      </c>
      <c r="J106" t="s">
        <v>1718</v>
      </c>
      <c r="K106" s="25">
        <f>Tabelle52[[#This Row],[value_present]]*Tabelle52[[#This Row],[binding_level]]</f>
        <v>1</v>
      </c>
    </row>
    <row r="107" spans="1:11" x14ac:dyDescent="0.25">
      <c r="A107" s="24">
        <v>12</v>
      </c>
      <c r="B107" s="2">
        <v>62</v>
      </c>
      <c r="C107" s="2" t="s">
        <v>161</v>
      </c>
      <c r="D107" s="3">
        <v>0</v>
      </c>
      <c r="E107" s="1"/>
      <c r="I107" s="1" t="s">
        <v>1457</v>
      </c>
      <c r="J107" t="s">
        <v>1719</v>
      </c>
      <c r="K107" s="25">
        <f>Tabelle52[[#This Row],[value_present]]*Tabelle52[[#This Row],[binding_level]]</f>
        <v>0</v>
      </c>
    </row>
    <row r="108" spans="1:11" x14ac:dyDescent="0.25">
      <c r="A108" s="24">
        <v>12</v>
      </c>
      <c r="B108" s="2">
        <v>62</v>
      </c>
      <c r="C108" s="2" t="s">
        <v>166</v>
      </c>
      <c r="D108" s="3">
        <v>0</v>
      </c>
      <c r="E108" s="1"/>
      <c r="I108" s="1" t="s">
        <v>1457</v>
      </c>
      <c r="J108" t="s">
        <v>1720</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1457</v>
      </c>
      <c r="J109" s="30" t="s">
        <v>1721</v>
      </c>
      <c r="K109" s="31">
        <f>Tabelle52[[#This Row],[value_present]]*Tabelle52[[#This Row],[binding_level]]</f>
        <v>0</v>
      </c>
    </row>
    <row r="110" spans="1:11" x14ac:dyDescent="0.25">
      <c r="A110" s="18">
        <v>15</v>
      </c>
      <c r="B110" s="19">
        <v>86</v>
      </c>
      <c r="C110" s="19" t="s">
        <v>53</v>
      </c>
      <c r="D110" s="20">
        <v>1</v>
      </c>
      <c r="E110" s="21">
        <v>2</v>
      </c>
      <c r="F110" t="s">
        <v>1806</v>
      </c>
      <c r="G110" s="22" t="s">
        <v>1807</v>
      </c>
      <c r="H110" s="22" t="s">
        <v>1793</v>
      </c>
      <c r="I110" s="21" t="s">
        <v>1458</v>
      </c>
      <c r="J110" s="22" t="s">
        <v>1780</v>
      </c>
      <c r="K110" s="23">
        <f>Tabelle52[[#This Row],[value_present]]*Tabelle52[[#This Row],[binding_level]]</f>
        <v>2</v>
      </c>
    </row>
    <row r="111" spans="1:11" x14ac:dyDescent="0.25">
      <c r="A111" s="24">
        <v>15</v>
      </c>
      <c r="B111" s="2">
        <v>86</v>
      </c>
      <c r="C111" s="2" t="s">
        <v>61</v>
      </c>
      <c r="D111" s="3">
        <v>1</v>
      </c>
      <c r="E111" s="1">
        <v>2</v>
      </c>
      <c r="F111" t="s">
        <v>1808</v>
      </c>
      <c r="G111" t="s">
        <v>1809</v>
      </c>
      <c r="H111" t="s">
        <v>1794</v>
      </c>
      <c r="I111" s="1" t="s">
        <v>1457</v>
      </c>
      <c r="J111" t="s">
        <v>1781</v>
      </c>
      <c r="K111" s="25">
        <f>Tabelle52[[#This Row],[value_present]]*Tabelle52[[#This Row],[binding_level]]</f>
        <v>2</v>
      </c>
    </row>
    <row r="112" spans="1:11" x14ac:dyDescent="0.25">
      <c r="A112" s="24">
        <v>15</v>
      </c>
      <c r="B112" s="2">
        <v>86</v>
      </c>
      <c r="C112" s="2" t="s">
        <v>69</v>
      </c>
      <c r="D112" s="3">
        <v>1</v>
      </c>
      <c r="E112" s="1">
        <v>2</v>
      </c>
      <c r="F112" t="s">
        <v>1810</v>
      </c>
      <c r="G112" t="s">
        <v>1811</v>
      </c>
      <c r="H112" t="s">
        <v>1795</v>
      </c>
      <c r="I112" s="1" t="s">
        <v>1457</v>
      </c>
      <c r="J112" t="s">
        <v>1782</v>
      </c>
      <c r="K112" s="25">
        <f>Tabelle52[[#This Row],[value_present]]*Tabelle52[[#This Row],[binding_level]]</f>
        <v>2</v>
      </c>
    </row>
    <row r="113" spans="1:11" x14ac:dyDescent="0.25">
      <c r="A113" s="24">
        <v>15</v>
      </c>
      <c r="B113" s="2">
        <v>86</v>
      </c>
      <c r="C113" s="2" t="s">
        <v>76</v>
      </c>
      <c r="D113" s="3">
        <v>1</v>
      </c>
      <c r="E113" s="1">
        <v>1</v>
      </c>
      <c r="F113" t="s">
        <v>1812</v>
      </c>
      <c r="G113" t="s">
        <v>1813</v>
      </c>
      <c r="H113" t="s">
        <v>1796</v>
      </c>
      <c r="I113" s="1" t="s">
        <v>1458</v>
      </c>
      <c r="J113" t="s">
        <v>1783</v>
      </c>
      <c r="K113" s="25">
        <f>Tabelle52[[#This Row],[value_present]]*Tabelle52[[#This Row],[binding_level]]</f>
        <v>1</v>
      </c>
    </row>
    <row r="114" spans="1:11" x14ac:dyDescent="0.25">
      <c r="A114" s="24">
        <v>15</v>
      </c>
      <c r="B114" s="2">
        <v>86</v>
      </c>
      <c r="C114" s="2" t="s">
        <v>83</v>
      </c>
      <c r="D114" s="3">
        <v>1</v>
      </c>
      <c r="E114" s="1">
        <v>1</v>
      </c>
      <c r="F114" t="s">
        <v>1814</v>
      </c>
      <c r="G114" t="s">
        <v>1816</v>
      </c>
      <c r="H114" t="s">
        <v>1797</v>
      </c>
      <c r="I114" s="1" t="s">
        <v>1458</v>
      </c>
      <c r="J114" t="s">
        <v>1784</v>
      </c>
      <c r="K114" s="25">
        <f>Tabelle52[[#This Row],[value_present]]*Tabelle52[[#This Row],[binding_level]]</f>
        <v>1</v>
      </c>
    </row>
    <row r="115" spans="1:11" x14ac:dyDescent="0.25">
      <c r="A115" s="24">
        <v>15</v>
      </c>
      <c r="B115" s="2">
        <v>86</v>
      </c>
      <c r="C115" s="2" t="s">
        <v>90</v>
      </c>
      <c r="D115" s="3">
        <v>1</v>
      </c>
      <c r="E115" s="1">
        <v>2</v>
      </c>
      <c r="F115" t="s">
        <v>1817</v>
      </c>
      <c r="G115" t="s">
        <v>1818</v>
      </c>
      <c r="H115" t="s">
        <v>1798</v>
      </c>
      <c r="I115" s="1" t="s">
        <v>1457</v>
      </c>
      <c r="J115" t="s">
        <v>1785</v>
      </c>
      <c r="K115" s="25">
        <f>Tabelle52[[#This Row],[value_present]]*Tabelle52[[#This Row],[binding_level]]</f>
        <v>2</v>
      </c>
    </row>
    <row r="116" spans="1:11" x14ac:dyDescent="0.25">
      <c r="A116" s="24">
        <v>15</v>
      </c>
      <c r="B116" s="2">
        <v>86</v>
      </c>
      <c r="C116" s="2" t="s">
        <v>98</v>
      </c>
      <c r="D116" s="3">
        <v>1</v>
      </c>
      <c r="E116" s="1">
        <v>2</v>
      </c>
      <c r="F116" t="s">
        <v>1819</v>
      </c>
      <c r="G116" t="s">
        <v>1820</v>
      </c>
      <c r="H116" t="s">
        <v>1799</v>
      </c>
      <c r="I116" s="1" t="s">
        <v>1457</v>
      </c>
      <c r="J116" t="s">
        <v>1786</v>
      </c>
      <c r="K116" s="25">
        <f>Tabelle52[[#This Row],[value_present]]*Tabelle52[[#This Row],[binding_level]]</f>
        <v>2</v>
      </c>
    </row>
    <row r="117" spans="1:11" x14ac:dyDescent="0.25">
      <c r="A117" s="24">
        <v>15</v>
      </c>
      <c r="B117" s="2">
        <v>86</v>
      </c>
      <c r="C117" s="2" t="s">
        <v>106</v>
      </c>
      <c r="D117" s="3">
        <v>1</v>
      </c>
      <c r="E117" s="1">
        <v>2</v>
      </c>
      <c r="F117" t="s">
        <v>1821</v>
      </c>
      <c r="G117" t="s">
        <v>1822</v>
      </c>
      <c r="H117" t="s">
        <v>1800</v>
      </c>
      <c r="I117" s="1" t="s">
        <v>1458</v>
      </c>
      <c r="J117" t="s">
        <v>1787</v>
      </c>
      <c r="K117" s="25">
        <f>Tabelle52[[#This Row],[value_present]]*Tabelle52[[#This Row],[binding_level]]</f>
        <v>2</v>
      </c>
    </row>
    <row r="118" spans="1:11" x14ac:dyDescent="0.25">
      <c r="A118" s="24">
        <v>15</v>
      </c>
      <c r="B118" s="2">
        <v>86</v>
      </c>
      <c r="C118" s="2" t="s">
        <v>112</v>
      </c>
      <c r="D118" s="3">
        <v>1</v>
      </c>
      <c r="E118" s="1">
        <v>2</v>
      </c>
      <c r="F118" t="s">
        <v>1823</v>
      </c>
      <c r="G118" t="s">
        <v>1824</v>
      </c>
      <c r="H118" t="s">
        <v>1801</v>
      </c>
      <c r="I118" s="1" t="s">
        <v>1458</v>
      </c>
      <c r="J118" t="s">
        <v>1788</v>
      </c>
      <c r="K118" s="25">
        <f>Tabelle52[[#This Row],[value_present]]*Tabelle52[[#This Row],[binding_level]]</f>
        <v>2</v>
      </c>
    </row>
    <row r="119" spans="1:11" x14ac:dyDescent="0.25">
      <c r="A119" s="24">
        <v>15</v>
      </c>
      <c r="B119" s="2">
        <v>86</v>
      </c>
      <c r="C119" s="2" t="s">
        <v>118</v>
      </c>
      <c r="D119" s="3">
        <v>0</v>
      </c>
      <c r="E119" s="1"/>
      <c r="I119" s="1" t="s">
        <v>1457</v>
      </c>
      <c r="J119" t="s">
        <v>1391</v>
      </c>
      <c r="K119" s="25">
        <f>Tabelle52[[#This Row],[value_present]]*Tabelle52[[#This Row],[binding_level]]</f>
        <v>0</v>
      </c>
    </row>
    <row r="120" spans="1:11" x14ac:dyDescent="0.25">
      <c r="A120" s="24">
        <v>15</v>
      </c>
      <c r="B120" s="2">
        <v>86</v>
      </c>
      <c r="C120" s="2" t="s">
        <v>125</v>
      </c>
      <c r="D120" s="3">
        <v>0</v>
      </c>
      <c r="E120" s="1"/>
      <c r="I120" s="1" t="s">
        <v>1457</v>
      </c>
      <c r="J120" t="s">
        <v>1391</v>
      </c>
      <c r="K120" s="25">
        <f>Tabelle52[[#This Row],[value_present]]*Tabelle52[[#This Row],[binding_level]]</f>
        <v>0</v>
      </c>
    </row>
    <row r="121" spans="1:11" x14ac:dyDescent="0.25">
      <c r="A121" s="24">
        <v>15</v>
      </c>
      <c r="B121" s="2">
        <v>86</v>
      </c>
      <c r="C121" s="2" t="s">
        <v>132</v>
      </c>
      <c r="D121" s="3">
        <v>0</v>
      </c>
      <c r="E121" s="1"/>
      <c r="I121" s="1" t="s">
        <v>1457</v>
      </c>
      <c r="J121" t="s">
        <v>1391</v>
      </c>
      <c r="K121" s="25">
        <f>Tabelle52[[#This Row],[value_present]]*Tabelle52[[#This Row],[binding_level]]</f>
        <v>0</v>
      </c>
    </row>
    <row r="122" spans="1:11" x14ac:dyDescent="0.25">
      <c r="A122" s="24">
        <v>15</v>
      </c>
      <c r="B122" s="2">
        <v>86</v>
      </c>
      <c r="C122" s="2" t="s">
        <v>140</v>
      </c>
      <c r="D122" s="3">
        <v>1</v>
      </c>
      <c r="E122" s="1">
        <v>1</v>
      </c>
      <c r="F122" t="s">
        <v>1825</v>
      </c>
      <c r="G122" t="s">
        <v>1826</v>
      </c>
      <c r="H122" t="s">
        <v>1802</v>
      </c>
      <c r="I122" s="1" t="s">
        <v>1458</v>
      </c>
      <c r="J122" t="s">
        <v>1789</v>
      </c>
      <c r="K122" s="25">
        <f>Tabelle52[[#This Row],[value_present]]*Tabelle52[[#This Row],[binding_level]]</f>
        <v>1</v>
      </c>
    </row>
    <row r="123" spans="1:11" x14ac:dyDescent="0.25">
      <c r="A123" s="24">
        <v>15</v>
      </c>
      <c r="B123" s="2">
        <v>86</v>
      </c>
      <c r="C123" s="2" t="s">
        <v>147</v>
      </c>
      <c r="D123" s="3">
        <v>1</v>
      </c>
      <c r="E123" s="1">
        <v>2</v>
      </c>
      <c r="F123" t="s">
        <v>1827</v>
      </c>
      <c r="G123" t="s">
        <v>1828</v>
      </c>
      <c r="H123" t="s">
        <v>1803</v>
      </c>
      <c r="I123" s="1" t="s">
        <v>1457</v>
      </c>
      <c r="J123" t="s">
        <v>1790</v>
      </c>
      <c r="K123" s="25">
        <f>Tabelle52[[#This Row],[value_present]]*Tabelle52[[#This Row],[binding_level]]</f>
        <v>2</v>
      </c>
    </row>
    <row r="124" spans="1:11" x14ac:dyDescent="0.25">
      <c r="A124" s="24">
        <v>15</v>
      </c>
      <c r="B124" s="2">
        <v>86</v>
      </c>
      <c r="C124" s="2" t="s">
        <v>154</v>
      </c>
      <c r="D124" s="3">
        <v>1</v>
      </c>
      <c r="E124" s="1">
        <v>1</v>
      </c>
      <c r="F124" t="s">
        <v>1829</v>
      </c>
      <c r="G124" t="s">
        <v>1830</v>
      </c>
      <c r="H124" t="s">
        <v>1804</v>
      </c>
      <c r="I124" s="1" t="s">
        <v>1457</v>
      </c>
      <c r="J124" t="s">
        <v>1791</v>
      </c>
      <c r="K124" s="25">
        <f>Tabelle52[[#This Row],[value_present]]*Tabelle52[[#This Row],[binding_level]]</f>
        <v>1</v>
      </c>
    </row>
    <row r="125" spans="1:11" x14ac:dyDescent="0.25">
      <c r="A125" s="24">
        <v>15</v>
      </c>
      <c r="B125" s="2">
        <v>86</v>
      </c>
      <c r="C125" s="2" t="s">
        <v>161</v>
      </c>
      <c r="D125" s="3">
        <v>1</v>
      </c>
      <c r="E125" s="1">
        <v>3</v>
      </c>
      <c r="F125" t="s">
        <v>1831</v>
      </c>
      <c r="G125" t="s">
        <v>1832</v>
      </c>
      <c r="H125" t="s">
        <v>1805</v>
      </c>
      <c r="I125" s="1" t="s">
        <v>1458</v>
      </c>
      <c r="J125" t="s">
        <v>1792</v>
      </c>
      <c r="K125" s="25">
        <f>Tabelle52[[#This Row],[value_present]]*Tabelle52[[#This Row],[binding_level]]</f>
        <v>3</v>
      </c>
    </row>
    <row r="126" spans="1:11" x14ac:dyDescent="0.25">
      <c r="A126" s="24">
        <v>15</v>
      </c>
      <c r="B126" s="2">
        <v>86</v>
      </c>
      <c r="C126" s="2" t="s">
        <v>166</v>
      </c>
      <c r="D126" s="3">
        <v>0</v>
      </c>
      <c r="E126" s="1"/>
      <c r="I126" s="1" t="s">
        <v>1457</v>
      </c>
      <c r="J126" t="s">
        <v>1391</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1457</v>
      </c>
      <c r="J127" s="30" t="s">
        <v>1391</v>
      </c>
      <c r="K127" s="31">
        <f>Tabelle52[[#This Row],[value_present]]*Tabelle52[[#This Row],[binding_level]]</f>
        <v>0</v>
      </c>
    </row>
    <row r="128" spans="1:11" x14ac:dyDescent="0.25">
      <c r="A128" s="18">
        <v>32</v>
      </c>
      <c r="B128" s="19">
        <v>188</v>
      </c>
      <c r="C128" s="19" t="s">
        <v>53</v>
      </c>
      <c r="D128" s="20">
        <v>1</v>
      </c>
      <c r="E128" s="21">
        <v>3</v>
      </c>
      <c r="F128" t="s">
        <v>1899</v>
      </c>
      <c r="G128" s="22" t="s">
        <v>1900</v>
      </c>
      <c r="H128" s="22" t="s">
        <v>1883</v>
      </c>
      <c r="I128" s="1" t="s">
        <v>1457</v>
      </c>
      <c r="J128" t="s">
        <v>1867</v>
      </c>
      <c r="K128" s="23">
        <f>Tabelle52[[#This Row],[value_present]]*Tabelle52[[#This Row],[binding_level]]</f>
        <v>3</v>
      </c>
    </row>
    <row r="129" spans="1:11" x14ac:dyDescent="0.25">
      <c r="A129" s="24">
        <v>32</v>
      </c>
      <c r="B129" s="2">
        <v>188</v>
      </c>
      <c r="C129" s="2" t="s">
        <v>61</v>
      </c>
      <c r="D129" s="3">
        <v>1</v>
      </c>
      <c r="E129" s="1">
        <v>2</v>
      </c>
      <c r="F129" t="s">
        <v>1901</v>
      </c>
      <c r="G129" t="s">
        <v>1902</v>
      </c>
      <c r="H129" t="s">
        <v>1884</v>
      </c>
      <c r="I129" s="1" t="s">
        <v>1457</v>
      </c>
      <c r="J129" t="s">
        <v>1868</v>
      </c>
      <c r="K129" s="25">
        <f>Tabelle52[[#This Row],[value_present]]*Tabelle52[[#This Row],[binding_level]]</f>
        <v>2</v>
      </c>
    </row>
    <row r="130" spans="1:11" x14ac:dyDescent="0.25">
      <c r="A130" s="24">
        <v>32</v>
      </c>
      <c r="B130" s="2">
        <v>188</v>
      </c>
      <c r="C130" s="2" t="s">
        <v>69</v>
      </c>
      <c r="D130" s="3">
        <v>1</v>
      </c>
      <c r="E130" s="1">
        <v>3</v>
      </c>
      <c r="F130" t="s">
        <v>1903</v>
      </c>
      <c r="G130" t="s">
        <v>1904</v>
      </c>
      <c r="H130" t="s">
        <v>1885</v>
      </c>
      <c r="I130" s="1" t="s">
        <v>1457</v>
      </c>
      <c r="J130" t="s">
        <v>1869</v>
      </c>
      <c r="K130" s="25">
        <f>Tabelle52[[#This Row],[value_present]]*Tabelle52[[#This Row],[binding_level]]</f>
        <v>3</v>
      </c>
    </row>
    <row r="131" spans="1:11" x14ac:dyDescent="0.25">
      <c r="A131" s="24">
        <v>32</v>
      </c>
      <c r="B131" s="2">
        <v>188</v>
      </c>
      <c r="C131" s="2" t="s">
        <v>76</v>
      </c>
      <c r="D131" s="3">
        <v>1</v>
      </c>
      <c r="E131" s="1">
        <v>2</v>
      </c>
      <c r="F131" t="s">
        <v>1905</v>
      </c>
      <c r="G131" t="s">
        <v>1906</v>
      </c>
      <c r="H131" t="s">
        <v>1886</v>
      </c>
      <c r="I131" s="1" t="s">
        <v>1457</v>
      </c>
      <c r="J131" t="s">
        <v>1870</v>
      </c>
      <c r="K131" s="25">
        <f>Tabelle52[[#This Row],[value_present]]*Tabelle52[[#This Row],[binding_level]]</f>
        <v>2</v>
      </c>
    </row>
    <row r="132" spans="1:11" x14ac:dyDescent="0.25">
      <c r="A132" s="24">
        <v>32</v>
      </c>
      <c r="B132" s="2">
        <v>188</v>
      </c>
      <c r="C132" s="2" t="s">
        <v>83</v>
      </c>
      <c r="D132" s="3">
        <v>1</v>
      </c>
      <c r="E132" s="1">
        <v>3</v>
      </c>
      <c r="F132" t="s">
        <v>1907</v>
      </c>
      <c r="G132" t="s">
        <v>1908</v>
      </c>
      <c r="H132" t="s">
        <v>1887</v>
      </c>
      <c r="I132" s="1" t="s">
        <v>1457</v>
      </c>
      <c r="J132" t="s">
        <v>1871</v>
      </c>
      <c r="K132" s="25">
        <f>Tabelle52[[#This Row],[value_present]]*Tabelle52[[#This Row],[binding_level]]</f>
        <v>3</v>
      </c>
    </row>
    <row r="133" spans="1:11" x14ac:dyDescent="0.25">
      <c r="A133" s="24">
        <v>32</v>
      </c>
      <c r="B133" s="2">
        <v>188</v>
      </c>
      <c r="C133" s="2" t="s">
        <v>90</v>
      </c>
      <c r="D133" s="3">
        <v>1</v>
      </c>
      <c r="E133" s="1">
        <v>2</v>
      </c>
      <c r="F133" t="s">
        <v>1909</v>
      </c>
      <c r="G133" t="s">
        <v>1910</v>
      </c>
      <c r="H133" t="s">
        <v>1888</v>
      </c>
      <c r="I133" s="1" t="s">
        <v>1457</v>
      </c>
      <c r="J133" t="s">
        <v>1872</v>
      </c>
      <c r="K133" s="25">
        <f>Tabelle52[[#This Row],[value_present]]*Tabelle52[[#This Row],[binding_level]]</f>
        <v>2</v>
      </c>
    </row>
    <row r="134" spans="1:11" x14ac:dyDescent="0.25">
      <c r="A134" s="24">
        <v>32</v>
      </c>
      <c r="B134" s="2">
        <v>188</v>
      </c>
      <c r="C134" s="2" t="s">
        <v>98</v>
      </c>
      <c r="D134" s="3">
        <v>1</v>
      </c>
      <c r="E134" s="1">
        <v>2</v>
      </c>
      <c r="F134" t="s">
        <v>1911</v>
      </c>
      <c r="G134" t="s">
        <v>1912</v>
      </c>
      <c r="H134" t="s">
        <v>1889</v>
      </c>
      <c r="I134" s="1" t="s">
        <v>1457</v>
      </c>
      <c r="J134" t="s">
        <v>1873</v>
      </c>
      <c r="K134" s="25">
        <f>Tabelle52[[#This Row],[value_present]]*Tabelle52[[#This Row],[binding_level]]</f>
        <v>2</v>
      </c>
    </row>
    <row r="135" spans="1:11" x14ac:dyDescent="0.25">
      <c r="A135" s="24">
        <v>32</v>
      </c>
      <c r="B135" s="2">
        <v>188</v>
      </c>
      <c r="C135" s="2" t="s">
        <v>106</v>
      </c>
      <c r="D135" s="3">
        <v>1</v>
      </c>
      <c r="E135" s="1">
        <v>3</v>
      </c>
      <c r="F135" t="s">
        <v>1913</v>
      </c>
      <c r="G135" t="s">
        <v>1914</v>
      </c>
      <c r="H135" t="s">
        <v>1890</v>
      </c>
      <c r="I135" s="1" t="s">
        <v>1457</v>
      </c>
      <c r="J135" t="s">
        <v>1874</v>
      </c>
      <c r="K135" s="25">
        <f>Tabelle52[[#This Row],[value_present]]*Tabelle52[[#This Row],[binding_level]]</f>
        <v>3</v>
      </c>
    </row>
    <row r="136" spans="1:11" x14ac:dyDescent="0.25">
      <c r="A136" s="24">
        <v>32</v>
      </c>
      <c r="B136" s="2">
        <v>188</v>
      </c>
      <c r="C136" s="2" t="s">
        <v>112</v>
      </c>
      <c r="D136" s="3">
        <v>1</v>
      </c>
      <c r="E136" s="1">
        <v>3</v>
      </c>
      <c r="F136" t="s">
        <v>1915</v>
      </c>
      <c r="G136" t="s">
        <v>1916</v>
      </c>
      <c r="H136" t="s">
        <v>1891</v>
      </c>
      <c r="I136" s="1" t="s">
        <v>1458</v>
      </c>
      <c r="J136" t="s">
        <v>1875</v>
      </c>
      <c r="K136" s="25">
        <f>Tabelle52[[#This Row],[value_present]]*Tabelle52[[#This Row],[binding_level]]</f>
        <v>3</v>
      </c>
    </row>
    <row r="137" spans="1:11" x14ac:dyDescent="0.25">
      <c r="A137" s="24">
        <v>32</v>
      </c>
      <c r="B137" s="2">
        <v>188</v>
      </c>
      <c r="C137" s="2" t="s">
        <v>118</v>
      </c>
      <c r="D137" s="3">
        <v>1</v>
      </c>
      <c r="E137" s="1">
        <v>3</v>
      </c>
      <c r="F137" t="s">
        <v>1917</v>
      </c>
      <c r="H137" t="s">
        <v>1894</v>
      </c>
      <c r="I137" s="1" t="s">
        <v>1458</v>
      </c>
      <c r="J137" t="s">
        <v>1876</v>
      </c>
      <c r="K137" s="25">
        <f>Tabelle52[[#This Row],[value_present]]*Tabelle52[[#This Row],[binding_level]]</f>
        <v>3</v>
      </c>
    </row>
    <row r="138" spans="1:11" x14ac:dyDescent="0.25">
      <c r="A138" s="24">
        <v>32</v>
      </c>
      <c r="B138" s="2">
        <v>188</v>
      </c>
      <c r="C138" s="2" t="s">
        <v>125</v>
      </c>
      <c r="D138" s="3">
        <v>1</v>
      </c>
      <c r="E138" s="1">
        <v>2</v>
      </c>
      <c r="F138" t="s">
        <v>1918</v>
      </c>
      <c r="G138" t="s">
        <v>1919</v>
      </c>
      <c r="H138" t="s">
        <v>1892</v>
      </c>
      <c r="I138" s="1" t="s">
        <v>1457</v>
      </c>
      <c r="J138" t="s">
        <v>1877</v>
      </c>
      <c r="K138" s="25">
        <f>Tabelle52[[#This Row],[value_present]]*Tabelle52[[#This Row],[binding_level]]</f>
        <v>2</v>
      </c>
    </row>
    <row r="139" spans="1:11" x14ac:dyDescent="0.25">
      <c r="A139" s="24">
        <v>32</v>
      </c>
      <c r="B139" s="2">
        <v>188</v>
      </c>
      <c r="C139" s="2" t="s">
        <v>132</v>
      </c>
      <c r="D139" s="3">
        <v>1</v>
      </c>
      <c r="E139" s="1">
        <v>2</v>
      </c>
      <c r="F139" t="s">
        <v>1920</v>
      </c>
      <c r="G139" t="s">
        <v>1921</v>
      </c>
      <c r="H139" t="s">
        <v>1893</v>
      </c>
      <c r="I139" s="1" t="s">
        <v>1457</v>
      </c>
      <c r="J139" t="s">
        <v>1878</v>
      </c>
      <c r="K139" s="25">
        <f>Tabelle52[[#This Row],[value_present]]*Tabelle52[[#This Row],[binding_level]]</f>
        <v>2</v>
      </c>
    </row>
    <row r="140" spans="1:11" x14ac:dyDescent="0.25">
      <c r="A140" s="24">
        <v>32</v>
      </c>
      <c r="B140" s="2">
        <v>188</v>
      </c>
      <c r="C140" s="2" t="s">
        <v>140</v>
      </c>
      <c r="D140" s="3">
        <v>0</v>
      </c>
      <c r="E140" s="1"/>
      <c r="I140" s="1" t="s">
        <v>1458</v>
      </c>
      <c r="J140" t="s">
        <v>1391</v>
      </c>
      <c r="K140" s="25">
        <f>Tabelle52[[#This Row],[value_present]]*Tabelle52[[#This Row],[binding_level]]</f>
        <v>0</v>
      </c>
    </row>
    <row r="141" spans="1:11" x14ac:dyDescent="0.25">
      <c r="A141" s="24">
        <v>32</v>
      </c>
      <c r="B141" s="2">
        <v>188</v>
      </c>
      <c r="C141" s="2" t="s">
        <v>147</v>
      </c>
      <c r="D141" s="3">
        <v>1</v>
      </c>
      <c r="E141" s="1">
        <v>2</v>
      </c>
      <c r="F141" t="s">
        <v>1922</v>
      </c>
      <c r="G141" t="s">
        <v>1923</v>
      </c>
      <c r="H141" t="s">
        <v>1895</v>
      </c>
      <c r="I141" s="1"/>
      <c r="J141" t="s">
        <v>1879</v>
      </c>
      <c r="K141" s="25">
        <f>Tabelle52[[#This Row],[value_present]]*Tabelle52[[#This Row],[binding_level]]</f>
        <v>2</v>
      </c>
    </row>
    <row r="142" spans="1:11" x14ac:dyDescent="0.25">
      <c r="A142" s="24">
        <v>32</v>
      </c>
      <c r="B142" s="2">
        <v>188</v>
      </c>
      <c r="C142" s="2" t="s">
        <v>154</v>
      </c>
      <c r="D142" s="3">
        <v>1</v>
      </c>
      <c r="E142" s="1">
        <v>1</v>
      </c>
      <c r="F142" t="s">
        <v>1924</v>
      </c>
      <c r="G142" t="s">
        <v>1925</v>
      </c>
      <c r="H142" t="s">
        <v>1896</v>
      </c>
      <c r="I142" s="1" t="s">
        <v>1457</v>
      </c>
      <c r="J142" t="s">
        <v>1880</v>
      </c>
      <c r="K142" s="25">
        <f>Tabelle52[[#This Row],[value_present]]*Tabelle52[[#This Row],[binding_level]]</f>
        <v>1</v>
      </c>
    </row>
    <row r="143" spans="1:11" x14ac:dyDescent="0.25">
      <c r="A143" s="24">
        <v>32</v>
      </c>
      <c r="B143" s="2">
        <v>188</v>
      </c>
      <c r="C143" s="2" t="s">
        <v>161</v>
      </c>
      <c r="D143" s="3">
        <v>1</v>
      </c>
      <c r="E143" s="1">
        <v>3</v>
      </c>
      <c r="F143" t="s">
        <v>1926</v>
      </c>
      <c r="G143" t="s">
        <v>1927</v>
      </c>
      <c r="H143" t="s">
        <v>1897</v>
      </c>
      <c r="I143" s="1" t="s">
        <v>1458</v>
      </c>
      <c r="J143" t="s">
        <v>1881</v>
      </c>
      <c r="K143" s="25">
        <f>Tabelle52[[#This Row],[value_present]]*Tabelle52[[#This Row],[binding_level]]</f>
        <v>3</v>
      </c>
    </row>
    <row r="144" spans="1:11" x14ac:dyDescent="0.25">
      <c r="A144" s="24">
        <v>32</v>
      </c>
      <c r="B144" s="2">
        <v>188</v>
      </c>
      <c r="C144" s="2" t="s">
        <v>166</v>
      </c>
      <c r="D144" s="3">
        <v>0</v>
      </c>
      <c r="E144" s="1"/>
      <c r="I144" s="1" t="s">
        <v>1457</v>
      </c>
      <c r="J144" t="s">
        <v>1391</v>
      </c>
      <c r="K144" s="25">
        <f>Tabelle52[[#This Row],[value_present]]*Tabelle52[[#This Row],[binding_level]]</f>
        <v>0</v>
      </c>
    </row>
    <row r="145" spans="1:11" ht="15.75" thickBot="1" x14ac:dyDescent="0.3">
      <c r="A145" s="26">
        <v>32</v>
      </c>
      <c r="B145" s="27">
        <v>188</v>
      </c>
      <c r="C145" s="27" t="s">
        <v>174</v>
      </c>
      <c r="D145" s="28">
        <v>1</v>
      </c>
      <c r="E145" s="29">
        <v>3</v>
      </c>
      <c r="F145" s="30" t="s">
        <v>1928</v>
      </c>
      <c r="G145" s="30" t="s">
        <v>1929</v>
      </c>
      <c r="H145" s="30" t="s">
        <v>1898</v>
      </c>
      <c r="I145" s="29" t="s">
        <v>1457</v>
      </c>
      <c r="J145" s="30" t="s">
        <v>1882</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sheetPr>
    <tabColor theme="0" tint="-0.499984740745262"/>
  </sheetPr>
  <dimension ref="A1:V464"/>
  <sheetViews>
    <sheetView topLeftCell="I1" workbookViewId="0">
      <selection activeCell="V33" sqref="V3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2142</v>
      </c>
    </row>
    <row r="2" spans="1:22" x14ac:dyDescent="0.25">
      <c r="A2" s="18">
        <v>7</v>
      </c>
      <c r="B2" s="19">
        <v>37</v>
      </c>
      <c r="C2" s="19" t="s">
        <v>53</v>
      </c>
      <c r="D2" s="20">
        <v>1</v>
      </c>
      <c r="E2" s="21">
        <v>3</v>
      </c>
      <c r="F2" s="22" t="s">
        <v>1644</v>
      </c>
      <c r="G2" s="22" t="s">
        <v>1645</v>
      </c>
      <c r="H2" s="22" t="s">
        <v>1636</v>
      </c>
      <c r="I2" s="21" t="s">
        <v>1457</v>
      </c>
      <c r="J2" s="22" t="s">
        <v>2086</v>
      </c>
      <c r="K2" s="23">
        <f>Tabelle5225[[#This Row],[value_present]]*Tabelle5225[[#This Row],[binding_level]]</f>
        <v>3</v>
      </c>
      <c r="N2" t="s">
        <v>0</v>
      </c>
      <c r="O2" t="s">
        <v>21</v>
      </c>
      <c r="P2" t="s">
        <v>2129</v>
      </c>
      <c r="Q2" t="s">
        <v>2130</v>
      </c>
      <c r="R2" t="s">
        <v>2131</v>
      </c>
      <c r="S2" t="s">
        <v>2132</v>
      </c>
      <c r="T2" t="s">
        <v>2133</v>
      </c>
      <c r="U2" t="s">
        <v>2134</v>
      </c>
      <c r="V2" t="s">
        <v>2135</v>
      </c>
    </row>
    <row r="3" spans="1:22" x14ac:dyDescent="0.25">
      <c r="A3" s="24">
        <v>7</v>
      </c>
      <c r="B3" s="2">
        <v>37</v>
      </c>
      <c r="C3" s="2" t="s">
        <v>61</v>
      </c>
      <c r="D3" s="3">
        <v>1</v>
      </c>
      <c r="E3" s="1">
        <v>1</v>
      </c>
      <c r="F3" t="s">
        <v>1646</v>
      </c>
      <c r="G3" t="s">
        <v>1647</v>
      </c>
      <c r="H3" t="s">
        <v>1637</v>
      </c>
      <c r="I3" s="1" t="s">
        <v>272</v>
      </c>
      <c r="J3" t="s">
        <v>2087</v>
      </c>
      <c r="K3" s="25">
        <f>Tabelle5225[[#This Row],[value_present]]*Tabelle5225[[#This Row],[binding_level]]</f>
        <v>1</v>
      </c>
      <c r="N3">
        <v>7</v>
      </c>
      <c r="O3" t="s">
        <v>53</v>
      </c>
      <c r="P3">
        <v>1</v>
      </c>
      <c r="Q3">
        <v>1</v>
      </c>
      <c r="R3">
        <v>1</v>
      </c>
      <c r="S3">
        <v>3</v>
      </c>
      <c r="T3" t="s">
        <v>2136</v>
      </c>
      <c r="U3" t="s">
        <v>2137</v>
      </c>
      <c r="V3" t="s">
        <v>2143</v>
      </c>
    </row>
    <row r="4" spans="1:22" x14ac:dyDescent="0.25">
      <c r="A4" s="24">
        <v>7</v>
      </c>
      <c r="B4" s="2">
        <v>37</v>
      </c>
      <c r="C4" s="2" t="s">
        <v>69</v>
      </c>
      <c r="D4" s="3">
        <v>1</v>
      </c>
      <c r="E4" s="1">
        <v>1</v>
      </c>
      <c r="F4" t="s">
        <v>1648</v>
      </c>
      <c r="G4" t="s">
        <v>1649</v>
      </c>
      <c r="H4" t="s">
        <v>1638</v>
      </c>
      <c r="I4" s="1" t="s">
        <v>272</v>
      </c>
      <c r="J4" t="s">
        <v>2088</v>
      </c>
      <c r="K4" s="25">
        <f>Tabelle5225[[#This Row],[value_present]]*Tabelle5225[[#This Row],[binding_level]]</f>
        <v>1</v>
      </c>
      <c r="N4">
        <v>7</v>
      </c>
      <c r="O4" t="s">
        <v>147</v>
      </c>
      <c r="P4">
        <v>1</v>
      </c>
      <c r="Q4">
        <v>1</v>
      </c>
      <c r="R4">
        <v>1</v>
      </c>
      <c r="S4">
        <v>2</v>
      </c>
      <c r="T4" t="s">
        <v>2136</v>
      </c>
      <c r="U4" t="s">
        <v>2138</v>
      </c>
      <c r="V4" t="s">
        <v>2144</v>
      </c>
    </row>
    <row r="5" spans="1:22" x14ac:dyDescent="0.25">
      <c r="A5" s="24">
        <v>7</v>
      </c>
      <c r="B5" s="2">
        <v>37</v>
      </c>
      <c r="C5" s="2" t="s">
        <v>76</v>
      </c>
      <c r="D5" s="3">
        <v>1</v>
      </c>
      <c r="E5" s="1">
        <v>1</v>
      </c>
      <c r="F5" t="s">
        <v>1650</v>
      </c>
      <c r="G5" t="s">
        <v>1651</v>
      </c>
      <c r="H5" t="s">
        <v>1638</v>
      </c>
      <c r="I5" s="1" t="s">
        <v>1457</v>
      </c>
      <c r="J5" t="s">
        <v>2089</v>
      </c>
      <c r="K5" s="25">
        <f>Tabelle5225[[#This Row],[value_present]]*Tabelle5225[[#This Row],[binding_level]]</f>
        <v>1</v>
      </c>
      <c r="N5">
        <v>7</v>
      </c>
      <c r="O5" t="s">
        <v>154</v>
      </c>
      <c r="P5">
        <v>1</v>
      </c>
      <c r="Q5">
        <v>0</v>
      </c>
      <c r="R5">
        <v>1</v>
      </c>
      <c r="S5" t="s">
        <v>2095</v>
      </c>
      <c r="T5" t="s">
        <v>2139</v>
      </c>
      <c r="U5" t="s">
        <v>2138</v>
      </c>
      <c r="V5" t="s">
        <v>2140</v>
      </c>
    </row>
    <row r="6" spans="1:22" x14ac:dyDescent="0.25">
      <c r="A6" s="24">
        <v>7</v>
      </c>
      <c r="B6" s="2">
        <v>37</v>
      </c>
      <c r="C6" s="2" t="s">
        <v>83</v>
      </c>
      <c r="D6" s="3">
        <v>1</v>
      </c>
      <c r="E6" s="1">
        <v>1</v>
      </c>
      <c r="F6" t="s">
        <v>1652</v>
      </c>
      <c r="G6" t="s">
        <v>1653</v>
      </c>
      <c r="H6" t="s">
        <v>2105</v>
      </c>
      <c r="I6" s="1" t="s">
        <v>1457</v>
      </c>
      <c r="J6" t="s">
        <v>2090</v>
      </c>
      <c r="K6" s="25">
        <f>Tabelle5225[[#This Row],[value_present]]*Tabelle5225[[#This Row],[binding_level]]</f>
        <v>1</v>
      </c>
      <c r="N6">
        <v>15</v>
      </c>
      <c r="O6" t="s">
        <v>53</v>
      </c>
      <c r="P6">
        <v>1</v>
      </c>
      <c r="Q6">
        <v>1</v>
      </c>
      <c r="R6">
        <v>2</v>
      </c>
      <c r="S6">
        <v>3</v>
      </c>
      <c r="T6" t="s">
        <v>2136</v>
      </c>
      <c r="U6" t="s">
        <v>2137</v>
      </c>
      <c r="V6" t="s">
        <v>2145</v>
      </c>
    </row>
    <row r="7" spans="1:22" x14ac:dyDescent="0.25">
      <c r="A7" s="24">
        <v>7</v>
      </c>
      <c r="B7" s="2">
        <v>37</v>
      </c>
      <c r="C7" s="2" t="s">
        <v>90</v>
      </c>
      <c r="D7" s="3">
        <v>1</v>
      </c>
      <c r="E7" s="1">
        <v>1</v>
      </c>
      <c r="F7" t="s">
        <v>1654</v>
      </c>
      <c r="G7" t="s">
        <v>1655</v>
      </c>
      <c r="H7" t="s">
        <v>1640</v>
      </c>
      <c r="I7" s="1" t="s">
        <v>1457</v>
      </c>
      <c r="J7" t="s">
        <v>2091</v>
      </c>
      <c r="K7" s="25">
        <f>Tabelle5225[[#This Row],[value_present]]*Tabelle5225[[#This Row],[binding_level]]</f>
        <v>1</v>
      </c>
      <c r="N7">
        <v>15</v>
      </c>
      <c r="O7" t="s">
        <v>83</v>
      </c>
      <c r="P7">
        <v>1</v>
      </c>
      <c r="Q7">
        <v>1</v>
      </c>
      <c r="R7">
        <v>1</v>
      </c>
      <c r="S7">
        <v>3</v>
      </c>
      <c r="T7" t="s">
        <v>2136</v>
      </c>
      <c r="U7" t="s">
        <v>2137</v>
      </c>
      <c r="V7" t="s">
        <v>2146</v>
      </c>
    </row>
    <row r="8" spans="1:22" x14ac:dyDescent="0.25">
      <c r="A8" s="24">
        <v>7</v>
      </c>
      <c r="B8" s="2">
        <v>37</v>
      </c>
      <c r="C8" s="2" t="s">
        <v>98</v>
      </c>
      <c r="D8" s="3">
        <v>1</v>
      </c>
      <c r="E8" s="1">
        <v>1</v>
      </c>
      <c r="F8" t="s">
        <v>1656</v>
      </c>
      <c r="G8" t="s">
        <v>1657</v>
      </c>
      <c r="H8" t="s">
        <v>1640</v>
      </c>
      <c r="I8" s="1" t="s">
        <v>272</v>
      </c>
      <c r="J8" t="s">
        <v>2092</v>
      </c>
      <c r="K8" s="25">
        <f>Tabelle5225[[#This Row],[value_present]]*Tabelle5225[[#This Row],[binding_level]]</f>
        <v>1</v>
      </c>
      <c r="N8">
        <v>15</v>
      </c>
      <c r="O8" t="s">
        <v>106</v>
      </c>
      <c r="P8">
        <v>1</v>
      </c>
      <c r="Q8">
        <v>1</v>
      </c>
      <c r="R8">
        <v>2</v>
      </c>
      <c r="S8">
        <v>3</v>
      </c>
      <c r="T8" t="s">
        <v>2136</v>
      </c>
      <c r="U8" t="s">
        <v>2137</v>
      </c>
      <c r="V8" t="s">
        <v>2147</v>
      </c>
    </row>
    <row r="9" spans="1:22" x14ac:dyDescent="0.25">
      <c r="A9" s="24">
        <v>7</v>
      </c>
      <c r="B9" s="2">
        <v>37</v>
      </c>
      <c r="C9" s="2" t="s">
        <v>106</v>
      </c>
      <c r="D9" s="3">
        <v>1</v>
      </c>
      <c r="E9" s="1">
        <v>1</v>
      </c>
      <c r="F9" t="s">
        <v>1658</v>
      </c>
      <c r="G9" t="s">
        <v>1659</v>
      </c>
      <c r="H9" t="s">
        <v>1641</v>
      </c>
      <c r="I9" s="1" t="s">
        <v>272</v>
      </c>
      <c r="J9" t="s">
        <v>2093</v>
      </c>
      <c r="K9" s="25">
        <f>Tabelle5225[[#This Row],[value_present]]*Tabelle5225[[#This Row],[binding_level]]</f>
        <v>1</v>
      </c>
      <c r="N9">
        <v>15</v>
      </c>
      <c r="O9" t="s">
        <v>154</v>
      </c>
      <c r="P9">
        <v>1</v>
      </c>
      <c r="Q9">
        <v>0</v>
      </c>
      <c r="R9">
        <v>1</v>
      </c>
      <c r="S9" t="s">
        <v>2095</v>
      </c>
      <c r="T9" t="s">
        <v>2139</v>
      </c>
      <c r="U9" t="s">
        <v>2138</v>
      </c>
      <c r="V9" t="s">
        <v>2141</v>
      </c>
    </row>
    <row r="10" spans="1:22" x14ac:dyDescent="0.25">
      <c r="A10" s="24">
        <v>7</v>
      </c>
      <c r="B10" s="2">
        <v>37</v>
      </c>
      <c r="C10" s="2" t="s">
        <v>112</v>
      </c>
      <c r="D10" s="3">
        <v>1</v>
      </c>
      <c r="E10" s="1">
        <v>1</v>
      </c>
      <c r="F10" t="s">
        <v>1660</v>
      </c>
      <c r="G10" t="s">
        <v>1661</v>
      </c>
      <c r="H10" t="s">
        <v>1641</v>
      </c>
      <c r="I10" s="1" t="s">
        <v>1457</v>
      </c>
      <c r="J10" t="s">
        <v>2094</v>
      </c>
      <c r="K10" s="25">
        <f>Tabelle5225[[#This Row],[value_present]]*Tabelle5225[[#This Row],[binding_level]]</f>
        <v>1</v>
      </c>
    </row>
    <row r="11" spans="1:22" x14ac:dyDescent="0.25">
      <c r="A11" s="24">
        <v>7</v>
      </c>
      <c r="B11" s="2">
        <v>37</v>
      </c>
      <c r="C11" s="2" t="s">
        <v>118</v>
      </c>
      <c r="D11" s="3">
        <v>0</v>
      </c>
      <c r="E11" s="1"/>
      <c r="H11" t="s">
        <v>2095</v>
      </c>
      <c r="I11" s="1" t="s">
        <v>1457</v>
      </c>
      <c r="J11" t="s">
        <v>2096</v>
      </c>
      <c r="K11" s="25">
        <f>Tabelle5225[[#This Row],[value_present]]*Tabelle5225[[#This Row],[binding_level]]</f>
        <v>0</v>
      </c>
    </row>
    <row r="12" spans="1:22" x14ac:dyDescent="0.25">
      <c r="A12" s="24">
        <v>7</v>
      </c>
      <c r="B12" s="2">
        <v>37</v>
      </c>
      <c r="C12" s="2" t="s">
        <v>125</v>
      </c>
      <c r="D12" s="3">
        <v>0</v>
      </c>
      <c r="E12" s="1"/>
      <c r="H12" t="s">
        <v>2095</v>
      </c>
      <c r="I12" s="1" t="s">
        <v>1457</v>
      </c>
      <c r="J12" t="s">
        <v>2097</v>
      </c>
      <c r="K12" s="25">
        <f>Tabelle5225[[#This Row],[value_present]]*Tabelle5225[[#This Row],[binding_level]]</f>
        <v>0</v>
      </c>
    </row>
    <row r="13" spans="1:22" x14ac:dyDescent="0.25">
      <c r="A13" s="24">
        <v>7</v>
      </c>
      <c r="B13" s="2">
        <v>37</v>
      </c>
      <c r="C13" s="2" t="s">
        <v>132</v>
      </c>
      <c r="D13" s="3">
        <v>1</v>
      </c>
      <c r="E13" s="1">
        <v>1</v>
      </c>
      <c r="F13" t="s">
        <v>1662</v>
      </c>
      <c r="G13" t="s">
        <v>1663</v>
      </c>
      <c r="H13" t="s">
        <v>1642</v>
      </c>
      <c r="I13" s="1" t="s">
        <v>1457</v>
      </c>
      <c r="J13" t="s">
        <v>2098</v>
      </c>
      <c r="K13" s="25">
        <f>Tabelle5225[[#This Row],[value_present]]*Tabelle5225[[#This Row],[binding_level]]</f>
        <v>1</v>
      </c>
    </row>
    <row r="14" spans="1:22" x14ac:dyDescent="0.25">
      <c r="A14" s="24">
        <v>7</v>
      </c>
      <c r="B14" s="2">
        <v>37</v>
      </c>
      <c r="C14" s="2" t="s">
        <v>140</v>
      </c>
      <c r="D14" s="3">
        <v>1</v>
      </c>
      <c r="E14" s="1">
        <v>1</v>
      </c>
      <c r="F14" t="s">
        <v>1664</v>
      </c>
      <c r="G14" t="s">
        <v>1665</v>
      </c>
      <c r="H14" t="s">
        <v>1642</v>
      </c>
      <c r="I14" s="1" t="s">
        <v>1457</v>
      </c>
      <c r="J14" t="s">
        <v>2099</v>
      </c>
      <c r="K14" s="25">
        <f>Tabelle5225[[#This Row],[value_present]]*Tabelle5225[[#This Row],[binding_level]]</f>
        <v>1</v>
      </c>
    </row>
    <row r="15" spans="1:22" x14ac:dyDescent="0.25">
      <c r="A15" s="24">
        <v>7</v>
      </c>
      <c r="B15" s="2">
        <v>37</v>
      </c>
      <c r="C15" s="2" t="s">
        <v>147</v>
      </c>
      <c r="D15" s="3">
        <v>1</v>
      </c>
      <c r="E15" s="1">
        <v>2</v>
      </c>
      <c r="F15" t="s">
        <v>1666</v>
      </c>
      <c r="G15" t="s">
        <v>1667</v>
      </c>
      <c r="H15" t="s">
        <v>1641</v>
      </c>
      <c r="I15" s="1" t="s">
        <v>273</v>
      </c>
      <c r="J15" t="s">
        <v>2100</v>
      </c>
      <c r="K15" s="25">
        <f>Tabelle5225[[#This Row],[value_present]]*Tabelle5225[[#This Row],[binding_level]]</f>
        <v>2</v>
      </c>
    </row>
    <row r="16" spans="1:22" x14ac:dyDescent="0.25">
      <c r="A16" s="24">
        <v>7</v>
      </c>
      <c r="B16" s="2">
        <v>37</v>
      </c>
      <c r="C16" s="2" t="s">
        <v>154</v>
      </c>
      <c r="D16" s="3">
        <v>0</v>
      </c>
      <c r="E16" s="1"/>
      <c r="H16" t="s">
        <v>2095</v>
      </c>
      <c r="I16" s="1" t="s">
        <v>1458</v>
      </c>
      <c r="J16" t="s">
        <v>2101</v>
      </c>
      <c r="K16" s="25">
        <f>Tabelle5225[[#This Row],[value_present]]*Tabelle5225[[#This Row],[binding_level]]</f>
        <v>0</v>
      </c>
    </row>
    <row r="17" spans="1:11" x14ac:dyDescent="0.25">
      <c r="A17" s="24">
        <v>7</v>
      </c>
      <c r="B17" s="2">
        <v>37</v>
      </c>
      <c r="C17" s="2" t="s">
        <v>161</v>
      </c>
      <c r="D17" s="3">
        <v>0</v>
      </c>
      <c r="E17" s="1"/>
      <c r="H17" t="s">
        <v>2095</v>
      </c>
      <c r="I17" s="1" t="s">
        <v>1457</v>
      </c>
      <c r="J17" t="s">
        <v>2102</v>
      </c>
      <c r="K17" s="25">
        <f>Tabelle5225[[#This Row],[value_present]]*Tabelle5225[[#This Row],[binding_level]]</f>
        <v>0</v>
      </c>
    </row>
    <row r="18" spans="1:11" x14ac:dyDescent="0.25">
      <c r="A18" s="24">
        <v>7</v>
      </c>
      <c r="B18" s="2">
        <v>37</v>
      </c>
      <c r="C18" s="2" t="s">
        <v>166</v>
      </c>
      <c r="D18" s="3">
        <v>0</v>
      </c>
      <c r="E18" s="1"/>
      <c r="H18" t="s">
        <v>2095</v>
      </c>
      <c r="I18" s="1" t="s">
        <v>1457</v>
      </c>
      <c r="J18" t="s">
        <v>2103</v>
      </c>
      <c r="K18" s="25">
        <f>Tabelle5225[[#This Row],[value_present]]*Tabelle5225[[#This Row],[binding_level]]</f>
        <v>0</v>
      </c>
    </row>
    <row r="19" spans="1:11" ht="15.75" thickBot="1" x14ac:dyDescent="0.3">
      <c r="A19" s="26">
        <v>7</v>
      </c>
      <c r="B19" s="27">
        <v>37</v>
      </c>
      <c r="C19" s="27" t="s">
        <v>174</v>
      </c>
      <c r="D19" s="28">
        <v>1</v>
      </c>
      <c r="E19" s="29">
        <v>1</v>
      </c>
      <c r="F19" s="30" t="s">
        <v>1670</v>
      </c>
      <c r="G19" s="30" t="s">
        <v>1671</v>
      </c>
      <c r="H19" s="30" t="s">
        <v>1642</v>
      </c>
      <c r="I19" s="29" t="s">
        <v>1458</v>
      </c>
      <c r="J19" s="30" t="s">
        <v>2104</v>
      </c>
      <c r="K19" s="31">
        <f>Tabelle5225[[#This Row],[value_present]]*Tabelle5225[[#This Row],[binding_level]]</f>
        <v>1</v>
      </c>
    </row>
    <row r="20" spans="1:11" x14ac:dyDescent="0.25">
      <c r="A20" s="18">
        <v>15</v>
      </c>
      <c r="B20" s="19">
        <v>86</v>
      </c>
      <c r="C20" s="19" t="s">
        <v>53</v>
      </c>
      <c r="D20" s="20">
        <v>1</v>
      </c>
      <c r="E20" s="21">
        <v>3</v>
      </c>
      <c r="F20" t="s">
        <v>1806</v>
      </c>
      <c r="G20" s="22" t="s">
        <v>1807</v>
      </c>
      <c r="H20" s="22" t="s">
        <v>1793</v>
      </c>
      <c r="I20" s="21" t="s">
        <v>272</v>
      </c>
      <c r="J20" s="22" t="s">
        <v>2111</v>
      </c>
      <c r="K20" s="23">
        <f>Tabelle5225[[#This Row],[value_present]]*Tabelle5225[[#This Row],[binding_level]]</f>
        <v>3</v>
      </c>
    </row>
    <row r="21" spans="1:11" x14ac:dyDescent="0.25">
      <c r="A21" s="24">
        <v>15</v>
      </c>
      <c r="B21" s="2">
        <v>86</v>
      </c>
      <c r="C21" s="2" t="s">
        <v>61</v>
      </c>
      <c r="D21" s="3">
        <v>1</v>
      </c>
      <c r="E21" s="1">
        <v>2</v>
      </c>
      <c r="F21" t="s">
        <v>1808</v>
      </c>
      <c r="G21" t="s">
        <v>1809</v>
      </c>
      <c r="H21" t="s">
        <v>1794</v>
      </c>
      <c r="I21" s="1" t="s">
        <v>1457</v>
      </c>
      <c r="J21" t="s">
        <v>2112</v>
      </c>
      <c r="K21" s="25">
        <f>Tabelle5225[[#This Row],[value_present]]*Tabelle5225[[#This Row],[binding_level]]</f>
        <v>2</v>
      </c>
    </row>
    <row r="22" spans="1:11" x14ac:dyDescent="0.25">
      <c r="A22" s="24">
        <v>15</v>
      </c>
      <c r="B22" s="2">
        <v>86</v>
      </c>
      <c r="C22" s="2" t="s">
        <v>69</v>
      </c>
      <c r="D22" s="3">
        <v>1</v>
      </c>
      <c r="E22" s="1">
        <v>2</v>
      </c>
      <c r="F22" t="s">
        <v>1810</v>
      </c>
      <c r="G22" t="s">
        <v>1811</v>
      </c>
      <c r="H22" t="s">
        <v>1795</v>
      </c>
      <c r="I22" s="1" t="s">
        <v>1457</v>
      </c>
      <c r="J22" t="s">
        <v>2113</v>
      </c>
      <c r="K22" s="25">
        <f>Tabelle5225[[#This Row],[value_present]]*Tabelle5225[[#This Row],[binding_level]]</f>
        <v>2</v>
      </c>
    </row>
    <row r="23" spans="1:11" x14ac:dyDescent="0.25">
      <c r="A23" s="24">
        <v>15</v>
      </c>
      <c r="B23" s="2">
        <v>86</v>
      </c>
      <c r="C23" s="2" t="s">
        <v>76</v>
      </c>
      <c r="D23" s="3">
        <v>1</v>
      </c>
      <c r="E23" s="1">
        <v>1</v>
      </c>
      <c r="F23" t="s">
        <v>1812</v>
      </c>
      <c r="G23" t="s">
        <v>1813</v>
      </c>
      <c r="H23" t="s">
        <v>1796</v>
      </c>
      <c r="I23" s="1" t="s">
        <v>272</v>
      </c>
      <c r="J23" t="s">
        <v>2114</v>
      </c>
      <c r="K23" s="25">
        <f>Tabelle5225[[#This Row],[value_present]]*Tabelle5225[[#This Row],[binding_level]]</f>
        <v>1</v>
      </c>
    </row>
    <row r="24" spans="1:11" x14ac:dyDescent="0.25">
      <c r="A24" s="24">
        <v>15</v>
      </c>
      <c r="B24" s="2">
        <v>86</v>
      </c>
      <c r="C24" s="2" t="s">
        <v>83</v>
      </c>
      <c r="D24" s="3">
        <v>1</v>
      </c>
      <c r="E24" s="1">
        <v>3</v>
      </c>
      <c r="F24" t="s">
        <v>1814</v>
      </c>
      <c r="G24" t="s">
        <v>1816</v>
      </c>
      <c r="H24" t="s">
        <v>1797</v>
      </c>
      <c r="I24" s="1" t="s">
        <v>272</v>
      </c>
      <c r="J24" t="s">
        <v>2115</v>
      </c>
      <c r="K24" s="25">
        <f>Tabelle5225[[#This Row],[value_present]]*Tabelle5225[[#This Row],[binding_level]]</f>
        <v>3</v>
      </c>
    </row>
    <row r="25" spans="1:11" x14ac:dyDescent="0.25">
      <c r="A25" s="24">
        <v>15</v>
      </c>
      <c r="B25" s="2">
        <v>86</v>
      </c>
      <c r="C25" s="2" t="s">
        <v>90</v>
      </c>
      <c r="D25" s="3">
        <v>1</v>
      </c>
      <c r="E25" s="1">
        <v>2</v>
      </c>
      <c r="F25" t="s">
        <v>1817</v>
      </c>
      <c r="G25" t="s">
        <v>1818</v>
      </c>
      <c r="H25" t="s">
        <v>1798</v>
      </c>
      <c r="I25" s="1" t="s">
        <v>1457</v>
      </c>
      <c r="J25" t="s">
        <v>2116</v>
      </c>
      <c r="K25" s="25">
        <f>Tabelle5225[[#This Row],[value_present]]*Tabelle5225[[#This Row],[binding_level]]</f>
        <v>2</v>
      </c>
    </row>
    <row r="26" spans="1:11" x14ac:dyDescent="0.25">
      <c r="A26" s="24">
        <v>15</v>
      </c>
      <c r="B26" s="2">
        <v>86</v>
      </c>
      <c r="C26" s="2" t="s">
        <v>98</v>
      </c>
      <c r="D26" s="3">
        <v>1</v>
      </c>
      <c r="E26" s="1">
        <v>2</v>
      </c>
      <c r="F26" t="s">
        <v>1819</v>
      </c>
      <c r="G26" t="s">
        <v>1820</v>
      </c>
      <c r="H26" t="s">
        <v>1799</v>
      </c>
      <c r="I26" s="1" t="s">
        <v>1457</v>
      </c>
      <c r="J26" t="s">
        <v>2117</v>
      </c>
      <c r="K26" s="25">
        <f>Tabelle5225[[#This Row],[value_present]]*Tabelle5225[[#This Row],[binding_level]]</f>
        <v>2</v>
      </c>
    </row>
    <row r="27" spans="1:11" x14ac:dyDescent="0.25">
      <c r="A27" s="24">
        <v>15</v>
      </c>
      <c r="B27" s="2">
        <v>86</v>
      </c>
      <c r="C27" s="2" t="s">
        <v>106</v>
      </c>
      <c r="D27" s="3">
        <v>1</v>
      </c>
      <c r="E27" s="1">
        <v>3</v>
      </c>
      <c r="F27" t="s">
        <v>1821</v>
      </c>
      <c r="G27" t="s">
        <v>1822</v>
      </c>
      <c r="H27" t="s">
        <v>1800</v>
      </c>
      <c r="I27" s="1" t="s">
        <v>272</v>
      </c>
      <c r="J27" t="s">
        <v>2118</v>
      </c>
      <c r="K27" s="25">
        <f>Tabelle5225[[#This Row],[value_present]]*Tabelle5225[[#This Row],[binding_level]]</f>
        <v>3</v>
      </c>
    </row>
    <row r="28" spans="1:11" x14ac:dyDescent="0.25">
      <c r="A28" s="24">
        <v>15</v>
      </c>
      <c r="B28" s="2">
        <v>86</v>
      </c>
      <c r="C28" s="2" t="s">
        <v>112</v>
      </c>
      <c r="D28" s="3">
        <v>1</v>
      </c>
      <c r="E28" s="1">
        <v>2</v>
      </c>
      <c r="F28" t="s">
        <v>1823</v>
      </c>
      <c r="G28" t="s">
        <v>1824</v>
      </c>
      <c r="H28" t="s">
        <v>1801</v>
      </c>
      <c r="I28" s="1" t="s">
        <v>272</v>
      </c>
      <c r="J28" t="s">
        <v>2119</v>
      </c>
      <c r="K28" s="25">
        <f>Tabelle5225[[#This Row],[value_present]]*Tabelle5225[[#This Row],[binding_level]]</f>
        <v>2</v>
      </c>
    </row>
    <row r="29" spans="1:11" x14ac:dyDescent="0.25">
      <c r="A29" s="24">
        <v>15</v>
      </c>
      <c r="B29" s="2">
        <v>86</v>
      </c>
      <c r="C29" s="2" t="s">
        <v>118</v>
      </c>
      <c r="D29" s="3">
        <v>0</v>
      </c>
      <c r="E29" s="1"/>
      <c r="I29" s="1" t="s">
        <v>1457</v>
      </c>
      <c r="J29" t="s">
        <v>2120</v>
      </c>
      <c r="K29" s="25">
        <f>Tabelle5225[[#This Row],[value_present]]*Tabelle5225[[#This Row],[binding_level]]</f>
        <v>0</v>
      </c>
    </row>
    <row r="30" spans="1:11" x14ac:dyDescent="0.25">
      <c r="A30" s="24">
        <v>15</v>
      </c>
      <c r="B30" s="2">
        <v>86</v>
      </c>
      <c r="C30" s="2" t="s">
        <v>125</v>
      </c>
      <c r="D30" s="3">
        <v>0</v>
      </c>
      <c r="E30" s="1"/>
      <c r="I30" s="1" t="s">
        <v>1457</v>
      </c>
      <c r="J30" t="s">
        <v>2121</v>
      </c>
      <c r="K30" s="25">
        <f>Tabelle5225[[#This Row],[value_present]]*Tabelle5225[[#This Row],[binding_level]]</f>
        <v>0</v>
      </c>
    </row>
    <row r="31" spans="1:11" x14ac:dyDescent="0.25">
      <c r="A31" s="24">
        <v>15</v>
      </c>
      <c r="B31" s="2">
        <v>86</v>
      </c>
      <c r="C31" s="2" t="s">
        <v>132</v>
      </c>
      <c r="D31" s="3">
        <v>0</v>
      </c>
      <c r="E31" s="1"/>
      <c r="I31" s="1" t="s">
        <v>1457</v>
      </c>
      <c r="J31" t="s">
        <v>2122</v>
      </c>
      <c r="K31" s="25">
        <f>Tabelle5225[[#This Row],[value_present]]*Tabelle5225[[#This Row],[binding_level]]</f>
        <v>0</v>
      </c>
    </row>
    <row r="32" spans="1:11" x14ac:dyDescent="0.25">
      <c r="A32" s="24">
        <v>15</v>
      </c>
      <c r="B32" s="2">
        <v>86</v>
      </c>
      <c r="C32" s="2" t="s">
        <v>140</v>
      </c>
      <c r="D32" s="3">
        <v>1</v>
      </c>
      <c r="E32" s="1">
        <v>1</v>
      </c>
      <c r="F32" t="s">
        <v>1825</v>
      </c>
      <c r="G32" t="s">
        <v>1826</v>
      </c>
      <c r="H32" t="s">
        <v>1802</v>
      </c>
      <c r="I32" s="1" t="s">
        <v>272</v>
      </c>
      <c r="J32" t="s">
        <v>2123</v>
      </c>
      <c r="K32" s="25">
        <f>Tabelle5225[[#This Row],[value_present]]*Tabelle5225[[#This Row],[binding_level]]</f>
        <v>1</v>
      </c>
    </row>
    <row r="33" spans="1:11" x14ac:dyDescent="0.25">
      <c r="A33" s="24">
        <v>15</v>
      </c>
      <c r="B33" s="2">
        <v>86</v>
      </c>
      <c r="C33" s="2" t="s">
        <v>147</v>
      </c>
      <c r="D33" s="3">
        <v>1</v>
      </c>
      <c r="E33" s="1">
        <v>2</v>
      </c>
      <c r="F33" t="s">
        <v>1827</v>
      </c>
      <c r="G33" t="s">
        <v>1828</v>
      </c>
      <c r="H33" t="s">
        <v>1803</v>
      </c>
      <c r="I33" s="1" t="s">
        <v>1457</v>
      </c>
      <c r="J33" t="s">
        <v>2124</v>
      </c>
      <c r="K33" s="25">
        <f>Tabelle5225[[#This Row],[value_present]]*Tabelle5225[[#This Row],[binding_level]]</f>
        <v>2</v>
      </c>
    </row>
    <row r="34" spans="1:11" x14ac:dyDescent="0.25">
      <c r="A34" s="24">
        <v>15</v>
      </c>
      <c r="B34" s="2">
        <v>86</v>
      </c>
      <c r="C34" s="2" t="s">
        <v>154</v>
      </c>
      <c r="D34" s="3">
        <v>0</v>
      </c>
      <c r="E34" s="1"/>
      <c r="I34" s="1" t="s">
        <v>1457</v>
      </c>
      <c r="J34" t="s">
        <v>2125</v>
      </c>
      <c r="K34" s="25">
        <f>Tabelle5225[[#This Row],[value_present]]*Tabelle5225[[#This Row],[binding_level]]</f>
        <v>0</v>
      </c>
    </row>
    <row r="35" spans="1:11" x14ac:dyDescent="0.25">
      <c r="A35" s="24">
        <v>15</v>
      </c>
      <c r="B35" s="2">
        <v>86</v>
      </c>
      <c r="C35" s="2" t="s">
        <v>161</v>
      </c>
      <c r="D35" s="3">
        <v>1</v>
      </c>
      <c r="E35" s="1">
        <v>3</v>
      </c>
      <c r="F35" t="s">
        <v>1831</v>
      </c>
      <c r="G35" t="s">
        <v>1832</v>
      </c>
      <c r="H35" t="s">
        <v>1805</v>
      </c>
      <c r="I35" s="1" t="s">
        <v>1458</v>
      </c>
      <c r="J35" t="s">
        <v>2126</v>
      </c>
      <c r="K35" s="25">
        <f>Tabelle5225[[#This Row],[value_present]]*Tabelle5225[[#This Row],[binding_level]]</f>
        <v>3</v>
      </c>
    </row>
    <row r="36" spans="1:11" x14ac:dyDescent="0.25">
      <c r="A36" s="24">
        <v>15</v>
      </c>
      <c r="B36" s="2">
        <v>86</v>
      </c>
      <c r="C36" s="2" t="s">
        <v>166</v>
      </c>
      <c r="D36" s="3">
        <v>0</v>
      </c>
      <c r="E36" s="1"/>
      <c r="I36" s="1" t="s">
        <v>1457</v>
      </c>
      <c r="J36" t="s">
        <v>2127</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1457</v>
      </c>
      <c r="J37" s="30" t="s">
        <v>2128</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sheetPr>
    <tabColor theme="0" tint="-0.499984740745262"/>
  </sheetPr>
  <dimension ref="A1:K210"/>
  <sheetViews>
    <sheetView workbookViewId="0">
      <selection activeCell="T66" sqref="T66"/>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1406</v>
      </c>
      <c r="G2" s="19" t="s">
        <v>1404</v>
      </c>
      <c r="H2" s="22" t="s">
        <v>1407</v>
      </c>
      <c r="I2" s="21" t="s">
        <v>272</v>
      </c>
      <c r="J2" s="32"/>
    </row>
    <row r="3" spans="1:10" x14ac:dyDescent="0.25">
      <c r="A3" s="24">
        <v>3</v>
      </c>
      <c r="B3" s="2">
        <v>16</v>
      </c>
      <c r="C3" s="2" t="s">
        <v>192</v>
      </c>
      <c r="D3" s="2"/>
      <c r="E3" s="3">
        <v>1</v>
      </c>
      <c r="F3" t="s">
        <v>1408</v>
      </c>
      <c r="G3" s="2" t="s">
        <v>1409</v>
      </c>
      <c r="H3" t="s">
        <v>1410</v>
      </c>
      <c r="I3" s="1" t="s">
        <v>273</v>
      </c>
      <c r="J3" s="33"/>
    </row>
    <row r="4" spans="1:10" x14ac:dyDescent="0.25">
      <c r="A4" s="24">
        <v>3</v>
      </c>
      <c r="B4" s="2">
        <v>16</v>
      </c>
      <c r="C4" s="2" t="s">
        <v>198</v>
      </c>
      <c r="D4" s="2"/>
      <c r="E4" s="3">
        <v>2</v>
      </c>
      <c r="F4" t="s">
        <v>1412</v>
      </c>
      <c r="G4" s="2" t="s">
        <v>1388</v>
      </c>
      <c r="H4" t="s">
        <v>1411</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1413</v>
      </c>
      <c r="G6" s="2" t="s">
        <v>1405</v>
      </c>
      <c r="H6" t="s">
        <v>1414</v>
      </c>
      <c r="I6" s="1" t="s">
        <v>273</v>
      </c>
      <c r="J6" s="33"/>
    </row>
    <row r="7" spans="1:10" x14ac:dyDescent="0.25">
      <c r="A7" s="24">
        <v>3</v>
      </c>
      <c r="B7" s="2">
        <v>16</v>
      </c>
      <c r="C7" s="2" t="s">
        <v>215</v>
      </c>
      <c r="D7" s="2"/>
      <c r="E7" s="3">
        <v>2</v>
      </c>
      <c r="F7" t="s">
        <v>1416</v>
      </c>
      <c r="G7" s="2" t="s">
        <v>1405</v>
      </c>
      <c r="H7" t="s">
        <v>1415</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1500</v>
      </c>
      <c r="G9" s="19" t="s">
        <v>1498</v>
      </c>
      <c r="H9" s="22" t="s">
        <v>1495</v>
      </c>
      <c r="I9" s="21" t="s">
        <v>272</v>
      </c>
      <c r="J9" s="32"/>
    </row>
    <row r="10" spans="1:10" x14ac:dyDescent="0.25">
      <c r="A10" s="24">
        <v>4</v>
      </c>
      <c r="B10" s="2">
        <v>22</v>
      </c>
      <c r="C10" s="2" t="s">
        <v>192</v>
      </c>
      <c r="D10" s="2"/>
      <c r="E10" s="3">
        <v>1</v>
      </c>
      <c r="F10" t="s">
        <v>1501</v>
      </c>
      <c r="G10" s="2" t="s">
        <v>1499</v>
      </c>
      <c r="H10" t="s">
        <v>1496</v>
      </c>
      <c r="I10" s="1" t="s">
        <v>272</v>
      </c>
      <c r="J10" s="33"/>
    </row>
    <row r="11" spans="1:10" x14ac:dyDescent="0.25">
      <c r="A11" s="24">
        <v>4</v>
      </c>
      <c r="B11" s="2">
        <v>22</v>
      </c>
      <c r="C11" s="2" t="s">
        <v>198</v>
      </c>
      <c r="D11" s="2"/>
      <c r="E11" s="3">
        <v>1</v>
      </c>
      <c r="F11" t="s">
        <v>1501</v>
      </c>
      <c r="G11" s="2" t="s">
        <v>1499</v>
      </c>
      <c r="H11" t="s">
        <v>1497</v>
      </c>
      <c r="I11" s="1" t="s">
        <v>272</v>
      </c>
      <c r="J11" s="33"/>
    </row>
    <row r="12" spans="1:10" x14ac:dyDescent="0.25">
      <c r="A12" s="24">
        <v>4</v>
      </c>
      <c r="B12" s="2">
        <v>22</v>
      </c>
      <c r="C12" s="2" t="s">
        <v>204</v>
      </c>
      <c r="D12" s="2"/>
      <c r="E12" s="3">
        <v>0</v>
      </c>
      <c r="G12" s="2"/>
      <c r="I12" s="1" t="s">
        <v>272</v>
      </c>
      <c r="J12" s="33" t="s">
        <v>1391</v>
      </c>
    </row>
    <row r="13" spans="1:10" x14ac:dyDescent="0.25">
      <c r="A13" s="24">
        <v>4</v>
      </c>
      <c r="B13" s="2">
        <v>22</v>
      </c>
      <c r="C13" s="2" t="s">
        <v>210</v>
      </c>
      <c r="D13" s="2"/>
      <c r="E13" s="3">
        <v>0</v>
      </c>
      <c r="G13" s="2"/>
      <c r="I13" s="1" t="s">
        <v>272</v>
      </c>
      <c r="J13" s="33" t="s">
        <v>1391</v>
      </c>
    </row>
    <row r="14" spans="1:10" x14ac:dyDescent="0.25">
      <c r="A14" s="24">
        <v>4</v>
      </c>
      <c r="B14" s="2">
        <v>22</v>
      </c>
      <c r="C14" s="2" t="s">
        <v>215</v>
      </c>
      <c r="D14" s="2"/>
      <c r="E14" s="3">
        <v>0</v>
      </c>
      <c r="G14" s="2"/>
      <c r="I14" s="1" t="s">
        <v>272</v>
      </c>
      <c r="J14" s="33" t="s">
        <v>1391</v>
      </c>
    </row>
    <row r="15" spans="1:10" ht="15.75" thickBot="1" x14ac:dyDescent="0.3">
      <c r="A15" s="26">
        <v>4</v>
      </c>
      <c r="B15" s="27">
        <v>22</v>
      </c>
      <c r="C15" s="27" t="s">
        <v>221</v>
      </c>
      <c r="D15" s="27"/>
      <c r="E15" s="28">
        <v>0</v>
      </c>
      <c r="F15" s="30"/>
      <c r="G15" s="27"/>
      <c r="H15" s="30"/>
      <c r="I15" s="29" t="s">
        <v>272</v>
      </c>
      <c r="J15" s="34" t="s">
        <v>1391</v>
      </c>
    </row>
    <row r="16" spans="1:10" x14ac:dyDescent="0.25">
      <c r="A16" s="18">
        <v>5</v>
      </c>
      <c r="B16" s="19">
        <v>27</v>
      </c>
      <c r="C16" s="19" t="s">
        <v>186</v>
      </c>
      <c r="D16" s="19"/>
      <c r="E16" s="20">
        <v>1</v>
      </c>
      <c r="F16" t="s">
        <v>1534</v>
      </c>
      <c r="G16" s="19" t="s">
        <v>1559</v>
      </c>
      <c r="H16" s="22" t="s">
        <v>1555</v>
      </c>
      <c r="I16" s="21" t="s">
        <v>274</v>
      </c>
      <c r="J16" s="32"/>
    </row>
    <row r="17" spans="1:11" x14ac:dyDescent="0.25">
      <c r="A17" s="24">
        <v>5</v>
      </c>
      <c r="B17" s="2">
        <v>27</v>
      </c>
      <c r="C17" s="2" t="s">
        <v>192</v>
      </c>
      <c r="D17" s="2"/>
      <c r="E17" s="3">
        <v>1</v>
      </c>
      <c r="F17" t="s">
        <v>1560</v>
      </c>
      <c r="G17" s="2" t="s">
        <v>1550</v>
      </c>
      <c r="H17" t="s">
        <v>1556</v>
      </c>
      <c r="I17" s="1" t="s">
        <v>273</v>
      </c>
      <c r="J17" s="33"/>
    </row>
    <row r="18" spans="1:11" x14ac:dyDescent="0.25">
      <c r="A18" s="24">
        <v>5</v>
      </c>
      <c r="B18" s="2">
        <v>27</v>
      </c>
      <c r="C18" s="2" t="s">
        <v>198</v>
      </c>
      <c r="D18" s="2"/>
      <c r="E18" s="3">
        <v>2</v>
      </c>
      <c r="F18" t="s">
        <v>1561</v>
      </c>
      <c r="G18" s="2" t="s">
        <v>1550</v>
      </c>
      <c r="H18" t="s">
        <v>1557</v>
      </c>
      <c r="I18" s="1" t="s">
        <v>273</v>
      </c>
      <c r="J18" s="33"/>
    </row>
    <row r="19" spans="1:11" x14ac:dyDescent="0.25">
      <c r="A19" s="24">
        <v>5</v>
      </c>
      <c r="B19" s="2">
        <v>27</v>
      </c>
      <c r="C19" s="2" t="s">
        <v>204</v>
      </c>
      <c r="D19" s="2"/>
      <c r="E19" s="3">
        <v>1</v>
      </c>
      <c r="F19" t="s">
        <v>1533</v>
      </c>
      <c r="G19" s="2" t="s">
        <v>1550</v>
      </c>
      <c r="H19" t="s">
        <v>1558</v>
      </c>
      <c r="I19" s="1" t="s">
        <v>274</v>
      </c>
      <c r="J19" s="33"/>
    </row>
    <row r="20" spans="1:11" x14ac:dyDescent="0.25">
      <c r="A20" s="24">
        <v>5</v>
      </c>
      <c r="B20" s="2">
        <v>27</v>
      </c>
      <c r="C20" s="2" t="s">
        <v>210</v>
      </c>
      <c r="D20" s="2"/>
      <c r="E20" s="3">
        <v>0</v>
      </c>
      <c r="G20" s="2"/>
      <c r="I20" s="1" t="s">
        <v>272</v>
      </c>
      <c r="J20" s="33" t="s">
        <v>1391</v>
      </c>
    </row>
    <row r="21" spans="1:11" x14ac:dyDescent="0.25">
      <c r="A21" s="24">
        <v>5</v>
      </c>
      <c r="B21" s="2">
        <v>27</v>
      </c>
      <c r="C21" s="2" t="s">
        <v>215</v>
      </c>
      <c r="D21" s="2"/>
      <c r="E21" s="3">
        <v>0</v>
      </c>
      <c r="G21" s="2"/>
      <c r="I21" s="1" t="s">
        <v>272</v>
      </c>
      <c r="J21" s="33" t="s">
        <v>1391</v>
      </c>
    </row>
    <row r="22" spans="1:11" ht="15.75" thickBot="1" x14ac:dyDescent="0.3">
      <c r="A22" s="26">
        <v>5</v>
      </c>
      <c r="B22" s="27">
        <v>27</v>
      </c>
      <c r="C22" s="27" t="s">
        <v>221</v>
      </c>
      <c r="D22" s="27"/>
      <c r="E22" s="28">
        <v>0</v>
      </c>
      <c r="F22" s="30"/>
      <c r="G22" s="27"/>
      <c r="H22" s="30"/>
      <c r="I22" s="29" t="s">
        <v>272</v>
      </c>
      <c r="J22" s="34" t="s">
        <v>1391</v>
      </c>
    </row>
    <row r="23" spans="1:11" x14ac:dyDescent="0.25">
      <c r="A23" s="18">
        <v>6</v>
      </c>
      <c r="B23" s="19">
        <v>32</v>
      </c>
      <c r="C23" s="19" t="s">
        <v>186</v>
      </c>
      <c r="D23" s="19"/>
      <c r="E23" s="20">
        <v>0</v>
      </c>
      <c r="F23" s="22"/>
      <c r="G23" s="19"/>
      <c r="H23" s="22"/>
      <c r="I23" s="21" t="s">
        <v>1457</v>
      </c>
      <c r="J23" s="32" t="s">
        <v>1594</v>
      </c>
      <c r="K23" t="s">
        <v>1369</v>
      </c>
    </row>
    <row r="24" spans="1:11" x14ac:dyDescent="0.25">
      <c r="A24" s="24">
        <v>6</v>
      </c>
      <c r="B24" s="2">
        <v>32</v>
      </c>
      <c r="C24" s="2" t="s">
        <v>192</v>
      </c>
      <c r="D24" s="2"/>
      <c r="E24" s="3">
        <v>0</v>
      </c>
      <c r="G24" s="2"/>
      <c r="I24" s="1" t="s">
        <v>1457</v>
      </c>
      <c r="J24" s="33" t="s">
        <v>1595</v>
      </c>
    </row>
    <row r="25" spans="1:11" x14ac:dyDescent="0.25">
      <c r="A25" s="24">
        <v>6</v>
      </c>
      <c r="B25" s="2">
        <v>32</v>
      </c>
      <c r="C25" s="2" t="s">
        <v>198</v>
      </c>
      <c r="D25" s="2"/>
      <c r="E25" s="3">
        <v>0</v>
      </c>
      <c r="G25" s="2"/>
      <c r="I25" s="1" t="s">
        <v>1457</v>
      </c>
      <c r="J25" s="33" t="s">
        <v>1596</v>
      </c>
    </row>
    <row r="26" spans="1:11" x14ac:dyDescent="0.25">
      <c r="A26" s="24">
        <v>6</v>
      </c>
      <c r="B26" s="2">
        <v>32</v>
      </c>
      <c r="C26" s="2" t="s">
        <v>204</v>
      </c>
      <c r="D26" s="2"/>
      <c r="E26" s="3">
        <v>0</v>
      </c>
      <c r="G26" s="2"/>
      <c r="I26" s="1" t="s">
        <v>1457</v>
      </c>
      <c r="J26" s="33" t="s">
        <v>1597</v>
      </c>
    </row>
    <row r="27" spans="1:11" x14ac:dyDescent="0.25">
      <c r="A27" s="24">
        <v>6</v>
      </c>
      <c r="B27" s="2">
        <v>32</v>
      </c>
      <c r="C27" s="2" t="s">
        <v>210</v>
      </c>
      <c r="D27" s="2"/>
      <c r="E27" s="3">
        <v>0</v>
      </c>
      <c r="G27" s="2"/>
      <c r="I27" s="1" t="s">
        <v>1457</v>
      </c>
      <c r="J27" s="33" t="s">
        <v>1598</v>
      </c>
    </row>
    <row r="28" spans="1:11" x14ac:dyDescent="0.25">
      <c r="A28" s="24">
        <v>6</v>
      </c>
      <c r="B28" s="2">
        <v>32</v>
      </c>
      <c r="C28" s="2" t="s">
        <v>215</v>
      </c>
      <c r="D28" s="2"/>
      <c r="E28" s="3">
        <v>0</v>
      </c>
      <c r="G28" s="2"/>
      <c r="I28" s="1" t="s">
        <v>1457</v>
      </c>
      <c r="J28" s="33" t="s">
        <v>1599</v>
      </c>
    </row>
    <row r="29" spans="1:11" ht="15.75" thickBot="1" x14ac:dyDescent="0.3">
      <c r="A29" s="26">
        <v>6</v>
      </c>
      <c r="B29" s="27">
        <v>32</v>
      </c>
      <c r="C29" s="27" t="s">
        <v>221</v>
      </c>
      <c r="D29" s="27"/>
      <c r="E29" s="28">
        <v>0</v>
      </c>
      <c r="F29" s="30"/>
      <c r="G29" s="27"/>
      <c r="H29" s="30"/>
      <c r="I29" s="29" t="s">
        <v>1457</v>
      </c>
      <c r="J29" s="34" t="s">
        <v>1600</v>
      </c>
    </row>
    <row r="30" spans="1:11" x14ac:dyDescent="0.25">
      <c r="A30" s="18">
        <v>7</v>
      </c>
      <c r="B30" s="19">
        <v>37</v>
      </c>
      <c r="C30" s="19" t="s">
        <v>186</v>
      </c>
      <c r="D30" s="19"/>
      <c r="E30" s="20">
        <v>2</v>
      </c>
      <c r="F30" s="22" t="s">
        <v>1682</v>
      </c>
      <c r="G30" s="19" t="s">
        <v>1677</v>
      </c>
      <c r="H30" s="22" t="s">
        <v>1672</v>
      </c>
      <c r="I30" s="21" t="s">
        <v>1458</v>
      </c>
      <c r="J30" s="32"/>
    </row>
    <row r="31" spans="1:11" x14ac:dyDescent="0.25">
      <c r="A31" s="24">
        <v>7</v>
      </c>
      <c r="B31" s="2">
        <v>37</v>
      </c>
      <c r="C31" s="2" t="s">
        <v>192</v>
      </c>
      <c r="D31" s="2"/>
      <c r="E31" s="3">
        <v>1</v>
      </c>
      <c r="F31" t="s">
        <v>1683</v>
      </c>
      <c r="G31" s="2" t="s">
        <v>1678</v>
      </c>
      <c r="H31" t="s">
        <v>1673</v>
      </c>
      <c r="I31" s="1" t="s">
        <v>1458</v>
      </c>
      <c r="J31" s="33"/>
    </row>
    <row r="32" spans="1:11" x14ac:dyDescent="0.25">
      <c r="A32" s="24">
        <v>7</v>
      </c>
      <c r="B32" s="2">
        <v>37</v>
      </c>
      <c r="C32" s="2" t="s">
        <v>198</v>
      </c>
      <c r="D32" s="2"/>
      <c r="E32" s="3">
        <v>2</v>
      </c>
      <c r="F32" t="s">
        <v>1684</v>
      </c>
      <c r="G32" s="2" t="s">
        <v>1679</v>
      </c>
      <c r="H32" t="s">
        <v>1674</v>
      </c>
      <c r="I32" s="1" t="s">
        <v>1458</v>
      </c>
      <c r="J32" s="33"/>
    </row>
    <row r="33" spans="1:10" x14ac:dyDescent="0.25">
      <c r="A33" s="24">
        <v>7</v>
      </c>
      <c r="B33" s="2">
        <v>37</v>
      </c>
      <c r="C33" s="2" t="s">
        <v>204</v>
      </c>
      <c r="D33" s="2"/>
      <c r="E33" s="3">
        <v>0</v>
      </c>
      <c r="G33" s="2"/>
      <c r="I33" s="1" t="s">
        <v>1457</v>
      </c>
      <c r="J33" s="33" t="s">
        <v>1391</v>
      </c>
    </row>
    <row r="34" spans="1:10" x14ac:dyDescent="0.25">
      <c r="A34" s="24">
        <v>7</v>
      </c>
      <c r="B34" s="2">
        <v>37</v>
      </c>
      <c r="C34" s="2" t="s">
        <v>210</v>
      </c>
      <c r="D34" s="2"/>
      <c r="E34" s="3">
        <v>1</v>
      </c>
      <c r="F34" t="s">
        <v>1685</v>
      </c>
      <c r="G34" s="2" t="s">
        <v>1680</v>
      </c>
      <c r="H34" t="s">
        <v>1675</v>
      </c>
      <c r="I34" s="1" t="s">
        <v>1542</v>
      </c>
      <c r="J34" s="33"/>
    </row>
    <row r="35" spans="1:10" x14ac:dyDescent="0.25">
      <c r="A35" s="24">
        <v>7</v>
      </c>
      <c r="B35" s="2">
        <v>37</v>
      </c>
      <c r="C35" s="2" t="s">
        <v>215</v>
      </c>
      <c r="D35" s="2"/>
      <c r="E35" s="3">
        <v>0</v>
      </c>
      <c r="G35" s="2"/>
      <c r="I35" s="1" t="s">
        <v>1457</v>
      </c>
      <c r="J35" s="33" t="s">
        <v>1391</v>
      </c>
    </row>
    <row r="36" spans="1:10" ht="15.75" thickBot="1" x14ac:dyDescent="0.3">
      <c r="A36" s="26">
        <v>7</v>
      </c>
      <c r="B36" s="27">
        <v>37</v>
      </c>
      <c r="C36" s="27" t="s">
        <v>221</v>
      </c>
      <c r="D36" s="27"/>
      <c r="E36" s="28">
        <v>1</v>
      </c>
      <c r="F36" s="30" t="s">
        <v>1647</v>
      </c>
      <c r="G36" s="27" t="s">
        <v>1681</v>
      </c>
      <c r="H36" s="30" t="s">
        <v>1676</v>
      </c>
      <c r="I36" s="29" t="s">
        <v>1458</v>
      </c>
      <c r="J36" s="33"/>
    </row>
    <row r="37" spans="1:10" x14ac:dyDescent="0.25">
      <c r="A37" s="18">
        <v>12</v>
      </c>
      <c r="B37" s="19">
        <v>62</v>
      </c>
      <c r="C37" s="19" t="s">
        <v>186</v>
      </c>
      <c r="D37" s="19"/>
      <c r="E37" s="20">
        <v>0</v>
      </c>
      <c r="F37" s="22"/>
      <c r="G37" s="19"/>
      <c r="H37" s="22"/>
      <c r="I37" s="21" t="s">
        <v>1457</v>
      </c>
      <c r="J37" s="32" t="s">
        <v>1391</v>
      </c>
    </row>
    <row r="38" spans="1:10" x14ac:dyDescent="0.25">
      <c r="A38" s="24">
        <v>12</v>
      </c>
      <c r="B38" s="2">
        <v>62</v>
      </c>
      <c r="C38" s="2" t="s">
        <v>192</v>
      </c>
      <c r="D38" s="2"/>
      <c r="E38" s="3">
        <v>0</v>
      </c>
      <c r="G38" s="2"/>
      <c r="I38" s="1" t="s">
        <v>1457</v>
      </c>
      <c r="J38" s="33" t="s">
        <v>1391</v>
      </c>
    </row>
    <row r="39" spans="1:10" x14ac:dyDescent="0.25">
      <c r="A39" s="24">
        <v>12</v>
      </c>
      <c r="B39" s="2">
        <v>62</v>
      </c>
      <c r="C39" s="2" t="s">
        <v>198</v>
      </c>
      <c r="D39" s="2"/>
      <c r="E39" s="3">
        <v>1</v>
      </c>
      <c r="F39" t="s">
        <v>1757</v>
      </c>
      <c r="G39" s="2" t="s">
        <v>1722</v>
      </c>
      <c r="H39" t="s">
        <v>1754</v>
      </c>
      <c r="I39" s="1" t="s">
        <v>1458</v>
      </c>
      <c r="J39" s="33"/>
    </row>
    <row r="40" spans="1:10" x14ac:dyDescent="0.25">
      <c r="A40" s="24">
        <v>12</v>
      </c>
      <c r="B40" s="2">
        <v>62</v>
      </c>
      <c r="C40" s="2" t="s">
        <v>204</v>
      </c>
      <c r="D40" s="2"/>
      <c r="E40" s="3">
        <v>0</v>
      </c>
      <c r="G40" s="2"/>
      <c r="I40" s="1" t="s">
        <v>1457</v>
      </c>
      <c r="J40" s="33" t="s">
        <v>1391</v>
      </c>
    </row>
    <row r="41" spans="1:10" x14ac:dyDescent="0.25">
      <c r="A41" s="24">
        <v>12</v>
      </c>
      <c r="B41" s="2">
        <v>62</v>
      </c>
      <c r="C41" s="2" t="s">
        <v>210</v>
      </c>
      <c r="D41" s="2"/>
      <c r="E41" s="3">
        <v>1</v>
      </c>
      <c r="F41" t="s">
        <v>1758</v>
      </c>
      <c r="G41" s="2" t="s">
        <v>1756</v>
      </c>
      <c r="H41" t="s">
        <v>1755</v>
      </c>
      <c r="I41" s="1" t="s">
        <v>1458</v>
      </c>
      <c r="J41" s="33"/>
    </row>
    <row r="42" spans="1:10" x14ac:dyDescent="0.25">
      <c r="A42" s="24">
        <v>12</v>
      </c>
      <c r="B42" s="2">
        <v>62</v>
      </c>
      <c r="C42" s="2" t="s">
        <v>215</v>
      </c>
      <c r="D42" s="2"/>
      <c r="E42" s="3">
        <v>0</v>
      </c>
      <c r="G42" s="2"/>
      <c r="I42" s="1" t="s">
        <v>1457</v>
      </c>
      <c r="J42" s="33" t="s">
        <v>1391</v>
      </c>
    </row>
    <row r="43" spans="1:10" ht="15.75" thickBot="1" x14ac:dyDescent="0.3">
      <c r="A43" s="26">
        <v>12</v>
      </c>
      <c r="B43" s="27">
        <v>62</v>
      </c>
      <c r="C43" s="27" t="s">
        <v>221</v>
      </c>
      <c r="D43" s="27"/>
      <c r="E43" s="28">
        <v>0</v>
      </c>
      <c r="F43" s="30"/>
      <c r="G43" s="27"/>
      <c r="H43" s="30"/>
      <c r="I43" s="29" t="s">
        <v>1457</v>
      </c>
      <c r="J43" s="34" t="s">
        <v>1391</v>
      </c>
    </row>
    <row r="44" spans="1:10" x14ac:dyDescent="0.25">
      <c r="A44" s="18">
        <v>15</v>
      </c>
      <c r="B44" s="19">
        <v>86</v>
      </c>
      <c r="C44" s="19" t="s">
        <v>186</v>
      </c>
      <c r="D44" s="19"/>
      <c r="E44" s="20">
        <v>2</v>
      </c>
      <c r="F44" s="22" t="s">
        <v>1843</v>
      </c>
      <c r="G44" s="19" t="s">
        <v>1838</v>
      </c>
      <c r="H44" s="22" t="s">
        <v>1833</v>
      </c>
      <c r="I44" s="21" t="s">
        <v>1458</v>
      </c>
      <c r="J44" s="32"/>
    </row>
    <row r="45" spans="1:10" x14ac:dyDescent="0.25">
      <c r="A45" s="24">
        <v>15</v>
      </c>
      <c r="B45" s="2">
        <v>86</v>
      </c>
      <c r="C45" s="2" t="s">
        <v>192</v>
      </c>
      <c r="D45" s="2"/>
      <c r="E45" s="3">
        <v>1</v>
      </c>
      <c r="F45" t="s">
        <v>1844</v>
      </c>
      <c r="G45" s="2" t="s">
        <v>1839</v>
      </c>
      <c r="H45" t="s">
        <v>1834</v>
      </c>
      <c r="I45" s="1" t="s">
        <v>1458</v>
      </c>
      <c r="J45" s="33"/>
    </row>
    <row r="46" spans="1:10" x14ac:dyDescent="0.25">
      <c r="A46" s="24">
        <v>15</v>
      </c>
      <c r="B46" s="2">
        <v>86</v>
      </c>
      <c r="C46" s="2" t="s">
        <v>198</v>
      </c>
      <c r="D46" s="2"/>
      <c r="E46" s="3">
        <v>2</v>
      </c>
      <c r="F46" t="s">
        <v>1845</v>
      </c>
      <c r="G46" s="2" t="s">
        <v>1840</v>
      </c>
      <c r="H46" t="s">
        <v>1835</v>
      </c>
      <c r="I46" s="1" t="s">
        <v>1458</v>
      </c>
      <c r="J46" s="33"/>
    </row>
    <row r="47" spans="1:10" x14ac:dyDescent="0.25">
      <c r="A47" s="24">
        <v>15</v>
      </c>
      <c r="B47" s="2">
        <v>86</v>
      </c>
      <c r="C47" s="2" t="s">
        <v>204</v>
      </c>
      <c r="D47" s="2"/>
      <c r="E47" s="3">
        <v>1</v>
      </c>
      <c r="F47" t="s">
        <v>1815</v>
      </c>
      <c r="G47" s="2" t="s">
        <v>1841</v>
      </c>
      <c r="H47" t="s">
        <v>1836</v>
      </c>
      <c r="I47" s="1" t="s">
        <v>1542</v>
      </c>
      <c r="J47" s="33"/>
    </row>
    <row r="48" spans="1:10" x14ac:dyDescent="0.25">
      <c r="A48" s="24">
        <v>15</v>
      </c>
      <c r="B48" s="2">
        <v>86</v>
      </c>
      <c r="C48" s="2" t="s">
        <v>210</v>
      </c>
      <c r="D48" s="2"/>
      <c r="E48" s="3">
        <v>1</v>
      </c>
      <c r="F48" t="s">
        <v>1846</v>
      </c>
      <c r="G48" s="2" t="s">
        <v>1842</v>
      </c>
      <c r="H48" t="s">
        <v>1837</v>
      </c>
      <c r="I48" s="1" t="s">
        <v>1458</v>
      </c>
      <c r="J48" s="33"/>
    </row>
    <row r="49" spans="1:10" x14ac:dyDescent="0.25">
      <c r="A49" s="24">
        <v>15</v>
      </c>
      <c r="B49" s="2">
        <v>86</v>
      </c>
      <c r="C49" s="2" t="s">
        <v>215</v>
      </c>
      <c r="D49" s="2"/>
      <c r="E49" s="3">
        <v>0</v>
      </c>
      <c r="G49" s="2"/>
      <c r="I49" s="1" t="s">
        <v>1457</v>
      </c>
      <c r="J49" s="33" t="s">
        <v>1391</v>
      </c>
    </row>
    <row r="50" spans="1:10" ht="15.75" thickBot="1" x14ac:dyDescent="0.3">
      <c r="A50" s="26">
        <v>15</v>
      </c>
      <c r="B50" s="27">
        <v>86</v>
      </c>
      <c r="C50" s="27" t="s">
        <v>221</v>
      </c>
      <c r="D50" s="27"/>
      <c r="E50" s="28">
        <v>0</v>
      </c>
      <c r="F50" s="30"/>
      <c r="G50" s="27"/>
      <c r="H50" s="30"/>
      <c r="I50" s="29" t="s">
        <v>1457</v>
      </c>
      <c r="J50" s="34" t="s">
        <v>1391</v>
      </c>
    </row>
    <row r="51" spans="1:10" x14ac:dyDescent="0.25">
      <c r="A51" s="18">
        <v>32</v>
      </c>
      <c r="B51" s="19">
        <v>188</v>
      </c>
      <c r="C51" s="19" t="s">
        <v>186</v>
      </c>
      <c r="D51" s="19"/>
      <c r="E51" s="20">
        <v>2</v>
      </c>
      <c r="F51" s="22" t="s">
        <v>1944</v>
      </c>
      <c r="G51" s="19" t="s">
        <v>1937</v>
      </c>
      <c r="H51" s="22" t="s">
        <v>1930</v>
      </c>
      <c r="I51" s="21" t="s">
        <v>272</v>
      </c>
      <c r="J51" s="32"/>
    </row>
    <row r="52" spans="1:10" x14ac:dyDescent="0.25">
      <c r="A52" s="24">
        <v>32</v>
      </c>
      <c r="B52" s="2">
        <v>188</v>
      </c>
      <c r="C52" s="2" t="s">
        <v>192</v>
      </c>
      <c r="D52" s="2"/>
      <c r="E52" s="3">
        <v>2</v>
      </c>
      <c r="F52" t="s">
        <v>1945</v>
      </c>
      <c r="G52" s="2" t="s">
        <v>1938</v>
      </c>
      <c r="H52" t="s">
        <v>1931</v>
      </c>
      <c r="I52" s="1" t="s">
        <v>272</v>
      </c>
      <c r="J52" s="33"/>
    </row>
    <row r="53" spans="1:10" x14ac:dyDescent="0.25">
      <c r="A53" s="24">
        <v>32</v>
      </c>
      <c r="B53" s="2">
        <v>188</v>
      </c>
      <c r="C53" s="2" t="s">
        <v>198</v>
      </c>
      <c r="D53" s="2"/>
      <c r="E53" s="3">
        <v>2</v>
      </c>
      <c r="F53" t="s">
        <v>1946</v>
      </c>
      <c r="G53" s="2" t="s">
        <v>1939</v>
      </c>
      <c r="H53" t="s">
        <v>1932</v>
      </c>
      <c r="I53" s="1" t="s">
        <v>273</v>
      </c>
      <c r="J53" s="33"/>
    </row>
    <row r="54" spans="1:10" x14ac:dyDescent="0.25">
      <c r="A54" s="24">
        <v>32</v>
      </c>
      <c r="B54" s="2">
        <v>188</v>
      </c>
      <c r="C54" s="2" t="s">
        <v>204</v>
      </c>
      <c r="D54" s="2"/>
      <c r="E54" s="3">
        <v>2</v>
      </c>
      <c r="F54" t="s">
        <v>1947</v>
      </c>
      <c r="G54" s="2" t="s">
        <v>1940</v>
      </c>
      <c r="H54" t="s">
        <v>1933</v>
      </c>
      <c r="I54" s="1" t="s">
        <v>273</v>
      </c>
      <c r="J54" s="33"/>
    </row>
    <row r="55" spans="1:10" x14ac:dyDescent="0.25">
      <c r="A55" s="24">
        <v>32</v>
      </c>
      <c r="B55" s="2">
        <v>188</v>
      </c>
      <c r="C55" s="2" t="s">
        <v>210</v>
      </c>
      <c r="D55" s="2"/>
      <c r="E55" s="3">
        <v>2</v>
      </c>
      <c r="F55" t="s">
        <v>1948</v>
      </c>
      <c r="G55" s="2" t="s">
        <v>1941</v>
      </c>
      <c r="H55" t="s">
        <v>1934</v>
      </c>
      <c r="I55" s="1" t="s">
        <v>272</v>
      </c>
      <c r="J55" s="33"/>
    </row>
    <row r="56" spans="1:10" x14ac:dyDescent="0.25">
      <c r="A56" s="24">
        <v>32</v>
      </c>
      <c r="B56" s="2">
        <v>188</v>
      </c>
      <c r="C56" s="2" t="s">
        <v>215</v>
      </c>
      <c r="D56" s="2"/>
      <c r="E56" s="3">
        <v>2</v>
      </c>
      <c r="F56" t="s">
        <v>1949</v>
      </c>
      <c r="G56" s="2" t="s">
        <v>1942</v>
      </c>
      <c r="H56" t="s">
        <v>1935</v>
      </c>
      <c r="I56" s="1" t="s">
        <v>272</v>
      </c>
      <c r="J56" s="33"/>
    </row>
    <row r="57" spans="1:10" ht="15.75" thickBot="1" x14ac:dyDescent="0.3">
      <c r="A57" s="26">
        <v>32</v>
      </c>
      <c r="B57" s="27">
        <v>188</v>
      </c>
      <c r="C57" s="27" t="s">
        <v>221</v>
      </c>
      <c r="D57" s="27"/>
      <c r="E57" s="28">
        <v>1</v>
      </c>
      <c r="F57" t="s">
        <v>1950</v>
      </c>
      <c r="G57" s="27" t="s">
        <v>1943</v>
      </c>
      <c r="H57" s="30" t="s">
        <v>1936</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sheetPr>
    <tabColor theme="0" tint="-0.499984740745262"/>
  </sheetPr>
  <dimension ref="A1:M168"/>
  <sheetViews>
    <sheetView workbookViewId="0">
      <selection activeCell="W28" sqref="W28"/>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1682</v>
      </c>
      <c r="G2" s="19" t="s">
        <v>1677</v>
      </c>
      <c r="H2" s="22" t="s">
        <v>2106</v>
      </c>
      <c r="I2" s="21" t="s">
        <v>1458</v>
      </c>
      <c r="J2" s="32"/>
    </row>
    <row r="3" spans="1:13" x14ac:dyDescent="0.25">
      <c r="A3" s="24">
        <v>7</v>
      </c>
      <c r="B3" s="2">
        <v>37</v>
      </c>
      <c r="C3" s="2" t="s">
        <v>192</v>
      </c>
      <c r="D3" s="2"/>
      <c r="E3" s="3">
        <v>1</v>
      </c>
      <c r="F3" t="s">
        <v>1683</v>
      </c>
      <c r="G3" s="2" t="s">
        <v>1678</v>
      </c>
      <c r="H3" t="s">
        <v>2107</v>
      </c>
      <c r="I3" s="1" t="s">
        <v>1458</v>
      </c>
      <c r="J3" s="33"/>
      <c r="M3" s="38" t="s">
        <v>2148</v>
      </c>
    </row>
    <row r="4" spans="1:13" x14ac:dyDescent="0.25">
      <c r="A4" s="24">
        <v>7</v>
      </c>
      <c r="B4" s="2">
        <v>37</v>
      </c>
      <c r="C4" s="2" t="s">
        <v>198</v>
      </c>
      <c r="D4" s="2"/>
      <c r="E4" s="3">
        <v>2</v>
      </c>
      <c r="F4" t="s">
        <v>1684</v>
      </c>
      <c r="G4" s="2" t="s">
        <v>1679</v>
      </c>
      <c r="H4" t="s">
        <v>2108</v>
      </c>
      <c r="I4" s="1" t="s">
        <v>1458</v>
      </c>
      <c r="J4" s="33"/>
      <c r="M4" t="s">
        <v>2149</v>
      </c>
    </row>
    <row r="5" spans="1:13" x14ac:dyDescent="0.25">
      <c r="A5" s="24">
        <v>7</v>
      </c>
      <c r="B5" s="2">
        <v>37</v>
      </c>
      <c r="C5" s="2" t="s">
        <v>204</v>
      </c>
      <c r="D5" s="2"/>
      <c r="E5" s="3">
        <v>0</v>
      </c>
      <c r="G5" s="2"/>
      <c r="I5" s="1" t="s">
        <v>1457</v>
      </c>
      <c r="J5" s="33" t="s">
        <v>1391</v>
      </c>
    </row>
    <row r="6" spans="1:13" x14ac:dyDescent="0.25">
      <c r="A6" s="24">
        <v>7</v>
      </c>
      <c r="B6" s="2">
        <v>37</v>
      </c>
      <c r="C6" s="2" t="s">
        <v>210</v>
      </c>
      <c r="D6" s="2"/>
      <c r="E6" s="3">
        <v>1</v>
      </c>
      <c r="F6" t="s">
        <v>1685</v>
      </c>
      <c r="G6" s="2" t="s">
        <v>1680</v>
      </c>
      <c r="H6" t="s">
        <v>2109</v>
      </c>
      <c r="I6" s="1" t="s">
        <v>1542</v>
      </c>
      <c r="J6" s="33"/>
    </row>
    <row r="7" spans="1:13" x14ac:dyDescent="0.25">
      <c r="A7" s="24">
        <v>7</v>
      </c>
      <c r="B7" s="2">
        <v>37</v>
      </c>
      <c r="C7" s="2" t="s">
        <v>215</v>
      </c>
      <c r="D7" s="2"/>
      <c r="E7" s="3">
        <v>0</v>
      </c>
      <c r="G7" s="2"/>
      <c r="I7" s="1" t="s">
        <v>1457</v>
      </c>
      <c r="J7" s="33" t="s">
        <v>1391</v>
      </c>
    </row>
    <row r="8" spans="1:13" ht="15.75" thickBot="1" x14ac:dyDescent="0.3">
      <c r="A8" s="26">
        <v>7</v>
      </c>
      <c r="B8" s="27">
        <v>37</v>
      </c>
      <c r="C8" s="27" t="s">
        <v>221</v>
      </c>
      <c r="D8" s="27"/>
      <c r="E8" s="28">
        <v>1</v>
      </c>
      <c r="F8" s="30" t="s">
        <v>1647</v>
      </c>
      <c r="G8" s="27" t="s">
        <v>1681</v>
      </c>
      <c r="H8" s="30" t="s">
        <v>2110</v>
      </c>
      <c r="I8" s="29" t="s">
        <v>1458</v>
      </c>
      <c r="J8" s="33"/>
    </row>
    <row r="9" spans="1:13" x14ac:dyDescent="0.25">
      <c r="A9" s="18">
        <v>15</v>
      </c>
      <c r="B9" s="19">
        <v>86</v>
      </c>
      <c r="C9" s="19" t="s">
        <v>186</v>
      </c>
      <c r="D9" s="19"/>
      <c r="E9" s="20">
        <v>2</v>
      </c>
      <c r="F9" s="22" t="s">
        <v>1843</v>
      </c>
      <c r="G9" s="19" t="s">
        <v>1838</v>
      </c>
      <c r="H9" s="22" t="s">
        <v>1833</v>
      </c>
      <c r="I9" s="21" t="s">
        <v>1458</v>
      </c>
      <c r="J9" s="32"/>
    </row>
    <row r="10" spans="1:13" x14ac:dyDescent="0.25">
      <c r="A10" s="24">
        <v>15</v>
      </c>
      <c r="B10" s="2">
        <v>86</v>
      </c>
      <c r="C10" s="2" t="s">
        <v>192</v>
      </c>
      <c r="D10" s="2"/>
      <c r="E10" s="3">
        <v>1</v>
      </c>
      <c r="F10" t="s">
        <v>1844</v>
      </c>
      <c r="G10" s="2" t="s">
        <v>1839</v>
      </c>
      <c r="H10" t="s">
        <v>1834</v>
      </c>
      <c r="I10" s="1" t="s">
        <v>1458</v>
      </c>
      <c r="J10" s="33"/>
    </row>
    <row r="11" spans="1:13" x14ac:dyDescent="0.25">
      <c r="A11" s="24">
        <v>15</v>
      </c>
      <c r="B11" s="2">
        <v>86</v>
      </c>
      <c r="C11" s="2" t="s">
        <v>198</v>
      </c>
      <c r="D11" s="2"/>
      <c r="E11" s="3">
        <v>2</v>
      </c>
      <c r="F11" t="s">
        <v>1845</v>
      </c>
      <c r="G11" s="2" t="s">
        <v>1840</v>
      </c>
      <c r="H11" t="s">
        <v>1835</v>
      </c>
      <c r="I11" s="1" t="s">
        <v>1458</v>
      </c>
      <c r="J11" s="33"/>
    </row>
    <row r="12" spans="1:13" x14ac:dyDescent="0.25">
      <c r="A12" s="24">
        <v>15</v>
      </c>
      <c r="B12" s="2">
        <v>86</v>
      </c>
      <c r="C12" s="2" t="s">
        <v>204</v>
      </c>
      <c r="D12" s="2"/>
      <c r="E12" s="3">
        <v>1</v>
      </c>
      <c r="F12" t="s">
        <v>1815</v>
      </c>
      <c r="G12" s="2" t="s">
        <v>1841</v>
      </c>
      <c r="H12" t="s">
        <v>1836</v>
      </c>
      <c r="I12" s="1" t="s">
        <v>1542</v>
      </c>
      <c r="J12" s="33"/>
    </row>
    <row r="13" spans="1:13" x14ac:dyDescent="0.25">
      <c r="A13" s="24">
        <v>15</v>
      </c>
      <c r="B13" s="2">
        <v>86</v>
      </c>
      <c r="C13" s="2" t="s">
        <v>210</v>
      </c>
      <c r="D13" s="2"/>
      <c r="E13" s="3">
        <v>1</v>
      </c>
      <c r="F13" t="s">
        <v>1846</v>
      </c>
      <c r="G13" s="2" t="s">
        <v>1842</v>
      </c>
      <c r="H13" t="s">
        <v>1837</v>
      </c>
      <c r="I13" s="1" t="s">
        <v>1458</v>
      </c>
      <c r="J13" s="33"/>
    </row>
    <row r="14" spans="1:13" x14ac:dyDescent="0.25">
      <c r="A14" s="24">
        <v>15</v>
      </c>
      <c r="B14" s="2">
        <v>86</v>
      </c>
      <c r="C14" s="2" t="s">
        <v>215</v>
      </c>
      <c r="D14" s="2"/>
      <c r="E14" s="3"/>
      <c r="G14" s="2"/>
      <c r="I14" s="1" t="s">
        <v>1457</v>
      </c>
      <c r="J14" s="33" t="s">
        <v>1391</v>
      </c>
    </row>
    <row r="15" spans="1:13" ht="15.75" thickBot="1" x14ac:dyDescent="0.3">
      <c r="A15" s="26">
        <v>15</v>
      </c>
      <c r="B15" s="27">
        <v>86</v>
      </c>
      <c r="C15" s="27" t="s">
        <v>221</v>
      </c>
      <c r="D15" s="27"/>
      <c r="E15" s="28"/>
      <c r="F15" s="30"/>
      <c r="G15" s="27"/>
      <c r="H15" s="30"/>
      <c r="I15" s="29" t="s">
        <v>1457</v>
      </c>
      <c r="J15" s="34" t="s">
        <v>1391</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sheetPr>
    <tabColor theme="0" tint="-0.499984740745262"/>
  </sheetPr>
  <dimension ref="A1:F15"/>
  <sheetViews>
    <sheetView workbookViewId="0">
      <selection activeCell="C32" sqref="C32"/>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1966</v>
      </c>
      <c r="B1" t="s">
        <v>1967</v>
      </c>
      <c r="C1" t="s">
        <v>1968</v>
      </c>
      <c r="D1" t="s">
        <v>1969</v>
      </c>
      <c r="E1" t="s">
        <v>1970</v>
      </c>
      <c r="F1" t="s">
        <v>1971</v>
      </c>
    </row>
    <row r="2" spans="1:6" x14ac:dyDescent="0.25">
      <c r="A2" t="s">
        <v>1972</v>
      </c>
      <c r="B2" t="s">
        <v>1973</v>
      </c>
      <c r="C2" t="s">
        <v>1974</v>
      </c>
      <c r="D2" t="s">
        <v>1975</v>
      </c>
      <c r="E2" t="s">
        <v>1976</v>
      </c>
      <c r="F2" t="s">
        <v>1977</v>
      </c>
    </row>
    <row r="3" spans="1:6" x14ac:dyDescent="0.25">
      <c r="A3" t="s">
        <v>1978</v>
      </c>
      <c r="B3" t="s">
        <v>1973</v>
      </c>
      <c r="C3" t="s">
        <v>1979</v>
      </c>
      <c r="D3" t="s">
        <v>1980</v>
      </c>
      <c r="E3" t="s">
        <v>1423</v>
      </c>
      <c r="F3" t="s">
        <v>1981</v>
      </c>
    </row>
    <row r="4" spans="1:6" x14ac:dyDescent="0.25">
      <c r="A4" t="s">
        <v>1982</v>
      </c>
      <c r="B4" t="s">
        <v>1983</v>
      </c>
      <c r="C4" t="s">
        <v>1984</v>
      </c>
      <c r="D4" t="s">
        <v>1980</v>
      </c>
      <c r="E4" t="s">
        <v>1985</v>
      </c>
      <c r="F4" t="s">
        <v>1986</v>
      </c>
    </row>
    <row r="5" spans="1:6" x14ac:dyDescent="0.25">
      <c r="A5" t="s">
        <v>1987</v>
      </c>
      <c r="B5" t="s">
        <v>1988</v>
      </c>
      <c r="C5" t="s">
        <v>1989</v>
      </c>
      <c r="D5" t="s">
        <v>1990</v>
      </c>
      <c r="E5" t="s">
        <v>1991</v>
      </c>
      <c r="F5" t="s">
        <v>1992</v>
      </c>
    </row>
    <row r="6" spans="1:6" x14ac:dyDescent="0.25">
      <c r="A6" t="s">
        <v>1993</v>
      </c>
      <c r="B6" t="s">
        <v>1988</v>
      </c>
      <c r="C6" t="s">
        <v>1994</v>
      </c>
      <c r="D6" t="s">
        <v>1995</v>
      </c>
      <c r="E6" t="s">
        <v>1996</v>
      </c>
      <c r="F6" t="s">
        <v>1997</v>
      </c>
    </row>
    <row r="7" spans="1:6" x14ac:dyDescent="0.25">
      <c r="A7" t="s">
        <v>1998</v>
      </c>
      <c r="B7" t="s">
        <v>1988</v>
      </c>
      <c r="C7" t="s">
        <v>1999</v>
      </c>
      <c r="D7" t="s">
        <v>2000</v>
      </c>
      <c r="E7" t="s">
        <v>1578</v>
      </c>
      <c r="F7" t="s">
        <v>2001</v>
      </c>
    </row>
    <row r="8" spans="1:6" x14ac:dyDescent="0.25">
      <c r="A8" t="s">
        <v>2002</v>
      </c>
      <c r="B8" t="s">
        <v>1988</v>
      </c>
      <c r="C8" t="s">
        <v>2003</v>
      </c>
      <c r="D8" t="s">
        <v>2004</v>
      </c>
      <c r="E8" t="s">
        <v>2005</v>
      </c>
      <c r="F8" t="s">
        <v>2006</v>
      </c>
    </row>
    <row r="9" spans="1:6" x14ac:dyDescent="0.25">
      <c r="A9" t="s">
        <v>2007</v>
      </c>
      <c r="B9" t="s">
        <v>1988</v>
      </c>
      <c r="C9" t="s">
        <v>2008</v>
      </c>
      <c r="D9" t="s">
        <v>2009</v>
      </c>
      <c r="E9" t="s">
        <v>1507</v>
      </c>
      <c r="F9" t="s">
        <v>2010</v>
      </c>
    </row>
    <row r="10" spans="1:6" x14ac:dyDescent="0.25">
      <c r="A10" t="s">
        <v>2011</v>
      </c>
      <c r="B10" t="s">
        <v>1988</v>
      </c>
      <c r="C10" t="s">
        <v>2012</v>
      </c>
      <c r="D10" t="s">
        <v>2013</v>
      </c>
      <c r="E10" t="s">
        <v>1866</v>
      </c>
      <c r="F10" t="s">
        <v>2014</v>
      </c>
    </row>
    <row r="11" spans="1:6" x14ac:dyDescent="0.25">
      <c r="A11" t="s">
        <v>2015</v>
      </c>
      <c r="B11" t="s">
        <v>2016</v>
      </c>
      <c r="C11" t="s">
        <v>2017</v>
      </c>
      <c r="D11" t="s">
        <v>2018</v>
      </c>
      <c r="E11" t="s">
        <v>2019</v>
      </c>
      <c r="F11" t="s">
        <v>2020</v>
      </c>
    </row>
    <row r="12" spans="1:6" x14ac:dyDescent="0.25">
      <c r="A12" t="s">
        <v>2021</v>
      </c>
      <c r="B12" t="s">
        <v>2022</v>
      </c>
      <c r="C12" t="s">
        <v>2023</v>
      </c>
      <c r="D12" t="s">
        <v>2024</v>
      </c>
      <c r="E12" t="s">
        <v>2025</v>
      </c>
      <c r="F12" t="s">
        <v>2026</v>
      </c>
    </row>
    <row r="13" spans="1:6" x14ac:dyDescent="0.25">
      <c r="A13" t="s">
        <v>2027</v>
      </c>
      <c r="B13" t="s">
        <v>2028</v>
      </c>
      <c r="C13" t="s">
        <v>2029</v>
      </c>
      <c r="D13" t="s">
        <v>2030</v>
      </c>
      <c r="E13" t="s">
        <v>2031</v>
      </c>
      <c r="F13" t="s">
        <v>2032</v>
      </c>
    </row>
    <row r="14" spans="1:6" x14ac:dyDescent="0.25">
      <c r="A14" t="s">
        <v>2033</v>
      </c>
      <c r="B14" t="s">
        <v>2028</v>
      </c>
      <c r="C14" t="s">
        <v>2034</v>
      </c>
      <c r="D14" t="s">
        <v>204</v>
      </c>
      <c r="E14" t="s">
        <v>2035</v>
      </c>
      <c r="F14" t="s">
        <v>2036</v>
      </c>
    </row>
    <row r="15" spans="1:6" x14ac:dyDescent="0.25">
      <c r="A15" t="s">
        <v>2037</v>
      </c>
      <c r="B15" t="s">
        <v>2038</v>
      </c>
      <c r="C15" t="s">
        <v>2039</v>
      </c>
      <c r="D15" t="s">
        <v>2040</v>
      </c>
      <c r="E15" t="s">
        <v>2041</v>
      </c>
      <c r="F15" t="s">
        <v>2042</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00_DAX_Master</vt:lpstr>
      <vt:lpstr>01_Document_Log</vt:lpstr>
      <vt:lpstr>02_Values_Codebook</vt:lpstr>
      <vt:lpstr>04_Governance_Codebook</vt:lpstr>
      <vt:lpstr>03_Values_Coding</vt:lpstr>
      <vt:lpstr>05_Governance_Coding</vt:lpstr>
      <vt:lpstr>07_Boundary_Cases</vt:lpstr>
      <vt:lpstr>03b_Values_Company_Level</vt:lpstr>
      <vt:lpstr>05b_Governance_Company_Level</vt:lpstr>
      <vt:lpstr>06_Derived_Indices</vt:lpstr>
      <vt:lpstr>08_Codebook_Changelog</vt:lpstr>
      <vt:lpstr>09_Coding_Memos</vt:lpstr>
      <vt:lpstr>99_Lookups</vt:lpstr>
      <vt:lpstr>30_Values_Coding_PILOT</vt:lpstr>
      <vt:lpstr>31_Values_Coding_RE</vt:lpstr>
      <vt:lpstr>50_Governance_Coding_PILOT</vt:lpstr>
      <vt:lpstr>51_Governance_Coding_RE</vt:lpstr>
      <vt:lpstr>80_Regelkonsolidierung_Pilot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2026-03-15T15:38:45Z</dcterms:modified>
</cp:coreProperties>
</file>