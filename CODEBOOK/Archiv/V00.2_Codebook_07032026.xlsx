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2360" documentId="13_ncr:1_{C245E2A3-57C9-4A09-94EC-D2BB2DF34E06}" xr6:coauthVersionLast="47" xr6:coauthVersionMax="47" xr10:uidLastSave="{73C4368B-CCD8-452D-BE23-4FC99E4F690B}"/>
  <bookViews>
    <workbookView xWindow="28530" yWindow="0" windowWidth="29175" windowHeight="15585" firstSheet="11" activeTab="14" xr2:uid="{F9AAA310-B95D-453B-B29F-7BBE9569B71F}"/>
  </bookViews>
  <sheets>
    <sheet name="05C_Governance_Coding_RE" sheetId="17" r:id="rId1"/>
    <sheet name="03c_Values_Coding_RE" sheetId="16" r:id="rId2"/>
    <sheet name="00_DAX_Master" sheetId="1" r:id="rId3"/>
    <sheet name="01_Document_Log" sheetId="2" r:id="rId4"/>
    <sheet name="02_Values_Codebook" sheetId="3" r:id="rId5"/>
    <sheet name="03c_Values_Coding_PILOT" sheetId="13" r:id="rId6"/>
    <sheet name="05b_Governance_Coding_PILOT" sheetId="14" r:id="rId7"/>
    <sheet name="07_Boundary_Cases" sheetId="10" r:id="rId8"/>
    <sheet name="08a_Regelkonsolidierung_Pilot" sheetId="15" r:id="rId9"/>
    <sheet name="03b_Values_Company_Level" sheetId="9" r:id="rId10"/>
    <sheet name="05_Governance_Coding" sheetId="6" r:id="rId11"/>
    <sheet name="03_Values_Coding" sheetId="4" r:id="rId12"/>
    <sheet name="04_Governance_Codebook" sheetId="5" r:id="rId13"/>
    <sheet name="06_Derived_Indices" sheetId="7" r:id="rId14"/>
    <sheet name="08_Codebook_Changelog" sheetId="11" r:id="rId15"/>
    <sheet name="09_Coding_Memos" sheetId="12" r:id="rId16"/>
    <sheet name="99_Lookups" sheetId="8"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4" i="16" l="1"/>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C2" i="7" s="1"/>
  <c r="E2" i="7" s="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C2" i="9" s="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<sst xmlns="http://schemas.openxmlformats.org/spreadsheetml/2006/main" count="5197" uniqueCount="2152">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</sst>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cellXfs>
  <cellStyles count="1">
    <cellStyle name="Standard" xfId="0" builtinId="0"/>
  </cellStyles>
  <dxfs count="38">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7"/>
    <tableColumn id="2" xr3:uid="{28144327-D237-4B65-948E-9055C5BCCA4B}" name="doc_id" dataDxfId="6"/>
    <tableColumn id="3" xr3:uid="{7356C4A2-D4E8-4678-B63A-A2F57CF7A60F}" name="value_id" dataDxfId="5"/>
    <tableColumn id="4" xr3:uid="{DBC3A27D-F748-40F1-9045-6F4A050BD2E3}" name="value_present" dataDxfId="4"/>
    <tableColumn id="5" xr3:uid="{C3681E92-2973-41CD-A350-4DB5D313885C}" name="binding_level" dataDxfId="3"/>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2"/>
    <tableColumn id="10" xr3:uid="{26B78528-5CF0-490F-B3B8-7A22E5217B5F}" name="notes"/>
    <tableColumn id="11" xr3:uid="{BD49E03A-F982-49D3-A92C-C4CCC90D083D}" name="value_points" dataDxfId="1">
      <calculatedColumnFormula>Tabelle5225[[#This Row],[value_present]]*Tabelle5225[[#This Row],[binding_level]]</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7"/>
    <tableColumn id="5" xr3:uid="{1B3C9A2D-DF88-4E06-B0EF-3525113D0681}" name="industry_detail" dataDxfId="36"/>
    <tableColumn id="6" xr3:uid="{967B7F66-7E83-4117-AF93-D44A5214E26B}" name="hq_country" dataDxfId="35"/>
    <tableColumn id="7" xr3:uid="{93FC8DC6-D939-4F19-8CD1-78BFAC7BF713}" name="dax_member_as_of_date"/>
    <tableColumn id="9" xr3:uid="{1AE89A45-B6BF-407A-BFE3-8B1D0FF7087C}" name="Marktkapitalisierung in Mio. € (Stand: 04.01.2026)" dataDxfId="34"/>
    <tableColumn id="8" xr3:uid="{C6FB5ECC-6866-44A0-944A-B0186B9868C8}" name="notes_sampling"/>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filters>
        <filter val="Inkludiert"/>
      </filters>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3"/>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2"/>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1"/>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30"/>
    <tableColumn id="2" xr3:uid="{88EA2C3D-FF7D-45DE-B6F7-BB1229554F82}" name="doc_id" dataDxfId="29"/>
    <tableColumn id="3" xr3:uid="{E23EAC11-3FE3-46C2-A886-9966BC003CDA}" name="value_id" dataDxfId="28"/>
    <tableColumn id="4" xr3:uid="{77D00F30-A9A5-47C3-B3BB-BFF34AC97B9C}" name="value_present" dataDxfId="27"/>
    <tableColumn id="5" xr3:uid="{E434E720-1C6A-4241-8ECE-D9040CCDAA2B}" name="binding_level" dataDxfId="26"/>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25"/>
    <tableColumn id="10" xr3:uid="{7F3AA6F7-EE79-4770-860B-817A57FFE071}" name="notes"/>
    <tableColumn id="11" xr3:uid="{26B53E04-6A5F-4A1D-9E7B-B4A2316116E1}" name="value_points" dataDxfId="24">
      <calculatedColumnFormula>Tabelle52[[#This Row],[value_present]]*Tabelle52[[#This Row],[binding_level]]</calculatedColumnFormula>
    </tableColum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23"/>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67" totalsRowShown="0">
  <autoFilter ref="A1:J67"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2">
      <calculatedColumnFormula>IF(Tabelle18[[#This Row],[binding_level_company]]&gt;=1,1,0)</calculatedColumnFormula>
    </tableColumn>
    <tableColumn id="4" xr3:uid="{57C3D191-F2E8-43DB-A883-B6EFD2FD0A34}" name="binding_level_company" dataDxfId="21">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0">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9"/>
    <tableColumn id="2" xr3:uid="{C403EEEA-311E-4936-9681-331B844B0893}" name="doc_id" dataDxfId="18"/>
    <tableColumn id="3" xr3:uid="{06C75828-DC84-408A-817F-C1DB23B8E593}" name="value_id" dataDxfId="17"/>
    <tableColumn id="4" xr3:uid="{F51FA92F-A9DB-48FF-894C-B05D1F7CB091}" name="value_present" dataDxfId="16"/>
    <tableColumn id="5" xr3:uid="{EDEB478B-823A-4414-9B33-6C8500F4A064}" name="binding_level" dataDxfId="15"/>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14"/>
    <tableColumn id="10" xr3:uid="{852F73B7-B49E-466F-B2C5-1DD6216E5DEF}" name="notes"/>
    <tableColumn id="11" xr3:uid="{804E6649-063F-44AA-B9CC-713F2123053D}" name="value_points" dataDxfId="13">
      <calculatedColumnFormula>Tabelle5[[#This Row],[value_present]]*Tabelle5[[#This Row],[binding_level]]</calculatedColumnFormula>
    </tableColumn>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12">
      <calculatedColumnFormula>SUMIF(Tabelle18[[#This Row],[value_points_company]],Tabelle5[[#This Row],[company_id]],Tabelle8[[#This Row],[company_id]])</calculatedColumnFormula>
    </tableColumn>
    <tableColumn id="4" xr3:uid="{07D74540-FCE8-45CD-81E0-9EBDC51759F0}" name="values_max_points" dataDxfId="11">
      <calculatedColumnFormula>(COUNTA('02_Values_Codebook'!A:A)-1)*3</calculatedColumnFormula>
    </tableColumn>
    <tableColumn id="5" xr3:uid="{5D9B4697-9784-4EF7-9C63-C3CE63563C3C}" name="convergence_index_0_1" dataDxfId="10">
      <calculatedColumnFormula>Tabelle8[[#This Row],[values_raw_points]]/Tabelle8[[#This Row],[values_max_points]]</calculatedColumnFormula>
    </tableColumn>
    <tableColumn id="6" xr3:uid="{606FD58E-B2AB-401F-B1F0-BA796F03FD52}" name="gov_points_sum" dataDxfId="9">
      <calculatedColumnFormula>SUMIF(Tabelle7[[#This Row],[score_0_3]],Tabelle7[[#This Row],[company_id]],Tabelle8[[#This Row],[company_id]])</calculatedColumnFormula>
    </tableColumn>
    <tableColumn id="7" xr3:uid="{F0AC04B4-A92E-4E8F-9B76-9B19CD8BC4DA}" name="gov_index_0_100" dataDxfId="8">
      <calculatedColumnFormula xml:space="preserve"> (Tabelle8[[#This Row],[gov_points_sum]]/21)*100</calculatedColumnFormula>
    </tableColumn>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1.bin"/><Relationship Id="rId6" Type="http://schemas.openxmlformats.org/officeDocument/2006/relationships/table" Target="../tables/table22.xml"/><Relationship Id="rId5" Type="http://schemas.openxmlformats.org/officeDocument/2006/relationships/table" Target="../tables/table21.xml"/><Relationship Id="rId10" Type="http://schemas.openxmlformats.org/officeDocument/2006/relationships/table" Target="../tables/table26.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dimension ref="A1:M168"/>
  <sheetViews>
    <sheetView workbookViewId="0">
      <selection activeCell="O10" sqref="O10"/>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1682</v>
      </c>
      <c r="G2" s="19" t="s">
        <v>1677</v>
      </c>
      <c r="H2" s="22" t="s">
        <v>2106</v>
      </c>
      <c r="I2" s="21" t="s">
        <v>1458</v>
      </c>
      <c r="J2" s="32"/>
    </row>
    <row r="3" spans="1:13" x14ac:dyDescent="0.25">
      <c r="A3" s="24">
        <v>7</v>
      </c>
      <c r="B3" s="2">
        <v>37</v>
      </c>
      <c r="C3" s="2" t="s">
        <v>192</v>
      </c>
      <c r="D3" s="2"/>
      <c r="E3" s="3">
        <v>1</v>
      </c>
      <c r="F3" t="s">
        <v>1683</v>
      </c>
      <c r="G3" s="2" t="s">
        <v>1678</v>
      </c>
      <c r="H3" t="s">
        <v>2107</v>
      </c>
      <c r="I3" s="1" t="s">
        <v>1458</v>
      </c>
      <c r="J3" s="33"/>
      <c r="M3" s="38" t="s">
        <v>2148</v>
      </c>
    </row>
    <row r="4" spans="1:13" x14ac:dyDescent="0.25">
      <c r="A4" s="24">
        <v>7</v>
      </c>
      <c r="B4" s="2">
        <v>37</v>
      </c>
      <c r="C4" s="2" t="s">
        <v>198</v>
      </c>
      <c r="D4" s="2"/>
      <c r="E4" s="3">
        <v>2</v>
      </c>
      <c r="F4" t="s">
        <v>1684</v>
      </c>
      <c r="G4" s="2" t="s">
        <v>1679</v>
      </c>
      <c r="H4" t="s">
        <v>2108</v>
      </c>
      <c r="I4" s="1" t="s">
        <v>1458</v>
      </c>
      <c r="J4" s="33"/>
      <c r="M4" t="s">
        <v>2149</v>
      </c>
    </row>
    <row r="5" spans="1:13" x14ac:dyDescent="0.25">
      <c r="A5" s="24">
        <v>7</v>
      </c>
      <c r="B5" s="2">
        <v>37</v>
      </c>
      <c r="C5" s="2" t="s">
        <v>204</v>
      </c>
      <c r="D5" s="2"/>
      <c r="E5" s="3">
        <v>0</v>
      </c>
      <c r="G5" s="2"/>
      <c r="I5" s="1" t="s">
        <v>1457</v>
      </c>
      <c r="J5" s="33" t="s">
        <v>1391</v>
      </c>
    </row>
    <row r="6" spans="1:13" x14ac:dyDescent="0.25">
      <c r="A6" s="24">
        <v>7</v>
      </c>
      <c r="B6" s="2">
        <v>37</v>
      </c>
      <c r="C6" s="2" t="s">
        <v>210</v>
      </c>
      <c r="D6" s="2"/>
      <c r="E6" s="3">
        <v>1</v>
      </c>
      <c r="F6" t="s">
        <v>1685</v>
      </c>
      <c r="G6" s="2" t="s">
        <v>1680</v>
      </c>
      <c r="H6" t="s">
        <v>2109</v>
      </c>
      <c r="I6" s="1" t="s">
        <v>1542</v>
      </c>
      <c r="J6" s="33"/>
    </row>
    <row r="7" spans="1:13" x14ac:dyDescent="0.25">
      <c r="A7" s="24">
        <v>7</v>
      </c>
      <c r="B7" s="2">
        <v>37</v>
      </c>
      <c r="C7" s="2" t="s">
        <v>215</v>
      </c>
      <c r="D7" s="2"/>
      <c r="E7" s="3">
        <v>0</v>
      </c>
      <c r="G7" s="2"/>
      <c r="I7" s="1" t="s">
        <v>1457</v>
      </c>
      <c r="J7" s="33" t="s">
        <v>1391</v>
      </c>
    </row>
    <row r="8" spans="1:13" ht="15.75" thickBot="1" x14ac:dyDescent="0.3">
      <c r="A8" s="26">
        <v>7</v>
      </c>
      <c r="B8" s="27">
        <v>37</v>
      </c>
      <c r="C8" s="27" t="s">
        <v>221</v>
      </c>
      <c r="D8" s="27"/>
      <c r="E8" s="28">
        <v>1</v>
      </c>
      <c r="F8" s="30" t="s">
        <v>1647</v>
      </c>
      <c r="G8" s="27" t="s">
        <v>1681</v>
      </c>
      <c r="H8" s="30" t="s">
        <v>2110</v>
      </c>
      <c r="I8" s="29" t="s">
        <v>1458</v>
      </c>
      <c r="J8" s="33"/>
    </row>
    <row r="9" spans="1:13" x14ac:dyDescent="0.25">
      <c r="A9" s="18">
        <v>15</v>
      </c>
      <c r="B9" s="19">
        <v>86</v>
      </c>
      <c r="C9" s="19" t="s">
        <v>186</v>
      </c>
      <c r="D9" s="19"/>
      <c r="E9" s="20">
        <v>2</v>
      </c>
      <c r="F9" s="22" t="s">
        <v>1843</v>
      </c>
      <c r="G9" s="19" t="s">
        <v>1838</v>
      </c>
      <c r="H9" s="22" t="s">
        <v>1833</v>
      </c>
      <c r="I9" s="21" t="s">
        <v>1458</v>
      </c>
      <c r="J9" s="32"/>
    </row>
    <row r="10" spans="1:13" x14ac:dyDescent="0.25">
      <c r="A10" s="24">
        <v>15</v>
      </c>
      <c r="B10" s="2">
        <v>86</v>
      </c>
      <c r="C10" s="2" t="s">
        <v>192</v>
      </c>
      <c r="D10" s="2"/>
      <c r="E10" s="3">
        <v>1</v>
      </c>
      <c r="F10" t="s">
        <v>1844</v>
      </c>
      <c r="G10" s="2" t="s">
        <v>1839</v>
      </c>
      <c r="H10" t="s">
        <v>1834</v>
      </c>
      <c r="I10" s="1" t="s">
        <v>1458</v>
      </c>
      <c r="J10" s="33"/>
    </row>
    <row r="11" spans="1:13" x14ac:dyDescent="0.25">
      <c r="A11" s="24">
        <v>15</v>
      </c>
      <c r="B11" s="2">
        <v>86</v>
      </c>
      <c r="C11" s="2" t="s">
        <v>198</v>
      </c>
      <c r="D11" s="2"/>
      <c r="E11" s="3">
        <v>2</v>
      </c>
      <c r="F11" t="s">
        <v>1845</v>
      </c>
      <c r="G11" s="2" t="s">
        <v>1840</v>
      </c>
      <c r="H11" t="s">
        <v>1835</v>
      </c>
      <c r="I11" s="1" t="s">
        <v>1458</v>
      </c>
      <c r="J11" s="33"/>
    </row>
    <row r="12" spans="1:13" x14ac:dyDescent="0.25">
      <c r="A12" s="24">
        <v>15</v>
      </c>
      <c r="B12" s="2">
        <v>86</v>
      </c>
      <c r="C12" s="2" t="s">
        <v>204</v>
      </c>
      <c r="D12" s="2"/>
      <c r="E12" s="3">
        <v>1</v>
      </c>
      <c r="F12" t="s">
        <v>1815</v>
      </c>
      <c r="G12" s="2" t="s">
        <v>1841</v>
      </c>
      <c r="H12" t="s">
        <v>1836</v>
      </c>
      <c r="I12" s="1" t="s">
        <v>1542</v>
      </c>
      <c r="J12" s="33"/>
    </row>
    <row r="13" spans="1:13" x14ac:dyDescent="0.25">
      <c r="A13" s="24">
        <v>15</v>
      </c>
      <c r="B13" s="2">
        <v>86</v>
      </c>
      <c r="C13" s="2" t="s">
        <v>210</v>
      </c>
      <c r="D13" s="2"/>
      <c r="E13" s="3">
        <v>1</v>
      </c>
      <c r="F13" t="s">
        <v>1846</v>
      </c>
      <c r="G13" s="2" t="s">
        <v>1842</v>
      </c>
      <c r="H13" t="s">
        <v>1837</v>
      </c>
      <c r="I13" s="1" t="s">
        <v>1458</v>
      </c>
      <c r="J13" s="33"/>
    </row>
    <row r="14" spans="1:13" x14ac:dyDescent="0.25">
      <c r="A14" s="24">
        <v>15</v>
      </c>
      <c r="B14" s="2">
        <v>86</v>
      </c>
      <c r="C14" s="2" t="s">
        <v>215</v>
      </c>
      <c r="D14" s="2"/>
      <c r="E14" s="3"/>
      <c r="G14" s="2"/>
      <c r="I14" s="1" t="s">
        <v>1457</v>
      </c>
      <c r="J14" s="33" t="s">
        <v>1391</v>
      </c>
    </row>
    <row r="15" spans="1:13" ht="15.75" thickBot="1" x14ac:dyDescent="0.3">
      <c r="A15" s="26">
        <v>15</v>
      </c>
      <c r="B15" s="27">
        <v>86</v>
      </c>
      <c r="C15" s="27" t="s">
        <v>221</v>
      </c>
      <c r="D15" s="27"/>
      <c r="E15" s="28"/>
      <c r="F15" s="30"/>
      <c r="G15" s="27"/>
      <c r="H15" s="30"/>
      <c r="I15" s="29" t="s">
        <v>1457</v>
      </c>
      <c r="J15" s="34" t="s">
        <v>1391</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dimension ref="A1:V464"/>
  <sheetViews>
    <sheetView topLeftCell="I1" workbookViewId="0">
      <selection activeCell="U17" sqref="U17"/>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2142</v>
      </c>
    </row>
    <row r="2" spans="1:22" x14ac:dyDescent="0.25">
      <c r="A2" s="18">
        <v>7</v>
      </c>
      <c r="B2" s="19">
        <v>37</v>
      </c>
      <c r="C2" s="19" t="s">
        <v>53</v>
      </c>
      <c r="D2" s="20">
        <v>1</v>
      </c>
      <c r="E2" s="21">
        <v>3</v>
      </c>
      <c r="F2" s="22" t="s">
        <v>1644</v>
      </c>
      <c r="G2" s="22" t="s">
        <v>1645</v>
      </c>
      <c r="H2" s="22" t="s">
        <v>1636</v>
      </c>
      <c r="I2" s="21" t="s">
        <v>1457</v>
      </c>
      <c r="J2" s="22" t="s">
        <v>2086</v>
      </c>
      <c r="K2" s="23">
        <f>Tabelle5225[[#This Row],[value_present]]*Tabelle5225[[#This Row],[binding_level]]</f>
        <v>3</v>
      </c>
      <c r="N2" t="s">
        <v>0</v>
      </c>
      <c r="O2" t="s">
        <v>21</v>
      </c>
      <c r="P2" t="s">
        <v>2129</v>
      </c>
      <c r="Q2" t="s">
        <v>2130</v>
      </c>
      <c r="R2" t="s">
        <v>2131</v>
      </c>
      <c r="S2" t="s">
        <v>2132</v>
      </c>
      <c r="T2" t="s">
        <v>2133</v>
      </c>
      <c r="U2" t="s">
        <v>2134</v>
      </c>
      <c r="V2" t="s">
        <v>2135</v>
      </c>
    </row>
    <row r="3" spans="1:22" x14ac:dyDescent="0.25">
      <c r="A3" s="24">
        <v>7</v>
      </c>
      <c r="B3" s="2">
        <v>37</v>
      </c>
      <c r="C3" s="2" t="s">
        <v>61</v>
      </c>
      <c r="D3" s="3">
        <v>1</v>
      </c>
      <c r="E3" s="1">
        <v>1</v>
      </c>
      <c r="F3" t="s">
        <v>1646</v>
      </c>
      <c r="G3" t="s">
        <v>1647</v>
      </c>
      <c r="H3" t="s">
        <v>1637</v>
      </c>
      <c r="I3" s="1" t="s">
        <v>272</v>
      </c>
      <c r="J3" t="s">
        <v>2087</v>
      </c>
      <c r="K3" s="25">
        <f>Tabelle5225[[#This Row],[value_present]]*Tabelle5225[[#This Row],[binding_level]]</f>
        <v>1</v>
      </c>
      <c r="N3">
        <v>7</v>
      </c>
      <c r="O3" t="s">
        <v>53</v>
      </c>
      <c r="P3">
        <v>1</v>
      </c>
      <c r="Q3">
        <v>1</v>
      </c>
      <c r="R3">
        <v>1</v>
      </c>
      <c r="S3">
        <v>3</v>
      </c>
      <c r="T3" t="s">
        <v>2136</v>
      </c>
      <c r="U3" t="s">
        <v>2137</v>
      </c>
      <c r="V3" t="s">
        <v>2143</v>
      </c>
    </row>
    <row r="4" spans="1:22" x14ac:dyDescent="0.25">
      <c r="A4" s="24">
        <v>7</v>
      </c>
      <c r="B4" s="2">
        <v>37</v>
      </c>
      <c r="C4" s="2" t="s">
        <v>69</v>
      </c>
      <c r="D4" s="3">
        <v>1</v>
      </c>
      <c r="E4" s="1">
        <v>1</v>
      </c>
      <c r="F4" t="s">
        <v>1648</v>
      </c>
      <c r="G4" t="s">
        <v>1649</v>
      </c>
      <c r="H4" t="s">
        <v>1638</v>
      </c>
      <c r="I4" s="1" t="s">
        <v>272</v>
      </c>
      <c r="J4" t="s">
        <v>2088</v>
      </c>
      <c r="K4" s="25">
        <f>Tabelle5225[[#This Row],[value_present]]*Tabelle5225[[#This Row],[binding_level]]</f>
        <v>1</v>
      </c>
      <c r="N4">
        <v>7</v>
      </c>
      <c r="O4" t="s">
        <v>147</v>
      </c>
      <c r="P4">
        <v>1</v>
      </c>
      <c r="Q4">
        <v>1</v>
      </c>
      <c r="R4">
        <v>1</v>
      </c>
      <c r="S4">
        <v>2</v>
      </c>
      <c r="T4" t="s">
        <v>2136</v>
      </c>
      <c r="U4" t="s">
        <v>2138</v>
      </c>
      <c r="V4" t="s">
        <v>2144</v>
      </c>
    </row>
    <row r="5" spans="1:22" x14ac:dyDescent="0.25">
      <c r="A5" s="24">
        <v>7</v>
      </c>
      <c r="B5" s="2">
        <v>37</v>
      </c>
      <c r="C5" s="2" t="s">
        <v>76</v>
      </c>
      <c r="D5" s="3">
        <v>1</v>
      </c>
      <c r="E5" s="1">
        <v>1</v>
      </c>
      <c r="F5" t="s">
        <v>1650</v>
      </c>
      <c r="G5" t="s">
        <v>1651</v>
      </c>
      <c r="H5" t="s">
        <v>1638</v>
      </c>
      <c r="I5" s="1" t="s">
        <v>1457</v>
      </c>
      <c r="J5" t="s">
        <v>2089</v>
      </c>
      <c r="K5" s="25">
        <f>Tabelle5225[[#This Row],[value_present]]*Tabelle5225[[#This Row],[binding_level]]</f>
        <v>1</v>
      </c>
      <c r="N5">
        <v>7</v>
      </c>
      <c r="O5" t="s">
        <v>154</v>
      </c>
      <c r="P5">
        <v>1</v>
      </c>
      <c r="Q5">
        <v>0</v>
      </c>
      <c r="R5">
        <v>1</v>
      </c>
      <c r="S5" t="s">
        <v>2095</v>
      </c>
      <c r="T5" t="s">
        <v>2139</v>
      </c>
      <c r="U5" t="s">
        <v>2138</v>
      </c>
      <c r="V5" t="s">
        <v>2140</v>
      </c>
    </row>
    <row r="6" spans="1:22" x14ac:dyDescent="0.25">
      <c r="A6" s="24">
        <v>7</v>
      </c>
      <c r="B6" s="2">
        <v>37</v>
      </c>
      <c r="C6" s="2" t="s">
        <v>83</v>
      </c>
      <c r="D6" s="3">
        <v>1</v>
      </c>
      <c r="E6" s="1">
        <v>1</v>
      </c>
      <c r="F6" t="s">
        <v>1652</v>
      </c>
      <c r="G6" t="s">
        <v>1653</v>
      </c>
      <c r="H6" t="s">
        <v>2105</v>
      </c>
      <c r="I6" s="1" t="s">
        <v>1457</v>
      </c>
      <c r="J6" t="s">
        <v>2090</v>
      </c>
      <c r="K6" s="25">
        <f>Tabelle5225[[#This Row],[value_present]]*Tabelle5225[[#This Row],[binding_level]]</f>
        <v>1</v>
      </c>
      <c r="N6">
        <v>15</v>
      </c>
      <c r="O6" t="s">
        <v>53</v>
      </c>
      <c r="P6">
        <v>1</v>
      </c>
      <c r="Q6">
        <v>1</v>
      </c>
      <c r="R6">
        <v>2</v>
      </c>
      <c r="S6">
        <v>3</v>
      </c>
      <c r="T6" t="s">
        <v>2136</v>
      </c>
      <c r="U6" t="s">
        <v>2137</v>
      </c>
      <c r="V6" t="s">
        <v>2145</v>
      </c>
    </row>
    <row r="7" spans="1:22" x14ac:dyDescent="0.25">
      <c r="A7" s="24">
        <v>7</v>
      </c>
      <c r="B7" s="2">
        <v>37</v>
      </c>
      <c r="C7" s="2" t="s">
        <v>90</v>
      </c>
      <c r="D7" s="3">
        <v>1</v>
      </c>
      <c r="E7" s="1">
        <v>1</v>
      </c>
      <c r="F7" t="s">
        <v>1654</v>
      </c>
      <c r="G7" t="s">
        <v>1655</v>
      </c>
      <c r="H7" t="s">
        <v>1640</v>
      </c>
      <c r="I7" s="1" t="s">
        <v>1457</v>
      </c>
      <c r="J7" t="s">
        <v>2091</v>
      </c>
      <c r="K7" s="25">
        <f>Tabelle5225[[#This Row],[value_present]]*Tabelle5225[[#This Row],[binding_level]]</f>
        <v>1</v>
      </c>
      <c r="N7">
        <v>15</v>
      </c>
      <c r="O7" t="s">
        <v>83</v>
      </c>
      <c r="P7">
        <v>1</v>
      </c>
      <c r="Q7">
        <v>1</v>
      </c>
      <c r="R7">
        <v>1</v>
      </c>
      <c r="S7">
        <v>3</v>
      </c>
      <c r="T7" t="s">
        <v>2136</v>
      </c>
      <c r="U7" t="s">
        <v>2137</v>
      </c>
      <c r="V7" t="s">
        <v>2146</v>
      </c>
    </row>
    <row r="8" spans="1:22" x14ac:dyDescent="0.25">
      <c r="A8" s="24">
        <v>7</v>
      </c>
      <c r="B8" s="2">
        <v>37</v>
      </c>
      <c r="C8" s="2" t="s">
        <v>98</v>
      </c>
      <c r="D8" s="3">
        <v>1</v>
      </c>
      <c r="E8" s="1">
        <v>1</v>
      </c>
      <c r="F8" t="s">
        <v>1656</v>
      </c>
      <c r="G8" t="s">
        <v>1657</v>
      </c>
      <c r="H8" t="s">
        <v>1640</v>
      </c>
      <c r="I8" s="1" t="s">
        <v>272</v>
      </c>
      <c r="J8" t="s">
        <v>2092</v>
      </c>
      <c r="K8" s="25">
        <f>Tabelle5225[[#This Row],[value_present]]*Tabelle5225[[#This Row],[binding_level]]</f>
        <v>1</v>
      </c>
      <c r="N8">
        <v>15</v>
      </c>
      <c r="O8" t="s">
        <v>106</v>
      </c>
      <c r="P8">
        <v>1</v>
      </c>
      <c r="Q8">
        <v>1</v>
      </c>
      <c r="R8">
        <v>2</v>
      </c>
      <c r="S8">
        <v>3</v>
      </c>
      <c r="T8" t="s">
        <v>2136</v>
      </c>
      <c r="U8" t="s">
        <v>2137</v>
      </c>
      <c r="V8" t="s">
        <v>2147</v>
      </c>
    </row>
    <row r="9" spans="1:22" x14ac:dyDescent="0.25">
      <c r="A9" s="24">
        <v>7</v>
      </c>
      <c r="B9" s="2">
        <v>37</v>
      </c>
      <c r="C9" s="2" t="s">
        <v>106</v>
      </c>
      <c r="D9" s="3">
        <v>1</v>
      </c>
      <c r="E9" s="1">
        <v>1</v>
      </c>
      <c r="F9" t="s">
        <v>1658</v>
      </c>
      <c r="G9" t="s">
        <v>1659</v>
      </c>
      <c r="H9" t="s">
        <v>1641</v>
      </c>
      <c r="I9" s="1" t="s">
        <v>272</v>
      </c>
      <c r="J9" t="s">
        <v>2093</v>
      </c>
      <c r="K9" s="25">
        <f>Tabelle5225[[#This Row],[value_present]]*Tabelle5225[[#This Row],[binding_level]]</f>
        <v>1</v>
      </c>
      <c r="N9">
        <v>15</v>
      </c>
      <c r="O9" t="s">
        <v>154</v>
      </c>
      <c r="P9">
        <v>1</v>
      </c>
      <c r="Q9">
        <v>0</v>
      </c>
      <c r="R9">
        <v>1</v>
      </c>
      <c r="S9" t="s">
        <v>2095</v>
      </c>
      <c r="T9" t="s">
        <v>2139</v>
      </c>
      <c r="U9" t="s">
        <v>2138</v>
      </c>
      <c r="V9" t="s">
        <v>2141</v>
      </c>
    </row>
    <row r="10" spans="1:22" x14ac:dyDescent="0.25">
      <c r="A10" s="24">
        <v>7</v>
      </c>
      <c r="B10" s="2">
        <v>37</v>
      </c>
      <c r="C10" s="2" t="s">
        <v>112</v>
      </c>
      <c r="D10" s="3">
        <v>1</v>
      </c>
      <c r="E10" s="1">
        <v>1</v>
      </c>
      <c r="F10" t="s">
        <v>1660</v>
      </c>
      <c r="G10" t="s">
        <v>1661</v>
      </c>
      <c r="H10" t="s">
        <v>1641</v>
      </c>
      <c r="I10" s="1" t="s">
        <v>1457</v>
      </c>
      <c r="J10" t="s">
        <v>2094</v>
      </c>
      <c r="K10" s="25">
        <f>Tabelle5225[[#This Row],[value_present]]*Tabelle5225[[#This Row],[binding_level]]</f>
        <v>1</v>
      </c>
    </row>
    <row r="11" spans="1:22" x14ac:dyDescent="0.25">
      <c r="A11" s="24">
        <v>7</v>
      </c>
      <c r="B11" s="2">
        <v>37</v>
      </c>
      <c r="C11" s="2" t="s">
        <v>118</v>
      </c>
      <c r="D11" s="3">
        <v>0</v>
      </c>
      <c r="E11" s="1"/>
      <c r="H11" t="s">
        <v>2095</v>
      </c>
      <c r="I11" s="1" t="s">
        <v>1457</v>
      </c>
      <c r="J11" t="s">
        <v>2096</v>
      </c>
      <c r="K11" s="25">
        <f>Tabelle5225[[#This Row],[value_present]]*Tabelle5225[[#This Row],[binding_level]]</f>
        <v>0</v>
      </c>
    </row>
    <row r="12" spans="1:22" x14ac:dyDescent="0.25">
      <c r="A12" s="24">
        <v>7</v>
      </c>
      <c r="B12" s="2">
        <v>37</v>
      </c>
      <c r="C12" s="2" t="s">
        <v>125</v>
      </c>
      <c r="D12" s="3">
        <v>0</v>
      </c>
      <c r="E12" s="1"/>
      <c r="H12" t="s">
        <v>2095</v>
      </c>
      <c r="I12" s="1" t="s">
        <v>1457</v>
      </c>
      <c r="J12" t="s">
        <v>2097</v>
      </c>
      <c r="K12" s="25">
        <f>Tabelle5225[[#This Row],[value_present]]*Tabelle5225[[#This Row],[binding_level]]</f>
        <v>0</v>
      </c>
    </row>
    <row r="13" spans="1:22" x14ac:dyDescent="0.25">
      <c r="A13" s="24">
        <v>7</v>
      </c>
      <c r="B13" s="2">
        <v>37</v>
      </c>
      <c r="C13" s="2" t="s">
        <v>132</v>
      </c>
      <c r="D13" s="3">
        <v>1</v>
      </c>
      <c r="E13" s="1">
        <v>1</v>
      </c>
      <c r="F13" t="s">
        <v>1662</v>
      </c>
      <c r="G13" t="s">
        <v>1663</v>
      </c>
      <c r="H13" t="s">
        <v>1642</v>
      </c>
      <c r="I13" s="1" t="s">
        <v>1457</v>
      </c>
      <c r="J13" t="s">
        <v>2098</v>
      </c>
      <c r="K13" s="25">
        <f>Tabelle5225[[#This Row],[value_present]]*Tabelle5225[[#This Row],[binding_level]]</f>
        <v>1</v>
      </c>
    </row>
    <row r="14" spans="1:22" x14ac:dyDescent="0.25">
      <c r="A14" s="24">
        <v>7</v>
      </c>
      <c r="B14" s="2">
        <v>37</v>
      </c>
      <c r="C14" s="2" t="s">
        <v>140</v>
      </c>
      <c r="D14" s="3">
        <v>1</v>
      </c>
      <c r="E14" s="1">
        <v>1</v>
      </c>
      <c r="F14" t="s">
        <v>1664</v>
      </c>
      <c r="G14" t="s">
        <v>1665</v>
      </c>
      <c r="H14" t="s">
        <v>1642</v>
      </c>
      <c r="I14" s="1" t="s">
        <v>1457</v>
      </c>
      <c r="J14" t="s">
        <v>2099</v>
      </c>
      <c r="K14" s="25">
        <f>Tabelle5225[[#This Row],[value_present]]*Tabelle5225[[#This Row],[binding_level]]</f>
        <v>1</v>
      </c>
    </row>
    <row r="15" spans="1:22" x14ac:dyDescent="0.25">
      <c r="A15" s="24">
        <v>7</v>
      </c>
      <c r="B15" s="2">
        <v>37</v>
      </c>
      <c r="C15" s="2" t="s">
        <v>147</v>
      </c>
      <c r="D15" s="3">
        <v>1</v>
      </c>
      <c r="E15" s="1">
        <v>2</v>
      </c>
      <c r="F15" t="s">
        <v>1666</v>
      </c>
      <c r="G15" t="s">
        <v>1667</v>
      </c>
      <c r="H15" t="s">
        <v>1641</v>
      </c>
      <c r="I15" s="1" t="s">
        <v>273</v>
      </c>
      <c r="J15" t="s">
        <v>2100</v>
      </c>
      <c r="K15" s="25">
        <f>Tabelle5225[[#This Row],[value_present]]*Tabelle5225[[#This Row],[binding_level]]</f>
        <v>2</v>
      </c>
    </row>
    <row r="16" spans="1:22" x14ac:dyDescent="0.25">
      <c r="A16" s="24">
        <v>7</v>
      </c>
      <c r="B16" s="2">
        <v>37</v>
      </c>
      <c r="C16" s="2" t="s">
        <v>154</v>
      </c>
      <c r="D16" s="3">
        <v>0</v>
      </c>
      <c r="E16" s="1"/>
      <c r="H16" t="s">
        <v>2095</v>
      </c>
      <c r="I16" s="1" t="s">
        <v>1458</v>
      </c>
      <c r="J16" t="s">
        <v>2101</v>
      </c>
      <c r="K16" s="25">
        <f>Tabelle5225[[#This Row],[value_present]]*Tabelle5225[[#This Row],[binding_level]]</f>
        <v>0</v>
      </c>
    </row>
    <row r="17" spans="1:11" x14ac:dyDescent="0.25">
      <c r="A17" s="24">
        <v>7</v>
      </c>
      <c r="B17" s="2">
        <v>37</v>
      </c>
      <c r="C17" s="2" t="s">
        <v>161</v>
      </c>
      <c r="D17" s="3">
        <v>0</v>
      </c>
      <c r="E17" s="1"/>
      <c r="H17" t="s">
        <v>2095</v>
      </c>
      <c r="I17" s="1" t="s">
        <v>1457</v>
      </c>
      <c r="J17" t="s">
        <v>2102</v>
      </c>
      <c r="K17" s="25">
        <f>Tabelle5225[[#This Row],[value_present]]*Tabelle5225[[#This Row],[binding_level]]</f>
        <v>0</v>
      </c>
    </row>
    <row r="18" spans="1:11" x14ac:dyDescent="0.25">
      <c r="A18" s="24">
        <v>7</v>
      </c>
      <c r="B18" s="2">
        <v>37</v>
      </c>
      <c r="C18" s="2" t="s">
        <v>166</v>
      </c>
      <c r="D18" s="3">
        <v>0</v>
      </c>
      <c r="E18" s="1"/>
      <c r="H18" t="s">
        <v>2095</v>
      </c>
      <c r="I18" s="1" t="s">
        <v>1457</v>
      </c>
      <c r="J18" t="s">
        <v>2103</v>
      </c>
      <c r="K18" s="25">
        <f>Tabelle5225[[#This Row],[value_present]]*Tabelle5225[[#This Row],[binding_level]]</f>
        <v>0</v>
      </c>
    </row>
    <row r="19" spans="1:11" ht="15.75" thickBot="1" x14ac:dyDescent="0.3">
      <c r="A19" s="26">
        <v>7</v>
      </c>
      <c r="B19" s="27">
        <v>37</v>
      </c>
      <c r="C19" s="27" t="s">
        <v>174</v>
      </c>
      <c r="D19" s="28">
        <v>1</v>
      </c>
      <c r="E19" s="29">
        <v>1</v>
      </c>
      <c r="F19" s="30" t="s">
        <v>1670</v>
      </c>
      <c r="G19" s="30" t="s">
        <v>1671</v>
      </c>
      <c r="H19" s="30" t="s">
        <v>1642</v>
      </c>
      <c r="I19" s="29" t="s">
        <v>1458</v>
      </c>
      <c r="J19" s="30" t="s">
        <v>2104</v>
      </c>
      <c r="K19" s="31">
        <f>Tabelle5225[[#This Row],[value_present]]*Tabelle5225[[#This Row],[binding_level]]</f>
        <v>1</v>
      </c>
    </row>
    <row r="20" spans="1:11" x14ac:dyDescent="0.25">
      <c r="A20" s="18">
        <v>15</v>
      </c>
      <c r="B20" s="19">
        <v>86</v>
      </c>
      <c r="C20" s="19" t="s">
        <v>53</v>
      </c>
      <c r="D20" s="20">
        <v>1</v>
      </c>
      <c r="E20" s="21">
        <v>3</v>
      </c>
      <c r="F20" t="s">
        <v>1806</v>
      </c>
      <c r="G20" s="22" t="s">
        <v>1807</v>
      </c>
      <c r="H20" s="22" t="s">
        <v>1793</v>
      </c>
      <c r="I20" s="21" t="s">
        <v>272</v>
      </c>
      <c r="J20" s="22" t="s">
        <v>2111</v>
      </c>
      <c r="K20" s="23">
        <f>Tabelle5225[[#This Row],[value_present]]*Tabelle5225[[#This Row],[binding_level]]</f>
        <v>3</v>
      </c>
    </row>
    <row r="21" spans="1:11" x14ac:dyDescent="0.25">
      <c r="A21" s="24">
        <v>15</v>
      </c>
      <c r="B21" s="2">
        <v>86</v>
      </c>
      <c r="C21" s="2" t="s">
        <v>61</v>
      </c>
      <c r="D21" s="3">
        <v>1</v>
      </c>
      <c r="E21" s="1">
        <v>2</v>
      </c>
      <c r="F21" t="s">
        <v>1808</v>
      </c>
      <c r="G21" t="s">
        <v>1809</v>
      </c>
      <c r="H21" t="s">
        <v>1794</v>
      </c>
      <c r="I21" s="1" t="s">
        <v>1457</v>
      </c>
      <c r="J21" t="s">
        <v>2112</v>
      </c>
      <c r="K21" s="25">
        <f>Tabelle5225[[#This Row],[value_present]]*Tabelle5225[[#This Row],[binding_level]]</f>
        <v>2</v>
      </c>
    </row>
    <row r="22" spans="1:11" x14ac:dyDescent="0.25">
      <c r="A22" s="24">
        <v>15</v>
      </c>
      <c r="B22" s="2">
        <v>86</v>
      </c>
      <c r="C22" s="2" t="s">
        <v>69</v>
      </c>
      <c r="D22" s="3">
        <v>1</v>
      </c>
      <c r="E22" s="1">
        <v>2</v>
      </c>
      <c r="F22" t="s">
        <v>1810</v>
      </c>
      <c r="G22" t="s">
        <v>1811</v>
      </c>
      <c r="H22" t="s">
        <v>1795</v>
      </c>
      <c r="I22" s="1" t="s">
        <v>1457</v>
      </c>
      <c r="J22" t="s">
        <v>2113</v>
      </c>
      <c r="K22" s="25">
        <f>Tabelle5225[[#This Row],[value_present]]*Tabelle5225[[#This Row],[binding_level]]</f>
        <v>2</v>
      </c>
    </row>
    <row r="23" spans="1:11" x14ac:dyDescent="0.25">
      <c r="A23" s="24">
        <v>15</v>
      </c>
      <c r="B23" s="2">
        <v>86</v>
      </c>
      <c r="C23" s="2" t="s">
        <v>76</v>
      </c>
      <c r="D23" s="3">
        <v>1</v>
      </c>
      <c r="E23" s="1">
        <v>1</v>
      </c>
      <c r="F23" t="s">
        <v>1812</v>
      </c>
      <c r="G23" t="s">
        <v>1813</v>
      </c>
      <c r="H23" t="s">
        <v>1796</v>
      </c>
      <c r="I23" s="1" t="s">
        <v>272</v>
      </c>
      <c r="J23" t="s">
        <v>2114</v>
      </c>
      <c r="K23" s="25">
        <f>Tabelle5225[[#This Row],[value_present]]*Tabelle5225[[#This Row],[binding_level]]</f>
        <v>1</v>
      </c>
    </row>
    <row r="24" spans="1:11" x14ac:dyDescent="0.25">
      <c r="A24" s="24">
        <v>15</v>
      </c>
      <c r="B24" s="2">
        <v>86</v>
      </c>
      <c r="C24" s="2" t="s">
        <v>83</v>
      </c>
      <c r="D24" s="3">
        <v>1</v>
      </c>
      <c r="E24" s="1">
        <v>3</v>
      </c>
      <c r="F24" t="s">
        <v>1814</v>
      </c>
      <c r="G24" t="s">
        <v>1816</v>
      </c>
      <c r="H24" t="s">
        <v>1797</v>
      </c>
      <c r="I24" s="1" t="s">
        <v>272</v>
      </c>
      <c r="J24" t="s">
        <v>2115</v>
      </c>
      <c r="K24" s="25">
        <f>Tabelle5225[[#This Row],[value_present]]*Tabelle5225[[#This Row],[binding_level]]</f>
        <v>3</v>
      </c>
    </row>
    <row r="25" spans="1:11" x14ac:dyDescent="0.25">
      <c r="A25" s="24">
        <v>15</v>
      </c>
      <c r="B25" s="2">
        <v>86</v>
      </c>
      <c r="C25" s="2" t="s">
        <v>90</v>
      </c>
      <c r="D25" s="3">
        <v>1</v>
      </c>
      <c r="E25" s="1">
        <v>2</v>
      </c>
      <c r="F25" t="s">
        <v>1817</v>
      </c>
      <c r="G25" t="s">
        <v>1818</v>
      </c>
      <c r="H25" t="s">
        <v>1798</v>
      </c>
      <c r="I25" s="1" t="s">
        <v>1457</v>
      </c>
      <c r="J25" t="s">
        <v>2116</v>
      </c>
      <c r="K25" s="25">
        <f>Tabelle5225[[#This Row],[value_present]]*Tabelle5225[[#This Row],[binding_level]]</f>
        <v>2</v>
      </c>
    </row>
    <row r="26" spans="1:11" x14ac:dyDescent="0.25">
      <c r="A26" s="24">
        <v>15</v>
      </c>
      <c r="B26" s="2">
        <v>86</v>
      </c>
      <c r="C26" s="2" t="s">
        <v>98</v>
      </c>
      <c r="D26" s="3">
        <v>1</v>
      </c>
      <c r="E26" s="1">
        <v>2</v>
      </c>
      <c r="F26" t="s">
        <v>1819</v>
      </c>
      <c r="G26" t="s">
        <v>1820</v>
      </c>
      <c r="H26" t="s">
        <v>1799</v>
      </c>
      <c r="I26" s="1" t="s">
        <v>1457</v>
      </c>
      <c r="J26" t="s">
        <v>2117</v>
      </c>
      <c r="K26" s="25">
        <f>Tabelle5225[[#This Row],[value_present]]*Tabelle5225[[#This Row],[binding_level]]</f>
        <v>2</v>
      </c>
    </row>
    <row r="27" spans="1:11" x14ac:dyDescent="0.25">
      <c r="A27" s="24">
        <v>15</v>
      </c>
      <c r="B27" s="2">
        <v>86</v>
      </c>
      <c r="C27" s="2" t="s">
        <v>106</v>
      </c>
      <c r="D27" s="3">
        <v>1</v>
      </c>
      <c r="E27" s="1">
        <v>3</v>
      </c>
      <c r="F27" t="s">
        <v>1821</v>
      </c>
      <c r="G27" t="s">
        <v>1822</v>
      </c>
      <c r="H27" t="s">
        <v>1800</v>
      </c>
      <c r="I27" s="1" t="s">
        <v>272</v>
      </c>
      <c r="J27" t="s">
        <v>2118</v>
      </c>
      <c r="K27" s="25">
        <f>Tabelle5225[[#This Row],[value_present]]*Tabelle5225[[#This Row],[binding_level]]</f>
        <v>3</v>
      </c>
    </row>
    <row r="28" spans="1:11" x14ac:dyDescent="0.25">
      <c r="A28" s="24">
        <v>15</v>
      </c>
      <c r="B28" s="2">
        <v>86</v>
      </c>
      <c r="C28" s="2" t="s">
        <v>112</v>
      </c>
      <c r="D28" s="3">
        <v>1</v>
      </c>
      <c r="E28" s="1">
        <v>2</v>
      </c>
      <c r="F28" t="s">
        <v>1823</v>
      </c>
      <c r="G28" t="s">
        <v>1824</v>
      </c>
      <c r="H28" t="s">
        <v>1801</v>
      </c>
      <c r="I28" s="1" t="s">
        <v>272</v>
      </c>
      <c r="J28" t="s">
        <v>2119</v>
      </c>
      <c r="K28" s="25">
        <f>Tabelle5225[[#This Row],[value_present]]*Tabelle5225[[#This Row],[binding_level]]</f>
        <v>2</v>
      </c>
    </row>
    <row r="29" spans="1:11" x14ac:dyDescent="0.25">
      <c r="A29" s="24">
        <v>15</v>
      </c>
      <c r="B29" s="2">
        <v>86</v>
      </c>
      <c r="C29" s="2" t="s">
        <v>118</v>
      </c>
      <c r="D29" s="3">
        <v>0</v>
      </c>
      <c r="E29" s="1"/>
      <c r="I29" s="1" t="s">
        <v>1457</v>
      </c>
      <c r="J29" t="s">
        <v>2120</v>
      </c>
      <c r="K29" s="25">
        <f>Tabelle5225[[#This Row],[value_present]]*Tabelle5225[[#This Row],[binding_level]]</f>
        <v>0</v>
      </c>
    </row>
    <row r="30" spans="1:11" x14ac:dyDescent="0.25">
      <c r="A30" s="24">
        <v>15</v>
      </c>
      <c r="B30" s="2">
        <v>86</v>
      </c>
      <c r="C30" s="2" t="s">
        <v>125</v>
      </c>
      <c r="D30" s="3">
        <v>0</v>
      </c>
      <c r="E30" s="1"/>
      <c r="I30" s="1" t="s">
        <v>1457</v>
      </c>
      <c r="J30" t="s">
        <v>2121</v>
      </c>
      <c r="K30" s="25">
        <f>Tabelle5225[[#This Row],[value_present]]*Tabelle5225[[#This Row],[binding_level]]</f>
        <v>0</v>
      </c>
    </row>
    <row r="31" spans="1:11" x14ac:dyDescent="0.25">
      <c r="A31" s="24">
        <v>15</v>
      </c>
      <c r="B31" s="2">
        <v>86</v>
      </c>
      <c r="C31" s="2" t="s">
        <v>132</v>
      </c>
      <c r="D31" s="3">
        <v>0</v>
      </c>
      <c r="E31" s="1"/>
      <c r="I31" s="1" t="s">
        <v>1457</v>
      </c>
      <c r="J31" t="s">
        <v>2122</v>
      </c>
      <c r="K31" s="25">
        <f>Tabelle5225[[#This Row],[value_present]]*Tabelle5225[[#This Row],[binding_level]]</f>
        <v>0</v>
      </c>
    </row>
    <row r="32" spans="1:11" x14ac:dyDescent="0.25">
      <c r="A32" s="24">
        <v>15</v>
      </c>
      <c r="B32" s="2">
        <v>86</v>
      </c>
      <c r="C32" s="2" t="s">
        <v>140</v>
      </c>
      <c r="D32" s="3">
        <v>1</v>
      </c>
      <c r="E32" s="1">
        <v>1</v>
      </c>
      <c r="F32" t="s">
        <v>1825</v>
      </c>
      <c r="G32" t="s">
        <v>1826</v>
      </c>
      <c r="H32" t="s">
        <v>1802</v>
      </c>
      <c r="I32" s="1" t="s">
        <v>272</v>
      </c>
      <c r="J32" t="s">
        <v>2123</v>
      </c>
      <c r="K32" s="25">
        <f>Tabelle5225[[#This Row],[value_present]]*Tabelle5225[[#This Row],[binding_level]]</f>
        <v>1</v>
      </c>
    </row>
    <row r="33" spans="1:11" x14ac:dyDescent="0.25">
      <c r="A33" s="24">
        <v>15</v>
      </c>
      <c r="B33" s="2">
        <v>86</v>
      </c>
      <c r="C33" s="2" t="s">
        <v>147</v>
      </c>
      <c r="D33" s="3">
        <v>1</v>
      </c>
      <c r="E33" s="1">
        <v>2</v>
      </c>
      <c r="F33" t="s">
        <v>1827</v>
      </c>
      <c r="G33" t="s">
        <v>1828</v>
      </c>
      <c r="H33" t="s">
        <v>1803</v>
      </c>
      <c r="I33" s="1" t="s">
        <v>1457</v>
      </c>
      <c r="J33" t="s">
        <v>2124</v>
      </c>
      <c r="K33" s="25">
        <f>Tabelle5225[[#This Row],[value_present]]*Tabelle5225[[#This Row],[binding_level]]</f>
        <v>2</v>
      </c>
    </row>
    <row r="34" spans="1:11" x14ac:dyDescent="0.25">
      <c r="A34" s="24">
        <v>15</v>
      </c>
      <c r="B34" s="2">
        <v>86</v>
      </c>
      <c r="C34" s="2" t="s">
        <v>154</v>
      </c>
      <c r="D34" s="3">
        <v>0</v>
      </c>
      <c r="E34" s="1"/>
      <c r="I34" s="1" t="s">
        <v>1457</v>
      </c>
      <c r="J34" t="s">
        <v>2125</v>
      </c>
      <c r="K34" s="25">
        <f>Tabelle5225[[#This Row],[value_present]]*Tabelle5225[[#This Row],[binding_level]]</f>
        <v>0</v>
      </c>
    </row>
    <row r="35" spans="1:11" x14ac:dyDescent="0.25">
      <c r="A35" s="24">
        <v>15</v>
      </c>
      <c r="B35" s="2">
        <v>86</v>
      </c>
      <c r="C35" s="2" t="s">
        <v>161</v>
      </c>
      <c r="D35" s="3">
        <v>1</v>
      </c>
      <c r="E35" s="1">
        <v>3</v>
      </c>
      <c r="F35" t="s">
        <v>1831</v>
      </c>
      <c r="G35" t="s">
        <v>1832</v>
      </c>
      <c r="H35" t="s">
        <v>1805</v>
      </c>
      <c r="I35" s="1" t="s">
        <v>1458</v>
      </c>
      <c r="J35" t="s">
        <v>2126</v>
      </c>
      <c r="K35" s="25">
        <f>Tabelle5225[[#This Row],[value_present]]*Tabelle5225[[#This Row],[binding_level]]</f>
        <v>3</v>
      </c>
    </row>
    <row r="36" spans="1:11" x14ac:dyDescent="0.25">
      <c r="A36" s="24">
        <v>15</v>
      </c>
      <c r="B36" s="2">
        <v>86</v>
      </c>
      <c r="C36" s="2" t="s">
        <v>166</v>
      </c>
      <c r="D36" s="3">
        <v>0</v>
      </c>
      <c r="E36" s="1"/>
      <c r="I36" s="1" t="s">
        <v>1457</v>
      </c>
      <c r="J36" t="s">
        <v>2127</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1457</v>
      </c>
      <c r="J37" s="30" t="s">
        <v>2128</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workbookViewId="0">
      <selection activeCell="G5" sqref="G5:G1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840</v>
      </c>
    </row>
    <row r="18" spans="1:9" x14ac:dyDescent="0.25">
      <c r="A18">
        <v>17</v>
      </c>
      <c r="B18" s="13" t="s">
        <v>359</v>
      </c>
      <c r="C18" t="s">
        <v>360</v>
      </c>
      <c r="D18" s="1" t="s">
        <v>238</v>
      </c>
      <c r="E18" t="s">
        <v>361</v>
      </c>
      <c r="F18" s="5" t="s">
        <v>439</v>
      </c>
      <c r="G18" t="s">
        <v>362</v>
      </c>
      <c r="H18" s="6">
        <v>25656.23</v>
      </c>
      <c r="I18" t="s">
        <v>858</v>
      </c>
    </row>
    <row r="19" spans="1:9" x14ac:dyDescent="0.25">
      <c r="A19">
        <v>18</v>
      </c>
      <c r="B19" s="14" t="s">
        <v>363</v>
      </c>
      <c r="C19" t="s">
        <v>364</v>
      </c>
      <c r="D19" s="1" t="s">
        <v>238</v>
      </c>
      <c r="E19" t="s">
        <v>365</v>
      </c>
      <c r="F19" s="5" t="s">
        <v>434</v>
      </c>
      <c r="G19" t="s">
        <v>366</v>
      </c>
      <c r="H19" s="6">
        <v>10987.23</v>
      </c>
      <c r="I19" t="s">
        <v>879</v>
      </c>
    </row>
    <row r="20" spans="1:9" x14ac:dyDescent="0.25">
      <c r="A20">
        <v>19</v>
      </c>
      <c r="B20" s="12" t="s">
        <v>367</v>
      </c>
      <c r="C20" t="s">
        <v>368</v>
      </c>
      <c r="D20" s="1" t="s">
        <v>236</v>
      </c>
      <c r="E20" t="s">
        <v>369</v>
      </c>
      <c r="F20" s="5" t="s">
        <v>437</v>
      </c>
      <c r="G20" t="s">
        <v>370</v>
      </c>
      <c r="H20" s="6">
        <v>8239.01</v>
      </c>
      <c r="I20" t="s">
        <v>897</v>
      </c>
    </row>
    <row r="21" spans="1:9" x14ac:dyDescent="0.25">
      <c r="A21">
        <v>20</v>
      </c>
      <c r="B21" s="12" t="s">
        <v>371</v>
      </c>
      <c r="C21" t="s">
        <v>372</v>
      </c>
      <c r="D21" s="1" t="s">
        <v>237</v>
      </c>
      <c r="E21" t="s">
        <v>313</v>
      </c>
      <c r="F21" s="5" t="s">
        <v>440</v>
      </c>
      <c r="G21" t="s">
        <v>341</v>
      </c>
      <c r="H21" s="6">
        <v>29852.05</v>
      </c>
      <c r="I21" t="s">
        <v>927</v>
      </c>
    </row>
    <row r="22" spans="1:9" x14ac:dyDescent="0.25">
      <c r="A22">
        <v>21</v>
      </c>
      <c r="B22" s="14" t="s">
        <v>373</v>
      </c>
      <c r="C22" t="s">
        <v>374</v>
      </c>
      <c r="D22" s="1" t="s">
        <v>242</v>
      </c>
      <c r="E22" t="s">
        <v>375</v>
      </c>
      <c r="F22" s="5" t="s">
        <v>441</v>
      </c>
      <c r="G22" t="s">
        <v>376</v>
      </c>
      <c r="H22" s="6">
        <v>36922.57</v>
      </c>
      <c r="I22" t="s">
        <v>954</v>
      </c>
    </row>
    <row r="23" spans="1:9" x14ac:dyDescent="0.25">
      <c r="A23">
        <v>22</v>
      </c>
      <c r="B23" s="12" t="s">
        <v>377</v>
      </c>
      <c r="C23" t="s">
        <v>378</v>
      </c>
      <c r="D23" s="1" t="s">
        <v>242</v>
      </c>
      <c r="E23" t="s">
        <v>379</v>
      </c>
      <c r="F23" s="5" t="s">
        <v>437</v>
      </c>
      <c r="G23" t="s">
        <v>314</v>
      </c>
      <c r="H23" s="6">
        <v>25541.89</v>
      </c>
      <c r="I23" t="s">
        <v>971</v>
      </c>
    </row>
    <row r="24" spans="1:9" x14ac:dyDescent="0.25">
      <c r="A24">
        <v>23</v>
      </c>
      <c r="B24" s="13" t="s">
        <v>380</v>
      </c>
      <c r="C24" t="s">
        <v>381</v>
      </c>
      <c r="D24" s="1" t="s">
        <v>238</v>
      </c>
      <c r="E24" t="s">
        <v>382</v>
      </c>
      <c r="F24" s="5" t="s">
        <v>434</v>
      </c>
      <c r="G24" t="s">
        <v>383</v>
      </c>
      <c r="H24" s="6">
        <v>45690.61</v>
      </c>
      <c r="I24" t="s">
        <v>1026</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1045</v>
      </c>
    </row>
    <row r="27" spans="1:9" x14ac:dyDescent="0.25">
      <c r="A27">
        <v>26</v>
      </c>
      <c r="B27" s="14" t="s">
        <v>389</v>
      </c>
      <c r="C27" t="s">
        <v>390</v>
      </c>
      <c r="D27" s="1" t="s">
        <v>236</v>
      </c>
      <c r="E27" t="s">
        <v>391</v>
      </c>
      <c r="F27" s="5" t="s">
        <v>434</v>
      </c>
      <c r="G27" t="s">
        <v>392</v>
      </c>
      <c r="H27" s="6">
        <v>17772.21</v>
      </c>
      <c r="I27" t="s">
        <v>1068</v>
      </c>
    </row>
    <row r="28" spans="1:9" x14ac:dyDescent="0.25">
      <c r="A28">
        <v>27</v>
      </c>
      <c r="B28" s="12" t="s">
        <v>393</v>
      </c>
      <c r="C28" t="s">
        <v>394</v>
      </c>
      <c r="D28" s="1" t="s">
        <v>237</v>
      </c>
      <c r="E28" t="s">
        <v>313</v>
      </c>
      <c r="F28" s="5" t="s">
        <v>434</v>
      </c>
      <c r="G28" t="s">
        <v>395</v>
      </c>
      <c r="H28" s="6">
        <v>67763.8</v>
      </c>
      <c r="I28" t="s">
        <v>1080</v>
      </c>
    </row>
    <row r="29" spans="1:9" x14ac:dyDescent="0.25">
      <c r="A29">
        <v>28</v>
      </c>
      <c r="B29" s="14" t="s">
        <v>396</v>
      </c>
      <c r="C29" t="s">
        <v>397</v>
      </c>
      <c r="D29" s="1" t="s">
        <v>236</v>
      </c>
      <c r="E29" t="s">
        <v>398</v>
      </c>
      <c r="F29" s="5" t="s">
        <v>441</v>
      </c>
      <c r="G29" t="s">
        <v>310</v>
      </c>
      <c r="H29" s="6">
        <v>11369.72</v>
      </c>
      <c r="I29" t="s">
        <v>1068</v>
      </c>
    </row>
    <row r="30" spans="1:9" x14ac:dyDescent="0.25">
      <c r="A30">
        <v>29</v>
      </c>
      <c r="B30" s="14" t="s">
        <v>399</v>
      </c>
      <c r="C30" t="s">
        <v>400</v>
      </c>
      <c r="D30" s="1" t="s">
        <v>238</v>
      </c>
      <c r="E30" t="s">
        <v>401</v>
      </c>
      <c r="F30" s="5" t="s">
        <v>435</v>
      </c>
      <c r="G30" t="s">
        <v>310</v>
      </c>
      <c r="H30" s="6">
        <v>7781.46</v>
      </c>
      <c r="I30" t="s">
        <v>1068</v>
      </c>
    </row>
    <row r="31" spans="1:9" x14ac:dyDescent="0.25">
      <c r="A31">
        <v>30</v>
      </c>
      <c r="B31" s="14" t="s">
        <v>402</v>
      </c>
      <c r="C31" t="s">
        <v>403</v>
      </c>
      <c r="D31" s="1" t="s">
        <v>236</v>
      </c>
      <c r="E31" t="s">
        <v>404</v>
      </c>
      <c r="F31" s="5" t="s">
        <v>437</v>
      </c>
      <c r="G31" t="s">
        <v>405</v>
      </c>
      <c r="H31" s="6">
        <v>66606.820000000007</v>
      </c>
      <c r="I31" t="s">
        <v>1068</v>
      </c>
    </row>
    <row r="32" spans="1:9" x14ac:dyDescent="0.25">
      <c r="A32">
        <v>31</v>
      </c>
      <c r="B32" s="12" t="s">
        <v>406</v>
      </c>
      <c r="C32" t="s">
        <v>406</v>
      </c>
      <c r="D32" s="1" t="s">
        <v>241</v>
      </c>
      <c r="E32" t="s">
        <v>358</v>
      </c>
      <c r="F32" s="5" t="s">
        <v>437</v>
      </c>
      <c r="G32" t="s">
        <v>314</v>
      </c>
      <c r="H32" s="6">
        <v>30562.07</v>
      </c>
      <c r="I32" t="s">
        <v>1169</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1191</v>
      </c>
    </row>
    <row r="35" spans="1:9" x14ac:dyDescent="0.25">
      <c r="A35">
        <v>34</v>
      </c>
      <c r="B35" s="12" t="s">
        <v>413</v>
      </c>
      <c r="C35" t="s">
        <v>414</v>
      </c>
      <c r="D35" s="1" t="s">
        <v>236</v>
      </c>
      <c r="E35" t="s">
        <v>415</v>
      </c>
      <c r="F35" s="5" t="s">
        <v>442</v>
      </c>
      <c r="G35" t="s">
        <v>314</v>
      </c>
      <c r="H35" s="6">
        <v>173538.17</v>
      </c>
      <c r="I35" t="s">
        <v>1209</v>
      </c>
    </row>
    <row r="36" spans="1:9" x14ac:dyDescent="0.25">
      <c r="A36">
        <v>35</v>
      </c>
      <c r="B36" s="14" t="s">
        <v>416</v>
      </c>
      <c r="C36" t="s">
        <v>417</v>
      </c>
      <c r="D36" s="1" t="s">
        <v>236</v>
      </c>
      <c r="E36" t="s">
        <v>418</v>
      </c>
      <c r="F36" s="5" t="s">
        <v>434</v>
      </c>
      <c r="G36" t="s">
        <v>419</v>
      </c>
      <c r="H36" s="6">
        <v>95774.61</v>
      </c>
      <c r="I36" t="s">
        <v>1243</v>
      </c>
    </row>
    <row r="37" spans="1:9" x14ac:dyDescent="0.25">
      <c r="A37">
        <v>36</v>
      </c>
      <c r="B37" s="12" t="s">
        <v>420</v>
      </c>
      <c r="C37" t="s">
        <v>421</v>
      </c>
      <c r="D37" s="1" t="s">
        <v>238</v>
      </c>
      <c r="E37" t="s">
        <v>365</v>
      </c>
      <c r="F37" s="5" t="s">
        <v>434</v>
      </c>
      <c r="G37" t="s">
        <v>310</v>
      </c>
      <c r="H37" s="6">
        <v>46655.15</v>
      </c>
      <c r="I37" t="s">
        <v>1261</v>
      </c>
    </row>
    <row r="38" spans="1:9" x14ac:dyDescent="0.25">
      <c r="A38">
        <v>37</v>
      </c>
      <c r="B38" s="14" t="s">
        <v>422</v>
      </c>
      <c r="C38" t="s">
        <v>423</v>
      </c>
      <c r="D38" s="1" t="s">
        <v>240</v>
      </c>
      <c r="E38" t="s">
        <v>424</v>
      </c>
      <c r="F38" s="5" t="s">
        <v>440</v>
      </c>
      <c r="G38" t="s">
        <v>310</v>
      </c>
      <c r="H38" s="6">
        <v>8953.57</v>
      </c>
      <c r="I38" t="s">
        <v>954</v>
      </c>
    </row>
    <row r="39" spans="1:9" x14ac:dyDescent="0.25">
      <c r="A39">
        <v>38</v>
      </c>
      <c r="B39" s="12" t="s">
        <v>425</v>
      </c>
      <c r="C39" t="s">
        <v>426</v>
      </c>
      <c r="D39" s="1" t="s">
        <v>236</v>
      </c>
      <c r="E39" t="s">
        <v>326</v>
      </c>
      <c r="F39" s="5" t="s">
        <v>440</v>
      </c>
      <c r="G39" t="s">
        <v>314</v>
      </c>
      <c r="H39" s="6">
        <v>48556.67</v>
      </c>
      <c r="I39" t="s">
        <v>1261</v>
      </c>
    </row>
    <row r="40" spans="1:9" x14ac:dyDescent="0.25">
      <c r="A40">
        <v>39</v>
      </c>
      <c r="B40" s="14" t="s">
        <v>427</v>
      </c>
      <c r="C40" t="s">
        <v>428</v>
      </c>
      <c r="D40" s="1" t="s">
        <v>240</v>
      </c>
      <c r="E40" t="s">
        <v>429</v>
      </c>
      <c r="F40" s="5" t="s">
        <v>437</v>
      </c>
      <c r="G40" t="s">
        <v>430</v>
      </c>
      <c r="H40" s="6">
        <v>19358.16</v>
      </c>
      <c r="I40" t="s">
        <v>954</v>
      </c>
    </row>
    <row r="41" spans="1:9" x14ac:dyDescent="0.25">
      <c r="A41">
        <v>40</v>
      </c>
      <c r="B41" s="12" t="s">
        <v>431</v>
      </c>
      <c r="C41" t="s">
        <v>432</v>
      </c>
      <c r="D41" s="1" t="s">
        <v>240</v>
      </c>
      <c r="E41" t="s">
        <v>433</v>
      </c>
      <c r="F41" s="5" t="s">
        <v>443</v>
      </c>
      <c r="G41" t="s">
        <v>310</v>
      </c>
      <c r="H41" s="6">
        <v>6113.98</v>
      </c>
      <c r="I41" t="s">
        <v>1334</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O399"/>
  <sheetViews>
    <sheetView topLeftCell="A27" workbookViewId="0">
      <selection activeCell="B119" sqref="B11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1363</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1364</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1364</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1364</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1364</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1364</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1364</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262</v>
      </c>
      <c r="M39" s="4"/>
      <c r="N39" s="4"/>
      <c r="O39" t="s">
        <v>1364</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1620</v>
      </c>
      <c r="O42" t="s">
        <v>1364</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1364</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1362</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1364</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1364</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1364</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1364</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1364</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1364</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832</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838</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834</v>
      </c>
      <c r="L122" s="4" t="s">
        <v>262</v>
      </c>
      <c r="M122" s="4"/>
      <c r="N122" s="4"/>
      <c r="O122" t="s">
        <v>1364</v>
      </c>
    </row>
    <row r="123" spans="1:15" x14ac:dyDescent="0.25">
      <c r="A123" s="4">
        <v>95</v>
      </c>
      <c r="B123" s="4">
        <v>15</v>
      </c>
      <c r="C123" s="4" t="s">
        <v>815</v>
      </c>
      <c r="D123" s="4" t="s">
        <v>247</v>
      </c>
      <c r="E123" s="4" t="s">
        <v>793</v>
      </c>
      <c r="F123" s="4" t="s">
        <v>449</v>
      </c>
      <c r="G123" s="4" t="s">
        <v>449</v>
      </c>
      <c r="H123" s="4" t="s">
        <v>258</v>
      </c>
      <c r="I123" s="4" t="s">
        <v>816</v>
      </c>
      <c r="J123" s="4" t="s">
        <v>768</v>
      </c>
      <c r="K123" s="4" t="s">
        <v>833</v>
      </c>
      <c r="L123" s="4" t="s">
        <v>262</v>
      </c>
      <c r="M123" s="4"/>
      <c r="N123" s="4"/>
    </row>
    <row r="124" spans="1:15" x14ac:dyDescent="0.25">
      <c r="A124" s="4">
        <v>96</v>
      </c>
      <c r="B124" s="4">
        <v>15</v>
      </c>
      <c r="C124" s="4" t="s">
        <v>817</v>
      </c>
      <c r="D124" s="4" t="s">
        <v>250</v>
      </c>
      <c r="E124" s="4" t="s">
        <v>793</v>
      </c>
      <c r="F124" s="4">
        <v>2024</v>
      </c>
      <c r="G124" s="4" t="s">
        <v>819</v>
      </c>
      <c r="H124" s="4" t="s">
        <v>258</v>
      </c>
      <c r="I124" s="4" t="s">
        <v>818</v>
      </c>
      <c r="J124" s="4" t="s">
        <v>768</v>
      </c>
      <c r="K124" s="4" t="s">
        <v>839</v>
      </c>
      <c r="L124" s="4" t="s">
        <v>262</v>
      </c>
      <c r="M124" s="4"/>
      <c r="N124" s="4"/>
    </row>
    <row r="125" spans="1:15" x14ac:dyDescent="0.25">
      <c r="A125" s="4">
        <v>97</v>
      </c>
      <c r="B125" s="4">
        <v>15</v>
      </c>
      <c r="C125" s="4" t="s">
        <v>835</v>
      </c>
      <c r="D125" s="4" t="s">
        <v>253</v>
      </c>
      <c r="E125" s="4" t="s">
        <v>793</v>
      </c>
      <c r="F125" s="10">
        <v>45324</v>
      </c>
      <c r="G125" s="4" t="s">
        <v>449</v>
      </c>
      <c r="H125" s="4" t="s">
        <v>258</v>
      </c>
      <c r="I125" s="4" t="s">
        <v>837</v>
      </c>
      <c r="J125" s="4" t="s">
        <v>768</v>
      </c>
      <c r="K125" s="4" t="s">
        <v>836</v>
      </c>
      <c r="L125" s="4" t="s">
        <v>262</v>
      </c>
      <c r="M125" s="4"/>
      <c r="N125" s="4"/>
    </row>
    <row r="126" spans="1:15" hidden="1" x14ac:dyDescent="0.25">
      <c r="A126">
        <v>98</v>
      </c>
      <c r="B126">
        <v>16</v>
      </c>
      <c r="C126" t="s">
        <v>849</v>
      </c>
      <c r="D126" s="1" t="s">
        <v>254</v>
      </c>
      <c r="E126" t="s">
        <v>846</v>
      </c>
      <c r="F126" t="s">
        <v>848</v>
      </c>
      <c r="G126" t="s">
        <v>449</v>
      </c>
      <c r="H126" s="1" t="s">
        <v>258</v>
      </c>
      <c r="I126" t="s">
        <v>847</v>
      </c>
      <c r="J126" t="s">
        <v>844</v>
      </c>
      <c r="K126" t="s">
        <v>850</v>
      </c>
      <c r="L126" s="1" t="s">
        <v>263</v>
      </c>
      <c r="M126" s="1" t="s">
        <v>270</v>
      </c>
      <c r="N126" t="s">
        <v>851</v>
      </c>
    </row>
    <row r="127" spans="1:15" hidden="1" x14ac:dyDescent="0.25">
      <c r="A127">
        <v>99</v>
      </c>
      <c r="B127">
        <v>16</v>
      </c>
      <c r="C127" t="s">
        <v>841</v>
      </c>
      <c r="D127" s="1" t="s">
        <v>249</v>
      </c>
      <c r="E127" t="s">
        <v>846</v>
      </c>
      <c r="F127" t="s">
        <v>449</v>
      </c>
      <c r="G127" t="s">
        <v>449</v>
      </c>
      <c r="H127" s="1" t="s">
        <v>258</v>
      </c>
      <c r="I127" t="s">
        <v>852</v>
      </c>
      <c r="J127" t="s">
        <v>844</v>
      </c>
      <c r="K127" t="s">
        <v>853</v>
      </c>
      <c r="L127" s="1" t="s">
        <v>263</v>
      </c>
      <c r="M127" s="1" t="s">
        <v>266</v>
      </c>
    </row>
    <row r="128" spans="1:15" hidden="1" x14ac:dyDescent="0.25">
      <c r="A128">
        <v>100</v>
      </c>
      <c r="B128">
        <v>16</v>
      </c>
      <c r="C128" t="s">
        <v>842</v>
      </c>
      <c r="D128" s="1" t="s">
        <v>249</v>
      </c>
      <c r="E128" t="s">
        <v>846</v>
      </c>
      <c r="F128">
        <v>2023</v>
      </c>
      <c r="G128" t="s">
        <v>449</v>
      </c>
      <c r="H128" s="1" t="s">
        <v>258</v>
      </c>
      <c r="I128" t="s">
        <v>854</v>
      </c>
      <c r="J128" t="s">
        <v>844</v>
      </c>
      <c r="K128" t="s">
        <v>855</v>
      </c>
      <c r="L128" s="1" t="s">
        <v>263</v>
      </c>
      <c r="M128" s="1" t="s">
        <v>266</v>
      </c>
    </row>
    <row r="129" spans="1:14" hidden="1" x14ac:dyDescent="0.25">
      <c r="A129">
        <v>101</v>
      </c>
      <c r="B129">
        <v>16</v>
      </c>
      <c r="C129" t="s">
        <v>843</v>
      </c>
      <c r="D129" s="1" t="s">
        <v>252</v>
      </c>
      <c r="E129" t="s">
        <v>846</v>
      </c>
      <c r="F129">
        <v>2024</v>
      </c>
      <c r="G129" t="s">
        <v>449</v>
      </c>
      <c r="H129" s="1" t="s">
        <v>258</v>
      </c>
      <c r="I129" t="s">
        <v>857</v>
      </c>
      <c r="J129" t="s">
        <v>844</v>
      </c>
      <c r="K129" t="s">
        <v>856</v>
      </c>
      <c r="L129" s="1" t="s">
        <v>263</v>
      </c>
      <c r="M129" s="1" t="s">
        <v>266</v>
      </c>
    </row>
    <row r="130" spans="1:14" hidden="1" x14ac:dyDescent="0.25">
      <c r="A130" s="7"/>
      <c r="B130" s="7">
        <v>16</v>
      </c>
      <c r="C130" s="7"/>
      <c r="D130" s="7" t="s">
        <v>246</v>
      </c>
      <c r="E130" s="7" t="s">
        <v>846</v>
      </c>
      <c r="F130" s="7"/>
      <c r="G130" s="7"/>
      <c r="H130" s="7"/>
      <c r="I130" s="7"/>
      <c r="J130" s="7"/>
      <c r="K130" s="7"/>
      <c r="L130" s="7" t="s">
        <v>264</v>
      </c>
      <c r="M130" s="7"/>
      <c r="N130" s="7" t="s">
        <v>845</v>
      </c>
    </row>
    <row r="131" spans="1:14" hidden="1" x14ac:dyDescent="0.25">
      <c r="A131" s="7"/>
      <c r="B131" s="7">
        <v>16</v>
      </c>
      <c r="C131" s="7"/>
      <c r="D131" s="7" t="s">
        <v>247</v>
      </c>
      <c r="E131" s="7" t="s">
        <v>846</v>
      </c>
      <c r="F131" s="7"/>
      <c r="G131" s="7"/>
      <c r="H131" s="7"/>
      <c r="I131" s="7"/>
      <c r="J131" s="7"/>
      <c r="K131" s="7"/>
      <c r="L131" s="7" t="s">
        <v>264</v>
      </c>
      <c r="M131" s="7"/>
      <c r="N131" s="7" t="s">
        <v>845</v>
      </c>
    </row>
    <row r="132" spans="1:14" hidden="1" x14ac:dyDescent="0.25">
      <c r="A132" s="7"/>
      <c r="B132" s="7">
        <v>16</v>
      </c>
      <c r="C132" s="7"/>
      <c r="D132" s="7" t="s">
        <v>248</v>
      </c>
      <c r="E132" s="7" t="s">
        <v>846</v>
      </c>
      <c r="F132" s="7"/>
      <c r="G132" s="7"/>
      <c r="H132" s="7"/>
      <c r="I132" s="7"/>
      <c r="J132" s="7"/>
      <c r="K132" s="7"/>
      <c r="L132" s="7" t="s">
        <v>264</v>
      </c>
      <c r="M132" s="7"/>
      <c r="N132" s="7" t="s">
        <v>845</v>
      </c>
    </row>
    <row r="133" spans="1:14" x14ac:dyDescent="0.25">
      <c r="A133" s="4">
        <v>102</v>
      </c>
      <c r="B133" s="4">
        <v>17</v>
      </c>
      <c r="C133" s="4" t="s">
        <v>859</v>
      </c>
      <c r="D133" s="4" t="s">
        <v>247</v>
      </c>
      <c r="E133" s="4" t="s">
        <v>359</v>
      </c>
      <c r="F133" s="4" t="s">
        <v>871</v>
      </c>
      <c r="G133" s="4" t="s">
        <v>736</v>
      </c>
      <c r="H133" s="4" t="s">
        <v>258</v>
      </c>
      <c r="I133" s="4" t="s">
        <v>865</v>
      </c>
      <c r="J133" s="4" t="s">
        <v>844</v>
      </c>
      <c r="K133" s="4" t="s">
        <v>872</v>
      </c>
      <c r="L133" s="4" t="s">
        <v>262</v>
      </c>
      <c r="M133" s="4"/>
      <c r="N133" s="4" t="s">
        <v>864</v>
      </c>
    </row>
    <row r="134" spans="1:14" hidden="1" x14ac:dyDescent="0.25">
      <c r="A134">
        <v>103</v>
      </c>
      <c r="B134">
        <v>17</v>
      </c>
      <c r="C134" t="s">
        <v>860</v>
      </c>
      <c r="D134" s="1" t="s">
        <v>249</v>
      </c>
      <c r="E134" t="s">
        <v>359</v>
      </c>
      <c r="F134">
        <v>2025</v>
      </c>
      <c r="G134" t="s">
        <v>449</v>
      </c>
      <c r="H134" s="1" t="s">
        <v>258</v>
      </c>
      <c r="I134" t="s">
        <v>866</v>
      </c>
      <c r="J134" t="s">
        <v>844</v>
      </c>
      <c r="K134" t="s">
        <v>874</v>
      </c>
      <c r="L134" s="1" t="s">
        <v>263</v>
      </c>
      <c r="M134" s="1" t="s">
        <v>267</v>
      </c>
      <c r="N134" t="s">
        <v>873</v>
      </c>
    </row>
    <row r="135" spans="1:14" hidden="1" x14ac:dyDescent="0.25">
      <c r="A135">
        <v>104</v>
      </c>
      <c r="B135">
        <v>17</v>
      </c>
      <c r="C135" t="s">
        <v>861</v>
      </c>
      <c r="D135" s="1" t="s">
        <v>252</v>
      </c>
      <c r="E135" t="s">
        <v>359</v>
      </c>
      <c r="F135" t="s">
        <v>449</v>
      </c>
      <c r="G135" t="s">
        <v>449</v>
      </c>
      <c r="H135" s="1" t="s">
        <v>258</v>
      </c>
      <c r="I135" t="s">
        <v>867</v>
      </c>
      <c r="J135" t="s">
        <v>844</v>
      </c>
      <c r="K135" t="s">
        <v>875</v>
      </c>
      <c r="L135" s="1" t="s">
        <v>263</v>
      </c>
      <c r="M135" s="1" t="s">
        <v>267</v>
      </c>
      <c r="N135" t="s">
        <v>876</v>
      </c>
    </row>
    <row r="136" spans="1:14" hidden="1" x14ac:dyDescent="0.25">
      <c r="A136">
        <v>105</v>
      </c>
      <c r="B136">
        <v>17</v>
      </c>
      <c r="C136" t="s">
        <v>862</v>
      </c>
      <c r="D136" s="1" t="s">
        <v>253</v>
      </c>
      <c r="E136" t="s">
        <v>359</v>
      </c>
      <c r="F136" t="s">
        <v>449</v>
      </c>
      <c r="G136" t="s">
        <v>449</v>
      </c>
      <c r="H136" s="1" t="s">
        <v>258</v>
      </c>
      <c r="I136" t="s">
        <v>868</v>
      </c>
      <c r="J136" t="s">
        <v>844</v>
      </c>
      <c r="K136" t="s">
        <v>877</v>
      </c>
      <c r="L136" s="1" t="s">
        <v>263</v>
      </c>
      <c r="M136" s="1" t="s">
        <v>266</v>
      </c>
    </row>
    <row r="137" spans="1:14" hidden="1" x14ac:dyDescent="0.25">
      <c r="A137">
        <v>106</v>
      </c>
      <c r="B137">
        <v>17</v>
      </c>
      <c r="C137" t="s">
        <v>863</v>
      </c>
      <c r="D137" s="1" t="s">
        <v>254</v>
      </c>
      <c r="E137" t="s">
        <v>359</v>
      </c>
      <c r="F137" t="s">
        <v>764</v>
      </c>
      <c r="G137" t="s">
        <v>449</v>
      </c>
      <c r="H137" s="1" t="s">
        <v>258</v>
      </c>
      <c r="I137" t="s">
        <v>869</v>
      </c>
      <c r="J137" t="s">
        <v>844</v>
      </c>
      <c r="K137" t="s">
        <v>878</v>
      </c>
      <c r="L137" s="1" t="s">
        <v>263</v>
      </c>
      <c r="M137" s="1" t="s">
        <v>270</v>
      </c>
    </row>
    <row r="138" spans="1:14" hidden="1" x14ac:dyDescent="0.25">
      <c r="A138">
        <v>107</v>
      </c>
      <c r="B138">
        <v>18</v>
      </c>
      <c r="C138" t="s">
        <v>880</v>
      </c>
      <c r="D138" s="1" t="s">
        <v>249</v>
      </c>
      <c r="E138" t="s">
        <v>363</v>
      </c>
      <c r="F138" t="s">
        <v>449</v>
      </c>
      <c r="G138" t="s">
        <v>449</v>
      </c>
      <c r="H138" s="1" t="s">
        <v>258</v>
      </c>
      <c r="I138" t="s">
        <v>870</v>
      </c>
      <c r="J138" t="s">
        <v>844</v>
      </c>
      <c r="K138" t="s">
        <v>890</v>
      </c>
      <c r="L138" s="1" t="s">
        <v>263</v>
      </c>
      <c r="M138" s="1" t="s">
        <v>266</v>
      </c>
    </row>
    <row r="139" spans="1:14" hidden="1" x14ac:dyDescent="0.25">
      <c r="A139">
        <v>108</v>
      </c>
      <c r="B139">
        <v>18</v>
      </c>
      <c r="C139" t="s">
        <v>881</v>
      </c>
      <c r="D139" s="1" t="s">
        <v>253</v>
      </c>
      <c r="E139" t="s">
        <v>363</v>
      </c>
      <c r="F139" t="s">
        <v>449</v>
      </c>
      <c r="G139" t="s">
        <v>449</v>
      </c>
      <c r="H139" s="1" t="s">
        <v>258</v>
      </c>
      <c r="I139" t="s">
        <v>870</v>
      </c>
      <c r="J139" t="s">
        <v>844</v>
      </c>
      <c r="K139" t="s">
        <v>891</v>
      </c>
      <c r="L139" s="1" t="s">
        <v>263</v>
      </c>
      <c r="M139" s="1" t="s">
        <v>266</v>
      </c>
    </row>
    <row r="140" spans="1:14" hidden="1" x14ac:dyDescent="0.25">
      <c r="A140">
        <v>109</v>
      </c>
      <c r="B140">
        <v>18</v>
      </c>
      <c r="C140" t="s">
        <v>882</v>
      </c>
      <c r="D140" s="1" t="s">
        <v>249</v>
      </c>
      <c r="E140" t="s">
        <v>363</v>
      </c>
      <c r="F140" t="s">
        <v>449</v>
      </c>
      <c r="G140" t="s">
        <v>449</v>
      </c>
      <c r="H140" s="1" t="s">
        <v>258</v>
      </c>
      <c r="I140" t="s">
        <v>886</v>
      </c>
      <c r="J140" t="s">
        <v>844</v>
      </c>
      <c r="K140" t="s">
        <v>892</v>
      </c>
      <c r="L140" s="1" t="s">
        <v>263</v>
      </c>
      <c r="M140" s="1" t="s">
        <v>266</v>
      </c>
    </row>
    <row r="141" spans="1:14" hidden="1" x14ac:dyDescent="0.25">
      <c r="A141">
        <v>110</v>
      </c>
      <c r="B141">
        <v>18</v>
      </c>
      <c r="C141" t="s">
        <v>883</v>
      </c>
      <c r="D141" s="1" t="s">
        <v>254</v>
      </c>
      <c r="E141" t="s">
        <v>363</v>
      </c>
      <c r="F141" t="s">
        <v>449</v>
      </c>
      <c r="G141" t="s">
        <v>449</v>
      </c>
      <c r="H141" s="1" t="s">
        <v>258</v>
      </c>
      <c r="I141" t="s">
        <v>889</v>
      </c>
      <c r="J141" t="s">
        <v>844</v>
      </c>
      <c r="K141" t="s">
        <v>893</v>
      </c>
      <c r="L141" s="1" t="s">
        <v>263</v>
      </c>
      <c r="M141" s="1" t="s">
        <v>270</v>
      </c>
    </row>
    <row r="142" spans="1:14" hidden="1" x14ac:dyDescent="0.25">
      <c r="A142">
        <v>111</v>
      </c>
      <c r="B142">
        <v>18</v>
      </c>
      <c r="C142" t="s">
        <v>884</v>
      </c>
      <c r="D142" s="1" t="s">
        <v>254</v>
      </c>
      <c r="E142" t="s">
        <v>363</v>
      </c>
      <c r="F142" t="s">
        <v>449</v>
      </c>
      <c r="G142" t="s">
        <v>449</v>
      </c>
      <c r="H142" s="1" t="s">
        <v>258</v>
      </c>
      <c r="I142" t="s">
        <v>888</v>
      </c>
      <c r="J142" t="s">
        <v>844</v>
      </c>
      <c r="K142" t="s">
        <v>894</v>
      </c>
      <c r="L142" s="1" t="s">
        <v>263</v>
      </c>
      <c r="M142" s="1" t="s">
        <v>270</v>
      </c>
    </row>
    <row r="143" spans="1:14" hidden="1" x14ac:dyDescent="0.25">
      <c r="A143">
        <v>112</v>
      </c>
      <c r="B143">
        <v>18</v>
      </c>
      <c r="C143" t="s">
        <v>885</v>
      </c>
      <c r="D143" s="1" t="s">
        <v>254</v>
      </c>
      <c r="E143" t="s">
        <v>363</v>
      </c>
      <c r="F143" t="s">
        <v>895</v>
      </c>
      <c r="G143" t="s">
        <v>449</v>
      </c>
      <c r="H143" s="1" t="s">
        <v>258</v>
      </c>
      <c r="I143" t="s">
        <v>887</v>
      </c>
      <c r="J143" t="s">
        <v>844</v>
      </c>
      <c r="K143" t="s">
        <v>896</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845</v>
      </c>
    </row>
    <row r="145" spans="1:14" hidden="1" x14ac:dyDescent="0.25">
      <c r="A145" s="7"/>
      <c r="B145" s="7">
        <v>18</v>
      </c>
      <c r="C145" s="7"/>
      <c r="D145" s="7" t="s">
        <v>247</v>
      </c>
      <c r="E145" s="7" t="s">
        <v>363</v>
      </c>
      <c r="F145" s="7"/>
      <c r="G145" s="7"/>
      <c r="H145" s="7"/>
      <c r="I145" s="7"/>
      <c r="J145" s="7"/>
      <c r="K145" s="7"/>
      <c r="L145" s="7" t="s">
        <v>264</v>
      </c>
      <c r="M145" s="7"/>
      <c r="N145" s="7" t="s">
        <v>845</v>
      </c>
    </row>
    <row r="146" spans="1:14" hidden="1" x14ac:dyDescent="0.25">
      <c r="A146" s="7"/>
      <c r="B146" s="7">
        <v>18</v>
      </c>
      <c r="C146" s="7"/>
      <c r="D146" s="7" t="s">
        <v>248</v>
      </c>
      <c r="E146" s="7" t="s">
        <v>363</v>
      </c>
      <c r="F146" s="7"/>
      <c r="G146" s="7"/>
      <c r="H146" s="7"/>
      <c r="I146" s="7"/>
      <c r="J146" s="7"/>
      <c r="K146" s="7"/>
      <c r="L146" s="7" t="s">
        <v>264</v>
      </c>
      <c r="M146" s="7"/>
      <c r="N146" s="7" t="s">
        <v>845</v>
      </c>
    </row>
    <row r="147" spans="1:14" x14ac:dyDescent="0.25">
      <c r="A147" s="4">
        <v>113</v>
      </c>
      <c r="B147" s="4">
        <v>19</v>
      </c>
      <c r="C147" s="4" t="s">
        <v>898</v>
      </c>
      <c r="D147" s="4" t="s">
        <v>247</v>
      </c>
      <c r="E147" s="4" t="s">
        <v>367</v>
      </c>
      <c r="F147" s="4" t="s">
        <v>449</v>
      </c>
      <c r="G147" s="4" t="s">
        <v>449</v>
      </c>
      <c r="H147" s="4" t="s">
        <v>258</v>
      </c>
      <c r="I147" s="4" t="s">
        <v>909</v>
      </c>
      <c r="J147" s="4" t="s">
        <v>844</v>
      </c>
      <c r="K147" s="4" t="s">
        <v>916</v>
      </c>
      <c r="L147" s="4" t="s">
        <v>262</v>
      </c>
      <c r="M147" s="4"/>
      <c r="N147" s="4"/>
    </row>
    <row r="148" spans="1:14" hidden="1" x14ac:dyDescent="0.25">
      <c r="A148">
        <v>114</v>
      </c>
      <c r="B148">
        <v>19</v>
      </c>
      <c r="C148" t="s">
        <v>899</v>
      </c>
      <c r="D148" s="1" t="s">
        <v>255</v>
      </c>
      <c r="E148" t="s">
        <v>367</v>
      </c>
      <c r="F148" t="s">
        <v>917</v>
      </c>
      <c r="G148">
        <v>4</v>
      </c>
      <c r="H148" s="1" t="s">
        <v>258</v>
      </c>
      <c r="I148" t="s">
        <v>910</v>
      </c>
      <c r="J148" t="s">
        <v>844</v>
      </c>
      <c r="K148" t="s">
        <v>918</v>
      </c>
      <c r="L148" s="1" t="s">
        <v>263</v>
      </c>
      <c r="M148" s="1" t="s">
        <v>266</v>
      </c>
    </row>
    <row r="149" spans="1:14" hidden="1" x14ac:dyDescent="0.25">
      <c r="A149">
        <v>115</v>
      </c>
      <c r="B149">
        <v>19</v>
      </c>
      <c r="C149" t="s">
        <v>900</v>
      </c>
      <c r="D149" s="1" t="s">
        <v>255</v>
      </c>
      <c r="E149" t="s">
        <v>367</v>
      </c>
      <c r="F149" t="s">
        <v>919</v>
      </c>
      <c r="G149">
        <v>1</v>
      </c>
      <c r="H149" s="1" t="s">
        <v>258</v>
      </c>
      <c r="I149" t="s">
        <v>911</v>
      </c>
      <c r="J149" t="s">
        <v>844</v>
      </c>
      <c r="K149" t="s">
        <v>920</v>
      </c>
      <c r="L149" s="1" t="s">
        <v>263</v>
      </c>
      <c r="M149" s="1" t="s">
        <v>266</v>
      </c>
    </row>
    <row r="150" spans="1:14" hidden="1" x14ac:dyDescent="0.25">
      <c r="A150">
        <v>116</v>
      </c>
      <c r="B150">
        <v>19</v>
      </c>
      <c r="C150" t="s">
        <v>901</v>
      </c>
      <c r="D150" s="1" t="s">
        <v>255</v>
      </c>
      <c r="E150" t="s">
        <v>367</v>
      </c>
      <c r="F150" t="s">
        <v>921</v>
      </c>
      <c r="G150">
        <v>4</v>
      </c>
      <c r="H150" s="1" t="s">
        <v>258</v>
      </c>
      <c r="I150" t="s">
        <v>912</v>
      </c>
      <c r="J150" t="s">
        <v>844</v>
      </c>
      <c r="K150" t="s">
        <v>922</v>
      </c>
      <c r="L150" s="1" t="s">
        <v>263</v>
      </c>
      <c r="M150" s="1" t="s">
        <v>266</v>
      </c>
    </row>
    <row r="151" spans="1:14" hidden="1" x14ac:dyDescent="0.25">
      <c r="A151">
        <v>117</v>
      </c>
      <c r="B151">
        <v>19</v>
      </c>
      <c r="C151" t="s">
        <v>902</v>
      </c>
      <c r="D151" s="1" t="s">
        <v>249</v>
      </c>
      <c r="E151" t="s">
        <v>367</v>
      </c>
      <c r="F151" s="8">
        <v>45717</v>
      </c>
      <c r="G151" t="s">
        <v>903</v>
      </c>
      <c r="H151" s="1" t="s">
        <v>258</v>
      </c>
      <c r="I151" t="s">
        <v>913</v>
      </c>
      <c r="J151" t="s">
        <v>844</v>
      </c>
      <c r="K151" t="s">
        <v>923</v>
      </c>
      <c r="L151" s="1" t="s">
        <v>263</v>
      </c>
      <c r="M151" s="1" t="s">
        <v>266</v>
      </c>
    </row>
    <row r="152" spans="1:14" hidden="1" x14ac:dyDescent="0.25">
      <c r="A152">
        <v>118</v>
      </c>
      <c r="B152">
        <v>19</v>
      </c>
      <c r="C152" t="s">
        <v>904</v>
      </c>
      <c r="D152" s="1" t="s">
        <v>254</v>
      </c>
      <c r="E152" t="s">
        <v>367</v>
      </c>
      <c r="F152" t="s">
        <v>905</v>
      </c>
      <c r="G152" t="s">
        <v>449</v>
      </c>
      <c r="H152" s="1" t="s">
        <v>258</v>
      </c>
      <c r="I152" t="s">
        <v>914</v>
      </c>
      <c r="J152" t="s">
        <v>844</v>
      </c>
      <c r="K152" t="s">
        <v>924</v>
      </c>
      <c r="L152" s="1" t="s">
        <v>263</v>
      </c>
      <c r="M152" s="1" t="s">
        <v>266</v>
      </c>
    </row>
    <row r="153" spans="1:14" hidden="1" x14ac:dyDescent="0.25">
      <c r="A153">
        <v>119</v>
      </c>
      <c r="B153">
        <v>19</v>
      </c>
      <c r="C153" t="s">
        <v>906</v>
      </c>
      <c r="D153" s="1" t="s">
        <v>254</v>
      </c>
      <c r="E153" t="s">
        <v>367</v>
      </c>
      <c r="F153" t="s">
        <v>907</v>
      </c>
      <c r="G153" t="s">
        <v>449</v>
      </c>
      <c r="H153" s="1" t="s">
        <v>258</v>
      </c>
      <c r="I153" t="s">
        <v>915</v>
      </c>
      <c r="J153" t="s">
        <v>844</v>
      </c>
      <c r="K153" t="s">
        <v>925</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908</v>
      </c>
    </row>
    <row r="155" spans="1:14" hidden="1" x14ac:dyDescent="0.25">
      <c r="A155" s="7"/>
      <c r="B155" s="7">
        <v>19</v>
      </c>
      <c r="C155" s="7"/>
      <c r="D155" s="7" t="s">
        <v>248</v>
      </c>
      <c r="E155" s="7" t="s">
        <v>367</v>
      </c>
      <c r="F155" s="7"/>
      <c r="G155" s="7"/>
      <c r="H155" s="7"/>
      <c r="I155" s="7"/>
      <c r="J155" s="7"/>
      <c r="K155" s="7"/>
      <c r="L155" s="7" t="s">
        <v>264</v>
      </c>
      <c r="M155" s="7"/>
      <c r="N155" s="7" t="s">
        <v>908</v>
      </c>
    </row>
    <row r="156" spans="1:14" hidden="1" x14ac:dyDescent="0.25">
      <c r="A156">
        <v>120</v>
      </c>
      <c r="B156">
        <v>20</v>
      </c>
      <c r="C156" t="s">
        <v>929</v>
      </c>
      <c r="D156" s="1" t="s">
        <v>249</v>
      </c>
      <c r="E156" t="s">
        <v>926</v>
      </c>
      <c r="F156" t="s">
        <v>449</v>
      </c>
      <c r="G156" t="s">
        <v>449</v>
      </c>
      <c r="H156" s="1" t="s">
        <v>258</v>
      </c>
      <c r="I156" t="s">
        <v>937</v>
      </c>
      <c r="J156" t="s">
        <v>844</v>
      </c>
      <c r="K156" t="s">
        <v>945</v>
      </c>
      <c r="L156" s="1" t="s">
        <v>263</v>
      </c>
      <c r="M156" s="1" t="s">
        <v>266</v>
      </c>
    </row>
    <row r="157" spans="1:14" hidden="1" x14ac:dyDescent="0.25">
      <c r="A157">
        <v>121</v>
      </c>
      <c r="B157">
        <v>20</v>
      </c>
      <c r="C157" t="s">
        <v>930</v>
      </c>
      <c r="D157" s="1" t="s">
        <v>249</v>
      </c>
      <c r="E157" t="s">
        <v>926</v>
      </c>
      <c r="F157" t="s">
        <v>449</v>
      </c>
      <c r="G157" t="s">
        <v>449</v>
      </c>
      <c r="H157" s="1" t="s">
        <v>258</v>
      </c>
      <c r="I157" t="s">
        <v>938</v>
      </c>
      <c r="J157" t="s">
        <v>844</v>
      </c>
      <c r="K157" t="s">
        <v>946</v>
      </c>
      <c r="L157" s="1" t="s">
        <v>263</v>
      </c>
      <c r="M157" s="1" t="s">
        <v>266</v>
      </c>
    </row>
    <row r="158" spans="1:14" x14ac:dyDescent="0.25">
      <c r="A158" s="4">
        <v>122</v>
      </c>
      <c r="B158" s="4">
        <v>20</v>
      </c>
      <c r="C158" s="4" t="s">
        <v>931</v>
      </c>
      <c r="D158" s="4" t="s">
        <v>255</v>
      </c>
      <c r="E158" s="4" t="s">
        <v>926</v>
      </c>
      <c r="F158" s="4" t="s">
        <v>449</v>
      </c>
      <c r="G158" s="4" t="s">
        <v>449</v>
      </c>
      <c r="H158" s="4" t="s">
        <v>258</v>
      </c>
      <c r="I158" s="4" t="s">
        <v>939</v>
      </c>
      <c r="J158" s="4" t="s">
        <v>844</v>
      </c>
      <c r="K158" s="4" t="s">
        <v>947</v>
      </c>
      <c r="L158" s="4" t="s">
        <v>262</v>
      </c>
      <c r="M158" s="4"/>
      <c r="N158" s="4" t="s">
        <v>928</v>
      </c>
    </row>
    <row r="159" spans="1:14" hidden="1" x14ac:dyDescent="0.25">
      <c r="A159">
        <v>123</v>
      </c>
      <c r="B159">
        <v>20</v>
      </c>
      <c r="C159" t="s">
        <v>932</v>
      </c>
      <c r="D159" s="1" t="s">
        <v>252</v>
      </c>
      <c r="E159" t="s">
        <v>926</v>
      </c>
      <c r="F159">
        <v>2023</v>
      </c>
      <c r="G159" t="s">
        <v>449</v>
      </c>
      <c r="H159" s="1" t="s">
        <v>258</v>
      </c>
      <c r="I159" t="s">
        <v>940</v>
      </c>
      <c r="J159" t="s">
        <v>844</v>
      </c>
      <c r="K159" t="s">
        <v>948</v>
      </c>
      <c r="L159" s="1" t="s">
        <v>263</v>
      </c>
      <c r="M159" s="1" t="s">
        <v>266</v>
      </c>
    </row>
    <row r="160" spans="1:14" hidden="1" x14ac:dyDescent="0.25">
      <c r="A160">
        <v>124</v>
      </c>
      <c r="B160">
        <v>20</v>
      </c>
      <c r="C160" t="s">
        <v>933</v>
      </c>
      <c r="D160" s="1" t="s">
        <v>251</v>
      </c>
      <c r="E160" t="s">
        <v>926</v>
      </c>
      <c r="F160" t="s">
        <v>449</v>
      </c>
      <c r="G160" t="s">
        <v>449</v>
      </c>
      <c r="H160" s="1" t="s">
        <v>258</v>
      </c>
      <c r="I160" t="s">
        <v>941</v>
      </c>
      <c r="J160" t="s">
        <v>844</v>
      </c>
      <c r="K160" t="s">
        <v>949</v>
      </c>
      <c r="L160" s="1" t="s">
        <v>263</v>
      </c>
      <c r="M160" s="1" t="s">
        <v>266</v>
      </c>
    </row>
    <row r="161" spans="1:14" hidden="1" x14ac:dyDescent="0.25">
      <c r="A161">
        <v>125</v>
      </c>
      <c r="B161">
        <v>20</v>
      </c>
      <c r="C161" t="s">
        <v>934</v>
      </c>
      <c r="D161" s="1" t="s">
        <v>250</v>
      </c>
      <c r="E161" t="s">
        <v>926</v>
      </c>
      <c r="F161" t="s">
        <v>449</v>
      </c>
      <c r="G161" t="s">
        <v>449</v>
      </c>
      <c r="H161" s="1" t="s">
        <v>258</v>
      </c>
      <c r="I161" t="s">
        <v>942</v>
      </c>
      <c r="J161" t="s">
        <v>844</v>
      </c>
      <c r="K161" t="s">
        <v>950</v>
      </c>
      <c r="L161" s="1" t="s">
        <v>263</v>
      </c>
      <c r="M161" s="1" t="s">
        <v>266</v>
      </c>
    </row>
    <row r="162" spans="1:14" hidden="1" x14ac:dyDescent="0.25">
      <c r="A162">
        <v>126</v>
      </c>
      <c r="B162">
        <v>20</v>
      </c>
      <c r="C162" t="s">
        <v>935</v>
      </c>
      <c r="D162" s="1" t="s">
        <v>253</v>
      </c>
      <c r="E162" t="s">
        <v>926</v>
      </c>
      <c r="F162" t="s">
        <v>449</v>
      </c>
      <c r="G162" t="s">
        <v>449</v>
      </c>
      <c r="H162" s="1" t="s">
        <v>258</v>
      </c>
      <c r="I162" t="s">
        <v>943</v>
      </c>
      <c r="J162" t="s">
        <v>844</v>
      </c>
      <c r="K162" t="s">
        <v>951</v>
      </c>
      <c r="L162" s="1" t="s">
        <v>263</v>
      </c>
      <c r="M162" s="1" t="s">
        <v>269</v>
      </c>
    </row>
    <row r="163" spans="1:14" hidden="1" x14ac:dyDescent="0.25">
      <c r="A163">
        <v>127</v>
      </c>
      <c r="B163">
        <v>20</v>
      </c>
      <c r="C163" t="s">
        <v>936</v>
      </c>
      <c r="D163" s="1" t="s">
        <v>254</v>
      </c>
      <c r="E163" t="s">
        <v>926</v>
      </c>
      <c r="F163" s="8">
        <v>43952</v>
      </c>
      <c r="G163" t="s">
        <v>449</v>
      </c>
      <c r="H163" s="1" t="s">
        <v>258</v>
      </c>
      <c r="I163" t="s">
        <v>944</v>
      </c>
      <c r="J163" t="s">
        <v>844</v>
      </c>
      <c r="K163" t="s">
        <v>952</v>
      </c>
      <c r="L163" s="1" t="s">
        <v>263</v>
      </c>
      <c r="M163" s="1" t="s">
        <v>270</v>
      </c>
    </row>
    <row r="164" spans="1:14" hidden="1" x14ac:dyDescent="0.25">
      <c r="A164" s="7"/>
      <c r="B164" s="7">
        <v>20</v>
      </c>
      <c r="C164" s="7"/>
      <c r="D164" s="7" t="s">
        <v>246</v>
      </c>
      <c r="E164" s="7" t="s">
        <v>926</v>
      </c>
      <c r="F164" s="7"/>
      <c r="G164" s="7"/>
      <c r="H164" s="7"/>
      <c r="I164" s="7"/>
      <c r="J164" s="7"/>
      <c r="K164" s="7"/>
      <c r="L164" s="7" t="s">
        <v>264</v>
      </c>
      <c r="M164" s="7"/>
      <c r="N164" s="7" t="s">
        <v>845</v>
      </c>
    </row>
    <row r="165" spans="1:14" hidden="1" x14ac:dyDescent="0.25">
      <c r="A165" s="7"/>
      <c r="B165" s="7">
        <v>20</v>
      </c>
      <c r="C165" s="7"/>
      <c r="D165" s="7" t="s">
        <v>247</v>
      </c>
      <c r="E165" s="7" t="s">
        <v>926</v>
      </c>
      <c r="F165" s="7"/>
      <c r="G165" s="7"/>
      <c r="H165" s="7"/>
      <c r="I165" s="7"/>
      <c r="J165" s="7"/>
      <c r="K165" s="7"/>
      <c r="L165" s="7" t="s">
        <v>264</v>
      </c>
      <c r="M165" s="7"/>
      <c r="N165" s="7" t="s">
        <v>845</v>
      </c>
    </row>
    <row r="166" spans="1:14" hidden="1" x14ac:dyDescent="0.25">
      <c r="A166" s="7"/>
      <c r="B166" s="7">
        <v>20</v>
      </c>
      <c r="C166" s="7"/>
      <c r="D166" s="7" t="s">
        <v>248</v>
      </c>
      <c r="E166" s="7" t="s">
        <v>926</v>
      </c>
      <c r="F166" s="7"/>
      <c r="G166" s="7"/>
      <c r="H166" s="7"/>
      <c r="I166" s="7"/>
      <c r="J166" s="7"/>
      <c r="K166" s="7"/>
      <c r="L166" s="7" t="s">
        <v>264</v>
      </c>
      <c r="M166" s="7"/>
      <c r="N166" s="7" t="s">
        <v>845</v>
      </c>
    </row>
    <row r="167" spans="1:14" hidden="1" x14ac:dyDescent="0.25">
      <c r="A167">
        <v>128</v>
      </c>
      <c r="B167">
        <v>21</v>
      </c>
      <c r="C167" t="s">
        <v>957</v>
      </c>
      <c r="D167" s="1" t="s">
        <v>249</v>
      </c>
      <c r="E167" t="s">
        <v>955</v>
      </c>
      <c r="F167" t="s">
        <v>449</v>
      </c>
      <c r="G167">
        <v>2023</v>
      </c>
      <c r="H167" s="1" t="s">
        <v>258</v>
      </c>
      <c r="I167" t="s">
        <v>964</v>
      </c>
      <c r="J167" s="11" t="s">
        <v>953</v>
      </c>
      <c r="K167" t="s">
        <v>967</v>
      </c>
      <c r="L167" s="1" t="s">
        <v>263</v>
      </c>
      <c r="M167" s="1" t="s">
        <v>266</v>
      </c>
    </row>
    <row r="168" spans="1:14" hidden="1" x14ac:dyDescent="0.25">
      <c r="A168">
        <v>129</v>
      </c>
      <c r="B168">
        <v>21</v>
      </c>
      <c r="C168" t="s">
        <v>958</v>
      </c>
      <c r="D168" s="1" t="s">
        <v>255</v>
      </c>
      <c r="E168" t="s">
        <v>955</v>
      </c>
      <c r="F168" t="s">
        <v>449</v>
      </c>
      <c r="G168" t="s">
        <v>449</v>
      </c>
      <c r="H168" s="1" t="s">
        <v>258</v>
      </c>
      <c r="I168" t="s">
        <v>965</v>
      </c>
      <c r="J168" s="11" t="s">
        <v>953</v>
      </c>
      <c r="K168" t="s">
        <v>968</v>
      </c>
      <c r="L168" s="1" t="s">
        <v>263</v>
      </c>
      <c r="M168" s="1" t="s">
        <v>266</v>
      </c>
    </row>
    <row r="169" spans="1:14" hidden="1" x14ac:dyDescent="0.25">
      <c r="A169">
        <v>130</v>
      </c>
      <c r="B169">
        <v>21</v>
      </c>
      <c r="C169" t="s">
        <v>959</v>
      </c>
      <c r="D169" s="1" t="s">
        <v>255</v>
      </c>
      <c r="E169" t="s">
        <v>955</v>
      </c>
      <c r="F169" t="s">
        <v>449</v>
      </c>
      <c r="G169" t="s">
        <v>449</v>
      </c>
      <c r="H169" s="1" t="s">
        <v>258</v>
      </c>
      <c r="I169" t="s">
        <v>966</v>
      </c>
      <c r="J169" s="11" t="s">
        <v>953</v>
      </c>
      <c r="K169" t="s">
        <v>969</v>
      </c>
      <c r="L169" s="1" t="s">
        <v>263</v>
      </c>
      <c r="M169" s="1" t="s">
        <v>270</v>
      </c>
    </row>
    <row r="170" spans="1:14" hidden="1" x14ac:dyDescent="0.25">
      <c r="A170">
        <v>131</v>
      </c>
      <c r="B170">
        <v>21</v>
      </c>
      <c r="C170" t="s">
        <v>961</v>
      </c>
      <c r="D170" s="1" t="s">
        <v>254</v>
      </c>
      <c r="E170" t="s">
        <v>955</v>
      </c>
      <c r="F170" t="s">
        <v>960</v>
      </c>
      <c r="G170" t="s">
        <v>449</v>
      </c>
      <c r="H170" s="1" t="s">
        <v>257</v>
      </c>
      <c r="I170" t="s">
        <v>963</v>
      </c>
      <c r="J170" s="11" t="s">
        <v>953</v>
      </c>
      <c r="K170" t="s">
        <v>962</v>
      </c>
      <c r="L170" s="1" t="s">
        <v>263</v>
      </c>
      <c r="M170" s="1" t="s">
        <v>270</v>
      </c>
    </row>
    <row r="171" spans="1:14" hidden="1" x14ac:dyDescent="0.25">
      <c r="A171" s="7"/>
      <c r="B171" s="7">
        <v>21</v>
      </c>
      <c r="C171" s="7"/>
      <c r="D171" s="7" t="s">
        <v>246</v>
      </c>
      <c r="E171" s="7" t="s">
        <v>955</v>
      </c>
      <c r="F171" s="7"/>
      <c r="G171" s="7"/>
      <c r="H171" s="7"/>
      <c r="I171" s="7"/>
      <c r="J171" s="7"/>
      <c r="K171" s="7"/>
      <c r="L171" s="7" t="s">
        <v>264</v>
      </c>
      <c r="M171" s="7"/>
      <c r="N171" s="7" t="s">
        <v>956</v>
      </c>
    </row>
    <row r="172" spans="1:14" hidden="1" x14ac:dyDescent="0.25">
      <c r="A172" s="7"/>
      <c r="B172" s="7">
        <v>21</v>
      </c>
      <c r="C172" s="7"/>
      <c r="D172" s="7" t="s">
        <v>247</v>
      </c>
      <c r="E172" s="7" t="s">
        <v>955</v>
      </c>
      <c r="F172" s="7"/>
      <c r="G172" s="7"/>
      <c r="H172" s="7"/>
      <c r="I172" s="7"/>
      <c r="J172" s="7"/>
      <c r="K172" s="7"/>
      <c r="L172" s="7" t="s">
        <v>264</v>
      </c>
      <c r="M172" s="7"/>
      <c r="N172" s="7" t="s">
        <v>956</v>
      </c>
    </row>
    <row r="173" spans="1:14" hidden="1" x14ac:dyDescent="0.25">
      <c r="A173" s="7"/>
      <c r="B173" s="7">
        <v>21</v>
      </c>
      <c r="C173" s="7"/>
      <c r="D173" s="7" t="s">
        <v>248</v>
      </c>
      <c r="E173" s="7" t="s">
        <v>955</v>
      </c>
      <c r="F173" s="7"/>
      <c r="G173" s="7"/>
      <c r="H173" s="7"/>
      <c r="I173" s="7"/>
      <c r="J173" s="7"/>
      <c r="K173" s="7"/>
      <c r="L173" s="7" t="s">
        <v>264</v>
      </c>
      <c r="M173" s="7"/>
      <c r="N173" s="7" t="s">
        <v>956</v>
      </c>
    </row>
    <row r="174" spans="1:14" x14ac:dyDescent="0.25">
      <c r="A174" s="4">
        <v>132</v>
      </c>
      <c r="B174" s="4">
        <v>22</v>
      </c>
      <c r="C174" s="4" t="s">
        <v>972</v>
      </c>
      <c r="D174" s="4" t="s">
        <v>249</v>
      </c>
      <c r="E174" s="4" t="s">
        <v>970</v>
      </c>
      <c r="F174" s="4" t="s">
        <v>449</v>
      </c>
      <c r="G174" s="4" t="s">
        <v>449</v>
      </c>
      <c r="H174" s="4" t="s">
        <v>258</v>
      </c>
      <c r="I174" s="4" t="s">
        <v>982</v>
      </c>
      <c r="J174" s="10" t="s">
        <v>953</v>
      </c>
      <c r="K174" s="4" t="s">
        <v>992</v>
      </c>
      <c r="L174" s="4" t="s">
        <v>262</v>
      </c>
      <c r="M174" s="4"/>
      <c r="N174" s="4"/>
    </row>
    <row r="175" spans="1:14" hidden="1" x14ac:dyDescent="0.25">
      <c r="A175">
        <v>133</v>
      </c>
      <c r="B175">
        <v>22</v>
      </c>
      <c r="C175" t="s">
        <v>973</v>
      </c>
      <c r="D175" s="1" t="s">
        <v>255</v>
      </c>
      <c r="E175" t="s">
        <v>970</v>
      </c>
      <c r="F175" t="s">
        <v>449</v>
      </c>
      <c r="G175" t="s">
        <v>449</v>
      </c>
      <c r="H175" s="1" t="s">
        <v>258</v>
      </c>
      <c r="I175" t="s">
        <v>983</v>
      </c>
      <c r="J175" s="11" t="s">
        <v>953</v>
      </c>
      <c r="K175" t="s">
        <v>993</v>
      </c>
      <c r="L175" s="1" t="s">
        <v>263</v>
      </c>
      <c r="M175" s="1" t="s">
        <v>266</v>
      </c>
    </row>
    <row r="176" spans="1:14" hidden="1" x14ac:dyDescent="0.25">
      <c r="A176">
        <v>134</v>
      </c>
      <c r="B176">
        <v>22</v>
      </c>
      <c r="C176" t="s">
        <v>974</v>
      </c>
      <c r="D176" s="1" t="s">
        <v>250</v>
      </c>
      <c r="E176" t="s">
        <v>970</v>
      </c>
      <c r="F176" t="s">
        <v>449</v>
      </c>
      <c r="G176" t="s">
        <v>449</v>
      </c>
      <c r="H176" s="1" t="s">
        <v>258</v>
      </c>
      <c r="I176" t="s">
        <v>984</v>
      </c>
      <c r="J176" s="11" t="s">
        <v>953</v>
      </c>
      <c r="K176" t="s">
        <v>994</v>
      </c>
      <c r="L176" s="1" t="s">
        <v>263</v>
      </c>
      <c r="M176" s="1" t="s">
        <v>266</v>
      </c>
    </row>
    <row r="177" spans="1:14" hidden="1" x14ac:dyDescent="0.25">
      <c r="A177">
        <v>135</v>
      </c>
      <c r="B177">
        <v>22</v>
      </c>
      <c r="C177" t="s">
        <v>975</v>
      </c>
      <c r="D177" s="1" t="s">
        <v>251</v>
      </c>
      <c r="E177" t="s">
        <v>970</v>
      </c>
      <c r="F177" t="s">
        <v>449</v>
      </c>
      <c r="G177" t="s">
        <v>449</v>
      </c>
      <c r="H177" s="1" t="s">
        <v>258</v>
      </c>
      <c r="I177" t="s">
        <v>985</v>
      </c>
      <c r="J177" s="11" t="s">
        <v>953</v>
      </c>
      <c r="K177" t="s">
        <v>998</v>
      </c>
      <c r="L177" s="1" t="s">
        <v>263</v>
      </c>
      <c r="M177" s="1" t="s">
        <v>266</v>
      </c>
    </row>
    <row r="178" spans="1:14" hidden="1" x14ac:dyDescent="0.25">
      <c r="A178">
        <v>136</v>
      </c>
      <c r="B178">
        <v>22</v>
      </c>
      <c r="C178" t="s">
        <v>976</v>
      </c>
      <c r="D178" s="1" t="s">
        <v>250</v>
      </c>
      <c r="E178" t="s">
        <v>970</v>
      </c>
      <c r="F178" t="s">
        <v>449</v>
      </c>
      <c r="G178" t="s">
        <v>449</v>
      </c>
      <c r="H178" s="1" t="s">
        <v>258</v>
      </c>
      <c r="I178" t="s">
        <v>986</v>
      </c>
      <c r="J178" s="11" t="s">
        <v>953</v>
      </c>
      <c r="K178" t="s">
        <v>999</v>
      </c>
      <c r="L178" s="1" t="s">
        <v>263</v>
      </c>
      <c r="M178" s="1" t="s">
        <v>266</v>
      </c>
    </row>
    <row r="179" spans="1:14" hidden="1" x14ac:dyDescent="0.25">
      <c r="A179">
        <v>137</v>
      </c>
      <c r="B179">
        <v>22</v>
      </c>
      <c r="C179" t="s">
        <v>977</v>
      </c>
      <c r="D179" s="1" t="s">
        <v>255</v>
      </c>
      <c r="E179" t="s">
        <v>970</v>
      </c>
      <c r="F179" t="s">
        <v>449</v>
      </c>
      <c r="G179" t="s">
        <v>449</v>
      </c>
      <c r="H179" s="1" t="s">
        <v>258</v>
      </c>
      <c r="I179" t="s">
        <v>987</v>
      </c>
      <c r="J179" s="11" t="s">
        <v>953</v>
      </c>
      <c r="K179" t="s">
        <v>1000</v>
      </c>
      <c r="L179" s="1" t="s">
        <v>263</v>
      </c>
      <c r="M179" s="1" t="s">
        <v>266</v>
      </c>
    </row>
    <row r="180" spans="1:14" hidden="1" x14ac:dyDescent="0.25">
      <c r="A180">
        <v>138</v>
      </c>
      <c r="B180">
        <v>22</v>
      </c>
      <c r="C180" t="s">
        <v>978</v>
      </c>
      <c r="D180" s="1" t="s">
        <v>255</v>
      </c>
      <c r="E180" t="s">
        <v>970</v>
      </c>
      <c r="F180" t="s">
        <v>449</v>
      </c>
      <c r="G180" t="s">
        <v>449</v>
      </c>
      <c r="H180" s="1" t="s">
        <v>258</v>
      </c>
      <c r="I180" t="s">
        <v>988</v>
      </c>
      <c r="J180" s="11" t="s">
        <v>953</v>
      </c>
      <c r="K180" t="s">
        <v>1001</v>
      </c>
      <c r="L180" s="1" t="s">
        <v>263</v>
      </c>
      <c r="M180" s="1" t="s">
        <v>266</v>
      </c>
    </row>
    <row r="181" spans="1:14" hidden="1" x14ac:dyDescent="0.25">
      <c r="A181">
        <v>139</v>
      </c>
      <c r="B181">
        <v>22</v>
      </c>
      <c r="C181" t="s">
        <v>979</v>
      </c>
      <c r="D181" s="1" t="s">
        <v>253</v>
      </c>
      <c r="E181" t="s">
        <v>970</v>
      </c>
      <c r="F181" t="s">
        <v>449</v>
      </c>
      <c r="G181" t="s">
        <v>449</v>
      </c>
      <c r="H181" s="1" t="s">
        <v>258</v>
      </c>
      <c r="I181" t="s">
        <v>989</v>
      </c>
      <c r="J181" s="11" t="s">
        <v>953</v>
      </c>
      <c r="K181" t="s">
        <v>1002</v>
      </c>
      <c r="L181" s="1" t="s">
        <v>263</v>
      </c>
      <c r="M181" s="1" t="s">
        <v>266</v>
      </c>
    </row>
    <row r="182" spans="1:14" hidden="1" x14ac:dyDescent="0.25">
      <c r="A182">
        <v>140</v>
      </c>
      <c r="B182">
        <v>22</v>
      </c>
      <c r="C182" t="s">
        <v>980</v>
      </c>
      <c r="D182" s="1" t="s">
        <v>253</v>
      </c>
      <c r="E182" t="s">
        <v>970</v>
      </c>
      <c r="F182" t="s">
        <v>449</v>
      </c>
      <c r="G182" t="s">
        <v>449</v>
      </c>
      <c r="H182" s="1" t="s">
        <v>258</v>
      </c>
      <c r="I182" t="s">
        <v>990</v>
      </c>
      <c r="J182" s="11" t="s">
        <v>953</v>
      </c>
      <c r="K182" t="s">
        <v>1003</v>
      </c>
      <c r="L182" s="1" t="s">
        <v>263</v>
      </c>
      <c r="M182" s="1" t="s">
        <v>266</v>
      </c>
    </row>
    <row r="183" spans="1:14" hidden="1" x14ac:dyDescent="0.25">
      <c r="A183">
        <v>141</v>
      </c>
      <c r="B183">
        <v>22</v>
      </c>
      <c r="C183" t="s">
        <v>981</v>
      </c>
      <c r="D183" s="1" t="s">
        <v>254</v>
      </c>
      <c r="E183" t="s">
        <v>970</v>
      </c>
      <c r="F183" t="s">
        <v>449</v>
      </c>
      <c r="G183" t="s">
        <v>449</v>
      </c>
      <c r="H183" s="1" t="s">
        <v>258</v>
      </c>
      <c r="I183" t="s">
        <v>991</v>
      </c>
      <c r="J183" s="11" t="s">
        <v>953</v>
      </c>
      <c r="K183" t="s">
        <v>1004</v>
      </c>
      <c r="L183" s="1" t="s">
        <v>263</v>
      </c>
      <c r="M183" s="1" t="s">
        <v>270</v>
      </c>
    </row>
    <row r="184" spans="1:14" hidden="1" x14ac:dyDescent="0.25">
      <c r="A184" s="7"/>
      <c r="B184" s="7">
        <v>22</v>
      </c>
      <c r="C184" s="7"/>
      <c r="D184" s="7" t="s">
        <v>246</v>
      </c>
      <c r="E184" s="7" t="s">
        <v>970</v>
      </c>
      <c r="F184" s="7"/>
      <c r="G184" s="7"/>
      <c r="H184" s="7"/>
      <c r="I184" s="7"/>
      <c r="J184" s="7"/>
      <c r="K184" s="7"/>
      <c r="L184" s="7" t="s">
        <v>264</v>
      </c>
      <c r="M184" s="7"/>
      <c r="N184" s="7" t="s">
        <v>956</v>
      </c>
    </row>
    <row r="185" spans="1:14" hidden="1" x14ac:dyDescent="0.25">
      <c r="A185" s="7"/>
      <c r="B185" s="7">
        <v>22</v>
      </c>
      <c r="C185" s="7"/>
      <c r="D185" s="7" t="s">
        <v>247</v>
      </c>
      <c r="E185" s="7" t="s">
        <v>970</v>
      </c>
      <c r="F185" s="7"/>
      <c r="G185" s="7"/>
      <c r="H185" s="7"/>
      <c r="I185" s="7"/>
      <c r="J185" s="7"/>
      <c r="K185" s="7"/>
      <c r="L185" s="7" t="s">
        <v>264</v>
      </c>
      <c r="M185" s="7"/>
      <c r="N185" s="7" t="s">
        <v>956</v>
      </c>
    </row>
    <row r="186" spans="1:14" hidden="1" x14ac:dyDescent="0.25">
      <c r="A186" s="7"/>
      <c r="B186" s="7">
        <v>22</v>
      </c>
      <c r="C186" s="7"/>
      <c r="D186" s="7" t="s">
        <v>248</v>
      </c>
      <c r="E186" s="7" t="s">
        <v>970</v>
      </c>
      <c r="F186" s="7"/>
      <c r="G186" s="7"/>
      <c r="H186" s="7"/>
      <c r="I186" s="7"/>
      <c r="J186" s="7"/>
      <c r="K186" s="7"/>
      <c r="L186" s="7" t="s">
        <v>264</v>
      </c>
      <c r="M186" s="7"/>
      <c r="N186" s="7" t="s">
        <v>956</v>
      </c>
    </row>
    <row r="187" spans="1:14" x14ac:dyDescent="0.25">
      <c r="A187" s="4">
        <v>142</v>
      </c>
      <c r="B187" s="4">
        <v>23</v>
      </c>
      <c r="C187" s="4" t="s">
        <v>1005</v>
      </c>
      <c r="D187" s="4" t="s">
        <v>248</v>
      </c>
      <c r="E187" s="4" t="s">
        <v>1006</v>
      </c>
      <c r="F187" s="4"/>
      <c r="G187" s="4"/>
      <c r="H187" s="4" t="s">
        <v>258</v>
      </c>
      <c r="I187" s="4" t="s">
        <v>1012</v>
      </c>
      <c r="J187" s="10" t="s">
        <v>953</v>
      </c>
      <c r="K187" s="4" t="s">
        <v>1019</v>
      </c>
      <c r="L187" s="4" t="s">
        <v>262</v>
      </c>
      <c r="M187" s="4"/>
      <c r="N187" s="4" t="s">
        <v>1018</v>
      </c>
    </row>
    <row r="188" spans="1:14" hidden="1" x14ac:dyDescent="0.25">
      <c r="A188">
        <v>143</v>
      </c>
      <c r="B188">
        <v>23</v>
      </c>
      <c r="C188" t="s">
        <v>1007</v>
      </c>
      <c r="D188" s="1" t="s">
        <v>250</v>
      </c>
      <c r="E188" t="s">
        <v>1006</v>
      </c>
      <c r="H188" s="1" t="s">
        <v>258</v>
      </c>
      <c r="I188" t="s">
        <v>1013</v>
      </c>
      <c r="J188" s="11" t="s">
        <v>953</v>
      </c>
      <c r="K188" t="s">
        <v>1020</v>
      </c>
      <c r="L188" s="1" t="s">
        <v>263</v>
      </c>
      <c r="M188" s="1" t="s">
        <v>267</v>
      </c>
      <c r="N188" t="s">
        <v>1021</v>
      </c>
    </row>
    <row r="189" spans="1:14" hidden="1" x14ac:dyDescent="0.25">
      <c r="A189">
        <v>144</v>
      </c>
      <c r="B189">
        <v>23</v>
      </c>
      <c r="C189" t="s">
        <v>1008</v>
      </c>
      <c r="D189" s="1" t="s">
        <v>255</v>
      </c>
      <c r="E189" t="s">
        <v>1006</v>
      </c>
      <c r="H189" s="1" t="s">
        <v>258</v>
      </c>
      <c r="I189" t="s">
        <v>1014</v>
      </c>
      <c r="J189" s="11" t="s">
        <v>953</v>
      </c>
      <c r="K189" t="s">
        <v>1022</v>
      </c>
      <c r="L189" s="1" t="s">
        <v>263</v>
      </c>
      <c r="M189" s="1" t="s">
        <v>266</v>
      </c>
    </row>
    <row r="190" spans="1:14" hidden="1" x14ac:dyDescent="0.25">
      <c r="A190">
        <v>145</v>
      </c>
      <c r="B190">
        <v>23</v>
      </c>
      <c r="C190" t="s">
        <v>1009</v>
      </c>
      <c r="D190" s="1" t="s">
        <v>249</v>
      </c>
      <c r="E190" t="s">
        <v>1006</v>
      </c>
      <c r="H190" s="1" t="s">
        <v>258</v>
      </c>
      <c r="I190" t="s">
        <v>1015</v>
      </c>
      <c r="J190" s="11" t="s">
        <v>953</v>
      </c>
      <c r="K190" t="s">
        <v>1023</v>
      </c>
      <c r="L190" s="1" t="s">
        <v>263</v>
      </c>
      <c r="M190" s="1" t="s">
        <v>266</v>
      </c>
    </row>
    <row r="191" spans="1:14" hidden="1" x14ac:dyDescent="0.25">
      <c r="A191">
        <v>146</v>
      </c>
      <c r="B191">
        <v>23</v>
      </c>
      <c r="C191" t="s">
        <v>1010</v>
      </c>
      <c r="D191" s="1" t="s">
        <v>249</v>
      </c>
      <c r="E191" t="s">
        <v>1006</v>
      </c>
      <c r="H191" s="1" t="s">
        <v>258</v>
      </c>
      <c r="I191" t="s">
        <v>1016</v>
      </c>
      <c r="J191" s="11" t="s">
        <v>953</v>
      </c>
      <c r="K191" t="s">
        <v>1024</v>
      </c>
      <c r="L191" s="1" t="s">
        <v>263</v>
      </c>
      <c r="M191" s="1" t="s">
        <v>266</v>
      </c>
    </row>
    <row r="192" spans="1:14" hidden="1" x14ac:dyDescent="0.25">
      <c r="A192">
        <v>147</v>
      </c>
      <c r="B192">
        <v>23</v>
      </c>
      <c r="C192" t="s">
        <v>1011</v>
      </c>
      <c r="D192" s="1" t="s">
        <v>255</v>
      </c>
      <c r="E192" t="s">
        <v>1006</v>
      </c>
      <c r="H192" s="1" t="s">
        <v>258</v>
      </c>
      <c r="I192" t="s">
        <v>1017</v>
      </c>
      <c r="J192" s="11" t="s">
        <v>953</v>
      </c>
      <c r="K192" t="s">
        <v>1025</v>
      </c>
      <c r="L192" s="1" t="s">
        <v>263</v>
      </c>
      <c r="M192" s="1" t="s">
        <v>266</v>
      </c>
    </row>
    <row r="193" spans="1:14" x14ac:dyDescent="0.25">
      <c r="A193" s="4">
        <v>148</v>
      </c>
      <c r="B193" s="4">
        <v>24</v>
      </c>
      <c r="C193" s="4" t="s">
        <v>1028</v>
      </c>
      <c r="D193" s="4" t="s">
        <v>246</v>
      </c>
      <c r="E193" s="4" t="s">
        <v>1027</v>
      </c>
      <c r="F193" s="4"/>
      <c r="G193" s="4"/>
      <c r="H193" s="4" t="s">
        <v>258</v>
      </c>
      <c r="I193" s="4" t="s">
        <v>1033</v>
      </c>
      <c r="J193" s="10" t="s">
        <v>953</v>
      </c>
      <c r="K193" s="4" t="s">
        <v>1038</v>
      </c>
      <c r="L193" s="4" t="s">
        <v>262</v>
      </c>
      <c r="M193" s="4"/>
      <c r="N193" s="4" t="s">
        <v>1042</v>
      </c>
    </row>
    <row r="194" spans="1:14" x14ac:dyDescent="0.25">
      <c r="A194" s="4">
        <v>149</v>
      </c>
      <c r="B194" s="4">
        <v>24</v>
      </c>
      <c r="C194" s="4" t="s">
        <v>1029</v>
      </c>
      <c r="D194" s="4" t="s">
        <v>249</v>
      </c>
      <c r="E194" s="4" t="s">
        <v>1027</v>
      </c>
      <c r="F194" s="4"/>
      <c r="G194" s="4"/>
      <c r="H194" s="4" t="s">
        <v>258</v>
      </c>
      <c r="I194" s="4" t="s">
        <v>1034</v>
      </c>
      <c r="J194" s="10" t="s">
        <v>953</v>
      </c>
      <c r="K194" s="4" t="s">
        <v>1039</v>
      </c>
      <c r="L194" s="4" t="s">
        <v>262</v>
      </c>
      <c r="M194" s="4"/>
      <c r="N194" s="4"/>
    </row>
    <row r="195" spans="1:14" hidden="1" x14ac:dyDescent="0.25">
      <c r="A195">
        <v>150</v>
      </c>
      <c r="B195">
        <v>24</v>
      </c>
      <c r="C195" t="s">
        <v>1030</v>
      </c>
      <c r="D195" s="1" t="s">
        <v>248</v>
      </c>
      <c r="E195" t="s">
        <v>1027</v>
      </c>
      <c r="H195" s="1" t="s">
        <v>258</v>
      </c>
      <c r="I195" t="s">
        <v>1035</v>
      </c>
      <c r="J195" s="11" t="s">
        <v>953</v>
      </c>
      <c r="K195" t="s">
        <v>1040</v>
      </c>
      <c r="L195" s="1" t="s">
        <v>263</v>
      </c>
      <c r="M195" s="1" t="s">
        <v>267</v>
      </c>
      <c r="N195" t="s">
        <v>1041</v>
      </c>
    </row>
    <row r="196" spans="1:14" hidden="1" x14ac:dyDescent="0.25">
      <c r="A196">
        <v>151</v>
      </c>
      <c r="B196">
        <v>24</v>
      </c>
      <c r="C196" t="s">
        <v>1031</v>
      </c>
      <c r="D196" s="1" t="s">
        <v>255</v>
      </c>
      <c r="E196" t="s">
        <v>1027</v>
      </c>
      <c r="H196" s="1" t="s">
        <v>258</v>
      </c>
      <c r="I196" t="s">
        <v>1036</v>
      </c>
      <c r="J196" s="11" t="s">
        <v>953</v>
      </c>
      <c r="K196" t="s">
        <v>1043</v>
      </c>
      <c r="L196" s="1" t="s">
        <v>263</v>
      </c>
      <c r="M196" s="1" t="s">
        <v>266</v>
      </c>
    </row>
    <row r="197" spans="1:14" hidden="1" x14ac:dyDescent="0.25">
      <c r="A197">
        <v>152</v>
      </c>
      <c r="B197">
        <v>24</v>
      </c>
      <c r="C197" t="s">
        <v>1032</v>
      </c>
      <c r="D197" s="1" t="s">
        <v>250</v>
      </c>
      <c r="E197" t="s">
        <v>1027</v>
      </c>
      <c r="H197" s="1" t="s">
        <v>258</v>
      </c>
      <c r="I197" t="s">
        <v>1037</v>
      </c>
      <c r="J197" s="11" t="s">
        <v>953</v>
      </c>
      <c r="K197" t="s">
        <v>1044</v>
      </c>
      <c r="L197" s="1" t="s">
        <v>263</v>
      </c>
      <c r="M197" s="1" t="s">
        <v>267</v>
      </c>
      <c r="N197" t="s">
        <v>1041</v>
      </c>
    </row>
    <row r="198" spans="1:14" x14ac:dyDescent="0.25">
      <c r="A198" s="4">
        <v>153</v>
      </c>
      <c r="B198" s="4">
        <v>25</v>
      </c>
      <c r="C198" s="4" t="s">
        <v>1046</v>
      </c>
      <c r="D198" s="4" t="s">
        <v>246</v>
      </c>
      <c r="E198" s="4" t="s">
        <v>1058</v>
      </c>
      <c r="F198" s="4"/>
      <c r="G198" s="4"/>
      <c r="H198" s="4" t="s">
        <v>258</v>
      </c>
      <c r="I198" s="4" t="s">
        <v>1052</v>
      </c>
      <c r="J198" s="10" t="s">
        <v>953</v>
      </c>
      <c r="K198" s="4" t="s">
        <v>1060</v>
      </c>
      <c r="L198" s="4" t="s">
        <v>262</v>
      </c>
      <c r="M198" s="4"/>
      <c r="N198" s="4" t="s">
        <v>1059</v>
      </c>
    </row>
    <row r="199" spans="1:14" x14ac:dyDescent="0.25">
      <c r="A199" s="4">
        <v>154</v>
      </c>
      <c r="B199" s="4">
        <v>25</v>
      </c>
      <c r="C199" s="4" t="s">
        <v>1047</v>
      </c>
      <c r="D199" s="4" t="s">
        <v>248</v>
      </c>
      <c r="E199" s="4" t="s">
        <v>1058</v>
      </c>
      <c r="F199" s="4"/>
      <c r="G199" s="4"/>
      <c r="H199" s="4" t="s">
        <v>258</v>
      </c>
      <c r="I199" s="4" t="s">
        <v>1053</v>
      </c>
      <c r="J199" s="10" t="s">
        <v>953</v>
      </c>
      <c r="K199" s="4" t="s">
        <v>1062</v>
      </c>
      <c r="L199" s="4" t="s">
        <v>262</v>
      </c>
      <c r="M199" s="4"/>
      <c r="N199" s="4" t="s">
        <v>1061</v>
      </c>
    </row>
    <row r="200" spans="1:14" hidden="1" x14ac:dyDescent="0.25">
      <c r="A200">
        <v>155</v>
      </c>
      <c r="B200">
        <v>25</v>
      </c>
      <c r="C200" t="s">
        <v>1048</v>
      </c>
      <c r="D200" s="1" t="s">
        <v>248</v>
      </c>
      <c r="E200" t="s">
        <v>1058</v>
      </c>
      <c r="H200" s="1" t="s">
        <v>258</v>
      </c>
      <c r="I200" t="s">
        <v>1054</v>
      </c>
      <c r="J200" s="11" t="s">
        <v>953</v>
      </c>
      <c r="K200" t="s">
        <v>1064</v>
      </c>
      <c r="L200" s="1" t="s">
        <v>263</v>
      </c>
      <c r="M200" s="1" t="s">
        <v>267</v>
      </c>
      <c r="N200" t="s">
        <v>1063</v>
      </c>
    </row>
    <row r="201" spans="1:14" hidden="1" x14ac:dyDescent="0.25">
      <c r="A201">
        <v>156</v>
      </c>
      <c r="B201">
        <v>25</v>
      </c>
      <c r="C201" t="s">
        <v>1049</v>
      </c>
      <c r="D201" s="1" t="s">
        <v>251</v>
      </c>
      <c r="E201" t="s">
        <v>1058</v>
      </c>
      <c r="H201" s="1" t="s">
        <v>258</v>
      </c>
      <c r="I201" t="s">
        <v>1055</v>
      </c>
      <c r="J201" s="11" t="s">
        <v>953</v>
      </c>
      <c r="K201" t="s">
        <v>1065</v>
      </c>
      <c r="L201" s="1" t="s">
        <v>263</v>
      </c>
      <c r="M201" s="1" t="s">
        <v>267</v>
      </c>
      <c r="N201" t="s">
        <v>1063</v>
      </c>
    </row>
    <row r="202" spans="1:14" hidden="1" x14ac:dyDescent="0.25">
      <c r="A202">
        <v>157</v>
      </c>
      <c r="B202">
        <v>25</v>
      </c>
      <c r="C202" t="s">
        <v>1050</v>
      </c>
      <c r="D202" s="1" t="s">
        <v>249</v>
      </c>
      <c r="E202" t="s">
        <v>1058</v>
      </c>
      <c r="H202" s="1" t="s">
        <v>258</v>
      </c>
      <c r="I202" t="s">
        <v>1056</v>
      </c>
      <c r="J202" s="11" t="s">
        <v>953</v>
      </c>
      <c r="K202" t="s">
        <v>1066</v>
      </c>
      <c r="L202" s="1" t="s">
        <v>263</v>
      </c>
      <c r="M202" s="1" t="s">
        <v>266</v>
      </c>
    </row>
    <row r="203" spans="1:14" hidden="1" x14ac:dyDescent="0.25">
      <c r="A203">
        <v>158</v>
      </c>
      <c r="B203">
        <v>25</v>
      </c>
      <c r="C203" t="s">
        <v>1051</v>
      </c>
      <c r="D203" s="1" t="s">
        <v>255</v>
      </c>
      <c r="E203" t="s">
        <v>1058</v>
      </c>
      <c r="H203" s="1" t="s">
        <v>258</v>
      </c>
      <c r="I203" t="s">
        <v>1057</v>
      </c>
      <c r="J203" s="11" t="s">
        <v>953</v>
      </c>
      <c r="K203" t="s">
        <v>1067</v>
      </c>
      <c r="L203" s="1" t="s">
        <v>263</v>
      </c>
      <c r="M203" s="1" t="s">
        <v>267</v>
      </c>
      <c r="N203" t="s">
        <v>1063</v>
      </c>
    </row>
    <row r="204" spans="1:14" hidden="1" x14ac:dyDescent="0.25">
      <c r="A204">
        <v>159</v>
      </c>
      <c r="B204">
        <v>26</v>
      </c>
      <c r="C204" t="s">
        <v>1069</v>
      </c>
      <c r="D204" s="1" t="s">
        <v>249</v>
      </c>
      <c r="E204" t="s">
        <v>1072</v>
      </c>
      <c r="H204" s="1" t="s">
        <v>258</v>
      </c>
      <c r="I204" t="s">
        <v>1073</v>
      </c>
      <c r="J204" s="11" t="s">
        <v>953</v>
      </c>
      <c r="K204" t="s">
        <v>1076</v>
      </c>
      <c r="L204" s="1" t="s">
        <v>263</v>
      </c>
      <c r="M204" s="1" t="s">
        <v>266</v>
      </c>
    </row>
    <row r="205" spans="1:14" hidden="1" x14ac:dyDescent="0.25">
      <c r="A205">
        <v>160</v>
      </c>
      <c r="B205">
        <v>26</v>
      </c>
      <c r="C205" t="s">
        <v>1070</v>
      </c>
      <c r="D205" s="1" t="s">
        <v>250</v>
      </c>
      <c r="E205" t="s">
        <v>1072</v>
      </c>
      <c r="H205" s="1" t="s">
        <v>258</v>
      </c>
      <c r="I205" t="s">
        <v>1074</v>
      </c>
      <c r="J205" s="11" t="s">
        <v>953</v>
      </c>
      <c r="K205" t="s">
        <v>1077</v>
      </c>
      <c r="L205" s="1" t="s">
        <v>263</v>
      </c>
      <c r="M205" s="1" t="s">
        <v>266</v>
      </c>
    </row>
    <row r="206" spans="1:14" hidden="1" x14ac:dyDescent="0.25">
      <c r="A206">
        <v>161</v>
      </c>
      <c r="B206">
        <v>26</v>
      </c>
      <c r="C206" t="s">
        <v>1071</v>
      </c>
      <c r="D206" s="1" t="s">
        <v>249</v>
      </c>
      <c r="E206" t="s">
        <v>1072</v>
      </c>
      <c r="H206" s="1" t="s">
        <v>258</v>
      </c>
      <c r="I206" t="s">
        <v>1075</v>
      </c>
      <c r="J206" s="11" t="s">
        <v>953</v>
      </c>
      <c r="K206" t="s">
        <v>1078</v>
      </c>
      <c r="L206" s="1" t="s">
        <v>263</v>
      </c>
      <c r="M206" s="1" t="s">
        <v>266</v>
      </c>
    </row>
    <row r="207" spans="1:14" hidden="1" x14ac:dyDescent="0.25">
      <c r="A207" s="7"/>
      <c r="B207" s="7">
        <v>26</v>
      </c>
      <c r="C207" s="7"/>
      <c r="D207" s="7" t="s">
        <v>246</v>
      </c>
      <c r="E207" s="7" t="s">
        <v>1072</v>
      </c>
      <c r="F207" s="7"/>
      <c r="G207" s="7"/>
      <c r="H207" s="7"/>
      <c r="I207" s="7"/>
      <c r="J207" s="7"/>
      <c r="K207" s="7"/>
      <c r="L207" s="7" t="s">
        <v>264</v>
      </c>
      <c r="M207" s="7"/>
      <c r="N207" s="7" t="s">
        <v>956</v>
      </c>
    </row>
    <row r="208" spans="1:14" hidden="1" x14ac:dyDescent="0.25">
      <c r="A208" s="7"/>
      <c r="B208" s="7">
        <v>26</v>
      </c>
      <c r="C208" s="7"/>
      <c r="D208" s="7" t="s">
        <v>247</v>
      </c>
      <c r="E208" s="7" t="s">
        <v>1072</v>
      </c>
      <c r="F208" s="7"/>
      <c r="G208" s="7"/>
      <c r="H208" s="7"/>
      <c r="I208" s="7"/>
      <c r="J208" s="7"/>
      <c r="K208" s="7"/>
      <c r="L208" s="7" t="s">
        <v>264</v>
      </c>
      <c r="M208" s="7"/>
      <c r="N208" s="7" t="s">
        <v>956</v>
      </c>
    </row>
    <row r="209" spans="1:14" hidden="1" x14ac:dyDescent="0.25">
      <c r="A209" s="7"/>
      <c r="B209" s="7">
        <v>26</v>
      </c>
      <c r="C209" s="7"/>
      <c r="D209" s="7" t="s">
        <v>248</v>
      </c>
      <c r="E209" s="7" t="s">
        <v>1072</v>
      </c>
      <c r="F209" s="7"/>
      <c r="G209" s="7"/>
      <c r="H209" s="7"/>
      <c r="I209" s="7"/>
      <c r="J209" s="7"/>
      <c r="K209" s="7"/>
      <c r="L209" s="7" t="s">
        <v>264</v>
      </c>
      <c r="M209" s="7"/>
      <c r="N209" s="7" t="s">
        <v>956</v>
      </c>
    </row>
    <row r="210" spans="1:14" x14ac:dyDescent="0.25">
      <c r="A210" s="4">
        <v>162</v>
      </c>
      <c r="B210" s="4">
        <v>27</v>
      </c>
      <c r="C210" s="4" t="s">
        <v>1081</v>
      </c>
      <c r="D210" s="4" t="s">
        <v>250</v>
      </c>
      <c r="E210" s="4" t="s">
        <v>1079</v>
      </c>
      <c r="F210" s="4"/>
      <c r="G210" s="4"/>
      <c r="H210" s="4" t="s">
        <v>258</v>
      </c>
      <c r="I210" s="4" t="s">
        <v>1088</v>
      </c>
      <c r="J210" s="10" t="s">
        <v>953</v>
      </c>
      <c r="K210" s="4" t="s">
        <v>1097</v>
      </c>
      <c r="L210" s="4" t="s">
        <v>262</v>
      </c>
      <c r="M210" s="4"/>
      <c r="N210" s="4"/>
    </row>
    <row r="211" spans="1:14" x14ac:dyDescent="0.25">
      <c r="A211" s="4">
        <v>163</v>
      </c>
      <c r="B211" s="4">
        <v>27</v>
      </c>
      <c r="C211" s="4" t="s">
        <v>1082</v>
      </c>
      <c r="D211" s="4" t="s">
        <v>252</v>
      </c>
      <c r="E211" s="4" t="s">
        <v>1079</v>
      </c>
      <c r="F211" s="4"/>
      <c r="G211" s="4"/>
      <c r="H211" s="4" t="s">
        <v>258</v>
      </c>
      <c r="I211" s="4" t="s">
        <v>1090</v>
      </c>
      <c r="J211" s="10" t="s">
        <v>953</v>
      </c>
      <c r="K211" s="4" t="s">
        <v>1099</v>
      </c>
      <c r="L211" s="4" t="s">
        <v>262</v>
      </c>
      <c r="M211" s="4"/>
      <c r="N211" s="4"/>
    </row>
    <row r="212" spans="1:14" hidden="1" x14ac:dyDescent="0.25">
      <c r="A212">
        <v>164</v>
      </c>
      <c r="B212">
        <v>27</v>
      </c>
      <c r="C212" t="s">
        <v>1083</v>
      </c>
      <c r="D212" s="1" t="s">
        <v>249</v>
      </c>
      <c r="E212" t="s">
        <v>1079</v>
      </c>
      <c r="H212" s="1" t="s">
        <v>258</v>
      </c>
      <c r="I212" t="s">
        <v>1091</v>
      </c>
      <c r="J212" s="11" t="s">
        <v>953</v>
      </c>
      <c r="K212" t="s">
        <v>1096</v>
      </c>
      <c r="L212" s="1" t="s">
        <v>263</v>
      </c>
      <c r="M212" s="1" t="s">
        <v>266</v>
      </c>
    </row>
    <row r="213" spans="1:14" hidden="1" x14ac:dyDescent="0.25">
      <c r="A213">
        <v>165</v>
      </c>
      <c r="B213">
        <v>27</v>
      </c>
      <c r="C213" t="s">
        <v>1084</v>
      </c>
      <c r="D213" s="1" t="s">
        <v>253</v>
      </c>
      <c r="E213" t="s">
        <v>1079</v>
      </c>
      <c r="H213" s="1" t="s">
        <v>258</v>
      </c>
      <c r="I213" t="s">
        <v>1092</v>
      </c>
      <c r="J213" s="11" t="s">
        <v>953</v>
      </c>
      <c r="K213" t="s">
        <v>1095</v>
      </c>
      <c r="L213" s="1" t="s">
        <v>263</v>
      </c>
      <c r="M213" s="1" t="s">
        <v>269</v>
      </c>
    </row>
    <row r="214" spans="1:14" hidden="1" x14ac:dyDescent="0.25">
      <c r="A214">
        <v>166</v>
      </c>
      <c r="B214">
        <v>27</v>
      </c>
      <c r="C214" t="s">
        <v>1085</v>
      </c>
      <c r="D214" s="1" t="s">
        <v>255</v>
      </c>
      <c r="E214" t="s">
        <v>1079</v>
      </c>
      <c r="H214" s="1" t="s">
        <v>258</v>
      </c>
      <c r="I214" t="s">
        <v>1093</v>
      </c>
      <c r="J214" s="11" t="s">
        <v>953</v>
      </c>
      <c r="K214" t="s">
        <v>1094</v>
      </c>
      <c r="L214" s="1" t="s">
        <v>263</v>
      </c>
      <c r="M214" s="1" t="s">
        <v>270</v>
      </c>
    </row>
    <row r="215" spans="1:14" hidden="1" x14ac:dyDescent="0.25">
      <c r="A215">
        <v>167</v>
      </c>
      <c r="B215">
        <v>27</v>
      </c>
      <c r="C215" t="s">
        <v>1086</v>
      </c>
      <c r="D215" s="1" t="s">
        <v>252</v>
      </c>
      <c r="E215" t="s">
        <v>1079</v>
      </c>
      <c r="H215" s="1" t="s">
        <v>258</v>
      </c>
      <c r="I215" t="s">
        <v>1089</v>
      </c>
      <c r="J215" s="11" t="s">
        <v>953</v>
      </c>
      <c r="K215" t="s">
        <v>1098</v>
      </c>
      <c r="L215" s="1" t="s">
        <v>263</v>
      </c>
      <c r="M215" s="1" t="s">
        <v>267</v>
      </c>
      <c r="N215" t="s">
        <v>1087</v>
      </c>
    </row>
    <row r="216" spans="1:14" hidden="1" x14ac:dyDescent="0.25">
      <c r="A216" s="7"/>
      <c r="B216" s="7">
        <v>27</v>
      </c>
      <c r="C216" s="7"/>
      <c r="D216" s="7" t="s">
        <v>246</v>
      </c>
      <c r="E216" s="7" t="s">
        <v>1079</v>
      </c>
      <c r="F216" s="7"/>
      <c r="G216" s="7"/>
      <c r="H216" s="7"/>
      <c r="I216" s="7"/>
      <c r="J216" s="7"/>
      <c r="K216" s="7"/>
      <c r="L216" s="7" t="s">
        <v>264</v>
      </c>
      <c r="M216" s="7"/>
      <c r="N216" s="7" t="s">
        <v>956</v>
      </c>
    </row>
    <row r="217" spans="1:14" hidden="1" x14ac:dyDescent="0.25">
      <c r="A217" s="7"/>
      <c r="B217" s="7">
        <v>27</v>
      </c>
      <c r="C217" s="7"/>
      <c r="D217" s="7" t="s">
        <v>247</v>
      </c>
      <c r="E217" s="7" t="s">
        <v>1079</v>
      </c>
      <c r="F217" s="7"/>
      <c r="G217" s="7"/>
      <c r="H217" s="7"/>
      <c r="I217" s="7"/>
      <c r="J217" s="7"/>
      <c r="K217" s="7"/>
      <c r="L217" s="7" t="s">
        <v>264</v>
      </c>
      <c r="M217" s="7"/>
      <c r="N217" s="7" t="s">
        <v>956</v>
      </c>
    </row>
    <row r="218" spans="1:14" hidden="1" x14ac:dyDescent="0.25">
      <c r="A218" s="7"/>
      <c r="B218" s="7">
        <v>27</v>
      </c>
      <c r="C218" s="7"/>
      <c r="D218" s="7" t="s">
        <v>248</v>
      </c>
      <c r="E218" s="7" t="s">
        <v>1079</v>
      </c>
      <c r="F218" s="7"/>
      <c r="G218" s="7"/>
      <c r="H218" s="7"/>
      <c r="I218" s="7"/>
      <c r="J218" s="7"/>
      <c r="K218" s="7"/>
      <c r="L218" s="7" t="s">
        <v>264</v>
      </c>
      <c r="M218" s="7"/>
      <c r="N218" s="7" t="s">
        <v>956</v>
      </c>
    </row>
    <row r="219" spans="1:14" hidden="1" x14ac:dyDescent="0.25">
      <c r="A219">
        <v>168</v>
      </c>
      <c r="B219">
        <v>28</v>
      </c>
      <c r="C219" t="s">
        <v>1106</v>
      </c>
      <c r="D219" s="1" t="s">
        <v>252</v>
      </c>
      <c r="E219" t="s">
        <v>1112</v>
      </c>
      <c r="H219" s="1" t="s">
        <v>258</v>
      </c>
      <c r="I219" t="s">
        <v>1102</v>
      </c>
      <c r="J219" s="11" t="s">
        <v>953</v>
      </c>
      <c r="K219" t="s">
        <v>1107</v>
      </c>
      <c r="L219" s="1" t="s">
        <v>263</v>
      </c>
      <c r="M219" s="1" t="s">
        <v>266</v>
      </c>
    </row>
    <row r="220" spans="1:14" hidden="1" x14ac:dyDescent="0.25">
      <c r="A220">
        <v>169</v>
      </c>
      <c r="B220">
        <v>28</v>
      </c>
      <c r="C220" t="s">
        <v>1100</v>
      </c>
      <c r="D220" s="1" t="s">
        <v>253</v>
      </c>
      <c r="E220" t="s">
        <v>1112</v>
      </c>
      <c r="H220" s="1" t="s">
        <v>258</v>
      </c>
      <c r="I220" t="s">
        <v>1103</v>
      </c>
      <c r="J220" s="11" t="s">
        <v>953</v>
      </c>
      <c r="K220" t="s">
        <v>1108</v>
      </c>
      <c r="L220" s="1" t="s">
        <v>263</v>
      </c>
      <c r="M220" s="1" t="s">
        <v>269</v>
      </c>
      <c r="N220" t="s">
        <v>1109</v>
      </c>
    </row>
    <row r="221" spans="1:14" hidden="1" x14ac:dyDescent="0.25">
      <c r="A221">
        <v>170</v>
      </c>
      <c r="B221">
        <v>28</v>
      </c>
      <c r="C221" t="s">
        <v>249</v>
      </c>
      <c r="D221" s="1" t="s">
        <v>249</v>
      </c>
      <c r="E221" t="s">
        <v>1112</v>
      </c>
      <c r="H221" s="1" t="s">
        <v>258</v>
      </c>
      <c r="I221" t="s">
        <v>1104</v>
      </c>
      <c r="J221" s="11" t="s">
        <v>953</v>
      </c>
      <c r="K221" t="s">
        <v>1110</v>
      </c>
      <c r="L221" s="1" t="s">
        <v>263</v>
      </c>
      <c r="M221" s="1" t="s">
        <v>266</v>
      </c>
    </row>
    <row r="222" spans="1:14" hidden="1" x14ac:dyDescent="0.25">
      <c r="A222">
        <v>171</v>
      </c>
      <c r="B222">
        <v>28</v>
      </c>
      <c r="C222" t="s">
        <v>1101</v>
      </c>
      <c r="D222" s="1" t="s">
        <v>250</v>
      </c>
      <c r="E222" t="s">
        <v>1112</v>
      </c>
      <c r="H222" s="1" t="s">
        <v>258</v>
      </c>
      <c r="I222" t="s">
        <v>1105</v>
      </c>
      <c r="J222" s="11" t="s">
        <v>953</v>
      </c>
      <c r="K222" t="s">
        <v>1111</v>
      </c>
      <c r="L222" s="1" t="s">
        <v>263</v>
      </c>
      <c r="M222" s="1" t="s">
        <v>266</v>
      </c>
    </row>
    <row r="223" spans="1:14" hidden="1" x14ac:dyDescent="0.25">
      <c r="A223" s="7"/>
      <c r="B223" s="7">
        <v>28</v>
      </c>
      <c r="C223" s="7"/>
      <c r="D223" s="7" t="s">
        <v>246</v>
      </c>
      <c r="E223" s="7" t="s">
        <v>1112</v>
      </c>
      <c r="F223" s="7"/>
      <c r="G223" s="7"/>
      <c r="H223" s="7"/>
      <c r="I223" s="7"/>
      <c r="J223" s="7"/>
      <c r="K223" s="7"/>
      <c r="L223" s="7" t="s">
        <v>264</v>
      </c>
      <c r="M223" s="7"/>
      <c r="N223" s="7" t="s">
        <v>956</v>
      </c>
    </row>
    <row r="224" spans="1:14" hidden="1" x14ac:dyDescent="0.25">
      <c r="A224" s="7"/>
      <c r="B224" s="7">
        <v>28</v>
      </c>
      <c r="C224" s="7"/>
      <c r="D224" s="7" t="s">
        <v>247</v>
      </c>
      <c r="E224" s="7" t="s">
        <v>1112</v>
      </c>
      <c r="F224" s="7"/>
      <c r="G224" s="7"/>
      <c r="H224" s="7"/>
      <c r="I224" s="7"/>
      <c r="J224" s="7"/>
      <c r="K224" s="7"/>
      <c r="L224" s="7" t="s">
        <v>264</v>
      </c>
      <c r="M224" s="7"/>
      <c r="N224" s="7" t="s">
        <v>956</v>
      </c>
    </row>
    <row r="225" spans="1:14" hidden="1" x14ac:dyDescent="0.25">
      <c r="A225" s="7"/>
      <c r="B225" s="7">
        <v>28</v>
      </c>
      <c r="C225" s="7"/>
      <c r="D225" s="7" t="s">
        <v>248</v>
      </c>
      <c r="E225" s="7" t="s">
        <v>1112</v>
      </c>
      <c r="F225" s="7"/>
      <c r="G225" s="7"/>
      <c r="H225" s="7"/>
      <c r="I225" s="7"/>
      <c r="J225" s="7"/>
      <c r="K225" s="7"/>
      <c r="L225" s="7" t="s">
        <v>264</v>
      </c>
      <c r="M225" s="7"/>
      <c r="N225" s="7" t="s">
        <v>956</v>
      </c>
    </row>
    <row r="226" spans="1:14" hidden="1" x14ac:dyDescent="0.25">
      <c r="A226">
        <v>172</v>
      </c>
      <c r="B226">
        <v>29</v>
      </c>
      <c r="C226" t="s">
        <v>1123</v>
      </c>
      <c r="D226" s="1" t="s">
        <v>247</v>
      </c>
      <c r="E226" t="s">
        <v>1130</v>
      </c>
      <c r="H226" s="1" t="s">
        <v>258</v>
      </c>
      <c r="I226" t="s">
        <v>1131</v>
      </c>
      <c r="J226" s="11" t="s">
        <v>953</v>
      </c>
      <c r="K226" t="s">
        <v>1134</v>
      </c>
      <c r="L226" s="1" t="s">
        <v>263</v>
      </c>
      <c r="M226" s="1" t="s">
        <v>269</v>
      </c>
    </row>
    <row r="227" spans="1:14" hidden="1" x14ac:dyDescent="0.25">
      <c r="A227">
        <v>173</v>
      </c>
      <c r="B227">
        <v>29</v>
      </c>
      <c r="C227" t="s">
        <v>1124</v>
      </c>
      <c r="D227" s="1" t="s">
        <v>255</v>
      </c>
      <c r="E227" t="s">
        <v>1130</v>
      </c>
      <c r="H227" s="1" t="s">
        <v>258</v>
      </c>
      <c r="I227" t="s">
        <v>1132</v>
      </c>
      <c r="J227" s="11" t="s">
        <v>953</v>
      </c>
      <c r="K227" t="s">
        <v>1135</v>
      </c>
      <c r="L227" s="1" t="s">
        <v>263</v>
      </c>
      <c r="M227" s="1" t="s">
        <v>269</v>
      </c>
    </row>
    <row r="228" spans="1:14" hidden="1" x14ac:dyDescent="0.25">
      <c r="A228">
        <v>174</v>
      </c>
      <c r="B228">
        <v>29</v>
      </c>
      <c r="C228" t="s">
        <v>1125</v>
      </c>
      <c r="D228" s="1" t="s">
        <v>249</v>
      </c>
      <c r="E228" t="s">
        <v>1130</v>
      </c>
      <c r="H228" s="1" t="s">
        <v>258</v>
      </c>
      <c r="I228" t="s">
        <v>1136</v>
      </c>
      <c r="J228" s="11" t="s">
        <v>953</v>
      </c>
      <c r="K228" t="s">
        <v>1137</v>
      </c>
      <c r="L228" s="1" t="s">
        <v>263</v>
      </c>
      <c r="M228" s="1" t="s">
        <v>266</v>
      </c>
    </row>
    <row r="229" spans="1:14" hidden="1" x14ac:dyDescent="0.25">
      <c r="A229">
        <v>175</v>
      </c>
      <c r="B229">
        <v>29</v>
      </c>
      <c r="C229" t="s">
        <v>1126</v>
      </c>
      <c r="D229" s="1" t="s">
        <v>253</v>
      </c>
      <c r="E229" t="s">
        <v>1130</v>
      </c>
      <c r="H229" s="1" t="s">
        <v>258</v>
      </c>
      <c r="I229" t="s">
        <v>1133</v>
      </c>
      <c r="J229" s="11" t="s">
        <v>953</v>
      </c>
      <c r="K229" t="s">
        <v>1138</v>
      </c>
      <c r="L229" s="1" t="s">
        <v>263</v>
      </c>
      <c r="M229" s="1" t="s">
        <v>266</v>
      </c>
    </row>
    <row r="230" spans="1:14" hidden="1" x14ac:dyDescent="0.25">
      <c r="A230">
        <v>176</v>
      </c>
      <c r="B230">
        <v>29</v>
      </c>
      <c r="C230" t="s">
        <v>1127</v>
      </c>
      <c r="D230" s="1" t="s">
        <v>252</v>
      </c>
      <c r="E230" t="s">
        <v>1130</v>
      </c>
      <c r="H230" s="1" t="s">
        <v>258</v>
      </c>
      <c r="I230" t="s">
        <v>1139</v>
      </c>
      <c r="J230" s="11" t="s">
        <v>953</v>
      </c>
      <c r="K230" t="s">
        <v>1140</v>
      </c>
      <c r="L230" s="1" t="s">
        <v>263</v>
      </c>
      <c r="M230" s="1" t="s">
        <v>269</v>
      </c>
      <c r="N230" t="s">
        <v>1141</v>
      </c>
    </row>
    <row r="231" spans="1:14" hidden="1" x14ac:dyDescent="0.25">
      <c r="A231">
        <v>177</v>
      </c>
      <c r="B231">
        <v>29</v>
      </c>
      <c r="C231" t="s">
        <v>1128</v>
      </c>
      <c r="D231" s="1" t="s">
        <v>251</v>
      </c>
      <c r="E231" t="s">
        <v>1130</v>
      </c>
      <c r="H231" s="1" t="s">
        <v>258</v>
      </c>
      <c r="I231" t="s">
        <v>1142</v>
      </c>
      <c r="J231" s="11" t="s">
        <v>953</v>
      </c>
      <c r="K231" t="s">
        <v>1143</v>
      </c>
      <c r="L231" s="1" t="s">
        <v>263</v>
      </c>
      <c r="M231" s="1" t="s">
        <v>266</v>
      </c>
    </row>
    <row r="232" spans="1:14" hidden="1" x14ac:dyDescent="0.25">
      <c r="A232">
        <v>178</v>
      </c>
      <c r="B232">
        <v>29</v>
      </c>
      <c r="C232" t="s">
        <v>1129</v>
      </c>
      <c r="D232" s="1" t="s">
        <v>250</v>
      </c>
      <c r="E232" t="s">
        <v>1130</v>
      </c>
      <c r="H232" s="1" t="s">
        <v>258</v>
      </c>
      <c r="I232" t="s">
        <v>1144</v>
      </c>
      <c r="J232" s="11" t="s">
        <v>953</v>
      </c>
      <c r="K232" t="s">
        <v>1145</v>
      </c>
      <c r="L232" s="1" t="s">
        <v>263</v>
      </c>
      <c r="M232" s="1" t="s">
        <v>266</v>
      </c>
    </row>
    <row r="233" spans="1:14" hidden="1" x14ac:dyDescent="0.25">
      <c r="A233" s="7"/>
      <c r="B233" s="7">
        <v>29</v>
      </c>
      <c r="C233" s="7"/>
      <c r="D233" s="7" t="s">
        <v>246</v>
      </c>
      <c r="E233" s="7" t="s">
        <v>1130</v>
      </c>
      <c r="F233" s="7"/>
      <c r="G233" s="7"/>
      <c r="H233" s="7"/>
      <c r="I233" s="7"/>
      <c r="J233" s="7"/>
      <c r="K233" s="7"/>
      <c r="L233" s="7" t="s">
        <v>264</v>
      </c>
      <c r="M233" s="7"/>
      <c r="N233" s="7" t="s">
        <v>956</v>
      </c>
    </row>
    <row r="234" spans="1:14" hidden="1" x14ac:dyDescent="0.25">
      <c r="A234" s="7"/>
      <c r="B234" s="7">
        <v>29</v>
      </c>
      <c r="C234" s="7"/>
      <c r="D234" s="7" t="s">
        <v>247</v>
      </c>
      <c r="E234" s="7" t="s">
        <v>1130</v>
      </c>
      <c r="F234" s="7"/>
      <c r="G234" s="7"/>
      <c r="H234" s="7"/>
      <c r="I234" s="7"/>
      <c r="J234" s="7"/>
      <c r="K234" s="7"/>
      <c r="L234" s="7" t="s">
        <v>264</v>
      </c>
      <c r="M234" s="7"/>
      <c r="N234" s="7" t="s">
        <v>956</v>
      </c>
    </row>
    <row r="235" spans="1:14" hidden="1" x14ac:dyDescent="0.25">
      <c r="A235" s="7"/>
      <c r="B235" s="7">
        <v>29</v>
      </c>
      <c r="C235" s="7"/>
      <c r="D235" s="7" t="s">
        <v>248</v>
      </c>
      <c r="E235" s="7" t="s">
        <v>1130</v>
      </c>
      <c r="F235" s="7"/>
      <c r="G235" s="7"/>
      <c r="H235" s="7"/>
      <c r="I235" s="7"/>
      <c r="J235" s="7"/>
      <c r="K235" s="7"/>
      <c r="L235" s="7" t="s">
        <v>264</v>
      </c>
      <c r="M235" s="7"/>
      <c r="N235" s="7" t="s">
        <v>956</v>
      </c>
    </row>
    <row r="236" spans="1:14" hidden="1" x14ac:dyDescent="0.25">
      <c r="A236">
        <v>179</v>
      </c>
      <c r="B236">
        <v>30</v>
      </c>
      <c r="C236" t="s">
        <v>1113</v>
      </c>
      <c r="D236" s="1" t="s">
        <v>249</v>
      </c>
      <c r="E236" t="s">
        <v>1117</v>
      </c>
      <c r="H236" s="1" t="s">
        <v>258</v>
      </c>
      <c r="I236" t="s">
        <v>1118</v>
      </c>
      <c r="J236" s="11" t="s">
        <v>953</v>
      </c>
      <c r="K236" t="s">
        <v>1146</v>
      </c>
      <c r="L236" s="1" t="s">
        <v>263</v>
      </c>
      <c r="M236" s="1" t="s">
        <v>266</v>
      </c>
    </row>
    <row r="237" spans="1:14" hidden="1" x14ac:dyDescent="0.25">
      <c r="A237">
        <v>180</v>
      </c>
      <c r="B237">
        <v>30</v>
      </c>
      <c r="C237" t="s">
        <v>610</v>
      </c>
      <c r="D237" s="1" t="s">
        <v>249</v>
      </c>
      <c r="E237" t="s">
        <v>1117</v>
      </c>
      <c r="H237" s="1" t="s">
        <v>258</v>
      </c>
      <c r="I237" t="s">
        <v>1119</v>
      </c>
      <c r="J237" s="11" t="s">
        <v>953</v>
      </c>
      <c r="K237" t="s">
        <v>1147</v>
      </c>
      <c r="L237" s="1" t="s">
        <v>263</v>
      </c>
      <c r="M237" s="1" t="s">
        <v>266</v>
      </c>
    </row>
    <row r="238" spans="1:14" hidden="1" x14ac:dyDescent="0.25">
      <c r="A238">
        <v>181</v>
      </c>
      <c r="B238">
        <v>30</v>
      </c>
      <c r="C238" t="s">
        <v>1114</v>
      </c>
      <c r="D238" s="1" t="s">
        <v>249</v>
      </c>
      <c r="E238" t="s">
        <v>1117</v>
      </c>
      <c r="H238" s="1" t="s">
        <v>258</v>
      </c>
      <c r="I238" t="s">
        <v>1120</v>
      </c>
      <c r="J238" s="11" t="s">
        <v>953</v>
      </c>
      <c r="K238" t="s">
        <v>1148</v>
      </c>
      <c r="L238" s="1" t="s">
        <v>263</v>
      </c>
      <c r="M238" s="1" t="s">
        <v>266</v>
      </c>
    </row>
    <row r="239" spans="1:14" hidden="1" x14ac:dyDescent="0.25">
      <c r="A239">
        <v>182</v>
      </c>
      <c r="B239">
        <v>30</v>
      </c>
      <c r="C239" t="s">
        <v>1115</v>
      </c>
      <c r="D239" s="1" t="s">
        <v>250</v>
      </c>
      <c r="E239" t="s">
        <v>1117</v>
      </c>
      <c r="H239" s="1" t="s">
        <v>258</v>
      </c>
      <c r="I239" t="s">
        <v>1121</v>
      </c>
      <c r="J239" s="11" t="s">
        <v>953</v>
      </c>
      <c r="K239" t="s">
        <v>1149</v>
      </c>
      <c r="L239" s="1" t="s">
        <v>263</v>
      </c>
      <c r="M239" s="1" t="s">
        <v>266</v>
      </c>
    </row>
    <row r="240" spans="1:14" hidden="1" x14ac:dyDescent="0.25">
      <c r="A240">
        <v>183</v>
      </c>
      <c r="B240">
        <v>30</v>
      </c>
      <c r="C240" t="s">
        <v>1116</v>
      </c>
      <c r="D240" s="1" t="s">
        <v>253</v>
      </c>
      <c r="E240" t="s">
        <v>1117</v>
      </c>
      <c r="H240" s="1" t="s">
        <v>258</v>
      </c>
      <c r="I240" t="s">
        <v>1122</v>
      </c>
      <c r="J240" s="11" t="s">
        <v>953</v>
      </c>
      <c r="K240" t="s">
        <v>1150</v>
      </c>
      <c r="L240" s="1" t="s">
        <v>263</v>
      </c>
      <c r="M240" s="1" t="s">
        <v>266</v>
      </c>
    </row>
    <row r="241" spans="1:15" hidden="1" x14ac:dyDescent="0.25">
      <c r="A241" s="7"/>
      <c r="B241" s="7">
        <v>30</v>
      </c>
      <c r="C241" s="7"/>
      <c r="D241" s="7" t="s">
        <v>246</v>
      </c>
      <c r="E241" s="7" t="s">
        <v>1117</v>
      </c>
      <c r="F241" s="7"/>
      <c r="G241" s="7"/>
      <c r="H241" s="7"/>
      <c r="I241" s="7"/>
      <c r="J241" s="7"/>
      <c r="K241" s="7"/>
      <c r="L241" s="7" t="s">
        <v>264</v>
      </c>
      <c r="M241" s="7"/>
      <c r="N241" s="7" t="s">
        <v>956</v>
      </c>
    </row>
    <row r="242" spans="1:15" hidden="1" x14ac:dyDescent="0.25">
      <c r="A242" s="7"/>
      <c r="B242" s="7">
        <v>30</v>
      </c>
      <c r="C242" s="7"/>
      <c r="D242" s="7" t="s">
        <v>247</v>
      </c>
      <c r="E242" s="7" t="s">
        <v>1117</v>
      </c>
      <c r="F242" s="7"/>
      <c r="G242" s="7"/>
      <c r="H242" s="7"/>
      <c r="I242" s="7"/>
      <c r="J242" s="7"/>
      <c r="K242" s="7"/>
      <c r="L242" s="7" t="s">
        <v>264</v>
      </c>
      <c r="M242" s="7"/>
      <c r="N242" s="7" t="s">
        <v>956</v>
      </c>
    </row>
    <row r="243" spans="1:15" hidden="1" x14ac:dyDescent="0.25">
      <c r="A243" s="7"/>
      <c r="B243" s="7">
        <v>30</v>
      </c>
      <c r="C243" s="7"/>
      <c r="D243" s="7" t="s">
        <v>248</v>
      </c>
      <c r="E243" s="7" t="s">
        <v>1117</v>
      </c>
      <c r="F243" s="7"/>
      <c r="G243" s="7"/>
      <c r="H243" s="7"/>
      <c r="I243" s="7"/>
      <c r="J243" s="7"/>
      <c r="K243" s="7"/>
      <c r="L243" s="7" t="s">
        <v>264</v>
      </c>
      <c r="M243" s="7"/>
      <c r="N243" s="7" t="s">
        <v>956</v>
      </c>
    </row>
    <row r="244" spans="1:15" x14ac:dyDescent="0.25">
      <c r="A244" s="4">
        <v>184</v>
      </c>
      <c r="B244" s="4">
        <v>31</v>
      </c>
      <c r="C244" s="4" t="s">
        <v>1170</v>
      </c>
      <c r="D244" s="4" t="s">
        <v>248</v>
      </c>
      <c r="E244" s="4" t="s">
        <v>1151</v>
      </c>
      <c r="F244" s="4"/>
      <c r="G244" s="4"/>
      <c r="H244" s="4" t="s">
        <v>258</v>
      </c>
      <c r="I244" s="4" t="s">
        <v>1174</v>
      </c>
      <c r="J244" s="10" t="s">
        <v>953</v>
      </c>
      <c r="K244" s="4" t="s">
        <v>1178</v>
      </c>
      <c r="L244" s="4" t="s">
        <v>262</v>
      </c>
      <c r="M244" s="4"/>
      <c r="N244" s="4"/>
    </row>
    <row r="245" spans="1:15" hidden="1" x14ac:dyDescent="0.25">
      <c r="A245">
        <v>185</v>
      </c>
      <c r="B245">
        <v>31</v>
      </c>
      <c r="C245" t="s">
        <v>1171</v>
      </c>
      <c r="D245" s="1" t="s">
        <v>249</v>
      </c>
      <c r="E245" t="s">
        <v>1151</v>
      </c>
      <c r="H245" s="1" t="s">
        <v>258</v>
      </c>
      <c r="I245" t="s">
        <v>1175</v>
      </c>
      <c r="J245" s="11" t="s">
        <v>953</v>
      </c>
      <c r="K245" t="s">
        <v>1179</v>
      </c>
      <c r="L245" s="1" t="s">
        <v>263</v>
      </c>
      <c r="M245" s="1" t="s">
        <v>266</v>
      </c>
    </row>
    <row r="246" spans="1:15" hidden="1" x14ac:dyDescent="0.25">
      <c r="A246">
        <v>186</v>
      </c>
      <c r="B246">
        <v>31</v>
      </c>
      <c r="C246" t="s">
        <v>1172</v>
      </c>
      <c r="D246" s="1" t="s">
        <v>253</v>
      </c>
      <c r="E246" t="s">
        <v>1151</v>
      </c>
      <c r="H246" s="1" t="s">
        <v>258</v>
      </c>
      <c r="I246" t="s">
        <v>1176</v>
      </c>
      <c r="J246" s="11" t="s">
        <v>953</v>
      </c>
      <c r="K246" t="s">
        <v>1180</v>
      </c>
      <c r="L246" s="1" t="s">
        <v>263</v>
      </c>
      <c r="M246" s="1" t="s">
        <v>269</v>
      </c>
    </row>
    <row r="247" spans="1:15" hidden="1" x14ac:dyDescent="0.25">
      <c r="A247">
        <v>187</v>
      </c>
      <c r="B247">
        <v>31</v>
      </c>
      <c r="C247" t="s">
        <v>1173</v>
      </c>
      <c r="D247" s="1" t="s">
        <v>252</v>
      </c>
      <c r="E247" t="s">
        <v>1151</v>
      </c>
      <c r="H247" s="1" t="s">
        <v>258</v>
      </c>
      <c r="I247" t="s">
        <v>1177</v>
      </c>
      <c r="J247" s="11" t="s">
        <v>953</v>
      </c>
      <c r="K247" t="s">
        <v>1181</v>
      </c>
      <c r="L247" s="1" t="s">
        <v>263</v>
      </c>
      <c r="M247" s="1" t="s">
        <v>269</v>
      </c>
    </row>
    <row r="248" spans="1:15" hidden="1" x14ac:dyDescent="0.25">
      <c r="A248" s="7"/>
      <c r="B248" s="7">
        <v>31</v>
      </c>
      <c r="C248" s="7"/>
      <c r="D248" s="7" t="s">
        <v>246</v>
      </c>
      <c r="E248" s="7" t="s">
        <v>1151</v>
      </c>
      <c r="F248" s="7"/>
      <c r="G248" s="7"/>
      <c r="H248" s="7"/>
      <c r="I248" s="7"/>
      <c r="J248" s="7"/>
      <c r="K248" s="7"/>
      <c r="L248" s="7" t="s">
        <v>264</v>
      </c>
      <c r="M248" s="7"/>
      <c r="N248" s="7" t="s">
        <v>956</v>
      </c>
    </row>
    <row r="249" spans="1:15" hidden="1" x14ac:dyDescent="0.25">
      <c r="A249" s="7"/>
      <c r="B249" s="7">
        <v>31</v>
      </c>
      <c r="C249" s="7"/>
      <c r="D249" s="7" t="s">
        <v>247</v>
      </c>
      <c r="E249" s="7" t="s">
        <v>1151</v>
      </c>
      <c r="F249" s="7"/>
      <c r="G249" s="7"/>
      <c r="H249" s="7"/>
      <c r="I249" s="7"/>
      <c r="J249" s="7"/>
      <c r="K249" s="7"/>
      <c r="L249" s="7" t="s">
        <v>264</v>
      </c>
      <c r="M249" s="7"/>
      <c r="N249" s="7" t="s">
        <v>956</v>
      </c>
    </row>
    <row r="250" spans="1:15" x14ac:dyDescent="0.25">
      <c r="A250" s="4">
        <v>188</v>
      </c>
      <c r="B250" s="4">
        <v>32</v>
      </c>
      <c r="C250" s="4" t="s">
        <v>1153</v>
      </c>
      <c r="D250" s="4" t="s">
        <v>247</v>
      </c>
      <c r="E250" s="4" t="s">
        <v>1152</v>
      </c>
      <c r="F250" s="4"/>
      <c r="G250" s="4"/>
      <c r="H250" s="4" t="s">
        <v>258</v>
      </c>
      <c r="I250" s="4" t="s">
        <v>1160</v>
      </c>
      <c r="J250" s="10" t="s">
        <v>953</v>
      </c>
      <c r="K250" s="4" t="s">
        <v>1182</v>
      </c>
      <c r="L250" s="4" t="s">
        <v>262</v>
      </c>
      <c r="M250" s="4"/>
      <c r="N250" s="4"/>
      <c r="O250" t="s">
        <v>1364</v>
      </c>
    </row>
    <row r="251" spans="1:15" x14ac:dyDescent="0.25">
      <c r="A251" s="4">
        <v>189</v>
      </c>
      <c r="B251" s="4">
        <v>32</v>
      </c>
      <c r="C251" s="4" t="s">
        <v>1159</v>
      </c>
      <c r="D251" s="4" t="s">
        <v>246</v>
      </c>
      <c r="E251" s="4" t="s">
        <v>1152</v>
      </c>
      <c r="F251" s="4"/>
      <c r="G251" s="4"/>
      <c r="H251" s="4" t="s">
        <v>258</v>
      </c>
      <c r="I251" s="4" t="s">
        <v>1161</v>
      </c>
      <c r="J251" s="10" t="s">
        <v>953</v>
      </c>
      <c r="K251" s="4" t="s">
        <v>1183</v>
      </c>
      <c r="L251" s="4" t="s">
        <v>262</v>
      </c>
      <c r="M251" s="4"/>
      <c r="N251" s="4"/>
      <c r="O251" t="s">
        <v>1364</v>
      </c>
    </row>
    <row r="252" spans="1:15" x14ac:dyDescent="0.25">
      <c r="A252" s="4">
        <v>190</v>
      </c>
      <c r="B252" s="4">
        <v>32</v>
      </c>
      <c r="C252" s="4" t="s">
        <v>1154</v>
      </c>
      <c r="D252" s="4" t="s">
        <v>248</v>
      </c>
      <c r="E252" s="4" t="s">
        <v>1152</v>
      </c>
      <c r="F252" s="4"/>
      <c r="G252" s="4"/>
      <c r="H252" s="4" t="s">
        <v>258</v>
      </c>
      <c r="I252" s="4" t="s">
        <v>1162</v>
      </c>
      <c r="J252" s="10" t="s">
        <v>953</v>
      </c>
      <c r="K252" s="4" t="s">
        <v>1184</v>
      </c>
      <c r="L252" s="4" t="s">
        <v>262</v>
      </c>
      <c r="M252" s="4"/>
      <c r="N252" s="4"/>
    </row>
    <row r="253" spans="1:15" hidden="1" x14ac:dyDescent="0.25">
      <c r="A253">
        <v>191</v>
      </c>
      <c r="B253">
        <v>32</v>
      </c>
      <c r="C253" t="s">
        <v>1155</v>
      </c>
      <c r="D253" s="1" t="s">
        <v>250</v>
      </c>
      <c r="E253" t="s">
        <v>1152</v>
      </c>
      <c r="H253" s="1" t="s">
        <v>258</v>
      </c>
      <c r="I253" t="s">
        <v>1163</v>
      </c>
      <c r="J253" s="11" t="s">
        <v>953</v>
      </c>
      <c r="K253" t="s">
        <v>1185</v>
      </c>
      <c r="L253" s="1" t="s">
        <v>263</v>
      </c>
      <c r="M253" s="1" t="s">
        <v>267</v>
      </c>
      <c r="N253" t="s">
        <v>1168</v>
      </c>
    </row>
    <row r="254" spans="1:15" hidden="1" x14ac:dyDescent="0.25">
      <c r="A254">
        <v>192</v>
      </c>
      <c r="B254">
        <v>32</v>
      </c>
      <c r="C254" t="s">
        <v>610</v>
      </c>
      <c r="D254" s="1" t="s">
        <v>249</v>
      </c>
      <c r="E254" t="s">
        <v>1152</v>
      </c>
      <c r="H254" s="1" t="s">
        <v>258</v>
      </c>
      <c r="I254" t="s">
        <v>1164</v>
      </c>
      <c r="J254" s="11" t="s">
        <v>953</v>
      </c>
      <c r="K254" t="s">
        <v>1186</v>
      </c>
      <c r="L254" s="1" t="s">
        <v>263</v>
      </c>
      <c r="M254" s="1" t="s">
        <v>267</v>
      </c>
      <c r="N254" t="s">
        <v>1168</v>
      </c>
    </row>
    <row r="255" spans="1:15" hidden="1" x14ac:dyDescent="0.25">
      <c r="A255">
        <v>193</v>
      </c>
      <c r="B255">
        <v>32</v>
      </c>
      <c r="C255" t="s">
        <v>1156</v>
      </c>
      <c r="D255" s="1" t="s">
        <v>249</v>
      </c>
      <c r="E255" t="s">
        <v>1152</v>
      </c>
      <c r="H255" s="1" t="s">
        <v>258</v>
      </c>
      <c r="I255" t="s">
        <v>1165</v>
      </c>
      <c r="J255" s="11" t="s">
        <v>953</v>
      </c>
      <c r="K255" t="s">
        <v>1187</v>
      </c>
      <c r="L255" s="1" t="s">
        <v>263</v>
      </c>
      <c r="M255" s="1" t="s">
        <v>267</v>
      </c>
      <c r="N255" t="s">
        <v>1168</v>
      </c>
    </row>
    <row r="256" spans="1:15" x14ac:dyDescent="0.25">
      <c r="A256" s="4">
        <v>194</v>
      </c>
      <c r="B256" s="4">
        <v>32</v>
      </c>
      <c r="C256" s="4" t="s">
        <v>1157</v>
      </c>
      <c r="D256" s="4" t="s">
        <v>246</v>
      </c>
      <c r="E256" s="4" t="s">
        <v>1152</v>
      </c>
      <c r="F256" s="4"/>
      <c r="G256" s="4"/>
      <c r="H256" s="4" t="s">
        <v>258</v>
      </c>
      <c r="I256" s="4" t="s">
        <v>1166</v>
      </c>
      <c r="J256" s="10" t="s">
        <v>953</v>
      </c>
      <c r="K256" s="4" t="s">
        <v>1188</v>
      </c>
      <c r="L256" s="4" t="s">
        <v>262</v>
      </c>
      <c r="M256" s="4"/>
      <c r="N256" s="4"/>
      <c r="O256" t="s">
        <v>1364</v>
      </c>
    </row>
    <row r="257" spans="1:14" hidden="1" x14ac:dyDescent="0.25">
      <c r="A257">
        <v>195</v>
      </c>
      <c r="B257">
        <v>32</v>
      </c>
      <c r="C257" t="s">
        <v>1158</v>
      </c>
      <c r="D257" s="1" t="s">
        <v>253</v>
      </c>
      <c r="E257" t="s">
        <v>1152</v>
      </c>
      <c r="H257" s="1" t="s">
        <v>258</v>
      </c>
      <c r="I257" t="s">
        <v>1167</v>
      </c>
      <c r="J257" s="11" t="s">
        <v>953</v>
      </c>
      <c r="K257" t="s">
        <v>1189</v>
      </c>
      <c r="L257" s="1" t="s">
        <v>263</v>
      </c>
      <c r="M257" s="1" t="s">
        <v>267</v>
      </c>
      <c r="N257" t="s">
        <v>1168</v>
      </c>
    </row>
    <row r="258" spans="1:14" hidden="1" x14ac:dyDescent="0.25">
      <c r="A258">
        <v>196</v>
      </c>
      <c r="B258">
        <v>33</v>
      </c>
      <c r="C258" t="s">
        <v>1192</v>
      </c>
      <c r="D258" s="1" t="s">
        <v>249</v>
      </c>
      <c r="E258" t="s">
        <v>1202</v>
      </c>
      <c r="H258" s="1" t="s">
        <v>258</v>
      </c>
      <c r="I258" t="s">
        <v>1193</v>
      </c>
      <c r="J258" t="s">
        <v>1190</v>
      </c>
      <c r="K258" t="s">
        <v>1204</v>
      </c>
      <c r="L258" s="1" t="s">
        <v>263</v>
      </c>
      <c r="M258" s="1" t="s">
        <v>266</v>
      </c>
    </row>
    <row r="259" spans="1:14" hidden="1" x14ac:dyDescent="0.25">
      <c r="A259">
        <v>197</v>
      </c>
      <c r="B259">
        <v>33</v>
      </c>
      <c r="C259" t="s">
        <v>1194</v>
      </c>
      <c r="D259" s="1" t="s">
        <v>249</v>
      </c>
      <c r="E259" t="s">
        <v>1202</v>
      </c>
      <c r="H259" s="1" t="s">
        <v>258</v>
      </c>
      <c r="I259" t="s">
        <v>1195</v>
      </c>
      <c r="J259" t="s">
        <v>1190</v>
      </c>
      <c r="K259" t="s">
        <v>1205</v>
      </c>
      <c r="L259" s="1" t="s">
        <v>263</v>
      </c>
      <c r="M259" s="1" t="s">
        <v>266</v>
      </c>
    </row>
    <row r="260" spans="1:14" hidden="1" x14ac:dyDescent="0.25">
      <c r="A260">
        <v>198</v>
      </c>
      <c r="B260">
        <v>33</v>
      </c>
      <c r="C260" t="s">
        <v>1196</v>
      </c>
      <c r="D260" s="1" t="s">
        <v>250</v>
      </c>
      <c r="E260" t="s">
        <v>1202</v>
      </c>
      <c r="H260" s="1" t="s">
        <v>258</v>
      </c>
      <c r="I260" t="s">
        <v>1197</v>
      </c>
      <c r="J260" t="s">
        <v>1190</v>
      </c>
      <c r="K260" t="s">
        <v>1206</v>
      </c>
      <c r="L260" s="1" t="s">
        <v>263</v>
      </c>
      <c r="M260" s="1" t="s">
        <v>266</v>
      </c>
    </row>
    <row r="261" spans="1:14" hidden="1" x14ac:dyDescent="0.25">
      <c r="A261">
        <v>199</v>
      </c>
      <c r="B261">
        <v>33</v>
      </c>
      <c r="C261" t="s">
        <v>1198</v>
      </c>
      <c r="D261" s="1" t="s">
        <v>250</v>
      </c>
      <c r="E261" t="s">
        <v>1202</v>
      </c>
      <c r="H261" s="1" t="s">
        <v>258</v>
      </c>
      <c r="I261" t="s">
        <v>1199</v>
      </c>
      <c r="J261" t="s">
        <v>1190</v>
      </c>
      <c r="K261" t="s">
        <v>1207</v>
      </c>
      <c r="L261" s="1" t="s">
        <v>263</v>
      </c>
      <c r="M261" s="1" t="s">
        <v>266</v>
      </c>
    </row>
    <row r="262" spans="1:14" hidden="1" x14ac:dyDescent="0.25">
      <c r="A262">
        <v>200</v>
      </c>
      <c r="B262">
        <v>33</v>
      </c>
      <c r="C262" t="s">
        <v>1200</v>
      </c>
      <c r="D262" s="1" t="s">
        <v>252</v>
      </c>
      <c r="E262" t="s">
        <v>1202</v>
      </c>
      <c r="H262" s="1" t="s">
        <v>258</v>
      </c>
      <c r="I262" t="s">
        <v>1201</v>
      </c>
      <c r="J262" t="s">
        <v>1190</v>
      </c>
      <c r="K262" t="s">
        <v>1208</v>
      </c>
      <c r="L262" s="1" t="s">
        <v>263</v>
      </c>
      <c r="M262" s="1" t="s">
        <v>266</v>
      </c>
    </row>
    <row r="263" spans="1:14" hidden="1" x14ac:dyDescent="0.25">
      <c r="A263" s="7"/>
      <c r="B263" s="7">
        <v>33</v>
      </c>
      <c r="C263" s="7"/>
      <c r="D263" s="7" t="s">
        <v>246</v>
      </c>
      <c r="E263" s="7" t="s">
        <v>1202</v>
      </c>
      <c r="F263" s="7"/>
      <c r="G263" s="7"/>
      <c r="H263" s="7"/>
      <c r="I263" s="7"/>
      <c r="J263" s="7"/>
      <c r="K263" s="7"/>
      <c r="L263" s="7" t="s">
        <v>264</v>
      </c>
      <c r="M263" s="7"/>
      <c r="N263" s="7" t="s">
        <v>1203</v>
      </c>
    </row>
    <row r="264" spans="1:14" hidden="1" x14ac:dyDescent="0.25">
      <c r="A264" s="7"/>
      <c r="B264" s="7">
        <v>33</v>
      </c>
      <c r="C264" s="7"/>
      <c r="D264" s="7" t="s">
        <v>247</v>
      </c>
      <c r="E264" s="7" t="s">
        <v>1202</v>
      </c>
      <c r="F264" s="7"/>
      <c r="G264" s="7"/>
      <c r="H264" s="7"/>
      <c r="I264" s="7"/>
      <c r="J264" s="7"/>
      <c r="K264" s="7"/>
      <c r="L264" s="7" t="s">
        <v>264</v>
      </c>
      <c r="M264" s="7"/>
      <c r="N264" s="7" t="s">
        <v>1203</v>
      </c>
    </row>
    <row r="265" spans="1:14" hidden="1" x14ac:dyDescent="0.25">
      <c r="A265" s="7"/>
      <c r="B265" s="7">
        <v>33</v>
      </c>
      <c r="C265" s="7"/>
      <c r="D265" s="7" t="s">
        <v>248</v>
      </c>
      <c r="E265" s="7" t="s">
        <v>1202</v>
      </c>
      <c r="F265" s="7"/>
      <c r="G265" s="7"/>
      <c r="H265" s="7"/>
      <c r="I265" s="7"/>
      <c r="J265" s="7"/>
      <c r="K265" s="7"/>
      <c r="L265" s="7" t="s">
        <v>264</v>
      </c>
      <c r="M265" s="7"/>
      <c r="N265" s="7" t="s">
        <v>1203</v>
      </c>
    </row>
    <row r="266" spans="1:14" x14ac:dyDescent="0.25">
      <c r="A266" s="4">
        <v>201</v>
      </c>
      <c r="B266" s="4">
        <v>34</v>
      </c>
      <c r="C266" s="4" t="s">
        <v>1211</v>
      </c>
      <c r="D266" s="4" t="s">
        <v>248</v>
      </c>
      <c r="E266" s="4" t="s">
        <v>1210</v>
      </c>
      <c r="F266" s="4"/>
      <c r="G266" s="4"/>
      <c r="H266" s="4" t="s">
        <v>258</v>
      </c>
      <c r="I266" s="4" t="s">
        <v>1218</v>
      </c>
      <c r="J266" s="4" t="s">
        <v>1190</v>
      </c>
      <c r="K266" s="4" t="s">
        <v>1219</v>
      </c>
      <c r="L266" s="4" t="s">
        <v>262</v>
      </c>
      <c r="M266" s="4"/>
      <c r="N266" s="4"/>
    </row>
    <row r="267" spans="1:14" hidden="1" x14ac:dyDescent="0.25">
      <c r="A267">
        <v>202</v>
      </c>
      <c r="B267">
        <v>34</v>
      </c>
      <c r="C267" t="s">
        <v>1212</v>
      </c>
      <c r="D267" s="1" t="s">
        <v>251</v>
      </c>
      <c r="E267" t="s">
        <v>1210</v>
      </c>
      <c r="H267" s="1" t="s">
        <v>258</v>
      </c>
      <c r="I267" t="s">
        <v>1220</v>
      </c>
      <c r="J267" t="s">
        <v>1190</v>
      </c>
      <c r="K267" t="s">
        <v>1222</v>
      </c>
      <c r="L267" s="1" t="s">
        <v>263</v>
      </c>
      <c r="M267" s="1" t="s">
        <v>267</v>
      </c>
      <c r="N267" t="s">
        <v>1221</v>
      </c>
    </row>
    <row r="268" spans="1:14" hidden="1" x14ac:dyDescent="0.25">
      <c r="A268">
        <v>203</v>
      </c>
      <c r="B268">
        <v>34</v>
      </c>
      <c r="C268" t="s">
        <v>1213</v>
      </c>
      <c r="D268" s="1" t="s">
        <v>249</v>
      </c>
      <c r="E268" t="s">
        <v>1210</v>
      </c>
      <c r="H268" s="1" t="s">
        <v>258</v>
      </c>
      <c r="I268" t="s">
        <v>1223</v>
      </c>
      <c r="J268" t="s">
        <v>1190</v>
      </c>
      <c r="K268" t="s">
        <v>1224</v>
      </c>
      <c r="L268" s="1" t="s">
        <v>263</v>
      </c>
      <c r="M268" s="1" t="s">
        <v>266</v>
      </c>
    </row>
    <row r="269" spans="1:14" hidden="1" x14ac:dyDescent="0.25">
      <c r="A269">
        <v>204</v>
      </c>
      <c r="B269">
        <v>34</v>
      </c>
      <c r="C269" t="s">
        <v>1214</v>
      </c>
      <c r="D269" s="1" t="s">
        <v>249</v>
      </c>
      <c r="E269" t="s">
        <v>1210</v>
      </c>
      <c r="H269" s="1" t="s">
        <v>258</v>
      </c>
      <c r="I269" t="s">
        <v>1225</v>
      </c>
      <c r="J269" t="s">
        <v>1190</v>
      </c>
      <c r="K269" t="s">
        <v>1226</v>
      </c>
      <c r="L269" s="1" t="s">
        <v>263</v>
      </c>
      <c r="M269" s="1" t="s">
        <v>266</v>
      </c>
    </row>
    <row r="270" spans="1:14" hidden="1" x14ac:dyDescent="0.25">
      <c r="A270">
        <v>205</v>
      </c>
      <c r="B270">
        <v>34</v>
      </c>
      <c r="C270" t="s">
        <v>1215</v>
      </c>
      <c r="D270" s="1" t="s">
        <v>250</v>
      </c>
      <c r="E270" t="s">
        <v>1210</v>
      </c>
      <c r="H270" s="1" t="s">
        <v>258</v>
      </c>
      <c r="I270" t="s">
        <v>1227</v>
      </c>
      <c r="J270" t="s">
        <v>1190</v>
      </c>
      <c r="K270" t="s">
        <v>1228</v>
      </c>
      <c r="L270" s="1" t="s">
        <v>263</v>
      </c>
      <c r="M270" s="1" t="s">
        <v>266</v>
      </c>
    </row>
    <row r="271" spans="1:14" hidden="1" x14ac:dyDescent="0.25">
      <c r="A271">
        <v>206</v>
      </c>
      <c r="B271">
        <v>34</v>
      </c>
      <c r="C271" t="s">
        <v>1230</v>
      </c>
      <c r="D271" s="1" t="s">
        <v>253</v>
      </c>
      <c r="E271" t="s">
        <v>1210</v>
      </c>
      <c r="H271" s="1" t="s">
        <v>258</v>
      </c>
      <c r="I271" t="s">
        <v>1229</v>
      </c>
      <c r="J271" t="s">
        <v>1190</v>
      </c>
      <c r="K271" t="s">
        <v>1231</v>
      </c>
      <c r="L271" s="1" t="s">
        <v>263</v>
      </c>
      <c r="M271" s="1" t="s">
        <v>269</v>
      </c>
    </row>
    <row r="272" spans="1:14" hidden="1" x14ac:dyDescent="0.25">
      <c r="A272">
        <v>207</v>
      </c>
      <c r="B272">
        <v>34</v>
      </c>
      <c r="C272" t="s">
        <v>1216</v>
      </c>
      <c r="D272" s="1" t="s">
        <v>251</v>
      </c>
      <c r="E272" t="s">
        <v>1210</v>
      </c>
      <c r="H272" s="1" t="s">
        <v>258</v>
      </c>
      <c r="I272" t="s">
        <v>1236</v>
      </c>
      <c r="J272" t="s">
        <v>1190</v>
      </c>
      <c r="K272" t="s">
        <v>1237</v>
      </c>
      <c r="L272" s="1" t="s">
        <v>263</v>
      </c>
      <c r="M272" s="1" t="s">
        <v>267</v>
      </c>
      <c r="N272" t="s">
        <v>1221</v>
      </c>
    </row>
    <row r="273" spans="1:14" hidden="1" x14ac:dyDescent="0.25">
      <c r="A273">
        <v>208</v>
      </c>
      <c r="B273">
        <v>34</v>
      </c>
      <c r="C273" t="s">
        <v>1239</v>
      </c>
      <c r="D273" s="1" t="s">
        <v>254</v>
      </c>
      <c r="E273" t="s">
        <v>1210</v>
      </c>
      <c r="H273" s="1" t="s">
        <v>258</v>
      </c>
      <c r="I273" t="s">
        <v>1238</v>
      </c>
      <c r="J273" t="s">
        <v>1190</v>
      </c>
      <c r="K273" t="s">
        <v>1240</v>
      </c>
      <c r="L273" s="1" t="s">
        <v>263</v>
      </c>
      <c r="M273" s="1" t="s">
        <v>270</v>
      </c>
    </row>
    <row r="274" spans="1:14" hidden="1" x14ac:dyDescent="0.25">
      <c r="A274">
        <v>209</v>
      </c>
      <c r="B274">
        <v>34</v>
      </c>
      <c r="C274" t="s">
        <v>1217</v>
      </c>
      <c r="D274" s="1" t="s">
        <v>253</v>
      </c>
      <c r="E274" t="s">
        <v>1210</v>
      </c>
      <c r="H274" s="1" t="s">
        <v>258</v>
      </c>
      <c r="I274" t="s">
        <v>1241</v>
      </c>
      <c r="J274" t="s">
        <v>1190</v>
      </c>
      <c r="K274" t="s">
        <v>1242</v>
      </c>
      <c r="L274" s="1" t="s">
        <v>263</v>
      </c>
      <c r="M274" s="1" t="s">
        <v>269</v>
      </c>
    </row>
    <row r="275" spans="1:14" hidden="1" x14ac:dyDescent="0.25">
      <c r="A275">
        <v>209</v>
      </c>
      <c r="B275">
        <v>34</v>
      </c>
      <c r="C275" t="s">
        <v>1232</v>
      </c>
      <c r="D275" s="1" t="s">
        <v>255</v>
      </c>
      <c r="E275" t="s">
        <v>1210</v>
      </c>
      <c r="H275" s="1" t="s">
        <v>258</v>
      </c>
      <c r="I275" t="s">
        <v>1234</v>
      </c>
      <c r="J275" t="s">
        <v>1190</v>
      </c>
      <c r="K275" t="s">
        <v>1233</v>
      </c>
      <c r="L275" s="1" t="s">
        <v>263</v>
      </c>
      <c r="M275" s="1" t="s">
        <v>269</v>
      </c>
    </row>
    <row r="276" spans="1:14" hidden="1" x14ac:dyDescent="0.25">
      <c r="A276" s="7"/>
      <c r="B276" s="7">
        <v>34</v>
      </c>
      <c r="C276" s="7"/>
      <c r="D276" s="7" t="s">
        <v>246</v>
      </c>
      <c r="E276" s="7" t="s">
        <v>1210</v>
      </c>
      <c r="F276" s="7"/>
      <c r="G276" s="7"/>
      <c r="H276" s="7"/>
      <c r="I276" s="7"/>
      <c r="J276" s="7"/>
      <c r="K276" s="7"/>
      <c r="L276" s="7" t="s">
        <v>264</v>
      </c>
      <c r="M276" s="7"/>
      <c r="N276" s="7" t="s">
        <v>1235</v>
      </c>
    </row>
    <row r="277" spans="1:14" hidden="1" x14ac:dyDescent="0.25">
      <c r="A277" s="7"/>
      <c r="B277" s="7">
        <v>34</v>
      </c>
      <c r="C277" s="7"/>
      <c r="D277" s="7" t="s">
        <v>247</v>
      </c>
      <c r="E277" s="7" t="s">
        <v>1210</v>
      </c>
      <c r="F277" s="7"/>
      <c r="G277" s="7"/>
      <c r="H277" s="7"/>
      <c r="I277" s="7"/>
      <c r="J277" s="7"/>
      <c r="K277" s="7"/>
      <c r="L277" s="7" t="s">
        <v>264</v>
      </c>
      <c r="M277" s="7"/>
      <c r="N277" s="7" t="s">
        <v>1235</v>
      </c>
    </row>
    <row r="278" spans="1:14" hidden="1" x14ac:dyDescent="0.25">
      <c r="A278">
        <v>210</v>
      </c>
      <c r="B278">
        <v>35</v>
      </c>
      <c r="C278" t="s">
        <v>1244</v>
      </c>
      <c r="D278" s="1" t="s">
        <v>249</v>
      </c>
      <c r="E278" t="s">
        <v>1250</v>
      </c>
      <c r="H278" s="1" t="s">
        <v>258</v>
      </c>
      <c r="I278" t="s">
        <v>1251</v>
      </c>
      <c r="J278" t="s">
        <v>1190</v>
      </c>
      <c r="K278" t="s">
        <v>1252</v>
      </c>
      <c r="L278" s="1" t="s">
        <v>263</v>
      </c>
      <c r="M278" s="1" t="s">
        <v>266</v>
      </c>
    </row>
    <row r="279" spans="1:14" hidden="1" x14ac:dyDescent="0.25">
      <c r="A279">
        <v>211</v>
      </c>
      <c r="B279">
        <v>35</v>
      </c>
      <c r="C279" t="s">
        <v>1245</v>
      </c>
      <c r="D279" s="1" t="s">
        <v>249</v>
      </c>
      <c r="E279" t="s">
        <v>1250</v>
      </c>
      <c r="H279" s="1" t="s">
        <v>258</v>
      </c>
      <c r="I279" t="s">
        <v>1253</v>
      </c>
      <c r="J279" t="s">
        <v>1190</v>
      </c>
      <c r="K279" t="s">
        <v>1256</v>
      </c>
      <c r="L279" s="1" t="s">
        <v>263</v>
      </c>
      <c r="M279" s="1" t="s">
        <v>266</v>
      </c>
    </row>
    <row r="280" spans="1:14" hidden="1" x14ac:dyDescent="0.25">
      <c r="A280">
        <v>212</v>
      </c>
      <c r="B280">
        <v>35</v>
      </c>
      <c r="C280" t="s">
        <v>1246</v>
      </c>
      <c r="D280" s="1" t="s">
        <v>250</v>
      </c>
      <c r="E280" t="s">
        <v>1250</v>
      </c>
      <c r="H280" s="1" t="s">
        <v>258</v>
      </c>
      <c r="I280" t="s">
        <v>1254</v>
      </c>
      <c r="J280" t="s">
        <v>1190</v>
      </c>
      <c r="K280" t="s">
        <v>1255</v>
      </c>
      <c r="L280" s="1" t="s">
        <v>263</v>
      </c>
      <c r="M280" s="1" t="s">
        <v>266</v>
      </c>
    </row>
    <row r="281" spans="1:14" hidden="1" x14ac:dyDescent="0.25">
      <c r="A281">
        <v>213</v>
      </c>
      <c r="B281">
        <v>35</v>
      </c>
      <c r="C281" t="s">
        <v>1247</v>
      </c>
      <c r="D281" s="1" t="s">
        <v>251</v>
      </c>
      <c r="E281" t="s">
        <v>1250</v>
      </c>
      <c r="H281" s="1" t="s">
        <v>258</v>
      </c>
      <c r="I281" t="s">
        <v>1257</v>
      </c>
      <c r="J281" t="s">
        <v>1190</v>
      </c>
      <c r="K281" t="s">
        <v>1258</v>
      </c>
      <c r="L281" s="1" t="s">
        <v>263</v>
      </c>
      <c r="M281" s="1" t="s">
        <v>266</v>
      </c>
    </row>
    <row r="282" spans="1:14" hidden="1" x14ac:dyDescent="0.25">
      <c r="A282">
        <v>214</v>
      </c>
      <c r="B282">
        <v>35</v>
      </c>
      <c r="C282" t="s">
        <v>1248</v>
      </c>
      <c r="D282" s="1" t="s">
        <v>253</v>
      </c>
      <c r="E282" t="s">
        <v>1250</v>
      </c>
      <c r="H282" s="1" t="s">
        <v>258</v>
      </c>
      <c r="I282" t="s">
        <v>1249</v>
      </c>
      <c r="J282" t="s">
        <v>1190</v>
      </c>
      <c r="K282" t="s">
        <v>1259</v>
      </c>
      <c r="L282" s="1" t="s">
        <v>263</v>
      </c>
      <c r="M282" s="1" t="s">
        <v>269</v>
      </c>
    </row>
    <row r="283" spans="1:14" hidden="1" x14ac:dyDescent="0.25">
      <c r="A283" s="7"/>
      <c r="B283" s="7">
        <v>35</v>
      </c>
      <c r="C283" s="7"/>
      <c r="D283" s="7" t="s">
        <v>246</v>
      </c>
      <c r="E283" s="7" t="s">
        <v>1250</v>
      </c>
      <c r="F283" s="7"/>
      <c r="G283" s="7"/>
      <c r="H283" s="7"/>
      <c r="I283" s="7"/>
      <c r="J283" s="7"/>
      <c r="K283" s="7"/>
      <c r="L283" s="7" t="s">
        <v>264</v>
      </c>
      <c r="M283" s="7"/>
      <c r="N283" s="7" t="s">
        <v>1203</v>
      </c>
    </row>
    <row r="284" spans="1:14" hidden="1" x14ac:dyDescent="0.25">
      <c r="A284" s="7"/>
      <c r="B284" s="7">
        <v>35</v>
      </c>
      <c r="C284" s="7"/>
      <c r="D284" s="7" t="s">
        <v>247</v>
      </c>
      <c r="E284" s="7" t="s">
        <v>1250</v>
      </c>
      <c r="F284" s="7"/>
      <c r="G284" s="7"/>
      <c r="H284" s="7"/>
      <c r="I284" s="7"/>
      <c r="J284" s="7"/>
      <c r="K284" s="7"/>
      <c r="L284" s="7" t="s">
        <v>264</v>
      </c>
      <c r="M284" s="7"/>
      <c r="N284" s="7" t="s">
        <v>1203</v>
      </c>
    </row>
    <row r="285" spans="1:14" hidden="1" x14ac:dyDescent="0.25">
      <c r="A285" s="7"/>
      <c r="B285" s="7">
        <v>35</v>
      </c>
      <c r="C285" s="7"/>
      <c r="D285" s="7" t="s">
        <v>248</v>
      </c>
      <c r="E285" s="7" t="s">
        <v>1250</v>
      </c>
      <c r="F285" s="7"/>
      <c r="G285" s="7"/>
      <c r="H285" s="7"/>
      <c r="I285" s="7"/>
      <c r="J285" s="7"/>
      <c r="K285" s="7"/>
      <c r="L285" s="7" t="s">
        <v>264</v>
      </c>
      <c r="M285" s="7"/>
      <c r="N285" s="7" t="s">
        <v>1203</v>
      </c>
    </row>
    <row r="286" spans="1:14" hidden="1" x14ac:dyDescent="0.25">
      <c r="A286">
        <v>215</v>
      </c>
      <c r="B286">
        <v>36</v>
      </c>
      <c r="C286" t="s">
        <v>1262</v>
      </c>
      <c r="D286" s="1" t="s">
        <v>253</v>
      </c>
      <c r="E286" t="s">
        <v>1260</v>
      </c>
      <c r="H286" s="1" t="s">
        <v>258</v>
      </c>
      <c r="I286" t="s">
        <v>1270</v>
      </c>
      <c r="J286" t="s">
        <v>1190</v>
      </c>
      <c r="K286" t="s">
        <v>1271</v>
      </c>
      <c r="L286" s="1" t="s">
        <v>263</v>
      </c>
      <c r="M286" s="1" t="s">
        <v>260</v>
      </c>
      <c r="N286" t="s">
        <v>1272</v>
      </c>
    </row>
    <row r="287" spans="1:14" hidden="1" x14ac:dyDescent="0.25">
      <c r="A287">
        <v>216</v>
      </c>
      <c r="B287">
        <v>36</v>
      </c>
      <c r="C287" t="s">
        <v>1263</v>
      </c>
      <c r="D287" s="1" t="s">
        <v>249</v>
      </c>
      <c r="E287" t="s">
        <v>1260</v>
      </c>
      <c r="H287" s="1" t="s">
        <v>258</v>
      </c>
      <c r="I287" t="s">
        <v>1273</v>
      </c>
      <c r="J287" t="s">
        <v>1190</v>
      </c>
      <c r="K287" t="s">
        <v>1279</v>
      </c>
      <c r="L287" s="1" t="s">
        <v>263</v>
      </c>
      <c r="M287" s="1" t="s">
        <v>266</v>
      </c>
    </row>
    <row r="288" spans="1:14" hidden="1" x14ac:dyDescent="0.25">
      <c r="A288">
        <v>217</v>
      </c>
      <c r="B288">
        <v>36</v>
      </c>
      <c r="C288" t="s">
        <v>1264</v>
      </c>
      <c r="D288" s="1" t="s">
        <v>255</v>
      </c>
      <c r="E288" t="s">
        <v>1260</v>
      </c>
      <c r="H288" s="1" t="s">
        <v>258</v>
      </c>
      <c r="I288" t="s">
        <v>1274</v>
      </c>
      <c r="J288" t="s">
        <v>1190</v>
      </c>
      <c r="K288" t="s">
        <v>1280</v>
      </c>
      <c r="L288" s="1" t="s">
        <v>263</v>
      </c>
      <c r="M288" s="1" t="s">
        <v>266</v>
      </c>
    </row>
    <row r="289" spans="1:14" hidden="1" x14ac:dyDescent="0.25">
      <c r="A289">
        <v>218</v>
      </c>
      <c r="B289">
        <v>36</v>
      </c>
      <c r="C289" t="s">
        <v>1265</v>
      </c>
      <c r="D289" s="1" t="s">
        <v>250</v>
      </c>
      <c r="E289" t="s">
        <v>1260</v>
      </c>
      <c r="H289" s="1" t="s">
        <v>258</v>
      </c>
      <c r="I289" t="s">
        <v>1275</v>
      </c>
      <c r="J289" t="s">
        <v>1190</v>
      </c>
      <c r="K289" t="s">
        <v>1281</v>
      </c>
      <c r="L289" s="1" t="s">
        <v>263</v>
      </c>
      <c r="M289" s="1" t="s">
        <v>266</v>
      </c>
    </row>
    <row r="290" spans="1:14" hidden="1" x14ac:dyDescent="0.25">
      <c r="A290">
        <v>219</v>
      </c>
      <c r="B290">
        <v>36</v>
      </c>
      <c r="C290" t="s">
        <v>1266</v>
      </c>
      <c r="D290" s="1" t="s">
        <v>250</v>
      </c>
      <c r="E290" t="s">
        <v>1260</v>
      </c>
      <c r="H290" s="1" t="s">
        <v>258</v>
      </c>
      <c r="I290" t="s">
        <v>1276</v>
      </c>
      <c r="J290" t="s">
        <v>1190</v>
      </c>
      <c r="K290" t="s">
        <v>1282</v>
      </c>
      <c r="L290" s="1" t="s">
        <v>263</v>
      </c>
      <c r="M290" s="1" t="s">
        <v>266</v>
      </c>
    </row>
    <row r="291" spans="1:14" hidden="1" x14ac:dyDescent="0.25">
      <c r="A291">
        <v>220</v>
      </c>
      <c r="B291">
        <v>36</v>
      </c>
      <c r="C291" t="s">
        <v>1267</v>
      </c>
      <c r="D291" s="1" t="s">
        <v>252</v>
      </c>
      <c r="E291" t="s">
        <v>1260</v>
      </c>
      <c r="H291" s="1" t="s">
        <v>258</v>
      </c>
      <c r="I291" t="s">
        <v>1277</v>
      </c>
      <c r="J291" t="s">
        <v>1190</v>
      </c>
      <c r="K291" t="s">
        <v>1278</v>
      </c>
      <c r="L291" s="1" t="s">
        <v>263</v>
      </c>
      <c r="M291" s="1" t="s">
        <v>269</v>
      </c>
    </row>
    <row r="292" spans="1:14" x14ac:dyDescent="0.25">
      <c r="A292" s="4">
        <v>221</v>
      </c>
      <c r="B292" s="4">
        <v>36</v>
      </c>
      <c r="C292" s="4" t="s">
        <v>1268</v>
      </c>
      <c r="D292" s="4" t="s">
        <v>248</v>
      </c>
      <c r="E292" s="4" t="s">
        <v>1260</v>
      </c>
      <c r="F292" s="4"/>
      <c r="G292" s="4"/>
      <c r="H292" s="4" t="s">
        <v>258</v>
      </c>
      <c r="I292" s="4" t="s">
        <v>1283</v>
      </c>
      <c r="J292" s="4" t="s">
        <v>1190</v>
      </c>
      <c r="K292" s="4" t="s">
        <v>1284</v>
      </c>
      <c r="L292" s="4" t="s">
        <v>262</v>
      </c>
      <c r="M292" s="4"/>
      <c r="N292" s="4"/>
    </row>
    <row r="293" spans="1:14" hidden="1" x14ac:dyDescent="0.25">
      <c r="A293" s="7"/>
      <c r="B293" s="7">
        <v>36</v>
      </c>
      <c r="C293" s="7"/>
      <c r="D293" s="7" t="s">
        <v>247</v>
      </c>
      <c r="E293" s="7" t="s">
        <v>1260</v>
      </c>
      <c r="F293" s="7"/>
      <c r="G293" s="7"/>
      <c r="H293" s="7"/>
      <c r="I293" s="7"/>
      <c r="J293" s="7"/>
      <c r="K293" s="7"/>
      <c r="L293" s="7" t="s">
        <v>264</v>
      </c>
      <c r="M293" s="7"/>
      <c r="N293" s="7" t="s">
        <v>1269</v>
      </c>
    </row>
    <row r="294" spans="1:14" hidden="1" x14ac:dyDescent="0.25">
      <c r="A294" s="7"/>
      <c r="B294" s="7">
        <v>36</v>
      </c>
      <c r="C294" s="7"/>
      <c r="D294" s="7" t="s">
        <v>248</v>
      </c>
      <c r="E294" s="7" t="s">
        <v>1260</v>
      </c>
      <c r="F294" s="7"/>
      <c r="G294" s="7"/>
      <c r="H294" s="7"/>
      <c r="I294" s="7"/>
      <c r="J294" s="7"/>
      <c r="K294" s="7"/>
      <c r="L294" s="7" t="s">
        <v>264</v>
      </c>
      <c r="M294" s="7"/>
      <c r="N294" s="7" t="s">
        <v>1269</v>
      </c>
    </row>
    <row r="295" spans="1:14" hidden="1" x14ac:dyDescent="0.25">
      <c r="A295">
        <v>222</v>
      </c>
      <c r="B295">
        <v>37</v>
      </c>
      <c r="C295" t="s">
        <v>1285</v>
      </c>
      <c r="D295" s="1" t="s">
        <v>249</v>
      </c>
      <c r="E295" t="s">
        <v>1290</v>
      </c>
      <c r="H295" s="1" t="s">
        <v>258</v>
      </c>
      <c r="I295" t="s">
        <v>1291</v>
      </c>
      <c r="J295" t="s">
        <v>1190</v>
      </c>
      <c r="K295" t="s">
        <v>1300</v>
      </c>
      <c r="L295" s="1" t="s">
        <v>263</v>
      </c>
      <c r="M295" s="1" t="s">
        <v>266</v>
      </c>
    </row>
    <row r="296" spans="1:14" hidden="1" x14ac:dyDescent="0.25">
      <c r="A296">
        <v>223</v>
      </c>
      <c r="B296">
        <v>37</v>
      </c>
      <c r="C296" t="s">
        <v>1286</v>
      </c>
      <c r="D296" s="1" t="s">
        <v>255</v>
      </c>
      <c r="E296" t="s">
        <v>1290</v>
      </c>
      <c r="H296" s="1" t="s">
        <v>258</v>
      </c>
      <c r="I296" t="s">
        <v>1292</v>
      </c>
      <c r="J296" t="s">
        <v>1190</v>
      </c>
      <c r="K296" t="s">
        <v>1293</v>
      </c>
      <c r="L296" s="1" t="s">
        <v>263</v>
      </c>
      <c r="M296" s="1" t="s">
        <v>266</v>
      </c>
    </row>
    <row r="297" spans="1:14" hidden="1" x14ac:dyDescent="0.25">
      <c r="A297">
        <v>224</v>
      </c>
      <c r="B297">
        <v>37</v>
      </c>
      <c r="C297" t="s">
        <v>1287</v>
      </c>
      <c r="D297" s="1" t="s">
        <v>255</v>
      </c>
      <c r="E297" t="s">
        <v>1290</v>
      </c>
      <c r="H297" s="1" t="s">
        <v>258</v>
      </c>
      <c r="I297" t="s">
        <v>1294</v>
      </c>
      <c r="J297" t="s">
        <v>1190</v>
      </c>
      <c r="K297" t="s">
        <v>1295</v>
      </c>
      <c r="L297" s="1" t="s">
        <v>263</v>
      </c>
      <c r="M297" s="1" t="s">
        <v>266</v>
      </c>
    </row>
    <row r="298" spans="1:14" hidden="1" x14ac:dyDescent="0.25">
      <c r="A298">
        <v>225</v>
      </c>
      <c r="B298">
        <v>37</v>
      </c>
      <c r="C298" t="s">
        <v>1288</v>
      </c>
      <c r="D298" s="1" t="s">
        <v>252</v>
      </c>
      <c r="E298" t="s">
        <v>1290</v>
      </c>
      <c r="H298" s="1" t="s">
        <v>258</v>
      </c>
      <c r="I298" t="s">
        <v>1296</v>
      </c>
      <c r="J298" t="s">
        <v>1190</v>
      </c>
      <c r="K298" t="s">
        <v>1297</v>
      </c>
      <c r="L298" s="1" t="s">
        <v>263</v>
      </c>
      <c r="M298" s="1" t="s">
        <v>266</v>
      </c>
    </row>
    <row r="299" spans="1:14" hidden="1" x14ac:dyDescent="0.25">
      <c r="A299">
        <v>226</v>
      </c>
      <c r="B299">
        <v>37</v>
      </c>
      <c r="C299" t="s">
        <v>1289</v>
      </c>
      <c r="D299" s="1" t="s">
        <v>254</v>
      </c>
      <c r="E299" t="s">
        <v>1290</v>
      </c>
      <c r="H299" s="1" t="s">
        <v>258</v>
      </c>
      <c r="I299" t="s">
        <v>1298</v>
      </c>
      <c r="J299" t="s">
        <v>1190</v>
      </c>
      <c r="K299" t="s">
        <v>1299</v>
      </c>
      <c r="L299" s="1" t="s">
        <v>263</v>
      </c>
      <c r="M299" s="1" t="s">
        <v>270</v>
      </c>
    </row>
    <row r="300" spans="1:14" hidden="1" x14ac:dyDescent="0.25">
      <c r="A300" s="7"/>
      <c r="B300" s="7">
        <v>37</v>
      </c>
      <c r="C300" s="7"/>
      <c r="D300" s="7" t="s">
        <v>246</v>
      </c>
      <c r="E300" s="7" t="s">
        <v>1290</v>
      </c>
      <c r="F300" s="7"/>
      <c r="G300" s="7"/>
      <c r="H300" s="7"/>
      <c r="I300" s="7"/>
      <c r="J300" s="7"/>
      <c r="K300" s="7"/>
      <c r="L300" s="7" t="s">
        <v>264</v>
      </c>
      <c r="M300" s="7"/>
      <c r="N300" s="7" t="s">
        <v>1203</v>
      </c>
    </row>
    <row r="301" spans="1:14" hidden="1" x14ac:dyDescent="0.25">
      <c r="A301" s="7"/>
      <c r="B301" s="7">
        <v>37</v>
      </c>
      <c r="C301" s="7"/>
      <c r="D301" s="7" t="s">
        <v>247</v>
      </c>
      <c r="E301" s="7" t="s">
        <v>1290</v>
      </c>
      <c r="F301" s="7"/>
      <c r="G301" s="7"/>
      <c r="H301" s="7"/>
      <c r="I301" s="7"/>
      <c r="J301" s="7"/>
      <c r="K301" s="7"/>
      <c r="L301" s="7" t="s">
        <v>264</v>
      </c>
      <c r="M301" s="7"/>
      <c r="N301" s="7" t="s">
        <v>1203</v>
      </c>
    </row>
    <row r="302" spans="1:14" hidden="1" x14ac:dyDescent="0.25">
      <c r="A302" s="7"/>
      <c r="B302" s="7">
        <v>37</v>
      </c>
      <c r="C302" s="7"/>
      <c r="D302" s="7" t="s">
        <v>248</v>
      </c>
      <c r="E302" s="7" t="s">
        <v>1290</v>
      </c>
      <c r="F302" s="7"/>
      <c r="G302" s="7"/>
      <c r="H302" s="7"/>
      <c r="I302" s="7"/>
      <c r="J302" s="7"/>
      <c r="K302" s="7"/>
      <c r="L302" s="7" t="s">
        <v>264</v>
      </c>
      <c r="M302" s="7"/>
      <c r="N302" s="7" t="s">
        <v>1203</v>
      </c>
    </row>
    <row r="303" spans="1:14" x14ac:dyDescent="0.25">
      <c r="A303" s="4">
        <v>227</v>
      </c>
      <c r="B303" s="4">
        <v>38</v>
      </c>
      <c r="C303" s="4" t="s">
        <v>1301</v>
      </c>
      <c r="D303" s="4" t="s">
        <v>246</v>
      </c>
      <c r="E303" s="4" t="s">
        <v>1305</v>
      </c>
      <c r="F303" s="4"/>
      <c r="G303" s="4"/>
      <c r="H303" s="4" t="s">
        <v>258</v>
      </c>
      <c r="I303" s="4" t="s">
        <v>1306</v>
      </c>
      <c r="J303" s="4" t="s">
        <v>1190</v>
      </c>
      <c r="K303" s="4" t="s">
        <v>1311</v>
      </c>
      <c r="L303" s="4" t="s">
        <v>262</v>
      </c>
      <c r="M303" s="4"/>
      <c r="N303" s="4"/>
    </row>
    <row r="304" spans="1:14" hidden="1" x14ac:dyDescent="0.25">
      <c r="A304">
        <v>228</v>
      </c>
      <c r="B304">
        <v>38</v>
      </c>
      <c r="C304" t="s">
        <v>1302</v>
      </c>
      <c r="D304" s="1" t="s">
        <v>249</v>
      </c>
      <c r="E304" t="s">
        <v>1305</v>
      </c>
      <c r="H304" s="1" t="s">
        <v>258</v>
      </c>
      <c r="I304" t="s">
        <v>1307</v>
      </c>
      <c r="J304" t="s">
        <v>1190</v>
      </c>
      <c r="K304" t="s">
        <v>1312</v>
      </c>
      <c r="L304" s="1" t="s">
        <v>263</v>
      </c>
      <c r="M304" s="1" t="s">
        <v>266</v>
      </c>
    </row>
    <row r="305" spans="1:14" hidden="1" x14ac:dyDescent="0.25">
      <c r="A305">
        <v>229</v>
      </c>
      <c r="B305">
        <v>38</v>
      </c>
      <c r="C305" t="s">
        <v>1303</v>
      </c>
      <c r="D305" s="1" t="s">
        <v>251</v>
      </c>
      <c r="E305" t="s">
        <v>1305</v>
      </c>
      <c r="H305" s="1" t="s">
        <v>258</v>
      </c>
      <c r="I305" t="s">
        <v>1309</v>
      </c>
      <c r="J305" t="s">
        <v>1190</v>
      </c>
      <c r="K305" t="s">
        <v>1313</v>
      </c>
      <c r="L305" s="1" t="s">
        <v>263</v>
      </c>
      <c r="M305" s="1" t="s">
        <v>266</v>
      </c>
    </row>
    <row r="306" spans="1:14" hidden="1" x14ac:dyDescent="0.25">
      <c r="A306">
        <v>230</v>
      </c>
      <c r="B306">
        <v>38</v>
      </c>
      <c r="C306" t="s">
        <v>1304</v>
      </c>
      <c r="D306" s="1" t="s">
        <v>253</v>
      </c>
      <c r="E306" t="s">
        <v>1305</v>
      </c>
      <c r="H306" s="1" t="s">
        <v>258</v>
      </c>
      <c r="I306" t="s">
        <v>1308</v>
      </c>
      <c r="J306" t="s">
        <v>1190</v>
      </c>
      <c r="K306" t="s">
        <v>1310</v>
      </c>
      <c r="L306" s="1" t="s">
        <v>263</v>
      </c>
      <c r="M306" s="1" t="s">
        <v>269</v>
      </c>
    </row>
    <row r="307" spans="1:14" hidden="1" x14ac:dyDescent="0.25">
      <c r="A307" s="7"/>
      <c r="B307" s="7">
        <v>38</v>
      </c>
      <c r="C307" s="7"/>
      <c r="D307" s="7" t="s">
        <v>247</v>
      </c>
      <c r="E307" s="7" t="s">
        <v>1305</v>
      </c>
      <c r="F307" s="7"/>
      <c r="G307" s="7"/>
      <c r="H307" s="7"/>
      <c r="I307" s="7"/>
      <c r="J307" s="7"/>
      <c r="K307" s="7"/>
      <c r="L307" s="7" t="s">
        <v>264</v>
      </c>
      <c r="M307" s="7"/>
      <c r="N307" s="7" t="s">
        <v>1269</v>
      </c>
    </row>
    <row r="308" spans="1:14" hidden="1" x14ac:dyDescent="0.25">
      <c r="A308" s="7"/>
      <c r="B308" s="7">
        <v>38</v>
      </c>
      <c r="C308" s="7"/>
      <c r="D308" s="7" t="s">
        <v>248</v>
      </c>
      <c r="E308" s="7" t="s">
        <v>1305</v>
      </c>
      <c r="F308" s="7"/>
      <c r="G308" s="7"/>
      <c r="H308" s="7"/>
      <c r="I308" s="7"/>
      <c r="J308" s="7"/>
      <c r="K308" s="7"/>
      <c r="L308" s="7" t="s">
        <v>264</v>
      </c>
      <c r="M308" s="7"/>
      <c r="N308" s="7" t="s">
        <v>1269</v>
      </c>
    </row>
    <row r="309" spans="1:14" hidden="1" x14ac:dyDescent="0.25">
      <c r="A309">
        <v>231</v>
      </c>
      <c r="B309">
        <v>39</v>
      </c>
      <c r="C309" t="s">
        <v>249</v>
      </c>
      <c r="D309" s="1" t="s">
        <v>249</v>
      </c>
      <c r="E309" t="s">
        <v>1319</v>
      </c>
      <c r="H309" s="1" t="s">
        <v>258</v>
      </c>
      <c r="I309" t="s">
        <v>1320</v>
      </c>
      <c r="J309" t="s">
        <v>1190</v>
      </c>
      <c r="K309" t="s">
        <v>1330</v>
      </c>
      <c r="L309" s="1" t="s">
        <v>263</v>
      </c>
      <c r="M309" s="1" t="s">
        <v>266</v>
      </c>
    </row>
    <row r="310" spans="1:14" hidden="1" x14ac:dyDescent="0.25">
      <c r="A310">
        <v>232</v>
      </c>
      <c r="B310">
        <v>39</v>
      </c>
      <c r="C310" t="s">
        <v>1314</v>
      </c>
      <c r="D310" s="1" t="s">
        <v>251</v>
      </c>
      <c r="E310" t="s">
        <v>1319</v>
      </c>
      <c r="H310" s="1" t="s">
        <v>258</v>
      </c>
      <c r="I310" t="s">
        <v>1321</v>
      </c>
      <c r="J310" t="s">
        <v>1190</v>
      </c>
      <c r="K310" t="s">
        <v>1325</v>
      </c>
      <c r="L310" s="1" t="s">
        <v>263</v>
      </c>
      <c r="M310" s="1" t="s">
        <v>269</v>
      </c>
      <c r="N310" t="s">
        <v>1326</v>
      </c>
    </row>
    <row r="311" spans="1:14" hidden="1" x14ac:dyDescent="0.25">
      <c r="A311">
        <v>233</v>
      </c>
      <c r="B311">
        <v>39</v>
      </c>
      <c r="C311" t="s">
        <v>1315</v>
      </c>
      <c r="D311" s="1" t="s">
        <v>246</v>
      </c>
      <c r="E311" t="s">
        <v>1319</v>
      </c>
      <c r="H311" s="1" t="s">
        <v>258</v>
      </c>
      <c r="I311" t="s">
        <v>1322</v>
      </c>
      <c r="J311" t="s">
        <v>1190</v>
      </c>
      <c r="K311" t="s">
        <v>1331</v>
      </c>
      <c r="L311" s="1" t="s">
        <v>263</v>
      </c>
      <c r="M311" s="1" t="s">
        <v>266</v>
      </c>
    </row>
    <row r="312" spans="1:14" hidden="1" x14ac:dyDescent="0.25">
      <c r="A312">
        <v>234</v>
      </c>
      <c r="B312">
        <v>39</v>
      </c>
      <c r="C312" t="s">
        <v>1316</v>
      </c>
      <c r="D312" s="1" t="s">
        <v>250</v>
      </c>
      <c r="E312" t="s">
        <v>1319</v>
      </c>
      <c r="H312" s="1" t="s">
        <v>258</v>
      </c>
      <c r="I312" t="s">
        <v>1323</v>
      </c>
      <c r="J312" t="s">
        <v>1190</v>
      </c>
      <c r="K312" t="s">
        <v>1327</v>
      </c>
      <c r="L312" s="1" t="s">
        <v>263</v>
      </c>
      <c r="M312" s="1" t="s">
        <v>266</v>
      </c>
    </row>
    <row r="313" spans="1:14" hidden="1" x14ac:dyDescent="0.25">
      <c r="A313">
        <v>235</v>
      </c>
      <c r="B313">
        <v>39</v>
      </c>
      <c r="C313" t="s">
        <v>1317</v>
      </c>
      <c r="D313" s="1" t="s">
        <v>250</v>
      </c>
      <c r="E313" t="s">
        <v>1319</v>
      </c>
      <c r="H313" s="1" t="s">
        <v>258</v>
      </c>
      <c r="I313" t="s">
        <v>1328</v>
      </c>
      <c r="J313" t="s">
        <v>1190</v>
      </c>
      <c r="K313" t="s">
        <v>1332</v>
      </c>
      <c r="L313" s="1" t="s">
        <v>263</v>
      </c>
      <c r="M313" s="1" t="s">
        <v>266</v>
      </c>
    </row>
    <row r="314" spans="1:14" hidden="1" x14ac:dyDescent="0.25">
      <c r="A314">
        <v>236</v>
      </c>
      <c r="B314">
        <v>39</v>
      </c>
      <c r="C314" t="s">
        <v>1318</v>
      </c>
      <c r="D314" s="1" t="s">
        <v>253</v>
      </c>
      <c r="E314" t="s">
        <v>1319</v>
      </c>
      <c r="H314" s="1" t="s">
        <v>257</v>
      </c>
      <c r="I314" t="s">
        <v>1324</v>
      </c>
      <c r="J314" t="s">
        <v>1190</v>
      </c>
      <c r="K314" t="s">
        <v>1329</v>
      </c>
      <c r="L314" s="1" t="s">
        <v>263</v>
      </c>
      <c r="M314" s="1" t="s">
        <v>266</v>
      </c>
    </row>
    <row r="315" spans="1:14" hidden="1" x14ac:dyDescent="0.25">
      <c r="A315" s="7"/>
      <c r="B315" s="7">
        <v>39</v>
      </c>
      <c r="C315" s="7"/>
      <c r="D315" s="7" t="s">
        <v>246</v>
      </c>
      <c r="E315" s="7" t="s">
        <v>1319</v>
      </c>
      <c r="F315" s="7"/>
      <c r="G315" s="7"/>
      <c r="H315" s="7"/>
      <c r="I315" s="7"/>
      <c r="J315" s="7"/>
      <c r="K315" s="7"/>
      <c r="L315" s="7" t="s">
        <v>264</v>
      </c>
      <c r="M315" s="7"/>
      <c r="N315" s="7" t="s">
        <v>1203</v>
      </c>
    </row>
    <row r="316" spans="1:14" hidden="1" x14ac:dyDescent="0.25">
      <c r="A316" s="7"/>
      <c r="B316" s="7">
        <v>39</v>
      </c>
      <c r="C316" s="7"/>
      <c r="D316" s="7" t="s">
        <v>247</v>
      </c>
      <c r="E316" s="7" t="s">
        <v>1319</v>
      </c>
      <c r="F316" s="7"/>
      <c r="G316" s="7"/>
      <c r="H316" s="7"/>
      <c r="I316" s="7"/>
      <c r="J316" s="7"/>
      <c r="K316" s="7"/>
      <c r="L316" s="7" t="s">
        <v>264</v>
      </c>
      <c r="M316" s="7"/>
      <c r="N316" s="7" t="s">
        <v>1203</v>
      </c>
    </row>
    <row r="317" spans="1:14" hidden="1" x14ac:dyDescent="0.25">
      <c r="A317" s="7"/>
      <c r="B317" s="7">
        <v>39</v>
      </c>
      <c r="C317" s="7"/>
      <c r="D317" s="7" t="s">
        <v>248</v>
      </c>
      <c r="E317" s="7" t="s">
        <v>1319</v>
      </c>
      <c r="F317" s="7"/>
      <c r="G317" s="7"/>
      <c r="H317" s="7"/>
      <c r="I317" s="7"/>
      <c r="J317" s="7"/>
      <c r="K317" s="7"/>
      <c r="L317" s="7" t="s">
        <v>264</v>
      </c>
      <c r="M317" s="7"/>
      <c r="N317" s="7" t="s">
        <v>1203</v>
      </c>
    </row>
    <row r="318" spans="1:14" hidden="1" x14ac:dyDescent="0.25">
      <c r="A318">
        <v>237</v>
      </c>
      <c r="B318">
        <v>40</v>
      </c>
      <c r="C318" t="s">
        <v>1335</v>
      </c>
      <c r="D318" s="1" t="s">
        <v>255</v>
      </c>
      <c r="E318" s="15" t="s">
        <v>1333</v>
      </c>
      <c r="H318" s="1" t="s">
        <v>258</v>
      </c>
      <c r="I318" t="s">
        <v>1336</v>
      </c>
      <c r="J318" t="s">
        <v>1190</v>
      </c>
      <c r="K318" t="s">
        <v>1357</v>
      </c>
      <c r="L318" s="1" t="s">
        <v>263</v>
      </c>
      <c r="M318" s="1" t="s">
        <v>266</v>
      </c>
    </row>
    <row r="319" spans="1:14" hidden="1" x14ac:dyDescent="0.25">
      <c r="A319">
        <v>238</v>
      </c>
      <c r="B319">
        <v>40</v>
      </c>
      <c r="C319" t="s">
        <v>1337</v>
      </c>
      <c r="D319" s="1" t="s">
        <v>249</v>
      </c>
      <c r="E319" s="15" t="s">
        <v>1333</v>
      </c>
      <c r="H319" s="1" t="s">
        <v>258</v>
      </c>
      <c r="I319" t="s">
        <v>1338</v>
      </c>
      <c r="J319" t="s">
        <v>1190</v>
      </c>
      <c r="K319" t="s">
        <v>1353</v>
      </c>
      <c r="L319" s="1" t="s">
        <v>263</v>
      </c>
      <c r="M319" s="1" t="s">
        <v>266</v>
      </c>
    </row>
    <row r="320" spans="1:14" x14ac:dyDescent="0.25">
      <c r="A320" s="4">
        <v>239</v>
      </c>
      <c r="B320" s="4">
        <v>40</v>
      </c>
      <c r="C320" s="4" t="s">
        <v>1339</v>
      </c>
      <c r="D320" s="4" t="s">
        <v>246</v>
      </c>
      <c r="E320" s="17" t="s">
        <v>1333</v>
      </c>
      <c r="F320" s="4"/>
      <c r="G320" s="4"/>
      <c r="H320" s="4" t="s">
        <v>257</v>
      </c>
      <c r="I320" s="4" t="s">
        <v>1340</v>
      </c>
      <c r="J320" s="4" t="s">
        <v>1190</v>
      </c>
      <c r="K320" s="4" t="s">
        <v>1354</v>
      </c>
      <c r="L320" s="4" t="s">
        <v>262</v>
      </c>
      <c r="M320" s="4"/>
      <c r="N320" s="4"/>
    </row>
    <row r="321" spans="1:14" hidden="1" x14ac:dyDescent="0.25">
      <c r="A321">
        <v>240</v>
      </c>
      <c r="B321">
        <v>40</v>
      </c>
      <c r="C321" t="s">
        <v>1341</v>
      </c>
      <c r="D321" s="1" t="s">
        <v>251</v>
      </c>
      <c r="E321" s="15" t="s">
        <v>1333</v>
      </c>
      <c r="H321" s="1" t="s">
        <v>258</v>
      </c>
      <c r="I321" t="s">
        <v>1342</v>
      </c>
      <c r="J321" t="s">
        <v>1190</v>
      </c>
      <c r="K321" t="s">
        <v>1361</v>
      </c>
      <c r="L321" s="1" t="s">
        <v>263</v>
      </c>
      <c r="M321" s="1" t="s">
        <v>266</v>
      </c>
    </row>
    <row r="322" spans="1:14" ht="16.5" hidden="1" x14ac:dyDescent="0.3">
      <c r="A322">
        <v>241</v>
      </c>
      <c r="B322">
        <v>40</v>
      </c>
      <c r="C322" s="16" t="s">
        <v>1343</v>
      </c>
      <c r="D322" s="1" t="s">
        <v>251</v>
      </c>
      <c r="E322" s="15" t="s">
        <v>1333</v>
      </c>
      <c r="H322" s="1" t="s">
        <v>258</v>
      </c>
      <c r="I322" t="s">
        <v>1344</v>
      </c>
      <c r="J322" t="s">
        <v>1190</v>
      </c>
      <c r="K322" t="s">
        <v>1358</v>
      </c>
      <c r="L322" s="1" t="s">
        <v>263</v>
      </c>
      <c r="M322" s="1" t="s">
        <v>266</v>
      </c>
    </row>
    <row r="323" spans="1:14" hidden="1" x14ac:dyDescent="0.25">
      <c r="A323">
        <v>242</v>
      </c>
      <c r="B323">
        <v>40</v>
      </c>
      <c r="C323" t="s">
        <v>1345</v>
      </c>
      <c r="D323" s="1" t="s">
        <v>250</v>
      </c>
      <c r="E323" s="15" t="s">
        <v>1333</v>
      </c>
      <c r="H323" s="1"/>
      <c r="I323" t="s">
        <v>1346</v>
      </c>
      <c r="J323" t="s">
        <v>1190</v>
      </c>
      <c r="K323" t="s">
        <v>1360</v>
      </c>
      <c r="L323" s="1" t="s">
        <v>263</v>
      </c>
      <c r="M323" s="1" t="s">
        <v>266</v>
      </c>
    </row>
    <row r="324" spans="1:14" hidden="1" x14ac:dyDescent="0.25">
      <c r="A324">
        <v>243</v>
      </c>
      <c r="B324">
        <v>40</v>
      </c>
      <c r="C324" t="s">
        <v>1347</v>
      </c>
      <c r="D324" s="1" t="s">
        <v>250</v>
      </c>
      <c r="E324" s="15" t="s">
        <v>1333</v>
      </c>
      <c r="H324" s="1"/>
      <c r="I324" t="s">
        <v>1348</v>
      </c>
      <c r="J324" t="s">
        <v>1190</v>
      </c>
      <c r="K324" t="s">
        <v>1359</v>
      </c>
      <c r="L324" s="1" t="s">
        <v>263</v>
      </c>
      <c r="M324" s="1" t="s">
        <v>266</v>
      </c>
    </row>
    <row r="325" spans="1:14" hidden="1" x14ac:dyDescent="0.25">
      <c r="A325">
        <v>244</v>
      </c>
      <c r="B325">
        <v>40</v>
      </c>
      <c r="C325" t="s">
        <v>1349</v>
      </c>
      <c r="D325" s="1" t="s">
        <v>254</v>
      </c>
      <c r="E325" s="15" t="s">
        <v>1333</v>
      </c>
      <c r="H325" s="1"/>
      <c r="I325" t="s">
        <v>1350</v>
      </c>
      <c r="J325" t="s">
        <v>1190</v>
      </c>
      <c r="K325" t="s">
        <v>1355</v>
      </c>
      <c r="L325" s="1" t="s">
        <v>263</v>
      </c>
      <c r="M325" s="1" t="s">
        <v>269</v>
      </c>
    </row>
    <row r="326" spans="1:14" hidden="1" x14ac:dyDescent="0.25">
      <c r="A326">
        <v>245</v>
      </c>
      <c r="B326">
        <v>40</v>
      </c>
      <c r="C326" t="s">
        <v>1351</v>
      </c>
      <c r="D326" s="1" t="s">
        <v>254</v>
      </c>
      <c r="E326" s="15" t="s">
        <v>1333</v>
      </c>
      <c r="H326" s="1"/>
      <c r="I326" t="s">
        <v>1352</v>
      </c>
      <c r="J326" t="s">
        <v>1190</v>
      </c>
      <c r="K326" t="s">
        <v>1356</v>
      </c>
      <c r="L326" s="1" t="s">
        <v>263</v>
      </c>
      <c r="M326" s="1" t="s">
        <v>269</v>
      </c>
    </row>
    <row r="327" spans="1:14" hidden="1" x14ac:dyDescent="0.25">
      <c r="A327" s="7"/>
      <c r="B327" s="7">
        <v>40</v>
      </c>
      <c r="C327" s="7"/>
      <c r="D327" s="7" t="s">
        <v>247</v>
      </c>
      <c r="E327" s="7" t="s">
        <v>1333</v>
      </c>
      <c r="F327" s="7"/>
      <c r="G327" s="7"/>
      <c r="H327" s="7"/>
      <c r="I327" s="7"/>
      <c r="J327" s="7"/>
      <c r="K327" s="7"/>
      <c r="L327" s="7" t="s">
        <v>264</v>
      </c>
      <c r="M327" s="7"/>
      <c r="N327" s="7" t="s">
        <v>1269</v>
      </c>
    </row>
    <row r="328" spans="1:14" hidden="1" x14ac:dyDescent="0.25">
      <c r="A328" s="7"/>
      <c r="B328" s="7">
        <v>40</v>
      </c>
      <c r="C328" s="7"/>
      <c r="D328" s="7" t="s">
        <v>248</v>
      </c>
      <c r="E328" s="7" t="s">
        <v>1333</v>
      </c>
      <c r="F328" s="7"/>
      <c r="G328" s="7"/>
      <c r="H328" s="7"/>
      <c r="I328" s="7"/>
      <c r="J328" s="7"/>
      <c r="K328" s="7"/>
      <c r="L328" s="7" t="s">
        <v>264</v>
      </c>
      <c r="M328" s="7"/>
      <c r="N328" s="7" t="s">
        <v>1269</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2046</v>
      </c>
    </row>
    <row r="5" spans="1:8" x14ac:dyDescent="0.25">
      <c r="A5" t="s">
        <v>76</v>
      </c>
      <c r="B5" t="s">
        <v>77</v>
      </c>
      <c r="C5" t="s">
        <v>78</v>
      </c>
      <c r="D5" t="s">
        <v>2049</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2051</v>
      </c>
    </row>
    <row r="10" spans="1:8" x14ac:dyDescent="0.25">
      <c r="A10" t="s">
        <v>112</v>
      </c>
      <c r="B10" t="s">
        <v>113</v>
      </c>
      <c r="C10" t="s">
        <v>182</v>
      </c>
      <c r="D10" t="s">
        <v>2053</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2056</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2058</v>
      </c>
      <c r="E14" t="s">
        <v>143</v>
      </c>
      <c r="F14" t="s">
        <v>144</v>
      </c>
      <c r="G14" t="s">
        <v>145</v>
      </c>
      <c r="H14" t="s">
        <v>146</v>
      </c>
    </row>
    <row r="15" spans="1:8" x14ac:dyDescent="0.25">
      <c r="A15" t="s">
        <v>147</v>
      </c>
      <c r="B15" t="s">
        <v>148</v>
      </c>
      <c r="C15" t="s">
        <v>149</v>
      </c>
      <c r="D15" t="s">
        <v>150</v>
      </c>
      <c r="E15" t="s">
        <v>151</v>
      </c>
      <c r="F15" t="s">
        <v>152</v>
      </c>
      <c r="G15" t="s">
        <v>153</v>
      </c>
      <c r="H15" t="s">
        <v>2060</v>
      </c>
    </row>
    <row r="16" spans="1:8" x14ac:dyDescent="0.25">
      <c r="A16" t="s">
        <v>154</v>
      </c>
      <c r="B16" t="s">
        <v>155</v>
      </c>
      <c r="C16" t="s">
        <v>156</v>
      </c>
      <c r="D16" t="s">
        <v>157</v>
      </c>
      <c r="E16" t="s">
        <v>2062</v>
      </c>
      <c r="F16" t="s">
        <v>158</v>
      </c>
      <c r="G16" t="s">
        <v>159</v>
      </c>
      <c r="H16" t="s">
        <v>160</v>
      </c>
    </row>
    <row r="17" spans="1:8" x14ac:dyDescent="0.25">
      <c r="A17" t="s">
        <v>161</v>
      </c>
      <c r="B17" t="s">
        <v>162</v>
      </c>
      <c r="C17" t="s">
        <v>184</v>
      </c>
      <c r="D17" t="s">
        <v>2064</v>
      </c>
      <c r="E17" t="s">
        <v>2066</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2068</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1365</v>
      </c>
      <c r="G2" s="22" t="s">
        <v>1366</v>
      </c>
      <c r="H2" s="22" t="s">
        <v>1367</v>
      </c>
      <c r="I2" s="21" t="s">
        <v>272</v>
      </c>
      <c r="J2" s="22" t="s">
        <v>1368</v>
      </c>
      <c r="K2" s="23">
        <f>Tabelle52[[#This Row],[value_present]]*Tabelle52[[#This Row],[binding_level]]</f>
        <v>2</v>
      </c>
    </row>
    <row r="3" spans="1:11" x14ac:dyDescent="0.25">
      <c r="A3" s="24">
        <v>3</v>
      </c>
      <c r="B3" s="2">
        <v>16</v>
      </c>
      <c r="C3" s="2" t="s">
        <v>61</v>
      </c>
      <c r="D3" s="3">
        <v>1</v>
      </c>
      <c r="E3" s="1">
        <v>1</v>
      </c>
      <c r="F3" t="s">
        <v>1371</v>
      </c>
      <c r="G3" t="s">
        <v>1372</v>
      </c>
      <c r="H3" t="s">
        <v>1370</v>
      </c>
      <c r="I3" s="1" t="s">
        <v>272</v>
      </c>
      <c r="J3" t="s">
        <v>1373</v>
      </c>
      <c r="K3" s="25">
        <f>Tabelle52[[#This Row],[value_present]]*Tabelle52[[#This Row],[binding_level]]</f>
        <v>1</v>
      </c>
    </row>
    <row r="4" spans="1:11" x14ac:dyDescent="0.25">
      <c r="A4" s="24">
        <v>3</v>
      </c>
      <c r="B4" s="2">
        <v>16</v>
      </c>
      <c r="C4" s="2" t="s">
        <v>69</v>
      </c>
      <c r="D4" s="3">
        <v>1</v>
      </c>
      <c r="E4" s="1">
        <v>1</v>
      </c>
      <c r="F4" t="s">
        <v>1374</v>
      </c>
      <c r="G4" t="s">
        <v>1375</v>
      </c>
      <c r="H4" t="s">
        <v>1370</v>
      </c>
      <c r="I4" s="1" t="s">
        <v>272</v>
      </c>
      <c r="J4" t="s">
        <v>1376</v>
      </c>
      <c r="K4" s="25">
        <f>Tabelle52[[#This Row],[value_present]]*Tabelle52[[#This Row],[binding_level]]</f>
        <v>1</v>
      </c>
    </row>
    <row r="5" spans="1:11" x14ac:dyDescent="0.25">
      <c r="A5" s="24">
        <v>3</v>
      </c>
      <c r="B5" s="2">
        <v>16</v>
      </c>
      <c r="C5" s="2" t="s">
        <v>76</v>
      </c>
      <c r="D5" s="3">
        <v>1</v>
      </c>
      <c r="E5" s="1">
        <v>1</v>
      </c>
      <c r="F5" t="s">
        <v>1377</v>
      </c>
      <c r="G5" t="s">
        <v>1378</v>
      </c>
      <c r="H5" t="s">
        <v>1370</v>
      </c>
      <c r="I5" s="1" t="s">
        <v>272</v>
      </c>
      <c r="J5" t="s">
        <v>1379</v>
      </c>
      <c r="K5" s="25">
        <f>Tabelle52[[#This Row],[value_present]]*Tabelle52[[#This Row],[binding_level]]</f>
        <v>1</v>
      </c>
    </row>
    <row r="6" spans="1:11" x14ac:dyDescent="0.25">
      <c r="A6" s="24">
        <v>3</v>
      </c>
      <c r="B6" s="2">
        <v>16</v>
      </c>
      <c r="C6" s="2" t="s">
        <v>83</v>
      </c>
      <c r="D6" s="3">
        <v>1</v>
      </c>
      <c r="E6" s="1">
        <v>1</v>
      </c>
      <c r="F6" t="s">
        <v>1380</v>
      </c>
      <c r="G6" t="s">
        <v>1381</v>
      </c>
      <c r="H6" t="s">
        <v>1382</v>
      </c>
      <c r="I6" s="1" t="s">
        <v>272</v>
      </c>
      <c r="J6" t="s">
        <v>1383</v>
      </c>
      <c r="K6" s="25">
        <f>Tabelle52[[#This Row],[value_present]]*Tabelle52[[#This Row],[binding_level]]</f>
        <v>1</v>
      </c>
    </row>
    <row r="7" spans="1:11" x14ac:dyDescent="0.25">
      <c r="A7" s="24">
        <v>3</v>
      </c>
      <c r="B7" s="2">
        <v>16</v>
      </c>
      <c r="C7" s="2" t="s">
        <v>90</v>
      </c>
      <c r="D7" s="3">
        <v>1</v>
      </c>
      <c r="E7" s="1">
        <v>3</v>
      </c>
      <c r="F7" t="s">
        <v>1384</v>
      </c>
      <c r="G7" t="s">
        <v>1385</v>
      </c>
      <c r="H7" t="s">
        <v>1386</v>
      </c>
      <c r="I7" s="1" t="s">
        <v>273</v>
      </c>
      <c r="J7" t="s">
        <v>1387</v>
      </c>
      <c r="K7" s="25">
        <f>Tabelle52[[#This Row],[value_present]]*Tabelle52[[#This Row],[binding_level]]</f>
        <v>3</v>
      </c>
    </row>
    <row r="8" spans="1:11" x14ac:dyDescent="0.25">
      <c r="A8" s="24">
        <v>3</v>
      </c>
      <c r="B8" s="2">
        <v>16</v>
      </c>
      <c r="C8" s="2" t="s">
        <v>98</v>
      </c>
      <c r="D8" s="3">
        <v>1</v>
      </c>
      <c r="E8" s="1">
        <v>1</v>
      </c>
      <c r="F8" t="s">
        <v>1389</v>
      </c>
      <c r="G8" t="s">
        <v>1390</v>
      </c>
      <c r="H8" t="s">
        <v>1388</v>
      </c>
      <c r="I8" s="1" t="s">
        <v>272</v>
      </c>
      <c r="K8" s="25">
        <f>Tabelle52[[#This Row],[value_present]]*Tabelle52[[#This Row],[binding_level]]</f>
        <v>1</v>
      </c>
    </row>
    <row r="9" spans="1:11" x14ac:dyDescent="0.25">
      <c r="A9" s="24">
        <v>3</v>
      </c>
      <c r="B9" s="2">
        <v>16</v>
      </c>
      <c r="C9" s="2" t="s">
        <v>106</v>
      </c>
      <c r="D9" s="3">
        <v>0</v>
      </c>
      <c r="E9" s="1"/>
      <c r="I9" s="1" t="s">
        <v>272</v>
      </c>
      <c r="J9" t="s">
        <v>1391</v>
      </c>
      <c r="K9" s="25">
        <f>Tabelle52[[#This Row],[value_present]]*Tabelle52[[#This Row],[binding_level]]</f>
        <v>0</v>
      </c>
    </row>
    <row r="10" spans="1:11" x14ac:dyDescent="0.25">
      <c r="A10" s="24">
        <v>3</v>
      </c>
      <c r="B10" s="2">
        <v>16</v>
      </c>
      <c r="C10" s="2" t="s">
        <v>112</v>
      </c>
      <c r="D10" s="3">
        <v>1</v>
      </c>
      <c r="E10" s="1">
        <v>1</v>
      </c>
      <c r="F10" t="s">
        <v>1392</v>
      </c>
      <c r="G10" t="s">
        <v>1393</v>
      </c>
      <c r="H10" t="s">
        <v>1370</v>
      </c>
      <c r="I10" s="1" t="s">
        <v>273</v>
      </c>
      <c r="J10" t="s">
        <v>1394</v>
      </c>
      <c r="K10" s="25">
        <f>Tabelle52[[#This Row],[value_present]]*Tabelle52[[#This Row],[binding_level]]</f>
        <v>1</v>
      </c>
    </row>
    <row r="11" spans="1:11" x14ac:dyDescent="0.25">
      <c r="A11" s="24">
        <v>3</v>
      </c>
      <c r="B11" s="2">
        <v>16</v>
      </c>
      <c r="C11" s="2" t="s">
        <v>118</v>
      </c>
      <c r="D11" s="3">
        <v>0</v>
      </c>
      <c r="E11" s="1"/>
      <c r="I11" s="1" t="s">
        <v>272</v>
      </c>
      <c r="J11" t="s">
        <v>1391</v>
      </c>
      <c r="K11" s="25">
        <f>Tabelle52[[#This Row],[value_present]]*Tabelle52[[#This Row],[binding_level]]</f>
        <v>0</v>
      </c>
    </row>
    <row r="12" spans="1:11" x14ac:dyDescent="0.25">
      <c r="A12" s="24">
        <v>3</v>
      </c>
      <c r="B12" s="2">
        <v>16</v>
      </c>
      <c r="C12" s="2" t="s">
        <v>125</v>
      </c>
      <c r="D12" s="3">
        <v>0</v>
      </c>
      <c r="E12" s="1"/>
      <c r="I12" s="1" t="s">
        <v>272</v>
      </c>
      <c r="J12" t="s">
        <v>1391</v>
      </c>
      <c r="K12" s="25">
        <f>Tabelle52[[#This Row],[value_present]]*Tabelle52[[#This Row],[binding_level]]</f>
        <v>0</v>
      </c>
    </row>
    <row r="13" spans="1:11" x14ac:dyDescent="0.25">
      <c r="A13" s="24">
        <v>3</v>
      </c>
      <c r="B13" s="2">
        <v>16</v>
      </c>
      <c r="C13" s="2" t="s">
        <v>132</v>
      </c>
      <c r="D13" s="3">
        <v>0</v>
      </c>
      <c r="E13" s="1"/>
      <c r="I13" s="1" t="s">
        <v>272</v>
      </c>
      <c r="J13" t="s">
        <v>1391</v>
      </c>
      <c r="K13" s="25">
        <f>Tabelle52[[#This Row],[value_present]]*Tabelle52[[#This Row],[binding_level]]</f>
        <v>0</v>
      </c>
    </row>
    <row r="14" spans="1:11" ht="14.25" customHeight="1" x14ac:dyDescent="0.25">
      <c r="A14" s="24">
        <v>3</v>
      </c>
      <c r="B14" s="2">
        <v>16</v>
      </c>
      <c r="C14" s="2" t="s">
        <v>140</v>
      </c>
      <c r="D14" s="3">
        <v>0</v>
      </c>
      <c r="E14" s="1"/>
      <c r="I14" s="1" t="s">
        <v>272</v>
      </c>
      <c r="J14" t="s">
        <v>1391</v>
      </c>
      <c r="K14" s="25">
        <f>Tabelle52[[#This Row],[value_present]]*Tabelle52[[#This Row],[binding_level]]</f>
        <v>0</v>
      </c>
    </row>
    <row r="15" spans="1:11" x14ac:dyDescent="0.25">
      <c r="A15" s="24">
        <v>3</v>
      </c>
      <c r="B15" s="2">
        <v>16</v>
      </c>
      <c r="C15" s="2" t="s">
        <v>147</v>
      </c>
      <c r="D15" s="3">
        <v>1</v>
      </c>
      <c r="E15" s="1">
        <v>2</v>
      </c>
      <c r="F15" t="s">
        <v>1395</v>
      </c>
      <c r="G15" t="s">
        <v>1396</v>
      </c>
      <c r="H15" t="s">
        <v>1397</v>
      </c>
      <c r="I15" s="1" t="s">
        <v>272</v>
      </c>
      <c r="J15" t="s">
        <v>1398</v>
      </c>
      <c r="K15" s="25">
        <f>Tabelle52[[#This Row],[value_present]]*Tabelle52[[#This Row],[binding_level]]</f>
        <v>2</v>
      </c>
    </row>
    <row r="16" spans="1:11" x14ac:dyDescent="0.25">
      <c r="A16" s="24">
        <v>3</v>
      </c>
      <c r="B16" s="2">
        <v>16</v>
      </c>
      <c r="C16" s="2" t="s">
        <v>154</v>
      </c>
      <c r="D16" s="3">
        <v>0</v>
      </c>
      <c r="E16" s="1"/>
      <c r="I16" s="1" t="s">
        <v>273</v>
      </c>
      <c r="J16" t="s">
        <v>1403</v>
      </c>
      <c r="K16" s="25">
        <f>Tabelle52[[#This Row],[value_present]]*Tabelle52[[#This Row],[binding_level]]</f>
        <v>0</v>
      </c>
    </row>
    <row r="17" spans="1:11" x14ac:dyDescent="0.25">
      <c r="A17" s="24">
        <v>3</v>
      </c>
      <c r="B17" s="2">
        <v>16</v>
      </c>
      <c r="C17" s="2" t="s">
        <v>161</v>
      </c>
      <c r="D17" s="3">
        <v>1</v>
      </c>
      <c r="E17" s="1">
        <v>2</v>
      </c>
      <c r="F17" t="s">
        <v>1399</v>
      </c>
      <c r="G17" t="s">
        <v>1400</v>
      </c>
      <c r="H17" t="s">
        <v>1401</v>
      </c>
      <c r="I17" s="1" t="s">
        <v>272</v>
      </c>
      <c r="J17" t="s">
        <v>1402</v>
      </c>
      <c r="K17" s="25">
        <f>Tabelle52[[#This Row],[value_present]]*Tabelle52[[#This Row],[binding_level]]</f>
        <v>2</v>
      </c>
    </row>
    <row r="18" spans="1:11" x14ac:dyDescent="0.25">
      <c r="A18" s="24">
        <v>3</v>
      </c>
      <c r="B18" s="2">
        <v>16</v>
      </c>
      <c r="C18" s="2" t="s">
        <v>166</v>
      </c>
      <c r="D18" s="3">
        <v>0</v>
      </c>
      <c r="E18" s="1"/>
      <c r="I18" s="1" t="s">
        <v>272</v>
      </c>
      <c r="J18" t="s">
        <v>1391</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1391</v>
      </c>
      <c r="K19" s="31">
        <f>Tabelle52[[#This Row],[value_present]]*Tabelle52[[#This Row],[binding_level]]</f>
        <v>0</v>
      </c>
    </row>
    <row r="20" spans="1:11" x14ac:dyDescent="0.25">
      <c r="A20" s="18">
        <v>4</v>
      </c>
      <c r="B20" s="19">
        <v>22</v>
      </c>
      <c r="C20" s="19" t="s">
        <v>53</v>
      </c>
      <c r="D20" s="20">
        <v>1</v>
      </c>
      <c r="E20" s="21">
        <v>1</v>
      </c>
      <c r="F20" t="s">
        <v>1441</v>
      </c>
      <c r="G20" s="22" t="s">
        <v>1442</v>
      </c>
      <c r="H20" s="22" t="s">
        <v>1470</v>
      </c>
      <c r="I20" s="21" t="s">
        <v>1457</v>
      </c>
      <c r="J20" s="22" t="s">
        <v>1443</v>
      </c>
      <c r="K20" s="23">
        <f>Tabelle52[[#This Row],[value_present]]*Tabelle52[[#This Row],[binding_level]]</f>
        <v>1</v>
      </c>
    </row>
    <row r="21" spans="1:11" x14ac:dyDescent="0.25">
      <c r="A21" s="24">
        <v>4</v>
      </c>
      <c r="B21" s="2">
        <v>22</v>
      </c>
      <c r="C21" s="2" t="s">
        <v>61</v>
      </c>
      <c r="D21" s="3">
        <v>1</v>
      </c>
      <c r="E21" s="1">
        <v>1</v>
      </c>
      <c r="F21" t="s">
        <v>1444</v>
      </c>
      <c r="G21" t="s">
        <v>1445</v>
      </c>
      <c r="H21" t="s">
        <v>1470</v>
      </c>
      <c r="I21" s="1" t="s">
        <v>1457</v>
      </c>
      <c r="J21" t="s">
        <v>1446</v>
      </c>
      <c r="K21" s="25">
        <f>Tabelle52[[#This Row],[value_present]]*Tabelle52[[#This Row],[binding_level]]</f>
        <v>1</v>
      </c>
    </row>
    <row r="22" spans="1:11" x14ac:dyDescent="0.25">
      <c r="A22" s="24">
        <v>4</v>
      </c>
      <c r="B22" s="2">
        <v>22</v>
      </c>
      <c r="C22" s="2" t="s">
        <v>69</v>
      </c>
      <c r="D22" s="3">
        <v>1</v>
      </c>
      <c r="E22" s="1">
        <v>1</v>
      </c>
      <c r="F22" t="s">
        <v>1447</v>
      </c>
      <c r="G22" t="s">
        <v>1448</v>
      </c>
      <c r="H22" t="s">
        <v>1471</v>
      </c>
      <c r="I22" s="1" t="s">
        <v>1457</v>
      </c>
      <c r="J22" t="s">
        <v>1449</v>
      </c>
      <c r="K22" s="25">
        <f>Tabelle52[[#This Row],[value_present]]*Tabelle52[[#This Row],[binding_level]]</f>
        <v>1</v>
      </c>
    </row>
    <row r="23" spans="1:11" x14ac:dyDescent="0.25">
      <c r="A23" s="24">
        <v>4</v>
      </c>
      <c r="B23" s="2">
        <v>22</v>
      </c>
      <c r="C23" s="2" t="s">
        <v>76</v>
      </c>
      <c r="D23" s="3">
        <v>1</v>
      </c>
      <c r="E23" s="1">
        <v>1</v>
      </c>
      <c r="F23" t="s">
        <v>1450</v>
      </c>
      <c r="G23" t="s">
        <v>1451</v>
      </c>
      <c r="H23" t="s">
        <v>1471</v>
      </c>
      <c r="I23" s="1" t="s">
        <v>1458</v>
      </c>
      <c r="J23" t="s">
        <v>1459</v>
      </c>
      <c r="K23" s="25">
        <f>Tabelle52[[#This Row],[value_present]]*Tabelle52[[#This Row],[binding_level]]</f>
        <v>1</v>
      </c>
    </row>
    <row r="24" spans="1:11" x14ac:dyDescent="0.25">
      <c r="A24" s="24">
        <v>4</v>
      </c>
      <c r="B24" s="2">
        <v>22</v>
      </c>
      <c r="C24" s="2" t="s">
        <v>83</v>
      </c>
      <c r="D24" s="3">
        <v>1</v>
      </c>
      <c r="E24" s="1">
        <v>1</v>
      </c>
      <c r="F24" t="s">
        <v>1452</v>
      </c>
      <c r="G24" t="s">
        <v>1453</v>
      </c>
      <c r="H24" t="s">
        <v>1472</v>
      </c>
      <c r="I24" s="1" t="s">
        <v>1457</v>
      </c>
      <c r="J24" t="s">
        <v>1460</v>
      </c>
      <c r="K24" s="25">
        <f>Tabelle52[[#This Row],[value_present]]*Tabelle52[[#This Row],[binding_level]]</f>
        <v>1</v>
      </c>
    </row>
    <row r="25" spans="1:11" x14ac:dyDescent="0.25">
      <c r="A25" s="24">
        <v>4</v>
      </c>
      <c r="B25" s="2">
        <v>22</v>
      </c>
      <c r="C25" s="2" t="s">
        <v>90</v>
      </c>
      <c r="D25" s="3">
        <v>1</v>
      </c>
      <c r="E25" s="1">
        <v>1</v>
      </c>
      <c r="F25" t="s">
        <v>1454</v>
      </c>
      <c r="G25" t="s">
        <v>1455</v>
      </c>
      <c r="H25" t="s">
        <v>1473</v>
      </c>
      <c r="I25" s="1" t="s">
        <v>1457</v>
      </c>
      <c r="J25" t="s">
        <v>1456</v>
      </c>
      <c r="K25" s="25">
        <f>Tabelle52[[#This Row],[value_present]]*Tabelle52[[#This Row],[binding_level]]</f>
        <v>1</v>
      </c>
    </row>
    <row r="26" spans="1:11" x14ac:dyDescent="0.25">
      <c r="A26" s="24">
        <v>4</v>
      </c>
      <c r="B26" s="2">
        <v>22</v>
      </c>
      <c r="C26" s="2" t="s">
        <v>98</v>
      </c>
      <c r="D26" s="3">
        <v>1</v>
      </c>
      <c r="E26" s="1">
        <v>1</v>
      </c>
      <c r="F26" t="s">
        <v>1481</v>
      </c>
      <c r="G26" t="s">
        <v>1482</v>
      </c>
      <c r="H26" t="s">
        <v>1474</v>
      </c>
      <c r="I26" s="1" t="s">
        <v>1457</v>
      </c>
      <c r="J26" t="s">
        <v>1461</v>
      </c>
      <c r="K26" s="25">
        <f>Tabelle52[[#This Row],[value_present]]*Tabelle52[[#This Row],[binding_level]]</f>
        <v>1</v>
      </c>
    </row>
    <row r="27" spans="1:11" x14ac:dyDescent="0.25">
      <c r="A27" s="24">
        <v>4</v>
      </c>
      <c r="B27" s="2">
        <v>22</v>
      </c>
      <c r="C27" s="2" t="s">
        <v>106</v>
      </c>
      <c r="D27" s="3">
        <v>1</v>
      </c>
      <c r="E27" s="1">
        <v>1</v>
      </c>
      <c r="F27" t="s">
        <v>1483</v>
      </c>
      <c r="G27" t="s">
        <v>1484</v>
      </c>
      <c r="H27" t="s">
        <v>1475</v>
      </c>
      <c r="I27" s="1" t="s">
        <v>1458</v>
      </c>
      <c r="J27" t="s">
        <v>1462</v>
      </c>
      <c r="K27" s="25">
        <f>Tabelle52[[#This Row],[value_present]]*Tabelle52[[#This Row],[binding_level]]</f>
        <v>1</v>
      </c>
    </row>
    <row r="28" spans="1:11" x14ac:dyDescent="0.25">
      <c r="A28" s="24">
        <v>4</v>
      </c>
      <c r="B28" s="2">
        <v>22</v>
      </c>
      <c r="C28" s="2" t="s">
        <v>112</v>
      </c>
      <c r="D28" s="3">
        <v>1</v>
      </c>
      <c r="E28" s="1">
        <v>1</v>
      </c>
      <c r="F28" t="s">
        <v>1486</v>
      </c>
      <c r="G28" t="s">
        <v>1485</v>
      </c>
      <c r="H28" t="s">
        <v>1476</v>
      </c>
      <c r="I28" s="1" t="s">
        <v>1457</v>
      </c>
      <c r="J28" t="s">
        <v>1463</v>
      </c>
      <c r="K28" s="25">
        <f>Tabelle52[[#This Row],[value_present]]*Tabelle52[[#This Row],[binding_level]]</f>
        <v>1</v>
      </c>
    </row>
    <row r="29" spans="1:11" x14ac:dyDescent="0.25">
      <c r="A29" s="24">
        <v>4</v>
      </c>
      <c r="B29" s="2">
        <v>22</v>
      </c>
      <c r="C29" s="2" t="s">
        <v>118</v>
      </c>
      <c r="D29" s="3">
        <v>0</v>
      </c>
      <c r="E29" s="1"/>
      <c r="I29" s="1" t="s">
        <v>1457</v>
      </c>
      <c r="J29" t="s">
        <v>1391</v>
      </c>
      <c r="K29" s="25">
        <f>Tabelle52[[#This Row],[value_present]]*Tabelle52[[#This Row],[binding_level]]</f>
        <v>0</v>
      </c>
    </row>
    <row r="30" spans="1:11" x14ac:dyDescent="0.25">
      <c r="A30" s="24">
        <v>4</v>
      </c>
      <c r="B30" s="2">
        <v>22</v>
      </c>
      <c r="C30" s="2" t="s">
        <v>125</v>
      </c>
      <c r="D30" s="3">
        <v>0</v>
      </c>
      <c r="E30" s="1"/>
      <c r="I30" s="1" t="s">
        <v>1457</v>
      </c>
      <c r="J30" t="s">
        <v>1391</v>
      </c>
      <c r="K30" s="25">
        <f>Tabelle52[[#This Row],[value_present]]*Tabelle52[[#This Row],[binding_level]]</f>
        <v>0</v>
      </c>
    </row>
    <row r="31" spans="1:11" x14ac:dyDescent="0.25">
      <c r="A31" s="24">
        <v>4</v>
      </c>
      <c r="B31" s="2">
        <v>22</v>
      </c>
      <c r="C31" s="2" t="s">
        <v>132</v>
      </c>
      <c r="D31" s="3">
        <v>0</v>
      </c>
      <c r="E31" s="1"/>
      <c r="I31" s="1" t="s">
        <v>1457</v>
      </c>
      <c r="J31" t="s">
        <v>1391</v>
      </c>
      <c r="K31" s="25">
        <f>Tabelle52[[#This Row],[value_present]]*Tabelle52[[#This Row],[binding_level]]</f>
        <v>0</v>
      </c>
    </row>
    <row r="32" spans="1:11" x14ac:dyDescent="0.25">
      <c r="A32" s="24">
        <v>4</v>
      </c>
      <c r="B32" s="2">
        <v>22</v>
      </c>
      <c r="C32" s="2" t="s">
        <v>140</v>
      </c>
      <c r="D32" s="3">
        <v>0</v>
      </c>
      <c r="E32" s="1"/>
      <c r="I32" s="1" t="s">
        <v>1457</v>
      </c>
      <c r="J32" t="s">
        <v>1464</v>
      </c>
      <c r="K32" s="25">
        <f>Tabelle52[[#This Row],[value_present]]*Tabelle52[[#This Row],[binding_level]]</f>
        <v>0</v>
      </c>
    </row>
    <row r="33" spans="1:11" x14ac:dyDescent="0.25">
      <c r="A33" s="24">
        <v>4</v>
      </c>
      <c r="B33" s="2">
        <v>22</v>
      </c>
      <c r="C33" s="2" t="s">
        <v>147</v>
      </c>
      <c r="D33" s="3">
        <v>1</v>
      </c>
      <c r="E33" s="1">
        <v>2</v>
      </c>
      <c r="F33" t="s">
        <v>1487</v>
      </c>
      <c r="G33" t="s">
        <v>1488</v>
      </c>
      <c r="H33" t="s">
        <v>1477</v>
      </c>
      <c r="I33" s="1" t="s">
        <v>1458</v>
      </c>
      <c r="J33" t="s">
        <v>1465</v>
      </c>
      <c r="K33" s="25">
        <f>Tabelle52[[#This Row],[value_present]]*Tabelle52[[#This Row],[binding_level]]</f>
        <v>2</v>
      </c>
    </row>
    <row r="34" spans="1:11" x14ac:dyDescent="0.25">
      <c r="A34" s="24">
        <v>4</v>
      </c>
      <c r="B34" s="2">
        <v>22</v>
      </c>
      <c r="C34" s="2" t="s">
        <v>154</v>
      </c>
      <c r="D34" s="3">
        <v>1</v>
      </c>
      <c r="E34" s="1">
        <v>1</v>
      </c>
      <c r="F34" t="s">
        <v>1489</v>
      </c>
      <c r="G34" t="s">
        <v>1490</v>
      </c>
      <c r="H34" t="s">
        <v>1478</v>
      </c>
      <c r="I34" s="1" t="s">
        <v>1457</v>
      </c>
      <c r="J34" t="s">
        <v>1466</v>
      </c>
      <c r="K34" s="25">
        <f>Tabelle52[[#This Row],[value_present]]*Tabelle52[[#This Row],[binding_level]]</f>
        <v>1</v>
      </c>
    </row>
    <row r="35" spans="1:11" x14ac:dyDescent="0.25">
      <c r="A35" s="24">
        <v>4</v>
      </c>
      <c r="B35" s="2">
        <v>22</v>
      </c>
      <c r="C35" s="2" t="s">
        <v>161</v>
      </c>
      <c r="D35" s="3">
        <v>1</v>
      </c>
      <c r="E35" s="1">
        <v>1</v>
      </c>
      <c r="F35" t="s">
        <v>1491</v>
      </c>
      <c r="G35" t="s">
        <v>1492</v>
      </c>
      <c r="H35" t="s">
        <v>1479</v>
      </c>
      <c r="I35" s="1" t="s">
        <v>1458</v>
      </c>
      <c r="J35" t="s">
        <v>1467</v>
      </c>
      <c r="K35" s="25">
        <f>Tabelle52[[#This Row],[value_present]]*Tabelle52[[#This Row],[binding_level]]</f>
        <v>1</v>
      </c>
    </row>
    <row r="36" spans="1:11" x14ac:dyDescent="0.25">
      <c r="A36" s="24">
        <v>4</v>
      </c>
      <c r="B36" s="2">
        <v>22</v>
      </c>
      <c r="C36" s="2" t="s">
        <v>166</v>
      </c>
      <c r="D36" s="3">
        <v>0</v>
      </c>
      <c r="E36" s="1"/>
      <c r="I36" s="1" t="s">
        <v>1458</v>
      </c>
      <c r="J36" t="s">
        <v>1468</v>
      </c>
      <c r="K36" s="25">
        <f>Tabelle52[[#This Row],[value_present]]*Tabelle52[[#This Row],[binding_level]]</f>
        <v>0</v>
      </c>
    </row>
    <row r="37" spans="1:11" ht="15.75" thickBot="1" x14ac:dyDescent="0.3">
      <c r="A37" s="26">
        <v>4</v>
      </c>
      <c r="B37" s="27">
        <v>22</v>
      </c>
      <c r="C37" s="27" t="s">
        <v>174</v>
      </c>
      <c r="D37" s="28">
        <v>1</v>
      </c>
      <c r="E37" s="29">
        <v>1</v>
      </c>
      <c r="F37" s="30" t="s">
        <v>1493</v>
      </c>
      <c r="G37" s="30" t="s">
        <v>1494</v>
      </c>
      <c r="H37" s="30" t="s">
        <v>1480</v>
      </c>
      <c r="I37" s="29" t="s">
        <v>1458</v>
      </c>
      <c r="J37" s="30" t="s">
        <v>1469</v>
      </c>
      <c r="K37" s="31">
        <f>Tabelle52[[#This Row],[value_present]]*Tabelle52[[#This Row],[binding_level]]</f>
        <v>1</v>
      </c>
    </row>
    <row r="38" spans="1:11" x14ac:dyDescent="0.25">
      <c r="A38" s="18">
        <v>5</v>
      </c>
      <c r="B38" s="19">
        <v>27</v>
      </c>
      <c r="C38" s="19" t="s">
        <v>53</v>
      </c>
      <c r="D38" s="20">
        <v>1</v>
      </c>
      <c r="E38" s="21">
        <v>1</v>
      </c>
      <c r="F38" s="22" t="s">
        <v>1551</v>
      </c>
      <c r="G38" s="22" t="s">
        <v>1552</v>
      </c>
      <c r="H38" s="22" t="s">
        <v>1550</v>
      </c>
      <c r="I38" s="21" t="s">
        <v>1457</v>
      </c>
      <c r="J38" s="22" t="s">
        <v>1535</v>
      </c>
      <c r="K38" s="23">
        <f>Tabelle52[[#This Row],[value_present]]*Tabelle52[[#This Row],[binding_level]]</f>
        <v>1</v>
      </c>
    </row>
    <row r="39" spans="1:11" x14ac:dyDescent="0.25">
      <c r="A39" s="24">
        <v>5</v>
      </c>
      <c r="B39" s="2">
        <v>27</v>
      </c>
      <c r="C39" s="2" t="s">
        <v>61</v>
      </c>
      <c r="D39" s="3">
        <v>1</v>
      </c>
      <c r="E39" s="1">
        <v>1</v>
      </c>
      <c r="F39" t="s">
        <v>1527</v>
      </c>
      <c r="G39" t="s">
        <v>1528</v>
      </c>
      <c r="H39" t="s">
        <v>1550</v>
      </c>
      <c r="I39" s="1" t="s">
        <v>1458</v>
      </c>
      <c r="J39" t="s">
        <v>1536</v>
      </c>
      <c r="K39" s="25">
        <f>Tabelle52[[#This Row],[value_present]]*Tabelle52[[#This Row],[binding_level]]</f>
        <v>1</v>
      </c>
    </row>
    <row r="40" spans="1:11" x14ac:dyDescent="0.25">
      <c r="A40" s="24">
        <v>5</v>
      </c>
      <c r="B40" s="2">
        <v>27</v>
      </c>
      <c r="C40" s="2" t="s">
        <v>69</v>
      </c>
      <c r="D40" s="3">
        <v>1</v>
      </c>
      <c r="E40" s="1">
        <v>1</v>
      </c>
      <c r="F40" t="s">
        <v>1523</v>
      </c>
      <c r="G40" t="s">
        <v>1524</v>
      </c>
      <c r="H40" t="s">
        <v>1550</v>
      </c>
      <c r="I40" s="1" t="s">
        <v>1457</v>
      </c>
      <c r="J40" t="s">
        <v>1537</v>
      </c>
      <c r="K40" s="25">
        <f>Tabelle52[[#This Row],[value_present]]*Tabelle52[[#This Row],[binding_level]]</f>
        <v>1</v>
      </c>
    </row>
    <row r="41" spans="1:11" x14ac:dyDescent="0.25">
      <c r="A41" s="24">
        <v>5</v>
      </c>
      <c r="B41" s="2">
        <v>27</v>
      </c>
      <c r="C41" s="2" t="s">
        <v>76</v>
      </c>
      <c r="D41" s="3">
        <v>0</v>
      </c>
      <c r="E41" s="1"/>
      <c r="I41" s="1" t="s">
        <v>1457</v>
      </c>
      <c r="J41" t="s">
        <v>1538</v>
      </c>
      <c r="K41" s="25">
        <f>Tabelle52[[#This Row],[value_present]]*Tabelle52[[#This Row],[binding_level]]</f>
        <v>0</v>
      </c>
    </row>
    <row r="42" spans="1:11" x14ac:dyDescent="0.25">
      <c r="A42" s="24">
        <v>5</v>
      </c>
      <c r="B42" s="2">
        <v>27</v>
      </c>
      <c r="C42" s="2" t="s">
        <v>83</v>
      </c>
      <c r="D42" s="3">
        <v>1</v>
      </c>
      <c r="E42" s="1">
        <v>1</v>
      </c>
      <c r="F42" t="s">
        <v>1527</v>
      </c>
      <c r="G42" t="s">
        <v>1528</v>
      </c>
      <c r="H42" t="s">
        <v>1550</v>
      </c>
      <c r="I42" s="1" t="s">
        <v>1458</v>
      </c>
      <c r="J42" t="s">
        <v>1539</v>
      </c>
      <c r="K42" s="25">
        <f>Tabelle52[[#This Row],[value_present]]*Tabelle52[[#This Row],[binding_level]]</f>
        <v>1</v>
      </c>
    </row>
    <row r="43" spans="1:11" x14ac:dyDescent="0.25">
      <c r="A43" s="24">
        <v>5</v>
      </c>
      <c r="B43" s="2">
        <v>27</v>
      </c>
      <c r="C43" s="2" t="s">
        <v>90</v>
      </c>
      <c r="D43" s="3">
        <v>0</v>
      </c>
      <c r="E43" s="1"/>
      <c r="I43" s="1" t="s">
        <v>1457</v>
      </c>
      <c r="J43" t="s">
        <v>1540</v>
      </c>
      <c r="K43" s="25">
        <f>Tabelle52[[#This Row],[value_present]]*Tabelle52[[#This Row],[binding_level]]</f>
        <v>0</v>
      </c>
    </row>
    <row r="44" spans="1:11" x14ac:dyDescent="0.25">
      <c r="A44" s="24">
        <v>5</v>
      </c>
      <c r="B44" s="2">
        <v>27</v>
      </c>
      <c r="C44" s="2" t="s">
        <v>98</v>
      </c>
      <c r="D44" s="3">
        <v>0</v>
      </c>
      <c r="E44" s="1"/>
      <c r="I44" s="1" t="s">
        <v>1457</v>
      </c>
      <c r="J44" t="s">
        <v>1391</v>
      </c>
      <c r="K44" s="25">
        <f>Tabelle52[[#This Row],[value_present]]*Tabelle52[[#This Row],[binding_level]]</f>
        <v>0</v>
      </c>
    </row>
    <row r="45" spans="1:11" x14ac:dyDescent="0.25">
      <c r="A45" s="24">
        <v>5</v>
      </c>
      <c r="B45" s="2">
        <v>27</v>
      </c>
      <c r="C45" s="2" t="s">
        <v>106</v>
      </c>
      <c r="D45" s="3">
        <v>1</v>
      </c>
      <c r="E45" s="1">
        <v>1</v>
      </c>
      <c r="F45" t="s">
        <v>1525</v>
      </c>
      <c r="G45" t="s">
        <v>1526</v>
      </c>
      <c r="H45" t="s">
        <v>1550</v>
      </c>
      <c r="I45" s="1" t="s">
        <v>1457</v>
      </c>
      <c r="J45" t="s">
        <v>1541</v>
      </c>
      <c r="K45" s="25">
        <f>Tabelle52[[#This Row],[value_present]]*Tabelle52[[#This Row],[binding_level]]</f>
        <v>1</v>
      </c>
    </row>
    <row r="46" spans="1:11" x14ac:dyDescent="0.25">
      <c r="A46" s="24">
        <v>5</v>
      </c>
      <c r="B46" s="2">
        <v>27</v>
      </c>
      <c r="C46" s="2" t="s">
        <v>112</v>
      </c>
      <c r="D46" s="3">
        <v>1</v>
      </c>
      <c r="E46" s="1">
        <v>1</v>
      </c>
      <c r="F46" t="s">
        <v>1531</v>
      </c>
      <c r="G46" t="s">
        <v>1532</v>
      </c>
      <c r="H46" t="s">
        <v>1550</v>
      </c>
      <c r="I46" s="1" t="s">
        <v>1542</v>
      </c>
      <c r="J46" t="s">
        <v>1543</v>
      </c>
      <c r="K46" s="25">
        <f>Tabelle52[[#This Row],[value_present]]*Tabelle52[[#This Row],[binding_level]]</f>
        <v>1</v>
      </c>
    </row>
    <row r="47" spans="1:11" x14ac:dyDescent="0.25">
      <c r="A47" s="24">
        <v>5</v>
      </c>
      <c r="B47" s="2">
        <v>27</v>
      </c>
      <c r="C47" s="2" t="s">
        <v>118</v>
      </c>
      <c r="D47" s="3">
        <v>0</v>
      </c>
      <c r="E47" s="1"/>
      <c r="I47" s="1" t="s">
        <v>1457</v>
      </c>
      <c r="J47" t="s">
        <v>1391</v>
      </c>
      <c r="K47" s="25">
        <f>Tabelle52[[#This Row],[value_present]]*Tabelle52[[#This Row],[binding_level]]</f>
        <v>0</v>
      </c>
    </row>
    <row r="48" spans="1:11" x14ac:dyDescent="0.25">
      <c r="A48" s="24">
        <v>5</v>
      </c>
      <c r="B48" s="2">
        <v>27</v>
      </c>
      <c r="C48" s="2" t="s">
        <v>125</v>
      </c>
      <c r="D48" s="3">
        <v>0</v>
      </c>
      <c r="E48" s="1"/>
      <c r="I48" s="1" t="s">
        <v>1458</v>
      </c>
      <c r="J48" t="s">
        <v>1544</v>
      </c>
      <c r="K48" s="25">
        <f>Tabelle52[[#This Row],[value_present]]*Tabelle52[[#This Row],[binding_level]]</f>
        <v>0</v>
      </c>
    </row>
    <row r="49" spans="1:11" x14ac:dyDescent="0.25">
      <c r="A49" s="24">
        <v>5</v>
      </c>
      <c r="B49" s="2">
        <v>27</v>
      </c>
      <c r="C49" s="2" t="s">
        <v>132</v>
      </c>
      <c r="D49" s="3">
        <v>0</v>
      </c>
      <c r="E49" s="1"/>
      <c r="I49" s="1" t="s">
        <v>1457</v>
      </c>
      <c r="J49" t="s">
        <v>1391</v>
      </c>
      <c r="K49" s="25">
        <f>Tabelle52[[#This Row],[value_present]]*Tabelle52[[#This Row],[binding_level]]</f>
        <v>0</v>
      </c>
    </row>
    <row r="50" spans="1:11" x14ac:dyDescent="0.25">
      <c r="A50" s="24">
        <v>5</v>
      </c>
      <c r="B50" s="2">
        <v>27</v>
      </c>
      <c r="C50" s="2" t="s">
        <v>140</v>
      </c>
      <c r="D50" s="3">
        <v>1</v>
      </c>
      <c r="E50" s="1">
        <v>1</v>
      </c>
      <c r="F50" t="s">
        <v>1525</v>
      </c>
      <c r="G50" t="s">
        <v>1526</v>
      </c>
      <c r="H50" t="s">
        <v>1550</v>
      </c>
      <c r="I50" s="1" t="s">
        <v>1457</v>
      </c>
      <c r="J50" t="s">
        <v>1545</v>
      </c>
      <c r="K50" s="25">
        <f>Tabelle52[[#This Row],[value_present]]*Tabelle52[[#This Row],[binding_level]]</f>
        <v>1</v>
      </c>
    </row>
    <row r="51" spans="1:11" x14ac:dyDescent="0.25">
      <c r="A51" s="24">
        <v>5</v>
      </c>
      <c r="B51" s="2">
        <v>27</v>
      </c>
      <c r="C51" s="2" t="s">
        <v>147</v>
      </c>
      <c r="D51" s="3">
        <v>1</v>
      </c>
      <c r="E51" s="1">
        <v>2</v>
      </c>
      <c r="F51" t="s">
        <v>1529</v>
      </c>
      <c r="G51" t="s">
        <v>1530</v>
      </c>
      <c r="H51" t="s">
        <v>1550</v>
      </c>
      <c r="I51" s="1" t="s">
        <v>1457</v>
      </c>
      <c r="J51" t="s">
        <v>1546</v>
      </c>
      <c r="K51" s="25">
        <f>Tabelle52[[#This Row],[value_present]]*Tabelle52[[#This Row],[binding_level]]</f>
        <v>2</v>
      </c>
    </row>
    <row r="52" spans="1:11" x14ac:dyDescent="0.25">
      <c r="A52" s="24">
        <v>5</v>
      </c>
      <c r="B52" s="2">
        <v>27</v>
      </c>
      <c r="C52" s="2" t="s">
        <v>154</v>
      </c>
      <c r="D52" s="3">
        <v>1</v>
      </c>
      <c r="E52" s="1">
        <v>1</v>
      </c>
      <c r="F52" t="s">
        <v>1523</v>
      </c>
      <c r="G52" t="s">
        <v>1524</v>
      </c>
      <c r="H52" t="s">
        <v>1550</v>
      </c>
      <c r="I52" s="1" t="s">
        <v>1458</v>
      </c>
      <c r="J52" t="s">
        <v>1547</v>
      </c>
      <c r="K52" s="25">
        <f>Tabelle52[[#This Row],[value_present]]*Tabelle52[[#This Row],[binding_level]]</f>
        <v>1</v>
      </c>
    </row>
    <row r="53" spans="1:11" x14ac:dyDescent="0.25">
      <c r="A53" s="24">
        <v>5</v>
      </c>
      <c r="B53" s="2">
        <v>27</v>
      </c>
      <c r="C53" s="2" t="s">
        <v>161</v>
      </c>
      <c r="D53" s="3">
        <v>1</v>
      </c>
      <c r="E53" s="1">
        <v>2</v>
      </c>
      <c r="F53" t="s">
        <v>1553</v>
      </c>
      <c r="G53" t="s">
        <v>1554</v>
      </c>
      <c r="H53" t="s">
        <v>1550</v>
      </c>
      <c r="I53" s="1" t="s">
        <v>1457</v>
      </c>
      <c r="J53" t="s">
        <v>1548</v>
      </c>
      <c r="K53" s="25">
        <f>Tabelle52[[#This Row],[value_present]]*Tabelle52[[#This Row],[binding_level]]</f>
        <v>2</v>
      </c>
    </row>
    <row r="54" spans="1:11" x14ac:dyDescent="0.25">
      <c r="A54" s="24">
        <v>5</v>
      </c>
      <c r="B54" s="2">
        <v>27</v>
      </c>
      <c r="C54" s="2" t="s">
        <v>166</v>
      </c>
      <c r="D54" s="3">
        <v>0</v>
      </c>
      <c r="E54" s="1"/>
      <c r="I54" s="1" t="s">
        <v>1457</v>
      </c>
      <c r="J54" t="s">
        <v>1391</v>
      </c>
      <c r="K54" s="25">
        <f>Tabelle52[[#This Row],[value_present]]*Tabelle52[[#This Row],[binding_level]]</f>
        <v>0</v>
      </c>
    </row>
    <row r="55" spans="1:11" ht="15.75" thickBot="1" x14ac:dyDescent="0.3">
      <c r="A55" s="26">
        <v>5</v>
      </c>
      <c r="B55" s="27">
        <v>27</v>
      </c>
      <c r="C55" s="27" t="s">
        <v>174</v>
      </c>
      <c r="D55" s="28">
        <v>0</v>
      </c>
      <c r="E55" s="29"/>
      <c r="F55" s="30"/>
      <c r="G55" s="30"/>
      <c r="H55" s="30"/>
      <c r="I55" s="29" t="s">
        <v>1457</v>
      </c>
      <c r="J55" s="30" t="s">
        <v>1549</v>
      </c>
      <c r="K55" s="31">
        <f>Tabelle52[[#This Row],[value_present]]*Tabelle52[[#This Row],[binding_level]]</f>
        <v>0</v>
      </c>
    </row>
    <row r="56" spans="1:11" x14ac:dyDescent="0.25">
      <c r="A56" s="18">
        <v>6</v>
      </c>
      <c r="B56" s="19">
        <v>32</v>
      </c>
      <c r="C56" s="19" t="s">
        <v>53</v>
      </c>
      <c r="D56" s="20">
        <v>0</v>
      </c>
      <c r="E56" s="21"/>
      <c r="F56" s="22"/>
      <c r="G56" s="22"/>
      <c r="H56" s="22"/>
      <c r="I56" s="21" t="s">
        <v>1457</v>
      </c>
      <c r="J56" s="22" t="s">
        <v>1581</v>
      </c>
      <c r="K56" s="23">
        <f>Tabelle52[[#This Row],[value_present]]*Tabelle52[[#This Row],[binding_level]]</f>
        <v>0</v>
      </c>
    </row>
    <row r="57" spans="1:11" x14ac:dyDescent="0.25">
      <c r="A57" s="24">
        <v>6</v>
      </c>
      <c r="B57" s="2">
        <v>32</v>
      </c>
      <c r="C57" s="2" t="s">
        <v>61</v>
      </c>
      <c r="D57" s="3">
        <v>0</v>
      </c>
      <c r="E57" s="1"/>
      <c r="I57" s="1" t="s">
        <v>1457</v>
      </c>
      <c r="J57" t="s">
        <v>1581</v>
      </c>
      <c r="K57" s="25">
        <f>Tabelle52[[#This Row],[value_present]]*Tabelle52[[#This Row],[binding_level]]</f>
        <v>0</v>
      </c>
    </row>
    <row r="58" spans="1:11" x14ac:dyDescent="0.25">
      <c r="A58" s="24">
        <v>6</v>
      </c>
      <c r="B58" s="2">
        <v>32</v>
      </c>
      <c r="C58" s="2" t="s">
        <v>69</v>
      </c>
      <c r="D58" s="3">
        <v>0</v>
      </c>
      <c r="E58" s="1"/>
      <c r="I58" s="1" t="s">
        <v>1457</v>
      </c>
      <c r="J58" t="s">
        <v>1581</v>
      </c>
      <c r="K58" s="25">
        <f>Tabelle52[[#This Row],[value_present]]*Tabelle52[[#This Row],[binding_level]]</f>
        <v>0</v>
      </c>
    </row>
    <row r="59" spans="1:11" x14ac:dyDescent="0.25">
      <c r="A59" s="24">
        <v>6</v>
      </c>
      <c r="B59" s="2">
        <v>32</v>
      </c>
      <c r="C59" s="2" t="s">
        <v>76</v>
      </c>
      <c r="D59" s="3">
        <v>0</v>
      </c>
      <c r="E59" s="1"/>
      <c r="I59" s="1" t="s">
        <v>1457</v>
      </c>
      <c r="J59" t="s">
        <v>1581</v>
      </c>
      <c r="K59" s="25">
        <f>Tabelle52[[#This Row],[value_present]]*Tabelle52[[#This Row],[binding_level]]</f>
        <v>0</v>
      </c>
    </row>
    <row r="60" spans="1:11" x14ac:dyDescent="0.25">
      <c r="A60" s="24">
        <v>6</v>
      </c>
      <c r="B60" s="2">
        <v>32</v>
      </c>
      <c r="C60" s="2" t="s">
        <v>83</v>
      </c>
      <c r="D60" s="3">
        <v>0</v>
      </c>
      <c r="E60" s="1"/>
      <c r="I60" s="1" t="s">
        <v>1457</v>
      </c>
      <c r="J60" t="s">
        <v>1582</v>
      </c>
      <c r="K60" s="25">
        <f>Tabelle52[[#This Row],[value_present]]*Tabelle52[[#This Row],[binding_level]]</f>
        <v>0</v>
      </c>
    </row>
    <row r="61" spans="1:11" x14ac:dyDescent="0.25">
      <c r="A61" s="24">
        <v>6</v>
      </c>
      <c r="B61" s="2">
        <v>32</v>
      </c>
      <c r="C61" s="2" t="s">
        <v>90</v>
      </c>
      <c r="D61" s="3">
        <v>0</v>
      </c>
      <c r="E61" s="1"/>
      <c r="I61" s="1" t="s">
        <v>1457</v>
      </c>
      <c r="J61" t="s">
        <v>1583</v>
      </c>
      <c r="K61" s="25">
        <f>Tabelle52[[#This Row],[value_present]]*Tabelle52[[#This Row],[binding_level]]</f>
        <v>0</v>
      </c>
    </row>
    <row r="62" spans="1:11" x14ac:dyDescent="0.25">
      <c r="A62" s="24">
        <v>6</v>
      </c>
      <c r="B62" s="2">
        <v>32</v>
      </c>
      <c r="C62" s="2" t="s">
        <v>98</v>
      </c>
      <c r="D62" s="3">
        <v>0</v>
      </c>
      <c r="E62" s="1"/>
      <c r="I62" s="1" t="s">
        <v>1457</v>
      </c>
      <c r="J62" t="s">
        <v>1584</v>
      </c>
      <c r="K62" s="25">
        <f>Tabelle52[[#This Row],[value_present]]*Tabelle52[[#This Row],[binding_level]]</f>
        <v>0</v>
      </c>
    </row>
    <row r="63" spans="1:11" x14ac:dyDescent="0.25">
      <c r="A63" s="24">
        <v>6</v>
      </c>
      <c r="B63" s="2">
        <v>32</v>
      </c>
      <c r="C63" s="2" t="s">
        <v>106</v>
      </c>
      <c r="D63" s="3">
        <v>0</v>
      </c>
      <c r="E63" s="1"/>
      <c r="I63" s="1" t="s">
        <v>1457</v>
      </c>
      <c r="J63" t="s">
        <v>1585</v>
      </c>
      <c r="K63" s="25">
        <f>Tabelle52[[#This Row],[value_present]]*Tabelle52[[#This Row],[binding_level]]</f>
        <v>0</v>
      </c>
    </row>
    <row r="64" spans="1:11" x14ac:dyDescent="0.25">
      <c r="A64" s="24">
        <v>6</v>
      </c>
      <c r="B64" s="2">
        <v>32</v>
      </c>
      <c r="C64" s="2" t="s">
        <v>112</v>
      </c>
      <c r="D64" s="3">
        <v>0</v>
      </c>
      <c r="E64" s="1"/>
      <c r="I64" s="1" t="s">
        <v>1457</v>
      </c>
      <c r="J64" t="s">
        <v>1586</v>
      </c>
      <c r="K64" s="25">
        <f>Tabelle52[[#This Row],[value_present]]*Tabelle52[[#This Row],[binding_level]]</f>
        <v>0</v>
      </c>
    </row>
    <row r="65" spans="1:11" x14ac:dyDescent="0.25">
      <c r="A65" s="24">
        <v>6</v>
      </c>
      <c r="B65" s="2">
        <v>32</v>
      </c>
      <c r="C65" s="2" t="s">
        <v>118</v>
      </c>
      <c r="D65" s="3">
        <v>0</v>
      </c>
      <c r="E65" s="1"/>
      <c r="I65" s="1" t="s">
        <v>1457</v>
      </c>
      <c r="J65" t="s">
        <v>1587</v>
      </c>
      <c r="K65" s="25">
        <f>Tabelle52[[#This Row],[value_present]]*Tabelle52[[#This Row],[binding_level]]</f>
        <v>0</v>
      </c>
    </row>
    <row r="66" spans="1:11" x14ac:dyDescent="0.25">
      <c r="A66" s="24">
        <v>6</v>
      </c>
      <c r="B66" s="2">
        <v>32</v>
      </c>
      <c r="C66" s="2" t="s">
        <v>125</v>
      </c>
      <c r="D66" s="3">
        <v>0</v>
      </c>
      <c r="E66" s="1"/>
      <c r="I66" s="1" t="s">
        <v>1457</v>
      </c>
      <c r="J66" t="s">
        <v>1587</v>
      </c>
      <c r="K66" s="25">
        <f>Tabelle52[[#This Row],[value_present]]*Tabelle52[[#This Row],[binding_level]]</f>
        <v>0</v>
      </c>
    </row>
    <row r="67" spans="1:11" x14ac:dyDescent="0.25">
      <c r="A67" s="24">
        <v>6</v>
      </c>
      <c r="B67" s="2">
        <v>32</v>
      </c>
      <c r="C67" s="2" t="s">
        <v>132</v>
      </c>
      <c r="D67" s="3">
        <v>0</v>
      </c>
      <c r="E67" s="1"/>
      <c r="I67" s="1" t="s">
        <v>1457</v>
      </c>
      <c r="J67" t="s">
        <v>1588</v>
      </c>
      <c r="K67" s="25">
        <f>Tabelle52[[#This Row],[value_present]]*Tabelle52[[#This Row],[binding_level]]</f>
        <v>0</v>
      </c>
    </row>
    <row r="68" spans="1:11" x14ac:dyDescent="0.25">
      <c r="A68" s="24">
        <v>6</v>
      </c>
      <c r="B68" s="2">
        <v>32</v>
      </c>
      <c r="C68" s="2" t="s">
        <v>140</v>
      </c>
      <c r="D68" s="3">
        <v>0</v>
      </c>
      <c r="E68" s="1"/>
      <c r="I68" s="1" t="s">
        <v>1457</v>
      </c>
      <c r="J68" t="s">
        <v>1587</v>
      </c>
      <c r="K68" s="25">
        <f>Tabelle52[[#This Row],[value_present]]*Tabelle52[[#This Row],[binding_level]]</f>
        <v>0</v>
      </c>
    </row>
    <row r="69" spans="1:11" x14ac:dyDescent="0.25">
      <c r="A69" s="24">
        <v>6</v>
      </c>
      <c r="B69" s="2">
        <v>32</v>
      </c>
      <c r="C69" s="2" t="s">
        <v>147</v>
      </c>
      <c r="D69" s="3">
        <v>0</v>
      </c>
      <c r="E69" s="1"/>
      <c r="I69" s="1" t="s">
        <v>1457</v>
      </c>
      <c r="J69" t="s">
        <v>1589</v>
      </c>
      <c r="K69" s="25">
        <f>Tabelle52[[#This Row],[value_present]]*Tabelle52[[#This Row],[binding_level]]</f>
        <v>0</v>
      </c>
    </row>
    <row r="70" spans="1:11" x14ac:dyDescent="0.25">
      <c r="A70" s="24">
        <v>6</v>
      </c>
      <c r="B70" s="2">
        <v>32</v>
      </c>
      <c r="C70" s="2" t="s">
        <v>154</v>
      </c>
      <c r="D70" s="3">
        <v>0</v>
      </c>
      <c r="E70" s="1"/>
      <c r="I70" s="1" t="s">
        <v>1457</v>
      </c>
      <c r="J70" t="s">
        <v>1590</v>
      </c>
      <c r="K70" s="25">
        <f>Tabelle52[[#This Row],[value_present]]*Tabelle52[[#This Row],[binding_level]]</f>
        <v>0</v>
      </c>
    </row>
    <row r="71" spans="1:11" x14ac:dyDescent="0.25">
      <c r="A71" s="24">
        <v>6</v>
      </c>
      <c r="B71" s="2">
        <v>32</v>
      </c>
      <c r="C71" s="2" t="s">
        <v>161</v>
      </c>
      <c r="D71" s="3">
        <v>0</v>
      </c>
      <c r="E71" s="1"/>
      <c r="I71" s="1" t="s">
        <v>1457</v>
      </c>
      <c r="J71" t="s">
        <v>1591</v>
      </c>
      <c r="K71" s="25">
        <f>Tabelle52[[#This Row],[value_present]]*Tabelle52[[#This Row],[binding_level]]</f>
        <v>0</v>
      </c>
    </row>
    <row r="72" spans="1:11" x14ac:dyDescent="0.25">
      <c r="A72" s="24">
        <v>6</v>
      </c>
      <c r="B72" s="2">
        <v>32</v>
      </c>
      <c r="C72" s="2" t="s">
        <v>166</v>
      </c>
      <c r="D72" s="3">
        <v>0</v>
      </c>
      <c r="E72" s="1"/>
      <c r="I72" s="1" t="s">
        <v>1457</v>
      </c>
      <c r="J72" t="s">
        <v>1592</v>
      </c>
      <c r="K72" s="25">
        <f>Tabelle52[[#This Row],[value_present]]*Tabelle52[[#This Row],[binding_level]]</f>
        <v>0</v>
      </c>
    </row>
    <row r="73" spans="1:11" ht="15.75" thickBot="1" x14ac:dyDescent="0.3">
      <c r="A73" s="26">
        <v>6</v>
      </c>
      <c r="B73" s="27">
        <v>32</v>
      </c>
      <c r="C73" s="27" t="s">
        <v>174</v>
      </c>
      <c r="D73" s="28">
        <v>0</v>
      </c>
      <c r="E73" s="29"/>
      <c r="F73" s="30"/>
      <c r="G73" s="30"/>
      <c r="H73" s="30"/>
      <c r="I73" s="29" t="s">
        <v>1457</v>
      </c>
      <c r="J73" s="30" t="s">
        <v>1593</v>
      </c>
      <c r="K73" s="31">
        <f>Tabelle52[[#This Row],[value_present]]*Tabelle52[[#This Row],[binding_level]]</f>
        <v>0</v>
      </c>
    </row>
    <row r="74" spans="1:11" x14ac:dyDescent="0.25">
      <c r="A74" s="18">
        <v>7</v>
      </c>
      <c r="B74" s="19">
        <v>37</v>
      </c>
      <c r="C74" s="19" t="s">
        <v>53</v>
      </c>
      <c r="D74" s="20">
        <v>1</v>
      </c>
      <c r="E74" s="21">
        <v>1</v>
      </c>
      <c r="F74" s="22" t="s">
        <v>1644</v>
      </c>
      <c r="G74" s="22" t="s">
        <v>1645</v>
      </c>
      <c r="H74" s="22" t="s">
        <v>1636</v>
      </c>
      <c r="I74" s="21" t="s">
        <v>1457</v>
      </c>
      <c r="J74" s="22" t="s">
        <v>1621</v>
      </c>
      <c r="K74" s="23">
        <f>Tabelle52[[#This Row],[value_present]]*Tabelle52[[#This Row],[binding_level]]</f>
        <v>1</v>
      </c>
    </row>
    <row r="75" spans="1:11" x14ac:dyDescent="0.25">
      <c r="A75" s="24">
        <v>7</v>
      </c>
      <c r="B75" s="2">
        <v>37</v>
      </c>
      <c r="C75" s="2" t="s">
        <v>61</v>
      </c>
      <c r="D75" s="3">
        <v>1</v>
      </c>
      <c r="E75" s="1">
        <v>1</v>
      </c>
      <c r="F75" t="s">
        <v>1646</v>
      </c>
      <c r="G75" t="s">
        <v>1647</v>
      </c>
      <c r="H75" t="s">
        <v>1637</v>
      </c>
      <c r="I75" s="1" t="s">
        <v>1458</v>
      </c>
      <c r="J75" t="s">
        <v>1622</v>
      </c>
      <c r="K75" s="25">
        <f>Tabelle52[[#This Row],[value_present]]*Tabelle52[[#This Row],[binding_level]]</f>
        <v>1</v>
      </c>
    </row>
    <row r="76" spans="1:11" x14ac:dyDescent="0.25">
      <c r="A76" s="24">
        <v>7</v>
      </c>
      <c r="B76" s="2">
        <v>37</v>
      </c>
      <c r="C76" s="2" t="s">
        <v>69</v>
      </c>
      <c r="D76" s="3">
        <v>1</v>
      </c>
      <c r="E76" s="1">
        <v>1</v>
      </c>
      <c r="F76" t="s">
        <v>1648</v>
      </c>
      <c r="G76" t="s">
        <v>1649</v>
      </c>
      <c r="H76" t="s">
        <v>1638</v>
      </c>
      <c r="I76" s="1" t="s">
        <v>1458</v>
      </c>
      <c r="J76" t="s">
        <v>1623</v>
      </c>
      <c r="K76" s="25">
        <f>Tabelle52[[#This Row],[value_present]]*Tabelle52[[#This Row],[binding_level]]</f>
        <v>1</v>
      </c>
    </row>
    <row r="77" spans="1:11" x14ac:dyDescent="0.25">
      <c r="A77" s="24">
        <v>7</v>
      </c>
      <c r="B77" s="2">
        <v>37</v>
      </c>
      <c r="C77" s="2" t="s">
        <v>76</v>
      </c>
      <c r="D77" s="3">
        <v>1</v>
      </c>
      <c r="E77" s="1">
        <v>1</v>
      </c>
      <c r="F77" t="s">
        <v>1650</v>
      </c>
      <c r="G77" t="s">
        <v>1651</v>
      </c>
      <c r="H77" t="s">
        <v>1638</v>
      </c>
      <c r="I77" s="1" t="s">
        <v>1457</v>
      </c>
      <c r="J77" t="s">
        <v>1624</v>
      </c>
      <c r="K77" s="25">
        <f>Tabelle52[[#This Row],[value_present]]*Tabelle52[[#This Row],[binding_level]]</f>
        <v>1</v>
      </c>
    </row>
    <row r="78" spans="1:11" x14ac:dyDescent="0.25">
      <c r="A78" s="24">
        <v>7</v>
      </c>
      <c r="B78" s="2">
        <v>37</v>
      </c>
      <c r="C78" s="2" t="s">
        <v>83</v>
      </c>
      <c r="D78" s="3">
        <v>1</v>
      </c>
      <c r="E78" s="1">
        <v>1</v>
      </c>
      <c r="F78" t="s">
        <v>1652</v>
      </c>
      <c r="G78" t="s">
        <v>1653</v>
      </c>
      <c r="H78" t="s">
        <v>1639</v>
      </c>
      <c r="I78" s="1" t="s">
        <v>1457</v>
      </c>
      <c r="J78" t="s">
        <v>1625</v>
      </c>
      <c r="K78" s="25">
        <f>Tabelle52[[#This Row],[value_present]]*Tabelle52[[#This Row],[binding_level]]</f>
        <v>1</v>
      </c>
    </row>
    <row r="79" spans="1:11" x14ac:dyDescent="0.25">
      <c r="A79" s="24">
        <v>7</v>
      </c>
      <c r="B79" s="2">
        <v>37</v>
      </c>
      <c r="C79" s="2" t="s">
        <v>90</v>
      </c>
      <c r="D79" s="3">
        <v>1</v>
      </c>
      <c r="E79" s="1">
        <v>1</v>
      </c>
      <c r="F79" t="s">
        <v>1654</v>
      </c>
      <c r="G79" t="s">
        <v>1655</v>
      </c>
      <c r="H79" t="s">
        <v>1640</v>
      </c>
      <c r="I79" s="1" t="s">
        <v>1457</v>
      </c>
      <c r="J79" t="s">
        <v>1626</v>
      </c>
      <c r="K79" s="25">
        <f>Tabelle52[[#This Row],[value_present]]*Tabelle52[[#This Row],[binding_level]]</f>
        <v>1</v>
      </c>
    </row>
    <row r="80" spans="1:11" x14ac:dyDescent="0.25">
      <c r="A80" s="24">
        <v>7</v>
      </c>
      <c r="B80" s="2">
        <v>37</v>
      </c>
      <c r="C80" s="2" t="s">
        <v>98</v>
      </c>
      <c r="D80" s="3">
        <v>1</v>
      </c>
      <c r="E80" s="1">
        <v>1</v>
      </c>
      <c r="F80" t="s">
        <v>1656</v>
      </c>
      <c r="G80" t="s">
        <v>1657</v>
      </c>
      <c r="H80" t="s">
        <v>1640</v>
      </c>
      <c r="I80" s="1" t="s">
        <v>1458</v>
      </c>
      <c r="J80" t="s">
        <v>1627</v>
      </c>
      <c r="K80" s="25">
        <f>Tabelle52[[#This Row],[value_present]]*Tabelle52[[#This Row],[binding_level]]</f>
        <v>1</v>
      </c>
    </row>
    <row r="81" spans="1:11" x14ac:dyDescent="0.25">
      <c r="A81" s="24">
        <v>7</v>
      </c>
      <c r="B81" s="2">
        <v>37</v>
      </c>
      <c r="C81" s="2" t="s">
        <v>106</v>
      </c>
      <c r="D81" s="3">
        <v>1</v>
      </c>
      <c r="E81" s="1">
        <v>1</v>
      </c>
      <c r="F81" t="s">
        <v>1658</v>
      </c>
      <c r="G81" t="s">
        <v>1659</v>
      </c>
      <c r="H81" t="s">
        <v>1641</v>
      </c>
      <c r="I81" s="1" t="s">
        <v>1458</v>
      </c>
      <c r="J81" t="s">
        <v>1628</v>
      </c>
      <c r="K81" s="25">
        <f>Tabelle52[[#This Row],[value_present]]*Tabelle52[[#This Row],[binding_level]]</f>
        <v>1</v>
      </c>
    </row>
    <row r="82" spans="1:11" x14ac:dyDescent="0.25">
      <c r="A82" s="24">
        <v>7</v>
      </c>
      <c r="B82" s="2">
        <v>37</v>
      </c>
      <c r="C82" s="2" t="s">
        <v>112</v>
      </c>
      <c r="D82" s="3">
        <v>1</v>
      </c>
      <c r="E82" s="1">
        <v>1</v>
      </c>
      <c r="F82" t="s">
        <v>1660</v>
      </c>
      <c r="G82" t="s">
        <v>1661</v>
      </c>
      <c r="H82" t="s">
        <v>1641</v>
      </c>
      <c r="I82" s="1" t="s">
        <v>1457</v>
      </c>
      <c r="J82" t="s">
        <v>1629</v>
      </c>
      <c r="K82" s="25">
        <f>Tabelle52[[#This Row],[value_present]]*Tabelle52[[#This Row],[binding_level]]</f>
        <v>1</v>
      </c>
    </row>
    <row r="83" spans="1:11" x14ac:dyDescent="0.25">
      <c r="A83" s="24">
        <v>7</v>
      </c>
      <c r="B83" s="2">
        <v>37</v>
      </c>
      <c r="C83" s="2" t="s">
        <v>118</v>
      </c>
      <c r="D83" s="3">
        <v>0</v>
      </c>
      <c r="E83" s="1"/>
      <c r="I83" s="1" t="s">
        <v>1457</v>
      </c>
      <c r="J83" t="s">
        <v>1391</v>
      </c>
      <c r="K83" s="25">
        <f>Tabelle52[[#This Row],[value_present]]*Tabelle52[[#This Row],[binding_level]]</f>
        <v>0</v>
      </c>
    </row>
    <row r="84" spans="1:11" x14ac:dyDescent="0.25">
      <c r="A84" s="24">
        <v>7</v>
      </c>
      <c r="B84" s="2">
        <v>37</v>
      </c>
      <c r="C84" s="2" t="s">
        <v>125</v>
      </c>
      <c r="D84" s="3">
        <v>0</v>
      </c>
      <c r="E84" s="1"/>
      <c r="I84" s="1" t="s">
        <v>1457</v>
      </c>
      <c r="J84" t="s">
        <v>1391</v>
      </c>
      <c r="K84" s="25">
        <f>Tabelle52[[#This Row],[value_present]]*Tabelle52[[#This Row],[binding_level]]</f>
        <v>0</v>
      </c>
    </row>
    <row r="85" spans="1:11" x14ac:dyDescent="0.25">
      <c r="A85" s="24">
        <v>7</v>
      </c>
      <c r="B85" s="2">
        <v>37</v>
      </c>
      <c r="C85" s="2" t="s">
        <v>132</v>
      </c>
      <c r="D85" s="3">
        <v>1</v>
      </c>
      <c r="E85" s="1">
        <v>1</v>
      </c>
      <c r="F85" t="s">
        <v>1662</v>
      </c>
      <c r="G85" t="s">
        <v>1663</v>
      </c>
      <c r="H85" t="s">
        <v>1642</v>
      </c>
      <c r="I85" s="1" t="s">
        <v>1457</v>
      </c>
      <c r="J85" t="s">
        <v>1630</v>
      </c>
      <c r="K85" s="25">
        <f>Tabelle52[[#This Row],[value_present]]*Tabelle52[[#This Row],[binding_level]]</f>
        <v>1</v>
      </c>
    </row>
    <row r="86" spans="1:11" x14ac:dyDescent="0.25">
      <c r="A86" s="24">
        <v>7</v>
      </c>
      <c r="B86" s="2">
        <v>37</v>
      </c>
      <c r="C86" s="2" t="s">
        <v>140</v>
      </c>
      <c r="D86" s="3">
        <v>1</v>
      </c>
      <c r="E86" s="1">
        <v>1</v>
      </c>
      <c r="F86" t="s">
        <v>1664</v>
      </c>
      <c r="G86" t="s">
        <v>1665</v>
      </c>
      <c r="H86" t="s">
        <v>1642</v>
      </c>
      <c r="I86" s="1" t="s">
        <v>1457</v>
      </c>
      <c r="J86" t="s">
        <v>1631</v>
      </c>
      <c r="K86" s="25">
        <f>Tabelle52[[#This Row],[value_present]]*Tabelle52[[#This Row],[binding_level]]</f>
        <v>1</v>
      </c>
    </row>
    <row r="87" spans="1:11" x14ac:dyDescent="0.25">
      <c r="A87" s="24">
        <v>7</v>
      </c>
      <c r="B87" s="2">
        <v>37</v>
      </c>
      <c r="C87" s="2" t="s">
        <v>147</v>
      </c>
      <c r="D87" s="3">
        <v>1</v>
      </c>
      <c r="E87" s="1">
        <v>1</v>
      </c>
      <c r="F87" t="s">
        <v>1666</v>
      </c>
      <c r="G87" t="s">
        <v>1667</v>
      </c>
      <c r="H87" t="s">
        <v>1641</v>
      </c>
      <c r="I87" s="1" t="s">
        <v>1542</v>
      </c>
      <c r="J87" t="s">
        <v>1632</v>
      </c>
      <c r="K87" s="25">
        <f>Tabelle52[[#This Row],[value_present]]*Tabelle52[[#This Row],[binding_level]]</f>
        <v>1</v>
      </c>
    </row>
    <row r="88" spans="1:11" x14ac:dyDescent="0.25">
      <c r="A88" s="24">
        <v>7</v>
      </c>
      <c r="B88" s="2">
        <v>37</v>
      </c>
      <c r="C88" s="2" t="s">
        <v>154</v>
      </c>
      <c r="D88" s="3">
        <v>1</v>
      </c>
      <c r="E88" s="1">
        <v>1</v>
      </c>
      <c r="F88" t="s">
        <v>1668</v>
      </c>
      <c r="G88" t="s">
        <v>1669</v>
      </c>
      <c r="H88" t="s">
        <v>1643</v>
      </c>
      <c r="I88" s="1" t="s">
        <v>1458</v>
      </c>
      <c r="J88" t="s">
        <v>1633</v>
      </c>
      <c r="K88" s="25">
        <f>Tabelle52[[#This Row],[value_present]]*Tabelle52[[#This Row],[binding_level]]</f>
        <v>1</v>
      </c>
    </row>
    <row r="89" spans="1:11" x14ac:dyDescent="0.25">
      <c r="A89" s="24">
        <v>7</v>
      </c>
      <c r="B89" s="2">
        <v>37</v>
      </c>
      <c r="C89" s="2" t="s">
        <v>161</v>
      </c>
      <c r="D89" s="3">
        <v>0</v>
      </c>
      <c r="E89" s="1"/>
      <c r="I89" s="1" t="s">
        <v>1457</v>
      </c>
      <c r="J89" t="s">
        <v>1634</v>
      </c>
      <c r="K89" s="25">
        <f>Tabelle52[[#This Row],[value_present]]*Tabelle52[[#This Row],[binding_level]]</f>
        <v>0</v>
      </c>
    </row>
    <row r="90" spans="1:11" x14ac:dyDescent="0.25">
      <c r="A90" s="24">
        <v>7</v>
      </c>
      <c r="B90" s="2">
        <v>37</v>
      </c>
      <c r="C90" s="2" t="s">
        <v>166</v>
      </c>
      <c r="D90" s="3">
        <v>0</v>
      </c>
      <c r="E90" s="1"/>
      <c r="I90" s="1" t="s">
        <v>1457</v>
      </c>
      <c r="J90" t="s">
        <v>1391</v>
      </c>
      <c r="K90" s="25">
        <f>Tabelle52[[#This Row],[value_present]]*Tabelle52[[#This Row],[binding_level]]</f>
        <v>0</v>
      </c>
    </row>
    <row r="91" spans="1:11" ht="15.75" thickBot="1" x14ac:dyDescent="0.3">
      <c r="A91" s="26">
        <v>7</v>
      </c>
      <c r="B91" s="27">
        <v>37</v>
      </c>
      <c r="C91" s="27" t="s">
        <v>174</v>
      </c>
      <c r="D91" s="28">
        <v>1</v>
      </c>
      <c r="E91" s="29">
        <v>1</v>
      </c>
      <c r="F91" s="30" t="s">
        <v>1670</v>
      </c>
      <c r="G91" s="30" t="s">
        <v>1671</v>
      </c>
      <c r="H91" s="30" t="s">
        <v>1642</v>
      </c>
      <c r="I91" s="29" t="s">
        <v>1458</v>
      </c>
      <c r="J91" s="30" t="s">
        <v>1635</v>
      </c>
      <c r="K91" s="31">
        <f>Tabelle52[[#This Row],[value_present]]*Tabelle52[[#This Row],[binding_level]]</f>
        <v>1</v>
      </c>
    </row>
    <row r="92" spans="1:11" x14ac:dyDescent="0.25">
      <c r="A92" s="18">
        <v>12</v>
      </c>
      <c r="B92" s="19">
        <v>62</v>
      </c>
      <c r="C92" s="19" t="s">
        <v>53</v>
      </c>
      <c r="D92" s="20">
        <v>1</v>
      </c>
      <c r="E92" s="21">
        <v>1</v>
      </c>
      <c r="F92" s="22" t="s">
        <v>1730</v>
      </c>
      <c r="G92" s="22" t="s">
        <v>1731</v>
      </c>
      <c r="H92" s="22" t="s">
        <v>1722</v>
      </c>
      <c r="I92" s="21" t="s">
        <v>1457</v>
      </c>
      <c r="J92" s="22" t="s">
        <v>1705</v>
      </c>
      <c r="K92" s="23">
        <f>Tabelle52[[#This Row],[value_present]]*Tabelle52[[#This Row],[binding_level]]</f>
        <v>1</v>
      </c>
    </row>
    <row r="93" spans="1:11" x14ac:dyDescent="0.25">
      <c r="A93" s="24">
        <v>12</v>
      </c>
      <c r="B93" s="2">
        <v>62</v>
      </c>
      <c r="C93" s="2" t="s">
        <v>61</v>
      </c>
      <c r="D93" s="3">
        <v>1</v>
      </c>
      <c r="E93" s="1">
        <v>1</v>
      </c>
      <c r="F93" t="s">
        <v>1732</v>
      </c>
      <c r="G93" t="s">
        <v>1733</v>
      </c>
      <c r="H93" t="s">
        <v>1723</v>
      </c>
      <c r="I93" s="1" t="s">
        <v>1457</v>
      </c>
      <c r="J93" t="s">
        <v>1706</v>
      </c>
      <c r="K93" s="25">
        <f>Tabelle52[[#This Row],[value_present]]*Tabelle52[[#This Row],[binding_level]]</f>
        <v>1</v>
      </c>
    </row>
    <row r="94" spans="1:11" x14ac:dyDescent="0.25">
      <c r="A94" s="24">
        <v>12</v>
      </c>
      <c r="B94" s="2">
        <v>62</v>
      </c>
      <c r="C94" s="2" t="s">
        <v>69</v>
      </c>
      <c r="D94" s="3">
        <v>1</v>
      </c>
      <c r="E94" s="1">
        <v>1</v>
      </c>
      <c r="F94" t="s">
        <v>1734</v>
      </c>
      <c r="G94" t="s">
        <v>1735</v>
      </c>
      <c r="H94" t="s">
        <v>1724</v>
      </c>
      <c r="I94" s="1" t="s">
        <v>1457</v>
      </c>
      <c r="J94" t="s">
        <v>1707</v>
      </c>
      <c r="K94" s="25">
        <f>Tabelle52[[#This Row],[value_present]]*Tabelle52[[#This Row],[binding_level]]</f>
        <v>1</v>
      </c>
    </row>
    <row r="95" spans="1:11" x14ac:dyDescent="0.25">
      <c r="A95" s="24">
        <v>12</v>
      </c>
      <c r="B95" s="2">
        <v>62</v>
      </c>
      <c r="C95" s="2" t="s">
        <v>76</v>
      </c>
      <c r="D95" s="3">
        <v>1</v>
      </c>
      <c r="E95" s="1">
        <v>1</v>
      </c>
      <c r="F95" t="s">
        <v>1738</v>
      </c>
      <c r="G95" t="s">
        <v>1739</v>
      </c>
      <c r="H95" t="s">
        <v>1724</v>
      </c>
      <c r="I95" s="1" t="s">
        <v>1457</v>
      </c>
      <c r="J95" t="s">
        <v>1708</v>
      </c>
      <c r="K95" s="25">
        <f>Tabelle52[[#This Row],[value_present]]*Tabelle52[[#This Row],[binding_level]]</f>
        <v>1</v>
      </c>
    </row>
    <row r="96" spans="1:11" x14ac:dyDescent="0.25">
      <c r="A96" s="24">
        <v>12</v>
      </c>
      <c r="B96" s="2">
        <v>62</v>
      </c>
      <c r="C96" s="2" t="s">
        <v>83</v>
      </c>
      <c r="D96" s="3">
        <v>1</v>
      </c>
      <c r="E96" s="1">
        <v>1</v>
      </c>
      <c r="F96" t="s">
        <v>1736</v>
      </c>
      <c r="G96" t="s">
        <v>1737</v>
      </c>
      <c r="H96" t="s">
        <v>1725</v>
      </c>
      <c r="I96" s="1" t="s">
        <v>1457</v>
      </c>
      <c r="J96" t="s">
        <v>1709</v>
      </c>
      <c r="K96" s="25">
        <f>Tabelle52[[#This Row],[value_present]]*Tabelle52[[#This Row],[binding_level]]</f>
        <v>1</v>
      </c>
    </row>
    <row r="97" spans="1:11" x14ac:dyDescent="0.25">
      <c r="A97" s="24">
        <v>12</v>
      </c>
      <c r="B97" s="2">
        <v>62</v>
      </c>
      <c r="C97" s="2" t="s">
        <v>90</v>
      </c>
      <c r="D97" s="3">
        <v>1</v>
      </c>
      <c r="E97" s="1">
        <v>1</v>
      </c>
      <c r="F97" t="s">
        <v>1740</v>
      </c>
      <c r="G97" t="s">
        <v>1741</v>
      </c>
      <c r="H97" t="s">
        <v>1726</v>
      </c>
      <c r="I97" s="1" t="s">
        <v>1457</v>
      </c>
      <c r="J97" t="s">
        <v>1710</v>
      </c>
      <c r="K97" s="25">
        <f>Tabelle52[[#This Row],[value_present]]*Tabelle52[[#This Row],[binding_level]]</f>
        <v>1</v>
      </c>
    </row>
    <row r="98" spans="1:11" x14ac:dyDescent="0.25">
      <c r="A98" s="24">
        <v>12</v>
      </c>
      <c r="B98" s="2">
        <v>62</v>
      </c>
      <c r="C98" s="2" t="s">
        <v>98</v>
      </c>
      <c r="D98" s="3">
        <v>1</v>
      </c>
      <c r="E98" s="1">
        <v>1</v>
      </c>
      <c r="F98" t="s">
        <v>1742</v>
      </c>
      <c r="G98" t="s">
        <v>1743</v>
      </c>
      <c r="H98" t="s">
        <v>1727</v>
      </c>
      <c r="I98" s="1" t="s">
        <v>1457</v>
      </c>
      <c r="J98" t="s">
        <v>1711</v>
      </c>
      <c r="K98" s="25">
        <f>Tabelle52[[#This Row],[value_present]]*Tabelle52[[#This Row],[binding_level]]</f>
        <v>1</v>
      </c>
    </row>
    <row r="99" spans="1:11" x14ac:dyDescent="0.25">
      <c r="A99" s="24">
        <v>12</v>
      </c>
      <c r="B99" s="2">
        <v>62</v>
      </c>
      <c r="C99" s="2" t="s">
        <v>106</v>
      </c>
      <c r="D99" s="3">
        <v>1</v>
      </c>
      <c r="E99" s="1">
        <v>1</v>
      </c>
      <c r="F99" t="s">
        <v>1744</v>
      </c>
      <c r="G99" t="s">
        <v>1745</v>
      </c>
      <c r="H99" t="s">
        <v>1727</v>
      </c>
      <c r="I99" s="1" t="s">
        <v>1458</v>
      </c>
      <c r="J99" t="s">
        <v>1712</v>
      </c>
      <c r="K99" s="25">
        <f>Tabelle52[[#This Row],[value_present]]*Tabelle52[[#This Row],[binding_level]]</f>
        <v>1</v>
      </c>
    </row>
    <row r="100" spans="1:11" x14ac:dyDescent="0.25">
      <c r="A100" s="24">
        <v>12</v>
      </c>
      <c r="B100" s="2">
        <v>62</v>
      </c>
      <c r="C100" s="2" t="s">
        <v>112</v>
      </c>
      <c r="D100" s="3">
        <v>1</v>
      </c>
      <c r="E100" s="1">
        <v>1</v>
      </c>
      <c r="F100" t="s">
        <v>1746</v>
      </c>
      <c r="G100" t="s">
        <v>1747</v>
      </c>
      <c r="H100" t="s">
        <v>1727</v>
      </c>
      <c r="I100" s="1" t="s">
        <v>1457</v>
      </c>
      <c r="J100" t="s">
        <v>1713</v>
      </c>
      <c r="K100" s="25">
        <f>Tabelle52[[#This Row],[value_present]]*Tabelle52[[#This Row],[binding_level]]</f>
        <v>1</v>
      </c>
    </row>
    <row r="101" spans="1:11" x14ac:dyDescent="0.25">
      <c r="A101" s="24">
        <v>12</v>
      </c>
      <c r="B101" s="2">
        <v>62</v>
      </c>
      <c r="C101" s="2" t="s">
        <v>118</v>
      </c>
      <c r="D101" s="3">
        <v>0</v>
      </c>
      <c r="E101" s="1"/>
      <c r="I101" s="1" t="s">
        <v>1457</v>
      </c>
      <c r="J101" t="s">
        <v>1714</v>
      </c>
      <c r="K101" s="25">
        <f>Tabelle52[[#This Row],[value_present]]*Tabelle52[[#This Row],[binding_level]]</f>
        <v>0</v>
      </c>
    </row>
    <row r="102" spans="1:11" x14ac:dyDescent="0.25">
      <c r="A102" s="24">
        <v>12</v>
      </c>
      <c r="B102" s="2">
        <v>62</v>
      </c>
      <c r="C102" s="2" t="s">
        <v>125</v>
      </c>
      <c r="D102" s="3">
        <v>1</v>
      </c>
      <c r="E102" s="1">
        <v>1</v>
      </c>
      <c r="F102" t="s">
        <v>1748</v>
      </c>
      <c r="G102" t="s">
        <v>1749</v>
      </c>
      <c r="H102" t="s">
        <v>1725</v>
      </c>
      <c r="I102" s="1" t="s">
        <v>1458</v>
      </c>
      <c r="J102" t="s">
        <v>1715</v>
      </c>
      <c r="K102" s="25">
        <f>Tabelle52[[#This Row],[value_present]]*Tabelle52[[#This Row],[binding_level]]</f>
        <v>1</v>
      </c>
    </row>
    <row r="103" spans="1:11" x14ac:dyDescent="0.25">
      <c r="A103" s="24">
        <v>12</v>
      </c>
      <c r="B103" s="2">
        <v>62</v>
      </c>
      <c r="C103" s="2" t="s">
        <v>132</v>
      </c>
      <c r="D103" s="3">
        <v>0</v>
      </c>
      <c r="E103" s="1"/>
      <c r="I103" s="1" t="s">
        <v>1457</v>
      </c>
      <c r="J103" t="s">
        <v>1714</v>
      </c>
      <c r="K103" s="25">
        <f>Tabelle52[[#This Row],[value_present]]*Tabelle52[[#This Row],[binding_level]]</f>
        <v>0</v>
      </c>
    </row>
    <row r="104" spans="1:11" x14ac:dyDescent="0.25">
      <c r="A104" s="24">
        <v>12</v>
      </c>
      <c r="B104" s="2">
        <v>62</v>
      </c>
      <c r="C104" s="2" t="s">
        <v>140</v>
      </c>
      <c r="D104" s="3">
        <v>0</v>
      </c>
      <c r="E104" s="1"/>
      <c r="I104" s="1" t="s">
        <v>1458</v>
      </c>
      <c r="J104" t="s">
        <v>1716</v>
      </c>
      <c r="K104" s="25">
        <f>Tabelle52[[#This Row],[value_present]]*Tabelle52[[#This Row],[binding_level]]</f>
        <v>0</v>
      </c>
    </row>
    <row r="105" spans="1:11" x14ac:dyDescent="0.25">
      <c r="A105" s="24">
        <v>12</v>
      </c>
      <c r="B105" s="2">
        <v>62</v>
      </c>
      <c r="C105" s="2" t="s">
        <v>147</v>
      </c>
      <c r="D105" s="3">
        <v>1</v>
      </c>
      <c r="E105" s="1">
        <v>2</v>
      </c>
      <c r="F105" t="s">
        <v>1750</v>
      </c>
      <c r="G105" t="s">
        <v>1751</v>
      </c>
      <c r="H105" t="s">
        <v>1728</v>
      </c>
      <c r="I105" s="1" t="s">
        <v>1457</v>
      </c>
      <c r="J105" t="s">
        <v>1717</v>
      </c>
      <c r="K105" s="25">
        <f>Tabelle52[[#This Row],[value_present]]*Tabelle52[[#This Row],[binding_level]]</f>
        <v>2</v>
      </c>
    </row>
    <row r="106" spans="1:11" x14ac:dyDescent="0.25">
      <c r="A106" s="24">
        <v>12</v>
      </c>
      <c r="B106" s="2">
        <v>62</v>
      </c>
      <c r="C106" s="2" t="s">
        <v>154</v>
      </c>
      <c r="D106" s="3">
        <v>1</v>
      </c>
      <c r="E106" s="1">
        <v>1</v>
      </c>
      <c r="F106" t="s">
        <v>1752</v>
      </c>
      <c r="G106" t="s">
        <v>1753</v>
      </c>
      <c r="H106" t="s">
        <v>1729</v>
      </c>
      <c r="I106" s="1" t="s">
        <v>1457</v>
      </c>
      <c r="J106" t="s">
        <v>1718</v>
      </c>
      <c r="K106" s="25">
        <f>Tabelle52[[#This Row],[value_present]]*Tabelle52[[#This Row],[binding_level]]</f>
        <v>1</v>
      </c>
    </row>
    <row r="107" spans="1:11" x14ac:dyDescent="0.25">
      <c r="A107" s="24">
        <v>12</v>
      </c>
      <c r="B107" s="2">
        <v>62</v>
      </c>
      <c r="C107" s="2" t="s">
        <v>161</v>
      </c>
      <c r="D107" s="3">
        <v>0</v>
      </c>
      <c r="E107" s="1"/>
      <c r="I107" s="1" t="s">
        <v>1457</v>
      </c>
      <c r="J107" t="s">
        <v>1719</v>
      </c>
      <c r="K107" s="25">
        <f>Tabelle52[[#This Row],[value_present]]*Tabelle52[[#This Row],[binding_level]]</f>
        <v>0</v>
      </c>
    </row>
    <row r="108" spans="1:11" x14ac:dyDescent="0.25">
      <c r="A108" s="24">
        <v>12</v>
      </c>
      <c r="B108" s="2">
        <v>62</v>
      </c>
      <c r="C108" s="2" t="s">
        <v>166</v>
      </c>
      <c r="D108" s="3">
        <v>0</v>
      </c>
      <c r="E108" s="1"/>
      <c r="I108" s="1" t="s">
        <v>1457</v>
      </c>
      <c r="J108" t="s">
        <v>1720</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1457</v>
      </c>
      <c r="J109" s="30" t="s">
        <v>1721</v>
      </c>
      <c r="K109" s="31">
        <f>Tabelle52[[#This Row],[value_present]]*Tabelle52[[#This Row],[binding_level]]</f>
        <v>0</v>
      </c>
    </row>
    <row r="110" spans="1:11" x14ac:dyDescent="0.25">
      <c r="A110" s="18">
        <v>15</v>
      </c>
      <c r="B110" s="19">
        <v>86</v>
      </c>
      <c r="C110" s="19" t="s">
        <v>53</v>
      </c>
      <c r="D110" s="20">
        <v>1</v>
      </c>
      <c r="E110" s="21">
        <v>2</v>
      </c>
      <c r="F110" t="s">
        <v>1806</v>
      </c>
      <c r="G110" s="22" t="s">
        <v>1807</v>
      </c>
      <c r="H110" s="22" t="s">
        <v>1793</v>
      </c>
      <c r="I110" s="21" t="s">
        <v>1458</v>
      </c>
      <c r="J110" s="22" t="s">
        <v>1780</v>
      </c>
      <c r="K110" s="23">
        <f>Tabelle52[[#This Row],[value_present]]*Tabelle52[[#This Row],[binding_level]]</f>
        <v>2</v>
      </c>
    </row>
    <row r="111" spans="1:11" x14ac:dyDescent="0.25">
      <c r="A111" s="24">
        <v>15</v>
      </c>
      <c r="B111" s="2">
        <v>86</v>
      </c>
      <c r="C111" s="2" t="s">
        <v>61</v>
      </c>
      <c r="D111" s="3">
        <v>1</v>
      </c>
      <c r="E111" s="1">
        <v>2</v>
      </c>
      <c r="F111" t="s">
        <v>1808</v>
      </c>
      <c r="G111" t="s">
        <v>1809</v>
      </c>
      <c r="H111" t="s">
        <v>1794</v>
      </c>
      <c r="I111" s="1" t="s">
        <v>1457</v>
      </c>
      <c r="J111" t="s">
        <v>1781</v>
      </c>
      <c r="K111" s="25">
        <f>Tabelle52[[#This Row],[value_present]]*Tabelle52[[#This Row],[binding_level]]</f>
        <v>2</v>
      </c>
    </row>
    <row r="112" spans="1:11" x14ac:dyDescent="0.25">
      <c r="A112" s="24">
        <v>15</v>
      </c>
      <c r="B112" s="2">
        <v>86</v>
      </c>
      <c r="C112" s="2" t="s">
        <v>69</v>
      </c>
      <c r="D112" s="3">
        <v>1</v>
      </c>
      <c r="E112" s="1">
        <v>2</v>
      </c>
      <c r="F112" t="s">
        <v>1810</v>
      </c>
      <c r="G112" t="s">
        <v>1811</v>
      </c>
      <c r="H112" t="s">
        <v>1795</v>
      </c>
      <c r="I112" s="1" t="s">
        <v>1457</v>
      </c>
      <c r="J112" t="s">
        <v>1782</v>
      </c>
      <c r="K112" s="25">
        <f>Tabelle52[[#This Row],[value_present]]*Tabelle52[[#This Row],[binding_level]]</f>
        <v>2</v>
      </c>
    </row>
    <row r="113" spans="1:11" x14ac:dyDescent="0.25">
      <c r="A113" s="24">
        <v>15</v>
      </c>
      <c r="B113" s="2">
        <v>86</v>
      </c>
      <c r="C113" s="2" t="s">
        <v>76</v>
      </c>
      <c r="D113" s="3">
        <v>1</v>
      </c>
      <c r="E113" s="1">
        <v>1</v>
      </c>
      <c r="F113" t="s">
        <v>1812</v>
      </c>
      <c r="G113" t="s">
        <v>1813</v>
      </c>
      <c r="H113" t="s">
        <v>1796</v>
      </c>
      <c r="I113" s="1" t="s">
        <v>1458</v>
      </c>
      <c r="J113" t="s">
        <v>1783</v>
      </c>
      <c r="K113" s="25">
        <f>Tabelle52[[#This Row],[value_present]]*Tabelle52[[#This Row],[binding_level]]</f>
        <v>1</v>
      </c>
    </row>
    <row r="114" spans="1:11" x14ac:dyDescent="0.25">
      <c r="A114" s="24">
        <v>15</v>
      </c>
      <c r="B114" s="2">
        <v>86</v>
      </c>
      <c r="C114" s="2" t="s">
        <v>83</v>
      </c>
      <c r="D114" s="3">
        <v>1</v>
      </c>
      <c r="E114" s="1">
        <v>1</v>
      </c>
      <c r="F114" t="s">
        <v>1814</v>
      </c>
      <c r="G114" t="s">
        <v>1816</v>
      </c>
      <c r="H114" t="s">
        <v>1797</v>
      </c>
      <c r="I114" s="1" t="s">
        <v>1458</v>
      </c>
      <c r="J114" t="s">
        <v>1784</v>
      </c>
      <c r="K114" s="25">
        <f>Tabelle52[[#This Row],[value_present]]*Tabelle52[[#This Row],[binding_level]]</f>
        <v>1</v>
      </c>
    </row>
    <row r="115" spans="1:11" x14ac:dyDescent="0.25">
      <c r="A115" s="24">
        <v>15</v>
      </c>
      <c r="B115" s="2">
        <v>86</v>
      </c>
      <c r="C115" s="2" t="s">
        <v>90</v>
      </c>
      <c r="D115" s="3">
        <v>1</v>
      </c>
      <c r="E115" s="1">
        <v>2</v>
      </c>
      <c r="F115" t="s">
        <v>1817</v>
      </c>
      <c r="G115" t="s">
        <v>1818</v>
      </c>
      <c r="H115" t="s">
        <v>1798</v>
      </c>
      <c r="I115" s="1" t="s">
        <v>1457</v>
      </c>
      <c r="J115" t="s">
        <v>1785</v>
      </c>
      <c r="K115" s="25">
        <f>Tabelle52[[#This Row],[value_present]]*Tabelle52[[#This Row],[binding_level]]</f>
        <v>2</v>
      </c>
    </row>
    <row r="116" spans="1:11" x14ac:dyDescent="0.25">
      <c r="A116" s="24">
        <v>15</v>
      </c>
      <c r="B116" s="2">
        <v>86</v>
      </c>
      <c r="C116" s="2" t="s">
        <v>98</v>
      </c>
      <c r="D116" s="3">
        <v>1</v>
      </c>
      <c r="E116" s="1">
        <v>2</v>
      </c>
      <c r="F116" t="s">
        <v>1819</v>
      </c>
      <c r="G116" t="s">
        <v>1820</v>
      </c>
      <c r="H116" t="s">
        <v>1799</v>
      </c>
      <c r="I116" s="1" t="s">
        <v>1457</v>
      </c>
      <c r="J116" t="s">
        <v>1786</v>
      </c>
      <c r="K116" s="25">
        <f>Tabelle52[[#This Row],[value_present]]*Tabelle52[[#This Row],[binding_level]]</f>
        <v>2</v>
      </c>
    </row>
    <row r="117" spans="1:11" x14ac:dyDescent="0.25">
      <c r="A117" s="24">
        <v>15</v>
      </c>
      <c r="B117" s="2">
        <v>86</v>
      </c>
      <c r="C117" s="2" t="s">
        <v>106</v>
      </c>
      <c r="D117" s="3">
        <v>1</v>
      </c>
      <c r="E117" s="1">
        <v>2</v>
      </c>
      <c r="F117" t="s">
        <v>1821</v>
      </c>
      <c r="G117" t="s">
        <v>1822</v>
      </c>
      <c r="H117" t="s">
        <v>1800</v>
      </c>
      <c r="I117" s="1" t="s">
        <v>1458</v>
      </c>
      <c r="J117" t="s">
        <v>1787</v>
      </c>
      <c r="K117" s="25">
        <f>Tabelle52[[#This Row],[value_present]]*Tabelle52[[#This Row],[binding_level]]</f>
        <v>2</v>
      </c>
    </row>
    <row r="118" spans="1:11" x14ac:dyDescent="0.25">
      <c r="A118" s="24">
        <v>15</v>
      </c>
      <c r="B118" s="2">
        <v>86</v>
      </c>
      <c r="C118" s="2" t="s">
        <v>112</v>
      </c>
      <c r="D118" s="3">
        <v>1</v>
      </c>
      <c r="E118" s="1">
        <v>2</v>
      </c>
      <c r="F118" t="s">
        <v>1823</v>
      </c>
      <c r="G118" t="s">
        <v>1824</v>
      </c>
      <c r="H118" t="s">
        <v>1801</v>
      </c>
      <c r="I118" s="1" t="s">
        <v>1458</v>
      </c>
      <c r="J118" t="s">
        <v>1788</v>
      </c>
      <c r="K118" s="25">
        <f>Tabelle52[[#This Row],[value_present]]*Tabelle52[[#This Row],[binding_level]]</f>
        <v>2</v>
      </c>
    </row>
    <row r="119" spans="1:11" x14ac:dyDescent="0.25">
      <c r="A119" s="24">
        <v>15</v>
      </c>
      <c r="B119" s="2">
        <v>86</v>
      </c>
      <c r="C119" s="2" t="s">
        <v>118</v>
      </c>
      <c r="D119" s="3">
        <v>0</v>
      </c>
      <c r="E119" s="1"/>
      <c r="I119" s="1" t="s">
        <v>1457</v>
      </c>
      <c r="J119" t="s">
        <v>1391</v>
      </c>
      <c r="K119" s="25">
        <f>Tabelle52[[#This Row],[value_present]]*Tabelle52[[#This Row],[binding_level]]</f>
        <v>0</v>
      </c>
    </row>
    <row r="120" spans="1:11" x14ac:dyDescent="0.25">
      <c r="A120" s="24">
        <v>15</v>
      </c>
      <c r="B120" s="2">
        <v>86</v>
      </c>
      <c r="C120" s="2" t="s">
        <v>125</v>
      </c>
      <c r="D120" s="3">
        <v>0</v>
      </c>
      <c r="E120" s="1"/>
      <c r="I120" s="1" t="s">
        <v>1457</v>
      </c>
      <c r="J120" t="s">
        <v>1391</v>
      </c>
      <c r="K120" s="25">
        <f>Tabelle52[[#This Row],[value_present]]*Tabelle52[[#This Row],[binding_level]]</f>
        <v>0</v>
      </c>
    </row>
    <row r="121" spans="1:11" x14ac:dyDescent="0.25">
      <c r="A121" s="24">
        <v>15</v>
      </c>
      <c r="B121" s="2">
        <v>86</v>
      </c>
      <c r="C121" s="2" t="s">
        <v>132</v>
      </c>
      <c r="D121" s="3">
        <v>0</v>
      </c>
      <c r="E121" s="1"/>
      <c r="I121" s="1" t="s">
        <v>1457</v>
      </c>
      <c r="J121" t="s">
        <v>1391</v>
      </c>
      <c r="K121" s="25">
        <f>Tabelle52[[#This Row],[value_present]]*Tabelle52[[#This Row],[binding_level]]</f>
        <v>0</v>
      </c>
    </row>
    <row r="122" spans="1:11" x14ac:dyDescent="0.25">
      <c r="A122" s="24">
        <v>15</v>
      </c>
      <c r="B122" s="2">
        <v>86</v>
      </c>
      <c r="C122" s="2" t="s">
        <v>140</v>
      </c>
      <c r="D122" s="3">
        <v>1</v>
      </c>
      <c r="E122" s="1">
        <v>1</v>
      </c>
      <c r="F122" t="s">
        <v>1825</v>
      </c>
      <c r="G122" t="s">
        <v>1826</v>
      </c>
      <c r="H122" t="s">
        <v>1802</v>
      </c>
      <c r="I122" s="1" t="s">
        <v>1458</v>
      </c>
      <c r="J122" t="s">
        <v>1789</v>
      </c>
      <c r="K122" s="25">
        <f>Tabelle52[[#This Row],[value_present]]*Tabelle52[[#This Row],[binding_level]]</f>
        <v>1</v>
      </c>
    </row>
    <row r="123" spans="1:11" x14ac:dyDescent="0.25">
      <c r="A123" s="24">
        <v>15</v>
      </c>
      <c r="B123" s="2">
        <v>86</v>
      </c>
      <c r="C123" s="2" t="s">
        <v>147</v>
      </c>
      <c r="D123" s="3">
        <v>1</v>
      </c>
      <c r="E123" s="1">
        <v>2</v>
      </c>
      <c r="F123" t="s">
        <v>1827</v>
      </c>
      <c r="G123" t="s">
        <v>1828</v>
      </c>
      <c r="H123" t="s">
        <v>1803</v>
      </c>
      <c r="I123" s="1" t="s">
        <v>1457</v>
      </c>
      <c r="J123" t="s">
        <v>1790</v>
      </c>
      <c r="K123" s="25">
        <f>Tabelle52[[#This Row],[value_present]]*Tabelle52[[#This Row],[binding_level]]</f>
        <v>2</v>
      </c>
    </row>
    <row r="124" spans="1:11" x14ac:dyDescent="0.25">
      <c r="A124" s="24">
        <v>15</v>
      </c>
      <c r="B124" s="2">
        <v>86</v>
      </c>
      <c r="C124" s="2" t="s">
        <v>154</v>
      </c>
      <c r="D124" s="3">
        <v>1</v>
      </c>
      <c r="E124" s="1">
        <v>1</v>
      </c>
      <c r="F124" t="s">
        <v>1829</v>
      </c>
      <c r="G124" t="s">
        <v>1830</v>
      </c>
      <c r="H124" t="s">
        <v>1804</v>
      </c>
      <c r="I124" s="1" t="s">
        <v>1457</v>
      </c>
      <c r="J124" t="s">
        <v>1791</v>
      </c>
      <c r="K124" s="25">
        <f>Tabelle52[[#This Row],[value_present]]*Tabelle52[[#This Row],[binding_level]]</f>
        <v>1</v>
      </c>
    </row>
    <row r="125" spans="1:11" x14ac:dyDescent="0.25">
      <c r="A125" s="24">
        <v>15</v>
      </c>
      <c r="B125" s="2">
        <v>86</v>
      </c>
      <c r="C125" s="2" t="s">
        <v>161</v>
      </c>
      <c r="D125" s="3">
        <v>1</v>
      </c>
      <c r="E125" s="1">
        <v>3</v>
      </c>
      <c r="F125" t="s">
        <v>1831</v>
      </c>
      <c r="G125" t="s">
        <v>1832</v>
      </c>
      <c r="H125" t="s">
        <v>1805</v>
      </c>
      <c r="I125" s="1" t="s">
        <v>1458</v>
      </c>
      <c r="J125" t="s">
        <v>1792</v>
      </c>
      <c r="K125" s="25">
        <f>Tabelle52[[#This Row],[value_present]]*Tabelle52[[#This Row],[binding_level]]</f>
        <v>3</v>
      </c>
    </row>
    <row r="126" spans="1:11" x14ac:dyDescent="0.25">
      <c r="A126" s="24">
        <v>15</v>
      </c>
      <c r="B126" s="2">
        <v>86</v>
      </c>
      <c r="C126" s="2" t="s">
        <v>166</v>
      </c>
      <c r="D126" s="3">
        <v>0</v>
      </c>
      <c r="E126" s="1"/>
      <c r="I126" s="1" t="s">
        <v>1457</v>
      </c>
      <c r="J126" t="s">
        <v>1391</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1457</v>
      </c>
      <c r="J127" s="30" t="s">
        <v>1391</v>
      </c>
      <c r="K127" s="31">
        <f>Tabelle52[[#This Row],[value_present]]*Tabelle52[[#This Row],[binding_level]]</f>
        <v>0</v>
      </c>
    </row>
    <row r="128" spans="1:11" x14ac:dyDescent="0.25">
      <c r="A128" s="18">
        <v>32</v>
      </c>
      <c r="B128" s="19">
        <v>188</v>
      </c>
      <c r="C128" s="19" t="s">
        <v>53</v>
      </c>
      <c r="D128" s="20">
        <v>1</v>
      </c>
      <c r="E128" s="21">
        <v>3</v>
      </c>
      <c r="F128" t="s">
        <v>1899</v>
      </c>
      <c r="G128" s="22" t="s">
        <v>1900</v>
      </c>
      <c r="H128" s="22" t="s">
        <v>1883</v>
      </c>
      <c r="I128" s="1" t="s">
        <v>1457</v>
      </c>
      <c r="J128" t="s">
        <v>1867</v>
      </c>
      <c r="K128" s="23">
        <f>Tabelle52[[#This Row],[value_present]]*Tabelle52[[#This Row],[binding_level]]</f>
        <v>3</v>
      </c>
    </row>
    <row r="129" spans="1:11" x14ac:dyDescent="0.25">
      <c r="A129" s="24">
        <v>32</v>
      </c>
      <c r="B129" s="2">
        <v>188</v>
      </c>
      <c r="C129" s="2" t="s">
        <v>61</v>
      </c>
      <c r="D129" s="3">
        <v>1</v>
      </c>
      <c r="E129" s="1">
        <v>2</v>
      </c>
      <c r="F129" t="s">
        <v>1901</v>
      </c>
      <c r="G129" t="s">
        <v>1902</v>
      </c>
      <c r="H129" t="s">
        <v>1884</v>
      </c>
      <c r="I129" s="1" t="s">
        <v>1457</v>
      </c>
      <c r="J129" t="s">
        <v>1868</v>
      </c>
      <c r="K129" s="25">
        <f>Tabelle52[[#This Row],[value_present]]*Tabelle52[[#This Row],[binding_level]]</f>
        <v>2</v>
      </c>
    </row>
    <row r="130" spans="1:11" x14ac:dyDescent="0.25">
      <c r="A130" s="24">
        <v>32</v>
      </c>
      <c r="B130" s="2">
        <v>188</v>
      </c>
      <c r="C130" s="2" t="s">
        <v>69</v>
      </c>
      <c r="D130" s="3">
        <v>1</v>
      </c>
      <c r="E130" s="1">
        <v>3</v>
      </c>
      <c r="F130" t="s">
        <v>1903</v>
      </c>
      <c r="G130" t="s">
        <v>1904</v>
      </c>
      <c r="H130" t="s">
        <v>1885</v>
      </c>
      <c r="I130" s="1" t="s">
        <v>1457</v>
      </c>
      <c r="J130" t="s">
        <v>1869</v>
      </c>
      <c r="K130" s="25">
        <f>Tabelle52[[#This Row],[value_present]]*Tabelle52[[#This Row],[binding_level]]</f>
        <v>3</v>
      </c>
    </row>
    <row r="131" spans="1:11" x14ac:dyDescent="0.25">
      <c r="A131" s="24">
        <v>32</v>
      </c>
      <c r="B131" s="2">
        <v>188</v>
      </c>
      <c r="C131" s="2" t="s">
        <v>76</v>
      </c>
      <c r="D131" s="3">
        <v>1</v>
      </c>
      <c r="E131" s="1">
        <v>2</v>
      </c>
      <c r="F131" t="s">
        <v>1905</v>
      </c>
      <c r="G131" t="s">
        <v>1906</v>
      </c>
      <c r="H131" t="s">
        <v>1886</v>
      </c>
      <c r="I131" s="1" t="s">
        <v>1457</v>
      </c>
      <c r="J131" t="s">
        <v>1870</v>
      </c>
      <c r="K131" s="25">
        <f>Tabelle52[[#This Row],[value_present]]*Tabelle52[[#This Row],[binding_level]]</f>
        <v>2</v>
      </c>
    </row>
    <row r="132" spans="1:11" x14ac:dyDescent="0.25">
      <c r="A132" s="24">
        <v>32</v>
      </c>
      <c r="B132" s="2">
        <v>188</v>
      </c>
      <c r="C132" s="2" t="s">
        <v>83</v>
      </c>
      <c r="D132" s="3">
        <v>1</v>
      </c>
      <c r="E132" s="1">
        <v>3</v>
      </c>
      <c r="F132" t="s">
        <v>1907</v>
      </c>
      <c r="G132" t="s">
        <v>1908</v>
      </c>
      <c r="H132" t="s">
        <v>1887</v>
      </c>
      <c r="I132" s="1" t="s">
        <v>1457</v>
      </c>
      <c r="J132" t="s">
        <v>1871</v>
      </c>
      <c r="K132" s="25">
        <f>Tabelle52[[#This Row],[value_present]]*Tabelle52[[#This Row],[binding_level]]</f>
        <v>3</v>
      </c>
    </row>
    <row r="133" spans="1:11" x14ac:dyDescent="0.25">
      <c r="A133" s="24">
        <v>32</v>
      </c>
      <c r="B133" s="2">
        <v>188</v>
      </c>
      <c r="C133" s="2" t="s">
        <v>90</v>
      </c>
      <c r="D133" s="3">
        <v>1</v>
      </c>
      <c r="E133" s="1">
        <v>2</v>
      </c>
      <c r="F133" t="s">
        <v>1909</v>
      </c>
      <c r="G133" t="s">
        <v>1910</v>
      </c>
      <c r="H133" t="s">
        <v>1888</v>
      </c>
      <c r="I133" s="1" t="s">
        <v>1457</v>
      </c>
      <c r="J133" t="s">
        <v>1872</v>
      </c>
      <c r="K133" s="25">
        <f>Tabelle52[[#This Row],[value_present]]*Tabelle52[[#This Row],[binding_level]]</f>
        <v>2</v>
      </c>
    </row>
    <row r="134" spans="1:11" x14ac:dyDescent="0.25">
      <c r="A134" s="24">
        <v>32</v>
      </c>
      <c r="B134" s="2">
        <v>188</v>
      </c>
      <c r="C134" s="2" t="s">
        <v>98</v>
      </c>
      <c r="D134" s="3">
        <v>1</v>
      </c>
      <c r="E134" s="1">
        <v>2</v>
      </c>
      <c r="F134" t="s">
        <v>1911</v>
      </c>
      <c r="G134" t="s">
        <v>1912</v>
      </c>
      <c r="H134" t="s">
        <v>1889</v>
      </c>
      <c r="I134" s="1" t="s">
        <v>1457</v>
      </c>
      <c r="J134" t="s">
        <v>1873</v>
      </c>
      <c r="K134" s="25">
        <f>Tabelle52[[#This Row],[value_present]]*Tabelle52[[#This Row],[binding_level]]</f>
        <v>2</v>
      </c>
    </row>
    <row r="135" spans="1:11" x14ac:dyDescent="0.25">
      <c r="A135" s="24">
        <v>32</v>
      </c>
      <c r="B135" s="2">
        <v>188</v>
      </c>
      <c r="C135" s="2" t="s">
        <v>106</v>
      </c>
      <c r="D135" s="3">
        <v>1</v>
      </c>
      <c r="E135" s="1">
        <v>3</v>
      </c>
      <c r="F135" t="s">
        <v>1913</v>
      </c>
      <c r="G135" t="s">
        <v>1914</v>
      </c>
      <c r="H135" t="s">
        <v>1890</v>
      </c>
      <c r="I135" s="1" t="s">
        <v>1457</v>
      </c>
      <c r="J135" t="s">
        <v>1874</v>
      </c>
      <c r="K135" s="25">
        <f>Tabelle52[[#This Row],[value_present]]*Tabelle52[[#This Row],[binding_level]]</f>
        <v>3</v>
      </c>
    </row>
    <row r="136" spans="1:11" x14ac:dyDescent="0.25">
      <c r="A136" s="24">
        <v>32</v>
      </c>
      <c r="B136" s="2">
        <v>188</v>
      </c>
      <c r="C136" s="2" t="s">
        <v>112</v>
      </c>
      <c r="D136" s="3">
        <v>1</v>
      </c>
      <c r="E136" s="1">
        <v>3</v>
      </c>
      <c r="F136" t="s">
        <v>1915</v>
      </c>
      <c r="G136" t="s">
        <v>1916</v>
      </c>
      <c r="H136" t="s">
        <v>1891</v>
      </c>
      <c r="I136" s="1" t="s">
        <v>1458</v>
      </c>
      <c r="J136" t="s">
        <v>1875</v>
      </c>
      <c r="K136" s="25">
        <f>Tabelle52[[#This Row],[value_present]]*Tabelle52[[#This Row],[binding_level]]</f>
        <v>3</v>
      </c>
    </row>
    <row r="137" spans="1:11" x14ac:dyDescent="0.25">
      <c r="A137" s="24">
        <v>32</v>
      </c>
      <c r="B137" s="2">
        <v>188</v>
      </c>
      <c r="C137" s="2" t="s">
        <v>118</v>
      </c>
      <c r="D137" s="3">
        <v>1</v>
      </c>
      <c r="E137" s="1">
        <v>3</v>
      </c>
      <c r="F137" t="s">
        <v>1917</v>
      </c>
      <c r="H137" t="s">
        <v>1894</v>
      </c>
      <c r="I137" s="1" t="s">
        <v>1458</v>
      </c>
      <c r="J137" t="s">
        <v>1876</v>
      </c>
      <c r="K137" s="25">
        <f>Tabelle52[[#This Row],[value_present]]*Tabelle52[[#This Row],[binding_level]]</f>
        <v>3</v>
      </c>
    </row>
    <row r="138" spans="1:11" x14ac:dyDescent="0.25">
      <c r="A138" s="24">
        <v>32</v>
      </c>
      <c r="B138" s="2">
        <v>188</v>
      </c>
      <c r="C138" s="2" t="s">
        <v>125</v>
      </c>
      <c r="D138" s="3">
        <v>1</v>
      </c>
      <c r="E138" s="1">
        <v>2</v>
      </c>
      <c r="F138" t="s">
        <v>1918</v>
      </c>
      <c r="G138" t="s">
        <v>1919</v>
      </c>
      <c r="H138" t="s">
        <v>1892</v>
      </c>
      <c r="I138" s="1" t="s">
        <v>1457</v>
      </c>
      <c r="J138" t="s">
        <v>1877</v>
      </c>
      <c r="K138" s="25">
        <f>Tabelle52[[#This Row],[value_present]]*Tabelle52[[#This Row],[binding_level]]</f>
        <v>2</v>
      </c>
    </row>
    <row r="139" spans="1:11" x14ac:dyDescent="0.25">
      <c r="A139" s="24">
        <v>32</v>
      </c>
      <c r="B139" s="2">
        <v>188</v>
      </c>
      <c r="C139" s="2" t="s">
        <v>132</v>
      </c>
      <c r="D139" s="3">
        <v>1</v>
      </c>
      <c r="E139" s="1">
        <v>2</v>
      </c>
      <c r="F139" t="s">
        <v>1920</v>
      </c>
      <c r="G139" t="s">
        <v>1921</v>
      </c>
      <c r="H139" t="s">
        <v>1893</v>
      </c>
      <c r="I139" s="1" t="s">
        <v>1457</v>
      </c>
      <c r="J139" t="s">
        <v>1878</v>
      </c>
      <c r="K139" s="25">
        <f>Tabelle52[[#This Row],[value_present]]*Tabelle52[[#This Row],[binding_level]]</f>
        <v>2</v>
      </c>
    </row>
    <row r="140" spans="1:11" x14ac:dyDescent="0.25">
      <c r="A140" s="24">
        <v>32</v>
      </c>
      <c r="B140" s="2">
        <v>188</v>
      </c>
      <c r="C140" s="2" t="s">
        <v>140</v>
      </c>
      <c r="D140" s="3">
        <v>0</v>
      </c>
      <c r="E140" s="1"/>
      <c r="I140" s="1" t="s">
        <v>1458</v>
      </c>
      <c r="J140" t="s">
        <v>1391</v>
      </c>
      <c r="K140" s="25">
        <f>Tabelle52[[#This Row],[value_present]]*Tabelle52[[#This Row],[binding_level]]</f>
        <v>0</v>
      </c>
    </row>
    <row r="141" spans="1:11" x14ac:dyDescent="0.25">
      <c r="A141" s="24">
        <v>32</v>
      </c>
      <c r="B141" s="2">
        <v>188</v>
      </c>
      <c r="C141" s="2" t="s">
        <v>147</v>
      </c>
      <c r="D141" s="3">
        <v>1</v>
      </c>
      <c r="E141" s="1">
        <v>2</v>
      </c>
      <c r="F141" t="s">
        <v>1922</v>
      </c>
      <c r="G141" t="s">
        <v>1923</v>
      </c>
      <c r="H141" t="s">
        <v>1895</v>
      </c>
      <c r="I141" s="1"/>
      <c r="J141" t="s">
        <v>1879</v>
      </c>
      <c r="K141" s="25">
        <f>Tabelle52[[#This Row],[value_present]]*Tabelle52[[#This Row],[binding_level]]</f>
        <v>2</v>
      </c>
    </row>
    <row r="142" spans="1:11" x14ac:dyDescent="0.25">
      <c r="A142" s="24">
        <v>32</v>
      </c>
      <c r="B142" s="2">
        <v>188</v>
      </c>
      <c r="C142" s="2" t="s">
        <v>154</v>
      </c>
      <c r="D142" s="3">
        <v>1</v>
      </c>
      <c r="E142" s="1">
        <v>1</v>
      </c>
      <c r="F142" t="s">
        <v>1924</v>
      </c>
      <c r="G142" t="s">
        <v>1925</v>
      </c>
      <c r="H142" t="s">
        <v>1896</v>
      </c>
      <c r="I142" s="1" t="s">
        <v>1457</v>
      </c>
      <c r="J142" t="s">
        <v>1880</v>
      </c>
      <c r="K142" s="25">
        <f>Tabelle52[[#This Row],[value_present]]*Tabelle52[[#This Row],[binding_level]]</f>
        <v>1</v>
      </c>
    </row>
    <row r="143" spans="1:11" x14ac:dyDescent="0.25">
      <c r="A143" s="24">
        <v>32</v>
      </c>
      <c r="B143" s="2">
        <v>188</v>
      </c>
      <c r="C143" s="2" t="s">
        <v>161</v>
      </c>
      <c r="D143" s="3">
        <v>1</v>
      </c>
      <c r="E143" s="1">
        <v>3</v>
      </c>
      <c r="F143" t="s">
        <v>1926</v>
      </c>
      <c r="G143" t="s">
        <v>1927</v>
      </c>
      <c r="H143" t="s">
        <v>1897</v>
      </c>
      <c r="I143" s="1" t="s">
        <v>1458</v>
      </c>
      <c r="J143" t="s">
        <v>1881</v>
      </c>
      <c r="K143" s="25">
        <f>Tabelle52[[#This Row],[value_present]]*Tabelle52[[#This Row],[binding_level]]</f>
        <v>3</v>
      </c>
    </row>
    <row r="144" spans="1:11" x14ac:dyDescent="0.25">
      <c r="A144" s="24">
        <v>32</v>
      </c>
      <c r="B144" s="2">
        <v>188</v>
      </c>
      <c r="C144" s="2" t="s">
        <v>166</v>
      </c>
      <c r="D144" s="3">
        <v>0</v>
      </c>
      <c r="E144" s="1"/>
      <c r="I144" s="1" t="s">
        <v>1457</v>
      </c>
      <c r="J144" t="s">
        <v>1391</v>
      </c>
      <c r="K144" s="25">
        <f>Tabelle52[[#This Row],[value_present]]*Tabelle52[[#This Row],[binding_level]]</f>
        <v>0</v>
      </c>
    </row>
    <row r="145" spans="1:11" ht="15.75" thickBot="1" x14ac:dyDescent="0.3">
      <c r="A145" s="26">
        <v>32</v>
      </c>
      <c r="B145" s="27">
        <v>188</v>
      </c>
      <c r="C145" s="27" t="s">
        <v>174</v>
      </c>
      <c r="D145" s="28">
        <v>1</v>
      </c>
      <c r="E145" s="29">
        <v>3</v>
      </c>
      <c r="F145" s="30" t="s">
        <v>1928</v>
      </c>
      <c r="G145" s="30" t="s">
        <v>1929</v>
      </c>
      <c r="H145" s="30" t="s">
        <v>1898</v>
      </c>
      <c r="I145" s="29" t="s">
        <v>1457</v>
      </c>
      <c r="J145" s="30" t="s">
        <v>1882</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dimension ref="A1:K210"/>
  <sheetViews>
    <sheetView topLeftCell="A33" workbookViewId="0">
      <selection activeCell="I63" sqref="I63"/>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1406</v>
      </c>
      <c r="G2" s="19" t="s">
        <v>1404</v>
      </c>
      <c r="H2" s="22" t="s">
        <v>1407</v>
      </c>
      <c r="I2" s="21" t="s">
        <v>272</v>
      </c>
      <c r="J2" s="32"/>
    </row>
    <row r="3" spans="1:10" x14ac:dyDescent="0.25">
      <c r="A3" s="24">
        <v>3</v>
      </c>
      <c r="B3" s="2">
        <v>16</v>
      </c>
      <c r="C3" s="2" t="s">
        <v>192</v>
      </c>
      <c r="D3" s="2"/>
      <c r="E3" s="3">
        <v>1</v>
      </c>
      <c r="F3" t="s">
        <v>1408</v>
      </c>
      <c r="G3" s="2" t="s">
        <v>1409</v>
      </c>
      <c r="H3" t="s">
        <v>1410</v>
      </c>
      <c r="I3" s="1" t="s">
        <v>273</v>
      </c>
      <c r="J3" s="33"/>
    </row>
    <row r="4" spans="1:10" x14ac:dyDescent="0.25">
      <c r="A4" s="24">
        <v>3</v>
      </c>
      <c r="B4" s="2">
        <v>16</v>
      </c>
      <c r="C4" s="2" t="s">
        <v>198</v>
      </c>
      <c r="D4" s="2"/>
      <c r="E4" s="3">
        <v>2</v>
      </c>
      <c r="F4" t="s">
        <v>1412</v>
      </c>
      <c r="G4" s="2" t="s">
        <v>1388</v>
      </c>
      <c r="H4" t="s">
        <v>1411</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1413</v>
      </c>
      <c r="G6" s="2" t="s">
        <v>1405</v>
      </c>
      <c r="H6" t="s">
        <v>1414</v>
      </c>
      <c r="I6" s="1" t="s">
        <v>273</v>
      </c>
      <c r="J6" s="33"/>
    </row>
    <row r="7" spans="1:10" x14ac:dyDescent="0.25">
      <c r="A7" s="24">
        <v>3</v>
      </c>
      <c r="B7" s="2">
        <v>16</v>
      </c>
      <c r="C7" s="2" t="s">
        <v>215</v>
      </c>
      <c r="D7" s="2"/>
      <c r="E7" s="3">
        <v>2</v>
      </c>
      <c r="F7" t="s">
        <v>1416</v>
      </c>
      <c r="G7" s="2" t="s">
        <v>1405</v>
      </c>
      <c r="H7" t="s">
        <v>1415</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1500</v>
      </c>
      <c r="G9" s="19" t="s">
        <v>1498</v>
      </c>
      <c r="H9" s="22" t="s">
        <v>1495</v>
      </c>
      <c r="I9" s="21" t="s">
        <v>272</v>
      </c>
      <c r="J9" s="32"/>
    </row>
    <row r="10" spans="1:10" x14ac:dyDescent="0.25">
      <c r="A10" s="24">
        <v>4</v>
      </c>
      <c r="B10" s="2">
        <v>22</v>
      </c>
      <c r="C10" s="2" t="s">
        <v>192</v>
      </c>
      <c r="D10" s="2"/>
      <c r="E10" s="3">
        <v>1</v>
      </c>
      <c r="F10" t="s">
        <v>1501</v>
      </c>
      <c r="G10" s="2" t="s">
        <v>1499</v>
      </c>
      <c r="H10" t="s">
        <v>1496</v>
      </c>
      <c r="I10" s="1" t="s">
        <v>272</v>
      </c>
      <c r="J10" s="33"/>
    </row>
    <row r="11" spans="1:10" x14ac:dyDescent="0.25">
      <c r="A11" s="24">
        <v>4</v>
      </c>
      <c r="B11" s="2">
        <v>22</v>
      </c>
      <c r="C11" s="2" t="s">
        <v>198</v>
      </c>
      <c r="D11" s="2"/>
      <c r="E11" s="3">
        <v>1</v>
      </c>
      <c r="F11" t="s">
        <v>1501</v>
      </c>
      <c r="G11" s="2" t="s">
        <v>1499</v>
      </c>
      <c r="H11" t="s">
        <v>1497</v>
      </c>
      <c r="I11" s="1" t="s">
        <v>272</v>
      </c>
      <c r="J11" s="33"/>
    </row>
    <row r="12" spans="1:10" x14ac:dyDescent="0.25">
      <c r="A12" s="24">
        <v>4</v>
      </c>
      <c r="B12" s="2">
        <v>22</v>
      </c>
      <c r="C12" s="2" t="s">
        <v>204</v>
      </c>
      <c r="D12" s="2"/>
      <c r="E12" s="3">
        <v>0</v>
      </c>
      <c r="G12" s="2"/>
      <c r="I12" s="1" t="s">
        <v>272</v>
      </c>
      <c r="J12" s="33" t="s">
        <v>1391</v>
      </c>
    </row>
    <row r="13" spans="1:10" x14ac:dyDescent="0.25">
      <c r="A13" s="24">
        <v>4</v>
      </c>
      <c r="B13" s="2">
        <v>22</v>
      </c>
      <c r="C13" s="2" t="s">
        <v>210</v>
      </c>
      <c r="D13" s="2"/>
      <c r="E13" s="3">
        <v>0</v>
      </c>
      <c r="G13" s="2"/>
      <c r="I13" s="1" t="s">
        <v>272</v>
      </c>
      <c r="J13" s="33" t="s">
        <v>1391</v>
      </c>
    </row>
    <row r="14" spans="1:10" x14ac:dyDescent="0.25">
      <c r="A14" s="24">
        <v>4</v>
      </c>
      <c r="B14" s="2">
        <v>22</v>
      </c>
      <c r="C14" s="2" t="s">
        <v>215</v>
      </c>
      <c r="D14" s="2"/>
      <c r="E14" s="3">
        <v>0</v>
      </c>
      <c r="G14" s="2"/>
      <c r="I14" s="1" t="s">
        <v>272</v>
      </c>
      <c r="J14" s="33" t="s">
        <v>1391</v>
      </c>
    </row>
    <row r="15" spans="1:10" ht="15.75" thickBot="1" x14ac:dyDescent="0.3">
      <c r="A15" s="26">
        <v>4</v>
      </c>
      <c r="B15" s="27">
        <v>22</v>
      </c>
      <c r="C15" s="27" t="s">
        <v>221</v>
      </c>
      <c r="D15" s="27"/>
      <c r="E15" s="28">
        <v>0</v>
      </c>
      <c r="F15" s="30"/>
      <c r="G15" s="27"/>
      <c r="H15" s="30"/>
      <c r="I15" s="29" t="s">
        <v>272</v>
      </c>
      <c r="J15" s="34" t="s">
        <v>1391</v>
      </c>
    </row>
    <row r="16" spans="1:10" x14ac:dyDescent="0.25">
      <c r="A16" s="18">
        <v>5</v>
      </c>
      <c r="B16" s="19">
        <v>27</v>
      </c>
      <c r="C16" s="19" t="s">
        <v>186</v>
      </c>
      <c r="D16" s="19"/>
      <c r="E16" s="20">
        <v>1</v>
      </c>
      <c r="F16" t="s">
        <v>1534</v>
      </c>
      <c r="G16" s="19" t="s">
        <v>1559</v>
      </c>
      <c r="H16" s="22" t="s">
        <v>1555</v>
      </c>
      <c r="I16" s="21" t="s">
        <v>274</v>
      </c>
      <c r="J16" s="32"/>
    </row>
    <row r="17" spans="1:11" x14ac:dyDescent="0.25">
      <c r="A17" s="24">
        <v>5</v>
      </c>
      <c r="B17" s="2">
        <v>27</v>
      </c>
      <c r="C17" s="2" t="s">
        <v>192</v>
      </c>
      <c r="D17" s="2"/>
      <c r="E17" s="3">
        <v>1</v>
      </c>
      <c r="F17" t="s">
        <v>1560</v>
      </c>
      <c r="G17" s="2" t="s">
        <v>1550</v>
      </c>
      <c r="H17" t="s">
        <v>1556</v>
      </c>
      <c r="I17" s="1" t="s">
        <v>273</v>
      </c>
      <c r="J17" s="33"/>
    </row>
    <row r="18" spans="1:11" x14ac:dyDescent="0.25">
      <c r="A18" s="24">
        <v>5</v>
      </c>
      <c r="B18" s="2">
        <v>27</v>
      </c>
      <c r="C18" s="2" t="s">
        <v>198</v>
      </c>
      <c r="D18" s="2"/>
      <c r="E18" s="3">
        <v>2</v>
      </c>
      <c r="F18" t="s">
        <v>1561</v>
      </c>
      <c r="G18" s="2" t="s">
        <v>1550</v>
      </c>
      <c r="H18" t="s">
        <v>1557</v>
      </c>
      <c r="I18" s="1" t="s">
        <v>273</v>
      </c>
      <c r="J18" s="33"/>
    </row>
    <row r="19" spans="1:11" x14ac:dyDescent="0.25">
      <c r="A19" s="24">
        <v>5</v>
      </c>
      <c r="B19" s="2">
        <v>27</v>
      </c>
      <c r="C19" s="2" t="s">
        <v>204</v>
      </c>
      <c r="D19" s="2"/>
      <c r="E19" s="3">
        <v>1</v>
      </c>
      <c r="F19" t="s">
        <v>1533</v>
      </c>
      <c r="G19" s="2" t="s">
        <v>1550</v>
      </c>
      <c r="H19" t="s">
        <v>1558</v>
      </c>
      <c r="I19" s="1" t="s">
        <v>274</v>
      </c>
      <c r="J19" s="33"/>
    </row>
    <row r="20" spans="1:11" x14ac:dyDescent="0.25">
      <c r="A20" s="24">
        <v>5</v>
      </c>
      <c r="B20" s="2">
        <v>27</v>
      </c>
      <c r="C20" s="2" t="s">
        <v>210</v>
      </c>
      <c r="D20" s="2"/>
      <c r="E20" s="3">
        <v>0</v>
      </c>
      <c r="G20" s="2"/>
      <c r="I20" s="1" t="s">
        <v>272</v>
      </c>
      <c r="J20" s="33" t="s">
        <v>1391</v>
      </c>
    </row>
    <row r="21" spans="1:11" x14ac:dyDescent="0.25">
      <c r="A21" s="24">
        <v>5</v>
      </c>
      <c r="B21" s="2">
        <v>27</v>
      </c>
      <c r="C21" s="2" t="s">
        <v>215</v>
      </c>
      <c r="D21" s="2"/>
      <c r="E21" s="3">
        <v>0</v>
      </c>
      <c r="G21" s="2"/>
      <c r="I21" s="1" t="s">
        <v>272</v>
      </c>
      <c r="J21" s="33" t="s">
        <v>1391</v>
      </c>
    </row>
    <row r="22" spans="1:11" ht="15.75" thickBot="1" x14ac:dyDescent="0.3">
      <c r="A22" s="26">
        <v>5</v>
      </c>
      <c r="B22" s="27">
        <v>27</v>
      </c>
      <c r="C22" s="27" t="s">
        <v>221</v>
      </c>
      <c r="D22" s="27"/>
      <c r="E22" s="28">
        <v>0</v>
      </c>
      <c r="F22" s="30"/>
      <c r="G22" s="27"/>
      <c r="H22" s="30"/>
      <c r="I22" s="29" t="s">
        <v>272</v>
      </c>
      <c r="J22" s="34" t="s">
        <v>1391</v>
      </c>
    </row>
    <row r="23" spans="1:11" x14ac:dyDescent="0.25">
      <c r="A23" s="18">
        <v>6</v>
      </c>
      <c r="B23" s="19">
        <v>32</v>
      </c>
      <c r="C23" s="19" t="s">
        <v>186</v>
      </c>
      <c r="D23" s="19"/>
      <c r="E23" s="20">
        <v>0</v>
      </c>
      <c r="F23" s="22"/>
      <c r="G23" s="19"/>
      <c r="H23" s="22"/>
      <c r="I23" s="21" t="s">
        <v>1457</v>
      </c>
      <c r="J23" s="32" t="s">
        <v>1594</v>
      </c>
      <c r="K23" t="s">
        <v>1369</v>
      </c>
    </row>
    <row r="24" spans="1:11" x14ac:dyDescent="0.25">
      <c r="A24" s="24">
        <v>6</v>
      </c>
      <c r="B24" s="2">
        <v>32</v>
      </c>
      <c r="C24" s="2" t="s">
        <v>192</v>
      </c>
      <c r="D24" s="2"/>
      <c r="E24" s="3">
        <v>0</v>
      </c>
      <c r="G24" s="2"/>
      <c r="I24" s="1" t="s">
        <v>1457</v>
      </c>
      <c r="J24" s="33" t="s">
        <v>1595</v>
      </c>
    </row>
    <row r="25" spans="1:11" x14ac:dyDescent="0.25">
      <c r="A25" s="24">
        <v>6</v>
      </c>
      <c r="B25" s="2">
        <v>32</v>
      </c>
      <c r="C25" s="2" t="s">
        <v>198</v>
      </c>
      <c r="D25" s="2"/>
      <c r="E25" s="3">
        <v>0</v>
      </c>
      <c r="G25" s="2"/>
      <c r="I25" s="1" t="s">
        <v>1457</v>
      </c>
      <c r="J25" s="33" t="s">
        <v>1596</v>
      </c>
    </row>
    <row r="26" spans="1:11" x14ac:dyDescent="0.25">
      <c r="A26" s="24">
        <v>6</v>
      </c>
      <c r="B26" s="2">
        <v>32</v>
      </c>
      <c r="C26" s="2" t="s">
        <v>204</v>
      </c>
      <c r="D26" s="2"/>
      <c r="E26" s="3">
        <v>0</v>
      </c>
      <c r="G26" s="2"/>
      <c r="I26" s="1" t="s">
        <v>1457</v>
      </c>
      <c r="J26" s="33" t="s">
        <v>1597</v>
      </c>
    </row>
    <row r="27" spans="1:11" x14ac:dyDescent="0.25">
      <c r="A27" s="24">
        <v>6</v>
      </c>
      <c r="B27" s="2">
        <v>32</v>
      </c>
      <c r="C27" s="2" t="s">
        <v>210</v>
      </c>
      <c r="D27" s="2"/>
      <c r="E27" s="3">
        <v>0</v>
      </c>
      <c r="G27" s="2"/>
      <c r="I27" s="1" t="s">
        <v>1457</v>
      </c>
      <c r="J27" s="33" t="s">
        <v>1598</v>
      </c>
    </row>
    <row r="28" spans="1:11" x14ac:dyDescent="0.25">
      <c r="A28" s="24">
        <v>6</v>
      </c>
      <c r="B28" s="2">
        <v>32</v>
      </c>
      <c r="C28" s="2" t="s">
        <v>215</v>
      </c>
      <c r="D28" s="2"/>
      <c r="E28" s="3">
        <v>0</v>
      </c>
      <c r="G28" s="2"/>
      <c r="I28" s="1" t="s">
        <v>1457</v>
      </c>
      <c r="J28" s="33" t="s">
        <v>1599</v>
      </c>
    </row>
    <row r="29" spans="1:11" ht="15.75" thickBot="1" x14ac:dyDescent="0.3">
      <c r="A29" s="26">
        <v>6</v>
      </c>
      <c r="B29" s="27">
        <v>32</v>
      </c>
      <c r="C29" s="27" t="s">
        <v>221</v>
      </c>
      <c r="D29" s="27"/>
      <c r="E29" s="28">
        <v>0</v>
      </c>
      <c r="F29" s="30"/>
      <c r="G29" s="27"/>
      <c r="H29" s="30"/>
      <c r="I29" s="29" t="s">
        <v>1457</v>
      </c>
      <c r="J29" s="34" t="s">
        <v>1600</v>
      </c>
    </row>
    <row r="30" spans="1:11" x14ac:dyDescent="0.25">
      <c r="A30" s="18">
        <v>7</v>
      </c>
      <c r="B30" s="19">
        <v>37</v>
      </c>
      <c r="C30" s="19" t="s">
        <v>186</v>
      </c>
      <c r="D30" s="19"/>
      <c r="E30" s="20">
        <v>2</v>
      </c>
      <c r="F30" s="22" t="s">
        <v>1682</v>
      </c>
      <c r="G30" s="19" t="s">
        <v>1677</v>
      </c>
      <c r="H30" s="22" t="s">
        <v>1672</v>
      </c>
      <c r="I30" s="21" t="s">
        <v>1458</v>
      </c>
      <c r="J30" s="32"/>
    </row>
    <row r="31" spans="1:11" x14ac:dyDescent="0.25">
      <c r="A31" s="24">
        <v>7</v>
      </c>
      <c r="B31" s="2">
        <v>37</v>
      </c>
      <c r="C31" s="2" t="s">
        <v>192</v>
      </c>
      <c r="D31" s="2"/>
      <c r="E31" s="3">
        <v>1</v>
      </c>
      <c r="F31" t="s">
        <v>1683</v>
      </c>
      <c r="G31" s="2" t="s">
        <v>1678</v>
      </c>
      <c r="H31" t="s">
        <v>1673</v>
      </c>
      <c r="I31" s="1" t="s">
        <v>1458</v>
      </c>
      <c r="J31" s="33"/>
    </row>
    <row r="32" spans="1:11" x14ac:dyDescent="0.25">
      <c r="A32" s="24">
        <v>7</v>
      </c>
      <c r="B32" s="2">
        <v>37</v>
      </c>
      <c r="C32" s="2" t="s">
        <v>198</v>
      </c>
      <c r="D32" s="2"/>
      <c r="E32" s="3">
        <v>2</v>
      </c>
      <c r="F32" t="s">
        <v>1684</v>
      </c>
      <c r="G32" s="2" t="s">
        <v>1679</v>
      </c>
      <c r="H32" t="s">
        <v>1674</v>
      </c>
      <c r="I32" s="1" t="s">
        <v>1458</v>
      </c>
      <c r="J32" s="33"/>
    </row>
    <row r="33" spans="1:10" x14ac:dyDescent="0.25">
      <c r="A33" s="24">
        <v>7</v>
      </c>
      <c r="B33" s="2">
        <v>37</v>
      </c>
      <c r="C33" s="2" t="s">
        <v>204</v>
      </c>
      <c r="D33" s="2"/>
      <c r="E33" s="3">
        <v>0</v>
      </c>
      <c r="G33" s="2"/>
      <c r="I33" s="1" t="s">
        <v>1457</v>
      </c>
      <c r="J33" s="33" t="s">
        <v>1391</v>
      </c>
    </row>
    <row r="34" spans="1:10" x14ac:dyDescent="0.25">
      <c r="A34" s="24">
        <v>7</v>
      </c>
      <c r="B34" s="2">
        <v>37</v>
      </c>
      <c r="C34" s="2" t="s">
        <v>210</v>
      </c>
      <c r="D34" s="2"/>
      <c r="E34" s="3">
        <v>1</v>
      </c>
      <c r="F34" t="s">
        <v>1685</v>
      </c>
      <c r="G34" s="2" t="s">
        <v>1680</v>
      </c>
      <c r="H34" t="s">
        <v>1675</v>
      </c>
      <c r="I34" s="1" t="s">
        <v>1542</v>
      </c>
      <c r="J34" s="33"/>
    </row>
    <row r="35" spans="1:10" x14ac:dyDescent="0.25">
      <c r="A35" s="24">
        <v>7</v>
      </c>
      <c r="B35" s="2">
        <v>37</v>
      </c>
      <c r="C35" s="2" t="s">
        <v>215</v>
      </c>
      <c r="D35" s="2"/>
      <c r="E35" s="3">
        <v>0</v>
      </c>
      <c r="G35" s="2"/>
      <c r="I35" s="1" t="s">
        <v>1457</v>
      </c>
      <c r="J35" s="33" t="s">
        <v>1391</v>
      </c>
    </row>
    <row r="36" spans="1:10" ht="15.75" thickBot="1" x14ac:dyDescent="0.3">
      <c r="A36" s="26">
        <v>7</v>
      </c>
      <c r="B36" s="27">
        <v>37</v>
      </c>
      <c r="C36" s="27" t="s">
        <v>221</v>
      </c>
      <c r="D36" s="27"/>
      <c r="E36" s="28">
        <v>1</v>
      </c>
      <c r="F36" s="30" t="s">
        <v>1647</v>
      </c>
      <c r="G36" s="27" t="s">
        <v>1681</v>
      </c>
      <c r="H36" s="30" t="s">
        <v>1676</v>
      </c>
      <c r="I36" s="29" t="s">
        <v>1458</v>
      </c>
      <c r="J36" s="33"/>
    </row>
    <row r="37" spans="1:10" x14ac:dyDescent="0.25">
      <c r="A37" s="18">
        <v>12</v>
      </c>
      <c r="B37" s="19">
        <v>62</v>
      </c>
      <c r="C37" s="19" t="s">
        <v>186</v>
      </c>
      <c r="D37" s="19"/>
      <c r="E37" s="20">
        <v>0</v>
      </c>
      <c r="F37" s="22"/>
      <c r="G37" s="19"/>
      <c r="H37" s="22"/>
      <c r="I37" s="21" t="s">
        <v>1457</v>
      </c>
      <c r="J37" s="32" t="s">
        <v>1391</v>
      </c>
    </row>
    <row r="38" spans="1:10" x14ac:dyDescent="0.25">
      <c r="A38" s="24">
        <v>12</v>
      </c>
      <c r="B38" s="2">
        <v>62</v>
      </c>
      <c r="C38" s="2" t="s">
        <v>192</v>
      </c>
      <c r="D38" s="2"/>
      <c r="E38" s="3">
        <v>0</v>
      </c>
      <c r="G38" s="2"/>
      <c r="I38" s="1" t="s">
        <v>1457</v>
      </c>
      <c r="J38" s="33" t="s">
        <v>1391</v>
      </c>
    </row>
    <row r="39" spans="1:10" x14ac:dyDescent="0.25">
      <c r="A39" s="24">
        <v>12</v>
      </c>
      <c r="B39" s="2">
        <v>62</v>
      </c>
      <c r="C39" s="2" t="s">
        <v>198</v>
      </c>
      <c r="D39" s="2"/>
      <c r="E39" s="3">
        <v>1</v>
      </c>
      <c r="F39" t="s">
        <v>1757</v>
      </c>
      <c r="G39" s="2" t="s">
        <v>1722</v>
      </c>
      <c r="H39" t="s">
        <v>1754</v>
      </c>
      <c r="I39" s="1" t="s">
        <v>1458</v>
      </c>
      <c r="J39" s="33"/>
    </row>
    <row r="40" spans="1:10" x14ac:dyDescent="0.25">
      <c r="A40" s="24">
        <v>12</v>
      </c>
      <c r="B40" s="2">
        <v>62</v>
      </c>
      <c r="C40" s="2" t="s">
        <v>204</v>
      </c>
      <c r="D40" s="2"/>
      <c r="E40" s="3">
        <v>0</v>
      </c>
      <c r="G40" s="2"/>
      <c r="I40" s="1" t="s">
        <v>1457</v>
      </c>
      <c r="J40" s="33" t="s">
        <v>1391</v>
      </c>
    </row>
    <row r="41" spans="1:10" x14ac:dyDescent="0.25">
      <c r="A41" s="24">
        <v>12</v>
      </c>
      <c r="B41" s="2">
        <v>62</v>
      </c>
      <c r="C41" s="2" t="s">
        <v>210</v>
      </c>
      <c r="D41" s="2"/>
      <c r="E41" s="3">
        <v>1</v>
      </c>
      <c r="F41" t="s">
        <v>1758</v>
      </c>
      <c r="G41" s="2" t="s">
        <v>1756</v>
      </c>
      <c r="H41" t="s">
        <v>1755</v>
      </c>
      <c r="I41" s="1" t="s">
        <v>1458</v>
      </c>
      <c r="J41" s="33"/>
    </row>
    <row r="42" spans="1:10" x14ac:dyDescent="0.25">
      <c r="A42" s="24">
        <v>12</v>
      </c>
      <c r="B42" s="2">
        <v>62</v>
      </c>
      <c r="C42" s="2" t="s">
        <v>215</v>
      </c>
      <c r="D42" s="2"/>
      <c r="E42" s="3">
        <v>0</v>
      </c>
      <c r="G42" s="2"/>
      <c r="I42" s="1" t="s">
        <v>1457</v>
      </c>
      <c r="J42" s="33" t="s">
        <v>1391</v>
      </c>
    </row>
    <row r="43" spans="1:10" ht="15.75" thickBot="1" x14ac:dyDescent="0.3">
      <c r="A43" s="26">
        <v>12</v>
      </c>
      <c r="B43" s="27">
        <v>62</v>
      </c>
      <c r="C43" s="27" t="s">
        <v>221</v>
      </c>
      <c r="D43" s="27"/>
      <c r="E43" s="28">
        <v>0</v>
      </c>
      <c r="F43" s="30"/>
      <c r="G43" s="27"/>
      <c r="H43" s="30"/>
      <c r="I43" s="29" t="s">
        <v>1457</v>
      </c>
      <c r="J43" s="34" t="s">
        <v>1391</v>
      </c>
    </row>
    <row r="44" spans="1:10" x14ac:dyDescent="0.25">
      <c r="A44" s="18">
        <v>15</v>
      </c>
      <c r="B44" s="19">
        <v>86</v>
      </c>
      <c r="C44" s="19" t="s">
        <v>186</v>
      </c>
      <c r="D44" s="19"/>
      <c r="E44" s="20">
        <v>2</v>
      </c>
      <c r="F44" s="22" t="s">
        <v>1843</v>
      </c>
      <c r="G44" s="19" t="s">
        <v>1838</v>
      </c>
      <c r="H44" s="22" t="s">
        <v>1833</v>
      </c>
      <c r="I44" s="21" t="s">
        <v>1458</v>
      </c>
      <c r="J44" s="32"/>
    </row>
    <row r="45" spans="1:10" x14ac:dyDescent="0.25">
      <c r="A45" s="24">
        <v>15</v>
      </c>
      <c r="B45" s="2">
        <v>86</v>
      </c>
      <c r="C45" s="2" t="s">
        <v>192</v>
      </c>
      <c r="D45" s="2"/>
      <c r="E45" s="3">
        <v>1</v>
      </c>
      <c r="F45" t="s">
        <v>1844</v>
      </c>
      <c r="G45" s="2" t="s">
        <v>1839</v>
      </c>
      <c r="H45" t="s">
        <v>1834</v>
      </c>
      <c r="I45" s="1" t="s">
        <v>1458</v>
      </c>
      <c r="J45" s="33"/>
    </row>
    <row r="46" spans="1:10" x14ac:dyDescent="0.25">
      <c r="A46" s="24">
        <v>15</v>
      </c>
      <c r="B46" s="2">
        <v>86</v>
      </c>
      <c r="C46" s="2" t="s">
        <v>198</v>
      </c>
      <c r="D46" s="2"/>
      <c r="E46" s="3">
        <v>2</v>
      </c>
      <c r="F46" t="s">
        <v>1845</v>
      </c>
      <c r="G46" s="2" t="s">
        <v>1840</v>
      </c>
      <c r="H46" t="s">
        <v>1835</v>
      </c>
      <c r="I46" s="1" t="s">
        <v>1458</v>
      </c>
      <c r="J46" s="33"/>
    </row>
    <row r="47" spans="1:10" x14ac:dyDescent="0.25">
      <c r="A47" s="24">
        <v>15</v>
      </c>
      <c r="B47" s="2">
        <v>86</v>
      </c>
      <c r="C47" s="2" t="s">
        <v>204</v>
      </c>
      <c r="D47" s="2"/>
      <c r="E47" s="3">
        <v>1</v>
      </c>
      <c r="F47" t="s">
        <v>1815</v>
      </c>
      <c r="G47" s="2" t="s">
        <v>1841</v>
      </c>
      <c r="H47" t="s">
        <v>1836</v>
      </c>
      <c r="I47" s="1" t="s">
        <v>1542</v>
      </c>
      <c r="J47" s="33"/>
    </row>
    <row r="48" spans="1:10" x14ac:dyDescent="0.25">
      <c r="A48" s="24">
        <v>15</v>
      </c>
      <c r="B48" s="2">
        <v>86</v>
      </c>
      <c r="C48" s="2" t="s">
        <v>210</v>
      </c>
      <c r="D48" s="2"/>
      <c r="E48" s="3">
        <v>1</v>
      </c>
      <c r="F48" t="s">
        <v>1846</v>
      </c>
      <c r="G48" s="2" t="s">
        <v>1842</v>
      </c>
      <c r="H48" t="s">
        <v>1837</v>
      </c>
      <c r="I48" s="1" t="s">
        <v>1458</v>
      </c>
      <c r="J48" s="33"/>
    </row>
    <row r="49" spans="1:10" x14ac:dyDescent="0.25">
      <c r="A49" s="24">
        <v>15</v>
      </c>
      <c r="B49" s="2">
        <v>86</v>
      </c>
      <c r="C49" s="2" t="s">
        <v>215</v>
      </c>
      <c r="D49" s="2"/>
      <c r="E49" s="3">
        <v>0</v>
      </c>
      <c r="G49" s="2"/>
      <c r="I49" s="1" t="s">
        <v>1457</v>
      </c>
      <c r="J49" s="33" t="s">
        <v>1391</v>
      </c>
    </row>
    <row r="50" spans="1:10" ht="15.75" thickBot="1" x14ac:dyDescent="0.3">
      <c r="A50" s="26">
        <v>15</v>
      </c>
      <c r="B50" s="27">
        <v>86</v>
      </c>
      <c r="C50" s="27" t="s">
        <v>221</v>
      </c>
      <c r="D50" s="27"/>
      <c r="E50" s="28">
        <v>0</v>
      </c>
      <c r="F50" s="30"/>
      <c r="G50" s="27"/>
      <c r="H50" s="30"/>
      <c r="I50" s="29" t="s">
        <v>1457</v>
      </c>
      <c r="J50" s="34" t="s">
        <v>1391</v>
      </c>
    </row>
    <row r="51" spans="1:10" x14ac:dyDescent="0.25">
      <c r="A51" s="18">
        <v>32</v>
      </c>
      <c r="B51" s="19">
        <v>188</v>
      </c>
      <c r="C51" s="19" t="s">
        <v>186</v>
      </c>
      <c r="D51" s="19"/>
      <c r="E51" s="20">
        <v>2</v>
      </c>
      <c r="F51" s="22" t="s">
        <v>1944</v>
      </c>
      <c r="G51" s="19" t="s">
        <v>1937</v>
      </c>
      <c r="H51" s="22" t="s">
        <v>1930</v>
      </c>
      <c r="I51" s="21" t="s">
        <v>272</v>
      </c>
      <c r="J51" s="32"/>
    </row>
    <row r="52" spans="1:10" x14ac:dyDescent="0.25">
      <c r="A52" s="24">
        <v>32</v>
      </c>
      <c r="B52" s="2">
        <v>188</v>
      </c>
      <c r="C52" s="2" t="s">
        <v>192</v>
      </c>
      <c r="D52" s="2"/>
      <c r="E52" s="3">
        <v>2</v>
      </c>
      <c r="F52" t="s">
        <v>1945</v>
      </c>
      <c r="G52" s="2" t="s">
        <v>1938</v>
      </c>
      <c r="H52" t="s">
        <v>1931</v>
      </c>
      <c r="I52" s="1" t="s">
        <v>272</v>
      </c>
      <c r="J52" s="33"/>
    </row>
    <row r="53" spans="1:10" x14ac:dyDescent="0.25">
      <c r="A53" s="24">
        <v>32</v>
      </c>
      <c r="B53" s="2">
        <v>188</v>
      </c>
      <c r="C53" s="2" t="s">
        <v>198</v>
      </c>
      <c r="D53" s="2"/>
      <c r="E53" s="3">
        <v>2</v>
      </c>
      <c r="F53" t="s">
        <v>1946</v>
      </c>
      <c r="G53" s="2" t="s">
        <v>1939</v>
      </c>
      <c r="H53" t="s">
        <v>1932</v>
      </c>
      <c r="I53" s="1" t="s">
        <v>273</v>
      </c>
      <c r="J53" s="33"/>
    </row>
    <row r="54" spans="1:10" x14ac:dyDescent="0.25">
      <c r="A54" s="24">
        <v>32</v>
      </c>
      <c r="B54" s="2">
        <v>188</v>
      </c>
      <c r="C54" s="2" t="s">
        <v>204</v>
      </c>
      <c r="D54" s="2"/>
      <c r="E54" s="3">
        <v>2</v>
      </c>
      <c r="F54" t="s">
        <v>1947</v>
      </c>
      <c r="G54" s="2" t="s">
        <v>1940</v>
      </c>
      <c r="H54" t="s">
        <v>1933</v>
      </c>
      <c r="I54" s="1" t="s">
        <v>273</v>
      </c>
      <c r="J54" s="33"/>
    </row>
    <row r="55" spans="1:10" x14ac:dyDescent="0.25">
      <c r="A55" s="24">
        <v>32</v>
      </c>
      <c r="B55" s="2">
        <v>188</v>
      </c>
      <c r="C55" s="2" t="s">
        <v>210</v>
      </c>
      <c r="D55" s="2"/>
      <c r="E55" s="3">
        <v>2</v>
      </c>
      <c r="F55" t="s">
        <v>1948</v>
      </c>
      <c r="G55" s="2" t="s">
        <v>1941</v>
      </c>
      <c r="H55" t="s">
        <v>1934</v>
      </c>
      <c r="I55" s="1" t="s">
        <v>272</v>
      </c>
      <c r="J55" s="33"/>
    </row>
    <row r="56" spans="1:10" x14ac:dyDescent="0.25">
      <c r="A56" s="24">
        <v>32</v>
      </c>
      <c r="B56" s="2">
        <v>188</v>
      </c>
      <c r="C56" s="2" t="s">
        <v>215</v>
      </c>
      <c r="D56" s="2"/>
      <c r="E56" s="3">
        <v>2</v>
      </c>
      <c r="F56" t="s">
        <v>1949</v>
      </c>
      <c r="G56" s="2" t="s">
        <v>1942</v>
      </c>
      <c r="H56" t="s">
        <v>1935</v>
      </c>
      <c r="I56" s="1" t="s">
        <v>272</v>
      </c>
      <c r="J56" s="33"/>
    </row>
    <row r="57" spans="1:10" ht="15.75" thickBot="1" x14ac:dyDescent="0.3">
      <c r="A57" s="26">
        <v>32</v>
      </c>
      <c r="B57" s="27">
        <v>188</v>
      </c>
      <c r="C57" s="27" t="s">
        <v>221</v>
      </c>
      <c r="D57" s="27"/>
      <c r="E57" s="28">
        <v>1</v>
      </c>
      <c r="F57" t="s">
        <v>1950</v>
      </c>
      <c r="G57" s="27" t="s">
        <v>1943</v>
      </c>
      <c r="H57" s="30" t="s">
        <v>1936</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48"/>
  <sheetViews>
    <sheetView topLeftCell="A24" workbookViewId="0">
      <selection activeCell="I2" sqref="I2"/>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35" t="s">
        <v>1417</v>
      </c>
      <c r="B2" s="22" t="s">
        <v>1422</v>
      </c>
      <c r="C2" s="22">
        <v>3</v>
      </c>
      <c r="D2" s="22">
        <v>16</v>
      </c>
      <c r="E2" s="22"/>
      <c r="F2" s="22" t="s">
        <v>1424</v>
      </c>
      <c r="G2" s="22" t="s">
        <v>1426</v>
      </c>
      <c r="H2" s="22" t="s">
        <v>1435</v>
      </c>
      <c r="I2" s="22" t="s">
        <v>1432</v>
      </c>
      <c r="J2" s="32" t="s">
        <v>1434</v>
      </c>
    </row>
    <row r="3" spans="1:10" x14ac:dyDescent="0.25">
      <c r="A3" s="36" t="s">
        <v>1418</v>
      </c>
      <c r="B3" t="s">
        <v>1422</v>
      </c>
      <c r="C3">
        <v>3</v>
      </c>
      <c r="D3">
        <v>16</v>
      </c>
      <c r="F3" t="s">
        <v>112</v>
      </c>
      <c r="G3" t="s">
        <v>1427</v>
      </c>
      <c r="H3" t="s">
        <v>1436</v>
      </c>
      <c r="I3" t="s">
        <v>1433</v>
      </c>
      <c r="J3" s="33" t="s">
        <v>1434</v>
      </c>
    </row>
    <row r="4" spans="1:10" x14ac:dyDescent="0.25">
      <c r="A4" s="36" t="s">
        <v>1419</v>
      </c>
      <c r="B4" t="s">
        <v>1422</v>
      </c>
      <c r="C4">
        <v>3</v>
      </c>
      <c r="D4">
        <v>16</v>
      </c>
      <c r="F4" t="s">
        <v>192</v>
      </c>
      <c r="G4" t="s">
        <v>1428</v>
      </c>
      <c r="H4" t="s">
        <v>1437</v>
      </c>
      <c r="I4" t="s">
        <v>1433</v>
      </c>
      <c r="J4" s="33" t="s">
        <v>1434</v>
      </c>
    </row>
    <row r="5" spans="1:10" x14ac:dyDescent="0.25">
      <c r="A5" s="36" t="s">
        <v>1420</v>
      </c>
      <c r="B5" t="s">
        <v>1422</v>
      </c>
      <c r="C5">
        <v>3</v>
      </c>
      <c r="D5">
        <v>16</v>
      </c>
      <c r="F5" t="s">
        <v>221</v>
      </c>
      <c r="G5" t="s">
        <v>1429</v>
      </c>
      <c r="H5" t="s">
        <v>1438</v>
      </c>
      <c r="I5" t="s">
        <v>1432</v>
      </c>
      <c r="J5" s="33" t="s">
        <v>1434</v>
      </c>
    </row>
    <row r="6" spans="1:10" x14ac:dyDescent="0.25">
      <c r="A6" s="36" t="s">
        <v>1421</v>
      </c>
      <c r="B6" t="s">
        <v>1422</v>
      </c>
      <c r="C6">
        <v>3</v>
      </c>
      <c r="D6">
        <v>16</v>
      </c>
      <c r="F6" t="s">
        <v>154</v>
      </c>
      <c r="G6" t="s">
        <v>1430</v>
      </c>
      <c r="H6" t="s">
        <v>1439</v>
      </c>
      <c r="I6" t="s">
        <v>1433</v>
      </c>
      <c r="J6" s="33" t="s">
        <v>1434</v>
      </c>
    </row>
    <row r="7" spans="1:10" ht="15.75" thickBot="1" x14ac:dyDescent="0.3">
      <c r="A7" s="37" t="s">
        <v>1423</v>
      </c>
      <c r="B7" s="30" t="s">
        <v>1422</v>
      </c>
      <c r="C7" s="30">
        <v>3</v>
      </c>
      <c r="D7" s="30">
        <v>16</v>
      </c>
      <c r="E7" s="30"/>
      <c r="F7" s="30" t="s">
        <v>1425</v>
      </c>
      <c r="G7" s="30" t="s">
        <v>1431</v>
      </c>
      <c r="H7" s="30" t="s">
        <v>1440</v>
      </c>
      <c r="I7" s="30" t="s">
        <v>1433</v>
      </c>
      <c r="J7" s="34" t="s">
        <v>1434</v>
      </c>
    </row>
    <row r="8" spans="1:10" x14ac:dyDescent="0.25">
      <c r="A8" s="35" t="s">
        <v>1502</v>
      </c>
      <c r="B8" s="22" t="s">
        <v>1422</v>
      </c>
      <c r="C8" s="22">
        <v>4</v>
      </c>
      <c r="D8" s="22">
        <v>22</v>
      </c>
      <c r="E8" s="22"/>
      <c r="F8" s="22" t="s">
        <v>1508</v>
      </c>
      <c r="G8" s="22" t="s">
        <v>1509</v>
      </c>
      <c r="H8" s="22" t="s">
        <v>1510</v>
      </c>
      <c r="I8" s="22" t="s">
        <v>1433</v>
      </c>
      <c r="J8" s="32" t="s">
        <v>1434</v>
      </c>
    </row>
    <row r="9" spans="1:10" x14ac:dyDescent="0.25">
      <c r="A9" s="36" t="s">
        <v>1503</v>
      </c>
      <c r="B9" t="s">
        <v>1422</v>
      </c>
      <c r="C9">
        <v>4</v>
      </c>
      <c r="D9">
        <v>22</v>
      </c>
      <c r="F9" t="s">
        <v>1511</v>
      </c>
      <c r="G9" t="s">
        <v>1512</v>
      </c>
      <c r="H9" t="s">
        <v>1513</v>
      </c>
      <c r="I9" t="s">
        <v>1433</v>
      </c>
      <c r="J9" s="33" t="s">
        <v>1434</v>
      </c>
    </row>
    <row r="10" spans="1:10" x14ac:dyDescent="0.25">
      <c r="A10" s="36" t="s">
        <v>1504</v>
      </c>
      <c r="B10" t="s">
        <v>1422</v>
      </c>
      <c r="C10">
        <v>4</v>
      </c>
      <c r="D10">
        <v>22</v>
      </c>
      <c r="F10" t="s">
        <v>1514</v>
      </c>
      <c r="G10" t="s">
        <v>1515</v>
      </c>
      <c r="H10" t="s">
        <v>1516</v>
      </c>
      <c r="I10" t="s">
        <v>1433</v>
      </c>
      <c r="J10" s="33" t="s">
        <v>1434</v>
      </c>
    </row>
    <row r="11" spans="1:10" x14ac:dyDescent="0.25">
      <c r="A11" s="36" t="s">
        <v>1505</v>
      </c>
      <c r="B11" t="s">
        <v>1422</v>
      </c>
      <c r="C11">
        <v>4</v>
      </c>
      <c r="D11">
        <v>22</v>
      </c>
      <c r="F11" t="s">
        <v>161</v>
      </c>
      <c r="G11" t="s">
        <v>1517</v>
      </c>
      <c r="H11" t="s">
        <v>1518</v>
      </c>
      <c r="I11" t="s">
        <v>1433</v>
      </c>
      <c r="J11" s="33" t="s">
        <v>1434</v>
      </c>
    </row>
    <row r="12" spans="1:10" x14ac:dyDescent="0.25">
      <c r="A12" s="36" t="s">
        <v>1506</v>
      </c>
      <c r="B12" t="s">
        <v>1422</v>
      </c>
      <c r="C12">
        <v>4</v>
      </c>
      <c r="D12">
        <v>22</v>
      </c>
      <c r="F12" t="s">
        <v>106</v>
      </c>
      <c r="G12" t="s">
        <v>1519</v>
      </c>
      <c r="H12" t="s">
        <v>1520</v>
      </c>
      <c r="I12" t="s">
        <v>1433</v>
      </c>
      <c r="J12" s="33" t="s">
        <v>1434</v>
      </c>
    </row>
    <row r="13" spans="1:10" ht="15.75" thickBot="1" x14ac:dyDescent="0.3">
      <c r="A13" s="37" t="s">
        <v>1507</v>
      </c>
      <c r="B13" s="30" t="s">
        <v>1422</v>
      </c>
      <c r="C13" s="30">
        <v>4</v>
      </c>
      <c r="D13" s="30">
        <v>22</v>
      </c>
      <c r="E13" s="30"/>
      <c r="F13" s="30" t="s">
        <v>174</v>
      </c>
      <c r="G13" s="30" t="s">
        <v>1521</v>
      </c>
      <c r="H13" s="30" t="s">
        <v>1522</v>
      </c>
      <c r="I13" s="30" t="s">
        <v>1432</v>
      </c>
      <c r="J13" s="34" t="s">
        <v>1434</v>
      </c>
    </row>
    <row r="14" spans="1:10" x14ac:dyDescent="0.25">
      <c r="A14" s="35" t="s">
        <v>1575</v>
      </c>
      <c r="B14" s="22" t="s">
        <v>1422</v>
      </c>
      <c r="C14" s="22">
        <v>5</v>
      </c>
      <c r="D14" s="22">
        <v>27</v>
      </c>
      <c r="E14" s="22"/>
      <c r="F14" s="22" t="s">
        <v>198</v>
      </c>
      <c r="G14" s="22" t="s">
        <v>1562</v>
      </c>
      <c r="H14" s="22" t="s">
        <v>1563</v>
      </c>
      <c r="I14" s="22" t="s">
        <v>1433</v>
      </c>
      <c r="J14" s="32" t="s">
        <v>1434</v>
      </c>
    </row>
    <row r="15" spans="1:10" x14ac:dyDescent="0.25">
      <c r="A15" s="36" t="s">
        <v>1576</v>
      </c>
      <c r="B15" t="s">
        <v>1422</v>
      </c>
      <c r="C15">
        <v>5</v>
      </c>
      <c r="D15">
        <v>27</v>
      </c>
      <c r="F15" t="s">
        <v>204</v>
      </c>
      <c r="G15" t="s">
        <v>1564</v>
      </c>
      <c r="H15" t="s">
        <v>1565</v>
      </c>
      <c r="I15" t="s">
        <v>1433</v>
      </c>
      <c r="J15" s="33" t="s">
        <v>1434</v>
      </c>
    </row>
    <row r="16" spans="1:10" x14ac:dyDescent="0.25">
      <c r="A16" s="36" t="s">
        <v>1577</v>
      </c>
      <c r="B16" t="s">
        <v>1422</v>
      </c>
      <c r="C16">
        <v>5</v>
      </c>
      <c r="D16">
        <v>27</v>
      </c>
      <c r="F16" t="s">
        <v>186</v>
      </c>
      <c r="G16" t="s">
        <v>1566</v>
      </c>
      <c r="H16" t="s">
        <v>1567</v>
      </c>
      <c r="I16" t="s">
        <v>1433</v>
      </c>
      <c r="J16" s="33" t="s">
        <v>1434</v>
      </c>
    </row>
    <row r="17" spans="1:10" x14ac:dyDescent="0.25">
      <c r="A17" s="36" t="s">
        <v>1578</v>
      </c>
      <c r="B17" t="s">
        <v>1422</v>
      </c>
      <c r="C17">
        <v>5</v>
      </c>
      <c r="D17">
        <v>27</v>
      </c>
      <c r="F17" t="s">
        <v>1568</v>
      </c>
      <c r="G17" t="s">
        <v>1569</v>
      </c>
      <c r="H17" t="s">
        <v>1570</v>
      </c>
      <c r="I17" t="s">
        <v>1433</v>
      </c>
      <c r="J17" s="33" t="s">
        <v>1434</v>
      </c>
    </row>
    <row r="18" spans="1:10" x14ac:dyDescent="0.25">
      <c r="A18" s="36" t="s">
        <v>1579</v>
      </c>
      <c r="B18" t="s">
        <v>1422</v>
      </c>
      <c r="C18">
        <v>5</v>
      </c>
      <c r="D18">
        <v>27</v>
      </c>
      <c r="F18" t="s">
        <v>112</v>
      </c>
      <c r="G18" t="s">
        <v>1571</v>
      </c>
      <c r="H18" t="s">
        <v>1572</v>
      </c>
      <c r="I18" t="s">
        <v>1433</v>
      </c>
      <c r="J18" s="33" t="s">
        <v>1434</v>
      </c>
    </row>
    <row r="19" spans="1:10" ht="15.75" thickBot="1" x14ac:dyDescent="0.3">
      <c r="A19" s="37" t="s">
        <v>1580</v>
      </c>
      <c r="B19" s="30" t="s">
        <v>1422</v>
      </c>
      <c r="C19" s="30">
        <v>5</v>
      </c>
      <c r="D19" s="30">
        <v>27</v>
      </c>
      <c r="E19" s="30"/>
      <c r="F19" s="30" t="s">
        <v>1511</v>
      </c>
      <c r="G19" s="30" t="s">
        <v>1573</v>
      </c>
      <c r="H19" s="30" t="s">
        <v>1574</v>
      </c>
      <c r="I19" s="30" t="s">
        <v>1432</v>
      </c>
      <c r="J19" s="34" t="s">
        <v>1434</v>
      </c>
    </row>
    <row r="20" spans="1:10" x14ac:dyDescent="0.25">
      <c r="A20" s="35" t="s">
        <v>1614</v>
      </c>
      <c r="B20" s="22" t="s">
        <v>1422</v>
      </c>
      <c r="C20" s="22">
        <v>6</v>
      </c>
      <c r="D20" s="22">
        <v>32</v>
      </c>
      <c r="E20" s="22"/>
      <c r="F20" s="22" t="s">
        <v>90</v>
      </c>
      <c r="G20" s="22" t="s">
        <v>1601</v>
      </c>
      <c r="H20" s="22" t="s">
        <v>1602</v>
      </c>
      <c r="I20" s="22" t="s">
        <v>1433</v>
      </c>
      <c r="J20" s="32" t="s">
        <v>1434</v>
      </c>
    </row>
    <row r="21" spans="1:10" x14ac:dyDescent="0.25">
      <c r="A21" s="36" t="s">
        <v>1615</v>
      </c>
      <c r="B21" t="s">
        <v>1422</v>
      </c>
      <c r="C21">
        <v>6</v>
      </c>
      <c r="D21">
        <v>32</v>
      </c>
      <c r="F21" t="s">
        <v>83</v>
      </c>
      <c r="G21" t="s">
        <v>1603</v>
      </c>
      <c r="H21" t="s">
        <v>1604</v>
      </c>
      <c r="I21" t="s">
        <v>1433</v>
      </c>
      <c r="J21" s="33" t="s">
        <v>1434</v>
      </c>
    </row>
    <row r="22" spans="1:10" x14ac:dyDescent="0.25">
      <c r="A22" s="36" t="s">
        <v>1616</v>
      </c>
      <c r="B22" t="s">
        <v>1422</v>
      </c>
      <c r="C22">
        <v>6</v>
      </c>
      <c r="D22">
        <v>32</v>
      </c>
      <c r="F22" t="s">
        <v>186</v>
      </c>
      <c r="G22" t="s">
        <v>1605</v>
      </c>
      <c r="H22" t="s">
        <v>1606</v>
      </c>
      <c r="I22" t="s">
        <v>1433</v>
      </c>
      <c r="J22" s="33" t="s">
        <v>1434</v>
      </c>
    </row>
    <row r="23" spans="1:10" x14ac:dyDescent="0.25">
      <c r="A23" s="36" t="s">
        <v>1617</v>
      </c>
      <c r="B23" t="s">
        <v>1422</v>
      </c>
      <c r="C23">
        <v>6</v>
      </c>
      <c r="D23">
        <v>32</v>
      </c>
      <c r="F23" t="s">
        <v>204</v>
      </c>
      <c r="G23" t="s">
        <v>1607</v>
      </c>
      <c r="H23" t="s">
        <v>1608</v>
      </c>
      <c r="I23" t="s">
        <v>1433</v>
      </c>
      <c r="J23" s="33" t="s">
        <v>1434</v>
      </c>
    </row>
    <row r="24" spans="1:10" x14ac:dyDescent="0.25">
      <c r="A24" s="36" t="s">
        <v>1618</v>
      </c>
      <c r="B24" t="s">
        <v>1422</v>
      </c>
      <c r="C24">
        <v>6</v>
      </c>
      <c r="D24">
        <v>32</v>
      </c>
      <c r="F24" t="s">
        <v>215</v>
      </c>
      <c r="G24" t="s">
        <v>1609</v>
      </c>
      <c r="H24" t="s">
        <v>1610</v>
      </c>
      <c r="I24" t="s">
        <v>1433</v>
      </c>
      <c r="J24" s="33" t="s">
        <v>1434</v>
      </c>
    </row>
    <row r="25" spans="1:10" ht="15.75" thickBot="1" x14ac:dyDescent="0.3">
      <c r="A25" s="37" t="s">
        <v>1619</v>
      </c>
      <c r="B25" s="30" t="s">
        <v>1422</v>
      </c>
      <c r="C25" s="30">
        <v>6</v>
      </c>
      <c r="D25" s="30">
        <v>32</v>
      </c>
      <c r="E25" s="30"/>
      <c r="F25" s="30" t="s">
        <v>1611</v>
      </c>
      <c r="G25" s="30" t="s">
        <v>1612</v>
      </c>
      <c r="H25" s="30" t="s">
        <v>1613</v>
      </c>
      <c r="I25" s="30" t="s">
        <v>1433</v>
      </c>
      <c r="J25" s="34" t="s">
        <v>1434</v>
      </c>
    </row>
    <row r="26" spans="1:10" x14ac:dyDescent="0.25">
      <c r="A26" s="35" t="s">
        <v>1699</v>
      </c>
      <c r="B26" s="22" t="s">
        <v>1422</v>
      </c>
      <c r="C26" s="22">
        <v>7</v>
      </c>
      <c r="D26" s="22">
        <v>37</v>
      </c>
      <c r="E26" s="22"/>
      <c r="F26" s="22" t="s">
        <v>1686</v>
      </c>
      <c r="G26" s="22" t="s">
        <v>1687</v>
      </c>
      <c r="H26" s="22" t="s">
        <v>1688</v>
      </c>
      <c r="I26" s="22" t="s">
        <v>1433</v>
      </c>
      <c r="J26" s="32" t="s">
        <v>1434</v>
      </c>
    </row>
    <row r="27" spans="1:10" x14ac:dyDescent="0.25">
      <c r="A27" s="36" t="s">
        <v>1700</v>
      </c>
      <c r="B27" t="s">
        <v>1422</v>
      </c>
      <c r="C27">
        <v>7</v>
      </c>
      <c r="D27">
        <v>37</v>
      </c>
      <c r="F27" t="s">
        <v>147</v>
      </c>
      <c r="G27" t="s">
        <v>1689</v>
      </c>
      <c r="H27" t="s">
        <v>1690</v>
      </c>
      <c r="I27" t="s">
        <v>1433</v>
      </c>
      <c r="J27" s="33" t="s">
        <v>1434</v>
      </c>
    </row>
    <row r="28" spans="1:10" x14ac:dyDescent="0.25">
      <c r="A28" s="36" t="s">
        <v>1701</v>
      </c>
      <c r="B28" t="s">
        <v>1422</v>
      </c>
      <c r="C28">
        <v>7</v>
      </c>
      <c r="D28">
        <v>37</v>
      </c>
      <c r="F28" t="s">
        <v>69</v>
      </c>
      <c r="G28" t="s">
        <v>1691</v>
      </c>
      <c r="H28" t="s">
        <v>1692</v>
      </c>
      <c r="I28" t="s">
        <v>1433</v>
      </c>
      <c r="J28" s="33" t="s">
        <v>1434</v>
      </c>
    </row>
    <row r="29" spans="1:10" x14ac:dyDescent="0.25">
      <c r="A29" s="36" t="s">
        <v>1702</v>
      </c>
      <c r="B29" t="s">
        <v>1422</v>
      </c>
      <c r="C29">
        <v>7</v>
      </c>
      <c r="D29">
        <v>37</v>
      </c>
      <c r="F29" t="s">
        <v>198</v>
      </c>
      <c r="G29" t="s">
        <v>1693</v>
      </c>
      <c r="H29" t="s">
        <v>1694</v>
      </c>
      <c r="I29" t="s">
        <v>1433</v>
      </c>
      <c r="J29" s="33" t="s">
        <v>1434</v>
      </c>
    </row>
    <row r="30" spans="1:10" x14ac:dyDescent="0.25">
      <c r="A30" s="36" t="s">
        <v>1703</v>
      </c>
      <c r="B30" t="s">
        <v>1422</v>
      </c>
      <c r="C30">
        <v>7</v>
      </c>
      <c r="D30">
        <v>37</v>
      </c>
      <c r="F30" t="s">
        <v>210</v>
      </c>
      <c r="G30" t="s">
        <v>1695</v>
      </c>
      <c r="H30" t="s">
        <v>1696</v>
      </c>
      <c r="I30" t="s">
        <v>1433</v>
      </c>
      <c r="J30" s="33" t="s">
        <v>1434</v>
      </c>
    </row>
    <row r="31" spans="1:10" ht="15.75" thickBot="1" x14ac:dyDescent="0.3">
      <c r="A31" s="37" t="s">
        <v>1704</v>
      </c>
      <c r="B31" s="30" t="s">
        <v>1422</v>
      </c>
      <c r="C31" s="30">
        <v>7</v>
      </c>
      <c r="D31" s="30">
        <v>37</v>
      </c>
      <c r="E31" s="30"/>
      <c r="F31" s="30" t="s">
        <v>221</v>
      </c>
      <c r="G31" s="30" t="s">
        <v>1697</v>
      </c>
      <c r="H31" s="30" t="s">
        <v>1698</v>
      </c>
      <c r="I31" s="30" t="s">
        <v>1432</v>
      </c>
      <c r="J31" s="34" t="s">
        <v>1434</v>
      </c>
    </row>
    <row r="32" spans="1:10" x14ac:dyDescent="0.25">
      <c r="A32" s="35" t="s">
        <v>1770</v>
      </c>
      <c r="B32" s="22" t="s">
        <v>1422</v>
      </c>
      <c r="C32" s="22">
        <v>12</v>
      </c>
      <c r="D32" s="22">
        <v>62</v>
      </c>
      <c r="E32" s="22"/>
      <c r="F32" s="22" t="s">
        <v>1759</v>
      </c>
      <c r="G32" s="22" t="s">
        <v>1760</v>
      </c>
      <c r="H32" s="22" t="s">
        <v>1761</v>
      </c>
      <c r="I32" s="22" t="s">
        <v>1433</v>
      </c>
      <c r="J32" s="32" t="s">
        <v>1434</v>
      </c>
    </row>
    <row r="33" spans="1:10" x14ac:dyDescent="0.25">
      <c r="A33" s="36" t="s">
        <v>1771</v>
      </c>
      <c r="B33" t="s">
        <v>1422</v>
      </c>
      <c r="C33">
        <v>12</v>
      </c>
      <c r="D33">
        <v>62</v>
      </c>
      <c r="F33" t="s">
        <v>125</v>
      </c>
      <c r="G33" t="s">
        <v>1762</v>
      </c>
      <c r="H33" t="s">
        <v>1763</v>
      </c>
      <c r="I33" t="s">
        <v>1433</v>
      </c>
      <c r="J33" s="33" t="s">
        <v>1434</v>
      </c>
    </row>
    <row r="34" spans="1:10" x14ac:dyDescent="0.25">
      <c r="A34" s="36" t="s">
        <v>1772</v>
      </c>
      <c r="B34" t="s">
        <v>1422</v>
      </c>
      <c r="C34">
        <v>12</v>
      </c>
      <c r="D34">
        <v>62</v>
      </c>
      <c r="F34" t="s">
        <v>198</v>
      </c>
      <c r="G34" t="s">
        <v>1764</v>
      </c>
      <c r="H34" t="s">
        <v>1765</v>
      </c>
      <c r="I34" t="s">
        <v>1433</v>
      </c>
      <c r="J34" s="33" t="s">
        <v>1434</v>
      </c>
    </row>
    <row r="35" spans="1:10" x14ac:dyDescent="0.25">
      <c r="A35" s="36" t="s">
        <v>1773</v>
      </c>
      <c r="B35" t="s">
        <v>1422</v>
      </c>
      <c r="C35">
        <v>12</v>
      </c>
      <c r="D35">
        <v>62</v>
      </c>
      <c r="F35" t="s">
        <v>186</v>
      </c>
      <c r="G35" t="s">
        <v>1766</v>
      </c>
      <c r="H35" t="s">
        <v>1767</v>
      </c>
      <c r="I35" t="s">
        <v>1433</v>
      </c>
      <c r="J35" s="33" t="s">
        <v>1434</v>
      </c>
    </row>
    <row r="36" spans="1:10" ht="15.75" thickBot="1" x14ac:dyDescent="0.3">
      <c r="A36" s="37" t="s">
        <v>1774</v>
      </c>
      <c r="B36" s="30" t="s">
        <v>1422</v>
      </c>
      <c r="C36" s="30">
        <v>12</v>
      </c>
      <c r="D36" s="30">
        <v>62</v>
      </c>
      <c r="E36" s="30"/>
      <c r="F36" s="30" t="s">
        <v>1686</v>
      </c>
      <c r="G36" s="30" t="s">
        <v>1768</v>
      </c>
      <c r="H36" s="30" t="s">
        <v>1769</v>
      </c>
      <c r="I36" s="30" t="s">
        <v>1433</v>
      </c>
      <c r="J36" s="34" t="s">
        <v>1434</v>
      </c>
    </row>
    <row r="37" spans="1:10" x14ac:dyDescent="0.25">
      <c r="A37" s="35" t="s">
        <v>1775</v>
      </c>
      <c r="B37" s="22" t="s">
        <v>1422</v>
      </c>
      <c r="C37" s="22">
        <v>15</v>
      </c>
      <c r="D37" s="22">
        <v>86</v>
      </c>
      <c r="E37" s="22"/>
      <c r="F37" s="22" t="s">
        <v>76</v>
      </c>
      <c r="G37" s="22" t="s">
        <v>1848</v>
      </c>
      <c r="H37" s="22" t="s">
        <v>1849</v>
      </c>
      <c r="I37" s="22" t="s">
        <v>1433</v>
      </c>
      <c r="J37" s="32" t="s">
        <v>1434</v>
      </c>
    </row>
    <row r="38" spans="1:10" x14ac:dyDescent="0.25">
      <c r="A38" s="36" t="s">
        <v>1776</v>
      </c>
      <c r="B38" t="s">
        <v>1422</v>
      </c>
      <c r="C38">
        <v>15</v>
      </c>
      <c r="D38">
        <v>86</v>
      </c>
      <c r="F38" t="s">
        <v>204</v>
      </c>
      <c r="G38" t="s">
        <v>1850</v>
      </c>
      <c r="H38" t="s">
        <v>1851</v>
      </c>
      <c r="I38" t="s">
        <v>1433</v>
      </c>
      <c r="J38" s="33" t="s">
        <v>1434</v>
      </c>
    </row>
    <row r="39" spans="1:10" x14ac:dyDescent="0.25">
      <c r="A39" s="36" t="s">
        <v>1777</v>
      </c>
      <c r="B39" t="s">
        <v>1422</v>
      </c>
      <c r="C39">
        <v>15</v>
      </c>
      <c r="D39">
        <v>86</v>
      </c>
      <c r="F39" t="s">
        <v>1852</v>
      </c>
      <c r="G39" t="s">
        <v>1853</v>
      </c>
      <c r="H39" t="s">
        <v>1854</v>
      </c>
      <c r="I39" t="s">
        <v>1433</v>
      </c>
      <c r="J39" s="33" t="s">
        <v>1434</v>
      </c>
    </row>
    <row r="40" spans="1:10" x14ac:dyDescent="0.25">
      <c r="A40" s="36" t="s">
        <v>1778</v>
      </c>
      <c r="B40" t="s">
        <v>1422</v>
      </c>
      <c r="C40">
        <v>15</v>
      </c>
      <c r="D40">
        <v>86</v>
      </c>
      <c r="F40" t="s">
        <v>53</v>
      </c>
      <c r="G40" t="s">
        <v>1855</v>
      </c>
      <c r="H40" t="s">
        <v>1856</v>
      </c>
      <c r="I40" t="s">
        <v>1433</v>
      </c>
      <c r="J40" s="33" t="s">
        <v>1434</v>
      </c>
    </row>
    <row r="41" spans="1:10" x14ac:dyDescent="0.25">
      <c r="A41" s="36" t="s">
        <v>1779</v>
      </c>
      <c r="B41" t="s">
        <v>1422</v>
      </c>
      <c r="C41">
        <v>15</v>
      </c>
      <c r="D41">
        <v>86</v>
      </c>
      <c r="F41" t="s">
        <v>140</v>
      </c>
      <c r="G41" t="s">
        <v>1857</v>
      </c>
      <c r="H41" t="s">
        <v>1858</v>
      </c>
      <c r="I41" t="s">
        <v>1433</v>
      </c>
      <c r="J41" s="33" t="s">
        <v>1434</v>
      </c>
    </row>
    <row r="42" spans="1:10" ht="15.75" thickBot="1" x14ac:dyDescent="0.3">
      <c r="A42" s="37" t="s">
        <v>1847</v>
      </c>
      <c r="B42" s="30" t="s">
        <v>1422</v>
      </c>
      <c r="C42" s="30">
        <v>15</v>
      </c>
      <c r="D42" s="30">
        <v>86</v>
      </c>
      <c r="E42" s="30"/>
      <c r="F42" s="30" t="s">
        <v>192</v>
      </c>
      <c r="G42" s="30" t="s">
        <v>1859</v>
      </c>
      <c r="H42" s="30" t="s">
        <v>1860</v>
      </c>
      <c r="I42" s="30" t="s">
        <v>1432</v>
      </c>
      <c r="J42" s="34" t="s">
        <v>1434</v>
      </c>
    </row>
    <row r="43" spans="1:10" x14ac:dyDescent="0.25">
      <c r="A43" s="35" t="s">
        <v>1861</v>
      </c>
      <c r="B43" s="22" t="s">
        <v>1422</v>
      </c>
      <c r="C43" s="22">
        <v>32</v>
      </c>
      <c r="D43" s="22">
        <v>188</v>
      </c>
      <c r="E43" s="22"/>
      <c r="F43" s="22" t="s">
        <v>198</v>
      </c>
      <c r="G43" s="22" t="s">
        <v>1951</v>
      </c>
      <c r="H43" s="22" t="s">
        <v>1952</v>
      </c>
      <c r="I43" s="22" t="s">
        <v>1433</v>
      </c>
      <c r="J43" s="32" t="s">
        <v>1434</v>
      </c>
    </row>
    <row r="44" spans="1:10" x14ac:dyDescent="0.25">
      <c r="A44" s="36" t="s">
        <v>1862</v>
      </c>
      <c r="B44" t="s">
        <v>1422</v>
      </c>
      <c r="C44">
        <v>32</v>
      </c>
      <c r="D44">
        <v>188</v>
      </c>
      <c r="F44" t="s">
        <v>204</v>
      </c>
      <c r="G44" t="s">
        <v>1953</v>
      </c>
      <c r="H44" t="s">
        <v>1954</v>
      </c>
      <c r="I44" t="s">
        <v>1432</v>
      </c>
      <c r="J44" s="33" t="s">
        <v>1434</v>
      </c>
    </row>
    <row r="45" spans="1:10" x14ac:dyDescent="0.25">
      <c r="A45" s="36" t="s">
        <v>1863</v>
      </c>
      <c r="B45" t="s">
        <v>1422</v>
      </c>
      <c r="C45">
        <v>32</v>
      </c>
      <c r="D45">
        <v>188</v>
      </c>
      <c r="F45" t="s">
        <v>118</v>
      </c>
      <c r="G45" t="s">
        <v>1955</v>
      </c>
      <c r="H45" t="s">
        <v>1956</v>
      </c>
      <c r="I45" t="s">
        <v>1433</v>
      </c>
      <c r="J45" s="33" t="s">
        <v>1434</v>
      </c>
    </row>
    <row r="46" spans="1:10" x14ac:dyDescent="0.25">
      <c r="A46" s="36" t="s">
        <v>1864</v>
      </c>
      <c r="B46" t="s">
        <v>1422</v>
      </c>
      <c r="C46">
        <v>32</v>
      </c>
      <c r="D46">
        <v>188</v>
      </c>
      <c r="F46" t="s">
        <v>140</v>
      </c>
      <c r="G46" t="s">
        <v>1957</v>
      </c>
      <c r="H46" t="s">
        <v>1958</v>
      </c>
      <c r="I46" t="s">
        <v>1433</v>
      </c>
      <c r="J46" s="33" t="s">
        <v>1434</v>
      </c>
    </row>
    <row r="47" spans="1:10" x14ac:dyDescent="0.25">
      <c r="A47" s="36" t="s">
        <v>1865</v>
      </c>
      <c r="B47" t="s">
        <v>1422</v>
      </c>
      <c r="C47">
        <v>32</v>
      </c>
      <c r="D47">
        <v>188</v>
      </c>
      <c r="F47" t="s">
        <v>112</v>
      </c>
      <c r="G47" t="s">
        <v>1959</v>
      </c>
      <c r="H47" t="s">
        <v>1960</v>
      </c>
      <c r="I47" t="s">
        <v>1432</v>
      </c>
      <c r="J47" s="33" t="s">
        <v>1434</v>
      </c>
    </row>
    <row r="48" spans="1:10" ht="15.75" thickBot="1" x14ac:dyDescent="0.3">
      <c r="A48" s="37" t="s">
        <v>1866</v>
      </c>
      <c r="B48" s="30" t="s">
        <v>1422</v>
      </c>
      <c r="C48" s="30">
        <v>32</v>
      </c>
      <c r="D48" s="30">
        <v>188</v>
      </c>
      <c r="E48" s="30"/>
      <c r="F48" s="30" t="s">
        <v>161</v>
      </c>
      <c r="G48" s="30" t="s">
        <v>1961</v>
      </c>
      <c r="H48" s="30" t="s">
        <v>1962</v>
      </c>
      <c r="I48" s="30" t="s">
        <v>1433</v>
      </c>
      <c r="J48" s="34" t="s">
        <v>1434</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dimension ref="A1:F15"/>
  <sheetViews>
    <sheetView workbookViewId="0">
      <selection activeCell="D23" sqref="D23"/>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1966</v>
      </c>
      <c r="B1" t="s">
        <v>1967</v>
      </c>
      <c r="C1" t="s">
        <v>1968</v>
      </c>
      <c r="D1" t="s">
        <v>1969</v>
      </c>
      <c r="E1" t="s">
        <v>1970</v>
      </c>
      <c r="F1" t="s">
        <v>1971</v>
      </c>
    </row>
    <row r="2" spans="1:6" x14ac:dyDescent="0.25">
      <c r="A2" t="s">
        <v>1972</v>
      </c>
      <c r="B2" t="s">
        <v>1973</v>
      </c>
      <c r="C2" t="s">
        <v>1974</v>
      </c>
      <c r="D2" t="s">
        <v>1975</v>
      </c>
      <c r="E2" t="s">
        <v>1976</v>
      </c>
      <c r="F2" t="s">
        <v>1977</v>
      </c>
    </row>
    <row r="3" spans="1:6" x14ac:dyDescent="0.25">
      <c r="A3" t="s">
        <v>1978</v>
      </c>
      <c r="B3" t="s">
        <v>1973</v>
      </c>
      <c r="C3" t="s">
        <v>1979</v>
      </c>
      <c r="D3" t="s">
        <v>1980</v>
      </c>
      <c r="E3" t="s">
        <v>1423</v>
      </c>
      <c r="F3" t="s">
        <v>1981</v>
      </c>
    </row>
    <row r="4" spans="1:6" x14ac:dyDescent="0.25">
      <c r="A4" t="s">
        <v>1982</v>
      </c>
      <c r="B4" t="s">
        <v>1983</v>
      </c>
      <c r="C4" t="s">
        <v>1984</v>
      </c>
      <c r="D4" t="s">
        <v>1980</v>
      </c>
      <c r="E4" t="s">
        <v>1985</v>
      </c>
      <c r="F4" t="s">
        <v>1986</v>
      </c>
    </row>
    <row r="5" spans="1:6" x14ac:dyDescent="0.25">
      <c r="A5" t="s">
        <v>1987</v>
      </c>
      <c r="B5" t="s">
        <v>1988</v>
      </c>
      <c r="C5" t="s">
        <v>1989</v>
      </c>
      <c r="D5" t="s">
        <v>1990</v>
      </c>
      <c r="E5" t="s">
        <v>1991</v>
      </c>
      <c r="F5" t="s">
        <v>1992</v>
      </c>
    </row>
    <row r="6" spans="1:6" x14ac:dyDescent="0.25">
      <c r="A6" t="s">
        <v>1993</v>
      </c>
      <c r="B6" t="s">
        <v>1988</v>
      </c>
      <c r="C6" t="s">
        <v>1994</v>
      </c>
      <c r="D6" t="s">
        <v>1995</v>
      </c>
      <c r="E6" t="s">
        <v>1996</v>
      </c>
      <c r="F6" t="s">
        <v>1997</v>
      </c>
    </row>
    <row r="7" spans="1:6" x14ac:dyDescent="0.25">
      <c r="A7" t="s">
        <v>1998</v>
      </c>
      <c r="B7" t="s">
        <v>1988</v>
      </c>
      <c r="C7" t="s">
        <v>1999</v>
      </c>
      <c r="D7" t="s">
        <v>2000</v>
      </c>
      <c r="E7" t="s">
        <v>1578</v>
      </c>
      <c r="F7" t="s">
        <v>2001</v>
      </c>
    </row>
    <row r="8" spans="1:6" x14ac:dyDescent="0.25">
      <c r="A8" t="s">
        <v>2002</v>
      </c>
      <c r="B8" t="s">
        <v>1988</v>
      </c>
      <c r="C8" t="s">
        <v>2003</v>
      </c>
      <c r="D8" t="s">
        <v>2004</v>
      </c>
      <c r="E8" t="s">
        <v>2005</v>
      </c>
      <c r="F8" t="s">
        <v>2006</v>
      </c>
    </row>
    <row r="9" spans="1:6" x14ac:dyDescent="0.25">
      <c r="A9" t="s">
        <v>2007</v>
      </c>
      <c r="B9" t="s">
        <v>1988</v>
      </c>
      <c r="C9" t="s">
        <v>2008</v>
      </c>
      <c r="D9" t="s">
        <v>2009</v>
      </c>
      <c r="E9" t="s">
        <v>1507</v>
      </c>
      <c r="F9" t="s">
        <v>2010</v>
      </c>
    </row>
    <row r="10" spans="1:6" x14ac:dyDescent="0.25">
      <c r="A10" t="s">
        <v>2011</v>
      </c>
      <c r="B10" t="s">
        <v>1988</v>
      </c>
      <c r="C10" t="s">
        <v>2012</v>
      </c>
      <c r="D10" t="s">
        <v>2013</v>
      </c>
      <c r="E10" t="s">
        <v>1866</v>
      </c>
      <c r="F10" t="s">
        <v>2014</v>
      </c>
    </row>
    <row r="11" spans="1:6" x14ac:dyDescent="0.25">
      <c r="A11" t="s">
        <v>2015</v>
      </c>
      <c r="B11" t="s">
        <v>2016</v>
      </c>
      <c r="C11" t="s">
        <v>2017</v>
      </c>
      <c r="D11" t="s">
        <v>2018</v>
      </c>
      <c r="E11" t="s">
        <v>2019</v>
      </c>
      <c r="F11" t="s">
        <v>2020</v>
      </c>
    </row>
    <row r="12" spans="1:6" x14ac:dyDescent="0.25">
      <c r="A12" t="s">
        <v>2021</v>
      </c>
      <c r="B12" t="s">
        <v>2022</v>
      </c>
      <c r="C12" t="s">
        <v>2023</v>
      </c>
      <c r="D12" t="s">
        <v>2024</v>
      </c>
      <c r="E12" t="s">
        <v>2025</v>
      </c>
      <c r="F12" t="s">
        <v>2026</v>
      </c>
    </row>
    <row r="13" spans="1:6" x14ac:dyDescent="0.25">
      <c r="A13" t="s">
        <v>2027</v>
      </c>
      <c r="B13" t="s">
        <v>2028</v>
      </c>
      <c r="C13" t="s">
        <v>2029</v>
      </c>
      <c r="D13" t="s">
        <v>2030</v>
      </c>
      <c r="E13" t="s">
        <v>2031</v>
      </c>
      <c r="F13" t="s">
        <v>2032</v>
      </c>
    </row>
    <row r="14" spans="1:6" x14ac:dyDescent="0.25">
      <c r="A14" t="s">
        <v>2033</v>
      </c>
      <c r="B14" t="s">
        <v>2028</v>
      </c>
      <c r="C14" t="s">
        <v>2034</v>
      </c>
      <c r="D14" t="s">
        <v>204</v>
      </c>
      <c r="E14" t="s">
        <v>2035</v>
      </c>
      <c r="F14" t="s">
        <v>2036</v>
      </c>
    </row>
    <row r="15" spans="1:6" x14ac:dyDescent="0.25">
      <c r="A15" t="s">
        <v>2037</v>
      </c>
      <c r="B15" t="s">
        <v>2038</v>
      </c>
      <c r="C15" t="s">
        <v>2039</v>
      </c>
      <c r="D15" t="s">
        <v>2040</v>
      </c>
      <c r="E15" t="s">
        <v>2041</v>
      </c>
      <c r="F15" t="s">
        <v>2042</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B3" sqref="B3"/>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278</v>
      </c>
      <c r="D1" t="s">
        <v>279</v>
      </c>
      <c r="E1" t="s">
        <v>280</v>
      </c>
      <c r="F1" t="s">
        <v>281</v>
      </c>
      <c r="G1" t="s">
        <v>282</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L6" sqref="L6"/>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E23" sqref="E2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D24" sqref="D24"/>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2071</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2074</v>
      </c>
      <c r="F4" t="s">
        <v>202</v>
      </c>
      <c r="G4" t="s">
        <v>2077</v>
      </c>
      <c r="H4" t="s">
        <v>203</v>
      </c>
    </row>
    <row r="5" spans="1:8" x14ac:dyDescent="0.25">
      <c r="A5" t="s">
        <v>204</v>
      </c>
      <c r="B5" t="s">
        <v>205</v>
      </c>
      <c r="C5" t="s">
        <v>206</v>
      </c>
      <c r="D5" t="s">
        <v>2079</v>
      </c>
      <c r="E5" t="s">
        <v>229</v>
      </c>
      <c r="F5" t="s">
        <v>207</v>
      </c>
      <c r="G5" t="s">
        <v>208</v>
      </c>
      <c r="H5" t="s">
        <v>209</v>
      </c>
    </row>
    <row r="6" spans="1:8" x14ac:dyDescent="0.25">
      <c r="A6" t="s">
        <v>210</v>
      </c>
      <c r="B6" t="s">
        <v>211</v>
      </c>
      <c r="C6" t="s">
        <v>212</v>
      </c>
      <c r="D6" t="s">
        <v>2082</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2084</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E25" sqref="E25"/>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21"/>
  <sheetViews>
    <sheetView tabSelected="1" workbookViewId="0">
      <selection activeCell="C22" sqref="C22"/>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995</v>
      </c>
      <c r="B3" t="s">
        <v>953</v>
      </c>
      <c r="C3" t="s">
        <v>2043</v>
      </c>
      <c r="E3" t="s">
        <v>996</v>
      </c>
      <c r="F3" t="s">
        <v>997</v>
      </c>
      <c r="G3" t="s">
        <v>1965</v>
      </c>
    </row>
    <row r="4" spans="1:7" x14ac:dyDescent="0.25">
      <c r="A4" t="s">
        <v>1963</v>
      </c>
      <c r="B4" t="s">
        <v>1964</v>
      </c>
      <c r="C4" t="s">
        <v>2044</v>
      </c>
      <c r="D4" t="s">
        <v>69</v>
      </c>
      <c r="E4" t="s">
        <v>2045</v>
      </c>
      <c r="F4" t="s">
        <v>2047</v>
      </c>
      <c r="G4" t="s">
        <v>1965</v>
      </c>
    </row>
    <row r="5" spans="1:7" x14ac:dyDescent="0.25">
      <c r="A5" t="s">
        <v>1963</v>
      </c>
      <c r="B5" t="s">
        <v>1964</v>
      </c>
      <c r="C5" t="s">
        <v>2044</v>
      </c>
      <c r="D5" t="s">
        <v>76</v>
      </c>
      <c r="E5" t="s">
        <v>2048</v>
      </c>
      <c r="F5" t="s">
        <v>2050</v>
      </c>
      <c r="G5" t="s">
        <v>1965</v>
      </c>
    </row>
    <row r="6" spans="1:7" x14ac:dyDescent="0.25">
      <c r="A6" t="s">
        <v>1963</v>
      </c>
      <c r="B6" t="s">
        <v>1964</v>
      </c>
      <c r="C6" t="s">
        <v>2044</v>
      </c>
      <c r="D6" t="s">
        <v>106</v>
      </c>
      <c r="E6" t="s">
        <v>2045</v>
      </c>
      <c r="F6" t="s">
        <v>2052</v>
      </c>
      <c r="G6" t="s">
        <v>1965</v>
      </c>
    </row>
    <row r="7" spans="1:7" x14ac:dyDescent="0.25">
      <c r="A7" t="s">
        <v>1963</v>
      </c>
      <c r="B7" t="s">
        <v>1964</v>
      </c>
      <c r="C7" t="s">
        <v>2044</v>
      </c>
      <c r="D7" t="s">
        <v>112</v>
      </c>
      <c r="E7" t="s">
        <v>2048</v>
      </c>
      <c r="F7" t="s">
        <v>2054</v>
      </c>
      <c r="G7" t="s">
        <v>1965</v>
      </c>
    </row>
    <row r="8" spans="1:7" x14ac:dyDescent="0.25">
      <c r="A8" t="s">
        <v>1963</v>
      </c>
      <c r="B8" t="s">
        <v>1964</v>
      </c>
      <c r="C8" t="s">
        <v>2044</v>
      </c>
      <c r="D8" t="s">
        <v>125</v>
      </c>
      <c r="E8" t="s">
        <v>2055</v>
      </c>
      <c r="F8" t="s">
        <v>2057</v>
      </c>
      <c r="G8" t="s">
        <v>1965</v>
      </c>
    </row>
    <row r="9" spans="1:7" x14ac:dyDescent="0.25">
      <c r="A9" t="s">
        <v>1963</v>
      </c>
      <c r="B9" t="s">
        <v>1964</v>
      </c>
      <c r="C9" t="s">
        <v>2044</v>
      </c>
      <c r="D9" t="s">
        <v>140</v>
      </c>
      <c r="E9" t="s">
        <v>2048</v>
      </c>
      <c r="F9" t="s">
        <v>2059</v>
      </c>
      <c r="G9" t="s">
        <v>1965</v>
      </c>
    </row>
    <row r="10" spans="1:7" x14ac:dyDescent="0.25">
      <c r="A10" t="s">
        <v>1963</v>
      </c>
      <c r="B10" t="s">
        <v>1964</v>
      </c>
      <c r="C10" t="s">
        <v>2044</v>
      </c>
      <c r="D10" t="s">
        <v>147</v>
      </c>
      <c r="E10" t="s">
        <v>2045</v>
      </c>
      <c r="F10" t="s">
        <v>2061</v>
      </c>
      <c r="G10" t="s">
        <v>1965</v>
      </c>
    </row>
    <row r="11" spans="1:7" x14ac:dyDescent="0.25">
      <c r="A11" t="s">
        <v>1963</v>
      </c>
      <c r="B11" t="s">
        <v>1964</v>
      </c>
      <c r="C11" t="s">
        <v>2044</v>
      </c>
      <c r="D11" t="s">
        <v>154</v>
      </c>
      <c r="E11" t="s">
        <v>2055</v>
      </c>
      <c r="F11" t="s">
        <v>2063</v>
      </c>
      <c r="G11" t="s">
        <v>1965</v>
      </c>
    </row>
    <row r="12" spans="1:7" x14ac:dyDescent="0.25">
      <c r="A12" t="s">
        <v>1963</v>
      </c>
      <c r="B12" t="s">
        <v>1964</v>
      </c>
      <c r="C12" t="s">
        <v>2044</v>
      </c>
      <c r="D12" t="s">
        <v>161</v>
      </c>
      <c r="E12" t="s">
        <v>2048</v>
      </c>
      <c r="F12" t="s">
        <v>2065</v>
      </c>
      <c r="G12" t="s">
        <v>1965</v>
      </c>
    </row>
    <row r="13" spans="1:7" x14ac:dyDescent="0.25">
      <c r="A13" t="s">
        <v>1963</v>
      </c>
      <c r="B13" t="s">
        <v>1964</v>
      </c>
      <c r="C13" t="s">
        <v>2044</v>
      </c>
      <c r="D13" t="s">
        <v>161</v>
      </c>
      <c r="E13" t="s">
        <v>2055</v>
      </c>
      <c r="F13" t="s">
        <v>2067</v>
      </c>
      <c r="G13" t="s">
        <v>1965</v>
      </c>
    </row>
    <row r="14" spans="1:7" x14ac:dyDescent="0.25">
      <c r="A14" t="s">
        <v>1963</v>
      </c>
      <c r="B14" t="s">
        <v>1964</v>
      </c>
      <c r="C14" t="s">
        <v>2044</v>
      </c>
      <c r="D14" t="s">
        <v>174</v>
      </c>
      <c r="E14" t="s">
        <v>2048</v>
      </c>
      <c r="F14" t="s">
        <v>2069</v>
      </c>
      <c r="G14" t="s">
        <v>1965</v>
      </c>
    </row>
    <row r="15" spans="1:7" x14ac:dyDescent="0.25">
      <c r="A15" t="s">
        <v>1963</v>
      </c>
      <c r="B15" t="s">
        <v>1964</v>
      </c>
      <c r="C15" t="s">
        <v>2044</v>
      </c>
      <c r="D15" t="s">
        <v>186</v>
      </c>
      <c r="E15" t="s">
        <v>2070</v>
      </c>
      <c r="F15" t="s">
        <v>2072</v>
      </c>
      <c r="G15" t="s">
        <v>1965</v>
      </c>
    </row>
    <row r="16" spans="1:7" x14ac:dyDescent="0.25">
      <c r="A16" t="s">
        <v>1963</v>
      </c>
      <c r="B16" t="s">
        <v>1964</v>
      </c>
      <c r="C16" t="s">
        <v>2044</v>
      </c>
      <c r="D16" t="s">
        <v>198</v>
      </c>
      <c r="E16" t="s">
        <v>2073</v>
      </c>
      <c r="F16" t="s">
        <v>2075</v>
      </c>
      <c r="G16" t="s">
        <v>1965</v>
      </c>
    </row>
    <row r="17" spans="1:7" x14ac:dyDescent="0.25">
      <c r="A17" t="s">
        <v>1963</v>
      </c>
      <c r="B17" t="s">
        <v>1964</v>
      </c>
      <c r="C17" t="s">
        <v>2044</v>
      </c>
      <c r="D17" t="s">
        <v>198</v>
      </c>
      <c r="E17" t="s">
        <v>2076</v>
      </c>
      <c r="F17" t="s">
        <v>2078</v>
      </c>
      <c r="G17" t="s">
        <v>1965</v>
      </c>
    </row>
    <row r="18" spans="1:7" x14ac:dyDescent="0.25">
      <c r="A18" t="s">
        <v>1963</v>
      </c>
      <c r="B18" t="s">
        <v>1964</v>
      </c>
      <c r="C18" t="s">
        <v>2044</v>
      </c>
      <c r="D18" t="s">
        <v>204</v>
      </c>
      <c r="E18" t="s">
        <v>2070</v>
      </c>
      <c r="F18" t="s">
        <v>2080</v>
      </c>
      <c r="G18" t="s">
        <v>2081</v>
      </c>
    </row>
    <row r="19" spans="1:7" x14ac:dyDescent="0.25">
      <c r="A19" t="s">
        <v>1963</v>
      </c>
      <c r="B19" t="s">
        <v>1964</v>
      </c>
      <c r="C19" t="s">
        <v>2044</v>
      </c>
      <c r="D19" t="s">
        <v>210</v>
      </c>
      <c r="E19" t="s">
        <v>2070</v>
      </c>
      <c r="F19" t="s">
        <v>2083</v>
      </c>
      <c r="G19" t="s">
        <v>1965</v>
      </c>
    </row>
    <row r="20" spans="1:7" x14ac:dyDescent="0.25">
      <c r="A20" t="s">
        <v>1963</v>
      </c>
      <c r="B20" t="s">
        <v>1964</v>
      </c>
      <c r="C20" t="s">
        <v>2044</v>
      </c>
      <c r="D20" t="s">
        <v>221</v>
      </c>
      <c r="E20" t="s">
        <v>2070</v>
      </c>
      <c r="F20" t="s">
        <v>2085</v>
      </c>
      <c r="G20" t="s">
        <v>1965</v>
      </c>
    </row>
    <row r="21" spans="1:7" x14ac:dyDescent="0.25">
      <c r="A21" s="39" t="s">
        <v>2150</v>
      </c>
      <c r="B21" s="39" t="s">
        <v>1964</v>
      </c>
      <c r="C21" s="39" t="s">
        <v>2151</v>
      </c>
      <c r="D21" s="39"/>
      <c r="E21" s="39"/>
      <c r="F21" s="39"/>
      <c r="G21" s="39"/>
    </row>
  </sheetData>
  <phoneticPr fontId="1" type="noConversion"/>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M4" sqref="M4"/>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05C_Governance_Coding_RE</vt:lpstr>
      <vt:lpstr>03c_Values_Coding_RE</vt:lpstr>
      <vt:lpstr>00_DAX_Master</vt:lpstr>
      <vt:lpstr>01_Document_Log</vt:lpstr>
      <vt:lpstr>02_Values_Codebook</vt:lpstr>
      <vt:lpstr>03c_Values_Coding_PILOT</vt:lpstr>
      <vt:lpstr>05b_Governance_Coding_PILOT</vt:lpstr>
      <vt:lpstr>07_Boundary_Cases</vt:lpstr>
      <vt:lpstr>08a_Regelkonsolidierung_Pilot</vt:lpstr>
      <vt:lpstr>03b_Values_Company_Level</vt:lpstr>
      <vt:lpstr>05_Governance_Coding</vt:lpstr>
      <vt:lpstr>03_Values_Coding</vt:lpstr>
      <vt:lpstr>04_Governance_Codebook</vt:lpstr>
      <vt:lpstr>06_Derived_Indices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2026-03-07T12:53:21Z</dcterms:modified>
</cp:coreProperties>
</file>