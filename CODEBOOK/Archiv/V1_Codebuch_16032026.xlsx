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iubhfs-my.sharepoint.com/personal/florian_klawun_iu-study_org/Documents/IU Study/Marketing/19_Thesis/Recherche/Codebook/"/>
    </mc:Choice>
  </mc:AlternateContent>
  <xr:revisionPtr revIDLastSave="6430" documentId="13_ncr:1_{C245E2A3-57C9-4A09-94EC-D2BB2DF34E06}" xr6:coauthVersionLast="47" xr6:coauthVersionMax="47" xr10:uidLastSave="{EDE2276B-8A6B-48C0-BEBB-F860D0B1D5BF}"/>
  <bookViews>
    <workbookView xWindow="28695" yWindow="0" windowWidth="29010" windowHeight="15585" firstSheet="1" activeTab="6" xr2:uid="{F9AAA310-B95D-453B-B29F-7BBE9569B71F}"/>
  </bookViews>
  <sheets>
    <sheet name="00_DAX_Master" sheetId="1" r:id="rId1"/>
    <sheet name="01_Document_Log" sheetId="2" r:id="rId2"/>
    <sheet name="02_Values_Codebook" sheetId="3" r:id="rId3"/>
    <sheet name="04_Governance_Codebook" sheetId="5" r:id="rId4"/>
    <sheet name="03_Values_Coding" sheetId="4" r:id="rId5"/>
    <sheet name="05_Governance_Coding" sheetId="6" r:id="rId6"/>
    <sheet name="07_Boundary_Cases" sheetId="10" r:id="rId7"/>
    <sheet name="03b_Values_Company_Level" sheetId="9" r:id="rId8"/>
    <sheet name="05b_Governance_Company_Level" sheetId="18" r:id="rId9"/>
    <sheet name="06_Derived_Indices" sheetId="7" r:id="rId10"/>
    <sheet name="08_Codebook_Changelog" sheetId="11" r:id="rId11"/>
    <sheet name="09_Coding_Memos" sheetId="12" r:id="rId12"/>
    <sheet name="99_Lookups" sheetId="8" r:id="rId13"/>
    <sheet name="30_Values_Coding_PILOT" sheetId="13" r:id="rId14"/>
    <sheet name="31_Values_Coding_RE" sheetId="16" r:id="rId15"/>
    <sheet name="50_Governance_Coding_PILOT" sheetId="14" r:id="rId16"/>
    <sheet name="51_Governance_Coding_RE" sheetId="17" r:id="rId17"/>
    <sheet name="80_Regelkonsolidierung_Pilot" sheetId="15" r:id="rId1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73" i="4" l="1"/>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D42" i="9"/>
  <c r="C42" i="9" s="1"/>
  <c r="D43" i="9"/>
  <c r="C43" i="9" s="1"/>
  <c r="D44" i="9"/>
  <c r="C44" i="9" s="1"/>
  <c r="D45" i="9"/>
  <c r="C45" i="9" s="1"/>
  <c r="D46" i="9"/>
  <c r="C46" i="9" s="1"/>
  <c r="D47" i="9"/>
  <c r="C47" i="9" s="1"/>
  <c r="D48" i="9"/>
  <c r="C48" i="9" s="1"/>
  <c r="D49" i="9"/>
  <c r="C49" i="9" s="1"/>
  <c r="D50" i="9"/>
  <c r="C50" i="9" s="1"/>
  <c r="D51" i="9"/>
  <c r="C51" i="9" s="1"/>
  <c r="D52" i="9"/>
  <c r="C52" i="9" s="1"/>
  <c r="D53" i="9"/>
  <c r="C53" i="9" s="1"/>
  <c r="D54" i="9"/>
  <c r="C54" i="9" s="1"/>
  <c r="D55" i="9"/>
  <c r="C55" i="9" s="1"/>
  <c r="D56" i="9"/>
  <c r="C56" i="9" s="1"/>
  <c r="D57" i="9"/>
  <c r="C57" i="9" s="1"/>
  <c r="D58" i="9"/>
  <c r="C58" i="9" s="1"/>
  <c r="D59" i="9"/>
  <c r="C59" i="9" s="1"/>
  <c r="D60" i="9"/>
  <c r="C60" i="9" s="1"/>
  <c r="D61" i="9"/>
  <c r="C61" i="9" s="1"/>
  <c r="D62" i="9"/>
  <c r="C62" i="9" s="1"/>
  <c r="D63" i="9"/>
  <c r="C63" i="9" s="1"/>
  <c r="D64" i="9"/>
  <c r="C64" i="9" s="1"/>
  <c r="D65" i="9"/>
  <c r="C65" i="9" s="1"/>
  <c r="D66" i="9"/>
  <c r="C66" i="9" s="1"/>
  <c r="D67" i="9"/>
  <c r="C67" i="9" s="1"/>
  <c r="D68" i="9"/>
  <c r="C68" i="9" s="1"/>
  <c r="D69" i="9"/>
  <c r="C69" i="9" s="1"/>
  <c r="D70" i="9"/>
  <c r="C70" i="9" s="1"/>
  <c r="D71" i="9"/>
  <c r="C71" i="9" s="1"/>
  <c r="D72" i="9"/>
  <c r="C72" i="9" s="1"/>
  <c r="D73" i="9"/>
  <c r="C73" i="9" s="1"/>
  <c r="D74" i="9"/>
  <c r="C74" i="9" s="1"/>
  <c r="D75" i="9"/>
  <c r="C75" i="9" s="1"/>
  <c r="D76" i="9"/>
  <c r="C76" i="9" s="1"/>
  <c r="D77" i="9"/>
  <c r="C77" i="9" s="1"/>
  <c r="D78" i="9"/>
  <c r="C78" i="9" s="1"/>
  <c r="D79" i="9"/>
  <c r="C79" i="9" s="1"/>
  <c r="D80" i="9"/>
  <c r="C80" i="9" s="1"/>
  <c r="D81" i="9"/>
  <c r="C81" i="9" s="1"/>
  <c r="D82" i="9"/>
  <c r="C82" i="9" s="1"/>
  <c r="D83" i="9"/>
  <c r="C83" i="9" s="1"/>
  <c r="D84" i="9"/>
  <c r="C84" i="9" s="1"/>
  <c r="D85" i="9"/>
  <c r="C85" i="9" s="1"/>
  <c r="D86" i="9"/>
  <c r="C86" i="9" s="1"/>
  <c r="D87" i="9"/>
  <c r="C87" i="9" s="1"/>
  <c r="D88" i="9"/>
  <c r="C88" i="9" s="1"/>
  <c r="D89" i="9"/>
  <c r="C89" i="9" s="1"/>
  <c r="D90" i="9"/>
  <c r="C90" i="9" s="1"/>
  <c r="D91" i="9"/>
  <c r="C91" i="9" s="1"/>
  <c r="D92" i="9"/>
  <c r="C92" i="9" s="1"/>
  <c r="D93" i="9"/>
  <c r="C93" i="9" s="1"/>
  <c r="D94" i="9"/>
  <c r="C94" i="9" s="1"/>
  <c r="D95" i="9"/>
  <c r="C95" i="9" s="1"/>
  <c r="D96" i="9"/>
  <c r="C96" i="9" s="1"/>
  <c r="D97" i="9"/>
  <c r="C97" i="9" s="1"/>
  <c r="D98" i="9"/>
  <c r="C98" i="9" s="1"/>
  <c r="D99" i="9"/>
  <c r="C99" i="9" s="1"/>
  <c r="D100" i="9"/>
  <c r="C100" i="9" s="1"/>
  <c r="D101" i="9"/>
  <c r="C101" i="9" s="1"/>
  <c r="D102" i="9"/>
  <c r="C102" i="9" s="1"/>
  <c r="D103" i="9"/>
  <c r="C103" i="9" s="1"/>
  <c r="D104" i="9"/>
  <c r="C104" i="9" s="1"/>
  <c r="D105" i="9"/>
  <c r="C105" i="9" s="1"/>
  <c r="D106" i="9"/>
  <c r="C106" i="9" s="1"/>
  <c r="D107" i="9"/>
  <c r="C107" i="9" s="1"/>
  <c r="D108" i="9"/>
  <c r="C108" i="9" s="1"/>
  <c r="D109" i="9"/>
  <c r="C109" i="9" s="1"/>
  <c r="D110" i="9"/>
  <c r="C110" i="9" s="1"/>
  <c r="D111" i="9"/>
  <c r="C111" i="9" s="1"/>
  <c r="D112" i="9"/>
  <c r="C112" i="9" s="1"/>
  <c r="D113" i="9"/>
  <c r="C113" i="9" s="1"/>
  <c r="D114" i="9"/>
  <c r="C114" i="9" s="1"/>
  <c r="D115" i="9"/>
  <c r="C115" i="9" s="1"/>
  <c r="D116" i="9"/>
  <c r="C116" i="9" s="1"/>
  <c r="D117" i="9"/>
  <c r="C117" i="9" s="1"/>
  <c r="D118" i="9"/>
  <c r="C118" i="9" s="1"/>
  <c r="D119" i="9"/>
  <c r="C119" i="9" s="1"/>
  <c r="D120" i="9"/>
  <c r="C120" i="9" s="1"/>
  <c r="D121" i="9"/>
  <c r="C121" i="9" s="1"/>
  <c r="D122" i="9"/>
  <c r="C122" i="9" s="1"/>
  <c r="D123" i="9"/>
  <c r="C123" i="9" s="1"/>
  <c r="D124" i="9"/>
  <c r="C124" i="9" s="1"/>
  <c r="D125" i="9"/>
  <c r="C125" i="9" s="1"/>
  <c r="D126" i="9"/>
  <c r="C126" i="9" s="1"/>
  <c r="D127" i="9"/>
  <c r="C127" i="9" s="1"/>
  <c r="D128" i="9"/>
  <c r="C128" i="9" s="1"/>
  <c r="D129" i="9"/>
  <c r="C129" i="9" s="1"/>
  <c r="D130" i="9"/>
  <c r="C130" i="9" s="1"/>
  <c r="D131" i="9"/>
  <c r="C131" i="9" s="1"/>
  <c r="D132" i="9"/>
  <c r="C132" i="9" s="1"/>
  <c r="D133" i="9"/>
  <c r="C133" i="9" s="1"/>
  <c r="D134" i="9"/>
  <c r="C134" i="9" s="1"/>
  <c r="D135" i="9"/>
  <c r="C135" i="9" s="1"/>
  <c r="D136" i="9"/>
  <c r="C136" i="9" s="1"/>
  <c r="D137" i="9"/>
  <c r="C137" i="9" s="1"/>
  <c r="D138" i="9"/>
  <c r="C138" i="9" s="1"/>
  <c r="D139" i="9"/>
  <c r="C139" i="9" s="1"/>
  <c r="D140" i="9"/>
  <c r="C140" i="9" s="1"/>
  <c r="D141" i="9"/>
  <c r="C141" i="9" s="1"/>
  <c r="D142" i="9"/>
  <c r="C142" i="9" s="1"/>
  <c r="D143" i="9"/>
  <c r="C143" i="9" s="1"/>
  <c r="D144" i="9"/>
  <c r="C144" i="9" s="1"/>
  <c r="D145" i="9"/>
  <c r="C145" i="9" s="1"/>
  <c r="D146" i="9"/>
  <c r="C146" i="9" s="1"/>
  <c r="D147" i="9"/>
  <c r="C147" i="9" s="1"/>
  <c r="D148" i="9"/>
  <c r="C148" i="9" s="1"/>
  <c r="D149" i="9"/>
  <c r="C149" i="9" s="1"/>
  <c r="D150" i="9"/>
  <c r="C150" i="9" s="1"/>
  <c r="D151" i="9"/>
  <c r="C151" i="9" s="1"/>
  <c r="D152" i="9"/>
  <c r="C152" i="9" s="1"/>
  <c r="D153" i="9"/>
  <c r="C153" i="9" s="1"/>
  <c r="D154" i="9"/>
  <c r="C154" i="9" s="1"/>
  <c r="D155" i="9"/>
  <c r="C155" i="9" s="1"/>
  <c r="D156" i="9"/>
  <c r="C156" i="9" s="1"/>
  <c r="D157" i="9"/>
  <c r="C157" i="9" s="1"/>
  <c r="D158" i="9"/>
  <c r="C158" i="9" s="1"/>
  <c r="D159" i="9"/>
  <c r="C159" i="9" s="1"/>
  <c r="D160" i="9"/>
  <c r="C160" i="9" s="1"/>
  <c r="D161" i="9"/>
  <c r="C161" i="9" s="1"/>
  <c r="D162" i="9"/>
  <c r="C162" i="9" s="1"/>
  <c r="D163" i="9"/>
  <c r="C163" i="9" s="1"/>
  <c r="D164" i="9"/>
  <c r="C164" i="9" s="1"/>
  <c r="D165" i="9"/>
  <c r="C165" i="9" s="1"/>
  <c r="D166" i="9"/>
  <c r="C166" i="9" s="1"/>
  <c r="D167" i="9"/>
  <c r="C167" i="9" s="1"/>
  <c r="D168" i="9"/>
  <c r="C168" i="9" s="1"/>
  <c r="D169" i="9"/>
  <c r="C169" i="9" s="1"/>
  <c r="D170" i="9"/>
  <c r="C170" i="9" s="1"/>
  <c r="D171" i="9"/>
  <c r="C171" i="9" s="1"/>
  <c r="D172" i="9"/>
  <c r="C172" i="9" s="1"/>
  <c r="D173" i="9"/>
  <c r="C173" i="9" s="1"/>
  <c r="D174" i="9"/>
  <c r="C174" i="9" s="1"/>
  <c r="D175" i="9"/>
  <c r="C175" i="9" s="1"/>
  <c r="D176" i="9"/>
  <c r="C176" i="9" s="1"/>
  <c r="D177" i="9"/>
  <c r="C177" i="9" s="1"/>
  <c r="D178" i="9"/>
  <c r="C178" i="9" s="1"/>
  <c r="D179" i="9"/>
  <c r="C179" i="9" s="1"/>
  <c r="D180" i="9"/>
  <c r="C180" i="9" s="1"/>
  <c r="D181" i="9"/>
  <c r="C181" i="9" s="1"/>
  <c r="D182" i="9"/>
  <c r="C182" i="9" s="1"/>
  <c r="D183" i="9"/>
  <c r="C183" i="9" s="1"/>
  <c r="D184" i="9"/>
  <c r="C184" i="9" s="1"/>
  <c r="D185" i="9"/>
  <c r="C185" i="9" s="1"/>
  <c r="D186" i="9"/>
  <c r="C186" i="9" s="1"/>
  <c r="D187" i="9"/>
  <c r="C187" i="9" s="1"/>
  <c r="D188" i="9"/>
  <c r="C188" i="9" s="1"/>
  <c r="D189" i="9"/>
  <c r="C189" i="9" s="1"/>
  <c r="D190" i="9"/>
  <c r="C190" i="9" s="1"/>
  <c r="D191" i="9"/>
  <c r="C191" i="9" s="1"/>
  <c r="D192" i="9"/>
  <c r="C192" i="9" s="1"/>
  <c r="D193" i="9"/>
  <c r="C193" i="9" s="1"/>
  <c r="D194" i="9"/>
  <c r="C194" i="9" s="1"/>
  <c r="D195" i="9"/>
  <c r="C195" i="9" s="1"/>
  <c r="D196" i="9"/>
  <c r="C196" i="9" s="1"/>
  <c r="D197" i="9"/>
  <c r="C197" i="9" s="1"/>
  <c r="D198" i="9"/>
  <c r="C198" i="9" s="1"/>
  <c r="D199" i="9"/>
  <c r="C199" i="9" s="1"/>
  <c r="D200" i="9"/>
  <c r="C200" i="9" s="1"/>
  <c r="D201" i="9"/>
  <c r="C201" i="9" s="1"/>
  <c r="D202" i="9"/>
  <c r="C202" i="9" s="1"/>
  <c r="D203" i="9"/>
  <c r="C203" i="9" s="1"/>
  <c r="D204" i="9"/>
  <c r="C204" i="9" s="1"/>
  <c r="D205" i="9"/>
  <c r="C205" i="9" s="1"/>
  <c r="D206" i="9"/>
  <c r="C206" i="9" s="1"/>
  <c r="D207" i="9"/>
  <c r="C207" i="9" s="1"/>
  <c r="D208" i="9"/>
  <c r="C208" i="9" s="1"/>
  <c r="D209" i="9"/>
  <c r="C209" i="9" s="1"/>
  <c r="D210" i="9"/>
  <c r="C210" i="9" s="1"/>
  <c r="D211" i="9"/>
  <c r="C211" i="9" s="1"/>
  <c r="D212" i="9"/>
  <c r="C212" i="9" s="1"/>
  <c r="D213" i="9"/>
  <c r="C213" i="9" s="1"/>
  <c r="D214" i="9"/>
  <c r="C214" i="9" s="1"/>
  <c r="D215" i="9"/>
  <c r="C215" i="9" s="1"/>
  <c r="D216" i="9"/>
  <c r="C216" i="9" s="1"/>
  <c r="D217" i="9"/>
  <c r="C217" i="9" s="1"/>
  <c r="D218" i="9"/>
  <c r="C218" i="9" s="1"/>
  <c r="D219" i="9"/>
  <c r="C219" i="9" s="1"/>
  <c r="D220" i="9"/>
  <c r="C220" i="9" s="1"/>
  <c r="D221" i="9"/>
  <c r="C221" i="9" s="1"/>
  <c r="D222" i="9"/>
  <c r="C222" i="9" s="1"/>
  <c r="D223" i="9"/>
  <c r="C223" i="9" s="1"/>
  <c r="D224" i="9"/>
  <c r="C224" i="9" s="1"/>
  <c r="D225" i="9"/>
  <c r="C225" i="9" s="1"/>
  <c r="D226" i="9"/>
  <c r="C226" i="9" s="1"/>
  <c r="D227" i="9"/>
  <c r="C227" i="9" s="1"/>
  <c r="D228" i="9"/>
  <c r="C228" i="9" s="1"/>
  <c r="D229" i="9"/>
  <c r="C229" i="9" s="1"/>
  <c r="D230" i="9"/>
  <c r="C230" i="9" s="1"/>
  <c r="D231" i="9"/>
  <c r="C231" i="9" s="1"/>
  <c r="D232" i="9"/>
  <c r="C232" i="9" s="1"/>
  <c r="D233" i="9"/>
  <c r="C233" i="9" s="1"/>
  <c r="D234" i="9"/>
  <c r="C234" i="9" s="1"/>
  <c r="D235" i="9"/>
  <c r="C235" i="9" s="1"/>
  <c r="D236" i="9"/>
  <c r="C236" i="9" s="1"/>
  <c r="D237" i="9"/>
  <c r="C237" i="9" s="1"/>
  <c r="D238" i="9"/>
  <c r="C238" i="9" s="1"/>
  <c r="D239" i="9"/>
  <c r="C239" i="9" s="1"/>
  <c r="D240" i="9"/>
  <c r="C240" i="9" s="1"/>
  <c r="D241" i="9"/>
  <c r="C241" i="9" s="1"/>
  <c r="D242" i="9"/>
  <c r="C242" i="9" s="1"/>
  <c r="D243" i="9"/>
  <c r="C243" i="9" s="1"/>
  <c r="D244" i="9"/>
  <c r="C244" i="9" s="1"/>
  <c r="D245" i="9"/>
  <c r="C245" i="9" s="1"/>
  <c r="D246" i="9"/>
  <c r="C246" i="9" s="1"/>
  <c r="D247" i="9"/>
  <c r="C247" i="9" s="1"/>
  <c r="D248" i="9"/>
  <c r="C248" i="9" s="1"/>
  <c r="D249" i="9"/>
  <c r="C249" i="9" s="1"/>
  <c r="D250" i="9"/>
  <c r="C250" i="9" s="1"/>
  <c r="D251" i="9"/>
  <c r="C251" i="9" s="1"/>
  <c r="D252" i="9"/>
  <c r="C252" i="9" s="1"/>
  <c r="D253" i="9"/>
  <c r="C253" i="9" s="1"/>
  <c r="D254" i="9"/>
  <c r="C254" i="9" s="1"/>
  <c r="D255" i="9"/>
  <c r="C255" i="9" s="1"/>
  <c r="D256" i="9"/>
  <c r="C256" i="9" s="1"/>
  <c r="D257" i="9"/>
  <c r="C257" i="9" s="1"/>
  <c r="D258" i="9"/>
  <c r="C258" i="9" s="1"/>
  <c r="D259" i="9"/>
  <c r="C259" i="9" s="1"/>
  <c r="D260" i="9"/>
  <c r="C260" i="9" s="1"/>
  <c r="D261" i="9"/>
  <c r="C261" i="9" s="1"/>
  <c r="D262" i="9"/>
  <c r="C262" i="9" s="1"/>
  <c r="D263" i="9"/>
  <c r="C263" i="9" s="1"/>
  <c r="D264" i="9"/>
  <c r="C264" i="9" s="1"/>
  <c r="D265" i="9"/>
  <c r="C265" i="9" s="1"/>
  <c r="D266" i="9"/>
  <c r="C266" i="9" s="1"/>
  <c r="D267" i="9"/>
  <c r="C267" i="9" s="1"/>
  <c r="D268" i="9"/>
  <c r="C268" i="9" s="1"/>
  <c r="D269" i="9"/>
  <c r="C269" i="9" s="1"/>
  <c r="D270" i="9"/>
  <c r="C270" i="9" s="1"/>
  <c r="D271" i="9"/>
  <c r="C271" i="9" s="1"/>
  <c r="D272" i="9"/>
  <c r="C272" i="9" s="1"/>
  <c r="D273" i="9"/>
  <c r="C273" i="9" s="1"/>
  <c r="D274" i="9"/>
  <c r="C274" i="9" s="1"/>
  <c r="D275" i="9"/>
  <c r="C275" i="9" s="1"/>
  <c r="D276" i="9"/>
  <c r="C276" i="9" s="1"/>
  <c r="D277" i="9"/>
  <c r="C277" i="9" s="1"/>
  <c r="D278" i="9"/>
  <c r="C278" i="9" s="1"/>
  <c r="D279" i="9"/>
  <c r="C279" i="9" s="1"/>
  <c r="D280" i="9"/>
  <c r="C280" i="9" s="1"/>
  <c r="D281" i="9"/>
  <c r="C281" i="9" s="1"/>
  <c r="D282" i="9"/>
  <c r="C282" i="9" s="1"/>
  <c r="D283" i="9"/>
  <c r="C283" i="9" s="1"/>
  <c r="D284" i="9"/>
  <c r="C284" i="9" s="1"/>
  <c r="D285" i="9"/>
  <c r="C285" i="9" s="1"/>
  <c r="D286" i="9"/>
  <c r="C286" i="9" s="1"/>
  <c r="D287" i="9"/>
  <c r="C287" i="9" s="1"/>
  <c r="D288" i="9"/>
  <c r="C288" i="9" s="1"/>
  <c r="D289" i="9"/>
  <c r="C289" i="9" s="1"/>
  <c r="D290" i="9"/>
  <c r="C290" i="9" s="1"/>
  <c r="D291" i="9"/>
  <c r="C291" i="9" s="1"/>
  <c r="D292" i="9"/>
  <c r="C292" i="9" s="1"/>
  <c r="D293" i="9"/>
  <c r="C293" i="9" s="1"/>
  <c r="D294" i="9"/>
  <c r="C294" i="9" s="1"/>
  <c r="D295" i="9"/>
  <c r="C295" i="9" s="1"/>
  <c r="D296" i="9"/>
  <c r="C296" i="9" s="1"/>
  <c r="D297" i="9"/>
  <c r="C297" i="9" s="1"/>
  <c r="D298" i="9"/>
  <c r="C298" i="9" s="1"/>
  <c r="D299" i="9"/>
  <c r="C299" i="9" s="1"/>
  <c r="D300" i="9"/>
  <c r="C300" i="9" s="1"/>
  <c r="D301" i="9"/>
  <c r="C301" i="9" s="1"/>
  <c r="D302" i="9"/>
  <c r="C302" i="9" s="1"/>
  <c r="D303" i="9"/>
  <c r="C303" i="9" s="1"/>
  <c r="D304" i="9"/>
  <c r="C304" i="9" s="1"/>
  <c r="D305" i="9"/>
  <c r="C305" i="9" s="1"/>
  <c r="D306" i="9"/>
  <c r="C306" i="9" s="1"/>
  <c r="D307" i="9"/>
  <c r="C307" i="9" s="1"/>
  <c r="D308" i="9"/>
  <c r="C308" i="9" s="1"/>
  <c r="D309" i="9"/>
  <c r="C309" i="9" s="1"/>
  <c r="D310" i="9"/>
  <c r="C310" i="9" s="1"/>
  <c r="D311" i="9"/>
  <c r="C311" i="9" s="1"/>
  <c r="D312" i="9"/>
  <c r="C312" i="9" s="1"/>
  <c r="D313" i="9"/>
  <c r="C313" i="9" s="1"/>
  <c r="D314" i="9"/>
  <c r="C314" i="9" s="1"/>
  <c r="D315" i="9"/>
  <c r="C315" i="9" s="1"/>
  <c r="D316" i="9"/>
  <c r="C316" i="9" s="1"/>
  <c r="D317" i="9"/>
  <c r="C317" i="9" s="1"/>
  <c r="D318" i="9"/>
  <c r="C318" i="9" s="1"/>
  <c r="D319" i="9"/>
  <c r="C319" i="9" s="1"/>
  <c r="D320" i="9"/>
  <c r="C320" i="9" s="1"/>
  <c r="D321" i="9"/>
  <c r="C321" i="9" s="1"/>
  <c r="D322" i="9"/>
  <c r="C322" i="9" s="1"/>
  <c r="D323" i="9"/>
  <c r="C323" i="9" s="1"/>
  <c r="D324" i="9"/>
  <c r="C324" i="9" s="1"/>
  <c r="D325" i="9"/>
  <c r="C325" i="9" s="1"/>
  <c r="D326" i="9"/>
  <c r="C326" i="9" s="1"/>
  <c r="D327" i="9"/>
  <c r="C327" i="9" s="1"/>
  <c r="D328" i="9"/>
  <c r="C328" i="9" s="1"/>
  <c r="D329" i="9"/>
  <c r="C329" i="9" s="1"/>
  <c r="D330" i="9"/>
  <c r="C330" i="9" s="1"/>
  <c r="D331" i="9"/>
  <c r="C331" i="9" s="1"/>
  <c r="D332" i="9"/>
  <c r="C332" i="9" s="1"/>
  <c r="D333" i="9"/>
  <c r="C333" i="9" s="1"/>
  <c r="D334" i="9"/>
  <c r="C334" i="9" s="1"/>
  <c r="D335" i="9"/>
  <c r="C335" i="9" s="1"/>
  <c r="D336" i="9"/>
  <c r="C336" i="9" s="1"/>
  <c r="D337" i="9"/>
  <c r="C337" i="9" s="1"/>
  <c r="D338" i="9"/>
  <c r="C338" i="9" s="1"/>
  <c r="D339" i="9"/>
  <c r="C339" i="9" s="1"/>
  <c r="D340" i="9"/>
  <c r="C340" i="9" s="1"/>
  <c r="D341" i="9"/>
  <c r="C341" i="9" s="1"/>
  <c r="D342" i="9"/>
  <c r="C342" i="9" s="1"/>
  <c r="D343" i="9"/>
  <c r="C343" i="9" s="1"/>
  <c r="D344" i="9"/>
  <c r="C344" i="9" s="1"/>
  <c r="D345" i="9"/>
  <c r="C345" i="9" s="1"/>
  <c r="D346" i="9"/>
  <c r="C346" i="9" s="1"/>
  <c r="D347" i="9"/>
  <c r="C347" i="9" s="1"/>
  <c r="D348" i="9"/>
  <c r="C348" i="9" s="1"/>
  <c r="D349" i="9"/>
  <c r="C349" i="9" s="1"/>
  <c r="D350" i="9"/>
  <c r="C350" i="9" s="1"/>
  <c r="D351" i="9"/>
  <c r="C351" i="9" s="1"/>
  <c r="D352" i="9"/>
  <c r="C352" i="9" s="1"/>
  <c r="D353" i="9"/>
  <c r="C353" i="9" s="1"/>
  <c r="D354" i="9"/>
  <c r="C354" i="9" s="1"/>
  <c r="D355" i="9"/>
  <c r="C355" i="9" s="1"/>
  <c r="D356" i="9"/>
  <c r="C356" i="9" s="1"/>
  <c r="D357" i="9"/>
  <c r="C357" i="9" s="1"/>
  <c r="D358" i="9"/>
  <c r="C358" i="9" s="1"/>
  <c r="D359" i="9"/>
  <c r="C359" i="9" s="1"/>
  <c r="D360" i="9"/>
  <c r="C360" i="9" s="1"/>
  <c r="D361" i="9"/>
  <c r="C361" i="9" s="1"/>
  <c r="D362" i="9"/>
  <c r="C362" i="9" s="1"/>
  <c r="D363" i="9"/>
  <c r="C363" i="9" s="1"/>
  <c r="D364" i="9"/>
  <c r="C364" i="9" s="1"/>
  <c r="D365" i="9"/>
  <c r="C365" i="9" s="1"/>
  <c r="D366" i="9"/>
  <c r="C366" i="9" s="1"/>
  <c r="D367" i="9"/>
  <c r="C367" i="9" s="1"/>
  <c r="D368" i="9"/>
  <c r="C368" i="9" s="1"/>
  <c r="D369" i="9"/>
  <c r="C369" i="9" s="1"/>
  <c r="D370" i="9"/>
  <c r="C370" i="9" s="1"/>
  <c r="D371" i="9"/>
  <c r="C371" i="9" s="1"/>
  <c r="D372" i="9"/>
  <c r="C372" i="9" s="1"/>
  <c r="D373" i="9"/>
  <c r="C373" i="9" s="1"/>
  <c r="D374" i="9"/>
  <c r="C374" i="9" s="1"/>
  <c r="D375" i="9"/>
  <c r="C375" i="9" s="1"/>
  <c r="D376" i="9"/>
  <c r="C376" i="9" s="1"/>
  <c r="D377" i="9"/>
  <c r="C377" i="9" s="1"/>
  <c r="D378" i="9"/>
  <c r="C378" i="9" s="1"/>
  <c r="D379" i="9"/>
  <c r="C379" i="9" s="1"/>
  <c r="D380" i="9"/>
  <c r="C380" i="9" s="1"/>
  <c r="D381" i="9"/>
  <c r="C381" i="9" s="1"/>
  <c r="D382" i="9"/>
  <c r="C382" i="9" s="1"/>
  <c r="D383" i="9"/>
  <c r="C383" i="9" s="1"/>
  <c r="D384" i="9"/>
  <c r="C384" i="9" s="1"/>
  <c r="D385" i="9"/>
  <c r="C385" i="9" s="1"/>
  <c r="D386" i="9"/>
  <c r="C386" i="9" s="1"/>
  <c r="D387" i="9"/>
  <c r="C387" i="9" s="1"/>
  <c r="D388" i="9"/>
  <c r="C388" i="9" s="1"/>
  <c r="D389" i="9"/>
  <c r="C389" i="9" s="1"/>
  <c r="D390" i="9"/>
  <c r="C390" i="9" s="1"/>
  <c r="D391" i="9"/>
  <c r="C391" i="9" s="1"/>
  <c r="D392" i="9"/>
  <c r="C392" i="9" s="1"/>
  <c r="D393" i="9"/>
  <c r="C393" i="9" s="1"/>
  <c r="D394" i="9"/>
  <c r="C394" i="9" s="1"/>
  <c r="D395" i="9"/>
  <c r="C395" i="9" s="1"/>
  <c r="D396" i="9"/>
  <c r="C396" i="9" s="1"/>
  <c r="D397" i="9"/>
  <c r="C397" i="9" s="1"/>
  <c r="D398" i="9"/>
  <c r="C398" i="9" s="1"/>
  <c r="D399" i="9"/>
  <c r="C399" i="9" s="1"/>
  <c r="D400" i="9"/>
  <c r="C400" i="9" s="1"/>
  <c r="D401" i="9"/>
  <c r="C401" i="9" s="1"/>
  <c r="D402" i="9"/>
  <c r="C402" i="9" s="1"/>
  <c r="D403" i="9"/>
  <c r="C403" i="9" s="1"/>
  <c r="D404" i="9"/>
  <c r="C404" i="9" s="1"/>
  <c r="D405" i="9"/>
  <c r="C405" i="9" s="1"/>
  <c r="D406" i="9"/>
  <c r="C406" i="9" s="1"/>
  <c r="D407" i="9"/>
  <c r="C407" i="9" s="1"/>
  <c r="D408" i="9"/>
  <c r="C408" i="9" s="1"/>
  <c r="D409" i="9"/>
  <c r="C409" i="9" s="1"/>
  <c r="D410" i="9"/>
  <c r="C410" i="9" s="1"/>
  <c r="D411" i="9"/>
  <c r="C411" i="9" s="1"/>
  <c r="D412" i="9"/>
  <c r="C412" i="9" s="1"/>
  <c r="D413" i="9"/>
  <c r="C413" i="9" s="1"/>
  <c r="D414" i="9"/>
  <c r="C414" i="9" s="1"/>
  <c r="D415" i="9"/>
  <c r="C415" i="9" s="1"/>
  <c r="D416" i="9"/>
  <c r="C416" i="9" s="1"/>
  <c r="D417" i="9"/>
  <c r="C417" i="9" s="1"/>
  <c r="D418" i="9"/>
  <c r="C418" i="9" s="1"/>
  <c r="D419" i="9"/>
  <c r="C419" i="9" s="1"/>
  <c r="D420" i="9"/>
  <c r="C420" i="9" s="1"/>
  <c r="D421" i="9"/>
  <c r="C421" i="9" s="1"/>
  <c r="D422" i="9"/>
  <c r="C422" i="9" s="1"/>
  <c r="D423" i="9"/>
  <c r="C423" i="9" s="1"/>
  <c r="D424" i="9"/>
  <c r="C424" i="9" s="1"/>
  <c r="D425" i="9"/>
  <c r="C425" i="9" s="1"/>
  <c r="D426" i="9"/>
  <c r="C426" i="9" s="1"/>
  <c r="D427" i="9"/>
  <c r="C427" i="9" s="1"/>
  <c r="D428" i="9"/>
  <c r="C428" i="9" s="1"/>
  <c r="D429" i="9"/>
  <c r="C429" i="9" s="1"/>
  <c r="D430" i="9"/>
  <c r="C430" i="9" s="1"/>
  <c r="D431" i="9"/>
  <c r="C431" i="9" s="1"/>
  <c r="D432" i="9"/>
  <c r="C432" i="9" s="1"/>
  <c r="D433" i="9"/>
  <c r="C433" i="9" s="1"/>
  <c r="D434" i="9"/>
  <c r="C434" i="9" s="1"/>
  <c r="D435" i="9"/>
  <c r="C435" i="9" s="1"/>
  <c r="D436" i="9"/>
  <c r="C436" i="9" s="1"/>
  <c r="D437" i="9"/>
  <c r="C437" i="9" s="1"/>
  <c r="D438" i="9"/>
  <c r="C438" i="9" s="1"/>
  <c r="D439" i="9"/>
  <c r="C439" i="9" s="1"/>
  <c r="D440" i="9"/>
  <c r="C440" i="9" s="1"/>
  <c r="D441" i="9"/>
  <c r="C441" i="9" s="1"/>
  <c r="D442" i="9"/>
  <c r="C442" i="9" s="1"/>
  <c r="D443" i="9"/>
  <c r="C443" i="9" s="1"/>
  <c r="D444" i="9"/>
  <c r="C444" i="9" s="1"/>
  <c r="D445" i="9"/>
  <c r="C445" i="9" s="1"/>
  <c r="D446" i="9"/>
  <c r="C446" i="9" s="1"/>
  <c r="D447" i="9"/>
  <c r="C447" i="9" s="1"/>
  <c r="D448" i="9"/>
  <c r="C448" i="9" s="1"/>
  <c r="D449" i="9"/>
  <c r="C449" i="9" s="1"/>
  <c r="D450" i="9"/>
  <c r="C450" i="9" s="1"/>
  <c r="D451" i="9"/>
  <c r="C451" i="9" s="1"/>
  <c r="D452" i="9"/>
  <c r="C452" i="9" s="1"/>
  <c r="D453" i="9"/>
  <c r="C453" i="9" s="1"/>
  <c r="D454" i="9"/>
  <c r="C454" i="9" s="1"/>
  <c r="D455" i="9"/>
  <c r="C455" i="9" s="1"/>
  <c r="D456" i="9"/>
  <c r="C456" i="9" s="1"/>
  <c r="D457" i="9"/>
  <c r="C457" i="9" s="1"/>
  <c r="D458" i="9"/>
  <c r="C458" i="9" s="1"/>
  <c r="D459" i="9"/>
  <c r="C459" i="9" s="1"/>
  <c r="D460" i="9"/>
  <c r="C460" i="9" s="1"/>
  <c r="D461" i="9"/>
  <c r="C461" i="9" s="1"/>
  <c r="D462" i="9"/>
  <c r="C462" i="9" s="1"/>
  <c r="D463" i="9"/>
  <c r="C463" i="9" s="1"/>
  <c r="D464" i="9"/>
  <c r="C464" i="9" s="1"/>
  <c r="D465" i="9"/>
  <c r="C465" i="9" s="1"/>
  <c r="D466" i="9"/>
  <c r="C466" i="9" s="1"/>
  <c r="D467" i="9"/>
  <c r="C467" i="9" s="1"/>
  <c r="D468" i="9"/>
  <c r="C468" i="9" s="1"/>
  <c r="D469" i="9"/>
  <c r="C469" i="9" s="1"/>
  <c r="D470" i="9"/>
  <c r="C470" i="9" s="1"/>
  <c r="D471" i="9"/>
  <c r="C471" i="9" s="1"/>
  <c r="D472" i="9"/>
  <c r="C472" i="9" s="1"/>
  <c r="D473" i="9"/>
  <c r="C473" i="9" s="1"/>
  <c r="D474" i="9"/>
  <c r="C474" i="9" s="1"/>
  <c r="D475" i="9"/>
  <c r="C475" i="9" s="1"/>
  <c r="D476" i="9"/>
  <c r="C476" i="9" s="1"/>
  <c r="D477" i="9"/>
  <c r="C477" i="9" s="1"/>
  <c r="D478" i="9"/>
  <c r="C478" i="9" s="1"/>
  <c r="D479" i="9"/>
  <c r="C479" i="9" s="1"/>
  <c r="D480" i="9"/>
  <c r="C480" i="9" s="1"/>
  <c r="D481" i="9"/>
  <c r="C481" i="9" s="1"/>
  <c r="D482" i="9"/>
  <c r="C482" i="9" s="1"/>
  <c r="D483" i="9"/>
  <c r="C483" i="9" s="1"/>
  <c r="D484" i="9"/>
  <c r="C484" i="9" s="1"/>
  <c r="D485" i="9"/>
  <c r="C485" i="9" s="1"/>
  <c r="D486" i="9"/>
  <c r="C486" i="9" s="1"/>
  <c r="D487" i="9"/>
  <c r="C487" i="9" s="1"/>
  <c r="D488" i="9"/>
  <c r="C488" i="9" s="1"/>
  <c r="D489" i="9"/>
  <c r="C489" i="9" s="1"/>
  <c r="D490" i="9"/>
  <c r="C490" i="9" s="1"/>
  <c r="D491" i="9"/>
  <c r="C491" i="9" s="1"/>
  <c r="D492" i="9"/>
  <c r="C492" i="9" s="1"/>
  <c r="D493" i="9"/>
  <c r="C493" i="9" s="1"/>
  <c r="D494" i="9"/>
  <c r="C494" i="9" s="1"/>
  <c r="D495" i="9"/>
  <c r="C495" i="9" s="1"/>
  <c r="D496" i="9"/>
  <c r="C496" i="9" s="1"/>
  <c r="D497" i="9"/>
  <c r="C497" i="9" s="1"/>
  <c r="D498" i="9"/>
  <c r="C498" i="9" s="1"/>
  <c r="D499" i="9"/>
  <c r="C499" i="9" s="1"/>
  <c r="D500" i="9"/>
  <c r="C500" i="9" s="1"/>
  <c r="D501" i="9"/>
  <c r="C501" i="9" s="1"/>
  <c r="D502" i="9"/>
  <c r="C502" i="9" s="1"/>
  <c r="D503" i="9"/>
  <c r="C503" i="9" s="1"/>
  <c r="D504" i="9"/>
  <c r="C504" i="9" s="1"/>
  <c r="D505" i="9"/>
  <c r="C505" i="9" s="1"/>
  <c r="D506" i="9"/>
  <c r="C506" i="9" s="1"/>
  <c r="D507" i="9"/>
  <c r="C507" i="9" s="1"/>
  <c r="D508" i="9"/>
  <c r="C508" i="9" s="1"/>
  <c r="D509" i="9"/>
  <c r="C509" i="9" s="1"/>
  <c r="D510" i="9"/>
  <c r="C510" i="9" s="1"/>
  <c r="D511" i="9"/>
  <c r="C511" i="9" s="1"/>
  <c r="D512" i="9"/>
  <c r="C512" i="9" s="1"/>
  <c r="D513" i="9"/>
  <c r="C513" i="9" s="1"/>
  <c r="D514" i="9"/>
  <c r="C514" i="9" s="1"/>
  <c r="D515" i="9"/>
  <c r="C515" i="9" s="1"/>
  <c r="D516" i="9"/>
  <c r="C516" i="9" s="1"/>
  <c r="D517" i="9"/>
  <c r="C517" i="9" s="1"/>
  <c r="D518" i="9"/>
  <c r="C518" i="9" s="1"/>
  <c r="D519" i="9"/>
  <c r="C519" i="9" s="1"/>
  <c r="D520" i="9"/>
  <c r="C520" i="9" s="1"/>
  <c r="D521" i="9"/>
  <c r="C521" i="9" s="1"/>
  <c r="D522" i="9"/>
  <c r="C522" i="9" s="1"/>
  <c r="D523" i="9"/>
  <c r="C523" i="9" s="1"/>
  <c r="D524" i="9"/>
  <c r="C524" i="9" s="1"/>
  <c r="D525" i="9"/>
  <c r="C525" i="9" s="1"/>
  <c r="D526" i="9"/>
  <c r="C526" i="9" s="1"/>
  <c r="D527" i="9"/>
  <c r="C527" i="9" s="1"/>
  <c r="D528" i="9"/>
  <c r="C528" i="9" s="1"/>
  <c r="D529" i="9"/>
  <c r="C529" i="9" s="1"/>
  <c r="D530" i="9"/>
  <c r="C530" i="9" s="1"/>
  <c r="D531" i="9"/>
  <c r="C531" i="9" s="1"/>
  <c r="D532" i="9"/>
  <c r="C532" i="9" s="1"/>
  <c r="D533" i="9"/>
  <c r="C533" i="9" s="1"/>
  <c r="D534" i="9"/>
  <c r="C534" i="9" s="1"/>
  <c r="D535" i="9"/>
  <c r="C535" i="9" s="1"/>
  <c r="D536" i="9"/>
  <c r="C536" i="9" s="1"/>
  <c r="D537" i="9"/>
  <c r="C537" i="9" s="1"/>
  <c r="D538" i="9"/>
  <c r="C538" i="9" s="1"/>
  <c r="D539" i="9"/>
  <c r="C539" i="9" s="1"/>
  <c r="D540" i="9"/>
  <c r="C540" i="9" s="1"/>
  <c r="D541" i="9"/>
  <c r="C541" i="9" s="1"/>
  <c r="D542" i="9"/>
  <c r="C542" i="9" s="1"/>
  <c r="D543" i="9"/>
  <c r="C543" i="9" s="1"/>
  <c r="D544" i="9"/>
  <c r="C544" i="9" s="1"/>
  <c r="D545" i="9"/>
  <c r="C545" i="9" s="1"/>
  <c r="D546" i="9"/>
  <c r="C546" i="9" s="1"/>
  <c r="D547" i="9"/>
  <c r="C547" i="9" s="1"/>
  <c r="D548" i="9"/>
  <c r="C548" i="9" s="1"/>
  <c r="D549" i="9"/>
  <c r="C549" i="9" s="1"/>
  <c r="D550" i="9"/>
  <c r="C550" i="9" s="1"/>
  <c r="D551" i="9"/>
  <c r="C551" i="9" s="1"/>
  <c r="D552" i="9"/>
  <c r="C552" i="9" s="1"/>
  <c r="D553" i="9"/>
  <c r="C553" i="9" s="1"/>
  <c r="D554" i="9"/>
  <c r="C554" i="9" s="1"/>
  <c r="D555" i="9"/>
  <c r="C555" i="9" s="1"/>
  <c r="D556" i="9"/>
  <c r="C556" i="9" s="1"/>
  <c r="D557" i="9"/>
  <c r="C557" i="9" s="1"/>
  <c r="D558" i="9"/>
  <c r="C558" i="9" s="1"/>
  <c r="D559" i="9"/>
  <c r="C559" i="9" s="1"/>
  <c r="D560" i="9"/>
  <c r="C560" i="9" s="1"/>
  <c r="D561" i="9"/>
  <c r="C561" i="9" s="1"/>
  <c r="D562" i="9"/>
  <c r="C562" i="9" s="1"/>
  <c r="D563" i="9"/>
  <c r="C563" i="9" s="1"/>
  <c r="D564" i="9"/>
  <c r="C564" i="9" s="1"/>
  <c r="D565" i="9"/>
  <c r="C565" i="9" s="1"/>
  <c r="D566" i="9"/>
  <c r="C566" i="9" s="1"/>
  <c r="D567" i="9"/>
  <c r="C567" i="9" s="1"/>
  <c r="D568" i="9"/>
  <c r="C568" i="9" s="1"/>
  <c r="D569" i="9"/>
  <c r="C569" i="9" s="1"/>
  <c r="D570" i="9"/>
  <c r="C570" i="9" s="1"/>
  <c r="D571" i="9"/>
  <c r="C571" i="9" s="1"/>
  <c r="D572" i="9"/>
  <c r="C572" i="9" s="1"/>
  <c r="D573" i="9"/>
  <c r="C573" i="9" s="1"/>
  <c r="D574" i="9"/>
  <c r="C574" i="9" s="1"/>
  <c r="D575" i="9"/>
  <c r="C575" i="9" s="1"/>
  <c r="D576" i="9"/>
  <c r="C576" i="9" s="1"/>
  <c r="D577" i="9"/>
  <c r="C577" i="9" s="1"/>
  <c r="D578" i="9"/>
  <c r="C578" i="9" s="1"/>
  <c r="D579" i="9"/>
  <c r="C579" i="9" s="1"/>
  <c r="D580" i="9"/>
  <c r="C580" i="9" s="1"/>
  <c r="D581" i="9"/>
  <c r="C581" i="9" s="1"/>
  <c r="D582" i="9"/>
  <c r="C582" i="9" s="1"/>
  <c r="D583" i="9"/>
  <c r="C583" i="9" s="1"/>
  <c r="D584" i="9"/>
  <c r="C584" i="9" s="1"/>
  <c r="D585" i="9"/>
  <c r="C585" i="9" s="1"/>
  <c r="D586" i="9"/>
  <c r="C586" i="9" s="1"/>
  <c r="D587" i="9"/>
  <c r="C587" i="9" s="1"/>
  <c r="D588" i="9"/>
  <c r="C588" i="9" s="1"/>
  <c r="D589" i="9"/>
  <c r="C589" i="9" s="1"/>
  <c r="D590" i="9"/>
  <c r="C590" i="9" s="1"/>
  <c r="D591" i="9"/>
  <c r="C591" i="9" s="1"/>
  <c r="D592" i="9"/>
  <c r="C592" i="9" s="1"/>
  <c r="D593" i="9"/>
  <c r="C593" i="9" s="1"/>
  <c r="D594" i="9"/>
  <c r="C594" i="9" s="1"/>
  <c r="D595" i="9"/>
  <c r="C595" i="9" s="1"/>
  <c r="D596" i="9"/>
  <c r="C596" i="9" s="1"/>
  <c r="D597" i="9"/>
  <c r="C597" i="9" s="1"/>
  <c r="D598" i="9"/>
  <c r="C598" i="9" s="1"/>
  <c r="D599" i="9"/>
  <c r="C599" i="9" s="1"/>
  <c r="D600" i="9"/>
  <c r="C600" i="9" s="1"/>
  <c r="D601" i="9"/>
  <c r="C601" i="9" s="1"/>
  <c r="D602" i="9"/>
  <c r="C602" i="9" s="1"/>
  <c r="D603" i="9"/>
  <c r="C603" i="9" s="1"/>
  <c r="D604" i="9"/>
  <c r="C604" i="9" s="1"/>
  <c r="D605" i="9"/>
  <c r="C605" i="9" s="1"/>
  <c r="D606" i="9"/>
  <c r="C606" i="9" s="1"/>
  <c r="D607" i="9"/>
  <c r="C607" i="9" s="1"/>
  <c r="D608" i="9"/>
  <c r="C608" i="9" s="1"/>
  <c r="D609" i="9"/>
  <c r="C609" i="9" s="1"/>
  <c r="D610" i="9"/>
  <c r="C610" i="9" s="1"/>
  <c r="D611" i="9"/>
  <c r="C611" i="9" s="1"/>
  <c r="D612" i="9"/>
  <c r="C612" i="9" s="1"/>
  <c r="D613" i="9"/>
  <c r="C613" i="9" s="1"/>
  <c r="D614" i="9"/>
  <c r="C614" i="9" s="1"/>
  <c r="D615" i="9"/>
  <c r="C615" i="9" s="1"/>
  <c r="D616" i="9"/>
  <c r="C616" i="9" s="1"/>
  <c r="D617" i="9"/>
  <c r="C617" i="9" s="1"/>
  <c r="D618" i="9"/>
  <c r="C618" i="9" s="1"/>
  <c r="D619" i="9"/>
  <c r="C619" i="9" s="1"/>
  <c r="D620" i="9"/>
  <c r="C620" i="9" s="1"/>
  <c r="D621" i="9"/>
  <c r="C621" i="9" s="1"/>
  <c r="D622" i="9"/>
  <c r="C622" i="9" s="1"/>
  <c r="D623" i="9"/>
  <c r="C623" i="9" s="1"/>
  <c r="D624" i="9"/>
  <c r="C624" i="9" s="1"/>
  <c r="D625" i="9"/>
  <c r="C625" i="9" s="1"/>
  <c r="D626" i="9"/>
  <c r="C626" i="9" s="1"/>
  <c r="D627" i="9"/>
  <c r="C627" i="9" s="1"/>
  <c r="D628" i="9"/>
  <c r="C628" i="9" s="1"/>
  <c r="D629" i="9"/>
  <c r="C629" i="9" s="1"/>
  <c r="D630" i="9"/>
  <c r="C630" i="9" s="1"/>
  <c r="D631" i="9"/>
  <c r="C631" i="9" s="1"/>
  <c r="D632" i="9"/>
  <c r="C632" i="9" s="1"/>
  <c r="D633" i="9"/>
  <c r="C633" i="9" s="1"/>
  <c r="D634" i="9"/>
  <c r="C634" i="9" s="1"/>
  <c r="D635" i="9"/>
  <c r="C635" i="9" s="1"/>
  <c r="D636" i="9"/>
  <c r="C636" i="9" s="1"/>
  <c r="D637" i="9"/>
  <c r="C637" i="9" s="1"/>
  <c r="D638" i="9"/>
  <c r="C638" i="9" s="1"/>
  <c r="D639" i="9"/>
  <c r="C639" i="9" s="1"/>
  <c r="D640" i="9"/>
  <c r="C640" i="9" s="1"/>
  <c r="D641" i="9"/>
  <c r="C641" i="9" s="1"/>
  <c r="D642" i="9"/>
  <c r="C642" i="9" s="1"/>
  <c r="D643" i="9"/>
  <c r="C643" i="9" s="1"/>
  <c r="D644" i="9"/>
  <c r="C644" i="9" s="1"/>
  <c r="D645" i="9"/>
  <c r="C645" i="9" s="1"/>
  <c r="D646" i="9"/>
  <c r="C646" i="9" s="1"/>
  <c r="D647" i="9"/>
  <c r="C647" i="9" s="1"/>
  <c r="D648" i="9"/>
  <c r="C648" i="9" s="1"/>
  <c r="D649" i="9"/>
  <c r="C649" i="9" s="1"/>
  <c r="D650" i="9"/>
  <c r="C650" i="9" s="1"/>
  <c r="D651" i="9"/>
  <c r="C651" i="9" s="1"/>
  <c r="D652" i="9"/>
  <c r="C652" i="9" s="1"/>
  <c r="D653" i="9"/>
  <c r="C653" i="9" s="1"/>
  <c r="D654" i="9"/>
  <c r="C654" i="9" s="1"/>
  <c r="D655" i="9"/>
  <c r="C655" i="9" s="1"/>
  <c r="D656" i="9"/>
  <c r="C656" i="9" s="1"/>
  <c r="D657" i="9"/>
  <c r="C657" i="9" s="1"/>
  <c r="D658" i="9"/>
  <c r="C658" i="9" s="1"/>
  <c r="D659" i="9"/>
  <c r="C659" i="9" s="1"/>
  <c r="D660" i="9"/>
  <c r="C660" i="9" s="1"/>
  <c r="D661" i="9"/>
  <c r="C661" i="9" s="1"/>
  <c r="D662" i="9"/>
  <c r="C662" i="9" s="1"/>
  <c r="D663" i="9"/>
  <c r="C663" i="9" s="1"/>
  <c r="D664" i="9"/>
  <c r="C664" i="9" s="1"/>
  <c r="D665" i="9"/>
  <c r="C665" i="9" s="1"/>
  <c r="D666" i="9"/>
  <c r="C666" i="9" s="1"/>
  <c r="D667" i="9"/>
  <c r="C667" i="9" s="1"/>
  <c r="D668" i="9"/>
  <c r="C668" i="9" s="1"/>
  <c r="D669" i="9"/>
  <c r="C669" i="9" s="1"/>
  <c r="D670" i="9"/>
  <c r="C670" i="9" s="1"/>
  <c r="D671" i="9"/>
  <c r="C671" i="9" s="1"/>
  <c r="D672" i="9"/>
  <c r="C672" i="9" s="1"/>
  <c r="D673" i="9"/>
  <c r="C673" i="9" s="1"/>
  <c r="D674" i="9"/>
  <c r="C674" i="9" s="1"/>
  <c r="D675" i="9"/>
  <c r="C675" i="9" s="1"/>
  <c r="D676" i="9"/>
  <c r="C676" i="9" s="1"/>
  <c r="D677" i="9"/>
  <c r="C677" i="9" s="1"/>
  <c r="D678" i="9"/>
  <c r="C678" i="9" s="1"/>
  <c r="D679" i="9"/>
  <c r="C679" i="9" s="1"/>
  <c r="D680" i="9"/>
  <c r="C680" i="9" s="1"/>
  <c r="D681" i="9"/>
  <c r="C681" i="9" s="1"/>
  <c r="D682" i="9"/>
  <c r="C682" i="9" s="1"/>
  <c r="D683" i="9"/>
  <c r="C683" i="9" s="1"/>
  <c r="D684" i="9"/>
  <c r="C684" i="9" s="1"/>
  <c r="D685" i="9"/>
  <c r="C685" i="9" s="1"/>
  <c r="D686" i="9"/>
  <c r="C686" i="9" s="1"/>
  <c r="D687" i="9"/>
  <c r="C687" i="9" s="1"/>
  <c r="D688" i="9"/>
  <c r="C688" i="9" s="1"/>
  <c r="D689" i="9"/>
  <c r="C689" i="9" s="1"/>
  <c r="D690" i="9"/>
  <c r="C690" i="9" s="1"/>
  <c r="D691" i="9"/>
  <c r="C691" i="9" s="1"/>
  <c r="D692" i="9"/>
  <c r="C692" i="9" s="1"/>
  <c r="D693" i="9"/>
  <c r="C693" i="9" s="1"/>
  <c r="D694" i="9"/>
  <c r="C694" i="9" s="1"/>
  <c r="D695" i="9"/>
  <c r="C695" i="9" s="1"/>
  <c r="D696" i="9"/>
  <c r="C696" i="9" s="1"/>
  <c r="D697" i="9"/>
  <c r="C697" i="9" s="1"/>
  <c r="D698" i="9"/>
  <c r="C698" i="9" s="1"/>
  <c r="D699" i="9"/>
  <c r="C699" i="9" s="1"/>
  <c r="D700" i="9"/>
  <c r="C700" i="9" s="1"/>
  <c r="D701" i="9"/>
  <c r="C701" i="9" s="1"/>
  <c r="D702" i="9"/>
  <c r="C702" i="9" s="1"/>
  <c r="D703" i="9"/>
  <c r="C703" i="9" s="1"/>
  <c r="D704" i="9"/>
  <c r="C704" i="9" s="1"/>
  <c r="D705" i="9"/>
  <c r="C705" i="9" s="1"/>
  <c r="D706" i="9"/>
  <c r="C706" i="9" s="1"/>
  <c r="D707" i="9"/>
  <c r="C707" i="9" s="1"/>
  <c r="D708" i="9"/>
  <c r="C708" i="9" s="1"/>
  <c r="D709" i="9"/>
  <c r="C709" i="9" s="1"/>
  <c r="D710" i="9"/>
  <c r="C710" i="9" s="1"/>
  <c r="D711" i="9"/>
  <c r="C711" i="9" s="1"/>
  <c r="D712" i="9"/>
  <c r="C712" i="9" s="1"/>
  <c r="D713" i="9"/>
  <c r="C713" i="9" s="1"/>
  <c r="D714" i="9"/>
  <c r="C714" i="9" s="1"/>
  <c r="D715" i="9"/>
  <c r="C715" i="9" s="1"/>
  <c r="D716" i="9"/>
  <c r="C716" i="9" s="1"/>
  <c r="D717" i="9"/>
  <c r="C717" i="9" s="1"/>
  <c r="D718" i="9"/>
  <c r="C718" i="9" s="1"/>
  <c r="D719" i="9"/>
  <c r="C719" i="9" s="1"/>
  <c r="D720" i="9"/>
  <c r="C720" i="9" s="1"/>
  <c r="D721" i="9"/>
  <c r="C721" i="9" s="1"/>
  <c r="E47" i="9"/>
  <c r="E48" i="9"/>
  <c r="E49" i="9"/>
  <c r="E50" i="9"/>
  <c r="E54" i="9"/>
  <c r="E55" i="9"/>
  <c r="E56" i="9"/>
  <c r="E57" i="9"/>
  <c r="E58" i="9"/>
  <c r="E59" i="9"/>
  <c r="E60" i="9"/>
  <c r="E61" i="9"/>
  <c r="E62" i="9"/>
  <c r="E63" i="9"/>
  <c r="E64" i="9"/>
  <c r="E65" i="9"/>
  <c r="E66" i="9"/>
  <c r="E67" i="9"/>
  <c r="E68" i="9"/>
  <c r="E69" i="9"/>
  <c r="E70" i="9"/>
  <c r="E71" i="9"/>
  <c r="E72" i="9"/>
  <c r="E73" i="9"/>
  <c r="E74" i="9"/>
  <c r="E75" i="9"/>
  <c r="E76" i="9"/>
  <c r="E77" i="9"/>
  <c r="E78" i="9"/>
  <c r="E79" i="9"/>
  <c r="E80" i="9"/>
  <c r="E81" i="9"/>
  <c r="E82" i="9"/>
  <c r="E83" i="9"/>
  <c r="E84" i="9"/>
  <c r="E85" i="9"/>
  <c r="E86" i="9"/>
  <c r="E87" i="9"/>
  <c r="E88" i="9"/>
  <c r="E89" i="9"/>
  <c r="E90" i="9"/>
  <c r="E91" i="9"/>
  <c r="E92" i="9"/>
  <c r="E93" i="9"/>
  <c r="E94" i="9"/>
  <c r="E95" i="9"/>
  <c r="E96" i="9"/>
  <c r="E97" i="9"/>
  <c r="E98" i="9"/>
  <c r="E99" i="9"/>
  <c r="E100" i="9"/>
  <c r="E101" i="9"/>
  <c r="E102" i="9"/>
  <c r="E103" i="9"/>
  <c r="E104" i="9"/>
  <c r="E105" i="9"/>
  <c r="E106" i="9"/>
  <c r="E107" i="9"/>
  <c r="E108" i="9"/>
  <c r="E109" i="9"/>
  <c r="E110" i="9"/>
  <c r="E111" i="9"/>
  <c r="E112" i="9"/>
  <c r="E113" i="9"/>
  <c r="E114" i="9"/>
  <c r="E115" i="9"/>
  <c r="E116" i="9"/>
  <c r="E117" i="9"/>
  <c r="E118" i="9"/>
  <c r="E119" i="9"/>
  <c r="E120" i="9"/>
  <c r="E121" i="9"/>
  <c r="E122" i="9"/>
  <c r="E123" i="9"/>
  <c r="E124" i="9"/>
  <c r="E125" i="9"/>
  <c r="E126" i="9"/>
  <c r="E127" i="9"/>
  <c r="E128" i="9"/>
  <c r="E129" i="9"/>
  <c r="E130" i="9"/>
  <c r="E131" i="9"/>
  <c r="E132" i="9"/>
  <c r="E133" i="9"/>
  <c r="E134" i="9"/>
  <c r="E135" i="9"/>
  <c r="E136" i="9"/>
  <c r="E137" i="9"/>
  <c r="E138" i="9"/>
  <c r="E139" i="9"/>
  <c r="E140" i="9"/>
  <c r="E141" i="9"/>
  <c r="E142" i="9"/>
  <c r="E143" i="9"/>
  <c r="E144" i="9"/>
  <c r="E145" i="9"/>
  <c r="E146" i="9"/>
  <c r="E147" i="9"/>
  <c r="E148" i="9"/>
  <c r="E149" i="9"/>
  <c r="E150" i="9"/>
  <c r="E151" i="9"/>
  <c r="E152" i="9"/>
  <c r="E153" i="9"/>
  <c r="E154" i="9"/>
  <c r="E155" i="9"/>
  <c r="E156" i="9"/>
  <c r="E157" i="9"/>
  <c r="E158" i="9"/>
  <c r="E159" i="9"/>
  <c r="E160" i="9"/>
  <c r="E161" i="9"/>
  <c r="E162" i="9"/>
  <c r="E163" i="9"/>
  <c r="E164" i="9"/>
  <c r="E165" i="9"/>
  <c r="E166" i="9"/>
  <c r="E167" i="9"/>
  <c r="E168" i="9"/>
  <c r="E169" i="9"/>
  <c r="E170" i="9"/>
  <c r="E171" i="9"/>
  <c r="E172" i="9"/>
  <c r="E173" i="9"/>
  <c r="E174" i="9"/>
  <c r="E175" i="9"/>
  <c r="E176" i="9"/>
  <c r="E177" i="9"/>
  <c r="E178" i="9"/>
  <c r="E179" i="9"/>
  <c r="E180" i="9"/>
  <c r="E181" i="9"/>
  <c r="E182" i="9"/>
  <c r="E183" i="9"/>
  <c r="E184" i="9"/>
  <c r="E185" i="9"/>
  <c r="E186" i="9"/>
  <c r="E187" i="9"/>
  <c r="E188" i="9"/>
  <c r="E189" i="9"/>
  <c r="E190" i="9"/>
  <c r="E191" i="9"/>
  <c r="E192" i="9"/>
  <c r="E193" i="9"/>
  <c r="E194" i="9"/>
  <c r="E195" i="9"/>
  <c r="E196" i="9"/>
  <c r="E197" i="9"/>
  <c r="E198" i="9"/>
  <c r="E199" i="9"/>
  <c r="E200" i="9"/>
  <c r="E201" i="9"/>
  <c r="E202" i="9"/>
  <c r="E203" i="9"/>
  <c r="E204" i="9"/>
  <c r="E205" i="9"/>
  <c r="E206" i="9"/>
  <c r="E207" i="9"/>
  <c r="E208" i="9"/>
  <c r="E209" i="9"/>
  <c r="E210" i="9"/>
  <c r="E211" i="9"/>
  <c r="E212" i="9"/>
  <c r="E213" i="9"/>
  <c r="E214" i="9"/>
  <c r="E215" i="9"/>
  <c r="E216" i="9"/>
  <c r="E217" i="9"/>
  <c r="E218" i="9"/>
  <c r="E219" i="9"/>
  <c r="E220" i="9"/>
  <c r="E221" i="9"/>
  <c r="E222" i="9"/>
  <c r="E223" i="9"/>
  <c r="E224" i="9"/>
  <c r="E225" i="9"/>
  <c r="E226" i="9"/>
  <c r="E227" i="9"/>
  <c r="E228" i="9"/>
  <c r="E229" i="9"/>
  <c r="E230" i="9"/>
  <c r="E231" i="9"/>
  <c r="E232" i="9"/>
  <c r="E233" i="9"/>
  <c r="E234" i="9"/>
  <c r="E235" i="9"/>
  <c r="E236" i="9"/>
  <c r="E237" i="9"/>
  <c r="E238" i="9"/>
  <c r="E239" i="9"/>
  <c r="E240" i="9"/>
  <c r="E241" i="9"/>
  <c r="E242" i="9"/>
  <c r="E243" i="9"/>
  <c r="E244" i="9"/>
  <c r="E245" i="9"/>
  <c r="E246" i="9"/>
  <c r="E247" i="9"/>
  <c r="E248" i="9"/>
  <c r="E249" i="9"/>
  <c r="E250" i="9"/>
  <c r="E251" i="9"/>
  <c r="E252" i="9"/>
  <c r="E253" i="9"/>
  <c r="E254" i="9"/>
  <c r="E255" i="9"/>
  <c r="E256" i="9"/>
  <c r="E257" i="9"/>
  <c r="E258" i="9"/>
  <c r="E259" i="9"/>
  <c r="E260" i="9"/>
  <c r="E261" i="9"/>
  <c r="E262" i="9"/>
  <c r="E263" i="9"/>
  <c r="E264" i="9"/>
  <c r="E265" i="9"/>
  <c r="E266" i="9"/>
  <c r="E267" i="9"/>
  <c r="E268" i="9"/>
  <c r="E269" i="9"/>
  <c r="E270" i="9"/>
  <c r="E271" i="9"/>
  <c r="E272" i="9"/>
  <c r="E273" i="9"/>
  <c r="E274" i="9"/>
  <c r="E275" i="9"/>
  <c r="E276" i="9"/>
  <c r="E277" i="9"/>
  <c r="E278" i="9"/>
  <c r="E279" i="9"/>
  <c r="E280" i="9"/>
  <c r="E281" i="9"/>
  <c r="E282" i="9"/>
  <c r="E283" i="9"/>
  <c r="E284" i="9"/>
  <c r="E285" i="9"/>
  <c r="E286" i="9"/>
  <c r="E287" i="9"/>
  <c r="E288" i="9"/>
  <c r="E289" i="9"/>
  <c r="E290" i="9"/>
  <c r="E291" i="9"/>
  <c r="E292" i="9"/>
  <c r="E293" i="9"/>
  <c r="E294" i="9"/>
  <c r="E295" i="9"/>
  <c r="E296" i="9"/>
  <c r="E297" i="9"/>
  <c r="E298" i="9"/>
  <c r="E299" i="9"/>
  <c r="E300" i="9"/>
  <c r="E301" i="9"/>
  <c r="E302" i="9"/>
  <c r="E303" i="9"/>
  <c r="E304" i="9"/>
  <c r="E305" i="9"/>
  <c r="E306" i="9"/>
  <c r="E307" i="9"/>
  <c r="E308" i="9"/>
  <c r="E309" i="9"/>
  <c r="E310" i="9"/>
  <c r="E311" i="9"/>
  <c r="E312" i="9"/>
  <c r="E313" i="9"/>
  <c r="E314" i="9"/>
  <c r="E315" i="9"/>
  <c r="E316" i="9"/>
  <c r="E317" i="9"/>
  <c r="E318" i="9"/>
  <c r="E319" i="9"/>
  <c r="E320" i="9"/>
  <c r="E321" i="9"/>
  <c r="E322" i="9"/>
  <c r="E323" i="9"/>
  <c r="E324" i="9"/>
  <c r="E325" i="9"/>
  <c r="E326" i="9"/>
  <c r="E327" i="9"/>
  <c r="E328" i="9"/>
  <c r="E329" i="9"/>
  <c r="E330" i="9"/>
  <c r="E331" i="9"/>
  <c r="E332" i="9"/>
  <c r="E333" i="9"/>
  <c r="E334" i="9"/>
  <c r="E335" i="9"/>
  <c r="E336" i="9"/>
  <c r="E337" i="9"/>
  <c r="E338" i="9"/>
  <c r="E339" i="9"/>
  <c r="E340" i="9"/>
  <c r="E341" i="9"/>
  <c r="E342" i="9"/>
  <c r="E343" i="9"/>
  <c r="E344" i="9"/>
  <c r="E345" i="9"/>
  <c r="E346" i="9"/>
  <c r="E347" i="9"/>
  <c r="E348" i="9"/>
  <c r="E349" i="9"/>
  <c r="E350" i="9"/>
  <c r="E351" i="9"/>
  <c r="E352" i="9"/>
  <c r="E353" i="9"/>
  <c r="E354" i="9"/>
  <c r="E355" i="9"/>
  <c r="E356" i="9"/>
  <c r="E357" i="9"/>
  <c r="E358" i="9"/>
  <c r="E359" i="9"/>
  <c r="E360" i="9"/>
  <c r="E361" i="9"/>
  <c r="E362" i="9"/>
  <c r="E363" i="9"/>
  <c r="E364" i="9"/>
  <c r="E365" i="9"/>
  <c r="E366" i="9"/>
  <c r="E367" i="9"/>
  <c r="E368" i="9"/>
  <c r="E369" i="9"/>
  <c r="E370" i="9"/>
  <c r="E371" i="9"/>
  <c r="E372" i="9"/>
  <c r="E373" i="9"/>
  <c r="E374" i="9"/>
  <c r="E375" i="9"/>
  <c r="E376" i="9"/>
  <c r="E377" i="9"/>
  <c r="E378" i="9"/>
  <c r="E379" i="9"/>
  <c r="E380" i="9"/>
  <c r="E381" i="9"/>
  <c r="E382" i="9"/>
  <c r="E383" i="9"/>
  <c r="E384" i="9"/>
  <c r="E385" i="9"/>
  <c r="E386" i="9"/>
  <c r="E387" i="9"/>
  <c r="E388" i="9"/>
  <c r="E389" i="9"/>
  <c r="E390" i="9"/>
  <c r="E391" i="9"/>
  <c r="E392" i="9"/>
  <c r="E393" i="9"/>
  <c r="E394" i="9"/>
  <c r="E395" i="9"/>
  <c r="E396" i="9"/>
  <c r="E397" i="9"/>
  <c r="E398" i="9"/>
  <c r="E399" i="9"/>
  <c r="E400" i="9"/>
  <c r="E401" i="9"/>
  <c r="E402" i="9"/>
  <c r="E403" i="9"/>
  <c r="E404" i="9"/>
  <c r="E405" i="9"/>
  <c r="E406" i="9"/>
  <c r="E407" i="9"/>
  <c r="E408" i="9"/>
  <c r="E409" i="9"/>
  <c r="E410" i="9"/>
  <c r="E411" i="9"/>
  <c r="E412" i="9"/>
  <c r="E413" i="9"/>
  <c r="E414" i="9"/>
  <c r="E415" i="9"/>
  <c r="E416" i="9"/>
  <c r="E417" i="9"/>
  <c r="E418" i="9"/>
  <c r="E419" i="9"/>
  <c r="E420" i="9"/>
  <c r="E421" i="9"/>
  <c r="E422" i="9"/>
  <c r="E423" i="9"/>
  <c r="E424" i="9"/>
  <c r="E425" i="9"/>
  <c r="E426" i="9"/>
  <c r="E427" i="9"/>
  <c r="E428" i="9"/>
  <c r="E429" i="9"/>
  <c r="E430" i="9"/>
  <c r="E431" i="9"/>
  <c r="E432" i="9"/>
  <c r="E433" i="9"/>
  <c r="E434" i="9"/>
  <c r="E435" i="9"/>
  <c r="E436" i="9"/>
  <c r="E437" i="9"/>
  <c r="E438" i="9"/>
  <c r="E439" i="9"/>
  <c r="E440" i="9"/>
  <c r="E441" i="9"/>
  <c r="E442" i="9"/>
  <c r="E443" i="9"/>
  <c r="E444" i="9"/>
  <c r="E445" i="9"/>
  <c r="E446" i="9"/>
  <c r="E447" i="9"/>
  <c r="E448" i="9"/>
  <c r="E449" i="9"/>
  <c r="E450" i="9"/>
  <c r="E451" i="9"/>
  <c r="E452" i="9"/>
  <c r="E453" i="9"/>
  <c r="E454" i="9"/>
  <c r="E455" i="9"/>
  <c r="E456" i="9"/>
  <c r="E457" i="9"/>
  <c r="E458" i="9"/>
  <c r="E459" i="9"/>
  <c r="E460" i="9"/>
  <c r="E461" i="9"/>
  <c r="E462" i="9"/>
  <c r="E463" i="9"/>
  <c r="E464" i="9"/>
  <c r="E465" i="9"/>
  <c r="E466" i="9"/>
  <c r="E467" i="9"/>
  <c r="E468" i="9"/>
  <c r="E469" i="9"/>
  <c r="E470" i="9"/>
  <c r="E471" i="9"/>
  <c r="E472" i="9"/>
  <c r="E473" i="9"/>
  <c r="E474" i="9"/>
  <c r="E475" i="9"/>
  <c r="E476" i="9"/>
  <c r="E477" i="9"/>
  <c r="E478" i="9"/>
  <c r="E479" i="9"/>
  <c r="E480" i="9"/>
  <c r="E481" i="9"/>
  <c r="E482" i="9"/>
  <c r="E483" i="9"/>
  <c r="E484" i="9"/>
  <c r="E485" i="9"/>
  <c r="E486" i="9"/>
  <c r="E487" i="9"/>
  <c r="E488" i="9"/>
  <c r="E489" i="9"/>
  <c r="E490" i="9"/>
  <c r="E491" i="9"/>
  <c r="E492" i="9"/>
  <c r="E493" i="9"/>
  <c r="E494" i="9"/>
  <c r="E495" i="9"/>
  <c r="E496" i="9"/>
  <c r="E497" i="9"/>
  <c r="E498" i="9"/>
  <c r="E499" i="9"/>
  <c r="E500" i="9"/>
  <c r="E501" i="9"/>
  <c r="E502" i="9"/>
  <c r="E503" i="9"/>
  <c r="E504" i="9"/>
  <c r="E505" i="9"/>
  <c r="E506" i="9"/>
  <c r="E507" i="9"/>
  <c r="E508" i="9"/>
  <c r="E509" i="9"/>
  <c r="E510" i="9"/>
  <c r="E511" i="9"/>
  <c r="E512" i="9"/>
  <c r="E513" i="9"/>
  <c r="E514" i="9"/>
  <c r="E515" i="9"/>
  <c r="E516" i="9"/>
  <c r="E517" i="9"/>
  <c r="E518" i="9"/>
  <c r="E519" i="9"/>
  <c r="E520" i="9"/>
  <c r="E521" i="9"/>
  <c r="E522" i="9"/>
  <c r="E523" i="9"/>
  <c r="E524" i="9"/>
  <c r="E525" i="9"/>
  <c r="E526" i="9"/>
  <c r="E527" i="9"/>
  <c r="E528" i="9"/>
  <c r="E529" i="9"/>
  <c r="E530" i="9"/>
  <c r="E531" i="9"/>
  <c r="E532" i="9"/>
  <c r="E533" i="9"/>
  <c r="E534" i="9"/>
  <c r="E535" i="9"/>
  <c r="E536" i="9"/>
  <c r="E537" i="9"/>
  <c r="E538" i="9"/>
  <c r="E539" i="9"/>
  <c r="E540" i="9"/>
  <c r="E541" i="9"/>
  <c r="E542" i="9"/>
  <c r="E543" i="9"/>
  <c r="E544" i="9"/>
  <c r="E545" i="9"/>
  <c r="E546" i="9"/>
  <c r="E547" i="9"/>
  <c r="E548" i="9"/>
  <c r="E549" i="9"/>
  <c r="E550" i="9"/>
  <c r="E551" i="9"/>
  <c r="E552" i="9"/>
  <c r="E553" i="9"/>
  <c r="E554" i="9"/>
  <c r="E555" i="9"/>
  <c r="E556" i="9"/>
  <c r="E557" i="9"/>
  <c r="E558" i="9"/>
  <c r="E559" i="9"/>
  <c r="E560" i="9"/>
  <c r="E561" i="9"/>
  <c r="E562" i="9"/>
  <c r="E563" i="9"/>
  <c r="E564" i="9"/>
  <c r="E565" i="9"/>
  <c r="E566" i="9"/>
  <c r="E567" i="9"/>
  <c r="E568" i="9"/>
  <c r="E569" i="9"/>
  <c r="E570" i="9"/>
  <c r="E571" i="9"/>
  <c r="E572" i="9"/>
  <c r="E573" i="9"/>
  <c r="E574" i="9"/>
  <c r="E575" i="9"/>
  <c r="E576" i="9"/>
  <c r="E577" i="9"/>
  <c r="E578" i="9"/>
  <c r="E579" i="9"/>
  <c r="E580" i="9"/>
  <c r="E581" i="9"/>
  <c r="E582" i="9"/>
  <c r="E583" i="9"/>
  <c r="E584" i="9"/>
  <c r="E585" i="9"/>
  <c r="E586" i="9"/>
  <c r="E587" i="9"/>
  <c r="E588" i="9"/>
  <c r="E589" i="9"/>
  <c r="E590" i="9"/>
  <c r="E591" i="9"/>
  <c r="E592" i="9"/>
  <c r="E593" i="9"/>
  <c r="E594" i="9"/>
  <c r="E595" i="9"/>
  <c r="E596" i="9"/>
  <c r="E597" i="9"/>
  <c r="E598" i="9"/>
  <c r="E599" i="9"/>
  <c r="E600" i="9"/>
  <c r="E601" i="9"/>
  <c r="E602" i="9"/>
  <c r="E603" i="9"/>
  <c r="E604" i="9"/>
  <c r="E605" i="9"/>
  <c r="E606" i="9"/>
  <c r="E607" i="9"/>
  <c r="E608" i="9"/>
  <c r="E609" i="9"/>
  <c r="E610" i="9"/>
  <c r="E611" i="9"/>
  <c r="E612" i="9"/>
  <c r="E613" i="9"/>
  <c r="E614" i="9"/>
  <c r="E615" i="9"/>
  <c r="E616" i="9"/>
  <c r="E617" i="9"/>
  <c r="E618" i="9"/>
  <c r="E619" i="9"/>
  <c r="E620" i="9"/>
  <c r="E621" i="9"/>
  <c r="E622" i="9"/>
  <c r="E623" i="9"/>
  <c r="E624" i="9"/>
  <c r="E625" i="9"/>
  <c r="E626" i="9"/>
  <c r="E627" i="9"/>
  <c r="E628" i="9"/>
  <c r="E629" i="9"/>
  <c r="E630" i="9"/>
  <c r="E631" i="9"/>
  <c r="E632" i="9"/>
  <c r="E633" i="9"/>
  <c r="E634" i="9"/>
  <c r="E635" i="9"/>
  <c r="E636" i="9"/>
  <c r="E637" i="9"/>
  <c r="E638" i="9"/>
  <c r="E639" i="9"/>
  <c r="E640" i="9"/>
  <c r="E641" i="9"/>
  <c r="E642" i="9"/>
  <c r="E643" i="9"/>
  <c r="E644" i="9"/>
  <c r="E645" i="9"/>
  <c r="E646" i="9"/>
  <c r="E647" i="9"/>
  <c r="E648" i="9"/>
  <c r="E649" i="9"/>
  <c r="E650" i="9"/>
  <c r="E651" i="9"/>
  <c r="E652" i="9"/>
  <c r="E653" i="9"/>
  <c r="E654" i="9"/>
  <c r="E655" i="9"/>
  <c r="E656" i="9"/>
  <c r="E657" i="9"/>
  <c r="E658" i="9"/>
  <c r="E659" i="9"/>
  <c r="E660" i="9"/>
  <c r="E661" i="9"/>
  <c r="E662" i="9"/>
  <c r="E663" i="9"/>
  <c r="E664" i="9"/>
  <c r="E665" i="9"/>
  <c r="E666" i="9"/>
  <c r="E667" i="9"/>
  <c r="E668" i="9"/>
  <c r="E669" i="9"/>
  <c r="E670" i="9"/>
  <c r="E671" i="9"/>
  <c r="E672" i="9"/>
  <c r="E673" i="9"/>
  <c r="E674" i="9"/>
  <c r="E675" i="9"/>
  <c r="E676" i="9"/>
  <c r="E677" i="9"/>
  <c r="E678" i="9"/>
  <c r="E679" i="9"/>
  <c r="E680" i="9"/>
  <c r="E681" i="9"/>
  <c r="E682" i="9"/>
  <c r="E683" i="9"/>
  <c r="E684" i="9"/>
  <c r="E685" i="9"/>
  <c r="E686" i="9"/>
  <c r="E687" i="9"/>
  <c r="E688" i="9"/>
  <c r="E689" i="9"/>
  <c r="E690" i="9"/>
  <c r="E691" i="9"/>
  <c r="E692" i="9"/>
  <c r="E693" i="9"/>
  <c r="E694" i="9"/>
  <c r="E695" i="9"/>
  <c r="E696" i="9"/>
  <c r="E697" i="9"/>
  <c r="E698" i="9"/>
  <c r="E699" i="9"/>
  <c r="E700" i="9"/>
  <c r="E701" i="9"/>
  <c r="E702" i="9"/>
  <c r="E703" i="9"/>
  <c r="E704" i="9"/>
  <c r="E705" i="9"/>
  <c r="E706" i="9"/>
  <c r="E707" i="9"/>
  <c r="E708" i="9"/>
  <c r="E709" i="9"/>
  <c r="E710" i="9"/>
  <c r="E711" i="9"/>
  <c r="E712" i="9"/>
  <c r="E713" i="9"/>
  <c r="E714" i="9"/>
  <c r="E715" i="9"/>
  <c r="E716" i="9"/>
  <c r="E717" i="9"/>
  <c r="E718" i="9"/>
  <c r="E719" i="9"/>
  <c r="E720" i="9"/>
  <c r="E721" i="9"/>
  <c r="C41" i="7"/>
  <c r="B2" i="7"/>
  <c r="B3" i="7"/>
  <c r="B4" i="7"/>
  <c r="B5" i="7"/>
  <c r="B6" i="7"/>
  <c r="B7" i="7"/>
  <c r="B8" i="7"/>
  <c r="B9" i="7"/>
  <c r="B10" i="7"/>
  <c r="B11" i="7"/>
  <c r="B12" i="7"/>
  <c r="B13" i="7"/>
  <c r="B14" i="7"/>
  <c r="B15" i="7"/>
  <c r="B16" i="7"/>
  <c r="B17" i="7"/>
  <c r="B18" i="7"/>
  <c r="B19" i="7"/>
  <c r="B20" i="7"/>
  <c r="B21" i="7"/>
  <c r="B22" i="7"/>
  <c r="B23" i="7"/>
  <c r="B24" i="7"/>
  <c r="B25" i="7"/>
  <c r="B26" i="7"/>
  <c r="B27" i="7"/>
  <c r="B28" i="7"/>
  <c r="B29" i="7"/>
  <c r="B30" i="7"/>
  <c r="B31" i="7"/>
  <c r="B32" i="7"/>
  <c r="B33" i="7"/>
  <c r="B34" i="7"/>
  <c r="B35" i="7"/>
  <c r="B36" i="7"/>
  <c r="B37" i="7"/>
  <c r="B38" i="7"/>
  <c r="B39" i="7"/>
  <c r="B40" i="7"/>
  <c r="B41" i="7"/>
  <c r="K464" i="16"/>
  <c r="K463" i="16"/>
  <c r="K462" i="16"/>
  <c r="K461" i="16"/>
  <c r="K460" i="16"/>
  <c r="K459" i="16"/>
  <c r="K458" i="16"/>
  <c r="K457" i="16"/>
  <c r="K456" i="16"/>
  <c r="K455" i="16"/>
  <c r="K454" i="16"/>
  <c r="K453" i="16"/>
  <c r="K452" i="16"/>
  <c r="K451" i="16"/>
  <c r="K450" i="16"/>
  <c r="K449" i="16"/>
  <c r="K448" i="16"/>
  <c r="K447" i="16"/>
  <c r="K446" i="16"/>
  <c r="K445" i="16"/>
  <c r="K444" i="16"/>
  <c r="K443" i="16"/>
  <c r="K442" i="16"/>
  <c r="K441" i="16"/>
  <c r="K440" i="16"/>
  <c r="K439" i="16"/>
  <c r="K438" i="16"/>
  <c r="K437" i="16"/>
  <c r="K436" i="16"/>
  <c r="K435" i="16"/>
  <c r="K434" i="16"/>
  <c r="K433" i="16"/>
  <c r="K432" i="16"/>
  <c r="K431" i="16"/>
  <c r="K430" i="16"/>
  <c r="K429" i="16"/>
  <c r="K428" i="16"/>
  <c r="K427" i="16"/>
  <c r="K426" i="16"/>
  <c r="K425" i="16"/>
  <c r="K424" i="16"/>
  <c r="K423" i="16"/>
  <c r="K422" i="16"/>
  <c r="K421" i="16"/>
  <c r="K420" i="16"/>
  <c r="K419" i="16"/>
  <c r="K418" i="16"/>
  <c r="K417" i="16"/>
  <c r="K416" i="16"/>
  <c r="K415" i="16"/>
  <c r="K414" i="16"/>
  <c r="K413" i="16"/>
  <c r="K412" i="16"/>
  <c r="K411" i="16"/>
  <c r="K410" i="16"/>
  <c r="K409" i="16"/>
  <c r="K408" i="16"/>
  <c r="K407" i="16"/>
  <c r="K406" i="16"/>
  <c r="K405" i="16"/>
  <c r="K404" i="16"/>
  <c r="K403" i="16"/>
  <c r="K402" i="16"/>
  <c r="K401" i="16"/>
  <c r="K400" i="16"/>
  <c r="K399" i="16"/>
  <c r="K398" i="16"/>
  <c r="K397" i="16"/>
  <c r="K396" i="16"/>
  <c r="K395" i="16"/>
  <c r="K394" i="16"/>
  <c r="K393" i="16"/>
  <c r="K392" i="16"/>
  <c r="K391" i="16"/>
  <c r="K390" i="16"/>
  <c r="K389" i="16"/>
  <c r="K388" i="16"/>
  <c r="K387" i="16"/>
  <c r="K386" i="16"/>
  <c r="K385" i="16"/>
  <c r="K384" i="16"/>
  <c r="K383" i="16"/>
  <c r="K382" i="16"/>
  <c r="K381" i="16"/>
  <c r="K380" i="16"/>
  <c r="K379" i="16"/>
  <c r="K378" i="16"/>
  <c r="K377" i="16"/>
  <c r="K376" i="16"/>
  <c r="K375" i="16"/>
  <c r="K374" i="16"/>
  <c r="K373" i="16"/>
  <c r="K372" i="16"/>
  <c r="K371" i="16"/>
  <c r="K370" i="16"/>
  <c r="K369" i="16"/>
  <c r="K368" i="16"/>
  <c r="K367" i="16"/>
  <c r="K366" i="16"/>
  <c r="K365" i="16"/>
  <c r="K364" i="16"/>
  <c r="K363" i="16"/>
  <c r="K362" i="16"/>
  <c r="K361" i="16"/>
  <c r="K360" i="16"/>
  <c r="K359" i="16"/>
  <c r="K358" i="16"/>
  <c r="K357" i="16"/>
  <c r="K356" i="16"/>
  <c r="K355" i="16"/>
  <c r="K354" i="16"/>
  <c r="K353" i="16"/>
  <c r="K352" i="16"/>
  <c r="K351" i="16"/>
  <c r="K350" i="16"/>
  <c r="K349" i="16"/>
  <c r="K348" i="16"/>
  <c r="K347" i="16"/>
  <c r="K346" i="16"/>
  <c r="K345" i="16"/>
  <c r="K344" i="16"/>
  <c r="K343" i="16"/>
  <c r="K342" i="16"/>
  <c r="K341" i="16"/>
  <c r="K340" i="16"/>
  <c r="K339" i="16"/>
  <c r="K338" i="16"/>
  <c r="K337" i="16"/>
  <c r="K336" i="16"/>
  <c r="K335" i="16"/>
  <c r="K334" i="16"/>
  <c r="K333" i="16"/>
  <c r="K332" i="16"/>
  <c r="K331" i="16"/>
  <c r="K330" i="16"/>
  <c r="K329" i="16"/>
  <c r="K328" i="16"/>
  <c r="K327" i="16"/>
  <c r="K326" i="16"/>
  <c r="K325" i="16"/>
  <c r="K324" i="16"/>
  <c r="K323" i="16"/>
  <c r="K322" i="16"/>
  <c r="K321" i="16"/>
  <c r="K320" i="16"/>
  <c r="K319" i="16"/>
  <c r="K318" i="16"/>
  <c r="K317" i="16"/>
  <c r="K316" i="16"/>
  <c r="K315" i="16"/>
  <c r="K314" i="16"/>
  <c r="K313" i="16"/>
  <c r="K312" i="16"/>
  <c r="K311" i="16"/>
  <c r="K310" i="16"/>
  <c r="K309" i="16"/>
  <c r="K308" i="16"/>
  <c r="K307" i="16"/>
  <c r="K306" i="16"/>
  <c r="K305" i="16"/>
  <c r="K304" i="16"/>
  <c r="K303" i="16"/>
  <c r="K302" i="16"/>
  <c r="K301" i="16"/>
  <c r="K300" i="16"/>
  <c r="K299" i="16"/>
  <c r="K298" i="16"/>
  <c r="K297" i="16"/>
  <c r="K296" i="16"/>
  <c r="K295" i="16"/>
  <c r="K294" i="16"/>
  <c r="K293" i="16"/>
  <c r="K292" i="16"/>
  <c r="K291" i="16"/>
  <c r="K290" i="16"/>
  <c r="K289" i="16"/>
  <c r="K288" i="16"/>
  <c r="K287" i="16"/>
  <c r="K286" i="16"/>
  <c r="K285" i="16"/>
  <c r="K284" i="16"/>
  <c r="K283" i="16"/>
  <c r="K282" i="16"/>
  <c r="K281" i="16"/>
  <c r="K280" i="16"/>
  <c r="K279" i="16"/>
  <c r="K278" i="16"/>
  <c r="K277" i="16"/>
  <c r="K276" i="16"/>
  <c r="K275" i="16"/>
  <c r="K274" i="16"/>
  <c r="K273" i="16"/>
  <c r="K272" i="16"/>
  <c r="K271" i="16"/>
  <c r="K270" i="16"/>
  <c r="K269" i="16"/>
  <c r="K268" i="16"/>
  <c r="K267" i="16"/>
  <c r="K266" i="16"/>
  <c r="K265" i="16"/>
  <c r="K264" i="16"/>
  <c r="K263" i="16"/>
  <c r="K262" i="16"/>
  <c r="K261" i="16"/>
  <c r="K260" i="16"/>
  <c r="K259" i="16"/>
  <c r="K258" i="16"/>
  <c r="K257" i="16"/>
  <c r="K256" i="16"/>
  <c r="K255" i="16"/>
  <c r="K254" i="16"/>
  <c r="K253" i="16"/>
  <c r="K252" i="16"/>
  <c r="K251" i="16"/>
  <c r="K250" i="16"/>
  <c r="K249" i="16"/>
  <c r="K248" i="16"/>
  <c r="K247" i="16"/>
  <c r="K246" i="16"/>
  <c r="K245" i="16"/>
  <c r="K244" i="16"/>
  <c r="K243" i="16"/>
  <c r="K242" i="16"/>
  <c r="K241" i="16"/>
  <c r="K240" i="16"/>
  <c r="K239" i="16"/>
  <c r="K238" i="16"/>
  <c r="K237" i="16"/>
  <c r="K236" i="16"/>
  <c r="K235" i="16"/>
  <c r="K234" i="16"/>
  <c r="K233" i="16"/>
  <c r="K232" i="16"/>
  <c r="K231" i="16"/>
  <c r="K230" i="16"/>
  <c r="K229" i="16"/>
  <c r="K228" i="16"/>
  <c r="K227" i="16"/>
  <c r="K226" i="16"/>
  <c r="K225" i="16"/>
  <c r="K224" i="16"/>
  <c r="K223" i="16"/>
  <c r="K222" i="16"/>
  <c r="K221" i="16"/>
  <c r="K220" i="16"/>
  <c r="K219" i="16"/>
  <c r="K218" i="16"/>
  <c r="K217" i="16"/>
  <c r="K216" i="16"/>
  <c r="K215" i="16"/>
  <c r="K214" i="16"/>
  <c r="K213" i="16"/>
  <c r="K212" i="16"/>
  <c r="K211" i="16"/>
  <c r="K210" i="16"/>
  <c r="K209" i="16"/>
  <c r="K208" i="16"/>
  <c r="K207" i="16"/>
  <c r="K206" i="16"/>
  <c r="K205" i="16"/>
  <c r="K204" i="16"/>
  <c r="K203" i="16"/>
  <c r="K202" i="16"/>
  <c r="K201" i="16"/>
  <c r="K200" i="16"/>
  <c r="K199" i="16"/>
  <c r="K198" i="16"/>
  <c r="K197" i="16"/>
  <c r="K196" i="16"/>
  <c r="K195" i="16"/>
  <c r="K194" i="16"/>
  <c r="K193" i="16"/>
  <c r="K192" i="16"/>
  <c r="K191" i="16"/>
  <c r="K190" i="16"/>
  <c r="K189" i="16"/>
  <c r="K188" i="16"/>
  <c r="K187" i="16"/>
  <c r="K186" i="16"/>
  <c r="K185" i="16"/>
  <c r="K184" i="16"/>
  <c r="K183" i="16"/>
  <c r="K182" i="16"/>
  <c r="K181" i="16"/>
  <c r="K180" i="16"/>
  <c r="K179" i="16"/>
  <c r="K178" i="16"/>
  <c r="K177" i="16"/>
  <c r="K176" i="16"/>
  <c r="K175" i="16"/>
  <c r="K174" i="16"/>
  <c r="K173" i="16"/>
  <c r="K172" i="16"/>
  <c r="K171" i="16"/>
  <c r="K170" i="16"/>
  <c r="K169" i="16"/>
  <c r="K168" i="16"/>
  <c r="K167" i="16"/>
  <c r="K166" i="16"/>
  <c r="K165" i="16"/>
  <c r="K164" i="16"/>
  <c r="K163" i="16"/>
  <c r="K162" i="16"/>
  <c r="K161" i="16"/>
  <c r="K160" i="16"/>
  <c r="K159" i="16"/>
  <c r="K158" i="16"/>
  <c r="K157" i="16"/>
  <c r="K156" i="16"/>
  <c r="K155" i="16"/>
  <c r="K154" i="16"/>
  <c r="K153" i="16"/>
  <c r="K152" i="16"/>
  <c r="K151" i="16"/>
  <c r="K150" i="16"/>
  <c r="K149" i="16"/>
  <c r="K148" i="16"/>
  <c r="K147" i="16"/>
  <c r="K146" i="16"/>
  <c r="K145" i="16"/>
  <c r="K144" i="16"/>
  <c r="K143" i="16"/>
  <c r="K142" i="16"/>
  <c r="K141" i="16"/>
  <c r="K140" i="16"/>
  <c r="K139" i="16"/>
  <c r="K138" i="16"/>
  <c r="K137" i="16"/>
  <c r="K136" i="16"/>
  <c r="K135" i="16"/>
  <c r="K134" i="16"/>
  <c r="K133" i="16"/>
  <c r="K132" i="16"/>
  <c r="K131" i="16"/>
  <c r="K130" i="16"/>
  <c r="K129" i="16"/>
  <c r="K128" i="16"/>
  <c r="K127" i="16"/>
  <c r="K126" i="16"/>
  <c r="K125" i="16"/>
  <c r="K124" i="16"/>
  <c r="K123" i="16"/>
  <c r="K122" i="16"/>
  <c r="K121" i="16"/>
  <c r="K120" i="16"/>
  <c r="K119" i="16"/>
  <c r="K118" i="16"/>
  <c r="K117" i="16"/>
  <c r="K116" i="16"/>
  <c r="K115" i="16"/>
  <c r="K114" i="16"/>
  <c r="K113" i="16"/>
  <c r="K112" i="16"/>
  <c r="K111" i="16"/>
  <c r="K110" i="16"/>
  <c r="K109" i="16"/>
  <c r="K108" i="16"/>
  <c r="K107" i="16"/>
  <c r="K106" i="16"/>
  <c r="K105" i="16"/>
  <c r="K104" i="16"/>
  <c r="K103" i="16"/>
  <c r="K102" i="16"/>
  <c r="K101" i="16"/>
  <c r="K100" i="16"/>
  <c r="K99" i="16"/>
  <c r="K98" i="16"/>
  <c r="K97" i="16"/>
  <c r="K96" i="16"/>
  <c r="K95" i="16"/>
  <c r="K94" i="16"/>
  <c r="K93" i="16"/>
  <c r="K92" i="16"/>
  <c r="K91" i="16"/>
  <c r="K90" i="16"/>
  <c r="K89" i="16"/>
  <c r="K88" i="16"/>
  <c r="K87" i="16"/>
  <c r="K86" i="16"/>
  <c r="K85" i="16"/>
  <c r="K84" i="16"/>
  <c r="K83" i="16"/>
  <c r="K82" i="16"/>
  <c r="K81" i="16"/>
  <c r="K80" i="16"/>
  <c r="K79" i="16"/>
  <c r="K78" i="16"/>
  <c r="K77" i="16"/>
  <c r="K76" i="16"/>
  <c r="K75" i="16"/>
  <c r="K74" i="16"/>
  <c r="K73" i="16"/>
  <c r="K72" i="16"/>
  <c r="K71" i="16"/>
  <c r="K70" i="16"/>
  <c r="K69" i="16"/>
  <c r="K68" i="16"/>
  <c r="K67" i="16"/>
  <c r="K66" i="16"/>
  <c r="K65" i="16"/>
  <c r="K64" i="16"/>
  <c r="K63" i="16"/>
  <c r="K62" i="16"/>
  <c r="K61" i="16"/>
  <c r="K60" i="16"/>
  <c r="K59" i="16"/>
  <c r="K58" i="16"/>
  <c r="K57" i="16"/>
  <c r="K56" i="16"/>
  <c r="K55" i="16"/>
  <c r="K54" i="16"/>
  <c r="K53" i="16"/>
  <c r="K52" i="16"/>
  <c r="K51" i="16"/>
  <c r="K50" i="16"/>
  <c r="K49" i="16"/>
  <c r="K48" i="16"/>
  <c r="K47" i="16"/>
  <c r="K46" i="16"/>
  <c r="K45" i="16"/>
  <c r="K44" i="16"/>
  <c r="K43" i="16"/>
  <c r="K42" i="16"/>
  <c r="K41" i="16"/>
  <c r="K40" i="16"/>
  <c r="K39" i="16"/>
  <c r="K38" i="16"/>
  <c r="K37" i="16"/>
  <c r="K36" i="16"/>
  <c r="K35" i="16"/>
  <c r="K34" i="16"/>
  <c r="K33" i="16"/>
  <c r="K32" i="16"/>
  <c r="K31" i="16"/>
  <c r="K30" i="16"/>
  <c r="K29" i="16"/>
  <c r="K28" i="16"/>
  <c r="K27" i="16"/>
  <c r="K26" i="16"/>
  <c r="K25" i="16"/>
  <c r="K24" i="16"/>
  <c r="K23" i="16"/>
  <c r="K22" i="16"/>
  <c r="K21" i="16"/>
  <c r="K20" i="16"/>
  <c r="K19" i="16"/>
  <c r="K18" i="16"/>
  <c r="K17" i="16"/>
  <c r="K16" i="16"/>
  <c r="K15" i="16"/>
  <c r="K14" i="16"/>
  <c r="K13" i="16"/>
  <c r="K12" i="16"/>
  <c r="K11" i="16"/>
  <c r="K10" i="16"/>
  <c r="K9" i="16"/>
  <c r="K8" i="16"/>
  <c r="K7" i="16"/>
  <c r="K6" i="16"/>
  <c r="K5" i="16"/>
  <c r="K4" i="16"/>
  <c r="K3" i="16"/>
  <c r="K2" i="16"/>
  <c r="K56" i="13"/>
  <c r="K57" i="13"/>
  <c r="K58" i="13"/>
  <c r="K59" i="13"/>
  <c r="K60" i="13"/>
  <c r="K61" i="13"/>
  <c r="K62" i="13"/>
  <c r="K63" i="13"/>
  <c r="K64" i="13"/>
  <c r="K65" i="13"/>
  <c r="K66" i="13"/>
  <c r="K67" i="13"/>
  <c r="K68" i="13"/>
  <c r="K69" i="13"/>
  <c r="K70" i="13"/>
  <c r="K71" i="13"/>
  <c r="K72" i="13"/>
  <c r="K73" i="13"/>
  <c r="K74" i="13"/>
  <c r="K572" i="13"/>
  <c r="K571" i="13"/>
  <c r="K570" i="13"/>
  <c r="K569" i="13"/>
  <c r="K568" i="13"/>
  <c r="K567" i="13"/>
  <c r="K566" i="13"/>
  <c r="K565" i="13"/>
  <c r="K564" i="13"/>
  <c r="K563" i="13"/>
  <c r="K562" i="13"/>
  <c r="K561" i="13"/>
  <c r="K560" i="13"/>
  <c r="K559" i="13"/>
  <c r="K558" i="13"/>
  <c r="K557" i="13"/>
  <c r="K556" i="13"/>
  <c r="K555" i="13"/>
  <c r="K554" i="13"/>
  <c r="K553" i="13"/>
  <c r="K552" i="13"/>
  <c r="K551" i="13"/>
  <c r="K550" i="13"/>
  <c r="K549" i="13"/>
  <c r="K548" i="13"/>
  <c r="K547" i="13"/>
  <c r="K546" i="13"/>
  <c r="K545" i="13"/>
  <c r="K544" i="13"/>
  <c r="K543" i="13"/>
  <c r="K542" i="13"/>
  <c r="K541" i="13"/>
  <c r="K540" i="13"/>
  <c r="K539" i="13"/>
  <c r="K538" i="13"/>
  <c r="K537" i="13"/>
  <c r="K536" i="13"/>
  <c r="K535" i="13"/>
  <c r="K534" i="13"/>
  <c r="K533" i="13"/>
  <c r="K532" i="13"/>
  <c r="K531" i="13"/>
  <c r="K530" i="13"/>
  <c r="K529" i="13"/>
  <c r="K528" i="13"/>
  <c r="K527" i="13"/>
  <c r="K526" i="13"/>
  <c r="K525" i="13"/>
  <c r="K524" i="13"/>
  <c r="K523" i="13"/>
  <c r="K522" i="13"/>
  <c r="K521" i="13"/>
  <c r="K520" i="13"/>
  <c r="K519" i="13"/>
  <c r="K518" i="13"/>
  <c r="K517" i="13"/>
  <c r="K516" i="13"/>
  <c r="K515" i="13"/>
  <c r="K514" i="13"/>
  <c r="K513" i="13"/>
  <c r="K512" i="13"/>
  <c r="K511" i="13"/>
  <c r="K510" i="13"/>
  <c r="K509" i="13"/>
  <c r="K508" i="13"/>
  <c r="K507" i="13"/>
  <c r="K506" i="13"/>
  <c r="K505" i="13"/>
  <c r="K504" i="13"/>
  <c r="K503" i="13"/>
  <c r="K502" i="13"/>
  <c r="K501" i="13"/>
  <c r="K500" i="13"/>
  <c r="K499" i="13"/>
  <c r="K498" i="13"/>
  <c r="K497" i="13"/>
  <c r="K496" i="13"/>
  <c r="K495" i="13"/>
  <c r="K494" i="13"/>
  <c r="K493" i="13"/>
  <c r="K492" i="13"/>
  <c r="K491" i="13"/>
  <c r="K490" i="13"/>
  <c r="K489" i="13"/>
  <c r="K488" i="13"/>
  <c r="K487" i="13"/>
  <c r="K486" i="13"/>
  <c r="K485" i="13"/>
  <c r="K484" i="13"/>
  <c r="K483" i="13"/>
  <c r="K482" i="13"/>
  <c r="K481" i="13"/>
  <c r="K480" i="13"/>
  <c r="K479" i="13"/>
  <c r="K478" i="13"/>
  <c r="K477" i="13"/>
  <c r="K476" i="13"/>
  <c r="K475" i="13"/>
  <c r="K474" i="13"/>
  <c r="K473" i="13"/>
  <c r="K472" i="13"/>
  <c r="K471" i="13"/>
  <c r="K470" i="13"/>
  <c r="K469" i="13"/>
  <c r="K468" i="13"/>
  <c r="K467" i="13"/>
  <c r="K466" i="13"/>
  <c r="K465" i="13"/>
  <c r="K464" i="13"/>
  <c r="K463" i="13"/>
  <c r="K462" i="13"/>
  <c r="K461" i="13"/>
  <c r="K460" i="13"/>
  <c r="K459" i="13"/>
  <c r="K458" i="13"/>
  <c r="K457" i="13"/>
  <c r="K456" i="13"/>
  <c r="K455" i="13"/>
  <c r="K454" i="13"/>
  <c r="K453" i="13"/>
  <c r="K452" i="13"/>
  <c r="K451" i="13"/>
  <c r="K450" i="13"/>
  <c r="K449" i="13"/>
  <c r="K448" i="13"/>
  <c r="K447" i="13"/>
  <c r="K446" i="13"/>
  <c r="K445" i="13"/>
  <c r="K444" i="13"/>
  <c r="K443" i="13"/>
  <c r="K442" i="13"/>
  <c r="K441" i="13"/>
  <c r="K440" i="13"/>
  <c r="K439" i="13"/>
  <c r="K438" i="13"/>
  <c r="K437" i="13"/>
  <c r="K436" i="13"/>
  <c r="K435" i="13"/>
  <c r="K434" i="13"/>
  <c r="K433" i="13"/>
  <c r="K432" i="13"/>
  <c r="K431" i="13"/>
  <c r="K430" i="13"/>
  <c r="K429" i="13"/>
  <c r="K428" i="13"/>
  <c r="K427" i="13"/>
  <c r="K426" i="13"/>
  <c r="K425" i="13"/>
  <c r="K424" i="13"/>
  <c r="K423" i="13"/>
  <c r="K422" i="13"/>
  <c r="K421" i="13"/>
  <c r="K420" i="13"/>
  <c r="K419" i="13"/>
  <c r="K418" i="13"/>
  <c r="K417" i="13"/>
  <c r="K416" i="13"/>
  <c r="K415" i="13"/>
  <c r="K414" i="13"/>
  <c r="K413" i="13"/>
  <c r="K412" i="13"/>
  <c r="K411" i="13"/>
  <c r="K410" i="13"/>
  <c r="K409" i="13"/>
  <c r="K408" i="13"/>
  <c r="K407" i="13"/>
  <c r="K406" i="13"/>
  <c r="K405" i="13"/>
  <c r="K404" i="13"/>
  <c r="K403" i="13"/>
  <c r="K402" i="13"/>
  <c r="K401" i="13"/>
  <c r="K400" i="13"/>
  <c r="K399" i="13"/>
  <c r="K398" i="13"/>
  <c r="K397" i="13"/>
  <c r="K396" i="13"/>
  <c r="K395" i="13"/>
  <c r="K394" i="13"/>
  <c r="K393" i="13"/>
  <c r="K392" i="13"/>
  <c r="K391" i="13"/>
  <c r="K390" i="13"/>
  <c r="K389" i="13"/>
  <c r="K388" i="13"/>
  <c r="K387" i="13"/>
  <c r="K386" i="13"/>
  <c r="K385" i="13"/>
  <c r="K384" i="13"/>
  <c r="K383" i="13"/>
  <c r="K382" i="13"/>
  <c r="K381" i="13"/>
  <c r="K380" i="13"/>
  <c r="K379" i="13"/>
  <c r="K378" i="13"/>
  <c r="K377" i="13"/>
  <c r="K376" i="13"/>
  <c r="K375" i="13"/>
  <c r="K374" i="13"/>
  <c r="K373" i="13"/>
  <c r="K372" i="13"/>
  <c r="K371" i="13"/>
  <c r="K370" i="13"/>
  <c r="K369" i="13"/>
  <c r="K368" i="13"/>
  <c r="K367" i="13"/>
  <c r="K366" i="13"/>
  <c r="K365" i="13"/>
  <c r="K364" i="13"/>
  <c r="K363" i="13"/>
  <c r="K362" i="13"/>
  <c r="K361" i="13"/>
  <c r="K360" i="13"/>
  <c r="K359" i="13"/>
  <c r="K358" i="13"/>
  <c r="K357" i="13"/>
  <c r="K356" i="13"/>
  <c r="K355" i="13"/>
  <c r="K354" i="13"/>
  <c r="K353" i="13"/>
  <c r="K352" i="13"/>
  <c r="K351" i="13"/>
  <c r="K350" i="13"/>
  <c r="K349" i="13"/>
  <c r="K348" i="13"/>
  <c r="K347" i="13"/>
  <c r="K346" i="13"/>
  <c r="K345" i="13"/>
  <c r="K344" i="13"/>
  <c r="K343" i="13"/>
  <c r="K342" i="13"/>
  <c r="K341" i="13"/>
  <c r="K340" i="13"/>
  <c r="K339" i="13"/>
  <c r="K338" i="13"/>
  <c r="K337" i="13"/>
  <c r="K336" i="13"/>
  <c r="K335" i="13"/>
  <c r="K334" i="13"/>
  <c r="K333" i="13"/>
  <c r="K332" i="13"/>
  <c r="K331" i="13"/>
  <c r="K330" i="13"/>
  <c r="K329" i="13"/>
  <c r="K328" i="13"/>
  <c r="K327" i="13"/>
  <c r="K326" i="13"/>
  <c r="K325" i="13"/>
  <c r="K324" i="13"/>
  <c r="K323" i="13"/>
  <c r="K322" i="13"/>
  <c r="K321" i="13"/>
  <c r="K320" i="13"/>
  <c r="K319" i="13"/>
  <c r="K318" i="13"/>
  <c r="K317" i="13"/>
  <c r="K316" i="13"/>
  <c r="K315" i="13"/>
  <c r="K314" i="13"/>
  <c r="K313" i="13"/>
  <c r="K312" i="13"/>
  <c r="K311" i="13"/>
  <c r="K310" i="13"/>
  <c r="K309" i="13"/>
  <c r="K308" i="13"/>
  <c r="K307" i="13"/>
  <c r="K306" i="13"/>
  <c r="K305" i="13"/>
  <c r="K304" i="13"/>
  <c r="K303" i="13"/>
  <c r="K302" i="13"/>
  <c r="K301" i="13"/>
  <c r="K300" i="13"/>
  <c r="K299" i="13"/>
  <c r="K298" i="13"/>
  <c r="K297" i="13"/>
  <c r="K296" i="13"/>
  <c r="K295" i="13"/>
  <c r="K294" i="13"/>
  <c r="K293" i="13"/>
  <c r="K292" i="13"/>
  <c r="K291" i="13"/>
  <c r="K290" i="13"/>
  <c r="K289" i="13"/>
  <c r="K288" i="13"/>
  <c r="K287" i="13"/>
  <c r="K286" i="13"/>
  <c r="K285" i="13"/>
  <c r="K284" i="13"/>
  <c r="K283" i="13"/>
  <c r="K282" i="13"/>
  <c r="K281" i="13"/>
  <c r="K280" i="13"/>
  <c r="K279" i="13"/>
  <c r="K278" i="13"/>
  <c r="K277" i="13"/>
  <c r="K276" i="13"/>
  <c r="K275" i="13"/>
  <c r="K274" i="13"/>
  <c r="K273" i="13"/>
  <c r="K272" i="13"/>
  <c r="K271" i="13"/>
  <c r="K270" i="13"/>
  <c r="K269" i="13"/>
  <c r="K268" i="13"/>
  <c r="K267" i="13"/>
  <c r="K266" i="13"/>
  <c r="K265" i="13"/>
  <c r="K264" i="13"/>
  <c r="K263" i="13"/>
  <c r="K262" i="13"/>
  <c r="K261" i="13"/>
  <c r="K260" i="13"/>
  <c r="K259" i="13"/>
  <c r="K258" i="13"/>
  <c r="K257" i="13"/>
  <c r="K256" i="13"/>
  <c r="K255" i="13"/>
  <c r="K254" i="13"/>
  <c r="K253" i="13"/>
  <c r="K252" i="13"/>
  <c r="K251" i="13"/>
  <c r="K250" i="13"/>
  <c r="K249" i="13"/>
  <c r="K248" i="13"/>
  <c r="K247" i="13"/>
  <c r="K246" i="13"/>
  <c r="K245" i="13"/>
  <c r="K244" i="13"/>
  <c r="K243" i="13"/>
  <c r="K242" i="13"/>
  <c r="K241" i="13"/>
  <c r="K240" i="13"/>
  <c r="K239" i="13"/>
  <c r="K238" i="13"/>
  <c r="K237" i="13"/>
  <c r="K236" i="13"/>
  <c r="K235" i="13"/>
  <c r="K234" i="13"/>
  <c r="K233" i="13"/>
  <c r="K232" i="13"/>
  <c r="K231" i="13"/>
  <c r="K230" i="13"/>
  <c r="K229" i="13"/>
  <c r="K228" i="13"/>
  <c r="K227" i="13"/>
  <c r="K226" i="13"/>
  <c r="K225" i="13"/>
  <c r="K224" i="13"/>
  <c r="K223" i="13"/>
  <c r="K222" i="13"/>
  <c r="K221" i="13"/>
  <c r="K220" i="13"/>
  <c r="K219" i="13"/>
  <c r="K218" i="13"/>
  <c r="K217" i="13"/>
  <c r="K216" i="13"/>
  <c r="K215" i="13"/>
  <c r="K214" i="13"/>
  <c r="K213" i="13"/>
  <c r="K212" i="13"/>
  <c r="K211" i="13"/>
  <c r="K210" i="13"/>
  <c r="K209" i="13"/>
  <c r="K208" i="13"/>
  <c r="K207" i="13"/>
  <c r="K206" i="13"/>
  <c r="K205" i="13"/>
  <c r="K204" i="13"/>
  <c r="K203" i="13"/>
  <c r="K202" i="13"/>
  <c r="K201" i="13"/>
  <c r="K200" i="13"/>
  <c r="K199" i="13"/>
  <c r="K198" i="13"/>
  <c r="K197" i="13"/>
  <c r="K196" i="13"/>
  <c r="K195" i="13"/>
  <c r="K194" i="13"/>
  <c r="K193" i="13"/>
  <c r="K192" i="13"/>
  <c r="K191" i="13"/>
  <c r="K190" i="13"/>
  <c r="K189" i="13"/>
  <c r="K188" i="13"/>
  <c r="K187" i="13"/>
  <c r="K186" i="13"/>
  <c r="K185" i="13"/>
  <c r="K184" i="13"/>
  <c r="K183" i="13"/>
  <c r="K182" i="13"/>
  <c r="K181" i="13"/>
  <c r="K180" i="13"/>
  <c r="K179" i="13"/>
  <c r="K178" i="13"/>
  <c r="K177" i="13"/>
  <c r="K176" i="13"/>
  <c r="K175" i="13"/>
  <c r="K174" i="13"/>
  <c r="K173" i="13"/>
  <c r="K172" i="13"/>
  <c r="K171" i="13"/>
  <c r="K170" i="13"/>
  <c r="K169" i="13"/>
  <c r="K168" i="13"/>
  <c r="K167" i="13"/>
  <c r="K166" i="13"/>
  <c r="K165" i="13"/>
  <c r="K164" i="13"/>
  <c r="K163" i="13"/>
  <c r="K162" i="13"/>
  <c r="K161" i="13"/>
  <c r="K160" i="13"/>
  <c r="K159" i="13"/>
  <c r="K158" i="13"/>
  <c r="K157" i="13"/>
  <c r="K156" i="13"/>
  <c r="K155" i="13"/>
  <c r="K154" i="13"/>
  <c r="K153" i="13"/>
  <c r="K152" i="13"/>
  <c r="K151" i="13"/>
  <c r="K150" i="13"/>
  <c r="K149" i="13"/>
  <c r="K148" i="13"/>
  <c r="K147" i="13"/>
  <c r="K146" i="13"/>
  <c r="K145" i="13"/>
  <c r="K144" i="13"/>
  <c r="K143" i="13"/>
  <c r="K142" i="13"/>
  <c r="K141" i="13"/>
  <c r="K140" i="13"/>
  <c r="K139" i="13"/>
  <c r="K138" i="13"/>
  <c r="K137" i="13"/>
  <c r="K136" i="13"/>
  <c r="K135" i="13"/>
  <c r="K134" i="13"/>
  <c r="K133" i="13"/>
  <c r="K132" i="13"/>
  <c r="K131" i="13"/>
  <c r="K130" i="13"/>
  <c r="K129" i="13"/>
  <c r="K128" i="13"/>
  <c r="K127" i="13"/>
  <c r="K126" i="13"/>
  <c r="K125" i="13"/>
  <c r="K124" i="13"/>
  <c r="K123" i="13"/>
  <c r="K122" i="13"/>
  <c r="K121" i="13"/>
  <c r="K120" i="13"/>
  <c r="K119" i="13"/>
  <c r="K118" i="13"/>
  <c r="K117" i="13"/>
  <c r="K116" i="13"/>
  <c r="K115" i="13"/>
  <c r="K114" i="13"/>
  <c r="K113" i="13"/>
  <c r="K112" i="13"/>
  <c r="K111" i="13"/>
  <c r="K110" i="13"/>
  <c r="K109" i="13"/>
  <c r="K108" i="13"/>
  <c r="K107" i="13"/>
  <c r="K106" i="13"/>
  <c r="K105" i="13"/>
  <c r="K104" i="13"/>
  <c r="K103" i="13"/>
  <c r="K102" i="13"/>
  <c r="K101" i="13"/>
  <c r="K100" i="13"/>
  <c r="K99" i="13"/>
  <c r="K98" i="13"/>
  <c r="K97" i="13"/>
  <c r="K96" i="13"/>
  <c r="K95" i="13"/>
  <c r="K94" i="13"/>
  <c r="K93" i="13"/>
  <c r="K92" i="13"/>
  <c r="K91" i="13"/>
  <c r="K90" i="13"/>
  <c r="K89" i="13"/>
  <c r="K88" i="13"/>
  <c r="K87" i="13"/>
  <c r="K86" i="13"/>
  <c r="K85" i="13"/>
  <c r="K84" i="13"/>
  <c r="K83" i="13"/>
  <c r="K82" i="13"/>
  <c r="K81" i="13"/>
  <c r="K80" i="13"/>
  <c r="K79" i="13"/>
  <c r="K78" i="13"/>
  <c r="K77" i="13"/>
  <c r="K76" i="13"/>
  <c r="K75" i="13"/>
  <c r="K55" i="13"/>
  <c r="K54" i="13"/>
  <c r="K53" i="13"/>
  <c r="K52" i="13"/>
  <c r="K51" i="13"/>
  <c r="K50" i="13"/>
  <c r="K49" i="13"/>
  <c r="K48" i="13"/>
  <c r="K47" i="13"/>
  <c r="K46" i="13"/>
  <c r="K45" i="13"/>
  <c r="K44" i="13"/>
  <c r="K43" i="13"/>
  <c r="K42" i="13"/>
  <c r="K41" i="13"/>
  <c r="K40" i="13"/>
  <c r="K39" i="13"/>
  <c r="K38" i="13"/>
  <c r="K37" i="13"/>
  <c r="K36" i="13"/>
  <c r="K35" i="13"/>
  <c r="K34" i="13"/>
  <c r="K33" i="13"/>
  <c r="K32" i="13"/>
  <c r="K31" i="13"/>
  <c r="K30" i="13"/>
  <c r="K29" i="13"/>
  <c r="K28" i="13"/>
  <c r="K27" i="13"/>
  <c r="K26" i="13"/>
  <c r="K25" i="13"/>
  <c r="K24" i="13"/>
  <c r="K23" i="13"/>
  <c r="K22" i="13"/>
  <c r="K21" i="13"/>
  <c r="K20" i="13"/>
  <c r="K19" i="13"/>
  <c r="K18" i="13"/>
  <c r="K17" i="13"/>
  <c r="K16" i="13"/>
  <c r="K15" i="13"/>
  <c r="K14" i="13"/>
  <c r="K13" i="13"/>
  <c r="K12" i="13"/>
  <c r="K11" i="13"/>
  <c r="K10" i="13"/>
  <c r="K9" i="13"/>
  <c r="K8" i="13"/>
  <c r="K7" i="13"/>
  <c r="K6" i="13"/>
  <c r="K5" i="13"/>
  <c r="K4" i="13"/>
  <c r="K3" i="13"/>
  <c r="K2" i="13"/>
  <c r="E8" i="9"/>
  <c r="E11" i="9"/>
  <c r="E12" i="9"/>
  <c r="E16" i="9"/>
  <c r="E17" i="9"/>
  <c r="E18" i="9"/>
  <c r="E21" i="9"/>
  <c r="E26" i="9"/>
  <c r="E27" i="9"/>
  <c r="E28" i="9"/>
  <c r="E29" i="9"/>
  <c r="E30" i="9"/>
  <c r="E32" i="9"/>
  <c r="E35" i="9"/>
  <c r="E36" i="9"/>
  <c r="E38" i="9"/>
  <c r="D2" i="9"/>
  <c r="C2" i="9" s="1"/>
  <c r="D3" i="9"/>
  <c r="C3" i="9" s="1"/>
  <c r="D4" i="9"/>
  <c r="C4" i="9" s="1"/>
  <c r="D5" i="9"/>
  <c r="C5" i="9" s="1"/>
  <c r="D6" i="9"/>
  <c r="C6" i="9" s="1"/>
  <c r="D7" i="9"/>
  <c r="C7" i="9" s="1"/>
  <c r="D8" i="9"/>
  <c r="C8" i="9" s="1"/>
  <c r="D9" i="9"/>
  <c r="C9" i="9" s="1"/>
  <c r="D10" i="9"/>
  <c r="C10" i="9" s="1"/>
  <c r="D11" i="9"/>
  <c r="C11" i="9" s="1"/>
  <c r="D12" i="9"/>
  <c r="C12" i="9" s="1"/>
  <c r="D13" i="9"/>
  <c r="C13" i="9" s="1"/>
  <c r="D14" i="9"/>
  <c r="C14" i="9" s="1"/>
  <c r="D15" i="9"/>
  <c r="C15" i="9" s="1"/>
  <c r="D16" i="9"/>
  <c r="C16" i="9" s="1"/>
  <c r="D17" i="9"/>
  <c r="C17" i="9" s="1"/>
  <c r="D18" i="9"/>
  <c r="C18" i="9" s="1"/>
  <c r="D19" i="9"/>
  <c r="C19" i="9" s="1"/>
  <c r="D20" i="9"/>
  <c r="C20" i="9" s="1"/>
  <c r="D21" i="9"/>
  <c r="C21" i="9" s="1"/>
  <c r="D22" i="9"/>
  <c r="C22" i="9" s="1"/>
  <c r="D23" i="9"/>
  <c r="C23" i="9" s="1"/>
  <c r="D24" i="9"/>
  <c r="C24" i="9" s="1"/>
  <c r="D25" i="9"/>
  <c r="C25" i="9" s="1"/>
  <c r="D26" i="9"/>
  <c r="C26" i="9" s="1"/>
  <c r="D27" i="9"/>
  <c r="C27" i="9" s="1"/>
  <c r="D28" i="9"/>
  <c r="C28" i="9" s="1"/>
  <c r="D29" i="9"/>
  <c r="C29" i="9" s="1"/>
  <c r="D30" i="9"/>
  <c r="C30" i="9" s="1"/>
  <c r="D31" i="9"/>
  <c r="C31" i="9" s="1"/>
  <c r="D32" i="9"/>
  <c r="C32" i="9" s="1"/>
  <c r="D33" i="9"/>
  <c r="C33" i="9" s="1"/>
  <c r="D34" i="9"/>
  <c r="C34" i="9" s="1"/>
  <c r="D35" i="9"/>
  <c r="C35" i="9" s="1"/>
  <c r="D36" i="9"/>
  <c r="C36" i="9" s="1"/>
  <c r="D37" i="9"/>
  <c r="C37" i="9" s="1"/>
  <c r="D38" i="9"/>
  <c r="C38" i="9" s="1"/>
  <c r="D39" i="9"/>
  <c r="C39" i="9" s="1"/>
  <c r="D40" i="9"/>
  <c r="C40" i="9" s="1"/>
  <c r="D41" i="9"/>
  <c r="C41" i="9" s="1"/>
  <c r="K42" i="4"/>
  <c r="E42" i="9" s="1"/>
  <c r="K43" i="4"/>
  <c r="E43" i="9" s="1"/>
  <c r="K44" i="4"/>
  <c r="E44" i="9" s="1"/>
  <c r="K45" i="4"/>
  <c r="E45" i="9" s="1"/>
  <c r="K46" i="4"/>
  <c r="E46" i="9" s="1"/>
  <c r="K47" i="4"/>
  <c r="K48" i="4"/>
  <c r="K49" i="4"/>
  <c r="K50" i="4"/>
  <c r="K51" i="4"/>
  <c r="E51" i="9" s="1"/>
  <c r="K52" i="4"/>
  <c r="E52" i="9" s="1"/>
  <c r="K53" i="4"/>
  <c r="E53" i="9" s="1"/>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F2" i="7"/>
  <c r="G2" i="7" s="1"/>
  <c r="F3" i="7"/>
  <c r="G3" i="7" s="1"/>
  <c r="F4" i="7"/>
  <c r="G4" i="7" s="1"/>
  <c r="F5" i="7"/>
  <c r="G5" i="7" s="1"/>
  <c r="F6" i="7"/>
  <c r="G6" i="7" s="1"/>
  <c r="F7" i="7"/>
  <c r="G7" i="7" s="1"/>
  <c r="F8" i="7"/>
  <c r="G8" i="7" s="1"/>
  <c r="F9" i="7"/>
  <c r="G9" i="7" s="1"/>
  <c r="F10" i="7"/>
  <c r="G10" i="7" s="1"/>
  <c r="F11" i="7"/>
  <c r="G11" i="7" s="1"/>
  <c r="F12" i="7"/>
  <c r="G12" i="7" s="1"/>
  <c r="F13" i="7"/>
  <c r="G13" i="7" s="1"/>
  <c r="F14" i="7"/>
  <c r="G14" i="7" s="1"/>
  <c r="F15" i="7"/>
  <c r="G15" i="7" s="1"/>
  <c r="F16" i="7"/>
  <c r="G16" i="7" s="1"/>
  <c r="F17" i="7"/>
  <c r="G17" i="7" s="1"/>
  <c r="F18" i="7"/>
  <c r="G18" i="7" s="1"/>
  <c r="F19" i="7"/>
  <c r="G19" i="7" s="1"/>
  <c r="F20" i="7"/>
  <c r="G20" i="7" s="1"/>
  <c r="F21" i="7"/>
  <c r="G21" i="7" s="1"/>
  <c r="F22" i="7"/>
  <c r="G22" i="7" s="1"/>
  <c r="F23" i="7"/>
  <c r="G23" i="7" s="1"/>
  <c r="F24" i="7"/>
  <c r="G24" i="7" s="1"/>
  <c r="F25" i="7"/>
  <c r="G25" i="7" s="1"/>
  <c r="F26" i="7"/>
  <c r="G26" i="7" s="1"/>
  <c r="F27" i="7"/>
  <c r="G27" i="7" s="1"/>
  <c r="F28" i="7"/>
  <c r="G28" i="7" s="1"/>
  <c r="F29" i="7"/>
  <c r="G29" i="7" s="1"/>
  <c r="F30" i="7"/>
  <c r="G30" i="7" s="1"/>
  <c r="F31" i="7"/>
  <c r="G31" i="7" s="1"/>
  <c r="F32" i="7"/>
  <c r="G32" i="7" s="1"/>
  <c r="F33" i="7"/>
  <c r="G33" i="7" s="1"/>
  <c r="F34" i="7"/>
  <c r="G34" i="7" s="1"/>
  <c r="F35" i="7"/>
  <c r="G35" i="7" s="1"/>
  <c r="F36" i="7"/>
  <c r="G36" i="7" s="1"/>
  <c r="F37" i="7"/>
  <c r="G37" i="7" s="1"/>
  <c r="F38" i="7"/>
  <c r="G38" i="7" s="1"/>
  <c r="F39" i="7"/>
  <c r="G39" i="7" s="1"/>
  <c r="F40" i="7"/>
  <c r="G40" i="7" s="1"/>
  <c r="F41" i="7"/>
  <c r="G41" i="7" s="1"/>
  <c r="D2" i="7"/>
  <c r="D3" i="7"/>
  <c r="D4" i="7"/>
  <c r="D5" i="7"/>
  <c r="D6" i="7"/>
  <c r="D7" i="7"/>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K2" i="4"/>
  <c r="E2" i="9" s="1"/>
  <c r="K3" i="4"/>
  <c r="E3" i="9" s="1"/>
  <c r="K4" i="4"/>
  <c r="E4" i="9" s="1"/>
  <c r="K5" i="4"/>
  <c r="E5" i="9" s="1"/>
  <c r="K6" i="4"/>
  <c r="E6" i="9" s="1"/>
  <c r="K7" i="4"/>
  <c r="E7" i="9" s="1"/>
  <c r="K8" i="4"/>
  <c r="K9" i="4"/>
  <c r="E9" i="9" s="1"/>
  <c r="K10" i="4"/>
  <c r="E10" i="9" s="1"/>
  <c r="K11" i="4"/>
  <c r="K12" i="4"/>
  <c r="K13" i="4"/>
  <c r="E13" i="9" s="1"/>
  <c r="K14" i="4"/>
  <c r="E14" i="9" s="1"/>
  <c r="K15" i="4"/>
  <c r="E15" i="9" s="1"/>
  <c r="K16" i="4"/>
  <c r="K17" i="4"/>
  <c r="K18" i="4"/>
  <c r="K19" i="4"/>
  <c r="E19" i="9" s="1"/>
  <c r="K20" i="4"/>
  <c r="E20" i="9" s="1"/>
  <c r="K21" i="4"/>
  <c r="K22" i="4"/>
  <c r="E22" i="9" s="1"/>
  <c r="K23" i="4"/>
  <c r="E23" i="9" s="1"/>
  <c r="K24" i="4"/>
  <c r="E24" i="9" s="1"/>
  <c r="K25" i="4"/>
  <c r="E25" i="9" s="1"/>
  <c r="K26" i="4"/>
  <c r="K27" i="4"/>
  <c r="K28" i="4"/>
  <c r="K29" i="4"/>
  <c r="K30" i="4"/>
  <c r="K31" i="4"/>
  <c r="E31" i="9" s="1"/>
  <c r="K32" i="4"/>
  <c r="K33" i="4"/>
  <c r="E33" i="9" s="1"/>
  <c r="K34" i="4"/>
  <c r="E34" i="9" s="1"/>
  <c r="K35" i="4"/>
  <c r="K36" i="4"/>
  <c r="K37" i="4"/>
  <c r="E37" i="9" s="1"/>
  <c r="K38" i="4"/>
  <c r="K39" i="4"/>
  <c r="E39" i="9" s="1"/>
  <c r="K40" i="4"/>
  <c r="E40" i="9" s="1"/>
  <c r="K41" i="4"/>
  <c r="E41" i="9" s="1"/>
  <c r="C5" i="7" l="1"/>
  <c r="E5" i="7" s="1"/>
  <c r="C21" i="7"/>
  <c r="E21" i="7" s="1"/>
  <c r="C37" i="7"/>
  <c r="E37" i="7" s="1"/>
  <c r="C6" i="7"/>
  <c r="E6" i="7" s="1"/>
  <c r="C22" i="7"/>
  <c r="E22" i="7" s="1"/>
  <c r="C38" i="7"/>
  <c r="E38" i="7" s="1"/>
  <c r="C7" i="7"/>
  <c r="E7" i="7" s="1"/>
  <c r="C23" i="7"/>
  <c r="E23" i="7" s="1"/>
  <c r="C39" i="7"/>
  <c r="E39" i="7" s="1"/>
  <c r="C8" i="7"/>
  <c r="E8" i="7" s="1"/>
  <c r="C24" i="7"/>
  <c r="E24" i="7" s="1"/>
  <c r="C40" i="7"/>
  <c r="E40" i="7" s="1"/>
  <c r="C19" i="7"/>
  <c r="E19" i="7" s="1"/>
  <c r="C9" i="7"/>
  <c r="E9" i="7" s="1"/>
  <c r="C25" i="7"/>
  <c r="E25" i="7" s="1"/>
  <c r="C35" i="7"/>
  <c r="E35" i="7" s="1"/>
  <c r="C10" i="7"/>
  <c r="E10" i="7" s="1"/>
  <c r="C26" i="7"/>
  <c r="E26" i="7" s="1"/>
  <c r="C11" i="7"/>
  <c r="E11" i="7" s="1"/>
  <c r="C27" i="7"/>
  <c r="E27" i="7" s="1"/>
  <c r="C12" i="7"/>
  <c r="E12" i="7" s="1"/>
  <c r="C28" i="7"/>
  <c r="E28" i="7" s="1"/>
  <c r="C13" i="7"/>
  <c r="E13" i="7" s="1"/>
  <c r="C29" i="7"/>
  <c r="E29" i="7" s="1"/>
  <c r="C14" i="7"/>
  <c r="E14" i="7" s="1"/>
  <c r="C30" i="7"/>
  <c r="E30" i="7" s="1"/>
  <c r="C15" i="7"/>
  <c r="E15" i="7" s="1"/>
  <c r="C31" i="7"/>
  <c r="E31" i="7" s="1"/>
  <c r="C16" i="7"/>
  <c r="E16" i="7" s="1"/>
  <c r="C32" i="7"/>
  <c r="E32" i="7" s="1"/>
  <c r="C17" i="7"/>
  <c r="E17" i="7" s="1"/>
  <c r="C33" i="7"/>
  <c r="E33" i="7" s="1"/>
  <c r="C18" i="7"/>
  <c r="E18" i="7" s="1"/>
  <c r="C34" i="7"/>
  <c r="E34" i="7" s="1"/>
  <c r="C20" i="7"/>
  <c r="E20" i="7" s="1"/>
  <c r="C36" i="7"/>
  <c r="E36" i="7" s="1"/>
  <c r="C2" i="7"/>
  <c r="E2" i="7" s="1"/>
  <c r="C4" i="7"/>
  <c r="E4" i="7" s="1"/>
  <c r="C3" i="7"/>
  <c r="E3" i="7" s="1"/>
  <c r="E41" i="7"/>
</calcChain>
</file>

<file path=xl/sharedStrings.xml><?xml version="1.0" encoding="utf-8"?>
<sst xmlns="http://schemas.openxmlformats.org/spreadsheetml/2006/main" count="12494" uniqueCount="5089">
  <si>
    <t>company_id</t>
  </si>
  <si>
    <t>company_name_official</t>
  </si>
  <si>
    <t>brand_short</t>
  </si>
  <si>
    <t>sector_cluster</t>
  </si>
  <si>
    <t>industry_detail</t>
  </si>
  <si>
    <t>hq_country</t>
  </si>
  <si>
    <t>dax_member_as_of_date</t>
  </si>
  <si>
    <t>notes_sampling</t>
  </si>
  <si>
    <t>doc_id</t>
  </si>
  <si>
    <t>doc_title</t>
  </si>
  <si>
    <t>doc_type</t>
  </si>
  <si>
    <t>publisher</t>
  </si>
  <si>
    <t>publication_date</t>
  </si>
  <si>
    <t>version</t>
  </si>
  <si>
    <t>language</t>
  </si>
  <si>
    <t>url</t>
  </si>
  <si>
    <t>access_date</t>
  </si>
  <si>
    <t>file_name_local</t>
  </si>
  <si>
    <t>inclusion_status</t>
  </si>
  <si>
    <t>exclusion_reason</t>
  </si>
  <si>
    <t>relevance_notes</t>
  </si>
  <si>
    <t>value_id</t>
  </si>
  <si>
    <t>value_name</t>
  </si>
  <si>
    <t>definition_short</t>
  </si>
  <si>
    <t>include_rules</t>
  </si>
  <si>
    <t>exclude_rules</t>
  </si>
  <si>
    <t>synonyms_terms</t>
  </si>
  <si>
    <t>example_phrases</t>
  </si>
  <si>
    <t>notes_boundary_cases</t>
  </si>
  <si>
    <t>value_present</t>
  </si>
  <si>
    <t>binding_level</t>
  </si>
  <si>
    <t>binding_justification</t>
  </si>
  <si>
    <t>evidence_quote</t>
  </si>
  <si>
    <t>evidence_location</t>
  </si>
  <si>
    <t>coder_confidence</t>
  </si>
  <si>
    <t>notes</t>
  </si>
  <si>
    <t>value_points</t>
  </si>
  <si>
    <t>gov_crit_id</t>
  </si>
  <si>
    <t>criterion_name</t>
  </si>
  <si>
    <t>score_0_definition</t>
  </si>
  <si>
    <t>score_1_definition</t>
  </si>
  <si>
    <t>score_2_definition</t>
  </si>
  <si>
    <t>score_3_definition</t>
  </si>
  <si>
    <t>evidence_minimum</t>
  </si>
  <si>
    <t>typical_evidence_terms</t>
  </si>
  <si>
    <t>doc_id_primary_evidence</t>
  </si>
  <si>
    <t>score_0_3</t>
  </si>
  <si>
    <t>why_not_higher</t>
  </si>
  <si>
    <t>values_raw_points</t>
  </si>
  <si>
    <t>values_max_points</t>
  </si>
  <si>
    <t>convergence_index_0_1</t>
  </si>
  <si>
    <t>gov_points_sum</t>
  </si>
  <si>
    <t>gov_index_0_100</t>
  </si>
  <si>
    <t>VAL_01</t>
  </si>
  <si>
    <t>Human Agency &amp; Oversight</t>
  </si>
  <si>
    <t>Menschen behalten Kontrolle/Überwachung über KI</t>
  </si>
  <si>
    <t>Wenn menschliche Kontrolle/Override/Review explizit gefordert</t>
  </si>
  <si>
    <t>Reine Floskel „human-centered“ ohne Mechanik</t>
  </si>
  <si>
    <t>human oversight; human-in-the-loop; human control; override; review</t>
  </si>
  <si>
    <t>human review; override; escalation to humans</t>
  </si>
  <si>
    <t>Unterscheide Wert vs Governance-Kriterium 'Eskalationswege'</t>
  </si>
  <si>
    <t>VAL_02</t>
  </si>
  <si>
    <t>Accountability &amp; Responsibility</t>
  </si>
  <si>
    <t>Zuständigkeit/Verantwortung für KI-Entscheidungen/Outcomes</t>
  </si>
  <si>
    <t>Wenn Verantwortliche Rollen/Verantwortungsprinzip genannt</t>
  </si>
  <si>
    <t>Reines „we take responsibility“ ohne Bezug zu KI</t>
  </si>
  <si>
    <t>responsibility; accountability; ownership; governance</t>
  </si>
  <si>
    <t>clear accountability; responsible for AI</t>
  </si>
  <si>
    <t>Kann mit GOV_01 (Zuständigkeiten) kollidieren – hier nur als Wert codieren</t>
  </si>
  <si>
    <t>VAL_03</t>
  </si>
  <si>
    <t>Transparency</t>
  </si>
  <si>
    <t>Nachvollziehbarkeit über Einsatz/Zweck/Entscheidungslogik</t>
  </si>
  <si>
    <t>Wenn Transparenzpflichten oder Offenlegung zu KI erwähnt</t>
  </si>
  <si>
    <t>Transparenz nur im Sinne von „Kommunikation“ ohne KI-Bezug</t>
  </si>
  <si>
    <t>transparency; disclosure; openness</t>
  </si>
  <si>
    <t>transparent use of AI; disclose AI involvement</t>
  </si>
  <si>
    <t>VAL_04</t>
  </si>
  <si>
    <t>Explainability</t>
  </si>
  <si>
    <t>Erklärbarkeit von KI-Entscheidungen/Outputs</t>
  </si>
  <si>
    <t>„transparent“ ohne Erklärkomponente</t>
  </si>
  <si>
    <t>explainability; interpretability; explanation</t>
  </si>
  <si>
    <t>provide explanations; explain model outputs</t>
  </si>
  <si>
    <t>Technisch vs kommunikativ – beide zählen</t>
  </si>
  <si>
    <t>VAL_05</t>
  </si>
  <si>
    <t>Fairness &amp; Non-Discrimination</t>
  </si>
  <si>
    <t>Vermeidung unfairer Benachteiligung/Bias</t>
  </si>
  <si>
    <t>Wenn Bias/Benachteiligung/Anti-Diskriminierung bei KI genannt</t>
  </si>
  <si>
    <t>Allgemeine Diversity-Statements ohne KI-Bezug</t>
  </si>
  <si>
    <t>fairness; bias mitigation; non-discrimination; equity</t>
  </si>
  <si>
    <t>avoid bias; non-discriminatory outcomes</t>
  </si>
  <si>
    <t>VAL_06</t>
  </si>
  <si>
    <t>Privacy &amp; Data Protection</t>
  </si>
  <si>
    <t>Schutz personenbezogener Daten/Datensparsamkeit</t>
  </si>
  <si>
    <t>Wenn Datenschutz bei KI/Training/Use erwähnt</t>
  </si>
  <si>
    <t>Datenschutz rein allgemein ohne KI-Kontext</t>
  </si>
  <si>
    <t>privacy; data protection; GDPR; data minimization</t>
  </si>
  <si>
    <t>privacy by design; data minimization</t>
  </si>
  <si>
    <t>Kann auch als Governance (Tools/Checks) auftauchen – hier Wert</t>
  </si>
  <si>
    <t>VAL_07</t>
  </si>
  <si>
    <t>Security &amp; Cybersecurity</t>
  </si>
  <si>
    <t>Schutz vor Angriffen/Manipulation/Leakage</t>
  </si>
  <si>
    <t>Wenn Security für KI-Systeme oder Daten betont</t>
  </si>
  <si>
    <t>Allgemeine IT-Security ohne KI-Kontext (Grenzfall)</t>
  </si>
  <si>
    <t>security; cybersecurity; adversarial; secure-by-design</t>
  </si>
  <si>
    <t>protect against attacks; secure systems</t>
  </si>
  <si>
    <t>Grenzfall: Wenn nur IT allgemein -&gt; evtl. nicht codieren</t>
  </si>
  <si>
    <t>VAL_08</t>
  </si>
  <si>
    <t>Safety &amp; Harm Prevention</t>
  </si>
  <si>
    <t>Wenn Risiko/Schadensvermeidung durch KI erwähnt</t>
  </si>
  <si>
    <t>Nur „safe“ als Marketingwort</t>
  </si>
  <si>
    <t>safety; harm prevention; risk reduction</t>
  </si>
  <si>
    <t>avoid harm; safe AI</t>
  </si>
  <si>
    <t>VAL_09</t>
  </si>
  <si>
    <t>Technical Robustness &amp; Reliability</t>
  </si>
  <si>
    <t>Reine Qualitätsfloskel ohne Bezug</t>
  </si>
  <si>
    <t>robustness; reliability; resilience; testing</t>
  </si>
  <si>
    <t>robust and reliable; tested systems</t>
  </si>
  <si>
    <t>Kann in GOV_03 (Tools/Checks) konkret werden</t>
  </si>
  <si>
    <t>VAL_10</t>
  </si>
  <si>
    <t>Contestability &amp; Redress</t>
  </si>
  <si>
    <t>Wenn Betroffene Einspruch/Review/Redress bei KI-Entscheidungen haben</t>
  </si>
  <si>
    <t>Reine Customer-Service Aussagen ohne KI</t>
  </si>
  <si>
    <t>appeal; contest; redress; complaint</t>
  </si>
  <si>
    <t>right to contest; grievance mechanism</t>
  </si>
  <si>
    <t>Stark verwandt mit GOV_06 (Eskalation) – hier Wert</t>
  </si>
  <si>
    <t>VAL_11</t>
  </si>
  <si>
    <t>Inclusiveness &amp; Accessibility</t>
  </si>
  <si>
    <t>Einbezug/Barrierefreiheit/Teilhabe</t>
  </si>
  <si>
    <t>Wenn KI inklusiv/zugänglich gestaltet werden soll</t>
  </si>
  <si>
    <t>accessibility; inclusiveness; participation</t>
  </si>
  <si>
    <t>inclusive design; accessible AI</t>
  </si>
  <si>
    <t>Wenn nur HR-DEI -&gt; eher raus</t>
  </si>
  <si>
    <t>VAL_12</t>
  </si>
  <si>
    <t>Sustainability &amp; Environmental Well-being</t>
  </si>
  <si>
    <t>Ökologische Verantwortung (Energie/CO2) bei KI</t>
  </si>
  <si>
    <t>Wenn Umweltwirkung/Green AI/ESG im KI-Kontext genannt</t>
  </si>
  <si>
    <t>Nachhaltigkeit allgemein ohne KI</t>
  </si>
  <si>
    <t>sustainability; environmental impact; green AI</t>
  </si>
  <si>
    <t>reduce environmental footprint of AI</t>
  </si>
  <si>
    <t>DAX-Docs erwähnen oft ESG – KI-Bezug prüfen</t>
  </si>
  <si>
    <t>VAL_13</t>
  </si>
  <si>
    <t>Social Benefit &amp; Human Well-being</t>
  </si>
  <si>
    <t>KI soll gesellschaftlichen Nutzen stiften</t>
  </si>
  <si>
    <t>Nur „innovation“ ohne Nutzenbezug</t>
  </si>
  <si>
    <t>societal benefit; well-being; public good</t>
  </si>
  <si>
    <t>benefit society; improve well-being</t>
  </si>
  <si>
    <t>Breit – im Pilot schärfen</t>
  </si>
  <si>
    <t>VAL_14</t>
  </si>
  <si>
    <t>Lawfulness &amp; Compliance</t>
  </si>
  <si>
    <t>Rechtskonformität (inkl. Regulierung)</t>
  </si>
  <si>
    <t>Wenn Einhaltung von Gesetzen/Regeln für KI betont</t>
  </si>
  <si>
    <t>Reines „we comply with laws“ ohne KI</t>
  </si>
  <si>
    <t>compliance; lawful; regulation; AI Act</t>
  </si>
  <si>
    <t>comply with AI regulations; lawful AI</t>
  </si>
  <si>
    <t>VAL_15</t>
  </si>
  <si>
    <t>Ethical Use &amp; Integrity</t>
  </si>
  <si>
    <t>Moralische Integrität/ethische Grenzen für KI</t>
  </si>
  <si>
    <t>Wenn ethische Leitplanken/„do not“/Grenzen genannt</t>
  </si>
  <si>
    <t>integrity; ethical use; principles</t>
  </si>
  <si>
    <t>ethical boundaries; responsible use</t>
  </si>
  <si>
    <t>Gut für „Ethics-Washing“-Diskussion später</t>
  </si>
  <si>
    <t>VAL_16</t>
  </si>
  <si>
    <t>Data Quality &amp; Governance</t>
  </si>
  <si>
    <t>data governance; data quality; lineage; stewardship</t>
  </si>
  <si>
    <t>high-quality data; governed data</t>
  </si>
  <si>
    <t>Überschneidung zu VAL_06 – hier Fokus Qualität/Stewardship</t>
  </si>
  <si>
    <t>VAL_17</t>
  </si>
  <si>
    <t>IP &amp; Confidentiality</t>
  </si>
  <si>
    <t>Schutz geistigen Eigentums/Vertraulichkeit bei KI</t>
  </si>
  <si>
    <t>Wenn IP/Secrets/Confidentiality im KI-Kontext vorkommt</t>
  </si>
  <si>
    <t>Allgemeine IP-Policy ohne KI</t>
  </si>
  <si>
    <t>IP; intellectual property; confidentiality; trade secrets</t>
  </si>
  <si>
    <t>protect IP; confidentiality in AI</t>
  </si>
  <si>
    <t>Je nach Branche relevant (Pharma/Industrie)</t>
  </si>
  <si>
    <t>VAL_18</t>
  </si>
  <si>
    <t>Human Rights</t>
  </si>
  <si>
    <t>Menschenrechte als Rahmen (UNGP etc.)</t>
  </si>
  <si>
    <t>Allgemeine Werte ohne Human-Rights-Bezug</t>
  </si>
  <si>
    <t>human rights; dignity; UNGP</t>
  </si>
  <si>
    <t>respect human rights; protect dignity</t>
  </si>
  <si>
    <t>Nicht jedes Doc wird das haben – ok</t>
  </si>
  <si>
    <t>Vermeidung von Schäden (physisch, psychisch, sozial)</t>
  </si>
  <si>
    <t xml:space="preserve">Zuverlässigkeit, Stabilität, Fehlerresistenz </t>
  </si>
  <si>
    <t>Anfechtbarkeit, Beschwerde, Wiedergutmachung</t>
  </si>
  <si>
    <t>Datenqualität, Herkunft, Stewardship</t>
  </si>
  <si>
    <t>Achtung: Legal Compliance ist VAL_14, nicht hier</t>
  </si>
  <si>
    <t>GOV_01</t>
  </si>
  <si>
    <t>Zuständigkeiten</t>
  </si>
  <si>
    <t>Keine Rollen/Zuständigkeiten genannt</t>
  </si>
  <si>
    <t>Implementiert: Verantwortlichkeiten mit Reporting/Regelterminen/Belegen</t>
  </si>
  <si>
    <t>Rollentitel + klarer Bezug zu KI/AI-Governance</t>
  </si>
  <si>
    <t>owner; accountability; committee; board; RACI</t>
  </si>
  <si>
    <t>GOV_02</t>
  </si>
  <si>
    <t>Prozesse</t>
  </si>
  <si>
    <t>Kein Prozess erwähnt</t>
  </si>
  <si>
    <t>Prozessabsicht erwähnt (z.B. 'we review AI')</t>
  </si>
  <si>
    <t>Mind. ein Prozessschritt + Trigger + Verantwortliche</t>
  </si>
  <si>
    <t>AI lifecycle; approval; review; gating; SOP</t>
  </si>
  <si>
    <t>GOV_03</t>
  </si>
  <si>
    <t>Tools/Checks</t>
  </si>
  <si>
    <t>Keine Checks/Tools</t>
  </si>
  <si>
    <t>Checks allgemein erwähnt (z.B. 'risk assessment')</t>
  </si>
  <si>
    <t>Implementiert: Tooling im Betrieb + Pflicht/Protokoll + Ergebnisse berichtet</t>
  </si>
  <si>
    <t>bias test; model card; DPIA; validation; monitoring</t>
  </si>
  <si>
    <t>GOV_04</t>
  </si>
  <si>
    <t>Audits</t>
  </si>
  <si>
    <t>Keine Audits</t>
  </si>
  <si>
    <t>Implementiert: Auditberichte/KPIs/Review-Zyklen nachweisbar</t>
  </si>
  <si>
    <t>Auditart + Frequenz oder Verantwortliche</t>
  </si>
  <si>
    <t>audit; assurance; internal control; external review</t>
  </si>
  <si>
    <t>GOV_05</t>
  </si>
  <si>
    <t>Schulungen</t>
  </si>
  <si>
    <t>Keine Trainings</t>
  </si>
  <si>
    <t>Mind. Zielgruppe + Pflicht/Regelmäßigkeit</t>
  </si>
  <si>
    <t>training; awareness; mandatory; LMS; certification</t>
  </si>
  <si>
    <t>GOV_06</t>
  </si>
  <si>
    <t>Eskalationswege</t>
  </si>
  <si>
    <t>Keine Eskalation</t>
  </si>
  <si>
    <t>Kontakt/Ansprechpartner genannt</t>
  </si>
  <si>
    <t>Implementiert: geübter Prozess/Case-Handling/Reporting</t>
  </si>
  <si>
    <t>escalation; grievance; hotline; incident; ticket</t>
  </si>
  <si>
    <t>GOV_07</t>
  </si>
  <si>
    <t>Reporting</t>
  </si>
  <si>
    <t>Kein Reporting</t>
  </si>
  <si>
    <t>Implementiert: regelmäßige Reports/KPIs öffentlich oder intern belegt</t>
  </si>
  <si>
    <t>KPI/Reportgegenstand + Empfänger + Frequenz</t>
  </si>
  <si>
    <t>reporting; KPI; dashboard; disclosure; metrics</t>
  </si>
  <si>
    <t>Konkrete Rollen+Aufgaben beschrieben (Owner, Approver, RACI)</t>
  </si>
  <si>
    <t>Prozessschritte beschrieben (Lifecycle, Gateways, Freigaben)</t>
  </si>
  <si>
    <t>Audit-Mechanik beschrieben (intern/extern, Frequenz)</t>
  </si>
  <si>
    <t>Implementiert: Prozess mit Nachweisen (KPIs, regelmäßige Reviews, Prozessdokumente)</t>
  </si>
  <si>
    <t>Trainingsprogramm beschrieben (Zielgruppe, Inhalte, Pflichtgrad)</t>
  </si>
  <si>
    <t>Implementiert: Pflichttrainings + Nachweis (Completion, LMS, KPIs)</t>
  </si>
  <si>
    <t>Konkreter Eskalationsprozess beschrieben (Stufen, Fristen)</t>
  </si>
  <si>
    <t>Stufenlogik oder Mechanik (Ticket, Hotline, Committee)</t>
  </si>
  <si>
    <t>Reporting-Struktur beschrieben (Was, an wen, wie oft)</t>
  </si>
  <si>
    <t>Industrie</t>
  </si>
  <si>
    <t>Finance</t>
  </si>
  <si>
    <t>Tech</t>
  </si>
  <si>
    <t>Health</t>
  </si>
  <si>
    <t>Consumer</t>
  </si>
  <si>
    <t>Utilities</t>
  </si>
  <si>
    <t>Materials/Chemicals</t>
  </si>
  <si>
    <t>Other/Hybrid</t>
  </si>
  <si>
    <t>Sektoren</t>
  </si>
  <si>
    <t>Dokumententyp</t>
  </si>
  <si>
    <t>AI Principles</t>
  </si>
  <si>
    <t>AI Policy</t>
  </si>
  <si>
    <t>Responsible AI / Ethics</t>
  </si>
  <si>
    <t>Code of Conduct</t>
  </si>
  <si>
    <t>ESG/CSR Report</t>
  </si>
  <si>
    <t>Sustainability Report</t>
  </si>
  <si>
    <t>Annual Report</t>
  </si>
  <si>
    <t>Website Page</t>
  </si>
  <si>
    <t>Press Release</t>
  </si>
  <si>
    <t>Other</t>
  </si>
  <si>
    <t>Sprache</t>
  </si>
  <si>
    <t>DE</t>
  </si>
  <si>
    <t>EN</t>
  </si>
  <si>
    <t>DE/EN</t>
  </si>
  <si>
    <t>Andere</t>
  </si>
  <si>
    <t>Inkludierungsstatus</t>
  </si>
  <si>
    <t>Inkludiert</t>
  </si>
  <si>
    <t>Nicht inkudiert</t>
  </si>
  <si>
    <t>Nicht gefunden</t>
  </si>
  <si>
    <t>Ausschlussgrund</t>
  </si>
  <si>
    <t>Keine KI Relevanz</t>
  </si>
  <si>
    <t>Duplikat / Veraltete Version</t>
  </si>
  <si>
    <t>Paywalled / kein Zugriff</t>
  </si>
  <si>
    <t>Zu Vage (keine Kriterien, Regeln)</t>
  </si>
  <si>
    <t>PR ohne normative Substanz</t>
  </si>
  <si>
    <t>Kodierungskonfidenz</t>
  </si>
  <si>
    <t>Hoch</t>
  </si>
  <si>
    <t>Mittel</t>
  </si>
  <si>
    <t>Niedrig</t>
  </si>
  <si>
    <t>Bindigkeitsniveau</t>
  </si>
  <si>
    <t>Value_present</t>
  </si>
  <si>
    <t>Score_0_3</t>
  </si>
  <si>
    <t>value_present_company</t>
  </si>
  <si>
    <t>binding_level_company</t>
  </si>
  <si>
    <t>value_points_company</t>
  </si>
  <si>
    <t>doc_id_strongest</t>
  </si>
  <si>
    <t>evidence_location_strongest</t>
  </si>
  <si>
    <t>case_id</t>
  </si>
  <si>
    <t>date</t>
  </si>
  <si>
    <t>dimension(values/governance)</t>
  </si>
  <si>
    <t>value_id_or_gov_crit_id</t>
  </si>
  <si>
    <t>problem_description</t>
  </si>
  <si>
    <t>decision</t>
  </si>
  <si>
    <t>rule_added_to_codebook</t>
  </si>
  <si>
    <t>codebook_version</t>
  </si>
  <si>
    <t>change_type(add/modify/remove)</t>
  </si>
  <si>
    <t>item_id(value_id/gov_crit_id)</t>
  </si>
  <si>
    <t>what_changed</t>
  </si>
  <si>
    <t>why_changed</t>
  </si>
  <si>
    <t>impact_on_previous_coding(recode_needed yes/no)</t>
  </si>
  <si>
    <t>V0</t>
  </si>
  <si>
    <t>04.01.2026</t>
  </si>
  <si>
    <t>Initial Setup</t>
  </si>
  <si>
    <t>overall_notes</t>
  </si>
  <si>
    <t>key_documents_used</t>
  </si>
  <si>
    <t>areas_of_uncertainty</t>
  </si>
  <si>
    <t>follow_up_needed</t>
  </si>
  <si>
    <t>Adidas</t>
  </si>
  <si>
    <t>ADS</t>
  </si>
  <si>
    <t>Sportartikel</t>
  </si>
  <si>
    <t>Airbus</t>
  </si>
  <si>
    <t>22. Juni 1998</t>
  </si>
  <si>
    <t>AIR</t>
  </si>
  <si>
    <t>Luftfahrt, Raumfahrt, Rüstung</t>
  </si>
  <si>
    <t>20. Sep. 2021</t>
  </si>
  <si>
    <t>Allianz</t>
  </si>
  <si>
    <t>ALV</t>
  </si>
  <si>
    <t>Versicherungen</t>
  </si>
  <si>
    <t>1. Juli 1988</t>
  </si>
  <si>
    <t>BASF</t>
  </si>
  <si>
    <t>BAS</t>
  </si>
  <si>
    <t>Chemie</t>
  </si>
  <si>
    <t>Bayer</t>
  </si>
  <si>
    <t>BAYN</t>
  </si>
  <si>
    <t>Chemie, Pharma</t>
  </si>
  <si>
    <t>Beiersdorf</t>
  </si>
  <si>
    <t>BEI</t>
  </si>
  <si>
    <t>Konsumgüter (Produktion)</t>
  </si>
  <si>
    <t>20. Juni 2022</t>
  </si>
  <si>
    <t>BMW</t>
  </si>
  <si>
    <t>Automobil (Produktion)</t>
  </si>
  <si>
    <t>Brenntag</t>
  </si>
  <si>
    <t>BNR</t>
  </si>
  <si>
    <t>Chemie (Handel)</t>
  </si>
  <si>
    <t>Commerzbank</t>
  </si>
  <si>
    <t>CBK</t>
  </si>
  <si>
    <t>Banken</t>
  </si>
  <si>
    <t>27. Feb. 2023</t>
  </si>
  <si>
    <t>Continental</t>
  </si>
  <si>
    <t>CON</t>
  </si>
  <si>
    <t>Automobil (Zulieferer)</t>
  </si>
  <si>
    <t>24. Sep. 2012</t>
  </si>
  <si>
    <t>Daimler Truck</t>
  </si>
  <si>
    <t>DTG</t>
  </si>
  <si>
    <t>Nutzfahrzeuge (Produktion)</t>
  </si>
  <si>
    <t>21. März 2022</t>
  </si>
  <si>
    <t>Deutsche Bank</t>
  </si>
  <si>
    <t>DBK</t>
  </si>
  <si>
    <t>Deutsche Börse</t>
  </si>
  <si>
    <t>DB1</t>
  </si>
  <si>
    <t>Börsen</t>
  </si>
  <si>
    <t>23. Dez. 2002</t>
  </si>
  <si>
    <t>Deutsche Post</t>
  </si>
  <si>
    <t>DHL</t>
  </si>
  <si>
    <t>Logistik</t>
  </si>
  <si>
    <t>19. März 2001</t>
  </si>
  <si>
    <t>Deutsche Telekom</t>
  </si>
  <si>
    <t>DTE</t>
  </si>
  <si>
    <t>Telekommunikation</t>
  </si>
  <si>
    <t>18. Nov. 1996</t>
  </si>
  <si>
    <t>E.ON</t>
  </si>
  <si>
    <t>EOAN</t>
  </si>
  <si>
    <t>Energie (Versorgung)</t>
  </si>
  <si>
    <t>Fresenius</t>
  </si>
  <si>
    <t>FRE</t>
  </si>
  <si>
    <t>Medizintechnik, Kliniken</t>
  </si>
  <si>
    <t>23. März 2009</t>
  </si>
  <si>
    <t>Fresenius Medical Care</t>
  </si>
  <si>
    <t>FME</t>
  </si>
  <si>
    <t>Medizintechnik</t>
  </si>
  <si>
    <t>27. Dez. 2024</t>
  </si>
  <si>
    <t>GEA Group</t>
  </si>
  <si>
    <t>G1A</t>
  </si>
  <si>
    <t>Maschinenbau</t>
  </si>
  <si>
    <t>22. Sep. 2025</t>
  </si>
  <si>
    <t>Hannover Rück</t>
  </si>
  <si>
    <t>HNR1</t>
  </si>
  <si>
    <t>Heidelberg Materials</t>
  </si>
  <si>
    <t>HEI</t>
  </si>
  <si>
    <t>Baustoffe</t>
  </si>
  <si>
    <t>21. Juni 2010</t>
  </si>
  <si>
    <t>Henkel</t>
  </si>
  <si>
    <t>HEN3</t>
  </si>
  <si>
    <t>Konsumgüter, Chemie</t>
  </si>
  <si>
    <t>Infineon</t>
  </si>
  <si>
    <t>IFX</t>
  </si>
  <si>
    <t>Halbleiter</t>
  </si>
  <si>
    <t>21. Sep. 2009</t>
  </si>
  <si>
    <t>Mercedes-Benz Group</t>
  </si>
  <si>
    <t>MBG</t>
  </si>
  <si>
    <t>Merck</t>
  </si>
  <si>
    <t>MRK</t>
  </si>
  <si>
    <t>18. Juni 2007</t>
  </si>
  <si>
    <t>MTU Aero Engines</t>
  </si>
  <si>
    <t>MTX</t>
  </si>
  <si>
    <t>Luftfahrt</t>
  </si>
  <si>
    <t>23. Sep. 2019</t>
  </si>
  <si>
    <t>Münchener Rück</t>
  </si>
  <si>
    <t>MUV2</t>
  </si>
  <si>
    <t>23. Sep. 1996</t>
  </si>
  <si>
    <t>Porsche Automobil Holding</t>
  </si>
  <si>
    <t>PAH3</t>
  </si>
  <si>
    <t>Holding</t>
  </si>
  <si>
    <t>Qiagen</t>
  </si>
  <si>
    <t>QIA</t>
  </si>
  <si>
    <t>Biotechnologie</t>
  </si>
  <si>
    <t>Rheinmetall</t>
  </si>
  <si>
    <t>RHM</t>
  </si>
  <si>
    <t>Wehrtechnik, Automobil (Zulieferer)</t>
  </si>
  <si>
    <t>20. März 2023</t>
  </si>
  <si>
    <t>RWE</t>
  </si>
  <si>
    <t>SAP</t>
  </si>
  <si>
    <t>Software</t>
  </si>
  <si>
    <t>18. Sep. 1995</t>
  </si>
  <si>
    <t>Scout24</t>
  </si>
  <si>
    <t>G24</t>
  </si>
  <si>
    <t>Online-Marktplätze</t>
  </si>
  <si>
    <t>Siemens</t>
  </si>
  <si>
    <t>SIE</t>
  </si>
  <si>
    <t>Elektrotechnik</t>
  </si>
  <si>
    <t>Siemens Energy</t>
  </si>
  <si>
    <t>ENR</t>
  </si>
  <si>
    <t>Elektrotechnik, Energietechnik</t>
  </si>
  <si>
    <t>19. Sep. 2022</t>
  </si>
  <si>
    <t>Siemens Healthineers</t>
  </si>
  <si>
    <t>SHL</t>
  </si>
  <si>
    <t>Symrise</t>
  </si>
  <si>
    <t>SY1</t>
  </si>
  <si>
    <t>Lebensmittel, Chemie, Kosmetik, Konsumgüter, Duftstoffe, Aromen</t>
  </si>
  <si>
    <t>Volkswagen</t>
  </si>
  <si>
    <t>VOW3</t>
  </si>
  <si>
    <t>Vonovia</t>
  </si>
  <si>
    <t>VNA</t>
  </si>
  <si>
    <t>Immobilien</t>
  </si>
  <si>
    <t>21. Sep. 2015</t>
  </si>
  <si>
    <t>Zalando</t>
  </si>
  <si>
    <t>ZAL</t>
  </si>
  <si>
    <t>Versandhandel (Mode)</t>
  </si>
  <si>
    <r>
      <t> </t>
    </r>
    <r>
      <rPr>
        <sz val="11"/>
        <color theme="1"/>
        <rFont val="Arial"/>
        <family val="2"/>
      </rPr>
      <t>Bayern</t>
    </r>
  </si>
  <si>
    <r>
      <t> </t>
    </r>
    <r>
      <rPr>
        <sz val="11"/>
        <color theme="1"/>
        <rFont val="Arial"/>
        <family val="2"/>
      </rPr>
      <t>Niederlande</t>
    </r>
  </si>
  <si>
    <r>
      <t> </t>
    </r>
    <r>
      <rPr>
        <sz val="11"/>
        <color theme="1"/>
        <rFont val="Arial"/>
        <family val="2"/>
      </rPr>
      <t>Rheinland-Pfalz</t>
    </r>
  </si>
  <si>
    <r>
      <t> </t>
    </r>
    <r>
      <rPr>
        <sz val="11"/>
        <color theme="1"/>
        <rFont val="Arial"/>
        <family val="2"/>
      </rPr>
      <t>Nordrhein-Westfalen</t>
    </r>
  </si>
  <si>
    <r>
      <t> </t>
    </r>
    <r>
      <rPr>
        <sz val="11"/>
        <color theme="1"/>
        <rFont val="Arial"/>
        <family val="2"/>
      </rPr>
      <t>Hamburg</t>
    </r>
  </si>
  <si>
    <r>
      <t> </t>
    </r>
    <r>
      <rPr>
        <sz val="11"/>
        <color theme="1"/>
        <rFont val="Arial"/>
        <family val="2"/>
      </rPr>
      <t>Hessen</t>
    </r>
  </si>
  <si>
    <r>
      <t> </t>
    </r>
    <r>
      <rPr>
        <sz val="11"/>
        <color theme="1"/>
        <rFont val="Arial"/>
        <family val="2"/>
      </rPr>
      <t>Niedersachsen</t>
    </r>
  </si>
  <si>
    <r>
      <t> </t>
    </r>
    <r>
      <rPr>
        <sz val="11"/>
        <color theme="1"/>
        <rFont val="Arial"/>
        <family val="2"/>
      </rPr>
      <t>Baden-Württemberg</t>
    </r>
  </si>
  <si>
    <r>
      <t> </t>
    </r>
    <r>
      <rPr>
        <sz val="11"/>
        <color theme="1"/>
        <rFont val="Arial"/>
        <family val="2"/>
      </rPr>
      <t>Berlin und  Bayern</t>
    </r>
  </si>
  <si>
    <r>
      <t> </t>
    </r>
    <r>
      <rPr>
        <sz val="11"/>
        <color theme="1"/>
        <rFont val="Arial"/>
        <family val="2"/>
      </rPr>
      <t>Berlin</t>
    </r>
  </si>
  <si>
    <t>19. Juni 20001</t>
  </si>
  <si>
    <t>21. Dez. 19981</t>
  </si>
  <si>
    <t>Trotz intensiver Recherche auf offiziellen Konzernquellen und in Berichten gibt es keine öffentlich zugängliche KI‑Ethik‑ oder Responsible‑AI‑Policy von adidas</t>
  </si>
  <si>
    <t>Fair Play Code of Conduct</t>
  </si>
  <si>
    <t>adidas AG</t>
  </si>
  <si>
    <t>n.n.</t>
  </si>
  <si>
    <t>https://www.adidas-group.com/en/investors/corporate-governance/adidas-fair-play-code-of-conduct</t>
  </si>
  <si>
    <t>001_01_FairPlayCode_1602026.pdf</t>
  </si>
  <si>
    <t>Stellt umfassend die ethischen Erwartungen an alle adidas‑Mitarbeitenden dar (Antikorruption, Datenschutz, Verhalten), enthält Governance‑Mechanismen wie Schulungen und Berichtswege. Trotz fehlendem KI‑Bezug ist es das stärkste normative Dokument.</t>
  </si>
  <si>
    <t>Compliance Policy</t>
  </si>
  <si>
    <t>16.02.2026</t>
  </si>
  <si>
    <t>Erläutert konkret die Regeln zu Bestechung, Geschenken, Betrug, Wettbewerbsrecht und Interessenkonflikten sowie die Pflichten und Verfahren bei Verstößen. Wichtiges Governance‑Rahmenwerk, obwohl keine KI‑Themen adressiert werden.</t>
  </si>
  <si>
    <t>Human Rights Policy</t>
  </si>
  <si>
    <t>01.02.2024</t>
  </si>
  <si>
    <t>https://www.adidas-group.com/en/sustainability/transparency/policies</t>
  </si>
  <si>
    <t>ETHICAL COMMUNICATION GUIDELINES</t>
  </si>
  <si>
    <t>Adidas Foundation</t>
  </si>
  <si>
    <t>https://www.adidasfoundation.org/about/policies-and-guidelines</t>
  </si>
  <si>
    <t>004_01_Ethical_comms_guide_160226.pdf</t>
  </si>
  <si>
    <t>003_01_Human_Rights_Policy_160226.pdf</t>
  </si>
  <si>
    <t>Safeguarding Policy</t>
  </si>
  <si>
    <t>https://report.adidas-group.com/2024/en/to-our-shareholders/supervisory-board-report.html</t>
  </si>
  <si>
    <t>Supervisory Board Report 2024</t>
  </si>
  <si>
    <t>Adidas Group</t>
  </si>
  <si>
    <t>01.03.2025</t>
  </si>
  <si>
    <t>Integrated Management System Global Policy</t>
  </si>
  <si>
    <t xml:space="preserve">Adidas AG </t>
  </si>
  <si>
    <t>01.01.2026</t>
  </si>
  <si>
    <t xml:space="preserve">n.n </t>
  </si>
  <si>
    <t>https://www.adidas-group.com/de/nachhaltigkeit/transparenz/richtlinien?tag=Eigene+Standorte</t>
  </si>
  <si>
    <t>007_01_IMSGP_160226.pdf</t>
  </si>
  <si>
    <t>002_01_compliance_policy_160226.pdf</t>
  </si>
  <si>
    <t>005_SafeguardingPolicy_160226.pdf</t>
  </si>
  <si>
    <t>006_01_Supervisory_Report_2024_160226.pdf</t>
  </si>
  <si>
    <t>Keine öffentlichen, dedizierten „Responsible AI Policies“ im Sinne eines separaten Dokuments gefunden; die wichtigsten Aussagen sind in der Human‑rights‑Seite und im Digital‑Ethics‑Kapitel des Verhaltenskodex integriert.</t>
  </si>
  <si>
    <t>Airbus SE</t>
  </si>
  <si>
    <t>Our approach to Artificial Intelligence (AI)</t>
  </si>
  <si>
    <t>Airbus Code of Conduct – 2025 Edition</t>
  </si>
  <si>
    <t>Airbus Supplier Code of Conduct</t>
  </si>
  <si>
    <t>Airbus Ethics &amp; Compliance Anti‑Corruption Policy</t>
  </si>
  <si>
    <t>Pioneering sustainable aerospace (Sustainability publication 2025)</t>
  </si>
  <si>
    <t>Airbus Summit 2025 – Harnessing the power of responsible AI</t>
  </si>
  <si>
    <t>Information Notice of the 2025 Annual General Meeting</t>
  </si>
  <si>
    <t>008_02_AI_Approach_160226</t>
  </si>
  <si>
    <t>https://www.airbus.com/en/sustainability-draft/our-approach-to-sustainability/human-rights</t>
  </si>
  <si>
    <t>https://www.airbus.com/sites/g/files/jlcbta136/files/2025-04/2025-Airbus-Code-of-Conduct-EN.pdf</t>
  </si>
  <si>
    <t>009_02_Code-of-Conduct_160226.pdf</t>
  </si>
  <si>
    <t>https://www.airbus.com/en/innovation/digital-transformation/artificial-intelligence</t>
  </si>
  <si>
    <t>Artificial Intelligence</t>
  </si>
  <si>
    <t>015_02_AI_Website_160226</t>
  </si>
  <si>
    <t>Kein Bezug zur KI Ethikrichtlinien; beschreibt nur technischen/ wirtschaftlichen Einsatz von KI</t>
  </si>
  <si>
    <t>https://www.airbus.com/sites/g/files/jlcbta136/files/2021-07/Airbus-Supplier-Code-of-Conduct.pdf</t>
  </si>
  <si>
    <t>010_02_Supplier-Code-of-Conduct_160226.pdf</t>
  </si>
  <si>
    <t>https://www.airbus.com/sites/g/files/jlcbta136/files/2021-10/Airbus-Ethics-and-Compliance-Anti-Corruption-Policy.pdf</t>
  </si>
  <si>
    <t>011_02_Ethics-and-Compliance-Anti-Corruption-Policy_160226.pdf</t>
  </si>
  <si>
    <t>https://www.airbus.com/sites/g/files/jlcbta136/files/2025-04/2025_Airbus_Pioneering_sustainable_aerospace_publication.pdf</t>
  </si>
  <si>
    <t>012_02_Pioneering_sustainable_aerospace_publication_160226.pdf</t>
  </si>
  <si>
    <t>https://www.airbus.com/en/airbus-summit-2025/harnessing-the-power-of-responsible-ai</t>
  </si>
  <si>
    <t>25.03.2025</t>
  </si>
  <si>
    <t>013_02_Harnessing the power of responsible AI _160226pdf</t>
  </si>
  <si>
    <t>https://www.airbus.com/sites/g/files/jlcbta136/files/2025-03/information_notice.pdf</t>
  </si>
  <si>
    <t>014_02_Annual_General_Meeting_2025_160226.pdf</t>
  </si>
  <si>
    <t>15.04.2025</t>
  </si>
  <si>
    <t>Keine dedizierten öffentlichen „Allianz Standard for Responsible AI“‑Dokumente gefunden; der Standard wird nur intern erwähnt.</t>
  </si>
  <si>
    <t>Responsible Use of Artificial Intelligence (AI)</t>
  </si>
  <si>
    <t>Allianz Code of Conduct </t>
  </si>
  <si>
    <t>Privacy Statement – Data Ethics section</t>
  </si>
  <si>
    <t>Allianz Privacy Standard – Public Version</t>
  </si>
  <si>
    <t>Allianz Group Sustainability Report 2023 – Data ethics/AI governance sections</t>
  </si>
  <si>
    <t>Responsible AI: a sustainable approach to transformative technology</t>
  </si>
  <si>
    <t>Allianz SE</t>
  </si>
  <si>
    <t>Allianz Global Investors (subsidiary)</t>
  </si>
  <si>
    <t>https://www.allianz.com/en/about-us/strategy-values/responsible-use-of-artificial-intelligence.html</t>
  </si>
  <si>
    <t>016_03_Responsible Use of Artificial Intelligence_160226.pdf</t>
  </si>
  <si>
    <t>https://www.allianz.com/content/dam/onemarketing/azcom/Allianz_com/about-us/strategy-values/compliance/code-of-conduct/code-of-conduct-accessible.pdf</t>
  </si>
  <si>
    <t>017_03_code-of-conduct_160226.pdf</t>
  </si>
  <si>
    <t>https://www.allianz.com/en/privacy-statement.html</t>
  </si>
  <si>
    <t>018_03_Privacy Statement_160226.pdf</t>
  </si>
  <si>
    <t>https://www.allianzgloballife.com/content/dam/onemarketing/azgl/allianzgloballife/doc/31122019/en_gb/Allianz-Privacy-Standard_PUBLIC_EN.pdf</t>
  </si>
  <si>
    <t>1.0</t>
  </si>
  <si>
    <t>019_03_Privacy-Standard_PUBLIC_EN_160226.pdf</t>
  </si>
  <si>
    <t>https://www.allianz.com/content/dam/onemarketing/azcom/Allianz_com/sustainability/documents/Allianz_Group_Sustainability_Report_2023-web.pdf</t>
  </si>
  <si>
    <t>020_03_Sustainability_Report_2023_160226.pdf</t>
  </si>
  <si>
    <t>https://www.allianzgi.com/documents/Responsible-AI-a-sustainable-approach-to-transformative-technology</t>
  </si>
  <si>
    <t>021_03_Responsible_AI_160226.pdf</t>
  </si>
  <si>
    <t>Tochtergesellschaft der Allianz SE</t>
  </si>
  <si>
    <t>Es wurde keine öffentlich zugängliche, eigenständige „Data &amp; AI Policy“ von BASF gefunden. Hinweise auf eine interne Data‑&amp;‑AI‑Policy erscheinen im Responsible‑AI‑Text, sind aber nicht öffentlich abrufbar.</t>
  </si>
  <si>
    <t>Responsible AI at BASF</t>
  </si>
  <si>
    <t>BASF Code of Conduct</t>
  </si>
  <si>
    <t>Data protection @ BASF – Data processing in the BASF Group</t>
  </si>
  <si>
    <t>BASF Group’s Policy Statement on Human Rights</t>
  </si>
  <si>
    <t>Supplier Code of Conduct (Version 2024)</t>
  </si>
  <si>
    <t>BASF SE</t>
  </si>
  <si>
    <t>https://www.basf.com/global/en/who-we-are/digitalization/artificial-intelligence/Responsible-AI-at-BASF</t>
  </si>
  <si>
    <t>022_04_Responsible_AI_160226.pdf</t>
  </si>
  <si>
    <t>https://www.basf.com/dam/jcr:0304db1d-bcbb-3015-a965-62627c1b61d2/basf/www/global/documents/en/investor-relations/calendar-and-publications/reports/2025/BASF_Code-of-Conduct.pdf</t>
  </si>
  <si>
    <t>023_04_Code-of-Conduct_160226.pdf</t>
  </si>
  <si>
    <t>https://www.basf.com/global/en/legal/data-protection-at-basf</t>
  </si>
  <si>
    <t>024_04_Data protection_160226.pdf</t>
  </si>
  <si>
    <t>https://www.basf.com/dam/jcr:4944a24f-defc-4987-9dd6-d38dba24efd9/basf/www/global/documents/en/sustainability/we-value-people-and-treat-them-with-respect/human-rights/Human-Rights-Policy-Statement-BASF-Group.pdf</t>
  </si>
  <si>
    <t>025_04_Human-Rights-Policy-Statement_160226.pdf</t>
  </si>
  <si>
    <t>https://www.basf.com/dam/jcr:83c0af8a-4e46-37c0-945f-3fd15ff4fca3/basf/www/global/documents/en/about-us/suppliers-and-partners/supplier-code-of-conduct/Supplier_Code_of_conduct_Version%202024%20-%20English.pdf</t>
  </si>
  <si>
    <t>025_04_Supplier_Code_of_conduct_160226.pdf</t>
  </si>
  <si>
    <t>Bayer AG</t>
  </si>
  <si>
    <t>https://www.bayer.com/en/sustainability/bioethical-principles</t>
  </si>
  <si>
    <t>027_05_Bioethical Principles_160226.pdf</t>
  </si>
  <si>
    <t>Bioethical Principles – AI in the context of human healthcare</t>
  </si>
  <si>
    <t>Generative Artificial Intelligence (GenAI) Guidance and Rules – version 3</t>
  </si>
  <si>
    <t>Our Code of Conduct – Responsible use of Artificial Intelligence section</t>
  </si>
  <si>
    <t>Unleashing the Potential of AI – AI Ethics and Responsibility section</t>
  </si>
  <si>
    <t>Bioethics Council: Responsible innovation with ethical AI</t>
  </si>
  <si>
    <t>https://idnet.bayer.com/sites/idnet/files/final-en-genai-guidelines-and-rules-v3.pdf</t>
  </si>
  <si>
    <t>028_05_genai-guidelines_160226.pdf</t>
  </si>
  <si>
    <t>V3</t>
  </si>
  <si>
    <t>17.10.2024</t>
  </si>
  <si>
    <t>https://www.bayer.com/en/commitments/code-of-conduct</t>
  </si>
  <si>
    <t>029_05_Code of Conduct_160226.pdf</t>
  </si>
  <si>
    <t>https://www.bayer.com/en/innovation/unleashing-the-potential-of-ai</t>
  </si>
  <si>
    <t>030_05_Unleashing the Potential of AI_160226.pdf</t>
  </si>
  <si>
    <t>https://www.bayer.com/sites/default/files/interview-bioethics-council-meeting-ethics-of-generative-ai-2023.pdf</t>
  </si>
  <si>
    <t xml:space="preserve">Interview </t>
  </si>
  <si>
    <t>31_05_interview-bioethics-council-meeting_160226.pdf</t>
  </si>
  <si>
    <t>Mehrere relevante Dokumente gefunden.</t>
  </si>
  <si>
    <t>Verankert adidas’ Verpflichtung zu internationalen Menschenrechtsstandards und beschreibt Due‑Diligence‑Prozesse zur Identifizierung und Vermeidung negativer Auswirkungen. Relevante Werte wie Fairness, Gleichheit und Schutz vulnerabler Gruppen können später als Kontext für KI‑Ethik dienen.</t>
  </si>
  <si>
    <t>No public AI/Responsible AI guideline, policy or principles found (as of 2026‑02‑16)</t>
  </si>
  <si>
    <t>No public AI/Responsible AI guideline or principles found (as of 2026‑02‑16)</t>
  </si>
  <si>
    <t>No public AI policy or principles found (as of 2026‑02‑16)</t>
  </si>
  <si>
    <t>Die einzige explizite AI‑Policy‑Aussage stammt aus dem Annual Report 2024. Die Code‑of‑Conduct‑Dokumente und die Human‑Rights‑Policy enthalten relevante Leitplanken zu digitaler Verantwortung, Daten‑ und Menschenrechtsschutz, aber keine spezifischen KI‑Prinzipien</t>
  </si>
  <si>
    <t>Beiersdorf Code of Conduct 2024</t>
  </si>
  <si>
    <t>Declaration of Principles on Upholding Human Rights</t>
  </si>
  <si>
    <t>Beiersdorf Annual Report 2024 (Combined Management Report – digitalisation and AI section)</t>
  </si>
  <si>
    <t>Beiersdorf driving AI innovations – interview with Dirk Ploss (Hamburg News)</t>
  </si>
  <si>
    <t>Beiersdorf AG</t>
  </si>
  <si>
    <t>https://www.beiersdorf.com/-/media/Beiersdorf/landingpages/code-of-conduct/Beiersdorf-Code-of-Conduct-2024-EN.pdf</t>
  </si>
  <si>
    <t>032_06_Code-of-Conduct_160226.pdf</t>
  </si>
  <si>
    <t>https://www.beiersdorf.com/-/media/Beiersdorf/stories/news-and-stories/news/BW_Declaration_of_Principles_on_Upholding_Human_Rights.pdf</t>
  </si>
  <si>
    <t>033_06_Declaration of Principles on Upholding Human Rights_160226.pdf</t>
  </si>
  <si>
    <t>https://www.beiersdorf.com/~/media/Beiersdorf/investors/financial-publication/2025/annual-report/Beiersdorf-Annual-Report-2024.pdf</t>
  </si>
  <si>
    <t>https://hamburg-business.com/en/news/beiersdorf-driving-ai-innovations</t>
  </si>
  <si>
    <t>12.02.2025</t>
  </si>
  <si>
    <t>034_06_Annual-Report-2024_160226.pdf</t>
  </si>
  <si>
    <t>Marktkapitalisierung in Mio. € (Stand: 04.01.2026)</t>
  </si>
  <si>
    <t>BMW Group code of ethics for artificial intelligence</t>
  </si>
  <si>
    <t>BMW Group digital identity: Five guiding principles for dealing with digital technology</t>
  </si>
  <si>
    <t>We Are Compliance – BMW Group Code of Conduct (2025 edition)</t>
  </si>
  <si>
    <t>BMW Group Code on Human Rights and Working Conditions (2025)</t>
  </si>
  <si>
    <t>BMW Group Report 2024 – Sustainability Statement (selected sections)</t>
  </si>
  <si>
    <t>BMW Group</t>
  </si>
  <si>
    <t>12.10.2020</t>
  </si>
  <si>
    <t>https://www.press.bmwgroup.com/global/article/detail/T0318411EN/seven-principles-for-ai:-bmw-group-sets-out-code-of-ethics-for-the-use-of-artificial-intelligence?language=en</t>
  </si>
  <si>
    <t>037_07_Code_of_ethics_for_AI_160226.PDF</t>
  </si>
  <si>
    <t>https://www.bmwgroup.com/content/dam/grpw/websites/bmwgroup_com/innovation/downloadds/en/2024/Digitales_Selbstverstaendnis_EN.pdf</t>
  </si>
  <si>
    <t>Juni 2024</t>
  </si>
  <si>
    <t>038_07_Digitales_Selbstverstaendnis_160226.pdf</t>
  </si>
  <si>
    <t>https://www.bmwgroup.com/content/dam/grpw/websites/bmwgroup_com/company/downloads/en/2025/BMW_Group_Compliance_Code_of_Conduct_EN.pdf</t>
  </si>
  <si>
    <t>Dezember 2025</t>
  </si>
  <si>
    <t>039_07_Compliance_Code_of_Conduct_160226.pdf</t>
  </si>
  <si>
    <t>https://www.bmwgroup-werke.com/content/dam/grpw/websites/bmwgroup_com/company/downloads/en/2025/BMW_Group_Compliance_HumanRights_Code_EN.pdf</t>
  </si>
  <si>
    <t>040_07_Compliance_HumanRights_Code_160226.pdf</t>
  </si>
  <si>
    <t>https://www.bmwgroup.com/en/report/2024/downloads/BMW-Group-Report-2024-en.pdf</t>
  </si>
  <si>
    <t>041_07_ESG-Report-2024_160226.pdf</t>
  </si>
  <si>
    <t>No public AI policy found (as of 2026‑02‑16)</t>
  </si>
  <si>
    <t>Es konnten keine spezifischen öffentlichen KI‑Leitlinien oder Responsible‑AI‑Policies von Brenntag SE gefunden werden</t>
  </si>
  <si>
    <t>Brenntag SE</t>
  </si>
  <si>
    <t>17.02.2026</t>
  </si>
  <si>
    <t>Code of Business Conduct and Ethics</t>
  </si>
  <si>
    <t>Supplier Code of Conduct</t>
  </si>
  <si>
    <t>Group Sustainability Statement (FY 2024)</t>
  </si>
  <si>
    <t>Press Release: “Brenntag implements autonomous AI agents on its Salesforce platform as first customer in Germany”</t>
  </si>
  <si>
    <t>https://brenntagprod-media.e-spirit.cloud/06432017-be1f-41ce-8d1d-564e2a66d213/documents/global/compliance/brenntag_code-of-conduct_en.pdf</t>
  </si>
  <si>
    <t>042_08_code-of-conduct_170226.pdf</t>
  </si>
  <si>
    <t>https://brenntagprod-media.e-spirit.cloud/06432017-be1f-41ce-8d1d-564e2a66d213/documents/global/compliance/global_brenntag-supplier-code-of-conduct-2023_en.pdf</t>
  </si>
  <si>
    <t>https://brenntagprod-media.e-spirit.cloud/06432017-be1f-41ce-8d1d-564e2a66d213/documents/corporate/investor-relations/2024/annual-report-2024/brenntag_ar2024_group-sustainability-statement_en.pdf</t>
  </si>
  <si>
    <t>043_08_supplier-code-of-conduct_170226.pdf</t>
  </si>
  <si>
    <t>044_08_sustainability-statement_170226.pdf</t>
  </si>
  <si>
    <t>https://corporate.brenntag.com/en/media/news/brenntag-implements-autonomous-ai-agents-on-its-salesforce-platform-as-first-customer-in-germany.html</t>
  </si>
  <si>
    <t>05.11.2024</t>
  </si>
  <si>
    <t>045_08_Salesforce_Brenntag_170226.pdf</t>
  </si>
  <si>
    <t>Obwohl keine KI‑spezifischen Prinzipien erwähnt werden, legt der Verhaltenskodex den ethischen Rahmen und die organisatorischen Mechanismen (Compliance‑Management, Trainings, Whistleblowing) fest, die auch für KI‑Governance relevant sind.</t>
  </si>
  <si>
    <t>Die Richtlinie ist zwar nicht KI‑spezifisch, bildet aber einen wichtigen Governance‑Baustein für verantwortungsvolle Beschaffung und könnte im Kontext von Datenlieferanten und KI‑Systemen relevant sein.</t>
  </si>
  <si>
    <t>Obwohl keine expliziten AI‑Richtlinien vorhanden sind, liefert der Bericht Kontext zu Compliance, Datenschutz und Business‑Conduct‑Strategien, die als Umfeld für KI‑Regeln dienen können.</t>
  </si>
  <si>
    <t>No public AI/Responsible AI guideline, policy or principles found (as of 2026‑02‑17)</t>
  </si>
  <si>
    <t>Die zentrale AI-Quelle ist das Dokument „KI-Grundsätze im Commerzbank-Konzern“</t>
  </si>
  <si>
    <t>„KI‑Grundsätze im Commerzbank‑Konzern“ (Artificial Intelligence Principles)</t>
  </si>
  <si>
    <t>Artikel „AI principles – principle agreement will strengthen trust in AI“</t>
  </si>
  <si>
    <t>Whitepaper „Risk‑based approach to AI and Machine Learning“</t>
  </si>
  <si>
    <t>Code of Conduct („Yellow Compass“) – Version 2024</t>
  </si>
  <si>
    <t>ESG Framework – Acting responsibly, growing sustainably</t>
  </si>
  <si>
    <t xml:space="preserve">Commerzbank AG </t>
  </si>
  <si>
    <t>19.10.2023</t>
  </si>
  <si>
    <t>046_09_ki-grundsaetze_170226.pdf</t>
  </si>
  <si>
    <t>https://www.commerzbank.de/group/what-moves-us/2024-article-media/24-03/ki-grundsaetze.pdf</t>
  </si>
  <si>
    <t>08.05.2025</t>
  </si>
  <si>
    <t>https://www.commerzbank.de/group/what-drives-us/innovation-digital-transformation/2024-ai-principles.html</t>
  </si>
  <si>
    <t>047_09_Principle agreement_170226.pdf</t>
  </si>
  <si>
    <t>15.03.2023</t>
  </si>
  <si>
    <t>https://www.commerzbank.de/group/newsroom/publications/2023/position-paper-ai-act.pdf</t>
  </si>
  <si>
    <t>048_09_whitepaper-ai-act_170226.pdf</t>
  </si>
  <si>
    <t>https://core-p-001.sitecorecontenthub.cloud/api/public/content/8008521917234a78a40d4f10b91c2806?v=c4b71f08</t>
  </si>
  <si>
    <t>V2024</t>
  </si>
  <si>
    <t>049_09_Code of Conduct_170226.pdf</t>
  </si>
  <si>
    <t>https://www.commerzbank.de/ms/documents/en/esg-framework-pdf.pdf</t>
  </si>
  <si>
    <t>050_09_esg-framework_170226.pdf</t>
  </si>
  <si>
    <t>Also includes Responsible AI / Ethics</t>
  </si>
  <si>
    <t>Ethics regulations for artificial intelligence (press release)</t>
  </si>
  <si>
    <t>Continental AG</t>
  </si>
  <si>
    <t>Continental Code of Conduct</t>
  </si>
  <si>
    <t>Continental Business Partner Code of Conduct</t>
  </si>
  <si>
    <t>Turn Change Into Opportunity – Embrace Sustainability: Integrated Sustainability Report 2022</t>
  </si>
  <si>
    <t>Survey: Germans fear job losses due to artificial intelligence (press release)</t>
  </si>
  <si>
    <t>08.06.2020</t>
  </si>
  <si>
    <t>Version 01/01/2026</t>
  </si>
  <si>
    <t>Veersion Juli 2023</t>
  </si>
  <si>
    <t>Mehrere semi-relevante Dokumente gefunden.</t>
  </si>
  <si>
    <t>https://www.continental.com/en/press/press-releases/ai-code-of-ethics/</t>
  </si>
  <si>
    <t>051_10_Ethics Regulations for Artificial Intelligence_170226.pdf</t>
  </si>
  <si>
    <t>https://cdn.continental.com/fileadmin/__imported/sites/corporate/_international/english/hubpages/60_20company/20_20corporate_20governance/50_20compliance/coc_en.pdf</t>
  </si>
  <si>
    <t>052_10_coc_170226.pdf</t>
  </si>
  <si>
    <t>https://cdn.continental.com/fileadmin/__imported/sites/corporate/_international/german/hubpages/60_20unternehmen/20_20corporate_20governance/50_20compliance/brochure_bpcoc_en_with_signature.pdf</t>
  </si>
  <si>
    <t>053_10_bpcoc_170226.pdf</t>
  </si>
  <si>
    <t>Hat eine kleine AI Sektion</t>
  </si>
  <si>
    <t>https://www.continental.com/en/press/press-releases/germans-fear-job-losses-due-to-artificial-intelligence/</t>
  </si>
  <si>
    <t>28.03.2023</t>
  </si>
  <si>
    <t>054_10_Survey_170226.pdf</t>
  </si>
  <si>
    <t>https://www.continental.com/fileadmin/__imported/sites/corporate/_international/german/hubpages/10_20presse/studien_und_publikationen/continental_sustainability_report_2022.pdf</t>
  </si>
  <si>
    <t>055_10_sustainability_report_170226.pdf</t>
  </si>
  <si>
    <t>Referenzieren nur die AI Code of Ethics, aber geben selbst keine Inhalte über die Themen des CoE hinaus wieder: › Compliance with laws, regulations, Continental’s rules, standards and instructions › Workplace and fair working conditions › Health, safety, the environment, and product integrity › Employee diversity, anti-discrimination, fairness in the use of AI › Data protection and cybersecurity when using AI › Confidential information, intellectual property</t>
  </si>
  <si>
    <t xml:space="preserve">n.n. </t>
  </si>
  <si>
    <t>Keine eigenständigen, konzernweiten „Responsible AI Policy“ oder „AI Principles“ separat vom Code of Conduct/Integrity Code identifiziert</t>
  </si>
  <si>
    <t>Daimler Truck Code of Conduct – Guideline to doing the right thing</t>
  </si>
  <si>
    <t>Our Integrity Code (IC 0.2)</t>
  </si>
  <si>
    <t>Declaration of Principles on Social Responsibility and Human Rights at Daimler Truck</t>
  </si>
  <si>
    <t>Business Partner Standards – Doing the Right Thing Together</t>
  </si>
  <si>
    <t>Data Compliance Management System – Our commitment to data responsibility</t>
  </si>
  <si>
    <t>Daimler Truck Sustainability Report 2021 – Selected sections (automated driving &amp; AI)</t>
  </si>
  <si>
    <t>Daimler Truck Holding AG</t>
  </si>
  <si>
    <t>https://www.daimlertruck.com/fileadmin/user_upload/documents/company/compliance/Daimler-Truck-Code-of-Conduct-english.pdf</t>
  </si>
  <si>
    <t>https://dtsa.daimlertruck.com/assets/files/king_vi/Our%20Integrity%20Code_1%20April%202022.pdf</t>
  </si>
  <si>
    <t>https://www.daimlertruck.com/fileadmin/user_upload/documents/sustainability/social/2022_12_07_Broschuere_Grundsatzerklaerung-Menschenrechte-EN.pdf</t>
  </si>
  <si>
    <t>https://www.daimlertruck.com/fileadmin/user_upload/dokumente/unternehmen/compliance/Business_Partner_Standards.pdf</t>
  </si>
  <si>
    <t>https://www.daimlertruck.com/en/company/compliance/data-compliance</t>
  </si>
  <si>
    <t>056_11_Code-of-Conduct_170226.pdf</t>
  </si>
  <si>
    <t>1.4.2022</t>
  </si>
  <si>
    <t>057_11_Our Integrity Code_170226.pdf</t>
  </si>
  <si>
    <t>058_11_Grundsatzerklaerung-Menschenrechte_170226.pdf</t>
  </si>
  <si>
    <t>059_11_Business_Partner_Standards_170226.pdf</t>
  </si>
  <si>
    <t>060_11_Data Compliance Management System _170226.pdf</t>
  </si>
  <si>
    <t>https://www.daimlertruck.com/en/sustainability/reportings</t>
  </si>
  <si>
    <t>061_11_annual report-incl-esg_170226.pdf</t>
  </si>
  <si>
    <t>Dieses zentrale Compliance‑Dokument enthält ein eigenes Kapitel zu künstlicher Intelligenz. Es verpflichtet alle Beschäftigten zur verantwortungsvollen Nutzung von AI und formuliert konkrete Prinzipien wie Erklärbarkeit, Datenschutz, Sicherheit, Fairness und den Schutz von Beschäftigtenrechten. Die breite Verbindlichkeit und klare Verpflichtungen machen dieses Dokument zur wichtigsten Quelle</t>
  </si>
  <si>
    <t>Der Integritätskodex gilt konzernweit und erläutert in Abschnitt 3.5.3 „Artificial intelligence“ die AI‑Grundsätze. Er betont die Umsetzung „fordernder AI‑Prinzipien“ für verantwortungsvolle Entwicklung und Nutzung von AI, einschliesslich Erklärbarkeit, Datenschutz, Sicherheit und Verlässlichkeit</t>
  </si>
  <si>
    <t>No public AI policy or ethics found (as of 2026‑02‑17)</t>
  </si>
  <si>
    <t>Deutsche Bank Group Supplier Code of Conduct</t>
  </si>
  <si>
    <t>Deutsche Bank AG</t>
  </si>
  <si>
    <t>Deutsche Bank Code of Conduct – Our duty for a long‑term success</t>
  </si>
  <si>
    <t>Non‑Financial Report 2023 (Deutsche Bank Group)</t>
  </si>
  <si>
    <t>Statement on Human Rights</t>
  </si>
  <si>
    <t>Artificial Intelligence: seizing opportunities and recognizing risks</t>
  </si>
  <si>
    <t>How Artificial Intelligence is changing banking</t>
  </si>
  <si>
    <t>The responsible use of AI in financial services – From principles to practice (News article)</t>
  </si>
  <si>
    <t>Unleashing the potential of AI in securities services</t>
  </si>
  <si>
    <t>Adopting generative AI in banking (white paper with Kodex AI)</t>
  </si>
  <si>
    <t>Die konkretesten AI-Prinzipien lagen öffentlich am klarsten im Supplier Code of Conduct (AI &amp; Data Ethics Principles) sowie Governance-Hinweise (z. B. „AI Oversight Forum“) in ESG/IR-Reports vor; darüber hinaus keine weiteren belastbaren Policy-Dokumente.</t>
  </si>
  <si>
    <t>https://vendor-portal.db.com/Files/Documents1/SupplierCodeofConductMay2025.pdf</t>
  </si>
  <si>
    <t>https://investor-relations.db.com/files/documents/annual-reports/2024/Non-Financial-Report-2023.pdf</t>
  </si>
  <si>
    <t>https://investor-relations.db.com/files/documents/documents/code-of-business-conduct-and-ethics-for-deutsche-bank-group.pdf?language_id=1</t>
  </si>
  <si>
    <t>https://security.db.com/knowledge-bases/artificial-intelligence</t>
  </si>
  <si>
    <t>https://www.db.com/what-we-do/responsibility/sustainability/documents/2025-06-june/DB-Statement-on-Human-Rights-EN.pdf</t>
  </si>
  <si>
    <t>https://www.db.com/what-next/digital-disruption/better-than-humans/how-artificial-intelligence-is-changing-banking/index?language_id=1</t>
  </si>
  <si>
    <t>https://www.db.com/news/detail/20191112-the-responsible-use-of-ai-in-financial-services-from-principles-to-practice?language_id=1</t>
  </si>
  <si>
    <t>https://flow.db.com/files/documents/more/publications/white-papers-guides/Unleashing-the-potential-of-AI-in-securities-services.pdf</t>
  </si>
  <si>
    <t>https://flow.db.com/files/documents/more/publications/white-papers-guides/whitepaper-Adopting-Generative-AI-in-Banking.pdf</t>
  </si>
  <si>
    <t>062_12_SupplierCodeofConduct_170226.pdf</t>
  </si>
  <si>
    <t>Includes Responsible AI / AI Principles</t>
  </si>
  <si>
    <t>063_12_code-of-business-conduct-and-ethics-_170226.pdf</t>
  </si>
  <si>
    <t>064_12_Non-Financial-Report_170226.pdf</t>
  </si>
  <si>
    <t xml:space="preserve">Short Section on AI Oversight Forum </t>
  </si>
  <si>
    <t>065_12_Statement-on-Human-Rights_170226.pdf</t>
  </si>
  <si>
    <t>066_12_Artificial Intelligence Overview_170226.pdf</t>
  </si>
  <si>
    <t>Nur technische Erklärung, was KI eigentlich ist</t>
  </si>
  <si>
    <t>067_12_How Artificial Intelligence is changing banking_170226.pdf</t>
  </si>
  <si>
    <t>Kein Bezug zur Ethik oÄ</t>
  </si>
  <si>
    <t>12.11.2029</t>
  </si>
  <si>
    <t>068_12_The responsible use of AI in Financial services_170226.pdf</t>
  </si>
  <si>
    <t>069_12_Unleashing-the-potential-of-AI-in-securities-services_170226.pdf</t>
  </si>
  <si>
    <t>070_12_whitepaper-Adopting-Generative-AI-in-Banking_170226.pdf</t>
  </si>
  <si>
    <t>Es konnten keine eigenständigen Responsible‑AI‑Policies oder AI‑Ethics‑Guidelines für die Deutsche‑Börse‑Gruppe identifiziert werden</t>
  </si>
  <si>
    <t>Response to European Commission’s White Paper on artificial intelligence</t>
  </si>
  <si>
    <t>Deutsche Börse Group</t>
  </si>
  <si>
    <t>Response to IOSCO consultation on AI in capital markets</t>
  </si>
  <si>
    <t>Targeted consultation on artificial intelligence in the financial sector – contribution by Deutsche Börse Group</t>
  </si>
  <si>
    <t>Market Data Policy Guidelines and FAQ – Section 10: Use of DBAG information in AI solutions (Version 2_8)</t>
  </si>
  <si>
    <t>V2.8</t>
  </si>
  <si>
    <t>Code of Business Conduct</t>
  </si>
  <si>
    <t>Code of Conduct for Suppliers</t>
  </si>
  <si>
    <t>Human Rights Strategy Policy Statement</t>
  </si>
  <si>
    <t>Digital Finance – Deutsche Börse Group</t>
  </si>
  <si>
    <t>Press release: More than two-thirds of investment managers use AI</t>
  </si>
  <si>
    <t>https://www.deutsche-boerse.com/resource/blob/2095828/1649f1a7f54a924a0fb99f1b9bdd1694/data/20200610-db-response_en.pdf</t>
  </si>
  <si>
    <t>https://www.deutsche-boerse.com/resource/blob/4300280/dc0bd81c97cf978b924e43234f56f03d/data/20240426_DBG_response_IOSCO_AI_consultation.pdf</t>
  </si>
  <si>
    <t>https://www.deutsche-boerse.com/dbg-en/media/news-stories/press-releases/More-than-Two-thirds-of-Investment-Managers-Prominently-Using-AI-to-Support-Front-Office-SimCorp-Study-Reveals-4910704</t>
  </si>
  <si>
    <t>10.04.2025</t>
  </si>
  <si>
    <t>072_13_DBG_response_IOSCO Consultation_170226.pdf</t>
  </si>
  <si>
    <t>071_13_db-response_170226.pdf</t>
  </si>
  <si>
    <t>https://www.deutsche-boerse.com/resource/blob/4344538/c7fb1c04440815b6ea29f17d9d7d62f1/data/20240912_DBG_response_EC%20Targeted%20consultation%20on%20artificial%20intelligence%20in%20the%20financial%20sector.pdf</t>
  </si>
  <si>
    <t>13.09.2024</t>
  </si>
  <si>
    <t>073_13_DBG_response_EC_170226.pdf</t>
  </si>
  <si>
    <t>https://www.mds.deutsche-boerse.com/resource/blob/4028410/ee46a8181b463a0f413d0faa695c0001/data/Market%20Data%20Policy%20Guidelines%20and%20FAQ_V2_7.pdf</t>
  </si>
  <si>
    <t>24.09.2025</t>
  </si>
  <si>
    <t>074_13_Market Data Policy Guidelines_170226.pdf</t>
  </si>
  <si>
    <t>https://www.deutsche-boerse.com/resource/blob/45222/a244f5d7ff9f341689489b58f65a1dc0/data/code-of-business-conduct_en.pdf</t>
  </si>
  <si>
    <t>075_13_code-of-business-conduct_170226.pdf</t>
  </si>
  <si>
    <t>https://www.deutsche-boerse.com/resource/blob/160140/f940243aedc8611ac81e5c012777c7bd/data/code-of-coduct-suppliers_en.pdf</t>
  </si>
  <si>
    <t>12.11.2025</t>
  </si>
  <si>
    <t>076_13_code-of-coduct-suppliers_170226.pdf</t>
  </si>
  <si>
    <t>https://www.deutsche-boerse.com/resource/blob/3800562/9f347e74f9934e23edda9ecb28c85bc7/data/dbg-menschenrechtserklaerung_en.pdf</t>
  </si>
  <si>
    <t>09.12.2025</t>
  </si>
  <si>
    <t>077_13_dbg-menschenrechtserklaerung_170226.pdf</t>
  </si>
  <si>
    <t>https://www.deutsche-boerse.com/dbg-de/ueber-uns/regulierung/regulation-df</t>
  </si>
  <si>
    <t>078_13_Digital Finance_170226.pdf</t>
  </si>
  <si>
    <t>19.01.2026</t>
  </si>
  <si>
    <t>079_13_SimCorp Study_170226.pdf</t>
  </si>
  <si>
    <t>ieses Regelwerk ist das einzige formale Dokument der Deutsche‑Börse‑Gruppe, das den Einsatz von KI explizit adressiert. Abschnitt 10 definiert, was als „AI Solution“ gilt (z. B. Deep‑Learning‑Modelle, generative KI und LLMs) und verpflichtet Kunden, eine passende Non‑Display‑Data‑Usage‑Lizenz zu erwerben und robuste interne Kontrollsysteme zur Nachverfolgung der Datennutzung über alle Nutzungsebenen hinweg zu unterhalten</t>
  </si>
  <si>
    <t>Die Deutsche Börse beschreibt ihren Ansatz, AI graduell und in getesteten Proof‑of‑Concept‑Phasen einzuführen, um Transparenz, Stabilität und Anlegerschutz zu gewährleisten. Sie benennt konkrete Risiken (Bias, Black‑Box‑Eigenschaften, Halluzinationen) und betont die Bedeutung solider Daten‑Governance und eines eigenen AI‑Governance‑Rahmens. Diese Aussagen liefern Hinweise für verantwortungsvolle KI‑Einführung, auch wenn das Dokument keine formale Policy darstellt.</t>
  </si>
  <si>
    <t>19.02.2026</t>
  </si>
  <si>
    <t>DHL Group</t>
  </si>
  <si>
    <t>DHL Group Data Privacy Policy (Binding Corporate Rules)</t>
  </si>
  <si>
    <t>DHL Group Information Security Code of Practice for Partners</t>
  </si>
  <si>
    <t>DHL Group Code of Conduct</t>
  </si>
  <si>
    <t>DHL Group Supplier Code of Conduct</t>
  </si>
  <si>
    <t>Cyber Security (web page)</t>
  </si>
  <si>
    <t>DHL Group ESG Progress Report 2024 (Sustainability Report)</t>
  </si>
  <si>
    <t>No public AI/Responsible AI guideline, policy or principles found (as of 2026‑02‑19)</t>
  </si>
  <si>
    <t>V4</t>
  </si>
  <si>
    <t>https://group.dhl.com/en/data-protection.html#parsysPath_experiencefragment_879389856</t>
  </si>
  <si>
    <t>https://group.dhl.com/en/about-us/code-of-conduct.html</t>
  </si>
  <si>
    <t>https://group.dhl.com/content/dam/deutschepostdhl/en/media-center/responsibility/dhl-group-information-security-code-of-practice.pdf</t>
  </si>
  <si>
    <t>https://group.dhl.com/content/dam/deutschepostdhl/en/media-center/responsibility/DHL-Group-Supplier-Code-of-Conduct-v2020-5.pdf</t>
  </si>
  <si>
    <t>https://group.dhl.com/en/sustainability/governance/cyber-security.html</t>
  </si>
  <si>
    <t>https://reporting-hub.group.dhl.com/ecomaXL/files/DHL-Group_2024-Progress-Report-on-Sustainability.pdf</t>
  </si>
  <si>
    <t>080_14_Data protection_190226.pdf</t>
  </si>
  <si>
    <t>081_14_security-code-of-practice_190226.pdf</t>
  </si>
  <si>
    <t>V5</t>
  </si>
  <si>
    <t>083_14_Supplier-Code-of-Conduct-v2020-5.pdf</t>
  </si>
  <si>
    <t>082_code-of-conduct_190226.pdf</t>
  </si>
  <si>
    <t>084_14_Cyber security_190226.pdf</t>
  </si>
  <si>
    <t>085_14_Progress-Report-on-Sustainability_190226.pdf</t>
  </si>
  <si>
    <t>Trotz intensiver Recherche auf offiziellen Konzernquellen und in Berichten gibt es keine öffentlich zugängliche KI‑Ethik‑ oder Responsible‑AI‑Policy von der DHL Gruppe / Deutschen Post AG</t>
  </si>
  <si>
    <t>Alle relevanten AI‑Ethik‑Dokumente wurden gefunden</t>
  </si>
  <si>
    <t>Deutsche Telekom AG</t>
  </si>
  <si>
    <t>AI Guidelines – short version</t>
  </si>
  <si>
    <t>https://www.telekom.com/resource/blob/532446/f32ea4f5726ff3ed3902e97dd945fa14/dl-180710-ki-leitlinien-en-data.pdf</t>
  </si>
  <si>
    <t>Edition 2018</t>
  </si>
  <si>
    <t>Guidelines for Artificial Intelligence (article)</t>
  </si>
  <si>
    <t>https://www.telekom.com/en/company/digital-responsibility/details/artificial-intelligence-ai-guideline-524366</t>
  </si>
  <si>
    <t>Principles for Green Artificial Intelligence</t>
  </si>
  <si>
    <t>https://www.telekom.com/en/company/details/principles-for-green-artificial-intelligence-1077104</t>
  </si>
  <si>
    <t>Code of Conduct (Group)</t>
  </si>
  <si>
    <t>https://www.telekom.com/resource/blob/497150/54e0bd88d87bc50f70a523002ffcf208/dl-code-of-conduct-en-data.pdf</t>
  </si>
  <si>
    <t>Supplier Code of Conduct – Version 2024</t>
  </si>
  <si>
    <t>https://www.telekom.com/resource/blob/498830/7d0f6ce8b7f56c0664c262c3efdf3fe1/dl-240320-supplier-code-of-conduct-data.pdf</t>
  </si>
  <si>
    <t>Version 2024</t>
  </si>
  <si>
    <t>Digital Ethics – Our fields of action</t>
  </si>
  <si>
    <t>https://www.telekom.com/en/company/digital-responsibility/details/our-action-areas-digital-ethics-1008324</t>
  </si>
  <si>
    <t>The EU AI Act at Deutsche Telekom – Implementation article</t>
  </si>
  <si>
    <t>https://www.telekom.com/en/company/digital-responsibility/details/the-eu-ai-act-at-deutsche-telekom--1090710</t>
  </si>
  <si>
    <t>AI Manifesto – Works Council agreement</t>
  </si>
  <si>
    <t>https://www.telekom.com/en/company/digital-responsibility/details/artificial-intelligence-at-deutsche-telekom-1055154</t>
  </si>
  <si>
    <t>Professional Ethics for AI Engineering and Usage</t>
  </si>
  <si>
    <t>https://www.telekom.com/resource/blob/630952/37534d39c5184b251c235d93edfd6f91/dl-210702-professionsethik-data.pdf</t>
  </si>
  <si>
    <t>Edition 2021</t>
  </si>
  <si>
    <t>Privacy and Security Assessment (PSA) booklet</t>
  </si>
  <si>
    <t>https://www.telekom.com/resource/blob/622936/97f1cec97d290690f9aac921f8c5fa9e/dl-psa-booklet-en-data.pdf</t>
  </si>
  <si>
    <t>Corporate Responsibility Report 2024</t>
  </si>
  <si>
    <t>https://report.telekom.com/cr-report/2024/_assets/downloads/entire-dtag-cr24.pdf</t>
  </si>
  <si>
    <t>CR Report 2024</t>
  </si>
  <si>
    <t xml:space="preserve">2018‑04‑24 </t>
  </si>
  <si>
    <t>2018‑05‑11</t>
  </si>
  <si>
    <t>2024‑03‑20</t>
  </si>
  <si>
    <t xml:space="preserve">2026‑02‑19 </t>
  </si>
  <si>
    <t>2025‑</t>
  </si>
  <si>
    <t>2021‑07‑02</t>
  </si>
  <si>
    <t>086_15_ki-leitlinien-en_190226.pdf</t>
  </si>
  <si>
    <t>087_15_Guidelines for Artificial Intelligence_190226.pdf</t>
  </si>
  <si>
    <t>088_15_Principles for green artificial intelligence_190226.pdf</t>
  </si>
  <si>
    <t>089_15_code-of-conduct-en_190226.pdf</t>
  </si>
  <si>
    <t>090_15_supplier-code-of-conduct_190226.pdf</t>
  </si>
  <si>
    <t>092_15_The EU AI Act at Deutsche Telekom_190226.pdf</t>
  </si>
  <si>
    <t>095_15_psa-booklet-en_190226.pdf</t>
  </si>
  <si>
    <t>094_15_professionsethik_190226.pdf</t>
  </si>
  <si>
    <t>AI not without privacy-by-strategy</t>
  </si>
  <si>
    <t>097_15_AI not without privacy-by-strategy_190226.pdf</t>
  </si>
  <si>
    <t>https://www.telekom.com/en/company/management-unplugged/details/ai-not-without-privacy-by-strategy-1058604</t>
  </si>
  <si>
    <t>093_15_AI Manifesto_190226pdf</t>
  </si>
  <si>
    <t>096_15_entire-dtag-cr24_190226.pdf</t>
  </si>
  <si>
    <t>Trotz breit angelegter Suche wurden keine öffentlich zugänglichen Responsible‑AI‑Policies oder detaillierten AI‑Ethics‑Guidelines der E.ON SE identifiziert</t>
  </si>
  <si>
    <t>Code of Conduct – Acting responsibly at E.ON</t>
  </si>
  <si>
    <t>Supplier Code of Conduct (2023)</t>
  </si>
  <si>
    <t>Integrated Annual Report 2024 – Sustainability Statement</t>
  </si>
  <si>
    <t>20.02.2026</t>
  </si>
  <si>
    <t>No public AI/Responsible AI guideline, policy or principles found (as of 2026‑02‑20)</t>
  </si>
  <si>
    <t>E.ON SE</t>
  </si>
  <si>
    <t>https://www.eon.com/en/about-us/media/press-release/2025/eon-sets-standards-for-the-responsible-use-of-artificial-intelligence.html</t>
  </si>
  <si>
    <t>15.1.2025</t>
  </si>
  <si>
    <t>E.ON sets standards for the responsible use of artificial intelligence</t>
  </si>
  <si>
    <t>098_16_E.ON sets standards for the responsible use of artificial intelligence_200226.pdf</t>
  </si>
  <si>
    <t>Hier wird nur referenziert, dass es Leitlinien für KI gibt, aber nicht welche es sind. Das Originaldokument für die Leitlinien ist öffentlich nicht einsehbar.</t>
  </si>
  <si>
    <t>https://www.eon.se/content/dam/eon-se/swe-documents/swe-code-of-conduct-eng.pdf</t>
  </si>
  <si>
    <t>099_16_code-of-conduct_200226.pdf</t>
  </si>
  <si>
    <t>https://www.eon.hu/content/dam/eon/eon-hungary/documents/lablec/Beszallitok/supplier-code-of-conduct-2023.pdf</t>
  </si>
  <si>
    <t>100_16_supplier-code-of-conduct_200226.pdf</t>
  </si>
  <si>
    <t>101_16_GB24-gesamt_200226.pdf</t>
  </si>
  <si>
    <t>https://annualreport.eon.com/content/dam/eon-annualreport/documents/en/GB24-gesamt-EN_final.pdf</t>
  </si>
  <si>
    <t>Es konnten keine weiteren eigenständigen, öffentlich zugänglichen Responsible‑AI‑Policies oder KI‑Ethik‑Richtlinien ausser der AI‑Guidelines selbst gefunden werden. Interne Richtlinien werden zwar im ESG‑Bericht erwähnt, sind jedoch nicht öffentlich zugänglich.</t>
  </si>
  <si>
    <t>AI‑Guidelines: Responsible Use of Artificial Intelligence</t>
  </si>
  <si>
    <t>Fresenius Group Code of Conduct</t>
  </si>
  <si>
    <t>Non‑Financial Report 2023 – Digital Transformation section</t>
  </si>
  <si>
    <t>Ethical Foundation page</t>
  </si>
  <si>
    <t>Press Release: AI in Healthcare – SAP and Fresenius Accelerate Digital Healthcare Delivery</t>
  </si>
  <si>
    <t>Also Responsible Ai / Ethics, and AI Principles</t>
  </si>
  <si>
    <t>https://www.fresenius.com/sites/default/files/2025-07/05092025_AI_Guidelines_v2_EN_0.pdf</t>
  </si>
  <si>
    <t>https://www.fresenius.com/sites/default/files/2025-04/Fresenius_Group_Code_of_Conduct_EN_202502_0.pdf</t>
  </si>
  <si>
    <t>https://annualreport.fresenius.com/2023/non-financial-report/digital-transformation/</t>
  </si>
  <si>
    <t>https://www.fresenius.com/ethical-foundation</t>
  </si>
  <si>
    <t>https://www.fresenius.com/sites/default/files/2026-01/20260119_fse_pressrelease_cooperation_sap_0.pdf</t>
  </si>
  <si>
    <t>https://freseniusmedicalcare.com/en/about-us/compliance/our-code-of-ethics-and-business-conduct/</t>
  </si>
  <si>
    <t>05.09.2025</t>
  </si>
  <si>
    <t>102_17_AI_Guidelines_200226.pdf</t>
  </si>
  <si>
    <t>Ai Section ist nur Zusammenfassung der AI-Guidelines</t>
  </si>
  <si>
    <t>103_17_Group_Code_of_Conduct_200226.pdf</t>
  </si>
  <si>
    <t>104_17_Digital transformation_200226.pdf</t>
  </si>
  <si>
    <t>Kündigt nur die Erstellung der AI Guidelines an.</t>
  </si>
  <si>
    <t>105_17_Ethical Foundation_200226.pdf</t>
  </si>
  <si>
    <t>106_17_pressrelease_cooperation_sap_200226.pdf</t>
  </si>
  <si>
    <t xml:space="preserve">Trotz umfassender Recherche konnten keine öffentlich zugänglichen Responsible‑AI‑Policies oder KI‑Ethics‑Guidelines für Fresenius Medical Care identifiziert werden. </t>
  </si>
  <si>
    <t>Code of Ethics &amp; Business Conduct</t>
  </si>
  <si>
    <t>Compliance Overview – Global Compliance Program</t>
  </si>
  <si>
    <t>Compliance Brochure for Business Partners</t>
  </si>
  <si>
    <t>The Challenges and Benefits of Generative AI in Kidney Care</t>
  </si>
  <si>
    <t>Using Artificial Intelligence to Predict Patient Outcomes – Q&amp;A with Len Usvyat</t>
  </si>
  <si>
    <t>Press Release: Fresenius Medical Care Achieves Key AI Milestone with Apollo Database</t>
  </si>
  <si>
    <t>https://freseniusmedicalcare.com/en/about-us/compliance/compliance-overview</t>
  </si>
  <si>
    <t>https://freseniusmedicalcare.com/en/media/newsroom/fresenius-medical-care-achieves-key-ai-milestone-with-first-phase-completion-of-largest-global-dialysis-clinical-dataset/</t>
  </si>
  <si>
    <t>https://freseniusmedicalcare.com/en-us/insights/articles/using-artificial-intelligence-to-predict-patient-outcomes-qa-with-len-usvyat/</t>
  </si>
  <si>
    <t>https://freseniusmedicalcare.com/en/media/multimedia/publications/amr/amr-24-artificial-intelligence/</t>
  </si>
  <si>
    <t>107_18_FME_CoC_200226.pdf</t>
  </si>
  <si>
    <t>108_18_Compliance Overview_200226.pdf</t>
  </si>
  <si>
    <t>109_18_Business_Partner_Brochure_200226.pdf</t>
  </si>
  <si>
    <t>110_18_The Challenges and Benefits of Generative AI in Kidney Care_200226.pdf</t>
  </si>
  <si>
    <t>111_18_Using Artificial Intelligence to Predict Patient Outcomes_ Q&amp;A with Len Usvyat_200226.pdf</t>
  </si>
  <si>
    <t>26.10.2023</t>
  </si>
  <si>
    <t>112_18_Fresenius Medical Care Achieves Key AI Milestone_200226.pdf</t>
  </si>
  <si>
    <t>Es konnte keine separate Responsible‑AI‑Richtlinie gefunden werden. Die einzige explizite AI‑Governance‑Quelle ist die Corporate Digital Responsibility Policy</t>
  </si>
  <si>
    <t>Corporate Digital Responsibility Policy</t>
  </si>
  <si>
    <t>Information Security Policy</t>
  </si>
  <si>
    <t>Information Classification and Handling Policy (Confidentiality)</t>
  </si>
  <si>
    <t>Human Rights Policy / Human Rights Incident Management Policy</t>
  </si>
  <si>
    <t>GEA Code of Conduct for Suppliers and Subcontractors</t>
  </si>
  <si>
    <t>V 4.1</t>
  </si>
  <si>
    <t>Press release: GEA launches AI solution for more efficient engineer‑to‑order processes</t>
  </si>
  <si>
    <t>13.3.2025</t>
  </si>
  <si>
    <t>GEA accelerates digital transformation – new Software Excellence Initiative advances open‑source software development</t>
  </si>
  <si>
    <t>4.6.2025</t>
  </si>
  <si>
    <t>No public AI/Responsible AI guideline or principles found (as of 2026‑02‑20)</t>
  </si>
  <si>
    <t>https://cdn.gea.com/-/media/company/about-us/gea-digital/corporate-digital-responsibility-policy/gea-corporate-digital-responsibility-policy-en.pdf</t>
  </si>
  <si>
    <t>https://cdn.gea.com/-/media/company/about-us/information-security/information_security_policy.pdf</t>
  </si>
  <si>
    <t>https://cdn.gea.com/-/media/company/about-us/information-security/information_cassification_and_handling_policy_confidentiality.pdf</t>
  </si>
  <si>
    <t>https://cdn.gea.com/-/media/sustainability/human-rights-policy-en.pdf</t>
  </si>
  <si>
    <t>https://cdn.gea.com/-/media/suppliers/code-of-conduct/gea-code-of-conduct-for-suppliers-and-subcontractors-en.pdf</t>
  </si>
  <si>
    <t>https://www.gea.com/en/news/trade-press/2025/ai-solution-for-engineer-to-order-processes/</t>
  </si>
  <si>
    <t>https://www.gea.com/en/news/corporate/2025/gea-steps-up-digital-transformation/</t>
  </si>
  <si>
    <t>113_19_corporate-digital-responsibility-policy_200226.pdf</t>
  </si>
  <si>
    <t>20.03.2025</t>
  </si>
  <si>
    <t>114_19_information_security_policy_200226.pdf</t>
  </si>
  <si>
    <t>1.6.2024</t>
  </si>
  <si>
    <t>115_19_information_cassification_and_handling_policy_200226.pdf</t>
  </si>
  <si>
    <t>6.6.2025</t>
  </si>
  <si>
    <t>116_19_human-rights-policy_200226.pdf</t>
  </si>
  <si>
    <t>117_19_code-of-conduct-for-suppliers-and-subcontractors_200226.pdf</t>
  </si>
  <si>
    <t>118_19_GEA Introduces AI Solution_200226.pdf</t>
  </si>
  <si>
    <t>119_19_GEA accelerates digital transformation_200226.pdf</t>
  </si>
  <si>
    <t>Hannover Rück SE</t>
  </si>
  <si>
    <t>Kein eigenständiger Responsible‑AI‑Policy oder explizite AI‑Ethics‑Guideline auf Konzern‑Ebene gefunden.</t>
  </si>
  <si>
    <t>Diese Erklärung erwähnt ausdrücklich den Einsatz von KI zur Analyse unstrukturierter Daten und verpflichtet sich zu Transparenz, Sicherheit und verantwortungsvoller Nutzung. Sie enthält auch Hinweise zur teilautomatisierten Entscheidungsfindung und zum Schutz der Rechte der Betroffenen. Obwohl es keine umfassende AI‑Governance darstellt, ist es die einzige Quelle mit explizitem Bezug zu KI und sollte daher vorrangig kodiert werden.</t>
  </si>
  <si>
    <t>Code of Conduct: “Connected – outside, inside, and all‑around”</t>
  </si>
  <si>
    <t>Third‑Party Code of Conduct</t>
  </si>
  <si>
    <t>General Data Privacy Statement (GDPR)</t>
  </si>
  <si>
    <t>Solvency and Financial Condition Report 2023</t>
  </si>
  <si>
    <t>Sustainability Report 2023</t>
  </si>
  <si>
    <t>Human Rights and Supply Chain Policy Statement</t>
  </si>
  <si>
    <t>Artificial intelligence – a disruptive technology for the (re)insurance industry</t>
  </si>
  <si>
    <t>Data‑driven insurance – From data delusion to data solution (part 2)</t>
  </si>
  <si>
    <t>https://assets.hannover-re.com/asset/533267266226/document_phjain3i4t7t9aupp8710b861n/HNR_Code-of-Conduct_EN.pdf</t>
  </si>
  <si>
    <t>https://assets.hannover-re.com/asset/533267266226/document_1lgsfft8g55lhdv2sktd20td6o/third_party_code_of_conduct.pdf</t>
  </si>
  <si>
    <t>https://www.hannover-re.com/en/data-privacy/general-data-privacy-statement-pursuant-to-art-13-and-14-eu-general-data-protection-regulation-gdpr/</t>
  </si>
  <si>
    <t>https://d1qnw94usouwub.cloudfront.net/asset/533267266226/document_488r6iln1p44f2tqfh4ht1ri0i</t>
  </si>
  <si>
    <t>https://www.unepfi.org/wordpress/wp-content/uploads/2024/07/Sustainability-Report_2023_Hannover-Re.pdf</t>
  </si>
  <si>
    <t>https://d1qnw94usouwub.cloudfront.net/asset/533267266226/document_okp5h41pip36b6ovv17iadd013</t>
  </si>
  <si>
    <t>https://www.hannover-re.com/en/property-and-casualty/emerging-risks-insights/artificial-intelligence/</t>
  </si>
  <si>
    <t>https://assets.hannover-re.com/asset/533267266226/document_q1mkc0gt951rd2dfusioe7177a/2020_05_LH_ReCent_Medical_Data-Driven-Insurance_Part2_en.pdf</t>
  </si>
  <si>
    <t>120_20_Code-of-Conduct_200226.pdf</t>
  </si>
  <si>
    <t>121_20_third_party_code_of_conduct_200226.pdf</t>
  </si>
  <si>
    <t>122_20_General Data Privacy Statement_200226.pdf</t>
  </si>
  <si>
    <t>123_20_SFCR_HRG_200226.pdf</t>
  </si>
  <si>
    <t>124_20_Sustainability-Report_200226.pdf</t>
  </si>
  <si>
    <t>125_20_Human Rights Policy Statement_200226.pdf</t>
  </si>
  <si>
    <t>126_20_Artificial Intelligence in the Insurance Industry_200226.pdf</t>
  </si>
  <si>
    <t>127_20_Medical_Data-Driven-Insurance_200226.pdf</t>
  </si>
  <si>
    <t>21.02.2026</t>
  </si>
  <si>
    <t xml:space="preserve">Es wurde keine öffentlich zugängliche KI‑Ethik‑Leitlinie oder Responsible‑AI‑Policy gefunden. </t>
  </si>
  <si>
    <t>Heidelberg Materials AG</t>
  </si>
  <si>
    <t>No public AI/Responsible AI guideline, policy or principles found (as of 2026‑02‑21)</t>
  </si>
  <si>
    <t>Code of Business Conduct</t>
  </si>
  <si>
    <t>Policy Statement on Human Rights</t>
  </si>
  <si>
    <t>Frontrunner in digital and AI – Unlocking commercial value (CMD 2025 presentation)</t>
  </si>
  <si>
    <t>28.05.2025</t>
  </si>
  <si>
    <t>„Making a Material Difference“: Heidelberg Materials beschleunigt profitables Wachstum mit Strategie 2030</t>
  </si>
  <si>
    <t>131_21_Strategie 2030_210226.pdf</t>
  </si>
  <si>
    <t>https://www.heidelbergmaterials.com/de/pi-2025-05-28</t>
  </si>
  <si>
    <t>https://www.heidelbergmaterials.com/sites/default/files/2025-03/Code-of-Conduct_2023_en.pdf</t>
  </si>
  <si>
    <t>https://www.heidelbergmaterials.com/sites/default/files/2024-03/Policy_Statement_on_Human_Rights.pdf</t>
  </si>
  <si>
    <t>https://www.heidelbergmaterials.com/system/files/2025-05/Frontrunner_in_digital_and_AI.pdf</t>
  </si>
  <si>
    <t>128_21_Code-of-Conduct_210226.pdf</t>
  </si>
  <si>
    <t>129_21_Policy_Statement_on_Human_Rights_210226.pdf</t>
  </si>
  <si>
    <t>130_21_Frontrunner_in_digital_and_AI_210226.pdf</t>
  </si>
  <si>
    <t>Henkel AG &amp; Co. KGaA</t>
  </si>
  <si>
    <t>Die einzigen klaren AI‑Ethik‑Hinweise befinden sich im Abschnitt „Digital Safety &amp; Ethics“ des Code of Conduct.</t>
  </si>
  <si>
    <t>Our Code of Conduct</t>
  </si>
  <si>
    <t>Henkel’s Compliance Management System (CMS)</t>
  </si>
  <si>
    <t>Social Standards</t>
  </si>
  <si>
    <t>Code of Sustainability</t>
  </si>
  <si>
    <t>Responsible Sourcing Policy</t>
  </si>
  <si>
    <t>German Act on Corporate Due Diligence in Supply Chains – Policy Statement</t>
  </si>
  <si>
    <t>Safety, Health &amp; Environment (SHE) Standards – Revision 2.02</t>
  </si>
  <si>
    <t>Responsible Consumer Communication (position page)</t>
  </si>
  <si>
    <t>Whistleblower Process and Compliance Hotline (North America)</t>
  </si>
  <si>
    <t>Press Release – “Henkel Expands Partnership with Adobe to Deliver Personalization at Scale Through Generative AI”</t>
  </si>
  <si>
    <t>https://www.henkel.com/resource/blob/1649598/4376272ddbd1ba8336737ed9285707ab/data/code-of-conduct-english.pdf</t>
  </si>
  <si>
    <t>https://www.henkel.com/resource/blob/28792/2633cc61ff779043951bb9ab2161df9e/data/compliance-management-system-at-henkel-august-2022.pdf</t>
  </si>
  <si>
    <t>https://www.henkel.com/resource/blob/20078/a298ee9d1092205060a263454a7d4a17/data/henkel-social-standards-aug-2023.pdf</t>
  </si>
  <si>
    <t>https://www.henkel.com/resource/blob/20068/f89f59e5873f3bacf9ed34610520f4d5/data/code-of-sustainability-2025-1.pdf</t>
  </si>
  <si>
    <t>https://www.henkel.com/resource/blob/638576/58f5962df41e31e43b5904c39e319d3f/data/responsible-sourcing-policy.pdf</t>
  </si>
  <si>
    <t>https://www.henkel.com/resource/blob/1790206/170c78a53852adadd67c81bd7fbd0eac/data/20240301-policy-statement-english.pdf</t>
  </si>
  <si>
    <t>https://www.henkel.com/resource/blob/20072/4d5b42c28c49d868a4860043decc0c9b/data/she-standards.pdf</t>
  </si>
  <si>
    <t>https://www.henkel.com/sustainability/positions/consumer-communications</t>
  </si>
  <si>
    <t>https://www.henkel-northamerica.com/company/governance-and-compliance/compliance-hotline</t>
  </si>
  <si>
    <t>https://www.henkel.com/press-and-media/press-releases-and-kits/2024-03-25-henkel-expands-partnership-with-adobe-to-deliver-personalization-at-scale-through-generative-ai-1941482</t>
  </si>
  <si>
    <t>132_22_code-of-conduct_210226.pdf</t>
  </si>
  <si>
    <t>133_22_compliance-management-system_210226.pdf</t>
  </si>
  <si>
    <t>134_22_henkel-social-standards_210226.pdf</t>
  </si>
  <si>
    <t>V0.1</t>
  </si>
  <si>
    <t>Deleted Columns "Version" &amp; "Publishing Date"</t>
  </si>
  <si>
    <t>Often times hard to acquire -&gt; slows down research progress without adding substandtial information</t>
  </si>
  <si>
    <t>135_22_code-of-sustainability_210226.pdf</t>
  </si>
  <si>
    <t>136_22_responsible-sourcing-policy_210226.pdf</t>
  </si>
  <si>
    <t>137_22_policy-statement_210226.pdf</t>
  </si>
  <si>
    <t>138_22_she-standards_210226.pdf</t>
  </si>
  <si>
    <t>139_22_Responsible Consumer Communication_210226.pdf</t>
  </si>
  <si>
    <t>140_22_Whistleblower Process and Compliance_210226.pdf</t>
  </si>
  <si>
    <t>141_22_Partnership with Adobe_210226.pdf</t>
  </si>
  <si>
    <t>Responsible Artificial Intelligence (AI) at Infineon – Manifest</t>
  </si>
  <si>
    <t>Infineon Technologies AG</t>
  </si>
  <si>
    <t>Corporate Social Responsibility (CSR) Policy</t>
  </si>
  <si>
    <t>Data Protection Management System (DPMS)</t>
  </si>
  <si>
    <t>Business Conduct Guidelines (BCG) – Code of Ethics 2024</t>
  </si>
  <si>
    <t>Supplier Code of Conduct</t>
  </si>
  <si>
    <t>Company Rules and Regulations</t>
  </si>
  <si>
    <t>https://www.infineon.com/row/public/documents/corporate/our-stories/infineon-responsible-artificial-intelligence-manifest-en.pdf</t>
  </si>
  <si>
    <t>https://www.infineon.com/assets/row/public/documents/corporate/company/sustainability/infineon-csr-policy-brochure-v01-00-en.pdf</t>
  </si>
  <si>
    <t>https://www.infineon.com/about/company/sustainability/dpms</t>
  </si>
  <si>
    <t>https://www.infineon.com/assets/row/public/documents/corporate/company/sustainability/business-conduct-guidelines-2024.pdf</t>
  </si>
  <si>
    <t>https://www.infineon.com/content/dam/infineon/row/public/documents/corporate/investors/corporate-governance/2023/2023-supplier-code-of-conduct-v01-00-en.pdf</t>
  </si>
  <si>
    <t>https://www.infineon.com/assets/row/public/documents/hr/contract-assets/company-rules-and-regulations-mem-en.pdf</t>
  </si>
  <si>
    <t>Zählt aufgrund des Umfangs auch als AI Policy / AI Principles</t>
  </si>
  <si>
    <t>142_23_responsible-artificial-intelligence-manifest_210226.pdf</t>
  </si>
  <si>
    <t>143_23_infineon-csr-policy-brochure_210226.pdf</t>
  </si>
  <si>
    <t>Redundant zum AI Manifest</t>
  </si>
  <si>
    <t>144_23_Privacy_210226.pdf</t>
  </si>
  <si>
    <t>145_23_business-conduct-guidelines_210226.pdf</t>
  </si>
  <si>
    <t>146_23_supplier-code-of-conduct_210226.pdf</t>
  </si>
  <si>
    <t>147_23_company-rules-and-regulation_210226.pdf</t>
  </si>
  <si>
    <t xml:space="preserve">KI Manifest als umfangreiches Dokument gefunden. Leider keine weitergehenden Governance-Dokumente gefunden. </t>
  </si>
  <si>
    <t>Mercedes‑Benz Group</t>
  </si>
  <si>
    <t>Mercedes‑Benz Principles for Artificial Intelligence</t>
  </si>
  <si>
    <t>Our Integrity Code – Making the Right Decisions</t>
  </si>
  <si>
    <t>Data Compliance Management – Our Data Vision and Data Compliance System</t>
  </si>
  <si>
    <t>Data Protection Policy EU (Binding Corporate Rules)</t>
  </si>
  <si>
    <t>Principles of Social Responsibility and Human Rights</t>
  </si>
  <si>
    <t>https://group.mercedes-benz.com/sustainability/digital-trust/ai/ai-guidelines.html</t>
  </si>
  <si>
    <t>https://group.mercedes-benz.com/documents/company/compliance/mercedes-benz-group-ag-integrity-code.pdf</t>
  </si>
  <si>
    <t>https://group.mercedes-benz.com/sustainability/digital-trust/data/data-compliance-management.html</t>
  </si>
  <si>
    <t>https://group.mercedes-benz.com/documents/company/other/mercedes-benz-dataprotectionpolicy-en.pdf</t>
  </si>
  <si>
    <t>https://group.mercedes-benz.com/dokumente/nachhaltigkeit/gesellschaft/mercedes-benz-principles-of-social-responsibility-and-human-rights-en.pdf</t>
  </si>
  <si>
    <t>148_24_Principles for Artificial Intelligence_210226.pdf</t>
  </si>
  <si>
    <t>149_24_integrity-code_210226.pdf</t>
  </si>
  <si>
    <t>150_24_Data Responsibility_210226.pdf</t>
  </si>
  <si>
    <t>Redundant zu AI Principles.</t>
  </si>
  <si>
    <t>Zählt aufgrund des Umfangs auch als AI Ethics / AI Policy.</t>
  </si>
  <si>
    <t>151_24_dataprotectionpolicy_210226.pdf</t>
  </si>
  <si>
    <t>152_24_principles-of-social-responsibility-and-human-rights_210226.pdf</t>
  </si>
  <si>
    <t>Es gibt keine separat veröffentlichten KI‑Leitlinien über die CoDE hinaus</t>
  </si>
  <si>
    <t>Digital Ethics – Merck</t>
  </si>
  <si>
    <t>Code of Digital Ethics (CoDE)</t>
  </si>
  <si>
    <t>CoDE One‑Pager</t>
  </si>
  <si>
    <t>Sustainability Report 2023 – Digital ethics</t>
  </si>
  <si>
    <t>Merck Code of Conduct</t>
  </si>
  <si>
    <t>Humanizing artificial intelligence – Blog</t>
  </si>
  <si>
    <t>https://www.merckgroup.com/en/sustainability/business-ethics/digital-ethics.html</t>
  </si>
  <si>
    <t>https://www.emdgroup.com/content/dam/web/corporate/non-images/digital-ethics/downloads/us/CoDE-of-Digital-Ethics-NA.pdf</t>
  </si>
  <si>
    <t>https://www.merckgroup.com/company/responsibility/us/products-businesses/onepager_code_US.pdf</t>
  </si>
  <si>
    <t>https://www.reports.emdgroup.com/en/sustainability-report/2023/business-ethics/digital-ethics.html</t>
  </si>
  <si>
    <t>https://www.merckgroup.com/company/responsibility/en/regulations-and-guidelines/code-of-conduct.pdf</t>
  </si>
  <si>
    <t>https://www.merckgroup.com/en/the-future-transformation/humanize-ai.html</t>
  </si>
  <si>
    <t>Merck KGaA</t>
  </si>
  <si>
    <t>Zählt aufgrund des Umfangs auch als AI Policy.</t>
  </si>
  <si>
    <t>153_25_Digital Ethics_210226.pdf</t>
  </si>
  <si>
    <t>Zählt aufgrund des Umfangs auch als AI Principles.</t>
  </si>
  <si>
    <t>154_25_CoDE-of-Digital-Ethics_210226.pdf</t>
  </si>
  <si>
    <t>Redundant zum CoDE</t>
  </si>
  <si>
    <t>155_25_onepager_code_210226.pdf</t>
  </si>
  <si>
    <t>156_25_Sustainability Report_210226.pdf</t>
  </si>
  <si>
    <t>157_25_code-of-conduct_210226.pdf</t>
  </si>
  <si>
    <t>158_25_Humanizing artificial intelligence_210226.pdf</t>
  </si>
  <si>
    <t xml:space="preserve">Keine expliziten AI‑/Responsible‑AI‑Leitlinien oder Digital‑Ethik‑Policies gefunden. </t>
  </si>
  <si>
    <t>Code of Conduct of MTU Aero Engines</t>
  </si>
  <si>
    <t>Policy Statement on the Protection of Human Rights at MTU Aero Engines</t>
  </si>
  <si>
    <t>Code of Conduct for MTU Suppliers</t>
  </si>
  <si>
    <t>MTU Aero Engines AG</t>
  </si>
  <si>
    <t>https://www.cf.mtu.bgm%E2%80%91hosting.de/fileadmin/EN/10_Responsibility/Reports_Documentation/MTU_Verhaltensgrundsaetze_en_2604_150.pdf</t>
  </si>
  <si>
    <t>https://www.cf.mtu.bgm%E2%80%91hosting.de/fileadmin/EN/10_Responsibility/Reports_Documentation/Grundsatzerklaerung_Menschenrechte_V2_final_EN.pdf</t>
  </si>
  <si>
    <t>https://www.cf.mtu.bgm%E2%80%91hosting.de/fileadmin/EN/10_Responsibility/Reports_Documentation/06_Code_of_Conduct_Lieferanten_EN.pdf</t>
  </si>
  <si>
    <t>159_26_Verhaltensgrundsaetze_210226.pdf</t>
  </si>
  <si>
    <t>160_26_Grundsatzerklaerung_Menschenrechte_210226.pdf</t>
  </si>
  <si>
    <t>161_26_Code_of_Conduct_Lieferanten_210226.pdf</t>
  </si>
  <si>
    <t>Münchener Rückversicherungs‑Gesellschaft</t>
  </si>
  <si>
    <t>Außer den in den Jahres- und Nachhaltigkeitsberichten integrierten Aussagen zu verantwortungsvoller KI wurden keine dedizierten Responsible AI Policies, AI Principles oder digitalen Ethikrichtlinien auf Konzernebene gefunden</t>
  </si>
  <si>
    <t>Combined Non‑Financial Statement 2019 (part of Annual Report)</t>
  </si>
  <si>
    <t>Group Annual Report 2023 – Combined Non‑Financial Statement</t>
  </si>
  <si>
    <t>Code of Conduct (Munich Re Group)</t>
  </si>
  <si>
    <t>AI Act Insight Article – “New EU Act regulates AI in insurance”</t>
  </si>
  <si>
    <t>Letter of Intent with Munich Re – Institute for Ethics in Artificial Intelligence</t>
  </si>
  <si>
    <t>Group Annual Report 2022 – Combined Non‑Financial Statement</t>
  </si>
  <si>
    <t>Similar to the 2023 report but with slightly less regulatory context, this document details Munich Re’s responsible AI framework, emphasises staff training, privacy impact assessments and fairness/anti‑discrimination checks, and highlights the goal of making algorithms transparent</t>
  </si>
  <si>
    <t>https://www.munichre.com/content/dam/munichre/mrwebsiteslaunches/2019-annual-report/MunichRe-Combined-non-financial-statement-en.pdf</t>
  </si>
  <si>
    <t>https://www.munichre.com/content/dam/munichre/mrwebsiteslaunches/2022-annual-report/MunichRe-Group-Annual-Report-2022-en.pdf</t>
  </si>
  <si>
    <t>https://www.munichre.com/content/dam/munichre/mrwebsiteslaunches/2023-annual-report/MunichRe-Group-Annual-Report-2023-en.pdf</t>
  </si>
  <si>
    <t>https://www.munichre.com/content/dam/munichre/contentlounge/website-pieces/documents/MunichRe-Code-of-Conduct-en.pdf</t>
  </si>
  <si>
    <t>https://www.munichre.com/automation-solutions/en/resources/insights/ai/new-eu-act-regulates-ai-in-insurance.html</t>
  </si>
  <si>
    <t>https://www.ieai.sot.tum.de/letter-of-intent-with-munich-re/</t>
  </si>
  <si>
    <t>166_27_Letter of Intent_210226.pdf</t>
  </si>
  <si>
    <t>165_27_New EU Act Regulates AI in Insurance_210226.pdf</t>
  </si>
  <si>
    <t>164_27_Code-of-Conduct_210226.pdf</t>
  </si>
  <si>
    <t>162_27_Combined-non-financial-statement_210226.pdf</t>
  </si>
  <si>
    <t>167_27_Annual-Report-2022_210226.pdf</t>
  </si>
  <si>
    <t>163_27_Annual-Report-2023_210226.pdf</t>
  </si>
  <si>
    <t>Digitalization, data protection and corporate digital responsibility</t>
  </si>
  <si>
    <t>Human Rights in the Porsche Group – Policy Statement</t>
  </si>
  <si>
    <t>https://www.porsche-se.com/fileadmin/downloads/investor_relations/annual-report/PorscheSE_GB_2023_EN.pdf</t>
  </si>
  <si>
    <t>https://newsroom.porsche.com/en/sustainability/governance-transparency/porsche-digitalization-data-protection-and-corporate-digital-responsibility.html</t>
  </si>
  <si>
    <t>https://www.porsche-holding.com/PorscheHolding/files/en/Code_of_Conduct.pdf</t>
  </si>
  <si>
    <t>https://newsroom.porsche.com/en/sustainability/human-rights-in-the-porsche-group.html</t>
  </si>
  <si>
    <t>Annual Report 2024 – Consolidated and separate financial statements (English)</t>
  </si>
  <si>
    <t>168_28_Geschaeftsbericht_210226.pdf</t>
  </si>
  <si>
    <t>169_28_Digitalization, data protection and corporate digital responsibility_210226.pdf</t>
  </si>
  <si>
    <t>Verweist darauf, dass es eine Corporate Digital Responsibility gibt. Diese ist durch öffentliche Suche jedoch nicht findbar / zugänglich.</t>
  </si>
  <si>
    <t>170_28_Compliance and Integrity_210226.pdf</t>
  </si>
  <si>
    <t>171_28_Porsche_Policy-Statement_210226.pdf</t>
  </si>
  <si>
    <t>Porsche Automobil Holding SE</t>
  </si>
  <si>
    <t>Code of Conduct of the Rheinmetall Group</t>
  </si>
  <si>
    <t>Code of Conduct for Sales &amp; Cooperation Partners (Business Partner Code of Conduct)</t>
  </si>
  <si>
    <t>Declaration of Principle on Human Rights and Environmental Due Diligence (LkSG)</t>
  </si>
  <si>
    <t>Digitization – Overview</t>
  </si>
  <si>
    <t>Rheinmetall AG</t>
  </si>
  <si>
    <t>https://www.rheinmetall.com/Rheinmetall%20Group/Unternehmen/Corporate_Governance/PDFs/Rheinmetall-AG-Code-of-Conduct-en-2022.pdf</t>
  </si>
  <si>
    <t>https://www.rheinmetall.com/Rheinmetall%20Group/Unternehmen/Einkauf/Download/Supplier-Code-Of-Conduct/EN/Rheinmetall_Supplier-Code-of-Conduct-en.pdf</t>
  </si>
  <si>
    <t>https://www.rheinmetall.com/Rheinmetall%20Group/Unternehmen/Compliance/rheinmetall-business-partner-code-of-conduct-GPRL-V2-annex-2d.pdf</t>
  </si>
  <si>
    <t>https://www.rheinmetall.com/Rheinmetall%20Group/Verantwortung/Grundsatzerkl%C3%A4rung/Rheinmetall-Declaration-of-principle-LkSG-2025.pdf</t>
  </si>
  <si>
    <t>https://www.rheinmetall.com/en/products/digitization/overview</t>
  </si>
  <si>
    <t>QIA Agent – Terms of Use</t>
  </si>
  <si>
    <t>QIAGEN Digital Insights – Product Terms &amp; Conditions (Biomedical KB‑AI)</t>
  </si>
  <si>
    <t>Corporate Code of Conduct and Ethics</t>
  </si>
  <si>
    <t>Business with Integrity – Cyber Security Initiatives</t>
  </si>
  <si>
    <t>2024 IFRS Annual Report – Risks Related to Artificial Intelligence Adoption and Compliance</t>
  </si>
  <si>
    <t>2023 Sustainability Report – Data and Cyber Security</t>
  </si>
  <si>
    <t>Human Rights Policy Statement</t>
  </si>
  <si>
    <t>QIAGEN N.V.</t>
  </si>
  <si>
    <t>https://www.qiagen.com/-/media/Project/Qiagen/Qiagen-Home/Documents/QIA-Agent-Terms-of-Use.pdf</t>
  </si>
  <si>
    <t>https://www.qiagen.com/us/resources/download.aspx?id=2f490060-5df3-4a03-be4e-dbcf2f76a8c2&amp;lang=en</t>
  </si>
  <si>
    <t>https://www.qiagen.com/us/sustainability/business-with-integrity</t>
  </si>
  <si>
    <t>172_29_QIA Agent Terms of Use_210226.pdf</t>
  </si>
  <si>
    <t>173_29_Digital Insights BKB-AI Product_210226.pdf</t>
  </si>
  <si>
    <t>https://s28.q4cdn.com/125951340/files/doc_downloads/2021/05/2021-QIAGEN-Corporate-Code-of-Conduct-and-Ethics.pdf</t>
  </si>
  <si>
    <t>174_29_Corporate-Code-of-Conduct-and-Ethics_210226.pdf</t>
  </si>
  <si>
    <t>175_29_Business with integrity_210226.pdf</t>
  </si>
  <si>
    <t>https://s28.q4cdn.com/125951340/files/doc_financials/2024/ar/2024-IFRS-Annual-Report.pdf</t>
  </si>
  <si>
    <t>176_29_IFRS-Annual-Report_210226.pdf</t>
  </si>
  <si>
    <t>Listet KI nur als Risikofaktoren.</t>
  </si>
  <si>
    <t>https://s28.q4cdn.com/125951340/files/doc_financials/2024/sr/QIAGEN-2023-Sustainability-Report_120624.pdf</t>
  </si>
  <si>
    <t>177_29_Sustainability-Report_220226.pdf</t>
  </si>
  <si>
    <t>https://www.qiagen.com/us/about-us/compliance/human-rights</t>
  </si>
  <si>
    <t>178_29_Human Rights_210226.pdf</t>
  </si>
  <si>
    <t>179_30_Code-of-Conduct_210226.pdf</t>
  </si>
  <si>
    <t>180_30_Supplier-Code-of-Conduct_210226.pdf</t>
  </si>
  <si>
    <t>181_30_business-partner-code-of-conduct_210226.pdf</t>
  </si>
  <si>
    <t>182_30_Declaration-of-principle_210226.pdf</t>
  </si>
  <si>
    <t>183_30_Overview_210226.pdf</t>
  </si>
  <si>
    <t>RWE AG</t>
  </si>
  <si>
    <t xml:space="preserve">SAP SE </t>
  </si>
  <si>
    <t>Global AI Ethics Policy</t>
  </si>
  <si>
    <t>Global Code of Ethics &amp; Business Conduct for Employees</t>
  </si>
  <si>
    <t>Global Human Rights Commitment Statement</t>
  </si>
  <si>
    <t>Partner Code of Conduct</t>
  </si>
  <si>
    <t>Global AI Ethics Guiding Principles &amp; Governance Bodies</t>
  </si>
  <si>
    <t>Policies, Ethics &amp; Compliance – Speak Out &amp; Codes</t>
  </si>
  <si>
    <t>AI Ethics Handbook V2024</t>
  </si>
  <si>
    <t>https://www.sap.com/documents/2022/01/a8431b91-117e-0010-bca6-c68f7e60039b.html</t>
  </si>
  <si>
    <t>https://news.sap.com/sea/files/2024/01/11/SAP-AI-Ethics-Handbook.pdf</t>
  </si>
  <si>
    <t>https://www.sap.com/documents/2021/12/eed75d58-507e-0010-bca6-c68f7e60039b.html</t>
  </si>
  <si>
    <t>https://www.sap.com/documents/2016/01/a8c6d366-577c-0010-82c7-eda71af511fa.html</t>
  </si>
  <si>
    <t>https://www.sap.com/docs/download/agreements/supplier-portal/sap-supplier-code-of-conduct/sap-supplier-code-of-conduct-englishglobal.pdf</t>
  </si>
  <si>
    <t>https://www.sap.com/documents/2023/07/02b2d2b7-7e7e-0010-bca6-c68f7e60039b.html</t>
  </si>
  <si>
    <t>https://d.dam.sap.com/m/zKaSxze/59552_GB_59552_enUS.pdf</t>
  </si>
  <si>
    <t>https://www.sap.com/products/sustainability/our-approach/reporting-and-policies.html</t>
  </si>
  <si>
    <t>Redundant zur AI Ethics Policy</t>
  </si>
  <si>
    <t>Eine „AI Guidelines“‑Seite als die zentrale Quelle für normative KI‑Prinzipien identifiziert.</t>
  </si>
  <si>
    <t>AI Guidelines and Innovation at RWE (Shaping Tomorrow’s Energy: The Power of Responsible AI)</t>
  </si>
  <si>
    <t>RWE Code of Conduct</t>
  </si>
  <si>
    <t>RWE AI Research Laboratory</t>
  </si>
  <si>
    <t>Annual Report 2024 (Combined management report and sustainability statement)</t>
  </si>
  <si>
    <t>https://www.rwe.com/en/research-and-development/digitalisation-at-rwe/digital-guidelines/</t>
  </si>
  <si>
    <t>https://www.rwe.com/-/media/RWE/documents/09-verantwortung-nachhaltigkeit/rwe-code-of-conduct.pdf</t>
  </si>
  <si>
    <t>https://www.rwe.com/en/research-and-development/digitalisation-at-rwe/rwe-ai-research-laboratory/</t>
  </si>
  <si>
    <t>https://www.rwe.com/-/media/RWE/documents/05-investor-relations/finanzkalendar-und-veroeffentlichungen/2024-gj/2025-03-20-rwe-annual-report-2024.pdf</t>
  </si>
  <si>
    <t>184_31_AI Guidelines and Innovation_210226.pdf</t>
  </si>
  <si>
    <t>185_31_code-of-conduct_210226.pdf</t>
  </si>
  <si>
    <t>186_31_AI Research Laboratory_210226.pdf</t>
  </si>
  <si>
    <t>187_31_annual-report_210226.pdf</t>
  </si>
  <si>
    <t>188_32_Global AI Ethics Policy_210226.pdf</t>
  </si>
  <si>
    <t>189_32_SAP-AI-Ethics-Handbook_210226.pdf</t>
  </si>
  <si>
    <t>190_32_Global Code of Ethics and Business Conduct for Employees_210226.pdf</t>
  </si>
  <si>
    <t>191_32_Global Human Rights Commitment_210226.pdf</t>
  </si>
  <si>
    <t>192_32_supplier-code-of-conduct_210226.pdf</t>
  </si>
  <si>
    <t>193_32_Partner Code of Conduct_210226.pdf</t>
  </si>
  <si>
    <t>194_32_Branded Governance Deck_210226.pdf</t>
  </si>
  <si>
    <t>195_32_Policies, Ethics, &amp; Compliance _ Sustainability_210226.pdf</t>
  </si>
  <si>
    <t>22.02.2026</t>
  </si>
  <si>
    <t>Trotz intensiver Suche wurde keine öffentlich verfügbare AI‑Ethics‑Policy oder Responsible‑AI‑Richtlinie für Scout24 entdeckt</t>
  </si>
  <si>
    <t>Scout24 Code of Conduct</t>
  </si>
  <si>
    <t>https://www.scout24.com/media/scout24/Investor_Relations/Corporate_Governance/Verhaltenskodex/Scout24_Code_of_Conduct_EN.pdf</t>
  </si>
  <si>
    <t>Data Protection Code of Conduct</t>
  </si>
  <si>
    <t>https://www.scout24.com/media/scout24/Investor_Relations/Corporate_Governance/Verhaltenskodex/Scout24_Code_of_Conduct_Data_Protection_EN.pdf</t>
  </si>
  <si>
    <t>Policy statement on respect for human rights</t>
  </si>
  <si>
    <t>https://www.scout24.com/media/scout24/Investor_Relations/Corporate_Governance/Grundsatzerklaerung_Menschenrechte/Scout24_SE_Policy_Statement_on_respect_of_human_rights_EN_2025.pdf</t>
  </si>
  <si>
    <t>Corporate governance statement 2024</t>
  </si>
  <si>
    <t>https://www.scout24.com/media/scout24/Investor_Relations/Corporate_Governance/UEbersicht_Corporate_Governance/Scout24_Corporate_Governance_Statement_2024_EN.pdf</t>
  </si>
  <si>
    <t>Annual report and annual financial report 2024</t>
  </si>
  <si>
    <t>https://www.scout24.com/media/scout24/Investor_Relations/Berichte_und_Praesentationen/2024_EN/Scout24_Annual_Report_2024_EN.pdf</t>
  </si>
  <si>
    <t>Scout24 SE</t>
  </si>
  <si>
    <t>No public AI/Responsible AI guideline, policy or principles found (as of 2026‑02‑22)</t>
  </si>
  <si>
    <t>196_33_Code_of_Conduct_220226.pdf</t>
  </si>
  <si>
    <t>197_33_Code_of_Conduct_Data_Protection_220226.pdf</t>
  </si>
  <si>
    <t>198_33_Policy_Statement_on_respect_of_human_rights_220226.pdf</t>
  </si>
  <si>
    <t>199_33_Corporate_Governance_Statement_220226.pdf</t>
  </si>
  <si>
    <t>200_33_Annual_Report_220226.pdf</t>
  </si>
  <si>
    <t>Keine eigenständigen „AI Ethics Guidelines“ außerhalb des Nachhaltigkeitsberichts gefunden.</t>
  </si>
  <si>
    <t>Siemens AG</t>
  </si>
  <si>
    <t>Siemens Sustainability Report 2024 – Responsible AI Principles &amp; Generative AI Guardrails</t>
  </si>
  <si>
    <t>Sustainability at Siemens Limited India 2025 – Generative AI Guardrails</t>
  </si>
  <si>
    <t>Business Conduct Guidelines (BCG) 2024</t>
  </si>
  <si>
    <t>Group Code of Conduct for Suppliers &amp; Third‑Party Intermediaries v4.0 (Oct 2019)</t>
  </si>
  <si>
    <t>Policy Statement on Respect for Human Rights (LkSG Policy Statement)</t>
  </si>
  <si>
    <t>Impact 2025 – Responsible AI for smarter industry</t>
  </si>
  <si>
    <t>„The Transformative Power of AI“ – Blogartikel mit AI‑Ethics‑Prinzipien</t>
  </si>
  <si>
    <t>https://assets.new.siemens.com/siemens/assets/api/uuid:32a7154d-edba-47bc-8e9b-9761617ba774/sustainability-report.pdf</t>
  </si>
  <si>
    <t>201_34_sustainability-report_220226.pdf</t>
  </si>
  <si>
    <t>https://assets.new.siemens.com/siemens/assets/api/uuid:fef381c9-edc9-4e48-897e-4f62a42769b0/250514-SUS-at-Siemens-Limited.pdf</t>
  </si>
  <si>
    <t xml:space="preserve">Redundant zum Siemens Sustainability Report 2024 </t>
  </si>
  <si>
    <t>202_34_SUS-at-Siemens-Limited_220226.pdf</t>
  </si>
  <si>
    <t>https://assets.new.siemens.com/siemens/assets/api/uuid:1a9f4d65-bf1d-4c67-ba45-840436b85e00/BCG-English-2024.pdf</t>
  </si>
  <si>
    <t>203_34_BCG_220226.pdf</t>
  </si>
  <si>
    <t>https://assets.new.siemens.com/siemens/assets/api/uuid:13aa5995-6456-4a11-91c1-e32c408d7ba4/code-of-conduct-v4-0-incl--supplier-declaration-english.pdf</t>
  </si>
  <si>
    <t>204_34_code-of-conduct-incl--supplier-declaration_220226.pdf</t>
  </si>
  <si>
    <t>https://assets.new.siemens.com/siemens/assets/api/uuid:f1f93085-dd53-4e72-88ce-140713c3ced5/SAG-LkSG-Policy-Statement.pdf</t>
  </si>
  <si>
    <t>205_34_SAG-LkSG-Policy-Statement_220226.pdf</t>
  </si>
  <si>
    <t>https://www.siemens.com/de-ch/campaigns/artificial-intelligence-china/</t>
  </si>
  <si>
    <t>AI Creates Real Value, Reshaping Industrial Future!</t>
  </si>
  <si>
    <t>206_34_Artificial Intelligence_220226.pdf</t>
  </si>
  <si>
    <t>A Framework for Digital Transformation</t>
  </si>
  <si>
    <t>210_34_framework-for-the-digital-transformation_220226.pdf</t>
  </si>
  <si>
    <t>https://assets.new.siemens.com/siemens/assets/api/uuid:75bbf44d-7e79-42be-84a5-285d456d95f2/di-pa-framework-for-the-digital-transformation.pdf</t>
  </si>
  <si>
    <t>No public AI policy or principles found (as of 2026‑02‑22)</t>
  </si>
  <si>
    <t>https://assets.new.siemens.com/siemens/assets/api/uuid:00095b96-4712-4cd1-b045-19d5df704358/sustainability-report-fy2023.pdf</t>
  </si>
  <si>
    <t>207_34_sustainability-report_220226.pdf</t>
  </si>
  <si>
    <t>https://press.siemens.com/global/en/pressrelease/siemens-achieves-strong-progress-sustainability-targets</t>
  </si>
  <si>
    <t>Siemens achieves strong progress on sustainability targets</t>
  </si>
  <si>
    <t>208_34_Siemens achieves strong progress on sustainability targets_220226.pdf</t>
  </si>
  <si>
    <t>https://blog.siemens.com/2025/01/the-transformative-power-of-ai-ensuring-ethical-and-beneficial-use/</t>
  </si>
  <si>
    <t>209_34_The Transformative Power of AI_220226.pdf</t>
  </si>
  <si>
    <t>Es wurde kein öffentliches Responsible‑AI‑Policy‑Dokument gefunden; AI‑Referenzen beschränkten sich auf Blog‑Stories, die Cybersecurity betonen</t>
  </si>
  <si>
    <t>Business Conduct Guidelines</t>
  </si>
  <si>
    <t>Code of Conduct for Suppliers and Third‑Party Intermediaries (Version 2.0)</t>
  </si>
  <si>
    <t>Respect for Human Rights and Environmental Protection – Policy Statement</t>
  </si>
  <si>
    <t>Group Sustainability Statement (Annual Report 2025)</t>
  </si>
  <si>
    <t>How AI is powering the future of energy – Cybersecurity built into every AI solution</t>
  </si>
  <si>
    <t>https://www.siemens-energy.com/global/en/home/stories/ai-power-generation.html</t>
  </si>
  <si>
    <t>Siemens Energy AG</t>
  </si>
  <si>
    <t>https://p3.aprimocdn.net/siemensenergy/8e648225-57ab-4566-b6f0-b03c011e91ad/Siemens-Energy-BCG-English_original-pdf_Original%20file.pdf</t>
  </si>
  <si>
    <t>210_35_BCG_220226.pdf</t>
  </si>
  <si>
    <t>https://p3.aprimocdn.net/siemensenergy/07d2a9a3-edde-492b-8942-b077008c2961/code-of-conduct-english-pdf_Original%20file.pdf</t>
  </si>
  <si>
    <t>https://p3.aprimocdn.net/siemensenergy/29fcba73-c5dd-4c28-be93-b07a00ed0a39/Human-Rights-Policy-Statement-pdf_Original%20file.pdf</t>
  </si>
  <si>
    <t>212_35_Human-Rights-Policy-Statement_220226.pdf</t>
  </si>
  <si>
    <t>211_35_code-of-conduct_220226.pdf</t>
  </si>
  <si>
    <t>https://p3.aprimocdn.net/siemensenergy/43565cdd-c8c3-4dcf-b727-b3b000809a5d/H-Group_Sustainability_Statement-pdf_Original%20file.pdf</t>
  </si>
  <si>
    <t>213_35_Sustainability_Statement_220226.pdf</t>
  </si>
  <si>
    <t>214_35_How AI is powering the future of energy_220226.pdf</t>
  </si>
  <si>
    <t>Siemens Healthineers AG</t>
  </si>
  <si>
    <t>AI Principles wurden gefunden.</t>
  </si>
  <si>
    <t>Advancing medicine with artificial intelligence</t>
  </si>
  <si>
    <t>Business Conduct Guidelines</t>
  </si>
  <si>
    <t>Your security, our priority: Cybersecurity program</t>
  </si>
  <si>
    <t>Policy statement – Act on Corporate Due Diligence Obligations in Supply Chains</t>
  </si>
  <si>
    <t>Rules of procedure for the handling of complaints</t>
  </si>
  <si>
    <t>Annual Report 2025 (with integrated Sustainability Report)</t>
  </si>
  <si>
    <t>Artificial intelligence – Advancing medicine with high‑impact AI solutions (Whitepaper)</t>
  </si>
  <si>
    <t>No public AI/Responsible AI guideline or policy found (as of 2026‑02‑22)</t>
  </si>
  <si>
    <t>https://www.siemens-healthineers.com/innovations/artificial-intelligence</t>
  </si>
  <si>
    <t>215_36_Advancing medicine with artificial intelligence_220226.pdf</t>
  </si>
  <si>
    <t>Das Whitepaper wird aufgrund besserer Lesbarkeit bevorzugt</t>
  </si>
  <si>
    <t>https://corporate.webassets.siemens-healthineers.com/0ad4a0708922d951/b0b62f5107c7/Business-Conduct-Guidelines_en.pdf</t>
  </si>
  <si>
    <t>https://marketing.webassets.siemens-healthineers.com/25ff9bc0acc21fbb/0ec5a3bb09d1/siemens-healthineers-cybersecurity-customer-facing-document.pdf</t>
  </si>
  <si>
    <t>https://corporate.webassets.siemens-healthineers.com/2093bf6d276a7775/23215821554e/siemens-healthineers_policy-statement.pdf</t>
  </si>
  <si>
    <t>https://corporate.webassets.siemens-healthineers.com/f315a7d4c7f8444e/4ca6840a4d7b/siemens-healthineers_rules-of-procedure-for-the-handling-of-complaints.pdf</t>
  </si>
  <si>
    <t>https://corporate.webassets.siemens-healthineers.com/a364b935102e7df5/d7fdacda458e/siemens-healthineers-ir-annual-report-2025.pdf</t>
  </si>
  <si>
    <t>220_36_annual-report_220226.pdf</t>
  </si>
  <si>
    <t>216_36_Business-Conduct-Guidelines_220226.pdf</t>
  </si>
  <si>
    <t>217_36_cybersecurity_220226.pdf</t>
  </si>
  <si>
    <t>218_36_policy-statement_220226.pdf</t>
  </si>
  <si>
    <t>219_36_rules-of-procedure-for-the-handling-of-complaints_220226.pdf</t>
  </si>
  <si>
    <t>https://corporate.webassets.siemens-healthineers.com/d261c6859d36ab55/be289e71ff82/15599-TE_MSC_Advancing_medicine_with_high_impact_AI_solutions_Whitepaper_eng_K3.pdf</t>
  </si>
  <si>
    <t>221_36_Advancing_medicine_with_high_impact_AI_solutions_Whitepaper_220226.pdf</t>
  </si>
  <si>
    <t>Symrise Code of Conduct</t>
  </si>
  <si>
    <t>Corporate Governance Statement and Report (2021)</t>
  </si>
  <si>
    <t>Responsible Sourcing Policy and Supplier Code of Conduct</t>
  </si>
  <si>
    <t>Non‑Financial Group Report 2024 (Sustainability Statements)</t>
  </si>
  <si>
    <t>“Pioneering AI in Fragrance and Flavor” – Our Stories article</t>
  </si>
  <si>
    <t>Symrise AG</t>
  </si>
  <si>
    <t>https://www.symrise.com/code-of-conduct/</t>
  </si>
  <si>
    <t>https://symrise.com/corporatereport/2021/downloads/SYM_corporategovernance_2021_EN.pdf</t>
  </si>
  <si>
    <t>223_37_corporategovernance_220226.pdf</t>
  </si>
  <si>
    <t>https://www.symrise.com/fileadmin/symrise/Corporate/Sustainability/Sourcing/Symrise-Responsible-Sourcing-Policy.pdf</t>
  </si>
  <si>
    <t>224_37_Responsible-Sourcing-Policy_220226.pdf</t>
  </si>
  <si>
    <t>https://symrise.com/corporatereport/2024/home/Symrise_GB24_Nichtfinanzielle_Konzernerklaerung_EN_geschuetzt.pdf</t>
  </si>
  <si>
    <t>225_37_GB24_Nichtfinanzielle_Konzernerklaerung_220226.pdf</t>
  </si>
  <si>
    <t>https://www.symrise.com/our-stories/150-shades-of-innovation/artificialintelligence/</t>
  </si>
  <si>
    <t>226_37_Artificial Intelligence_220226.pdf</t>
  </si>
  <si>
    <t>222_37_Code_of_Conducts_220226.pdf</t>
  </si>
  <si>
    <t>Volkswagen Group Ethical Principles for Artificial Intelligence</t>
  </si>
  <si>
    <t>Code of Conduct of the Volkswagen Group</t>
  </si>
  <si>
    <t>Group Sustainability Report 2023</t>
  </si>
  <si>
    <t>Volkswagen: AI and ethics – a question of hardware (interview on etami initiative)</t>
  </si>
  <si>
    <t>Volkswagen Group</t>
  </si>
  <si>
    <t>https://www.volkswagen-group.com/en/publications/more/ethical-principles-for-artificial-intelligence-2720/download?disposition=attachment</t>
  </si>
  <si>
    <t>https://www.vwfs.com/content/dam/bluelabel/valid/www-vwfs-com/verantwortung/Code_of_Conduct_Group_En.pdf</t>
  </si>
  <si>
    <t>https://blogs.sas.com/content/hiddeninsights/2021/03/23/patrick-van-der-smagt-volkswagen/</t>
  </si>
  <si>
    <t>https://www.volkswagen-group.com/en/publications/more/group-sustainability-report-2023-2674</t>
  </si>
  <si>
    <t>230_38_ AI and ethics a question of hardware_220226.pdf</t>
  </si>
  <si>
    <t>227_38_Ethics_AI_220226.pdf</t>
  </si>
  <si>
    <t>228_38_Code_of_Conduct_220226.pdf</t>
  </si>
  <si>
    <t>229_38_Sustainability_Report_220226.pdf</t>
  </si>
  <si>
    <t>Annual Report 2024 (Sustainability Statement)</t>
  </si>
  <si>
    <t>Business Partner Code of Conduc</t>
  </si>
  <si>
    <t>ESG Factbook 2024</t>
  </si>
  <si>
    <t>Declaration of Respect for Human Rights</t>
  </si>
  <si>
    <t>Website: Digitalisierung und Datensicherheit</t>
  </si>
  <si>
    <t>Vonovia SE</t>
  </si>
  <si>
    <t>https://www.vonovia.com/en/content/download/61154/6246263?version=3</t>
  </si>
  <si>
    <t>https://report.vonovia.com/2024/q4/app/uploads/Vonovia-SE_Annual-Report-2024.pdf</t>
  </si>
  <si>
    <t>https://www.vonovia.com/en/content/download/61130/7424860?version=6</t>
  </si>
  <si>
    <t>https://report.vonovia.com/2024/esg-factbook/en/</t>
  </si>
  <si>
    <t>https://www.vonovia.com/nachhaltigkeit/handlungsfelder/nachhaltige-unternehmensfuehrung/digitalisierung-und-datensicherheit</t>
  </si>
  <si>
    <t>232_39_Annual-Report_220226.pdf</t>
  </si>
  <si>
    <t>KI nur als strategischer Katalysator beschrieben. Kein Bezug zur KI Ethik</t>
  </si>
  <si>
    <t>234_39_ESG Factbook_220226.pdf</t>
  </si>
  <si>
    <t>https://www.vonovia.com/content/download/61163/4268153?version=7</t>
  </si>
  <si>
    <t>236_39_Datenschutz &amp; Digitalisierung_220226.pdf</t>
  </si>
  <si>
    <t>231_39_code_of_conduct_220226.pdf</t>
  </si>
  <si>
    <t>233_39_Supplier-CoC_220226.pdf</t>
  </si>
  <si>
    <t>235_39_grundsatzerklaerung_lksg_220226.pdf</t>
  </si>
  <si>
    <t>Zalando SE</t>
  </si>
  <si>
    <t>relevante Inhalte zu KI-/Algorithmus-Werten und Governance sind über CDR-Report, Code of Ethics, ESG- und D&amp;I-Dokumente sowie Tech-Blog-Artikel verteilt.</t>
  </si>
  <si>
    <t>Zalando Code of Ethics</t>
  </si>
  <si>
    <t>https://corporate.zalando.com/en/about-us/zalando-code-ethics</t>
  </si>
  <si>
    <t>Code of Conduct (Business Partner Code</t>
  </si>
  <si>
    <t>https://corporate.zalando.com/sites/default/files/media-download/Zalando-SE_Code-of-conduct_2021.pdf</t>
  </si>
  <si>
    <t>CDR-Kodex – Corporate Digital Responsibility Report Zalando 2023</t>
  </si>
  <si>
    <t>https://cdr-initiative.de/uploads/files/Berichte/Zalando-Report-2023.pdf</t>
  </si>
  <si>
    <t>Sustainability Progress Report 2023</t>
  </si>
  <si>
    <t>https://corporate.zalando.com/en/people-planet/sustainability/sustainability-reports/sustainability-progress-report-2023</t>
  </si>
  <si>
    <t>CSRD Digest 2024</t>
  </si>
  <si>
    <t>https://corporate.zalando.com/en/people-planet/sustainability/sustainability-reports/csrd-digest-2024</t>
  </si>
  <si>
    <t>do.BETTER – Diversity &amp; Inclusion Report 2022</t>
  </si>
  <si>
    <t>https://corporate.zalando.com/en/dobetter-diversity-inclusion-report-2022</t>
  </si>
  <si>
    <t>Attitude-Behavior Gap Report</t>
  </si>
  <si>
    <t>https://corporate.zalando.com/en/our-impact/sustainability/sustainability-reports/attitude-behavior-gap-report</t>
  </si>
  <si>
    <t>Collaborating for Responsible AI: Insights from Kasra Hosseini</t>
  </si>
  <si>
    <t>https://jobs.zalando.com/en/blog/tech-collaborating-for-responsible-ai-insights-from-kasra-hosseini</t>
  </si>
  <si>
    <t>Inspiring and empowering customers with AI-powered experiences</t>
  </si>
  <si>
    <t>https://corporate.zalando.com/en/technology/inspiring-and-empowering-customers-ai-powered-experiences</t>
  </si>
  <si>
    <t>238_40_Code-of-conduct_220226.pdf</t>
  </si>
  <si>
    <t>239_40_Zalando-Report_220226.pdf</t>
  </si>
  <si>
    <t>244_40_Collaborating for Responsible AI_220226.pdf</t>
  </si>
  <si>
    <t>245_40_Inspiring and empowering customers with AI-powered experiences_220226.pdf</t>
  </si>
  <si>
    <t>237_40_Code_of_Ethics_220226.pdf</t>
  </si>
  <si>
    <t>241_40_Sustainability_CSRD_Digest_220226.pdf</t>
  </si>
  <si>
    <t>243_40_Attitude-Behavior_Gap_Report_220226.pdf</t>
  </si>
  <si>
    <t>242_40_D&amp;I Report_220226.pdf</t>
  </si>
  <si>
    <t>240_40_Sustainability_Progress_Report_220226.pdf</t>
  </si>
  <si>
    <t>036_06_Hamburg Business_120626.pdf</t>
  </si>
  <si>
    <t xml:space="preserve">Inkludiert in Pilot? </t>
  </si>
  <si>
    <t>X</t>
  </si>
  <si>
    <t>KI-Nutzung muss Kundenautonomie respektieren, Risikobasierte menschliche Kontrolle wird zugesichert</t>
  </si>
  <si>
    <t>“Each usage of AI systems must respect customers’ autonomy and decision-making.”; “We ensure an appropriate, risk-based level of human control.”</t>
  </si>
  <si>
    <t>S. 5, 8</t>
  </si>
  <si>
    <t>Deontisch („must respect…“) + human control.</t>
  </si>
  <si>
    <t xml:space="preserve"> </t>
  </si>
  <si>
    <t xml:space="preserve">S. 3 </t>
  </si>
  <si>
    <t>AI-Systeme werden in Produktion überwacht, inkl. Feedback</t>
  </si>
  <si>
    <t>“We monitor AI systems in production… integrating user feedback.”</t>
  </si>
  <si>
    <t>Monitoring/Feedback als Accountability-Indiz.</t>
  </si>
  <si>
    <t>Kunden werden bei direkter KI-Interaktion informiert</t>
  </si>
  <si>
    <t>“We inform customers whenever they interact directly with an AI system, such as a chatbot.”</t>
  </si>
  <si>
    <t>Kunden-Disclosure bei KI-Interaktion</t>
  </si>
  <si>
    <t>Interpretierbarkeit wird risikobasiert angestrebt</t>
  </si>
  <si>
    <t>“We follow a risk-based approach to attain suitable levels of interpretability.”</t>
  </si>
  <si>
    <t>Interpretability explizit (risk-based).</t>
  </si>
  <si>
    <t>Vermeidung direkter/indirekter Diskriminierung; Bias wird in Daten und Modellen adressiert</t>
  </si>
  <si>
    <t>“We commit to avoiding… discrimination… in line with applicable non-discrimination law.”; “We mitigate potential bias both in the data itself… as well as… in each individual model.”</t>
  </si>
  <si>
    <t>S. 4, 5</t>
  </si>
  <si>
    <t>Anti-Discrimination + Bias-Mitigation.</t>
  </si>
  <si>
    <t>KI-Nutzung nur im Rahmen von Privacy Laws/Standards;Privacy Risk Assessment als Pflicht-Check bei Personal Data</t>
  </si>
  <si>
    <t>“AI systems may only be used… including the Allianz Privacy Standard.”; “perform a dedicated privacy risk assessment whenever personal data are utilised in an AI system.”</t>
  </si>
  <si>
    <t>S. 4, 6</t>
  </si>
  <si>
    <t>Privacy + konkreter Pflicht-Check (Risk Assessment).</t>
  </si>
  <si>
    <t>S. 4</t>
  </si>
  <si>
    <t>Cybersecurity &amp; Resilience über den KI-Lifecycle</t>
  </si>
  <si>
    <t>“We ensure… cybersecurity and resilience measures… throughout the life-cycle of an AI System.”</t>
  </si>
  <si>
    <t>Nicht nachweisbar.</t>
  </si>
  <si>
    <t>Monitoring zur Sicherstellung beabsichtigter Outcomes (Reliability)</t>
  </si>
  <si>
    <t>“We monitor AI systems in production… [to] match the intended outcome…”</t>
  </si>
  <si>
    <t>Reliability/Accuracy über Monitoring, ohne Test-/Robustness-Details.</t>
  </si>
  <si>
    <t>AI-Use Cases an Gesetze/Standards gebunden; Illegale KI-Systeme werden nicht entwickelt/genutzt</t>
  </si>
  <si>
    <t>“AI systems and use cases may only be used in line with applicable laws and Allianz standards.”; “We do not develop or use AI Systems, which are in violation of the law.”</t>
  </si>
  <si>
    <t xml:space="preserve">S. 1,3 </t>
  </si>
  <si>
    <t>„may only“ + Verbot illegaler KI.</t>
  </si>
  <si>
    <t>Datenqualität wird als Voraussetzung für Training/Use gefordert</t>
  </si>
  <si>
    <t>“data quality has to be ensured when training and using AI Systems… through… data governance.”</t>
  </si>
  <si>
    <t>S. 5</t>
  </si>
  <si>
    <t>Data Quality/Governance explizit für KI.</t>
  </si>
  <si>
    <t>„Prohibited AI“ wird hier nur als Gesetzesverstoß formuliert (keine expliziten ethischen Leitplanken jenseits Compliance).</t>
  </si>
  <si>
    <t>S. 5-6</t>
  </si>
  <si>
    <t>S. 6</t>
  </si>
  <si>
    <t>“Allianz has established… (DAITAB)… provides recommendations to the Board of Management…”;“The RAI Governance establishes the new role of an AI Trust Officer at both Group and local level.”; “The Group AI Office… providing… AI literacy, and oversight for AI…”</t>
  </si>
  <si>
    <t>Rollen/Gremien + Aufgaben beschrieben. Kein Implementierungsnachweis</t>
  </si>
  <si>
    <t>“Working cross-functionally, we consult relevant stakeholders… to ensure implementation of… Privacy and Ethics by Design.”; “The Allianz Standard… [and] Functional Rule… establish the… framework… [and] are currently being rolled out.”</t>
  </si>
  <si>
    <t>S. 2, 6</t>
  </si>
  <si>
    <t>Prozessabsicht/Framework erwähnt, keine vollständige Prozesskette.</t>
  </si>
  <si>
    <t>Konkrete Checks + Einsatzkontext (Trigger/Verortung).</t>
  </si>
  <si>
    <t>“perform a dedicated privacy risk assessment whenever personal data are utilised in an AI system.”;“conduct RAI-assessments with the CDO”</t>
  </si>
  <si>
    <t>“The Group AI Office… providing… AI literacy, and oversight for AI…”</t>
  </si>
  <si>
    <t>Literacy erwähnt, aber keine Pflicht/Programm-Details.</t>
  </si>
  <si>
    <t>Eskalationsmechanik benannt, kein Nachweis geübter Abläufe.</t>
  </si>
  <si>
    <t>“…escalate unresolved risk disagreements to the DAITAB.”</t>
  </si>
  <si>
    <t>C1</t>
  </si>
  <si>
    <t>C2</t>
  </si>
  <si>
    <t>C3</t>
  </si>
  <si>
    <t>C4</t>
  </si>
  <si>
    <t>C5</t>
  </si>
  <si>
    <t>02.03.26</t>
  </si>
  <si>
    <t>C6</t>
  </si>
  <si>
    <t>VAL_06 (BIND)</t>
  </si>
  <si>
    <t xml:space="preserve">multiple </t>
  </si>
  <si>
    <t>Reicht „privacy risk assessment whenever…“ als Standard/Prozessvorgabe (BIND=3) oder bleibt es Policy-Regel (BIND=2)?</t>
  </si>
  <si>
    <t>Ist „monitor… ensure decisions match intended outcome“ ausreichend spezifisch für Technical Robustness &amp; Reliability oder nur Accountability?</t>
  </si>
  <si>
    <t>Sind Stakeholder-Consultation + Corporate Rules bereits „dokumentierte Prozesse“ (Score=2) oder nur „benannt“ (Score=1)?</t>
  </si>
  <si>
    <t>Zählt „provides recommendations to the Board“ als Reporting?</t>
  </si>
  <si>
    <t>Ist „Prohibited AI“ als ethische Leitplanke (VAL_15) zu werten, obwohl es nur als Gesetzesverstoß formuliert ist?</t>
  </si>
  <si>
    <t>Q&amp;A enthält nur Fragen; mögliche Evidenz in (nicht sichtbaren) Antworten fehlt in der PDF.</t>
  </si>
  <si>
    <t>nein</t>
  </si>
  <si>
    <t>ja</t>
  </si>
  <si>
    <t>V00.1</t>
  </si>
  <si>
    <t>A: BIND=2 (deontisch „may only…“) B: BIND=3 (konkreter Pflicht-Check + Trigger). Gewählt: B, weil Check+Trigger explizit.</t>
  </si>
  <si>
    <t>A: VAL_09=1 (Reliability/Accuracy via Monitoring) B: VAL_09=0 (zu unspezifisch, eher VAL_02). Gewählt: A, aber konservativ mit BIND=1 und Confidence=mittel.</t>
  </si>
  <si>
    <t>A: Score=2 (Prozess-/Rahmen beschrieben) B: Score=1 (keine klare Prozesskette mit Trigger+Owner). Gewählt: B (konservativ).</t>
  </si>
  <si>
    <t>A: Score=1/2 (Reporting-Struktur) B: Score=0 (keine KPI/Reportgegenstand+Frequenz). Gewählt: B, da Evidenzminimum für Reporting nicht erfüllt.</t>
  </si>
  <si>
    <t>A: VAL_15=1 (Guardrail/„do not“) B: VAL_15=0 (nur Compliance → VAL_14). Gewählt: B (konservativ).</t>
  </si>
  <si>
    <t>A: Codes evtl. aus Fragen ableiten B: Nur sichtbaren Text werten (Evidence-first). Gewählt: B.</t>
  </si>
  <si>
    <t>Human oversight + Accountability-Mechanismen;Keine autonomen KI-Entscheidungen mit materiellem Impact auf Mitarbeitende</t>
  </si>
  <si>
    <t>“...subject to human oversight and accountability mechanisms.”; “AI is not used to make autonomous decisions that have a material impact on employees.”</t>
  </si>
  <si>
    <t>Human oversight + Verbot autonomer Entscheidungen mit materiellem Impact (Employees).</t>
  </si>
  <si>
    <t>Verantwortung für Impact der KI-Anwendungen</t>
  </si>
  <si>
    <t>“We take responsibility for the impact of our AI applications…”</t>
  </si>
  <si>
    <t>Verantwortung für Impact explizit.</t>
  </si>
  <si>
    <t>Transparenz + nachvollziehbare Entscheidungsprozesse</t>
  </si>
  <si>
    <t>“We ensure that our AI applications are transparent…”</t>
  </si>
  <si>
    <t>„transparent“ für AI applications.</t>
  </si>
  <si>
    <t>Entscheidungsprozesse sollen für Stakeholder „comprehensible“ sein</t>
  </si>
  <si>
    <t>“...decision-making processes that are comprehensible to stakeholders.”</t>
  </si>
  <si>
    <t>Fairness, Equal opportunity, Anti-Discrimination</t>
  </si>
  <si>
    <t>“...reject discrimination.”</t>
  </si>
  <si>
    <t>Privacy als „essential human right“ über gesamten Lifecycle</t>
  </si>
  <si>
    <t>“...protect the essential human right of an individual’s privacy throughout the entire life cycle…”</t>
  </si>
  <si>
    <t>Privacy über gesamten Lifecycle.</t>
  </si>
  <si>
    <t>hoch</t>
  </si>
  <si>
    <t>mittel</t>
  </si>
  <si>
    <t>„comprehensible decision-making processes“ → interpretierbar/erklärnah (Grenzfall zu VAL_03).</t>
  </si>
  <si>
    <t>Anti-Discrimination klar.</t>
  </si>
  <si>
    <t>Schutzziele inkl. confidentiality/authenticity.</t>
  </si>
  <si>
    <t>„safety“ (well-being/safety; robust &amp; safe) vorhanden, aber ohne konkrete Harm-Controls.</t>
  </si>
  <si>
    <t>reliability/accuracy explizit.</t>
  </si>
  <si>
    <t>„create value“ zu allgemein; keine wert-/KI-spezifische Evidenz.</t>
  </si>
  <si>
    <t>Laws (EU AI Act/GDPR) + „strictly prohibiting“; Inventory/Assessments als mögliche Prozess-Operationalisierung (Grenzfall BIND 2 vs 3).</t>
  </si>
  <si>
    <t>„ethically“ + Werte/CoC-Verweis.</t>
  </si>
  <si>
    <t>„data and AI governance“ genannt, aber ohne konkrete Data-Quality-Mechanik.</t>
  </si>
  <si>
    <t>„confidentiality“ erscheint im Security-Kontext (VAL_07); kein IP/Trade-secret/IPR-Bezug.</t>
  </si>
  <si>
    <t>Human Rights Policy + „essential human right“ (privacy) explizit.</t>
  </si>
  <si>
    <t>S.2 – Prinzip 3 „Accountable“</t>
  </si>
  <si>
    <t>S.2 – Prinzip 2 „Transparent“</t>
  </si>
  <si>
    <t>S.2 – Prinzip 4 „Fair and Unbiased“</t>
  </si>
  <si>
    <t>S.2 – Prinzip 6 „Privacy Preserving“</t>
  </si>
  <si>
    <t>S.2 – Prinzip 5 „Secure“</t>
  </si>
  <si>
    <t>S.2 – Prinzip 1 &amp; 7</t>
  </si>
  <si>
    <t>S.2 – Prinzip 7 „Robust &amp; Safe“</t>
  </si>
  <si>
    <t>S.1 – Intro &amp; „Commitment…“</t>
  </si>
  <si>
    <t>S.1 – Definition;S.2 – Prinzip 1</t>
  </si>
  <si>
    <t>S.1 – Intro</t>
  </si>
  <si>
    <t>S.2 – Prinzip 1 &amp; 6</t>
  </si>
  <si>
    <t>Security: Integrität/Vertraulichkeit/Verfügbarkeit/Authentizität</t>
  </si>
  <si>
    <t>“...maintaining the integrity, confidentiality, availability and authenticity…”</t>
  </si>
  <si>
    <t>Wohlbefinden &amp; Sicherheit von Individuen/Communities priorisiert; Robust &amp; Safe: reliability, accuracy, safety</t>
  </si>
  <si>
    <t>“...prioritizing the well-being and safety of individuals and communities.”; “...focus on reliability, accuracy, and safety.”</t>
  </si>
  <si>
    <t>“...focus on reliability, accuracy, and safety.”</t>
  </si>
  <si>
    <t>Robust &amp; Safe: reliability, accuracy, safety</t>
  </si>
  <si>
    <t>Responsible AI an EU AI Act/GDPR und Werte gebunden; KI für „Prohibited Practices“ wird strikt verboten (Policy-Verweis); Zentrales Inventar + Assessments zur Compliance/Risikosteuerung</t>
  </si>
  <si>
    <t>“...following laws like the EU AI Act and GDPR...”; “...strictly prohibiting AI in applications related to ‘Prohibited Practices’...”; “BASF maintains a central inventory and conducts necessary assessments to ensure compliance…”</t>
  </si>
  <si>
    <t>Responsible AI als ethisch &amp; accountable definiert; KI-Nutzung an Code of Conduct &amp; Human Rights Policy gekoppelt</t>
  </si>
  <si>
    <t>“Responsible AI means developing, deploying, and using AI systems ethically and accountably.”; “...in accordance with our company’s values and ethical standards as described in our Code of Conduct…”</t>
  </si>
  <si>
    <t>Fokus auf Data &amp; AI Governance (Daten als Schlüsselressource)</t>
  </si>
  <si>
    <t>“Our data is crucial for AI solutions, so we focus on strong data and AI governance.”</t>
  </si>
  <si>
    <t>Human Rights Management Policy als Bezugspunkt; Privacy als „essential human right“ über gesamten Lifecycle</t>
  </si>
  <si>
    <t>“...protect the essential human right of an individual’s privacy throughout the entire life cycle…”; “...set forth in BASF’s Human Rights Management Policy…”</t>
  </si>
  <si>
    <t>„Data &amp; AI office“ als Einheit genannt, aber ohne Aufgaben/RACI.</t>
  </si>
  <si>
    <t>Inventory + „assessments“ erwähnt, jedoch ohne Trigger/Owner/Schrittfolge.</t>
  </si>
  <si>
    <t>„central inventory“ + „necessary assessments“ (Checks allgemein, nicht spezifiziert).</t>
  </si>
  <si>
    <t>S.3 – Contact</t>
  </si>
  <si>
    <t>S.1 – „Commitment…“</t>
  </si>
  <si>
    <t>“...please contact our Data &amp; AI office.”</t>
  </si>
  <si>
    <t>“BASF maintains a central inventory and conducts necessary assessments to ensure compliance…”</t>
  </si>
  <si>
    <t>C7</t>
  </si>
  <si>
    <t>C8</t>
  </si>
  <si>
    <t>C9</t>
  </si>
  <si>
    <t>C10</t>
  </si>
  <si>
    <t>C11</t>
  </si>
  <si>
    <t>C12</t>
  </si>
  <si>
    <t>VAL_04 vs VAL_03</t>
  </si>
  <si>
    <t>Ist „comprehensible decision-making processes“ Explainability (VAL_04) oder nur Transparenz (VAL_03)?</t>
  </si>
  <si>
    <t>A: VAL_04=0 (nur Transparenz) B: VAL_04=1 (Erklär-/Interpretierkomponente). Gewählt: B (konservativ BIND=1, Confidence=mittel), da „decision-making… comprehensible“ über reines Disclosure hinausgeht.</t>
  </si>
  <si>
    <t>VAL_14 (BIND)</t>
  </si>
  <si>
    <t>Erhöht „central inventory + assessments“ die Bindigkeit für Compliance auf BIND=3 (Prozessvorgabe) oder bleibt BIND=2 (Policy-Regel/Verbot)?</t>
  </si>
  <si>
    <t>A: BIND=2 (starkes Verbot, aber Prozess unkonkret) B: BIND=3 (Operationalisierung via Inventory/Assessments). Gewählt: A, weil Assessments nicht spezifiziert (keine definierten Kontrollschritte).</t>
  </si>
  <si>
    <t>GOV_02 / GOV_03</t>
  </si>
  <si>
    <t>Sind Inventory/Assessments bereits „dokumentiert“ (Score=2) oder nur „benannt“ (Score=1)?</t>
  </si>
  <si>
    <t>A: Score=2 (konkretes Tool/Prozess genannt) B: Score=1 (ohne Trigger/Owner/Details). Gewählt: B (konservativ).</t>
  </si>
  <si>
    <t>Reicht „focus on strong data and AI governance“ für VAL_16 oder ist es zu allgemein?</t>
  </si>
  <si>
    <t>A: VAL_16=1 (Data Governance explizit im KI-Kontext) B: VAL_16=0 (zu unspezifisch, keine Mechanik). Gewählt: A (BIND=1, Confidence=mittel) wegen explizitem Governance-Bezug.</t>
  </si>
  <si>
    <t>Ist „well-being and safety“/„Robust &amp; Safe“ ausreichend für VAL_08 (Safety &amp; Harm Prevention) oder nur Robustness (VAL_09)?</t>
  </si>
  <si>
    <t>A: VAL_08=1 (Safety explizit) B: VAL_08=0 (keine Harm-Controls). Gewählt: A mit Confidence=mittel, da „safety“ wörtlich genannt.</t>
  </si>
  <si>
    <t>Zählt Privacy als „essential human right“ bereits als Human Rights (VAL_18) oder bleibt es nur VAL_06?</t>
  </si>
  <si>
    <t>A: VAL_18=1 (human right explizit + HR policy) B: VAL_18=0 (nur Datenschutzwert). Gewählt: A (Confidence=mittel) wegen HR policy + „human right“-Formulierung.</t>
  </si>
  <si>
    <t>KI soll transparent genutzt werden (Commitment)</t>
  </si>
  <si>
    <t>“At Bayer, we commit to use AI transparently and responsibly.”</t>
  </si>
  <si>
    <t>Autonomie wird respektiert; Harm Prevention/Wellbeing als Ziel</t>
  </si>
  <si>
    <t>“We respect personal autonomy, strive to promote individual and collective wellbeing and preventing harm.”</t>
  </si>
  <si>
    <t>Inklusion (Datensätze), Fairness und Accountability werden angestrebt</t>
  </si>
  <si>
    <t>“...striving for inclusion in our data sets, fairness and accountability.”</t>
  </si>
  <si>
    <t>Recht/Regeln werden im AI-Kontext immer eingehalten</t>
  </si>
  <si>
    <t>“We always comply with all applicable laws, regulations, and professional codes of conduct.”</t>
  </si>
  <si>
    <t>Verbot schlechter/unverifizierter Daten zur Vermeidung falscher/bias Ergebnisse</t>
  </si>
  <si>
    <t>“We do not use poor, incomplete or non-verified data… incorrect or biased results… AI applications.”</t>
  </si>
  <si>
    <t>“...put into practice… safeguards… internal oversight, inspections, and maintenance of AI solutions.”</t>
  </si>
  <si>
    <t>“...seek advice… including our independent Bioethics Council members.”</t>
  </si>
  <si>
    <t>Autonomie explizit („respect/protect human autonomy“).</t>
  </si>
  <si>
    <t>„accountability“ genannt (ohne Rollen/Mechanik).</t>
  </si>
  <si>
    <t>„commit to use AI transparently“.</t>
  </si>
  <si>
    <t>Keine Explainability/Interpretability nachweisbar.</t>
  </si>
  <si>
    <t>„fairness“ + „inclusion in our data sets“ (kein Anti-Discrimination-Detail).</t>
  </si>
  <si>
    <t>Keine AI-bezogene Privacy-Evidenz im Text.</t>
  </si>
  <si>
    <t>„preventing harm“ explizit.</t>
  </si>
  <si>
    <t>niedrig</t>
  </si>
  <si>
    <t>Indirekt über „incorrect results“/Datenverifikation; keine Tests/Robustness-Terms.</t>
  </si>
  <si>
    <t>„inclusion in our data sets“ eher Fairness/Data Governance; keine Accessibility.</t>
  </si>
  <si>
    <t>„promote… wellbeing“ im AI-Kontext.</t>
  </si>
  <si>
    <t>„always comply… laws, regulations…“ deontisch.</t>
  </si>
  <si>
    <t>„responsibly“ im direkten AI-Commitment; keine weiterführenden Guardrails im AI-Abschnitt.</t>
  </si>
  <si>
    <t>Konkrete Datenanforderungen + Verifikations-/Verbotssatz („do not use…“).</t>
  </si>
  <si>
    <t>Keine AI-bezogene Human-Rights-Nennung (außer allgemeine Bioethik-Teile).</t>
  </si>
  <si>
    <t>S.8 – AI (Guiding Principles)</t>
  </si>
  <si>
    <t>Autonomie wird respektiert; Harm Prevention/Wellbeing als Ziel; Schutz menschlicher Autonomie in entwickelten/verkauften/genutzten AI-Lösungen</t>
  </si>
  <si>
    <t>“We respect personal autonomy, strive to promote individual and collective wellbeing and preventing harm.”; “We will protect human autonomy in AI solutions that we develop, sell or use.</t>
  </si>
  <si>
    <t>Anforderungen an Datenquellen (Provenance/Diversity/Quality); Check: Trainingsdaten-Repräsentativität wird verifiziert; Verbot schlechter/unverifizierter Daten zur Vermeidung falscher/bias Ergebnisse</t>
  </si>
  <si>
    <t>“We strive for clear relevance, provenance, diversity, and sufficient quality in data sources.”;“We verify the data sets used for AI training are representative…”; “We do not use poor, incomplete or non-verified data… incorrect or biased results… AI applications.”</t>
  </si>
  <si>
    <t>Bioethics Council erwähnt (Beratung), aber keine AI-spezifischen Rollen/RACI.</t>
  </si>
  <si>
    <t>„regularly cooperate…“ + Partnerstandard (Prozessabsicht, keine Schrittfolge/Trigger/Owner).</t>
  </si>
  <si>
    <t>Konkrete Checks: Representativeness-Verifikation; Datenverifikation/„do not use“ (ohne Toolname).</t>
  </si>
  <si>
    <t>„inspections“ erwähnt, aber ohne Audit-Mechanik/Frequenz/Verantwortliche.</t>
  </si>
  <si>
    <t>S.2 – Our commitments</t>
  </si>
  <si>
    <t>“We regularly cooperate with researchers, regulatory bodies… to jointly develop trustworthy AI-enabled solutions.”; “We hold companies that Bayer partners with… or… procured to the same standard.”</t>
  </si>
  <si>
    <t>“We verify the data sets used for AI training are representative…”; “We do not use poor, incomplete or non-verified data… incorrect or biased results… AI applications.”</t>
  </si>
  <si>
    <t>Reicht „verify… representative“ als Score 2 (konkreter Check) oder nur Score 1 (allgemeiner Check ohne Toolname)?</t>
  </si>
  <si>
    <t>A: Score=1 (zu generisch) B: Score=2 (Check+Einsatzkontext „AI training“). Gewählt: B, da Check + „wann“ klar.</t>
  </si>
  <si>
    <t>Ist „inspections“ gleichzusetzen mit „Audit/Assessment“ (Score=1) oder zu unpräzise (Score=0)?</t>
  </si>
  <si>
    <t>A: Score=0 (Audit nicht explizit) B: Score=1 (Inspection als audit-nah). Gewählt: B mit niedriger Confidence, da Begriff nur indirekt.</t>
  </si>
  <si>
    <t>Zählt der Bioethics Council als AI-Governance-Zuständigkeit, obwohl nicht AI-spezifisch formuliert?</t>
  </si>
  <si>
    <t>A: Score=0 (zu allgemein) B: Score=1 (Prinzipien gelten company-wide inkl. AI-Fokusbereich). Gewählt: B (konservativ niedrig).</t>
  </si>
  <si>
    <t>VAL_11 vs VAL_05/VAL_16</t>
  </si>
  <si>
    <t>Ist „inclusion in our data sets“ ein eigener Wert Inclusiveness &amp; Accessibility (VAL_11) oder eher Fairness/Data Governance?</t>
  </si>
  <si>
    <t>A: VAL_11=1 B: VAL_11=0 (stattdessen VAL_05/VAL_16). Gewählt: B, da keine Accessibility/Inklusions-Design-Themen.</t>
  </si>
  <si>
    <t>Bedeutet „incorrect results“ bereits Technical Robustness &amp; Reliability oder bleibt es reiner Datenqualitäts-/Bias-Aspekt (VAL_16/VAL_05)?</t>
  </si>
  <si>
    <t>A: VAL_09=0 B: VAL_09=1 (indirekter Accuracy/Reliability-Bezug). Gewählt: B mit niedriger Confidence.</t>
  </si>
  <si>
    <t>Ist „always comply“ BIND=2 (Policy-Regel) oder BIND=1 (Statement)?</t>
  </si>
  <si>
    <t>A: BIND=1 B: BIND=2. Gewählt: B, da deontisch/regelhaft formuliert („always comply“).</t>
  </si>
  <si>
    <t>C13</t>
  </si>
  <si>
    <t>C14</t>
  </si>
  <si>
    <t>C15</t>
  </si>
  <si>
    <t>C16</t>
  </si>
  <si>
    <t>C17</t>
  </si>
  <si>
    <t>C18</t>
  </si>
  <si>
    <t>Kein KI-Kontext im Dokument nachweisbar.</t>
  </si>
  <si>
    <t>Fairness-Themen nur arbeitsrechtlich/allgemein, ohne KI-Bezug.</t>
  </si>
  <si>
    <t>Datenschutz nur allgemein, ohne KI-Bezug.</t>
  </si>
  <si>
    <t>IT-/Security nur allgemein, ohne KI-Bezug.</t>
  </si>
  <si>
    <t>Safety nur Arbeitsplatz, ohne KI-Bezug.</t>
  </si>
  <si>
    <t>Keine KI/Modelle/Robustness-Themen.</t>
  </si>
  <si>
    <t>Nicht nachweisbar im KI-Kontext.</t>
  </si>
  <si>
    <t>Nachhaltigkeit nur allgemein, ohne KI-Bezug.</t>
  </si>
  <si>
    <t>Compliance nur allgemein, ohne KI-Bezug.</t>
  </si>
  <si>
    <t>Ethik/Integrity nur allgemein, ohne KI-Bezug.</t>
  </si>
  <si>
    <t>Keine KI-/Daten-Governance für AI nachweisbar.</t>
  </si>
  <si>
    <t>Confidentiality/IP nur allgemein, ohne KI-Bezug.</t>
  </si>
  <si>
    <t>Human-rights-ähnliche Themen nur allgemein, ohne KI-Bezug.</t>
  </si>
  <si>
    <t>Rollen genannt, aber ohne KI/AI-Bezug → 0.</t>
  </si>
  <si>
    <t>Keine KI-spezifischen Prozesse nachweisbar.</t>
  </si>
  <si>
    <t>Keine KI-spezifischen Checks/Tools nachweisbar.</t>
  </si>
  <si>
    <t>Audit-Begriff nur allgemein/Finanzen, nicht KI/AI-Audits.</t>
  </si>
  <si>
    <t>Training nur allgemein, nicht KI-spezifisch.</t>
  </si>
  <si>
    <t>Meldewege nur allgemein, nicht KI-spezifisch.</t>
  </si>
  <si>
    <t>Kein KI-spezifisches Reporting nachweisbar.</t>
  </si>
  <si>
    <t>Datenschutz ist stark geregelt, aber ohne KI-Kontext: zählt das dennoch als KI-Value?</t>
  </si>
  <si>
    <t>A: VAL_06=1 (Privacy generell) B: VAL_06=0 (Codebook: nur bei KI-Kontext). Gewählt: B konservativ, da KI-Bezug nicht nachweisbar.</t>
  </si>
  <si>
    <t>Anti-Discrimination ist klar, aber rein HR/Arbeitsumfeld.</t>
  </si>
  <si>
    <t>A: VAL_05=1 (Fairness generell) B: VAL_05=0 (nur KI-Kontext). Gewählt: B konservativ.</t>
  </si>
  <si>
    <t>Governance-Rollen existieren, aber ohne „AI/Responsible AI“-Mandat: zählen sie für KI-Governance?</t>
  </si>
  <si>
    <t>A: GOV_01=1 (Rollen allgemein) B: GOV_01=0 (Evidence minimum: KI/AI-Bezug). Gewählt: B konservativ.</t>
  </si>
  <si>
    <t>„Auditors“ erwähnt – ist das als Audit-Kriterium für KI zulässig?</t>
  </si>
  <si>
    <t>A: GOV_04=1 (Audit-Begriff reicht) B: GOV_04=0 (nicht KI/AI-Audit). Gewählt: B konservativ.</t>
  </si>
  <si>
    <t>Eskalationswege existieren, aber nicht KI-spezifisch.</t>
  </si>
  <si>
    <t>A: GOV_06=1 (Eskalation allgemein) B: GOV_06=0 (nur KI/AI-Governance). Gewählt: B konservativ.</t>
  </si>
  <si>
    <t>alle VAL</t>
  </si>
  <si>
    <t>Wenn ein Dokument „nur“ allgemeine Ethik/Compliance ist: wird es im Pilot-Coding grundsätzlich als 0/0 gewertet?</t>
  </si>
  <si>
    <t>A: Teilweise Werte codieren (ohne KI) B: Strikt KI-Kontext erforderlich. Gewählt: B (entspricht Scope-Regel).</t>
  </si>
  <si>
    <t>C19</t>
  </si>
  <si>
    <t>C20</t>
  </si>
  <si>
    <t>C21</t>
  </si>
  <si>
    <t>C22</t>
  </si>
  <si>
    <t>C23</t>
  </si>
  <si>
    <t>C24</t>
  </si>
  <si>
    <t>Update: 2. März 26: doch kein KI-Bezug &amp; nun exkludiert</t>
  </si>
  <si>
    <t>Human monitoring + human overrule.</t>
  </si>
  <si>
    <t>Risk handling inkl. “report”, ohne Rollen/Mechanik.</t>
  </si>
  <si>
    <t>Open communication über AI-Nutzung (ohne konkrete Disclosure-Regel).</t>
  </si>
  <si>
    <t>Explainability ausdrücklich genannt.</t>
  </si>
  <si>
    <t>“fair AI applications” + human dignity.</t>
  </si>
  <si>
    <t>Privacy/processing/storage in AI applications.</t>
  </si>
  <si>
    <t>“data security measures” (security, nicht cyber-spezifisch).</t>
  </si>
  <si>
    <t>“risk of unintended consequences and errors” (Safety-Anker).</t>
  </si>
  <si>
    <t>Robust AI + safety standards.</t>
  </si>
  <si>
    <t>Klima/Umweltschutz explizit.</t>
  </si>
  <si>
    <t>Well-being für customers/employees/partners.</t>
  </si>
  <si>
    <t>Indirekt über “applicable safety standards” (Grenzfall).</t>
  </si>
  <si>
    <t>“used ethically” explizit, aber ohne weitere Guardrails.</t>
  </si>
  <si>
    <t>Keine Data-quality/Governance-Mechanik nachweisbar (nur “privacy and data governance” als Überschrift).</t>
  </si>
  <si>
    <t>Human-rights-Ziele genannt, ohne Konkretisierung.</t>
  </si>
  <si>
    <t>S.2 – Human agency and oversight</t>
  </si>
  <si>
    <t>S.3 – Accountability</t>
  </si>
  <si>
    <t>S.2 – Transparency</t>
  </si>
  <si>
    <t>S.2 – Diversity… fairness</t>
  </si>
  <si>
    <t>S.2 – Privacy and data governance</t>
  </si>
  <si>
    <t>S.2 – Technical robustness and safety</t>
  </si>
  <si>
    <t>S.2 – Environmental and societal well-being</t>
  </si>
  <si>
    <t>S.3 – Project AI (Launch 2018)</t>
  </si>
  <si>
    <t>Human oversight inkl. Möglichkeit des menschlichen Overrules</t>
  </si>
  <si>
    <t>“implements appropriate human monitoring… and considers… humans can overrule algorithmic decisions.”</t>
  </si>
  <si>
    <t>Risiken werden identifiziert/bewertet/berichtet/mitigiert</t>
  </si>
  <si>
    <t>“will identify, assess, report and mitigate risks…”</t>
  </si>
  <si>
    <t>Transparenz über Einsatz der Technologien + Kommunikation</t>
  </si>
  <si>
    <t>“aims… open communication where respective technologies are used.”</t>
  </si>
  <si>
    <t>Explainability als Ziel bei AI applications</t>
  </si>
  <si>
    <t>“aims for explainability of AI applications…”</t>
  </si>
  <si>
    <t>Fairness über Human Dignity; Ziel „fair AI“</t>
  </si>
  <si>
    <t>“respects human dignity… sets out to build fair AI applications.”</t>
  </si>
  <si>
    <t>Privacy &amp; data security auf AI storage/processing erweitert</t>
  </si>
  <si>
    <t>“extends its… data privacy and data security measures to cover storage and processing in AI applications.”</t>
  </si>
  <si>
    <t>Data security measures im AI-Kontext</t>
  </si>
  <si>
    <t>“data… security measures… in AI applications.”</t>
  </si>
  <si>
    <t>Safety/Vermeidung unbeabsichtigter Folgen/Errors</t>
  </si>
  <si>
    <t>“decrease the risk of unintended consequences and errors.”</t>
  </si>
  <si>
    <t>Robustheit/Safety-Standards zur Fehler-/Risiko-Reduktion</t>
  </si>
  <si>
    <t>“aims to develop robust AI applications and observes the applicable safety standards…”</t>
  </si>
  <si>
    <t>AI soll Umwelt-/Societal Well-being fördern (inkl. Klima/Umweltschutz)</t>
  </si>
  <si>
    <t>“goals… human rights and sustainability… climate change and environmental protection.”</t>
  </si>
  <si>
    <t>AI soll Well-being von Stakeholdern fördern</t>
  </si>
  <si>
    <t>“AI applications that promote the well-being of customers, employees and partners.”</t>
  </si>
  <si>
    <t>„Applicable safety standards“ als Compliance-Anker (indirekt)</t>
  </si>
  <si>
    <t>“observes the applicable safety standards…”</t>
  </si>
  <si>
    <t>Ethik als Zweck von Project AI (AI „ethically“)</t>
  </si>
  <si>
    <t>“Project AI… to ensure that AI technologies are used ethically and efficiently.”</t>
  </si>
  <si>
    <t>Bezug zu Human Rights-Zielen</t>
  </si>
  <si>
    <t>“aligns with the BMW Group’s goals in the areas of human rights…”</t>
  </si>
  <si>
    <t>Konkrete Einheit + Aufgaben (knowledge/tech sharing).</t>
  </si>
  <si>
    <t>Update-/Review-Absicht, ohne Trigger/Owner/Schritte.</t>
  </si>
  <si>
    <t>Tool namentlich benannt (Portfolio/Inventory), “wann” nur implizit (laufend).</t>
  </si>
  <si>
    <t>Awareness erwähnt, kein Trainingsprogramm/Verpflichtung.</t>
  </si>
  <si>
    <t>Reporting-Absicht (“report”), ohne Empfänger/Frequenz/KPIs.</t>
  </si>
  <si>
    <t>S.3 – Project AI (centre of competence)</t>
  </si>
  <si>
    <t>S.1 – continuously refined/adapted</t>
  </si>
  <si>
    <t>S.3 – D³ portfolio tool</t>
  </si>
  <si>
    <t>S.1 – increase awareness</t>
  </si>
  <si>
    <t>S.3 – Accountability (“report… risks”)</t>
  </si>
  <si>
    <t>“centre of competence… ensures rapid knowledge and technology sharing across the company.”</t>
  </si>
  <si>
    <t>“These will be continuously refined and adapted as required…”</t>
  </si>
  <si>
    <t>“a portfolio tool… D³… portfolio currently spans 400 use cases.”</t>
  </si>
  <si>
    <t>“increase awareness among its employees… sensitivity when working with AI technologies.”</t>
  </si>
  <si>
    <t>VAL_08 vs VAL_09</t>
  </si>
  <si>
    <t>„Safety“ wird im Robustness-Prinzip genannt: zählt das zusätzlich als VAL_08 (Harm prevention) oder nur VAL_09?</t>
  </si>
  <si>
    <t>A: VAL_08=0, nur VAL_09 B: VAL_08=1 (Safety/Unintended consequences). Gewählt: B (VAL_08=1) wegen explizitem “risk of unintended consequences”.</t>
  </si>
  <si>
    <t>„observes applicable safety standards“: genügt das als Lawfulness/Compliance (VAL_14) oder ist es nur Safety-Rhetorik?</t>
  </si>
  <si>
    <t>A: VAL_14=0 B: VAL_14=1 (Standards-Compliance). Gewählt: B mit niedriger Confidence.</t>
  </si>
  <si>
    <t>„open communication where technologies are used“: ist das Transparenz (Disclosure) oder zu allgemein?</t>
  </si>
  <si>
    <t>A: VAL_03=0 (zu vage) B: VAL_03=1 (Transparenz über Einsatz). Gewählt: B (konservativ BIND=1, Confidence=mittel).</t>
  </si>
  <si>
    <t>Reicht ein „portfolio tool… spans 400 use cases“ für Score=2 (konkretes Tool) oder nur Score=1 (Tool ohne Einsatz-Trigger)?</t>
  </si>
  <si>
    <t>A: Score=1 B: Score=2. Gewählt: B (Score=2) mit mittel Confidence, da Toolname + Zweck klar, Einsatzzeitpunkt nur indirekt.</t>
  </si>
  <si>
    <t>Ist „increase awareness“ als Schulung (Score=1) zulässig oder nur Kulturstatement (Score=0)?</t>
  </si>
  <si>
    <t>A: Score=0 B: Score=1 (Awareness/Training-Absicht). Gewählt: B mit niedriger Confidence.</t>
  </si>
  <si>
    <t>„report“ ohne Empfänger/Frequenz: Score=1 oder 0?</t>
  </si>
  <si>
    <t>A: Score=0 B: Score=1 (Reporting-Absicht erwähnt). Gewählt: B (Score=1).</t>
  </si>
  <si>
    <t>C25</t>
  </si>
  <si>
    <t>C26</t>
  </si>
  <si>
    <t>C27</t>
  </si>
  <si>
    <t>C28</t>
  </si>
  <si>
    <t>C29</t>
  </si>
  <si>
    <t>C30</t>
  </si>
  <si>
    <t>Human oversight über Lifecycle genannt.</t>
  </si>
  <si>
    <t>Accountability/Ownership über Lifecycle.</t>
  </si>
  <si>
    <t>Transparenz explizit.</t>
  </si>
  <si>
    <t>Explainability explizit.</t>
  </si>
  <si>
    <t>Fairness + bias avoidance explizit.</t>
  </si>
  <si>
    <t>DP-law compliance + TOMs genannt.</t>
  </si>
  <si>
    <t>Information Security risks + corrective measures.</t>
  </si>
  <si>
    <t>Safety/abuse genannt (überlappt mit Robustness).</t>
  </si>
  <si>
    <t>„robust approach“ explizit.</t>
  </si>
  <si>
    <t>Nicht nachweisbar im AI-Abschnitt.</t>
  </si>
  <si>
    <t>Accessibility erwähnt, aber nur als kurzer Nebensatz.</t>
  </si>
  <si>
    <t>Stakeholder-Wording vorhanden, aber kein Social-Benefit/Well-being-Prinzip im AI-Teil.</t>
  </si>
  <si>
    <t>Vendor-Compliance mit AI-Regulierung explizit erwartet.</t>
  </si>
  <si>
    <t>Alignment mit Werten/CoC/Policies „at all times“.</t>
  </si>
  <si>
    <t>Keine Data-quality/Governance-Anforderungen im AI-Teil nachweisbar.</t>
  </si>
  <si>
    <t>Vertraulichkeit wird allgemein erwähnt, aber nicht im AI-Abschnitt.</t>
  </si>
  <si>
    <t>Human-rights-Teil vorhanden, aber kein AI-Bezug im AI-Abschnitt.</t>
  </si>
  <si>
    <t>S.6 – Human Oversight &amp; Monitoring</t>
  </si>
  <si>
    <t>S.5 – Accountability</t>
  </si>
  <si>
    <t>S.6 – Transparency &amp; Explainability</t>
  </si>
  <si>
    <t>S.5 – Fairness &amp; Bias</t>
  </si>
  <si>
    <t>S.6 – Privacy</t>
  </si>
  <si>
    <t>S.5 – Security, Safety &amp; Technical Robustness</t>
  </si>
  <si>
    <t>S.5 – 10. Artificial Intelligence</t>
  </si>
  <si>
    <t>S.6 – Alignment</t>
  </si>
  <si>
    <t>Human oversight über alle Lifecycle-Stages</t>
  </si>
  <si>
    <t>“appropriate level of human oversight in all lifecycle stages…”</t>
  </si>
  <si>
    <t>Klare Ownership/Accountability über Lifecycle gefordert</t>
  </si>
  <si>
    <t>“Establish clear accountability and ownership for AI solutions at all points in the lifecycle.”</t>
  </si>
  <si>
    <t>Transparenz/Explainability wird angestrebt</t>
  </si>
  <si>
    <t>“Strive to achieve an appropriate level of transparency and Explainability…”</t>
  </si>
  <si>
    <t>Fairness als Ziel, um Benachteiligungen zu vermeiden; Unintended bias soll vermieden werden</t>
  </si>
  <si>
    <t>“Strive to make AI solutions fair to ensure groups or individuals are not unnecessarily deprived…”; “Strive to avoid unintended bias in our AI solutions.”</t>
  </si>
  <si>
    <t>Explainability von AI Models/Workflows wird angestrebt</t>
  </si>
  <si>
    <t>“Explainability of AI Models and workflows.”</t>
  </si>
  <si>
    <t>Privacy: DP-Law-Compliance als Bestandteil; TOMs zum Schutz fundamentaler Rechte gefordert</t>
  </si>
  <si>
    <t>“complying with applicable data protection laws”; “implementing appropriate technical and organisational measures…”</t>
  </si>
  <si>
    <t>InfoSec-Risiken sollen proaktiv verhindert werden</t>
  </si>
  <si>
    <t>“proactively prevent Information Security risks and threats, having corrective measures in place.”</t>
  </si>
  <si>
    <t>Safety/Abuse-Risiken sollen durch robusten Ansatz vermieden werden</t>
  </si>
  <si>
    <t>“manage AI solutions with a robust approach to avoid potential risks and issues around safety and abuse.”</t>
  </si>
  <si>
    <t>Robuste Entwicklung/Management von AI-Lösungen (Robustness)</t>
  </si>
  <si>
    <t>“Design, build, and manage AI solutions with a robust approach…”</t>
  </si>
  <si>
    <t>Accessibility soll mitgedacht werden</t>
  </si>
  <si>
    <t>“to innovate responsibly and inclusively and to consider accessibility.”</t>
  </si>
  <si>
    <t>Vendor Compliance mit AI-Regulierung wird erwartet</t>
  </si>
  <si>
    <t>“We expect our vendors to also comply with the same regulations…”</t>
  </si>
  <si>
    <t>Alignment mit Werten/CoC/Policies „at all times“</t>
  </si>
  <si>
    <t>“aligned at all times with Deutsche Bank’s values, code of conduct, and applicable policies.”</t>
  </si>
  <si>
    <t>Monitoring als Check genannt („good practice“), ohne Toolname/Verpflichtung/Einbettung.</t>
  </si>
  <si>
    <t>Training/Qualifications/continuous training genannt, ohne Programm-/Pflichtnachweis.</t>
  </si>
  <si>
    <t>S.5 – Education &amp; Training</t>
  </si>
  <si>
    <t>“implement automated monitoring of the AI decision-making…”</t>
  </si>
  <si>
    <t>“ensure that practitioners have the appropriate qualifications and access to continuous training.”</t>
  </si>
  <si>
    <t>BIND (mehrere VAL)</t>
  </si>
  <si>
    <t>Gelten die Bullet-Prinzipien als Policy-Regeln (BIND=2), weil Vendor-Adhärenz „expected“ ist, oder eher als Prinzipien/Statements (BIND=1)?</t>
  </si>
  <si>
    <t>A: BIND=2 (Supplier Code → Erwartung = deontisch) B: BIND=1 (Formulierungen wie „Strive“, „good practice“). Gewählt: B für die meisten VALs (konservativ), da deontische Modale selten.</t>
  </si>
  <si>
    <t>Ist „consider accessibility“ ausreichend für Inclusiveness &amp; Accessibility (VAL_11) oder nur ein Unterpunkt von Fairness (VAL_05)?</t>
  </si>
  <si>
    <t>A: VAL_11=0 B: VAL_11=1 (Accessibility explizit). Gewählt: B, da „accessibility“ wörtlich genannt ist (AI-Kontext).</t>
  </si>
  <si>
    <t>Zählt „automated monitoring“ bereits als konkreter Check (Score=2) oder nur als allgemeiner Hinweis (Score=1)?</t>
  </si>
  <si>
    <t>A: Score=2 (Check + „AI decision-making“) B: Score=1 („good practice“, ohne Toolname/Trigger). Gewählt: B konservativ.</t>
  </si>
  <si>
    <t>Reicht „clear accountability and ownership“ ohne Rollentitel für Zuständigkeiten (Score=1)?</t>
  </si>
  <si>
    <t>A: Score=1 (Rollen/Ownership grob) B: Score=0 (Evidence minimum: Rollentitel + KI-Bezug). Gewählt: B konservativ.</t>
  </si>
  <si>
    <t>Doppelte Codierung: Ist „safety and abuse“ bereits durch Robustness abgedeckt oder zusätzlich VAL_08?</t>
  </si>
  <si>
    <t>A: Nur VAL_09 B: VAL_08 + VAL_09. Gewählt: B, da Safety/Harm explizit als eigenes Risiko genannt wird.</t>
  </si>
  <si>
    <t>C31</t>
  </si>
  <si>
    <t>C32</t>
  </si>
  <si>
    <t>C33</t>
  </si>
  <si>
    <t>C34</t>
  </si>
  <si>
    <t>C35</t>
  </si>
  <si>
    <t>C36</t>
  </si>
  <si>
    <t>C37</t>
  </si>
  <si>
    <t>C38</t>
  </si>
  <si>
    <t>C39</t>
  </si>
  <si>
    <t>C40</t>
  </si>
  <si>
    <t>Agency/Choice + menschliche Kontrollmöglichkeit (kill switch).</t>
  </si>
  <si>
    <t>„human remains responsible“ + Verantwortlichkeiten werden geklärt.</t>
  </si>
  <si>
    <t>Disclosure: KI wird nicht verborgen.</t>
  </si>
  <si>
    <t>Black-Box-Vermeidung als Explainability-Indiz (ohne explizite „explainability“-Begriffe).</t>
  </si>
  <si>
    <t>„fair“ + Bias-Vermeidung über Daten; keine Anti-Discrimination-Details.</t>
  </si>
  <si>
    <t>Klare Privacy-Regel + Privacy-by-design als Paradigma.</t>
  </si>
  <si>
    <t>Security-Anforderungen + Zugriffskontrolle/Absicherung.</t>
  </si>
  <si>
    <t>„shall not harm“ + Stop-Regel als Harm-Prevention-Anker.</t>
  </si>
  <si>
    <t>Robustness explizit + Szenarioarbeit (ohne Mess-/Testdetails).</t>
  </si>
  <si>
    <t>Kund:innen-Nutzen/Wohlbefinden (ohne gesellschaftl. Benefit-Mechanik).</t>
  </si>
  <si>
    <t>Deontische Lawfulness-Formulierungen.</t>
  </si>
  <si>
    <t>„ethical manner“ explizit.</t>
  </si>
  <si>
    <t>Konkrete Operationalisierung: Data removal + diverse input + reset (kontrollartige Schritte).</t>
  </si>
  <si>
    <t>S.6 (Choice); S.9 (kill switch)</t>
  </si>
  <si>
    <t>S.3 – 1. We are responsible.</t>
  </si>
  <si>
    <t>S.6 – 4. We are transparent.</t>
  </si>
  <si>
    <t>S.8 – 6. We set the framework.</t>
  </si>
  <si>
    <t>S.8 (fair); S.9 (avoid bias)</t>
  </si>
  <si>
    <t>S.7 (legal permission); S.8 (privacy by design)</t>
  </si>
  <si>
    <t>S.4 (security/robustness); S.7 (access/secure)</t>
  </si>
  <si>
    <t>S.8 (no harm); S.9 (stop on inconsistencies)</t>
  </si>
  <si>
    <t>S.4 (robustness); S.8 (disaster scenarios)</t>
  </si>
  <si>
    <t>S.5 – 3. We put our customers first.</t>
  </si>
  <si>
    <t>S.4 (laws); S.7 (legal permission)</t>
  </si>
  <si>
    <t>S.2 – Preamble</t>
  </si>
  <si>
    <t>S.9 – 7. We maintain control.</t>
  </si>
  <si>
    <t>Agency/Choice im Kontext Daten/KI-Interaktion.;Kill switch als konkrete Kontrollmöglichkeit</t>
  </si>
  <si>
    <t>“they can choose the way of further processing their personal data.”; "stop AI systems at any time (kill switch).”</t>
  </si>
  <si>
    <t>Accountability/Responsibility im KI-Kontext.; Product Owner/Initiative Owner Verantwortlichkeiten werden geklärt</t>
  </si>
  <si>
    <t>“The human always remains responsible.”; “we clarify which initiative or product owner has which responsibilities.”</t>
  </si>
  <si>
    <t>Transparenz/Disclosure eindeutig.</t>
  </si>
  <si>
    <t>“In no case we hide it when the customer’s counterpart is an AI.”</t>
  </si>
  <si>
    <t>Black-Box-Vermeidung als Designziel</t>
  </si>
  <si>
    <t>“prevent so called ‘Black Boxes’”</t>
  </si>
  <si>
    <t>Fairness als Eigenschaft der AI-Lösungen genannt; Bias-Prävention durch Datenentfernung</t>
  </si>
  <si>
    <t>“transparent, auditable, fair, and fully documented.”</t>
  </si>
  <si>
    <t>“transparent, auditable, fair, and fully documented.”; “we remove inappropriate data to avoid bias.”</t>
  </si>
  <si>
    <t>Keine Verarbeitung privacy-relevanter Daten ohne Rechtsgrundlage;  Impact-Analysis-Paradigma: privacy &amp; security by design</t>
  </si>
  <si>
    <t>“We never process privacy-relevant data without legal permission.”; “impact analysis is ‘privacy und security by design’.”</t>
  </si>
  <si>
    <t>Security/Robustness als technische Anforderung an KI; Überblick über Datennutzung und Zugriffe als Security-Prinzip; Nutzung wird auf passende Use Cases begrenzt + Systeme gesichert</t>
  </si>
  <si>
    <t>“AI systems have to meet… technical requirements… such as security, robustness.”; “full overview of how customer related data is used and who has access”; “limit the usage to appropriate use cases and thoroughly secure our systems”</t>
  </si>
  <si>
    <t>Safety/Harm Prevention, deontisch „shall“.; Konkrete Kontrollregel (Stop-Kriterium).</t>
  </si>
  <si>
    <t>“In case of inconsistencies, we rather stop the AI system”</t>
  </si>
  <si>
    <t>Security/Robustness als technische Anforderung an KI; Konkrete Prüf-/Szenarioelemente.</t>
  </si>
  <si>
    <t>“AI systems have to meet… technical requirements… such as security, robustness.”; “full overview of how customer related data is used and who has access”; “limit the usage to appropriate use cases and thoroughly secure our systems”; “risks and chances scenarios or reliable disaster scenarios.”</t>
  </si>
  <si>
    <t>Social benefit / well-being (kundenzentriert).</t>
  </si>
  <si>
    <t>“We enrich and simplify our customers’ lives.”</t>
  </si>
  <si>
    <t>KI-Systeme müssen Regeln und Gesetzen untergeordnet sein; Keine Verarbeitung privacy-relevanter Daten ohne Rechtsgrundlage</t>
  </si>
  <si>
    <t>“We never process privacy-relevant data without legal permission.”; “AI systems have to meet… technical requirements… such as security, robustness.”</t>
  </si>
  <si>
    <t>Expliziter KI-Ethik-Bezug.</t>
  </si>
  <si>
    <t>“ensure that AI is utilized in an ethical manner.”</t>
  </si>
  <si>
    <t>Data quality/governance + fairness-bezogen.; Diverse/angemessene Dateninput-Verantwortung; Reset zur Entfernung falscher/biased Daten</t>
  </si>
  <si>
    <t>“we remove inappropriate data to avoid bias.”; “responsibility for a diverse and appropriate data input.”;  “reset… in order to remove false or biased data.”</t>
  </si>
  <si>
    <t>Rollen/Verankerung benannt; Aufgaben grob (responsibilities).</t>
  </si>
  <si>
    <t>Prozessabsicht/Schritt erwähnt; Trigger/Owner nicht vollständig.</t>
  </si>
  <si>
    <t>Konkrete Kontrolltools + „wann“ teils klar („any time“, „in case of inconsistencies“).</t>
  </si>
  <si>
    <t>Audit/Assessment nur als Eigenschaft erwähnt; keine Audit-Mechanik.</t>
  </si>
  <si>
    <t>Education zugesagt, ohne Programm-/Pflichtdetails.</t>
  </si>
  <si>
    <t>S.3 (product owner); p.12 (Group Compliance Management)</t>
  </si>
  <si>
    <t>S.8 – deep analysis/evaluation</t>
  </si>
  <si>
    <t>S.9 (kill switch/stop/reset); p.8 (privacy &amp; security by design)</t>
  </si>
  <si>
    <t>S.8 – “auditable”</t>
  </si>
  <si>
    <t>S.11 – AI and ethics education</t>
  </si>
  <si>
    <t>“we clarify which initiative or product owner has which responsibilities.”; “Group Compliance Management”</t>
  </si>
  <si>
    <t>“developed and enhanced on grounds of deep analysis and evaluation.”</t>
  </si>
  <si>
    <t>“stop AI systems at any time (kill switch).”; “In case of inconsistencies, we rather stop the AI system”; “reset… in order to remove false or biased data.”</t>
  </si>
  <si>
    <t>“We will engage in AI and ethics education.”</t>
  </si>
  <si>
    <t>C41</t>
  </si>
  <si>
    <t>„Black Boxes“ ist Explainability-Indiz, aber das Wort explainability/interpretability fällt nicht explizit.</t>
  </si>
  <si>
    <t>A: VAL_04=0 (Codebook: bevorzugt explizite Begriffe) B: VAL_04=1 (Black-Box-Vermeidung ≈ Interpretierbarkeit). Gewählt: B mit Confidence=mittel.</t>
  </si>
  <si>
    <t>Reicht „auditable“ als Audit-Evidenz (Score=1) oder ist das nur ein Qualitätsattribut (Score=0)?</t>
  </si>
  <si>
    <t>A: GOV_04=0 B: GOV_04=1 (Score-1-Definition: Audit/Assessment erwähnt ohne Details). Gewählt: B (niedrige Confidence).</t>
  </si>
  <si>
    <t>VAL_16 (BIND)</t>
  </si>
  <si>
    <t>Sind kill switch/stop/reset + data removal bereits „Standard/Prozessvorgabe“ (BIND=3) oder nur starke Prinzipien (BIND=2)?</t>
  </si>
  <si>
    <t>A: BIND=2 (Policy-Regeln) B: BIND=3 (konkrete Kontrollschritte/Tools). Gewählt: B (konservativ begründet über konkrete Tools/Schritte).</t>
  </si>
  <si>
    <t>„choose the way of further processing… personal data“: zählt als Human Agency (VAL_01) oder primär Privacy (VAL_06)?</t>
  </si>
  <si>
    <t>A: nur VAL_06 B: VAL_01+VAL_06 (Choice/Autonomie). Gewählt: B (Agency-Komponente explizit).</t>
  </si>
  <si>
    <t>Ist Kunden-Nutzen („enrich and simplify“) ausreichend für Social Benefit &amp; Human Well-being oder zu marketingnah?</t>
  </si>
  <si>
    <t>A: VAL_13=0 (zu allgemein) B: VAL_13=1 (well-being/benefit im AI-Kontext). Gewählt: B mit Confidence=mittel (Codebook: well-being/benefit zählt, wenn KI-Kontext klar).</t>
  </si>
  <si>
    <t>„deep analysis and evaluation“: reicht für Prozesse Score=1 oder Score=2? (Evidence-Minimum für 2: Trigger+Verantwortliche).</t>
  </si>
  <si>
    <t>A: Score=2 B: Score=1. Gewählt: B, da Trigger/Owner nicht genannt.</t>
  </si>
  <si>
    <t>C42</t>
  </si>
  <si>
    <t>C43</t>
  </si>
  <si>
    <t>C44</t>
  </si>
  <si>
    <t>C45</t>
  </si>
  <si>
    <t>C46</t>
  </si>
  <si>
    <t>C47</t>
  </si>
  <si>
    <t>Oversight „shall“ + Auswahl je AI-System (Operationalisierung).</t>
  </si>
  <si>
    <t>Responsibility an Menschen gebunden („must always“).</t>
  </si>
  <si>
    <t>Disclosure-Pflicht + verpflichtende Dokumentation (Standard).</t>
  </si>
  <si>
    <t>Erklärung „shall be provided… upon request“.</t>
  </si>
  <si>
    <t>„must“ + Accessibility-Standard + Objection→Corrective.</t>
  </si>
  <si>
    <t>Compliance zu DP/Privacy Policy „must comply“.</t>
  </si>
  <si>
    <t>Compliance Security Policy „must be ensured“.</t>
  </si>
  <si>
    <t>Harm-prevention Mechanismen + „red lines“ (prohibition).</t>
  </si>
  <si>
    <t>Extensive testing + Doku + Monitoring (teils „should“).</t>
  </si>
  <si>
    <t>Objection + corrective measures + Feedback channel.</t>
  </si>
  <si>
    <t>Accessibility Standards „must comply“.</t>
  </si>
  <si>
    <t>Sustainability policies als Norm (ohne weitere Prozesse).</t>
  </si>
  <si>
    <t>Compliance über Policies + Verbotsregeln (keine Gesetzesliste im Kernsatz).</t>
  </si>
  <si>
    <t>Commitment-Statement (ohne eigenen Kontrollmechanismus als Wert).</t>
  </si>
  <si>
    <t>Dataset-Anforderungen + Pflichtdokumentation inkl. Datasets/Training/Validation.</t>
  </si>
  <si>
    <t>UDHR-Commitment + HR-Safeguarding + red lines.</t>
  </si>
  <si>
    <t>S.9–10 – Principle 6</t>
  </si>
  <si>
    <t>S.11 – Principle 8</t>
  </si>
  <si>
    <t>S.10 – Principle 7.1–7.2</t>
  </si>
  <si>
    <t>S.11 – Principle 7.3</t>
  </si>
  <si>
    <t>S.8–9 – Principle 3</t>
  </si>
  <si>
    <t>S.9 – Principle 5</t>
  </si>
  <si>
    <t>S.8 – Principle 2</t>
  </si>
  <si>
    <t>S.7 – Principle 1</t>
  </si>
  <si>
    <t>S.8 – Principle 2 (High-risk)</t>
  </si>
  <si>
    <t>S.9 – Principle 3.2</t>
  </si>
  <si>
    <t>S.9 – Principle 4</t>
  </si>
  <si>
    <t>S.9 – Principle 3.2; S.12 – Speak Out</t>
  </si>
  <si>
    <t>S.9 – Principle 5; p.7 – “must not…”</t>
  </si>
  <si>
    <t>S.3 – Introduction</t>
  </si>
  <si>
    <t>S.9 – Principle 3.1; S.10 – Documentation</t>
  </si>
  <si>
    <t>S.3; S.7 – Principle 1</t>
  </si>
  <si>
    <t>Human oversight als Norm.; Operationalisierung: Auswahl je Use Case/Risk.</t>
  </si>
  <si>
    <t>“AI systems shall be subject to appropriate human oversight.”; “An appropriate form of human oversight must be chosen for each AI system”</t>
  </si>
  <si>
    <t>Responsibility/Accountability liegt immer bei Menschen/Entities</t>
  </si>
  <si>
    <t>“responsibility must always be attributable to actors (humans)”</t>
  </si>
  <si>
    <t>Transparenz/Disclosure als Pflicht.; Konkretisierung der Disclosure-Pflicht.; Daten-/Modell-/Prozessdoku als verbindlicher Standard.</t>
  </si>
  <si>
    <t>“End-users must always be aware of their interaction with an AI system.”; “AI systems must be made identifiable as such.”; “each AI system must be accompanied by a comprehensive set of documentation.”</t>
  </si>
  <si>
    <t>Explainability-Pflicht (request-based).</t>
  </si>
  <si>
    <t>“a clear and simple explanation… shall be provided… upon request.”</t>
  </si>
  <si>
    <t>Fairness/Non-discrimination als Pflicht.; Inclusiveness/Accessibility im KI-Kontext.; Betroffene können Outputs challengen/objektieren; corrective measures</t>
  </si>
  <si>
    <t>“AI systems must be designed… to avoid discriminatory or biased outcomes.”; “The AI system must comply with the SAP Accessibility Standards.”; “enable… to… object… SAP will implement corrective measures”</t>
  </si>
  <si>
    <t>Privacy &amp; data protection als Pflicht.</t>
  </si>
  <si>
    <t>“must comply with the SAP’s Global Data Protection and Privacy Policy”</t>
  </si>
  <si>
    <t>Safety/Security: Compliance Global Security Policy muss sichergestellt werden</t>
  </si>
  <si>
    <t>“Compliance with SAP’s Global Security Policy must be ensured.”</t>
  </si>
  <si>
    <t>Do Not Harm: Impact classification &amp; harm prevention Maßnahmen sollen definiert werden; Klarer Verbotsmodus (policy rule).</t>
  </si>
  <si>
    <t>“Impact classification mechanisms and measures to prevent harm shall be defined”; “AI systems must not be developed or deployed”</t>
  </si>
  <si>
    <t>High-risk: extensive testing + Doku von Testfällen/Ergebnissen; Tests sollen dokumentiert werden (Development Policy); Monitoring kontinuierlich empfohlen</t>
  </si>
  <si>
    <t>“AI systems must be tested extensively”; “Tests cases and results should be documented”; “An AI system should be monitored continuously”</t>
  </si>
  <si>
    <t>Betroffene können Outputs challengen/objektieren; corrective measures; “enable… to… object… SAP will implement corrective measures”</t>
  </si>
  <si>
    <t>Accessibility Standards als Pflicht</t>
  </si>
  <si>
    <t>“The AI system must comply with the SAP Accessibility Standards.”</t>
  </si>
  <si>
    <t>Sustainability als Norm.</t>
  </si>
  <si>
    <t>“shall be conducted in accordance with SAP's sustainability policies.”</t>
  </si>
  <si>
    <t>Privacy &amp; data protection als Pflicht.; Klarer Verbotsmodus (policy rule).</t>
  </si>
  <si>
    <t>“must comply with the SAP’s Global Data Protection and Privacy Policy”; “AI systems must not be developed or deployed”</t>
  </si>
  <si>
    <t>Expliziter KI-Ethik-Commitment.</t>
  </si>
  <si>
    <t>“SAP is committed to the ethical development, deployment, use, and sale of AI systems.”</t>
  </si>
  <si>
    <t>Datenqualität/Representativeness.; Daten-/Modell-/Prozessdoku als verbindlicher Standard.</t>
  </si>
  <si>
    <t>“shall be tested on a dataset… representative, relevant, accurate”; “each AI system must be accompanied by a comprehensive set of documentation.”</t>
  </si>
  <si>
    <t>Human Rights als Fundament (UDHR); Harm-prevention + Mechanismus.; Red lines: bestimmte Use Cases verboten (“must not…”)</t>
  </si>
  <si>
    <t>“...uphold and support the Universal Declaration of Human Rights.”; “Impact classification mechanisms and measures to prevent harm shall be defined”; “AI systems must not be developed or deployed”</t>
  </si>
  <si>
    <t>Rollen/Gremien + Mandate beschrieben (Steering, Advisory, Office, Workstream).</t>
  </si>
  <si>
    <t>Use-case Evaluation inkl. Checkpoints + Risk-Kategorien + Entscheidungspfad.</t>
  </si>
  <si>
    <t>Assessments/Tests/Dokumentationspflicht als Checks, teils ohne Toolnamen.</t>
  </si>
  <si>
    <t>Periodische Evaluation „must be performed and documented“ (Review-Mechanismus).</t>
  </si>
  <si>
    <t>Training-Material/Opportunities explizit (Beschreibung, nicht nur Schlagwort).</t>
  </si>
  <si>
    <t>Anonymer Kanal + Expert Panels als Eskalations-/Entscheidungsinstanzen.</t>
  </si>
  <si>
    <t>Abweichungen werden dokumentiert &amp; geteilt; keine KPI-/Frequenz-/Empfängerlogik.</t>
  </si>
  <si>
    <t>S.6–7 – Roles and Responsibilities</t>
  </si>
  <si>
    <t>S.12 – 7. Governance (Use case evaluation)</t>
  </si>
  <si>
    <t>S.11 (assessments); p.8 (tests documented); p.10 (documentation)</t>
  </si>
  <si>
    <t>S.12 – periodic evaluation</t>
  </si>
  <si>
    <t>S.7 – Trustworthy AI Workstream</t>
  </si>
  <si>
    <t>S.12 – Speak Out; high-risk panels decide</t>
  </si>
  <si>
    <t>S.11 – Documentation (High-risk)</t>
  </si>
  <si>
    <t>“Accountable for approving high-risk use cases.”; “independent and unbiased feedback and recommendations”; “Reviewing and updating the AI Ethics policy and guiding principles.”; “Providing education and training material”</t>
  </si>
  <si>
    <t>“several checkpoints… required before releasing the AI system.”; “High risk… panels… decide… Forbidden… will not allow”</t>
  </si>
  <si>
    <t>“impact and policy compliance assessments are in place”; “Tests cases and results should be documented”; “each AI system must be accompanied by a comprehensive set of documentation.”</t>
  </si>
  <si>
    <t>“A periodic evaluation… must be performed and documented.”</t>
  </si>
  <si>
    <t>“Providing education and training material”</t>
  </si>
  <si>
    <t>“they can use the Speak Out tool.”; “High risk… panels… decide… Forbidden… will not allow”</t>
  </si>
  <si>
    <t>“shall be promptly documented… and shared with other actors.”</t>
  </si>
  <si>
    <t>„assessments are in place“: reicht das für Score=2 (dokumentiert) oder nur Score=1 (benannt)?</t>
  </si>
  <si>
    <t>A: Score=1 (keine Methode/Owner) B: Score=2 (Check/Assessment explizit). Gewählt: B (konservativ), da Assessments klar als Mechanismus benannt.</t>
  </si>
  <si>
    <t>Ist „periodic evaluation… performed and documented“ bereits Score=2 (dokumentiert) oder Score=3 (implementiert &amp; nachweisbar)?</t>
  </si>
  <si>
    <t>A: Score=2 (kein Audit-Report/KPI) B: Score=3 (Frequenz risikobasiert). Gewählt: A, da kein Nachweis realer Auditberichte/KPIs.</t>
  </si>
  <si>
    <t>Contestability/Redress: ist das BIND=2 (Regel) oder BIND=3 (Prozessvorgabe) wegen Verweis auf Governance/Feedback-Mechanismen?</t>
  </si>
  <si>
    <t>A: BIND=2 B: BIND=3 (Mechanismen + corrective). Gewählt: B, da Objection→Corrective + Governance-Verweis konkretisiert.</t>
  </si>
  <si>
    <t>„AI presents opportunities for society“ ist da, aber ohne eigenes Prinzip „social benefit“. Codieren?</t>
  </si>
  <si>
    <t>A: VAL_13=1 (Society benefit) B: VAL_13=0 (zu allgemein). Gewählt: B konservativ.</t>
  </si>
  <si>
    <t>„should be documented/monitored“ (soft modal) vs „must be tested extensively“. Welche Bindigkeit?</t>
  </si>
  <si>
    <t>A: BIND=2 B: BIND=3 (konkrete Testing/Doku-Anforderungen). Gewählt: B, da „must be tested extensively“ + dokumentationsbezogene Vorgaben.</t>
  </si>
  <si>
    <t>Ist Dokumentationspflicht eher Transparenz (VAL_03) oder Data Governance (VAL_16) oder beides?</t>
  </si>
  <si>
    <t>A: nur VAL_03 B: VAL_03 + VAL_16. Gewählt: B, da Doku explizit Datasets/Training/Validation umfasst (Data/Model Governance).</t>
  </si>
  <si>
    <t>V0.2</t>
  </si>
  <si>
    <t>07.03.2026</t>
  </si>
  <si>
    <t>no</t>
  </si>
  <si>
    <t>Regel-ID</t>
  </si>
  <si>
    <t>Kategorie</t>
  </si>
  <si>
    <t>Regeltext</t>
  </si>
  <si>
    <t>Betroffene Codes</t>
  </si>
  <si>
    <t>Trigger</t>
  </si>
  <si>
    <t>Testfrage</t>
  </si>
  <si>
    <t>R01</t>
  </si>
  <si>
    <t>(iii) In-/Exklusion</t>
  </si>
  <si>
    <t>Ohne expliziten KI-Anker wird weder ein Value noch ein Governance-Kriterium codiert.</t>
  </si>
  <si>
    <t>alle VAL, alle GOV</t>
  </si>
  <si>
    <t>C19–C24</t>
  </si>
  <si>
    <t>„Steht AI/KI/algorithmic/model/ML o. ä. wirklich im codierten Satz/Abschnitt?“</t>
  </si>
  <si>
    <t>R02</t>
  </si>
  <si>
    <t>Es zählt nur sichtbar belegter Text; aus fehlenden Antworten, impliziten Inhalten oder vermuteten Anhängen wird nichts abgeleitet.</t>
  </si>
  <si>
    <t>alle</t>
  </si>
  <si>
    <t>„Kann ich die Evidenzstelle wörtlich zeigen?“</t>
  </si>
  <si>
    <t>R03</t>
  </si>
  <si>
    <t>(iii) PR vs Substanz</t>
  </si>
  <si>
    <t>Reine Image-/Wohlklangsprache ohne Norm, Mechanik oder definierte KI-Aussage wird nicht codiert.</t>
  </si>
  <si>
    <t>C5, C24, C45</t>
  </si>
  <si>
    <t>„Ist das mehr als PR – also Pflicht, Grenze oder Mechanik?“</t>
  </si>
  <si>
    <t>R04</t>
  </si>
  <si>
    <t>(i) Value↔Value</t>
  </si>
  <si>
    <t>VAL_03 = Offenlegung/Identifizierbarkeit/Einsatztransparenz; VAL_04 = Erklärung/Interpretierbarkeit/Verstehbarkeit von Output oder Entscheidungslogik.</t>
  </si>
  <si>
    <t>VAL_03, VAL_04</t>
  </si>
  <si>
    <t>C7, C36</t>
  </si>
  <si>
    <t>„Geht es um disclosure – oder darum, dass man die Entscheidung erklären/verstehen kann?“</t>
  </si>
  <si>
    <t>R05</t>
  </si>
  <si>
    <t>VAL_08 und VAL_09 dürfen nebeneinander codiert werden: Safety/Harm/Misuse = VAL_08; Robustheit/Zuverlässigkeit/Testing = VAL_09.</t>
  </si>
  <si>
    <t>VAL_08, VAL_09</t>
  </si>
  <si>
    <t>C11, C25, C35</t>
  </si>
  <si>
    <t>„Steht explizit Schaden/Missbrauch drin – oder nur Robustheit?“</t>
  </si>
  <si>
    <t>R06</t>
  </si>
  <si>
    <t>Datensatz-Inklusion/Repräsentativität ist nicht automatisch VAL_11; meist primär VAL_05 und/oder VAL_16.</t>
  </si>
  <si>
    <t>VAL_11, VAL_05, VAL_16</t>
  </si>
  <si>
    <t>„Geht es um Accessibility/Teilhabe – oder um Datenqualität/Fairness?“</t>
  </si>
  <si>
    <t>R07</t>
  </si>
  <si>
    <t>VAL_14 codiert Rechts-/Standardkonformität; VAL_15 nur ethische Leitplanken, die über bloße Compliance hinausgehen.</t>
  </si>
  <si>
    <t>VAL_14, VAL_15</t>
  </si>
  <si>
    <t>C5, C26</t>
  </si>
  <si>
    <t>„Wird hier Recht eingehalten – oder eine eigenständige ethische Grenze gezogen?“</t>
  </si>
  <si>
    <t>R08</t>
  </si>
  <si>
    <t>Privacy zählt zusätzlich als VAL_18 nur bei explizitem Human-Rights-Framing.</t>
  </si>
  <si>
    <t>VAL_06, VAL_18</t>
  </si>
  <si>
    <t>„Steht privacy bloß als Datenschutz – oder ausdrücklich als human right?“</t>
  </si>
  <si>
    <t>R09</t>
  </si>
  <si>
    <t>Dokumentation mit Daten-/Dataset-/Training-/Validation-Bezug zählt zusätzlich als VAL_16; reine Offenlegung bleibt VAL_03.</t>
  </si>
  <si>
    <t>VAL_03, VAL_16</t>
  </si>
  <si>
    <t>„Dokumentiert der Satz Governance des Daten-/Modellinputs?“</t>
  </si>
  <si>
    <t>R10</t>
  </si>
  <si>
    <t>(ii) Value↔Governance</t>
  </si>
  <si>
    <t>Verantwortungsprinzip als Norm = VAL_02; benannte Rollen/Einheiten/Approver = GOV_01. Einspruchsrecht = VAL_10; Eskalationsprozess = GOV_06.</t>
  </si>
  <si>
    <t>VAL_02/GOV_01, VAL_10/GOV_06</t>
  </si>
  <si>
    <t>C15, C34, C44</t>
  </si>
  <si>
    <t>„Ist das ein normativer Anspruch – oder ein organisatorischer Mechanismus?“</t>
  </si>
  <si>
    <t>R11</t>
  </si>
  <si>
    <t>(iv) Bindigkeit</t>
  </si>
  <si>
    <t>BIND=2 bei deontischer Regel; BIND=3 nur bei konkretem Prozess-, Check-, Testing-, Dokumentations- oder Kontrollschritt.</t>
  </si>
  <si>
    <t>alle VAL mit BIND</t>
  </si>
  <si>
    <t>C1, C8, C18, C31, C38, C44, C46</t>
  </si>
  <si>
    <t>„Steht hier nur must/shall – oder auch ein konkreter Vollzugsschritt?“</t>
  </si>
  <si>
    <t>R12</t>
  </si>
  <si>
    <t>(iv) Governance-Score</t>
  </si>
  <si>
    <t>Score 1 = Absicht/Benennung; Score 2 = dokumentierter Mechanismus mit Ablauf-/Einsatzbezug; Score 3 = Implementierung mit Nachweis/Outputs/KPIs/Reviewzyklen.</t>
  </si>
  <si>
    <t>alle GOV</t>
  </si>
  <si>
    <t>C3, C9, C13, C28, C33, C41, C42, C43</t>
  </si>
  <si>
    <t>„Kann ich zeigen, wie es läuft – und gibt es sogar Belege, dass es läuft?“</t>
  </si>
  <si>
    <t>R13</t>
  </si>
  <si>
    <t>Bei GOV_04 reicht ein bloßes Attribut wie „auditable“ nicht; auditnahe Aktivitäten (inspection/evaluation/assessment) genügen für 1, dokumentierte Mechanik für 2, Reports/KPIs/Zyklen für 3.</t>
  </si>
  <si>
    <t>C14, C37, C43</t>
  </si>
  <si>
    <t>„Ist audit nur Eigenschaft – oder eine tatsächliche Aktivität?“</t>
  </si>
  <si>
    <t>R14</t>
  </si>
  <si>
    <t>(v) Mehrfachcodierung/Maximalprinzip</t>
  </si>
  <si>
    <t>Mehrfachcodierung ist zulässig, wenn zwei eigenständige normative Kerne vorliegen; innerhalb eines Codes gilt das höchste belastbar belegte Niveau.</t>
  </si>
  <si>
    <t>VAL_08/09, VAL_03/16, BIND</t>
  </si>
  <si>
    <t>C25, C35, C46, C47</t>
  </si>
  <si>
    <t>„Beschreibt derselbe Satz zwei wirklich verschiedene Dinge?“</t>
  </si>
  <si>
    <t>Remove: Document Log Change Columns</t>
  </si>
  <si>
    <t>modify</t>
  </si>
  <si>
    <t>02_Values_Codebook → notes_boundary_cases</t>
  </si>
  <si>
    <t>VAL_03 codieren, wenn Offenlegung, Identifizierbarkeit oder der Einsatz von KI gemeint ist (z. B. disclose AI involvement, AI system identifiable). Nicht als VAL_04 codieren, solange keine Erklärung/Interpretierbarkeit von Output, Modell oder Entscheidungslogik gefordert wird.</t>
  </si>
  <si>
    <t>Trennschärfe aus C7, C27, C47; verhindert Vermischung von disclosure und explanation.</t>
  </si>
  <si>
    <t>02_Values_Codebook → include_rules</t>
  </si>
  <si>
    <t>Wenn Erklärbarkeit, Interpretierbarkeit oder Verständlichkeit von KI-Output oder Entscheidungslogik gefordert wird; dazu zählen auch Formulierungen wie "comprehensible decision-making processes" oder die Vermeidung von "black boxes", sofern sie auf Verstehbarkeit/Erklärung und nicht nur auf Offenlegung zielen.</t>
  </si>
  <si>
    <t>Direkt aus C7 und C36; schärft Explainability jenseits reiner Terminus-Treue.</t>
  </si>
  <si>
    <t>VAL_08 zusätzlich zu VAL_09 codieren, wenn Schäden, unbeabsichtigte Folgen, Missbrauch oder Safety explizit benannt sind. Reine Robustheits-/Zuverlässigkeitsrhetorik ohne Harm-/Safety-Anker bleibt nur VAL_09.</t>
  </si>
  <si>
    <t>C11, C25, C35 zeigen wiederkehrende Doppelcodierungslogik.</t>
  </si>
  <si>
    <t>Wenn Robustheit, Zuverlässigkeit, Genauigkeit, Testing oder Monitoring ausdrücklich auf das Erreichen intendierter Ergebnisse, Fehlerresistenz oder stabile Funktion von KI zielen. Bloßes Monitoring/Feedback ohne Bezug zu Output-Qualität oder intended outcome reicht nicht.</t>
  </si>
  <si>
    <t>C2, C17, C46: Monitoring darf nur mit Qualitätsanker zu VAL_09 führen.</t>
  </si>
  <si>
    <t>02_Values_Codebook → exclude_rules</t>
  </si>
  <si>
    <t>Allgemeine DEI-/HR-Aussagen ohne KI-Bezug ausschließen. Ebenfalls ausschließen: "inclusion in data sets", repräsentative Daten oder Bias-Minderung ohne Bezug zu Accessibility, Teilhabe oder inklusivem Design; diese Fälle primär unter VAL_05 und/oder VAL_16 prüfen.</t>
  </si>
  <si>
    <t>C16 und C32 machen dieselbe Grenze aus zwei Richtungen sichtbar.</t>
  </si>
  <si>
    <t>Wenn gesellschaftlicher oder menschlicher Nutzen/Wohlbefinden im KI-Kontext ausdrücklich als Ziel oder Ergebnis benannt wird; auch kundenseitiger Nutzen zählt, sofern der Nutzenbezug konkret ("improve/enrich/simplify lives", well-being, benefit) und nicht bloß Innovations- oder Chancenrhetorik ist.</t>
  </si>
  <si>
    <t>C40 vs. C45: erlaubt DTE, schließt SAP-Opportunity-Rhetorik aus.</t>
  </si>
  <si>
    <t>VAL_14 nur bei erkennbarem KI-, Regulierungs- oder Standardbezug codieren. BIND=2 bei deontischer Compliance-Regel ("must/always comply", "may only"). BIND=3 nur, wenn die Compliance-Anforderung an konkrete Inventare, Assessments, Tests oder Dokumentationspflichten gekoppelt ist.</t>
  </si>
  <si>
    <t>C8, C18, C26 systematisieren BIND-Logik für Compliance.</t>
  </si>
  <si>
    <t>Reine Ethik-/Responsible-AI-Rhetorik ohne normative Grenze ausschließen. "Do not"/Prohibited-AI-Fälle nur dann VAL_15, wenn die Grenze ethisch begründet wird; ist sie ausschließlich als Rechts-/Policy-Verstoß formuliert, primär VAL_14 codieren.</t>
  </si>
  <si>
    <t>C5 trennt ethische Leitplanke von reiner Rechtsbindung.</t>
  </si>
  <si>
    <t>Wenn Datenqualität, Datenherkunft, Repräsentativität, Lineage, Dokumentation von Datasets/Training/Validation oder Data Stewardship im KI-Kontext gefordert werden; auch Pflichtdokumentation zählt, sofern sie Daten- oder Modellgovernance betrifft.</t>
  </si>
  <si>
    <t>C10, C38, C47 erweitern VAL_16 belastbar in Richtung Dataset-/Dokumentationsgovernance.</t>
  </si>
  <si>
    <t>Allgemeine Datenstrategie oder allgemeine "strong data/AI governance"-Rhetorik ohne konkrete Datenqualitäts-, Dataset- oder Stewardship-Anforderung ausschließen; reine Offenlegung/Dokumentation ohne Daten-/Modellbezug primär unter VAL_03 prüfen.</t>
  </si>
  <si>
    <t>C10/C47 verlangen explizite Grenze zu VAL_03 und zu bloßer Governance-Rhetorik.</t>
  </si>
  <si>
    <t>Wenn Menschenrechte, dignity, UDHR/UNGP oder einzelne Rechte ausdrücklich als Menschenrechtsrahmen für KI genannt werden; Privacy zählt zusätzlich als VAL_18 nur dann, wenn sie explizit als human right oder im Human-Rights-Framework verankert wird.</t>
  </si>
  <si>
    <t>C12 macht die Bedingung explizit.</t>
  </si>
  <si>
    <t>04_Governance_Codebook → score_1_definition</t>
  </si>
  <si>
    <t>AI-bezogene Rolle, Einheit oder Ownership grob benannt (z. B. AI office, ethics committee, clear accountability/ownership), aber ohne ausdifferenzierte Aufgaben- oder Freigabelogik.</t>
  </si>
  <si>
    <t>C15 und C34 zeigen, dass Score 1 einen AI-Bezug braucht, aber noch keine RACI-Logik.</t>
  </si>
  <si>
    <t>04_Governance_Codebook → score_2_definition</t>
  </si>
  <si>
    <t>Konkreter Check/Mechanismus dokumentiert; der Toolname ist nicht zwingend, wenn Checktyp, Prüfgegenstand und Einsatzzeitpunkt/Anlass erkennbar sind (z. B. representativeness verification, impact assessment, extensive testing, documented monitoring).</t>
  </si>
  <si>
    <t>C13, C28, C42 rechtfertigen Score 2 auch ohne Tool-Markenname; C33 bleibt trotzdem bei 1.</t>
  </si>
  <si>
    <t>04_Governance_Codebook → evidence_minimum</t>
  </si>
  <si>
    <t>Name des Tools ODER klar benannter Checktyp/Assessment + Prüfgegenstand + wann/wofür eingesetzt.</t>
  </si>
  <si>
    <t>Präzisiert die Schwelle zwischen C13/C42 und C33.</t>
  </si>
  <si>
    <t>Audit, Assessment, inspection oder evaluation als Aktivität erwähnt, aber ohne Mechanik/Frequenz/Verantwortliche. Ein bloßes Qualitätsattribut wie "auditable" reicht nicht.</t>
  </si>
  <si>
    <t>C14, C37, C43; beseitigt den stärksten Governance-Grenzfall.</t>
  </si>
  <si>
    <t>yes</t>
  </si>
  <si>
    <t>Awareness, education oder training ausdrücklich angekündigt, empfohlen oder bereitgestellt; ohne Zielgruppe, Pflichtgrad oder Programmstruktur bleibt Score 1.</t>
  </si>
  <si>
    <t>C29 und DTE-Fall: Awareness muss als Training benennbar sein, aber bleibt ohne Programm bei 1.</t>
  </si>
  <si>
    <t>Explizite Reporting-/Disclosure-Absicht zu AI-Risiken, Kontrollen oder Vorfällen erwähnt. Bloße Beratungsempfehlungen an ein Gremium ohne Reportgegenstand zählen nicht.</t>
  </si>
  <si>
    <t>C4 vs. C30 verlangt saubere Trennung zwischen reporting und advisory function.</t>
  </si>
  <si>
    <t>Klarer Kontroll-/Override-Schritt; stärkste Evidenz im Dokument.</t>
  </si>
  <si>
    <t>Verantwortungsprinzip explizit, aber ohne Rollen-/Mechanikanker im Wertesinn.</t>
  </si>
  <si>
    <t>Disclosure/Offenlegung des AI-Einsatzes.</t>
  </si>
  <si>
    <t>Explainability explizit, aber nur Prinzipienniveau.</t>
  </si>
  <si>
    <t>Fairness klar, ohne operativen Kontrollschritt.</t>
  </si>
  <si>
    <t>KI-bezogener Datenschutz eindeutig.</t>
  </si>
  <si>
    <t>Security-Anker vorhanden, aber nicht weiter operationalisiert.</t>
  </si>
  <si>
    <t>Safety/Harm-Prevention klar, jedoch ohne Prozessschritt.</t>
  </si>
  <si>
    <t>Robustheit explizit, aber nicht test-/monitoringbezogen.</t>
  </si>
  <si>
    <t>—</t>
  </si>
  <si>
    <t>Kein belastbarer Redress-/Contestability-Anker.</t>
  </si>
  <si>
    <t>Kein Accessibility-/Teilhabebeleg mit KI-Anker.</t>
  </si>
  <si>
    <t>Umweltbezug explizit.</t>
  </si>
  <si>
    <t>Konkreter Well-being-/Benefit-Anker.</t>
  </si>
  <si>
    <t>Standard-/Compliance-Bezug; deontisch stärker als bloßes Statement.</t>
  </si>
  <si>
    <t>Nur Ethik-/Responsible-AI-Rhetorik; keine eigenständige ethische Grenze.</t>
  </si>
  <si>
    <t>Kein konkreter Data-quality-/Dataset-governance-Anker.</t>
  </si>
  <si>
    <t>Kein belastbarer KI-spezifischer IP-/Confidentiality-Anker.</t>
  </si>
  <si>
    <t>Human-rights-Frame explizit genannt.</t>
  </si>
  <si>
    <t>S.2 – Diversity, non-discrimination and fairness</t>
  </si>
  <si>
    <t>Rolle/Einheit und Aufgaben sichtbar; keine Review-/Reporting-Belege.</t>
  </si>
  <si>
    <t>Nur Prozessabsicht; keine Prozessstufen/Trigger/Owner.</t>
  </si>
  <si>
    <t>Konkreter Check-/Inventory-Mechanismus, aber ohne Protokoll-/Output-Nachweis.</t>
  </si>
  <si>
    <t>Awareness benannt, aber kein Trainingsprogramm/Pflichtgrad.</t>
  </si>
  <si>
    <t>Reporting-Absicht ja, aber ohne Empfänger/Frequenz/KPI.</t>
  </si>
  <si>
    <t>Klarer menschlicher Kontroll-/Interventionsschritt.</t>
  </si>
  <si>
    <t>Deutliches Verantwortungsprinzip; keine weitergehende Prozesskopplung.</t>
  </si>
  <si>
    <t>Klare Disclosure-Regel.</t>
  </si>
  <si>
    <t>Explainability-Anker vorhanden, aber nur auf Prinzipienniveau.</t>
  </si>
  <si>
    <t>Konkreter Anti-Bias-Kontrollschritt.</t>
  </si>
  <si>
    <t>Klare Privacy-Regel; stärkste Evidenz bleibt deontisch.</t>
  </si>
  <si>
    <t>Security-Regel mit konkreter Absicherungsrichtung.</t>
  </si>
  <si>
    <t>Konkrete Harm-prevention-Stop-Regel.</t>
  </si>
  <si>
    <t>Robustheit explizit; kein Test-/Monitoringbeleg für 3.</t>
  </si>
  <si>
    <t>Kein belastbarer Redress-/Complaint-Mechanismus.</t>
  </si>
  <si>
    <t>Kein Inclusiveness-/Accessibility-Anker.</t>
  </si>
  <si>
    <t>Kein Umwelt-/Green-AI-Anker im Short Doc.</t>
  </si>
  <si>
    <t>Konkreter Kundennutzen, aber ohne weitere Operationalisierung.</t>
  </si>
  <si>
    <t>Deontische Compliance-Regel.</t>
  </si>
  <si>
    <t>Nur Ethik-Rhetorik; keine explizite ethische Grenze/„do not“-Leitplanke.</t>
  </si>
  <si>
    <t>Konkreter Data-governance-/Data-quality-Kontrollschritt.</t>
  </si>
  <si>
    <t>Kein KI-spezifischer IP-/Confidentiality-Anker.</t>
  </si>
  <si>
    <t>Kein expliziter Human-rights-Frame im Sinne des Codebooks.</t>
  </si>
  <si>
    <t>pilot_value_present</t>
  </si>
  <si>
    <t>recode_value_present</t>
  </si>
  <si>
    <t>pilot_binding_level</t>
  </si>
  <si>
    <t>recode_binding_level</t>
  </si>
  <si>
    <t>delta_type</t>
  </si>
  <si>
    <t>change_cause</t>
  </si>
  <si>
    <t>evidence_anchor_recode</t>
  </si>
  <si>
    <t>binding</t>
  </si>
  <si>
    <t>Correction of inconsistent pilot coding</t>
  </si>
  <si>
    <t>Rule change (expected)</t>
  </si>
  <si>
    <t>both</t>
  </si>
  <si>
    <t>kein eigenständiger ethischer Grenzsatz in doc 37</t>
  </si>
  <si>
    <t>kein ethischer Grenzsatz, nur Responsible-AI-Rhetorik</t>
  </si>
  <si>
    <t>POST-HOC Vergleich: Re-Coding vs Pilot-Coding</t>
  </si>
  <si>
    <t>doc 37, S.2 – human monitoring / overrule</t>
  </si>
  <si>
    <t>doc 37, S.2 – applicable safety standards</t>
  </si>
  <si>
    <t>doc 86, S.9 – kill switch</t>
  </si>
  <si>
    <t>doc 86, S.9 – remove inappropriate data to avoid bias</t>
  </si>
  <si>
    <t>doc 86, S.9 – stop AI system on inconsistencies</t>
  </si>
  <si>
    <t>Keine Governance-Deltas.</t>
  </si>
  <si>
    <t>Alle sieben BMW-Governance-Codes und alle sieben Deutsche-Telekom-Governance-Codes stimmen im Re-Coding mit den Pilot-Scores überein.</t>
  </si>
  <si>
    <t>V0.02-V1.0</t>
  </si>
  <si>
    <t>FREEZE NACH ERFOLGREICHEM RE-CODING</t>
  </si>
  <si>
    <t>Explizite menschliche Aufsicht und Override; Prinzipienebene</t>
  </si>
  <si>
    <t>Verantwortung für Funktion und Folgen von KI klar benannt</t>
  </si>
  <si>
    <t>Transparenz explizit im KI-Abschnitt</t>
  </si>
  <si>
    <t>„explainable systems“ explizit</t>
  </si>
  <si>
    <t>Fairness und Nicht-Diskriminierung explizit</t>
  </si>
  <si>
    <t>Datenschutz explizit genannt</t>
  </si>
  <si>
    <t>Kein expliziter KI-Sicherheits-/Cybersecurity-Anker</t>
  </si>
  <si>
    <t>Safety-first-Prinzip mit Schutzbezug</t>
  </si>
  <si>
    <t>Reliability/Dependability explizit</t>
  </si>
  <si>
    <t>Kein Einspruchs-, Beschwerde- oder Redress-Mechanismus</t>
  </si>
  <si>
    <t>„diversity and inclusion“ erscheint eher als Fairness-Unterstützung, nicht als Accessibility/inklusive Gestaltung</t>
  </si>
  <si>
    <t>Nachhaltigkeit/Planet explizit im KI-Kontext</t>
  </si>
  <si>
    <t>„societal wellbeing“ explizit</t>
  </si>
  <si>
    <t>IHL-Adhärenz im KI-Kontext, aber ohne deontische Regel</t>
  </si>
  <si>
    <t>„trustworthy AI“ / „ethics by design“ bleibt hier zu allgemein, keine klare ethische Grenze/Do-not-Regel</t>
  </si>
  <si>
    <t>„data privacy and governance standards“ ohne Datenqualitäts-, Lineage- oder Stewardship-Anker</t>
  </si>
  <si>
    <t>Kein expliziter KI-bezogener IP-/Confidentiality-Bezug</t>
  </si>
  <si>
    <t>Menschenrechte explizit als KI-Rahmen genannt</t>
  </si>
  <si>
    <t>S. 5, Our approach to Artificial Intelligence (AI)</t>
  </si>
  <si>
    <t>“Human oversight of AI systems is essential”; “override AI decisions when necessary”</t>
  </si>
  <si>
    <t>Menschliche Aufsicht über KI wird als essenziell beschrieben.</t>
  </si>
  <si>
    <t>“takes responsibility for their function and consequences”</t>
  </si>
  <si>
    <t>Airbus beansprucht Verantwortung und will transparente sowie erklärbare KI-Systeme gestalten.</t>
  </si>
  <si>
    <t>“designing transparent and explainable systems”</t>
  </si>
  <si>
    <t>Transparenz und Erklärbarkeit werden gemeinsam genannt.</t>
  </si>
  <si>
    <t>“fairness for all, without discrimination”</t>
  </si>
  <si>
    <t>KI soll fair und diskriminierungsfrei sein.</t>
  </si>
  <si>
    <t>“adheres to strict data privacy and governance standards”</t>
  </si>
  <si>
    <t>Datenschutz und Data Governance werden als Standards genannt.</t>
  </si>
  <si>
    <t>“Safety is our top priority”</t>
  </si>
  <si>
    <t>Sicherheit, Zuverlässigkeit und Schutz vor Schäden werden als KI-Prinzip gesetzt.</t>
  </si>
  <si>
    <t>“highest standards of reliability and dependability”</t>
  </si>
  <si>
    <t>Airbus betont Zuverlässigkeit und Verlässlichkeit von KI-Systemen.</t>
  </si>
  <si>
    <t>“enhance societal wellbeing”</t>
  </si>
  <si>
    <t>“enhance societal wellbeing”; “contribute to our sustainability goals by respecting the planet”</t>
  </si>
  <si>
    <t>KI wird mit planetärer Verantwortung und Prosperität verknüpft.</t>
  </si>
  <si>
    <t>Sozialnutzen explizit</t>
  </si>
  <si>
    <t>“integrating respect for human rights and adherence to International Humanitarian Law (IHL)”</t>
  </si>
  <si>
    <t>Airbus verankert KI ausdrücklich in einem menschenrechtlichen und IHL-bezogenen Rahmen.</t>
  </si>
  <si>
    <t>Keine AI-spezifischen Rollen, Owner oder Gremien im KI-Abschnitt</t>
  </si>
  <si>
    <t>Keine AI-spezifischen Checks, Assessments oder Tools mit KI-Anker</t>
  </si>
  <si>
    <t>Keine AI-spezifischen Audit-/Assessment-Mechaniken</t>
  </si>
  <si>
    <t>Keine AI-spezifischen Trainings erwähnt</t>
  </si>
  <si>
    <t>Kein AI-spezifischer Eskalations- oder Incident-Prozess</t>
  </si>
  <si>
    <t>Kein AI-spezifisches Reporting, keine KPIs, keine Disclosure-Struktur</t>
  </si>
  <si>
    <t>gov_id</t>
  </si>
  <si>
    <t>keine Schritte, Trigger, Verantwortlichen</t>
  </si>
  <si>
    <t>Prozessabsicht/Ansatz („ethics by design“) erwähnt</t>
  </si>
  <si>
    <t>“we prioritise an ethics by design approach to AI”</t>
  </si>
  <si>
    <t>VAL_15, GOV_02</t>
  </si>
  <si>
    <t>„ethics by design approach to AI“ kann als ethische Leitplanke oder als bloßer Prozesshinweis gelesen werden.</t>
  </si>
  <si>
    <t>A: VAL_15=1 bzw. GOV_02=1, weil ethischer Designansatz erwähnt wird. B: VAL_15=0, GOV_02=1, weil keine explizite ethische Grenze/Do-not-Regel, aber Prozessabsicht vorhanden. Gewählt: B, konservativ nach Codebook.</t>
  </si>
  <si>
    <t>VAL_06, VAL_16</t>
  </si>
  <si>
    <t>„data privacy and governance standards“ könnte Privacy oder Data Governance/Data Quality betreffen.</t>
  </si>
  <si>
    <t>A: VAL_06=1 und VAL_16=1. B: nur VAL_06=1, weil keine Qualität, Herkunft, Lineage oder Stewardship konkretisiert wird. Gewählt: B, konservativ nach Codebook.</t>
  </si>
  <si>
    <t>VAL_05, VAL_11</t>
  </si>
  <si>
    <t>„support diversity and inclusion“ im Fairness-Satz könnte als Inclusiveness mitgezählt werden.</t>
  </si>
  <si>
    <t>A: VAL_05=1 und VAL_11=1. B: nur VAL_05=1, da kein Accessibility-/Teilhabe-/inklusive-Design-Anker. Gewählt: B, konservativ nach Codebook.</t>
  </si>
  <si>
    <t>GOV_03, GOV_04, GOV_07</t>
  </si>
  <si>
    <t>Vor dem AI-Abschnitt werden Due Diligence, Risk Assessment und regelmäßige Reviews beschrieben; unklar ist, ob diese auf KI übertragbar sind.</t>
  </si>
  <si>
    <t>A: Governance-Codes &gt;0 vergeben, weil unmittelbar vor KI-Abschnitt. B: nicht codieren, weil kein expliziter KI-Anker in diesen Passagen. Gewählt: B gemäß R1 KI-Anker-Regel.</t>
  </si>
  <si>
    <t>C48</t>
  </si>
  <si>
    <t>C49</t>
  </si>
  <si>
    <t>C50</t>
  </si>
  <si>
    <t>C51</t>
  </si>
  <si>
    <t>V1</t>
  </si>
  <si>
    <t>S. 31, Digital Ethics</t>
  </si>
  <si>
    <t>Verbot KI-Entscheidungen in personal/moral/political issues; kein expliziter Override, aber klare normative Begrenzung</t>
  </si>
  <si>
    <t>„responsibly“ zu allgemein; keine klare Verantwortungszurechnung für KI-Folgen</t>
  </si>
  <si>
    <t>Nutzerinformation über KI-Systeme explizit als Negativbeispiel</t>
  </si>
  <si>
    <t>Zwecke, Inputs und Outputs sollen erklärt werden</t>
  </si>
  <si>
    <t>Regelmäßige KI-Reviews zur Fairness-/Bias-Prävention = prozessuale Operationalisierung</t>
  </si>
  <si>
    <t>Privacy explizit; Schutz persönlicher Informationen klar normiert</t>
  </si>
  <si>
    <t>Security-Kapitel ist nicht KI-spezifisch; kein KI-Anker</t>
  </si>
  <si>
    <t>Kein expliziter KI-Safety-Bezug im Digital-Ethics-Abschnitt</t>
  </si>
  <si>
    <t>Keine Robustness-/Reliability-Aussage zu KI</t>
  </si>
  <si>
    <t>Kein KI-spezifischer Einspruchs- oder Redress-Mechanismus</t>
  </si>
  <si>
    <t>Allgemeine Inclusion-/Diversity-Passage ohne KI-Anker</t>
  </si>
  <si>
    <t>Digitaltechnologien zur Unterstützung von Nachhaltigkeitszielen erwähnt, aber sehr allgemein</t>
  </si>
  <si>
    <t>Kein expliziter societal wellbeing-/public benefit-Anker im KI-Kontext</t>
  </si>
  <si>
    <t>„legally“ im Digital-/KI-Kontext als klare Norm</t>
  </si>
  <si>
    <t>„ethically“ explizit; normative Verwendungsregel</t>
  </si>
  <si>
    <t>Keine Datenqualitäts- oder Data-Governance-Mechanik</t>
  </si>
  <si>
    <t>Kein KI-spezifischer IP-/Confidentiality-Bezug</t>
  </si>
  <si>
    <t>Menschenrechte explizit einbezogen</t>
  </si>
  <si>
    <t>“Use artificial intelligence to make decisions about personal, moral or political issues.”</t>
  </si>
  <si>
    <t>Negative Begrenzung menschlich sensibler Entscheidungen</t>
  </si>
  <si>
    <t>“without informing the users, and without explaining its purposes, inputs and outputs”</t>
  </si>
  <si>
    <t>Nutzer sollen bei KI-Systemen informiert werden; Zwecke, Inputs und Outputs sollen erklärt werden.</t>
  </si>
  <si>
    <t>“Regularly review artificial intelligence systems to ensure fairness and prevent biases.”</t>
  </si>
  <si>
    <t>Fairness explizit; zugleich Prozesshinweis</t>
  </si>
  <si>
    <t>“This includes respecting human rights and privacy.”</t>
  </si>
  <si>
    <t>Expliziter Human-Rights- und Privacy-Bezug</t>
  </si>
  <si>
    <t>“This includes respecting human rights and privacy.”; “Take measures to protect the personal information we manage and share.”</t>
  </si>
  <si>
    <t>Expliziter Human-Rights- und Privacy-Bezug; Privacy/Data protection explizit</t>
  </si>
  <si>
    <t>“We leverage digital technologies to help meet our sustainability goals.”</t>
  </si>
  <si>
    <t>Nachhaltigkeits-/Wohlfahrtsbezug, aber breit formuliert</t>
  </si>
  <si>
    <t>“using digital technologies legally, responsibly and ethically”</t>
  </si>
  <si>
    <t>Klarer KI-/Digital-Anker; normativer Grundsatz</t>
  </si>
  <si>
    <t>Keine AI-spezifischen Rollen, Owner oder Gremien</t>
  </si>
  <si>
    <t>Keine AI-spezifischen Audits oder Auditnachweise</t>
  </si>
  <si>
    <t>Keine AI-spezifischen Trainings</t>
  </si>
  <si>
    <t>Speak-Up-Kapitel ist allgemein, nicht KI-spezifisch</t>
  </si>
  <si>
    <t>Kein AI-spezifisches Reporting, keine KPIs, keine Reports</t>
  </si>
  <si>
    <t>Regelmäßige Reviews von KI-Systemen sind dokumentiert</t>
  </si>
  <si>
    <t>kein benanntes Tool, kein Nachweis der Implementierung</t>
  </si>
  <si>
    <t>keine Nachweise zu Frequenz, Outputs, Verantwortlichen oder Umsetzung</t>
  </si>
  <si>
    <t>Fairness-/Bias-Review als dokumentierter Check</t>
  </si>
  <si>
    <t>“Regularly review artificial intelligence systems”</t>
  </si>
  <si>
    <t>Das Verbot, KI für persönliche, moralische oder politische Entscheidungen zu nutzen, kann als Oversight oder nur als Ethical Use gelesen werden.</t>
  </si>
  <si>
    <t>A: VAL_01=1, weil menschlich sensible Entscheidungen der KI entzogen werden. B: nur VAL_15=1. Gewählt: A zusätzlich zu VAL_15, da die Passage funktional menschliche Vorbehaltsentscheidung markiert; konservativ BIND=2, nicht 3.</t>
  </si>
  <si>
    <t>VAL_13, VAL_12</t>
  </si>
  <si>
    <t>„help meet our sustainability goals“ könnte Sustainability oder breiter Social Benefit codieren.</t>
  </si>
  <si>
    <t>A: VAL_12=1 und VAL_13=1. B: nur VAL_12=1. Gewählt: B, da kein expliziter societal wellbeing-/social benefit-Bezug.</t>
  </si>
  <si>
    <t>GOV_02, GOV_03, VAL_05</t>
  </si>
  <si>
    <t>„Regularly review artificial intelligence systems to ensure fairness and prevent biases“ kann als Wertaussage, Prozess und/oder Check gelesen werden.</t>
  </si>
  <si>
    <t>A: nur VAL_05=1/BIND=2. B: zusätzlich GOV_02=2 und GOV_03=2. Gewählt: B, da die Passage einen dokumentierten Review-/Check-Mechanismus beschreibt; nicht höher wegen fehlender Implementierungsnachweise.</t>
  </si>
  <si>
    <t>GOV_06, GOV_07, VAL_07</t>
  </si>
  <si>
    <t>Allgemeine Security- und Speak-Up-Regeln könnten auf KI übertragen werden, sind aber nicht KI-spezifisch.</t>
  </si>
  <si>
    <t>A: KI-Governance-Codes &gt;0 wegen Konzernweite des Code of Conduct. B: nicht codieren wegen fehlendem KI-Anker. Gewählt: B gemäß R1 KI-Anker-Regel.</t>
  </si>
  <si>
    <t>C52</t>
  </si>
  <si>
    <t>C53</t>
  </si>
  <si>
    <t>C54</t>
  </si>
  <si>
    <t>C55</t>
  </si>
  <si>
    <t>C56</t>
  </si>
  <si>
    <t>C57</t>
  </si>
  <si>
    <t>C58</t>
  </si>
  <si>
    <t>C59</t>
  </si>
  <si>
    <t>C60</t>
  </si>
  <si>
    <t>C61</t>
  </si>
  <si>
    <t>C62</t>
  </si>
  <si>
    <t>C63</t>
  </si>
  <si>
    <t>C64</t>
  </si>
  <si>
    <t>C65</t>
  </si>
  <si>
    <t>C66</t>
  </si>
  <si>
    <t>C67</t>
  </si>
  <si>
    <t>C68</t>
  </si>
  <si>
    <t>C69</t>
  </si>
  <si>
    <t>C70</t>
  </si>
  <si>
    <t>C71</t>
  </si>
  <si>
    <t>C72</t>
  </si>
  <si>
    <t>C73</t>
  </si>
  <si>
    <t>C74</t>
  </si>
  <si>
    <t>C75</t>
  </si>
  <si>
    <t>C76</t>
  </si>
  <si>
    <t>C77</t>
  </si>
  <si>
    <t>C78</t>
  </si>
  <si>
    <t>C79</t>
  </si>
  <si>
    <t>C80</t>
  </si>
  <si>
    <t>C81</t>
  </si>
  <si>
    <t>C82</t>
  </si>
  <si>
    <t>C83</t>
  </si>
  <si>
    <t>C84</t>
  </si>
  <si>
    <t>C85</t>
  </si>
  <si>
    <t>C86</t>
  </si>
  <si>
    <t>C87</t>
  </si>
  <si>
    <t>C88</t>
  </si>
  <si>
    <t>C89</t>
  </si>
  <si>
    <t>C90</t>
  </si>
  <si>
    <t>C91</t>
  </si>
  <si>
    <t>C92</t>
  </si>
  <si>
    <t>C93</t>
  </si>
  <si>
    <t>C94</t>
  </si>
  <si>
    <t>C95</t>
  </si>
  <si>
    <t>C96</t>
  </si>
  <si>
    <t>C97</t>
  </si>
  <si>
    <t>C98</t>
  </si>
  <si>
    <t>C99</t>
  </si>
  <si>
    <t>C100</t>
  </si>
  <si>
    <t>C101</t>
  </si>
  <si>
    <t>C102</t>
  </si>
  <si>
    <t>C103</t>
  </si>
  <si>
    <t>C104</t>
  </si>
  <si>
    <t>C105</t>
  </si>
  <si>
    <t>C106</t>
  </si>
  <si>
    <t>C107</t>
  </si>
  <si>
    <t>C108</t>
  </si>
  <si>
    <t>C109</t>
  </si>
  <si>
    <t>C110</t>
  </si>
  <si>
    <t>C111</t>
  </si>
  <si>
    <t>C112</t>
  </si>
  <si>
    <t>C113</t>
  </si>
  <si>
    <t>C114</t>
  </si>
  <si>
    <t>C115</t>
  </si>
  <si>
    <t>C116</t>
  </si>
  <si>
    <t>C117</t>
  </si>
  <si>
    <t>C118</t>
  </si>
  <si>
    <t>C119</t>
  </si>
  <si>
    <t>C120</t>
  </si>
  <si>
    <t>C121</t>
  </si>
  <si>
    <t>C122</t>
  </si>
  <si>
    <t>C123</t>
  </si>
  <si>
    <t>C124</t>
  </si>
  <si>
    <t>C125</t>
  </si>
  <si>
    <t>C126</t>
  </si>
  <si>
    <t>C127</t>
  </si>
  <si>
    <t>C128</t>
  </si>
  <si>
    <t>C129</t>
  </si>
  <si>
    <t>C130</t>
  </si>
  <si>
    <t>C131</t>
  </si>
  <si>
    <t>C132</t>
  </si>
  <si>
    <t>C133</t>
  </si>
  <si>
    <t>C134</t>
  </si>
  <si>
    <t>C135</t>
  </si>
  <si>
    <t>C136</t>
  </si>
  <si>
    <t>C137</t>
  </si>
  <si>
    <t>C138</t>
  </si>
  <si>
    <t>C139</t>
  </si>
  <si>
    <t>C140</t>
  </si>
  <si>
    <t>C141</t>
  </si>
  <si>
    <t>C142</t>
  </si>
  <si>
    <t>C143</t>
  </si>
  <si>
    <t>C144</t>
  </si>
  <si>
    <t>C145</t>
  </si>
  <si>
    <t>C146</t>
  </si>
  <si>
    <t>C147</t>
  </si>
  <si>
    <t>C148</t>
  </si>
  <si>
    <t>C149</t>
  </si>
  <si>
    <t>C150</t>
  </si>
  <si>
    <t>C151</t>
  </si>
  <si>
    <t>C152</t>
  </si>
  <si>
    <t>C153</t>
  </si>
  <si>
    <t>C154</t>
  </si>
  <si>
    <t>C155</t>
  </si>
  <si>
    <t>C156</t>
  </si>
  <si>
    <t>C157</t>
  </si>
  <si>
    <t>C158</t>
  </si>
  <si>
    <t>C159</t>
  </si>
  <si>
    <t>C160</t>
  </si>
  <si>
    <t>C161</t>
  </si>
  <si>
    <t>C162</t>
  </si>
  <si>
    <t>C163</t>
  </si>
  <si>
    <t>C164</t>
  </si>
  <si>
    <t>C165</t>
  </si>
  <si>
    <t>C166</t>
  </si>
  <si>
    <t>C167</t>
  </si>
  <si>
    <t>C168</t>
  </si>
  <si>
    <t>C169</t>
  </si>
  <si>
    <t>C170</t>
  </si>
  <si>
    <t>C171</t>
  </si>
  <si>
    <t>C172</t>
  </si>
  <si>
    <t>C173</t>
  </si>
  <si>
    <t>C174</t>
  </si>
  <si>
    <t>C175</t>
  </si>
  <si>
    <t>C176</t>
  </si>
  <si>
    <t>C177</t>
  </si>
  <si>
    <t>C178</t>
  </si>
  <si>
    <t>C179</t>
  </si>
  <si>
    <t>C180</t>
  </si>
  <si>
    <t>C181</t>
  </si>
  <si>
    <t>C182</t>
  </si>
  <si>
    <t>C183</t>
  </si>
  <si>
    <t>C184</t>
  </si>
  <si>
    <t>C185</t>
  </si>
  <si>
    <t>C186</t>
  </si>
  <si>
    <t>C187</t>
  </si>
  <si>
    <t>C188</t>
  </si>
  <si>
    <t>C189</t>
  </si>
  <si>
    <t>S. 2; S. 5, RAI approach / Prinzip 8 Human Oversight</t>
  </si>
  <si>
    <t>Human-centric approach, Kundenautonomie und human control klar normiert</t>
  </si>
  <si>
    <t>S. 3, Prinzip 3 Accountability, Accuracy &amp; Proficiency</t>
  </si>
  <si>
    <t>Monitoring in Produktion mit Outcome-Abgleich und User Feedback = prozessuale Operationalisierung</t>
  </si>
  <si>
    <t>S. 3, Prinzip 2 Transparency</t>
  </si>
  <si>
    <t>Zweckoffenlegung und User-Information klar normiert</t>
  </si>
  <si>
    <t>Interpretability explizit, aber risikobasiert und ohne konkretes Tool</t>
  </si>
  <si>
    <t>S. 4, Prinzip 5 Non-Discrimination</t>
  </si>
  <si>
    <t>Bias-Minderung in Daten und Modellen operationalisiert</t>
  </si>
  <si>
    <t>S. 4, Prinzip 6 Data Privacy</t>
  </si>
  <si>
    <t>Dedicated privacy risk assessment bei AI mit Personal Data</t>
  </si>
  <si>
    <t>S. 4, Prinzip 4 Security &amp; Resilience</t>
  </si>
  <si>
    <t>State-of-the-art cybersecurity/resilience über den Lebenszyklus</t>
  </si>
  <si>
    <t>S. 2–3, Prinzipienliste / Prinzip 1 Prohibited AI</t>
  </si>
  <si>
    <t>Verbotene KI als harm-prevention-orientierte Begrenzung; konkrete Verbotsliste fehlt</t>
  </si>
  <si>
    <t>S. 3–4, Prinzip 3 und 4</t>
  </si>
  <si>
    <t>Monitoring produktiver Systeme plus Resilienzmaßnahmen über Lebenszyklus</t>
  </si>
  <si>
    <t>Kein expliziter Beschwerde-, Einspruchs- oder Redress-Mechanismus</t>
  </si>
  <si>
    <t>Stakeholder-/Kundenperspektive allein genügt nicht für Accessibility/Inclusiveness</t>
  </si>
  <si>
    <t>KI-spezifischer Nachhaltigkeitsanker fehlt; „digital technologies“ ist zu breit</t>
  </si>
  <si>
    <t>Nutzenargumente zu Customer Experience/Operations genügen nicht als expliziter Social-Benefit-Wert</t>
  </si>
  <si>
    <t>S. 3, Prinzipien-Einleitung</t>
  </si>
  <si>
    <t>AI systems/use cases may only be used in line with laws and standards</t>
  </si>
  <si>
    <t>S. 2, Einleitung / RAI approach</t>
  </si>
  <si>
    <t>Integrity and responsibility explizit im AI-Kontext</t>
  </si>
  <si>
    <t>S. 5, Prinzip 7 Data Governance</t>
  </si>
  <si>
    <t>Data quality und sound data governance explizit</t>
  </si>
  <si>
    <t>Kein expliziter KI-bezogener IP-/Confidentiality-Anker</t>
  </si>
  <si>
    <t>Human rights erscheinen nur im breiten AI-/digital ethics framing, aber nicht als eigenständiges KI-Prinzip oder Regel mit weiterer Substanz</t>
  </si>
  <si>
    <t>“We are implementing a human centric approach to AI.”; “must respect customers’ autonomy and decision-making”; “We ensure an appropriate, risk-based level of human control.”</t>
  </si>
  <si>
    <t>Allianz nennt einen human-centric Ansatz und konsultiert relevante Stakeholder.</t>
  </si>
  <si>
    <t>“We monitor AI systems in production”</t>
  </si>
  <si>
    <t>Accountability + Monitoring + Accuracy</t>
  </si>
  <si>
    <t>“We openly communicate the purpose of our AI systems.”; “we inform customers whenever they interact directly with an AI system”</t>
  </si>
  <si>
    <t>Transparenz explizit; User-notification als Transparenzregel</t>
  </si>
  <si>
    <t>“risk-based approach to attain suitable levels of interpretability”</t>
  </si>
  <si>
    <t>Explainability/Interpretability explizit</t>
  </si>
  <si>
    <t>“We commit to avoiding both direct and indirect discrimination”; “mitigate potential bias both in the data itself as well as in each individual model”</t>
  </si>
  <si>
    <t>Allianz verpflichtet sich zur Vermeidung direkter und indirekter Diskriminierung.; Fairness operationalisiert</t>
  </si>
  <si>
    <t>“perform a dedicated privacy risk assessment”</t>
  </si>
  <si>
    <t>Privacy mit konkretem Check</t>
  </si>
  <si>
    <t>“state-of-the-art cybersecurity and resilience measures”</t>
  </si>
  <si>
    <t>Security/Robustness klar</t>
  </si>
  <si>
    <t>“Prohibited AI”</t>
  </si>
  <si>
    <t>Harm-prevention/forbidden uses im KI-Kontext</t>
  </si>
  <si>
    <t>Allianz fordert state-of-the-art Cybersecurity und Resilienz über den KI-Lebenszyklus.</t>
  </si>
  <si>
    <t>“may only be used in line with applicable laws and Allianz standards”</t>
  </si>
  <si>
    <t>Klare normative Lawfulness-Regel</t>
  </si>
  <si>
    <t>“maintaining the highest standards of integrity and responsibility”</t>
  </si>
  <si>
    <t>Ethisch-integrer KI-Rahmen</t>
  </si>
  <si>
    <t>“data quality has to be ensured”</t>
  </si>
  <si>
    <t>Data quality/Data governance explizit</t>
  </si>
  <si>
    <t>S. 5–6, DAITAB / Responsible AI Corporate Rules</t>
  </si>
  <si>
    <t>S. 2; S. 6, RAI approach / Responsible AI Corporate Rules</t>
  </si>
  <si>
    <t>S. 4; S. 6, Data Privacy / Responsible AI Corporate Rules</t>
  </si>
  <si>
    <t>Keine AI-spezifischen Audits oder Auditberichte</t>
  </si>
  <si>
    <t>S. 6, Responsible AI Corporate Rules</t>
  </si>
  <si>
    <t>Kein AI-spezifisches Reporting, keine KPIs, keine regelmäßigen Reports</t>
  </si>
  <si>
    <t>keine Wirksamkeitsnachweise, keine KPIs/Reports</t>
  </si>
  <si>
    <t>keine regelmäßigen Nachweisberichte oder auditierte Umsetzung</t>
  </si>
  <si>
    <t>keine Toolnamen, Templates oder Implementierungsbelege</t>
  </si>
  <si>
    <t>keine Frequenz, Coverage oder Trainingsnachweise</t>
  </si>
  <si>
    <t>keine geübten Fälle, keine Nachweise zur Anwendung</t>
  </si>
  <si>
    <t>Incident management und Eskalation an DAITAB explizit</t>
  </si>
  <si>
    <t>Upskilling und AI literacy dokumentiert</t>
  </si>
  <si>
    <t>Board, AI Trust Officers und Group AI Office sind klar benannt</t>
  </si>
  <si>
    <t>Cross-functional consultation, RAI framework, RAI-assessments dokumentiert</t>
  </si>
  <si>
    <t>Privacy risk assessment und RAI-assessments klar beschrieben</t>
  </si>
  <si>
    <t>VAL_08, VAL_14</t>
  </si>
  <si>
    <t>„Prohibited AI“ kann als Lawfulness oder als Safety/Harm Prevention gelesen werden.</t>
  </si>
  <si>
    <t>A: nur VAL_14=1, weil Gesetzesverstoß genannt wird. B: zusätzlich VAL_08=1, weil verbotene KI-Nutzungen präventiv begrenzt werden. Gewählt: B zusätzlich, aber konservativ nur BIND=2, da keine ausdifferenzierte Verbotsmatrix vorliegt.</t>
  </si>
  <si>
    <t>„prioritising the interests and needs of our stakeholders“ und „human centric“ könnten als Human Rights codierbar erscheinen.</t>
  </si>
  <si>
    <t>A: VAL_18=1, weil menschenzentrierte Ausrichtung und Stakeholderinteressen betont werden. B: VAL_18=0, weil keine explizite Human-Rights-Regel mit KI-spezifischer Substanz außer Randnennung vorliegt. Gewählt: B, konservativ.</t>
  </si>
  <si>
    <t>GOV_01, GOV_02</t>
  </si>
  <si>
    <t>Die funktionsübergreifende Konsultation kann als bloßer Ansatz oder als dokumentierter Prozess gelesen werden.</t>
  </si>
  <si>
    <t>A: GOV_02=1, nur Absicht. B: GOV_02=2, weil beteiligte Funktionen konkret benannt sind. Gewählt: B, da mehrere Funktionen explizit aufgeführt sind; nicht höher wegen fehlender Ablaufdetails.</t>
  </si>
  <si>
    <t>Upskilling und AI literacy können als allgemeine Capability-Building-Aussagen oder als Schulungsnachweis gewertet werden.</t>
  </si>
  <si>
    <t>A: GOV_05=1, nur Absichtserklärung. B: GOV_05=2, da Upskilling und AI literacy konkret beschrieben werden. Gewählt: B, konservativ; nicht 3 wegen fehlender Nachweise zu Durchführung/KPIs.</t>
  </si>
  <si>
    <t>Berücksichtigung von Kunden- und Stakeholderperspektiven könnte als Inclusiveness codiert werden.</t>
  </si>
  <si>
    <t>A: VAL_11=1. B: VAL_11=0, da keine Accessibility-/Teilhabe-/inklusive-Design-Regel formuliert ist. Gewählt: B, konservativ.</t>
  </si>
  <si>
    <t>Kein expliziter Human-control-, Oversight- oder Override-Anker</t>
  </si>
  <si>
    <t>„responsibly“ bleibt zu allgemein; keine klare Verantwortungszurechnung</t>
  </si>
  <si>
    <t>S. 28, Diligent data management and digital trust</t>
  </si>
  <si>
    <t>Transparente KI-Systeme explizit genannt</t>
  </si>
  <si>
    <t>Keine Explainability-/Interpretability-Aussage</t>
  </si>
  <si>
    <t>Diskriminierungsfreiheit explizit</t>
  </si>
  <si>
    <t>Privacy-Passage vorhanden, aber nicht hinreichend KI-spezifisch verankert</t>
  </si>
  <si>
    <t>Sichere KI-Systeme explizit</t>
  </si>
  <si>
    <t>Kein ausdrücklicher Safety-/harm-prevention-Anker zu KI</t>
  </si>
  <si>
    <t>Accuracy im KI-Kontext explizit; konservativ als Robustness/Reliability</t>
  </si>
  <si>
    <t>Keine Accessibility-/inklusive Gestaltungsregel</t>
  </si>
  <si>
    <t>„sustainable growth“ zu allgemein; kein ökologischer KI-Anker</t>
  </si>
  <si>
    <t>Trust/innovation/value genügen nicht als expliziter Social-Benefit-Wert</t>
  </si>
  <si>
    <t>Fair/lawful data handling ist nicht eindeutig KI-spezifisch formuliert</t>
  </si>
  <si>
    <t>Ethische, verantwortungsvolle und vertrauenswürdige KI-Nutzung explizit</t>
  </si>
  <si>
    <t>Datenqualitätskontrollen sind vorhanden, aber nicht klar KI-spezifisch verknüpft</t>
  </si>
  <si>
    <t>Kein KI-spezifischer IP-/Confidentiality-Anker</t>
  </si>
  <si>
    <t>Kein Human-Rights-Anker im KI-Abschnitt</t>
  </si>
  <si>
    <t>“AI systems are transparent”</t>
  </si>
  <si>
    <t>Allianz verlangt transparente KI-Systeme.</t>
  </si>
  <si>
    <t>“free from discrimination”</t>
  </si>
  <si>
    <t>Allianz verlangt diskriminierungsfreie KI-Systeme.</t>
  </si>
  <si>
    <t>“AI systems are transparent, accurate, secure”</t>
  </si>
  <si>
    <t>Allianz verlangt sichere KI-Systeme.</t>
  </si>
  <si>
    <t>Allianz verlangt akkurate KI-Systeme.</t>
  </si>
  <si>
    <t>“using AI responsibly, ethically and in a trustworthy manner”</t>
  </si>
  <si>
    <t>Allianz verpflichtet sich zu verantwortungsvoller, ethischer und vertrauenswürdiger KI-Nutzung.</t>
  </si>
  <si>
    <t>Keine AI-spezifischen Prozessschritte oder Abläufe</t>
  </si>
  <si>
    <t>Kontrollen werden nur für Datenqualität allgemein genannt; kein belastbarer AI-spezifischer Check</t>
  </si>
  <si>
    <t>Keine AI-spezifischen Audits</t>
  </si>
  <si>
    <t>Allgemeine Speak-up-Regeln ohne KI-Anker</t>
  </si>
  <si>
    <t>VAL_06, VAL_14, VAL_16</t>
  </si>
  <si>
    <t>Der Abschnitt mischt allgemeines Datenmanagement mit KI. Unklar ist, ob Privacy-, Lawfulness- und Data-Governance-Aussagen auf KI mitcodiert werden dürfen.</t>
  </si>
  <si>
    <t>A: VAL_06/14/16 = 1, weil KI im selben Abschnitt erwähnt wird. B: nicht codieren, wenn die konkrete Passage nicht selbst KI-spezifisch formuliert ist. Gewählt: B für alle drei, konservativ gemäß R1 KI-Anker-Regel.</t>
  </si>
  <si>
    <t>„accurate“ kann als Accuracy oder als Technical Robustness/Reliability gelesen werden.</t>
  </si>
  <si>
    <t>A: VAL_09=1, weil Accuracy funktional ein Robustheits-/Leistungsanker ist. B: VAL_09=0, weil Reliability/Robustness nicht wörtlich genannt wird. Gewählt: A, konservativ mit BIND=2 statt 3.</t>
  </si>
  <si>
    <t>„comprehensive controls are in place“ klingt nach Checks, bezieht sich aber primär auf Daten, nicht explizit auf KI-Systeme.</t>
  </si>
  <si>
    <t>A: GOV_03=1 oder 2. B: GOV_03=0 wegen fehlender AI-Spezifik. Gewählt: B gemäß R1; allgemeine Datenkontrollen reichen nicht für AI-Tools/Checks.</t>
  </si>
  <si>
    <t>VAL_12, VAL_13</t>
  </si>
  <si>
    <t>„supporting sustainable growth“ und „delivering value“ könnten Sustainability oder Social Benefit nahelegen.</t>
  </si>
  <si>
    <t>A: VAL_12=1 und/oder VAL_13=1. B: keine Codierung, weil zu allgemein und ohne klaren Umwelt-/Wohlfahrtsanker. Gewählt: B, konservativ.</t>
  </si>
  <si>
    <t>S. 4, Data Ethics</t>
  </si>
  <si>
    <t>Human-centric AI, Human Agency and Control sowie risikobasierte Festlegung menschlicher Beteiligung = prozessuale Operationalisierung</t>
  </si>
  <si>
    <t>Accountability explizit als Kernprinzip genannt</t>
  </si>
  <si>
    <t>Transparenz explizit als KI-Kernprinzip</t>
  </si>
  <si>
    <t>Keine Explainability-/Interpretability-Nennung</t>
  </si>
  <si>
    <t>Privacy explizit als KI-Kernprinzip</t>
  </si>
  <si>
    <t>Security-/Cybersecurity-Passagen sind nur allgemein privacy-/infosec-bezogen, nicht KI-spezifisch</t>
  </si>
  <si>
    <t>Kein expliziter Safety-/harm-prevention-Anker für KI</t>
  </si>
  <si>
    <t>Keine KI-spezifische Robustness-/Reliability-Aussage</t>
  </si>
  <si>
    <t>Kein KI-spezifischer Nachhaltigkeitsanker</t>
  </si>
  <si>
    <t>Trustworthy partner / data-driven business genügt nicht als expliziter Social-Benefit-Wert</t>
  </si>
  <si>
    <t>Applicable laws and regulations explizit im AI-Kontext</t>
  </si>
  <si>
    <t>Vertrauenswürdiger und ethischer datengetriebener Partner, flankiert durch Responsible AI</t>
  </si>
  <si>
    <t>Data Governance explizit in den AI core principles</t>
  </si>
  <si>
    <t>Kein expliziter Human-Rights-Anker im KI-Abschnitt</t>
  </si>
  <si>
    <t>“our usage of AI systems is human centric”; “Human Agency and Control”; “risk-based approach to implementing the appropriate level of human involvement”</t>
  </si>
  <si>
    <t>Allianz sichert zu, KI-Nutzung human centric auszugestalten.</t>
  </si>
  <si>
    <t>Accountability ist eines der benannten Responsible-AI-Prinzipien.</t>
  </si>
  <si>
    <t>“Accountability”</t>
  </si>
  <si>
    <t>“core principles for the responsible usage of AI: Transparency”</t>
  </si>
  <si>
    <t>Transparenz ist eines der Kernprinzipien der AI Guidance.</t>
  </si>
  <si>
    <t>“Fairness and Non-Discrimination”</t>
  </si>
  <si>
    <t>Fairness und Nicht-Diskriminierung sind Teil der AI Guidance.</t>
  </si>
  <si>
    <t>“Privacy and Data Governance”</t>
  </si>
  <si>
    <t>Privacy und Data Governance sind Teil der Kernprinzipien verantwortlicher KI-Nutzung.</t>
  </si>
  <si>
    <t>“going beyond compliance with all applicable laws and regulations”</t>
  </si>
  <si>
    <t>KI-Nutzung geht über reine Compliance hinaus, bleibt aber im Rechtsrahmen verankert.</t>
  </si>
  <si>
    <t>“conduct data-driven business as a trustworthy and ethical partner”</t>
  </si>
  <si>
    <t>Allianz beschreibt sich als vertrauenswürdiger und ethischer datengetriebener Partner.</t>
  </si>
  <si>
    <t>Audits/Reviews werden im Dokument nur allgemein für Privacy-/Security-Management erwähnt, nicht hinreichend KI-spezifisch</t>
  </si>
  <si>
    <t>Kein KI-spezifischer Eskalations- oder Incident-Prozess</t>
  </si>
  <si>
    <t>Kein KI-spezifisches Reporting, keine KPIs, keine Reports</t>
  </si>
  <si>
    <t>Board ist datenethisch breit, nicht eindeutig AI-spezifisch ausdifferenziert</t>
  </si>
  <si>
    <t>kein Implementierungsnachweis, keine Tooldetails</t>
  </si>
  <si>
    <t>keine Nachweise zu Anwendungshäufigkeit, Outputs oder Regelvollzug</t>
  </si>
  <si>
    <t>keine Nachweise zu Frequenz, Coverage oder Abschlussquoten</t>
  </si>
  <si>
    <t>Relevante Mitarbeitende mit AI-Bezug werden trainiert</t>
  </si>
  <si>
    <t>Data Advisory Board mit Top-Management-Beteiligung genannt</t>
  </si>
  <si>
    <t>Risk-based human involvement und Privacy &amp; Ethics Impact Assessment dokumentiert</t>
  </si>
  <si>
    <t>Privacy and Ethics Impact Assessment als konkreter Check</t>
  </si>
  <si>
    <t>“establishment of our Data Advisory Board”; "elevate data ethics and selected data and analytics-related topics”</t>
  </si>
  <si>
    <t>“via the Privacy and Ethics Impact Assessment”; “risk-based approach to implementing the appropriate level of human involvement”</t>
  </si>
  <si>
    <t>“via the Privacy and Ethics Impact Assessment”</t>
  </si>
  <si>
    <t>“All relevant employees who develop or use AI solutions are trained”</t>
  </si>
  <si>
    <t>“established a Group Data and AI Trust Advisory Board (DAITAB)"; “establishes the new role of an AI Trust Officer”</t>
  </si>
  <si>
    <t>"we consult relevant stakeholders – whether from the business, data science, IT”; “collectively establish the core principles and framework”; “extending privacy risk assessments to cover all RAI principles”</t>
  </si>
  <si>
    <t>“perform a dedicated privacy risk assessment”; “extending privacy risk assessments to cover all RAI principles”; “monitor AI risks, conduct RAI-assessments with the CDO”</t>
  </si>
  <si>
    <t>“strategically upskilling our workforce”; “providing operational guidance, technical support, AI literacy”</t>
  </si>
  <si>
    <t>“supports Business Owners in incident management”; “escalate unresolved risk disagreements to the DAITAB”</t>
  </si>
  <si>
    <t>Das Data Advisory Board ist datenethisch breit angelegt; unklar ist, ob es als AI-spezifische Zuständigkeit zählt.</t>
  </si>
  <si>
    <t>A: GOV_01=2, weil das Board auch data-analytics-related topics und Responsible AI umfasst. B: GOV_01=1, weil die Zuständigkeit nicht ausschließlich oder klar ausdifferenziert AI-spezifisch ist. Gewählt: B, konservativ.</t>
  </si>
  <si>
    <t>GOV_04, GOV_07, VAL_07</t>
  </si>
  <si>
    <t>Self-assessments, on-site reviews und regelmäßige Audits könnten auf KI übertragbar erscheinen.</t>
  </si>
  <si>
    <t>A: GOV_04&gt;0 bzw. VAL_07=1, weil sie für datenbezogene Systeme gelten. B: nicht codieren, weil kein expliziter KI-Anker. Gewählt: B gemäß R1 KI-Anker-Regel.</t>
  </si>
  <si>
    <t>VAL_15, VAL_13</t>
  </si>
  <si>
    <t>„trustworthy and ethical partner“ kann als Ethical Use oder als breiter Social-Benefit-Nutzen gelesen werden.</t>
  </si>
  <si>
    <t>A: VAL_15=1 und VAL_13=1. B: nur VAL_15=1, weil kein expliziter societal wellbeing-/public benefit-Anker vorliegt. Gewählt: B, konservativ.</t>
  </si>
  <si>
    <t>VAL_01, GOV_02, GOV_03</t>
  </si>
  <si>
    <t>Die risikobasierte menschliche Beteiligung via Privacy and Ethics Impact Assessment kann als Wert, Prozess und Check zugleich gelesen werden.</t>
  </si>
  <si>
    <t>A: nur VAL_01=1/BIND=2. B: zusätzlich GOV_02=2 und GOV_03=2. Gewählt: B, da das Assessment als konkreter Verfahrens- und Check-Mechanismus benannt ist; nicht höher wegen fehlender Implementierungsnachweise.</t>
  </si>
  <si>
    <t>S. 4, Exhibit 3</t>
  </si>
  <si>
    <t>Kontrolle über AI-Anwendungen wird thematisiert, aber als Engagement-Frage, nicht als interne Regel</t>
  </si>
  <si>
    <t>S. 3–4, Our contribution / Engagement</t>
  </si>
  <si>
    <t>Accountability ist Teil des Frameworks, aber überwiegend konzeptionell</t>
  </si>
  <si>
    <t>S. 3–4, How can these tools be used responsibly? / Responsible AI can accelerate growth</t>
  </si>
  <si>
    <t>Transparenz mehrfach explizit genannt</t>
  </si>
  <si>
    <t>S. 2–4</t>
  </si>
  <si>
    <t>Fairness explizit, jedoch auf Framework-/Diskursebene</t>
  </si>
  <si>
    <t>S. 3–4</t>
  </si>
  <si>
    <t>Datenschutz wird als Responsible-AI-Anforderung genannt, aber nicht als interne Policy-Regel</t>
  </si>
  <si>
    <t>S. 3, How can these tools be used responsibly?</t>
  </si>
  <si>
    <t>Cybersecurity explizit als flankierendes Rahmenwerk</t>
  </si>
  <si>
    <t>S. 1; S. 3</t>
  </si>
  <si>
    <t>Schadensminimierung und Safety werden klar genannt</t>
  </si>
  <si>
    <t>S. 2–3</t>
  </si>
  <si>
    <t>Resilience/Reliability explizit</t>
  </si>
  <si>
    <t>Kein Einspruchs- oder Redress-Mechanismus</t>
  </si>
  <si>
    <t>S. 4, Responsible AI can accelerate growth</t>
  </si>
  <si>
    <t>Inclusiveness explizit, aber ohne Umsetzungsregel</t>
  </si>
  <si>
    <t>Nachhaltigkeit/Umweltwirkung durchgehend zentral</t>
  </si>
  <si>
    <t>S. 3, How can these tools be used responsibly? / Our contribution</t>
  </si>
  <si>
    <t>Public good und soziale Wirkung explizit</t>
  </si>
  <si>
    <t>Regulierung/Compliance explizit als Orientierungsrahmen</t>
  </si>
  <si>
    <t>Responsible/ethical integrity klar zentral</t>
  </si>
  <si>
    <t>Keine explizite Datenqualitäts- oder Data-Governance-Regel im eigenen Framework</t>
  </si>
  <si>
    <t>Kein IP-/Confidentiality-Anker</t>
  </si>
  <si>
    <t>Human-rights-Bezug explizit, aber eher als externer Orientierungsrahmen</t>
  </si>
  <si>
    <t>“manage the degree of control over AI applications”</t>
  </si>
  <si>
    <t>Das Framework thematisiert Kontrolle über AI-Anwendungen und Datenschutz gegenüber Kunden.</t>
  </si>
  <si>
    <t>“Ethical integrity – ensuring accountability and fairness for social outcomes”; “Board oversight and accountability”</t>
  </si>
  <si>
    <t>AllianzGI führt Materialitätsanalysen durch und priorisiert Responsible AI nach Wirkung.</t>
  </si>
  <si>
    <t>“The EU AI act provides guidance on unacceptable risks, transparency requirements”; “fair, transparent, inclusive and respectful to all stakeholders”</t>
  </si>
  <si>
    <t>Responsible products/services sollen fair, transparent, inklusiv und respektvoll sein.</t>
  </si>
  <si>
    <t>“determine fairness, resilience and footprint of systems”</t>
  </si>
  <si>
    <t>“determine fairness, resilience and footprint of systems”; “Ethical integrity – ensuring accountability and fairness for social outcomes”; “fair, transparent, inclusive and respectful to all stakeholders”</t>
  </si>
  <si>
    <t>Fairness + resilience explizit</t>
  </si>
  <si>
    <t>“human rights, data protection and cybersecurity”</t>
  </si>
  <si>
    <t>“human rights, data protection and cybersecurity”;“manage the degree of control over AI applications”</t>
  </si>
  <si>
    <t>Bestehende Rahmenwerke zu Responsible AI umfassen Datenschutz und Cybersecurity.</t>
  </si>
  <si>
    <t>“apply standards and safeguards to maximise the benefits and minimise the harms”; “Robustness – resilience, reliability and safety of systems”</t>
  </si>
  <si>
    <t>Robustness wird als Resilienz, Zuverlässigkeit und Sicherheit von Systemen definiert.</t>
  </si>
  <si>
    <t>Entwickler und Infrastrukturprovider prägen Fairness und Resilienz von KI-Systemen.</t>
  </si>
  <si>
    <t>“fair, transparent, inclusive and respectful to all stakeholders”</t>
  </si>
  <si>
    <t>Fairness, transparency, inclusiveness</t>
  </si>
  <si>
    <t>“AI can only sustain its growth by respecting environmental, social and governance standards”; “managing the environmental and social impact of AI development”</t>
  </si>
  <si>
    <t>Sustainability umfasst Umwelt- und Sozialwirkungen von KI-Entwicklung.</t>
  </si>
  <si>
    <t>“align with human values and serve the public good”</t>
  </si>
  <si>
    <t>Responsible AI soll mit menschlichen Werten und dem Gemeinwohl in Einklang stehen.</t>
  </si>
  <si>
    <t>“The most comprehensive and structured AI governance framework currently appears to be the EU AI Act”</t>
  </si>
  <si>
    <t>AllianzGI verweist auf den EU AI Act als strukturierten Governance-Rahmen.</t>
  </si>
  <si>
    <t>“apply standards and safeguards to maximise the benefits and minimise the harms”; “Ethical integrity – ensuring accountability and fairness for social outcomes”</t>
  </si>
  <si>
    <t>Ethical integrity umfasst Accountability und Fairness für soziale Ergebnisse.</t>
  </si>
  <si>
    <t>“societal and human rights challenges”; “human rights, data protection and cybersecurity”</t>
  </si>
  <si>
    <t>KI-Risiken werden mit gesellschaftlichen und menschenrechtlichen Herausforderungen verknüpft.</t>
  </si>
  <si>
    <t>S. 3, Our contribution</t>
  </si>
  <si>
    <t>Keine internen AI-spezifischen Audits oder Auditnachweise</t>
  </si>
  <si>
    <t>S. 4, Engagement / Exhibit 3</t>
  </si>
  <si>
    <t>Sector frameworks und Board oversight werden erwähnt</t>
  </si>
  <si>
    <t>Materiality assessment und Priorisierung sind dokumentiert</t>
  </si>
  <si>
    <t>Fehlerberichterstattung und Mechanismen werden als Prüffragen adressiert</t>
  </si>
  <si>
    <t>AI-skills werden als relevante Frage adressiert</t>
  </si>
  <si>
    <t>Internal/external reporting von Failures wird thematisiert</t>
  </si>
  <si>
    <t>Impact disclosures und risk-framework disclosures explizit</t>
  </si>
  <si>
    <t>keine klaren internen Rollen oder Verantwortlichen bei AllianzGI selbst</t>
  </si>
  <si>
    <t>keine Ablaufdetails, Frequenzen oder Umsetzungsnachweise</t>
  </si>
  <si>
    <t>nur Engagement-Fragen, kein interner implementierter Check</t>
  </si>
  <si>
    <t>keine interne Schulungsbeschreibung oder Nachweise</t>
  </si>
  <si>
    <t>nur als Engagement-Frage, kein dokumentierter interner Eskalationsprozess</t>
  </si>
  <si>
    <t>kein internes AllianzGI-Reporting oder KPI-Nachweis</t>
  </si>
  <si>
    <t>“Within our sector frameworks”; “Board oversight and accountability”</t>
  </si>
  <si>
    <t>“Board oversight and accountability”; “we perform a materiality assessment and prioritise the topic of responsible AI”</t>
  </si>
  <si>
    <t>“reported internally and externally”</t>
  </si>
  <si>
    <t>“How do you develop AI skills of existing workforce”</t>
  </si>
  <si>
    <t>“Disclosures on impact of AI”; “reported internally and externally”</t>
  </si>
  <si>
    <t>Das Dokument spricht über Sector Frameworks und Board Oversight, aber primär als Investment-/Engagement-Perspektive, nicht als interne AI-Governance-Struktur.</t>
  </si>
  <si>
    <t>A: GOV_01=2, weil Governance-Strukturen und Board Oversight klar thematisiert werden. B: GOV_01=1, weil keine klaren internen AllianzGI-Rollen oder Owner für eigene KI-Systeme genannt sind. Gewählt: B, konservativ.</t>
  </si>
  <si>
    <t>GOV_03, GOV_05, GOV_06, GOV_07</t>
  </si>
  <si>
    <t>Das Exhibit enthält Fragen an AI makers/users; unklar ist, ob diese als interne Governance-Evidenz oder nur als Bewertungsrahmen zählen.</t>
  </si>
  <si>
    <t>A: GOV-Codes = 0, weil nur Fragen gestellt werden. B: GOV-Codes = 1, weil das dokumentierte Engagement-Framework diese Kriterien explizit operationalisiert. Gewählt: B, konservativ auf Stufe 1, nicht höher.</t>
  </si>
  <si>
    <t>VAL_14, VAL_18, VAL_06, VAL_07</t>
  </si>
  <si>
    <t>EU AI Act, OECD und UN werden als externe Referenzen genannt; unklar ist, ob dies als Wertpräsenz im Dokument genügt.</t>
  </si>
  <si>
    <t>A: Codes = 1, weil das Dokument diese Prinzipien ausdrücklich als relevante Responsible-AI-Rahmen übernimmt. B: Codes = 0, weil es nur Verweise auf externe Standards sind. Gewählt: A, aber konservativ nur BIND=1.</t>
  </si>
  <si>
    <t>„inclusive“ kann als eigenständiger Inclusiveness-Wert oder nur als rhetorischer Zusatz im Rahmen verantwortlicher Produkte gelesen werden.</t>
  </si>
  <si>
    <t>A: VAL_11=1, weil Inclusiveness explizit genannt ist. B: VAL_11=0, weil keine Accessibility-/Teilhabe-Operationalisierung vorliegt. Gewählt: A, konservativ mit BIND=1.</t>
  </si>
  <si>
    <t>Das Framework nennt Materialität und Sector Frameworks, aber keine explizite Data-Governance- oder Datenqualitätsregel.</t>
  </si>
  <si>
    <t>A: VAL_16=1 wegen Framework-/Governance-Sprache. B: VAL_16=0 mangels expliziter Datenqualitäts- oder Data-Governance-Evidenz. Gewählt: B, konservativ.</t>
  </si>
  <si>
    <t>S. 2, Prinzip 3 Accountable</t>
  </si>
  <si>
    <t>Human oversight und Verbot autonomer materialer Mitarbeiterentscheidungen klar normiert</t>
  </si>
  <si>
    <t>S. 1, BASF’s Commitment to Responsible AI; S. 2, Prinzip 3</t>
  </si>
  <si>
    <t>Accountability explizit und mit Mechanismen verknüpft</t>
  </si>
  <si>
    <t>S. 2, Prinzip 2 Transparent</t>
  </si>
  <si>
    <t>Transparenz und Verständlichkeit der Entscheidungsprozesse explizit</t>
  </si>
  <si>
    <t>„comprehensible to stakeholders“ bleibt näher an Transparency; Explainability nicht ausdrücklich benannt</t>
  </si>
  <si>
    <t>S. 2, Prinzip 4 Fair and Unbiased</t>
  </si>
  <si>
    <t>Gerechtigkeit, Chancengleichheit und Ablehnung von Diskriminierung explizit</t>
  </si>
  <si>
    <t>S. 2, Prinzip 6 Privacy Preserving</t>
  </si>
  <si>
    <t>Privatsphäre über gesamten KI-Lebenszyklus geschützt</t>
  </si>
  <si>
    <t>S. 2, Prinzip 5 Secure</t>
  </si>
  <si>
    <t>Security-Anforderungen klar formuliert</t>
  </si>
  <si>
    <t>S. 1; S. 2, Prinzip 1 und 7</t>
  </si>
  <si>
    <t>Prohibited practices, safety of communities, robust &amp; safe</t>
  </si>
  <si>
    <t>S. 2, Prinzip 7 Robust &amp; Safe</t>
  </si>
  <si>
    <t>Reliability und Accuracy explizit</t>
  </si>
  <si>
    <t>Diversity wird im Fairness-Prinzip erwähnt, aber keine Accessibility-/inklusive-Design-Regel</t>
  </si>
  <si>
    <t>Kein KI-spezifischer Nachhaltigkeits- oder Umweltanker</t>
  </si>
  <si>
    <t>„create value for everyone involved“ ist zu allgemein; kein expliziter public-good-/well-being-Wert</t>
  </si>
  <si>
    <t>S. 1, BASF’s Commitment to Responsible AI</t>
  </si>
  <si>
    <t>Prohibited-practices-Verbot und Compliance-Bezug klar</t>
  </si>
  <si>
    <t>S. 1–2</t>
  </si>
  <si>
    <t>Ethically beschrieben; Werte- und Ethikbezug explizit</t>
  </si>
  <si>
    <t>S. 1, Einleitung</t>
  </si>
  <si>
    <t>Strong data and AI governance explizit, aber ohne konkrete Datenqualitätsmechanik</t>
  </si>
  <si>
    <t>„confidentiality“ erscheint im Security-Prinzip, aber nicht als eigenständiger IP-/Confidentiality-Wert</t>
  </si>
  <si>
    <t>S. 2, Prinzip 1 und 6</t>
  </si>
  <si>
    <t>Human rights explizit über Human Rights Policy und Privacy as essential human right</t>
  </si>
  <si>
    <t>“subject to human oversight and accountability mechanisms”; “AI is not used to make autonomous decisions that have a material impact on employees”</t>
  </si>
  <si>
    <t>KI wird nicht für autonome Entscheidungen mit wesentlichen Mitarbeiterauswirkungen genutzt</t>
  </si>
  <si>
    <t>“subject to human oversight and accountability mechanisms”; “developing, deploying, and using AI systems ethically and accountably”</t>
  </si>
  <si>
    <t>BASF beschreibt Responsible AI als ethische und rechenschaftspflichtige Entwicklung, Bereitstellung und Nutzung von KI.</t>
  </si>
  <si>
    <t>“decision-making processes that are comprehensible to stakeholders”</t>
  </si>
  <si>
    <t>KI-Anwendungen sollen transparent sein; Entscheidungsprozesse sollen verständlich sein.</t>
  </si>
  <si>
    <t>“just and equitable for all individuals and groups”</t>
  </si>
  <si>
    <t>BASF verlangt gerechte, diskriminierungsfreie KI-Nutzung.</t>
  </si>
  <si>
    <t>“essential human right of an individual's privacy throughout the entire life cycle”</t>
  </si>
  <si>
    <t>BASF schützt Privatsphäre als wesentliches Menschenrecht über den gesamten KI-Lebenszyklus.</t>
  </si>
  <si>
    <t>“integrity, confidentiality, availability and authenticity”</t>
  </si>
  <si>
    <t>KI-Anwendungen sollen Integrität, Vertraulichkeit, Verfügbarkeit und Authentizität von Systemen und Daten sichern.</t>
  </si>
  <si>
    <t>“strictly prohibiting AI in applications related to ‘Prohibited Practices’”</t>
  </si>
  <si>
    <t>“strictly prohibiting AI in applications related to ‘Prohibited Practices’”; “prioritizing the well-being and safety of individuals and communities”; “focus on reliability, accuracy, and safety”</t>
  </si>
  <si>
    <t>KI-Systeme sollen zuverlässig, akkurat und sicher entwickelt und eingesetzt werden.</t>
  </si>
  <si>
    <t>“focus on reliability, accuracy, and safety”</t>
  </si>
  <si>
    <t>BASF verbietet KI-Anwendungen zu „Prohibited Practices“ nach interner Data &amp; AI Policy.</t>
  </si>
  <si>
    <t>Verbotene KI-Nutzung; harm-prevention/compliance</t>
  </si>
  <si>
    <t>“developing, deploying, and using AI systems ethically and accountably”; “prioritizing the well-being and safety of individuals and communities”</t>
  </si>
  <si>
    <t>BASF priorisiert Wohlbefinden und Sicherheit von Individuen und Gemeinschaften.</t>
  </si>
  <si>
    <t>“we focus on strong data and AI governance”</t>
  </si>
  <si>
    <t>BASF betont starke Data and AI Governance als Grundlage für AI solutions</t>
  </si>
  <si>
    <t>“essential human right of an individual's privacy throughout the entire life cycle”; “prioritizing the well-being and safety of individuals and communities”</t>
  </si>
  <si>
    <t>S. 3, For any questions or inquiries</t>
  </si>
  <si>
    <t>Keine AI-spezifischen Trainings oder Schulungsformate</t>
  </si>
  <si>
    <t>Data &amp; AI office als zuständige Stelle genannt</t>
  </si>
  <si>
    <t>Zentrales Inventar und Assessments zur Compliance-/Risikosteuerung dokumentiert</t>
  </si>
  <si>
    <t>Necessary assessments klar benannt</t>
  </si>
  <si>
    <t>kein Toolname, keine Templates, keine Implementierungsbelege</t>
  </si>
  <si>
    <t>keine Nachweise zur Durchführungshäufigkeit oder Umsetzung</t>
  </si>
  <si>
    <t>keine Rollenarchitektur, kein Gremium, keine Verantwortlichkeitskette</t>
  </si>
  <si>
    <t>“please contact our Data &amp; AI office”</t>
  </si>
  <si>
    <t>“maintains a central inventory and conducts necessary assessments”</t>
  </si>
  <si>
    <t>“maintains a central inventory and conducts necessary assessments”; “ensure compliance and proactively manage risks”</t>
  </si>
  <si>
    <t>„decision-making processes that are comprehensible to stakeholders“ kann als Transparency oder Explainability gelesen werden.</t>
  </si>
  <si>
    <t>A: VAL_03=1 und VAL_04=1. B: nur VAL_03=1, weil Explainability nicht ausdrücklich genannt ist. Gewählt: B, konservativ.</t>
  </si>
  <si>
    <t>„strong data and AI governance“ kann als Data Governance codiert werden, ist aber sehr allgemein.</t>
  </si>
  <si>
    <t>A: VAL_16=1 mit niedrigerer Bindigkeit. B: VAL_16=0 mangels konkreter Datenqualitäts-/Governance-Regel. Gewählt: A, konservativ mit BIND=1, da der Wert explizit im KI-Kontext genannt ist.</t>
  </si>
  <si>
    <t>Das Wort „confidentiality“ erscheint im Security-Prinzip; unklar ist, ob zusätzlich IP &amp; Confidentiality zu codieren ist.</t>
  </si>
  <si>
    <t>A: VAL_07=1 und VAL_17=1. B: nur VAL_07=1, da kein eigenständiger IP-/Vertraulichkeitswert für KI formuliert ist. Gewählt: B, konservativ.</t>
  </si>
  <si>
    <t>VAL_13, VAL_18, VAL_08</t>
  </si>
  <si>
    <t>„well-being and safety of individuals and communities“ kann Social Benefit, Human Rights oder Safety berühren.</t>
  </si>
  <si>
    <t>A: zusätzlich VAL_13=1. B: VAL_18=1 und VAL_08=1, aber VAL_13=0, weil kein ausdrücklicher public-good-/benefit frame. Gewählt: B, konservativ.</t>
  </si>
  <si>
    <t>Das Data &amp; AI office ist als Kontaktstelle genannt; unklar ist, ob dies für dokumentierte Zuständigkeit genügt.</t>
  </si>
  <si>
    <t>A: GOV_01=1, da eine zuständige organisatorische Stelle benannt ist. B: GOV_01=0, da keine Rollen- oder Mandatsbeschreibung vorliegt. Gewählt: A, konservativ auf Stufe 1.</t>
  </si>
  <si>
    <t>Verantwortung wird allgemein ethisch gerahmt, aber keine klare Accountability-Zurechnung für KI-Folgen</t>
  </si>
  <si>
    <t>S. 48, Digital responsibility – Ask yourself</t>
  </si>
  <si>
    <t>Transparenz zu Datennutzung genannt; KI-Bezug nur abschnittsbezogen</t>
  </si>
  <si>
    <t>S. 49, Digital responsibility</t>
  </si>
  <si>
    <t>Vermeidung unfairer Bias explizit</t>
  </si>
  <si>
    <t>Datenschutz angesprochen, aber eher als Reflexionsfrage und digital breit</t>
  </si>
  <si>
    <t>AI wird genannt, aber keine explizite KI-Sicherheitsregel</t>
  </si>
  <si>
    <t>Kein ausdrücklicher Safety-/harm-prevention-Anker im KI-Kontext</t>
  </si>
  <si>
    <t>Keine Robustness-/Reliability-Aussage</t>
  </si>
  <si>
    <t>Inklusive Nutzung und Entwicklung digitaler Lösungen explizit normiert</t>
  </si>
  <si>
    <t>Empowerment von Mitarbeitenden, Kunden und Stakeholdern explizit</t>
  </si>
  <si>
    <t>Code-of-Conduct-/values-Bezug vorhanden, aber keine explizite KI-/AI-Lawfulness-Regel</t>
  </si>
  <si>
    <t>Verantwortliche und ethische Steuerung digitaler Transformation klar normiert</t>
  </si>
  <si>
    <t>Keine Datenqualitäts- oder Data-Governance-Regel im KI-Ankerbereich</t>
  </si>
  <si>
    <t>Kein expliziter Human-Rights-Anker im KI-relevanten Abschnitt</t>
  </si>
  <si>
    <t>“full transparency on data usage as well as opportunities and borderlines”</t>
  </si>
  <si>
    <t>Datenschutz/Transparenz, aber digital breit; KI-Bezug nur über Abschnitt</t>
  </si>
  <si>
    <t>“Seeking to avoid the creation or reinforcement of unfair bias.”</t>
  </si>
  <si>
    <t>BASF will die Entstehung oder Verstärkung unfairer Bias vermeiden.</t>
  </si>
  <si>
    <t>“using them inclusively, to empower our employees, customers and other stakeholders”</t>
  </si>
  <si>
    <t>Inclusiveness explizit</t>
  </si>
  <si>
    <t>“to empower our employees, customers and other stakeholders”</t>
  </si>
  <si>
    <t>Digitale Lösungen sollen Mitarbeitende, Kunden und andere Stakeholder befähigen.</t>
  </si>
  <si>
    <t>“committed to steering this transformation responsibly and ethically”; “driven by our values and the principles laid down in our Code of Conduct”</t>
  </si>
  <si>
    <t>BASF will die digitale Transformation verantwortlich und ethisch steuern.</t>
  </si>
  <si>
    <t>Keine AI-spezifischen Assessments, Checklisten oder Tools</t>
  </si>
  <si>
    <t>„active voice in this debate“ reicht nicht als formales Reporting oder Disclosure</t>
  </si>
  <si>
    <t>Aufbau digitaler Fähigkeiten benannt</t>
  </si>
  <si>
    <t>Kollaborative, multidisziplinäre und diverse Entwicklung digitaler Lösungen dokumentiert</t>
  </si>
  <si>
    <t>keine Ablaufdetails, Verantwortlichen oder Nachweise der Umsetzung</t>
  </si>
  <si>
    <t>keine konkreten AI-Trainings, Formate oder Nachweise</t>
  </si>
  <si>
    <t>“Developing digital solutions in a collaborative, multidisciplinary, and diverse way”</t>
  </si>
  <si>
    <t>“build strong digital capabilities throughout the company”</t>
  </si>
  <si>
    <t>VAL_03, VAL_06</t>
  </si>
  <si>
    <t>Die Passage zu „full transparency on data usage“ und „data protection and privacy“ ist auf digitale Lösungen bezogen, nicht ausdrücklich auf AI allein.</t>
  </si>
  <si>
    <t>A: VAL_03=1 und VAL_06=1, weil der Abschnitt insgesamt AI/machine learning nennt. B: keine Codierung, weil die konkrete Passage nicht ausdrücklich AI sagt. Gewählt: A, aber konservativ nur BIND=1.</t>
  </si>
  <si>
    <t>Der Verweis auf Werte und Code of Conduct kann als Ethical Use oder als Lawfulness/Compliance gelesen werden.</t>
  </si>
  <si>
    <t>A: VAL_15=1 und VAL_14=1. B: nur VAL_15=1, weil keine explizite rechtliche oder policy-deontische AI-Regel formuliert ist. Gewählt: B, konservativ.</t>
  </si>
  <si>
    <t>GOV_02, GOV_05</t>
  </si>
  <si>
    <t>„collaborative, multidisciplinary, and diverse“ und „build strong digital capabilities“ können als Prozess- bzw. Trainingsnachweis oder nur als allgemeine Ambition gelesen werden.</t>
  </si>
  <si>
    <t>A: GOV_02=2 und GOV_05=1. B: GOV_02=1 und GOV_05=0. Gewählt: A, da Entwicklungsvorgehen und Capability-Aufbau ausdrücklich beschrieben werden; nicht höher wegen fehlender Nachweise.</t>
  </si>
  <si>
    <t>VAL_13, VAL_11</t>
  </si>
  <si>
    <t>„empower our employees, customers and other stakeholders“ kann als Social Benefit oder nur als Inclusiveness-Nebeneffekt gelesen werden.</t>
  </si>
  <si>
    <t>A: VAL_11=1 und VAL_13=1. B: nur VAL_11=1. Gewählt: A, aber VAL_13 konservativ nur mit BIND=1, da kein expliziter public-good-Rahmen vorliegt.</t>
  </si>
  <si>
    <t>VAL_07, VAL_09</t>
  </si>
  <si>
    <t>AI und machine learning werden genannt, aber ohne Aussagen zu Sicherheit oder Robustheit.</t>
  </si>
  <si>
    <t>A: VAL_07/09=1 wegen technologischer KI-Nennung. B: VAL_07/09=0 mangels inhaltlicher Sicherheits-/Robustheitsnorm. Gewählt: B gemäß Evidence-first.</t>
  </si>
  <si>
    <t>S. 2, Artificial Intelligence</t>
  </si>
  <si>
    <t>KI trifft keine rechtlich wirksamen oder ähnlich signifikanten Entscheidungen über Betroffene</t>
  </si>
  <si>
    <t>Keine ausdrückliche Verantwortungszurechnung oder Accountability-Mechanik</t>
  </si>
  <si>
    <t>Keine Transparenz- oder Offenlegungsregel zu KI gegenüber Nutzern</t>
  </si>
  <si>
    <t>Keine Fairness-/Bias-/Diskriminierungsregel</t>
  </si>
  <si>
    <t>Zweckgebundene Verarbeitung im KI-Kontext klar normiert</t>
  </si>
  <si>
    <t>„technical and organisational measures“ bleibt zu allgemein; Security nicht ausdrücklich KI-spezifisch benannt</t>
  </si>
  <si>
    <t>Kein ausdrücklicher Safety-/harm-prevention-Anker</t>
  </si>
  <si>
    <t>Kein Nachhaltigkeits- oder Umweltanker</t>
  </si>
  <si>
    <t>Effizienz- und Produktivitätsnutzen genügen nicht als expliziter Social-Benefit-Wert</t>
  </si>
  <si>
    <t>Vorab definierte Zwecke und benannte Rechtsgrundlage für KI-Nutzung</t>
  </si>
  <si>
    <t>Optimierungs- und Effizienzsprache allein genügt nicht für Ethical Use</t>
  </si>
  <si>
    <t>Keine Datenqualitäts- oder Data-Governance-Regel</t>
  </si>
  <si>
    <t>BASF erklärt, dass KI keine rechtlich wirksamen oder ähnlich erheblichen Entscheidungen über Betroffene trifft.</t>
  </si>
  <si>
    <t>“AI does not make any decisions that have a legal effect on you”; Auch ähnlich signifikante Auswirkungen durch KI werden ausgeschlossen.</t>
  </si>
  <si>
    <t>“only processed for the purposes defined in advance”</t>
  </si>
  <si>
    <t>Daten dürfen für KI nur für vorab definierte Zwecke verarbeitet werden.</t>
  </si>
  <si>
    <t>“only processed for the purposes defined in advance”; “The legal basis for the use of artificial intelligence is generally BASF's overriding legitimate interest”</t>
  </si>
  <si>
    <t>BASF benennt die Rechtsgrundlage des KI-Einsatzes ausdrücklich.</t>
  </si>
  <si>
    <t>Data Protection Officer-Struktur ist privacy-spezifisch, aber keine klar AI-spezifische Zuständigkeit; why_not_higher: kein expliziter AI-owner</t>
  </si>
  <si>
    <t>Technische/organisatorische Maßnahmen und zweckgebundene Verarbeitung benannt</t>
  </si>
  <si>
    <t>Maßnahmen/controls impliziert, aber ohne konkretes Tool oder Assessment</t>
  </si>
  <si>
    <t>keine Prozessschritte, Rollen oder Ablaufdefinition</t>
  </si>
  <si>
    <t>keine benannten Checks, Templates oder Nachweise</t>
  </si>
  <si>
    <t>“Technical and organisational measures are taken”</t>
  </si>
  <si>
    <t>“Technical and organisational measures are taken”; “AI can be used to create documents”</t>
  </si>
  <si>
    <t>VAL_07, GOV_03</t>
  </si>
  <si>
    <t>„Technical and organisational measures“ kann als Security-Wert oder als allgemeiner Kontrollhinweis gelesen werden.</t>
  </si>
  <si>
    <t>A: VAL_07=1 und GOV_03=1. B: nur GOV_03=1, weil Security nicht ausdrücklich benannt ist. Gewählt: B, konservativ nach Evidence-first.</t>
  </si>
  <si>
    <t>Das Dokument nennt einen Data Protection Officer, aber nicht als AI-spezifische Rolle.</t>
  </si>
  <si>
    <t>A: GOV_01=1, weil eine zuständige Funktion vorhanden ist. B: GOV_01=0, weil keine explizite AI-Zuständigkeit ausgewiesen ist. Gewählt: B, konservativ gemäß KI-Anker-Regel.</t>
  </si>
  <si>
    <t>Die Optimierungs- und Effizienzargumente könnten als verantwortungsbezogener Nutzenrahmen interpretiert werden.</t>
  </si>
  <si>
    <t>A: VAL_15=1 oder VAL_13=1. B: keine Codierung, weil nur funktionaler Nutzen beschrieben wird. Gewählt: B, konservativ.</t>
  </si>
  <si>
    <t>Die Aufzählung konkreter KI-Einsatzfälle kann als Prozessbeschreibung oder nur als Anwendungsbeispiel gelesen werden.</t>
  </si>
  <si>
    <t>A: GOV_02=1, weil der KI-Einsatz organisatorisch beschrieben wird. B: GOV_02=0, weil kein eigentlicher Governance-Prozess vorliegt. Gewählt: A zusammen mit E2, aber nur Stufe 1, da keine Ablauf- oder Rollenlogik dokumentiert ist.</t>
  </si>
  <si>
    <t>15.03.2026</t>
  </si>
  <si>
    <t>S. 8</t>
  </si>
  <si>
    <t>Autonomie + interne Aufsicht explizit; keine konkret beschriebenen Kontrollschritte</t>
  </si>
  <si>
    <t>Accountability explizit genannt, aber ohne Rollen/Ownership-Logik</t>
  </si>
  <si>
    <t>Transparente KI-Nutzung explizit</t>
  </si>
  <si>
    <t>Keine Erklärbarkeit/Interpretierbarkeit von Output oder Logik nachweisbar</t>
  </si>
  <si>
    <t>Fairness explizit; Verbot ungeprüfter Daten stützt Bias-Vermeidung</t>
  </si>
  <si>
    <t>Kein expliziter Datenschutz-/Privacy-Bezug im KI-Abschnitt</t>
  </si>
  <si>
    <t>Keine explizite KI-Security/Cybersecurity nachweisbar</t>
  </si>
  <si>
    <t>Harm-Bezug explizit, aber nur auf Prinzipienebene</t>
  </si>
  <si>
    <t>Vermeidung „incorrect … results“ + Maintenance-Bezug; kein Testing/Monitoring detailliert</t>
  </si>
  <si>
    <t>Kein Einspruchs-, Beschwerde- oder Redress-Mechanismus nachweisbar</t>
  </si>
  <si>
    <t>Nur „inclusion in our data sets“; nach Codebook primär nicht Accessibility/Teilhabe</t>
  </si>
  <si>
    <t>Kein Umwelt-/Green-AI-Bezug im KI-Abschnitt</t>
  </si>
  <si>
    <t>Well-being explizit als Ziel genannt</t>
  </si>
  <si>
    <t>„always comply“ = deontische Compliance-Regel</t>
  </si>
  <si>
    <t>„responsibly/thoughtful use“ bleibt hier zu vage; keine belastbare ethische Grenze</t>
  </si>
  <si>
    <t>Datenqualität, Provenienz, Repräsentativität und Nichtverwendung ungeprüfter Daten konkret operationalisiert</t>
  </si>
  <si>
    <t>Kein IP-/Vertraulichkeitsbezug im KI-Abschnitt</t>
  </si>
  <si>
    <t>Autonomie erwähnt, aber kein explizites Human-Rights-Framing</t>
  </si>
  <si>
    <t>Schutz persönlicher Autonomie wird als KI-Prinzip genannt.; Interne Aufsicht/Inspektionen werden erwähnt.</t>
  </si>
  <si>
    <t>“We respect personal autonomy.”; “support proper internal oversight, inspections, and maintenance of AI solutions.”</t>
  </si>
  <si>
    <t>“accountability”</t>
  </si>
  <si>
    <t>Accountability wird ausdrücklich genannt.</t>
  </si>
  <si>
    <t>“use AI transparently and responsibly.”</t>
  </si>
  <si>
    <t>Transparente KI-Nutzung wird ausdrücklich zugesagt.</t>
  </si>
  <si>
    <t>Fairness wird als Leitprinzip genannt.</t>
  </si>
  <si>
    <t>“fairness”</t>
  </si>
  <si>
    <t>“preventing harm”</t>
  </si>
  <si>
    <t>Schadensvermeidung wird ausdrücklich benannt.</t>
  </si>
  <si>
    <t>“do not use poor, incomplete or non-verified data”; “support proper internal oversight, inspections, and maintenance of AI solutions.”</t>
  </si>
  <si>
    <t>Schlechte oder ungeprüfte Daten sollen nicht verwendet werden.; Interne Aufsicht/Inspektionen werden erwähnt.</t>
  </si>
  <si>
    <t>“promote individual and collective wellbeing”</t>
  </si>
  <si>
    <t>Individuelles und kollektives Wohlbefinden wird als Ziel genannt.</t>
  </si>
  <si>
    <t>Rechts- und Regelkonformität wird verpflichtend formuliert.</t>
  </si>
  <si>
    <t>“clear relevance, provenance, diversity, and sufficient quality in data sources.; “We verify the data sets used for AI training are representative”; “do not use poor, incomplete or non-verified data”</t>
  </si>
  <si>
    <t>Datenherkunft/-qualität werden normativ adressiert.; Repräsentativität von Trainingsdaten wird überprüft.; Schlechte oder ungeprüfte Daten sollen nicht verwendet werden.</t>
  </si>
  <si>
    <t>Keine AI-spezifischen Rollen, Owner oder Gremien mit Aufgabenlogik nachweisbar</t>
  </si>
  <si>
    <t>S. 7–8</t>
  </si>
  <si>
    <t>„inspections“ erwähnt, aber ohne Mechanik, Frequenz oder Verantwortliche</t>
  </si>
  <si>
    <t>Keine KI-bezogenen Trainings/Awareness-Maßnahmen nachweisbar</t>
  </si>
  <si>
    <t>Keine Ansprechpartner, Stufen oder Eskalationsmechanik nachweisbar</t>
  </si>
  <si>
    <t>Kein Reporting zu AI-Risiken, Kontrollen oder Vorfällen nachweisbar</t>
  </si>
  <si>
    <t>Prozessabsicht/fortlaufende Verfeinerung und Aufsicht erwähnt</t>
  </si>
  <si>
    <t>keine Schritte/Trigger/Verantwortlichen</t>
  </si>
  <si>
    <t>kein Implementierungsnachweis/Reporting</t>
  </si>
  <si>
    <t>Konkrete Checks zu Repräsentativität und Datenverifikation</t>
  </si>
  <si>
    <t>“keep refining our bioethical stance and principles”; “support proper internal oversight, inspections, and maintenance of AI solutions.”</t>
  </si>
  <si>
    <t>“We verify the data sets used for AI training are representative”; “do not use poor, incomplete or non-verified data”</t>
  </si>
  <si>
    <t>“support proper internal oversight, inspections, and maintenance of AI solutions.”</t>
  </si>
  <si>
    <t>„inclusion in our data sets“ kann sprachlich wie Inklusivität wirken, zielt aber auch auf Repräsentativität/Bias/Datenqualität.</t>
  </si>
  <si>
    <t>A: VAL_11 codieren. B: primär VAL_05/VAL_16 codieren. Gewählt: B, da Codebook/R06 Datensatz-Inklusion nicht automatisch als VAL_11 wertet.</t>
  </si>
  <si>
    <t>„responsibly“ / „thoughtful use“ könnte als ethische Leitplanke gelesen werden, bleibt aber möglicherweise Responsible-AI-Rhetorik ohne harte Grenze.</t>
  </si>
  <si>
    <t>A: VAL_15 = 1. B: VAL_15 = 0. Gewählt: B, da Exclude-Regel reine Responsible-AI-Rhetorik ohne normative Grenze ausschließt.</t>
  </si>
  <si>
    <t>VAL_01, GOV_02, GOV_04</t>
  </si>
  <si>
    <t>„internal oversight, inspections, and maintenance“ deutet Operationalisierung an, aber ohne definierte Schritte/Frequenzen/Rollen.</t>
  </si>
  <si>
    <t>A: höher codieren (VAL_01 BIND 3; GOV_02 = 2; GOV_04 = 2). B: konservativ niedriger codieren. Gewählt: B, nach R11/R12/R13, da Mechanik und Evidenzminimum für höhere Stufen fehlen.</t>
  </si>
  <si>
    <t>VAL_09, VAL_05, VAL_16</t>
  </si>
  <si>
    <t>Der Satz zu ungeprüften Daten adressiert klar Datenqualität und Bias; unklar ist, ob zusätzlich Robustheit/Zuverlässigkeit vorliegt.</t>
  </si>
  <si>
    <t>A: nur VAL_05/VAL_16. B: zusätzlich VAL_09. Gewählt: B, da „incorrect … results“ auf Ergebniszuverlässigkeit verweist; konservativ mit mittlerer Konfidenz.</t>
  </si>
  <si>
    <t>S. 1 Regel 6; S. 2 Data Privacy Rules</t>
  </si>
  <si>
    <t>Menschliche Entscheidung/Expert Review ausdrücklich gefordert</t>
  </si>
  <si>
    <t>S. 1 Regel 5; S. 1–2 Fußzeile/Kopfbereich</t>
  </si>
  <si>
    <t>Verantwortung für Outputprüfung + benanntes AI-Team; kein umfassendes Accountability-Modell</t>
  </si>
  <si>
    <t>S. 1, Follow best practices</t>
  </si>
  <si>
    <t>Offenlegung der GenAI-Nutzung ausdrücklich verlangt</t>
  </si>
  <si>
    <t>Keine Erklärbarkeit/Interpretierbarkeit von Modell oder Output nachweisbar</t>
  </si>
  <si>
    <t>S. 1, Regel 5</t>
  </si>
  <si>
    <t>Bias-/Stereotypenvermeidung explizit</t>
  </si>
  <si>
    <t>S. 1 Regel 1; S. 2 Data Privacy Rules/Examples</t>
  </si>
  <si>
    <t>Konkrete Verbote und verpflichtende Privacy-Assessments</t>
  </si>
  <si>
    <t>Toolfreigaben/Klassifikation vorhanden, aber kein expliziter Security-/Angriffs-/Leakage-Anker</t>
  </si>
  <si>
    <t>S. 1 Regeln 4 und 6</t>
  </si>
  <si>
    <t>Sichere Nutzung und Schadensvermeidung implizit-regelhaft, aber ohne eigenes Safety-System</t>
  </si>
  <si>
    <t>S. 1 Regeln 5 und 6</t>
  </si>
  <si>
    <t>Kritische Prüfung auf Ungenauigkeit; kein blindes Verlassen auf Output</t>
  </si>
  <si>
    <t>Kein Beschwerde-, Einspruchs- oder Redress-Mechanismus nachweisbar</t>
  </si>
  <si>
    <t>Keine Barrierefreiheits-/Teilhabe-Anforderungen nachweisbar</t>
  </si>
  <si>
    <t>Kein Umwelt-/Energie-/CO2-Bezug nachweisbar</t>
  </si>
  <si>
    <t>„well-being of Bayer“ ist kein belastbarer gesellschaftlicher Nutzenbezug im Codebook-Sinn</t>
  </si>
  <si>
    <t>S. 1 Regel 2; S. 2 Examples</t>
  </si>
  <si>
    <t>Verbotstatbestände und verpflichtende Prüf-/Konsultationsschritte klar operationalisiert</t>
  </si>
  <si>
    <t>S. 1 Regeln 4 und 5</t>
  </si>
  <si>
    <t>Ethische Standards und Grenzen für zulässige Nutzung explizit</t>
  </si>
  <si>
    <t>S. 1 Approved tools; S. 2 Examples</t>
  </si>
  <si>
    <t>Klassifikations-/Freigaberegeln und Assessment-Pflichten für bestimmte Datennutzungen</t>
  </si>
  <si>
    <t>S. 1 Approved tools; Regel 3</t>
  </si>
  <si>
    <t>Vertrauliche Geschäftsdaten und IP-relevante Promptverbote klar geregelt</t>
  </si>
  <si>
    <t>Kein expliziter Human-Rights-Frame nachweisbar</t>
  </si>
  <si>
    <t>GenAI-Output darf kritische Entscheidungen nicht allein tragen.; Personenbezogene Folgen dürfen nicht ohne menschliche Entscheidung eintreten.</t>
  </si>
  <si>
    <t>“Do not use output as the sole basis for critical decisions”; “without a prior human decision.”</t>
  </si>
  <si>
    <t>“Critically assess output to the best of your knowledge”</t>
  </si>
  <si>
    <t>Nutzer sollen GenAI-Output eigenverantwortlich prüfen.</t>
  </si>
  <si>
    <t>“Be transparent that a genAI tool was used in your work”</t>
  </si>
  <si>
    <t>KI-Nutzung im Arbeitsergebnis soll offengelegt werden.</t>
  </si>
  <si>
    <t>“Ensure no damaging stereotypes, potential biases”</t>
  </si>
  <si>
    <t>Output soll keine Stereotype oder Bias enthalten.</t>
  </si>
  <si>
    <t>“Do not enter personal data nor use any personal data provided as output.”;“Obtain a prior data privacy assessment when using AI for HR-related purposes”;“Examples where prior data privacy assessment is required”</t>
  </si>
  <si>
    <t>In externen Tools sind personenbezogene Daten untersagt.; Für HR-bezogene AI-Nutzung ist eine Datenschutzprüfung vorgeschrieben.; Bestimmte KI-Nutzungen erfordern eine Vorabprüfung.</t>
  </si>
  <si>
    <t>“Do not use material potentially protected by personality rights in your prompt.”; “Do not use output as the sole basis for critical decisions”</t>
  </si>
  <si>
    <t>Persönlichkeitsrechte werden als Grenze für Prompts gesetzt.; GenAI-Output darf kritische Entscheidungen nicht allein tragen.</t>
  </si>
  <si>
    <t>“Do not use output as the sole basis for critical decisions”; “factually inaccurate information”</t>
  </si>
  <si>
    <t>GenAI-Output darf kritische Entscheidungen nicht allein tragen.; Faktische Fehler im Output sollen kritisch geprüft werden.</t>
  </si>
  <si>
    <t>Ungesteuerte Nutzung in Compliance-Prozessen ist verboten.; Für bestimmte Datennutzungen ist QA-Konsultation vorgeschrieben; Bestimmte KI-Nutzungen erfordern eine Vorabprüfung.</t>
  </si>
  <si>
    <t>“Uncontrolled use in compliance-relevant processes (e.g. GxP and GISC) is prohibited.”; “after mandatory consultation with Quality Assurance”; “Examples where prior data privacy assessment is required”</t>
  </si>
  <si>
    <t>Persönlichkeitsrechte werden als Grenze für Prompts gesetzt.; Nutzer sollen GenAI-Output eigenverantwortlich prüfen</t>
  </si>
  <si>
    <t>“Do not use material potentially protected by personality rights in your prompt.”; “Critically assess output to the best of your knowledge”</t>
  </si>
  <si>
    <t>Toolnutzung ist an zugelassene Informationsklassen gebunden.; Bestimmte KI-Nutzungen erfordern eine Vorabprüfung.; Training von KI mit personenbezogenen Daten ist assessment-pflichtig.</t>
  </si>
  <si>
    <t>“The tools can only be used with information classifications for which they have been approved.”; “Examples where prior data privacy assessment is required”; “Training AI with personal data”</t>
  </si>
  <si>
    <t>Geschäftsdaten dürfen nur in freigegebenen Tools verwendet werden.; Prompts dürfen keine Marken/Logos/urheberrechtlich geschützten Werke imitieren.</t>
  </si>
  <si>
    <t>“Only use Bayer-approved tools with business data and for business-related purposes.”; “Do not enter, refer to, or imitate brands, logos, or copyrighted works”</t>
  </si>
  <si>
    <t>S. 1–2; S. 1 Regel 2; S. 2 unten rechts</t>
  </si>
  <si>
    <t>S. 1 Regel 2; S. 2 Data Privacy Rules/Examples</t>
  </si>
  <si>
    <t>S. 1 Approved tools/Regel 5; S. 2 Examples</t>
  </si>
  <si>
    <t>S. 2 Data Privacy Rules</t>
  </si>
  <si>
    <t>S. 1, AI-powered technology/IT Academy</t>
  </si>
  <si>
    <t>S. 1 Approved tools/Regel 1; S. 2 unten rechts</t>
  </si>
  <si>
    <t>GenAI Catalyst Team, QA und Datenschutzorganisation mit Aufgabenbezug genannt</t>
  </si>
  <si>
    <t>kein vollständiges RACI/Reporting</t>
  </si>
  <si>
    <t>Konkrete Prozessschritte mit Triggern beschrieben</t>
  </si>
  <si>
    <t>kein Implementierungsnachweis/KPI</t>
  </si>
  <si>
    <t>Konkrete Checks/Assessments und Freigabelogik dokumentiert</t>
  </si>
  <si>
    <t>keine berichteten Ergebnisse</t>
  </si>
  <si>
    <t>Assessment-Aktivität erwähnt</t>
  </si>
  <si>
    <t>keine Auditmechanik, Frequenz oder Review-Zyklen</t>
  </si>
  <si>
    <t>Upskilling-Ressourcen bereitgestellt</t>
  </si>
  <si>
    <t>keine Zielgruppe/Pflicht/Programmstruktur</t>
  </si>
  <si>
    <t>Mehrere Kontaktpunkte genannt</t>
  </si>
  <si>
    <t>keine Stufenlogik oder Fristen</t>
  </si>
  <si>
    <t>“The GenAI Catalyst Team will review and update Bayer’s Generative Artificial Intelligence Guidance and Rules”; “after mandatory consultation with Quality Assurance”; “contact the data privacy organization via go/LPC-platform.”</t>
  </si>
  <si>
    <t>“Examples where prior data privacy assessment is required”; “Obtain a prior data privacy assessment when using AI for HR-related purposes”; “after mandatory consultation with Quality Assurance”</t>
  </si>
  <si>
    <t>“The tools can only be used with information classifications for which they have been approved.”; “Ensure no damaging stereotypes, potential biases”; “Examples where prior data privacy assessment is required”</t>
  </si>
  <si>
    <t>“prior data privacy assessment”</t>
  </si>
  <si>
    <t>“continuous-learning and upskilling resources available in IT Academy”</t>
  </si>
  <si>
    <t>“ask your question via generativeai@bayer.com”; “reach out to the data privacy via go/LPC-platform.”; “contact the data privacy organization via go/LPC-platform.”</t>
  </si>
  <si>
    <t>VAL_07, VAL_17, VAL_14</t>
  </si>
  <si>
    <t>Toolfreigaben und Informationsklassifikation können als Security gelesen werden, aber auch als Confidentiality/Compliance.</t>
  </si>
  <si>
    <t>A: zusätzlich VAL_07 codieren. B: primär VAL_17 + VAL_14/VAL_16 codieren. Gewählt: B, da kein expliziter Security-/Cyber-/Attack-/Leakage-Anker vorliegt; Codebook verlangt mehr als allgemeine IT-/Datenkontrolle.</t>
  </si>
  <si>
    <t>GOV_03, GOV_04, GOV_02</t>
  </si>
  <si>
    <t>Die Vorab-Datenschutzprüfung ist klar ein Check/Assessment, aber unklar ist, ob sie bereits als Auditmechanik zählt.</t>
  </si>
  <si>
    <t>A: GOV_04 = 2. B: GOV_04 = 1 und primär GOV_02/GOV_03 stärken. Gewählt: B, da Frequenz/Mechanik/Review-Zyklus fehlen; Rubrik für GOV_04 Score 2 nicht erfüllt.</t>
  </si>
  <si>
    <t>VAL_15, VAL_14, VAL_05</t>
  </si>
  <si>
    <t>„ethical standards“ steht neben Bias-/Fehlerprüfung; unklar ist, ob dies nur Fairness/Compliance oder auch eigenständige Ethical Use ist.</t>
  </si>
  <si>
    <t>A: nur VAL_05/VAL_14. B: zusätzlich VAL_15. Gewählt: B, weil der Text explizit „uphold ethical standards“ nennt; Codebook erlaubt VAL_15 bei klarer ethischer Grenze.</t>
  </si>
  <si>
    <t>VAL_03, VAL_04, GOV_07</t>
  </si>
  <si>
    <t>Offenlegung der KI-Nutzung könnte als Explainability oder Disclosure verstanden werden.</t>
  </si>
  <si>
    <t>A: auch VAL_04 oder GOV_07 codieren. B: nur VAL_03 codieren. Gewählt: B, da keine Erklärung von Output/Logik und kein Reporting zu Risiken/Kontrollen/Vorfällen vorliegt.</t>
  </si>
  <si>
    <t>VAL_02, GOV_01</t>
  </si>
  <si>
    <t>Benannte Teams/Kontakte können reine Governance oder auch Wert „Responsibility“ sein.</t>
  </si>
  <si>
    <t>A: VAL_02 = 0, nur GOV_01. B: VAL_02 = 1 zusätzlich. Gewählt: B, aber konservativ mit BIND 2 und mittlerer Confidence, da Verantwortung für Outputprüfung plus benannte Zuständigkeit vorliegt, jedoch kein umfassendes Accountability-Modell.</t>
  </si>
  <si>
    <t>Update: 15. März 26: doch kein KI-Bezug &amp; nun exkludiert</t>
  </si>
  <si>
    <t>S. 4 „Much-needed Treatments“; S. 8 „Powered by People“</t>
  </si>
  <si>
    <t>Human judgment explizit; zusätzlich konkrete human review bei einer AI-Lösung</t>
  </si>
  <si>
    <t>S. 6 „Ethical and Responsible Use“</t>
  </si>
  <si>
    <t>Accountability explizit genannt, aber ohne Rollen-/Ownership-Logik</t>
  </si>
  <si>
    <t>Transparenz explizit als KI-Implikation genannt</t>
  </si>
  <si>
    <t>Keine Erklärbarkeit/Interpretierbarkeit von KI-Output oder Entscheidungslogik nachweisbar</t>
  </si>
  <si>
    <t>Bias-Minimierung explizit genannt</t>
  </si>
  <si>
    <t>Privacy safeguarding explizit genannt</t>
  </si>
  <si>
    <t>„secure“ erscheint nur beschreibend; kein Schutz vor Angriffen/Manipulation/Leakage konkretisiert</t>
  </si>
  <si>
    <t>S. 3 „Much-needed Treatments“; S. 6 „Efficiency across all Operations“</t>
  </si>
  <si>
    <t>Safety issues und sichere Anwendung explizit</t>
  </si>
  <si>
    <t>S. 4 „Much-needed Treatments“</t>
  </si>
  <si>
    <t>Human-review-validierte AI-Lösung als konkrete Qualitäts-/Validierungsevidenz</t>
  </si>
  <si>
    <t>„accessible solutions“ bleibt zu marketingnah; kein klarer Accessibility-/inclusive-design-Anker</t>
  </si>
  <si>
    <t>S. 2 „Data-driven Decisions“</t>
  </si>
  <si>
    <t>Nachhaltigere Praktiken explizit mit KI verknüpft</t>
  </si>
  <si>
    <t>S. 1 Einleitung; S. 3 „Much-needed Treatments“</t>
  </si>
  <si>
    <t>Konkreter Nutzen für Patienten, Landwirte und Konsumenten</t>
  </si>
  <si>
    <t>AI unterstützt Compliance anderer Prozesse; keine klare KI-Compliance-Anforderung</t>
  </si>
  <si>
    <t>„ethical and responsible use“ bleibt ohne normative Grenze oder „do not“-Leitplanke</t>
  </si>
  <si>
    <t>Keine Anforderungen zu Datenqualität, Provenienz, Repräsentativität oder Stewardship</t>
  </si>
  <si>
    <t>Kein expliziter IP-/Confidentiality-Anker im KI-Kontext</t>
  </si>
  <si>
    <t>Kein Human-Rights-Framework oder Verweis auf dignity/rights/UNGP nachweisbar</t>
  </si>
  <si>
    <t>“validated by human review”</t>
  </si>
  <si>
    <t>“validated by human review”; “AI is a complementary tool rather than a replacement for human judgment.”</t>
  </si>
  <si>
    <t>Eine proprietäre KI-Lösung wird durch menschliche Prüfung validiert.; Menschliches Urteilsvermögen wird als unersetzlich beschrieben.</t>
  </si>
  <si>
    <t>Menschliches Urteilsvermögen wird als unersetzlich beschrieben.</t>
  </si>
  <si>
    <t>Accountability wird als ethische Implikation von KI genannt.</t>
  </si>
  <si>
    <t>“the fostering of transparency”</t>
  </si>
  <si>
    <t>“the minimization of bias”</t>
  </si>
  <si>
    <t>Bias-Minimierung wird als ethische Implikation von KI genannt.</t>
  </si>
  <si>
    <t>“privacy safeguarding”</t>
  </si>
  <si>
    <t>Datenschutz wird als ethische Implikation von KI genannt.; “AI helps identify potential safety issues</t>
  </si>
  <si>
    <t>KI wird mit sicherer Planung und Analyse klinischer Studien verbunden.; KI wird mit sicherer Planung und Analyse klinischer Studien verbunden.</t>
  </si>
  <si>
    <t>Eine proprietäre KI-Lösung wird durch menschliche Prüfung validiert</t>
  </si>
  <si>
    <t>“more sustainable farming practices”</t>
  </si>
  <si>
    <t>KI wird als Mittel für konkreten Nutzen für Patienten, Landwirte und Konsumenten dargestellt.; KI soll Behandlungen schneller und effizienter zu Patienten bringen.</t>
  </si>
  <si>
    <t>KI wird als Mittel für konkreten Nutzen für Patienten, Landwirte und Konsumenten dargestellt.; “bring much-needed treatments to patients with increasing speed and efficiency”</t>
  </si>
  <si>
    <t>Keine AI-Governance-Rollen, Owner oder Gremien mit Aufgabenlogik genannt</t>
  </si>
  <si>
    <t>Keine klaren Prozessschritte, Trigger, Freigaben oder Lifecycle-Gates nachweisbar</t>
  </si>
  <si>
    <t>Konkreter Checktyp dokumentiert: human review als Validierungsmechanismus</t>
  </si>
  <si>
    <t>Keine Audit-, Inspection- oder Assessment-Mechanik mit Frequenz/Verantwortung</t>
  </si>
  <si>
    <t>S. 8 „Powered by People“</t>
  </si>
  <si>
    <t>Keine Ansprechpartner, Hotline, Ticket- oder Eskalationslogik nachweisbar</t>
  </si>
  <si>
    <t>keine Zielgruppe, Pflicht oder Programmstruktur</t>
  </si>
  <si>
    <t>Training ausdrücklich erwähnt</t>
  </si>
  <si>
    <t>“This necessitates training our personnel”</t>
  </si>
  <si>
    <t>„accessible solutions“ kann als Accessibility gelesen werden, wirkt hier aber stark marketingnah und nicht als inklusives Designprinzip.</t>
  </si>
  <si>
    <t>A: VAL_11 = 1. B: VAL_11 = 0. Gewählt: B, da das Codebook einen klaren Accessibility-/Teilhabe-Anker verlangt und reine Nutzenrhetorik nicht ausreicht.</t>
  </si>
  <si>
    <t>Der Abschnitt spricht von ethical and responsible use, setzt aber keine explizite ethische Grenze oder „do not“-Regel.</t>
  </si>
  <si>
    <t>A: VAL_15 = 1. B: VAL_15 = 0. Gewählt: B, da das Codebook Responsible-AI-Rhetorik ohne normative Grenze ausdrücklich ausschließt.</t>
  </si>
  <si>
    <t>„secure, bespoke gen AI platform“ deutet Security an, bleibt aber rein beschreibend.</t>
  </si>
  <si>
    <t>A: VAL_07 = 1. B: VAL_07 = 0. Gewählt: B, da kein Schutz gegen Angriffe, Manipulation oder Leakage konkretisiert wird.</t>
  </si>
  <si>
    <t>VAL_01 / VAL_09 / GOV_03</t>
  </si>
  <si>
    <t>„validated by human review“ kann zugleich Human Oversight, Reliability und Tools/Checks stützen.</t>
  </si>
  <si>
    <t>A: nur GOV_03 codieren. B: zusätzlich VAL_01 und VAL_09 codieren. Gewählt: B, da der Satz sowohl human review als Kontrollprinzip als auch Validierungsmechanismus belegt.</t>
  </si>
  <si>
    <t>„complying with regulations“ bezieht sich auf AI als Hilfsmittel für Compliance, nicht eindeutig auf KI-Compliance als Norm.</t>
  </si>
  <si>
    <t>A: VAL_14 = 1. B: VAL_14 = 0. Gewählt: B, da das Codebook einen erkennbaren KI-, Regulierungs- oder Standardbezug als Anforderung an KI selbst verlangt.</t>
  </si>
  <si>
    <t>S. 3, Antwort Jagat</t>
  </si>
  <si>
    <t>Aufsicht, menschliche Kontrolle und Human Agency explizit benannt; kein formalisiertes Kontrollregime</t>
  </si>
  <si>
    <t>S. 2–3, Antworten Carolina</t>
  </si>
  <si>
    <t>Accountability als Risiko und Verantwortung als Prinzip benannt; keine Rollen-/Ownership-Logik</t>
  </si>
  <si>
    <t>S. 1 und S. 3</t>
  </si>
  <si>
    <t>Transparenzdefizite und Forderung nach voller Transparenz explizit</t>
  </si>
  <si>
    <t>Keine Erklärbarkeit/Interpretierbarkeit von Output oder Entscheidungslogik nachweisbar</t>
  </si>
  <si>
    <t>Bias, Equity und Schutz vulnerabler Gruppen explizit</t>
  </si>
  <si>
    <t>S. 2, Antwort Jagat</t>
  </si>
  <si>
    <t>Datenschutz erhält Priorität; strikte Regeln zur Nutzung von Patientendaten benannt</t>
  </si>
  <si>
    <t>Technische Maßnahmen zur Datensicherung erwähnt; keine konkrete Sicherheitsarchitektur</t>
  </si>
  <si>
    <t>Patienteninteressen stehen im Vordergrund; Safety nur indirekt/protektiv formuliert</t>
  </si>
  <si>
    <t>Keine klare Evidenz zu Genauigkeit, Stabilität oder intended performance von KI-Systemen</t>
  </si>
  <si>
    <t>Vulnerable Gruppen und Accessibility explizit angesprochen; kein inklusives Designverfahren</t>
  </si>
  <si>
    <t>Kein Umwelt-/Nachhaltigkeitsbezug im KI-Kontext</t>
  </si>
  <si>
    <t>Human well-being, health outcomes und Nutzen für humanity explizit</t>
  </si>
  <si>
    <t>Strikte Befolgung von Gesetzen/Regulierungsanforderungen im KI-/Datenkontext</t>
  </si>
  <si>
    <t>Ethische Leitlinien und ethische Werte im KI-Design benannt; keine detaillierte Verbotsliste</t>
  </si>
  <si>
    <t>S. 2, Antwort Carolina</t>
  </si>
  <si>
    <t>Imbalancierte Trainingsdaten explizit problematisiert; keine konkrete Data-Governance-Mechanik</t>
  </si>
  <si>
    <t>Vertraulichkeit explizit priorisiert; kein IP-spezifischer Schutzmechanismus</t>
  </si>
  <si>
    <t>Kein expliziter Human-Rights-Frame oder Verweis auf dignity/rights/UNGP</t>
  </si>
  <si>
    <t>“ensure the proper supervision of AI systems”; “effective supervision by healthcare professionals"; “effective supervision by healthcare professionals</t>
  </si>
  <si>
    <t>Angemessene Aufsicht über KI-Systeme wird gefordert.; Angemessene Aufsicht über KI-Systeme wird gefordert.; Menschliche Fachkräfte sollen KI wirksam beaufsichtigen.</t>
  </si>
  <si>
    <t>“lack of transparency and accountability”; “should never avoid the responsibility”</t>
  </si>
  <si>
    <t>Fehlende Rechenschaftspflicht wird als KI-Risiko benannt.; Bayer soll Verantwortung für systemisches KI-Verständnis nicht vermeiden.</t>
  </si>
  <si>
    <t>Bayer soll Verantwortung für systemisches KI-Verständnis nicht vermeiden.; “create full transparency about what is the value proposition”</t>
  </si>
  <si>
    <t>Transparenzdefizite werden als zentrales KI-Ethikproblem benannt.; Patienten sollen den Nutzen von Daten und Modellen verstehen.</t>
  </si>
  <si>
    <t>“imbalances”; “These risks include biases”; “do not disproportionally affect already disadvantaged or vulnerable groups”</t>
  </si>
  <si>
    <t>Ungleichgewichte und Bias werden als ethische KI-Risiken benannt.; KI-Risiken sollen vulnerable Gruppen nicht unverhältnismäßig treffen.</t>
  </si>
  <si>
    <t>KI-Risiken sollen vulnerable Gruppen nicht unverhältnismäßig treffen.; “applying strict guidelines on how patient data should be used”</t>
  </si>
  <si>
    <t>“give privacy and confidentiality the utmost priority”; Es gelten strikte Regeln zur Nutzung von Patientendaten.</t>
  </si>
  <si>
    <t>“implemented specific technical measures to secure the data”</t>
  </si>
  <si>
    <t>“keeping patients' interests at the forefront”</t>
  </si>
  <si>
    <t>Patienteninteressen sollen bei KI im Vordergrund bleiben.</t>
  </si>
  <si>
    <t>“do not disproportionally affect already disadvantaged or vulnerable groups”; “ensuring their accessibility to as many people as possible”</t>
  </si>
  <si>
    <t>KI-Risiken sollen vulnerable Gruppen nicht unverhältnismäßig treffen.; Therapien sollen für möglichst viele Menschen zugänglich werden.</t>
  </si>
  <si>
    <t>“impact on human well-being, privacy, and societal values”; “help more patients achieve better health outcomes”; “AI serves humanity in the most beneficial and conscientious manner”</t>
  </si>
  <si>
    <t>“impact on human well-being, privacy, and societal values”; KI soll bessere Gesundheitsresultate für mehr Patienten ermöglichen.; KI soll der Menschheit möglichst nützlich dienen.</t>
  </si>
  <si>
    <t>“strictly follow the laws and regulations”</t>
  </si>
  <si>
    <t>Für KI-/Datenpartnerschaften sollen Gesetze strikt befolgt werden.</t>
  </si>
  <si>
    <t>“meet appropriate ethical guidelines and regulatory requirements”; “ensure ethical values are reflected in the design of AI systems”</t>
  </si>
  <si>
    <t>KI-Partnerschaften sollen ethische Leitlinien erfüllen.; Ethische Werte sollen im Design von KI-Systemen reflektiert sein.</t>
  </si>
  <si>
    <t>“sources of data used to train these AI systems may also be imbalanced”</t>
  </si>
  <si>
    <t>Imbalancierte Trainingsdaten werden als Problem beschrieben.</t>
  </si>
  <si>
    <t>Vertraulichkeit wird im KI-/Datenkontext priorisiert.</t>
  </si>
  <si>
    <t>S. 3, Antwort Carolina</t>
  </si>
  <si>
    <t>Keine AI-bezogenen Trainings/Awareness-Maßnahmen nachweisbar</t>
  </si>
  <si>
    <t>Keine Ansprechpartner, Hotline oder Eskalationsmechanik nachweisbar</t>
  </si>
  <si>
    <t>Kein AI-bezogenes Reporting zu Risiken, Kontrollen oder Vorfällen nachweisbar</t>
  </si>
  <si>
    <t>“A recent meeting of Bayer´s Bioethics Council focused on the exploration of complex ethical questions”</t>
  </si>
  <si>
    <t>“look at the full life cycle of such AI systems”; “look at the full life cycle of such AI systems”</t>
  </si>
  <si>
    <t>“starting from the conception phase”</t>
  </si>
  <si>
    <t>“Algorithmic audits and assessments are crucial steps”</t>
  </si>
  <si>
    <t>AI-bezogenes Gremium (Bioethics Council) genannt</t>
  </si>
  <si>
    <t>keine ausdifferenzierte Aufgaben- oder Freigabelogik</t>
  </si>
  <si>
    <t>Lifecycle-, Review- und Reassessment-Absicht genannt</t>
  </si>
  <si>
    <t>keine klaren Trigger + Verantwortlichen</t>
  </si>
  <si>
    <t xml:space="preserve"> Empfehlung ohne belegte Bayer-Mechanik</t>
  </si>
  <si>
    <t>Assessment-/Checkeinsatz ab Konzeptionsphase erkennbar</t>
  </si>
  <si>
    <t>keine Frequenz oder Verantwortliche</t>
  </si>
  <si>
    <t>Algorithmic audits and assessments ausdrücklich erwähnt</t>
  </si>
  <si>
    <t>generell BIND, GOV_02–GOV_04</t>
  </si>
  <si>
    <t>Mehrere Passagen sind Interviewaussagen bzw. Empfehlungen, nicht formale Policy-Sätze. Unklar ist, wie stark sie bindig codiert werden dürfen.</t>
  </si>
  <si>
    <t>A: BIND/GOV höher wegen klarer Normsprache („need to“, „should“). B: konservativ niedriger, weil Dokumentcharakter interviewartig ist. Gewählt: B, gemäß Evidence-first und R11: ohne formale Prozess-/Kontrollschritte keine hohe Bindigkeit.</t>
  </si>
  <si>
    <t>Equity und Schutz vulnerabler Gruppen können als Fairness oder als Inclusiveness/Accessibility gelesen werden.</t>
  </si>
  <si>
    <t>A: nur VAL_05. B: zusätzlich VAL_11, wenn Teilhabe/Zugänglichkeit explizit wird. Gewählt: B, weil S. 3 zusätzlich „accessibility to as many people as possible“ ausdrücklich nennt.</t>
  </si>
  <si>
    <t>Die Passage belegt Security, aber nicht klar einen konkreten Check oder ein Tool.</t>
  </si>
  <si>
    <t>A: VAL_07 + GOV_03. B: nur VAL_07. Gewählt: B, weil für GOV_03 Checktyp, Prüfgegenstand und Einsatzanlass nicht hinreichend konkret benannt sind.</t>
  </si>
  <si>
    <t>GOV_03, GOV_04</t>
  </si>
  <si>
    <t>Audits/Assessments können sowohl als Auditaktivität als auch als konkreter Check gelesen werden.</t>
  </si>
  <si>
    <t>A: nur GOV_04 = 1. B: zusätzlich GOV_03 = 1. Gewählt: B, da Assessmenttyp und Einsatz ab Konzeptionsphase erkennbar sind; für Score 2 fehlen aber Bayer-spezifische Mechanik/Nachweise.</t>
  </si>
  <si>
    <t>VAL_06, VAL_17</t>
  </si>
  <si>
    <t>Privacy und Confidentiality erscheinen in derselben Passage; unklar ist, ob beide Werte separat codiert werden sollen.</t>
  </si>
  <si>
    <t>A: nur VAL_06. B: VAL_06 und VAL_17. Gewählt: B, da der Wortlaut beide Schutzgüter ausdrücklich nennt und das Codebook getrennte Werte vorsieht.</t>
  </si>
  <si>
    <t>VAL_08, VAL_13</t>
  </si>
  <si>
    <t>Die Formulierung kann als Safety/Harm Prevention oder allgemeiner Human Benefit gelesen werden.</t>
  </si>
  <si>
    <t>A: nur VAL_13. B: zusätzlich VAL_08. Gewählt: B, aber konservativ mit BIND 1 und mittlerer Confidence, weil die Passage einen protektiven Patientenfokus ausdrückt, ohne konkrete Safety-Mechanik.</t>
  </si>
  <si>
    <t>Kein expliziter Human-review-, Override- oder Human-in-the-loop-Mechanismus für KI nachweisbar</t>
  </si>
  <si>
    <t>Keine klaren AI-Verantwortlichkeiten als Wertprinzip; Gremien-/Framework-Evidenz genügt hier nur für GOV</t>
  </si>
  <si>
    <t>S. 202</t>
  </si>
  <si>
    <t>Transparenz wird im operativen KI-Umfeld über Plattform-/Umgebungsdesign konkret adressiert</t>
  </si>
  <si>
    <t>Keine Erklärbarkeit/Interpretierbarkeit von Modellen oder Outputs nachweisbar</t>
  </si>
  <si>
    <t>S. 35</t>
  </si>
  <si>
    <t>Diversität der Phototypen wird algorithmisch besser berücksichtigt; konkrete Operationalisierung statt bloßer Rhetorik</t>
  </si>
  <si>
    <t>Datenstrategie/-schutz wird im Gremium erwähnt, aber kein belastbarer AI-Privacy-Grundsatz oder Regeltext nachweisbar</t>
  </si>
  <si>
    <t>Sicheres Nutzungsumfeld und Safe-use-Framework explizit; technische Security-Details bleiben offen</t>
  </si>
  <si>
    <t>Keine eigenständige, KI-spezifische Harm-/Safety-Norm nachweisbar</t>
  </si>
  <si>
    <t>Standardisierte AI-Testverfahren, robuste Analysebasis sowie präzise und konsistente Messergebnisse sind dokumentiert</t>
  </si>
  <si>
    <t>Phototypen-Diversität wird berücksichtigt, reicht hier konservativ aber nicht für eigenständige Accessibility-/Inclusion-Codierung</t>
  </si>
  <si>
    <t>S. 12; S. 34</t>
  </si>
  <si>
    <t>KI wird konkret zur Optimierung nachhaltiger Formelentwicklung und nachhaltiger Inhaltsstoffkombinationen eingesetzt</t>
  </si>
  <si>
    <t>Nutzenbezüge im Dokument sind überwiegend produkt-/marktnah, nicht als eigenständiger KI-Sozialwert ausformuliert</t>
  </si>
  <si>
    <t>Kein expliziter AI-Lawfulness-/Compliance-Grundsatz oder Pflichtsatz nachweisbar</t>
  </si>
  <si>
    <t>S. 12</t>
  </si>
  <si>
    <t>Klare ethische Nutzungsgrenze („never to use AI to create human skin“); keine tiefer ausgeführte Prozessnorm im selben Satz</t>
  </si>
  <si>
    <t>Valide Daten, Datenqualität und Erweiterung des Algorithmus für repräsentativere Datengrundlagen sind konkret operationalisiert</t>
  </si>
  <si>
    <t>Risiken externer Modelle deuten Vertraulichkeitsfragen an, aber kein expliziter IP-/Confidentiality-Grundsatz für KI nachweisbar</t>
  </si>
  <si>
    <t>Kein expliziter Human-Rights-Frame im KI-Kontext</t>
  </si>
  <si>
    <t>“secure environment with a high level of transparency”</t>
  </si>
  <si>
    <t>Die Plattform soll Transparenz in der KI-Nutzung herstellen.</t>
  </si>
  <si>
    <t>“take better account of the diversity of phototypes</t>
  </si>
  <si>
    <t>“secure environment”; “general framework for the further strategic development of AI”</t>
  </si>
  <si>
    <t>KI-Nutzung wird in einem sicheren Umfeld organisiert.; Ein funktionsübergreifender AI-Rahmen wird aufgebaut.</t>
  </si>
  <si>
    <t>“introduced our innovative AI-controlled wrinkle analysis wrinkle.ai as a standardized test procedure”; “The evaluated results provide a robust basis”; “guaranteeing both precise and consistent measurement results.”</t>
  </si>
  <si>
    <t>Ein AI-Analysetool wurde als Standardtest eingeführt.; Das AI-Tool liefert robuste Ergebnisbasis.; Stabilitätstests liefern präzise und konsistente Resultate.</t>
  </si>
  <si>
    <t>KI wird zur nachhaltigeren Formelentwicklung eingesetzt.; AI-gestützte Formulierung nutzt nachhaltige Inhaltsstoffkombinationen</t>
  </si>
  <si>
    <t>“optimize the speed, quality, and sustainability of our formula development”; “a blend of particularly sustainable ingredients”</t>
  </si>
  <si>
    <t>“never to use AI to create human skin”</t>
  </si>
  <si>
    <t>Es gibt eine klare ethische Grenze für KI-Bildnutzung.</t>
  </si>
  <si>
    <t>“expand the algorithm using valid data for melanin-rich skin types"; “The more high-quality data is available”</t>
  </si>
  <si>
    <t>Der Algorithmus wird mit validen Daten für unterrepräsentierte Hauttypen erweitert.; Hohe Datenqualität wird als Grundlage für Erkenntnisgewinn benannt.</t>
  </si>
  <si>
    <t>S. 19; S. 225</t>
  </si>
  <si>
    <t>S. 12; S. 202</t>
  </si>
  <si>
    <t>S. 202; S. 35</t>
  </si>
  <si>
    <t>Keine AI-spezifischen Audits, Assessments oder Reviewzyklen mit Audit-Charakter nachweisbar</t>
  </si>
  <si>
    <t>Keine expliziten AI-Trainings oder AI-Awareness-Programme nachweisbar</t>
  </si>
  <si>
    <t>Keine Ansprechpartner, Meldekanäle oder Eskalationsstufen speziell für KI nachweisbar</t>
  </si>
  <si>
    <t>S. 202–203</t>
  </si>
  <si>
    <t>Digital &amp; ESG Committee als formales Gremium mit Digitalstrategie-Mandat und dokumentierter AI-Befassung</t>
  </si>
  <si>
    <t>kein vollständiges RACI/Owner-Modell</t>
  </si>
  <si>
    <t>Strategischer Prozessrahmen zum Testen/Skalieren/Implementieren sowie AI-Guidelines und funktionsübergreifender Rahmen benannt</t>
  </si>
  <si>
    <t>keine KPI-/Audit-Evidenz</t>
  </si>
  <si>
    <t>Plattformlösung und standardisierte AI-Testprozedur klar dokumentiert</t>
  </si>
  <si>
    <t>für Score 3 fehlen belastbare Kontrollzyklen/KPI-Nachweise</t>
  </si>
  <si>
    <t>Generative AI wird im Risikobericht explizit berichtet und klassifiziert</t>
  </si>
  <si>
    <t>kein eigenständiger AI-Reporting-Prozess oder Regelzyklus beschrieben</t>
  </si>
  <si>
    <t>“discussed the CSR Directive, data strategy and data protection, and artificial intelligence.”; “It monitors the company’s digital strategy”</t>
  </si>
  <si>
    <t>“It monitors the company’s digital strategy”; “general framework for the further strategic development of AI”; “communication guidelines for using AI for all global brands”</t>
  </si>
  <si>
    <t>“bundled all marketing-related AI tools on one platform”; “introduced our innovative AI-controlled wrinkle analysis wrinkle.ai as a standardized test procedure”</t>
  </si>
  <si>
    <t>“the extent of the risk remains low, but the likelihood of occurrence is raised to possible.”</t>
  </si>
  <si>
    <t>VAL_15, VAL_01</t>
  </si>
  <si>
    <t>Die Passage setzt eine klare Grenze, ist aber eher Ethical Use als Human Oversight.</t>
  </si>
  <si>
    <t>A: VAL_15 = 1, VAL_01 = 0. B: VAL_15 = 1, VAL_01 = 1. Gewählt: A, da keine menschliche Review-/Override-Mechanik genannt wird, sondern eine ethische No-use-Regel.</t>
  </si>
  <si>
    <t>VAL_05, VAL_11, VAL_16</t>
  </si>
  <si>
    <t>Die Passage kann Fairness, Inclusion oder Data Governance zugleich berühren.</t>
  </si>
  <si>
    <t>A: VAL_05 + VAL_16 positiv, VAL_11 = 0. B: alle drei positiv. Gewählt: A, da die Passage primär Repräsentativität/Bias und valide Datengrundlagen adressiert, nicht Accessibility im engeren Codebook-Sinn.</t>
  </si>
  <si>
    <t>VAL_07, VAL_17</t>
  </si>
  <si>
    <t>Security/Safe-use könnte zugleich Confidentiality andeuten.</t>
  </si>
  <si>
    <t>A: VAL_07 = 1, VAL_17 = 0. B: VAL_07 = 1, VAL_17 = 1. Gewählt: A, da keine explizite Vertraulichkeits- oder IP-Regel formuliert ist; die Evidenz trägt Security stärker als Confidentiality.</t>
  </si>
  <si>
    <t>GOV_07, GOV_04</t>
  </si>
  <si>
    <t>Die formale Risikoklassifikation könnte Reporting oder Audit/Monitoring bedeuten.</t>
  </si>
  <si>
    <t>A: GOV_07 = 1, GOV_04 = 0. B: GOV_07 = 1, GOV_04 = 1. Gewählt: A, da Berichtsevidenz vorliegt, aber kein Auditmechanismus, keine Prüffrequenz und keine Auditverantwortung.</t>
  </si>
  <si>
    <t>Unklar ist, ob die Gremienbefassung bereits „dokumentierte Zuständigkeit“ (2) oder nur „benannt“ (1) ist.</t>
  </si>
  <si>
    <t>A: GOV_01 = 1. B: GOV_01 = 2. Gewählt: B, da das Gremium formal beschrieben ist, ein Mandat zur Überwachung der Digitalstrategie hat und AI explizit diskutiert wurde; für 3 fehlen Implementierungs-/Reportingnachweise.</t>
  </si>
  <si>
    <t>GOV_03, VAL_09</t>
  </si>
  <si>
    <t>Die Passage ist stark operationalisiert; unklar ist, ob dies bereits Score/BIND 3 erzwingt.</t>
  </si>
  <si>
    <t>A: GOV_03 = 3. B: GOV_03 = 2 und VAL_09 = 3. Gewählt: B, da Tool-/Check-Nutzung sehr konkret ist, aber dokumentierte KPI-/Audit-/Kontrollzyklen für GOV_03=3 fehlen; bei VAL_09 reicht die Evidenz für hohe Bindigkeit.</t>
  </si>
  <si>
    <t>Stärkung der Mitarbeitenden ist kein expliziter Human-review-/Override-/Oversight-Mechanismus</t>
  </si>
  <si>
    <t>„liability of platforms“ benennt ein Problemfeld, aber kein belastbares Verantwortungsprinzip von Beiersdorf</t>
  </si>
  <si>
    <t>Keine Transparenzpflicht, Offenlegung oder KI-Disclosure nachweisbar</t>
  </si>
  <si>
    <t>Keine Erklärbarkeit/Interpretierbarkeit von KI-Output oder Entscheidungslogik</t>
  </si>
  <si>
    <t>S. 2</t>
  </si>
  <si>
    <t>Bias in Trainingsdaten wird explizit als KI-Risiko benannt</t>
  </si>
  <si>
    <t>Umgang mit personenbezogenen Daten wird ausdrücklich als ethischer KI-Aspekt genannt</t>
  </si>
  <si>
    <t>Keine Security-/Cyber-/Leakage-Anforderung im KI-Kontext nachweisbar</t>
  </si>
  <si>
    <t>Risiken werden allgemein erwähnt, aber kein expliziter Harm-/Safety-Anker</t>
  </si>
  <si>
    <t>Halluzinationen und Quellenzuverlässigkeit werden klar als Reliability-Thema beschrieben</t>
  </si>
  <si>
    <t>„diversity“ erscheint nur als Ethikaspekt, nicht als Accessibility-/Teilhabe- oder inklusives Designprinzip</t>
  </si>
  <si>
    <t>KI-Nutzung wird mit menschlicherer, sinnvollerer Arbeit und der Stärkung von Mitarbeitenden verknüpft</t>
  </si>
  <si>
    <t>„legal risks“ wird erwähnt, aber keine Compliance-Anforderung oder Rechtskonformitätsregel formuliert</t>
  </si>
  <si>
    <t>Ethik wird diskutiert, aber ohne klare normative Grenze oder „do not“-Leitplanke</t>
  </si>
  <si>
    <t>Verzerrte Trainingsdaten benennen ein Datenqualitäts-/Repräsentativitätsproblem im KI-Kontext</t>
  </si>
  <si>
    <t>Kein IP-/Geheimnis-/Confidentiality-Anker im KI-Kontext</t>
  </si>
  <si>
    <t>Kein Human-Rights-Frame oder Verweis auf dignity/rights/UNGP</t>
  </si>
  <si>
    <t>“the extent of biased training data”</t>
  </si>
  <si>
    <t>Verzerrte Trainingsdaten werden als Risiko benannt.</t>
  </si>
  <si>
    <t>“handling personal data”</t>
  </si>
  <si>
    <t>Der Umgang mit personenbezogenen Daten wird als ethische KI-Frage genannt.</t>
  </si>
  <si>
    <t>“Reliability focuses on how much AI hallucinates</t>
  </si>
  <si>
    <t>Zuverlässigkeit wird als zentrales KI-Risiko beschrieben</t>
  </si>
  <si>
    <t>“make work more humane and meaningful”; “amplify the existing strengths of our employees”</t>
  </si>
  <si>
    <t>Produktivitätsgewinne durch KI sollen Arbeit menschlicher und sinnvoller machen.; Produktivitätsgewinne durch KI sollen Arbeit menschlicher und sinnvoller machen.</t>
  </si>
  <si>
    <t>“biased training data”</t>
  </si>
  <si>
    <t>Trainingsdaten werden als Qualitäts-/Governance-Risiko angesprochen.</t>
  </si>
  <si>
    <t>S. 3</t>
  </si>
  <si>
    <t>Keine Audit-, Assessment-, Inspection- oder Evaluation-Mechanik im Rubrik-Sinn nachweisbar</t>
  </si>
  <si>
    <t>Keine Ansprechpartner, Hotline oder Eskalationslogik für KI</t>
  </si>
  <si>
    <t>“My team and I are taking on more and more pilot functions</t>
  </si>
  <si>
    <t>“We look around, we try things out”</t>
  </si>
  <si>
    <t>“we check for potential risks and opportunities”</t>
  </si>
  <si>
    <t>Ein AI-bezogenes Team mit Pilotfunktion wird genannt</t>
  </si>
  <si>
    <t>Arbeitsweise bei neuen AI-Themen beschrieben</t>
  </si>
  <si>
    <t>keine klaren Trigger, Gateways oder Verantwortlichkeitskette</t>
  </si>
  <si>
    <t>Prüfung von Risiken/Chancen erwähnt</t>
  </si>
  <si>
    <t>kein konkreter Checktyp, Prüfgegenstand oder Einsatzmechanismus</t>
  </si>
  <si>
    <t>Der Text diskutiert „ethics“, aber ohne klare Verbotsnorm oder ethische Grenze.</t>
  </si>
  <si>
    <t>A: VAL_15 = 1. B: VAL_15 = 0. Gewählt: B, da das Codebook reine Ethik-/Responsible-AI-Rhetorik ohne normative Grenze ausschließt.</t>
  </si>
  <si>
    <t>VAL_05, VAL_16</t>
  </si>
  <si>
    <t>Die Passage kann sowohl Fairness/Bias als auch Datenqualität/Repräsentativität stützen.</t>
  </si>
  <si>
    <t>A: nur VAL_05. B: VAL_05 und VAL_16. Gewählt: B, da „training data“ explizit den Datensatzbezug trägt; VAL_16 aber nur mit konservativem BIND 1.</t>
  </si>
  <si>
    <t>Unklar ist, ob dies bereits eine formale AI-Governance-Rolle oder nur eine interviewhafte Tätigkeitsbeschreibung ist.</t>
  </si>
  <si>
    <t>A: GOV_01 = 1. B: GOV_01 = 2. Gewählt: A, da zwar eine AI-bezogene Einheit benannt ist, aber keine formale Aufgaben-/Freigabelogik dokumentiert wird.</t>
  </si>
  <si>
    <t>Die Passage erwähnt Checks, bleibt aber sehr allgemein.</t>
  </si>
  <si>
    <t>A: GOV_03 = 1. B: GOV_03 = 0. Gewählt: A, weil eine Prüfhandlung explizit genannt ist; für Score 2 fehlen Checktyp, Prüfgegenstand und Einsatzanlass.</t>
  </si>
  <si>
    <t>VAL_01, VAL_13</t>
  </si>
  <si>
    <t>„amplify the existing strengths of our employees“ kann Human Agency oder Human Well-being bedeuten.</t>
  </si>
  <si>
    <t>A: VAL_01 = 1. B: VAL_13 = 1, VAL_01 = 0. Gewählt: B, da keine menschliche Kontroll-/Override-Mechanik vorliegt, sondern ein Nutzenbezug für Mitarbeitende.</t>
  </si>
  <si>
    <t>S. 2; S. 8; S. 9</t>
  </si>
  <si>
    <t>Human monitoring, Override, Human fallback und menschliche Restverantwortung explizit</t>
  </si>
  <si>
    <t>Risikoidentifikation, -bewertung, -reporting und -minderung konkret benannt</t>
  </si>
  <si>
    <t>Offene Kommunikation über KI-Nutzung ausdrücklich genannt</t>
  </si>
  <si>
    <t>Explainability explizit als Ziel formuliert</t>
  </si>
  <si>
    <t>Menschenwürde, Fairness und Nichtdiskriminierung klar adressiert</t>
  </si>
  <si>
    <t>State-of-the-art Datenschutzmaßnahmen werden auf KI ausgedehnt</t>
  </si>
  <si>
    <t>Datensicherheitsmaßnahmen für KI-Anwendungen ausdrücklich genannt</t>
  </si>
  <si>
    <t>S. 2; S. 9</t>
  </si>
  <si>
    <t>Sicherheitsstandards und sichere Fahr-/Parkassistenz explizit</t>
  </si>
  <si>
    <t>Robuste KI-Anwendungen ausdrücklich als Ziel formuliert</t>
  </si>
  <si>
    <t>Vielfalt erscheint hier als Fairness-/Nichtdiskriminierungskonzept, nicht als eigenständiger Accessibility-/Inclusion-Mechanismus</t>
  </si>
  <si>
    <t>S. 2; S. 8</t>
  </si>
  <si>
    <t>Umwelt-/Klimaschutz im Prinzip benannt und durch Energieeinsparungsbeispiel illustriert</t>
  </si>
  <si>
    <t>Wohl von Kunden, Mitarbeitenden und Partnern explizit</t>
  </si>
  <si>
    <t>Verhinderung von Non-Compliance durch KI explizit genannt</t>
  </si>
  <si>
    <t>„used ethically“ bleibt ohne eigenständige normative Grenze; Werte werden bereits über spezifische Prinzipien abgedeckt</t>
  </si>
  <si>
    <t>S. 2; S. 4</t>
  </si>
  <si>
    <t>Data governance explizit; zusätzlich konkrete Qualitäts-/Konsistenzprüfungen</t>
  </si>
  <si>
    <t>S. 9</t>
  </si>
  <si>
    <t>Informationsschutz begründet explizites Verbot frei verfügbarer Tools</t>
  </si>
  <si>
    <t>KI-Prinzip wird ausdrücklich an Human-Rights-Ziele angebunden</t>
  </si>
  <si>
    <t>“implements appropriate human monitoring”; “humans can overrule algorithmic decisions”</t>
  </si>
  <si>
    <t>BMW verlangt menschliche Überwachung und Override-Möglichkeiten.; Menschen sollen algorithmische Entscheidungen überstimmen können.</t>
  </si>
  <si>
    <t>“identify, assess, report and mitigate risks”</t>
  </si>
  <si>
    <t>BMW kündigt Identifikation, Bewertung, Reporting und Minderung von KI-Risiken an.</t>
  </si>
  <si>
    <t>“open communication where respective technologies are used”</t>
  </si>
  <si>
    <t>BMW strebt offene Kommunikation über eingesetzte KI an.</t>
  </si>
  <si>
    <t>“aims for explainability of AI applications”</t>
  </si>
  <si>
    <t>BMW nennt Erklärbarkeit ausdrücklich als Ziel.</t>
  </si>
  <si>
    <t>“respects human dignity”; “sets out to build fair AI applications”</t>
  </si>
  <si>
    <t>BMW will faire KI entwickeln und verweist auf Menschenwürde.; Nichtdiskriminierung/Fairness wird explizit mit KI verbunden.</t>
  </si>
  <si>
    <t>“extends its state-of-the-art data privacy”</t>
  </si>
  <si>
    <t>Datenschutzmaßnahmen werden auf KI-Anwendungen ausgedehnt.</t>
  </si>
  <si>
    <t>“data security measures to cover storage and processing in AI applications”</t>
  </si>
  <si>
    <t>Datensicherheitsmaßnahmen werden auf KI-Anwendungen ausgedehnt.</t>
  </si>
  <si>
    <t>“safety standards designed to decrease the risk of unintended consequences and errors”; “help customers to drive safely, park and stay connected”</t>
  </si>
  <si>
    <t>Sicherheitsstandards sollen unbeabsichtigte Folgen und Fehler reduzieren.; Fahrassistenzfunktionen helfen Kunden, sicher zu fahren und zu parken.</t>
  </si>
  <si>
    <t>“aims to develop robust AI applications”</t>
  </si>
  <si>
    <t>BMW formuliert Robustheit als Ziel für AI-Anwendungen.</t>
  </si>
  <si>
    <t>“climate change and environmental protection”; “approximately 1,200 MWh of thermal energy”</t>
  </si>
  <si>
    <t>KI-Prinzipien werden mit Klimaschutz und Umweltschutz verknüpft.; KI senkt im Gebäudemanagement messbar den Energieverbrauch.</t>
  </si>
  <si>
    <t>“promote the well-being of customers, employees and partners”</t>
  </si>
  <si>
    <t>KI soll das Wohl von Kunden, Mitarbeitenden und Partnern fördern.</t>
  </si>
  <si>
    <t>“preventing non-compliance by AI applications”</t>
  </si>
  <si>
    <t>Nicht-Compliance durch KI soll verhindert werden.</t>
  </si>
  <si>
    <t>“Privacy and data governance”; “checked – in real time – for linguistic quality, similarity and consistency”</t>
  </si>
  <si>
    <t>Data governance ist als eigener KI-Grundsatz benannt.; Ein Web-Tool prüft Anforderungen in Echtzeit auf Qualität, Ähnlichkeit und Konsistenz.</t>
  </si>
  <si>
    <t>“not permitted for reasons of information protection”</t>
  </si>
  <si>
    <t>Freie Übersetzungstools sind aus Informationsschutzgründen untersagt.</t>
  </si>
  <si>
    <t>“goals in the areas of human rights and sustainability”</t>
  </si>
  <si>
    <t>BMW ordnet das KI-Prinzipienmodell an Menschenrechtsziele an.</t>
  </si>
  <si>
    <t>S. 3–6</t>
  </si>
  <si>
    <t>Keine AI-spezifischen Audits, Auditzyklen oder Assessments mit Audit-Charakter nachweisbar</t>
  </si>
  <si>
    <t>S. 1</t>
  </si>
  <si>
    <t>Operative Notifications vorhanden, aber kein AI-Governance-Eskalationsweg, keine Hotline, keine Stufenlogik</t>
  </si>
  <si>
    <t>Project AI als zentrales Kompetenzzentrum mit klarer AI-Funktion beschrieben</t>
  </si>
  <si>
    <t>Kontinuierliche Verfeinerung plus Risikoidentifikation/-bewertung/-minderung dokumentiert</t>
  </si>
  <si>
    <t>keine auditierte Regelkette/KPIs</t>
  </si>
  <si>
    <t>Mehrere konkrete Tools und Checks dokumentiert</t>
  </si>
  <si>
    <t>für 3 fehlen regelmäßige Kontrollnachweise/KPI- oder Auditbelege</t>
  </si>
  <si>
    <t>Awareness unter Mitarbeitenden wird explizit genannt</t>
  </si>
  <si>
    <t>keine formale Trainingsarchitektur</t>
  </si>
  <si>
    <t>Portfolio-Transparenz und dokumentierte Use-Case-Zahlen belegen Reportingnähe</t>
  </si>
  <si>
    <t>kein formalisierter Reporting-Zyklus</t>
  </si>
  <si>
    <t>“centre of competence for data analytics and machine learning”</t>
  </si>
  <si>
    <t>“identify, assess, report and mitigate risks”; “continuously refined and adapted</t>
  </si>
  <si>
    <t>“portfolio tool which creates transparency”; “checked – in real time – for linguistic quality, similarity and consistency”; “determines deviations from the standard in real time”</t>
  </si>
  <si>
    <t>“determines deviations from the standard in real time”</t>
  </si>
  <si>
    <t>“currently spans 400 use cases, of which more than 50 are available for regular operation”</t>
  </si>
  <si>
    <t>Transparenz und Explainability stehen in derselben Passage; unklar ist, ob nur Transparenz oder beide Werte zu codieren sind.</t>
  </si>
  <si>
    <t>A: nur VAL_03. B: VAL_03 und VAL_04. Gewählt: B, da „open communication“ und „explainability“ getrennte Begriffe mit eigenständigem Evidenzgehalt sind.</t>
  </si>
  <si>
    <t>VAL_06, VAL_07, VAL_16</t>
  </si>
  <si>
    <t>Die Passage bündelt Privacy, Security und Data Governance.</t>
  </si>
  <si>
    <t>A: nur VAL_06. B: VAL_06, VAL_07 und VAL_16. Gewählt: B, da alle drei Schutz-/Governance-Dimensionen ausdrücklich genannt werden.</t>
  </si>
  <si>
    <t>VAL_02, GOV_02, GOV_07</t>
  </si>
  <si>
    <t>Dieselbe Passage stützt sowohl Accountability als Wert als auch Prozess-/Reporting-Aspekte.</t>
  </si>
  <si>
    <t>A: nur VAL_02. B: zusätzlich GOV_02 und GOV_07 stärken. Gewählt: B, aber GOV_07 nur mit Score 1, da Reporting genannt ist, jedoch ohne formalen Zyklus oder KPI-Struktur.</t>
  </si>
  <si>
    <t>GOV_03, GOV_06</t>
  </si>
  <si>
    <t>Die automatische Benachrichtigung könnte als Eskalationsweg oder nur als operativer Check gelten.</t>
  </si>
  <si>
    <t>A: GOV_03 = 2, GOV_06 = 0. B: zusätzlich GOV_06 = 1. Gewählt: A, da eine operative Notification vorliegt, aber keine Governance-Eskalationsstufe, Zuständigkeitskette oder Meldeprozedur.</t>
  </si>
  <si>
    <t>VAL_17, VAL_07</t>
  </si>
  <si>
    <t>Informationsschutz könnte als Confidentiality oder als Security verstanden werden.</t>
  </si>
  <si>
    <t>A: nur VAL_17. B: VAL_17 und VAL_07. Gewählt: A, da die Passage primär das Verbot externer Tools aus Schutz-/Vertraulichkeitsgründen begründet und keine eigenständige Security-Architektur beschreibt.</t>
  </si>
  <si>
    <t>VAL_12, VAL_18, VAL_13</t>
  </si>
  <si>
    <t>Die Well-being-Passage verbindet soziale, ökologische und menschenrechtliche Bezüge.</t>
  </si>
  <si>
    <t>A: nur VAL_12 und VAL_13. B: zusätzlich VAL_18. Gewählt: B, da Human Rights ausdrücklich genannt werden und damit ein eigener Wertanker vorliegt.</t>
  </si>
  <si>
    <t>z</t>
  </si>
  <si>
    <t>Menschliche Aufsicht, Intervention und Modifizierbarkeit von Algorithmen explizit</t>
  </si>
  <si>
    <t>Keine expliziten Verantwortlichen oder KI-bezogenes Ownership-Prinzip nachweisbar</t>
  </si>
  <si>
    <t>Transparenz wird über Verifizierbarkeit von Algorithmen konkretisiert</t>
  </si>
  <si>
    <t>Explainability ausdrücklich genannt; KI-/Algorithmus-Bezug über unmittelbaren Absatzkontext</t>
  </si>
  <si>
    <t>Keine explizite Bias-/Fairness-/Non-Discrimination-Passage mit AI-/Algorithmus-Anker</t>
  </si>
  <si>
    <t>Datenschutz wird breit digital adressiert, aber ohne hinreichend klaren KI-Anker</t>
  </si>
  <si>
    <t>Security/Cybersecurity werden allgemein digital, nicht hinreichend KI-spezifisch formuliert</t>
  </si>
  <si>
    <t>„Safety of use“ bleibt im Dokument auf allgemeiner Digitalebene; kein klarer KI-Anker</t>
  </si>
  <si>
    <t>Keine explizite KI-Robustheits-/Reliability-Aussage mit hinreichendem AI-Anker</t>
  </si>
  <si>
    <t>Digital accessibility/design for all wird allgemein digital, nicht klar KI-spezifisch adressiert</t>
  </si>
  <si>
    <t>Nachhaltigkeit wird nur allgemein digital, nicht KI-spezifisch formuliert</t>
  </si>
  <si>
    <t>Nutzenrhetorik zu digitalen Lösungen, aber kein belastbarer KI-Anker</t>
  </si>
  <si>
    <t>Compliance mit Regulierung wird allgemein digital erwähnt, nicht klar KI-spezifisch</t>
  </si>
  <si>
    <t>Keine explizite ethische KI-Grenze oder „do not“-Leitplanke mit KI-Anker</t>
  </si>
  <si>
    <t>Data control/data use werden allgemein digital adressiert; keine konkrete KI-Datenqualitäts-/Dataset-Anforderung</t>
  </si>
  <si>
    <t>Kein IP-/Confidentiality-Bezug mit KI-Anker</t>
  </si>
  <si>
    <t>Kein expliziter Human-Rights-Frame für KI/Algorithmen nachweisbar</t>
  </si>
  <si>
    <t>“human oversight and the capability to intervene in algorithms”; “ensuring that they can be modified as required”</t>
  </si>
  <si>
    <t>BMW fordert menschliche Aufsicht und Eingriffsmöglichkeit bei Algorithmen.; Algorithmen sollen bei Bedarf modifiziert werden können.</t>
  </si>
  <si>
    <t>“This includes, for instance, verifiability of algorithms</t>
  </si>
  <si>
    <t>Transparenz wird u. a. über Verifizierbarkeit von Algorithmen konkretisiert.</t>
  </si>
  <si>
    <t>“The simplicity, explainability and traceability of digital processes and products”</t>
  </si>
  <si>
    <t>Erklärbarkeit und Nachverfolgbarkeit digitaler Prozesse/Produkte werden hervorgehoben.</t>
  </si>
  <si>
    <t>Keine AI-bezogenen Rollen, Owner oder Gremien genannt</t>
  </si>
  <si>
    <t>Kein klarer AI-Prozess mit Schritten, Triggern oder Verantwortlichen nachweisbar</t>
  </si>
  <si>
    <t>Keine Audit-, Assessment- oder Inspection-Mechanik nachweisbar</t>
  </si>
  <si>
    <t>keine Mechanik/kein Tool beschrieben</t>
  </si>
  <si>
    <t>Verifizierbarkeit von Algorithmen als allgemeiner Checkgedanke genannt</t>
  </si>
  <si>
    <t>Training/AI literacy ausdrücklich angeboten</t>
  </si>
  <si>
    <t>keine Pflicht, Regelmäßigkeit oder Programmstruktur</t>
  </si>
  <si>
    <t>“verifiability of algorithms”</t>
  </si>
  <si>
    <t>“offers its employees training on IT tools”; “(‘digital literacy’ &amp; ‘AI literacy’)”</t>
  </si>
  <si>
    <t>mehrere VAL-Codes</t>
  </si>
  <si>
    <t>Das Dokument ist ein allgemeines Digitalleitbild; viele Aussagen sind normativ stark, aber nicht explizit KI-spezifisch.</t>
  </si>
  <si>
    <t>A: allgemeine Digital-Passagen als KI-relevant mitcodieren. B: nur Passagen mit explizitem AI-/Algorithmus-Anker codieren. Gewählt: B, gemäß R1 KI-Anker-Regel und konservativer Auslegung.</t>
  </si>
  <si>
    <t>Explainability ist explizit genannt, aber der Satz nennt nicht direkt KI; der AI-/Algorithmus-Anker ergibt sich aus dem unmittelbaren Absatzkontext.</t>
  </si>
  <si>
    <t>A: VAL_04 = 1. B: VAL_04 = 0. Gewählt: A, da derselbe Absatz ausdrücklich Algorithmen, menschliche Aufsicht und Intervention thematisiert.</t>
  </si>
  <si>
    <t>VAL_03, GOV_03</t>
  </si>
  <si>
    <t>Die Passage kann Transparenzwert und zugleich allgemeine Checklogik stützen.</t>
  </si>
  <si>
    <t>A: nur VAL_03. B: zusätzlich GOV_03 = 1. Gewählt: B, aber GOV_03 nur mit Score 1, da kein Toolname, kein Prüfgegenstand im Detail und kein Einsatzanlass beschrieben sind.</t>
  </si>
  <si>
    <t>Privacy, Security und data control sind stark ausgeprägt, aber nicht explizit an KI/Algorithmen rückgebunden.</t>
  </si>
  <si>
    <t>A: positiv codieren wegen Nähe zu AI literacy und Digitalprinzipien. B: nicht codieren. Gewählt: B, da das Codebook allgemeine Digital-/IT-Statements ohne klaren KI-Anker ausschließt.</t>
  </si>
  <si>
    <t>Der Abschnitt enthält Teilhabe-/Accessibility-Sprache; AI wird jedoch erst im nachfolgenden Trainingssatz genannt.</t>
  </si>
  <si>
    <t>A: VAL_11 = 1. B: VAL_11 = 0. Gewählt: B, da Accessibility hier nicht hinreichend klar auf KI-Systeme oder KI-Nutzung bezogen ist.</t>
  </si>
  <si>
    <t>Human control plus konkrete Interventionen und mandatory testing explizit</t>
  </si>
  <si>
    <t>Keine klare Verantwortungszuweisung, kein Owner-/Accountability-Modell explizit nachweisbar</t>
  </si>
  <si>
    <t>Transparenz allgemein und konkret für Interaktionen mit Chatbots/Talkbots/Deep Fakes operationalisiert</t>
  </si>
  <si>
    <t>Comprehensibility und Explainability explizit adressiert</t>
  </si>
  <si>
    <t>Qualitätsstandards sollen Diskriminierung vermeiden</t>
  </si>
  <si>
    <t>Schutz persönlicher Rechte und explizite Geltung von Art. 9 DSGVO für KI</t>
  </si>
  <si>
    <t>Security ausdrücklich als Bestandteil verantwortungsvoller KI benannt</t>
  </si>
  <si>
    <t>Fehler/Missbrauch sollen vermieden werden; manipulative/exploitative Praktiken verboten</t>
  </si>
  <si>
    <t>Robustheit explizit genannt, aber ohne detaillierte technische Umsetzung</t>
  </si>
  <si>
    <t>Keine Beschwerde-, Einspruchs- oder Redress-Mechanik nachweisbar</t>
  </si>
  <si>
    <t>Keine klare Accessibility-/Teilhabe-Anforderung für KI-Systeme nachweisbar</t>
  </si>
  <si>
    <t>Nutzenbezüge für Mitarbeitende/Kunden bleiben hier eher allgemeiner Preamble-Kontext als eigenständiger Wertgrundsatz</t>
  </si>
  <si>
    <t>KI muss Grundrechte, Gesetze und demokratische Werte berücksichtigen</t>
  </si>
  <si>
    <t>Vertrauenswürdige/verantwortungsvolle Nutzung und klare Verbote manipulativer Praktiken</t>
  </si>
  <si>
    <t>Datenverarbeitung und Schutz sind klar, aber Datenqualität/Provenienz/Repräsentativität nicht hinreichend explizit</t>
  </si>
  <si>
    <t>Schutz von Geschäftsgeheimnissen im KI-Kontext explizit, aber nur glossary-basiert</t>
  </si>
  <si>
    <t>Fundamental rights ausdrücklich als Referenzrahmen für KI benannt</t>
  </si>
  <si>
    <t>“human control”; “intervention options and mandatory testing</t>
  </si>
  <si>
    <t>Menschliche Kontrolle ist als Kernbestandteil vertrauenswürdiger KI benannt.; In KI-gestützten Prozessen müssen Eingriffsmöglichkeiten und Tests klar sein</t>
  </si>
  <si>
    <t>“make the use of AI and ML transparent”; “transparency about the interaction with an AI system is created on the front end</t>
  </si>
  <si>
    <t>KI-Nutzung soll gegenüber Beschäftigten transparent gemacht werden.; Bei Chatbots, Talkbots und Deep Fakes ist Frontend-Transparenz vorgeschrieben.</t>
  </si>
  <si>
    <t>“AI systems must process employee data in a comprehensible way.”; “It covers aspects of traceability, reproducibility and explainability.”</t>
  </si>
  <si>
    <t>Explainability-/Comprehensibility-Bezug</t>
  </si>
  <si>
    <t>“quality standards are aligned in such a way that discrimination is avoided”</t>
  </si>
  <si>
    <t>KI-Qualitätsstandards sind auf Diskriminierungsvermeidung auszurichten.</t>
  </si>
  <si>
    <t>“personal rights of our employees are respected and protected”; “Article 9 (1) of GDPR also applies to AI systems”</t>
  </si>
  <si>
    <t>Persönlichkeitsrechte der Beschäftigten werden im KI-Kontext geschützt.; Besondere Kategorien personenbezogener Daten sind auch für KI grundsätzlich verboten.</t>
  </si>
  <si>
    <t>“includes fairness, transparency, robustness, security</t>
  </si>
  <si>
    <t>Security ist als Kernbestandteil verantwortungsvoller KI benannt.</t>
  </si>
  <si>
    <t>“errors and misuse can be avoided”; “Any manipulative, exploitative and social control practices are not used”</t>
  </si>
  <si>
    <t>Das Dokument will Fehler und Missbrauch von KI vermeiden.; Manipulative und ausbeuterische KI-Praktiken sind ausgeschlossen.</t>
  </si>
  <si>
    <t>“includes fairness, transparency, robustness”</t>
  </si>
  <si>
    <t>Robustheit wird ausdrücklich als KI-Dimension genannt.</t>
  </si>
  <si>
    <t>“must take into account the fundamental rights … applicable laws and democratic values</t>
  </si>
  <si>
    <t>KI muss Grundrechte, Gesetze und demokratische Werte berücksichtigen.</t>
  </si>
  <si>
    <t>“Any manipulative, exploitative and social control practices are not used”; “used in a trustworthy and responsible manner”</t>
  </si>
  <si>
    <t>Ethical-use-Grundsatz; Klare harm-prevention-/ethische Grenze</t>
  </si>
  <si>
    <t>“both the protection of personal data and business secrets”</t>
  </si>
  <si>
    <t>Der KI-Datenschutzbezug umfasst auch den Schutz von Geschäftsgeheimnissen.</t>
  </si>
  <si>
    <t>“AI systems must take into account the fundamental rights of those affected”</t>
  </si>
  <si>
    <t>Grundrechte werden als expliziter Referenzrahmen für KI genannt.</t>
  </si>
  <si>
    <t>Arbeitgeber, Konzernbetriebsrat und Arbeitnehmervertretung mit klar erkennbarem Governance-Bezug benannt</t>
  </si>
  <si>
    <t>Risikoabwägung bei Modellauswahl/Implementierung sowie Review/Weiterentwicklung/Operationalisierung dokumentiert</t>
  </si>
  <si>
    <t>Mandatory testing und SECAM-Klassifikation als dokumentierte Kontroll-/Checkelemente</t>
  </si>
  <si>
    <t>Keine Audits, Auditzyklen oder formal beschriebenen Assessments nachweisbar</t>
  </si>
  <si>
    <t>Keine Hotline, Meldewege oder Eskalationsstufen für KI nachweisbar</t>
  </si>
  <si>
    <t>Kein Reporting zu KI-Risiken, Kontrollen, KPIs oder Vorfällen nachweisbar</t>
  </si>
  <si>
    <t>“establish a common view regarding the use of Artificial Intelligence”; “will continue to exchange views … on a regular basis”</t>
  </si>
  <si>
    <t>“Opportunities and risks are addressed and weighed when selecting models”; “review and further development of the existing principles as well as their operationalization</t>
  </si>
  <si>
    <t>“mandatory testing”; “SECAM classification of an IT system”</t>
  </si>
  <si>
    <t>“presented and explained to the employees in a transparent manner”</t>
  </si>
  <si>
    <t>kein formales Trainingsprogramm</t>
  </si>
  <si>
    <t>Erläuterung von Strategie, Konzepten und Begriffen gegenüber Beschäftigten erwähnt</t>
  </si>
  <si>
    <t>Das Dokument ist kollektivrechtlich/mitbestimmungsnah; unklar ist, ob daraus bereits ein eigener Accountability-Wert folgt.</t>
  </si>
  <si>
    <t>A: VAL_02 = 1 wegen klarer Rechte/Pflichten und Governance-Akteure. B: VAL_02 = 0, nur GOV_01 positiv. Gewählt: B, da Rollen/Gremien dokumentiert sind, aber kein explizites Verantwortungs-/Ownership-Prinzip für KI benannt wird.</t>
  </si>
  <si>
    <t>Transparenz und Explainability sind eng verschränkt; unklar ist, ob Explainability eigenständig codiert werden soll.</t>
  </si>
  <si>
    <t>A: nur VAL_03. B: zusätzlich VAL_04 = 1. Gewählt: B, da „comprehensible“ und „explainability“ ausdrücklich vorkommen und über bloße Offenlegung hinausgehen.</t>
  </si>
  <si>
    <t>VAL_01, GOV_03</t>
  </si>
  <si>
    <t>Mandatory testing kann Human Oversight oder Tools/Checks stützen.</t>
  </si>
  <si>
    <t>A: nur GOV_03. B: GOV_03 plus stärkere VAL_01-Bindigkeit. Gewählt: B, da die Passage Interventionsrechte und Tests im selben Kontrollkontext nennt.</t>
  </si>
  <si>
    <t>VAL_17, VAL_06</t>
  </si>
  <si>
    <t>Der Schutz von business secrets kann als Confidentiality oder nur als Datenschutz-Nebenaspekt gelesen werden.</t>
  </si>
  <si>
    <t>A: nur VAL_06. B: zusätzlich VAL_17 = 1. Gewählt: B, aber konservativ mit BIND 1, da Geschäftsgeheimnisse explizit genannt sind, jedoch nur glossary-basiert.</t>
  </si>
  <si>
    <t>VAL_13, VAL_08</t>
  </si>
  <si>
    <t>Die Passage kann Well-being oder Schutz vor missbräuchlicher Nutzung stützen.</t>
  </si>
  <si>
    <t>A: VAL_13 = 1. B: kein positiver VAL_13-Code, primär Harm-/Privacy-Kontext. Gewählt: B, da die Passage vor allem eine Nutzungsgrenze formuliert und keinen eigenständigen Social-benefit-Grundsatz ausarbeitet.</t>
  </si>
  <si>
    <t>VAL_09, VAL_07, VAL_15</t>
  </si>
  <si>
    <t>Die Aufzählung benennt mehrere Werte gleichzeitig, aber ohne technische Umsetzungstiefe.</t>
  </si>
  <si>
    <t>A: nur Ethical Use positiv. B: die einzelnen Werte zusätzlich positiv, jedoch konservativ mit niedrigerer Bindigkeit. Gewählt: B, da die einzelnen Dimensionen explizit genannt werden, aber ohne konkrete Prozessbelege.</t>
  </si>
  <si>
    <t>Menschliche Kontrolle, menschlicher Betrieb und Human-Machine-Symbiosis explizit; keine harte Override-Regel</t>
  </si>
  <si>
    <t>Verantwortung für AI-bezogene Drittanbieter-/Zertifikatsfragen darf nicht ausgelagert werden</t>
  </si>
  <si>
    <t>Transparenz gegenüber Nutzern ist klar genannt</t>
  </si>
  <si>
    <t>S. 7</t>
  </si>
  <si>
    <t>Explainability wird inhaltlich konkretisiert, aber nicht als harte Policy-Regel formuliert</t>
  </si>
  <si>
    <t>Fairness wird als Verhinderung, Monitoring und Mitigation von Diskriminierung definiert</t>
  </si>
  <si>
    <t>Privacy-Risiken werden explizit hervorgehoben; keine konkrete bankeigene Privacy-Regel im White Paper</t>
  </si>
  <si>
    <t>Cybersecurity ausdrücklich als relevantes AI-Risikofeld genannt</t>
  </si>
  <si>
    <t>Safety erscheint primär im regulatorischen Kontext; keine eigenständige bankeigene Harm-Prevention-Regel hinreichend belastbar</t>
  </si>
  <si>
    <t>Accuracy, robustness und konsistente Performance explizit benannt</t>
  </si>
  <si>
    <t>Keine Accessibility-/Teilhabe-Anforderung im KI-Kontext nachweisbar</t>
  </si>
  <si>
    <t>Kein Umwelt-/Nachhaltigkeitsbezug im KI-Kontext nachweisbar</t>
  </si>
  <si>
    <t>Nutzenbezüge für Branche/Gesellschaft bleiben eher anwendungsbezogene Rechtfertigung als eigenständiger Wertgrundsatz</t>
  </si>
  <si>
    <t>AI-Entwicklung, Training, Evaluation und Deployment müssen regulatorische Anforderungen einhalten</t>
  </si>
  <si>
    <t>Trustworthy and Responsible AI ist explizit, bleibt aber überwiegend rahmenhaft</t>
  </si>
  <si>
    <t>Hohe Datenqualität wird als Voraussetzung robuster AI/ML-Entwicklung benannt</t>
  </si>
  <si>
    <t>Schutz vertraulicher Geschäftslogik und IP wird explizit problematisiert</t>
  </si>
  <si>
    <t>Fundamental rights werden im AI-Risikokontext ausdrücklich adressiert</t>
  </si>
  <si>
    <t>“controllable and non-magical”; “Such models are still trained and operated by humans.”;  “symbiosis between human and machine”</t>
  </si>
  <si>
    <t>Human-in-the-loop-/feedback-loop-Bezug; Menschliche Rolle explizit</t>
  </si>
  <si>
    <t>“Responsibility can never be outsourced.”</t>
  </si>
  <si>
    <t>Expliziter Accountability-Anker</t>
  </si>
  <si>
    <t>“transparency vis-à-vis users”</t>
  </si>
  <si>
    <t>Transparenz gegenüber Nutzern ist Teil der Risikominderung.</t>
  </si>
  <si>
    <t>“justifying the process from data and model selection to model validation and monitoring”</t>
  </si>
  <si>
    <t>Explainability umfasst die Rechtfertigung des Modellprozesses.</t>
  </si>
  <si>
    <t>Fairness bedeutet, Diskriminierung zu verhindern, zu überwachen und zu mindern.</t>
  </si>
  <si>
    <t>“discrimination is prevented, monitored and mitigated”</t>
  </si>
  <si>
    <t>KI kann tief in sensible und private Lebensbereiche eingreifen.</t>
  </si>
  <si>
    <t>“intrude deeply into people’s sensitive and private areas of life”</t>
  </si>
  <si>
    <t>Cybersecurity ist Teil der AI-Risikominderung.</t>
  </si>
  <si>
    <t>“accuracy and robustness as well as cybersecurity”</t>
  </si>
  <si>
    <t>Konsistente Performance, Accuracy und Robustness werden gefordert.</t>
  </si>
  <si>
    <t>“consistent performance of the systems (i.e. accuracy and robustness”</t>
  </si>
  <si>
    <t>AI-Entwicklung und -Deployment müssen diverse Regulierung einhalten.</t>
  </si>
  <si>
    <t>“needs to adhere to various requirements”</t>
  </si>
  <si>
    <t>Vertrauenswürdige und verantwortliche KI wird ausdrücklich fokussiert.</t>
  </si>
  <si>
    <t>“pays special attention to ML Governance and Trustworthy and Responsible AI”</t>
  </si>
  <si>
    <t>Hohe Datenqualität wird als Voraussetzung für robuste Modelle genannt.</t>
  </si>
  <si>
    <t>“A high level of data quality is a prerequisite”</t>
  </si>
  <si>
    <t>Offenlegung kann Geschäftslogik und IP gefährden.</t>
  </si>
  <si>
    <t>“significant losses of intellectual property”</t>
  </si>
  <si>
    <t>AI-Regulierung soll Grundrechte schützen.</t>
  </si>
  <si>
    <t>“significant risks to health and safety or fundamental rights of persons”</t>
  </si>
  <si>
    <t>S. 2; S. 5–6</t>
  </si>
  <si>
    <t>Center of Competence, Three Lines of Defence und Model Validation als zweite Linie klar dokumentiert</t>
  </si>
  <si>
    <t>S. 4; S. 8</t>
  </si>
  <si>
    <t>Internal Audit als dritte Verteidigungslinie gilt explizit auch für AI-Risikomanagement</t>
  </si>
  <si>
    <t>Keine AI-bezogenen Trainings oder Awareness-Maßnahmen hinreichend belastbar nachweisbar</t>
  </si>
  <si>
    <t>Keine Hotline, keine Eskalationsstufen, keine Meldewege für KI nachweisbar</t>
  </si>
  <si>
    <t>Kein formalisierter AI-Reporting-Zyklus, keine KPIs oder AI-Vorfallsberichte nachweisbar</t>
  </si>
  <si>
    <t>Risk-Class-Logik mit Faktoren sowie Lifecycle-Monitoring dokumentiert</t>
  </si>
  <si>
    <t>kein Implementierungsnachweis via KPI/Reports</t>
  </si>
  <si>
    <t>Validierungsschritte im Modellprozess ausdrücklich genannt</t>
  </si>
  <si>
    <t>konkrete Toolnamen fehlen</t>
  </si>
  <si>
    <t>“validation steps can only be completed during or after the modelling process”</t>
  </si>
  <si>
    <t>“The third line of defence is carried out by internal audit.”</t>
  </si>
  <si>
    <t>“established the division ‘Big Data &amp; Advanced Analytics’ as a Center of Competence”; “for all AI and ML related matters”; “Risk management at Commerzbank follows the principle of ‘three lines of defence’”</t>
  </si>
  <si>
    <t>“Systems containing AI are categorized into AI Risk Classes”; “depending on a variety of factors such as business continuity”; “considered and monitored in all stages of the model lifecycle</t>
  </si>
  <si>
    <t>Teile des Dokuments referieren den AI Act und allgemeine Regulierung; unklar ist, ob regulatorische Anforderungen als Unternehmenswerte mitzählen.</t>
  </si>
  <si>
    <t>A: regulatorische Statements breit als positive Unternehmenswerte codieren. B: nur dort positiv codieren, wo der Text in Commerzbanks Ansatz eingebettet ist. Gewählt: B, konservativ gemäß KI-Anker- und Evidence-first-Regel.</t>
  </si>
  <si>
    <t>Menschliche Rolle ist klar, aber es fehlt eine explizite Override-/Interventionspflicht wie in stärker normativen Dokumenten.</t>
  </si>
  <si>
    <t>A: VAL_01 = 1 mit niedriger Bindigkeit. B: VAL_01 = 0. Gewählt: A, da menschlicher Betrieb und Human-machine-Symbiosis ausdrücklich genannt sind; konservativ nur BIND 1.</t>
  </si>
  <si>
    <t>VAL_08, VAL_18</t>
  </si>
  <si>
    <t>Safety erscheint explizit, jedoch primär als Beschreibung des AI Act; Fundamental Rights sind klarer verankert.</t>
  </si>
  <si>
    <t>A: VAL_08 = 1 und VAL_18 = 1. B: nur VAL_18 = 1. Gewählt: B, da für VAL_08 keine ausreichend eigenständige bankeigene Harm-Prevention-Regel vorliegt.</t>
  </si>
  <si>
    <t>Die Passage nennt Validierungsschritte, aber kein konkretes Tool oder standardisierten Prüfkatalog.</t>
  </si>
  <si>
    <t>A: GOV_03 = 2. B: GOV_03 = 1. Gewählt: A, da dokumentierte Validierungsschritte im Modellprozess vorliegen; für 3 fehlen KPI-/Audit-/Regelzyklusnachweise.</t>
  </si>
  <si>
    <t>Die Passage stützt Accountability, könnte aber auch als bloße Drittanbieterwarnung gelesen werden.</t>
  </si>
  <si>
    <t>A: nur GOV codieren. B: zusätzlich VAL_02 = 1. Gewählt: B, da der Satz eine klare normative Verantwortungszuschreibung enthält.</t>
  </si>
  <si>
    <t>VAL_15, VAL_04</t>
  </si>
  <si>
    <t>Responsible-AI-Rhetorik allein wäre zu schwach, aber im Dokument folgen konkrete Ausführungen zu Explainability/Fairness.</t>
  </si>
  <si>
    <t>A: nur VAL_04/VAL_05 positiv. B: zusätzlich VAL_15 = 1. Gewählt: B, aber konservativ nur BIND 1, da Trustworthy/Responsible AI explizit und tragend formuliert ist, jedoch ohne harte Verbotsliste.</t>
  </si>
  <si>
    <t>Keine menschliche Review-, Override- oder Human-in-the-loop-Mechanik ausdrücklich nachweisbar</t>
  </si>
  <si>
    <t>Kein explizites Verantwortungs-/Ownership-Prinzip oder Rollenzuweisung für KI im Text</t>
  </si>
  <si>
    <t>S. 40</t>
  </si>
  <si>
    <t>Transparente Operation von KI ausdrücklich genannt</t>
  </si>
  <si>
    <t>Bias-Adressierung und fair behavior explizit</t>
  </si>
  <si>
    <t>Allgemeine Datenschutzpassagen vorhanden, aber im Dokument nicht hinreichend KI-spezifisch verankert</t>
  </si>
  <si>
    <t>Allgemeine Information-Security-Regeln vorhanden, jedoch ohne klaren KI-Anker in der AI-Passage</t>
  </si>
  <si>
    <t>Unkontrollierte KI-Nutzung soll verhindert werden</t>
  </si>
  <si>
    <t>Keine Accuracy-, Robustness- oder Reliability-Evidenz mit hinreichender Spezifik</t>
  </si>
  <si>
    <t>„sustainable value“ bleibt zu allgemein und nicht umweltbezogen genug</t>
  </si>
  <si>
    <t>Stakeholder-Nutzen und human well-being explizit benannt</t>
  </si>
  <si>
    <t>„legal risks related to AI“ benennt ein Risikofeld, aber keine klare KI-Compliance-Regel</t>
  </si>
  <si>
    <t>Ethisch-verantwortlicher KI-Einsatz und Ausrichtung an moral values explizit</t>
  </si>
  <si>
    <t>Keine expliziten Anforderungen zu Datenqualität, Provenienz, Repräsentativität oder Stewardship</t>
  </si>
  <si>
    <t>Allgemeine IP-/Confidentiality-Regeln vorhanden, aber ohne klaren KI-Anker</t>
  </si>
  <si>
    <t>Kein expliziter Human-rights-Frame im KI-Abschnitt nachweisbar</t>
  </si>
  <si>
    <t>KI soll transparent unter verschiedenen Bedingungen operieren.</t>
  </si>
  <si>
    <t>“operate transparently under various conditions”</t>
  </si>
  <si>
    <t>Unkontrollierte KI-Nutzung soll verhindert werden.</t>
  </si>
  <si>
    <t>“prevent its uncontrolled use”</t>
  </si>
  <si>
    <t>“addressing potential biases”; “fair behavior"</t>
  </si>
  <si>
    <t>Potenzielle Biases sollen adressiert werden.; Expliziter Fairness-Anker</t>
  </si>
  <si>
    <t>“benefits for our stakeholders … and society at large”; “prioritize human well-being"</t>
  </si>
  <si>
    <t>KI soll Nutzen für verschiedene Stakeholder und die Gesellschaft schaffen.; Expliziter Human-well-being-Anker</t>
  </si>
  <si>
    <t>“We use AI ethically and responsibly”; “aligns with moral values and fosters trust”</t>
  </si>
  <si>
    <t>Continental formuliert einen explizit ethisch-verantwortlichen KI-Einsatz.; KI soll moralischen Werten entsprechen und Vertrauen fördern.</t>
  </si>
  <si>
    <t>Keine klaren AI-Rollen, Gremien oder Owner im Dokument genannt</t>
  </si>
  <si>
    <t>Keine konkreten KI-Checks, Validierungen, Assessments oder Toolmechaniken nachweisbar</t>
  </si>
  <si>
    <t>Keine AI-spezifischen Audits, Assessments oder Reviewzyklen nachweisbar</t>
  </si>
  <si>
    <t>Keine AI-bezogenen Trainings/Awareness-Maßnahmen im KI-Abschnitt nachweisbar</t>
  </si>
  <si>
    <t>Kein Reporting zu KI-Risiken, Kontrollen oder Vorfällen nachweisbar</t>
  </si>
  <si>
    <t>“please contact Data Compliance”</t>
  </si>
  <si>
    <t>“Please refer to the AI Code of Ethics”</t>
  </si>
  <si>
    <t>Verweis auf AI Code of Ethics und Ziel der Verhinderung unkontrollierter Nutzung</t>
  </si>
  <si>
    <t>keine Prozessschritte/Trigger/Verantwortlichen</t>
  </si>
  <si>
    <t>Supportkontakt „Data Compliance“ für KI-Themen genannt</t>
  </si>
  <si>
    <t>keine Stufenlogik oder formale Eskalationskette</t>
  </si>
  <si>
    <t>VAL_06, VAL_07, VAL_17</t>
  </si>
  <si>
    <t>Diese Passagen sind thematisch stark KI-relevant, aber sie stehen in allgemeinen Informations-/Datenschutzabschnitten ohne expliziten KI-Rückbezug.</t>
  </si>
  <si>
    <t>A: positiv als KI-Werte mitcodieren. B: nicht positiv codieren. Gewählt: B, gemäß R1 KI-Anker-Regel; allgemeine Security-/Privacy-/IP-Regeln ohne klaren KI-Anker zählen nicht.</t>
  </si>
  <si>
    <t>Die Passage ist klar normativ, aber eher Prinzipienformel als deontische „must/shall“-Regel.</t>
  </si>
  <si>
    <t>A: VAL_15 mit BIND 2. B: VAL_15 mit BIND 1. Gewählt: B, da keine harte Verbots- oder Pflichtformel folgt, sondern primär ein Prinzipienstatement.</t>
  </si>
  <si>
    <t>VAL_08, GOV_02</t>
  </si>
  <si>
    <t>Die Passage kann als Harm-Prevention-Wert und zugleich als Governance-Prozessabsicht gelesen werden.</t>
  </si>
  <si>
    <t>A: nur VAL_08 positiv. B: zusätzlich GOV_02 = 1. Gewählt: B, aber GOV_02 nur mit Score 1, da eine Prozessabsicht erkennbar ist, jedoch keine dokumentierten Schritte oder Trigger vorliegen.</t>
  </si>
  <si>
    <t>VAL_13, VAL_01</t>
  </si>
  <si>
    <t>Der Satz kann Well-being oder Human Agency/Oversight stützen.</t>
  </si>
  <si>
    <t>A: VAL_13 = 1, VAL_01 = 0. B: beide positiv. Gewählt: A, da kein menschlicher Kontroll- oder Override-Mechanismus genannt wird, sondern ein Zielwert des Systemdesigns.</t>
  </si>
  <si>
    <t>GOV_02, GOV_01</t>
  </si>
  <si>
    <t>Der Verweis auf das AI Code of Ethics kann als bloßer Hinweis oder als dokumentierte Governance-Struktur gelesen werden.</t>
  </si>
  <si>
    <t>A: GOV_02 = 1, GOV_01 = 0. B: zusätzlich GOV_01 = 1. Gewählt: A, da ein weiterführendes Regelwerk erwähnt wird, aber keine Rolle/Gremienzuständigkeit im aktuellen Dokument benannt ist.</t>
  </si>
  <si>
    <t>VAL_03, VAL_09</t>
  </si>
  <si>
    <t>„under various conditions“ könnte Transparenz oder Robustheit andeuten.</t>
  </si>
  <si>
    <t>A: nur VAL_03 = 1. B: zusätzlich VAL_09 = 1. Gewählt: A, da keine Accuracy-, Stability- oder Performance-Evidenz vorliegt; der Satz trägt Transparenz stärker als Robustheit.</t>
  </si>
  <si>
    <t>„controlled way“ ist ohne menschlichen Review-/Override-/Oversight-Mechanismus zu unspezifisch</t>
  </si>
  <si>
    <t>KI-Einsatz wird ausdrücklich als accountable verlangt</t>
  </si>
  <si>
    <t>Keine explizite KI-Transparenzpflicht im AI-Abschnitt nachweisbar</t>
  </si>
  <si>
    <t>Explainability ist im AI-Abschnitt explizit genannt</t>
  </si>
  <si>
    <t>Fairness wird explizit für KI verlangt</t>
  </si>
  <si>
    <t>Data-Compliance-Passage ist allgemein und nicht klar an KI rückgebunden</t>
  </si>
  <si>
    <t>Keine explizite KI-Security-/Cybersecurity-Regel im AI-Abschnitt nachweisbar</t>
  </si>
  <si>
    <t>Keine eigenständige Safety-/Harm-Prevention-Regel mit klarem KI-Anker</t>
  </si>
  <si>
    <t>Keine Accuracy-, Robustness- oder Reliability-Evidenz im KI-Abschnitt</t>
  </si>
  <si>
    <t>Kein Einspruchs-, Beschwerde- oder Redress-Mechanismus für KI nachweisbar</t>
  </si>
  <si>
    <t>Kein Umwelt-/Nachhaltigkeitsbezug im KI-Abschnitt nachweisbar</t>
  </si>
  <si>
    <t>Kein expliziter gesellschaftlicher Nutzen- oder Well-being-Wert im AI-Abschnitt</t>
  </si>
  <si>
    <t>KI-Nutzung muss explizit allen anwendbaren Gesetzen/Regeln entsprechen</t>
  </si>
  <si>
    <t>Respekt ethischer Standards ist ausdrücklich verlangt</t>
  </si>
  <si>
    <t>Keine expliziten Anforderungen zu Datenqualität, Provenienz oder Repräsentativität für KI</t>
  </si>
  <si>
    <t>KI soll in verantwortlicher Weise eingesetzt werden.</t>
  </si>
  <si>
    <t>“it will be done in an accountable”</t>
  </si>
  <si>
    <t>KI soll erklärbar sein.</t>
  </si>
  <si>
    <t>“explainable”</t>
  </si>
  <si>
    <t>KI soll fair eingesetzt werden.</t>
  </si>
  <si>
    <t>“fair”</t>
  </si>
  <si>
    <t>KI-Nutzung muss allen anwendbaren Gesetzen entsprechen.</t>
  </si>
  <si>
    <t>“complies with all applicable national and international laws and regulations”</t>
  </si>
  <si>
    <t>KI-Nutzung soll ethische Standards respektieren.</t>
  </si>
  <si>
    <t>“will respect ethical standards”</t>
  </si>
  <si>
    <t>Keine AI-spezifischen Rollen, Owner oder Gremien im Dokument benannt</t>
  </si>
  <si>
    <t>Allgemeine Strukturen/Prozesse zu Technical Compliance vorhanden, aber nicht hinreichend KI-spezifisch</t>
  </si>
  <si>
    <t>Keine konkreten KI-Checks, Validierungen oder Assessments nachweisbar</t>
  </si>
  <si>
    <t>Auditregel bezieht sich allgemein auf den gesamten Code, nicht explizit auf KI-Governance</t>
  </si>
  <si>
    <t>Trainingsregel ist allgemein auf Code-/Rechts-Compliance bezogen, nicht KI-spezifisch</t>
  </si>
  <si>
    <t>Integrity Hotline ist allgemeiner Code-Meldekanal, kein expliziter KI-Eskalationsweg</t>
  </si>
  <si>
    <t>Das Wort „controlled“ kann Kontrolle im Governance-Sinn oder menschliche Aufsicht bedeuten.</t>
  </si>
  <si>
    <t>A: VAL_01 = 1. B: VAL_01 = 0. Gewählt: B, da kein expliziter Human-review-, Override- oder Human-in-the-loop-Mechanismus genannt wird.</t>
  </si>
  <si>
    <t>VAL_03, VAL_06, VAL_07</t>
  </si>
  <si>
    <t>Transparente und verantwortungsvolle Datenbehandlung ist thematisch KI-nah, aber nicht ausdrücklich auf KI bezogen.</t>
  </si>
  <si>
    <t>A: als KI-Werte mitcodieren. B: nicht positiv codieren. Gewählt: B, gemäß KI-Anker-Regel, weil der Absatz allgemein für Daten gilt und keinen expliziten KI-Bezug trägt.</t>
  </si>
  <si>
    <t>Audits beziehen sich auf den gesamten Business Partner Code, der auch einen AI-Abschnitt enthält.</t>
  </si>
  <si>
    <t>A: GOV_04 = 1. B: GOV_04 = 0. Gewählt: B, da keine AI-spezifische Auditmechanik, Frequenz oder AI-bezogene Prüflogik beschrieben ist.</t>
  </si>
  <si>
    <t>Trainingsmaßnahmen könnten auch den AI-Abschnitt des Codes abdecken, werden aber nicht KI-spezifisch beschrieben.</t>
  </si>
  <si>
    <t>A: GOV_05 = 1. B: GOV_05 = 0. Gewählt: B, da das Evidenzminimum für AI-spezifische Schulung/Awareness nicht erreicht wird.</t>
  </si>
  <si>
    <t>Die Hotline gilt für Verstöße gegen den gesamten Code und damit möglicherweise auch für AI-Verstöße.</t>
  </si>
  <si>
    <t>A: GOV_06 = 1. B: GOV_06 = 0. Gewählt: B, da kein expliziter KI-Melde- oder Eskalationsweg formuliert ist.</t>
  </si>
  <si>
    <t>GOV_02, VAL_06, VAL_07, VAL_17</t>
  </si>
  <si>
    <t>Der Abschnitt enthält starke Anforderungen zu Produkt-Cybersecurity, Privacy, IP und Prozessen, aber ohne klaren KI-Anker.</t>
  </si>
  <si>
    <t>A: breit als KI-Governance mitcodieren. B: nicht positiv codieren. Gewählt: B, da das Codebook allgemeine technische/produktbezogene Compliance ohne expliziten KI-Bezug nicht als KI-Evidenz zählt.</t>
  </si>
  <si>
    <t>Daimler Truck benennt verantwortliche KI-Nutzung ausdrücklich.</t>
  </si>
  <si>
    <t>“responsible use of artificial intelligence”</t>
  </si>
  <si>
    <t>S. 33, Abschnitt „2.5.2 Handling data“</t>
  </si>
  <si>
    <t>Erklärbarkeit wird als Leitprinzip für KI genannt.</t>
  </si>
  <si>
    <t>“explainability”</t>
  </si>
  <si>
    <t>Schutz der Privatsphäre wird im KI-Satz ausdrücklich genannt.</t>
  </si>
  <si>
    <t>“protection of privacy”</t>
  </si>
  <si>
    <t>Sicherheit wird als KI-Leitprinzip genannt.</t>
  </si>
  <si>
    <t>“security”</t>
  </si>
  <si>
    <t>Reliability wird ausdrücklich im KI-Kontext genannt.</t>
  </si>
  <si>
    <t>“reliability”</t>
  </si>
  <si>
    <t>Gleichbehandlung/equal opportunities wird als KI-Aspekt genannt.</t>
  </si>
  <si>
    <t>“equal opportunities”</t>
  </si>
  <si>
    <t>Keine menschliche Review-, Override- oder Human-in-the-loop-Mechanik im KI-Kontext nachweisbar</t>
  </si>
  <si>
    <t>Kein explizites KI-Verantwortungs-/Ownership-Prinzip nachweisbar</t>
  </si>
  <si>
    <t>Transparenz wird im Datenteil allgemein erwähnt, aber nicht ausdrücklich als KI-Transparenzpflicht formuliert</t>
  </si>
  <si>
    <t>Explainability im KI-Satz ausdrücklich genannt</t>
  </si>
  <si>
    <t>„equal opportunities“ stützt Fairness konservativ auf Prinzipienebene</t>
  </si>
  <si>
    <t>Schutz der Privatsphäre wird ausdrücklich im KI-Kontext genannt</t>
  </si>
  <si>
    <t>Security wird explizit als KI-Leitprinzip genannt</t>
  </si>
  <si>
    <t>Keine eigenständige KI-spezifische Harm-/Safety-Regel nachweisbar</t>
  </si>
  <si>
    <t>Reliability wird ausdrücklich genannt</t>
  </si>
  <si>
    <t>Kein Beschwerde-, Einspruchs- oder Redress-Mechanismus für KI nachweisbar</t>
  </si>
  <si>
    <t>„equal opportunities“ reicht konservativ nicht für eigenständige Accessibility-/Inclusion-Codierung</t>
  </si>
  <si>
    <t>Kein Umwelt-/Nachhaltigkeitsbezug im KI-Satz nachweisbar</t>
  </si>
  <si>
    <t>Allgemeine gesellschaftliche Verantwortung vorhanden, aber kein belastbarer KI-Sozialwert mit klarem KI-Anker</t>
  </si>
  <si>
    <t>Allgemeine Compliance-Regeln stark ausgeprägt, aber keine explizite KI-Compliance-Regel im KI-Satz</t>
  </si>
  <si>
    <t>Verantwortliche KI-Nutzung ausdrücklich benannt</t>
  </si>
  <si>
    <t>Allgemeiner Data-Compliance-Rahmen vorhanden, aber keine explizite KI-Datenqualitäts-/Provenienz-/Repräsentativitätsregel</t>
  </si>
  <si>
    <t>Allgemeine Regeln zu Geschäftsgeheimnissen vorhanden, aber ohne klaren KI-Anker</t>
  </si>
  <si>
    <t>Allgemeine Human-Rights-Passagen vorhanden, aber nicht explizit als KI-Referenzrahmen formuliert</t>
  </si>
  <si>
    <t>Keine AI-spezifischen Rollen, Owner oder Gremien benannt</t>
  </si>
  <si>
    <t>Allgemeine Data-/Product-Compliance-Prozesse vorhanden, aber nicht hinreichend KI-spezifisch verankert</t>
  </si>
  <si>
    <t>Keine AI-spezifischen Audits oder Reviewzyklen nachweisbar</t>
  </si>
  <si>
    <t>Wissenstransfer/Unterstützung allgemein erwähnt, aber kein KI-spezifisches Training oder AI-literacy-Programm</t>
  </si>
  <si>
    <t>SpeakUp-System ist allgemein, aber kein expliziter KI-Eskalationsweg</t>
  </si>
  <si>
    <t>Im selben Absatz wird allgemeine Datennutzung transparent gemacht, der KI-Satz selbst nennt Transparenz aber nicht ausdrücklich.</t>
  </si>
  <si>
    <t>A: VAL_03 = 1. B: VAL_03 = 0. Gewählt: B, da nach KI-Anker-Regel der positive Wert möglichst direkt am KI-Satz hängen soll; der Transparenzteil bleibt primär allgemeine Datennutzung.</t>
  </si>
  <si>
    <t>„equal opportunities“ kann Fairness/Non-discrimination oder Inclusion/Accessibility stützen.</t>
  </si>
  <si>
    <t>A: nur VAL_05 = 1. B: zusätzlich VAL_11 = 1. Gewählt: A, da keine Barrierefreiheits-/Accessibility-Logik oder inklusives Design beschrieben wird.</t>
  </si>
  <si>
    <t>VAL_16, GOV_02</t>
  </si>
  <si>
    <t>Das Data Compliance Management System und frühe Berücksichtigung von Datenschutz in Produkten/Services sind stark, aber überwiegend allgemein datenbezogen.</t>
  </si>
  <si>
    <t>A: VAL_16 = 1 und/oder GOV_02 = 1. B: keine positive KI-Codierung. Gewählt: B, da explizite KI-Datenqualitäts-, Provenienz-, Repräsentativitäts- oder AI-Prozesslogik fehlt.</t>
  </si>
  <si>
    <t>Das SpeakUp-System gilt auch für Regelverstöße allgemein und könnte damit indirekt AI-bezogene Verstöße erfassen.</t>
  </si>
  <si>
    <t>A: GOV_06 = 1. B: GOV_06 = 0. Gewählt: B, da kein KI-spezifischer Melde- oder Eskalationsweg benannt wird.</t>
  </si>
  <si>
    <t>Manager sollen Wissen vermitteln; unklar ist, ob dies bereits als Schulungscodierung reicht.</t>
  </si>
  <si>
    <t>A: GOV_05 = 1. B: GOV_05 = 0. Gewählt: B, da kein KI-spezifisches Training, keine AI literacy und keine konkrete Schulungsmaßnahme dokumentiert ist.</t>
  </si>
  <si>
    <t>„protection of employee rights“ kann als Human-Rights-Bezug gelesen werden.</t>
  </si>
  <si>
    <t>A: VAL_18 = 1. B: VAL_18 = 0. Gewählt: B, da employee rights nicht explizit als Human-Rights-Frame, dignity oder UNGP-Kontext für KI formuliert werden.</t>
  </si>
  <si>
    <t>“we follow our demanding AI principles”</t>
  </si>
  <si>
    <t>Die KI-Prinzipien werden ausdrücklich als ethische Prinzipien beschrieben.</t>
  </si>
  <si>
    <t>“ethical principles for the development and use of artificial intelligence”</t>
  </si>
  <si>
    <t>Erklärbarkeit ist Bestandteil der AI-Prinzipien.</t>
  </si>
  <si>
    <t>Privacy-Schutz ist Bestandteil der AI-Prinzipien.</t>
  </si>
  <si>
    <t>“privacy protection”</t>
  </si>
  <si>
    <t>Sicherheit ist Bestandteil der AI-Prinzipien.</t>
  </si>
  <si>
    <t>Reliability ist Bestandteil der AI-Prinzipien.</t>
  </si>
  <si>
    <t>Im vorgelagerten Data-Vision-Abschnitt wird Datenqualität genannt, aber ohne expliziten KI-Anker.</t>
  </si>
  <si>
    <t>Führungskräfte sollen Wissen vermitteln, aber nicht KI-spezifisch.</t>
  </si>
  <si>
    <t>Keine menschliche Review-, Override- oder Human-in-the-loop-Mechanik im KI-Abschnitt nachweisbar</t>
  </si>
  <si>
    <t>Kein explizites KI-Verantwortungs-/Ownership-Prinzip oder Rollenträger benannt</t>
  </si>
  <si>
    <t>Transparenz erscheint nur im allgemeinen Data-Vision-Abschnitt, nicht explizit als KI-Prinzip</t>
  </si>
  <si>
    <t>S. 15</t>
  </si>
  <si>
    <t>Explainability im KI-Abschnitt ausdrücklich genannt</t>
  </si>
  <si>
    <t>Keine explizite Fairness-/Bias-/Non-discrimination-Passage im KI-Abschnitt</t>
  </si>
  <si>
    <t>Privacy protection im KI-Abschnitt ausdrücklich genannt</t>
  </si>
  <si>
    <t>Security im KI-Abschnitt ausdrücklich genannt</t>
  </si>
  <si>
    <t>Reliability im KI-Abschnitt ausdrücklich genannt</t>
  </si>
  <si>
    <t>„to our benefit“ bleibt zu unternehmensnah und nicht als eigenständiger Social-benefit-/Well-being-Wert ausformuliert</t>
  </si>
  <si>
    <t>Allgemeine Code-Bindung vorhanden, aber keine explizite KI-Compliance-Regel im KI-Abschnitt</t>
  </si>
  <si>
    <t>Ethische Prinzipien und verantwortlicher KI-Einsatz ausdrücklich benannt</t>
  </si>
  <si>
    <t>Allgemeine Human-Rights-Passagen vorhanden, aber nicht als KI-Referenzrahmen formuliert</t>
  </si>
  <si>
    <t>Benannter AI-Prinzipienrahmen, aber keine Schritte, Trigger oder Verantwortlichen dokumentiert</t>
  </si>
  <si>
    <t>Führungskräfte sollen Wissen vermitteln, aber kein KI-spezifisches Training oder AI-literacy-Programm nachweisbar</t>
  </si>
  <si>
    <t>BPO ist allgemeiner Regelverstoßkanal, kein expliziter KI-Eskalationsweg</t>
  </si>
  <si>
    <t>Der Data-Vision-Abschnitt nennt ausdrücklich „Transparency“ und „Data Quality“, aber ohne expliziten KI-Anker.</t>
  </si>
  <si>
    <t>A: VAL_03/VAL_16 positiv codieren. B: nicht positiv codieren. Gewählt: B, gemäß KI-Anker-Regel; allgemeine Digital-/Datengrundsätze ohne klaren KI-Bezug zählen nicht als KI-Werte.</t>
  </si>
  <si>
    <t>„we follow our demanding AI principles“ kann als bloße Erwähnung oder als dokumentierter Governance-Rahmen gelesen werden.</t>
  </si>
  <si>
    <t>A: GOV_02 = 0. B: GOV_02 = 1. Gewählt: B, da ein explizites AI-Prinzipienset benannt wird; für Score 2 fehlen aber Prozessschritte, Trigger und Verantwortliche.</t>
  </si>
  <si>
    <t>Der KI-Abschnitt ist in eine bindende Integrity Code-Struktur eingebettet, nennt aber keine explizite KI-Compliance-Formel.</t>
  </si>
  <si>
    <t>A: VAL_14 = 1 wegen allgemeiner Code-Bindung. B: VAL_14 = 0. Gewählt: B, da nach Evidence-first für positive KI-Codierung ein klarerer KI-spezifischer Lawfulness-/Compliance-Anker erforderlich ist.</t>
  </si>
  <si>
    <t>Das BPO kann potenziell auch AI-bezogene Verstöße aufnehmen, ist aber nicht KI-spezifisch beschrieben.</t>
  </si>
  <si>
    <t>A: GOV_06 = 1. B: GOV_06 = 0. Gewählt: B, da kein expliziter KI-Melde- oder Eskalationsweg benannt wird.</t>
  </si>
  <si>
    <t>„provide their staff with the appropriate knowledge“ könnte als Schulungshinweis gelesen werden.</t>
  </si>
  <si>
    <t>Der Schutz von Business Secrets ist stark formuliert, aber nicht explizit an KI rückgebunden.</t>
  </si>
  <si>
    <t>A: VAL_17 = 1. B: VAL_17 = 0. Gewählt: B, da der notwendige KI-Anker fehlt.</t>
  </si>
  <si>
    <t>16.03.2026</t>
  </si>
  <si>
    <t>C190</t>
  </si>
  <si>
    <t>C191</t>
  </si>
  <si>
    <t>C192</t>
  </si>
  <si>
    <t>C193</t>
  </si>
  <si>
    <t>C194</t>
  </si>
  <si>
    <t>C195</t>
  </si>
  <si>
    <t>C196</t>
  </si>
  <si>
    <t>C197</t>
  </si>
  <si>
    <t>C198</t>
  </si>
  <si>
    <t>C199</t>
  </si>
  <si>
    <t>C200</t>
  </si>
  <si>
    <t>C201</t>
  </si>
  <si>
    <t>C202</t>
  </si>
  <si>
    <t>C203</t>
  </si>
  <si>
    <t>C204</t>
  </si>
  <si>
    <t>C205</t>
  </si>
  <si>
    <t>C206</t>
  </si>
  <si>
    <t>C207</t>
  </si>
  <si>
    <t>C208</t>
  </si>
  <si>
    <t>C209</t>
  </si>
  <si>
    <t>C210</t>
  </si>
  <si>
    <t>C211</t>
  </si>
  <si>
    <t>C212</t>
  </si>
  <si>
    <t>C213</t>
  </si>
  <si>
    <t>C214</t>
  </si>
  <si>
    <t>C215</t>
  </si>
  <si>
    <t>C216</t>
  </si>
  <si>
    <t>C217</t>
  </si>
  <si>
    <t>C218</t>
  </si>
  <si>
    <t>C219</t>
  </si>
  <si>
    <t>C220</t>
  </si>
  <si>
    <t>C221</t>
  </si>
  <si>
    <t>C222</t>
  </si>
  <si>
    <t>C223</t>
  </si>
  <si>
    <t>C224</t>
  </si>
  <si>
    <t>C225</t>
  </si>
  <si>
    <t>C226</t>
  </si>
  <si>
    <t>C227</t>
  </si>
  <si>
    <t>C228</t>
  </si>
  <si>
    <t>C229</t>
  </si>
  <si>
    <t>C230</t>
  </si>
  <si>
    <t>C231</t>
  </si>
  <si>
    <t>C232</t>
  </si>
  <si>
    <t>C233</t>
  </si>
  <si>
    <t>C234</t>
  </si>
  <si>
    <t>C235</t>
  </si>
  <si>
    <t>C236</t>
  </si>
  <si>
    <t>C237</t>
  </si>
  <si>
    <t>C238</t>
  </si>
  <si>
    <t>C239</t>
  </si>
  <si>
    <t>C240</t>
  </si>
  <si>
    <t>C241</t>
  </si>
  <si>
    <t>C242</t>
  </si>
  <si>
    <t>C243</t>
  </si>
  <si>
    <t>C244</t>
  </si>
  <si>
    <t>C245</t>
  </si>
  <si>
    <t>C246</t>
  </si>
  <si>
    <t>C247</t>
  </si>
  <si>
    <t>C248</t>
  </si>
  <si>
    <t>C249</t>
  </si>
  <si>
    <t>C250</t>
  </si>
  <si>
    <t>C251</t>
  </si>
  <si>
    <t>C252</t>
  </si>
  <si>
    <t>C253</t>
  </si>
  <si>
    <t>C254</t>
  </si>
  <si>
    <t>C255</t>
  </si>
  <si>
    <t>C256</t>
  </si>
  <si>
    <t>C257</t>
  </si>
  <si>
    <t>C258</t>
  </si>
  <si>
    <t>C259</t>
  </si>
  <si>
    <t>C260</t>
  </si>
  <si>
    <t>C261</t>
  </si>
  <si>
    <t>C262</t>
  </si>
  <si>
    <t>C263</t>
  </si>
  <si>
    <t>C264</t>
  </si>
  <si>
    <t>C265</t>
  </si>
  <si>
    <t>C266</t>
  </si>
  <si>
    <t>C267</t>
  </si>
  <si>
    <t>C268</t>
  </si>
  <si>
    <t>C269</t>
  </si>
  <si>
    <t>C270</t>
  </si>
  <si>
    <t>C271</t>
  </si>
  <si>
    <t>C272</t>
  </si>
  <si>
    <t>C273</t>
  </si>
  <si>
    <t>C274</t>
  </si>
  <si>
    <t>C275</t>
  </si>
  <si>
    <t>C276</t>
  </si>
  <si>
    <t>C277</t>
  </si>
  <si>
    <t>C278</t>
  </si>
  <si>
    <t>C279</t>
  </si>
  <si>
    <t>C280</t>
  </si>
  <si>
    <t>C281</t>
  </si>
  <si>
    <t>C282</t>
  </si>
  <si>
    <t>C283</t>
  </si>
  <si>
    <t>C284</t>
  </si>
  <si>
    <t>C285</t>
  </si>
  <si>
    <t>C286</t>
  </si>
  <si>
    <t>C287</t>
  </si>
  <si>
    <t>C288</t>
  </si>
  <si>
    <t>C289</t>
  </si>
  <si>
    <t>C290</t>
  </si>
  <si>
    <t>C291</t>
  </si>
  <si>
    <t>C292</t>
  </si>
  <si>
    <t>C293</t>
  </si>
  <si>
    <t>C294</t>
  </si>
  <si>
    <t>C295</t>
  </si>
  <si>
    <t>C296</t>
  </si>
  <si>
    <t>C297</t>
  </si>
  <si>
    <t>S. 6, Abschnitt 10</t>
  </si>
  <si>
    <t>Human oversight explizit; Formulierung bleibt prinzipienhaft, nicht prozessverbindlich.</t>
  </si>
  <si>
    <t>S. 5, Abschnitt 10</t>
  </si>
  <si>
    <t>Accountability/Ownership explizit; konservativ BIND 1, da keine deontische Policy-Sprache.</t>
  </si>
  <si>
    <t>Transparenz explizit genannt; keine konkretisierte Offenlegungsmechanik.</t>
  </si>
  <si>
    <t>Explainability explizit genannt; keine operationalisierte Erklärungspflicht.</t>
  </si>
  <si>
    <t>Fairness/Bias explizit im KI-Kontext.</t>
  </si>
  <si>
    <t>Datenschutz explizit; keine KI-spezifische Pflichtarchitektur/Check-Logik im Satz.</t>
  </si>
  <si>
    <t>Information-Security-Risiken explizit im KI-Prinzip.</t>
  </si>
  <si>
    <t>Safety/Abuse explizit; konservativ als Prinzip codiert.</t>
  </si>
  <si>
    <t>Technical Robustness wörtlich genannt.</t>
  </si>
  <si>
    <t>Kein AI-spezifisches Einspruchs-, Beschwerde- oder Redress-Recht nachweisbar.</t>
  </si>
  <si>
    <t>Accessibility explizit; daher eigener Wert, nicht nur Fairness-Unteraspekt.</t>
  </si>
  <si>
    <t>Sustainability-Passagen vorhanden, aber ohne KI-Anker.</t>
  </si>
  <si>
    <t>Stakeholder-/Society-Bezug bleibt zu allgemein; kein explizites KI-Nutzenziel.</t>
  </si>
  <si>
    <t>KI-Regelkonformität explizit; konservativ BIND 1, da keine klare must/shall-Regel.</t>
  </si>
  <si>
    <t>Alignment mit Werten/Code/Policies als ethische Leitplanke; konservativ nicht höher gebunden.</t>
  </si>
  <si>
    <t>„Data“ wird erwähnt, aber keine Datenqualität, Herkunft, Repräsentativität oder Stewardship nachweisbar.</t>
  </si>
  <si>
    <t>Confidentiality-Regeln vorhanden, aber nicht mit erkennbarem KI-Anker.</t>
  </si>
  <si>
    <t>Rights/Freedoms im Privacy-Bullet reichen nicht für explizites Human-Rights-Framework im KI-Kontext.</t>
  </si>
  <si>
    <t>Menschliche Aufsicht soll über den gesamten KI-Lifecycle hinweg bestehen.</t>
  </si>
  <si>
    <t>“human oversight in all lifecycle stages”</t>
  </si>
  <si>
    <t>Verantwortung/Eigentümerschaft für KI-Lösungen wird gefordert.</t>
  </si>
  <si>
    <t>“Establish clear accountability and ownership for AI solutions”</t>
  </si>
  <si>
    <t>Transparenz von KI-Modellen und Workflows wird angestrebt.</t>
  </si>
  <si>
    <t>“transparency and Explainability of AI Models and workflows”</t>
  </si>
  <si>
    <t>Explainability von KI-Modellen und Workflows wird angestrebt.</t>
  </si>
  <si>
    <t>Fairness wird als ausdrückliches Ziel von KI-Lösungen genannt.</t>
  </si>
  <si>
    <t>“Strive to make AI solutions fair”</t>
  </si>
  <si>
    <t>Datenschutz wird im KI-Prinzip über Rechts- und Maßnahmenbezug adressiert.</t>
  </si>
  <si>
    <t>“complying with applicable data protection laws”</t>
  </si>
  <si>
    <t>Informationssicherheitsrisiken sollen proaktiv verhindert werden.</t>
  </si>
  <si>
    <t>“prevent Information Security risks and threats”</t>
  </si>
  <si>
    <t>Safety/Harm-Avoidance wird über Risiko- und Abuse-Vermeidung formuliert.</t>
  </si>
  <si>
    <t>“avoid potential risks and issues around safety and abuse”</t>
  </si>
  <si>
    <t>Technische Robustheit wird als eigenes KI-Prinzip benannt.</t>
  </si>
  <si>
    <t>“Security, Safety &amp; Technical Robustness.”</t>
  </si>
  <si>
    <t>Inklusion und Accessibility werden im KI-Kontext genannt.</t>
  </si>
  <si>
    <t>“innovate responsibly and inclusively and to consider accessibility”</t>
  </si>
  <si>
    <t>KI-Regelkonformität wird ausdrücklich als Erwartung formuliert.</t>
  </si>
  <si>
    <t>“committed to fully complying with all AI regulations”</t>
  </si>
  <si>
    <t>KI soll an Werte, Code of Conduct und Policies gebunden sein.</t>
  </si>
  <si>
    <t>“aligned at all times with Deutsche Bank’s values”</t>
  </si>
  <si>
    <t>Accountability/Ownership erwähnt, aber keine benannten Rollen, Aufgaben oder Freigabelogik; daher nicht evidenzstark genug.</t>
  </si>
  <si>
    <t>Kein AI-spezifischer Audit-, Assessment- oder Review-Mechanismus nachweisbar.</t>
  </si>
  <si>
    <t>Kein AI-spezifischer Eskalationsprozess oder Ansprechpartner nachweisbar.</t>
  </si>
  <si>
    <t>Kein AI-spezifischer Reportgegenstand, Empfänger oder Turnus nachweisbar.</t>
  </si>
  <si>
    <t>nicht höher, da keine Trigger, Verantwortlichen oder Prozessschritte dokumentiert sind.</t>
  </si>
  <si>
    <t>Lifecycle-Phasen werden benannt</t>
  </si>
  <si>
    <t>Automated monitoring als Check-Mechanismus erwähnt</t>
  </si>
  <si>
    <t>nicht höher, da Einsatzlogik, Prüfgegenstandstiefe und Dokumentation fehlen.</t>
  </si>
  <si>
    <t>Training/Awareness explizit</t>
  </si>
  <si>
    <t>nicht höher, da kein Pflichtgrad, kein Programmaufbau und keine Nachweise genannt werden.</t>
  </si>
  <si>
    <t>“from initial conception to design, build and operation”</t>
  </si>
  <si>
    <t>“implement automated monitoring of the AI decision-making”</t>
  </si>
  <si>
    <t>“access to continuous training”</t>
  </si>
  <si>
    <t>mehrere VAL (BIND)</t>
  </si>
  <si>
    <t>Die Bullet-Prinzipien stehen in einem Supplier Code; unklar ist, ob sie als Policy-Regeln oder nur als Prinzipien zu lesen sind.</t>
  </si>
  <si>
    <t>A: BIND=2, weil Supplier-Adhärenz erwartet wird. B: BIND=1, weil Formulierungen wie „Strive“, „Be committed“, „good practice“ dominieren. Gewählt: B (konservativ), da Codebook für BIND=2 deontisch klarere Regelsprache verlangt.</t>
  </si>
  <si>
    <t>VAL_15, VAL_14</t>
  </si>
  <si>
    <t>Unklar ist, ob „aligned at all times with Deutsche Bank’s values, code of conduct, and applicable policies“ bloß Compliance ist oder als ethische Leitplanke zählt.</t>
  </si>
  <si>
    <t>A: nur VAL_14. B: zusätzlich VAL_15. Gewählt: B, da der Satz nicht nur Recht/Regulierung, sondern auch Werte und Code of Conduct als normative Grenze nennt.</t>
  </si>
  <si>
    <t>GOV_01, VAL_02</t>
  </si>
  <si>
    <t>Unklar ist, ob „clear accountability and ownership“ schon als Governance-Zuständigkeit genügt.</t>
  </si>
  <si>
    <t>A: GOV_01=1, weil Ownership genannt ist. B: GOV_01=0, weil keine Rollen/Aufgaben/Freigabelogik dokumentiert sind. Gewählt: B (konservativ), da das Evidenzminimum für GOV_01 nicht erreicht ist; VAL_02 bleibt dennoch positiv.</t>
  </si>
  <si>
    <t>Unklar ist, ob „implement automated monitoring“ bereits dokumentierter Check (2) oder nur benannter Mechanismus (1) ist.</t>
  </si>
  <si>
    <t>A: Score 2, weil ein Mechanismus genannt ist. B: Score 1, weil keine Einsatzlogik, Trigger oder Dokumentation beschrieben werden. Gewählt: B (konservativ) gemäß Rubrik Score 2.</t>
  </si>
  <si>
    <t>VAL_11, VAL_05</t>
  </si>
  <si>
    <t>Unklar ist, ob Accessibility nur Teil der Fairness-Passage bleibt oder als eigener Wert codiert werden darf.</t>
  </si>
  <si>
    <t>A: nur VAL_05. B: VAL_05 + VAL_11. Gewählt: B, da „accessibility“ im KI-Kontext wörtlich genannt wird und das Codebook hierfür einen eigenen Wert vorsieht.</t>
  </si>
  <si>
    <t>Die Passage zu Stakeholdern und „wider society“ könnte als gesellschaftlicher Nutzen gelesen werden, bleibt aber semantisch offen.</t>
  </si>
  <si>
    <t>A: VAL_13=1, weil Society-Bezug vorhanden. B: VAL_13=0, weil kein expliziter Nutzen-/Well-being-Anspruch formuliert ist. Gewählt: B (konservativ) gemäß Include-Rule des Codebooks.</t>
  </si>
  <si>
    <t>„AI &amp; Data Ethics Principles“ und „Use of data“ könnten auf Data Governance hindeuten, aber die Substanz ist unklar.</t>
  </si>
  <si>
    <t>A: VAL_16=1, weil Datenbezug explizit ist. B: VAL_16=0, weil Datenqualität, Herkunft, Stewardship oder Dataset-Governance nicht konkret benannt werden. Gewählt: B (konservativ).</t>
  </si>
  <si>
    <t>S. 132, “Digitization and innovation”</t>
  </si>
  <si>
    <t>AIOF ist konkrete organisatorische Aufsicht über AI-Lösungen; daher prozessnahe Operationalisierung.</t>
  </si>
  <si>
    <t>Governance/Forum vorhanden, aber keine explizite Verantwortungs- oder Ownership-Formulierung für AI-Outcomes.</t>
  </si>
  <si>
    <t>Keine Offenlegungs- oder Transparenzpflicht zu AI-Einsatz nachweisbar.</t>
  </si>
  <si>
    <t>Keine Erklärbarkeits-/Interpretierbarkeitsanforderung an AI-Outputs nachweisbar.</t>
  </si>
  <si>
    <t>Kein Bias-/Fairness-Bezug im AI-Kontext nachweisbar.</t>
  </si>
  <si>
    <t>Data security ist genannt, aber kein expliziter Privacy-/Data-Protection-Satz im AI-Kontext.</t>
  </si>
  <si>
    <t>S. 6, Letter from the Chairman of the Supervisory Board</t>
  </si>
  <si>
    <t>Security/Controls werden im AI-Kontext ausdrücklich betont; bleibt aber auf Prinzipienebene.</t>
  </si>
  <si>
    <t>AI-Risk-Assessment vorhanden, aber keine explizite Safety-/Harm-Prevention-Norm für AI.</t>
  </si>
  <si>
    <t>Monitoring/Risk Assessment allein reicht ohne Robustheits-/Zuverlässigkeitsanker nicht aus.</t>
  </si>
  <si>
    <t>Keine AI-spezifische Beschwerde-, Review- oder Redress-Option nachweisbar.</t>
  </si>
  <si>
    <t>Keine Accessibility-/Inklusionsanforderung für AI nachweisbar.</t>
  </si>
  <si>
    <t>Nachhaltigkeit wird breit behandelt, aber nicht als AI-bezogener Wert.</t>
  </si>
  <si>
    <t>AI use cases werden als Innovation/Business Enablement beschrieben, nicht als gesellschaftlicher Nutzen/Wohlbefinden.</t>
  </si>
  <si>
    <t>AI-Regulierung wird beschrieben, aber nicht als interne AI-Compliance-Anforderung der Bank formuliert.</t>
  </si>
  <si>
    <t>Keine ethischen Leitplanken oder Verbotslogik für AI nachweisbar.</t>
  </si>
  <si>
    <t>Unstructured data/use cases erwähnt, aber keine Datenqualitäts-, Lineage- oder Stewardship-Anforderung.</t>
  </si>
  <si>
    <t>Allgemeine Security-/OSS-Themen vorhanden, aber keine explizite KI-spezifische IP/Confidentiality-Regel.</t>
  </si>
  <si>
    <t>Kein Human-Rights-Framework für AI nachweisbar.</t>
  </si>
  <si>
    <t>Menschliche/organisatorische Aufsicht über AI-Lösungen ist vorgesehen.</t>
  </si>
  <si>
    <t>“formation of an Artificial Intelligence Oversight Forum (AIOF)”</t>
  </si>
  <si>
    <t>Im KI-Kontext werden Datensicherheit und Kontrollen als erforderlich dargestellt.</t>
  </si>
  <si>
    <t>“data security and appropriate controls are imperative”</t>
  </si>
  <si>
    <t>S. 6; S. 132</t>
  </si>
  <si>
    <t>S. 132</t>
  </si>
  <si>
    <t>S. 6; S. 132; S. 135</t>
  </si>
  <si>
    <t>Kein AI-spezifischer Audit-, Assurance- oder Review-Zyklus nachweisbar.</t>
  </si>
  <si>
    <t>Allgemeine Beschwerde-/Whistleblowing-Kanäle vorhanden, aber kein AI-spezifischer Eskalationsweg nachweisbar.</t>
  </si>
  <si>
    <t>Kein AI-spezifischer Reportgegenstand, Empfänger und Turnus nachweisbar.</t>
  </si>
  <si>
    <t>AIOF als konkrete AI-Einheit mit benannter Aufgabe</t>
  </si>
  <si>
    <t>nicht höher, da keine Reporting-/Regeltermin- oder Zusammensetzungslogik belegt ist.</t>
  </si>
  <si>
    <t>AI-Programm und Adoptionsabsicht benannt</t>
  </si>
  <si>
    <t>nicht höher, da keine Trigger, Gateways oder Freigabeschritte beschrieben sind.</t>
  </si>
  <si>
    <t>Monitoring und Risk Assessment von AI-Lösungen sind als konkrete Checktypen benannt</t>
  </si>
  <si>
    <t>nicht höher, da keine Protokolle/Ergebnisse/KPIs belegt sind.</t>
  </si>
  <si>
    <t>AI-bezogene Awareness-/Lernaktivitäten vorhanden</t>
  </si>
  <si>
    <t>nicht höher, da kein strukturiertes AI-Trainingsprogramm mit Zielgruppe/Pflichtgrad belegt ist.</t>
  </si>
  <si>
    <t>“established an Artificial Intelligence Oversight Forum”; “AI and machine learning … were key topics; “to provide bank-wide oversight and governance”</t>
  </si>
  <si>
    <t>“started a program to expand and accelerate the development and adoption of AI-solutions”</t>
  </si>
  <si>
    <t>“adequate monitoring and risk assessment of AI solutions”; “monitoring and risk assessment of AI solutions and their alignment with the bank’s strategic goals”; “The 2023 focus areas included Artificial Intelligence”</t>
  </si>
  <si>
    <t>“talks and discussions on the latest technology trends, such as artificial intelligence”; “the hackathon was focused on artificial intelligence”; “prototype App that leverages artificial intelligence”</t>
  </si>
  <si>
    <t>VAL_01, GOV_01</t>
  </si>
  <si>
    <t>Unklar ist, ob das AIOF nur Governance-Struktur ist oder zugleich als Wert Human Oversight zählt.</t>
  </si>
  <si>
    <t>A: Nur GOV_01 codieren. B: GOV_01 + VAL_01 codieren. Gewählt: B, weil “Oversight Forum” explizit menschliche/organisatorische Aufsicht über AI-Lösungen bezeichnet und damit auch die Wertdefinition von VAL_01 trifft.</t>
  </si>
  <si>
    <t>Unklar ist, ob “monitoring and risk assessment of AI solutions” nur ein allgemeiner Hinweis (Score 1) oder ein dokumentierter Checkmechanismus (Score 2) ist.</t>
  </si>
  <si>
    <t>A: GOV_03=1, weil kein Toolname/kein Turnus. B: GOV_03=2, weil Checktyp, Prüfgegenstand und Zweck benannt sind. Gewählt: B, konservativ nicht 3, da keine Ergebnisse/Protokolle/KPIs belegt sind.</t>
  </si>
  <si>
    <t>Unklar ist, ob Talks/Discussions und ein AI-Hackathon bereits als Training zählen oder nur als allgemeine Innovationskultur.</t>
  </si>
  <si>
    <t>A: GOV_05=0, weil kein formales AI-Trainingsprogramm. B: GOV_05=1, weil AI-bezogene Awareness-/Lernformate ausdrücklich stattfinden. Gewählt: B, da das Codebook Awareness ausdrücklich für Score 1 zulässt.</t>
  </si>
  <si>
    <t>Unklar ist, ob die Beschreibung des EU AI Act bereits als Lawfulness-&amp;-Compliance-Wert der Bank zu zählen ist.</t>
  </si>
  <si>
    <t>A: VAL_14=1, weil AI-Regulierung thematisiert wird. B: VAL_14=0, weil nur externer Regulierungsstand beschrieben wird, ohne interne Compliance-Norm. Gewählt: B, da für VAL_14 ein interner KI-bezogener Compliance-Anker verlangt wird.</t>
  </si>
  <si>
    <t>Unklar ist, ob die Nennung von AI als Security-Fokusbereich eine eigene Wertcodierung trägt oder nur flankierende Governance-Evidenz ist.</t>
  </si>
  <si>
    <t>A: Als zusätzliche VAL_07-Hauptevidenz verwenden. B: Nur als unterstützende GOV_03-Evidenz verwenden. Gewählt: B, weil die Passage AI eher als Bedrohungs-/Beobachtungsfeld als als normative Sicherheitsleitplanke beschreibt.</t>
  </si>
  <si>
    <t>S. 13, Abschnitt 3</t>
  </si>
  <si>
    <t>Human experts sind durchgehend vorgesehen; trotz klarer Aussage keine formale Policy-Sprache.</t>
  </si>
  <si>
    <t>S. 18; S. 21</t>
  </si>
  <si>
    <t>Accountability wird explizit genannt und Verantwortlichkeit zuweisbar gemacht.</t>
  </si>
  <si>
    <t>S. 4; S. 14</t>
  </si>
  <si>
    <t>Transparenz ist ausdrücklich als Governance-/Modelleigenschaft benannt.</t>
  </si>
  <si>
    <t>S. 18, Abschnitt 3.3.2</t>
  </si>
  <si>
    <t>Explainability ist expliziter Kernbegriff des Dokuments.</t>
  </si>
  <si>
    <t>S. 5, Abschnitt 1.1</t>
  </si>
  <si>
    <t>Inferred bias/discriminatory conclusions werden ausdrücklich adressiert.</t>
  </si>
  <si>
    <t>S. 8; S. 18</t>
  </si>
  <si>
    <t>Data protection und data privacy sind explizit im AI-Kontext erwähnt.</t>
  </si>
  <si>
    <t>Cybersecurity regulations werden im Technology-risk-Rahmen genannt.</t>
  </si>
  <si>
    <t>Materiality/Harm werden diskutiert, aber keine eigenständige Safety-Norm für AI im Unternehmenskontext klar nachweisbar.</t>
  </si>
  <si>
    <t>S. 17, Abschnitt 3.3.1</t>
  </si>
  <si>
    <t>Accuracy, quality und dependable results bilden einen klaren Robustheitsanker.</t>
  </si>
  <si>
    <t>Kein AI-spezifischer Einspruchs-, Review- oder Redress-Mechanismus nachweisbar.</t>
  </si>
  <si>
    <t>„Sustainable ecosystem of innovation“ ist zu allgemein und nicht als Umwelt-/Nachhaltigkeitswert operationalisiert.</t>
  </si>
  <si>
    <t>Nutzen-/Marktvorteilsprache vorhanden, aber kein hinreichend klarer Wertanker zu human well-being/social benefit.</t>
  </si>
  <si>
    <t>S. 2, Einleitung/Overview</t>
  </si>
  <si>
    <t>Regulations-/lawfulness-Bezug ist explizit, bleibt aber auf Whitepaper-/Orientierungsebene.</t>
  </si>
  <si>
    <t>S. 2; S. 20</t>
  </si>
  <si>
    <t>Ethische Prinzipien und ethical controls werden explizit angesprochen.</t>
  </si>
  <si>
    <t>S. 7, Abschnitt 2.1.1</t>
  </si>
  <si>
    <t>Datenqualität und Verlässlichkeit werden explizit als Voraussetzung formuliert.</t>
  </si>
  <si>
    <t>S. 21, Abschnitt 4.4</t>
  </si>
  <si>
    <t>Confidentiality ist explizit genannt; IP selbst nicht, daher konservativ mit mittlerer Sicherheit.</t>
  </si>
  <si>
    <t>Kein Human-Rights-Bezug im KI-Kontext nachweisbar.</t>
  </si>
  <si>
    <t>Menschliche Fachexpertise soll jeden wesentlichen KI-Schritt begleiten.</t>
  </si>
  <si>
    <t>“human subject matter experts are involved in every key step”</t>
  </si>
  <si>
    <t>Explainability wird als grundlegende Kontrolle beschrieben.</t>
  </si>
  <si>
    <t>“the concept of ‘explainability’”</t>
  </si>
  <si>
    <t>Modelle sollen auf diskriminierende Verzerrungen geprüft werden.</t>
  </si>
  <si>
    <t>“final models must still be rigorously tested for inferred bias”</t>
  </si>
  <si>
    <t>Technology-risk-Perspektive umfasst Cybersecurity-Regulierung.</t>
  </si>
  <si>
    <t>“data privacy and governance; cybersecurity regulations”</t>
  </si>
  <si>
    <t>KI-Governance soll Ergebnisgenauigkeit und Belastbarkeit sicherstellen.</t>
  </si>
  <si>
    <t>“ensure that the outputs are accurate”</t>
  </si>
  <si>
    <t>Governance für KI wird an Regulierung und Regelverständnis rückgebunden.</t>
  </si>
  <si>
    <t>“grounded in a sound understanding of AI technologies, regulations”</t>
  </si>
  <si>
    <t>Hohe Datenqualität und Verlässlichkeit werden als Bedingung formuliert.</t>
  </si>
  <si>
    <t>“training and live data being high-quality and reliable”</t>
  </si>
  <si>
    <t>KI-Einsatz wird mit Vertraulichkeits- und Haftungsfragen verknüpft.</t>
  </si>
  <si>
    <t>“data confidentiality, outsourcing and product liability”</t>
  </si>
  <si>
    <t>“assigned to specific individuals or teams”; “controls of explainability, transparency and accountability”</t>
  </si>
  <si>
    <t>Verantwortlichkeit kann Personen oder Teams zugewiesen werden.; “assigned to specific individuals or teams”</t>
  </si>
  <si>
    <t>“governance considerations such as explainability and transparency”; “high transparency in both the data and the algorithm”</t>
  </si>
  <si>
    <t>Transparenz wird als zentrale Governance-Erwägung benannt.; Transparenz explizit</t>
  </si>
  <si>
    <t>“production data has been securely randomly scrambled, changed, and anonymised”; “data privacy and governance; cybersecurity regulations”</t>
  </si>
  <si>
    <t>Für AI-Anwendungen wird Datensicherung über Anonymisierung beschrieben.; KI-Kontext + Security/Privacy-Bezug</t>
  </si>
  <si>
    <t>“how ethical principles should be applied”; “share best practices for ethical controls”</t>
  </si>
  <si>
    <t>Das Dokument rahmt KI-Nutzung ausdrücklich über ethische Prinzipien.; Ethical-use-/controls-Anker</t>
  </si>
  <si>
    <t>S. 13; S. 17; S. 18</t>
  </si>
  <si>
    <t>S. 17; S. 18</t>
  </si>
  <si>
    <t>S. 5; S. 18; S. 21</t>
  </si>
  <si>
    <t>S. 21, Abschnitt 4.3</t>
  </si>
  <si>
    <t>S. 20, Abschnitt 4.2</t>
  </si>
  <si>
    <t>Kein AI-spezifischer Eskalationsweg oder Incident-/Exception-Pfad nachweisbar.</t>
  </si>
  <si>
    <t>Dashboards und Outputs werden beschrieben, aber kein AI-Governance-Reporting mit Adressaten, Turnus oder KPI-Logik.</t>
  </si>
  <si>
    <t>Rollen/Funktionsgruppen und zuweisbare Verantwortung werden beschrieben</t>
  </si>
  <si>
    <t>nicht höher, da keine formale Org-Struktur oder Implementierungsnachweise vorliegen.</t>
  </si>
  <si>
    <t>Prozesslogik mit Monitoring, Retraining und Due Diligence ist dokumentiert</t>
  </si>
  <si>
    <t>nicht höher, da keine gelebten Nachweise/KPIs.</t>
  </si>
  <si>
    <t>Bias-Tests, zusätzliche Due Diligence und kontrollbezogene Operationalisierung sind beschrieben</t>
  </si>
  <si>
    <t>nicht höher, da keine dokumentierten Ergebnisse/Audit Trails.</t>
  </si>
  <si>
    <t>Audits werden explizit benannt</t>
  </si>
  <si>
    <t>nicht höher, da nur als Anforderung/Erwartung, nicht als bestehender Auditprozess belegt.</t>
  </si>
  <si>
    <t>Training/Zertifizierung werden ausdrücklich empfohlen</t>
  </si>
  <si>
    <t>nicht höher, da keine implementierte Schulungsarchitektur nachweisbar.</t>
  </si>
  <si>
    <t>“subjected to thorough audits”</t>
  </si>
  <si>
    <t>“training and certification programs that can upskill existing staff”</t>
  </si>
  <si>
    <t>“human subject matter experts are involved in every key step”; “business management, end users, and developers”; “assigned to specific individuals or teams”</t>
  </si>
  <si>
    <t>“models need to be regularly retrained”; “extra due diligence is needed”</t>
  </si>
  <si>
    <t>“final models must still be rigorously tested for inferred bias”; “extra due diligence is needed”; “controls of explainability, transparency and accountability”</t>
  </si>
  <si>
    <t>alle BIND-Codes</t>
  </si>
  <si>
    <t>Das Dokument ist ein Whitepaper „for information purposes only“; unklar ist, ob normative Formulierungen dennoch als BIND 2 gelesen werden dürfen.</t>
  </si>
  <si>
    <t>A: einzelne „should/need“-Passagen als BIND 2 lesen. B: alle positiven Werte konservativ als BIND 1 lesen. Gewählt: B, weil Dokumentcharakter + fehlende formale Policy-Sprache gegen höhere Bindigkeit sprechen.</t>
  </si>
  <si>
    <t>Unklar ist, ob der Verweis auf „regulations“ schon für Lawfulness &amp; Compliance genügt oder nur Kontext liefert.</t>
  </si>
  <si>
    <t>A: VAL_14=0, weil kein internes Compliance-Regelwerk beschrieben wird. B: VAL_14=1, weil Regulierung explizit als Grundlage geeigneter AI-Governance genannt wird. Gewählt: B, aber konservativ mit BIND 1.</t>
  </si>
  <si>
    <t>Unklar ist, ob benannte Rollencluster und zuweisbare Verantwortung bereits „dokumentierte Zuständigkeiten“ darstellen.</t>
  </si>
  <si>
    <t>A: GOV_01=1, nur benannte Beteiligte. B: GOV_01=2, weil Rollen/Funktionsgruppen plus Verantwortungszuweisung dokumentiert werden. Gewählt: B, da Rollen und accountability-relevante Zuordnung ausdrücklich genannt sind.</t>
  </si>
  <si>
    <t>Unklar ist, ob Auditpassagen als existierende Auditpraxis oder nur als Empfehlung zu lesen sind.</t>
  </si>
  <si>
    <t>A: GOV_04=0, da keine bestehende Auditroutine belegt ist. B: GOV_04=1, weil Audits explizit benannt und diskutiert werden. Gewählt: B, da Benennung klar vorliegt, aber nicht höher.</t>
  </si>
  <si>
    <t>Unklar ist, ob „cybersecurity regulations“ und „data confidentiality“ für eigenständige Werte genügen oder nur Nebenbedingungen darstellen.</t>
  </si>
  <si>
    <t>A: beide Codes = 0, weil keine ausführliche Operationalisierung. B: beide Codes = 1, weil explizite AI-bezogene Nennung vorliegt. Gewählt: B, konservativ mit mittlerer Sicherheit und BIND 1.</t>
  </si>
  <si>
    <t>Unklar ist, ob operative Dashboards/Alerts bereits als Reporting zu werten sind.</t>
  </si>
  <si>
    <t>A: GOV_07=1, da systemische Outputs/Visualisierungen berichtet werden. B: GOV_07=0, da kein Governance-Reporting mit Turnus/Adressat/KPI-Struktur beschrieben wird. Gewählt: B, streng nach Governance-Rubrik.</t>
  </si>
  <si>
    <t>S. 11; S. 36</t>
  </si>
  <si>
    <t>Human validation und HITL sind explizit benannt; trotz Klarheit keine formale Policy-Sprache.</t>
  </si>
  <si>
    <t>S. 36</t>
  </si>
  <si>
    <t>Accountability wird ausdrücklich genannt; bleibt orientierend, nicht deontisch.</t>
  </si>
  <si>
    <t>Transparenz ist als GenAI-Wert und über Source Attribution konkret adressiert.</t>
  </si>
  <si>
    <t>Explainability ist expliziter Kernbegriff; Dokumentation unterstützt den Wert.</t>
  </si>
  <si>
    <t>Bias/biased outputs werden im GenAI-Kontext ausdrücklich adressiert.</t>
  </si>
  <si>
    <t>S. 10</t>
  </si>
  <si>
    <t>Privacy/Confidentiality werden explizit für Daten/Prompts im GenAI-Kontext behandelt.</t>
  </si>
  <si>
    <t>S. 19</t>
  </si>
  <si>
    <t>Cybersecurity wird für GenAI ausdrücklich als notwendig bezeichnet.</t>
  </si>
  <si>
    <t>S. 19; S. 24</t>
  </si>
  <si>
    <t>Preventable errors, unintended consequences und harmful content bilden klare Harm-/Safety-Anker.</t>
  </si>
  <si>
    <t>S. 27; S. 28</t>
  </si>
  <si>
    <t>Accuracy, reliability und Monitoring sprechen klar für Robustheit; dennoch Whitepaper-Charakter.</t>
  </si>
  <si>
    <t>Kein KI-spezifischer Einspruchs-, Beschwerde- oder Redress-Mechanismus nachweisbar.</t>
  </si>
  <si>
    <t>Sprach-/Kultursensitivität und age-inclusive reskilling reichen konservativ nicht für Accessibility/Inklusivdesign.</t>
  </si>
  <si>
    <t>Sustainability-Risiken sind im Inhaltsverzeichnis erkennbar, aber im auswertbaren Evidenzmaterial kein klarer normativer KI-Umweltwert belegt.</t>
  </si>
  <si>
    <t>Nutzen-/Produktivitätsrhetorik vorhanden, aber kein hinreichend präziser Wertanker zu human well-being/social benefit.</t>
  </si>
  <si>
    <t>Externe regulatorische Erwartungen werden ausdrücklich als Referenz genannt.</t>
  </si>
  <si>
    <t>Ethische Leitlinien werden explizit auf GenAI-Governance bezogen.</t>
  </si>
  <si>
    <t>S. 9; S. 10</t>
  </si>
  <si>
    <t>Hohe Datenqualität sowie completeness/relevance/balance sind klar belegt.</t>
  </si>
  <si>
    <t>S. 24; S. 10</t>
  </si>
  <si>
    <t>Confidentiality wird explizit genannt; IP bleibt im Dokument randständiger, aber Wert insgesamt nachweisbar.</t>
  </si>
  <si>
    <t>Kein expliziter Human-Rights-Rahmen für GenAI nachweisbar.</t>
  </si>
  <si>
    <t>Accountability wird ausdrücklich als Governance-Baustein genannt.</t>
  </si>
  <si>
    <t>“data quality and accountability”</t>
  </si>
  <si>
    <t>Bias wird als Daten-/Output-Risiko und Mitigationsfeld genannt.</t>
  </si>
  <si>
    <t>“biased outputs”</t>
  </si>
  <si>
    <t>Privacy und Confidentiality von GenAI-Daten/Prompts werden ausdrücklich thematisiert.</t>
  </si>
  <si>
    <t>“confidentiality and personal privacy treatment”</t>
  </si>
  <si>
    <t>Cybersecurity-Maßnahmen werden für GenAI als notwendig bezeichnet.</t>
  </si>
  <si>
    <t>“cybersecurity measures will continue to be necessary”</t>
  </si>
  <si>
    <t>GenAI-Governance soll externe regulatorische Erwartungen erfüllen.</t>
  </si>
  <si>
    <t>“external regulatory expectations”</t>
  </si>
  <si>
    <t>Ethische Leitlinien werden ausdrücklich als Governance-Referenz genannt.</t>
  </si>
  <si>
    <t>“Navigating ethical guidelines”</t>
  </si>
  <si>
    <t>“validated by inhouse expert humans”; “Human oversight”</t>
  </si>
  <si>
    <t>Mission-kritische GenAI-Ergebnisse sollen vor Nutzung durch Menschen validiert werden.; zusätzlicher Human-Oversight-Anke</t>
  </si>
  <si>
    <t>“explainability and transparency”; “Source attribution”</t>
  </si>
  <si>
    <t>Transparenz wird als eigener Governance-Wert benannt.; Quellenangaben für generierte Inhalte werden als Technik genannt.</t>
  </si>
  <si>
    <t>“explainability and transparency”; “Model and process documentation”</t>
  </si>
  <si>
    <t>Explainability wird als eigener Governance-Wert benannt.; konkreter Kontroll-/Dokumentationsmechanismus</t>
  </si>
  <si>
    <t>“prevent preventable errors and plans for unintended consequences”; “remove unwanted or harmful content”</t>
  </si>
  <si>
    <t>Für GenAI werden Leitlinien/Sandboxes zur Vermeidung von Fehlern und Nebenfolgen gefordert.; Content-Filter sollen schädliche Inhalte entfernen.</t>
  </si>
  <si>
    <t>“accuracy, reliability and trust”; “Continuous monitoring”</t>
  </si>
  <si>
    <t>Systemrisiken werden auf Genauigkeit, Verlässlichkeit und Vertrauen bezogen.; Kontinuierliches Monitoring soll Modellabweichungen erkennen.</t>
  </si>
  <si>
    <t>“substantial amount of high-quality data”; “completeness, relevance, and balance”</t>
  </si>
  <si>
    <t>GenAI wird ausdrücklich von hoher Datenqualität abhängig gemacht.; Datenvollständigkeit, Relevanz und Balance sollen vor Lösungsgestaltung geklärt werden.</t>
  </si>
  <si>
    <t>“ensure confidentiality between groups of different users”; “confidentiality and personal privacy treatment”</t>
  </si>
  <si>
    <t>GenAI-Customization soll Vertraulichkeit zwischen Nutzergruppen sichern.; Privacy und Confidentiality von GenAI-Daten/Prompts werden ausdrücklich thematisiert.</t>
  </si>
  <si>
    <t>S. 14</t>
  </si>
  <si>
    <t>S. 24; S. 28; S. 36</t>
  </si>
  <si>
    <t>Audit Trails und audit purposes sind nachweisbar, aber kein Audit als eigenständige Aktivität/Mechanik/Frequenz.</t>
  </si>
  <si>
    <t>Kein KI-spezifischer Eskalationsprozess, Incident-Pfad oder Ansprechpartner nachweisbar.</t>
  </si>
  <si>
    <t>Metriken/ROI-Indikatoren werden diskutiert, aber keine AI-Reporting-Struktur mit Empfänger und Turnus.</t>
  </si>
  <si>
    <t>“AI-focused forums and oversight teams”</t>
  </si>
  <si>
    <t>“three-stage composable approach”</t>
  </si>
  <si>
    <t>“upskill/reskilling”</t>
  </si>
  <si>
    <t>“Model and process documentation”; “Source attribution”; “Audit trails”</t>
  </si>
  <si>
    <t>AI-focused forums and oversight teams werden genannt</t>
  </si>
  <si>
    <t>nicht höher, da weder Aufgabenlogik noch RACI/Reporting belegt sind.</t>
  </si>
  <si>
    <t>Drei-Stufen-Roadmap ist als Prozessabsicht/-struktur erkennbar</t>
  </si>
  <si>
    <t>nicht höher, da Trigger, Verantwortliche und Freigabelogik fehlen.</t>
  </si>
  <si>
    <t>Dokumentation, Source Attribution, Audit Trails, Continuous Monitoring und Content Filtering sind konkrete Check-/Kontrollmechanismen</t>
  </si>
  <si>
    <t>nicht höher, da keine Betriebsnachweise/KPIs/Protokolle berichtet werden.</t>
  </si>
  <si>
    <t>Reskilling/vocational training werden ausdrücklich genannt</t>
  </si>
  <si>
    <t>nicht höher, da kein strukturiertes Programm mit Zielgruppe/Pflichtgrad belegt ist.</t>
  </si>
  <si>
    <t>Das Dokument ist ein Whitepaper, kein formales Policy-Dokument. Mehrere Aussagen sind normativ klingend, aber dokumenttypisch eher empfehlend.</t>
  </si>
  <si>
    <t>A: einzelne Werte mit BIND=2 codieren. B: positive Werte konservativ mit BIND=1 codieren. Gewählt: B, weil der Dokumentcharakter gegen formale Policy-Bindigkeit spricht.</t>
  </si>
  <si>
    <t>GOV_04 vs. GOV_03</t>
  </si>
  <si>
    <t>„Audit trails“ sind explizit genannt; unklar ist, ob dies schon Audit im Sinne von GOV_04 darstellt.</t>
  </si>
  <si>
    <t>A: GOV_04=1, weil Auditbezug explizit ist. B: GOV_04=0 und GOV_03 positiv, weil Audit Trails eher Kontroll-/Dokumentationsmechanismus als Auditaktivität sind. Gewählt: B, konservativ nach Rubrik.</t>
  </si>
  <si>
    <t>„AI-focused forums and oversight teams“ könnten als dokumentierte Zuständigkeiten (2) oder nur benannte Einheit (1) gelten.</t>
  </si>
  <si>
    <t>A: GOV_01=2. B: GOV_01=1. Gewählt: B, weil Aufgaben, Owner, Freigaben und RACI nicht beschrieben sind.</t>
  </si>
  <si>
    <t>Die drei Stufen der Adoptionsroadmap beschreiben Prozessschritte; unklar bleibt, ob dies für Score 2 reicht.</t>
  </si>
  <si>
    <t>A: GOV_02=2, weil mehrere Prozessstufen dokumentiert sind. B: GOV_02=1, weil Trigger, Verantwortliche und Gate-Logik fehlen. Gewählt: B, konservativ gemäß Evidenzminimum des Codebooks.</t>
  </si>
  <si>
    <t>Kultur-/Sprachsensitivität und age-inclusive reskilling könnten als Inklusion verstanden werden.</t>
  </si>
  <si>
    <t>A: VAL_11=1. B: VAL_11=0. Gewählt: B, weil das Codebook für VAL_11 Accessibility/inklusive KI-Gestaltung verlangt, nicht bloß Reskilling oder sprachliche Marktanpassung.</t>
  </si>
  <si>
    <t>Energieverbrauch und Sustainability Risks sind angeschnitten; unklar ist, ob ein normativer Umweltwert im KI-Kontext vorliegt.</t>
  </si>
  <si>
    <t>A: VAL_12=1. B: VAL_12=0. Gewählt: B, weil kein hinreichend klarer Green-AI-/Umweltwohl-Anker als Zielnorm nachweisbar ist.</t>
  </si>
  <si>
    <t>Formulierungen zu gesellschaftlichem Nutzen und Produktivität könnten als Social Benefit gelesen werden.</t>
  </si>
  <si>
    <t>A: VAL_13=1. B: VAL_13=0. Gewählt: B, weil der Nutzenbezug zu allgemein und eher innovationsrhetorisch bleibt.</t>
  </si>
  <si>
    <t>Keine explizite menschliche Kontrolle/Review/Override von KI-Entscheidungen nachweisbar.</t>
  </si>
  <si>
    <t>Teams und Datenownership werden angedeutet, aber keine Verantwortung für KI-Entscheidungen/Outcomes klar benannt.</t>
  </si>
  <si>
    <t>S. 9, Q2; S. 23, Q18.2</t>
  </si>
  <si>
    <t>Transparenz wird sowohl allgemein für KI-Nutzung als auch konkret für synthetische Daten gefordert.</t>
  </si>
  <si>
    <t>S. 9, Q3</t>
  </si>
  <si>
    <t>Black-box-/Verstehbarkeitsproblem explizit benannt.</t>
  </si>
  <si>
    <t>Bias in Daten/Modellen wird ausdrücklich problematisiert.</t>
  </si>
  <si>
    <t>Datennutzung und Anonymisierung werden erwähnt, aber kein hinreichend klarer Privacy-/Data-Protection-Wertanker im KI-Kontext.</t>
  </si>
  <si>
    <t>Cybersecurity erscheint nur im Fragebogenrahmen, nicht als eigene DBG-Aussage mit KI-Anker.</t>
  </si>
  <si>
    <t>Risk avoidance wird erwähnt, aber kein eigenständiger Safety-/Harm-Prevention-Wert für KI explizit formuliert.</t>
  </si>
  <si>
    <t>S. 22, Q15; S. 27, Q26</t>
  </si>
  <si>
    <t>Reliability/trustworthiness von KI wird ausdrücklich thematisiert.</t>
  </si>
  <si>
    <t>Kein Einspruchs-, Review- oder Redress-Mechanismus für KI-Entscheidungen nachweisbar.</t>
  </si>
  <si>
    <t>Keine Accessibility-/Inklusionsanforderung für KI nachweisbar.</t>
  </si>
  <si>
    <t>Keine ökologische/nachhaltigkeitsbezogene KI-Norm im Dokument nachweisbar.</t>
  </si>
  <si>
    <t>Investor protection wird genannt, bleibt aber konservativ zu unspezifisch für einen eigenständigen Social-Benefit-Code.</t>
  </si>
  <si>
    <t>S. 39, Q42</t>
  </si>
  <si>
    <t>Der Beitrag formuliert ein explizites Rules-/Legislation-Prinzip für KI im Finanzsektor.</t>
  </si>
  <si>
    <t>“trustworthy” und “governance principles” bleiben ohne explizite ethische Grenze/Integritätsnorm zu allgemein.</t>
  </si>
  <si>
    <t>S. 9, Q3; S. 22, Q15</t>
  </si>
  <si>
    <t>Datengovernance, Datenqualität und Lifecycle-Bezug sind klar und mehrfach belegt.</t>
  </si>
  <si>
    <t>Datenverwendung wird adressiert, aber kein hinreichend klarer IP-/Confidentiality-Wert im KI-Sinn.</t>
  </si>
  <si>
    <t>Kein Human-Rights-Framework für KI nachweisbar.</t>
  </si>
  <si>
    <t>expliziter Transparenzanker im KI-Kontext</t>
  </si>
  <si>
    <t>KI-Modelle werden als schwer verständlich beschrieben.</t>
  </si>
  <si>
    <t>“outcomes difficult to understand (the ‘black box’ problem)”</t>
  </si>
  <si>
    <t>Bias in KI-Modellen wird als relevantes Risiko benannt.</t>
  </si>
  <si>
    <t>“AI models can perpetuate existing biases present in the data”</t>
  </si>
  <si>
    <t>“the ‘same business, same risk, same rules’ principle”</t>
  </si>
  <si>
    <t>expliziter Rules-/Legislation-Anker</t>
  </si>
  <si>
    <t>“guaranteeing transparency, stability, and investor protection at all times”; “more transparency as regards the derivation of ‘synthetic data’"</t>
  </si>
  <si>
    <t>“High data (information) quality is at the heart of reliable and useful AI”; “ensure reliable and trustworthy application"</t>
  </si>
  <si>
    <t>Hohe Datenqualität wird direkt mit verlässlicher KI verknüpft.; zusätzlicher Reliability-/Trustworthiness-Anker</t>
  </si>
  <si>
    <t>“a solid data governance”; “clear and strict data governance is being set-up and maintained”</t>
  </si>
  <si>
    <t>Für KI wird solide Datengovernance als Voraussetzung genannt.; Strikte Datengovernance soll für KI-Risikovermeidung aufgesetzt und gepflegt werden.</t>
  </si>
  <si>
    <t>S. 10, Q5</t>
  </si>
  <si>
    <t>S. 10, Q4.1; S. 28, Q28</t>
  </si>
  <si>
    <t>S. 23, Q18.2; S. 27, Q26</t>
  </si>
  <si>
    <t>Keine Audit-, Assurance- oder Review-Mechanik für KI nachweisbar.</t>
  </si>
  <si>
    <t>Keine AI-bezogenen Trainings-, Awareness- oder Zertifizierungsmaßnahmen nachweisbar.</t>
  </si>
  <si>
    <t>Kein KI-spezifischer Eskalationsprozess oder Ansprechpartner nachweisbar.</t>
  </si>
  <si>
    <t>Kein AI-Governance-Reporting mit Gegenstand, Empfänger oder Frequenz nachweisbar.</t>
  </si>
  <si>
    <t>Dedizierte Teams werden genannt</t>
  </si>
  <si>
    <t>nicht höher, da keine Aufgaben-, Freigabe- oder RACI-Logik beschrieben ist.</t>
  </si>
  <si>
    <t>Strukturierter Ansatz und AI-Strategie sind benannt</t>
  </si>
  <si>
    <t>nicht höher, da keine konkreten Prozessschritte mit Triggern/Verantwortlichen dokumentiert sind.</t>
  </si>
  <si>
    <t>Governance-/Risk-Protocols und Approval-Mechanismus werden erwähnt</t>
  </si>
  <si>
    <t>nicht höher, da überwiegend allgemein bzw. als Vorschlag formuliert.</t>
  </si>
  <si>
    <t>“in-house dedicated teams developing AI solutions”</t>
  </si>
  <si>
    <t>“following a structured approach”; “incorporated an AI strategy into its Horizon 2026 Strategy”</t>
  </si>
  <si>
    <t>“a simple approval mechanism”; “existing governance and risk protocols”</t>
  </si>
  <si>
    <t>Unklar ist, ob „same business, same risk, same rules“ bereits als Lawfulness &amp; Compliance zählt oder nur als regulatorische Meinung.</t>
  </si>
  <si>
    <t>A: VAL_14=0, weil keine interne Compliance-Regel beschrieben ist. B: VAL_14=1, weil ein explizites Rules-/Legislation-Prinzip für KI formuliert wird. Gewählt: B, konservativ mit BIND=1, da klarer Regulierungsanker vorliegt, aber keine deontische interne Regel.</t>
  </si>
  <si>
    <t>Unklar ist, ob der „simple approval mechanism“ bereits Score 2 rechtfertigt oder nur allgemeine Check-Orientierung belegt.</t>
  </si>
  <si>
    <t>A: GOV_03=2, weil ein Mechanismus mit Gegenstand und Anlass genannt ist. B: GOV_03=1, weil er als Vorschlag im Data-Hub-Kontext erscheint und keine interne Check-Architektur dokumentiert. Gewählt: B, konservativ.</t>
  </si>
  <si>
    <t>VAL_06 / VAL_17 / VAL_16</t>
  </si>
  <si>
    <t>Die Passage zu anonymisierten/synthetischen Daten könnte Privacy, Confidentiality oder primär Data Governance sein.</t>
  </si>
  <si>
    <t>A: zusätzlich VAL_06 und/oder VAL_17=1. B: primär VAL_16 stärken, VAL_06/17=0. Gewählt: B, da Privacy/Confidentiality nicht hinreichend explizit als eigener KI-Wert formuliert sind.</t>
  </si>
  <si>
    <t>„Investor protection“ könnte als konkreter Human-/Social-Benefit-Anker gelesen werden.</t>
  </si>
  <si>
    <t>A: VAL_13=1. B: VAL_13=0. Gewählt: B, weil der Nutzenbezug im Dokument stärker markt-/regulierungsbezogen als wohlfahrtsbezogen ausfällt.</t>
  </si>
  <si>
    <t>Dedizierte Teams und Input aus IT/Business Units könnten als dokumentierte Zuständigkeiten (2) oder nur als grob benannte Rollen (1) gelesen werden.</t>
  </si>
  <si>
    <t>A: GOV_01=2. B: GOV_01=1. Gewählt: B, da Aufgaben, Freigaben und Verantwortungslogik fehlen.</t>
  </si>
  <si>
    <t>Keine menschliche Review-, Override- oder HITL-Logik nachweisbar.</t>
  </si>
  <si>
    <t>Verantwortung wird auf Lizenz-/Kontrollpflichten bezogen, nicht auf AI-Entscheidungen/Outcomes.</t>
  </si>
  <si>
    <t>Keine Offenlegungs- oder Transparenzpflicht für AI-Einsatz/Outputs nachweisbar.</t>
  </si>
  <si>
    <t>Keine Erklärbarkeits- oder Interpretierbarkeitsanforderung nachweisbar.</t>
  </si>
  <si>
    <t>Kein Bias-/Fairness-Bezug im KI-Kontext nachweisbar.</t>
  </si>
  <si>
    <t>Es geht um Lizenzierung und Zugriffskontrolle, nicht um Datenschutz personenbezogener Daten.</t>
  </si>
  <si>
    <t>Interne Kontrollen/Entitlements sind vorhanden, aber kein expliziter Security-/Cybersecurity-Anker.</t>
  </si>
  <si>
    <t>Keine Safety-, Misuse- oder Harm-Prevention-Norm für AI nachweisbar.</t>
  </si>
  <si>
    <t>Keine Aussage zu Stabilität, Genauigkeit oder Zuverlässigkeit von AI-Outputs.</t>
  </si>
  <si>
    <t>Kein Einspruchs-, Beschwerde- oder Redress-Mechanismus nachweisbar.</t>
  </si>
  <si>
    <t>Keine ökologische KI-Norm nachweisbar.</t>
  </si>
  <si>
    <t>Kein gesellschaftlicher Nutzen-/Well-being-Anker im KI-Kontext nachweisbar.</t>
  </si>
  <si>
    <t>S. 23, Abschnitt 10</t>
  </si>
  <si>
    <t>KI-Nutzung wird ausdrücklich an korrekte Lizenzierung/NDDU-Lizenz geknüpft; deontische Regelsprache vorhanden.</t>
  </si>
  <si>
    <t>Keine ethischen Leitplanken jenseits reiner Lizenz-/Rechtskonformität nachweisbar.</t>
  </si>
  <si>
    <t>Datenzugriff wird kontrolliert, aber keine Datenqualitäts-, Herkunfts- oder Stewardship-Anforderung benannt.</t>
  </si>
  <si>
    <t>Lizenz-/Distributionsfragen betreffen Nutzungsrechte, aber kein hinreichend expliziter IP-/Confidentiality-Wertanker.</t>
  </si>
  <si>
    <t xml:space="preserve">“including use of Information in AI solutions is properly licensed”; “Customers are required to have the appropriate NDDU license in place”; </t>
  </si>
  <si>
    <t>Nutzung von DBAG-Informationen in AI-Lösungen muss ordnungsgemäß lizenziert sein.; Für AI-Lösungen wird eine passende NDDU-Lizenz ausdrücklich verlangt.</t>
  </si>
  <si>
    <t>Keine AI-bezogenen Rollen, Einheiten, Owner oder Approver benannt.</t>
  </si>
  <si>
    <t>Audit- und Billing-Abschnitte sind vorhanden, aber kein expliziter AI-spezifischer Auditmechanismus nachweisbar.</t>
  </si>
  <si>
    <t>Es gibt nur eine allgemeine Empfehlung zur Kontaktaufnahme mit DBAG, aber keinen Eskalationsprozess.</t>
  </si>
  <si>
    <t>DUD-/Reporting-Regeln sind allgemein, jedoch nicht explizit AI-spezifisch operationalisiert.</t>
  </si>
  <si>
    <t>Zugriffskette von initialem Modellzugriff bis downstream points wird beschrieben</t>
  </si>
  <si>
    <t>Interne Kontroll- und Entitlement-Systeme sind als konkreter Mechanismus mit Prüfgegenstand und Einsatzbereich beschrieben</t>
  </si>
  <si>
    <t>nicht höher, da keine Nachweise/Outputs/KPIs vorliegen.</t>
  </si>
  <si>
    <t>“establish and maintain robust internal control and entitlement systems”; “should start with the AI model’s initial access to the data corpus”; “ensure that there exists an internal control for access”</t>
  </si>
  <si>
    <t>“should start with the AI model’s initial access to the data corpus”; “extend to every downstream point where the model interacts”</t>
  </si>
  <si>
    <t>Unklar ist, ob die AI-Lizenzpflicht im Guidance-Dokument nur als Orientierung (BIND 1) oder als Policy-Regel (BIND 2) zu lesen ist.</t>
  </si>
  <si>
    <t>A: BIND=1, weil das Dokument laut Disclaimer Guidance ist. B: BIND=2, weil deontische Formulierungen wie “requires” und “are required” vorliegen. Gewählt: B, da Regeltext explizit deontisch formuliert ist.</t>
  </si>
  <si>
    <t>Unklar ist, ob “internal control and entitlement systems” als Sicherheitswert oder nur als Governance-Mechanismus zu codieren sind.</t>
  </si>
  <si>
    <t>A: zusätzlich VAL_07=1. B: nur GOV_03 positiv. Gewählt: B, da kein expliziter Security-/Cybersecurity-Anker vorliegt und das Codebook für VAL_07 klareren Schutz-/Angriffsbezug verlangt.</t>
  </si>
  <si>
    <t>Die Formulierung vom initialen Zugriff bis zu downstream points könnte Score 2 nahelegen, weil mehrere Prozesspunkte genannt sind.</t>
  </si>
  <si>
    <t>A: GOV_02=2, weil mehrere Schritte der Zugriffskette sichtbar sind. B: GOV_02=1, weil Trigger, Verantwortliche und Freigabelogik fehlen. Gewählt: B, konservativ nach Rubrik.</t>
  </si>
  <si>
    <t>Die Empfehlung, DBAG für Fragen oder Guidance zu kontaktieren, könnte als Ansprechpartner gelten.</t>
  </si>
  <si>
    <t>A: GOV_06=1, weil Kontaktaufnahme genannt ist. B: GOV_06=0, weil kein Eskalationsmechanismus, keine Stufenlogik und kein AI-spezifischer Incident-/Ticket-Prozess beschrieben sind. Gewählt: B, konservativ.</t>
  </si>
  <si>
    <t>Die Passage zur Lizenzierung von durch AI generierten Inhalten könnte als IP-/Nutzungsrechte-Thema gelesen werden.</t>
  </si>
  <si>
    <t>A: VAL_17=1, weil Distributionsrechte von AI-generierten Inhalten angesprochen sind. B: VAL_17=0, weil der Text keine explizite IP-/Confidentiality-Norm formuliert, sondern nur Lizenzpflichten. Gewählt: B, konservativ.</t>
  </si>
  <si>
    <t>GOV_04, GOV_07</t>
  </si>
  <si>
    <t>Das Dokument enthält allgemeine Audit- und Reporting-Passagen, aber deren KI-Bezug ist unklar.</t>
  </si>
  <si>
    <t>A: GOV_04/GOV_07 positiv, weil Audit/Reporting im Gesamtdokument geregelt sind. B: GOV_04/GOV_07 = 0, weil die KI-Anker-Regel keine explizite Verbindung dieser Mechaniken zur AI-Nutzung erlaubt. Gewählt: B, streng nach KI-Anker-Regel.</t>
  </si>
  <si>
    <t>S. 9, Abschnitt 7</t>
  </si>
  <si>
    <t>Kill switch ist eine konkrete Override-/Stop-Mechanik; daher prozessual operationalisiert.</t>
  </si>
  <si>
    <t>S. 3, Abschnitt 1</t>
  </si>
  <si>
    <t>Verantwortliche für AI systems/features werden klar definiert; konkrete Rollen-/Ownership-Logik erkennbar.</t>
  </si>
  <si>
    <t>S. 6, Abschnitt 4; S. 8, Abschnitt 6</t>
  </si>
  <si>
    <t>Offenlegung der KI-Interaktion plus Dokumentationsanspruch; mehr als bloßes Leitbild.</t>
  </si>
  <si>
    <t>S. 8, Abschnitt 6</t>
  </si>
  <si>
    <t>Vermeidung von Black Boxes bereits im initial algorithm deutet auf verbindliche Designvorgabe.</t>
  </si>
  <si>
    <t>S. 8, Abschnitt 6; S. 9, Abschnitt 7</t>
  </si>
  <si>
    <t>Fairness ist benannt und durch Bias-bezogene Datenkontrolle operationalisiert.</t>
  </si>
  <si>
    <t>S. 6, Abschnitt 4; S. 7, Abschnitt 5; S. 8, Abschnitt 6</t>
  </si>
  <si>
    <t>Wahlmöglichkeiten, legal permission und privacy by design bilden konkrete Schutzlogik.</t>
  </si>
  <si>
    <t>S. 4, Abschnitt 2; S. 7, Abschnitt 5; S. 8, Abschnitt 6</t>
  </si>
  <si>
    <t>Security wird als technische Anforderung und als by-design-/access-control-Prinzip operationalisiert.</t>
  </si>
  <si>
    <t>Unintended harm und Stoppen bei Inkonsistenzen sind klare Safety-/Harm-Mechaniken.</t>
  </si>
  <si>
    <t>S. 4, Abschnitt 2; S. 8, Abschnitt 6; S. 9, Abschnitt 7</t>
  </si>
  <si>
    <t>Robustheit ist explizit benannt und durch Szenarien sowie Stop-Logik operationalisiert.</t>
  </si>
  <si>
    <t>S. 5, Abschnitt 3; S. 11, Abschnitt 9</t>
  </si>
  <si>
    <t>Nutzen für Kundschaft sowie Unterstützung von Gesellschaft/Mitarbeitenden werden explizit adressiert; bleibt normativ, aber nicht prozessual.</t>
  </si>
  <si>
    <t>S. 4, Abschnitt 2; S. 7, Abschnitt 5</t>
  </si>
  <si>
    <t>Deontische Rechtskonformität ist klar; keine Kopplung an Inventare/Assessments/Doku-Pflichten für BIND 3.</t>
  </si>
  <si>
    <t>S. 4, Abschnitt 2; S. 11, Abschnitt 9</t>
  </si>
  <si>
    <t>Ethische Werte und ethics education sind explizit; bleibt als normative Leitplanke unterhalb klarer Prozessvorgabe.</t>
  </si>
  <si>
    <t>S. 7, Abschnitt 5; S. 9, Abschnitt 7</t>
  </si>
  <si>
    <t>Diverse/appropriate input, Bias-Bereinigung und Access-Übersicht sind konkrete Data-Governance-Vorgaben.</t>
  </si>
  <si>
    <t>Für jedes KI-System sollen Verantwortlichkeiten klar definiert werden.</t>
  </si>
  <si>
    <t>“clear definition of who is responsible for which AI system or feature”</t>
  </si>
  <si>
    <t>Deutsche Telekom will KI-Systeme jederzeit stoppen können.</t>
  </si>
  <si>
    <t>“deactivate and stop AI systems at any time (kill switch)”</t>
  </si>
  <si>
    <t>Black Boxes sollen bereits in der Algorithmusgestaltung vermieden werden.</t>
  </si>
  <si>
    <t>“In no case we hide it when the customer’s counterpart is an AI”; “transparent, auditable, fair, and fully documented”</t>
  </si>
  <si>
    <t>Kundinnen und Kunden sollen immer erkennen können, wenn sie mit KI interagieren.; Wert- und Dokumentationsanker</t>
  </si>
  <si>
    <t>“transparent, auditable, fair, and fully documented”; “remove inappropriate data to avoid bias”</t>
  </si>
  <si>
    <t>KI-Lösungen sollen dokumentiert, transparent, auditable und fair sein.; Fairness- und Data-Governance-Anker</t>
  </si>
  <si>
    <t>“how and to which extent they can choose the way of further processing their personal data”; “privacy und security by design”; “We never process privacy-relevant data without legal permission”</t>
  </si>
  <si>
    <t>Kundinnen und Kunden sollen Wahlmöglichkeiten zur Verarbeitung ihrer Daten erkennen können.; prozessualer und technischer Rahmen; deontische Privacy-/Compliance-Regel</t>
  </si>
  <si>
    <t>“security, robustness, etc.”; “privacy und security by design”; “full overview of how customer related data is used and who has access"</t>
  </si>
  <si>
    <t>KI soll dieselben hohen technischen Anforderungen wie andere IT erfüllen.; prozessualer und technischer Rahmen; konkreter Kontroll- und Access-Anker</t>
  </si>
  <si>
    <t>“systems shall not unintentionally harm the users”; “we rather stop the AI system”</t>
  </si>
  <si>
    <t>KI-Systeme sollen Nutzer nicht unbeabsichtigt schädigen.; Bei Inkonsistenzen soll das System lieber gestoppt werden.</t>
  </si>
  <si>
    <t>“security, robustness, etc.”; “we rather stop the AI system”; “risks and chances scenarios or reliable disaster scenarios”</t>
  </si>
  <si>
    <t>Security- und Robustheitsanker; Bei Inkonsistenzen soll das System lieber gestoppt werden.; prozess- und prüfbezogene Operationalisierung</t>
  </si>
  <si>
    <t>“serve a useful purpose towards our customers”; “enabling our colleagues and employees”</t>
  </si>
  <si>
    <t>KI- und Datennutzung soll den Kundinnen und Kunden konkret nützen.; interner Befähigungs- und Nutzenbezug</t>
  </si>
  <si>
    <t>“must subordinate to human-defined rules and laws”; “We never process privacy-relevant data without legal permission”</t>
  </si>
  <si>
    <t>KI-Systeme müssen menschlich definierten Regeln und Gesetzen untergeordnet sein.; deontische Privacy-/Compliance-Regel</t>
  </si>
  <si>
    <t>explizite ethische Leitplanke; Das Unternehmen kündigt AI- und Ethics-Education an.</t>
  </si>
  <si>
    <t>“have to comply with our company values, ethical values, and societal conventions”; “We will engage in AI and ethics education”</t>
  </si>
  <si>
    <t>“remove inappropriate data to avoid bias”; “diverse and appropriate data input”; “full overview of how customer related data is used and who has access”</t>
  </si>
  <si>
    <t>Ungeeignete Daten sollen entfernt werden, um Bias zu vermeiden.; konkreter Kontroll- und Access-Anker; Datenqualitäts-/Repräsentativitätsanker</t>
  </si>
  <si>
    <t>“Auditable” ist nur Qualitätsattribut; kein Audit, Assessment oder Review als Aktivität/Frequenz beschrieben.</t>
  </si>
  <si>
    <t>S. 11, Abschnitt 9</t>
  </si>
  <si>
    <t>Kein Ansprechpartner, Ticket-, Hotline- oder Stufenprozess für AI-Eskalation nachweisbar.</t>
  </si>
  <si>
    <t>Keine Reporting-Struktur zu AI-Risiken, Kontrollen oder Vorfällen nachweisbar.</t>
  </si>
  <si>
    <t>Rollen/Ownership für AI systems/features und product owners sind beschrieben</t>
  </si>
  <si>
    <t>nicht höher, da keine Reporting-/Regelterminbelege vorliegen.</t>
  </si>
  <si>
    <t>Impact analysis, privacy/security by design sowie scenario work beschreiben Prozessschritte</t>
  </si>
  <si>
    <t>nicht höher ohne Nachweise/KPIs/Review-Zyklen.</t>
  </si>
  <si>
    <t>Access overview, kill switch, Bias-Datenbereinigung und Stop-Logik sind konkrete Kontrollmechanismen</t>
  </si>
  <si>
    <t>nicht höher ohne Betriebsnachweise/Protokolle.</t>
  </si>
  <si>
    <t>AI and ethics education sowie Befähigung von Mitarbeitenden sind angekündigt</t>
  </si>
  <si>
    <t>nicht höher ohne Programmstruktur/Pflichtgrad.</t>
  </si>
  <si>
    <t>“privacy und security by design”; “risks and chances scenarios or reliable disaster scenarios”</t>
  </si>
  <si>
    <t>“full overview of how customer related data is used and who has access”; “deactivate and stop AI systems at any time (kill switch)”; “remove inappropriate data to avoid bias”</t>
  </si>
  <si>
    <t>“We will engage in AI and ethics education”; “enabling our colleagues and employees”</t>
  </si>
  <si>
    <t>Die Formulierung „auditable“ könnte als Auditbezug missverstanden werden.</t>
  </si>
  <si>
    <t>A: GOV_04=1, weil Auditfähigkeit erwähnt ist. B: GOV_04=0, weil laut Codebook ein bloßes Qualitätsattribut nicht genügt. Gewählt: B.</t>
  </si>
  <si>
    <t>VAL_03 vs. VAL_04</t>
  </si>
  <si>
    <t>Transparenz und Explainability liegen semantisch nah beieinander.</t>
  </si>
  <si>
    <t>A: nur VAL_03. B: VAL_03 + VAL_04 getrennt. Gewählt: B, weil Offenlegung der AI-Interaktion (VAL_03) und Vermeidung von Black Boxes (VAL_04) unterschiedliche Codebook-Logiken erfüllen.</t>
  </si>
  <si>
    <t>VAL_01 vs. GOV_03</t>
  </si>
  <si>
    <t>Der kill switch kann als Wert der menschlichen Kontrolle und als Kontrollmechanismus gelesen werden.</t>
  </si>
  <si>
    <t>A: nur GOV_03. B: VAL_01 + GOV_03. Gewählt: B, da das Codebook VAL_01 bei explizitem human control/override vorsieht.</t>
  </si>
  <si>
    <t>Kundennutzen und gesellschaftliche Unterstützung könnten als bloße Nutzenrhetorik gelten.</t>
  </si>
  <si>
    <t>A: VAL_13=0. B: VAL_13=1. Gewählt: B, weil das Codebook kundenseitigen Nutzen ausdrücklich zulässt, wenn er konkret formuliert ist (“serve a useful purpose”).</t>
  </si>
  <si>
    <t>VAL_14 BIND</t>
  </si>
  <si>
    <t>Die Rechtskonformität ist klar deontisch, aber nicht an konkrete Compliance-Tools gekoppelt.</t>
  </si>
  <si>
    <t>A: BIND=2. B: BIND=3. Gewählt: A, da das Codebook BIND 3 nur bei Kopplung an konkrete Assessments/Inventare/Dokumentationspflichten vorsieht.</t>
  </si>
  <si>
    <t>Das Dokument enthält mehrere Prozessschritte, aber keine Trigger/Owner bei jedem Schritt.</t>
  </si>
  <si>
    <t>A: GOV_02=1. B: GOV_02=2. Gewählt: B, weil Impact analysis, by-design-Ansatz und Szenarien konkrete Prozessschritte darstellen; nicht höher ohne Implementierungsnachweis.</t>
  </si>
  <si>
    <t>S. 1, Prinzipienliste</t>
  </si>
  <si>
    <t>„End-to-End Responsibility“ ist als eigenes Green-AI-Prinzip explizit benannt, aber nicht weiter operationalisiert.</t>
  </si>
  <si>
    <t>„Transparent CO2 Footprint“ bezieht sich auf Umwelttransparenz; kein hinreichend klarer AI-Transparenzcode zu Systemen/Entscheidungen.</t>
  </si>
  <si>
    <t>Keine Erklärbarkeits- oder Black-Box-Passage nachweisbar.</t>
  </si>
  <si>
    <t>Kein Bias-/Fairness-Bezug nachweisbar.</t>
  </si>
  <si>
    <t>Kein Datenschutz-/Privacy-Bezug nachweisbar.</t>
  </si>
  <si>
    <t>Kein Security-/Cybersecurity-Anker nachweisbar.</t>
  </si>
  <si>
    <t>Risiken werden mit Blick auf Carbon Footprint erwähnt, aber nicht als allgemeine Safety-/Harm-Prevention-Norm codierbar.</t>
  </si>
  <si>
    <t>„Optimized AI Models“ bleibt ohne klare Robustheits-/Reliabilitätsaussage zu unspezifisch.</t>
  </si>
  <si>
    <t>Das Dokument ist vollständig auf umweltverträgliche bzw. klimabezogene KI ausgerichtet; bleibt als Guidance auf Prinzipienebene.</t>
  </si>
  <si>
    <t>Klimaschutz ist vorhanden, wurde hier konservativ unter VAL_12 und nicht zusätzlich unter Social Benefit codiert.</t>
  </si>
  <si>
    <t>Keine Rechts-, Regulierungs- oder Compliancepflicht für KI nachweisbar.</t>
  </si>
  <si>
    <t>Nachhaltigkeitsorientierung allein genügt hier konservativ nicht für einen eigenständigen Integrity-/Ethics-Code.</t>
  </si>
  <si>
    <t>Keine Datenqualitäts-, Lineage- oder Stewardship-Anforderung nachweisbar.</t>
  </si>
  <si>
    <t>Kein IP-/Confidentiality-Bezug nachweisbar.</t>
  </si>
  <si>
    <t>Verantwortung über die gesamte KI-Wertschöpfung wird als Prinzip benannt.</t>
  </si>
  <si>
    <t>“End-to-End Responsibility”</t>
  </si>
  <si>
    <t>“AI can contribute to climate protection”; “consumes a huge amount of energy and resources”; “developed and used in a more environmentally sustainable way”</t>
  </si>
  <si>
    <t>klarer Nachhaltigkeits-/Klimabezug im KI-Kontext; stützt ökologischen KI-Wert; Nachhaltigere KI wird als ausdrückliches Ziel von Entwicklung und Nutzung formuliert.</t>
  </si>
  <si>
    <t>Verantwortung wird als Prinzip benannt, aber keine Rollen, Owner oder Zuständigkeitsarchitektur werden beschrieben.</t>
  </si>
  <si>
    <t>Kein Audit-, Review- oder Assurance-Mechanismus nachweisbar.</t>
  </si>
  <si>
    <t>Keine Trainings-, Awareness- oder Zertifizierungsmaßnahmen nachweisbar.</t>
  </si>
  <si>
    <t>Kein Eskalationsweg oder Ansprechpartner nachweisbar.</t>
  </si>
  <si>
    <t>„Transparent CO2 Footprint“ deutet potenziell auf Messung/Offenlegung, aber keine Reporting-Struktur mit Empfänger, Frequenz oder KPI-Logik ist belegt.</t>
  </si>
  <si>
    <t>Guidance für nachhaltigere Entwicklung und Nutzung von KI ist ausdrücklich benannt</t>
  </si>
  <si>
    <t>nicht höher, da keine Prozessschritte, Trigger oder Verantwortlichen beschrieben sind.</t>
  </si>
  <si>
    <t>Operative Hebel wie CO2-Footprint, Dynamic Sizing, Optimized AI Models und Green Coding werden benannt</t>
  </si>
  <si>
    <t>nicht höher, da keinerlei Ausgestaltung/Nachweis vorliegt.</t>
  </si>
  <si>
    <t>“consumes a huge amount of energy and resources”</t>
  </si>
  <si>
    <t>“provide guidance on how AI solutions can be developed and used”</t>
  </si>
  <si>
    <t>VAL_02 / GOV_01</t>
  </si>
  <si>
    <t>Unklar ist, ob der Prinzipientitel nur einen Wert oder bereits Governance-Zuständigkeit belegt.</t>
  </si>
  <si>
    <t>A: VAL_02=1 und GOV_01=1. B: VAL_02=1 und GOV_01=0. Gewählt: B, da Verantwortung zwar als Prinzip explizit ist, aber keine Rollen-/Owner-Struktur beschrieben wird.</t>
  </si>
  <si>
    <t>VAL_03 / GOV_07</t>
  </si>
  <si>
    <t>Unklar ist, ob Umwelttransparenz bereits als allgemeiner Transparenzwert oder Reporting zählt.</t>
  </si>
  <si>
    <t>A: VAL_03=1 und/oder GOV_07=1. B: beide 0. Gewählt: B, weil die Passage keine Transparenz zu KI-Systemen/Entscheidungen und keine Reporting-Struktur ausweist.</t>
  </si>
  <si>
    <t>Unklar ist, ob benannte Hebel wie Dynamic Sizing und Green Coding bereits als Tools/Checks zählen.</t>
  </si>
  <si>
    <t>A: GOV_03=0, weil nur Überschriften vorliegen. B: GOV_03=1, weil konkrete Mechanismenfamilien explizit benannt sind. Gewählt: B, konservativ nur Score 1, da das Codebook „benannt“ für niedrige Stufe zulässt.</t>
  </si>
  <si>
    <t>Unklar ist, ob die Guidance für nachhaltigere Entwicklung/Nutzung bereits Prozessbezug ausreichend belegt.</t>
  </si>
  <si>
    <t>A: GOV_02=0. B: GOV_02=1. Gewählt: B, weil der Satz ausdrücklich auf Entwicklung und Nutzung von AI solutions abzielt, aber ohne detaillierte Prozessschritte.</t>
  </si>
  <si>
    <t>VAL_13 / VAL_12</t>
  </si>
  <si>
    <t>„AI can contribute to climate protection“ könnte zusätzlich als Social Benefit gelesen werden.</t>
  </si>
  <si>
    <t>A: VAL_12=1 und VAL_13=1. B: nur VAL_12=1. Gewählt: B, weil der Nutzen klar ökologisch und damit passgenauer unter Sustainability codierbar ist.</t>
  </si>
  <si>
    <t>Unklar ist, ob Optimierung bereits technische Robustheit/Zuverlässigkeit meint.</t>
  </si>
  <si>
    <t>A: VAL_09=1. B: VAL_09=0. Gewählt: B, da keine Aussage zu Accuracy, Stability, Reliability oder Robustness vorliegt.</t>
  </si>
  <si>
    <t>091_15_Digital Ethics_190226.pdf</t>
  </si>
  <si>
    <t>S. 4, Abschnitt 6.6</t>
  </si>
  <si>
    <t>Jederzeitige Stop-/Shutdown-Möglichkeit durch verantwortlichen Nutzer ist konkrete Override-Mechanik.</t>
  </si>
  <si>
    <t>Verantwortliche für System und AI-Funktion sind klar zu definieren; konkrete Operationalisierung.</t>
  </si>
  <si>
    <t>Nutzertransparenz plus verständliche Dokumentation/Disclosure gehen über bloße Absicht hinaus.</t>
  </si>
  <si>
    <t>„Comprehensible manner“ für AI-Algorithmen ist als konkrete Dokumentationsanforderung formuliert.</t>
  </si>
  <si>
    <t>Nichtdiskriminierung ist klar deontisch, aber ohne zusätzliche Prozesslogik.</t>
  </si>
  <si>
    <t>Datenschutz wird rechtlich und vertraglich gebunden; konkrete Dokumentations-/Compliance-Architektur vorhanden.</t>
  </si>
  <si>
    <t>Sicherheitsvorgaben sind explizit, aber ohne weiter ausdifferenzierte Security-Mechanik.</t>
  </si>
  <si>
    <t>Kein ausdrücklicher Safety-/Harm-Prevention-Anker für KI nachweisbar.</t>
  </si>
  <si>
    <t>Keine Aussage zu Accuracy, Robustheit oder Reliability von KI-Outputs.</t>
  </si>
  <si>
    <t>Kein Einspruchs-, Review- oder Redress-Mechanismus für Betroffene nachweisbar.</t>
  </si>
  <si>
    <t>Barrier-free access ist explizit und deontisch formuliert.</t>
  </si>
  <si>
    <t>Kein Umwelt-/Green-AI-Anker im KI-Abschnitt nachweisbar.</t>
  </si>
  <si>
    <t>Kein expliziter gesellschaftlicher Nutzen-/Well-being-Anker im KI-Abschnitt nachweisbar.</t>
  </si>
  <si>
    <t>Eindeutige Rechts- und Regulierungspflicht, aber keine separate Compliance-Prozesslogik für BIND 3.</t>
  </si>
  <si>
    <t>Europäische Grundwerte bilden normative Leitplanke; bleibt unterhalb konkreter Ethik-Checks.</t>
  </si>
  <si>
    <t>Dokumentation der Datennutzung ist belegt, aber keine Datenqualitäts-, Repräsentativitäts- oder Stewardship-Anforderung.</t>
  </si>
  <si>
    <t>Kein expliziter IP-/Confidentiality-Anker im KI-Abschnitt nachweisbar.</t>
  </si>
  <si>
    <t>Breite Human-Rights-Passagen existieren im Dokument, aber nicht mit klarem KI-Anker in Abschnitt 6.6.</t>
  </si>
  <si>
    <t>Verantwortliche Nutzer müssen KI-Systeme jederzeit stoppen können.</t>
  </si>
  <si>
    <t>“stop or shut down his AI systems at any time”</t>
  </si>
  <si>
    <t>Für jede KI-Lösung und KI-Funktion müssen Verantwortliche festgelegt sein.</t>
  </si>
  <si>
    <t>“has clearly defined for his AI solutions who is responsible”</t>
  </si>
  <si>
    <t>Datenverarbeitung und KI-Algorithmen müssen verständlich dokumentiert werden.</t>
  </si>
  <si>
    <t>KI-Systeme dürfen nicht diskriminierend sein.</t>
  </si>
  <si>
    <t>“The use of AI systems shall be non-discriminatory”</t>
  </si>
  <si>
    <t>AI-bezogene Datenverarbeitung unterliegt Sicherheitsvorgaben.</t>
  </si>
  <si>
    <t>“data protection and security provisions”</t>
  </si>
  <si>
    <t>Barrierefreier Zugang zu KI-Systemen wird zugesichert.</t>
  </si>
  <si>
    <t>“Barrier-free access is guaranteed.”</t>
  </si>
  <si>
    <t>AI-Algorithmen und Datennutzung müssen geltendem Recht entsprechen.</t>
  </si>
  <si>
    <t>“shall be subject to applicable law and regulations”</t>
  </si>
  <si>
    <t>Entwicklung und Nutzung von KI werden an europäische Grundwerte gebunden.</t>
  </si>
  <si>
    <t>“carried out according to the European fundamental values”</t>
  </si>
  <si>
    <t xml:space="preserve">“documented in a comprehensible manner”; </t>
  </si>
  <si>
    <t>“The use of AI systems shall be non-discriminatory and transparent towards users.”; “documented in a comprehensible manner”; “to be disclosed to DTAG if required”</t>
  </si>
  <si>
    <t>KI-Systeme müssen Nutzerinnen und Nutzern gegenüber transparent sein.; Explainability-/Comprehensibility-Anker; dokumentierter Prozess-/Disclosure-Schritt</t>
  </si>
  <si>
    <t>“subject to applicable law and regulations, in particular the statutory data protection”; “shall adhere to all applicable data protection laws”</t>
  </si>
  <si>
    <t>AI-bezogene Datenverarbeitung unterliegt Datenschutz- und Sicherheitsrecht.; zusätzlicher Datenschutzanker</t>
  </si>
  <si>
    <t>Allgemeine Audit-Abschnitte vorhanden, aber kein explizit KI-spezifischer Auditmechanismus nachweisbar.</t>
  </si>
  <si>
    <t>Allgemeine SCoC-Trainings erwähnt, aber keine explizite AI-bezogene Schulung oder Awareness-Maßnahme.</t>
  </si>
  <si>
    <t>Allgemeine Non-conformity-/Remedy-Logik vorhanden, aber kein expliziter KI-spezifischer Eskalationsweg.</t>
  </si>
  <si>
    <t>Disclosure an DTAG erfolgt nur „if required“; kein reguläres AI-Reporting mit Turnus/Empfängerstruktur belegt.</t>
  </si>
  <si>
    <t>Verantwortlichkeiten für System und AI-Funktion sind dokumentiert</t>
  </si>
  <si>
    <t>nicht höher, da keine weitere Rollen-/Reporting-Architektur belegt ist.</t>
  </si>
  <si>
    <t>Dokumentation und bedarfsweise Disclosure an DTAG beschreiben Prozessanforderungen</t>
  </si>
  <si>
    <t>nicht höher ohne Nachweise/KPIs.</t>
  </si>
  <si>
    <t>Emergency stop sowie konkrete Dokumentationsgegenstände sind als Kontrollmechanismen benannt</t>
  </si>
  <si>
    <t>nicht höher ohne Implementierungsnachweise.</t>
  </si>
  <si>
    <t>“who is responsible for which system and which AI function”</t>
  </si>
  <si>
    <t>“to be disclosed to DTAG if required”; “Data processing and AI algorithms, as well as the use of the data”</t>
  </si>
  <si>
    <t>“emergency stop”; “Data processing and AI algorithms, as well as the use of the data”</t>
  </si>
  <si>
    <t>„documented in a comprehensible manner“ kann sowohl Transparenz als auch Explainability berühren.</t>
  </si>
  <si>
    <t>A: nur VAL_03. B: VAL_03 + VAL_04. Gewählt: B, weil Nutzertransparenz und Verständlichkeit der Algorithmen unterschiedliche Codebook-Logiken erfüllen.</t>
  </si>
  <si>
    <t>Die Dokumentation von Datennutzung könnte als Data Governance verstanden werden.</t>
  </si>
  <si>
    <t>A: VAL_16=1. B: VAL_16=0. Gewählt: B, da Datenqualität, Repräsentativität, Herkunft oder Stewardship nicht explizit benannt sind.</t>
  </si>
  <si>
    <t>VAL_07 vs. GOV_03</t>
  </si>
  <si>
    <t>Sicherheitsvorgaben und Emergency Stop können sowohl Wert- als auch Kontrollmechanik sein.</t>
  </si>
  <si>
    <t>A: nur GOV_03 positiv. B: VAL_07 und GOV_03 getrennt codieren. Gewählt: B, weil Sicherheitsvorgaben normativen Wertcharakter haben, der Emergency Stop aber zusätzlich konkreter Check ist.</t>
  </si>
  <si>
    <t>GOV_04 / GOV_05 / GOV_06</t>
  </si>
  <si>
    <t>Allgemeine Audit-, Remedy- und Trainingspassagen könnten auch die AI-Prinzipien des SCoC mitumfassen.</t>
  </si>
  <si>
    <t>A: GOV_04/05/06 positiv, weil sie für alle Principles gelten. B: GOV_04/05/06 = 0, weil kein expliziter KI-Anker im Sinne von R1 vorliegt. Gewählt: B, konservativ nach KI-Anker-Regel.</t>
  </si>
  <si>
    <t>VAL_15 vs. VAL_18</t>
  </si>
  <si>
    <t>„European fundamental values“ könnte als ethische Leitplanke oder als menschenrechtlicher Anker gelesen werden.</t>
  </si>
  <si>
    <t>A: VAL_15=1 und VAL_18=1. B: nur VAL_15=1. Gewählt: B, da kein expliziter Human-Rights-Bezug im KI-Satz selbst genannt ist.</t>
  </si>
  <si>
    <t>„to be disclosed to DTAG if required“ könnte als Reporting gewertet werden.</t>
  </si>
  <si>
    <t>A: GOV_07=1. B: GOV_07=0. Gewählt: B, weil keine regelmäßige Reporting-Struktur, kein Turnus und keine festen Empfängerlogiken beschrieben sind.</t>
  </si>
  <si>
    <t>VAL_01 / VAL_13 / VAL_18</t>
  </si>
  <si>
    <t>Human sovereignty, dignity, freedom and autonomy werden stark betont; unklar ist, ob dies über “This also applies to artificial intelligence” direkt AI-codierbar ist.</t>
  </si>
  <si>
    <t>A: VAL_01 und/oder VAL_18 positiv codieren. B: nicht positiv codieren. Gewählt: B, da der AI-Anker für diese allgemeinen Grundsätze zu indirekt bleibt und keine AI-spezifische Operationalisierung folgt.</t>
  </si>
  <si>
    <t>Die drei Autoritäten könnten auch als Wertanker für Accountability gelesen werden.</t>
  </si>
  <si>
    <t>A: zusätzlich VAL_02=1. B: nur GOV_01 positiv. Gewählt: B, weil das Dokument Strukturen und Autoritäten beschreibt, aber keine explizite Verantwortungszuweisung für konkrete AI-Systeme/-Entscheidungen ausformuliert.</t>
  </si>
  <si>
    <t>Das Vorhandensein eines konkreten AI-Checks könnte Score 3 nahelegen.</t>
  </si>
  <si>
    <t>A: GOV_03=3, weil ein reales Tool existiert. B: GOV_03=2, weil zwar ein Tool benannt ist, aber keine Nutzungsnachweise, KPIs oder Prüfprotokolle vorliegen. Gewählt: B, konservativ nach Rubrik.</t>
  </si>
  <si>
    <t>Unklar ist, ob dies schon Training/Schulung oder nur Support/Awareness beschreibt.</t>
  </si>
  <si>
    <t>A: GOV_05=0. B: GOV_05=1. Gewählt: B, da Awareness-/Unterstützungscharakter explizit erkennbar ist, aber kein formales Trainingsprogramm dokumentiert wird.</t>
  </si>
  <si>
    <t>VAL_14 / GOV_07</t>
  </si>
  <si>
    <t>AI Pact und legislative monitoring könnten als Reporting oder besonders starke Compliance-Struktur gelesen werden.</t>
  </si>
  <si>
    <t>A: zusätzlich GOV_07=1. B: GOV_07=0 und nur VAL_14/GOV_03 positiv. Gewählt: B, weil weder Turnus noch Berichtsempfänger oder interne Reporting-Struktur beschrieben sind.</t>
  </si>
  <si>
    <t>VAL_15 BIND</t>
  </si>
  <si>
    <t>Die Einbettung in CoC und Supplier Code könnte BIND 2 oder 3 rechtfertigen.</t>
  </si>
  <si>
    <t>A: BIND=2, weil institutionell verankert. B: BIND=3, weil zusätzlich ein konkreter AI*ICARE Check Wertekompatibilität prüft. Gewählt: B, da eine toolgestützte Operationalisierung im Dokument selbst belegt ist.</t>
  </si>
  <si>
    <t>Human-centered-/Autonomie-Passagen sind vorhanden, aber der AI-Bezug bleibt dafür zu indirekt.</t>
  </si>
  <si>
    <t>Governance-Autoritäten sind beschrieben, aber keine explizite Verantwortungszuweisung für AI-Systeme/-Outcomes selbst.</t>
  </si>
  <si>
    <t>Keine explizite Nutzertransparenz, Offenlegung von AI-Nutzung oder Systemtransparenz nachweisbar.</t>
  </si>
  <si>
    <t>Keine Erklärbarkeits- oder Black-Box-Anforderung nachweisbar.</t>
  </si>
  <si>
    <t>Kein Bias-/Fairness-Bezug in den AI-Passagen nachweisbar.</t>
  </si>
  <si>
    <t>S. 1, Abschnitt “Responsible use of artificial intelligence”</t>
  </si>
  <si>
    <t>Privacy-by-design und klare Standards für employee data in AI systems belegen konkrete Operationalisierung.</t>
  </si>
  <si>
    <t>Regulatory/approval-Bezug reicht ohne expliziten Security-Anker nicht aus.</t>
  </si>
  <si>
    <t>Kein ausdrücklicher Safety-/Harm-Prevention-Anker für AI nachweisbar.</t>
  </si>
  <si>
    <t>Keine Aussage zu Accuracy, Robustheit oder Reliability von AI-Outputs.</t>
  </si>
  <si>
    <t>Keine AI-spezifische Accessibility-/Inklusionsanforderung nachweisbar.</t>
  </si>
  <si>
    <t>Kein Umwelt-/Green-AI-Anker in diesem Dokument nachweisbar.</t>
  </si>
  <si>
    <t>Human-centered-Rahmung bleibt für AI-spezifische Codierung zu allgemein.</t>
  </si>
  <si>
    <t>S. 2, “Responsible use of artificial intelligence” / “AIICARE Check”</t>
  </si>
  <si>
    <t>AI Pact plus konkreter Compliance-Selbsttest zu legal/internal requirements und Freigabe belegen prozessnahe Bindigkeit.</t>
  </si>
  <si>
    <t>S. 1–2, AI-Abschnitt / AI*ICARE Check</t>
  </si>
  <si>
    <t>AI guidelines on digital ethics, Einbettung in CoC/Supplier Code und Werteprüfung im AI*ICARE Check zeigen konkrete Operationalisierung.</t>
  </si>
  <si>
    <t>Datenverarbeitung wird geregelt, aber keine Datenqualitäts-, Repräsentativitäts- oder Stewardship-Anforderung nachweisbar.</t>
  </si>
  <si>
    <t>Kein IP-/Confidentiality-Anker im AI-Kontext nachweisbar.</t>
  </si>
  <si>
    <t>Würde/Freiheit/Autonomie werden allgemein digitalethisch genannt, aber nicht AI-spezifisch genug operationalisiert.</t>
  </si>
  <si>
    <t>“AI and data protection must go hand in hand”; “defines clear standards for the processing of employee data in AI systems”</t>
  </si>
  <si>
    <t>Datenschutz wird im KI-Kontext als by-design-Prinzip von Beginn an mitgeführt.; explizite AI-Datenschutzstandards</t>
  </si>
  <si>
    <t>“we joined the EU Commission’s AI Pact”; “Does the AI meet all relevant legal and internal requirements”</t>
  </si>
  <si>
    <t>Freiwillige Bindung an einen europäischen AI-Regelrahmen wird ausdrücklich genannt.; Das AI-Tool prüft Rechtmäßigkeit und interne Konformität.</t>
  </si>
  <si>
    <t>“introduce AI guidelines on digital ethics”; “integrated into our Supplier Code of Conduct”; “legal and in line with our corporate values?”</t>
  </si>
  <si>
    <t>Deutsche Telekom verweist auf eigene KI-Leitlinien als formalisierte ethische Grundlage.; zeigt institutionelle Verankerung; Das AI-Tool prüft zusätzlich Wertekompatibilität.</t>
  </si>
  <si>
    <t>S. 2, Abschnitt “Responsible use of artificial intelligence”</t>
  </si>
  <si>
    <t>S. 2, AI-Abschnitt / “AIICARE Check”</t>
  </si>
  <si>
    <t>Keine AI-spezifische Eskalations- oder Incident-Logik nachweisbar.</t>
  </si>
  <si>
    <t>Kein AI-Governance-Reporting mit Empfänger, Turnus oder KPI-Struktur nachweisbar.</t>
  </si>
  <si>
    <t>Steering, technical und regulatory authority sind dokumentiert</t>
  </si>
  <si>
    <t>nicht höher, da keine RACI-/Reporting-/Nachweislogik beschrieben ist.</t>
  </si>
  <si>
    <t>Integration in Supplier Code, privacy-by-design und Manifest-Standards für employee data zeigen dokumentierte Prozess-/Rahmenlogik</t>
  </si>
  <si>
    <t>nicht höher ohne KPI-/Audit-/Umsetzungsnachweise.</t>
  </si>
  <si>
    <t>Regulatory monitoring, AI*ICARE Check und Approval-Check sind konkrete Kontrollmechanismen</t>
  </si>
  <si>
    <t>nicht höher ohne Nutzungsnachweise, Reports oder Prüfprotokolle.</t>
  </si>
  <si>
    <t>Unterstützung der Mitarbeitenden im Umgang mit AI ist benannt</t>
  </si>
  <si>
    <t>nicht höher, da kein formales Trainingsprogramm beschrieben ist.</t>
  </si>
  <si>
    <t>“supports employees in dealing with artificial intelligence”</t>
  </si>
  <si>
    <t>“by a steering authority, a technical authority and regulatory authority”; “enable a rapid response to developments in the field of AI”</t>
  </si>
  <si>
    <t>“integrated into our Supplier Code of Conduct”; “AI and data protection must go hand in hand”; “defines clear standards for the processing of employee data in AI systems”</t>
  </si>
  <si>
    <t>“actively monitor legislative developments at EU and national level”; “the AIICARE Check supports employees”; “Is the AI approved for use within the DT?”</t>
  </si>
  <si>
    <t>VAL_03 / VAL_08 / VAL_15</t>
  </si>
  <si>
    <t>Die Formel „safe, transparent and ethical use“ nennt drei Werte zugleich, aber ohne je eigene Operationalisierung.</t>
  </si>
  <si>
    <t>A: nur VAL_15 positiv. B: VAL_03, VAL_08 und VAL_15 positiv. Gewählt: B, weil alle drei Werte explizit im KI-Satz genannt sind; BIND bei VAL_03/VAL_08 konservativ nur 1.</t>
  </si>
  <si>
    <t>VAL_07 / VAL_06 / GOV_02</t>
  </si>
  <si>
    <t>Die Prüfung von security and data protection aspects kann als bloßer Prozess oder auch als starke Wert-Operationalisierung gelesen werden.</t>
  </si>
  <si>
    <t>A: nur GOV_02 positiv. B: zusätzlich VAL_06 und VAL_07 mit hoher Bindigkeit positiv. Gewählt: B, weil Privacy und Security ausdrücklich Gegenstand des verpflichtenden Prüfprozesses sind.</t>
  </si>
  <si>
    <t>Unklar ist, ob eine einzelne EU-weite review bereits Score 3 rechtfertigt.</t>
  </si>
  <si>
    <t>A: GOV_04=2, weil Audit dokumentiert ist. B: GOV_04=3, weil Audit tatsächlich durchgeführt und mit Ergebnis berichtet wurde. Gewählt: B, da die Rubrik Score 3 implementierte und nachweisbare Auditpraxis gerade über berichtete Audits zulässt.</t>
  </si>
  <si>
    <t>Das Dokument nennt zahlreiche Trainings-/Awareness-Formate; unklar ist, ob dies Score 2 oder 3 ist.</t>
  </si>
  <si>
    <t>A: GOV_05=2, weil Programm beschrieben wird. B: GOV_05=3, weil seit 2018 ein umfassendes, konkretes und erkennbar implementiertes Angebot besteht. Gewählt: B, wegen Datierung, Breite und konkreter Formate.</t>
  </si>
  <si>
    <t>GOV_02 / VAL_14</t>
  </si>
  <si>
    <t>Die drei Core Actions des AI Pact können als Deutsche-Telekom-Maßnahmen oder als bloßer Hintergrund gelesen werden.</t>
  </si>
  <si>
    <t>A: als zusätzliche Hauptevidenz codieren. B: nicht als Primärevidenz verwenden. Gewählt: B, konservativ, da der Absatz als allgemeiner Background formuliert ist.</t>
  </si>
  <si>
    <t>Verweis auf verbotene AI-Systeme, die safety and rights jeopardize, könnte als Human-Rights-Wert codiert werden.</t>
  </si>
  <si>
    <t>A: VAL_18=1. B: VAL_18=0. Gewählt: B, da das Dokument Rechtekontext eher regulatorisch beschreibt und keinen eigenen menschenrechtlichen Unternehmenswert für KI operationalisiert.</t>
  </si>
  <si>
    <t>Keine explizite menschliche Review-, Override- oder HITL-Logik nachweisbar.</t>
  </si>
  <si>
    <t>Zuständigkeiten für Implementierung sind belegt, aber keine explizite Verantwortungszuweisung für einzelne AI-Systeme/-Outcomes.</t>
  </si>
  <si>
    <t>Transparenz wird explizit genannt, aber in diesem Dokument nicht weiter operationalisiert.</t>
  </si>
  <si>
    <t>S. 1, Abschnitt “Implementation of the EU AI Regulation”</t>
  </si>
  <si>
    <t>Datenschutz ist in einem verpflichtenden Assessment-Prozess verankert.</t>
  </si>
  <si>
    <t>Sicherheitsaspekte sind in einem verpflichtenden Prüfprozess für Technologien/Plattformen operationalisiert.</t>
  </si>
  <si>
    <t>Safe use wird ausdrücklich genannt; konkrete Safety-Mechanik bleibt im Dokument begrenzt.</t>
  </si>
  <si>
    <t>Kein Einspruchs-, Review- oder Redress-Mechanismus nachweisbar.</t>
  </si>
  <si>
    <t>Kein Green-AI-/Umweltanker in diesem Dokument.</t>
  </si>
  <si>
    <t>Innovation, Produktivität und Business-Nutzen werden genannt, aber kein hinreichend präziser Social-Benefit-Wertanker.</t>
  </si>
  <si>
    <t>S. 1, Einleitung; S. 2, zweiter Absatz</t>
  </si>
  <si>
    <t>AI-Act-Umsetzung, Audit und rechtlich konforme Technologieentwicklung belegen prozessnahe Bindigkeit.</t>
  </si>
  <si>
    <t>S. 1, Einleitung; S. 1, Assessment-Abschnitt; S. 2, zweiter Absatz</t>
  </si>
  <si>
    <t>Ethische KI-Nutzung ist explizit und über digitale Ethik-Assessments konkret operationalisiert.</t>
  </si>
  <si>
    <t>Risk-classification und assessment sind belegt, aber keine explizite Datenqualitäts-, Repräsentativitäts- oder Stewardship-Anforderung.</t>
  </si>
  <si>
    <t>Kein IP-/Confidentiality-Anker im KI-Kontext nachweisbar.</t>
  </si>
  <si>
    <t>Verweis auf verbotene AI-Systeme und Rechte ist vorhanden, aber kein eigener Menschenrechtswert als Unternehmensprinzip operationalisiert.</t>
  </si>
  <si>
    <t>Transparenz wird als Leitprinzip für KI benannt.</t>
  </si>
  <si>
    <t>“safe, transparent and ethical use”</t>
  </si>
  <si>
    <t>Im Prüfprozess werden Datenschutzaspekte systematisch untersucht.</t>
  </si>
  <si>
    <t>“security and data protection aspects are examined”</t>
  </si>
  <si>
    <t>Im Prüfprozess werden Sicherheitsaspekte systematisch untersucht.</t>
  </si>
  <si>
    <t>Deutsche Telekom bekennt sich ausdrücklich zu sicherer KI-Nutzung.</t>
  </si>
  <si>
    <t>“dutifully implement the EU AI Act”; “legally compliant technology development”</t>
  </si>
  <si>
    <t>Die Umsetzung des EU AI Act wird als Pflicht und Selbstverpflichtung formuliert.; zusätzlicher Compliance-Anker</t>
  </si>
  <si>
    <t>“safe, transparent and ethical use”; “included a specific digital ethics assessment for AI technologies”; “responsible and legally compliant technology development requires clear standards”</t>
  </si>
  <si>
    <t>Ethische KI-Nutzung wird ausdrücklich beansprucht.; Ethics-/Integrity- und Compliance-Rahmung; konkrete Ethik-Operationalisierung</t>
  </si>
  <si>
    <t>S. 1–2, Abschnitt “Implementation of the EU AI Regulation”</t>
  </si>
  <si>
    <t>S. 1–2, Abschnitt “Implementation …”; S. 2, erster Absatz</t>
  </si>
  <si>
    <t>EU-weite Prüfung aller AI-Anwendungen wurde tatsächlich durchgeführt und mit Ergebnis berichtet.</t>
  </si>
  <si>
    <t>S. 2, erster Absatz</t>
  </si>
  <si>
    <t>Umfassendes, seit 2018 bestehendes Trainings- und Awareness-Angebot mit konkreten Formaten ist implementiert und nachweisbar.</t>
  </si>
  <si>
    <t>Kein AI-spezifischer Eskalationsprozess oder Incident-Pfad nachweisbar.</t>
  </si>
  <si>
    <t>Audit-Ergebnis wird erwähnt, aber keine reguläre AI-Reporting-Struktur mit Turnus, Empfänger und KPI-Logik.</t>
  </si>
  <si>
    <t>Interdisziplinäres Expertenteam ist klar benannt</t>
  </si>
  <si>
    <t>nicht höher, da keine RACI-/Reporting-Architektur nachweisbar ist.</t>
  </si>
  <si>
    <t>Verbindlicher Prüfprozess mit Regeln zu Risk-classification, evaluation und assessment ist dokumentiert</t>
  </si>
  <si>
    <t>nicht höher ohne KPI-/Ergebnisnachweise pro Prozessschritt.</t>
  </si>
  <si>
    <t>Digital ethics assessment, effective control mechanisms und ICARE Check sind konkrete Kontrollinstrumente</t>
  </si>
  <si>
    <t>nicht höher ohne Nutzungsprotokolle/KPIs.</t>
  </si>
  <si>
    <t>“an interdisciplinary team of experts is responsible”</t>
  </si>
  <si>
    <t>“must go through a process”; “clear rules for the risk-classification, evaluation and assessment”</t>
  </si>
  <si>
    <t>“included a specific digital ethics assessment for AI technologies”; “ensuring effective control mechanisms"; “the ICARE Check supports employees”</t>
  </si>
  <si>
    <t>“EU-wide review of all AI applications for prohibited systems”; “This audit was successful”</t>
  </si>
  <si>
    <t>“AI literacy of employees is specifically promoted”; “Since 2018, a comprehensive and innovative range of training courses”; “gamification application on ‘Digital Ethics in Action’”; “an eLearning on the EU AI Act”; “Prompt-athons … and AI communities”</t>
  </si>
  <si>
    <t>S. 4 AI Guidelines; S. 5 AI Manifesto</t>
  </si>
  <si>
    <t>Menschliche Kontrolle/Override und menschliche Letztentscheidung explizit belegt; kein konkreter Lifecycle-Prozess, daher nicht 3</t>
  </si>
  <si>
    <t>S. 4 AI Guidelines; S. 6 ChatGPT Framework</t>
  </si>
  <si>
    <t>Verantwortung/Prüfverantwortung klar KI-bezogen; keine formale RACI-Logik im Text</t>
  </si>
  <si>
    <t>S. 4 AI Guidelines; S. 5 AI Manifesto; S. 6 ChatGPT Framework</t>
  </si>
  <si>
    <t>Disclosure von KI-Interaktion und Transparenzanforderung klar belegt</t>
  </si>
  <si>
    <t>S. 5 AI Manifesto</t>
  </si>
  <si>
    <t>Nur über „comprehensibility“ belastbar; keine explizite Erklärung von Output/Entscheidungslogik</t>
  </si>
  <si>
    <t>Nicht nachweisbar; geschützte Merkmale werden erwähnt, aber ohne Bias-/Non-discrimination-Frame</t>
  </si>
  <si>
    <t>KI-spezifischer Datenschutz plus konkrete Verarbeitungs-/Nutzungsleitplanken; höchste belegte Stufe über Leitfaden/Schutzmaßnahmen</t>
  </si>
  <si>
    <t>Nicht nachweisbar als Wert-/Normaussage zur Sicherheit von KI-Systemen oder KI-Daten; Cyber-Defense-Use-Case allein konservativ nicht codiert</t>
  </si>
  <si>
    <t>S. 3, Sepsis-Use-Case</t>
  </si>
  <si>
    <t>Expliziter Harm-Prevention-Bezug im KI-Kontext; jedoch deskriptischer Use-Case, keine deontische Regel</t>
  </si>
  <si>
    <t>S. 2, Sherloq</t>
  </si>
  <si>
    <t>Reliability explizit erwähnt, aber nur deskriptiv; keine normative Robustheitsanforderung</t>
  </si>
  <si>
    <t>Nicht nachweisbar; kein Einspruchs-/Beschwerde-/Redress-Mechanismus für KI-Entscheidungen</t>
  </si>
  <si>
    <t>Nicht nachweisbar; keine Accessibility-/Teilhabe-Norm im KI-Kontext</t>
  </si>
  <si>
    <t>Nicht nachweisbar; kein Umwelt-/Green-AI-Anker</t>
  </si>
  <si>
    <t>S. 3 Sepsis; S. 5 societal benefit heading; S. 6 ChatGPT Framework</t>
  </si>
  <si>
    <t>Gesellschafts-/Menschnutzen explizit, aber überwiegend als Ziel-/Nutzenbeschreibung, nicht als harte Regel</t>
  </si>
  <si>
    <t>Rechts-/Standardkonformität im KI-Kontext klar belegt; keine Inventar-/Assessment-/Dokupflicht sichtbar</t>
  </si>
  <si>
    <t>S. 5 AI Manifesto; S. 6 ChatGPT Framework</t>
  </si>
  <si>
    <t>Explizite KI-Nutzungsgrenzen und positive Zweckbindung vorhanden; keine weitergehende Prozessvorgabe</t>
  </si>
  <si>
    <t>Nicht nachweisbar; Datenverarbeitung wird genannt, aber keine Datenqualitäts-/Lineage-/Stewardship-Anforderung</t>
  </si>
  <si>
    <t>S. 6, ChatGPT Framework</t>
  </si>
  <si>
    <t>Nutzung nur mit offenen Inhalten; interne Daten explizit ausgeschlossen</t>
  </si>
  <si>
    <t>Nicht nachweisbar; keine explizite Human-Rights-/Dignity-/UNGP-Rahmung</t>
  </si>
  <si>
    <t>Das Manifest nennt Transparenz und Verständlichkeit als Ziel.</t>
  </si>
  <si>
    <t>“increasing transparency and comprehensibility.”</t>
  </si>
  <si>
    <t>KI wird mit explizitem Schadens-/Nutzenbezug im Gesundheitskontext beschrieben.</t>
  </si>
  <si>
    <t>“reduces the risk of blood poisoning (sepsis)”</t>
  </si>
  <si>
    <t>Die Zuverlässigkeit der KI wird explizit beschrieben.</t>
  </si>
  <si>
    <t>“The AI already reliably recognizes 80 percent of all customer requests”</t>
  </si>
  <si>
    <t>Bei ChatGPT-Nutzung sind nur offene Inhalte zulässig; interne/personenbezogene Daten sind ausgeschlossen.</t>
  </si>
  <si>
    <t>“neither internal nor personal data!”</t>
  </si>
  <si>
    <t>“we remain in control and are able to pause or shut down our AI systems”; “all decisions will continue to be made by humans and not by machines.</t>
  </si>
  <si>
    <t>Menschen behalten operative Kontrolle über KI-Systeme.; Starker Human-agency-Anker</t>
  </si>
  <si>
    <t>“it is clearly defined from the outset who is responsible”; “check every answer, to judge for themselves and to act transparently.</t>
  </si>
  <si>
    <t>Für KI-Systeme soll Verantwortung klar zugewiesen sein.; Konkreter menschlicher Prüfcheck; Accountability-/Transparency-Bezug</t>
  </si>
  <si>
    <t>Kunden sollen erkennen können, wann sie mit KI interagieren.; Unterstützt Transparenz; „comprehensibility“ als Explainability-Grenzfall</t>
  </si>
  <si>
    <t>“make it clear to our customers when they communicate with an AI system.”; “increasing transparency and comprehensibility.”;“check every answer, to judge for themselves and to act transparently.”</t>
  </si>
  <si>
    <t>“align AI-supported business models in compliance with data protection regulations.”; “the guide shows how data should be processed in principle”; “neither internal nor personal data!”</t>
  </si>
  <si>
    <t>KI-gestützte Geschäftsmodelle sollen datenschutzkonform ausgerichtet werden.; Konkreter Check-/Guidance-Mechanismus, über reine Absicht hinaus; Privacy- und Confidentiality-Anker</t>
  </si>
  <si>
    <t>“reduces the risk of blood poisoning (sepsis)”; “technology must serve people in a positive sense.”; “For the benefit of society”</t>
  </si>
  <si>
    <t>KI wird mit explizitem Schadens-/Nutzenbezug im Gesundheitskontext beschrieben.; Mensch-/Nutzenorientierung; ethischer Positivanker</t>
  </si>
  <si>
    <t>“align AI-supported business models in compliance with data protection regulations.”; “a standardised operational regulatory framework for such systems is to be developed.”</t>
  </si>
  <si>
    <t>KI-gestützte Geschäftsmodelle sollen datenschutzkonform ausgerichtet werden.; Governance-/Compliance-Prozessrahmen</t>
  </si>
  <si>
    <t>“AI systems must not be used to collect information about workers regarding their political opinions”; “technology must serve people in a positive sense.”</t>
  </si>
  <si>
    <t>Bestimmte KI-Nutzungen gegenüber Beschäftigten werden explizit verboten.; Technologie soll dem Menschen positiv dienen.</t>
  </si>
  <si>
    <t>S. 1 Einleitung; S. 4 AI Guidelines</t>
  </si>
  <si>
    <t>Nicht nachweisbar; keine Audit-/Assessment-Mechanik im Sinne der Rubrik</t>
  </si>
  <si>
    <t>Nicht nachweisbar; keine Trainings-/Awareness-Struktur mit Zielgruppe/Pflichtgrad</t>
  </si>
  <si>
    <t>Nicht nachweisbar; kein Eskalationsprozess, keine Stufenlogik</t>
  </si>
  <si>
    <t>Nicht nachweisbar; kein Reporting-Gegenstand, Empfänger oder Frequenz zu AI-Risiken/Kontrollen</t>
  </si>
  <si>
    <t>AI Competence Center mit Koordinationsaufgabe + klare Verantwortungszuweisung für AI systems/functions</t>
  </si>
  <si>
    <t>kein Reporting/Regeltermin, daher nicht 3</t>
  </si>
  <si>
    <t>Frühe Produkt-/Business-Idea-Guidance, standardisierter Rahmen und risikobasierter Beteiligungsprozess dokumentiert</t>
  </si>
  <si>
    <t>keine KPI-/Reviewnachweise</t>
  </si>
  <si>
    <t>Konkrete Checks/Guidance erkennbar: Datenverarbeitungsleitfaden und Pflicht zur Prüfung jeder Antwort</t>
  </si>
  <si>
    <t>keine protokollierten Ergebnisse/KPIs</t>
  </si>
  <si>
    <t>“The activities are coordinated by the AI Competence Center (AICC).”; “it is clearly defined from the outset who is responsible”</t>
  </si>
  <si>
    <t>“align AI-supported business models in compliance with data protection regulations.”; “a standardised operational regulatory framework for such systems is to be developed.”; “focus on risk-relevant systems and to agree on an adequate participation process”</t>
  </si>
  <si>
    <t>“the guide shows how data should be processed in principle”; “check every answer, to judge for themselves and to act transparently.”</t>
  </si>
  <si>
    <t>VAL_03 / VAL_04</t>
  </si>
  <si>
    <t>„increasing transparency and comprehensibility“ kann als reine Transparenz oder zusätzlich als Explainability gelesen werden.</t>
  </si>
  <si>
    <t>A: nur VAL_03; B: VAL_03 + VAL_04. Gewählt: B, aber VAL_04 nur mit BIND 1 und mittlerer Konfidenz, da „comprehensibility“ nach Codebook communicative explainability mittragen kann.</t>
  </si>
  <si>
    <t>VAL_15 / VAL_14 / VAL_18 / VAL_05</t>
  </si>
  <si>
    <t>Das Verbot, Informationen zu politischen Ansichten, Gewerkschaftszugehörigkeit oder sexueller Orientierung zu sammeln, könnte auch als Human-Rights-/Non-discrimination-/Compliance-Fall gelesen werden.</t>
  </si>
  <si>
    <t>A: VAL_15 + VAL_14 + VAL_18/VAL_05; B: primär VAL_15. Gewählt: B, da kein expliziter Human-Rights- oder Bias-/Non-discrimination-Frame vorliegt; Compliance-Herkunft ist erwähnt, aber die konkrete Passage formuliert primär eine KI-Nutzungsgrenze.</t>
  </si>
  <si>
    <t>VAL_08 / VAL_13</t>
  </si>
  <si>
    <t>Use-Case-Beschreibungen (Sepsis, wildfire detection) sind deskriptiv; fraglich ist, ob sie als Wertepräsenz zählen.</t>
  </si>
  <si>
    <t>A: nicht codieren, da keine Norm; B: Präsenz=1 mit niedriger BIND-Stufe. Gewählt: B, weil expliziter KI-Anker plus klarer Nutzen-/Harm-Prevention-Bezug vorliegt; konservativ nur BIND 1.</t>
  </si>
  <si>
    <t>Unklar ist, ob AICC + Verantwortungsformel nur Score 1 oder bereits Score 2 tragen.</t>
  </si>
  <si>
    <t>A: Score 1, weil nur Einheit/Ownership grob benannt; B: Score 2, weil Einheit plus Aufgabe (Koordination) und Verantwortungszuweisung erkennbar. Gewählt: B, aber nur mit mittlerer Konfidenz; kein Reporting/RACI, daher nicht 3.</t>
  </si>
  <si>
    <t>VAL_06 / VAL_17</t>
  </si>
  <si>
    <t>„neither internal nor personal data“ betrifft sowohl Datenschutz als auch Vertraulichkeit.</t>
  </si>
  <si>
    <t>A: nur VAL_06; B: VAL_06 + VAL_17. Gewählt: B, da zwei eigenständige normative Kerne textlich vorliegen: personenbezogene Daten und interne/nicht offene Inhalte.</t>
  </si>
  <si>
    <t>Reliability wird im Use-Case genannt, aber nicht als normative Governance-Anforderung.</t>
  </si>
  <si>
    <t>A: VAL_09 = 0; B: VAL_09 = 1, BIND 1. Gewählt: B, da „reliably recognizes 80 percent“ ein expliziter Reliability-Anker ist; konservativ nur deskriptische Bindigkeit.</t>
  </si>
  <si>
    <t>Menschliche Letztkontrolle, kill switch und reversibler Override-Mechanismus sind explizit operationalisiert</t>
  </si>
  <si>
    <t>Verantwortliche Personen müssen benannt, dokumentiert und transparent gemacht werden</t>
  </si>
  <si>
    <t>Disclosure von KI-Nutzung, Datenzwecken und rein KI-getroffenen Entscheidungen ist konkret gefordert</t>
  </si>
  <si>
    <t>Erklärbarkeit wird nicht nur benannt, sondern über XAI-/LIME-/SHAP-Ansätze konkretisiert</t>
  </si>
  <si>
    <t>Anti-Diskriminierungsnormen und konkrete Fairness-Mechaniken sind vorhanden</t>
  </si>
  <si>
    <t>Datenschutz ist mit Informationspflichten, Rechten und technischen Verfahren detailliert operationalisiert</t>
  </si>
  <si>
    <t>Sicherheit, Schutz vor Angriffen und Notfallmodus sind konkret adressiert</t>
  </si>
  <si>
    <t>Schadensvermeidung und Worst-Case-/Risikologik sind explizit verankert</t>
  </si>
  <si>
    <t>Robustheit, Testing, Qualitätsverbesserung und Monitoring sind konkret beschrieben</t>
  </si>
  <si>
    <t>Konservativ als vorhanden codiert, da Delegation an KI reversibel sein muss und ein Override-Modus dokumentiert werden soll</t>
  </si>
  <si>
    <t>Universal Design, Barrierefreiheit und Tests mit verschiedenen Nutzergruppen sind konkret gefordert</t>
  </si>
  <si>
    <t>Nachhaltigkeit/SDGs werden im KI-Ethik-Dokument normativ adressiert, aber ohne spezifische Umwelt-Checkmechanik</t>
  </si>
  <si>
    <t>Kundennutzen und gesellschaftliche Befähigung sind klar formuliert, aber weniger prozessual operationalisiert</t>
  </si>
  <si>
    <t>KI-spezifische Rechtskonformität ist mit PSA, Datennutzung und Compliance-Regeln konkret verknüpft</t>
  </si>
  <si>
    <t>Ethische Grenzen und Ausschluss illegitimer Nutzung sind klar normiert; Prozessvorgabe bleibt begrenzter als bei Compliance</t>
  </si>
  <si>
    <t>Geeignete Datengrundlage, Datenbereinigung sowie Modell-/Code-Dokumentation sind klar operationalisiert</t>
  </si>
  <si>
    <t>Vertraulichkeit von Code und Entwicklungsstand ist klar benannt, aber ohne weitergehende Prozessarchitektur</t>
  </si>
  <si>
    <t>Nicht hinreichend explizit als Menschenrechtsrahmen codierbar; Grundrechte erscheinen primär im Compliance-Kontext</t>
  </si>
  <si>
    <t>S. 41</t>
  </si>
  <si>
    <t>S. 47</t>
  </si>
  <si>
    <t>S. 10; S. 41</t>
  </si>
  <si>
    <t>S. 21</t>
  </si>
  <si>
    <t>S. 7-8</t>
  </si>
  <si>
    <t>S. 7; S. 32-33; S. 41</t>
  </si>
  <si>
    <t>S. 14; S. 18-19</t>
  </si>
  <si>
    <t>S. 19; S. 29-30</t>
  </si>
  <si>
    <t>S. 14; S. 35-36</t>
  </si>
  <si>
    <t>S. 4; p. 11; S. 14-16</t>
  </si>
  <si>
    <t>S. 21-24</t>
  </si>
  <si>
    <t>S. 22; S. 27-29</t>
  </si>
  <si>
    <t>S. 21-24; S. 32-38</t>
  </si>
  <si>
    <t>S. 13-14</t>
  </si>
  <si>
    <t>S. 13; S. 45-46</t>
  </si>
  <si>
    <t>S. 4; S. 11; S. 14-15</t>
  </si>
  <si>
    <t>S. 32-38; S. 46</t>
  </si>
  <si>
    <t>Vertraulichkeit, Sicherheitsmaßnahmen und Notfallmodus sind vorgesehen.</t>
  </si>
  <si>
    <t>“other information confidential”</t>
  </si>
  <si>
    <t>Menschliche Autonomie hat Vorrang; Delegation an KI muss reversibel sein; illegale/immoralische Ziele sind ausgeschlossen.</t>
  </si>
  <si>
    <t>“must be possible to reverse any delegation”</t>
  </si>
  <si>
    <t>Produkte sollen für alle Altersgruppen und Menschen mit Behinderungen nutzbar sein.</t>
  </si>
  <si>
    <t>“people of all ages and people with disabilities”</t>
  </si>
  <si>
    <t>Entwicklungen sollen Umwelt- und Nachhaltigkeitszielen Rechnung tragen.</t>
  </si>
  <si>
    <t>“align your developments with the Sustainable Development Goals”</t>
  </si>
  <si>
    <t>“The human always remains responsible.”; “stop or turn off our AI systems at any time”; “must be possible to reverse any delegation”</t>
  </si>
  <si>
    <t>Menschen tragen die Letztverantwortung für KI-Systeme.; Oversight + Daten-/Qualitätssteuerung; Oversight + contestability-naher Override-Mechanismus</t>
  </si>
  <si>
    <t>“Responsible persons must be documented.”; “The human always remains responsible.”; “the overall person responsible should be defined”</t>
  </si>
  <si>
    <t>Verantwortliche Personen sind vorab zu benennen und zu dokumentieren.; Expliziter Human-control-/Responsibility-Anker; Konkrete Rollen- und Dokumentationslogik</t>
  </si>
  <si>
    <t>“It is obligatory to provide information”; “must never be disguised as a human being”; “a decision taken solely by an AI system should be identified”</t>
  </si>
  <si>
    <t>Datenverarbeitungszwecke müssen klar und verständlich kommuniziert werden.; Identifizierbarkeit von KI; Grenzen, Zweck und reine KI-Entscheidungen sollen offengelegt und erklärt werden.</t>
  </si>
  <si>
    <t>“a decision taken solely by an AI system should be identified”; “clearly explain the decision-making process of AI systems”</t>
  </si>
  <si>
    <t>Grenzen, Zweck und reine KI-Entscheidungen sollen offengelegt und erklärt werden.; Explizite Explainability-Operationalisierung</t>
  </si>
  <si>
    <t>“shall make no difference in the operation of the system”; “Implementation of a mathematical definition of ‘fairness’”</t>
  </si>
  <si>
    <t>Geschützte Merkmale dürfen keinen Unterschied im Systembetrieb machen.; Konkrete Bias-/Fairness-Checks</t>
  </si>
  <si>
    <t>“all develops involved with AI should adhere to”; “Successful completion of the PSA process is mandatory.”; “It is obligatory to provide information”</t>
  </si>
  <si>
    <t>KI-Entwickelnde sollen verbindliche AI-/Privacy-Guidelines einhalten.; Der PSA-Prozess ist verpflichtend.; Datenverarbeitungszwecke müssen klar und verständlich kommuniziert werden.</t>
  </si>
  <si>
    <t>“other information confidential”; “it does not cause nor exacerbate damage”</t>
  </si>
  <si>
    <t>Vertraulichkeit, Sicherheitsmaßnahmen und Notfallmodus sind vorgesehen.; Safety-/Harm-Anker und Robustheit</t>
  </si>
  <si>
    <t>“it does not cause nor exacerbate damage”; “assessment of business impact is mandatory”</t>
  </si>
  <si>
    <t>KI darf keinen Schaden verursachen; Robustheit ist use-case-abhängig sicherzustellen.; Business-Impact-Bewertung ist obligatorisch; Risikomanagement über den Lifecycle wird empfohlen.</t>
  </si>
  <si>
    <t>“other information confidential”; “it does not cause nor exacerbate damage”; “stop or turn off our AI systems at any time”</t>
  </si>
  <si>
    <t>Vertraulichkeit, Sicherheitsmaßnahmen und Notfallmodus sind vorgesehen.; KI darf keinen Schaden verursachen; Robustheit ist use-case-abhängig sicherzustellen.; Kill switch, Datenbereinigung und geeignete Datengrundlage werden gefordert.</t>
  </si>
  <si>
    <t>“simplify customers‘ lives and support them”; “eLearning methods and training for colleagues”</t>
  </si>
  <si>
    <t>KI soll das Leben von Kund*innen konkret verbessern.; E-Learning, Trainings und KI-/Ethik-Bildung werden beschrieben.</t>
  </si>
  <si>
    <t>“ethical fundamental values are converted into clearly defined rules”; “must be possible to reverse any delegation”</t>
  </si>
  <si>
    <t>Ethische Grundwerte werden in konkrete Regeln überführt; Missbrauch ist ausgeschlossen.; Menschliche Autonomie hat Vorrang; Delegation an KI muss reversibel sein; illegale/immoralische Ziele sind ausgeschlossen.</t>
  </si>
  <si>
    <t>“stop or turn off our AI systems at any time”; “for every AI system or feature, it should be clearly documented”</t>
  </si>
  <si>
    <t>Kill switch, Datenbereinigung und geeignete Datengrundlage werden gefordert.; Konkrete Modell-/Dokumentationsgovernance</t>
  </si>
  <si>
    <t>S. 4; p. 11; S. 27-29</t>
  </si>
  <si>
    <t>S. 11; S. 16; S. 29-30; S. 35-36; S. 46</t>
  </si>
  <si>
    <t>S. 27-29</t>
  </si>
  <si>
    <t>S. 45-46</t>
  </si>
  <si>
    <t>S. 4; S. 29; S. 33</t>
  </si>
  <si>
    <t>S. 29; S. 33</t>
  </si>
  <si>
    <t>Rollen und Aufgaben sind konkret beschrieben</t>
  </si>
  <si>
    <t>kein Reporting-/Regeltermin-Nachweis</t>
  </si>
  <si>
    <t>Lifecycle-, PSA- und Risiko-Prozessschritte sind dokumentiert</t>
  </si>
  <si>
    <t>keine implementierten KPI-/Review-Nachweise</t>
  </si>
  <si>
    <t>Konkrete Assessments, Explainability-Methoden, Privacy-Techniken und Fairness-Checks sind beschrieben</t>
  </si>
  <si>
    <t>keine Betriebsergebnisse berichtet</t>
  </si>
  <si>
    <t>Assessments/Evaluierungen werden ausdrücklich verlangt</t>
  </si>
  <si>
    <t>Audit-Mechanik, Frequenz und Verantwortliche fehlen</t>
  </si>
  <si>
    <t>Trainings/E-Learning werden benannt</t>
  </si>
  <si>
    <t>kein Pflichtgrad und keine regelmäßige Programmstruktur nachweisbar</t>
  </si>
  <si>
    <t>Ansprechpartner und konkrete Melde-/Entscheidungsmechanik sind beschrieben</t>
  </si>
  <si>
    <t>keine Fristen oder formale Stufenarchitektur</t>
  </si>
  <si>
    <t>Ad-hoc-Weitergabe an Verantwortliche/Vorgesetzte ist vorgesehen</t>
  </si>
  <si>
    <t>kein formales Reporting-Schema mit Frequenz/KPIs</t>
  </si>
  <si>
    <t>“assessment of business impact is mandatory”</t>
  </si>
  <si>
    <t>“eLearning methods and training for colleagues”</t>
  </si>
  <si>
    <t>“must be reported to the person responsible”</t>
  </si>
  <si>
    <t>“can and should be contacted”; “must be reported to the person responsible”</t>
  </si>
  <si>
    <t>“Successful completion of the PSA process is mandatory.”; “Pseudonymization attempts to protect data”; “clearly explain the decision-making process of AI systems”</t>
  </si>
  <si>
    <t>“all develops involved with AI should adhere to”; “Successful completion of the PSA process is mandatory.”; “assessment of business impact is mandatory”</t>
  </si>
  <si>
    <t>“Responsible persons must be documented.”; “the overall person responsible should be defined”</t>
  </si>
  <si>
    <t>VAL_01 / VAL_10</t>
  </si>
  <si>
    <t>Der dokumentierte Override-/Reversal-Mechanismus kann als Human-Oversight oder zusätzlich als Contestability gelesen werden.</t>
  </si>
  <si>
    <t>A: nur VAL_01; B: VAL_01 + VAL_10. Gewählt: B, aber mit mittlerer Konfidenz, da ein explizites Überstimmen/Rückgängigmachen von KI-Entscheidungen beschrieben ist.</t>
  </si>
  <si>
    <t>Die Nachhaltigkeitspassage nennt keine „Green AI“-Mechanik, steht aber im expliziten KI-Professionsethik-Dokument.</t>
  </si>
  <si>
    <t>A: VAL_12 = 0 wegen zu allgemeiner Nachhaltigkeit; B: VAL_12 = 1 mit moderater Bindigkeit. Gewählt: B, da der KI-Anker durch Dokument- und Abschnittskontext noch erkennbar ist, aber konservativ nur BIND 2.</t>
  </si>
  <si>
    <t>GOV_03 / GOV_04</t>
  </si>
  <si>
    <t>Business-Impact-Assessment kann als konkreter Check oder als auditnahe Evaluationsaktivität gelesen werden.</t>
  </si>
  <si>
    <t>A: nur GOV_03; B: GOV_03 + GOV_04(1). Gewählt: B, da das Codebook für GOV_04 auch „assessment/evaluation als Aktivität“ zulässt, jedoch ohne Audit-Mechanik nur Score 1.</t>
  </si>
  <si>
    <t>GOV_06 / GOV_07</t>
  </si>
  <si>
    <t>Die Weitergabe an Verantwortliche/Vorgesetzte ist vorhanden, aber nur teilweise formalisiert.</t>
  </si>
  <si>
    <t>A: GOV_06 = 1 und GOV_07 = 0; B: GOV_06 = 2 und GOV_07 = 1. Gewählt: B, da Melde- und Einbeziehungslogik beschrieben ist; fehlende Frequenz/KPIs begrenzen GOV_07 auf 1.</t>
  </si>
  <si>
    <t>VAL_14 / VAL_15</t>
  </si>
  <si>
    <t>Regeln wie „no misuse“ können als Integritätsnorm oder als Compliance-Norm gelesen werden.</t>
  </si>
  <si>
    <t>A: primär VAL_14; B: VAL_14 + VAL_15. Gewählt: B, da neben Rechtskonformität auch ausdrücklich ethische Grundwerte in Regeln überführt werden.</t>
  </si>
  <si>
    <t>VAL_17 / VAL_07</t>
  </si>
  <si>
    <t>Vertraulichkeit von Code/Entwicklungsstand liegt zwischen Confidentiality und Security.</t>
  </si>
  <si>
    <t>A: nur VAL_07; B: VAL_07 + VAL_17. Gewählt: B, da der Text explizit auch nicht-öffentliche Informationen/Code als vertraulich adressiert.</t>
  </si>
  <si>
    <t>VAL_18 / VAL_14</t>
  </si>
  <si>
    <t>Verweise auf EU-Grundrechte erscheinen, aber primär als Rechts-/Regel-Compliance.</t>
  </si>
  <si>
    <t>A: VAL_18 = 1; B: VAL_18 = 0, nur VAL_14. Gewählt: B, da kein eigenständiger Human-Rights-Rahmen für KI entfaltet wird.</t>
  </si>
  <si>
    <t>Nicht nachweisbar</t>
  </si>
  <si>
    <t>Nicht nachweisbar im KI-Kontext</t>
  </si>
  <si>
    <t>Update: 16. März 26: doch kein KI-Bezug &amp; nun exkludiert</t>
  </si>
  <si>
    <t>„human-centered technology“ bzw. „human-centered AI“ könnte als Human Oversight gelesen werden.</t>
  </si>
  <si>
    <t>A: VAL_01 = 1; B: VAL_01 = 0. Gewählt: B, weil Codebook für VAL_01 reine human-centered-Rhetorik ohne Mechanik ausschließt.</t>
  </si>
  <si>
    <t>VAL_03 / VAL_06 / VAL_14</t>
  </si>
  <si>
    <t>AI Guidelines werden im Kontext von Transparenz, digitalen Rechten und Datenschutz genannt, aber ohne konkrete KI-Transparenz- oder Privacy-Regel.</t>
  </si>
  <si>
    <t>A: VAL_03 und/oder VAL_06 = 1; B: nur VAL_14 = 1. Gewählt: B, da der Dokumenttext belastbar nur einen Regulierungs-/Policy-Bezug zeigt, nicht aber eine explizite Offenlegungs- oder Datenschutzregel für KI.</t>
  </si>
  <si>
    <t>S. 104, Digital inclusion – Deep Dive</t>
  </si>
  <si>
    <t>„responsible use of AI“ wäre isoliert betrachtet zu vage.</t>
  </si>
  <si>
    <t>A: VAL_15 = 0 wegen Responsible-AI-Rhetorik; B: VAL_15 = 1. Gewählt: B, weil zusätzlich „high ethical requirements“ und die QA-Prüfung ethischer KI-Anforderungen genannt werden; damit liegt mehr als reine Rhetorik vor.</t>
  </si>
  <si>
    <t>Die QA-Erweiterung könnte als Prozess oder als konkreter Check codiert werden.</t>
  </si>
  <si>
    <t>A: GOV_02 = 2 und GOV_03 = 1; B: GOV_02 = 1 und GOV_03 = 2. Gewählt: B, da der Text einen klaren Checktyp („review“) und Prüfgegenstand nennt, aber keine breitere KI-Prozessarchitektur mit Rollen/Triggern ausführt.</t>
  </si>
  <si>
    <t>Der Smart-Health-Chat ist ein Use-Case; fraglich ist, ob deskriptischer Nutzen bereits als Wertpräsenz zählt.</t>
  </si>
  <si>
    <t>A: VAL_13 = 0, da nur Produktbeschreibung; B: VAL_13 = 1, BIND 1. Gewählt: B, weil der menschliche Nutzen ausdrücklich benannt ist („relieves the burden ... patients alike“), aber nur als deskriptischer Use-Case.</t>
  </si>
  <si>
    <t>Menschenrechtsbezug in AI Guidelines könnte als bloßer Verweis auf den Human Rights Code oder als eigenständiger Human-Rights-Frame gelesen werden.</t>
  </si>
  <si>
    <t>A: nur VAL_14 = 1; B: VAL_14 + VAL_18 = 1. Gewählt: B, weil Menschenrechte im KI-Kontext ausdrücklich genannt werden („respecting and promoting human rights“).</t>
  </si>
  <si>
    <t>Nur „human-centered technology/AI“ erkennbar; keine konkrete Oversight-/Override-Mechanik im Dokument</t>
  </si>
  <si>
    <t>S. 111, Digital values – Deep Dive</t>
  </si>
  <si>
    <t>Responsibility-Prinzip im KI-Kontext explizit, aber ohne Rollen-/Ownership-Mechanik</t>
  </si>
  <si>
    <t>AI Guidelines werden zwar im Kontext digital rights genannt, aber keine explizite KI-Offenlegungs-/Transparenzpflicht im Dokumenttext</t>
  </si>
  <si>
    <t>Datenschutz ist im Bericht stark präsent, aber nicht belastbar als konkrete KI-Datenschutzanforderung ausformuliert</t>
  </si>
  <si>
    <t>Keine explizite KI-Sicherheitsnorm im Dokument selbst</t>
  </si>
  <si>
    <t>Harm-/Risk-Rhetorik vorhanden, aber keine klare KI-Safety-Norm im codierbaren Sinn</t>
  </si>
  <si>
    <t>S. 4 Foreword; S. 69 Green AI principles</t>
  </si>
  <si>
    <t>Green-AI-Prinzipien mit konkreten ressourcenbezogenen Vorgaben sind ausdrücklich benannt</t>
  </si>
  <si>
    <t>S. 103, healthcare AI use case</t>
  </si>
  <si>
    <t>Konkreter Nutzen für Patient*innen und Personal, aber deskriptischer Use-Case statt normativer Regel</t>
  </si>
  <si>
    <t>S. 27 GSMA; S. 111 Digital values; S. 151 Human rights and supply chain</t>
  </si>
  <si>
    <t>KI wird explizit mit Rechtsgrundlagen, EU AI Act und Supplier-Bestätigung verknüpft</t>
  </si>
  <si>
    <t>S. 104 Digital inclusion; S. 142 Cybersecurity and data protection</t>
  </si>
  <si>
    <t>Nicht nur Responsible-AI-Rhetorik, sondern dokumentierter Review ethischer KI-Anforderungen</t>
  </si>
  <si>
    <t>S. 111 Digital values – Deep Dive</t>
  </si>
  <si>
    <t>Menschenrechte werden ausdrücklich als Referenzrahmen der AI Guidelines genannt</t>
  </si>
  <si>
    <t>Im KI-Kontext werden Menschenrechte und Verantwortung ausdrücklich genannt.</t>
  </si>
  <si>
    <t>“respecting and promoting human rights and taking responsibility”</t>
  </si>
  <si>
    <t>Ein KI-Use-Case im Gesundheitsbereich benennt konkreten menschlichen Nutzen.</t>
  </si>
  <si>
    <t>“relieves the burden on medical staff, nurses, administrative staff and patients alike”</t>
  </si>
  <si>
    <t>“principles for Green AI”; “resource- and energy-efficient development and use of AI”; “resource- and energy-efficient development and use of AI”</t>
  </si>
  <si>
    <t>Im Vorwort wird Green AI als eigener Prinzipienrahmen genannt.; Eindeutiger Umwelt-/Nachhaltigkeitsbezug im KI-Kontext; Konkretere Norm als bloße Absicht</t>
  </si>
  <si>
    <t>“refer to legal foundations as well as to our Code of Human Rights”; “AI Guidelines on Digital Ethics”; “Suppliers of solutions that incorporate artificial intelligence (AI) also confirm the requirements</t>
  </si>
  <si>
    <t>Die AI Guidelines verweisen auf Rechtsgrundlagen und Menschenrechtsrahmen.; KI-spezifischer Compliance-/Regulierungsanker; Konkrete Lieferketten-Einbindung von KI-Anforderungen</t>
  </si>
  <si>
    <t>“clear guidelines for the responsible use of AI”; “review of ethical AI requirements”; “guidelines for the ethical use of AI”</t>
  </si>
  <si>
    <t>Die AI Guidelines werden als klare Leitlinie für verantwortliche KI-Nutzung beschrieben.; Die zentrale Qualitätssicherung prüft ethische KI-Anforderungen; Der Bericht erwähnt ausdrücklich ethische Leitlinien für KI-Produkte und -Services.</t>
  </si>
  <si>
    <t>“principles for Green AI”; “respecting and promoting human rights and taking responsibility”</t>
  </si>
  <si>
    <t>Im Vorwort wird Green AI als eigener Prinzipienrahmen genannt.; Im KI-Kontext werden Menschenrechte und Verantwortung ausdrücklich genannt.</t>
  </si>
  <si>
    <t>Keine AI-spezifischen Rollen, Gremien oder Ownership-Strukturen im Dokument selbst beschrieben</t>
  </si>
  <si>
    <t>S. 104 Digital inclusion; S. 151 Human rights and supply chain</t>
  </si>
  <si>
    <t>Konkreter Checktyp dokumentiert: Review ethischer KI-Anforderungen im zentralen QA-Prozess</t>
  </si>
  <si>
    <t>Keine AI-spezifischen Audits/Assessments mit Audit-Charakter nachweisbar</t>
  </si>
  <si>
    <t>Keine AI-spezifischen Trainingsprogramme im Dokument belegt</t>
  </si>
  <si>
    <t>Keine AI-spezifischen Eskalationsmechaniken genannt</t>
  </si>
  <si>
    <t>Kein AI-spezifisches Reporting zu Risiken, Kontrollen oder Vorfällen beschrieben</t>
  </si>
  <si>
    <t>“review of ethical AI requirements”</t>
  </si>
  <si>
    <t>“clear guidelines for the responsible use of AI”; “anchored the essential contents of the AI guidelines in our ‘Supplier Code of Conduct’”; “Suppliers of solutions that incorporate artificial intelligence (AI) also confirm the requirements”</t>
  </si>
  <si>
    <t>Prozess-/Policy-Einbettung erkennbar (Supplier Code, supplier confirmation)</t>
  </si>
  <si>
    <t>keine ausdifferenzierte KI-Prozesslogik mit Triggern/Rollen</t>
  </si>
  <si>
    <t>Das Dokument spricht davon, Anforderungen „transparent“ zu machen; unklar ist, ob dies als KI-Transparenzwert zählt.</t>
  </si>
  <si>
    <t>A: VAL_03 = 1, weil Transparenz explizit genannt wird. B: VAL_03 = 0. Gewählt: B, da sich die Passage auf Transparenz der Anforderungen/Diskussion bezieht, nicht auf Offenlegung von KI-Systemen oder Entscheidungen.</t>
  </si>
  <si>
    <t>VAL_02 / GOV_04</t>
  </si>
  <si>
    <t>Das laufende „keep an eye“ könnte als Verantwortung oder als Monitoring/Audit gelesen werden.</t>
  </si>
  <si>
    <t>A: VAL_02 = 1 und GOV_04 = 1. B: VAL_02 = 1 und GOV_04 = 0. Gewählt: B, weil Verantwortung klar benannt ist, aber kein formaler Audit-/Kontrollmechanismus beschrieben wird.</t>
  </si>
  <si>
    <t>VAL_06 / GOV_02 / GOV_03</t>
  </si>
  <si>
    <t>Der PSA ist ein generischer Konzernprozess; unklar ist, ob seine Erwähnung hier stark genug KI-spezifisch ist.</t>
  </si>
  <si>
    <t>A: nur GOV_02 = 1, da PSA allgemein ist. B: VAL_06 = 1, GOV_02 = 2, GOV_03 = 2. Gewählt: B, weil das Dokument ausdrücklich neue AI-spezifische Privacy Requirements und einen AI-tailored question catalog nennt.</t>
  </si>
  <si>
    <t>Awareness und Sensibilisierung könnten als bloße Kommunikation oder als Schulungsaktivität gelten.</t>
  </si>
  <si>
    <t>A: GOV_05 = 0. B: GOV_05 = 1. Gewählt: B, da Bewusstseinsvermittlung und Sensibilisierung mehrfach explizit genannt werden; für Score 2 fehlen jedoch Struktur, Zielgruppenlogik und Trainingsformat.</t>
  </si>
  <si>
    <t>VAL_15 / VAL_14</t>
  </si>
  <si>
    <t>„work cleanly in every respect“ könnte als Ethical Use oder als bloßer Legalitätsappell gelesen werden.</t>
  </si>
  <si>
    <t>A: VAL_15 = 1 zusätzlich zu VAL_14. B: nur VAL_14 = 1. Gewählt: B, weil die Passage unmittelbar auf Legalität und Datenschutzfolgen gerahmt ist; eigenständige Ethik-/Integritätsregel bleibt zu implizit.</t>
  </si>
  <si>
    <t>S. 2, Absatz beginnend mit “This means...”</t>
  </si>
  <si>
    <t>“management and the responsible operational units”</t>
  </si>
  <si>
    <t>KI wird ausdrücklich im Nutzenrahmen für Kunden und Beschäftigte verortet.</t>
  </si>
  <si>
    <t>“for the benefit of our customers and employees”</t>
  </si>
  <si>
    <t>Nicht nachweisbar; Monitoring/Hinsehen ist vorhanden, aber keine explizite Human-override-/Kontrollmechanik</t>
  </si>
  <si>
    <t>S. 2, Absatz zu developers/operators and users</t>
  </si>
  <si>
    <t>Verantwortung von Entwicklern, Betreibern und Nutzern wird klar benannt, aber eher als Appell als als harte Regel</t>
  </si>
  <si>
    <t>Nicht nachweisbar als KI-Transparenz gegenüber Betroffenen/Nutzern; Transparenz der Anforderungen wurde konservativ nicht als VAL_03 codiert</t>
  </si>
  <si>
    <t>S. 1 Lead-Absatz; S. 2 PSA-Absätze</t>
  </si>
  <si>
    <t>KI-spezifische Privacy-Anforderungen und Fragekatalog im PSA sind konkret operationalisiert</t>
  </si>
  <si>
    <t>Nicht nachweisbar als eigenständiger KI-Sicherheitswert</t>
  </si>
  <si>
    <t>„data protection offender“ bleibt primär Privacy-/Compliance-Frame, nicht klar Safety im Codebook-Sinn</t>
  </si>
  <si>
    <t>S. 2, Schlussabsatz</t>
  </si>
  <si>
    <t>Nutzen für Kund*innen und Beschäftigte wird explizit genannt, aber nur als Ziel-/Nutzenbeschreibung</t>
  </si>
  <si>
    <t>S. 1 letzter Absatz; S. 2 Absatz zu requirements/standards</t>
  </si>
  <si>
    <t>KI wird ausdrücklich mit Legalität, GDPR-Basis und konzernweiten Standards verknüpft</t>
  </si>
  <si>
    <t>„work cleanly“ wurde konservativ nicht als eigenständiger Ethik-/Integritätswert codiert, da Privacy/Legality dominiert</t>
  </si>
  <si>
    <t>Daten werden als Grundlage von KI erwähnt, aber ohne spezifische Datenqualitäts- oder Governance-Regeln</t>
  </si>
  <si>
    <t>“constantly keep an eye on how artificial intelligence develops during operation”; “remind them of their personal responsibility”</t>
  </si>
  <si>
    <t>Entwickler und Betreiber sollen KI im Betrieb laufend im Blick behalten.; Accountability + Awareness</t>
  </si>
  <si>
    <t>“AI and data protection must go hand in hand”; “all new products and services have to undergo”; “catalog of questions specifically tailored to AI”</t>
  </si>
  <si>
    <t>KI und Datenschutz sollen von Beginn an gemeinsam gedacht werden.; Verbindlicher Prozess mit AI-Bezug im Kontext; Neue AI-Privacy-Anforderungen ergänzen den PSA um KI-spezifische Fragen.</t>
  </si>
  <si>
    <t>“technical feasibility on the one hand and legality”; “developed based on the GDPR”; “developed based on the GDPR”</t>
  </si>
  <si>
    <t>Erfolgreiche KI verlangt rechtliche Sauberkeit von Projektbeginn an.; Rechtsgrundlage explizit genannt; Rechtsgrundlage explizit genannt</t>
  </si>
  <si>
    <t>S. 2, Absätze zu privacy-by-strategy, PSA und standards</t>
  </si>
  <si>
    <t>S. 2, PSA-Absätze</t>
  </si>
  <si>
    <t>Laufendes „im Blick behalten“ reicht konservativ nicht für Audit-/Assessment-Score</t>
  </si>
  <si>
    <t>S. 2, Absätze zu awareness / users / Schlussabsatz</t>
  </si>
  <si>
    <t>Kein formaler Eskalationsweg; „contact us“ am Schluss wurde konservativ nicht als Eskalationsmechanik codiert</t>
  </si>
  <si>
    <t>Kein Reporting zu KI-Risiken, KPIs oder regelmäßigen Berichten nachweisbar</t>
  </si>
  <si>
    <t>Management und verantwortliche operative Einheiten werden benannt</t>
  </si>
  <si>
    <t>keine detaillierte Rollenarchitektur oder Zuständigkeitsmatrix</t>
  </si>
  <si>
    <t>Frühe strategische Einbindung, PSA-Durchlauf und einheitliche Standards sind dokumentiert</t>
  </si>
  <si>
    <t>keine Implementierungsnachweise/KPIs</t>
  </si>
  <si>
    <t>AI-spezifischer Fragenkatalog und klare Leitlinien sind als konkrete Prüf-/Steuerungsinstrumente beschrieben</t>
  </si>
  <si>
    <t>keine Ergebnis- oder Auditnachweise</t>
  </si>
  <si>
    <t>Awareness und Sensibilisierung werden benannt</t>
  </si>
  <si>
    <t xml:space="preserve"> keine formalisierte Schulungsstruktur oder Pflichttrainings</t>
  </si>
  <si>
    <t>“data protection should be strategically incorporated much earlier”; “all new products and services have to undergo”; “uniform standards apply within the Group”</t>
  </si>
  <si>
    <t>“catalog of questions specifically tailored to AI”; “uniform standards apply within the Group”</t>
  </si>
  <si>
    <t>“communicate data protection awareness”; “remind them of their personal responsibility”; “remind them of their personal responsibility”</t>
  </si>
  <si>
    <t>S. 2, Einleitung</t>
  </si>
  <si>
    <t>VAL_12 / VAL_13</t>
  </si>
  <si>
    <t>„AI benefits the company and the society in a positive and sustainable way“ kann sozial oder ökologisch gelesen werden.</t>
  </si>
  <si>
    <t>A: VAL_12 + VAL_13. B: nur VAL_13. Gewählt: B, weil für VAL_12 nach Codebook ein Umwelt-/Green-AI-Bezug nötig ist; der fehlt hier.</t>
  </si>
  <si>
    <t>S. 3, WHEN DEVELOPING OR PROCURING AI</t>
  </si>
  <si>
    <t>„equal access and diversity through inclusive design processes“ nennt Inklusion, aber keine Barrierefreiheit.</t>
  </si>
  <si>
    <t>A: VAL_11 = 0 wegen fehlender Accessibility. B: VAL_11 = 1. Gewählt: B, da das Codebook inklusives Design ausdrücklich einschließt; Konfidenz nur mittel.</t>
  </si>
  <si>
    <t>GOV_01 / VAL_02</t>
  </si>
  <si>
    <t>Accountability ist klar vorhanden, aber unklar ist, ob dies schon als Governance-Zuständigkeit zählt.</t>
  </si>
  <si>
    <t>A: GOV_01 = 1 wegen Ownership-Rhetorik. B: GOV_01 = 0 und nur VAL_02 = 1. Gewählt: B, da keine Rolle, Einheit oder RACI-Logik benannt wird.</t>
  </si>
  <si>
    <t>S. 4, WHEN DEVELOPING OR PROCURING AI</t>
  </si>
  <si>
    <t>VAL_10 / GOV_07</t>
  </si>
  <si>
    <t>„reporting and redress mechanisms should be available“ kann als Contestability, Reporting oder bloße Absicht gelesen werden.</t>
  </si>
  <si>
    <t>A: VAL_10 = 0 und GOV_07 = 0. B: VAL_10 = 1, GOV_07 = 1. Gewählt: B, da Redress und Reporting ausdrücklich genannt sind; mangels Struktur jeweils konservativ niedrig.</t>
  </si>
  <si>
    <t>S. 2, WHEN DEVELOPING OR PROCURING AI</t>
  </si>
  <si>
    <t>Menschenwürde wird ausdrücklich genannt, aber ohne Verweis auf UNGP/UDHR.</t>
  </si>
  <si>
    <t>A: VAL_18 = 0, da kein formaler Human-Rights-Frame. B: VAL_18 = 1. Gewählt: B, weil das Codebook „dignity“ ausdrücklich als zulässigen Human-Rights-Anker nennt.</t>
  </si>
  <si>
    <t>„Double-checking is sensible“ ist kein benanntes Tool, aber ein klarer Checktyp.</t>
  </si>
  <si>
    <t>A: GOV_03 = 1. B: GOV_03 = 2. Gewählt: B, da Checktyp, Prüfgegenstand und Anlass erkennbar sind; Toolname ist laut Codebook nicht zwingend.</t>
  </si>
  <si>
    <t>S. 2 HUMAN-CENTRIC APPROACH / GUIDELINE; S. 4 WHEN DEVELOPING OR PROCURING AI</t>
  </si>
  <si>
    <t>Mensch im Zentrum, human oversight und meaningful control sind explizit und prozessnah formuliert</t>
  </si>
  <si>
    <t>S. 4 GUIDELINE / WHEN DEVELOPING OR PROCURING AI</t>
  </si>
  <si>
    <t>Verantwortung für Einsatz, Resultate und Betrieb ist klar normiert; Rollenarchitektur fehlt</t>
  </si>
  <si>
    <t>S. 3 WHEN USING / DEVELOPING OR PROCURING AI; S. 5 WHEN DEVELOPING OR PROCURING AI</t>
  </si>
  <si>
    <t>Disclosure sowie Dokumentation von Daten/Prozessen sind konkret gefordert</t>
  </si>
  <si>
    <t>Verständlichkeit der KI-Entscheidungslogik für Betroffene wird explizit operationalisiert</t>
  </si>
  <si>
    <t>S. 3, FAIRNESS... / GUIDELINE</t>
  </si>
  <si>
    <t>Fairness, Bias-Vermeidung und kritische Ergebnisprüfung sind ausdrücklich geregelt</t>
  </si>
  <si>
    <t>S. 5, WHEN USING AI / WHEN DEVELOPING OR PROCURING AI</t>
  </si>
  <si>
    <t>Whitelisting, privacy by design, Nutzerkontrollen und rechtliche Basis sind konkrete Vorgaben</t>
  </si>
  <si>
    <t>S. 4, SECURITY, SAFETY AND RELIABILITY / WHEN USING AI</t>
  </si>
  <si>
    <t>Resilienz gegen Angriffe und Konsultation von IT/Cybersecurity sind klar benannt</t>
  </si>
  <si>
    <t>S. 2 GUIDELINE; S. 4 SECURITY, SAFETY AND RELIABILITY</t>
  </si>
  <si>
    <t>Schutzvorkehrungen und Reaktion auf schädliches Verhalten sind konkret adressiert</t>
  </si>
  <si>
    <t>S. 4, SECURITY, SAFETY AND RELIABILITY</t>
  </si>
  <si>
    <t>Reproduzierbarkeit, Verlässlichkeit und sicheres Reagieren auf unerwartete Bedingungen sind ausdrücklich gefordert</t>
  </si>
  <si>
    <t>Redress-Mechanismen werden ausdrücklich verlangt, aber ohne weitere Ausgestaltung</t>
  </si>
  <si>
    <t>Inklusive Designprozesse und Einbezug relevanter Stakeholder sind konkret genannt</t>
  </si>
  <si>
    <t>Nicht nachweisbar; „sustainable way“ bleibt zu allgemein und ohne Umwelt-/Green-AI-Bezug</t>
  </si>
  <si>
    <t>S. 5, SOCIAL AWARENESS</t>
  </si>
  <si>
    <t>Gesellschaftlicher Nutzen ist klar benannt, aber nur als Ziel-/Leitbildformulierung</t>
  </si>
  <si>
    <t>S. 2 Einleitung; S. 5 WHEN DEVELOPING OR PROCURING AI</t>
  </si>
  <si>
    <t>Verbindliche Compliance mit Policies/SOPs und privacy laws ist klar operationalisiert</t>
  </si>
  <si>
    <t>Ethische Nutzung ist ausdrücklich als bindendes Prinzip formuliert, aber weniger prozessual als andere Werte</t>
  </si>
  <si>
    <t>S. 3 GUIDELINE / WHEN DEVELOPING OR PROCURING AI</t>
  </si>
  <si>
    <t>Trainingsdatenqualität, Datensätze, Labeling und Algorithmendokumentation sind konkret adressiert</t>
  </si>
  <si>
    <t>S. 5, WHEN USING AI</t>
  </si>
  <si>
    <t>Vertraulichkeit ist mit klarer Prompt-/Whitelist-Regel konkret operationalisiert</t>
  </si>
  <si>
    <t>Menschenwürde und Verbot objektivierender Behandlung sind im KI-Kontext ausdrücklich formuliert</t>
  </si>
  <si>
    <t>Betroffene sollen die Entscheidungslogik von KI verstehen können.</t>
  </si>
  <si>
    <t>“can be understood by the people affected”</t>
  </si>
  <si>
    <t>Vertrauliche Informationen und personenbezogene Daten dürfen nicht in KI-Prompts eingespeist werden, außer bei Whitelisting.</t>
  </si>
  <si>
    <t>“unless the use of the specific system has been explicitly whitelisted”</t>
  </si>
  <si>
    <t>KI soll resilient, schadensmindernd, reproduzierbar und verlässlich sein.</t>
  </si>
  <si>
    <t>“resilient against adversarial attacks”</t>
  </si>
  <si>
    <t>Schutz-, Reporting- und Redress-Mechanismen sollen über den Lebenszyklus verfügbar sein.</t>
  </si>
  <si>
    <t>“reporting and redress mechanisms should be available”</t>
  </si>
  <si>
    <t>Inklusive Designprozesse mit Stakeholdern werden gefordert.</t>
  </si>
  <si>
    <t>“inclusive design processes involving relevant stakeholders”</t>
  </si>
  <si>
    <t>KI soll gesellschaftlichen Nutzen stiften; Awareness und Informiertheit werden betont.</t>
  </si>
  <si>
    <t>“promote its use for the benefit of our society”</t>
  </si>
  <si>
    <t>Das Dokument rahmt KI-Nutzung ausdrücklich als verantwortliche, ethische und sichere Praxis.</t>
  </si>
  <si>
    <t>“binding principles for the responsible, ethical and safe use”</t>
  </si>
  <si>
    <t>Bei Entwicklung/Beschaffung soll Menschenwürde geschützt werden.</t>
  </si>
  <si>
    <t>“People should never be treated as a mere object.”</t>
  </si>
  <si>
    <t>“Humans shall always be placed at the centre”; “sufficient safeguards and human oversight"; “humans maintain meaningful control”</t>
  </si>
  <si>
    <t>Menschen sollen im Zentrum der KI-Nutzung stehen; KI ist Hilfsmittel, nicht Ersatz.; Oversight plus prozessuale Einbettung; Menschen sollen sinnvolle Kontrolle über hochautonome KI behalten.</t>
  </si>
  <si>
    <t>Für Nutzung und Resultate von KI wird Verantwortung ausdrücklich übernommen.; Menschen sollen sinnvolle Kontrolle über hochautonome KI behalten.</t>
  </si>
  <si>
    <t>“We are accountable for the decision to use an AI system”; “humans maintain meaningful control”</t>
  </si>
  <si>
    <t>KI-Nutzung und KI-basierte Entscheidungen sollen offengelegt werden.; Konkrete Dokumentationsvorgabe; Konkrete Dokumentationsvorgabe</t>
  </si>
  <si>
    <t>“We disclose the use of AI as a source”; “We document data sets and processes”; Entwicklung/Beschaffung von KI muss privacy by design, Nutzerkontrollen und rechtliche Basis sicherstellen.</t>
  </si>
  <si>
    <t>“treat everyone fairly and avoid discrimination and exclusion”; “Double-checking is sensible”</t>
  </si>
  <si>
    <t>KI-Systeme sollen fair sein und Diskriminierung sowie Exklusion vermeiden.; Ergebnisse aus KI sollen kritisch geprüft werden; Bias/Halluzinationen werden als Risiko benannt.</t>
  </si>
  <si>
    <t>“unless the use of the specific system has been explicitly whitelisted”; “AI systems must comply with applicable privacy laws”</t>
  </si>
  <si>
    <t>Vertrauliche Informationen und personenbezogene Daten dürfen nicht in KI-Prompts eingespeist werden, außer bei Whitelisting.; Konkrete Privacy-/Compliance-Operationalisierung</t>
  </si>
  <si>
    <t>“resilient against adversarial attacks”; “consult with IT or cybersecurity team”</t>
  </si>
  <si>
    <t>KI soll resilient, schadensmindernd, reproduzierbar und verlässlich sein.; Ansprechpartner/Eskalationskontakt</t>
  </si>
  <si>
    <t>“sufficient safeguards and human oversight”; “resilient against adversarial attacks”</t>
  </si>
  <si>
    <t>Der Einsatzprozess soll Schutzvorkehrungen und menschliche Aufsicht enthalten.; Sicherheits-/Safety-/Reliability-Rahmen</t>
  </si>
  <si>
    <t>“have to be complied with when using, developing or interacting with AI”; “AI systems must comply with applicable privacy laws"</t>
  </si>
  <si>
    <t>Die AI Guidelines sind verbindlich neben Code of Conduct, SOPs und weiteren Policies einzuhalten.; Konkrete Privacy-/Compliance-Operationalisierung</t>
  </si>
  <si>
    <t>“Double-checking is sensible”; “We document data sets and processes”</t>
  </si>
  <si>
    <t>Ergebnisse aus KI sollen kritisch geprüft werden; Bias/Halluzinationen werden als Risiko benannt.; Datensätze, Datengewinnung, Labeling und Algorithmen sollen dokumentiert werden.</t>
  </si>
  <si>
    <t>S. 2 GUIDELINE; S. 3 / S. 5 WHEN DEVELOPING OR PROCURING AI</t>
  </si>
  <si>
    <t>S. 3 GUIDELINE / WHEN DEVELOPING OR PROCURING AI; S. 5 USING / DEVELOPING OR PROCURING AI</t>
  </si>
  <si>
    <t>Keine Audit-, Inspection- oder Evaluation-Mechanik nachweisbar</t>
  </si>
  <si>
    <t>S. 4, WHEN USING AI</t>
  </si>
  <si>
    <t>Accountability ist als Wert vorhanden</t>
  </si>
  <si>
    <t>keine AI-bezogenen Rollen, Einheiten oder Ownership-Strukturen werden benannt</t>
  </si>
  <si>
    <t>Phasenlogik „using“ vs. „developing/procuring“, safeguards, inklusive Designprozesse und privacy by design sind dokumentier</t>
  </si>
  <si>
    <t>keine Prozessbelege/KPIs</t>
  </si>
  <si>
    <t>Double-checking, Dokumentation, Whitelisting und Nutzer-/Zugriffskontrollen sind konkrete Checks/Mechanismen</t>
  </si>
  <si>
    <t>keine berichteten Betriebsergebnisse</t>
  </si>
  <si>
    <t>Awareness und Informiertheit werden ausdrücklich gefordert</t>
  </si>
  <si>
    <t>Zielgruppe, Pflichtgrad und Programmstruktur fehlen</t>
  </si>
  <si>
    <t>IT-/Cybersecurity-Team ist als Ansprechpartner genannt</t>
  </si>
  <si>
    <t>kein gestufter Eskalationsprozess</t>
  </si>
  <si>
    <t>Reporting-Mechanismen werden ausdrücklich verlangt</t>
  </si>
  <si>
    <t>kein Gegenstand, Empfänger oder Frequenz</t>
  </si>
  <si>
    <t>“consult with IT or cybersecurity team”</t>
  </si>
  <si>
    <t>“sufficient safeguards and human oversight”; “inclusive design processes involving relevant stakeholders”; “AI systems must comply with applicable privacy laws”</t>
  </si>
  <si>
    <t>“Double-checking is sensible”; “We document data sets and processes”; “unless the use of the specific system has been explicitly whitelisted”</t>
  </si>
  <si>
    <t>Kritische Prüfung von KI-Ergebnissen und menschliche Kontrolle in kritischen Kontexten sind ausdrücklich geregelt</t>
  </si>
  <si>
    <t>Verantwortlichkeiten über den KI-Lifecycle werden namentlich zugewiesen</t>
  </si>
  <si>
    <t>KI-generierte Inhalte müssen klar erkennbar sein; keine weitergehende Explainability-Logik</t>
  </si>
  <si>
    <t>Bias-Vermeidung, faire Ergebnisse und Verbot manipulativer bzw. diskriminierender Praktiken sind klar normiert</t>
  </si>
  <si>
    <t>KI wird explizit mit Datenschutzrecht und by-design-Prinzipien verknüpft</t>
  </si>
  <si>
    <t>Schutz von AI-supported applications und kontinuierliches Monitoring sind konkret beschrieben</t>
  </si>
  <si>
    <t>Safety-critical contexts werden ausdrücklich genannt; darüber hinaus keine eigene Safety-Operationalisierung</t>
  </si>
  <si>
    <t>Nicht hinreichend KI-spezifisch nachweisbar</t>
  </si>
  <si>
    <t>KI zur Überwindung von Sprachbarrieren stützt Inklusion, aber ohne weitergehende Operationalisierung</t>
  </si>
  <si>
    <t>Responsible AI wird ausdrücklich mit Energieeffizienzstandards für KI-Infrastrukturen verknüpft</t>
  </si>
  <si>
    <t>KI dient Mitarbeitenden durch Entlastung von Informationsüberlastung; eher Nutzenbeschreibung als formale Regel</t>
  </si>
  <si>
    <t>KI-Guardrails, geltende Gesetze und interne Regeln sind klar als bindender Rahmen formuliert</t>
  </si>
  <si>
    <t>Ethische Standards und explizit verbotene KI-Nutzungen sind deutlich benannt</t>
  </si>
  <si>
    <t>Robuste Data Governance wird genannt, aber der KI-Anker bleibt in der Passage indirekt</t>
  </si>
  <si>
    <t>Schutz vertraulicher Informationen ist klar benannt; KI-Bezug erfolgt über den Abschnitts- und Satzkontext</t>
  </si>
  <si>
    <t>Nicht explizit als Menschenrechtsrahmen ausformuliert</t>
  </si>
  <si>
    <t>S. 8, DIGITAL COMPETENCE; S. 9, DIGITAL PARTICIPATION</t>
  </si>
  <si>
    <t>S. 10, CUSTOMER-CENTRIC INNOVATION</t>
  </si>
  <si>
    <t>S. 11, FAIRNESS AND TRANSPARENCY</t>
  </si>
  <si>
    <t>S. 12, DATA PROTECTION...</t>
  </si>
  <si>
    <t>S. 9, DIGITAL PARTICIPATION</t>
  </si>
  <si>
    <t>S. 6, SUSTAINABILITY</t>
  </si>
  <si>
    <t>S. 7, ATTRACTIVE, DIGITAL WORKPLACE</t>
  </si>
  <si>
    <t>S. 5, GEA VALUES; S. 12, DATA PROTECTION...</t>
  </si>
  <si>
    <t>S. 5, GEA VALUES; S. 11, FAIRNESS AND TRANSPARENCY</t>
  </si>
  <si>
    <t>Verantwortlichkeiten für KI-Systeme werden namentlich zugewiesen.</t>
  </si>
  <si>
    <t>“assigned by name”</t>
  </si>
  <si>
    <t>KI-generierte Inhalte müssen klar gekennzeichnet werden.</t>
  </si>
  <si>
    <t>“clearly label AI-generated content”</t>
  </si>
  <si>
    <t>KI muss bias-arm, fair und nicht-manipulativ sein; bestimmte Nutzungen sind verboten.</t>
  </si>
  <si>
    <t>“strictly prohibited”</t>
  </si>
  <si>
    <t>KI-gestützte Anwendungen und vertrauliche Informationen sind zu schützen.</t>
  </si>
  <si>
    <t>“protect confidential information”</t>
  </si>
  <si>
    <t>Menschen sollen bei kritischen KI-Entscheidungen die Kontrolle behalten.</t>
  </si>
  <si>
    <t>“humans stay in control of critical decisions”</t>
  </si>
  <si>
    <t>KI soll Sprachbarrieren abbauen und Teilhabe fördern.</t>
  </si>
  <si>
    <t>“help to overcome language barriers”</t>
  </si>
  <si>
    <t>KI-Lösungen sollen Mitarbeitende entlasten und Information priorisieren.</t>
  </si>
  <si>
    <t>“protect our employees from information overload”</t>
  </si>
  <si>
    <t>“critically examining and evaluating its results”; “humans stay in control of critical decisions”</t>
  </si>
  <si>
    <t>Beschäftigte sollen KI-Ergebnisse kritisch prüfen.; Starker Oversight-Anker in kritischen Kontexten</t>
  </si>
  <si>
    <t>“in accordance with applicable data protection laws”; “security and data protection by design”</t>
  </si>
  <si>
    <t>Beim Umgang mit KI gelten Datenschutzrecht und interne Datenschutzregeln.; Prozess-/by-design-Logik</t>
  </si>
  <si>
    <t>“protect confidential information”; “continuously monitor our digital systems and AI technologies”</t>
  </si>
  <si>
    <t>KI-gestützte Anwendungen und vertrauliche Informationen sind zu schützen.; Konkreter Monitoring-/Check-Mechanismus</t>
  </si>
  <si>
    <t>“This applies in particular to the responsible use of AI.”; “follow high energy efficiency standards”</t>
  </si>
  <si>
    <t>Für KI gilt ein expliziter Nachhaltigkeitsbezug.; Konkrete Nachhaltigkeitsanforderung</t>
  </si>
  <si>
    <t>“We define clear guardrails for the use of AI systems”; “in accordance with applicable data protection laws</t>
  </si>
  <si>
    <t>“We define clear guardrails for the use of AI systems”; “strictly prohibited”</t>
  </si>
  <si>
    <t>GEA definiert klare Leitplanken für den Einsatz von KI.; KI muss bias-arm, fair und nicht-manipulativ sein; bestimmte Nutzungen sind verboten.</t>
  </si>
  <si>
    <t>GEA definiert klare Leitplanken für den Einsatz von KI.; Beim Umgang mit KI gelten Datenschutzrecht und interne Datenschutzregeln.</t>
  </si>
  <si>
    <t>Verantwortlichkeiten für Design, Development, Deployment, Monitoring und Review von AI systems sind dokumentiert</t>
  </si>
  <si>
    <t>Guardrails, human control in critical contexts und by-design-Prinzipien sind als Prozesslogik beschrieben</t>
  </si>
  <si>
    <t>Kritische Output-Prüfung, Kennzeichnung von AI content und kontinuierliches Monitoring sind konkrete Checks</t>
  </si>
  <si>
    <t>Keine Audit-, Review- oder Assurance-Mechanik mit Audit-Charakter nachweisbar</t>
  </si>
  <si>
    <t>Kein AI-spezifisches Reporting, keine Frequenzen, KPIs oder Berichtswege nachweisbar</t>
  </si>
  <si>
    <t>S. 5, GEA VALUES; S. 9, DIGITAL PARTICIPATION; S. 12, DATA PROTECTION...</t>
  </si>
  <si>
    <t>S. 8, DIGITAL COMPETENCE; S. 11, FAIRNESS AND TRANSPARENCY; S. 12, DATA PROTECTION...</t>
  </si>
  <si>
    <t>S. 8, DIGITAL COMPETENCE</t>
  </si>
  <si>
    <t>kein formalisierter Eskalationspfad</t>
  </si>
  <si>
    <t>Führungskräfte und technische Kontakte sind als Anlaufstellen genannt</t>
  </si>
  <si>
    <t>Trainings während der Arbeitszeit und Kostenübernahme sind dokumentiert</t>
  </si>
  <si>
    <t>“provides the necessary training during working hours”</t>
  </si>
  <si>
    <t>“specific technical contacts are available at any time”</t>
  </si>
  <si>
    <t>“We define clear guardrails for the use of AI systems”; “humans stay in control of critical decisions”; “security and data protection by design”</t>
  </si>
  <si>
    <t>“critically examining and evaluating its results”; “clearly label AI-generated content”; “clearly label AI-generated content”</t>
  </si>
  <si>
    <t>„robust data governance“ und „high data quality“ sind stark, aber der KI-Anker ist in der Passage nur indirekt.</t>
  </si>
  <si>
    <t>A: VAL_16 = 1 wegen Nähe zu AI-Satz im selben Abschnitt. B: VAL_16 = 0. Gewählt: B, da nach R1 der KI-Bezug in der konkreten Passage nicht stark genug explizit ist.</t>
  </si>
  <si>
    <t>Der Schutz vertraulicher Informationen ist explizit, aber nicht in einem isolierten KI-Satz formuliert.</t>
  </si>
  <si>
    <t>A: VAL_17 = 0, weil primär allgemeine InfoSec-Rhetorik. B: VAL_17 = 1. Gewählt: B, da derselbe Abschnitt explizit AI-supported applications adressiert und Confidentiality dort funktional eingebettet ist.</t>
  </si>
  <si>
    <t>„safety-critical contexts“ kann als Teil von Human Oversight oder zusätzlich als eigener Safety-Wert gelesen werden.</t>
  </si>
  <si>
    <t>A: nur VAL_01 = 1. B: VAL_01 + VAL_08 = 1. Gewählt: B, da Safety im Wortlaut ausdrücklich genannt wird; konservativ nur BIND 2.</t>
  </si>
  <si>
    <t>Accessibility/Equal opportunities sind stark, der explizite KI-Anker besteht aber vor allem über die Überwindung von Sprachbarrieren.</t>
  </si>
  <si>
    <t>A: VAL_11 = 0, weil Abschnitt überwiegend allgemein-digital ist. B: VAL_11 = 1. Gewählt: B, da der Text KI ausdrücklich als Mittel zur Stärkung digitaler Teilhabe nennt; konservativ nur BIND 1.</t>
  </si>
  <si>
    <t>Verbot manipulativer Nutzung, sozialer Bewertung und unautorisierter biometrischer Überwachung könnte menschenrechtlich gelesen werden.</t>
  </si>
  <si>
    <t>A: VAL_18 = 1. B: VAL_18 = 0 und primär VAL_05/VAL_15. Gewählt: B, da kein expliziter Human-Rights-Frame oder dignity-rights wording vorliegt.</t>
  </si>
  <si>
    <t>Führungskräfte und technische Kontakte sind ansprechbar, aber der Eskalationsweg ist nicht formalisiert.</t>
  </si>
  <si>
    <t>A: GOV_06 = 0. B: GOV_06 = 1. Gewählt: B, da konkrete Anlaufstellen genannt werden; für Score 2 fehlen Prozessstufen, Fristen oder definierte Trigger.</t>
  </si>
  <si>
    <t>Nicht nachweisbar im klaren KI-Kontext; die Passage zu automatisierter Entscheidungsunterstützung ist nicht explizit AI-bezogen</t>
  </si>
  <si>
    <t>„Responsible use“ wurde konservativ als VAL_15 und nicht als explizite Accountability-Struktur codiert</t>
  </si>
  <si>
    <t>S. 3, Abschnitt 2</t>
  </si>
  <si>
    <t>Transparenz wird im AI-Kontext ausdrücklich zugesichert; keine konkrete Offenlegungs- oder Erklärmechanik</t>
  </si>
  <si>
    <t>KI-Verarbeitung wird klar an Datenschutzkonformität und technische/organisatorische Maßnahmen gebunden</t>
  </si>
  <si>
    <t>Sicherheit wird im AI-Kontext ausdrücklich genannt, aber ohne konkrete Security-Architektur</t>
  </si>
  <si>
    <t>Informationshinweis bei möglicher Vollautomatisierung reicht konservativ nicht für Redress/Contestability</t>
  </si>
  <si>
    <t>Effizienz- und Qualitätssteigerung der Services wurde konservativ nicht als Social-Benefit-Wert codiert</t>
  </si>
  <si>
    <t>AI-Nutzung wird ausdrücklich mit Datenschutzregulierung verknüpft</t>
  </si>
  <si>
    <t>„Responsible use“ ist explizit benannt, aber ohne weitergehende Verbots- oder Prozesslogik</t>
  </si>
  <si>
    <t>Im KI-Kontext werden Transparenz und Sicherheit zugesichert.</t>
  </si>
  <si>
    <t>“We ensure transparency, security”</t>
  </si>
  <si>
    <t>KI-Nutzung wird ausdrücklich an Datenschutzkonformität gebunden.</t>
  </si>
  <si>
    <t>“strict compliance with data protection regulations”</t>
  </si>
  <si>
    <t>Das Dokument nennt verantwortliche KI-Nutzung ausdrücklich.</t>
  </si>
  <si>
    <t>“responsible use”</t>
  </si>
  <si>
    <t>“strict compliance with data protection regulations”; “appropriate technical and organisational measures”</t>
  </si>
  <si>
    <t>KI-Nutzung wird ausdrücklich an Datenschutzkonformität gebunden.; Privacy-Schutzmechanik, aber ohne Detailtiefe</t>
  </si>
  <si>
    <t>Keine AI-spezifischen Rollen, Gremien oder Ownership-Strukturen nachweisbar</t>
  </si>
  <si>
    <t>S. 3, Abschnitt 2; S. 6, Abschnitt 5</t>
  </si>
  <si>
    <t>Technische und organisatorische Maßnahmen werden erwähnt, aber kein konkreter AI-Check, kein Tool und keine Prüflogik beschrieben</t>
  </si>
  <si>
    <t>Datenschutzkontakt vorhanden, aber kein AI-spezifischer Eskalationsweg</t>
  </si>
  <si>
    <t>AI-Nutzung und organisatorische Einbindung werden benannt</t>
  </si>
  <si>
    <t>keine konkrete Prozessarchitektur, Trigger oder Rollenbeschreibung</t>
  </si>
  <si>
    <t>“analysis and structuring of unstructured data”; “AI service provider”; “data analysis and process automation solutions”</t>
  </si>
  <si>
    <t>VAL_14 / GOV_02</t>
  </si>
  <si>
    <t>Der Bullet „Use of advanced algorithms“ könnte als AI-spezifischer Governance-Hinweis gelesen werden.</t>
  </si>
  <si>
    <t>A: als AI-Evidenz für VAL_14/GOV_02 codieren. B: nicht codieren. Gewählt: B, da die Passage keinen expliziten AI-Anker enthält und nach R1 zu allgemein bleibt.</t>
  </si>
  <si>
    <t>VAL_01 / VAL_03 / VAL_10</t>
  </si>
  <si>
    <t>Die Passage zu „partially automated“ bzw. künftig „fully automate“ könnte als AI-/Oversight-/Transparency-Fall gelesen werden.</t>
  </si>
  <si>
    <t>A: VAL_01 oder VAL_03/VAL_10 codieren. B: nicht codieren. Gewählt: B für die Hauptcodierung, da in dieser Passage kein expliziter AI-Bezug genannt wird; sie bleibt nur Grenzfall.</t>
  </si>
  <si>
    <t>„appropriate technical and organisational measures“ könnte als konkreter Kontrollmechanismus gewertet werden.</t>
  </si>
  <si>
    <t>A: GOV_03 = 1. B: GOV_03 = 0. Gewählt: B, da keine konkrete Maßnahme, kein Tool und kein Prüfablauf benannt werden.</t>
  </si>
  <si>
    <t>GOV_02 / GOV_01</t>
  </si>
  <si>
    <t>Die Nennung von „AI service provider“ könnte organisatorische Zuständigkeiten oder nur Empfängerkategorien anzeigen.</t>
  </si>
  <si>
    <t>A: GOV_02 = 1, GOV_01 = 0. B: GOV_02 = 0, GOV_01 = 0. Gewählt: A, da zumindest eine prozessuale Einbindung externer AI-Dienstleister erkennbar ist; für Zuständigkeiten fehlt jede Rollenlogik.</t>
  </si>
  <si>
    <t>„improving the quality of our services“ könnte als Social Benefit / Human Well-being verstanden werden.</t>
  </si>
  <si>
    <t>A: VAL_13 = 1. B: VAL_13 = 0. Gewählt: B, da die Formulierung primär Effizienz-/Servicequalität und keinen klaren gesellschaftlichen oder menschlichen Wohlfahrtsbezug nach Codebook trägt.</t>
  </si>
  <si>
    <t>Der Kontakt zum Data Protection Officer könnte als Eskalationsweg gelesen werden.</t>
  </si>
  <si>
    <t>A: GOV_06 = 1. B: GOV_06 = 0. Gewählt: B, da zwar ein Datenschutzkontakt genannt wird, aber kein AI-spezifischer Eskalationspfad oder Trigger beschrieben ist.</t>
  </si>
  <si>
    <t>VAL_06 / VAL_07 / VAL_14</t>
  </si>
  <si>
    <t>Im Abschnitt stehen Datenschutz-, Security- und Legalitätsaussagen, aber diese sind vor dem expliziten AI-Satz allgemein-digital formuliert.</t>
  </si>
  <si>
    <t>A: als KI-bezogen mitcodieren, weil sie im selben Abschnitt stehen. B: nicht codieren ohne direkten KI-Anker. Gewählt: B, gemäß R1 KI-Anker-Regel.</t>
  </si>
  <si>
    <t>VAL_18 / VAL_10</t>
  </si>
  <si>
    <t>„rights of affected individuals“ kann als Human Rights oder als Contestability gelesen werden.</t>
  </si>
  <si>
    <t>A: VAL_18 oder VAL_10 = 1. B: beide = 0. Gewählt: B, weil kein konkreter Rights-/Redress-Mechanismus und kein expliziter Human-Rights-Frame erläutert werden.</t>
  </si>
  <si>
    <t>VAL_09 / VAL_16</t>
  </si>
  <si>
    <t>„accuracy“ könnte technische Zuverlässigkeit oder Datenqualitäts-/Governance-Anforderung bedeuten.</t>
  </si>
  <si>
    <t>A: VAL_09 = 1. B: VAL_16 = 1. Gewählt: A, da der Wortlaut eher auf technische Performance als auf Daten-Governance verweist.</t>
  </si>
  <si>
    <t>„clear oversight mechanisms“ könnte als Prozess oder als Check-/Kontrollmechanik verstanden werden.</t>
  </si>
  <si>
    <t>A: GOV_02 = 1. B: GOV_03 = 1. Gewählt: B, weil „mechanisms“ näher an Kontroll-/Checklogik als an einer beschriebenen Prozesskette liegt.</t>
  </si>
  <si>
    <t>„mitigate associated risks“ ist explizit, aber eher allgemein als konkret safety-bezogen.</t>
  </si>
  <si>
    <t>A: VAL_08 = 1. B: VAL_08 = 0. Gewählt: A, da Risikominderung im KI-Kontext ausdrücklich genannt wird; konservativ mit mittlerer Konfidenz.</t>
  </si>
  <si>
    <t>Speak-up-Kanäle und Compliance Lines sind klar beschrieben, aber nicht AI-spezifisch.</t>
  </si>
  <si>
    <t>A: GOV_06/GOV_07 &gt; 0 vergeben. B: nicht codieren. Gewählt: B, weil nach R1 kein KI-Anker vorliegt.</t>
  </si>
  <si>
    <t>„clear oversight mechanisms“ ist ein expliziter KI-bezogener Oversight-Anker; keine weiter konkretisierte Prozessvorgabe</t>
  </si>
  <si>
    <t>Accountability wird im KI-Satz ausdrücklich genannt</t>
  </si>
  <si>
    <t>Transparenz ist als fundamentales KI-Prinzip ausdrücklich benannt</t>
  </si>
  <si>
    <t>Nicht nachweisbar; Transparenz allein reicht konservativ nicht für Explainability</t>
  </si>
  <si>
    <t>Nicht nachweisbar im expliziten KI-Kontext</t>
  </si>
  <si>
    <t>Datenschutz-/Personal-Data-Passagen auf p. 18 sind allgemein-digital, aber nicht explizit KI-verankert</t>
  </si>
  <si>
    <t>Security-Passagen sind allgemein-digital; im KI-Satz selbst nicht ausdrücklich benannt</t>
  </si>
  <si>
    <t>Risikominderung ist explizit genannt; Safety-Bezug bleibt allgemein, daher konservativ</t>
  </si>
  <si>
    <t>„accuracy“ stützt einen technischen Qualitäts-/Reliabilitätsanker, aber ohne Operationalisierung</t>
  </si>
  <si>
    <t>„rights of affected individuals“ ist zu unspezifisch; kein Einspruchs-/Redress-Mechanismus belegt</t>
  </si>
  <si>
    <t>Relevante data-protection-Regeln werden im Abschnitt genannt, aber ohne klaren AI-Anker in derselben Passage</t>
  </si>
  <si>
    <t>KI wird ausdrücklich als verantwortungsträchtig beschrieben; eher Prinzipienrhetorik als harte Regel</t>
  </si>
  <si>
    <t>„accuracy“ wurde konservativ VAL_09 und nicht VAL_16 zugeordnet; keine Daten-Governance-Logik</t>
  </si>
  <si>
    <t>Confidentiality wird im Abschnitt allgemein erwähnt, aber nicht explizit KI-spezifisch</t>
  </si>
  <si>
    <t>„rights of affected individuals“ ist vorhanden, aber ohne klaren Human-Rights-Rahmen konservativ nicht codiert</t>
  </si>
  <si>
    <t>S. 18, DIGITAL SAFETY &amp; ETHICS</t>
  </si>
  <si>
    <t>KI soll mit klaren Aufsichtsmechanismen betrieben werden.</t>
  </si>
  <si>
    <t>“clear oversight mechanisms”</t>
  </si>
  <si>
    <t>Für KI wird Accountability ausdrücklich genannt.</t>
  </si>
  <si>
    <t>Für KI wird Transparenz als Grundprinzip verlangt.</t>
  </si>
  <si>
    <t>“must respect fundamental principles of transparency”</t>
  </si>
  <si>
    <t>Mit KI verbundene Risiken sollen gemindert werden.</t>
  </si>
  <si>
    <t>“mitigate associated risks”</t>
  </si>
  <si>
    <t>Genauigkeit wird als Grundprinzip für KI genannt.</t>
  </si>
  <si>
    <t>“accuracy”</t>
  </si>
  <si>
    <t>KI wird ausdrücklich als verantwortungsträchtiges Feld beschrieben.</t>
  </si>
  <si>
    <t>“with it also comes great responsibility”</t>
  </si>
  <si>
    <t>Keine AI-spezifischen Rollen, Einheiten oder Ownership-Strukturen nachweisbar</t>
  </si>
  <si>
    <t>Keine ausformulierte KI-Prozesslogik; nur allgemeine Prinzipienformulierung</t>
  </si>
  <si>
    <t>Oversight-Mechanismen werden benannt, aber weder Tool, Checkschritt noch Ablauf konkretisiert</t>
  </si>
  <si>
    <t>Speak-up-/Compliance-Kanäle sind nur allgemein im Code of Conduct genannt, nicht AI-spezifisch</t>
  </si>
  <si>
    <t>Allgemeine Meldestrukturen vorhanden, aber kein AI-spezifisches Reporting belegt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</si>
</sst>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8"/>
      <name val="Aptos Narrow"/>
      <family val="2"/>
      <scheme val="minor"/>
    </font>
    <font>
      <sz val="11"/>
      <color theme="1"/>
      <name val="Arial"/>
      <family val="2"/>
    </font>
    <font>
      <sz val="11"/>
      <color theme="1"/>
      <name val="Aptos"/>
      <family val="2"/>
    </font>
    <font>
      <sz val="11"/>
      <color theme="1"/>
      <name val="Segoe UI"/>
      <family val="2"/>
    </font>
    <font>
      <b/>
      <sz val="11"/>
      <color theme="1"/>
      <name val="Aptos Narrow"/>
      <family val="2"/>
      <scheme val="minor"/>
    </font>
  </fonts>
  <fills count="11">
    <fill>
      <patternFill patternType="none"/>
    </fill>
    <fill>
      <patternFill patternType="gray125"/>
    </fill>
    <fill>
      <patternFill patternType="solid">
        <fgColor theme="2"/>
        <bgColor indexed="64"/>
      </patternFill>
    </fill>
    <fill>
      <patternFill patternType="solid">
        <fgColor theme="3" tint="0.89999084444715716"/>
        <bgColor indexed="64"/>
      </patternFill>
    </fill>
    <fill>
      <patternFill patternType="gray0625">
        <bgColor theme="3" tint="0.89996032593768116"/>
      </patternFill>
    </fill>
    <fill>
      <patternFill patternType="solid">
        <fgColor theme="9" tint="0.79998168889431442"/>
        <bgColor indexed="64"/>
      </patternFill>
    </fill>
    <fill>
      <patternFill patternType="solid">
        <fgColor theme="5" tint="0.79998168889431442"/>
        <bgColor indexed="64"/>
      </patternFill>
    </fill>
    <fill>
      <patternFill patternType="solid">
        <fgColor rgb="FFFFFF00"/>
        <bgColor indexed="64"/>
      </patternFill>
    </fill>
    <fill>
      <patternFill patternType="solid">
        <fgColor theme="9"/>
        <bgColor indexed="64"/>
      </patternFill>
    </fill>
    <fill>
      <patternFill patternType="solid">
        <fgColor theme="5"/>
        <bgColor indexed="64"/>
      </patternFill>
    </fill>
    <fill>
      <patternFill patternType="solid">
        <fgColor theme="0" tint="-4.9989318521683403E-2"/>
        <bgColor indexed="64"/>
      </patternFill>
    </fill>
  </fills>
  <borders count="10">
    <border>
      <left/>
      <right/>
      <top/>
      <bottom/>
      <diagonal/>
    </border>
    <border>
      <left/>
      <right/>
      <top style="thin">
        <color theme="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54">
    <xf numFmtId="0" fontId="0" fillId="0" borderId="0" xfId="0"/>
    <xf numFmtId="0" fontId="0" fillId="2" borderId="0" xfId="0" applyFill="1"/>
    <xf numFmtId="0" fontId="0" fillId="3" borderId="0" xfId="0" applyFill="1"/>
    <xf numFmtId="0" fontId="0" fillId="4" borderId="0" xfId="0" applyFill="1"/>
    <xf numFmtId="0" fontId="0" fillId="5" borderId="0" xfId="0" applyFill="1"/>
    <xf numFmtId="0" fontId="0" fillId="0" borderId="1" xfId="0" applyBorder="1"/>
    <xf numFmtId="4" fontId="0" fillId="0" borderId="0" xfId="0" applyNumberFormat="1"/>
    <xf numFmtId="0" fontId="0" fillId="6" borderId="0" xfId="0" applyFill="1"/>
    <xf numFmtId="17" fontId="0" fillId="0" borderId="0" xfId="0" applyNumberFormat="1"/>
    <xf numFmtId="17" fontId="0" fillId="5" borderId="0" xfId="0" applyNumberFormat="1" applyFill="1"/>
    <xf numFmtId="14" fontId="0" fillId="5" borderId="0" xfId="0" applyNumberFormat="1" applyFill="1"/>
    <xf numFmtId="14" fontId="0" fillId="0" borderId="0" xfId="0" applyNumberFormat="1"/>
    <xf numFmtId="0" fontId="0" fillId="7" borderId="0" xfId="0" applyFill="1"/>
    <xf numFmtId="0" fontId="0" fillId="8" borderId="0" xfId="0" applyFill="1"/>
    <xf numFmtId="0" fontId="0" fillId="9" borderId="0" xfId="0" applyFill="1"/>
    <xf numFmtId="0" fontId="3" fillId="0" borderId="0" xfId="0" applyFont="1"/>
    <xf numFmtId="0" fontId="4" fillId="0" borderId="0" xfId="0" applyFont="1"/>
    <xf numFmtId="0" fontId="3" fillId="5" borderId="0" xfId="0" applyFont="1" applyFill="1"/>
    <xf numFmtId="0" fontId="0" fillId="3" borderId="2" xfId="0" applyFill="1" applyBorder="1"/>
    <xf numFmtId="0" fontId="0" fillId="3" borderId="3" xfId="0" applyFill="1" applyBorder="1"/>
    <xf numFmtId="0" fontId="0" fillId="4" borderId="3" xfId="0" applyFill="1" applyBorder="1"/>
    <xf numFmtId="0" fontId="0" fillId="2" borderId="3" xfId="0" applyFill="1" applyBorder="1"/>
    <xf numFmtId="0" fontId="0" fillId="0" borderId="3" xfId="0" applyBorder="1"/>
    <xf numFmtId="0" fontId="0" fillId="5" borderId="4" xfId="0" applyFill="1" applyBorder="1"/>
    <xf numFmtId="0" fontId="0" fillId="3" borderId="5" xfId="0" applyFill="1" applyBorder="1"/>
    <xf numFmtId="0" fontId="0" fillId="5" borderId="6" xfId="0" applyFill="1" applyBorder="1"/>
    <xf numFmtId="0" fontId="0" fillId="3" borderId="7" xfId="0" applyFill="1" applyBorder="1"/>
    <xf numFmtId="0" fontId="0" fillId="3" borderId="8" xfId="0" applyFill="1" applyBorder="1"/>
    <xf numFmtId="0" fontId="0" fillId="4" borderId="8" xfId="0" applyFill="1" applyBorder="1"/>
    <xf numFmtId="0" fontId="0" fillId="2" borderId="8" xfId="0" applyFill="1" applyBorder="1"/>
    <xf numFmtId="0" fontId="0" fillId="0" borderId="8" xfId="0" applyBorder="1"/>
    <xf numFmtId="0" fontId="0" fillId="5" borderId="9" xfId="0" applyFill="1" applyBorder="1"/>
    <xf numFmtId="0" fontId="0" fillId="0" borderId="4" xfId="0" applyBorder="1"/>
    <xf numFmtId="0" fontId="0" fillId="0" borderId="6" xfId="0" applyBorder="1"/>
    <xf numFmtId="0" fontId="0" fillId="0" borderId="9" xfId="0" applyBorder="1"/>
    <xf numFmtId="0" fontId="0" fillId="0" borderId="2" xfId="0" applyBorder="1"/>
    <xf numFmtId="0" fontId="0" fillId="0" borderId="5" xfId="0" applyBorder="1"/>
    <xf numFmtId="0" fontId="0" fillId="0" borderId="7" xfId="0" applyBorder="1"/>
    <xf numFmtId="0" fontId="5" fillId="0" borderId="0" xfId="0" applyFont="1"/>
    <xf numFmtId="0" fontId="0" fillId="10" borderId="0" xfId="0" applyFill="1"/>
    <xf numFmtId="0" fontId="0" fillId="10" borderId="2" xfId="0" applyFill="1" applyBorder="1"/>
    <xf numFmtId="0" fontId="0" fillId="10" borderId="3" xfId="0" applyFill="1" applyBorder="1"/>
    <xf numFmtId="0" fontId="0" fillId="10" borderId="4" xfId="0" applyFill="1" applyBorder="1"/>
    <xf numFmtId="0" fontId="0" fillId="10" borderId="5" xfId="0" applyFill="1" applyBorder="1"/>
    <xf numFmtId="0" fontId="0" fillId="10" borderId="6" xfId="0" applyFill="1" applyBorder="1"/>
    <xf numFmtId="0" fontId="0" fillId="10" borderId="7" xfId="0" applyFill="1" applyBorder="1"/>
    <xf numFmtId="0" fontId="0" fillId="10" borderId="8" xfId="0" applyFill="1" applyBorder="1"/>
    <xf numFmtId="0" fontId="0" fillId="10" borderId="9" xfId="0" applyFill="1" applyBorder="1"/>
    <xf numFmtId="0" fontId="0" fillId="5" borderId="3" xfId="0" applyFill="1" applyBorder="1"/>
    <xf numFmtId="0" fontId="0" fillId="5" borderId="8" xfId="0" applyFill="1" applyBorder="1"/>
    <xf numFmtId="0" fontId="0" fillId="3" borderId="0" xfId="0" applyFill="1" applyBorder="1"/>
    <xf numFmtId="0" fontId="0" fillId="4" borderId="0" xfId="0" applyFill="1" applyBorder="1"/>
    <xf numFmtId="0" fontId="0" fillId="0" borderId="0" xfId="0" applyBorder="1"/>
    <xf numFmtId="0" fontId="0" fillId="2" borderId="0" xfId="0" applyFill="1" applyBorder="1"/>
  </cellXfs>
  <cellStyles count="1">
    <cellStyle name="Standard" xfId="0" builtinId="0"/>
  </cellStyles>
  <dxfs count="40">
    <dxf>
      <fill>
        <patternFill patternType="solid">
          <fgColor rgb="FFDAF2D0"/>
          <bgColor rgb="FF000000"/>
        </patternFill>
      </fill>
    </dxf>
    <dxf>
      <fill>
        <patternFill patternType="solid">
          <fgColor indexed="64"/>
          <bgColor theme="3" tint="0.89999084444715716"/>
        </patternFill>
      </fill>
    </dxf>
    <dxf>
      <fill>
        <patternFill patternType="solid">
          <fgColor indexed="64"/>
          <bgColor theme="3" tint="0.89999084444715716"/>
        </patternFill>
      </fill>
    </dxf>
    <dxf>
      <numFmt numFmtId="0" formatCode="General"/>
      <fill>
        <patternFill patternType="solid">
          <fgColor indexed="64"/>
          <bgColor theme="9" tint="0.79998168889431442"/>
        </patternFill>
      </fill>
    </dxf>
    <dxf>
      <fill>
        <patternFill patternType="solid">
          <fgColor indexed="64"/>
          <bgColor theme="2"/>
        </patternFill>
      </fill>
    </dxf>
    <dxf>
      <fill>
        <patternFill patternType="solid">
          <fgColor indexed="64"/>
          <bgColor theme="2"/>
        </patternFill>
      </fill>
    </dxf>
    <dxf>
      <fill>
        <patternFill patternType="gray0625">
          <fgColor indexed="64"/>
          <bgColor theme="3" tint="0.899960325937681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numFmt numFmtId="0" formatCode="General"/>
      <fill>
        <patternFill patternType="solid">
          <fgColor indexed="64"/>
          <bgColor theme="9" tint="0.79998168889431442"/>
        </patternFill>
      </fill>
    </dxf>
    <dxf>
      <fill>
        <patternFill patternType="solid">
          <fgColor indexed="64"/>
          <bgColor theme="2"/>
        </patternFill>
      </fill>
    </dxf>
    <dxf>
      <fill>
        <patternFill patternType="solid">
          <fgColor indexed="64"/>
          <bgColor theme="2"/>
        </patternFill>
      </fill>
    </dxf>
    <dxf>
      <fill>
        <patternFill patternType="gray0625">
          <fgColor indexed="64"/>
          <bgColor theme="3" tint="0.899960325937681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fill>
        <patternFill>
          <fgColor indexed="64"/>
          <bgColor theme="9" tint="0.79998168889431442"/>
        </patternFill>
      </fill>
    </dxf>
    <dxf>
      <numFmt numFmtId="0" formatCode="General"/>
      <fill>
        <patternFill patternType="solid">
          <fgColor indexed="64"/>
          <bgColor theme="9" tint="0.79998168889431442"/>
        </patternFill>
      </fill>
    </dxf>
    <dxf>
      <numFmt numFmtId="0" formatCode="General"/>
      <fill>
        <patternFill patternType="solid">
          <fgColor indexed="64"/>
          <bgColor theme="9" tint="0.79998168889431442"/>
        </patternFill>
      </fill>
    </dxf>
    <dxf>
      <numFmt numFmtId="0" formatCode="General"/>
      <fill>
        <patternFill patternType="solid">
          <fgColor indexed="64"/>
          <bgColor theme="9" tint="0.79998168889431442"/>
        </patternFill>
      </fill>
    </dxf>
    <dxf>
      <fill>
        <patternFill patternType="solid">
          <fgColor indexed="64"/>
          <bgColor theme="2"/>
        </patternFill>
      </fill>
    </dxf>
    <dxf>
      <fill>
        <patternFill patternType="solid">
          <fgColor indexed="64"/>
          <bgColor theme="2"/>
        </patternFill>
      </fill>
    </dxf>
    <dxf>
      <fill>
        <patternFill patternType="gray0625">
          <fgColor indexed="64"/>
          <bgColor theme="3" tint="0.899960325937681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numFmt numFmtId="4" formatCode="#,##0.00"/>
    </dxf>
    <dxf>
      <font>
        <b val="0"/>
        <i val="0"/>
        <strike val="0"/>
        <condense val="0"/>
        <extend val="0"/>
        <outline val="0"/>
        <shadow val="0"/>
        <u val="none"/>
        <vertAlign val="baseline"/>
        <sz val="11"/>
        <color theme="1"/>
        <name val="Aptos Narrow"/>
        <family val="2"/>
        <scheme val="minor"/>
      </font>
      <border diagonalUp="0" diagonalDown="0">
        <left/>
        <right/>
        <top style="thin">
          <color theme="4"/>
        </top>
        <bottom/>
        <vertical/>
        <horizontal/>
      </border>
    </dxf>
    <dxf>
      <font>
        <b val="0"/>
        <i val="0"/>
        <strike val="0"/>
        <condense val="0"/>
        <extend val="0"/>
        <outline val="0"/>
        <shadow val="0"/>
        <u val="none"/>
        <vertAlign val="baseline"/>
        <sz val="11"/>
        <color rgb="FF202122"/>
        <name val="Arial"/>
        <family val="2"/>
        <scheme val="none"/>
      </font>
      <fill>
        <patternFill patternType="solid">
          <fgColor indexed="64"/>
          <bgColor rgb="FFF8F9FA"/>
        </patternFill>
      </fill>
      <alignment horizontal="general" vertical="center" textRotation="0" wrapText="1" indent="0" justifyLastLine="0" shrinkToFit="0" readingOrder="0"/>
      <border diagonalUp="0" diagonalDown="0" outline="0">
        <left/>
        <right style="medium">
          <color rgb="FFA2A9B1"/>
        </right>
        <top style="medium">
          <color rgb="FFA2A9B1"/>
        </top>
        <bottom style="medium">
          <color rgb="FFA2A9B1"/>
        </bottom>
      </border>
    </dxf>
    <dxf>
      <fill>
        <patternFill patternType="solid">
          <fgColor indexed="64"/>
          <bgColor them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05F7CB6-F92F-4876-92F1-18C4F9419872}" name="Tabelle2" displayName="Tabelle2" ref="A1:I41" totalsRowShown="0">
  <autoFilter ref="A1:I41" xr:uid="{905F7CB6-F92F-4876-92F1-18C4F9419872}"/>
  <sortState xmlns:xlrd2="http://schemas.microsoft.com/office/spreadsheetml/2017/richdata2" ref="A2:I41">
    <sortCondition ref="A1:A41"/>
  </sortState>
  <tableColumns count="9">
    <tableColumn id="1" xr3:uid="{F13703A1-9AD3-4A61-9D17-7267FEB917F7}" name="company_id"/>
    <tableColumn id="2" xr3:uid="{AE63EE6F-E741-40D6-BA35-90E2E306C996}" name="company_name_official"/>
    <tableColumn id="3" xr3:uid="{70DD3B3C-5891-451A-9F8A-39C550D68958}" name="brand_short"/>
    <tableColumn id="4" xr3:uid="{CD9E1FD4-9D85-4974-9C77-38AF61DF0079}" name="sector_cluster" dataDxfId="39"/>
    <tableColumn id="5" xr3:uid="{1B3C9A2D-DF88-4E06-B0EF-3525113D0681}" name="industry_detail" dataDxfId="38"/>
    <tableColumn id="6" xr3:uid="{967B7F66-7E83-4117-AF93-D44A5214E26B}" name="hq_country" dataDxfId="37"/>
    <tableColumn id="7" xr3:uid="{93FC8DC6-D939-4F19-8CD1-78BFAC7BF713}" name="dax_member_as_of_date"/>
    <tableColumn id="9" xr3:uid="{1AE89A45-B6BF-407A-BFE3-8B1D0FF7087C}" name="Marktkapitalisierung in Mio. € (Stand: 04.01.2026)" dataDxfId="36"/>
    <tableColumn id="8" xr3:uid="{C6FB5ECC-6866-44A0-944A-B0186B9868C8}" name="notes_sampling"/>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1268FB6-58B2-48BE-BA4C-58A56E8AD2A0}" name="Tabelle3" displayName="Tabelle3" ref="A1:O328" totalsRowShown="0">
  <autoFilter ref="A1:O328" xr:uid="{71268FB6-58B2-48BE-BA4C-58A56E8AD2A0}">
    <filterColumn colId="11">
      <colorFilter dxfId="0"/>
    </filterColumn>
  </autoFilter>
  <tableColumns count="15">
    <tableColumn id="1" xr3:uid="{7709EBB1-9160-4260-9962-34AFE64EBD42}" name="doc_id"/>
    <tableColumn id="2" xr3:uid="{3D167A6F-8F70-4AE0-B60C-5E99ED0E59DE}" name="company_id"/>
    <tableColumn id="3" xr3:uid="{CF63D659-45B5-4A5B-9D60-5DF55169654E}" name="doc_title"/>
    <tableColumn id="4" xr3:uid="{BE315387-A8E7-4AC6-B0E4-9331E3D7238D}" name="doc_type" dataDxfId="35"/>
    <tableColumn id="5" xr3:uid="{DFF57BFA-E5EE-45B5-A22E-F92199A52C35}" name="publisher"/>
    <tableColumn id="6" xr3:uid="{D919ADEF-DD4E-4853-A98F-9C9FA15F5AF2}" name="publication_date"/>
    <tableColumn id="7" xr3:uid="{105C54B4-A6F7-4E84-83A2-876962F796BD}" name="version"/>
    <tableColumn id="8" xr3:uid="{CE4D399E-8DED-4CBF-B4CC-CC5F4E57D376}" name="language" dataDxfId="34"/>
    <tableColumn id="9" xr3:uid="{BF8D90C3-6268-49B0-A825-24455A52EB45}" name="url"/>
    <tableColumn id="10" xr3:uid="{B75D7657-E985-46C5-9DE4-991A7B76E01B}" name="access_date"/>
    <tableColumn id="11" xr3:uid="{BEC38D1C-B91E-47D2-9FC8-BD142F3B6ED0}" name="file_name_local"/>
    <tableColumn id="12" xr3:uid="{B69DA6A0-8F42-4BBB-8975-BC40C2190B95}" name="inclusion_status"/>
    <tableColumn id="13" xr3:uid="{4450993E-0A8E-49AC-8432-B72C5D226B34}" name="exclusion_reason" dataDxfId="33"/>
    <tableColumn id="14" xr3:uid="{79CF5412-0617-46AD-89D2-35B9A81F31C8}" name="relevance_notes"/>
    <tableColumn id="15" xr3:uid="{159AE422-855E-440E-9244-2A67A397C72C}" name="Inkludiert in Pilot? "/>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B0A811C-5BC7-46E4-8405-0246B591DBD6}" name="Tabelle4" displayName="Tabelle4" ref="A1:H19" totalsRowShown="0">
  <autoFilter ref="A1:H19" xr:uid="{7B0A811C-5BC7-46E4-8405-0246B591DBD6}"/>
  <tableColumns count="8">
    <tableColumn id="1" xr3:uid="{4D7BB10F-3BF6-4441-BE78-1C08237BB8E4}" name="value_id"/>
    <tableColumn id="2" xr3:uid="{6A69BBE3-69ED-467D-A0FE-8ECDCC89D78E}" name="value_name"/>
    <tableColumn id="3" xr3:uid="{41EA2E61-E6E8-444B-BDD5-2CA1E9D05EAF}" name="definition_short"/>
    <tableColumn id="4" xr3:uid="{3F93D639-9849-40EA-A331-7B37547E2CBF}" name="include_rules"/>
    <tableColumn id="5" xr3:uid="{1F9BF2E9-ABED-4295-BE84-5CD158E0CEA2}" name="exclude_rules"/>
    <tableColumn id="6" xr3:uid="{A63B0504-C8A1-46F4-ADD6-E8CF3B3FEEB0}" name="synonyms_terms"/>
    <tableColumn id="7" xr3:uid="{FD91BA0D-1033-480B-B466-98174210B2E9}" name="example_phrases"/>
    <tableColumn id="8" xr3:uid="{89B3ACB5-7B0F-4360-BA60-87828FDF9890}" name="notes_boundary_cases"/>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03C6045-F9E6-494C-AF06-57E384745887}" name="Tabelle6" displayName="Tabelle6" ref="A1:H8" totalsRowShown="0">
  <autoFilter ref="A1:H8" xr:uid="{303C6045-F9E6-494C-AF06-57E384745887}"/>
  <tableColumns count="8">
    <tableColumn id="1" xr3:uid="{06995F0F-90CF-464C-87F6-C6F5237AB4A7}" name="gov_crit_id"/>
    <tableColumn id="2" xr3:uid="{9A634668-8CD7-494D-A2AF-D696C8BDEC53}" name="criterion_name"/>
    <tableColumn id="3" xr3:uid="{BE5DEDD2-249C-493D-B056-F33F9E3B5AF0}" name="score_0_definition"/>
    <tableColumn id="4" xr3:uid="{7D39CA96-5B23-4059-94AF-311B94477FDC}" name="score_1_definition"/>
    <tableColumn id="5" xr3:uid="{8FC90C61-9D2E-4BDE-ABF1-9CA7B8EA3915}" name="score_2_definition"/>
    <tableColumn id="6" xr3:uid="{214B385D-55EC-4AF5-A4C3-ED9DF08F4E6A}" name="score_3_definition"/>
    <tableColumn id="7" xr3:uid="{4DB346F4-8C80-455E-A1C3-54857CA1B633}" name="evidence_minimum"/>
    <tableColumn id="8" xr3:uid="{F07BC023-DB6B-4D9D-B74E-CBB986207895}" name="typical_evidence_terms"/>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94649AF-DA1E-48ED-8099-0B33A67C2B55}" name="Tabelle5" displayName="Tabelle5" ref="A1:K800" totalsRowShown="0">
  <autoFilter ref="A1:K800" xr:uid="{794649AF-DA1E-48ED-8099-0B33A67C2B55}"/>
  <tableColumns count="11">
    <tableColumn id="1" xr3:uid="{B25DAA88-1496-4A1D-9CDC-F3F7FC263E6B}" name="company_id" dataDxfId="32"/>
    <tableColumn id="2" xr3:uid="{C403EEEA-311E-4936-9681-331B844B0893}" name="doc_id" dataDxfId="31"/>
    <tableColumn id="3" xr3:uid="{06C75828-DC84-408A-817F-C1DB23B8E593}" name="value_id" dataDxfId="30"/>
    <tableColumn id="4" xr3:uid="{F51FA92F-A9DB-48FF-894C-B05D1F7CB091}" name="value_present" dataDxfId="29"/>
    <tableColumn id="5" xr3:uid="{EDEB478B-823A-4414-9B33-6C8500F4A064}" name="binding_level" dataDxfId="28"/>
    <tableColumn id="6" xr3:uid="{7FDF1259-AC6F-4C3D-9585-2B499639CFA0}" name="binding_justification"/>
    <tableColumn id="7" xr3:uid="{CABA95D1-768F-4D99-88A4-F78F55F5A980}" name="evidence_quote"/>
    <tableColumn id="8" xr3:uid="{E6723090-EB1F-4F50-AD38-7C248DC9EFF2}" name="evidence_location"/>
    <tableColumn id="9" xr3:uid="{EBE231B4-6A9B-4E51-A1A0-67FC8BDF7FBB}" name="coder_confidence" dataDxfId="27"/>
    <tableColumn id="10" xr3:uid="{852F73B7-B49E-466F-B2C5-1DD6216E5DEF}" name="notes"/>
    <tableColumn id="11" xr3:uid="{804E6649-063F-44AA-B9CC-713F2123053D}" name="value_points" dataDxfId="26">
      <calculatedColumnFormula>Tabelle5[[#This Row],[value_present]]*Tabelle5[[#This Row],[binding_level]]</calculatedColumnFormula>
    </tableColumn>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BF3CC75-2124-480E-A9D0-3C4C8CD282B3}" name="Tabelle7" displayName="Tabelle7" ref="A1:I550" totalsRowShown="0">
  <autoFilter ref="A1:I550" xr:uid="{5BF3CC75-2124-480E-A9D0-3C4C8CD282B3}"/>
  <tableColumns count="9">
    <tableColumn id="1" xr3:uid="{BF5C5559-EC90-409A-B29D-4F4C8531718E}" name="company_id"/>
    <tableColumn id="2" xr3:uid="{80A63A8B-8A78-4E29-BD7C-039B928A7C9C}" name="doc_id"/>
    <tableColumn id="3" xr3:uid="{FD002F1F-FDA9-4017-99E4-E4D7D3ACC4F6}" name="gov_id"/>
    <tableColumn id="4" xr3:uid="{0AE14E49-0279-4075-BA96-0A792C9B82DD}" name="score_0_3"/>
    <tableColumn id="5" xr3:uid="{743C646B-67CA-4EF5-BC0D-638DFD77C603}" name="evidence_quote"/>
    <tableColumn id="6" xr3:uid="{68E921FD-E152-4405-BCFC-92D451A3ED34}" name="evidence_location"/>
    <tableColumn id="7" xr3:uid="{8096C3A7-F132-4E19-9B62-F53669D1E8C6}" name="why_not_higher"/>
    <tableColumn id="8" xr3:uid="{5C3500B9-A904-4C39-A7E0-6D464083D68F}" name="coder_confidence"/>
    <tableColumn id="9" xr3:uid="{506FF6EE-0D40-41F0-B87F-B4FDD23DAA3C}" name="notes"/>
  </tableColumns>
  <tableStyleInfo name="TableStyleLight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DB870605-C630-4F9E-ABF7-1A621B539F80}" name="Tabelle19" displayName="Tabelle19" ref="A1:J300" totalsRowShown="0">
  <autoFilter ref="A1:J300" xr:uid="{DB870605-C630-4F9E-ABF7-1A621B539F80}"/>
  <tableColumns count="10">
    <tableColumn id="1" xr3:uid="{7C8BAC63-A423-4EBF-85AB-670D21DA1424}" name="case_id"/>
    <tableColumn id="2" xr3:uid="{E87CD229-E600-418A-977A-3A0092884A74}" name="date"/>
    <tableColumn id="3" xr3:uid="{8393344E-1864-49F5-B549-489C7AD77B81}" name="company_id"/>
    <tableColumn id="4" xr3:uid="{FB835817-0AD2-4CF3-8946-3BEB45A1726A}" name="doc_id"/>
    <tableColumn id="5" xr3:uid="{B8D8A9C9-2F2C-4579-A689-593BDF3BB5CF}" name="dimension(values/governance)"/>
    <tableColumn id="6" xr3:uid="{D1C2B9FC-804B-4A3D-9D5A-66FFDBDBBE6D}" name="value_id_or_gov_crit_id"/>
    <tableColumn id="7" xr3:uid="{8F4776D8-1172-4E8F-849A-214834AC614C}" name="problem_description"/>
    <tableColumn id="8" xr3:uid="{B507322A-F87B-4342-8FD0-D1F222F80BCB}" name="decision"/>
    <tableColumn id="9" xr3:uid="{A0701B6F-A70A-4C58-8060-CC0AC64D3B47}" name="rule_added_to_codebook"/>
    <tableColumn id="10" xr3:uid="{5A835F72-F43C-4348-9622-D76A878A2C0D}" name="codebook_version"/>
  </tableColumns>
  <tableStyleInfo name="TableStyleLight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B64A48CE-06EE-42F4-94A6-51ACE53C974F}" name="Tabelle18" displayName="Tabelle18" ref="A1:G721" totalsRowShown="0">
  <autoFilter ref="A1:G721" xr:uid="{B64A48CE-06EE-42F4-94A6-51ACE53C974F}"/>
  <tableColumns count="7">
    <tableColumn id="1" xr3:uid="{B9E96A4C-98BD-43A4-9C59-CDF8496C81CD}" name="company_id"/>
    <tableColumn id="2" xr3:uid="{B50BDFE2-33C2-4AED-8AD7-8F6F08203132}" name="value_id"/>
    <tableColumn id="3" xr3:uid="{59FB6D8C-27CA-4103-A128-7A0F91F5EBC1}" name="value_present_company" dataDxfId="25">
      <calculatedColumnFormula>IF(Tabelle18[[#This Row],[binding_level_company]]&gt;=1,1,0)</calculatedColumnFormula>
    </tableColumn>
    <tableColumn id="4" xr3:uid="{57C3D191-F2E8-43DB-A883-B6EFD2FD0A34}" name="binding_level_company" dataDxfId="24">
      <calculatedColumnFormula>_xlfn.MAXIFS(Tabelle5[[#This Row],[binding_level]], Tabelle5[[#This Row],[company_id]],Tabelle18[[#This Row],[company_id]], Tabelle5[[#This Row],[value_id]], Tabelle18[[#This Row],[value_id]], Tabelle5[[#This Row],[value_present]],"1")</calculatedColumnFormula>
    </tableColumn>
    <tableColumn id="5" xr3:uid="{743B3508-7961-47CD-A4AB-390D694EF848}" name="value_points_company" dataDxfId="23">
      <calculatedColumnFormula>_xlfn.MAXIFS(Tabelle5[[#This Row],[value_points]], Tabelle5[[#This Row],[company_id]],Tabelle18[[#This Row],[company_id]], Tabelle5[[#This Row],[value_id]], Tabelle18[[#This Row],[value_id]], Tabelle5[[#This Row],[value_present]],"1")</calculatedColumnFormula>
    </tableColumn>
    <tableColumn id="6" xr3:uid="{34CBCA3B-E547-4918-AF42-CB723ABE3471}" name="doc_id_strongest"/>
    <tableColumn id="7" xr3:uid="{50811FE7-8B45-4ED5-9EE3-35F93B4A1C44}" name="evidence_location_strongest"/>
  </tableColumns>
  <tableStyleInfo name="TableStyleLight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E1461DAA-EB9C-4DAC-A291-63F86E726CE2}" name="Tabelle728" displayName="Tabelle728" ref="A1:F281" totalsRowShown="0">
  <autoFilter ref="A1:F281" xr:uid="{5BF3CC75-2124-480E-A9D0-3C4C8CD282B3}"/>
  <tableColumns count="6">
    <tableColumn id="1" xr3:uid="{84635E92-62CA-411C-A759-799039D3A662}" name="company_id"/>
    <tableColumn id="2" xr3:uid="{E59C8DC0-5747-4272-B0BB-E2DF629DF822}" name="gov_crit_id"/>
    <tableColumn id="3" xr3:uid="{E0FAAC11-A54F-432E-A9F0-E764DEC324B2}" name="doc_id_primary_evidence"/>
    <tableColumn id="4" xr3:uid="{0C7ED326-FAB0-431F-8875-6C92C5249661}" name="score_0_3"/>
    <tableColumn id="5" xr3:uid="{66962E15-31F9-43EB-BAAE-38FEA4A1F93F}" name="evidence_quote"/>
    <tableColumn id="6" xr3:uid="{FBA737C0-187C-4155-9768-1DD21D5C7BB2}" name="evidence_location"/>
  </tableColumns>
  <tableStyleInfo name="TableStyleLight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300F797-EBDF-41AA-A94D-BD5CEF308E47}" name="Tabelle8" displayName="Tabelle8" ref="A1:G41" totalsRowShown="0">
  <autoFilter ref="A1:G41" xr:uid="{C300F797-EBDF-41AA-A94D-BD5CEF308E47}"/>
  <tableColumns count="7">
    <tableColumn id="1" xr3:uid="{A87505CC-BAEB-4999-83AD-57465CB9AF11}" name="company_id"/>
    <tableColumn id="2" xr3:uid="{507B5BA7-8172-4BFA-9DC8-176E5DF5B744}" name="sector_cluster" dataDxfId="22">
      <calculatedColumnFormula>_xlfn.XLOOKUP(Tabelle8[[#This Row],[company_id]],'00_DAX_Master'!A:A,'00_DAX_Master'!D:D)</calculatedColumnFormula>
    </tableColumn>
    <tableColumn id="3" xr3:uid="{00B38A82-5FE2-4A9D-BD2C-75C7C716FA37}" name="values_raw_points" dataDxfId="21">
      <calculatedColumnFormula>SUMIF('03b_Values_Company_Level'!E:E,'03b_Values_Company_Level'!A:A,Tabelle8[[#This Row],[company_id]])</calculatedColumnFormula>
    </tableColumn>
    <tableColumn id="4" xr3:uid="{07D74540-FCE8-45CD-81E0-9EBDC51759F0}" name="values_max_points" dataDxfId="20">
      <calculatedColumnFormula>(COUNTA('02_Values_Codebook'!A:A)-1)*3</calculatedColumnFormula>
    </tableColumn>
    <tableColumn id="5" xr3:uid="{5D9B4697-9784-4EF7-9C63-C3CE63563C3C}" name="convergence_index_0_1" dataDxfId="19">
      <calculatedColumnFormula>Tabelle8[[#This Row],[values_raw_points]]/Tabelle8[[#This Row],[values_max_points]]</calculatedColumnFormula>
    </tableColumn>
    <tableColumn id="6" xr3:uid="{606FD58E-B2AB-401F-B1F0-BA796F03FD52}" name="gov_points_sum" dataDxfId="18">
      <calculatedColumnFormula>SUMIF(Tabelle7[[#This Row],[score_0_3]],Tabelle7[[#This Row],[company_id]],Tabelle8[[#This Row],[company_id]])</calculatedColumnFormula>
    </tableColumn>
    <tableColumn id="7" xr3:uid="{F0AC04B4-A92E-4E8F-9B76-9B19CD8BC4DA}" name="gov_index_0_100" dataDxfId="17">
      <calculatedColumnFormula xml:space="preserve"> (Tabelle8[[#This Row],[gov_points_sum]]/21)*100</calculatedColumnFormula>
    </tableColumn>
  </tableColumns>
  <tableStyleInfo name="TableStyleLight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577634FD-84B3-471C-9CB5-84D399B709AF}" name="Tabelle20" displayName="Tabelle20" ref="A1:G30" totalsRowShown="0">
  <autoFilter ref="A1:G30" xr:uid="{577634FD-84B3-471C-9CB5-84D399B709AF}"/>
  <tableColumns count="7">
    <tableColumn id="1" xr3:uid="{FB2C78EA-E7D9-49EB-92E6-05FF7F48117D}" name="codebook_version"/>
    <tableColumn id="2" xr3:uid="{AB1578BF-373C-4703-A977-CE8BF06A7DFB}" name="date"/>
    <tableColumn id="3" xr3:uid="{97FF56D2-CEDE-4E78-8A33-7645F273F78D}" name="change_type(add/modify/remove)"/>
    <tableColumn id="4" xr3:uid="{ABD716F3-11BD-4F91-92F9-78BD91F09541}" name="item_id(value_id/gov_crit_id)"/>
    <tableColumn id="5" xr3:uid="{0A74C992-658C-423A-987F-B30958DD3C13}" name="what_changed"/>
    <tableColumn id="6" xr3:uid="{B686907A-7861-4F0C-BCF0-59162A50B687}" name="why_changed"/>
    <tableColumn id="7" xr3:uid="{F6679470-05AD-460D-9AF2-61DDF4DE14D4}" name="impact_on_previous_coding(recode_needed yes/no)"/>
  </tableColumns>
  <tableStyleInfo name="TableStyleLight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77CA7051-1183-4466-BE01-54A6931D8D9E}" name="Tabelle21" displayName="Tabelle21" ref="A1:E41" totalsRowShown="0">
  <autoFilter ref="A1:E41" xr:uid="{77CA7051-1183-4466-BE01-54A6931D8D9E}"/>
  <tableColumns count="5">
    <tableColumn id="1" xr3:uid="{D8A5DB88-0B1A-4FF5-A074-122BC6B37A42}" name="company_id"/>
    <tableColumn id="2" xr3:uid="{8B29CFA1-2B19-45F5-BA51-5F4F71BC46DC}" name="overall_notes"/>
    <tableColumn id="3" xr3:uid="{8EA9E8BF-0F77-4E41-94A6-552A7F35FB7C}" name="key_documents_used"/>
    <tableColumn id="4" xr3:uid="{8BB562BD-CE16-46F2-85DF-3CFE4A0B3297}" name="areas_of_uncertainty"/>
    <tableColumn id="5" xr3:uid="{D51E101B-62C1-4BBF-BEEC-4950D45C4E87}" name="follow_up_needed"/>
  </tableColumns>
  <tableStyleInfo name="TableStyleLight9"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BBD6ADE-5CDE-469D-A5F8-F4F7B51A2264}" name="Tabelle9" displayName="Tabelle9" ref="A1:A9" totalsRowShown="0">
  <autoFilter ref="A1:A9" xr:uid="{9BBD6ADE-5CDE-469D-A5F8-F4F7B51A2264}"/>
  <tableColumns count="1">
    <tableColumn id="1" xr3:uid="{358E3F9F-8340-4455-960D-1A6B1A199A94}" name="Sektoren"/>
  </tableColumns>
  <tableStyleInfo name="TableStyleLight8"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AF11BA6-DC82-4C08-AB40-6D3293BC9504}" name="Tabelle10" displayName="Tabelle10" ref="C1:C11" totalsRowShown="0">
  <autoFilter ref="C1:C11" xr:uid="{7AF11BA6-DC82-4C08-AB40-6D3293BC9504}"/>
  <tableColumns count="1">
    <tableColumn id="1" xr3:uid="{28A7C821-4137-4DD4-A6BF-7F27BF5C2B1D}" name="Dokumententyp"/>
  </tableColumns>
  <tableStyleInfo name="TableStyleLight8"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A07CFA5-DDFC-4557-8D4B-5432F6C185D4}" name="Tabelle11" displayName="Tabelle11" ref="E1:E5" totalsRowShown="0">
  <autoFilter ref="E1:E5" xr:uid="{5A07CFA5-DDFC-4557-8D4B-5432F6C185D4}"/>
  <tableColumns count="1">
    <tableColumn id="1" xr3:uid="{17E1C0AF-850C-4054-98A9-680F2DBD9C51}" name="Sprache"/>
  </tableColumns>
  <tableStyleInfo name="TableStyleLight8"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518B3DF1-8863-4DEB-BB7B-0CECB36DB8D4}" name="Tabelle12" displayName="Tabelle12" ref="G1:G4" totalsRowShown="0">
  <autoFilter ref="G1:G4" xr:uid="{518B3DF1-8863-4DEB-BB7B-0CECB36DB8D4}"/>
  <tableColumns count="1">
    <tableColumn id="1" xr3:uid="{7B0A6103-4604-484D-8818-44E43C6E3DF6}" name="Inkludierungsstatus"/>
  </tableColumns>
  <tableStyleInfo name="TableStyleLight8"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536FAD69-DF79-48A5-AD47-4FF0736AD218}" name="Tabelle13" displayName="Tabelle13" ref="I1:I7" totalsRowShown="0">
  <autoFilter ref="I1:I7" xr:uid="{536FAD69-DF79-48A5-AD47-4FF0736AD218}"/>
  <tableColumns count="1">
    <tableColumn id="1" xr3:uid="{96E22817-6B23-4C2A-96D2-7C1EF4AF930F}" name="Ausschlussgrund"/>
  </tableColumns>
  <tableStyleInfo name="TableStyleLight8"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13F1694A-031C-485A-9505-7DBFEE9D00F2}" name="Tabelle14" displayName="Tabelle14" ref="K1:K4" totalsRowShown="0">
  <autoFilter ref="K1:K4" xr:uid="{13F1694A-031C-485A-9505-7DBFEE9D00F2}"/>
  <tableColumns count="1">
    <tableColumn id="1" xr3:uid="{D16AC83B-5796-4B93-8319-4B9A6CE8CC2D}" name="Kodierungskonfidenz"/>
  </tableColumns>
  <tableStyleInfo name="TableStyleLight8"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4676E1C5-826D-40B0-9AE4-59554DE78A7A}" name="Tabelle15" displayName="Tabelle15" ref="M1:M4" totalsRowShown="0">
  <autoFilter ref="M1:M4" xr:uid="{4676E1C5-826D-40B0-9AE4-59554DE78A7A}"/>
  <tableColumns count="1">
    <tableColumn id="1" xr3:uid="{ACA7A75B-428C-468F-A87C-CC163947EC83}" name="Bindigkeitsniveau"/>
  </tableColumns>
  <tableStyleInfo name="TableStyleLight8"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2471D5AB-7EB3-4BDA-AD98-89690BCA4E10}" name="Tabelle16" displayName="Tabelle16" ref="O1:O3" totalsRowShown="0">
  <autoFilter ref="O1:O3" xr:uid="{2471D5AB-7EB3-4BDA-AD98-89690BCA4E10}"/>
  <tableColumns count="1">
    <tableColumn id="1" xr3:uid="{6FA35486-3F38-499E-8C7A-08CA6D5187F9}" name="Value_present"/>
  </tableColumns>
  <tableStyleInfo name="TableStyleLight8"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3552BF9B-E401-4F9A-BC34-9F0B4CE96371}" name="Tabelle17" displayName="Tabelle17" ref="Q1:Q5" totalsRowShown="0">
  <autoFilter ref="Q1:Q5" xr:uid="{3552BF9B-E401-4F9A-BC34-9F0B4CE96371}"/>
  <tableColumns count="1">
    <tableColumn id="1" xr3:uid="{D4A6D96B-2C53-476A-86CF-E427067FBE75}" name="Score_0_3"/>
  </tableColumns>
  <tableStyleInfo name="TableStyleLight8"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AB1AA61-6814-4A3C-8739-DE8C1D8241FB}" name="Tabelle52" displayName="Tabelle52" ref="A1:K572" totalsRowShown="0">
  <autoFilter ref="A1:K572" xr:uid="{794649AF-DA1E-48ED-8099-0B33A67C2B55}"/>
  <tableColumns count="11">
    <tableColumn id="1" xr3:uid="{A5B1236C-269B-4CCB-919B-AC84CE420482}" name="company_id" dataDxfId="16"/>
    <tableColumn id="2" xr3:uid="{88EA2C3D-FF7D-45DE-B6F7-BB1229554F82}" name="doc_id" dataDxfId="15"/>
    <tableColumn id="3" xr3:uid="{E23EAC11-3FE3-46C2-A886-9966BC003CDA}" name="value_id" dataDxfId="14"/>
    <tableColumn id="4" xr3:uid="{77D00F30-A9A5-47C3-B3BB-BFF34AC97B9C}" name="value_present" dataDxfId="13"/>
    <tableColumn id="5" xr3:uid="{E434E720-1C6A-4241-8ECE-D9040CCDAA2B}" name="binding_level" dataDxfId="12"/>
    <tableColumn id="6" xr3:uid="{C45A50FA-2ACE-4B26-9C7B-E4D5BE6F4B6D}" name="binding_justification"/>
    <tableColumn id="7" xr3:uid="{282FA07F-5C8A-4CD1-86F3-4AF4DB1108E8}" name="evidence_quote"/>
    <tableColumn id="8" xr3:uid="{F410D5B9-12DC-4698-B08E-426E336FE253}" name="evidence_location"/>
    <tableColumn id="9" xr3:uid="{BD5197D5-04B8-40D1-BCBA-5D225444280A}" name="coder_confidence" dataDxfId="11"/>
    <tableColumn id="10" xr3:uid="{7F3AA6F7-EE79-4770-860B-817A57FFE071}" name="notes"/>
    <tableColumn id="11" xr3:uid="{26B53E04-6A5F-4A1D-9E7B-B4A2316116E1}" name="value_points" dataDxfId="10">
      <calculatedColumnFormula>Tabelle52[[#This Row],[value_present]]*Tabelle52[[#This Row],[binding_level]]</calculatedColumnFormula>
    </tableColumn>
  </tableColumns>
  <tableStyleInfo name="TableStyleLight9"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911AF420-2225-42C0-BDFB-BF933B4447C3}" name="Tabelle5225" displayName="Tabelle5225" ref="A1:K464" totalsRowShown="0">
  <autoFilter ref="A1:K464" xr:uid="{794649AF-DA1E-48ED-8099-0B33A67C2B55}"/>
  <tableColumns count="11">
    <tableColumn id="1" xr3:uid="{AFCF1A2E-7C51-4D16-8447-4825A8304C2A}" name="company_id" dataDxfId="9"/>
    <tableColumn id="2" xr3:uid="{28144327-D237-4B65-948E-9055C5BCCA4B}" name="doc_id" dataDxfId="8"/>
    <tableColumn id="3" xr3:uid="{7356C4A2-D4E8-4678-B63A-A2F57CF7A60F}" name="value_id" dataDxfId="7"/>
    <tableColumn id="4" xr3:uid="{DBC3A27D-F748-40F1-9045-6F4A050BD2E3}" name="value_present" dataDxfId="6"/>
    <tableColumn id="5" xr3:uid="{C3681E92-2973-41CD-A350-4DB5D313885C}" name="binding_level" dataDxfId="5"/>
    <tableColumn id="6" xr3:uid="{B37DDF94-1958-4E33-8B11-7F0571193B4A}" name="binding_justification"/>
    <tableColumn id="7" xr3:uid="{8E229820-49BE-446A-BBFE-34783B444191}" name="evidence_quote"/>
    <tableColumn id="8" xr3:uid="{35E2EE5C-206A-4B9A-A2DC-BE475116991C}" name="evidence_location"/>
    <tableColumn id="9" xr3:uid="{706CB451-29D2-42C4-A434-0834BFC363D9}" name="coder_confidence" dataDxfId="4"/>
    <tableColumn id="10" xr3:uid="{26B78528-5CF0-490F-B3B8-7A22E5217B5F}" name="notes"/>
    <tableColumn id="11" xr3:uid="{BD49E03A-F982-49D3-A92C-C4CCC90D083D}" name="value_points" dataDxfId="3">
      <calculatedColumnFormula>Tabelle5225[[#This Row],[value_present]]*Tabelle5225[[#This Row],[binding_level]]</calculatedColumnFormula>
    </tableColumn>
  </tableColumns>
  <tableStyleInfo name="TableStyleLight9"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37875EB2-4339-44C9-ACF8-1A51E915688F}" name="Tabelle26" displayName="Tabelle26" ref="N2:V9" totalsRowShown="0">
  <autoFilter ref="N2:V9" xr:uid="{37875EB2-4339-44C9-ACF8-1A51E915688F}"/>
  <tableColumns count="9">
    <tableColumn id="1" xr3:uid="{06B304E5-1A10-4230-8211-FBE337BE162F}" name="company_id"/>
    <tableColumn id="2" xr3:uid="{A26DBD49-B660-42B0-9701-6AA369F67A06}" name="value_id"/>
    <tableColumn id="3" xr3:uid="{E5B2A3EE-9137-45DA-99D1-C833800C986E}" name="pilot_value_present"/>
    <tableColumn id="4" xr3:uid="{4F11EA7D-5EE8-4DBB-A41E-CD8E9F54CA20}" name="recode_value_present"/>
    <tableColumn id="5" xr3:uid="{657D30F7-862D-4093-869C-8D27057AF141}" name="pilot_binding_level"/>
    <tableColumn id="6" xr3:uid="{60C4467B-765F-43FA-9CE5-D28858607C0C}" name="recode_binding_level"/>
    <tableColumn id="7" xr3:uid="{FA0C2DD5-0BDB-4CE0-BAAC-85900F0055FB}" name="delta_type"/>
    <tableColumn id="8" xr3:uid="{55FDB410-670E-452A-B5E2-22977C57EF26}" name="change_cause"/>
    <tableColumn id="9" xr3:uid="{6EFA9730-616A-4145-BBD2-1E4DC07295DD}" name="evidence_anchor_recode"/>
  </tableColumns>
  <tableStyleInfo name="TableStyleLight9"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B07C706D-5469-4AAE-9F37-C7AD9A4ED241}" name="Tabelle723" displayName="Tabelle723" ref="A1:J210" totalsRowShown="0">
  <autoFilter ref="A1:J210" xr:uid="{5BF3CC75-2124-480E-A9D0-3C4C8CD282B3}"/>
  <tableColumns count="10">
    <tableColumn id="1" xr3:uid="{89C166D1-9F7A-4448-8A70-9EA646208E34}" name="company_id"/>
    <tableColumn id="10" xr3:uid="{7DB5D055-5FFD-4D17-9C78-3F4388CF5530}" name="doc_id" dataDxfId="2"/>
    <tableColumn id="2" xr3:uid="{677C47DF-F100-4409-A8DB-3E0EDCBFB51C}" name="gov_crit_id"/>
    <tableColumn id="3" xr3:uid="{3244DFBB-54D2-4355-A150-937DFC81EDA3}" name="doc_id_primary_evidence"/>
    <tableColumn id="4" xr3:uid="{075ABDE2-5A71-46FA-B5CE-B757E107B432}" name="score_0_3"/>
    <tableColumn id="5" xr3:uid="{B29FCD9B-7825-4B6B-91F7-70F46A199185}" name="evidence_quote"/>
    <tableColumn id="6" xr3:uid="{F1C18F0B-7172-4E2F-9D56-CDB485880E5F}" name="evidence_location"/>
    <tableColumn id="7" xr3:uid="{C34A82AA-E397-4560-BBAD-5163279DC4ED}" name="why_not_higher"/>
    <tableColumn id="8" xr3:uid="{CB8C4A3F-14D1-4DAB-9E4D-6EAB21F361EC}" name="coder_confidence"/>
    <tableColumn id="9" xr3:uid="{5C1AB7D6-DF0C-49C8-B8DE-1DB2D166B8A0}" name="notes"/>
  </tableColumns>
  <tableStyleInfo name="TableStyleLight9"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F131299A-DA98-407B-B0CD-51BF88647511}" name="Tabelle72326" displayName="Tabelle72326" ref="A1:J168" totalsRowShown="0">
  <autoFilter ref="A1:J168" xr:uid="{5BF3CC75-2124-480E-A9D0-3C4C8CD282B3}"/>
  <tableColumns count="10">
    <tableColumn id="1" xr3:uid="{68266203-1FA8-4162-9832-35FD9B7BB575}" name="company_id"/>
    <tableColumn id="10" xr3:uid="{DA9A1AD6-04B4-4CDF-9CB1-07CF9526EFCE}" name="doc_id" dataDxfId="1"/>
    <tableColumn id="2" xr3:uid="{82E996EB-3ED5-4F62-80CF-409DF5552801}" name="gov_crit_id"/>
    <tableColumn id="3" xr3:uid="{FB482236-9A4B-4F35-BF83-3E5BC37842DA}" name="doc_id_primary_evidence"/>
    <tableColumn id="4" xr3:uid="{5425F886-7428-4FDB-85A5-B504543C5BB0}" name="score_0_3"/>
    <tableColumn id="5" xr3:uid="{59BB959F-C8A3-4F2A-8DBD-7244AA4872DA}" name="evidence_quote"/>
    <tableColumn id="6" xr3:uid="{1480EDBA-C72B-4546-97E4-F024540106E4}" name="evidence_location"/>
    <tableColumn id="7" xr3:uid="{CC474F54-FE56-48E1-9776-7789F61CA04D}" name="why_not_higher"/>
    <tableColumn id="8" xr3:uid="{9CE2961C-DC9E-469F-B1C6-DCED3F056CED}" name="coder_confidence"/>
    <tableColumn id="9" xr3:uid="{641D911C-E85C-4652-BDA9-A362E6FEA9E4}" name="notes"/>
  </tableColumns>
  <tableStyleInfo name="TableStyleLight9"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686FF978-FD14-4C6E-8765-0F759D7118E9}" name="Tabelle23" displayName="Tabelle23" ref="A1:F15" totalsRowShown="0">
  <autoFilter ref="A1:F15" xr:uid="{686FF978-FD14-4C6E-8765-0F759D7118E9}"/>
  <tableColumns count="6">
    <tableColumn id="1" xr3:uid="{685EC582-3C3E-486D-87E0-89AB0AFAAF2B}" name="Regel-ID"/>
    <tableColumn id="2" xr3:uid="{B2F8FA29-F8B1-47DF-B710-2E929A37357B}" name="Kategorie"/>
    <tableColumn id="3" xr3:uid="{7FAD001F-C31B-4E12-A8AB-8F1DCB9AC2BD}" name="Regeltext"/>
    <tableColumn id="4" xr3:uid="{C307FC7B-8D06-4363-99F7-3A941673F37F}" name="Betroffene Codes"/>
    <tableColumn id="5" xr3:uid="{34ADE2CA-2DFB-4CB8-AE47-D0364368CFAA}" name="Trigger"/>
    <tableColumn id="6" xr3:uid="{010B4888-DC34-44B2-9DC0-6E497B59B857}" name="Testfrage"/>
  </tableColumns>
  <tableStyleInfo name="TableStyleLight9"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8" Type="http://schemas.openxmlformats.org/officeDocument/2006/relationships/table" Target="../tables/table19.xml"/><Relationship Id="rId3" Type="http://schemas.openxmlformats.org/officeDocument/2006/relationships/table" Target="../tables/table14.xml"/><Relationship Id="rId7" Type="http://schemas.openxmlformats.org/officeDocument/2006/relationships/table" Target="../tables/table18.xml"/><Relationship Id="rId2" Type="http://schemas.openxmlformats.org/officeDocument/2006/relationships/table" Target="../tables/table13.xml"/><Relationship Id="rId1" Type="http://schemas.openxmlformats.org/officeDocument/2006/relationships/printerSettings" Target="../printerSettings/printerSettings1.bin"/><Relationship Id="rId6" Type="http://schemas.openxmlformats.org/officeDocument/2006/relationships/table" Target="../tables/table17.xml"/><Relationship Id="rId5" Type="http://schemas.openxmlformats.org/officeDocument/2006/relationships/table" Target="../tables/table16.xml"/><Relationship Id="rId10" Type="http://schemas.openxmlformats.org/officeDocument/2006/relationships/table" Target="../tables/table21.xml"/><Relationship Id="rId4" Type="http://schemas.openxmlformats.org/officeDocument/2006/relationships/table" Target="../tables/table15.xml"/><Relationship Id="rId9" Type="http://schemas.openxmlformats.org/officeDocument/2006/relationships/table" Target="../tables/table20.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24.xml"/><Relationship Id="rId1" Type="http://schemas.openxmlformats.org/officeDocument/2006/relationships/table" Target="../tables/table23.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2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0E40C-2567-4F37-80E9-918F97463CB5}">
  <sheetPr>
    <tabColor rgb="FFFFFF00"/>
  </sheetPr>
  <dimension ref="A1:I41"/>
  <sheetViews>
    <sheetView workbookViewId="0">
      <selection activeCell="B23" sqref="B23"/>
    </sheetView>
  </sheetViews>
  <sheetFormatPr baseColWidth="10" defaultRowHeight="15" x14ac:dyDescent="0.25"/>
  <cols>
    <col min="1" max="1" width="13.85546875" customWidth="1"/>
    <col min="2" max="2" width="24.7109375" bestFit="1" customWidth="1"/>
    <col min="3" max="3" width="14" bestFit="1" customWidth="1"/>
    <col min="4" max="4" width="16.140625" bestFit="1" customWidth="1"/>
    <col min="5" max="5" width="36.85546875" customWidth="1"/>
    <col min="6" max="6" width="20.7109375" bestFit="1" customWidth="1"/>
    <col min="7" max="7" width="25.5703125" bestFit="1" customWidth="1"/>
    <col min="8" max="8" width="25.5703125" customWidth="1"/>
    <col min="9" max="9" width="17.42578125" bestFit="1" customWidth="1"/>
  </cols>
  <sheetData>
    <row r="1" spans="1:9" x14ac:dyDescent="0.25">
      <c r="A1" t="s">
        <v>0</v>
      </c>
      <c r="B1" t="s">
        <v>1</v>
      </c>
      <c r="C1" t="s">
        <v>2</v>
      </c>
      <c r="D1" t="s">
        <v>3</v>
      </c>
      <c r="E1" t="s">
        <v>4</v>
      </c>
      <c r="F1" t="s">
        <v>5</v>
      </c>
      <c r="G1" t="s">
        <v>6</v>
      </c>
      <c r="H1" t="s">
        <v>585</v>
      </c>
      <c r="I1" t="s">
        <v>7</v>
      </c>
    </row>
    <row r="2" spans="1:9" x14ac:dyDescent="0.25">
      <c r="A2">
        <v>1</v>
      </c>
      <c r="B2" s="14" t="s">
        <v>303</v>
      </c>
      <c r="C2" t="s">
        <v>304</v>
      </c>
      <c r="D2" s="1" t="s">
        <v>240</v>
      </c>
      <c r="E2" t="s">
        <v>305</v>
      </c>
      <c r="F2" s="5" t="s">
        <v>434</v>
      </c>
      <c r="G2" t="s">
        <v>307</v>
      </c>
      <c r="H2" s="6">
        <v>28070.86</v>
      </c>
      <c r="I2" t="s">
        <v>446</v>
      </c>
    </row>
    <row r="3" spans="1:9" x14ac:dyDescent="0.25">
      <c r="A3">
        <v>2</v>
      </c>
      <c r="B3" s="12" t="s">
        <v>306</v>
      </c>
      <c r="C3" t="s">
        <v>308</v>
      </c>
      <c r="D3" s="1" t="s">
        <v>236</v>
      </c>
      <c r="E3" t="s">
        <v>309</v>
      </c>
      <c r="F3" s="5" t="s">
        <v>435</v>
      </c>
      <c r="G3" t="s">
        <v>310</v>
      </c>
      <c r="H3" s="6">
        <v>146046.49</v>
      </c>
      <c r="I3" t="s">
        <v>478</v>
      </c>
    </row>
    <row r="4" spans="1:9" x14ac:dyDescent="0.25">
      <c r="A4">
        <v>3</v>
      </c>
      <c r="B4" s="12" t="s">
        <v>311</v>
      </c>
      <c r="C4" t="s">
        <v>312</v>
      </c>
      <c r="D4" s="1" t="s">
        <v>237</v>
      </c>
      <c r="E4" t="s">
        <v>313</v>
      </c>
      <c r="F4" s="5" t="s">
        <v>434</v>
      </c>
      <c r="G4" t="s">
        <v>314</v>
      </c>
      <c r="H4" s="6">
        <v>138065.07999999999</v>
      </c>
      <c r="I4" t="s">
        <v>507</v>
      </c>
    </row>
    <row r="5" spans="1:9" x14ac:dyDescent="0.25">
      <c r="A5">
        <v>4</v>
      </c>
      <c r="B5" s="12" t="s">
        <v>315</v>
      </c>
      <c r="C5" t="s">
        <v>316</v>
      </c>
      <c r="D5" s="1" t="s">
        <v>242</v>
      </c>
      <c r="E5" t="s">
        <v>317</v>
      </c>
      <c r="F5" s="5" t="s">
        <v>436</v>
      </c>
      <c r="G5" t="s">
        <v>314</v>
      </c>
      <c r="H5" s="6">
        <v>36934</v>
      </c>
      <c r="I5" t="s">
        <v>530</v>
      </c>
    </row>
    <row r="6" spans="1:9" x14ac:dyDescent="0.25">
      <c r="A6">
        <v>5</v>
      </c>
      <c r="B6" s="13" t="s">
        <v>318</v>
      </c>
      <c r="C6" t="s">
        <v>319</v>
      </c>
      <c r="D6" s="1" t="s">
        <v>242</v>
      </c>
      <c r="E6" t="s">
        <v>320</v>
      </c>
      <c r="F6" s="5" t="s">
        <v>437</v>
      </c>
      <c r="G6" t="s">
        <v>314</v>
      </c>
      <c r="H6" s="6">
        <v>33814.35</v>
      </c>
      <c r="I6" t="s">
        <v>566</v>
      </c>
    </row>
    <row r="7" spans="1:9" x14ac:dyDescent="0.25">
      <c r="A7">
        <v>6</v>
      </c>
      <c r="B7" s="12" t="s">
        <v>321</v>
      </c>
      <c r="C7" t="s">
        <v>322</v>
      </c>
      <c r="D7" s="1" t="s">
        <v>240</v>
      </c>
      <c r="E7" t="s">
        <v>323</v>
      </c>
      <c r="F7" s="5" t="s">
        <v>438</v>
      </c>
      <c r="G7" t="s">
        <v>324</v>
      </c>
      <c r="H7" s="6">
        <v>19043.54</v>
      </c>
      <c r="I7" t="s">
        <v>571</v>
      </c>
    </row>
    <row r="8" spans="1:9" x14ac:dyDescent="0.25">
      <c r="A8">
        <v>7</v>
      </c>
      <c r="B8" s="13" t="s">
        <v>325</v>
      </c>
      <c r="C8" t="s">
        <v>325</v>
      </c>
      <c r="D8" s="1" t="s">
        <v>236</v>
      </c>
      <c r="E8" t="s">
        <v>326</v>
      </c>
      <c r="F8" s="5" t="s">
        <v>434</v>
      </c>
      <c r="G8" t="s">
        <v>314</v>
      </c>
      <c r="H8" s="6">
        <v>52864.52</v>
      </c>
      <c r="I8" t="s">
        <v>566</v>
      </c>
    </row>
    <row r="9" spans="1:9" x14ac:dyDescent="0.25">
      <c r="A9">
        <v>8</v>
      </c>
      <c r="B9" s="14" t="s">
        <v>327</v>
      </c>
      <c r="C9" t="s">
        <v>328</v>
      </c>
      <c r="D9" s="1" t="s">
        <v>242</v>
      </c>
      <c r="E9" t="s">
        <v>329</v>
      </c>
      <c r="F9" s="5" t="s">
        <v>437</v>
      </c>
      <c r="G9" t="s">
        <v>310</v>
      </c>
      <c r="H9" s="6">
        <v>6654.82</v>
      </c>
      <c r="I9" t="s">
        <v>606</v>
      </c>
    </row>
    <row r="10" spans="1:9" x14ac:dyDescent="0.25">
      <c r="A10">
        <v>9</v>
      </c>
      <c r="B10" s="13" t="s">
        <v>330</v>
      </c>
      <c r="C10" t="s">
        <v>331</v>
      </c>
      <c r="D10" s="1" t="s">
        <v>237</v>
      </c>
      <c r="E10" t="s">
        <v>332</v>
      </c>
      <c r="F10" s="5" t="s">
        <v>439</v>
      </c>
      <c r="G10" t="s">
        <v>333</v>
      </c>
      <c r="H10" s="6">
        <v>37853.56</v>
      </c>
      <c r="I10" t="s">
        <v>626</v>
      </c>
    </row>
    <row r="11" spans="1:9" x14ac:dyDescent="0.25">
      <c r="A11">
        <v>10</v>
      </c>
      <c r="B11" s="13" t="s">
        <v>334</v>
      </c>
      <c r="C11" t="s">
        <v>335</v>
      </c>
      <c r="D11" s="1" t="s">
        <v>236</v>
      </c>
      <c r="E11" t="s">
        <v>336</v>
      </c>
      <c r="F11" s="5" t="s">
        <v>440</v>
      </c>
      <c r="G11" t="s">
        <v>337</v>
      </c>
      <c r="H11" s="6">
        <v>12640.94</v>
      </c>
      <c r="I11" t="s">
        <v>657</v>
      </c>
    </row>
    <row r="12" spans="1:9" x14ac:dyDescent="0.25">
      <c r="A12">
        <v>11</v>
      </c>
      <c r="B12" s="12" t="s">
        <v>338</v>
      </c>
      <c r="C12" t="s">
        <v>339</v>
      </c>
      <c r="D12" s="1" t="s">
        <v>236</v>
      </c>
      <c r="E12" t="s">
        <v>340</v>
      </c>
      <c r="F12" s="5" t="s">
        <v>441</v>
      </c>
      <c r="G12" t="s">
        <v>341</v>
      </c>
      <c r="H12" s="6">
        <v>25660.46</v>
      </c>
      <c r="I12" t="s">
        <v>672</v>
      </c>
    </row>
    <row r="13" spans="1:9" x14ac:dyDescent="0.25">
      <c r="A13">
        <v>12</v>
      </c>
      <c r="B13" s="13" t="s">
        <v>342</v>
      </c>
      <c r="C13" t="s">
        <v>343</v>
      </c>
      <c r="D13" s="1" t="s">
        <v>237</v>
      </c>
      <c r="E13" t="s">
        <v>332</v>
      </c>
      <c r="F13" s="5" t="s">
        <v>439</v>
      </c>
      <c r="G13" t="s">
        <v>314</v>
      </c>
      <c r="H13" s="6">
        <v>57682.6</v>
      </c>
      <c r="I13" t="s">
        <v>706</v>
      </c>
    </row>
    <row r="14" spans="1:9" x14ac:dyDescent="0.25">
      <c r="A14">
        <v>13</v>
      </c>
      <c r="B14" s="12" t="s">
        <v>344</v>
      </c>
      <c r="C14" t="s">
        <v>345</v>
      </c>
      <c r="D14" s="1" t="s">
        <v>237</v>
      </c>
      <c r="E14" t="s">
        <v>346</v>
      </c>
      <c r="F14" s="5" t="s">
        <v>439</v>
      </c>
      <c r="G14" t="s">
        <v>347</v>
      </c>
      <c r="H14" s="6">
        <v>38233.440000000002</v>
      </c>
      <c r="I14" t="s">
        <v>730</v>
      </c>
    </row>
    <row r="15" spans="1:9" x14ac:dyDescent="0.25">
      <c r="A15">
        <v>14</v>
      </c>
      <c r="B15" s="14" t="s">
        <v>348</v>
      </c>
      <c r="C15" t="s">
        <v>349</v>
      </c>
      <c r="D15" s="1" t="s">
        <v>243</v>
      </c>
      <c r="E15" t="s">
        <v>350</v>
      </c>
      <c r="F15" s="5" t="s">
        <v>437</v>
      </c>
      <c r="G15" t="s">
        <v>351</v>
      </c>
      <c r="H15" s="6">
        <v>47026.95</v>
      </c>
      <c r="I15" t="s">
        <v>791</v>
      </c>
    </row>
    <row r="16" spans="1:9" x14ac:dyDescent="0.25">
      <c r="A16">
        <v>15</v>
      </c>
      <c r="B16" s="13" t="s">
        <v>352</v>
      </c>
      <c r="C16" t="s">
        <v>353</v>
      </c>
      <c r="D16" s="1" t="s">
        <v>241</v>
      </c>
      <c r="E16" t="s">
        <v>354</v>
      </c>
      <c r="F16" s="5" t="s">
        <v>437</v>
      </c>
      <c r="G16" t="s">
        <v>355</v>
      </c>
      <c r="H16" s="6">
        <v>126057.53</v>
      </c>
      <c r="I16" t="s">
        <v>792</v>
      </c>
    </row>
    <row r="17" spans="1:9" x14ac:dyDescent="0.25">
      <c r="A17">
        <v>16</v>
      </c>
      <c r="B17" s="14" t="s">
        <v>356</v>
      </c>
      <c r="C17" t="s">
        <v>357</v>
      </c>
      <c r="D17" s="1" t="s">
        <v>241</v>
      </c>
      <c r="E17" t="s">
        <v>358</v>
      </c>
      <c r="F17" s="5" t="s">
        <v>437</v>
      </c>
      <c r="G17" t="s">
        <v>444</v>
      </c>
      <c r="H17" s="6">
        <v>39186.39</v>
      </c>
      <c r="I17" t="s">
        <v>839</v>
      </c>
    </row>
    <row r="18" spans="1:9" x14ac:dyDescent="0.25">
      <c r="A18">
        <v>17</v>
      </c>
      <c r="B18" s="13" t="s">
        <v>359</v>
      </c>
      <c r="C18" t="s">
        <v>360</v>
      </c>
      <c r="D18" s="1" t="s">
        <v>238</v>
      </c>
      <c r="E18" t="s">
        <v>361</v>
      </c>
      <c r="F18" s="5" t="s">
        <v>439</v>
      </c>
      <c r="G18" t="s">
        <v>362</v>
      </c>
      <c r="H18" s="6">
        <v>25656.23</v>
      </c>
      <c r="I18" t="s">
        <v>857</v>
      </c>
    </row>
    <row r="19" spans="1:9" x14ac:dyDescent="0.25">
      <c r="A19">
        <v>18</v>
      </c>
      <c r="B19" s="14" t="s">
        <v>363</v>
      </c>
      <c r="C19" t="s">
        <v>364</v>
      </c>
      <c r="D19" s="1" t="s">
        <v>238</v>
      </c>
      <c r="E19" t="s">
        <v>365</v>
      </c>
      <c r="F19" s="5" t="s">
        <v>434</v>
      </c>
      <c r="G19" t="s">
        <v>366</v>
      </c>
      <c r="H19" s="6">
        <v>10987.23</v>
      </c>
      <c r="I19" t="s">
        <v>878</v>
      </c>
    </row>
    <row r="20" spans="1:9" x14ac:dyDescent="0.25">
      <c r="A20">
        <v>19</v>
      </c>
      <c r="B20" s="12" t="s">
        <v>367</v>
      </c>
      <c r="C20" t="s">
        <v>368</v>
      </c>
      <c r="D20" s="1" t="s">
        <v>236</v>
      </c>
      <c r="E20" t="s">
        <v>369</v>
      </c>
      <c r="F20" s="5" t="s">
        <v>437</v>
      </c>
      <c r="G20" t="s">
        <v>370</v>
      </c>
      <c r="H20" s="6">
        <v>8239.01</v>
      </c>
      <c r="I20" t="s">
        <v>896</v>
      </c>
    </row>
    <row r="21" spans="1:9" x14ac:dyDescent="0.25">
      <c r="A21">
        <v>20</v>
      </c>
      <c r="B21" s="12" t="s">
        <v>371</v>
      </c>
      <c r="C21" t="s">
        <v>372</v>
      </c>
      <c r="D21" s="1" t="s">
        <v>237</v>
      </c>
      <c r="E21" t="s">
        <v>313</v>
      </c>
      <c r="F21" s="5" t="s">
        <v>440</v>
      </c>
      <c r="G21" t="s">
        <v>341</v>
      </c>
      <c r="H21" s="6">
        <v>29852.05</v>
      </c>
      <c r="I21" t="s">
        <v>926</v>
      </c>
    </row>
    <row r="22" spans="1:9" x14ac:dyDescent="0.25">
      <c r="A22">
        <v>21</v>
      </c>
      <c r="B22" s="14" t="s">
        <v>373</v>
      </c>
      <c r="C22" t="s">
        <v>374</v>
      </c>
      <c r="D22" s="1" t="s">
        <v>242</v>
      </c>
      <c r="E22" t="s">
        <v>375</v>
      </c>
      <c r="F22" s="5" t="s">
        <v>441</v>
      </c>
      <c r="G22" t="s">
        <v>376</v>
      </c>
      <c r="H22" s="6">
        <v>36922.57</v>
      </c>
      <c r="I22" t="s">
        <v>953</v>
      </c>
    </row>
    <row r="23" spans="1:9" x14ac:dyDescent="0.25">
      <c r="A23">
        <v>22</v>
      </c>
      <c r="B23" s="12" t="s">
        <v>377</v>
      </c>
      <c r="C23" t="s">
        <v>378</v>
      </c>
      <c r="D23" s="1" t="s">
        <v>242</v>
      </c>
      <c r="E23" t="s">
        <v>379</v>
      </c>
      <c r="F23" s="5" t="s">
        <v>437</v>
      </c>
      <c r="G23" t="s">
        <v>314</v>
      </c>
      <c r="H23" s="6">
        <v>25541.89</v>
      </c>
      <c r="I23" t="s">
        <v>970</v>
      </c>
    </row>
    <row r="24" spans="1:9" x14ac:dyDescent="0.25">
      <c r="A24">
        <v>23</v>
      </c>
      <c r="B24" s="13" t="s">
        <v>380</v>
      </c>
      <c r="C24" t="s">
        <v>381</v>
      </c>
      <c r="D24" s="1" t="s">
        <v>238</v>
      </c>
      <c r="E24" t="s">
        <v>382</v>
      </c>
      <c r="F24" s="5" t="s">
        <v>434</v>
      </c>
      <c r="G24" t="s">
        <v>383</v>
      </c>
      <c r="H24" s="6">
        <v>45690.61</v>
      </c>
      <c r="I24" t="s">
        <v>1025</v>
      </c>
    </row>
    <row r="25" spans="1:9" x14ac:dyDescent="0.25">
      <c r="A25">
        <v>24</v>
      </c>
      <c r="B25" s="13" t="s">
        <v>384</v>
      </c>
      <c r="C25" t="s">
        <v>385</v>
      </c>
      <c r="D25" s="1" t="s">
        <v>236</v>
      </c>
      <c r="E25" t="s">
        <v>326</v>
      </c>
      <c r="F25" s="5" t="s">
        <v>441</v>
      </c>
      <c r="G25" t="s">
        <v>445</v>
      </c>
      <c r="H25" s="6">
        <v>53792.73</v>
      </c>
      <c r="I25" t="s">
        <v>792</v>
      </c>
    </row>
    <row r="26" spans="1:9" x14ac:dyDescent="0.25">
      <c r="A26">
        <v>25</v>
      </c>
      <c r="B26" s="13" t="s">
        <v>386</v>
      </c>
      <c r="C26" t="s">
        <v>387</v>
      </c>
      <c r="D26" s="1" t="s">
        <v>242</v>
      </c>
      <c r="E26" t="s">
        <v>320</v>
      </c>
      <c r="F26" s="5" t="s">
        <v>439</v>
      </c>
      <c r="G26" t="s">
        <v>388</v>
      </c>
      <c r="H26" s="6">
        <v>49572.480000000003</v>
      </c>
      <c r="I26" t="s">
        <v>1044</v>
      </c>
    </row>
    <row r="27" spans="1:9" x14ac:dyDescent="0.25">
      <c r="A27">
        <v>26</v>
      </c>
      <c r="B27" s="14" t="s">
        <v>389</v>
      </c>
      <c r="C27" t="s">
        <v>390</v>
      </c>
      <c r="D27" s="1" t="s">
        <v>236</v>
      </c>
      <c r="E27" t="s">
        <v>391</v>
      </c>
      <c r="F27" s="5" t="s">
        <v>434</v>
      </c>
      <c r="G27" t="s">
        <v>392</v>
      </c>
      <c r="H27" s="6">
        <v>17772.21</v>
      </c>
      <c r="I27" t="s">
        <v>1067</v>
      </c>
    </row>
    <row r="28" spans="1:9" x14ac:dyDescent="0.25">
      <c r="A28">
        <v>27</v>
      </c>
      <c r="B28" s="12" t="s">
        <v>393</v>
      </c>
      <c r="C28" t="s">
        <v>394</v>
      </c>
      <c r="D28" s="1" t="s">
        <v>237</v>
      </c>
      <c r="E28" t="s">
        <v>313</v>
      </c>
      <c r="F28" s="5" t="s">
        <v>434</v>
      </c>
      <c r="G28" t="s">
        <v>395</v>
      </c>
      <c r="H28" s="6">
        <v>67763.8</v>
      </c>
      <c r="I28" t="s">
        <v>1079</v>
      </c>
    </row>
    <row r="29" spans="1:9" x14ac:dyDescent="0.25">
      <c r="A29">
        <v>28</v>
      </c>
      <c r="B29" s="14" t="s">
        <v>396</v>
      </c>
      <c r="C29" t="s">
        <v>397</v>
      </c>
      <c r="D29" s="1" t="s">
        <v>236</v>
      </c>
      <c r="E29" t="s">
        <v>398</v>
      </c>
      <c r="F29" s="5" t="s">
        <v>441</v>
      </c>
      <c r="G29" t="s">
        <v>310</v>
      </c>
      <c r="H29" s="6">
        <v>11369.72</v>
      </c>
      <c r="I29" t="s">
        <v>1067</v>
      </c>
    </row>
    <row r="30" spans="1:9" x14ac:dyDescent="0.25">
      <c r="A30">
        <v>29</v>
      </c>
      <c r="B30" s="14" t="s">
        <v>399</v>
      </c>
      <c r="C30" t="s">
        <v>400</v>
      </c>
      <c r="D30" s="1" t="s">
        <v>238</v>
      </c>
      <c r="E30" t="s">
        <v>401</v>
      </c>
      <c r="F30" s="5" t="s">
        <v>435</v>
      </c>
      <c r="G30" t="s">
        <v>310</v>
      </c>
      <c r="H30" s="6">
        <v>7781.46</v>
      </c>
      <c r="I30" t="s">
        <v>1067</v>
      </c>
    </row>
    <row r="31" spans="1:9" x14ac:dyDescent="0.25">
      <c r="A31">
        <v>30</v>
      </c>
      <c r="B31" s="14" t="s">
        <v>402</v>
      </c>
      <c r="C31" t="s">
        <v>403</v>
      </c>
      <c r="D31" s="1" t="s">
        <v>236</v>
      </c>
      <c r="E31" t="s">
        <v>404</v>
      </c>
      <c r="F31" s="5" t="s">
        <v>437</v>
      </c>
      <c r="G31" t="s">
        <v>405</v>
      </c>
      <c r="H31" s="6">
        <v>66606.820000000007</v>
      </c>
      <c r="I31" t="s">
        <v>1067</v>
      </c>
    </row>
    <row r="32" spans="1:9" x14ac:dyDescent="0.25">
      <c r="A32">
        <v>31</v>
      </c>
      <c r="B32" s="12" t="s">
        <v>406</v>
      </c>
      <c r="C32" t="s">
        <v>406</v>
      </c>
      <c r="D32" s="1" t="s">
        <v>241</v>
      </c>
      <c r="E32" t="s">
        <v>358</v>
      </c>
      <c r="F32" s="5" t="s">
        <v>437</v>
      </c>
      <c r="G32" t="s">
        <v>314</v>
      </c>
      <c r="H32" s="6">
        <v>30562.07</v>
      </c>
      <c r="I32" t="s">
        <v>1168</v>
      </c>
    </row>
    <row r="33" spans="1:9" x14ac:dyDescent="0.25">
      <c r="A33">
        <v>32</v>
      </c>
      <c r="B33" s="13" t="s">
        <v>407</v>
      </c>
      <c r="C33" t="s">
        <v>407</v>
      </c>
      <c r="D33" s="1" t="s">
        <v>238</v>
      </c>
      <c r="E33" t="s">
        <v>408</v>
      </c>
      <c r="F33" s="5" t="s">
        <v>441</v>
      </c>
      <c r="G33" t="s">
        <v>409</v>
      </c>
      <c r="H33" s="6">
        <v>220619.35</v>
      </c>
      <c r="I33" t="s">
        <v>566</v>
      </c>
    </row>
    <row r="34" spans="1:9" x14ac:dyDescent="0.25">
      <c r="A34">
        <v>33</v>
      </c>
      <c r="B34" s="14" t="s">
        <v>410</v>
      </c>
      <c r="C34" t="s">
        <v>411</v>
      </c>
      <c r="D34" s="1" t="s">
        <v>238</v>
      </c>
      <c r="E34" t="s">
        <v>412</v>
      </c>
      <c r="F34" s="5" t="s">
        <v>434</v>
      </c>
      <c r="G34" t="s">
        <v>370</v>
      </c>
      <c r="H34" s="6">
        <v>5762.36</v>
      </c>
      <c r="I34" t="s">
        <v>1190</v>
      </c>
    </row>
    <row r="35" spans="1:9" x14ac:dyDescent="0.25">
      <c r="A35">
        <v>34</v>
      </c>
      <c r="B35" s="12" t="s">
        <v>413</v>
      </c>
      <c r="C35" t="s">
        <v>414</v>
      </c>
      <c r="D35" s="1" t="s">
        <v>236</v>
      </c>
      <c r="E35" t="s">
        <v>415</v>
      </c>
      <c r="F35" s="5" t="s">
        <v>442</v>
      </c>
      <c r="G35" t="s">
        <v>314</v>
      </c>
      <c r="H35" s="6">
        <v>173538.17</v>
      </c>
      <c r="I35" t="s">
        <v>1208</v>
      </c>
    </row>
    <row r="36" spans="1:9" x14ac:dyDescent="0.25">
      <c r="A36">
        <v>35</v>
      </c>
      <c r="B36" s="14" t="s">
        <v>416</v>
      </c>
      <c r="C36" t="s">
        <v>417</v>
      </c>
      <c r="D36" s="1" t="s">
        <v>236</v>
      </c>
      <c r="E36" t="s">
        <v>418</v>
      </c>
      <c r="F36" s="5" t="s">
        <v>434</v>
      </c>
      <c r="G36" t="s">
        <v>419</v>
      </c>
      <c r="H36" s="6">
        <v>95774.61</v>
      </c>
      <c r="I36" t="s">
        <v>1242</v>
      </c>
    </row>
    <row r="37" spans="1:9" x14ac:dyDescent="0.25">
      <c r="A37">
        <v>36</v>
      </c>
      <c r="B37" s="12" t="s">
        <v>420</v>
      </c>
      <c r="C37" t="s">
        <v>421</v>
      </c>
      <c r="D37" s="1" t="s">
        <v>238</v>
      </c>
      <c r="E37" t="s">
        <v>365</v>
      </c>
      <c r="F37" s="5" t="s">
        <v>434</v>
      </c>
      <c r="G37" t="s">
        <v>310</v>
      </c>
      <c r="H37" s="6">
        <v>46655.15</v>
      </c>
      <c r="I37" t="s">
        <v>1260</v>
      </c>
    </row>
    <row r="38" spans="1:9" x14ac:dyDescent="0.25">
      <c r="A38">
        <v>37</v>
      </c>
      <c r="B38" s="14" t="s">
        <v>422</v>
      </c>
      <c r="C38" t="s">
        <v>423</v>
      </c>
      <c r="D38" s="1" t="s">
        <v>240</v>
      </c>
      <c r="E38" t="s">
        <v>424</v>
      </c>
      <c r="F38" s="5" t="s">
        <v>440</v>
      </c>
      <c r="G38" t="s">
        <v>310</v>
      </c>
      <c r="H38" s="6">
        <v>8953.57</v>
      </c>
      <c r="I38" t="s">
        <v>953</v>
      </c>
    </row>
    <row r="39" spans="1:9" x14ac:dyDescent="0.25">
      <c r="A39">
        <v>38</v>
      </c>
      <c r="B39" s="12" t="s">
        <v>425</v>
      </c>
      <c r="C39" t="s">
        <v>426</v>
      </c>
      <c r="D39" s="1" t="s">
        <v>236</v>
      </c>
      <c r="E39" t="s">
        <v>326</v>
      </c>
      <c r="F39" s="5" t="s">
        <v>440</v>
      </c>
      <c r="G39" t="s">
        <v>314</v>
      </c>
      <c r="H39" s="6">
        <v>48556.67</v>
      </c>
      <c r="I39" t="s">
        <v>1260</v>
      </c>
    </row>
    <row r="40" spans="1:9" x14ac:dyDescent="0.25">
      <c r="A40">
        <v>39</v>
      </c>
      <c r="B40" s="14" t="s">
        <v>427</v>
      </c>
      <c r="C40" t="s">
        <v>428</v>
      </c>
      <c r="D40" s="1" t="s">
        <v>240</v>
      </c>
      <c r="E40" t="s">
        <v>429</v>
      </c>
      <c r="F40" s="5" t="s">
        <v>437</v>
      </c>
      <c r="G40" t="s">
        <v>430</v>
      </c>
      <c r="H40" s="6">
        <v>19358.16</v>
      </c>
      <c r="I40" t="s">
        <v>953</v>
      </c>
    </row>
    <row r="41" spans="1:9" x14ac:dyDescent="0.25">
      <c r="A41">
        <v>40</v>
      </c>
      <c r="B41" s="12" t="s">
        <v>431</v>
      </c>
      <c r="C41" t="s">
        <v>432</v>
      </c>
      <c r="D41" s="1" t="s">
        <v>240</v>
      </c>
      <c r="E41" t="s">
        <v>433</v>
      </c>
      <c r="F41" s="5" t="s">
        <v>443</v>
      </c>
      <c r="G41" t="s">
        <v>310</v>
      </c>
      <c r="H41" s="6">
        <v>6113.98</v>
      </c>
      <c r="I41" t="s">
        <v>1333</v>
      </c>
    </row>
  </sheetData>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showInputMessage="1" showErrorMessage="1" xr:uid="{F8B64492-7699-4D8A-8B49-F3CF1582D36C}">
          <x14:formula1>
            <xm:f>'99_Lookups'!$A$2:$A$9</xm:f>
          </x14:formula1>
          <xm:sqref>D2:D41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A7120-F569-48B3-B7F6-CFE9F1CA7956}">
  <sheetPr>
    <tabColor rgb="FFFFFF00"/>
  </sheetPr>
  <dimension ref="A1:O399"/>
  <sheetViews>
    <sheetView topLeftCell="A37" workbookViewId="0">
      <selection activeCell="A39" sqref="A39:XFD39"/>
    </sheetView>
  </sheetViews>
  <sheetFormatPr baseColWidth="10" defaultRowHeight="15" x14ac:dyDescent="0.25"/>
  <cols>
    <col min="2" max="2" width="13.85546875" customWidth="1"/>
    <col min="3" max="3" width="36" customWidth="1"/>
    <col min="5" max="5" width="21.140625" customWidth="1"/>
    <col min="6" max="6" width="18" hidden="1" customWidth="1"/>
    <col min="7" max="7" width="0" hidden="1" customWidth="1"/>
    <col min="10" max="10" width="14" customWidth="1"/>
    <col min="11" max="11" width="34.5703125" customWidth="1"/>
    <col min="12" max="12" width="17.7109375" customWidth="1"/>
    <col min="13" max="13" width="19.140625" bestFit="1" customWidth="1"/>
    <col min="14" max="14" width="18.140625" bestFit="1" customWidth="1"/>
  </cols>
  <sheetData>
    <row r="1" spans="1:15" x14ac:dyDescent="0.25">
      <c r="A1" t="s">
        <v>8</v>
      </c>
      <c r="B1" t="s">
        <v>0</v>
      </c>
      <c r="C1" t="s">
        <v>9</v>
      </c>
      <c r="D1" t="s">
        <v>10</v>
      </c>
      <c r="E1" t="s">
        <v>11</v>
      </c>
      <c r="F1" t="s">
        <v>12</v>
      </c>
      <c r="G1" t="s">
        <v>13</v>
      </c>
      <c r="H1" t="s">
        <v>14</v>
      </c>
      <c r="I1" t="s">
        <v>15</v>
      </c>
      <c r="J1" t="s">
        <v>16</v>
      </c>
      <c r="K1" t="s">
        <v>17</v>
      </c>
      <c r="L1" t="s">
        <v>18</v>
      </c>
      <c r="M1" t="s">
        <v>19</v>
      </c>
      <c r="N1" t="s">
        <v>20</v>
      </c>
      <c r="O1" t="s">
        <v>1362</v>
      </c>
    </row>
    <row r="2" spans="1:15" hidden="1" x14ac:dyDescent="0.25">
      <c r="A2">
        <v>1</v>
      </c>
      <c r="B2">
        <v>1</v>
      </c>
      <c r="C2" t="s">
        <v>447</v>
      </c>
      <c r="D2" s="1" t="s">
        <v>249</v>
      </c>
      <c r="E2" t="s">
        <v>448</v>
      </c>
      <c r="F2" t="s">
        <v>449</v>
      </c>
      <c r="G2" t="s">
        <v>449</v>
      </c>
      <c r="H2" s="1" t="s">
        <v>258</v>
      </c>
      <c r="I2" t="s">
        <v>450</v>
      </c>
      <c r="J2" t="s">
        <v>454</v>
      </c>
      <c r="K2" t="s">
        <v>451</v>
      </c>
      <c r="L2" s="1" t="s">
        <v>263</v>
      </c>
      <c r="M2" s="1" t="s">
        <v>266</v>
      </c>
      <c r="N2" t="s">
        <v>452</v>
      </c>
    </row>
    <row r="3" spans="1:15" hidden="1" x14ac:dyDescent="0.25">
      <c r="A3">
        <v>2</v>
      </c>
      <c r="B3">
        <v>1</v>
      </c>
      <c r="C3" t="s">
        <v>453</v>
      </c>
      <c r="D3" s="1" t="s">
        <v>249</v>
      </c>
      <c r="E3" t="s">
        <v>448</v>
      </c>
      <c r="F3" t="s">
        <v>449</v>
      </c>
      <c r="G3" t="s">
        <v>449</v>
      </c>
      <c r="H3" s="1" t="s">
        <v>258</v>
      </c>
      <c r="I3" t="s">
        <v>450</v>
      </c>
      <c r="J3" t="s">
        <v>454</v>
      </c>
      <c r="K3" t="s">
        <v>475</v>
      </c>
      <c r="L3" s="1" t="s">
        <v>263</v>
      </c>
      <c r="M3" s="1" t="s">
        <v>266</v>
      </c>
      <c r="N3" t="s">
        <v>455</v>
      </c>
    </row>
    <row r="4" spans="1:15" hidden="1" x14ac:dyDescent="0.25">
      <c r="A4">
        <v>3</v>
      </c>
      <c r="B4">
        <v>1</v>
      </c>
      <c r="C4" t="s">
        <v>456</v>
      </c>
      <c r="D4" s="1" t="s">
        <v>255</v>
      </c>
      <c r="E4" t="s">
        <v>448</v>
      </c>
      <c r="F4" t="s">
        <v>457</v>
      </c>
      <c r="G4" t="s">
        <v>449</v>
      </c>
      <c r="H4" s="1" t="s">
        <v>258</v>
      </c>
      <c r="I4" t="s">
        <v>458</v>
      </c>
      <c r="J4" t="s">
        <v>454</v>
      </c>
      <c r="K4" t="s">
        <v>463</v>
      </c>
      <c r="L4" s="1" t="s">
        <v>263</v>
      </c>
      <c r="M4" s="1" t="s">
        <v>266</v>
      </c>
      <c r="N4" t="s">
        <v>567</v>
      </c>
    </row>
    <row r="5" spans="1:15" hidden="1" x14ac:dyDescent="0.25">
      <c r="A5">
        <v>4</v>
      </c>
      <c r="B5">
        <v>1</v>
      </c>
      <c r="C5" t="s">
        <v>459</v>
      </c>
      <c r="D5" s="1" t="s">
        <v>249</v>
      </c>
      <c r="E5" t="s">
        <v>460</v>
      </c>
      <c r="F5" t="s">
        <v>449</v>
      </c>
      <c r="G5" t="s">
        <v>449</v>
      </c>
      <c r="H5" s="1" t="s">
        <v>258</v>
      </c>
      <c r="I5" t="s">
        <v>461</v>
      </c>
      <c r="J5" t="s">
        <v>454</v>
      </c>
      <c r="K5" t="s">
        <v>462</v>
      </c>
      <c r="L5" s="1" t="s">
        <v>263</v>
      </c>
      <c r="M5" s="1" t="s">
        <v>266</v>
      </c>
    </row>
    <row r="6" spans="1:15" hidden="1" x14ac:dyDescent="0.25">
      <c r="A6">
        <v>5</v>
      </c>
      <c r="B6">
        <v>1</v>
      </c>
      <c r="C6" t="s">
        <v>464</v>
      </c>
      <c r="D6" s="1" t="s">
        <v>249</v>
      </c>
      <c r="E6" t="s">
        <v>460</v>
      </c>
      <c r="F6" t="s">
        <v>449</v>
      </c>
      <c r="G6" t="s">
        <v>449</v>
      </c>
      <c r="H6" s="1" t="s">
        <v>258</v>
      </c>
      <c r="I6" t="s">
        <v>461</v>
      </c>
      <c r="J6" t="s">
        <v>454</v>
      </c>
      <c r="K6" t="s">
        <v>476</v>
      </c>
      <c r="L6" s="1" t="s">
        <v>263</v>
      </c>
      <c r="M6" s="1" t="s">
        <v>266</v>
      </c>
    </row>
    <row r="7" spans="1:15" hidden="1" x14ac:dyDescent="0.25">
      <c r="A7">
        <v>6</v>
      </c>
      <c r="B7">
        <v>1</v>
      </c>
      <c r="C7" t="s">
        <v>466</v>
      </c>
      <c r="D7" s="1" t="s">
        <v>252</v>
      </c>
      <c r="E7" t="s">
        <v>467</v>
      </c>
      <c r="F7" t="s">
        <v>468</v>
      </c>
      <c r="G7" t="s">
        <v>449</v>
      </c>
      <c r="H7" s="1" t="s">
        <v>258</v>
      </c>
      <c r="I7" t="s">
        <v>465</v>
      </c>
      <c r="J7" t="s">
        <v>454</v>
      </c>
      <c r="K7" t="s">
        <v>477</v>
      </c>
      <c r="L7" s="1" t="s">
        <v>263</v>
      </c>
      <c r="M7" s="1" t="s">
        <v>266</v>
      </c>
    </row>
    <row r="8" spans="1:15" hidden="1" x14ac:dyDescent="0.25">
      <c r="A8">
        <v>7</v>
      </c>
      <c r="B8">
        <v>1</v>
      </c>
      <c r="C8" t="s">
        <v>469</v>
      </c>
      <c r="D8" s="1" t="s">
        <v>251</v>
      </c>
      <c r="E8" t="s">
        <v>470</v>
      </c>
      <c r="F8" t="s">
        <v>471</v>
      </c>
      <c r="G8" t="s">
        <v>671</v>
      </c>
      <c r="H8" s="1" t="s">
        <v>258</v>
      </c>
      <c r="I8" t="s">
        <v>473</v>
      </c>
      <c r="J8" t="s">
        <v>454</v>
      </c>
      <c r="K8" t="s">
        <v>474</v>
      </c>
      <c r="L8" s="1" t="s">
        <v>263</v>
      </c>
      <c r="M8" s="1" t="s">
        <v>266</v>
      </c>
    </row>
    <row r="9" spans="1:15" hidden="1" x14ac:dyDescent="0.25">
      <c r="A9" s="7"/>
      <c r="B9" s="7">
        <v>1</v>
      </c>
      <c r="C9" s="7"/>
      <c r="D9" s="7" t="s">
        <v>246</v>
      </c>
      <c r="E9" s="7" t="s">
        <v>470</v>
      </c>
      <c r="F9" s="7"/>
      <c r="G9" s="7"/>
      <c r="H9" s="7"/>
      <c r="I9" s="7"/>
      <c r="J9" s="7"/>
      <c r="K9" s="7"/>
      <c r="L9" s="7" t="s">
        <v>264</v>
      </c>
      <c r="M9" s="7"/>
      <c r="N9" s="7" t="s">
        <v>568</v>
      </c>
    </row>
    <row r="10" spans="1:15" hidden="1" x14ac:dyDescent="0.25">
      <c r="A10" s="7"/>
      <c r="B10" s="7">
        <v>1</v>
      </c>
      <c r="C10" s="7"/>
      <c r="D10" s="7" t="s">
        <v>247</v>
      </c>
      <c r="E10" s="7" t="s">
        <v>470</v>
      </c>
      <c r="F10" s="7"/>
      <c r="G10" s="7"/>
      <c r="H10" s="7"/>
      <c r="I10" s="7"/>
      <c r="J10" s="7"/>
      <c r="K10" s="7"/>
      <c r="L10" s="7" t="s">
        <v>264</v>
      </c>
      <c r="M10" s="7"/>
      <c r="N10" s="7" t="s">
        <v>568</v>
      </c>
    </row>
    <row r="11" spans="1:15" hidden="1" x14ac:dyDescent="0.25">
      <c r="A11" s="7"/>
      <c r="B11" s="7">
        <v>1</v>
      </c>
      <c r="C11" s="7"/>
      <c r="D11" s="7" t="s">
        <v>248</v>
      </c>
      <c r="E11" s="7" t="s">
        <v>470</v>
      </c>
      <c r="F11" s="7"/>
      <c r="G11" s="7"/>
      <c r="H11" s="7"/>
      <c r="I11" s="7"/>
      <c r="J11" s="7"/>
      <c r="K11" s="7"/>
      <c r="L11" s="7" t="s">
        <v>264</v>
      </c>
      <c r="M11" s="7"/>
      <c r="N11" s="7" t="s">
        <v>568</v>
      </c>
    </row>
    <row r="12" spans="1:15" x14ac:dyDescent="0.25">
      <c r="A12" s="4">
        <v>8</v>
      </c>
      <c r="B12" s="4">
        <v>2</v>
      </c>
      <c r="C12" s="4" t="s">
        <v>480</v>
      </c>
      <c r="D12" s="4" t="s">
        <v>247</v>
      </c>
      <c r="E12" s="4" t="s">
        <v>479</v>
      </c>
      <c r="F12" s="4" t="s">
        <v>449</v>
      </c>
      <c r="G12" s="4" t="s">
        <v>449</v>
      </c>
      <c r="H12" s="4" t="s">
        <v>258</v>
      </c>
      <c r="I12" s="4" t="s">
        <v>488</v>
      </c>
      <c r="J12" s="4" t="s">
        <v>454</v>
      </c>
      <c r="K12" s="4" t="s">
        <v>487</v>
      </c>
      <c r="L12" s="4" t="s">
        <v>262</v>
      </c>
      <c r="M12" s="4"/>
      <c r="N12" s="4"/>
    </row>
    <row r="13" spans="1:15" x14ac:dyDescent="0.25">
      <c r="A13" s="4">
        <v>9</v>
      </c>
      <c r="B13" s="4">
        <v>2</v>
      </c>
      <c r="C13" s="4" t="s">
        <v>481</v>
      </c>
      <c r="D13" s="4" t="s">
        <v>249</v>
      </c>
      <c r="E13" s="4" t="s">
        <v>479</v>
      </c>
      <c r="F13" s="4" t="s">
        <v>449</v>
      </c>
      <c r="G13" s="4" t="s">
        <v>449</v>
      </c>
      <c r="H13" s="4" t="s">
        <v>258</v>
      </c>
      <c r="I13" s="4" t="s">
        <v>489</v>
      </c>
      <c r="J13" s="4" t="s">
        <v>454</v>
      </c>
      <c r="K13" s="4" t="s">
        <v>490</v>
      </c>
      <c r="L13" s="4" t="s">
        <v>262</v>
      </c>
      <c r="M13" s="4"/>
      <c r="N13" s="4"/>
    </row>
    <row r="14" spans="1:15" hidden="1" x14ac:dyDescent="0.25">
      <c r="A14">
        <v>10</v>
      </c>
      <c r="B14">
        <v>2</v>
      </c>
      <c r="C14" t="s">
        <v>482</v>
      </c>
      <c r="D14" s="1" t="s">
        <v>249</v>
      </c>
      <c r="E14" t="s">
        <v>479</v>
      </c>
      <c r="F14" t="s">
        <v>449</v>
      </c>
      <c r="G14" t="s">
        <v>449</v>
      </c>
      <c r="H14" s="1" t="s">
        <v>258</v>
      </c>
      <c r="I14" t="s">
        <v>495</v>
      </c>
      <c r="J14" t="s">
        <v>454</v>
      </c>
      <c r="K14" t="s">
        <v>496</v>
      </c>
      <c r="L14" s="1" t="s">
        <v>263</v>
      </c>
      <c r="M14" s="1" t="s">
        <v>266</v>
      </c>
    </row>
    <row r="15" spans="1:15" hidden="1" x14ac:dyDescent="0.25">
      <c r="A15">
        <v>11</v>
      </c>
      <c r="B15">
        <v>2</v>
      </c>
      <c r="C15" t="s">
        <v>483</v>
      </c>
      <c r="D15" s="1" t="s">
        <v>255</v>
      </c>
      <c r="E15" t="s">
        <v>479</v>
      </c>
      <c r="F15" t="s">
        <v>449</v>
      </c>
      <c r="G15" t="s">
        <v>449</v>
      </c>
      <c r="H15" s="1" t="s">
        <v>258</v>
      </c>
      <c r="I15" t="s">
        <v>497</v>
      </c>
      <c r="J15" t="s">
        <v>454</v>
      </c>
      <c r="K15" t="s">
        <v>498</v>
      </c>
      <c r="L15" s="1" t="s">
        <v>263</v>
      </c>
      <c r="M15" s="1" t="s">
        <v>266</v>
      </c>
    </row>
    <row r="16" spans="1:15" hidden="1" x14ac:dyDescent="0.25">
      <c r="A16">
        <v>12</v>
      </c>
      <c r="B16">
        <v>2</v>
      </c>
      <c r="C16" t="s">
        <v>484</v>
      </c>
      <c r="D16" s="1" t="s">
        <v>251</v>
      </c>
      <c r="E16" t="s">
        <v>479</v>
      </c>
      <c r="F16">
        <v>2025</v>
      </c>
      <c r="G16" t="s">
        <v>449</v>
      </c>
      <c r="H16" s="1" t="s">
        <v>258</v>
      </c>
      <c r="I16" t="s">
        <v>499</v>
      </c>
      <c r="J16" t="s">
        <v>454</v>
      </c>
      <c r="K16" t="s">
        <v>500</v>
      </c>
      <c r="L16" s="1" t="s">
        <v>263</v>
      </c>
      <c r="M16" s="1" t="s">
        <v>266</v>
      </c>
    </row>
    <row r="17" spans="1:15" hidden="1" x14ac:dyDescent="0.25">
      <c r="A17">
        <v>13</v>
      </c>
      <c r="B17">
        <v>2</v>
      </c>
      <c r="C17" t="s">
        <v>485</v>
      </c>
      <c r="D17" s="1" t="s">
        <v>254</v>
      </c>
      <c r="E17" t="s">
        <v>479</v>
      </c>
      <c r="F17" t="s">
        <v>502</v>
      </c>
      <c r="G17" t="s">
        <v>449</v>
      </c>
      <c r="H17" s="1" t="s">
        <v>258</v>
      </c>
      <c r="I17" t="s">
        <v>501</v>
      </c>
      <c r="J17" t="s">
        <v>454</v>
      </c>
      <c r="K17" t="s">
        <v>503</v>
      </c>
      <c r="L17" s="1" t="s">
        <v>263</v>
      </c>
      <c r="M17" s="1" t="s">
        <v>270</v>
      </c>
    </row>
    <row r="18" spans="1:15" hidden="1" x14ac:dyDescent="0.25">
      <c r="A18">
        <v>14</v>
      </c>
      <c r="B18">
        <v>2</v>
      </c>
      <c r="C18" t="s">
        <v>486</v>
      </c>
      <c r="D18" s="1" t="s">
        <v>252</v>
      </c>
      <c r="E18" t="s">
        <v>479</v>
      </c>
      <c r="F18" t="s">
        <v>506</v>
      </c>
      <c r="G18" t="s">
        <v>449</v>
      </c>
      <c r="H18" s="1"/>
      <c r="I18" t="s">
        <v>504</v>
      </c>
      <c r="J18" t="s">
        <v>454</v>
      </c>
      <c r="K18" t="s">
        <v>505</v>
      </c>
      <c r="L18" s="1" t="s">
        <v>263</v>
      </c>
      <c r="M18" s="1" t="s">
        <v>266</v>
      </c>
    </row>
    <row r="19" spans="1:15" hidden="1" x14ac:dyDescent="0.25">
      <c r="A19">
        <v>15</v>
      </c>
      <c r="B19">
        <v>2</v>
      </c>
      <c r="C19" t="s">
        <v>492</v>
      </c>
      <c r="D19" s="1" t="s">
        <v>253</v>
      </c>
      <c r="E19" t="s">
        <v>479</v>
      </c>
      <c r="F19" t="s">
        <v>449</v>
      </c>
      <c r="G19" t="s">
        <v>449</v>
      </c>
      <c r="H19" s="1" t="s">
        <v>258</v>
      </c>
      <c r="I19" t="s">
        <v>491</v>
      </c>
      <c r="J19" t="s">
        <v>454</v>
      </c>
      <c r="K19" t="s">
        <v>493</v>
      </c>
      <c r="L19" s="1" t="s">
        <v>263</v>
      </c>
      <c r="M19" s="1" t="s">
        <v>270</v>
      </c>
      <c r="N19" t="s">
        <v>494</v>
      </c>
    </row>
    <row r="20" spans="1:15" hidden="1" x14ac:dyDescent="0.25">
      <c r="A20" s="7"/>
      <c r="B20" s="7">
        <v>2</v>
      </c>
      <c r="C20" s="7"/>
      <c r="D20" s="7" t="s">
        <v>246</v>
      </c>
      <c r="E20" s="7" t="s">
        <v>479</v>
      </c>
      <c r="F20" s="7"/>
      <c r="G20" s="7"/>
      <c r="H20" s="7"/>
      <c r="I20" s="7"/>
      <c r="J20" s="7"/>
      <c r="K20" s="7"/>
      <c r="L20" s="7" t="s">
        <v>264</v>
      </c>
      <c r="M20" s="7"/>
      <c r="N20" s="7" t="s">
        <v>569</v>
      </c>
    </row>
    <row r="21" spans="1:15" hidden="1" x14ac:dyDescent="0.25">
      <c r="A21" s="7"/>
      <c r="B21" s="7">
        <v>2</v>
      </c>
      <c r="C21" s="7"/>
      <c r="D21" s="7" t="s">
        <v>248</v>
      </c>
      <c r="E21" s="7" t="s">
        <v>479</v>
      </c>
      <c r="F21" s="7"/>
      <c r="G21" s="7"/>
      <c r="H21" s="7"/>
      <c r="I21" s="7"/>
      <c r="J21" s="7"/>
      <c r="K21" s="7"/>
      <c r="L21" s="7" t="s">
        <v>264</v>
      </c>
      <c r="M21" s="7"/>
      <c r="N21" s="7" t="s">
        <v>569</v>
      </c>
    </row>
    <row r="22" spans="1:15" x14ac:dyDescent="0.25">
      <c r="A22" s="4">
        <v>16</v>
      </c>
      <c r="B22" s="4">
        <v>3</v>
      </c>
      <c r="C22" s="4" t="s">
        <v>508</v>
      </c>
      <c r="D22" s="4" t="s">
        <v>248</v>
      </c>
      <c r="E22" s="4" t="s">
        <v>514</v>
      </c>
      <c r="F22" s="4" t="s">
        <v>449</v>
      </c>
      <c r="G22" s="4" t="s">
        <v>449</v>
      </c>
      <c r="H22" s="4" t="s">
        <v>258</v>
      </c>
      <c r="I22" s="4" t="s">
        <v>516</v>
      </c>
      <c r="J22" s="4" t="s">
        <v>454</v>
      </c>
      <c r="K22" s="4" t="s">
        <v>517</v>
      </c>
      <c r="L22" s="4" t="s">
        <v>262</v>
      </c>
      <c r="M22" s="4"/>
      <c r="N22" s="4"/>
      <c r="O22" t="s">
        <v>1363</v>
      </c>
    </row>
    <row r="23" spans="1:15" x14ac:dyDescent="0.25">
      <c r="A23" s="4">
        <v>17</v>
      </c>
      <c r="B23" s="4">
        <v>3</v>
      </c>
      <c r="C23" s="4" t="s">
        <v>509</v>
      </c>
      <c r="D23" s="4" t="s">
        <v>249</v>
      </c>
      <c r="E23" s="4" t="s">
        <v>514</v>
      </c>
      <c r="F23" s="4">
        <v>2025</v>
      </c>
      <c r="G23" s="4" t="s">
        <v>449</v>
      </c>
      <c r="H23" s="4" t="s">
        <v>258</v>
      </c>
      <c r="I23" s="4" t="s">
        <v>518</v>
      </c>
      <c r="J23" s="4" t="s">
        <v>454</v>
      </c>
      <c r="K23" s="4" t="s">
        <v>519</v>
      </c>
      <c r="L23" s="4" t="s">
        <v>262</v>
      </c>
      <c r="M23" s="4"/>
      <c r="N23" s="4"/>
      <c r="O23" t="s">
        <v>1363</v>
      </c>
    </row>
    <row r="24" spans="1:15" x14ac:dyDescent="0.25">
      <c r="A24" s="4">
        <v>18</v>
      </c>
      <c r="B24" s="4">
        <v>3</v>
      </c>
      <c r="C24" s="4" t="s">
        <v>510</v>
      </c>
      <c r="D24" s="4" t="s">
        <v>255</v>
      </c>
      <c r="E24" s="4" t="s">
        <v>514</v>
      </c>
      <c r="F24" s="4">
        <v>2025</v>
      </c>
      <c r="G24" s="4" t="s">
        <v>449</v>
      </c>
      <c r="H24" s="4" t="s">
        <v>258</v>
      </c>
      <c r="I24" s="4" t="s">
        <v>520</v>
      </c>
      <c r="J24" s="4" t="s">
        <v>454</v>
      </c>
      <c r="K24" s="4" t="s">
        <v>521</v>
      </c>
      <c r="L24" s="4" t="s">
        <v>262</v>
      </c>
      <c r="M24" s="4"/>
      <c r="N24" s="4"/>
    </row>
    <row r="25" spans="1:15" hidden="1" x14ac:dyDescent="0.25">
      <c r="A25">
        <v>19</v>
      </c>
      <c r="B25">
        <v>3</v>
      </c>
      <c r="C25" t="s">
        <v>511</v>
      </c>
      <c r="D25" s="1" t="s">
        <v>255</v>
      </c>
      <c r="E25" t="s">
        <v>514</v>
      </c>
      <c r="F25" s="8">
        <v>43221</v>
      </c>
      <c r="G25" t="s">
        <v>523</v>
      </c>
      <c r="H25" s="1" t="s">
        <v>258</v>
      </c>
      <c r="I25" t="s">
        <v>522</v>
      </c>
      <c r="J25" t="s">
        <v>454</v>
      </c>
      <c r="K25" t="s">
        <v>524</v>
      </c>
      <c r="L25" s="1" t="s">
        <v>263</v>
      </c>
      <c r="M25" s="1" t="s">
        <v>267</v>
      </c>
    </row>
    <row r="26" spans="1:15" hidden="1" x14ac:dyDescent="0.25">
      <c r="A26">
        <v>20</v>
      </c>
      <c r="B26">
        <v>3</v>
      </c>
      <c r="C26" t="s">
        <v>512</v>
      </c>
      <c r="D26" s="1" t="s">
        <v>251</v>
      </c>
      <c r="E26" t="s">
        <v>514</v>
      </c>
      <c r="F26">
        <v>2023</v>
      </c>
      <c r="G26" t="s">
        <v>449</v>
      </c>
      <c r="H26" s="1" t="s">
        <v>258</v>
      </c>
      <c r="I26" t="s">
        <v>525</v>
      </c>
      <c r="J26" t="s">
        <v>454</v>
      </c>
      <c r="K26" t="s">
        <v>526</v>
      </c>
      <c r="L26" s="1" t="s">
        <v>263</v>
      </c>
      <c r="M26" s="1" t="s">
        <v>267</v>
      </c>
    </row>
    <row r="27" spans="1:15" x14ac:dyDescent="0.25">
      <c r="A27" s="4">
        <v>21</v>
      </c>
      <c r="B27" s="4">
        <v>3</v>
      </c>
      <c r="C27" s="4" t="s">
        <v>513</v>
      </c>
      <c r="D27" s="4" t="s">
        <v>248</v>
      </c>
      <c r="E27" s="4" t="s">
        <v>515</v>
      </c>
      <c r="F27" s="4" t="s">
        <v>449</v>
      </c>
      <c r="G27" s="4" t="s">
        <v>449</v>
      </c>
      <c r="H27" s="4" t="s">
        <v>258</v>
      </c>
      <c r="I27" s="4" t="s">
        <v>527</v>
      </c>
      <c r="J27" s="4" t="s">
        <v>454</v>
      </c>
      <c r="K27" s="4" t="s">
        <v>528</v>
      </c>
      <c r="L27" s="4" t="s">
        <v>262</v>
      </c>
      <c r="M27" s="4"/>
      <c r="N27" s="4" t="s">
        <v>529</v>
      </c>
    </row>
    <row r="28" spans="1:15" hidden="1" x14ac:dyDescent="0.25">
      <c r="A28" s="7"/>
      <c r="B28" s="7">
        <v>3</v>
      </c>
      <c r="C28" s="7"/>
      <c r="D28" s="7" t="s">
        <v>246</v>
      </c>
      <c r="E28" s="7" t="s">
        <v>514</v>
      </c>
      <c r="F28" s="7"/>
      <c r="G28" s="7"/>
      <c r="H28" s="7"/>
      <c r="I28" s="7"/>
      <c r="J28" s="7"/>
      <c r="K28" s="7"/>
      <c r="L28" s="7" t="s">
        <v>264</v>
      </c>
      <c r="M28" s="7"/>
      <c r="N28" s="7" t="s">
        <v>570</v>
      </c>
    </row>
    <row r="29" spans="1:15" hidden="1" x14ac:dyDescent="0.25">
      <c r="A29" s="7"/>
      <c r="B29" s="7">
        <v>3</v>
      </c>
      <c r="C29" s="7"/>
      <c r="D29" s="7" t="s">
        <v>247</v>
      </c>
      <c r="E29" s="7" t="s">
        <v>514</v>
      </c>
      <c r="F29" s="7"/>
      <c r="G29" s="7"/>
      <c r="H29" s="7"/>
      <c r="I29" s="7"/>
      <c r="J29" s="7"/>
      <c r="K29" s="7"/>
      <c r="L29" s="7" t="s">
        <v>264</v>
      </c>
      <c r="M29" s="7"/>
      <c r="N29" s="7" t="s">
        <v>570</v>
      </c>
    </row>
    <row r="30" spans="1:15" x14ac:dyDescent="0.25">
      <c r="A30" s="4">
        <v>22</v>
      </c>
      <c r="B30" s="4">
        <v>4</v>
      </c>
      <c r="C30" s="4" t="s">
        <v>531</v>
      </c>
      <c r="D30" s="4" t="s">
        <v>248</v>
      </c>
      <c r="E30" s="4" t="s">
        <v>536</v>
      </c>
      <c r="F30" s="4" t="s">
        <v>449</v>
      </c>
      <c r="G30" s="4" t="s">
        <v>449</v>
      </c>
      <c r="H30" s="4" t="s">
        <v>258</v>
      </c>
      <c r="I30" s="4" t="s">
        <v>537</v>
      </c>
      <c r="J30" s="4" t="s">
        <v>454</v>
      </c>
      <c r="K30" s="4" t="s">
        <v>538</v>
      </c>
      <c r="L30" s="4" t="s">
        <v>262</v>
      </c>
      <c r="M30" s="4"/>
      <c r="N30" s="4"/>
      <c r="O30" t="s">
        <v>1363</v>
      </c>
    </row>
    <row r="31" spans="1:15" x14ac:dyDescent="0.25">
      <c r="A31" s="4">
        <v>23</v>
      </c>
      <c r="B31" s="4">
        <v>4</v>
      </c>
      <c r="C31" s="4" t="s">
        <v>532</v>
      </c>
      <c r="D31" s="4" t="s">
        <v>249</v>
      </c>
      <c r="E31" s="4" t="s">
        <v>536</v>
      </c>
      <c r="F31" s="4" t="s">
        <v>449</v>
      </c>
      <c r="G31" s="4" t="s">
        <v>449</v>
      </c>
      <c r="H31" s="4" t="s">
        <v>258</v>
      </c>
      <c r="I31" s="4" t="s">
        <v>539</v>
      </c>
      <c r="J31" s="4" t="s">
        <v>454</v>
      </c>
      <c r="K31" s="4" t="s">
        <v>540</v>
      </c>
      <c r="L31" s="4" t="s">
        <v>262</v>
      </c>
      <c r="M31" s="4"/>
      <c r="N31" s="4"/>
      <c r="O31" t="s">
        <v>1363</v>
      </c>
    </row>
    <row r="32" spans="1:15" x14ac:dyDescent="0.25">
      <c r="A32" s="4">
        <v>24</v>
      </c>
      <c r="B32" s="4">
        <v>4</v>
      </c>
      <c r="C32" s="4" t="s">
        <v>533</v>
      </c>
      <c r="D32" s="4" t="s">
        <v>255</v>
      </c>
      <c r="E32" s="4" t="s">
        <v>536</v>
      </c>
      <c r="F32" s="4" t="s">
        <v>449</v>
      </c>
      <c r="G32" s="4" t="s">
        <v>449</v>
      </c>
      <c r="H32" s="4" t="s">
        <v>258</v>
      </c>
      <c r="I32" s="4" t="s">
        <v>541</v>
      </c>
      <c r="J32" s="4" t="s">
        <v>454</v>
      </c>
      <c r="K32" s="4" t="s">
        <v>542</v>
      </c>
      <c r="L32" s="4" t="s">
        <v>262</v>
      </c>
      <c r="M32" s="4"/>
      <c r="N32" s="4"/>
    </row>
    <row r="33" spans="1:15" hidden="1" x14ac:dyDescent="0.25">
      <c r="A33">
        <v>25</v>
      </c>
      <c r="B33">
        <v>4</v>
      </c>
      <c r="C33" t="s">
        <v>534</v>
      </c>
      <c r="D33" s="1" t="s">
        <v>255</v>
      </c>
      <c r="E33" t="s">
        <v>536</v>
      </c>
      <c r="F33" t="s">
        <v>449</v>
      </c>
      <c r="G33" t="s">
        <v>449</v>
      </c>
      <c r="H33" s="1" t="s">
        <v>258</v>
      </c>
      <c r="I33" t="s">
        <v>543</v>
      </c>
      <c r="J33" t="s">
        <v>454</v>
      </c>
      <c r="K33" t="s">
        <v>544</v>
      </c>
      <c r="L33" s="1" t="s">
        <v>263</v>
      </c>
      <c r="M33" s="1" t="s">
        <v>266</v>
      </c>
    </row>
    <row r="34" spans="1:15" hidden="1" x14ac:dyDescent="0.25">
      <c r="A34">
        <v>26</v>
      </c>
      <c r="B34">
        <v>4</v>
      </c>
      <c r="C34" t="s">
        <v>535</v>
      </c>
      <c r="D34" s="1" t="s">
        <v>249</v>
      </c>
      <c r="E34" t="s">
        <v>536</v>
      </c>
      <c r="F34" s="8">
        <v>45474</v>
      </c>
      <c r="G34" t="s">
        <v>449</v>
      </c>
      <c r="H34" s="1" t="s">
        <v>258</v>
      </c>
      <c r="I34" t="s">
        <v>545</v>
      </c>
      <c r="J34" t="s">
        <v>454</v>
      </c>
      <c r="K34" t="s">
        <v>546</v>
      </c>
      <c r="L34" s="1" t="s">
        <v>263</v>
      </c>
      <c r="M34" s="1" t="s">
        <v>266</v>
      </c>
    </row>
    <row r="35" spans="1:15" hidden="1" x14ac:dyDescent="0.25">
      <c r="A35" s="7"/>
      <c r="B35" s="7">
        <v>4</v>
      </c>
      <c r="C35" s="7"/>
      <c r="D35" s="7" t="s">
        <v>246</v>
      </c>
      <c r="E35" s="7" t="s">
        <v>536</v>
      </c>
      <c r="F35" s="7"/>
      <c r="G35" s="7"/>
      <c r="H35" s="7"/>
      <c r="I35" s="7"/>
      <c r="J35" s="7"/>
      <c r="K35" s="7"/>
      <c r="L35" s="7" t="s">
        <v>264</v>
      </c>
      <c r="M35" s="7"/>
      <c r="N35" s="7" t="s">
        <v>570</v>
      </c>
    </row>
    <row r="36" spans="1:15" hidden="1" x14ac:dyDescent="0.25">
      <c r="A36" s="7"/>
      <c r="B36" s="7">
        <v>4</v>
      </c>
      <c r="C36" s="7"/>
      <c r="D36" s="7" t="s">
        <v>247</v>
      </c>
      <c r="E36" s="7" t="s">
        <v>536</v>
      </c>
      <c r="F36" s="7"/>
      <c r="G36" s="7"/>
      <c r="H36" s="7"/>
      <c r="I36" s="7"/>
      <c r="J36" s="7"/>
      <c r="K36" s="7"/>
      <c r="L36" s="7" t="s">
        <v>264</v>
      </c>
      <c r="M36" s="7"/>
      <c r="N36" s="7" t="s">
        <v>570</v>
      </c>
    </row>
    <row r="37" spans="1:15" x14ac:dyDescent="0.25">
      <c r="A37" s="4">
        <v>27</v>
      </c>
      <c r="B37" s="4">
        <v>5</v>
      </c>
      <c r="C37" s="4" t="s">
        <v>550</v>
      </c>
      <c r="D37" s="4" t="s">
        <v>246</v>
      </c>
      <c r="E37" s="4" t="s">
        <v>547</v>
      </c>
      <c r="F37" s="4" t="s">
        <v>449</v>
      </c>
      <c r="G37" s="4" t="s">
        <v>449</v>
      </c>
      <c r="H37" s="4" t="s">
        <v>258</v>
      </c>
      <c r="I37" s="4" t="s">
        <v>548</v>
      </c>
      <c r="J37" s="4" t="s">
        <v>454</v>
      </c>
      <c r="K37" s="4" t="s">
        <v>549</v>
      </c>
      <c r="L37" s="4" t="s">
        <v>262</v>
      </c>
      <c r="M37" s="4"/>
      <c r="N37" s="4"/>
      <c r="O37" t="s">
        <v>1363</v>
      </c>
    </row>
    <row r="38" spans="1:15" x14ac:dyDescent="0.25">
      <c r="A38" s="4">
        <v>28</v>
      </c>
      <c r="B38" s="4">
        <v>5</v>
      </c>
      <c r="C38" s="4" t="s">
        <v>551</v>
      </c>
      <c r="D38" s="4" t="s">
        <v>247</v>
      </c>
      <c r="E38" s="4" t="s">
        <v>547</v>
      </c>
      <c r="F38" s="4" t="s">
        <v>558</v>
      </c>
      <c r="G38" s="4" t="s">
        <v>557</v>
      </c>
      <c r="H38" s="4" t="s">
        <v>258</v>
      </c>
      <c r="I38" s="4" t="s">
        <v>555</v>
      </c>
      <c r="J38" s="4" t="s">
        <v>454</v>
      </c>
      <c r="K38" s="4" t="s">
        <v>556</v>
      </c>
      <c r="L38" s="4" t="s">
        <v>262</v>
      </c>
      <c r="M38" s="4"/>
      <c r="N38" s="4"/>
      <c r="O38" t="s">
        <v>1363</v>
      </c>
    </row>
    <row r="39" spans="1:15" x14ac:dyDescent="0.25">
      <c r="A39" s="4">
        <v>29</v>
      </c>
      <c r="B39" s="4">
        <v>5</v>
      </c>
      <c r="C39" s="4" t="s">
        <v>552</v>
      </c>
      <c r="D39" s="4" t="s">
        <v>249</v>
      </c>
      <c r="E39" s="4" t="s">
        <v>547</v>
      </c>
      <c r="F39" s="4" t="s">
        <v>449</v>
      </c>
      <c r="G39" s="4" t="s">
        <v>449</v>
      </c>
      <c r="H39" s="4" t="s">
        <v>258</v>
      </c>
      <c r="I39" s="4" t="s">
        <v>559</v>
      </c>
      <c r="J39" s="4" t="s">
        <v>454</v>
      </c>
      <c r="K39" s="4" t="s">
        <v>560</v>
      </c>
      <c r="L39" s="4" t="s">
        <v>263</v>
      </c>
      <c r="M39" s="4" t="s">
        <v>266</v>
      </c>
      <c r="N39" s="4" t="s">
        <v>2982</v>
      </c>
    </row>
    <row r="40" spans="1:15" x14ac:dyDescent="0.25">
      <c r="A40" s="4">
        <v>30</v>
      </c>
      <c r="B40" s="4">
        <v>5</v>
      </c>
      <c r="C40" s="4" t="s">
        <v>553</v>
      </c>
      <c r="D40" s="4" t="s">
        <v>248</v>
      </c>
      <c r="E40" s="4" t="s">
        <v>547</v>
      </c>
      <c r="F40" s="4" t="s">
        <v>449</v>
      </c>
      <c r="G40" s="4" t="s">
        <v>449</v>
      </c>
      <c r="H40" s="4" t="s">
        <v>258</v>
      </c>
      <c r="I40" s="4" t="s">
        <v>561</v>
      </c>
      <c r="J40" s="4" t="s">
        <v>454</v>
      </c>
      <c r="K40" s="4" t="s">
        <v>562</v>
      </c>
      <c r="L40" s="4" t="s">
        <v>262</v>
      </c>
      <c r="M40" s="4"/>
      <c r="N40" s="4"/>
    </row>
    <row r="41" spans="1:15" x14ac:dyDescent="0.25">
      <c r="A41" s="4">
        <v>31</v>
      </c>
      <c r="B41" s="4">
        <v>5</v>
      </c>
      <c r="C41" s="4" t="s">
        <v>554</v>
      </c>
      <c r="D41" s="4" t="s">
        <v>255</v>
      </c>
      <c r="E41" s="4" t="s">
        <v>547</v>
      </c>
      <c r="F41" s="9">
        <v>45261</v>
      </c>
      <c r="G41" s="4" t="s">
        <v>449</v>
      </c>
      <c r="H41" s="4" t="s">
        <v>258</v>
      </c>
      <c r="I41" s="4" t="s">
        <v>563</v>
      </c>
      <c r="J41" s="4" t="s">
        <v>454</v>
      </c>
      <c r="K41" s="4" t="s">
        <v>565</v>
      </c>
      <c r="L41" s="4" t="s">
        <v>262</v>
      </c>
      <c r="M41" s="4"/>
      <c r="N41" s="4" t="s">
        <v>564</v>
      </c>
    </row>
    <row r="42" spans="1:15" x14ac:dyDescent="0.25">
      <c r="A42" s="4">
        <v>32</v>
      </c>
      <c r="B42" s="4">
        <v>6</v>
      </c>
      <c r="C42" s="4" t="s">
        <v>572</v>
      </c>
      <c r="D42" s="4" t="s">
        <v>249</v>
      </c>
      <c r="E42" s="4" t="s">
        <v>576</v>
      </c>
      <c r="F42" s="4">
        <v>2024</v>
      </c>
      <c r="G42" s="4" t="s">
        <v>449</v>
      </c>
      <c r="H42" s="4" t="s">
        <v>258</v>
      </c>
      <c r="I42" s="4" t="s">
        <v>577</v>
      </c>
      <c r="J42" s="4" t="s">
        <v>454</v>
      </c>
      <c r="K42" s="4" t="s">
        <v>578</v>
      </c>
      <c r="L42" s="4" t="s">
        <v>263</v>
      </c>
      <c r="M42" s="4" t="s">
        <v>266</v>
      </c>
      <c r="N42" s="4" t="s">
        <v>1619</v>
      </c>
      <c r="O42" t="s">
        <v>1363</v>
      </c>
    </row>
    <row r="43" spans="1:15" hidden="1" x14ac:dyDescent="0.25">
      <c r="A43">
        <v>33</v>
      </c>
      <c r="B43">
        <v>6</v>
      </c>
      <c r="C43" t="s">
        <v>573</v>
      </c>
      <c r="D43" s="1" t="s">
        <v>250</v>
      </c>
      <c r="E43" t="s">
        <v>576</v>
      </c>
      <c r="F43">
        <v>2023</v>
      </c>
      <c r="G43" t="s">
        <v>449</v>
      </c>
      <c r="H43" s="1" t="s">
        <v>258</v>
      </c>
      <c r="I43" t="s">
        <v>579</v>
      </c>
      <c r="J43" t="s">
        <v>454</v>
      </c>
      <c r="K43" t="s">
        <v>580</v>
      </c>
      <c r="L43" s="1" t="s">
        <v>263</v>
      </c>
      <c r="M43" s="1" t="s">
        <v>266</v>
      </c>
    </row>
    <row r="44" spans="1:15" x14ac:dyDescent="0.25">
      <c r="A44" s="4">
        <v>34</v>
      </c>
      <c r="B44" s="4">
        <v>6</v>
      </c>
      <c r="C44" s="4" t="s">
        <v>574</v>
      </c>
      <c r="D44" s="4" t="s">
        <v>252</v>
      </c>
      <c r="E44" s="4" t="s">
        <v>576</v>
      </c>
      <c r="F44" s="4">
        <v>2024</v>
      </c>
      <c r="G44" s="4" t="s">
        <v>449</v>
      </c>
      <c r="H44" s="4" t="s">
        <v>258</v>
      </c>
      <c r="I44" s="4" t="s">
        <v>581</v>
      </c>
      <c r="J44" s="4" t="s">
        <v>454</v>
      </c>
      <c r="K44" s="4" t="s">
        <v>584</v>
      </c>
      <c r="L44" s="4" t="s">
        <v>262</v>
      </c>
      <c r="M44" s="4"/>
      <c r="N44" s="4"/>
      <c r="O44" t="s">
        <v>1363</v>
      </c>
    </row>
    <row r="45" spans="1:15" hidden="1" x14ac:dyDescent="0.25"/>
    <row r="46" spans="1:15" x14ac:dyDescent="0.25">
      <c r="A46" s="4">
        <v>36</v>
      </c>
      <c r="B46" s="4">
        <v>6</v>
      </c>
      <c r="C46" s="4" t="s">
        <v>575</v>
      </c>
      <c r="D46" s="4" t="s">
        <v>255</v>
      </c>
      <c r="E46" s="4" t="s">
        <v>576</v>
      </c>
      <c r="F46" s="4" t="s">
        <v>583</v>
      </c>
      <c r="G46" s="4" t="s">
        <v>449</v>
      </c>
      <c r="H46" s="4" t="s">
        <v>258</v>
      </c>
      <c r="I46" s="4" t="s">
        <v>582</v>
      </c>
      <c r="J46" s="4" t="s">
        <v>454</v>
      </c>
      <c r="K46" s="4" t="s">
        <v>1361</v>
      </c>
      <c r="L46" s="4" t="s">
        <v>262</v>
      </c>
      <c r="M46" s="4"/>
      <c r="N46" s="4" t="s">
        <v>564</v>
      </c>
    </row>
    <row r="47" spans="1:15" hidden="1" x14ac:dyDescent="0.25">
      <c r="A47" s="7"/>
      <c r="B47" s="7">
        <v>6</v>
      </c>
      <c r="C47" s="7"/>
      <c r="D47" s="7" t="s">
        <v>246</v>
      </c>
      <c r="E47" s="7" t="s">
        <v>576</v>
      </c>
      <c r="F47" s="7"/>
      <c r="G47" s="7"/>
      <c r="H47" s="7"/>
      <c r="I47" s="7"/>
      <c r="J47" s="7"/>
      <c r="K47" s="7"/>
      <c r="L47" s="7" t="s">
        <v>264</v>
      </c>
      <c r="M47" s="7"/>
      <c r="N47" s="7" t="s">
        <v>568</v>
      </c>
    </row>
    <row r="48" spans="1:15" hidden="1" x14ac:dyDescent="0.25">
      <c r="A48" s="7"/>
      <c r="B48" s="7">
        <v>6</v>
      </c>
      <c r="C48" s="7"/>
      <c r="D48" s="7" t="s">
        <v>247</v>
      </c>
      <c r="E48" s="7" t="s">
        <v>576</v>
      </c>
      <c r="F48" s="7"/>
      <c r="G48" s="7"/>
      <c r="H48" s="7"/>
      <c r="I48" s="7"/>
      <c r="J48" s="7"/>
      <c r="K48" s="7"/>
      <c r="L48" s="7" t="s">
        <v>264</v>
      </c>
      <c r="M48" s="7"/>
      <c r="N48" s="7" t="s">
        <v>568</v>
      </c>
    </row>
    <row r="49" spans="1:15" hidden="1" x14ac:dyDescent="0.25">
      <c r="A49" s="7"/>
      <c r="B49" s="7">
        <v>6</v>
      </c>
      <c r="C49" s="7"/>
      <c r="D49" s="7" t="s">
        <v>248</v>
      </c>
      <c r="E49" s="7" t="s">
        <v>576</v>
      </c>
      <c r="F49" s="7"/>
      <c r="G49" s="7"/>
      <c r="H49" s="7"/>
      <c r="I49" s="7"/>
      <c r="J49" s="7"/>
      <c r="K49" s="7"/>
      <c r="L49" s="7" t="s">
        <v>264</v>
      </c>
      <c r="M49" s="7"/>
      <c r="N49" s="7" t="s">
        <v>568</v>
      </c>
    </row>
    <row r="50" spans="1:15" x14ac:dyDescent="0.25">
      <c r="A50" s="4">
        <v>37</v>
      </c>
      <c r="B50" s="4">
        <v>7</v>
      </c>
      <c r="C50" s="4" t="s">
        <v>586</v>
      </c>
      <c r="D50" s="4" t="s">
        <v>246</v>
      </c>
      <c r="E50" s="4" t="s">
        <v>591</v>
      </c>
      <c r="F50" s="4" t="s">
        <v>592</v>
      </c>
      <c r="G50" s="4" t="s">
        <v>449</v>
      </c>
      <c r="H50" s="4" t="s">
        <v>258</v>
      </c>
      <c r="I50" s="4" t="s">
        <v>593</v>
      </c>
      <c r="J50" s="4" t="s">
        <v>454</v>
      </c>
      <c r="K50" s="4" t="s">
        <v>594</v>
      </c>
      <c r="L50" s="4" t="s">
        <v>262</v>
      </c>
      <c r="M50" s="4"/>
      <c r="N50" s="4"/>
      <c r="O50" t="s">
        <v>1363</v>
      </c>
    </row>
    <row r="51" spans="1:15" x14ac:dyDescent="0.25">
      <c r="A51" s="4">
        <v>38</v>
      </c>
      <c r="B51" s="4">
        <v>7</v>
      </c>
      <c r="C51" s="4" t="s">
        <v>587</v>
      </c>
      <c r="D51" s="4" t="s">
        <v>248</v>
      </c>
      <c r="E51" s="4" t="s">
        <v>591</v>
      </c>
      <c r="F51" s="4" t="s">
        <v>596</v>
      </c>
      <c r="G51" s="4" t="s">
        <v>449</v>
      </c>
      <c r="H51" s="4" t="s">
        <v>258</v>
      </c>
      <c r="I51" s="4" t="s">
        <v>595</v>
      </c>
      <c r="J51" s="4" t="s">
        <v>454</v>
      </c>
      <c r="K51" s="4" t="s">
        <v>597</v>
      </c>
      <c r="L51" s="4" t="s">
        <v>262</v>
      </c>
      <c r="M51" s="4"/>
      <c r="N51" s="4"/>
      <c r="O51" t="s">
        <v>1363</v>
      </c>
    </row>
    <row r="52" spans="1:15" hidden="1" x14ac:dyDescent="0.25">
      <c r="A52">
        <v>39</v>
      </c>
      <c r="B52">
        <v>7</v>
      </c>
      <c r="C52" t="s">
        <v>588</v>
      </c>
      <c r="D52" s="1" t="s">
        <v>249</v>
      </c>
      <c r="E52" t="s">
        <v>591</v>
      </c>
      <c r="F52" t="s">
        <v>599</v>
      </c>
      <c r="G52" t="s">
        <v>449</v>
      </c>
      <c r="H52" s="1" t="s">
        <v>258</v>
      </c>
      <c r="I52" t="s">
        <v>598</v>
      </c>
      <c r="J52" t="s">
        <v>454</v>
      </c>
      <c r="K52" t="s">
        <v>600</v>
      </c>
      <c r="L52" s="1" t="s">
        <v>263</v>
      </c>
      <c r="M52" s="1" t="s">
        <v>266</v>
      </c>
    </row>
    <row r="53" spans="1:15" hidden="1" x14ac:dyDescent="0.25">
      <c r="A53">
        <v>40</v>
      </c>
      <c r="B53">
        <v>7</v>
      </c>
      <c r="C53" t="s">
        <v>590</v>
      </c>
      <c r="D53" s="1" t="s">
        <v>249</v>
      </c>
      <c r="E53" t="s">
        <v>591</v>
      </c>
      <c r="F53" t="s">
        <v>599</v>
      </c>
      <c r="G53" t="s">
        <v>449</v>
      </c>
      <c r="H53" s="1" t="s">
        <v>258</v>
      </c>
      <c r="I53" t="s">
        <v>601</v>
      </c>
      <c r="J53" t="s">
        <v>454</v>
      </c>
      <c r="K53" t="s">
        <v>602</v>
      </c>
      <c r="L53" s="1" t="s">
        <v>263</v>
      </c>
      <c r="M53" s="1" t="s">
        <v>266</v>
      </c>
    </row>
    <row r="54" spans="1:15" hidden="1" x14ac:dyDescent="0.25">
      <c r="A54">
        <v>41</v>
      </c>
      <c r="B54">
        <v>7</v>
      </c>
      <c r="C54" t="s">
        <v>589</v>
      </c>
      <c r="D54" s="1" t="s">
        <v>250</v>
      </c>
      <c r="E54" t="s">
        <v>591</v>
      </c>
      <c r="F54" t="s">
        <v>449</v>
      </c>
      <c r="G54" t="s">
        <v>449</v>
      </c>
      <c r="H54" s="1" t="s">
        <v>258</v>
      </c>
      <c r="I54" t="s">
        <v>603</v>
      </c>
      <c r="J54" t="s">
        <v>454</v>
      </c>
      <c r="K54" t="s">
        <v>604</v>
      </c>
      <c r="L54" s="1" t="s">
        <v>263</v>
      </c>
      <c r="M54" s="1" t="s">
        <v>266</v>
      </c>
    </row>
    <row r="55" spans="1:15" hidden="1" x14ac:dyDescent="0.25">
      <c r="A55" s="7"/>
      <c r="B55" s="7">
        <v>7</v>
      </c>
      <c r="C55" s="7"/>
      <c r="D55" s="7" t="s">
        <v>247</v>
      </c>
      <c r="E55" s="7" t="s">
        <v>591</v>
      </c>
      <c r="F55" s="7"/>
      <c r="G55" s="7"/>
      <c r="H55" s="7"/>
      <c r="I55" s="7"/>
      <c r="J55" s="7"/>
      <c r="K55" s="7"/>
      <c r="L55" s="7" t="s">
        <v>264</v>
      </c>
      <c r="M55" s="7"/>
      <c r="N55" s="7" t="s">
        <v>605</v>
      </c>
    </row>
    <row r="56" spans="1:15" hidden="1" x14ac:dyDescent="0.25">
      <c r="A56">
        <v>42</v>
      </c>
      <c r="B56">
        <v>8</v>
      </c>
      <c r="C56" t="s">
        <v>609</v>
      </c>
      <c r="D56" s="1" t="s">
        <v>249</v>
      </c>
      <c r="E56" t="s">
        <v>607</v>
      </c>
      <c r="F56">
        <v>2024</v>
      </c>
      <c r="G56" t="s">
        <v>449</v>
      </c>
      <c r="H56" s="1" t="s">
        <v>258</v>
      </c>
      <c r="I56" t="s">
        <v>613</v>
      </c>
      <c r="J56" t="s">
        <v>608</v>
      </c>
      <c r="K56" t="s">
        <v>614</v>
      </c>
      <c r="L56" s="1" t="s">
        <v>263</v>
      </c>
      <c r="M56" s="1" t="s">
        <v>266</v>
      </c>
      <c r="N56" t="s">
        <v>622</v>
      </c>
    </row>
    <row r="57" spans="1:15" hidden="1" x14ac:dyDescent="0.25">
      <c r="A57">
        <v>43</v>
      </c>
      <c r="B57">
        <v>8</v>
      </c>
      <c r="C57" t="s">
        <v>610</v>
      </c>
      <c r="D57" s="1" t="s">
        <v>249</v>
      </c>
      <c r="E57" t="s">
        <v>607</v>
      </c>
      <c r="F57">
        <v>2023</v>
      </c>
      <c r="G57" t="s">
        <v>449</v>
      </c>
      <c r="H57" s="1" t="s">
        <v>258</v>
      </c>
      <c r="I57" t="s">
        <v>615</v>
      </c>
      <c r="J57" t="s">
        <v>608</v>
      </c>
      <c r="K57" t="s">
        <v>617</v>
      </c>
      <c r="L57" s="1" t="s">
        <v>263</v>
      </c>
      <c r="M57" s="1" t="s">
        <v>266</v>
      </c>
      <c r="N57" t="s">
        <v>623</v>
      </c>
    </row>
    <row r="58" spans="1:15" hidden="1" x14ac:dyDescent="0.25">
      <c r="A58">
        <v>44</v>
      </c>
      <c r="B58">
        <v>8</v>
      </c>
      <c r="C58" t="s">
        <v>611</v>
      </c>
      <c r="D58" s="1" t="s">
        <v>251</v>
      </c>
      <c r="E58" t="s">
        <v>607</v>
      </c>
      <c r="F58" t="s">
        <v>449</v>
      </c>
      <c r="G58" t="s">
        <v>449</v>
      </c>
      <c r="H58" s="1" t="s">
        <v>258</v>
      </c>
      <c r="I58" t="s">
        <v>616</v>
      </c>
      <c r="J58" t="s">
        <v>608</v>
      </c>
      <c r="K58" t="s">
        <v>618</v>
      </c>
      <c r="L58" s="1" t="s">
        <v>263</v>
      </c>
      <c r="M58" s="1" t="s">
        <v>266</v>
      </c>
      <c r="N58" t="s">
        <v>624</v>
      </c>
    </row>
    <row r="59" spans="1:15" hidden="1" x14ac:dyDescent="0.25">
      <c r="A59">
        <v>45</v>
      </c>
      <c r="B59">
        <v>8</v>
      </c>
      <c r="C59" t="s">
        <v>612</v>
      </c>
      <c r="D59" s="1" t="s">
        <v>254</v>
      </c>
      <c r="E59" t="s">
        <v>607</v>
      </c>
      <c r="F59" t="s">
        <v>620</v>
      </c>
      <c r="G59" t="s">
        <v>449</v>
      </c>
      <c r="H59" s="1" t="s">
        <v>258</v>
      </c>
      <c r="I59" t="s">
        <v>619</v>
      </c>
      <c r="J59" t="s">
        <v>608</v>
      </c>
      <c r="K59" t="s">
        <v>621</v>
      </c>
      <c r="L59" s="1" t="s">
        <v>263</v>
      </c>
      <c r="M59" s="1" t="s">
        <v>270</v>
      </c>
    </row>
    <row r="60" spans="1:15" hidden="1" x14ac:dyDescent="0.25">
      <c r="A60" s="7"/>
      <c r="B60" s="7">
        <v>8</v>
      </c>
      <c r="C60" s="7"/>
      <c r="D60" s="7" t="s">
        <v>246</v>
      </c>
      <c r="E60" s="7" t="s">
        <v>607</v>
      </c>
      <c r="F60" s="7"/>
      <c r="G60" s="7"/>
      <c r="H60" s="7"/>
      <c r="I60" s="7"/>
      <c r="J60" s="7"/>
      <c r="K60" s="7"/>
      <c r="L60" s="7" t="s">
        <v>264</v>
      </c>
      <c r="M60" s="7"/>
      <c r="N60" s="7" t="s">
        <v>625</v>
      </c>
    </row>
    <row r="61" spans="1:15" hidden="1" x14ac:dyDescent="0.25">
      <c r="A61" s="7"/>
      <c r="B61" s="7">
        <v>8</v>
      </c>
      <c r="C61" s="7"/>
      <c r="D61" s="7" t="s">
        <v>247</v>
      </c>
      <c r="E61" s="7" t="s">
        <v>607</v>
      </c>
      <c r="F61" s="7"/>
      <c r="G61" s="7"/>
      <c r="H61" s="7"/>
      <c r="I61" s="7"/>
      <c r="J61" s="7"/>
      <c r="K61" s="7"/>
      <c r="L61" s="7" t="s">
        <v>264</v>
      </c>
      <c r="M61" s="7"/>
      <c r="N61" s="7" t="s">
        <v>625</v>
      </c>
    </row>
    <row r="62" spans="1:15" hidden="1" x14ac:dyDescent="0.25">
      <c r="A62" s="7"/>
      <c r="B62" s="7">
        <v>8</v>
      </c>
      <c r="C62" s="7"/>
      <c r="D62" s="7" t="s">
        <v>248</v>
      </c>
      <c r="E62" s="7" t="s">
        <v>607</v>
      </c>
      <c r="F62" s="7"/>
      <c r="G62" s="7"/>
      <c r="H62" s="7"/>
      <c r="I62" s="7"/>
      <c r="J62" s="7"/>
      <c r="K62" s="7"/>
      <c r="L62" s="7" t="s">
        <v>264</v>
      </c>
      <c r="M62" s="7"/>
      <c r="N62" s="7" t="s">
        <v>625</v>
      </c>
    </row>
    <row r="63" spans="1:15" x14ac:dyDescent="0.25">
      <c r="A63" s="4">
        <v>46</v>
      </c>
      <c r="B63" s="4">
        <v>9</v>
      </c>
      <c r="C63" s="4" t="s">
        <v>627</v>
      </c>
      <c r="D63" s="4" t="s">
        <v>246</v>
      </c>
      <c r="E63" s="4" t="s">
        <v>632</v>
      </c>
      <c r="F63" s="4" t="s">
        <v>633</v>
      </c>
      <c r="G63" s="4" t="s">
        <v>472</v>
      </c>
      <c r="H63" s="4" t="s">
        <v>259</v>
      </c>
      <c r="I63" s="4" t="s">
        <v>635</v>
      </c>
      <c r="J63" s="4" t="s">
        <v>608</v>
      </c>
      <c r="K63" s="4" t="s">
        <v>634</v>
      </c>
      <c r="L63" s="4" t="s">
        <v>262</v>
      </c>
      <c r="M63" s="4"/>
      <c r="N63" s="4" t="s">
        <v>647</v>
      </c>
    </row>
    <row r="64" spans="1:15" hidden="1" x14ac:dyDescent="0.25">
      <c r="A64">
        <v>47</v>
      </c>
      <c r="B64">
        <v>9</v>
      </c>
      <c r="C64" t="s">
        <v>628</v>
      </c>
      <c r="D64" s="1" t="s">
        <v>254</v>
      </c>
      <c r="E64" t="s">
        <v>632</v>
      </c>
      <c r="F64" t="s">
        <v>636</v>
      </c>
      <c r="G64" t="s">
        <v>449</v>
      </c>
      <c r="H64" s="1" t="s">
        <v>259</v>
      </c>
      <c r="I64" t="s">
        <v>637</v>
      </c>
      <c r="J64" t="s">
        <v>608</v>
      </c>
      <c r="K64" t="s">
        <v>638</v>
      </c>
      <c r="L64" s="1" t="s">
        <v>263</v>
      </c>
      <c r="M64" s="1" t="s">
        <v>270</v>
      </c>
    </row>
    <row r="65" spans="1:14" x14ac:dyDescent="0.25">
      <c r="A65" s="4">
        <v>48</v>
      </c>
      <c r="B65" s="4">
        <v>9</v>
      </c>
      <c r="C65" s="4" t="s">
        <v>629</v>
      </c>
      <c r="D65" s="4" t="s">
        <v>247</v>
      </c>
      <c r="E65" s="4" t="s">
        <v>632</v>
      </c>
      <c r="F65" s="4" t="s">
        <v>639</v>
      </c>
      <c r="G65" s="4" t="s">
        <v>472</v>
      </c>
      <c r="H65" s="4" t="s">
        <v>259</v>
      </c>
      <c r="I65" s="4" t="s">
        <v>640</v>
      </c>
      <c r="J65" s="4" t="s">
        <v>608</v>
      </c>
      <c r="K65" s="4" t="s">
        <v>641</v>
      </c>
      <c r="L65" s="4" t="s">
        <v>262</v>
      </c>
      <c r="M65" s="4"/>
      <c r="N65" s="4"/>
    </row>
    <row r="66" spans="1:14" hidden="1" x14ac:dyDescent="0.25">
      <c r="A66">
        <v>49</v>
      </c>
      <c r="B66">
        <v>9</v>
      </c>
      <c r="C66" t="s">
        <v>630</v>
      </c>
      <c r="D66" s="1" t="s">
        <v>249</v>
      </c>
      <c r="E66" t="s">
        <v>632</v>
      </c>
      <c r="F66">
        <v>2024</v>
      </c>
      <c r="G66" t="s">
        <v>643</v>
      </c>
      <c r="H66" s="1" t="s">
        <v>259</v>
      </c>
      <c r="I66" t="s">
        <v>642</v>
      </c>
      <c r="J66" t="s">
        <v>608</v>
      </c>
      <c r="K66" t="s">
        <v>644</v>
      </c>
      <c r="L66" s="1" t="s">
        <v>263</v>
      </c>
      <c r="M66" s="1" t="s">
        <v>266</v>
      </c>
    </row>
    <row r="67" spans="1:14" hidden="1" x14ac:dyDescent="0.25">
      <c r="A67">
        <v>50</v>
      </c>
      <c r="B67">
        <v>9</v>
      </c>
      <c r="C67" t="s">
        <v>631</v>
      </c>
      <c r="D67" s="1" t="s">
        <v>250</v>
      </c>
      <c r="E67" t="s">
        <v>632</v>
      </c>
      <c r="F67" t="s">
        <v>449</v>
      </c>
      <c r="G67" t="s">
        <v>449</v>
      </c>
      <c r="H67" s="1" t="s">
        <v>258</v>
      </c>
      <c r="I67" t="s">
        <v>645</v>
      </c>
      <c r="J67" t="s">
        <v>608</v>
      </c>
      <c r="K67" t="s">
        <v>646</v>
      </c>
      <c r="L67" s="1" t="s">
        <v>263</v>
      </c>
      <c r="M67" s="1" t="s">
        <v>266</v>
      </c>
    </row>
    <row r="68" spans="1:14" hidden="1" x14ac:dyDescent="0.25">
      <c r="A68">
        <v>51</v>
      </c>
      <c r="B68">
        <v>10</v>
      </c>
      <c r="C68" t="s">
        <v>648</v>
      </c>
      <c r="D68" s="1" t="s">
        <v>254</v>
      </c>
      <c r="E68" t="s">
        <v>649</v>
      </c>
      <c r="F68" t="s">
        <v>654</v>
      </c>
      <c r="G68" t="s">
        <v>449</v>
      </c>
      <c r="H68" s="1" t="s">
        <v>258</v>
      </c>
      <c r="I68" t="s">
        <v>658</v>
      </c>
      <c r="J68" t="s">
        <v>608</v>
      </c>
      <c r="K68" t="s">
        <v>659</v>
      </c>
      <c r="L68" s="1" t="s">
        <v>263</v>
      </c>
      <c r="M68" s="1" t="s">
        <v>270</v>
      </c>
    </row>
    <row r="69" spans="1:14" x14ac:dyDescent="0.25">
      <c r="A69" s="4">
        <v>52</v>
      </c>
      <c r="B69" s="4">
        <v>10</v>
      </c>
      <c r="C69" s="4" t="s">
        <v>650</v>
      </c>
      <c r="D69" s="4" t="s">
        <v>249</v>
      </c>
      <c r="E69" s="4" t="s">
        <v>649</v>
      </c>
      <c r="F69" s="9">
        <v>46023</v>
      </c>
      <c r="G69" s="9" t="s">
        <v>655</v>
      </c>
      <c r="H69" s="4" t="s">
        <v>258</v>
      </c>
      <c r="I69" s="4" t="s">
        <v>660</v>
      </c>
      <c r="J69" s="4" t="s">
        <v>608</v>
      </c>
      <c r="K69" s="4" t="s">
        <v>661</v>
      </c>
      <c r="L69" s="4" t="s">
        <v>262</v>
      </c>
      <c r="M69" s="4"/>
      <c r="N69" s="4"/>
    </row>
    <row r="70" spans="1:14" x14ac:dyDescent="0.25">
      <c r="A70" s="4">
        <v>53</v>
      </c>
      <c r="B70" s="4">
        <v>10</v>
      </c>
      <c r="C70" s="4" t="s">
        <v>651</v>
      </c>
      <c r="D70" s="4" t="s">
        <v>249</v>
      </c>
      <c r="E70" s="4" t="s">
        <v>649</v>
      </c>
      <c r="F70" s="4" t="s">
        <v>449</v>
      </c>
      <c r="G70" s="4" t="s">
        <v>656</v>
      </c>
      <c r="H70" s="4" t="s">
        <v>258</v>
      </c>
      <c r="I70" s="4" t="s">
        <v>662</v>
      </c>
      <c r="J70" s="4" t="s">
        <v>608</v>
      </c>
      <c r="K70" s="4" t="s">
        <v>663</v>
      </c>
      <c r="L70" s="4" t="s">
        <v>262</v>
      </c>
      <c r="M70" s="4"/>
      <c r="N70" s="4" t="s">
        <v>664</v>
      </c>
    </row>
    <row r="71" spans="1:14" hidden="1" x14ac:dyDescent="0.25">
      <c r="A71">
        <v>54</v>
      </c>
      <c r="B71">
        <v>10</v>
      </c>
      <c r="C71" t="s">
        <v>653</v>
      </c>
      <c r="D71" s="1" t="s">
        <v>254</v>
      </c>
      <c r="E71" t="s">
        <v>649</v>
      </c>
      <c r="F71" t="s">
        <v>666</v>
      </c>
      <c r="G71" t="s">
        <v>449</v>
      </c>
      <c r="H71" s="1" t="s">
        <v>258</v>
      </c>
      <c r="I71" t="s">
        <v>665</v>
      </c>
      <c r="J71" t="s">
        <v>608</v>
      </c>
      <c r="K71" t="s">
        <v>667</v>
      </c>
      <c r="L71" s="1" t="s">
        <v>263</v>
      </c>
      <c r="M71" s="1" t="s">
        <v>270</v>
      </c>
    </row>
    <row r="72" spans="1:14" hidden="1" x14ac:dyDescent="0.25">
      <c r="A72">
        <v>55</v>
      </c>
      <c r="B72">
        <v>10</v>
      </c>
      <c r="C72" t="s">
        <v>652</v>
      </c>
      <c r="D72" s="1" t="s">
        <v>251</v>
      </c>
      <c r="E72" t="s">
        <v>649</v>
      </c>
      <c r="F72">
        <v>2022</v>
      </c>
      <c r="G72" t="s">
        <v>449</v>
      </c>
      <c r="H72" s="1" t="s">
        <v>258</v>
      </c>
      <c r="I72" t="s">
        <v>668</v>
      </c>
      <c r="J72" t="s">
        <v>608</v>
      </c>
      <c r="K72" t="s">
        <v>669</v>
      </c>
      <c r="L72" s="1" t="s">
        <v>263</v>
      </c>
      <c r="M72" s="1" t="s">
        <v>267</v>
      </c>
      <c r="N72" t="s">
        <v>670</v>
      </c>
    </row>
    <row r="73" spans="1:14" hidden="1" x14ac:dyDescent="0.25">
      <c r="A73" s="7"/>
      <c r="B73" s="7">
        <v>10</v>
      </c>
      <c r="C73" s="7"/>
      <c r="D73" s="7" t="s">
        <v>246</v>
      </c>
      <c r="E73" s="7" t="s">
        <v>649</v>
      </c>
      <c r="F73" s="7"/>
      <c r="G73" s="7"/>
      <c r="H73" s="7"/>
      <c r="I73" s="7"/>
      <c r="J73" s="7"/>
      <c r="K73" s="7"/>
      <c r="L73" s="7" t="s">
        <v>264</v>
      </c>
      <c r="M73" s="7"/>
      <c r="N73" s="7" t="s">
        <v>625</v>
      </c>
    </row>
    <row r="74" spans="1:14" hidden="1" x14ac:dyDescent="0.25">
      <c r="A74" s="7"/>
      <c r="B74" s="7">
        <v>10</v>
      </c>
      <c r="C74" s="7"/>
      <c r="D74" s="7" t="s">
        <v>247</v>
      </c>
      <c r="E74" s="7" t="s">
        <v>649</v>
      </c>
      <c r="F74" s="7"/>
      <c r="G74" s="7"/>
      <c r="H74" s="7"/>
      <c r="I74" s="7"/>
      <c r="J74" s="7"/>
      <c r="K74" s="7"/>
      <c r="L74" s="7" t="s">
        <v>264</v>
      </c>
      <c r="M74" s="7"/>
      <c r="N74" s="7" t="s">
        <v>625</v>
      </c>
    </row>
    <row r="75" spans="1:14" hidden="1" x14ac:dyDescent="0.25">
      <c r="A75" s="7"/>
      <c r="B75" s="7">
        <v>10</v>
      </c>
      <c r="C75" s="7"/>
      <c r="D75" s="7" t="s">
        <v>248</v>
      </c>
      <c r="E75" s="7" t="s">
        <v>649</v>
      </c>
      <c r="F75" s="7"/>
      <c r="G75" s="7"/>
      <c r="H75" s="7"/>
      <c r="I75" s="7"/>
      <c r="J75" s="7"/>
      <c r="K75" s="7"/>
      <c r="L75" s="7" t="s">
        <v>264</v>
      </c>
      <c r="M75" s="7"/>
      <c r="N75" s="7" t="s">
        <v>625</v>
      </c>
    </row>
    <row r="76" spans="1:14" x14ac:dyDescent="0.25">
      <c r="A76" s="4">
        <v>56</v>
      </c>
      <c r="B76" s="4">
        <v>11</v>
      </c>
      <c r="C76" s="4" t="s">
        <v>673</v>
      </c>
      <c r="D76" s="4" t="s">
        <v>249</v>
      </c>
      <c r="E76" s="4" t="s">
        <v>679</v>
      </c>
      <c r="F76" s="4" t="s">
        <v>449</v>
      </c>
      <c r="G76" s="4" t="s">
        <v>449</v>
      </c>
      <c r="H76" s="4" t="s">
        <v>258</v>
      </c>
      <c r="I76" s="4" t="s">
        <v>680</v>
      </c>
      <c r="J76" s="4" t="s">
        <v>608</v>
      </c>
      <c r="K76" s="4" t="s">
        <v>685</v>
      </c>
      <c r="L76" s="4" t="s">
        <v>262</v>
      </c>
      <c r="M76" s="4"/>
      <c r="N76" s="4" t="s">
        <v>693</v>
      </c>
    </row>
    <row r="77" spans="1:14" x14ac:dyDescent="0.25">
      <c r="A77" s="4">
        <v>57</v>
      </c>
      <c r="B77" s="4">
        <v>11</v>
      </c>
      <c r="C77" s="4" t="s">
        <v>674</v>
      </c>
      <c r="D77" s="4" t="s">
        <v>246</v>
      </c>
      <c r="E77" s="4" t="s">
        <v>679</v>
      </c>
      <c r="F77" s="4" t="s">
        <v>686</v>
      </c>
      <c r="G77" s="4" t="s">
        <v>449</v>
      </c>
      <c r="H77" s="4" t="s">
        <v>258</v>
      </c>
      <c r="I77" s="4" t="s">
        <v>681</v>
      </c>
      <c r="J77" s="4" t="s">
        <v>608</v>
      </c>
      <c r="K77" s="4" t="s">
        <v>687</v>
      </c>
      <c r="L77" s="4" t="s">
        <v>262</v>
      </c>
      <c r="M77" s="4"/>
      <c r="N77" s="4" t="s">
        <v>694</v>
      </c>
    </row>
    <row r="78" spans="1:14" hidden="1" x14ac:dyDescent="0.25">
      <c r="A78">
        <v>58</v>
      </c>
      <c r="B78">
        <v>11</v>
      </c>
      <c r="C78" t="s">
        <v>675</v>
      </c>
      <c r="D78" s="1" t="s">
        <v>255</v>
      </c>
      <c r="E78" t="s">
        <v>679</v>
      </c>
      <c r="F78" s="8">
        <v>44866</v>
      </c>
      <c r="G78" t="s">
        <v>449</v>
      </c>
      <c r="H78" s="1" t="s">
        <v>258</v>
      </c>
      <c r="I78" t="s">
        <v>682</v>
      </c>
      <c r="J78" t="s">
        <v>608</v>
      </c>
      <c r="K78" t="s">
        <v>688</v>
      </c>
      <c r="L78" s="1" t="s">
        <v>263</v>
      </c>
      <c r="M78" s="1" t="s">
        <v>267</v>
      </c>
    </row>
    <row r="79" spans="1:14" hidden="1" x14ac:dyDescent="0.25">
      <c r="A79">
        <v>59</v>
      </c>
      <c r="B79">
        <v>11</v>
      </c>
      <c r="C79" t="s">
        <v>676</v>
      </c>
      <c r="D79" s="1" t="s">
        <v>249</v>
      </c>
      <c r="E79" t="s">
        <v>679</v>
      </c>
      <c r="F79" t="s">
        <v>449</v>
      </c>
      <c r="G79" t="s">
        <v>449</v>
      </c>
      <c r="H79" s="1" t="s">
        <v>258</v>
      </c>
      <c r="I79" t="s">
        <v>683</v>
      </c>
      <c r="J79" t="s">
        <v>608</v>
      </c>
      <c r="K79" t="s">
        <v>689</v>
      </c>
      <c r="L79" s="1" t="s">
        <v>263</v>
      </c>
      <c r="M79" s="1" t="s">
        <v>266</v>
      </c>
    </row>
    <row r="80" spans="1:14" hidden="1" x14ac:dyDescent="0.25">
      <c r="A80">
        <v>60</v>
      </c>
      <c r="B80">
        <v>11</v>
      </c>
      <c r="C80" t="s">
        <v>677</v>
      </c>
      <c r="D80" s="1" t="s">
        <v>255</v>
      </c>
      <c r="E80" t="s">
        <v>679</v>
      </c>
      <c r="F80" t="s">
        <v>449</v>
      </c>
      <c r="G80" t="s">
        <v>449</v>
      </c>
      <c r="H80" s="1" t="s">
        <v>258</v>
      </c>
      <c r="I80" t="s">
        <v>684</v>
      </c>
      <c r="J80" t="s">
        <v>608</v>
      </c>
      <c r="K80" t="s">
        <v>690</v>
      </c>
      <c r="L80" s="1" t="s">
        <v>263</v>
      </c>
      <c r="M80" s="1" t="s">
        <v>266</v>
      </c>
    </row>
    <row r="81" spans="1:15" hidden="1" x14ac:dyDescent="0.25">
      <c r="A81">
        <v>61</v>
      </c>
      <c r="B81">
        <v>11</v>
      </c>
      <c r="C81" t="s">
        <v>678</v>
      </c>
      <c r="D81" s="1" t="s">
        <v>250</v>
      </c>
      <c r="E81" t="s">
        <v>679</v>
      </c>
      <c r="F81" t="s">
        <v>449</v>
      </c>
      <c r="G81">
        <v>2024</v>
      </c>
      <c r="H81" s="1" t="s">
        <v>258</v>
      </c>
      <c r="I81" t="s">
        <v>691</v>
      </c>
      <c r="J81" t="s">
        <v>608</v>
      </c>
      <c r="K81" t="s">
        <v>692</v>
      </c>
      <c r="L81" s="1" t="s">
        <v>263</v>
      </c>
      <c r="M81" s="1" t="s">
        <v>266</v>
      </c>
    </row>
    <row r="82" spans="1:15" hidden="1" x14ac:dyDescent="0.25">
      <c r="A82" s="7"/>
      <c r="B82" s="7">
        <v>11</v>
      </c>
      <c r="C82" s="7"/>
      <c r="D82" s="7" t="s">
        <v>247</v>
      </c>
      <c r="E82" s="7" t="s">
        <v>679</v>
      </c>
      <c r="F82" s="7"/>
      <c r="G82" s="7"/>
      <c r="H82" s="7"/>
      <c r="I82" s="7"/>
      <c r="J82" s="7"/>
      <c r="K82" s="7"/>
      <c r="L82" s="7" t="s">
        <v>264</v>
      </c>
      <c r="M82" s="7"/>
      <c r="N82" s="7" t="s">
        <v>695</v>
      </c>
    </row>
    <row r="83" spans="1:15" hidden="1" x14ac:dyDescent="0.25">
      <c r="A83" s="7"/>
      <c r="B83" s="7">
        <v>11</v>
      </c>
      <c r="C83" s="7"/>
      <c r="D83" s="7" t="s">
        <v>248</v>
      </c>
      <c r="E83" s="7" t="s">
        <v>679</v>
      </c>
      <c r="F83" s="7"/>
      <c r="G83" s="7"/>
      <c r="H83" s="7"/>
      <c r="I83" s="7"/>
      <c r="J83" s="7"/>
      <c r="K83" s="7"/>
      <c r="L83" s="7" t="s">
        <v>264</v>
      </c>
      <c r="M83" s="7"/>
      <c r="N83" s="7" t="s">
        <v>695</v>
      </c>
    </row>
    <row r="84" spans="1:15" x14ac:dyDescent="0.25">
      <c r="A84" s="4">
        <v>62</v>
      </c>
      <c r="B84" s="4">
        <v>12</v>
      </c>
      <c r="C84" s="4" t="s">
        <v>696</v>
      </c>
      <c r="D84" s="4" t="s">
        <v>249</v>
      </c>
      <c r="E84" s="4" t="s">
        <v>697</v>
      </c>
      <c r="F84" s="9">
        <v>45778</v>
      </c>
      <c r="G84" s="4" t="s">
        <v>449</v>
      </c>
      <c r="H84" s="4" t="s">
        <v>258</v>
      </c>
      <c r="I84" s="4" t="s">
        <v>707</v>
      </c>
      <c r="J84" s="4" t="s">
        <v>608</v>
      </c>
      <c r="K84" s="4" t="s">
        <v>716</v>
      </c>
      <c r="L84" s="4" t="s">
        <v>262</v>
      </c>
      <c r="M84" s="4"/>
      <c r="N84" s="4" t="s">
        <v>717</v>
      </c>
      <c r="O84" t="s">
        <v>1363</v>
      </c>
    </row>
    <row r="85" spans="1:15" hidden="1" x14ac:dyDescent="0.25">
      <c r="A85">
        <v>63</v>
      </c>
      <c r="B85">
        <v>12</v>
      </c>
      <c r="C85" t="s">
        <v>698</v>
      </c>
      <c r="D85" s="1" t="s">
        <v>249</v>
      </c>
      <c r="E85" t="s">
        <v>697</v>
      </c>
      <c r="F85" t="s">
        <v>449</v>
      </c>
      <c r="G85" t="s">
        <v>449</v>
      </c>
      <c r="H85" s="1" t="s">
        <v>258</v>
      </c>
      <c r="I85" t="s">
        <v>709</v>
      </c>
      <c r="J85" t="s">
        <v>608</v>
      </c>
      <c r="K85" t="s">
        <v>718</v>
      </c>
      <c r="L85" s="1" t="s">
        <v>263</v>
      </c>
      <c r="M85" s="1" t="s">
        <v>266</v>
      </c>
    </row>
    <row r="86" spans="1:15" x14ac:dyDescent="0.25">
      <c r="A86" s="4">
        <v>64</v>
      </c>
      <c r="B86" s="4">
        <v>12</v>
      </c>
      <c r="C86" s="4" t="s">
        <v>699</v>
      </c>
      <c r="D86" s="4" t="s">
        <v>250</v>
      </c>
      <c r="E86" s="4" t="s">
        <v>697</v>
      </c>
      <c r="F86" s="4">
        <v>2023</v>
      </c>
      <c r="G86" s="4" t="s">
        <v>449</v>
      </c>
      <c r="H86" s="4" t="s">
        <v>258</v>
      </c>
      <c r="I86" s="4" t="s">
        <v>708</v>
      </c>
      <c r="J86" s="4" t="s">
        <v>608</v>
      </c>
      <c r="K86" s="4" t="s">
        <v>719</v>
      </c>
      <c r="L86" s="4" t="s">
        <v>262</v>
      </c>
      <c r="M86" s="4"/>
      <c r="N86" s="4" t="s">
        <v>720</v>
      </c>
    </row>
    <row r="87" spans="1:15" hidden="1" x14ac:dyDescent="0.25">
      <c r="A87">
        <v>65</v>
      </c>
      <c r="B87">
        <v>12</v>
      </c>
      <c r="C87" t="s">
        <v>700</v>
      </c>
      <c r="D87" s="1" t="s">
        <v>250</v>
      </c>
      <c r="E87" t="s">
        <v>697</v>
      </c>
      <c r="F87" t="s">
        <v>449</v>
      </c>
      <c r="G87" t="s">
        <v>449</v>
      </c>
      <c r="H87" s="1" t="s">
        <v>258</v>
      </c>
      <c r="I87" t="s">
        <v>711</v>
      </c>
      <c r="J87" t="s">
        <v>608</v>
      </c>
      <c r="K87" t="s">
        <v>721</v>
      </c>
      <c r="L87" s="1" t="s">
        <v>263</v>
      </c>
      <c r="M87" s="1" t="s">
        <v>266</v>
      </c>
    </row>
    <row r="88" spans="1:15" hidden="1" x14ac:dyDescent="0.25">
      <c r="A88">
        <v>66</v>
      </c>
      <c r="B88">
        <v>12</v>
      </c>
      <c r="C88" t="s">
        <v>701</v>
      </c>
      <c r="D88" s="1" t="s">
        <v>253</v>
      </c>
      <c r="E88" t="s">
        <v>697</v>
      </c>
      <c r="F88" t="s">
        <v>449</v>
      </c>
      <c r="G88" t="s">
        <v>449</v>
      </c>
      <c r="H88" s="1" t="s">
        <v>258</v>
      </c>
      <c r="I88" t="s">
        <v>710</v>
      </c>
      <c r="J88" t="s">
        <v>608</v>
      </c>
      <c r="K88" t="s">
        <v>722</v>
      </c>
      <c r="L88" s="1" t="s">
        <v>263</v>
      </c>
      <c r="M88" s="1" t="s">
        <v>269</v>
      </c>
      <c r="N88" t="s">
        <v>723</v>
      </c>
    </row>
    <row r="89" spans="1:15" hidden="1" x14ac:dyDescent="0.25">
      <c r="A89">
        <v>67</v>
      </c>
      <c r="B89">
        <v>12</v>
      </c>
      <c r="C89" t="s">
        <v>702</v>
      </c>
      <c r="D89" s="1" t="s">
        <v>253</v>
      </c>
      <c r="E89" t="s">
        <v>697</v>
      </c>
      <c r="F89" t="s">
        <v>449</v>
      </c>
      <c r="G89" t="s">
        <v>449</v>
      </c>
      <c r="H89" s="1" t="s">
        <v>258</v>
      </c>
      <c r="I89" t="s">
        <v>712</v>
      </c>
      <c r="J89" t="s">
        <v>608</v>
      </c>
      <c r="K89" t="s">
        <v>724</v>
      </c>
      <c r="L89" s="1" t="s">
        <v>263</v>
      </c>
      <c r="M89" s="1" t="s">
        <v>269</v>
      </c>
      <c r="N89" t="s">
        <v>725</v>
      </c>
    </row>
    <row r="90" spans="1:15" hidden="1" x14ac:dyDescent="0.25">
      <c r="A90">
        <v>68</v>
      </c>
      <c r="B90">
        <v>12</v>
      </c>
      <c r="C90" t="s">
        <v>703</v>
      </c>
      <c r="D90" s="1"/>
      <c r="E90" t="s">
        <v>697</v>
      </c>
      <c r="F90" t="s">
        <v>726</v>
      </c>
      <c r="G90" t="s">
        <v>449</v>
      </c>
      <c r="H90" s="1" t="s">
        <v>258</v>
      </c>
      <c r="I90" t="s">
        <v>713</v>
      </c>
      <c r="J90" t="s">
        <v>608</v>
      </c>
      <c r="K90" t="s">
        <v>727</v>
      </c>
      <c r="L90" s="1" t="s">
        <v>263</v>
      </c>
      <c r="M90" s="1" t="s">
        <v>269</v>
      </c>
    </row>
    <row r="91" spans="1:15" x14ac:dyDescent="0.25">
      <c r="A91" s="4">
        <v>69</v>
      </c>
      <c r="B91" s="4">
        <v>12</v>
      </c>
      <c r="C91" s="4" t="s">
        <v>704</v>
      </c>
      <c r="D91" s="4" t="s">
        <v>247</v>
      </c>
      <c r="E91" s="4" t="s">
        <v>697</v>
      </c>
      <c r="F91" s="9">
        <v>44348</v>
      </c>
      <c r="G91" s="4" t="s">
        <v>449</v>
      </c>
      <c r="H91" s="4" t="s">
        <v>258</v>
      </c>
      <c r="I91" s="4" t="s">
        <v>714</v>
      </c>
      <c r="J91" s="4" t="s">
        <v>608</v>
      </c>
      <c r="K91" s="4" t="s">
        <v>728</v>
      </c>
      <c r="L91" s="4" t="s">
        <v>262</v>
      </c>
      <c r="M91" s="4"/>
      <c r="N91" s="4"/>
      <c r="O91" t="s">
        <v>1363</v>
      </c>
    </row>
    <row r="92" spans="1:15" x14ac:dyDescent="0.25">
      <c r="A92" s="4">
        <v>70</v>
      </c>
      <c r="B92" s="4">
        <v>12</v>
      </c>
      <c r="C92" s="4" t="s">
        <v>705</v>
      </c>
      <c r="D92" s="4" t="s">
        <v>247</v>
      </c>
      <c r="E92" s="4" t="s">
        <v>697</v>
      </c>
      <c r="F92" s="4" t="s">
        <v>449</v>
      </c>
      <c r="G92" s="4" t="s">
        <v>449</v>
      </c>
      <c r="H92" s="4" t="s">
        <v>258</v>
      </c>
      <c r="I92" s="4" t="s">
        <v>715</v>
      </c>
      <c r="J92" s="4" t="s">
        <v>608</v>
      </c>
      <c r="K92" s="4" t="s">
        <v>729</v>
      </c>
      <c r="L92" s="4" t="s">
        <v>262</v>
      </c>
      <c r="M92" s="4"/>
      <c r="N92" s="4"/>
    </row>
    <row r="93" spans="1:15" hidden="1" x14ac:dyDescent="0.25">
      <c r="A93">
        <v>71</v>
      </c>
      <c r="B93">
        <v>13</v>
      </c>
      <c r="C93" t="s">
        <v>731</v>
      </c>
      <c r="D93" s="1" t="s">
        <v>255</v>
      </c>
      <c r="E93" t="s">
        <v>732</v>
      </c>
      <c r="F93" s="8">
        <v>43983</v>
      </c>
      <c r="G93" t="s">
        <v>449</v>
      </c>
      <c r="H93" s="1" t="s">
        <v>258</v>
      </c>
      <c r="I93" t="s">
        <v>742</v>
      </c>
      <c r="J93" t="s">
        <v>608</v>
      </c>
      <c r="K93" t="s">
        <v>747</v>
      </c>
      <c r="L93" s="1" t="s">
        <v>263</v>
      </c>
      <c r="M93" s="1" t="s">
        <v>267</v>
      </c>
    </row>
    <row r="94" spans="1:15" hidden="1" x14ac:dyDescent="0.25">
      <c r="A94">
        <v>72</v>
      </c>
      <c r="B94">
        <v>13</v>
      </c>
      <c r="C94" t="s">
        <v>733</v>
      </c>
      <c r="D94" s="1" t="s">
        <v>255</v>
      </c>
      <c r="E94" t="s">
        <v>732</v>
      </c>
      <c r="F94" t="s">
        <v>745</v>
      </c>
      <c r="G94" t="s">
        <v>449</v>
      </c>
      <c r="H94" s="1" t="s">
        <v>258</v>
      </c>
      <c r="I94" t="s">
        <v>743</v>
      </c>
      <c r="J94" t="s">
        <v>608</v>
      </c>
      <c r="K94" t="s">
        <v>746</v>
      </c>
      <c r="L94" s="1" t="s">
        <v>263</v>
      </c>
      <c r="M94" s="1"/>
    </row>
    <row r="95" spans="1:15" x14ac:dyDescent="0.25">
      <c r="A95" s="4">
        <v>73</v>
      </c>
      <c r="B95" s="4">
        <v>13</v>
      </c>
      <c r="C95" s="4" t="s">
        <v>734</v>
      </c>
      <c r="D95" s="4" t="s">
        <v>255</v>
      </c>
      <c r="E95" s="4" t="s">
        <v>732</v>
      </c>
      <c r="F95" s="4" t="s">
        <v>749</v>
      </c>
      <c r="G95" s="4" t="s">
        <v>449</v>
      </c>
      <c r="H95" s="4" t="s">
        <v>258</v>
      </c>
      <c r="I95" s="4" t="s">
        <v>748</v>
      </c>
      <c r="J95" s="4" t="s">
        <v>608</v>
      </c>
      <c r="K95" s="4" t="s">
        <v>750</v>
      </c>
      <c r="L95" s="4" t="s">
        <v>262</v>
      </c>
      <c r="M95" s="4"/>
      <c r="N95" s="4" t="s">
        <v>767</v>
      </c>
    </row>
    <row r="96" spans="1:15" x14ac:dyDescent="0.25">
      <c r="A96" s="4">
        <v>74</v>
      </c>
      <c r="B96" s="4">
        <v>13</v>
      </c>
      <c r="C96" s="4" t="s">
        <v>735</v>
      </c>
      <c r="D96" s="4" t="s">
        <v>255</v>
      </c>
      <c r="E96" s="4" t="s">
        <v>732</v>
      </c>
      <c r="F96" s="4" t="s">
        <v>752</v>
      </c>
      <c r="G96" s="4" t="s">
        <v>736</v>
      </c>
      <c r="H96" s="4" t="s">
        <v>258</v>
      </c>
      <c r="I96" s="4" t="s">
        <v>751</v>
      </c>
      <c r="J96" s="4" t="s">
        <v>608</v>
      </c>
      <c r="K96" s="4" t="s">
        <v>753</v>
      </c>
      <c r="L96" s="4" t="s">
        <v>262</v>
      </c>
      <c r="M96" s="4"/>
      <c r="N96" s="4" t="s">
        <v>766</v>
      </c>
    </row>
    <row r="97" spans="1:14" hidden="1" x14ac:dyDescent="0.25">
      <c r="A97">
        <v>75</v>
      </c>
      <c r="B97">
        <v>13</v>
      </c>
      <c r="C97" t="s">
        <v>737</v>
      </c>
      <c r="D97" s="1" t="s">
        <v>249</v>
      </c>
      <c r="E97" t="s">
        <v>732</v>
      </c>
      <c r="F97" t="s">
        <v>449</v>
      </c>
      <c r="G97" t="s">
        <v>449</v>
      </c>
      <c r="H97" s="1" t="s">
        <v>258</v>
      </c>
      <c r="I97" t="s">
        <v>754</v>
      </c>
      <c r="J97" t="s">
        <v>608</v>
      </c>
      <c r="K97" t="s">
        <v>755</v>
      </c>
      <c r="L97" s="1" t="s">
        <v>263</v>
      </c>
      <c r="M97" s="1" t="s">
        <v>266</v>
      </c>
    </row>
    <row r="98" spans="1:14" hidden="1" x14ac:dyDescent="0.25">
      <c r="A98">
        <v>76</v>
      </c>
      <c r="B98">
        <v>13</v>
      </c>
      <c r="C98" t="s">
        <v>738</v>
      </c>
      <c r="D98" s="1" t="s">
        <v>249</v>
      </c>
      <c r="E98" t="s">
        <v>732</v>
      </c>
      <c r="F98" t="s">
        <v>757</v>
      </c>
      <c r="G98" t="s">
        <v>449</v>
      </c>
      <c r="H98" s="1" t="s">
        <v>258</v>
      </c>
      <c r="I98" t="s">
        <v>756</v>
      </c>
      <c r="J98" t="s">
        <v>608</v>
      </c>
      <c r="K98" t="s">
        <v>758</v>
      </c>
      <c r="L98" s="1" t="s">
        <v>263</v>
      </c>
      <c r="M98" s="1" t="s">
        <v>266</v>
      </c>
    </row>
    <row r="99" spans="1:14" hidden="1" x14ac:dyDescent="0.25">
      <c r="A99">
        <v>77</v>
      </c>
      <c r="B99">
        <v>13</v>
      </c>
      <c r="C99" t="s">
        <v>739</v>
      </c>
      <c r="D99" s="1" t="s">
        <v>250</v>
      </c>
      <c r="E99" t="s">
        <v>732</v>
      </c>
      <c r="F99" t="s">
        <v>760</v>
      </c>
      <c r="G99" t="s">
        <v>449</v>
      </c>
      <c r="H99" s="1" t="s">
        <v>258</v>
      </c>
      <c r="I99" t="s">
        <v>759</v>
      </c>
      <c r="J99" t="s">
        <v>608</v>
      </c>
      <c r="K99" t="s">
        <v>761</v>
      </c>
      <c r="L99" s="1" t="s">
        <v>263</v>
      </c>
      <c r="M99" s="1" t="s">
        <v>266</v>
      </c>
    </row>
    <row r="100" spans="1:14" hidden="1" x14ac:dyDescent="0.25">
      <c r="A100">
        <v>78</v>
      </c>
      <c r="B100">
        <v>13</v>
      </c>
      <c r="C100" t="s">
        <v>740</v>
      </c>
      <c r="D100" s="1" t="s">
        <v>253</v>
      </c>
      <c r="E100" t="s">
        <v>732</v>
      </c>
      <c r="F100" t="s">
        <v>449</v>
      </c>
      <c r="G100" t="s">
        <v>449</v>
      </c>
      <c r="H100" s="1" t="s">
        <v>257</v>
      </c>
      <c r="I100" t="s">
        <v>762</v>
      </c>
      <c r="J100" t="s">
        <v>608</v>
      </c>
      <c r="K100" t="s">
        <v>763</v>
      </c>
      <c r="L100" s="1" t="s">
        <v>263</v>
      </c>
      <c r="M100" s="1" t="s">
        <v>266</v>
      </c>
    </row>
    <row r="101" spans="1:14" hidden="1" x14ac:dyDescent="0.25">
      <c r="A101">
        <v>79</v>
      </c>
      <c r="B101">
        <v>13</v>
      </c>
      <c r="C101" t="s">
        <v>741</v>
      </c>
      <c r="D101" s="1" t="s">
        <v>254</v>
      </c>
      <c r="E101" t="s">
        <v>732</v>
      </c>
      <c r="F101" t="s">
        <v>764</v>
      </c>
      <c r="G101" t="s">
        <v>449</v>
      </c>
      <c r="H101" s="1" t="s">
        <v>258</v>
      </c>
      <c r="I101" t="s">
        <v>744</v>
      </c>
      <c r="J101" t="s">
        <v>608</v>
      </c>
      <c r="K101" t="s">
        <v>765</v>
      </c>
      <c r="L101" s="1" t="s">
        <v>263</v>
      </c>
      <c r="M101" s="1" t="s">
        <v>270</v>
      </c>
    </row>
    <row r="102" spans="1:14" hidden="1" x14ac:dyDescent="0.25">
      <c r="A102" s="7"/>
      <c r="B102" s="7">
        <v>13</v>
      </c>
      <c r="C102" s="7"/>
      <c r="D102" s="7" t="s">
        <v>246</v>
      </c>
      <c r="E102" s="7" t="s">
        <v>732</v>
      </c>
      <c r="F102" s="7"/>
      <c r="G102" s="7"/>
      <c r="H102" s="7"/>
      <c r="I102" s="7"/>
      <c r="J102" s="7"/>
      <c r="K102" s="7"/>
      <c r="L102" s="7" t="s">
        <v>264</v>
      </c>
      <c r="M102" s="7"/>
      <c r="N102" s="7" t="s">
        <v>625</v>
      </c>
    </row>
    <row r="103" spans="1:14" hidden="1" x14ac:dyDescent="0.25">
      <c r="A103" s="7"/>
      <c r="B103" s="7">
        <v>13</v>
      </c>
      <c r="C103" s="7"/>
      <c r="D103" s="7" t="s">
        <v>247</v>
      </c>
      <c r="E103" s="7" t="s">
        <v>732</v>
      </c>
      <c r="F103" s="7"/>
      <c r="G103" s="7"/>
      <c r="H103" s="7"/>
      <c r="I103" s="7"/>
      <c r="J103" s="7"/>
      <c r="K103" s="7"/>
      <c r="L103" s="7" t="s">
        <v>264</v>
      </c>
      <c r="M103" s="7"/>
      <c r="N103" s="7" t="s">
        <v>625</v>
      </c>
    </row>
    <row r="104" spans="1:14" hidden="1" x14ac:dyDescent="0.25">
      <c r="A104" s="7"/>
      <c r="B104" s="7">
        <v>13</v>
      </c>
      <c r="C104" s="7"/>
      <c r="D104" s="7" t="s">
        <v>248</v>
      </c>
      <c r="E104" s="7" t="s">
        <v>732</v>
      </c>
      <c r="F104" s="7"/>
      <c r="G104" s="7"/>
      <c r="H104" s="7"/>
      <c r="I104" s="7"/>
      <c r="J104" s="7"/>
      <c r="K104" s="7"/>
      <c r="L104" s="7" t="s">
        <v>264</v>
      </c>
      <c r="M104" s="7"/>
      <c r="N104" s="7" t="s">
        <v>625</v>
      </c>
    </row>
    <row r="105" spans="1:14" hidden="1" x14ac:dyDescent="0.25">
      <c r="A105">
        <v>80</v>
      </c>
      <c r="B105">
        <v>14</v>
      </c>
      <c r="C105" t="s">
        <v>770</v>
      </c>
      <c r="D105" s="1" t="s">
        <v>255</v>
      </c>
      <c r="E105" t="s">
        <v>769</v>
      </c>
      <c r="F105" t="s">
        <v>449</v>
      </c>
      <c r="G105" t="s">
        <v>449</v>
      </c>
      <c r="H105" s="1" t="s">
        <v>258</v>
      </c>
      <c r="I105" t="s">
        <v>778</v>
      </c>
      <c r="J105" t="s">
        <v>768</v>
      </c>
      <c r="K105" t="s">
        <v>784</v>
      </c>
      <c r="L105" s="1" t="s">
        <v>263</v>
      </c>
      <c r="M105" s="1" t="s">
        <v>266</v>
      </c>
    </row>
    <row r="106" spans="1:14" hidden="1" x14ac:dyDescent="0.25">
      <c r="A106">
        <v>81</v>
      </c>
      <c r="B106">
        <v>14</v>
      </c>
      <c r="C106" t="s">
        <v>771</v>
      </c>
      <c r="D106" s="1" t="s">
        <v>255</v>
      </c>
      <c r="E106" t="s">
        <v>769</v>
      </c>
      <c r="F106" s="8">
        <v>45870</v>
      </c>
      <c r="G106" t="s">
        <v>777</v>
      </c>
      <c r="H106" s="1" t="s">
        <v>258</v>
      </c>
      <c r="I106" t="s">
        <v>780</v>
      </c>
      <c r="J106" t="s">
        <v>768</v>
      </c>
      <c r="K106" t="s">
        <v>785</v>
      </c>
      <c r="L106" s="1" t="s">
        <v>263</v>
      </c>
      <c r="M106" s="1" t="s">
        <v>266</v>
      </c>
    </row>
    <row r="107" spans="1:14" hidden="1" x14ac:dyDescent="0.25">
      <c r="A107">
        <v>82</v>
      </c>
      <c r="B107">
        <v>14</v>
      </c>
      <c r="C107" t="s">
        <v>772</v>
      </c>
      <c r="D107" s="1" t="s">
        <v>249</v>
      </c>
      <c r="E107" t="s">
        <v>769</v>
      </c>
      <c r="F107" t="s">
        <v>449</v>
      </c>
      <c r="G107" t="s">
        <v>449</v>
      </c>
      <c r="H107" s="1" t="s">
        <v>258</v>
      </c>
      <c r="I107" t="s">
        <v>779</v>
      </c>
      <c r="J107" t="s">
        <v>768</v>
      </c>
      <c r="K107" t="s">
        <v>788</v>
      </c>
      <c r="L107" s="1" t="s">
        <v>263</v>
      </c>
      <c r="M107" s="1" t="s">
        <v>266</v>
      </c>
    </row>
    <row r="108" spans="1:14" hidden="1" x14ac:dyDescent="0.25">
      <c r="A108">
        <v>83</v>
      </c>
      <c r="B108">
        <v>14</v>
      </c>
      <c r="C108" t="s">
        <v>773</v>
      </c>
      <c r="D108" s="1" t="s">
        <v>249</v>
      </c>
      <c r="E108" t="s">
        <v>769</v>
      </c>
      <c r="F108">
        <v>2020</v>
      </c>
      <c r="G108" t="s">
        <v>786</v>
      </c>
      <c r="H108" s="1" t="s">
        <v>258</v>
      </c>
      <c r="I108" t="s">
        <v>781</v>
      </c>
      <c r="J108" t="s">
        <v>768</v>
      </c>
      <c r="K108" t="s">
        <v>787</v>
      </c>
      <c r="L108" s="1" t="s">
        <v>263</v>
      </c>
      <c r="M108" s="1" t="s">
        <v>266</v>
      </c>
    </row>
    <row r="109" spans="1:14" hidden="1" x14ac:dyDescent="0.25">
      <c r="A109">
        <v>84</v>
      </c>
      <c r="B109">
        <v>14</v>
      </c>
      <c r="C109" t="s">
        <v>774</v>
      </c>
      <c r="D109" s="1" t="s">
        <v>253</v>
      </c>
      <c r="E109" t="s">
        <v>769</v>
      </c>
      <c r="F109" t="s">
        <v>449</v>
      </c>
      <c r="G109" t="s">
        <v>449</v>
      </c>
      <c r="H109" s="1" t="s">
        <v>258</v>
      </c>
      <c r="I109" t="s">
        <v>782</v>
      </c>
      <c r="J109" t="s">
        <v>768</v>
      </c>
      <c r="K109" t="s">
        <v>789</v>
      </c>
      <c r="L109" s="1" t="s">
        <v>263</v>
      </c>
      <c r="M109" s="1" t="s">
        <v>266</v>
      </c>
    </row>
    <row r="110" spans="1:14" hidden="1" x14ac:dyDescent="0.25">
      <c r="A110">
        <v>85</v>
      </c>
      <c r="B110">
        <v>14</v>
      </c>
      <c r="C110" t="s">
        <v>775</v>
      </c>
      <c r="D110" s="1" t="s">
        <v>251</v>
      </c>
      <c r="E110" t="s">
        <v>769</v>
      </c>
      <c r="F110" t="s">
        <v>449</v>
      </c>
      <c r="G110" t="s">
        <v>449</v>
      </c>
      <c r="H110" s="1" t="s">
        <v>258</v>
      </c>
      <c r="I110" t="s">
        <v>783</v>
      </c>
      <c r="J110" t="s">
        <v>768</v>
      </c>
      <c r="K110" t="s">
        <v>790</v>
      </c>
      <c r="L110" s="1" t="s">
        <v>263</v>
      </c>
      <c r="M110" s="1" t="s">
        <v>266</v>
      </c>
    </row>
    <row r="111" spans="1:14" hidden="1" x14ac:dyDescent="0.25">
      <c r="A111" s="7"/>
      <c r="B111" s="7">
        <v>14</v>
      </c>
      <c r="C111" s="7"/>
      <c r="D111" s="7" t="s">
        <v>246</v>
      </c>
      <c r="E111" s="7" t="s">
        <v>769</v>
      </c>
      <c r="F111" s="7"/>
      <c r="G111" s="7"/>
      <c r="H111" s="7"/>
      <c r="I111" s="7"/>
      <c r="J111" s="7"/>
      <c r="K111" s="7"/>
      <c r="L111" s="7" t="s">
        <v>264</v>
      </c>
      <c r="M111" s="7"/>
      <c r="N111" s="7" t="s">
        <v>776</v>
      </c>
    </row>
    <row r="112" spans="1:14" hidden="1" x14ac:dyDescent="0.25">
      <c r="A112" s="7"/>
      <c r="B112" s="7">
        <v>14</v>
      </c>
      <c r="C112" s="7"/>
      <c r="D112" s="7" t="s">
        <v>247</v>
      </c>
      <c r="E112" s="7" t="s">
        <v>769</v>
      </c>
      <c r="F112" s="7"/>
      <c r="G112" s="7"/>
      <c r="H112" s="7"/>
      <c r="I112" s="7"/>
      <c r="J112" s="7"/>
      <c r="K112" s="7"/>
      <c r="L112" s="7" t="s">
        <v>264</v>
      </c>
      <c r="M112" s="7"/>
      <c r="N112" s="7" t="s">
        <v>776</v>
      </c>
    </row>
    <row r="113" spans="1:15" hidden="1" x14ac:dyDescent="0.25">
      <c r="A113" s="7"/>
      <c r="B113" s="7">
        <v>14</v>
      </c>
      <c r="C113" s="7"/>
      <c r="D113" s="7" t="s">
        <v>248</v>
      </c>
      <c r="E113" s="7" t="s">
        <v>769</v>
      </c>
      <c r="F113" s="7"/>
      <c r="G113" s="7"/>
      <c r="H113" s="7"/>
      <c r="I113" s="7"/>
      <c r="J113" s="7"/>
      <c r="K113" s="7"/>
      <c r="L113" s="7" t="s">
        <v>264</v>
      </c>
      <c r="M113" s="7"/>
      <c r="N113" s="7" t="s">
        <v>776</v>
      </c>
    </row>
    <row r="114" spans="1:15" x14ac:dyDescent="0.25">
      <c r="A114" s="4">
        <v>86</v>
      </c>
      <c r="B114" s="4">
        <v>15</v>
      </c>
      <c r="C114" s="4" t="s">
        <v>794</v>
      </c>
      <c r="D114" s="4" t="s">
        <v>248</v>
      </c>
      <c r="E114" s="4" t="s">
        <v>793</v>
      </c>
      <c r="F114" s="4" t="s">
        <v>820</v>
      </c>
      <c r="G114" s="4" t="s">
        <v>796</v>
      </c>
      <c r="H114" s="4" t="s">
        <v>258</v>
      </c>
      <c r="I114" s="4" t="s">
        <v>795</v>
      </c>
      <c r="J114" s="4" t="s">
        <v>768</v>
      </c>
      <c r="K114" s="4" t="s">
        <v>826</v>
      </c>
      <c r="L114" s="4" t="s">
        <v>262</v>
      </c>
      <c r="M114" s="4"/>
      <c r="N114" s="4"/>
      <c r="O114" t="s">
        <v>1363</v>
      </c>
    </row>
    <row r="115" spans="1:15" hidden="1" x14ac:dyDescent="0.25">
      <c r="A115">
        <v>87</v>
      </c>
      <c r="B115">
        <v>15</v>
      </c>
      <c r="C115" t="s">
        <v>797</v>
      </c>
      <c r="D115" s="1" t="s">
        <v>253</v>
      </c>
      <c r="E115" t="s">
        <v>793</v>
      </c>
      <c r="F115" t="s">
        <v>821</v>
      </c>
      <c r="G115" t="s">
        <v>449</v>
      </c>
      <c r="H115" s="1" t="s">
        <v>258</v>
      </c>
      <c r="I115" t="s">
        <v>798</v>
      </c>
      <c r="J115" t="s">
        <v>768</v>
      </c>
      <c r="K115" t="s">
        <v>827</v>
      </c>
      <c r="L115" s="1" t="s">
        <v>263</v>
      </c>
      <c r="M115" s="1" t="s">
        <v>267</v>
      </c>
    </row>
    <row r="116" spans="1:15" x14ac:dyDescent="0.25">
      <c r="A116" s="4">
        <v>88</v>
      </c>
      <c r="B116" s="4">
        <v>15</v>
      </c>
      <c r="C116" s="4" t="s">
        <v>799</v>
      </c>
      <c r="D116" s="4" t="s">
        <v>246</v>
      </c>
      <c r="E116" s="4" t="s">
        <v>793</v>
      </c>
      <c r="F116" s="4">
        <v>2024</v>
      </c>
      <c r="G116" s="4" t="s">
        <v>449</v>
      </c>
      <c r="H116" s="4" t="s">
        <v>258</v>
      </c>
      <c r="I116" s="4" t="s">
        <v>800</v>
      </c>
      <c r="J116" s="4" t="s">
        <v>768</v>
      </c>
      <c r="K116" s="4" t="s">
        <v>828</v>
      </c>
      <c r="L116" s="4" t="s">
        <v>262</v>
      </c>
      <c r="M116" s="4"/>
      <c r="N116" s="4"/>
      <c r="O116" t="s">
        <v>1363</v>
      </c>
    </row>
    <row r="117" spans="1:15" hidden="1" x14ac:dyDescent="0.25">
      <c r="A117">
        <v>89</v>
      </c>
      <c r="B117">
        <v>15</v>
      </c>
      <c r="C117" t="s">
        <v>801</v>
      </c>
      <c r="D117" s="1" t="s">
        <v>249</v>
      </c>
      <c r="E117" t="s">
        <v>793</v>
      </c>
      <c r="F117" t="s">
        <v>449</v>
      </c>
      <c r="G117" t="s">
        <v>449</v>
      </c>
      <c r="H117" s="1" t="s">
        <v>258</v>
      </c>
      <c r="I117" t="s">
        <v>802</v>
      </c>
      <c r="J117" t="s">
        <v>768</v>
      </c>
      <c r="K117" t="s">
        <v>829</v>
      </c>
      <c r="L117" s="1" t="s">
        <v>263</v>
      </c>
      <c r="M117" s="1" t="s">
        <v>267</v>
      </c>
    </row>
    <row r="118" spans="1:15" x14ac:dyDescent="0.25">
      <c r="A118" s="4">
        <v>90</v>
      </c>
      <c r="B118" s="4">
        <v>15</v>
      </c>
      <c r="C118" s="4" t="s">
        <v>803</v>
      </c>
      <c r="D118" s="4" t="s">
        <v>249</v>
      </c>
      <c r="E118" s="4" t="s">
        <v>793</v>
      </c>
      <c r="F118" s="4" t="s">
        <v>822</v>
      </c>
      <c r="G118" s="4" t="s">
        <v>805</v>
      </c>
      <c r="H118" s="4" t="s">
        <v>258</v>
      </c>
      <c r="I118" s="4" t="s">
        <v>804</v>
      </c>
      <c r="J118" s="4" t="s">
        <v>768</v>
      </c>
      <c r="K118" s="4" t="s">
        <v>830</v>
      </c>
      <c r="L118" s="4" t="s">
        <v>262</v>
      </c>
      <c r="M118" s="4"/>
      <c r="N118" s="4"/>
    </row>
    <row r="119" spans="1:15" x14ac:dyDescent="0.25">
      <c r="A119" s="4">
        <v>91</v>
      </c>
      <c r="B119" s="4">
        <v>15</v>
      </c>
      <c r="C119" s="4" t="s">
        <v>806</v>
      </c>
      <c r="D119" s="4" t="s">
        <v>253</v>
      </c>
      <c r="E119" s="4" t="s">
        <v>793</v>
      </c>
      <c r="F119" s="4" t="s">
        <v>823</v>
      </c>
      <c r="G119" s="4" t="s">
        <v>449</v>
      </c>
      <c r="H119" s="4" t="s">
        <v>258</v>
      </c>
      <c r="I119" s="4" t="s">
        <v>807</v>
      </c>
      <c r="J119" s="4" t="s">
        <v>768</v>
      </c>
      <c r="K119" s="4" t="s">
        <v>4333</v>
      </c>
      <c r="L119" s="4" t="s">
        <v>262</v>
      </c>
      <c r="M119" s="4"/>
      <c r="N119" s="4"/>
    </row>
    <row r="120" spans="1:15" x14ac:dyDescent="0.25">
      <c r="A120" s="4">
        <v>92</v>
      </c>
      <c r="B120" s="4">
        <v>15</v>
      </c>
      <c r="C120" s="4" t="s">
        <v>808</v>
      </c>
      <c r="D120" s="4" t="s">
        <v>253</v>
      </c>
      <c r="E120" s="4" t="s">
        <v>793</v>
      </c>
      <c r="F120" s="4" t="s">
        <v>824</v>
      </c>
      <c r="G120" s="4" t="s">
        <v>449</v>
      </c>
      <c r="H120" s="4" t="s">
        <v>258</v>
      </c>
      <c r="I120" s="4" t="s">
        <v>809</v>
      </c>
      <c r="J120" s="4" t="s">
        <v>768</v>
      </c>
      <c r="K120" s="4" t="s">
        <v>831</v>
      </c>
      <c r="L120" s="4" t="s">
        <v>262</v>
      </c>
      <c r="M120" s="4"/>
      <c r="N120" s="4"/>
    </row>
    <row r="121" spans="1:15" x14ac:dyDescent="0.25">
      <c r="A121" s="4">
        <v>93</v>
      </c>
      <c r="B121" s="4">
        <v>15</v>
      </c>
      <c r="C121" s="4" t="s">
        <v>810</v>
      </c>
      <c r="D121" s="4" t="s">
        <v>253</v>
      </c>
      <c r="E121" s="4" t="s">
        <v>793</v>
      </c>
      <c r="F121" s="4">
        <v>2023</v>
      </c>
      <c r="G121" s="4" t="s">
        <v>449</v>
      </c>
      <c r="H121" s="4" t="s">
        <v>258</v>
      </c>
      <c r="I121" s="4" t="s">
        <v>811</v>
      </c>
      <c r="J121" s="4" t="s">
        <v>768</v>
      </c>
      <c r="K121" s="4" t="s">
        <v>837</v>
      </c>
      <c r="L121" s="4" t="s">
        <v>262</v>
      </c>
      <c r="M121" s="4"/>
      <c r="N121" s="4"/>
    </row>
    <row r="122" spans="1:15" x14ac:dyDescent="0.25">
      <c r="A122" s="4">
        <v>94</v>
      </c>
      <c r="B122" s="4">
        <v>15</v>
      </c>
      <c r="C122" s="4" t="s">
        <v>812</v>
      </c>
      <c r="D122" s="4" t="s">
        <v>247</v>
      </c>
      <c r="E122" s="4" t="s">
        <v>793</v>
      </c>
      <c r="F122" s="4" t="s">
        <v>825</v>
      </c>
      <c r="G122" s="4" t="s">
        <v>814</v>
      </c>
      <c r="H122" s="4" t="s">
        <v>259</v>
      </c>
      <c r="I122" s="4" t="s">
        <v>813</v>
      </c>
      <c r="J122" s="4" t="s">
        <v>768</v>
      </c>
      <c r="K122" s="4" t="s">
        <v>833</v>
      </c>
      <c r="L122" s="4" t="s">
        <v>262</v>
      </c>
      <c r="M122" s="4"/>
      <c r="N122" s="4"/>
      <c r="O122" t="s">
        <v>1363</v>
      </c>
    </row>
    <row r="123" spans="1:15" x14ac:dyDescent="0.25">
      <c r="A123" s="4">
        <v>95</v>
      </c>
      <c r="B123" s="4">
        <v>15</v>
      </c>
      <c r="C123" s="4" t="s">
        <v>815</v>
      </c>
      <c r="D123" s="4" t="s">
        <v>247</v>
      </c>
      <c r="E123" s="4" t="s">
        <v>793</v>
      </c>
      <c r="F123" s="4" t="s">
        <v>449</v>
      </c>
      <c r="G123" s="4" t="s">
        <v>449</v>
      </c>
      <c r="H123" s="4" t="s">
        <v>258</v>
      </c>
      <c r="I123" s="4" t="s">
        <v>816</v>
      </c>
      <c r="J123" s="4" t="s">
        <v>768</v>
      </c>
      <c r="K123" s="4" t="s">
        <v>832</v>
      </c>
      <c r="L123" s="4" t="s">
        <v>263</v>
      </c>
      <c r="M123" s="4" t="s">
        <v>266</v>
      </c>
      <c r="N123" s="4" t="s">
        <v>4713</v>
      </c>
    </row>
    <row r="124" spans="1:15" x14ac:dyDescent="0.25">
      <c r="A124" s="4">
        <v>96</v>
      </c>
      <c r="B124" s="4">
        <v>15</v>
      </c>
      <c r="C124" s="4" t="s">
        <v>817</v>
      </c>
      <c r="D124" s="4" t="s">
        <v>250</v>
      </c>
      <c r="E124" s="4" t="s">
        <v>793</v>
      </c>
      <c r="F124" s="4">
        <v>2024</v>
      </c>
      <c r="G124" s="4" t="s">
        <v>819</v>
      </c>
      <c r="H124" s="4" t="s">
        <v>258</v>
      </c>
      <c r="I124" s="4" t="s">
        <v>818</v>
      </c>
      <c r="J124" s="4" t="s">
        <v>768</v>
      </c>
      <c r="K124" s="4" t="s">
        <v>838</v>
      </c>
      <c r="L124" s="4" t="s">
        <v>262</v>
      </c>
      <c r="M124" s="4"/>
      <c r="N124" s="4"/>
    </row>
    <row r="125" spans="1:15" x14ac:dyDescent="0.25">
      <c r="A125" s="4">
        <v>97</v>
      </c>
      <c r="B125" s="4">
        <v>15</v>
      </c>
      <c r="C125" s="4" t="s">
        <v>834</v>
      </c>
      <c r="D125" s="4" t="s">
        <v>253</v>
      </c>
      <c r="E125" s="4" t="s">
        <v>793</v>
      </c>
      <c r="F125" s="10">
        <v>45324</v>
      </c>
      <c r="G125" s="4" t="s">
        <v>449</v>
      </c>
      <c r="H125" s="4" t="s">
        <v>258</v>
      </c>
      <c r="I125" s="4" t="s">
        <v>836</v>
      </c>
      <c r="J125" s="4" t="s">
        <v>768</v>
      </c>
      <c r="K125" s="4" t="s">
        <v>835</v>
      </c>
      <c r="L125" s="4" t="s">
        <v>262</v>
      </c>
      <c r="M125" s="4"/>
      <c r="N125" s="4"/>
    </row>
    <row r="126" spans="1:15" hidden="1" x14ac:dyDescent="0.25">
      <c r="A126">
        <v>98</v>
      </c>
      <c r="B126">
        <v>16</v>
      </c>
      <c r="C126" t="s">
        <v>848</v>
      </c>
      <c r="D126" s="1" t="s">
        <v>254</v>
      </c>
      <c r="E126" t="s">
        <v>845</v>
      </c>
      <c r="F126" t="s">
        <v>847</v>
      </c>
      <c r="G126" t="s">
        <v>449</v>
      </c>
      <c r="H126" s="1" t="s">
        <v>258</v>
      </c>
      <c r="I126" t="s">
        <v>846</v>
      </c>
      <c r="J126" t="s">
        <v>843</v>
      </c>
      <c r="K126" t="s">
        <v>849</v>
      </c>
      <c r="L126" s="1" t="s">
        <v>263</v>
      </c>
      <c r="M126" s="1" t="s">
        <v>270</v>
      </c>
      <c r="N126" t="s">
        <v>850</v>
      </c>
    </row>
    <row r="127" spans="1:15" hidden="1" x14ac:dyDescent="0.25">
      <c r="A127">
        <v>99</v>
      </c>
      <c r="B127">
        <v>16</v>
      </c>
      <c r="C127" t="s">
        <v>840</v>
      </c>
      <c r="D127" s="1" t="s">
        <v>249</v>
      </c>
      <c r="E127" t="s">
        <v>845</v>
      </c>
      <c r="F127" t="s">
        <v>449</v>
      </c>
      <c r="G127" t="s">
        <v>449</v>
      </c>
      <c r="H127" s="1" t="s">
        <v>258</v>
      </c>
      <c r="I127" t="s">
        <v>851</v>
      </c>
      <c r="J127" t="s">
        <v>843</v>
      </c>
      <c r="K127" t="s">
        <v>852</v>
      </c>
      <c r="L127" s="1" t="s">
        <v>263</v>
      </c>
      <c r="M127" s="1" t="s">
        <v>266</v>
      </c>
    </row>
    <row r="128" spans="1:15" hidden="1" x14ac:dyDescent="0.25">
      <c r="A128">
        <v>100</v>
      </c>
      <c r="B128">
        <v>16</v>
      </c>
      <c r="C128" t="s">
        <v>841</v>
      </c>
      <c r="D128" s="1" t="s">
        <v>249</v>
      </c>
      <c r="E128" t="s">
        <v>845</v>
      </c>
      <c r="F128">
        <v>2023</v>
      </c>
      <c r="G128" t="s">
        <v>449</v>
      </c>
      <c r="H128" s="1" t="s">
        <v>258</v>
      </c>
      <c r="I128" t="s">
        <v>853</v>
      </c>
      <c r="J128" t="s">
        <v>843</v>
      </c>
      <c r="K128" t="s">
        <v>854</v>
      </c>
      <c r="L128" s="1" t="s">
        <v>263</v>
      </c>
      <c r="M128" s="1" t="s">
        <v>266</v>
      </c>
    </row>
    <row r="129" spans="1:14" hidden="1" x14ac:dyDescent="0.25">
      <c r="A129">
        <v>101</v>
      </c>
      <c r="B129">
        <v>16</v>
      </c>
      <c r="C129" t="s">
        <v>842</v>
      </c>
      <c r="D129" s="1" t="s">
        <v>252</v>
      </c>
      <c r="E129" t="s">
        <v>845</v>
      </c>
      <c r="F129">
        <v>2024</v>
      </c>
      <c r="G129" t="s">
        <v>449</v>
      </c>
      <c r="H129" s="1" t="s">
        <v>258</v>
      </c>
      <c r="I129" t="s">
        <v>856</v>
      </c>
      <c r="J129" t="s">
        <v>843</v>
      </c>
      <c r="K129" t="s">
        <v>855</v>
      </c>
      <c r="L129" s="1" t="s">
        <v>263</v>
      </c>
      <c r="M129" s="1" t="s">
        <v>266</v>
      </c>
    </row>
    <row r="130" spans="1:14" hidden="1" x14ac:dyDescent="0.25">
      <c r="A130" s="7"/>
      <c r="B130" s="7">
        <v>16</v>
      </c>
      <c r="C130" s="7"/>
      <c r="D130" s="7" t="s">
        <v>246</v>
      </c>
      <c r="E130" s="7" t="s">
        <v>845</v>
      </c>
      <c r="F130" s="7"/>
      <c r="G130" s="7"/>
      <c r="H130" s="7"/>
      <c r="I130" s="7"/>
      <c r="J130" s="7"/>
      <c r="K130" s="7"/>
      <c r="L130" s="7" t="s">
        <v>264</v>
      </c>
      <c r="M130" s="7"/>
      <c r="N130" s="7" t="s">
        <v>844</v>
      </c>
    </row>
    <row r="131" spans="1:14" hidden="1" x14ac:dyDescent="0.25">
      <c r="A131" s="7"/>
      <c r="B131" s="7">
        <v>16</v>
      </c>
      <c r="C131" s="7"/>
      <c r="D131" s="7" t="s">
        <v>247</v>
      </c>
      <c r="E131" s="7" t="s">
        <v>845</v>
      </c>
      <c r="F131" s="7"/>
      <c r="G131" s="7"/>
      <c r="H131" s="7"/>
      <c r="I131" s="7"/>
      <c r="J131" s="7"/>
      <c r="K131" s="7"/>
      <c r="L131" s="7" t="s">
        <v>264</v>
      </c>
      <c r="M131" s="7"/>
      <c r="N131" s="7" t="s">
        <v>844</v>
      </c>
    </row>
    <row r="132" spans="1:14" hidden="1" x14ac:dyDescent="0.25">
      <c r="A132" s="7"/>
      <c r="B132" s="7">
        <v>16</v>
      </c>
      <c r="C132" s="7"/>
      <c r="D132" s="7" t="s">
        <v>248</v>
      </c>
      <c r="E132" s="7" t="s">
        <v>845</v>
      </c>
      <c r="F132" s="7"/>
      <c r="G132" s="7"/>
      <c r="H132" s="7"/>
      <c r="I132" s="7"/>
      <c r="J132" s="7"/>
      <c r="K132" s="7"/>
      <c r="L132" s="7" t="s">
        <v>264</v>
      </c>
      <c r="M132" s="7"/>
      <c r="N132" s="7" t="s">
        <v>844</v>
      </c>
    </row>
    <row r="133" spans="1:14" x14ac:dyDescent="0.25">
      <c r="A133" s="4">
        <v>102</v>
      </c>
      <c r="B133" s="4">
        <v>17</v>
      </c>
      <c r="C133" s="4" t="s">
        <v>858</v>
      </c>
      <c r="D133" s="4" t="s">
        <v>247</v>
      </c>
      <c r="E133" s="4" t="s">
        <v>359</v>
      </c>
      <c r="F133" s="4" t="s">
        <v>870</v>
      </c>
      <c r="G133" s="4" t="s">
        <v>736</v>
      </c>
      <c r="H133" s="4" t="s">
        <v>258</v>
      </c>
      <c r="I133" s="4" t="s">
        <v>864</v>
      </c>
      <c r="J133" s="4" t="s">
        <v>843</v>
      </c>
      <c r="K133" s="4" t="s">
        <v>871</v>
      </c>
      <c r="L133" s="4" t="s">
        <v>262</v>
      </c>
      <c r="M133" s="4"/>
      <c r="N133" s="4" t="s">
        <v>863</v>
      </c>
    </row>
    <row r="134" spans="1:14" hidden="1" x14ac:dyDescent="0.25">
      <c r="A134">
        <v>103</v>
      </c>
      <c r="B134">
        <v>17</v>
      </c>
      <c r="C134" t="s">
        <v>859</v>
      </c>
      <c r="D134" s="1" t="s">
        <v>249</v>
      </c>
      <c r="E134" t="s">
        <v>359</v>
      </c>
      <c r="F134">
        <v>2025</v>
      </c>
      <c r="G134" t="s">
        <v>449</v>
      </c>
      <c r="H134" s="1" t="s">
        <v>258</v>
      </c>
      <c r="I134" t="s">
        <v>865</v>
      </c>
      <c r="J134" t="s">
        <v>843</v>
      </c>
      <c r="K134" t="s">
        <v>873</v>
      </c>
      <c r="L134" s="1" t="s">
        <v>263</v>
      </c>
      <c r="M134" s="1" t="s">
        <v>267</v>
      </c>
      <c r="N134" t="s">
        <v>872</v>
      </c>
    </row>
    <row r="135" spans="1:14" hidden="1" x14ac:dyDescent="0.25">
      <c r="A135">
        <v>104</v>
      </c>
      <c r="B135">
        <v>17</v>
      </c>
      <c r="C135" t="s">
        <v>860</v>
      </c>
      <c r="D135" s="1" t="s">
        <v>252</v>
      </c>
      <c r="E135" t="s">
        <v>359</v>
      </c>
      <c r="F135" t="s">
        <v>449</v>
      </c>
      <c r="G135" t="s">
        <v>449</v>
      </c>
      <c r="H135" s="1" t="s">
        <v>258</v>
      </c>
      <c r="I135" t="s">
        <v>866</v>
      </c>
      <c r="J135" t="s">
        <v>843</v>
      </c>
      <c r="K135" t="s">
        <v>874</v>
      </c>
      <c r="L135" s="1" t="s">
        <v>263</v>
      </c>
      <c r="M135" s="1" t="s">
        <v>267</v>
      </c>
      <c r="N135" t="s">
        <v>875</v>
      </c>
    </row>
    <row r="136" spans="1:14" hidden="1" x14ac:dyDescent="0.25">
      <c r="A136">
        <v>105</v>
      </c>
      <c r="B136">
        <v>17</v>
      </c>
      <c r="C136" t="s">
        <v>861</v>
      </c>
      <c r="D136" s="1" t="s">
        <v>253</v>
      </c>
      <c r="E136" t="s">
        <v>359</v>
      </c>
      <c r="F136" t="s">
        <v>449</v>
      </c>
      <c r="G136" t="s">
        <v>449</v>
      </c>
      <c r="H136" s="1" t="s">
        <v>258</v>
      </c>
      <c r="I136" t="s">
        <v>867</v>
      </c>
      <c r="J136" t="s">
        <v>843</v>
      </c>
      <c r="K136" t="s">
        <v>876</v>
      </c>
      <c r="L136" s="1" t="s">
        <v>263</v>
      </c>
      <c r="M136" s="1" t="s">
        <v>266</v>
      </c>
    </row>
    <row r="137" spans="1:14" hidden="1" x14ac:dyDescent="0.25">
      <c r="A137">
        <v>106</v>
      </c>
      <c r="B137">
        <v>17</v>
      </c>
      <c r="C137" t="s">
        <v>862</v>
      </c>
      <c r="D137" s="1" t="s">
        <v>254</v>
      </c>
      <c r="E137" t="s">
        <v>359</v>
      </c>
      <c r="F137" t="s">
        <v>764</v>
      </c>
      <c r="G137" t="s">
        <v>449</v>
      </c>
      <c r="H137" s="1" t="s">
        <v>258</v>
      </c>
      <c r="I137" t="s">
        <v>868</v>
      </c>
      <c r="J137" t="s">
        <v>843</v>
      </c>
      <c r="K137" t="s">
        <v>877</v>
      </c>
      <c r="L137" s="1" t="s">
        <v>263</v>
      </c>
      <c r="M137" s="1" t="s">
        <v>270</v>
      </c>
    </row>
    <row r="138" spans="1:14" hidden="1" x14ac:dyDescent="0.25">
      <c r="A138">
        <v>107</v>
      </c>
      <c r="B138">
        <v>18</v>
      </c>
      <c r="C138" t="s">
        <v>879</v>
      </c>
      <c r="D138" s="1" t="s">
        <v>249</v>
      </c>
      <c r="E138" t="s">
        <v>363</v>
      </c>
      <c r="F138" t="s">
        <v>449</v>
      </c>
      <c r="G138" t="s">
        <v>449</v>
      </c>
      <c r="H138" s="1" t="s">
        <v>258</v>
      </c>
      <c r="I138" t="s">
        <v>869</v>
      </c>
      <c r="J138" t="s">
        <v>843</v>
      </c>
      <c r="K138" t="s">
        <v>889</v>
      </c>
      <c r="L138" s="1" t="s">
        <v>263</v>
      </c>
      <c r="M138" s="1" t="s">
        <v>266</v>
      </c>
    </row>
    <row r="139" spans="1:14" hidden="1" x14ac:dyDescent="0.25">
      <c r="A139">
        <v>108</v>
      </c>
      <c r="B139">
        <v>18</v>
      </c>
      <c r="C139" t="s">
        <v>880</v>
      </c>
      <c r="D139" s="1" t="s">
        <v>253</v>
      </c>
      <c r="E139" t="s">
        <v>363</v>
      </c>
      <c r="F139" t="s">
        <v>449</v>
      </c>
      <c r="G139" t="s">
        <v>449</v>
      </c>
      <c r="H139" s="1" t="s">
        <v>258</v>
      </c>
      <c r="I139" t="s">
        <v>869</v>
      </c>
      <c r="J139" t="s">
        <v>843</v>
      </c>
      <c r="K139" t="s">
        <v>890</v>
      </c>
      <c r="L139" s="1" t="s">
        <v>263</v>
      </c>
      <c r="M139" s="1" t="s">
        <v>266</v>
      </c>
    </row>
    <row r="140" spans="1:14" hidden="1" x14ac:dyDescent="0.25">
      <c r="A140">
        <v>109</v>
      </c>
      <c r="B140">
        <v>18</v>
      </c>
      <c r="C140" t="s">
        <v>881</v>
      </c>
      <c r="D140" s="1" t="s">
        <v>249</v>
      </c>
      <c r="E140" t="s">
        <v>363</v>
      </c>
      <c r="F140" t="s">
        <v>449</v>
      </c>
      <c r="G140" t="s">
        <v>449</v>
      </c>
      <c r="H140" s="1" t="s">
        <v>258</v>
      </c>
      <c r="I140" t="s">
        <v>885</v>
      </c>
      <c r="J140" t="s">
        <v>843</v>
      </c>
      <c r="K140" t="s">
        <v>891</v>
      </c>
      <c r="L140" s="1" t="s">
        <v>263</v>
      </c>
      <c r="M140" s="1" t="s">
        <v>266</v>
      </c>
    </row>
    <row r="141" spans="1:14" hidden="1" x14ac:dyDescent="0.25">
      <c r="A141">
        <v>110</v>
      </c>
      <c r="B141">
        <v>18</v>
      </c>
      <c r="C141" t="s">
        <v>882</v>
      </c>
      <c r="D141" s="1" t="s">
        <v>254</v>
      </c>
      <c r="E141" t="s">
        <v>363</v>
      </c>
      <c r="F141" t="s">
        <v>449</v>
      </c>
      <c r="G141" t="s">
        <v>449</v>
      </c>
      <c r="H141" s="1" t="s">
        <v>258</v>
      </c>
      <c r="I141" t="s">
        <v>888</v>
      </c>
      <c r="J141" t="s">
        <v>843</v>
      </c>
      <c r="K141" t="s">
        <v>892</v>
      </c>
      <c r="L141" s="1" t="s">
        <v>263</v>
      </c>
      <c r="M141" s="1" t="s">
        <v>270</v>
      </c>
    </row>
    <row r="142" spans="1:14" hidden="1" x14ac:dyDescent="0.25">
      <c r="A142">
        <v>111</v>
      </c>
      <c r="B142">
        <v>18</v>
      </c>
      <c r="C142" t="s">
        <v>883</v>
      </c>
      <c r="D142" s="1" t="s">
        <v>254</v>
      </c>
      <c r="E142" t="s">
        <v>363</v>
      </c>
      <c r="F142" t="s">
        <v>449</v>
      </c>
      <c r="G142" t="s">
        <v>449</v>
      </c>
      <c r="H142" s="1" t="s">
        <v>258</v>
      </c>
      <c r="I142" t="s">
        <v>887</v>
      </c>
      <c r="J142" t="s">
        <v>843</v>
      </c>
      <c r="K142" t="s">
        <v>893</v>
      </c>
      <c r="L142" s="1" t="s">
        <v>263</v>
      </c>
      <c r="M142" s="1" t="s">
        <v>270</v>
      </c>
    </row>
    <row r="143" spans="1:14" hidden="1" x14ac:dyDescent="0.25">
      <c r="A143">
        <v>112</v>
      </c>
      <c r="B143">
        <v>18</v>
      </c>
      <c r="C143" t="s">
        <v>884</v>
      </c>
      <c r="D143" s="1" t="s">
        <v>254</v>
      </c>
      <c r="E143" t="s">
        <v>363</v>
      </c>
      <c r="F143" t="s">
        <v>894</v>
      </c>
      <c r="G143" t="s">
        <v>449</v>
      </c>
      <c r="H143" s="1" t="s">
        <v>258</v>
      </c>
      <c r="I143" t="s">
        <v>886</v>
      </c>
      <c r="J143" t="s">
        <v>843</v>
      </c>
      <c r="K143" t="s">
        <v>895</v>
      </c>
      <c r="L143" s="1" t="s">
        <v>263</v>
      </c>
      <c r="M143" s="1" t="s">
        <v>270</v>
      </c>
    </row>
    <row r="144" spans="1:14" hidden="1" x14ac:dyDescent="0.25">
      <c r="A144" s="7"/>
      <c r="B144" s="7">
        <v>18</v>
      </c>
      <c r="C144" s="7"/>
      <c r="D144" s="7" t="s">
        <v>246</v>
      </c>
      <c r="E144" s="7" t="s">
        <v>363</v>
      </c>
      <c r="F144" s="7"/>
      <c r="G144" s="7"/>
      <c r="H144" s="7"/>
      <c r="I144" s="7"/>
      <c r="J144" s="7"/>
      <c r="K144" s="7"/>
      <c r="L144" s="7" t="s">
        <v>264</v>
      </c>
      <c r="M144" s="7"/>
      <c r="N144" s="7" t="s">
        <v>844</v>
      </c>
    </row>
    <row r="145" spans="1:14" hidden="1" x14ac:dyDescent="0.25">
      <c r="A145" s="7"/>
      <c r="B145" s="7">
        <v>18</v>
      </c>
      <c r="C145" s="7"/>
      <c r="D145" s="7" t="s">
        <v>247</v>
      </c>
      <c r="E145" s="7" t="s">
        <v>363</v>
      </c>
      <c r="F145" s="7"/>
      <c r="G145" s="7"/>
      <c r="H145" s="7"/>
      <c r="I145" s="7"/>
      <c r="J145" s="7"/>
      <c r="K145" s="7"/>
      <c r="L145" s="7" t="s">
        <v>264</v>
      </c>
      <c r="M145" s="7"/>
      <c r="N145" s="7" t="s">
        <v>844</v>
      </c>
    </row>
    <row r="146" spans="1:14" hidden="1" x14ac:dyDescent="0.25">
      <c r="A146" s="7"/>
      <c r="B146" s="7">
        <v>18</v>
      </c>
      <c r="C146" s="7"/>
      <c r="D146" s="7" t="s">
        <v>248</v>
      </c>
      <c r="E146" s="7" t="s">
        <v>363</v>
      </c>
      <c r="F146" s="7"/>
      <c r="G146" s="7"/>
      <c r="H146" s="7"/>
      <c r="I146" s="7"/>
      <c r="J146" s="7"/>
      <c r="K146" s="7"/>
      <c r="L146" s="7" t="s">
        <v>264</v>
      </c>
      <c r="M146" s="7"/>
      <c r="N146" s="7" t="s">
        <v>844</v>
      </c>
    </row>
    <row r="147" spans="1:14" x14ac:dyDescent="0.25">
      <c r="A147" s="4">
        <v>113</v>
      </c>
      <c r="B147" s="4">
        <v>19</v>
      </c>
      <c r="C147" s="4" t="s">
        <v>897</v>
      </c>
      <c r="D147" s="4" t="s">
        <v>247</v>
      </c>
      <c r="E147" s="4" t="s">
        <v>367</v>
      </c>
      <c r="F147" s="4" t="s">
        <v>449</v>
      </c>
      <c r="G147" s="4" t="s">
        <v>449</v>
      </c>
      <c r="H147" s="4" t="s">
        <v>258</v>
      </c>
      <c r="I147" s="4" t="s">
        <v>908</v>
      </c>
      <c r="J147" s="4" t="s">
        <v>843</v>
      </c>
      <c r="K147" s="4" t="s">
        <v>915</v>
      </c>
      <c r="L147" s="4" t="s">
        <v>262</v>
      </c>
      <c r="M147" s="4"/>
      <c r="N147" s="4"/>
    </row>
    <row r="148" spans="1:14" hidden="1" x14ac:dyDescent="0.25">
      <c r="A148">
        <v>114</v>
      </c>
      <c r="B148">
        <v>19</v>
      </c>
      <c r="C148" t="s">
        <v>898</v>
      </c>
      <c r="D148" s="1" t="s">
        <v>255</v>
      </c>
      <c r="E148" t="s">
        <v>367</v>
      </c>
      <c r="F148" t="s">
        <v>916</v>
      </c>
      <c r="G148">
        <v>4</v>
      </c>
      <c r="H148" s="1" t="s">
        <v>258</v>
      </c>
      <c r="I148" t="s">
        <v>909</v>
      </c>
      <c r="J148" t="s">
        <v>843</v>
      </c>
      <c r="K148" t="s">
        <v>917</v>
      </c>
      <c r="L148" s="1" t="s">
        <v>263</v>
      </c>
      <c r="M148" s="1" t="s">
        <v>266</v>
      </c>
    </row>
    <row r="149" spans="1:14" hidden="1" x14ac:dyDescent="0.25">
      <c r="A149">
        <v>115</v>
      </c>
      <c r="B149">
        <v>19</v>
      </c>
      <c r="C149" t="s">
        <v>899</v>
      </c>
      <c r="D149" s="1" t="s">
        <v>255</v>
      </c>
      <c r="E149" t="s">
        <v>367</v>
      </c>
      <c r="F149" t="s">
        <v>918</v>
      </c>
      <c r="G149">
        <v>1</v>
      </c>
      <c r="H149" s="1" t="s">
        <v>258</v>
      </c>
      <c r="I149" t="s">
        <v>910</v>
      </c>
      <c r="J149" t="s">
        <v>843</v>
      </c>
      <c r="K149" t="s">
        <v>919</v>
      </c>
      <c r="L149" s="1" t="s">
        <v>263</v>
      </c>
      <c r="M149" s="1" t="s">
        <v>266</v>
      </c>
    </row>
    <row r="150" spans="1:14" hidden="1" x14ac:dyDescent="0.25">
      <c r="A150">
        <v>116</v>
      </c>
      <c r="B150">
        <v>19</v>
      </c>
      <c r="C150" t="s">
        <v>900</v>
      </c>
      <c r="D150" s="1" t="s">
        <v>255</v>
      </c>
      <c r="E150" t="s">
        <v>367</v>
      </c>
      <c r="F150" t="s">
        <v>920</v>
      </c>
      <c r="G150">
        <v>4</v>
      </c>
      <c r="H150" s="1" t="s">
        <v>258</v>
      </c>
      <c r="I150" t="s">
        <v>911</v>
      </c>
      <c r="J150" t="s">
        <v>843</v>
      </c>
      <c r="K150" t="s">
        <v>921</v>
      </c>
      <c r="L150" s="1" t="s">
        <v>263</v>
      </c>
      <c r="M150" s="1" t="s">
        <v>266</v>
      </c>
    </row>
    <row r="151" spans="1:14" hidden="1" x14ac:dyDescent="0.25">
      <c r="A151">
        <v>117</v>
      </c>
      <c r="B151">
        <v>19</v>
      </c>
      <c r="C151" t="s">
        <v>901</v>
      </c>
      <c r="D151" s="1" t="s">
        <v>249</v>
      </c>
      <c r="E151" t="s">
        <v>367</v>
      </c>
      <c r="F151" s="8">
        <v>45717</v>
      </c>
      <c r="G151" t="s">
        <v>902</v>
      </c>
      <c r="H151" s="1" t="s">
        <v>258</v>
      </c>
      <c r="I151" t="s">
        <v>912</v>
      </c>
      <c r="J151" t="s">
        <v>843</v>
      </c>
      <c r="K151" t="s">
        <v>922</v>
      </c>
      <c r="L151" s="1" t="s">
        <v>263</v>
      </c>
      <c r="M151" s="1" t="s">
        <v>266</v>
      </c>
    </row>
    <row r="152" spans="1:14" hidden="1" x14ac:dyDescent="0.25">
      <c r="A152">
        <v>118</v>
      </c>
      <c r="B152">
        <v>19</v>
      </c>
      <c r="C152" t="s">
        <v>903</v>
      </c>
      <c r="D152" s="1" t="s">
        <v>254</v>
      </c>
      <c r="E152" t="s">
        <v>367</v>
      </c>
      <c r="F152" t="s">
        <v>904</v>
      </c>
      <c r="G152" t="s">
        <v>449</v>
      </c>
      <c r="H152" s="1" t="s">
        <v>258</v>
      </c>
      <c r="I152" t="s">
        <v>913</v>
      </c>
      <c r="J152" t="s">
        <v>843</v>
      </c>
      <c r="K152" t="s">
        <v>923</v>
      </c>
      <c r="L152" s="1" t="s">
        <v>263</v>
      </c>
      <c r="M152" s="1" t="s">
        <v>266</v>
      </c>
    </row>
    <row r="153" spans="1:14" hidden="1" x14ac:dyDescent="0.25">
      <c r="A153">
        <v>119</v>
      </c>
      <c r="B153">
        <v>19</v>
      </c>
      <c r="C153" t="s">
        <v>905</v>
      </c>
      <c r="D153" s="1" t="s">
        <v>254</v>
      </c>
      <c r="E153" t="s">
        <v>367</v>
      </c>
      <c r="F153" t="s">
        <v>906</v>
      </c>
      <c r="G153" t="s">
        <v>449</v>
      </c>
      <c r="H153" s="1" t="s">
        <v>258</v>
      </c>
      <c r="I153" t="s">
        <v>914</v>
      </c>
      <c r="J153" t="s">
        <v>843</v>
      </c>
      <c r="K153" t="s">
        <v>924</v>
      </c>
      <c r="L153" s="1" t="s">
        <v>263</v>
      </c>
      <c r="M153" s="1" t="s">
        <v>266</v>
      </c>
    </row>
    <row r="154" spans="1:14" hidden="1" x14ac:dyDescent="0.25">
      <c r="A154" s="7"/>
      <c r="B154" s="7">
        <v>19</v>
      </c>
      <c r="C154" s="7"/>
      <c r="D154" s="7" t="s">
        <v>246</v>
      </c>
      <c r="E154" s="7" t="s">
        <v>367</v>
      </c>
      <c r="F154" s="7"/>
      <c r="G154" s="7"/>
      <c r="H154" s="7"/>
      <c r="I154" s="7"/>
      <c r="J154" s="7"/>
      <c r="K154" s="7"/>
      <c r="L154" s="7" t="s">
        <v>264</v>
      </c>
      <c r="M154" s="7"/>
      <c r="N154" s="7" t="s">
        <v>907</v>
      </c>
    </row>
    <row r="155" spans="1:14" hidden="1" x14ac:dyDescent="0.25">
      <c r="A155" s="7"/>
      <c r="B155" s="7">
        <v>19</v>
      </c>
      <c r="C155" s="7"/>
      <c r="D155" s="7" t="s">
        <v>248</v>
      </c>
      <c r="E155" s="7" t="s">
        <v>367</v>
      </c>
      <c r="F155" s="7"/>
      <c r="G155" s="7"/>
      <c r="H155" s="7"/>
      <c r="I155" s="7"/>
      <c r="J155" s="7"/>
      <c r="K155" s="7"/>
      <c r="L155" s="7" t="s">
        <v>264</v>
      </c>
      <c r="M155" s="7"/>
      <c r="N155" s="7" t="s">
        <v>907</v>
      </c>
    </row>
    <row r="156" spans="1:14" hidden="1" x14ac:dyDescent="0.25">
      <c r="A156">
        <v>120</v>
      </c>
      <c r="B156">
        <v>20</v>
      </c>
      <c r="C156" t="s">
        <v>928</v>
      </c>
      <c r="D156" s="1" t="s">
        <v>249</v>
      </c>
      <c r="E156" t="s">
        <v>925</v>
      </c>
      <c r="F156" t="s">
        <v>449</v>
      </c>
      <c r="G156" t="s">
        <v>449</v>
      </c>
      <c r="H156" s="1" t="s">
        <v>258</v>
      </c>
      <c r="I156" t="s">
        <v>936</v>
      </c>
      <c r="J156" t="s">
        <v>843</v>
      </c>
      <c r="K156" t="s">
        <v>944</v>
      </c>
      <c r="L156" s="1" t="s">
        <v>263</v>
      </c>
      <c r="M156" s="1" t="s">
        <v>266</v>
      </c>
    </row>
    <row r="157" spans="1:14" hidden="1" x14ac:dyDescent="0.25">
      <c r="A157">
        <v>121</v>
      </c>
      <c r="B157">
        <v>20</v>
      </c>
      <c r="C157" t="s">
        <v>929</v>
      </c>
      <c r="D157" s="1" t="s">
        <v>249</v>
      </c>
      <c r="E157" t="s">
        <v>925</v>
      </c>
      <c r="F157" t="s">
        <v>449</v>
      </c>
      <c r="G157" t="s">
        <v>449</v>
      </c>
      <c r="H157" s="1" t="s">
        <v>258</v>
      </c>
      <c r="I157" t="s">
        <v>937</v>
      </c>
      <c r="J157" t="s">
        <v>843</v>
      </c>
      <c r="K157" t="s">
        <v>945</v>
      </c>
      <c r="L157" s="1" t="s">
        <v>263</v>
      </c>
      <c r="M157" s="1" t="s">
        <v>266</v>
      </c>
    </row>
    <row r="158" spans="1:14" x14ac:dyDescent="0.25">
      <c r="A158" s="4">
        <v>122</v>
      </c>
      <c r="B158" s="4">
        <v>20</v>
      </c>
      <c r="C158" s="4" t="s">
        <v>930</v>
      </c>
      <c r="D158" s="4" t="s">
        <v>255</v>
      </c>
      <c r="E158" s="4" t="s">
        <v>925</v>
      </c>
      <c r="F158" s="4" t="s">
        <v>449</v>
      </c>
      <c r="G158" s="4" t="s">
        <v>449</v>
      </c>
      <c r="H158" s="4" t="s">
        <v>258</v>
      </c>
      <c r="I158" s="4" t="s">
        <v>938</v>
      </c>
      <c r="J158" s="4" t="s">
        <v>843</v>
      </c>
      <c r="K158" s="4" t="s">
        <v>946</v>
      </c>
      <c r="L158" s="4" t="s">
        <v>262</v>
      </c>
      <c r="M158" s="4"/>
      <c r="N158" s="4" t="s">
        <v>927</v>
      </c>
    </row>
    <row r="159" spans="1:14" hidden="1" x14ac:dyDescent="0.25">
      <c r="A159">
        <v>123</v>
      </c>
      <c r="B159">
        <v>20</v>
      </c>
      <c r="C159" t="s">
        <v>931</v>
      </c>
      <c r="D159" s="1" t="s">
        <v>252</v>
      </c>
      <c r="E159" t="s">
        <v>925</v>
      </c>
      <c r="F159">
        <v>2023</v>
      </c>
      <c r="G159" t="s">
        <v>449</v>
      </c>
      <c r="H159" s="1" t="s">
        <v>258</v>
      </c>
      <c r="I159" t="s">
        <v>939</v>
      </c>
      <c r="J159" t="s">
        <v>843</v>
      </c>
      <c r="K159" t="s">
        <v>947</v>
      </c>
      <c r="L159" s="1" t="s">
        <v>263</v>
      </c>
      <c r="M159" s="1" t="s">
        <v>266</v>
      </c>
    </row>
    <row r="160" spans="1:14" hidden="1" x14ac:dyDescent="0.25">
      <c r="A160">
        <v>124</v>
      </c>
      <c r="B160">
        <v>20</v>
      </c>
      <c r="C160" t="s">
        <v>932</v>
      </c>
      <c r="D160" s="1" t="s">
        <v>251</v>
      </c>
      <c r="E160" t="s">
        <v>925</v>
      </c>
      <c r="F160" t="s">
        <v>449</v>
      </c>
      <c r="G160" t="s">
        <v>449</v>
      </c>
      <c r="H160" s="1" t="s">
        <v>258</v>
      </c>
      <c r="I160" t="s">
        <v>940</v>
      </c>
      <c r="J160" t="s">
        <v>843</v>
      </c>
      <c r="K160" t="s">
        <v>948</v>
      </c>
      <c r="L160" s="1" t="s">
        <v>263</v>
      </c>
      <c r="M160" s="1" t="s">
        <v>266</v>
      </c>
    </row>
    <row r="161" spans="1:14" hidden="1" x14ac:dyDescent="0.25">
      <c r="A161">
        <v>125</v>
      </c>
      <c r="B161">
        <v>20</v>
      </c>
      <c r="C161" t="s">
        <v>933</v>
      </c>
      <c r="D161" s="1" t="s">
        <v>250</v>
      </c>
      <c r="E161" t="s">
        <v>925</v>
      </c>
      <c r="F161" t="s">
        <v>449</v>
      </c>
      <c r="G161" t="s">
        <v>449</v>
      </c>
      <c r="H161" s="1" t="s">
        <v>258</v>
      </c>
      <c r="I161" t="s">
        <v>941</v>
      </c>
      <c r="J161" t="s">
        <v>843</v>
      </c>
      <c r="K161" t="s">
        <v>949</v>
      </c>
      <c r="L161" s="1" t="s">
        <v>263</v>
      </c>
      <c r="M161" s="1" t="s">
        <v>266</v>
      </c>
    </row>
    <row r="162" spans="1:14" hidden="1" x14ac:dyDescent="0.25">
      <c r="A162">
        <v>126</v>
      </c>
      <c r="B162">
        <v>20</v>
      </c>
      <c r="C162" t="s">
        <v>934</v>
      </c>
      <c r="D162" s="1" t="s">
        <v>253</v>
      </c>
      <c r="E162" t="s">
        <v>925</v>
      </c>
      <c r="F162" t="s">
        <v>449</v>
      </c>
      <c r="G162" t="s">
        <v>449</v>
      </c>
      <c r="H162" s="1" t="s">
        <v>258</v>
      </c>
      <c r="I162" t="s">
        <v>942</v>
      </c>
      <c r="J162" t="s">
        <v>843</v>
      </c>
      <c r="K162" t="s">
        <v>950</v>
      </c>
      <c r="L162" s="1" t="s">
        <v>263</v>
      </c>
      <c r="M162" s="1" t="s">
        <v>269</v>
      </c>
    </row>
    <row r="163" spans="1:14" hidden="1" x14ac:dyDescent="0.25">
      <c r="A163">
        <v>127</v>
      </c>
      <c r="B163">
        <v>20</v>
      </c>
      <c r="C163" t="s">
        <v>935</v>
      </c>
      <c r="D163" s="1" t="s">
        <v>254</v>
      </c>
      <c r="E163" t="s">
        <v>925</v>
      </c>
      <c r="F163" s="8">
        <v>43952</v>
      </c>
      <c r="G163" t="s">
        <v>449</v>
      </c>
      <c r="H163" s="1" t="s">
        <v>258</v>
      </c>
      <c r="I163" t="s">
        <v>943</v>
      </c>
      <c r="J163" t="s">
        <v>843</v>
      </c>
      <c r="K163" t="s">
        <v>951</v>
      </c>
      <c r="L163" s="1" t="s">
        <v>263</v>
      </c>
      <c r="M163" s="1" t="s">
        <v>270</v>
      </c>
    </row>
    <row r="164" spans="1:14" hidden="1" x14ac:dyDescent="0.25">
      <c r="A164" s="7"/>
      <c r="B164" s="7">
        <v>20</v>
      </c>
      <c r="C164" s="7"/>
      <c r="D164" s="7" t="s">
        <v>246</v>
      </c>
      <c r="E164" s="7" t="s">
        <v>925</v>
      </c>
      <c r="F164" s="7"/>
      <c r="G164" s="7"/>
      <c r="H164" s="7"/>
      <c r="I164" s="7"/>
      <c r="J164" s="7"/>
      <c r="K164" s="7"/>
      <c r="L164" s="7" t="s">
        <v>264</v>
      </c>
      <c r="M164" s="7"/>
      <c r="N164" s="7" t="s">
        <v>844</v>
      </c>
    </row>
    <row r="165" spans="1:14" hidden="1" x14ac:dyDescent="0.25">
      <c r="A165" s="7"/>
      <c r="B165" s="7">
        <v>20</v>
      </c>
      <c r="C165" s="7"/>
      <c r="D165" s="7" t="s">
        <v>247</v>
      </c>
      <c r="E165" s="7" t="s">
        <v>925</v>
      </c>
      <c r="F165" s="7"/>
      <c r="G165" s="7"/>
      <c r="H165" s="7"/>
      <c r="I165" s="7"/>
      <c r="J165" s="7"/>
      <c r="K165" s="7"/>
      <c r="L165" s="7" t="s">
        <v>264</v>
      </c>
      <c r="M165" s="7"/>
      <c r="N165" s="7" t="s">
        <v>844</v>
      </c>
    </row>
    <row r="166" spans="1:14" hidden="1" x14ac:dyDescent="0.25">
      <c r="A166" s="7"/>
      <c r="B166" s="7">
        <v>20</v>
      </c>
      <c r="C166" s="7"/>
      <c r="D166" s="7" t="s">
        <v>248</v>
      </c>
      <c r="E166" s="7" t="s">
        <v>925</v>
      </c>
      <c r="F166" s="7"/>
      <c r="G166" s="7"/>
      <c r="H166" s="7"/>
      <c r="I166" s="7"/>
      <c r="J166" s="7"/>
      <c r="K166" s="7"/>
      <c r="L166" s="7" t="s">
        <v>264</v>
      </c>
      <c r="M166" s="7"/>
      <c r="N166" s="7" t="s">
        <v>844</v>
      </c>
    </row>
    <row r="167" spans="1:14" hidden="1" x14ac:dyDescent="0.25">
      <c r="A167">
        <v>128</v>
      </c>
      <c r="B167">
        <v>21</v>
      </c>
      <c r="C167" t="s">
        <v>956</v>
      </c>
      <c r="D167" s="1" t="s">
        <v>249</v>
      </c>
      <c r="E167" t="s">
        <v>954</v>
      </c>
      <c r="F167" t="s">
        <v>449</v>
      </c>
      <c r="G167">
        <v>2023</v>
      </c>
      <c r="H167" s="1" t="s">
        <v>258</v>
      </c>
      <c r="I167" t="s">
        <v>963</v>
      </c>
      <c r="J167" s="11" t="s">
        <v>952</v>
      </c>
      <c r="K167" t="s">
        <v>966</v>
      </c>
      <c r="L167" s="1" t="s">
        <v>263</v>
      </c>
      <c r="M167" s="1" t="s">
        <v>266</v>
      </c>
    </row>
    <row r="168" spans="1:14" hidden="1" x14ac:dyDescent="0.25">
      <c r="A168">
        <v>129</v>
      </c>
      <c r="B168">
        <v>21</v>
      </c>
      <c r="C168" t="s">
        <v>957</v>
      </c>
      <c r="D168" s="1" t="s">
        <v>255</v>
      </c>
      <c r="E168" t="s">
        <v>954</v>
      </c>
      <c r="F168" t="s">
        <v>449</v>
      </c>
      <c r="G168" t="s">
        <v>449</v>
      </c>
      <c r="H168" s="1" t="s">
        <v>258</v>
      </c>
      <c r="I168" t="s">
        <v>964</v>
      </c>
      <c r="J168" s="11" t="s">
        <v>952</v>
      </c>
      <c r="K168" t="s">
        <v>967</v>
      </c>
      <c r="L168" s="1" t="s">
        <v>263</v>
      </c>
      <c r="M168" s="1" t="s">
        <v>266</v>
      </c>
    </row>
    <row r="169" spans="1:14" hidden="1" x14ac:dyDescent="0.25">
      <c r="A169">
        <v>130</v>
      </c>
      <c r="B169">
        <v>21</v>
      </c>
      <c r="C169" t="s">
        <v>958</v>
      </c>
      <c r="D169" s="1" t="s">
        <v>255</v>
      </c>
      <c r="E169" t="s">
        <v>954</v>
      </c>
      <c r="F169" t="s">
        <v>449</v>
      </c>
      <c r="G169" t="s">
        <v>449</v>
      </c>
      <c r="H169" s="1" t="s">
        <v>258</v>
      </c>
      <c r="I169" t="s">
        <v>965</v>
      </c>
      <c r="J169" s="11" t="s">
        <v>952</v>
      </c>
      <c r="K169" t="s">
        <v>968</v>
      </c>
      <c r="L169" s="1" t="s">
        <v>263</v>
      </c>
      <c r="M169" s="1" t="s">
        <v>270</v>
      </c>
    </row>
    <row r="170" spans="1:14" hidden="1" x14ac:dyDescent="0.25">
      <c r="A170">
        <v>131</v>
      </c>
      <c r="B170">
        <v>21</v>
      </c>
      <c r="C170" t="s">
        <v>960</v>
      </c>
      <c r="D170" s="1" t="s">
        <v>254</v>
      </c>
      <c r="E170" t="s">
        <v>954</v>
      </c>
      <c r="F170" t="s">
        <v>959</v>
      </c>
      <c r="G170" t="s">
        <v>449</v>
      </c>
      <c r="H170" s="1" t="s">
        <v>257</v>
      </c>
      <c r="I170" t="s">
        <v>962</v>
      </c>
      <c r="J170" s="11" t="s">
        <v>952</v>
      </c>
      <c r="K170" t="s">
        <v>961</v>
      </c>
      <c r="L170" s="1" t="s">
        <v>263</v>
      </c>
      <c r="M170" s="1" t="s">
        <v>270</v>
      </c>
    </row>
    <row r="171" spans="1:14" hidden="1" x14ac:dyDescent="0.25">
      <c r="A171" s="7"/>
      <c r="B171" s="7">
        <v>21</v>
      </c>
      <c r="C171" s="7"/>
      <c r="D171" s="7" t="s">
        <v>246</v>
      </c>
      <c r="E171" s="7" t="s">
        <v>954</v>
      </c>
      <c r="F171" s="7"/>
      <c r="G171" s="7"/>
      <c r="H171" s="7"/>
      <c r="I171" s="7"/>
      <c r="J171" s="7"/>
      <c r="K171" s="7"/>
      <c r="L171" s="7" t="s">
        <v>264</v>
      </c>
      <c r="M171" s="7"/>
      <c r="N171" s="7" t="s">
        <v>955</v>
      </c>
    </row>
    <row r="172" spans="1:14" hidden="1" x14ac:dyDescent="0.25">
      <c r="A172" s="7"/>
      <c r="B172" s="7">
        <v>21</v>
      </c>
      <c r="C172" s="7"/>
      <c r="D172" s="7" t="s">
        <v>247</v>
      </c>
      <c r="E172" s="7" t="s">
        <v>954</v>
      </c>
      <c r="F172" s="7"/>
      <c r="G172" s="7"/>
      <c r="H172" s="7"/>
      <c r="I172" s="7"/>
      <c r="J172" s="7"/>
      <c r="K172" s="7"/>
      <c r="L172" s="7" t="s">
        <v>264</v>
      </c>
      <c r="M172" s="7"/>
      <c r="N172" s="7" t="s">
        <v>955</v>
      </c>
    </row>
    <row r="173" spans="1:14" hidden="1" x14ac:dyDescent="0.25">
      <c r="A173" s="7"/>
      <c r="B173" s="7">
        <v>21</v>
      </c>
      <c r="C173" s="7"/>
      <c r="D173" s="7" t="s">
        <v>248</v>
      </c>
      <c r="E173" s="7" t="s">
        <v>954</v>
      </c>
      <c r="F173" s="7"/>
      <c r="G173" s="7"/>
      <c r="H173" s="7"/>
      <c r="I173" s="7"/>
      <c r="J173" s="7"/>
      <c r="K173" s="7"/>
      <c r="L173" s="7" t="s">
        <v>264</v>
      </c>
      <c r="M173" s="7"/>
      <c r="N173" s="7" t="s">
        <v>955</v>
      </c>
    </row>
    <row r="174" spans="1:14" x14ac:dyDescent="0.25">
      <c r="A174" s="4">
        <v>132</v>
      </c>
      <c r="B174" s="4">
        <v>22</v>
      </c>
      <c r="C174" s="4" t="s">
        <v>971</v>
      </c>
      <c r="D174" s="4" t="s">
        <v>249</v>
      </c>
      <c r="E174" s="4" t="s">
        <v>969</v>
      </c>
      <c r="F174" s="4" t="s">
        <v>449</v>
      </c>
      <c r="G174" s="4" t="s">
        <v>449</v>
      </c>
      <c r="H174" s="4" t="s">
        <v>258</v>
      </c>
      <c r="I174" s="4" t="s">
        <v>981</v>
      </c>
      <c r="J174" s="10" t="s">
        <v>952</v>
      </c>
      <c r="K174" s="4" t="s">
        <v>991</v>
      </c>
      <c r="L174" s="4" t="s">
        <v>262</v>
      </c>
      <c r="M174" s="4"/>
      <c r="N174" s="4"/>
    </row>
    <row r="175" spans="1:14" hidden="1" x14ac:dyDescent="0.25">
      <c r="A175">
        <v>133</v>
      </c>
      <c r="B175">
        <v>22</v>
      </c>
      <c r="C175" t="s">
        <v>972</v>
      </c>
      <c r="D175" s="1" t="s">
        <v>255</v>
      </c>
      <c r="E175" t="s">
        <v>969</v>
      </c>
      <c r="F175" t="s">
        <v>449</v>
      </c>
      <c r="G175" t="s">
        <v>449</v>
      </c>
      <c r="H175" s="1" t="s">
        <v>258</v>
      </c>
      <c r="I175" t="s">
        <v>982</v>
      </c>
      <c r="J175" s="11" t="s">
        <v>952</v>
      </c>
      <c r="K175" t="s">
        <v>992</v>
      </c>
      <c r="L175" s="1" t="s">
        <v>263</v>
      </c>
      <c r="M175" s="1" t="s">
        <v>266</v>
      </c>
    </row>
    <row r="176" spans="1:14" hidden="1" x14ac:dyDescent="0.25">
      <c r="A176">
        <v>134</v>
      </c>
      <c r="B176">
        <v>22</v>
      </c>
      <c r="C176" t="s">
        <v>973</v>
      </c>
      <c r="D176" s="1" t="s">
        <v>250</v>
      </c>
      <c r="E176" t="s">
        <v>969</v>
      </c>
      <c r="F176" t="s">
        <v>449</v>
      </c>
      <c r="G176" t="s">
        <v>449</v>
      </c>
      <c r="H176" s="1" t="s">
        <v>258</v>
      </c>
      <c r="I176" t="s">
        <v>983</v>
      </c>
      <c r="J176" s="11" t="s">
        <v>952</v>
      </c>
      <c r="K176" t="s">
        <v>993</v>
      </c>
      <c r="L176" s="1" t="s">
        <v>263</v>
      </c>
      <c r="M176" s="1" t="s">
        <v>266</v>
      </c>
    </row>
    <row r="177" spans="1:14" hidden="1" x14ac:dyDescent="0.25">
      <c r="A177">
        <v>135</v>
      </c>
      <c r="B177">
        <v>22</v>
      </c>
      <c r="C177" t="s">
        <v>974</v>
      </c>
      <c r="D177" s="1" t="s">
        <v>251</v>
      </c>
      <c r="E177" t="s">
        <v>969</v>
      </c>
      <c r="F177" t="s">
        <v>449</v>
      </c>
      <c r="G177" t="s">
        <v>449</v>
      </c>
      <c r="H177" s="1" t="s">
        <v>258</v>
      </c>
      <c r="I177" t="s">
        <v>984</v>
      </c>
      <c r="J177" s="11" t="s">
        <v>952</v>
      </c>
      <c r="K177" t="s">
        <v>997</v>
      </c>
      <c r="L177" s="1" t="s">
        <v>263</v>
      </c>
      <c r="M177" s="1" t="s">
        <v>266</v>
      </c>
    </row>
    <row r="178" spans="1:14" hidden="1" x14ac:dyDescent="0.25">
      <c r="A178">
        <v>136</v>
      </c>
      <c r="B178">
        <v>22</v>
      </c>
      <c r="C178" t="s">
        <v>975</v>
      </c>
      <c r="D178" s="1" t="s">
        <v>250</v>
      </c>
      <c r="E178" t="s">
        <v>969</v>
      </c>
      <c r="F178" t="s">
        <v>449</v>
      </c>
      <c r="G178" t="s">
        <v>449</v>
      </c>
      <c r="H178" s="1" t="s">
        <v>258</v>
      </c>
      <c r="I178" t="s">
        <v>985</v>
      </c>
      <c r="J178" s="11" t="s">
        <v>952</v>
      </c>
      <c r="K178" t="s">
        <v>998</v>
      </c>
      <c r="L178" s="1" t="s">
        <v>263</v>
      </c>
      <c r="M178" s="1" t="s">
        <v>266</v>
      </c>
    </row>
    <row r="179" spans="1:14" hidden="1" x14ac:dyDescent="0.25">
      <c r="A179">
        <v>137</v>
      </c>
      <c r="B179">
        <v>22</v>
      </c>
      <c r="C179" t="s">
        <v>976</v>
      </c>
      <c r="D179" s="1" t="s">
        <v>255</v>
      </c>
      <c r="E179" t="s">
        <v>969</v>
      </c>
      <c r="F179" t="s">
        <v>449</v>
      </c>
      <c r="G179" t="s">
        <v>449</v>
      </c>
      <c r="H179" s="1" t="s">
        <v>258</v>
      </c>
      <c r="I179" t="s">
        <v>986</v>
      </c>
      <c r="J179" s="11" t="s">
        <v>952</v>
      </c>
      <c r="K179" t="s">
        <v>999</v>
      </c>
      <c r="L179" s="1" t="s">
        <v>263</v>
      </c>
      <c r="M179" s="1" t="s">
        <v>266</v>
      </c>
    </row>
    <row r="180" spans="1:14" hidden="1" x14ac:dyDescent="0.25">
      <c r="A180">
        <v>138</v>
      </c>
      <c r="B180">
        <v>22</v>
      </c>
      <c r="C180" t="s">
        <v>977</v>
      </c>
      <c r="D180" s="1" t="s">
        <v>255</v>
      </c>
      <c r="E180" t="s">
        <v>969</v>
      </c>
      <c r="F180" t="s">
        <v>449</v>
      </c>
      <c r="G180" t="s">
        <v>449</v>
      </c>
      <c r="H180" s="1" t="s">
        <v>258</v>
      </c>
      <c r="I180" t="s">
        <v>987</v>
      </c>
      <c r="J180" s="11" t="s">
        <v>952</v>
      </c>
      <c r="K180" t="s">
        <v>1000</v>
      </c>
      <c r="L180" s="1" t="s">
        <v>263</v>
      </c>
      <c r="M180" s="1" t="s">
        <v>266</v>
      </c>
    </row>
    <row r="181" spans="1:14" hidden="1" x14ac:dyDescent="0.25">
      <c r="A181">
        <v>139</v>
      </c>
      <c r="B181">
        <v>22</v>
      </c>
      <c r="C181" t="s">
        <v>978</v>
      </c>
      <c r="D181" s="1" t="s">
        <v>253</v>
      </c>
      <c r="E181" t="s">
        <v>969</v>
      </c>
      <c r="F181" t="s">
        <v>449</v>
      </c>
      <c r="G181" t="s">
        <v>449</v>
      </c>
      <c r="H181" s="1" t="s">
        <v>258</v>
      </c>
      <c r="I181" t="s">
        <v>988</v>
      </c>
      <c r="J181" s="11" t="s">
        <v>952</v>
      </c>
      <c r="K181" t="s">
        <v>1001</v>
      </c>
      <c r="L181" s="1" t="s">
        <v>263</v>
      </c>
      <c r="M181" s="1" t="s">
        <v>266</v>
      </c>
    </row>
    <row r="182" spans="1:14" hidden="1" x14ac:dyDescent="0.25">
      <c r="A182">
        <v>140</v>
      </c>
      <c r="B182">
        <v>22</v>
      </c>
      <c r="C182" t="s">
        <v>979</v>
      </c>
      <c r="D182" s="1" t="s">
        <v>253</v>
      </c>
      <c r="E182" t="s">
        <v>969</v>
      </c>
      <c r="F182" t="s">
        <v>449</v>
      </c>
      <c r="G182" t="s">
        <v>449</v>
      </c>
      <c r="H182" s="1" t="s">
        <v>258</v>
      </c>
      <c r="I182" t="s">
        <v>989</v>
      </c>
      <c r="J182" s="11" t="s">
        <v>952</v>
      </c>
      <c r="K182" t="s">
        <v>1002</v>
      </c>
      <c r="L182" s="1" t="s">
        <v>263</v>
      </c>
      <c r="M182" s="1" t="s">
        <v>266</v>
      </c>
    </row>
    <row r="183" spans="1:14" hidden="1" x14ac:dyDescent="0.25">
      <c r="A183">
        <v>141</v>
      </c>
      <c r="B183">
        <v>22</v>
      </c>
      <c r="C183" t="s">
        <v>980</v>
      </c>
      <c r="D183" s="1" t="s">
        <v>254</v>
      </c>
      <c r="E183" t="s">
        <v>969</v>
      </c>
      <c r="F183" t="s">
        <v>449</v>
      </c>
      <c r="G183" t="s">
        <v>449</v>
      </c>
      <c r="H183" s="1" t="s">
        <v>258</v>
      </c>
      <c r="I183" t="s">
        <v>990</v>
      </c>
      <c r="J183" s="11" t="s">
        <v>952</v>
      </c>
      <c r="K183" t="s">
        <v>1003</v>
      </c>
      <c r="L183" s="1" t="s">
        <v>263</v>
      </c>
      <c r="M183" s="1" t="s">
        <v>270</v>
      </c>
    </row>
    <row r="184" spans="1:14" hidden="1" x14ac:dyDescent="0.25">
      <c r="A184" s="7"/>
      <c r="B184" s="7">
        <v>22</v>
      </c>
      <c r="C184" s="7"/>
      <c r="D184" s="7" t="s">
        <v>246</v>
      </c>
      <c r="E184" s="7" t="s">
        <v>969</v>
      </c>
      <c r="F184" s="7"/>
      <c r="G184" s="7"/>
      <c r="H184" s="7"/>
      <c r="I184" s="7"/>
      <c r="J184" s="7"/>
      <c r="K184" s="7"/>
      <c r="L184" s="7" t="s">
        <v>264</v>
      </c>
      <c r="M184" s="7"/>
      <c r="N184" s="7" t="s">
        <v>955</v>
      </c>
    </row>
    <row r="185" spans="1:14" hidden="1" x14ac:dyDescent="0.25">
      <c r="A185" s="7"/>
      <c r="B185" s="7">
        <v>22</v>
      </c>
      <c r="C185" s="7"/>
      <c r="D185" s="7" t="s">
        <v>247</v>
      </c>
      <c r="E185" s="7" t="s">
        <v>969</v>
      </c>
      <c r="F185" s="7"/>
      <c r="G185" s="7"/>
      <c r="H185" s="7"/>
      <c r="I185" s="7"/>
      <c r="J185" s="7"/>
      <c r="K185" s="7"/>
      <c r="L185" s="7" t="s">
        <v>264</v>
      </c>
      <c r="M185" s="7"/>
      <c r="N185" s="7" t="s">
        <v>955</v>
      </c>
    </row>
    <row r="186" spans="1:14" hidden="1" x14ac:dyDescent="0.25">
      <c r="A186" s="7"/>
      <c r="B186" s="7">
        <v>22</v>
      </c>
      <c r="C186" s="7"/>
      <c r="D186" s="7" t="s">
        <v>248</v>
      </c>
      <c r="E186" s="7" t="s">
        <v>969</v>
      </c>
      <c r="F186" s="7"/>
      <c r="G186" s="7"/>
      <c r="H186" s="7"/>
      <c r="I186" s="7"/>
      <c r="J186" s="7"/>
      <c r="K186" s="7"/>
      <c r="L186" s="7" t="s">
        <v>264</v>
      </c>
      <c r="M186" s="7"/>
      <c r="N186" s="7" t="s">
        <v>955</v>
      </c>
    </row>
    <row r="187" spans="1:14" x14ac:dyDescent="0.25">
      <c r="A187" s="4">
        <v>142</v>
      </c>
      <c r="B187" s="4">
        <v>23</v>
      </c>
      <c r="C187" s="4" t="s">
        <v>1004</v>
      </c>
      <c r="D187" s="4" t="s">
        <v>248</v>
      </c>
      <c r="E187" s="4" t="s">
        <v>1005</v>
      </c>
      <c r="F187" s="4"/>
      <c r="G187" s="4"/>
      <c r="H187" s="4" t="s">
        <v>258</v>
      </c>
      <c r="I187" s="4" t="s">
        <v>1011</v>
      </c>
      <c r="J187" s="10" t="s">
        <v>952</v>
      </c>
      <c r="K187" s="4" t="s">
        <v>1018</v>
      </c>
      <c r="L187" s="4" t="s">
        <v>262</v>
      </c>
      <c r="M187" s="4"/>
      <c r="N187" s="4" t="s">
        <v>1017</v>
      </c>
    </row>
    <row r="188" spans="1:14" hidden="1" x14ac:dyDescent="0.25">
      <c r="A188">
        <v>143</v>
      </c>
      <c r="B188">
        <v>23</v>
      </c>
      <c r="C188" t="s">
        <v>1006</v>
      </c>
      <c r="D188" s="1" t="s">
        <v>250</v>
      </c>
      <c r="E188" t="s">
        <v>1005</v>
      </c>
      <c r="H188" s="1" t="s">
        <v>258</v>
      </c>
      <c r="I188" t="s">
        <v>1012</v>
      </c>
      <c r="J188" s="11" t="s">
        <v>952</v>
      </c>
      <c r="K188" t="s">
        <v>1019</v>
      </c>
      <c r="L188" s="1" t="s">
        <v>263</v>
      </c>
      <c r="M188" s="1" t="s">
        <v>267</v>
      </c>
      <c r="N188" t="s">
        <v>1020</v>
      </c>
    </row>
    <row r="189" spans="1:14" hidden="1" x14ac:dyDescent="0.25">
      <c r="A189">
        <v>144</v>
      </c>
      <c r="B189">
        <v>23</v>
      </c>
      <c r="C189" t="s">
        <v>1007</v>
      </c>
      <c r="D189" s="1" t="s">
        <v>255</v>
      </c>
      <c r="E189" t="s">
        <v>1005</v>
      </c>
      <c r="H189" s="1" t="s">
        <v>258</v>
      </c>
      <c r="I189" t="s">
        <v>1013</v>
      </c>
      <c r="J189" s="11" t="s">
        <v>952</v>
      </c>
      <c r="K189" t="s">
        <v>1021</v>
      </c>
      <c r="L189" s="1" t="s">
        <v>263</v>
      </c>
      <c r="M189" s="1" t="s">
        <v>266</v>
      </c>
    </row>
    <row r="190" spans="1:14" hidden="1" x14ac:dyDescent="0.25">
      <c r="A190">
        <v>145</v>
      </c>
      <c r="B190">
        <v>23</v>
      </c>
      <c r="C190" t="s">
        <v>1008</v>
      </c>
      <c r="D190" s="1" t="s">
        <v>249</v>
      </c>
      <c r="E190" t="s">
        <v>1005</v>
      </c>
      <c r="H190" s="1" t="s">
        <v>258</v>
      </c>
      <c r="I190" t="s">
        <v>1014</v>
      </c>
      <c r="J190" s="11" t="s">
        <v>952</v>
      </c>
      <c r="K190" t="s">
        <v>1022</v>
      </c>
      <c r="L190" s="1" t="s">
        <v>263</v>
      </c>
      <c r="M190" s="1" t="s">
        <v>266</v>
      </c>
    </row>
    <row r="191" spans="1:14" hidden="1" x14ac:dyDescent="0.25">
      <c r="A191">
        <v>146</v>
      </c>
      <c r="B191">
        <v>23</v>
      </c>
      <c r="C191" t="s">
        <v>1009</v>
      </c>
      <c r="D191" s="1" t="s">
        <v>249</v>
      </c>
      <c r="E191" t="s">
        <v>1005</v>
      </c>
      <c r="H191" s="1" t="s">
        <v>258</v>
      </c>
      <c r="I191" t="s">
        <v>1015</v>
      </c>
      <c r="J191" s="11" t="s">
        <v>952</v>
      </c>
      <c r="K191" t="s">
        <v>1023</v>
      </c>
      <c r="L191" s="1" t="s">
        <v>263</v>
      </c>
      <c r="M191" s="1" t="s">
        <v>266</v>
      </c>
    </row>
    <row r="192" spans="1:14" hidden="1" x14ac:dyDescent="0.25">
      <c r="A192">
        <v>147</v>
      </c>
      <c r="B192">
        <v>23</v>
      </c>
      <c r="C192" t="s">
        <v>1010</v>
      </c>
      <c r="D192" s="1" t="s">
        <v>255</v>
      </c>
      <c r="E192" t="s">
        <v>1005</v>
      </c>
      <c r="H192" s="1" t="s">
        <v>258</v>
      </c>
      <c r="I192" t="s">
        <v>1016</v>
      </c>
      <c r="J192" s="11" t="s">
        <v>952</v>
      </c>
      <c r="K192" t="s">
        <v>1024</v>
      </c>
      <c r="L192" s="1" t="s">
        <v>263</v>
      </c>
      <c r="M192" s="1" t="s">
        <v>266</v>
      </c>
    </row>
    <row r="193" spans="1:14" x14ac:dyDescent="0.25">
      <c r="A193" s="4">
        <v>148</v>
      </c>
      <c r="B193" s="4">
        <v>24</v>
      </c>
      <c r="C193" s="4" t="s">
        <v>1027</v>
      </c>
      <c r="D193" s="4" t="s">
        <v>246</v>
      </c>
      <c r="E193" s="4" t="s">
        <v>1026</v>
      </c>
      <c r="F193" s="4"/>
      <c r="G193" s="4"/>
      <c r="H193" s="4" t="s">
        <v>258</v>
      </c>
      <c r="I193" s="4" t="s">
        <v>1032</v>
      </c>
      <c r="J193" s="10" t="s">
        <v>952</v>
      </c>
      <c r="K193" s="4" t="s">
        <v>1037</v>
      </c>
      <c r="L193" s="4" t="s">
        <v>262</v>
      </c>
      <c r="M193" s="4"/>
      <c r="N193" s="4" t="s">
        <v>1041</v>
      </c>
    </row>
    <row r="194" spans="1:14" x14ac:dyDescent="0.25">
      <c r="A194" s="4">
        <v>149</v>
      </c>
      <c r="B194" s="4">
        <v>24</v>
      </c>
      <c r="C194" s="4" t="s">
        <v>1028</v>
      </c>
      <c r="D194" s="4" t="s">
        <v>249</v>
      </c>
      <c r="E194" s="4" t="s">
        <v>1026</v>
      </c>
      <c r="F194" s="4"/>
      <c r="G194" s="4"/>
      <c r="H194" s="4" t="s">
        <v>258</v>
      </c>
      <c r="I194" s="4" t="s">
        <v>1033</v>
      </c>
      <c r="J194" s="10" t="s">
        <v>952</v>
      </c>
      <c r="K194" s="4" t="s">
        <v>1038</v>
      </c>
      <c r="L194" s="4" t="s">
        <v>262</v>
      </c>
      <c r="M194" s="4"/>
      <c r="N194" s="4"/>
    </row>
    <row r="195" spans="1:14" hidden="1" x14ac:dyDescent="0.25">
      <c r="A195">
        <v>150</v>
      </c>
      <c r="B195">
        <v>24</v>
      </c>
      <c r="C195" t="s">
        <v>1029</v>
      </c>
      <c r="D195" s="1" t="s">
        <v>248</v>
      </c>
      <c r="E195" t="s">
        <v>1026</v>
      </c>
      <c r="H195" s="1" t="s">
        <v>258</v>
      </c>
      <c r="I195" t="s">
        <v>1034</v>
      </c>
      <c r="J195" s="11" t="s">
        <v>952</v>
      </c>
      <c r="K195" t="s">
        <v>1039</v>
      </c>
      <c r="L195" s="1" t="s">
        <v>263</v>
      </c>
      <c r="M195" s="1" t="s">
        <v>267</v>
      </c>
      <c r="N195" t="s">
        <v>1040</v>
      </c>
    </row>
    <row r="196" spans="1:14" hidden="1" x14ac:dyDescent="0.25">
      <c r="A196">
        <v>151</v>
      </c>
      <c r="B196">
        <v>24</v>
      </c>
      <c r="C196" t="s">
        <v>1030</v>
      </c>
      <c r="D196" s="1" t="s">
        <v>255</v>
      </c>
      <c r="E196" t="s">
        <v>1026</v>
      </c>
      <c r="H196" s="1" t="s">
        <v>258</v>
      </c>
      <c r="I196" t="s">
        <v>1035</v>
      </c>
      <c r="J196" s="11" t="s">
        <v>952</v>
      </c>
      <c r="K196" t="s">
        <v>1042</v>
      </c>
      <c r="L196" s="1" t="s">
        <v>263</v>
      </c>
      <c r="M196" s="1" t="s">
        <v>266</v>
      </c>
    </row>
    <row r="197" spans="1:14" hidden="1" x14ac:dyDescent="0.25">
      <c r="A197">
        <v>152</v>
      </c>
      <c r="B197">
        <v>24</v>
      </c>
      <c r="C197" t="s">
        <v>1031</v>
      </c>
      <c r="D197" s="1" t="s">
        <v>250</v>
      </c>
      <c r="E197" t="s">
        <v>1026</v>
      </c>
      <c r="H197" s="1" t="s">
        <v>258</v>
      </c>
      <c r="I197" t="s">
        <v>1036</v>
      </c>
      <c r="J197" s="11" t="s">
        <v>952</v>
      </c>
      <c r="K197" t="s">
        <v>1043</v>
      </c>
      <c r="L197" s="1" t="s">
        <v>263</v>
      </c>
      <c r="M197" s="1" t="s">
        <v>267</v>
      </c>
      <c r="N197" t="s">
        <v>1040</v>
      </c>
    </row>
    <row r="198" spans="1:14" x14ac:dyDescent="0.25">
      <c r="A198" s="4">
        <v>153</v>
      </c>
      <c r="B198" s="4">
        <v>25</v>
      </c>
      <c r="C198" s="4" t="s">
        <v>1045</v>
      </c>
      <c r="D198" s="4" t="s">
        <v>246</v>
      </c>
      <c r="E198" s="4" t="s">
        <v>1057</v>
      </c>
      <c r="F198" s="4"/>
      <c r="G198" s="4"/>
      <c r="H198" s="4" t="s">
        <v>258</v>
      </c>
      <c r="I198" s="4" t="s">
        <v>1051</v>
      </c>
      <c r="J198" s="10" t="s">
        <v>952</v>
      </c>
      <c r="K198" s="4" t="s">
        <v>1059</v>
      </c>
      <c r="L198" s="4" t="s">
        <v>262</v>
      </c>
      <c r="M198" s="4"/>
      <c r="N198" s="4" t="s">
        <v>1058</v>
      </c>
    </row>
    <row r="199" spans="1:14" x14ac:dyDescent="0.25">
      <c r="A199" s="4">
        <v>154</v>
      </c>
      <c r="B199" s="4">
        <v>25</v>
      </c>
      <c r="C199" s="4" t="s">
        <v>1046</v>
      </c>
      <c r="D199" s="4" t="s">
        <v>248</v>
      </c>
      <c r="E199" s="4" t="s">
        <v>1057</v>
      </c>
      <c r="F199" s="4"/>
      <c r="G199" s="4"/>
      <c r="H199" s="4" t="s">
        <v>258</v>
      </c>
      <c r="I199" s="4" t="s">
        <v>1052</v>
      </c>
      <c r="J199" s="10" t="s">
        <v>952</v>
      </c>
      <c r="K199" s="4" t="s">
        <v>1061</v>
      </c>
      <c r="L199" s="4" t="s">
        <v>262</v>
      </c>
      <c r="M199" s="4"/>
      <c r="N199" s="4" t="s">
        <v>1060</v>
      </c>
    </row>
    <row r="200" spans="1:14" hidden="1" x14ac:dyDescent="0.25">
      <c r="A200">
        <v>155</v>
      </c>
      <c r="B200">
        <v>25</v>
      </c>
      <c r="C200" t="s">
        <v>1047</v>
      </c>
      <c r="D200" s="1" t="s">
        <v>248</v>
      </c>
      <c r="E200" t="s">
        <v>1057</v>
      </c>
      <c r="H200" s="1" t="s">
        <v>258</v>
      </c>
      <c r="I200" t="s">
        <v>1053</v>
      </c>
      <c r="J200" s="11" t="s">
        <v>952</v>
      </c>
      <c r="K200" t="s">
        <v>1063</v>
      </c>
      <c r="L200" s="1" t="s">
        <v>263</v>
      </c>
      <c r="M200" s="1" t="s">
        <v>267</v>
      </c>
      <c r="N200" t="s">
        <v>1062</v>
      </c>
    </row>
    <row r="201" spans="1:14" hidden="1" x14ac:dyDescent="0.25">
      <c r="A201">
        <v>156</v>
      </c>
      <c r="B201">
        <v>25</v>
      </c>
      <c r="C201" t="s">
        <v>1048</v>
      </c>
      <c r="D201" s="1" t="s">
        <v>251</v>
      </c>
      <c r="E201" t="s">
        <v>1057</v>
      </c>
      <c r="H201" s="1" t="s">
        <v>258</v>
      </c>
      <c r="I201" t="s">
        <v>1054</v>
      </c>
      <c r="J201" s="11" t="s">
        <v>952</v>
      </c>
      <c r="K201" t="s">
        <v>1064</v>
      </c>
      <c r="L201" s="1" t="s">
        <v>263</v>
      </c>
      <c r="M201" s="1" t="s">
        <v>267</v>
      </c>
      <c r="N201" t="s">
        <v>1062</v>
      </c>
    </row>
    <row r="202" spans="1:14" hidden="1" x14ac:dyDescent="0.25">
      <c r="A202">
        <v>157</v>
      </c>
      <c r="B202">
        <v>25</v>
      </c>
      <c r="C202" t="s">
        <v>1049</v>
      </c>
      <c r="D202" s="1" t="s">
        <v>249</v>
      </c>
      <c r="E202" t="s">
        <v>1057</v>
      </c>
      <c r="H202" s="1" t="s">
        <v>258</v>
      </c>
      <c r="I202" t="s">
        <v>1055</v>
      </c>
      <c r="J202" s="11" t="s">
        <v>952</v>
      </c>
      <c r="K202" t="s">
        <v>1065</v>
      </c>
      <c r="L202" s="1" t="s">
        <v>263</v>
      </c>
      <c r="M202" s="1" t="s">
        <v>266</v>
      </c>
    </row>
    <row r="203" spans="1:14" hidden="1" x14ac:dyDescent="0.25">
      <c r="A203">
        <v>158</v>
      </c>
      <c r="B203">
        <v>25</v>
      </c>
      <c r="C203" t="s">
        <v>1050</v>
      </c>
      <c r="D203" s="1" t="s">
        <v>255</v>
      </c>
      <c r="E203" t="s">
        <v>1057</v>
      </c>
      <c r="H203" s="1" t="s">
        <v>258</v>
      </c>
      <c r="I203" t="s">
        <v>1056</v>
      </c>
      <c r="J203" s="11" t="s">
        <v>952</v>
      </c>
      <c r="K203" t="s">
        <v>1066</v>
      </c>
      <c r="L203" s="1" t="s">
        <v>263</v>
      </c>
      <c r="M203" s="1" t="s">
        <v>267</v>
      </c>
      <c r="N203" t="s">
        <v>1062</v>
      </c>
    </row>
    <row r="204" spans="1:14" hidden="1" x14ac:dyDescent="0.25">
      <c r="A204">
        <v>159</v>
      </c>
      <c r="B204">
        <v>26</v>
      </c>
      <c r="C204" t="s">
        <v>1068</v>
      </c>
      <c r="D204" s="1" t="s">
        <v>249</v>
      </c>
      <c r="E204" t="s">
        <v>1071</v>
      </c>
      <c r="H204" s="1" t="s">
        <v>258</v>
      </c>
      <c r="I204" t="s">
        <v>1072</v>
      </c>
      <c r="J204" s="11" t="s">
        <v>952</v>
      </c>
      <c r="K204" t="s">
        <v>1075</v>
      </c>
      <c r="L204" s="1" t="s">
        <v>263</v>
      </c>
      <c r="M204" s="1" t="s">
        <v>266</v>
      </c>
    </row>
    <row r="205" spans="1:14" hidden="1" x14ac:dyDescent="0.25">
      <c r="A205">
        <v>160</v>
      </c>
      <c r="B205">
        <v>26</v>
      </c>
      <c r="C205" t="s">
        <v>1069</v>
      </c>
      <c r="D205" s="1" t="s">
        <v>250</v>
      </c>
      <c r="E205" t="s">
        <v>1071</v>
      </c>
      <c r="H205" s="1" t="s">
        <v>258</v>
      </c>
      <c r="I205" t="s">
        <v>1073</v>
      </c>
      <c r="J205" s="11" t="s">
        <v>952</v>
      </c>
      <c r="K205" t="s">
        <v>1076</v>
      </c>
      <c r="L205" s="1" t="s">
        <v>263</v>
      </c>
      <c r="M205" s="1" t="s">
        <v>266</v>
      </c>
    </row>
    <row r="206" spans="1:14" hidden="1" x14ac:dyDescent="0.25">
      <c r="A206">
        <v>161</v>
      </c>
      <c r="B206">
        <v>26</v>
      </c>
      <c r="C206" t="s">
        <v>1070</v>
      </c>
      <c r="D206" s="1" t="s">
        <v>249</v>
      </c>
      <c r="E206" t="s">
        <v>1071</v>
      </c>
      <c r="H206" s="1" t="s">
        <v>258</v>
      </c>
      <c r="I206" t="s">
        <v>1074</v>
      </c>
      <c r="J206" s="11" t="s">
        <v>952</v>
      </c>
      <c r="K206" t="s">
        <v>1077</v>
      </c>
      <c r="L206" s="1" t="s">
        <v>263</v>
      </c>
      <c r="M206" s="1" t="s">
        <v>266</v>
      </c>
    </row>
    <row r="207" spans="1:14" hidden="1" x14ac:dyDescent="0.25">
      <c r="A207" s="7"/>
      <c r="B207" s="7">
        <v>26</v>
      </c>
      <c r="C207" s="7"/>
      <c r="D207" s="7" t="s">
        <v>246</v>
      </c>
      <c r="E207" s="7" t="s">
        <v>1071</v>
      </c>
      <c r="F207" s="7"/>
      <c r="G207" s="7"/>
      <c r="H207" s="7"/>
      <c r="I207" s="7"/>
      <c r="J207" s="7"/>
      <c r="K207" s="7"/>
      <c r="L207" s="7" t="s">
        <v>264</v>
      </c>
      <c r="M207" s="7"/>
      <c r="N207" s="7" t="s">
        <v>955</v>
      </c>
    </row>
    <row r="208" spans="1:14" hidden="1" x14ac:dyDescent="0.25">
      <c r="A208" s="7"/>
      <c r="B208" s="7">
        <v>26</v>
      </c>
      <c r="C208" s="7"/>
      <c r="D208" s="7" t="s">
        <v>247</v>
      </c>
      <c r="E208" s="7" t="s">
        <v>1071</v>
      </c>
      <c r="F208" s="7"/>
      <c r="G208" s="7"/>
      <c r="H208" s="7"/>
      <c r="I208" s="7"/>
      <c r="J208" s="7"/>
      <c r="K208" s="7"/>
      <c r="L208" s="7" t="s">
        <v>264</v>
      </c>
      <c r="M208" s="7"/>
      <c r="N208" s="7" t="s">
        <v>955</v>
      </c>
    </row>
    <row r="209" spans="1:14" hidden="1" x14ac:dyDescent="0.25">
      <c r="A209" s="7"/>
      <c r="B209" s="7">
        <v>26</v>
      </c>
      <c r="C209" s="7"/>
      <c r="D209" s="7" t="s">
        <v>248</v>
      </c>
      <c r="E209" s="7" t="s">
        <v>1071</v>
      </c>
      <c r="F209" s="7"/>
      <c r="G209" s="7"/>
      <c r="H209" s="7"/>
      <c r="I209" s="7"/>
      <c r="J209" s="7"/>
      <c r="K209" s="7"/>
      <c r="L209" s="7" t="s">
        <v>264</v>
      </c>
      <c r="M209" s="7"/>
      <c r="N209" s="7" t="s">
        <v>955</v>
      </c>
    </row>
    <row r="210" spans="1:14" x14ac:dyDescent="0.25">
      <c r="A210" s="4">
        <v>162</v>
      </c>
      <c r="B210" s="4">
        <v>27</v>
      </c>
      <c r="C210" s="4" t="s">
        <v>1080</v>
      </c>
      <c r="D210" s="4" t="s">
        <v>250</v>
      </c>
      <c r="E210" s="4" t="s">
        <v>1078</v>
      </c>
      <c r="F210" s="4"/>
      <c r="G210" s="4"/>
      <c r="H210" s="4" t="s">
        <v>258</v>
      </c>
      <c r="I210" s="4" t="s">
        <v>1087</v>
      </c>
      <c r="J210" s="10" t="s">
        <v>952</v>
      </c>
      <c r="K210" s="4" t="s">
        <v>1096</v>
      </c>
      <c r="L210" s="4" t="s">
        <v>262</v>
      </c>
      <c r="M210" s="4"/>
      <c r="N210" s="4"/>
    </row>
    <row r="211" spans="1:14" x14ac:dyDescent="0.25">
      <c r="A211" s="4">
        <v>163</v>
      </c>
      <c r="B211" s="4">
        <v>27</v>
      </c>
      <c r="C211" s="4" t="s">
        <v>1081</v>
      </c>
      <c r="D211" s="4" t="s">
        <v>252</v>
      </c>
      <c r="E211" s="4" t="s">
        <v>1078</v>
      </c>
      <c r="F211" s="4"/>
      <c r="G211" s="4"/>
      <c r="H211" s="4" t="s">
        <v>258</v>
      </c>
      <c r="I211" s="4" t="s">
        <v>1089</v>
      </c>
      <c r="J211" s="10" t="s">
        <v>952</v>
      </c>
      <c r="K211" s="4" t="s">
        <v>1098</v>
      </c>
      <c r="L211" s="4" t="s">
        <v>262</v>
      </c>
      <c r="M211" s="4"/>
      <c r="N211" s="4"/>
    </row>
    <row r="212" spans="1:14" hidden="1" x14ac:dyDescent="0.25">
      <c r="A212">
        <v>164</v>
      </c>
      <c r="B212">
        <v>27</v>
      </c>
      <c r="C212" t="s">
        <v>1082</v>
      </c>
      <c r="D212" s="1" t="s">
        <v>249</v>
      </c>
      <c r="E212" t="s">
        <v>1078</v>
      </c>
      <c r="H212" s="1" t="s">
        <v>258</v>
      </c>
      <c r="I212" t="s">
        <v>1090</v>
      </c>
      <c r="J212" s="11" t="s">
        <v>952</v>
      </c>
      <c r="K212" t="s">
        <v>1095</v>
      </c>
      <c r="L212" s="1" t="s">
        <v>263</v>
      </c>
      <c r="M212" s="1" t="s">
        <v>266</v>
      </c>
    </row>
    <row r="213" spans="1:14" hidden="1" x14ac:dyDescent="0.25">
      <c r="A213">
        <v>165</v>
      </c>
      <c r="B213">
        <v>27</v>
      </c>
      <c r="C213" t="s">
        <v>1083</v>
      </c>
      <c r="D213" s="1" t="s">
        <v>253</v>
      </c>
      <c r="E213" t="s">
        <v>1078</v>
      </c>
      <c r="H213" s="1" t="s">
        <v>258</v>
      </c>
      <c r="I213" t="s">
        <v>1091</v>
      </c>
      <c r="J213" s="11" t="s">
        <v>952</v>
      </c>
      <c r="K213" t="s">
        <v>1094</v>
      </c>
      <c r="L213" s="1" t="s">
        <v>263</v>
      </c>
      <c r="M213" s="1" t="s">
        <v>269</v>
      </c>
    </row>
    <row r="214" spans="1:14" hidden="1" x14ac:dyDescent="0.25">
      <c r="A214">
        <v>166</v>
      </c>
      <c r="B214">
        <v>27</v>
      </c>
      <c r="C214" t="s">
        <v>1084</v>
      </c>
      <c r="D214" s="1" t="s">
        <v>255</v>
      </c>
      <c r="E214" t="s">
        <v>1078</v>
      </c>
      <c r="H214" s="1" t="s">
        <v>258</v>
      </c>
      <c r="I214" t="s">
        <v>1092</v>
      </c>
      <c r="J214" s="11" t="s">
        <v>952</v>
      </c>
      <c r="K214" t="s">
        <v>1093</v>
      </c>
      <c r="L214" s="1" t="s">
        <v>263</v>
      </c>
      <c r="M214" s="1" t="s">
        <v>270</v>
      </c>
    </row>
    <row r="215" spans="1:14" hidden="1" x14ac:dyDescent="0.25">
      <c r="A215">
        <v>167</v>
      </c>
      <c r="B215">
        <v>27</v>
      </c>
      <c r="C215" t="s">
        <v>1085</v>
      </c>
      <c r="D215" s="1" t="s">
        <v>252</v>
      </c>
      <c r="E215" t="s">
        <v>1078</v>
      </c>
      <c r="H215" s="1" t="s">
        <v>258</v>
      </c>
      <c r="I215" t="s">
        <v>1088</v>
      </c>
      <c r="J215" s="11" t="s">
        <v>952</v>
      </c>
      <c r="K215" t="s">
        <v>1097</v>
      </c>
      <c r="L215" s="1" t="s">
        <v>263</v>
      </c>
      <c r="M215" s="1" t="s">
        <v>267</v>
      </c>
      <c r="N215" t="s">
        <v>1086</v>
      </c>
    </row>
    <row r="216" spans="1:14" hidden="1" x14ac:dyDescent="0.25">
      <c r="A216" s="7"/>
      <c r="B216" s="7">
        <v>27</v>
      </c>
      <c r="C216" s="7"/>
      <c r="D216" s="7" t="s">
        <v>246</v>
      </c>
      <c r="E216" s="7" t="s">
        <v>1078</v>
      </c>
      <c r="F216" s="7"/>
      <c r="G216" s="7"/>
      <c r="H216" s="7"/>
      <c r="I216" s="7"/>
      <c r="J216" s="7"/>
      <c r="K216" s="7"/>
      <c r="L216" s="7" t="s">
        <v>264</v>
      </c>
      <c r="M216" s="7"/>
      <c r="N216" s="7" t="s">
        <v>955</v>
      </c>
    </row>
    <row r="217" spans="1:14" hidden="1" x14ac:dyDescent="0.25">
      <c r="A217" s="7"/>
      <c r="B217" s="7">
        <v>27</v>
      </c>
      <c r="C217" s="7"/>
      <c r="D217" s="7" t="s">
        <v>247</v>
      </c>
      <c r="E217" s="7" t="s">
        <v>1078</v>
      </c>
      <c r="F217" s="7"/>
      <c r="G217" s="7"/>
      <c r="H217" s="7"/>
      <c r="I217" s="7"/>
      <c r="J217" s="7"/>
      <c r="K217" s="7"/>
      <c r="L217" s="7" t="s">
        <v>264</v>
      </c>
      <c r="M217" s="7"/>
      <c r="N217" s="7" t="s">
        <v>955</v>
      </c>
    </row>
    <row r="218" spans="1:14" hidden="1" x14ac:dyDescent="0.25">
      <c r="A218" s="7"/>
      <c r="B218" s="7">
        <v>27</v>
      </c>
      <c r="C218" s="7"/>
      <c r="D218" s="7" t="s">
        <v>248</v>
      </c>
      <c r="E218" s="7" t="s">
        <v>1078</v>
      </c>
      <c r="F218" s="7"/>
      <c r="G218" s="7"/>
      <c r="H218" s="7"/>
      <c r="I218" s="7"/>
      <c r="J218" s="7"/>
      <c r="K218" s="7"/>
      <c r="L218" s="7" t="s">
        <v>264</v>
      </c>
      <c r="M218" s="7"/>
      <c r="N218" s="7" t="s">
        <v>955</v>
      </c>
    </row>
    <row r="219" spans="1:14" hidden="1" x14ac:dyDescent="0.25">
      <c r="A219">
        <v>168</v>
      </c>
      <c r="B219">
        <v>28</v>
      </c>
      <c r="C219" t="s">
        <v>1105</v>
      </c>
      <c r="D219" s="1" t="s">
        <v>252</v>
      </c>
      <c r="E219" t="s">
        <v>1111</v>
      </c>
      <c r="H219" s="1" t="s">
        <v>258</v>
      </c>
      <c r="I219" t="s">
        <v>1101</v>
      </c>
      <c r="J219" s="11" t="s">
        <v>952</v>
      </c>
      <c r="K219" t="s">
        <v>1106</v>
      </c>
      <c r="L219" s="1" t="s">
        <v>263</v>
      </c>
      <c r="M219" s="1" t="s">
        <v>266</v>
      </c>
    </row>
    <row r="220" spans="1:14" hidden="1" x14ac:dyDescent="0.25">
      <c r="A220">
        <v>169</v>
      </c>
      <c r="B220">
        <v>28</v>
      </c>
      <c r="C220" t="s">
        <v>1099</v>
      </c>
      <c r="D220" s="1" t="s">
        <v>253</v>
      </c>
      <c r="E220" t="s">
        <v>1111</v>
      </c>
      <c r="H220" s="1" t="s">
        <v>258</v>
      </c>
      <c r="I220" t="s">
        <v>1102</v>
      </c>
      <c r="J220" s="11" t="s">
        <v>952</v>
      </c>
      <c r="K220" t="s">
        <v>1107</v>
      </c>
      <c r="L220" s="1" t="s">
        <v>263</v>
      </c>
      <c r="M220" s="1" t="s">
        <v>269</v>
      </c>
      <c r="N220" t="s">
        <v>1108</v>
      </c>
    </row>
    <row r="221" spans="1:14" hidden="1" x14ac:dyDescent="0.25">
      <c r="A221">
        <v>170</v>
      </c>
      <c r="B221">
        <v>28</v>
      </c>
      <c r="C221" t="s">
        <v>249</v>
      </c>
      <c r="D221" s="1" t="s">
        <v>249</v>
      </c>
      <c r="E221" t="s">
        <v>1111</v>
      </c>
      <c r="H221" s="1" t="s">
        <v>258</v>
      </c>
      <c r="I221" t="s">
        <v>1103</v>
      </c>
      <c r="J221" s="11" t="s">
        <v>952</v>
      </c>
      <c r="K221" t="s">
        <v>1109</v>
      </c>
      <c r="L221" s="1" t="s">
        <v>263</v>
      </c>
      <c r="M221" s="1" t="s">
        <v>266</v>
      </c>
    </row>
    <row r="222" spans="1:14" hidden="1" x14ac:dyDescent="0.25">
      <c r="A222">
        <v>171</v>
      </c>
      <c r="B222">
        <v>28</v>
      </c>
      <c r="C222" t="s">
        <v>1100</v>
      </c>
      <c r="D222" s="1" t="s">
        <v>250</v>
      </c>
      <c r="E222" t="s">
        <v>1111</v>
      </c>
      <c r="H222" s="1" t="s">
        <v>258</v>
      </c>
      <c r="I222" t="s">
        <v>1104</v>
      </c>
      <c r="J222" s="11" t="s">
        <v>952</v>
      </c>
      <c r="K222" t="s">
        <v>1110</v>
      </c>
      <c r="L222" s="1" t="s">
        <v>263</v>
      </c>
      <c r="M222" s="1" t="s">
        <v>266</v>
      </c>
    </row>
    <row r="223" spans="1:14" hidden="1" x14ac:dyDescent="0.25">
      <c r="A223" s="7"/>
      <c r="B223" s="7">
        <v>28</v>
      </c>
      <c r="C223" s="7"/>
      <c r="D223" s="7" t="s">
        <v>246</v>
      </c>
      <c r="E223" s="7" t="s">
        <v>1111</v>
      </c>
      <c r="F223" s="7"/>
      <c r="G223" s="7"/>
      <c r="H223" s="7"/>
      <c r="I223" s="7"/>
      <c r="J223" s="7"/>
      <c r="K223" s="7"/>
      <c r="L223" s="7" t="s">
        <v>264</v>
      </c>
      <c r="M223" s="7"/>
      <c r="N223" s="7" t="s">
        <v>955</v>
      </c>
    </row>
    <row r="224" spans="1:14" hidden="1" x14ac:dyDescent="0.25">
      <c r="A224" s="7"/>
      <c r="B224" s="7">
        <v>28</v>
      </c>
      <c r="C224" s="7"/>
      <c r="D224" s="7" t="s">
        <v>247</v>
      </c>
      <c r="E224" s="7" t="s">
        <v>1111</v>
      </c>
      <c r="F224" s="7"/>
      <c r="G224" s="7"/>
      <c r="H224" s="7"/>
      <c r="I224" s="7"/>
      <c r="J224" s="7"/>
      <c r="K224" s="7"/>
      <c r="L224" s="7" t="s">
        <v>264</v>
      </c>
      <c r="M224" s="7"/>
      <c r="N224" s="7" t="s">
        <v>955</v>
      </c>
    </row>
    <row r="225" spans="1:14" hidden="1" x14ac:dyDescent="0.25">
      <c r="A225" s="7"/>
      <c r="B225" s="7">
        <v>28</v>
      </c>
      <c r="C225" s="7"/>
      <c r="D225" s="7" t="s">
        <v>248</v>
      </c>
      <c r="E225" s="7" t="s">
        <v>1111</v>
      </c>
      <c r="F225" s="7"/>
      <c r="G225" s="7"/>
      <c r="H225" s="7"/>
      <c r="I225" s="7"/>
      <c r="J225" s="7"/>
      <c r="K225" s="7"/>
      <c r="L225" s="7" t="s">
        <v>264</v>
      </c>
      <c r="M225" s="7"/>
      <c r="N225" s="7" t="s">
        <v>955</v>
      </c>
    </row>
    <row r="226" spans="1:14" hidden="1" x14ac:dyDescent="0.25">
      <c r="A226">
        <v>172</v>
      </c>
      <c r="B226">
        <v>29</v>
      </c>
      <c r="C226" t="s">
        <v>1122</v>
      </c>
      <c r="D226" s="1" t="s">
        <v>247</v>
      </c>
      <c r="E226" t="s">
        <v>1129</v>
      </c>
      <c r="H226" s="1" t="s">
        <v>258</v>
      </c>
      <c r="I226" t="s">
        <v>1130</v>
      </c>
      <c r="J226" s="11" t="s">
        <v>952</v>
      </c>
      <c r="K226" t="s">
        <v>1133</v>
      </c>
      <c r="L226" s="1" t="s">
        <v>263</v>
      </c>
      <c r="M226" s="1" t="s">
        <v>269</v>
      </c>
    </row>
    <row r="227" spans="1:14" hidden="1" x14ac:dyDescent="0.25">
      <c r="A227">
        <v>173</v>
      </c>
      <c r="B227">
        <v>29</v>
      </c>
      <c r="C227" t="s">
        <v>1123</v>
      </c>
      <c r="D227" s="1" t="s">
        <v>255</v>
      </c>
      <c r="E227" t="s">
        <v>1129</v>
      </c>
      <c r="H227" s="1" t="s">
        <v>258</v>
      </c>
      <c r="I227" t="s">
        <v>1131</v>
      </c>
      <c r="J227" s="11" t="s">
        <v>952</v>
      </c>
      <c r="K227" t="s">
        <v>1134</v>
      </c>
      <c r="L227" s="1" t="s">
        <v>263</v>
      </c>
      <c r="M227" s="1" t="s">
        <v>269</v>
      </c>
    </row>
    <row r="228" spans="1:14" hidden="1" x14ac:dyDescent="0.25">
      <c r="A228">
        <v>174</v>
      </c>
      <c r="B228">
        <v>29</v>
      </c>
      <c r="C228" t="s">
        <v>1124</v>
      </c>
      <c r="D228" s="1" t="s">
        <v>249</v>
      </c>
      <c r="E228" t="s">
        <v>1129</v>
      </c>
      <c r="H228" s="1" t="s">
        <v>258</v>
      </c>
      <c r="I228" t="s">
        <v>1135</v>
      </c>
      <c r="J228" s="11" t="s">
        <v>952</v>
      </c>
      <c r="K228" t="s">
        <v>1136</v>
      </c>
      <c r="L228" s="1" t="s">
        <v>263</v>
      </c>
      <c r="M228" s="1" t="s">
        <v>266</v>
      </c>
    </row>
    <row r="229" spans="1:14" hidden="1" x14ac:dyDescent="0.25">
      <c r="A229">
        <v>175</v>
      </c>
      <c r="B229">
        <v>29</v>
      </c>
      <c r="C229" t="s">
        <v>1125</v>
      </c>
      <c r="D229" s="1" t="s">
        <v>253</v>
      </c>
      <c r="E229" t="s">
        <v>1129</v>
      </c>
      <c r="H229" s="1" t="s">
        <v>258</v>
      </c>
      <c r="I229" t="s">
        <v>1132</v>
      </c>
      <c r="J229" s="11" t="s">
        <v>952</v>
      </c>
      <c r="K229" t="s">
        <v>1137</v>
      </c>
      <c r="L229" s="1" t="s">
        <v>263</v>
      </c>
      <c r="M229" s="1" t="s">
        <v>266</v>
      </c>
    </row>
    <row r="230" spans="1:14" hidden="1" x14ac:dyDescent="0.25">
      <c r="A230">
        <v>176</v>
      </c>
      <c r="B230">
        <v>29</v>
      </c>
      <c r="C230" t="s">
        <v>1126</v>
      </c>
      <c r="D230" s="1" t="s">
        <v>252</v>
      </c>
      <c r="E230" t="s">
        <v>1129</v>
      </c>
      <c r="H230" s="1" t="s">
        <v>258</v>
      </c>
      <c r="I230" t="s">
        <v>1138</v>
      </c>
      <c r="J230" s="11" t="s">
        <v>952</v>
      </c>
      <c r="K230" t="s">
        <v>1139</v>
      </c>
      <c r="L230" s="1" t="s">
        <v>263</v>
      </c>
      <c r="M230" s="1" t="s">
        <v>269</v>
      </c>
      <c r="N230" t="s">
        <v>1140</v>
      </c>
    </row>
    <row r="231" spans="1:14" hidden="1" x14ac:dyDescent="0.25">
      <c r="A231">
        <v>177</v>
      </c>
      <c r="B231">
        <v>29</v>
      </c>
      <c r="C231" t="s">
        <v>1127</v>
      </c>
      <c r="D231" s="1" t="s">
        <v>251</v>
      </c>
      <c r="E231" t="s">
        <v>1129</v>
      </c>
      <c r="H231" s="1" t="s">
        <v>258</v>
      </c>
      <c r="I231" t="s">
        <v>1141</v>
      </c>
      <c r="J231" s="11" t="s">
        <v>952</v>
      </c>
      <c r="K231" t="s">
        <v>1142</v>
      </c>
      <c r="L231" s="1" t="s">
        <v>263</v>
      </c>
      <c r="M231" s="1" t="s">
        <v>266</v>
      </c>
    </row>
    <row r="232" spans="1:14" hidden="1" x14ac:dyDescent="0.25">
      <c r="A232">
        <v>178</v>
      </c>
      <c r="B232">
        <v>29</v>
      </c>
      <c r="C232" t="s">
        <v>1128</v>
      </c>
      <c r="D232" s="1" t="s">
        <v>250</v>
      </c>
      <c r="E232" t="s">
        <v>1129</v>
      </c>
      <c r="H232" s="1" t="s">
        <v>258</v>
      </c>
      <c r="I232" t="s">
        <v>1143</v>
      </c>
      <c r="J232" s="11" t="s">
        <v>952</v>
      </c>
      <c r="K232" t="s">
        <v>1144</v>
      </c>
      <c r="L232" s="1" t="s">
        <v>263</v>
      </c>
      <c r="M232" s="1" t="s">
        <v>266</v>
      </c>
    </row>
    <row r="233" spans="1:14" hidden="1" x14ac:dyDescent="0.25">
      <c r="A233" s="7"/>
      <c r="B233" s="7">
        <v>29</v>
      </c>
      <c r="C233" s="7"/>
      <c r="D233" s="7" t="s">
        <v>246</v>
      </c>
      <c r="E233" s="7" t="s">
        <v>1129</v>
      </c>
      <c r="F233" s="7"/>
      <c r="G233" s="7"/>
      <c r="H233" s="7"/>
      <c r="I233" s="7"/>
      <c r="J233" s="7"/>
      <c r="K233" s="7"/>
      <c r="L233" s="7" t="s">
        <v>264</v>
      </c>
      <c r="M233" s="7"/>
      <c r="N233" s="7" t="s">
        <v>955</v>
      </c>
    </row>
    <row r="234" spans="1:14" hidden="1" x14ac:dyDescent="0.25">
      <c r="A234" s="7"/>
      <c r="B234" s="7">
        <v>29</v>
      </c>
      <c r="C234" s="7"/>
      <c r="D234" s="7" t="s">
        <v>247</v>
      </c>
      <c r="E234" s="7" t="s">
        <v>1129</v>
      </c>
      <c r="F234" s="7"/>
      <c r="G234" s="7"/>
      <c r="H234" s="7"/>
      <c r="I234" s="7"/>
      <c r="J234" s="7"/>
      <c r="K234" s="7"/>
      <c r="L234" s="7" t="s">
        <v>264</v>
      </c>
      <c r="M234" s="7"/>
      <c r="N234" s="7" t="s">
        <v>955</v>
      </c>
    </row>
    <row r="235" spans="1:14" hidden="1" x14ac:dyDescent="0.25">
      <c r="A235" s="7"/>
      <c r="B235" s="7">
        <v>29</v>
      </c>
      <c r="C235" s="7"/>
      <c r="D235" s="7" t="s">
        <v>248</v>
      </c>
      <c r="E235" s="7" t="s">
        <v>1129</v>
      </c>
      <c r="F235" s="7"/>
      <c r="G235" s="7"/>
      <c r="H235" s="7"/>
      <c r="I235" s="7"/>
      <c r="J235" s="7"/>
      <c r="K235" s="7"/>
      <c r="L235" s="7" t="s">
        <v>264</v>
      </c>
      <c r="M235" s="7"/>
      <c r="N235" s="7" t="s">
        <v>955</v>
      </c>
    </row>
    <row r="236" spans="1:14" hidden="1" x14ac:dyDescent="0.25">
      <c r="A236">
        <v>179</v>
      </c>
      <c r="B236">
        <v>30</v>
      </c>
      <c r="C236" t="s">
        <v>1112</v>
      </c>
      <c r="D236" s="1" t="s">
        <v>249</v>
      </c>
      <c r="E236" t="s">
        <v>1116</v>
      </c>
      <c r="H236" s="1" t="s">
        <v>258</v>
      </c>
      <c r="I236" t="s">
        <v>1117</v>
      </c>
      <c r="J236" s="11" t="s">
        <v>952</v>
      </c>
      <c r="K236" t="s">
        <v>1145</v>
      </c>
      <c r="L236" s="1" t="s">
        <v>263</v>
      </c>
      <c r="M236" s="1" t="s">
        <v>266</v>
      </c>
    </row>
    <row r="237" spans="1:14" hidden="1" x14ac:dyDescent="0.25">
      <c r="A237">
        <v>180</v>
      </c>
      <c r="B237">
        <v>30</v>
      </c>
      <c r="C237" t="s">
        <v>610</v>
      </c>
      <c r="D237" s="1" t="s">
        <v>249</v>
      </c>
      <c r="E237" t="s">
        <v>1116</v>
      </c>
      <c r="H237" s="1" t="s">
        <v>258</v>
      </c>
      <c r="I237" t="s">
        <v>1118</v>
      </c>
      <c r="J237" s="11" t="s">
        <v>952</v>
      </c>
      <c r="K237" t="s">
        <v>1146</v>
      </c>
      <c r="L237" s="1" t="s">
        <v>263</v>
      </c>
      <c r="M237" s="1" t="s">
        <v>266</v>
      </c>
    </row>
    <row r="238" spans="1:14" hidden="1" x14ac:dyDescent="0.25">
      <c r="A238">
        <v>181</v>
      </c>
      <c r="B238">
        <v>30</v>
      </c>
      <c r="C238" t="s">
        <v>1113</v>
      </c>
      <c r="D238" s="1" t="s">
        <v>249</v>
      </c>
      <c r="E238" t="s">
        <v>1116</v>
      </c>
      <c r="H238" s="1" t="s">
        <v>258</v>
      </c>
      <c r="I238" t="s">
        <v>1119</v>
      </c>
      <c r="J238" s="11" t="s">
        <v>952</v>
      </c>
      <c r="K238" t="s">
        <v>1147</v>
      </c>
      <c r="L238" s="1" t="s">
        <v>263</v>
      </c>
      <c r="M238" s="1" t="s">
        <v>266</v>
      </c>
    </row>
    <row r="239" spans="1:14" hidden="1" x14ac:dyDescent="0.25">
      <c r="A239">
        <v>182</v>
      </c>
      <c r="B239">
        <v>30</v>
      </c>
      <c r="C239" t="s">
        <v>1114</v>
      </c>
      <c r="D239" s="1" t="s">
        <v>250</v>
      </c>
      <c r="E239" t="s">
        <v>1116</v>
      </c>
      <c r="H239" s="1" t="s">
        <v>258</v>
      </c>
      <c r="I239" t="s">
        <v>1120</v>
      </c>
      <c r="J239" s="11" t="s">
        <v>952</v>
      </c>
      <c r="K239" t="s">
        <v>1148</v>
      </c>
      <c r="L239" s="1" t="s">
        <v>263</v>
      </c>
      <c r="M239" s="1" t="s">
        <v>266</v>
      </c>
    </row>
    <row r="240" spans="1:14" hidden="1" x14ac:dyDescent="0.25">
      <c r="A240">
        <v>183</v>
      </c>
      <c r="B240">
        <v>30</v>
      </c>
      <c r="C240" t="s">
        <v>1115</v>
      </c>
      <c r="D240" s="1" t="s">
        <v>253</v>
      </c>
      <c r="E240" t="s">
        <v>1116</v>
      </c>
      <c r="H240" s="1" t="s">
        <v>258</v>
      </c>
      <c r="I240" t="s">
        <v>1121</v>
      </c>
      <c r="J240" s="11" t="s">
        <v>952</v>
      </c>
      <c r="K240" t="s">
        <v>1149</v>
      </c>
      <c r="L240" s="1" t="s">
        <v>263</v>
      </c>
      <c r="M240" s="1" t="s">
        <v>266</v>
      </c>
    </row>
    <row r="241" spans="1:15" hidden="1" x14ac:dyDescent="0.25">
      <c r="A241" s="7"/>
      <c r="B241" s="7">
        <v>30</v>
      </c>
      <c r="C241" s="7"/>
      <c r="D241" s="7" t="s">
        <v>246</v>
      </c>
      <c r="E241" s="7" t="s">
        <v>1116</v>
      </c>
      <c r="F241" s="7"/>
      <c r="G241" s="7"/>
      <c r="H241" s="7"/>
      <c r="I241" s="7"/>
      <c r="J241" s="7"/>
      <c r="K241" s="7"/>
      <c r="L241" s="7" t="s">
        <v>264</v>
      </c>
      <c r="M241" s="7"/>
      <c r="N241" s="7" t="s">
        <v>955</v>
      </c>
    </row>
    <row r="242" spans="1:15" hidden="1" x14ac:dyDescent="0.25">
      <c r="A242" s="7"/>
      <c r="B242" s="7">
        <v>30</v>
      </c>
      <c r="C242" s="7"/>
      <c r="D242" s="7" t="s">
        <v>247</v>
      </c>
      <c r="E242" s="7" t="s">
        <v>1116</v>
      </c>
      <c r="F242" s="7"/>
      <c r="G242" s="7"/>
      <c r="H242" s="7"/>
      <c r="I242" s="7"/>
      <c r="J242" s="7"/>
      <c r="K242" s="7"/>
      <c r="L242" s="7" t="s">
        <v>264</v>
      </c>
      <c r="M242" s="7"/>
      <c r="N242" s="7" t="s">
        <v>955</v>
      </c>
    </row>
    <row r="243" spans="1:15" hidden="1" x14ac:dyDescent="0.25">
      <c r="A243" s="7"/>
      <c r="B243" s="7">
        <v>30</v>
      </c>
      <c r="C243" s="7"/>
      <c r="D243" s="7" t="s">
        <v>248</v>
      </c>
      <c r="E243" s="7" t="s">
        <v>1116</v>
      </c>
      <c r="F243" s="7"/>
      <c r="G243" s="7"/>
      <c r="H243" s="7"/>
      <c r="I243" s="7"/>
      <c r="J243" s="7"/>
      <c r="K243" s="7"/>
      <c r="L243" s="7" t="s">
        <v>264</v>
      </c>
      <c r="M243" s="7"/>
      <c r="N243" s="7" t="s">
        <v>955</v>
      </c>
    </row>
    <row r="244" spans="1:15" x14ac:dyDescent="0.25">
      <c r="A244" s="4">
        <v>184</v>
      </c>
      <c r="B244" s="4">
        <v>31</v>
      </c>
      <c r="C244" s="4" t="s">
        <v>1169</v>
      </c>
      <c r="D244" s="4" t="s">
        <v>248</v>
      </c>
      <c r="E244" s="4" t="s">
        <v>1150</v>
      </c>
      <c r="F244" s="4"/>
      <c r="G244" s="4"/>
      <c r="H244" s="4" t="s">
        <v>258</v>
      </c>
      <c r="I244" s="4" t="s">
        <v>1173</v>
      </c>
      <c r="J244" s="10" t="s">
        <v>952</v>
      </c>
      <c r="K244" s="4" t="s">
        <v>1177</v>
      </c>
      <c r="L244" s="4" t="s">
        <v>262</v>
      </c>
      <c r="M244" s="4"/>
      <c r="N244" s="4"/>
    </row>
    <row r="245" spans="1:15" hidden="1" x14ac:dyDescent="0.25">
      <c r="A245">
        <v>185</v>
      </c>
      <c r="B245">
        <v>31</v>
      </c>
      <c r="C245" t="s">
        <v>1170</v>
      </c>
      <c r="D245" s="1" t="s">
        <v>249</v>
      </c>
      <c r="E245" t="s">
        <v>1150</v>
      </c>
      <c r="H245" s="1" t="s">
        <v>258</v>
      </c>
      <c r="I245" t="s">
        <v>1174</v>
      </c>
      <c r="J245" s="11" t="s">
        <v>952</v>
      </c>
      <c r="K245" t="s">
        <v>1178</v>
      </c>
      <c r="L245" s="1" t="s">
        <v>263</v>
      </c>
      <c r="M245" s="1" t="s">
        <v>266</v>
      </c>
    </row>
    <row r="246" spans="1:15" hidden="1" x14ac:dyDescent="0.25">
      <c r="A246">
        <v>186</v>
      </c>
      <c r="B246">
        <v>31</v>
      </c>
      <c r="C246" t="s">
        <v>1171</v>
      </c>
      <c r="D246" s="1" t="s">
        <v>253</v>
      </c>
      <c r="E246" t="s">
        <v>1150</v>
      </c>
      <c r="H246" s="1" t="s">
        <v>258</v>
      </c>
      <c r="I246" t="s">
        <v>1175</v>
      </c>
      <c r="J246" s="11" t="s">
        <v>952</v>
      </c>
      <c r="K246" t="s">
        <v>1179</v>
      </c>
      <c r="L246" s="1" t="s">
        <v>263</v>
      </c>
      <c r="M246" s="1" t="s">
        <v>269</v>
      </c>
    </row>
    <row r="247" spans="1:15" hidden="1" x14ac:dyDescent="0.25">
      <c r="A247">
        <v>187</v>
      </c>
      <c r="B247">
        <v>31</v>
      </c>
      <c r="C247" t="s">
        <v>1172</v>
      </c>
      <c r="D247" s="1" t="s">
        <v>252</v>
      </c>
      <c r="E247" t="s">
        <v>1150</v>
      </c>
      <c r="H247" s="1" t="s">
        <v>258</v>
      </c>
      <c r="I247" t="s">
        <v>1176</v>
      </c>
      <c r="J247" s="11" t="s">
        <v>952</v>
      </c>
      <c r="K247" t="s">
        <v>1180</v>
      </c>
      <c r="L247" s="1" t="s">
        <v>263</v>
      </c>
      <c r="M247" s="1" t="s">
        <v>269</v>
      </c>
    </row>
    <row r="248" spans="1:15" hidden="1" x14ac:dyDescent="0.25">
      <c r="A248" s="7"/>
      <c r="B248" s="7">
        <v>31</v>
      </c>
      <c r="C248" s="7"/>
      <c r="D248" s="7" t="s">
        <v>246</v>
      </c>
      <c r="E248" s="7" t="s">
        <v>1150</v>
      </c>
      <c r="F248" s="7"/>
      <c r="G248" s="7"/>
      <c r="H248" s="7"/>
      <c r="I248" s="7"/>
      <c r="J248" s="7"/>
      <c r="K248" s="7"/>
      <c r="L248" s="7" t="s">
        <v>264</v>
      </c>
      <c r="M248" s="7"/>
      <c r="N248" s="7" t="s">
        <v>955</v>
      </c>
    </row>
    <row r="249" spans="1:15" hidden="1" x14ac:dyDescent="0.25">
      <c r="A249" s="7"/>
      <c r="B249" s="7">
        <v>31</v>
      </c>
      <c r="C249" s="7"/>
      <c r="D249" s="7" t="s">
        <v>247</v>
      </c>
      <c r="E249" s="7" t="s">
        <v>1150</v>
      </c>
      <c r="F249" s="7"/>
      <c r="G249" s="7"/>
      <c r="H249" s="7"/>
      <c r="I249" s="7"/>
      <c r="J249" s="7"/>
      <c r="K249" s="7"/>
      <c r="L249" s="7" t="s">
        <v>264</v>
      </c>
      <c r="M249" s="7"/>
      <c r="N249" s="7" t="s">
        <v>955</v>
      </c>
    </row>
    <row r="250" spans="1:15" x14ac:dyDescent="0.25">
      <c r="A250" s="4">
        <v>188</v>
      </c>
      <c r="B250" s="4">
        <v>32</v>
      </c>
      <c r="C250" s="4" t="s">
        <v>1152</v>
      </c>
      <c r="D250" s="4" t="s">
        <v>247</v>
      </c>
      <c r="E250" s="4" t="s">
        <v>1151</v>
      </c>
      <c r="F250" s="4"/>
      <c r="G250" s="4"/>
      <c r="H250" s="4" t="s">
        <v>258</v>
      </c>
      <c r="I250" s="4" t="s">
        <v>1159</v>
      </c>
      <c r="J250" s="10" t="s">
        <v>952</v>
      </c>
      <c r="K250" s="4" t="s">
        <v>1181</v>
      </c>
      <c r="L250" s="4" t="s">
        <v>262</v>
      </c>
      <c r="M250" s="4"/>
      <c r="N250" s="4"/>
      <c r="O250" t="s">
        <v>1363</v>
      </c>
    </row>
    <row r="251" spans="1:15" x14ac:dyDescent="0.25">
      <c r="A251" s="4">
        <v>189</v>
      </c>
      <c r="B251" s="4">
        <v>32</v>
      </c>
      <c r="C251" s="4" t="s">
        <v>1158</v>
      </c>
      <c r="D251" s="4" t="s">
        <v>246</v>
      </c>
      <c r="E251" s="4" t="s">
        <v>1151</v>
      </c>
      <c r="F251" s="4"/>
      <c r="G251" s="4"/>
      <c r="H251" s="4" t="s">
        <v>258</v>
      </c>
      <c r="I251" s="4" t="s">
        <v>1160</v>
      </c>
      <c r="J251" s="10" t="s">
        <v>952</v>
      </c>
      <c r="K251" s="4" t="s">
        <v>1182</v>
      </c>
      <c r="L251" s="4" t="s">
        <v>262</v>
      </c>
      <c r="M251" s="4"/>
      <c r="N251" s="4"/>
      <c r="O251" t="s">
        <v>1363</v>
      </c>
    </row>
    <row r="252" spans="1:15" x14ac:dyDescent="0.25">
      <c r="A252" s="4">
        <v>190</v>
      </c>
      <c r="B252" s="4">
        <v>32</v>
      </c>
      <c r="C252" s="4" t="s">
        <v>1153</v>
      </c>
      <c r="D252" s="4" t="s">
        <v>248</v>
      </c>
      <c r="E252" s="4" t="s">
        <v>1151</v>
      </c>
      <c r="F252" s="4"/>
      <c r="G252" s="4"/>
      <c r="H252" s="4" t="s">
        <v>258</v>
      </c>
      <c r="I252" s="4" t="s">
        <v>1161</v>
      </c>
      <c r="J252" s="10" t="s">
        <v>952</v>
      </c>
      <c r="K252" s="4" t="s">
        <v>1183</v>
      </c>
      <c r="L252" s="4" t="s">
        <v>262</v>
      </c>
      <c r="M252" s="4"/>
      <c r="N252" s="4"/>
    </row>
    <row r="253" spans="1:15" hidden="1" x14ac:dyDescent="0.25">
      <c r="A253">
        <v>191</v>
      </c>
      <c r="B253">
        <v>32</v>
      </c>
      <c r="C253" t="s">
        <v>1154</v>
      </c>
      <c r="D253" s="1" t="s">
        <v>250</v>
      </c>
      <c r="E253" t="s">
        <v>1151</v>
      </c>
      <c r="H253" s="1" t="s">
        <v>258</v>
      </c>
      <c r="I253" t="s">
        <v>1162</v>
      </c>
      <c r="J253" s="11" t="s">
        <v>952</v>
      </c>
      <c r="K253" t="s">
        <v>1184</v>
      </c>
      <c r="L253" s="1" t="s">
        <v>263</v>
      </c>
      <c r="M253" s="1" t="s">
        <v>267</v>
      </c>
      <c r="N253" t="s">
        <v>1167</v>
      </c>
    </row>
    <row r="254" spans="1:15" hidden="1" x14ac:dyDescent="0.25">
      <c r="A254">
        <v>192</v>
      </c>
      <c r="B254">
        <v>32</v>
      </c>
      <c r="C254" t="s">
        <v>610</v>
      </c>
      <c r="D254" s="1" t="s">
        <v>249</v>
      </c>
      <c r="E254" t="s">
        <v>1151</v>
      </c>
      <c r="H254" s="1" t="s">
        <v>258</v>
      </c>
      <c r="I254" t="s">
        <v>1163</v>
      </c>
      <c r="J254" s="11" t="s">
        <v>952</v>
      </c>
      <c r="K254" t="s">
        <v>1185</v>
      </c>
      <c r="L254" s="1" t="s">
        <v>263</v>
      </c>
      <c r="M254" s="1" t="s">
        <v>267</v>
      </c>
      <c r="N254" t="s">
        <v>1167</v>
      </c>
    </row>
    <row r="255" spans="1:15" hidden="1" x14ac:dyDescent="0.25">
      <c r="A255">
        <v>193</v>
      </c>
      <c r="B255">
        <v>32</v>
      </c>
      <c r="C255" t="s">
        <v>1155</v>
      </c>
      <c r="D255" s="1" t="s">
        <v>249</v>
      </c>
      <c r="E255" t="s">
        <v>1151</v>
      </c>
      <c r="H255" s="1" t="s">
        <v>258</v>
      </c>
      <c r="I255" t="s">
        <v>1164</v>
      </c>
      <c r="J255" s="11" t="s">
        <v>952</v>
      </c>
      <c r="K255" t="s">
        <v>1186</v>
      </c>
      <c r="L255" s="1" t="s">
        <v>263</v>
      </c>
      <c r="M255" s="1" t="s">
        <v>267</v>
      </c>
      <c r="N255" t="s">
        <v>1167</v>
      </c>
    </row>
    <row r="256" spans="1:15" x14ac:dyDescent="0.25">
      <c r="A256" s="4">
        <v>194</v>
      </c>
      <c r="B256" s="4">
        <v>32</v>
      </c>
      <c r="C256" s="4" t="s">
        <v>1156</v>
      </c>
      <c r="D256" s="4" t="s">
        <v>246</v>
      </c>
      <c r="E256" s="4" t="s">
        <v>1151</v>
      </c>
      <c r="F256" s="4"/>
      <c r="G256" s="4"/>
      <c r="H256" s="4" t="s">
        <v>258</v>
      </c>
      <c r="I256" s="4" t="s">
        <v>1165</v>
      </c>
      <c r="J256" s="10" t="s">
        <v>952</v>
      </c>
      <c r="K256" s="4" t="s">
        <v>1187</v>
      </c>
      <c r="L256" s="4" t="s">
        <v>262</v>
      </c>
      <c r="M256" s="4"/>
      <c r="N256" s="4"/>
      <c r="O256" t="s">
        <v>1363</v>
      </c>
    </row>
    <row r="257" spans="1:14" hidden="1" x14ac:dyDescent="0.25">
      <c r="A257">
        <v>195</v>
      </c>
      <c r="B257">
        <v>32</v>
      </c>
      <c r="C257" t="s">
        <v>1157</v>
      </c>
      <c r="D257" s="1" t="s">
        <v>253</v>
      </c>
      <c r="E257" t="s">
        <v>1151</v>
      </c>
      <c r="H257" s="1" t="s">
        <v>258</v>
      </c>
      <c r="I257" t="s">
        <v>1166</v>
      </c>
      <c r="J257" s="11" t="s">
        <v>952</v>
      </c>
      <c r="K257" t="s">
        <v>1188</v>
      </c>
      <c r="L257" s="1" t="s">
        <v>263</v>
      </c>
      <c r="M257" s="1" t="s">
        <v>267</v>
      </c>
      <c r="N257" t="s">
        <v>1167</v>
      </c>
    </row>
    <row r="258" spans="1:14" hidden="1" x14ac:dyDescent="0.25">
      <c r="A258">
        <v>196</v>
      </c>
      <c r="B258">
        <v>33</v>
      </c>
      <c r="C258" t="s">
        <v>1191</v>
      </c>
      <c r="D258" s="1" t="s">
        <v>249</v>
      </c>
      <c r="E258" t="s">
        <v>1201</v>
      </c>
      <c r="H258" s="1" t="s">
        <v>258</v>
      </c>
      <c r="I258" t="s">
        <v>1192</v>
      </c>
      <c r="J258" t="s">
        <v>1189</v>
      </c>
      <c r="K258" t="s">
        <v>1203</v>
      </c>
      <c r="L258" s="1" t="s">
        <v>263</v>
      </c>
      <c r="M258" s="1" t="s">
        <v>266</v>
      </c>
    </row>
    <row r="259" spans="1:14" hidden="1" x14ac:dyDescent="0.25">
      <c r="A259">
        <v>197</v>
      </c>
      <c r="B259">
        <v>33</v>
      </c>
      <c r="C259" t="s">
        <v>1193</v>
      </c>
      <c r="D259" s="1" t="s">
        <v>249</v>
      </c>
      <c r="E259" t="s">
        <v>1201</v>
      </c>
      <c r="H259" s="1" t="s">
        <v>258</v>
      </c>
      <c r="I259" t="s">
        <v>1194</v>
      </c>
      <c r="J259" t="s">
        <v>1189</v>
      </c>
      <c r="K259" t="s">
        <v>1204</v>
      </c>
      <c r="L259" s="1" t="s">
        <v>263</v>
      </c>
      <c r="M259" s="1" t="s">
        <v>266</v>
      </c>
    </row>
    <row r="260" spans="1:14" hidden="1" x14ac:dyDescent="0.25">
      <c r="A260">
        <v>198</v>
      </c>
      <c r="B260">
        <v>33</v>
      </c>
      <c r="C260" t="s">
        <v>1195</v>
      </c>
      <c r="D260" s="1" t="s">
        <v>250</v>
      </c>
      <c r="E260" t="s">
        <v>1201</v>
      </c>
      <c r="H260" s="1" t="s">
        <v>258</v>
      </c>
      <c r="I260" t="s">
        <v>1196</v>
      </c>
      <c r="J260" t="s">
        <v>1189</v>
      </c>
      <c r="K260" t="s">
        <v>1205</v>
      </c>
      <c r="L260" s="1" t="s">
        <v>263</v>
      </c>
      <c r="M260" s="1" t="s">
        <v>266</v>
      </c>
    </row>
    <row r="261" spans="1:14" hidden="1" x14ac:dyDescent="0.25">
      <c r="A261">
        <v>199</v>
      </c>
      <c r="B261">
        <v>33</v>
      </c>
      <c r="C261" t="s">
        <v>1197</v>
      </c>
      <c r="D261" s="1" t="s">
        <v>250</v>
      </c>
      <c r="E261" t="s">
        <v>1201</v>
      </c>
      <c r="H261" s="1" t="s">
        <v>258</v>
      </c>
      <c r="I261" t="s">
        <v>1198</v>
      </c>
      <c r="J261" t="s">
        <v>1189</v>
      </c>
      <c r="K261" t="s">
        <v>1206</v>
      </c>
      <c r="L261" s="1" t="s">
        <v>263</v>
      </c>
      <c r="M261" s="1" t="s">
        <v>266</v>
      </c>
    </row>
    <row r="262" spans="1:14" hidden="1" x14ac:dyDescent="0.25">
      <c r="A262">
        <v>200</v>
      </c>
      <c r="B262">
        <v>33</v>
      </c>
      <c r="C262" t="s">
        <v>1199</v>
      </c>
      <c r="D262" s="1" t="s">
        <v>252</v>
      </c>
      <c r="E262" t="s">
        <v>1201</v>
      </c>
      <c r="H262" s="1" t="s">
        <v>258</v>
      </c>
      <c r="I262" t="s">
        <v>1200</v>
      </c>
      <c r="J262" t="s">
        <v>1189</v>
      </c>
      <c r="K262" t="s">
        <v>1207</v>
      </c>
      <c r="L262" s="1" t="s">
        <v>263</v>
      </c>
      <c r="M262" s="1" t="s">
        <v>266</v>
      </c>
    </row>
    <row r="263" spans="1:14" hidden="1" x14ac:dyDescent="0.25">
      <c r="A263" s="7"/>
      <c r="B263" s="7">
        <v>33</v>
      </c>
      <c r="C263" s="7"/>
      <c r="D263" s="7" t="s">
        <v>246</v>
      </c>
      <c r="E263" s="7" t="s">
        <v>1201</v>
      </c>
      <c r="F263" s="7"/>
      <c r="G263" s="7"/>
      <c r="H263" s="7"/>
      <c r="I263" s="7"/>
      <c r="J263" s="7"/>
      <c r="K263" s="7"/>
      <c r="L263" s="7" t="s">
        <v>264</v>
      </c>
      <c r="M263" s="7"/>
      <c r="N263" s="7" t="s">
        <v>1202</v>
      </c>
    </row>
    <row r="264" spans="1:14" hidden="1" x14ac:dyDescent="0.25">
      <c r="A264" s="7"/>
      <c r="B264" s="7">
        <v>33</v>
      </c>
      <c r="C264" s="7"/>
      <c r="D264" s="7" t="s">
        <v>247</v>
      </c>
      <c r="E264" s="7" t="s">
        <v>1201</v>
      </c>
      <c r="F264" s="7"/>
      <c r="G264" s="7"/>
      <c r="H264" s="7"/>
      <c r="I264" s="7"/>
      <c r="J264" s="7"/>
      <c r="K264" s="7"/>
      <c r="L264" s="7" t="s">
        <v>264</v>
      </c>
      <c r="M264" s="7"/>
      <c r="N264" s="7" t="s">
        <v>1202</v>
      </c>
    </row>
    <row r="265" spans="1:14" hidden="1" x14ac:dyDescent="0.25">
      <c r="A265" s="7"/>
      <c r="B265" s="7">
        <v>33</v>
      </c>
      <c r="C265" s="7"/>
      <c r="D265" s="7" t="s">
        <v>248</v>
      </c>
      <c r="E265" s="7" t="s">
        <v>1201</v>
      </c>
      <c r="F265" s="7"/>
      <c r="G265" s="7"/>
      <c r="H265" s="7"/>
      <c r="I265" s="7"/>
      <c r="J265" s="7"/>
      <c r="K265" s="7"/>
      <c r="L265" s="7" t="s">
        <v>264</v>
      </c>
      <c r="M265" s="7"/>
      <c r="N265" s="7" t="s">
        <v>1202</v>
      </c>
    </row>
    <row r="266" spans="1:14" x14ac:dyDescent="0.25">
      <c r="A266" s="4">
        <v>201</v>
      </c>
      <c r="B266" s="4">
        <v>34</v>
      </c>
      <c r="C266" s="4" t="s">
        <v>1210</v>
      </c>
      <c r="D266" s="4" t="s">
        <v>248</v>
      </c>
      <c r="E266" s="4" t="s">
        <v>1209</v>
      </c>
      <c r="F266" s="4"/>
      <c r="G266" s="4"/>
      <c r="H266" s="4" t="s">
        <v>258</v>
      </c>
      <c r="I266" s="4" t="s">
        <v>1217</v>
      </c>
      <c r="J266" s="4" t="s">
        <v>1189</v>
      </c>
      <c r="K266" s="4" t="s">
        <v>1218</v>
      </c>
      <c r="L266" s="4" t="s">
        <v>262</v>
      </c>
      <c r="M266" s="4"/>
      <c r="N266" s="4"/>
    </row>
    <row r="267" spans="1:14" hidden="1" x14ac:dyDescent="0.25">
      <c r="A267">
        <v>202</v>
      </c>
      <c r="B267">
        <v>34</v>
      </c>
      <c r="C267" t="s">
        <v>1211</v>
      </c>
      <c r="D267" s="1" t="s">
        <v>251</v>
      </c>
      <c r="E267" t="s">
        <v>1209</v>
      </c>
      <c r="H267" s="1" t="s">
        <v>258</v>
      </c>
      <c r="I267" t="s">
        <v>1219</v>
      </c>
      <c r="J267" t="s">
        <v>1189</v>
      </c>
      <c r="K267" t="s">
        <v>1221</v>
      </c>
      <c r="L267" s="1" t="s">
        <v>263</v>
      </c>
      <c r="M267" s="1" t="s">
        <v>267</v>
      </c>
      <c r="N267" t="s">
        <v>1220</v>
      </c>
    </row>
    <row r="268" spans="1:14" hidden="1" x14ac:dyDescent="0.25">
      <c r="A268">
        <v>203</v>
      </c>
      <c r="B268">
        <v>34</v>
      </c>
      <c r="C268" t="s">
        <v>1212</v>
      </c>
      <c r="D268" s="1" t="s">
        <v>249</v>
      </c>
      <c r="E268" t="s">
        <v>1209</v>
      </c>
      <c r="H268" s="1" t="s">
        <v>258</v>
      </c>
      <c r="I268" t="s">
        <v>1222</v>
      </c>
      <c r="J268" t="s">
        <v>1189</v>
      </c>
      <c r="K268" t="s">
        <v>1223</v>
      </c>
      <c r="L268" s="1" t="s">
        <v>263</v>
      </c>
      <c r="M268" s="1" t="s">
        <v>266</v>
      </c>
    </row>
    <row r="269" spans="1:14" hidden="1" x14ac:dyDescent="0.25">
      <c r="A269">
        <v>204</v>
      </c>
      <c r="B269">
        <v>34</v>
      </c>
      <c r="C269" t="s">
        <v>1213</v>
      </c>
      <c r="D269" s="1" t="s">
        <v>249</v>
      </c>
      <c r="E269" t="s">
        <v>1209</v>
      </c>
      <c r="H269" s="1" t="s">
        <v>258</v>
      </c>
      <c r="I269" t="s">
        <v>1224</v>
      </c>
      <c r="J269" t="s">
        <v>1189</v>
      </c>
      <c r="K269" t="s">
        <v>1225</v>
      </c>
      <c r="L269" s="1" t="s">
        <v>263</v>
      </c>
      <c r="M269" s="1" t="s">
        <v>266</v>
      </c>
    </row>
    <row r="270" spans="1:14" hidden="1" x14ac:dyDescent="0.25">
      <c r="A270">
        <v>205</v>
      </c>
      <c r="B270">
        <v>34</v>
      </c>
      <c r="C270" t="s">
        <v>1214</v>
      </c>
      <c r="D270" s="1" t="s">
        <v>250</v>
      </c>
      <c r="E270" t="s">
        <v>1209</v>
      </c>
      <c r="H270" s="1" t="s">
        <v>258</v>
      </c>
      <c r="I270" t="s">
        <v>1226</v>
      </c>
      <c r="J270" t="s">
        <v>1189</v>
      </c>
      <c r="K270" t="s">
        <v>1227</v>
      </c>
      <c r="L270" s="1" t="s">
        <v>263</v>
      </c>
      <c r="M270" s="1" t="s">
        <v>266</v>
      </c>
    </row>
    <row r="271" spans="1:14" hidden="1" x14ac:dyDescent="0.25">
      <c r="A271">
        <v>206</v>
      </c>
      <c r="B271">
        <v>34</v>
      </c>
      <c r="C271" t="s">
        <v>1229</v>
      </c>
      <c r="D271" s="1" t="s">
        <v>253</v>
      </c>
      <c r="E271" t="s">
        <v>1209</v>
      </c>
      <c r="H271" s="1" t="s">
        <v>258</v>
      </c>
      <c r="I271" t="s">
        <v>1228</v>
      </c>
      <c r="J271" t="s">
        <v>1189</v>
      </c>
      <c r="K271" t="s">
        <v>1230</v>
      </c>
      <c r="L271" s="1" t="s">
        <v>263</v>
      </c>
      <c r="M271" s="1" t="s">
        <v>269</v>
      </c>
    </row>
    <row r="272" spans="1:14" hidden="1" x14ac:dyDescent="0.25">
      <c r="A272">
        <v>207</v>
      </c>
      <c r="B272">
        <v>34</v>
      </c>
      <c r="C272" t="s">
        <v>1215</v>
      </c>
      <c r="D272" s="1" t="s">
        <v>251</v>
      </c>
      <c r="E272" t="s">
        <v>1209</v>
      </c>
      <c r="H272" s="1" t="s">
        <v>258</v>
      </c>
      <c r="I272" t="s">
        <v>1235</v>
      </c>
      <c r="J272" t="s">
        <v>1189</v>
      </c>
      <c r="K272" t="s">
        <v>1236</v>
      </c>
      <c r="L272" s="1" t="s">
        <v>263</v>
      </c>
      <c r="M272" s="1" t="s">
        <v>267</v>
      </c>
      <c r="N272" t="s">
        <v>1220</v>
      </c>
    </row>
    <row r="273" spans="1:14" hidden="1" x14ac:dyDescent="0.25">
      <c r="A273">
        <v>208</v>
      </c>
      <c r="B273">
        <v>34</v>
      </c>
      <c r="C273" t="s">
        <v>1238</v>
      </c>
      <c r="D273" s="1" t="s">
        <v>254</v>
      </c>
      <c r="E273" t="s">
        <v>1209</v>
      </c>
      <c r="H273" s="1" t="s">
        <v>258</v>
      </c>
      <c r="I273" t="s">
        <v>1237</v>
      </c>
      <c r="J273" t="s">
        <v>1189</v>
      </c>
      <c r="K273" t="s">
        <v>1239</v>
      </c>
      <c r="L273" s="1" t="s">
        <v>263</v>
      </c>
      <c r="M273" s="1" t="s">
        <v>270</v>
      </c>
    </row>
    <row r="274" spans="1:14" hidden="1" x14ac:dyDescent="0.25">
      <c r="A274">
        <v>209</v>
      </c>
      <c r="B274">
        <v>34</v>
      </c>
      <c r="C274" t="s">
        <v>1216</v>
      </c>
      <c r="D274" s="1" t="s">
        <v>253</v>
      </c>
      <c r="E274" t="s">
        <v>1209</v>
      </c>
      <c r="H274" s="1" t="s">
        <v>258</v>
      </c>
      <c r="I274" t="s">
        <v>1240</v>
      </c>
      <c r="J274" t="s">
        <v>1189</v>
      </c>
      <c r="K274" t="s">
        <v>1241</v>
      </c>
      <c r="L274" s="1" t="s">
        <v>263</v>
      </c>
      <c r="M274" s="1" t="s">
        <v>269</v>
      </c>
    </row>
    <row r="275" spans="1:14" hidden="1" x14ac:dyDescent="0.25">
      <c r="A275">
        <v>209</v>
      </c>
      <c r="B275">
        <v>34</v>
      </c>
      <c r="C275" t="s">
        <v>1231</v>
      </c>
      <c r="D275" s="1" t="s">
        <v>255</v>
      </c>
      <c r="E275" t="s">
        <v>1209</v>
      </c>
      <c r="H275" s="1" t="s">
        <v>258</v>
      </c>
      <c r="I275" t="s">
        <v>1233</v>
      </c>
      <c r="J275" t="s">
        <v>1189</v>
      </c>
      <c r="K275" t="s">
        <v>1232</v>
      </c>
      <c r="L275" s="1" t="s">
        <v>263</v>
      </c>
      <c r="M275" s="1" t="s">
        <v>269</v>
      </c>
    </row>
    <row r="276" spans="1:14" hidden="1" x14ac:dyDescent="0.25">
      <c r="A276" s="7"/>
      <c r="B276" s="7">
        <v>34</v>
      </c>
      <c r="C276" s="7"/>
      <c r="D276" s="7" t="s">
        <v>246</v>
      </c>
      <c r="E276" s="7" t="s">
        <v>1209</v>
      </c>
      <c r="F276" s="7"/>
      <c r="G276" s="7"/>
      <c r="H276" s="7"/>
      <c r="I276" s="7"/>
      <c r="J276" s="7"/>
      <c r="K276" s="7"/>
      <c r="L276" s="7" t="s">
        <v>264</v>
      </c>
      <c r="M276" s="7"/>
      <c r="N276" s="7" t="s">
        <v>1234</v>
      </c>
    </row>
    <row r="277" spans="1:14" hidden="1" x14ac:dyDescent="0.25">
      <c r="A277" s="7"/>
      <c r="B277" s="7">
        <v>34</v>
      </c>
      <c r="C277" s="7"/>
      <c r="D277" s="7" t="s">
        <v>247</v>
      </c>
      <c r="E277" s="7" t="s">
        <v>1209</v>
      </c>
      <c r="F277" s="7"/>
      <c r="G277" s="7"/>
      <c r="H277" s="7"/>
      <c r="I277" s="7"/>
      <c r="J277" s="7"/>
      <c r="K277" s="7"/>
      <c r="L277" s="7" t="s">
        <v>264</v>
      </c>
      <c r="M277" s="7"/>
      <c r="N277" s="7" t="s">
        <v>1234</v>
      </c>
    </row>
    <row r="278" spans="1:14" hidden="1" x14ac:dyDescent="0.25">
      <c r="A278">
        <v>210</v>
      </c>
      <c r="B278">
        <v>35</v>
      </c>
      <c r="C278" t="s">
        <v>1243</v>
      </c>
      <c r="D278" s="1" t="s">
        <v>249</v>
      </c>
      <c r="E278" t="s">
        <v>1249</v>
      </c>
      <c r="H278" s="1" t="s">
        <v>258</v>
      </c>
      <c r="I278" t="s">
        <v>1250</v>
      </c>
      <c r="J278" t="s">
        <v>1189</v>
      </c>
      <c r="K278" t="s">
        <v>1251</v>
      </c>
      <c r="L278" s="1" t="s">
        <v>263</v>
      </c>
      <c r="M278" s="1" t="s">
        <v>266</v>
      </c>
    </row>
    <row r="279" spans="1:14" hidden="1" x14ac:dyDescent="0.25">
      <c r="A279">
        <v>211</v>
      </c>
      <c r="B279">
        <v>35</v>
      </c>
      <c r="C279" t="s">
        <v>1244</v>
      </c>
      <c r="D279" s="1" t="s">
        <v>249</v>
      </c>
      <c r="E279" t="s">
        <v>1249</v>
      </c>
      <c r="H279" s="1" t="s">
        <v>258</v>
      </c>
      <c r="I279" t="s">
        <v>1252</v>
      </c>
      <c r="J279" t="s">
        <v>1189</v>
      </c>
      <c r="K279" t="s">
        <v>1255</v>
      </c>
      <c r="L279" s="1" t="s">
        <v>263</v>
      </c>
      <c r="M279" s="1" t="s">
        <v>266</v>
      </c>
    </row>
    <row r="280" spans="1:14" hidden="1" x14ac:dyDescent="0.25">
      <c r="A280">
        <v>212</v>
      </c>
      <c r="B280">
        <v>35</v>
      </c>
      <c r="C280" t="s">
        <v>1245</v>
      </c>
      <c r="D280" s="1" t="s">
        <v>250</v>
      </c>
      <c r="E280" t="s">
        <v>1249</v>
      </c>
      <c r="H280" s="1" t="s">
        <v>258</v>
      </c>
      <c r="I280" t="s">
        <v>1253</v>
      </c>
      <c r="J280" t="s">
        <v>1189</v>
      </c>
      <c r="K280" t="s">
        <v>1254</v>
      </c>
      <c r="L280" s="1" t="s">
        <v>263</v>
      </c>
      <c r="M280" s="1" t="s">
        <v>266</v>
      </c>
    </row>
    <row r="281" spans="1:14" hidden="1" x14ac:dyDescent="0.25">
      <c r="A281">
        <v>213</v>
      </c>
      <c r="B281">
        <v>35</v>
      </c>
      <c r="C281" t="s">
        <v>1246</v>
      </c>
      <c r="D281" s="1" t="s">
        <v>251</v>
      </c>
      <c r="E281" t="s">
        <v>1249</v>
      </c>
      <c r="H281" s="1" t="s">
        <v>258</v>
      </c>
      <c r="I281" t="s">
        <v>1256</v>
      </c>
      <c r="J281" t="s">
        <v>1189</v>
      </c>
      <c r="K281" t="s">
        <v>1257</v>
      </c>
      <c r="L281" s="1" t="s">
        <v>263</v>
      </c>
      <c r="M281" s="1" t="s">
        <v>266</v>
      </c>
    </row>
    <row r="282" spans="1:14" hidden="1" x14ac:dyDescent="0.25">
      <c r="A282">
        <v>214</v>
      </c>
      <c r="B282">
        <v>35</v>
      </c>
      <c r="C282" t="s">
        <v>1247</v>
      </c>
      <c r="D282" s="1" t="s">
        <v>253</v>
      </c>
      <c r="E282" t="s">
        <v>1249</v>
      </c>
      <c r="H282" s="1" t="s">
        <v>258</v>
      </c>
      <c r="I282" t="s">
        <v>1248</v>
      </c>
      <c r="J282" t="s">
        <v>1189</v>
      </c>
      <c r="K282" t="s">
        <v>1258</v>
      </c>
      <c r="L282" s="1" t="s">
        <v>263</v>
      </c>
      <c r="M282" s="1" t="s">
        <v>269</v>
      </c>
    </row>
    <row r="283" spans="1:14" hidden="1" x14ac:dyDescent="0.25">
      <c r="A283" s="7"/>
      <c r="B283" s="7">
        <v>35</v>
      </c>
      <c r="C283" s="7"/>
      <c r="D283" s="7" t="s">
        <v>246</v>
      </c>
      <c r="E283" s="7" t="s">
        <v>1249</v>
      </c>
      <c r="F283" s="7"/>
      <c r="G283" s="7"/>
      <c r="H283" s="7"/>
      <c r="I283" s="7"/>
      <c r="J283" s="7"/>
      <c r="K283" s="7"/>
      <c r="L283" s="7" t="s">
        <v>264</v>
      </c>
      <c r="M283" s="7"/>
      <c r="N283" s="7" t="s">
        <v>1202</v>
      </c>
    </row>
    <row r="284" spans="1:14" hidden="1" x14ac:dyDescent="0.25">
      <c r="A284" s="7"/>
      <c r="B284" s="7">
        <v>35</v>
      </c>
      <c r="C284" s="7"/>
      <c r="D284" s="7" t="s">
        <v>247</v>
      </c>
      <c r="E284" s="7" t="s">
        <v>1249</v>
      </c>
      <c r="F284" s="7"/>
      <c r="G284" s="7"/>
      <c r="H284" s="7"/>
      <c r="I284" s="7"/>
      <c r="J284" s="7"/>
      <c r="K284" s="7"/>
      <c r="L284" s="7" t="s">
        <v>264</v>
      </c>
      <c r="M284" s="7"/>
      <c r="N284" s="7" t="s">
        <v>1202</v>
      </c>
    </row>
    <row r="285" spans="1:14" hidden="1" x14ac:dyDescent="0.25">
      <c r="A285" s="7"/>
      <c r="B285" s="7">
        <v>35</v>
      </c>
      <c r="C285" s="7"/>
      <c r="D285" s="7" t="s">
        <v>248</v>
      </c>
      <c r="E285" s="7" t="s">
        <v>1249</v>
      </c>
      <c r="F285" s="7"/>
      <c r="G285" s="7"/>
      <c r="H285" s="7"/>
      <c r="I285" s="7"/>
      <c r="J285" s="7"/>
      <c r="K285" s="7"/>
      <c r="L285" s="7" t="s">
        <v>264</v>
      </c>
      <c r="M285" s="7"/>
      <c r="N285" s="7" t="s">
        <v>1202</v>
      </c>
    </row>
    <row r="286" spans="1:14" hidden="1" x14ac:dyDescent="0.25">
      <c r="A286">
        <v>215</v>
      </c>
      <c r="B286">
        <v>36</v>
      </c>
      <c r="C286" t="s">
        <v>1261</v>
      </c>
      <c r="D286" s="1" t="s">
        <v>253</v>
      </c>
      <c r="E286" t="s">
        <v>1259</v>
      </c>
      <c r="H286" s="1" t="s">
        <v>258</v>
      </c>
      <c r="I286" t="s">
        <v>1269</v>
      </c>
      <c r="J286" t="s">
        <v>1189</v>
      </c>
      <c r="K286" t="s">
        <v>1270</v>
      </c>
      <c r="L286" s="1" t="s">
        <v>263</v>
      </c>
      <c r="M286" s="1" t="s">
        <v>260</v>
      </c>
      <c r="N286" t="s">
        <v>1271</v>
      </c>
    </row>
    <row r="287" spans="1:14" hidden="1" x14ac:dyDescent="0.25">
      <c r="A287">
        <v>216</v>
      </c>
      <c r="B287">
        <v>36</v>
      </c>
      <c r="C287" t="s">
        <v>1262</v>
      </c>
      <c r="D287" s="1" t="s">
        <v>249</v>
      </c>
      <c r="E287" t="s">
        <v>1259</v>
      </c>
      <c r="H287" s="1" t="s">
        <v>258</v>
      </c>
      <c r="I287" t="s">
        <v>1272</v>
      </c>
      <c r="J287" t="s">
        <v>1189</v>
      </c>
      <c r="K287" t="s">
        <v>1278</v>
      </c>
      <c r="L287" s="1" t="s">
        <v>263</v>
      </c>
      <c r="M287" s="1" t="s">
        <v>266</v>
      </c>
    </row>
    <row r="288" spans="1:14" hidden="1" x14ac:dyDescent="0.25">
      <c r="A288">
        <v>217</v>
      </c>
      <c r="B288">
        <v>36</v>
      </c>
      <c r="C288" t="s">
        <v>1263</v>
      </c>
      <c r="D288" s="1" t="s">
        <v>255</v>
      </c>
      <c r="E288" t="s">
        <v>1259</v>
      </c>
      <c r="H288" s="1" t="s">
        <v>258</v>
      </c>
      <c r="I288" t="s">
        <v>1273</v>
      </c>
      <c r="J288" t="s">
        <v>1189</v>
      </c>
      <c r="K288" t="s">
        <v>1279</v>
      </c>
      <c r="L288" s="1" t="s">
        <v>263</v>
      </c>
      <c r="M288" s="1" t="s">
        <v>266</v>
      </c>
    </row>
    <row r="289" spans="1:14" hidden="1" x14ac:dyDescent="0.25">
      <c r="A289">
        <v>218</v>
      </c>
      <c r="B289">
        <v>36</v>
      </c>
      <c r="C289" t="s">
        <v>1264</v>
      </c>
      <c r="D289" s="1" t="s">
        <v>250</v>
      </c>
      <c r="E289" t="s">
        <v>1259</v>
      </c>
      <c r="H289" s="1" t="s">
        <v>258</v>
      </c>
      <c r="I289" t="s">
        <v>1274</v>
      </c>
      <c r="J289" t="s">
        <v>1189</v>
      </c>
      <c r="K289" t="s">
        <v>1280</v>
      </c>
      <c r="L289" s="1" t="s">
        <v>263</v>
      </c>
      <c r="M289" s="1" t="s">
        <v>266</v>
      </c>
    </row>
    <row r="290" spans="1:14" hidden="1" x14ac:dyDescent="0.25">
      <c r="A290">
        <v>219</v>
      </c>
      <c r="B290">
        <v>36</v>
      </c>
      <c r="C290" t="s">
        <v>1265</v>
      </c>
      <c r="D290" s="1" t="s">
        <v>250</v>
      </c>
      <c r="E290" t="s">
        <v>1259</v>
      </c>
      <c r="H290" s="1" t="s">
        <v>258</v>
      </c>
      <c r="I290" t="s">
        <v>1275</v>
      </c>
      <c r="J290" t="s">
        <v>1189</v>
      </c>
      <c r="K290" t="s">
        <v>1281</v>
      </c>
      <c r="L290" s="1" t="s">
        <v>263</v>
      </c>
      <c r="M290" s="1" t="s">
        <v>266</v>
      </c>
    </row>
    <row r="291" spans="1:14" hidden="1" x14ac:dyDescent="0.25">
      <c r="A291">
        <v>220</v>
      </c>
      <c r="B291">
        <v>36</v>
      </c>
      <c r="C291" t="s">
        <v>1266</v>
      </c>
      <c r="D291" s="1" t="s">
        <v>252</v>
      </c>
      <c r="E291" t="s">
        <v>1259</v>
      </c>
      <c r="H291" s="1" t="s">
        <v>258</v>
      </c>
      <c r="I291" t="s">
        <v>1276</v>
      </c>
      <c r="J291" t="s">
        <v>1189</v>
      </c>
      <c r="K291" t="s">
        <v>1277</v>
      </c>
      <c r="L291" s="1" t="s">
        <v>263</v>
      </c>
      <c r="M291" s="1" t="s">
        <v>269</v>
      </c>
    </row>
    <row r="292" spans="1:14" x14ac:dyDescent="0.25">
      <c r="A292" s="4">
        <v>221</v>
      </c>
      <c r="B292" s="4">
        <v>36</v>
      </c>
      <c r="C292" s="4" t="s">
        <v>1267</v>
      </c>
      <c r="D292" s="4" t="s">
        <v>248</v>
      </c>
      <c r="E292" s="4" t="s">
        <v>1259</v>
      </c>
      <c r="F292" s="4"/>
      <c r="G292" s="4"/>
      <c r="H292" s="4" t="s">
        <v>258</v>
      </c>
      <c r="I292" s="4" t="s">
        <v>1282</v>
      </c>
      <c r="J292" s="4" t="s">
        <v>1189</v>
      </c>
      <c r="K292" s="4" t="s">
        <v>1283</v>
      </c>
      <c r="L292" s="4" t="s">
        <v>262</v>
      </c>
      <c r="M292" s="4"/>
      <c r="N292" s="4"/>
    </row>
    <row r="293" spans="1:14" hidden="1" x14ac:dyDescent="0.25">
      <c r="A293" s="7"/>
      <c r="B293" s="7">
        <v>36</v>
      </c>
      <c r="C293" s="7"/>
      <c r="D293" s="7" t="s">
        <v>247</v>
      </c>
      <c r="E293" s="7" t="s">
        <v>1259</v>
      </c>
      <c r="F293" s="7"/>
      <c r="G293" s="7"/>
      <c r="H293" s="7"/>
      <c r="I293" s="7"/>
      <c r="J293" s="7"/>
      <c r="K293" s="7"/>
      <c r="L293" s="7" t="s">
        <v>264</v>
      </c>
      <c r="M293" s="7"/>
      <c r="N293" s="7" t="s">
        <v>1268</v>
      </c>
    </row>
    <row r="294" spans="1:14" hidden="1" x14ac:dyDescent="0.25">
      <c r="A294" s="7"/>
      <c r="B294" s="7">
        <v>36</v>
      </c>
      <c r="C294" s="7"/>
      <c r="D294" s="7" t="s">
        <v>248</v>
      </c>
      <c r="E294" s="7" t="s">
        <v>1259</v>
      </c>
      <c r="F294" s="7"/>
      <c r="G294" s="7"/>
      <c r="H294" s="7"/>
      <c r="I294" s="7"/>
      <c r="J294" s="7"/>
      <c r="K294" s="7"/>
      <c r="L294" s="7" t="s">
        <v>264</v>
      </c>
      <c r="M294" s="7"/>
      <c r="N294" s="7" t="s">
        <v>1268</v>
      </c>
    </row>
    <row r="295" spans="1:14" hidden="1" x14ac:dyDescent="0.25">
      <c r="A295">
        <v>222</v>
      </c>
      <c r="B295">
        <v>37</v>
      </c>
      <c r="C295" t="s">
        <v>1284</v>
      </c>
      <c r="D295" s="1" t="s">
        <v>249</v>
      </c>
      <c r="E295" t="s">
        <v>1289</v>
      </c>
      <c r="H295" s="1" t="s">
        <v>258</v>
      </c>
      <c r="I295" t="s">
        <v>1290</v>
      </c>
      <c r="J295" t="s">
        <v>1189</v>
      </c>
      <c r="K295" t="s">
        <v>1299</v>
      </c>
      <c r="L295" s="1" t="s">
        <v>263</v>
      </c>
      <c r="M295" s="1" t="s">
        <v>266</v>
      </c>
    </row>
    <row r="296" spans="1:14" hidden="1" x14ac:dyDescent="0.25">
      <c r="A296">
        <v>223</v>
      </c>
      <c r="B296">
        <v>37</v>
      </c>
      <c r="C296" t="s">
        <v>1285</v>
      </c>
      <c r="D296" s="1" t="s">
        <v>255</v>
      </c>
      <c r="E296" t="s">
        <v>1289</v>
      </c>
      <c r="H296" s="1" t="s">
        <v>258</v>
      </c>
      <c r="I296" t="s">
        <v>1291</v>
      </c>
      <c r="J296" t="s">
        <v>1189</v>
      </c>
      <c r="K296" t="s">
        <v>1292</v>
      </c>
      <c r="L296" s="1" t="s">
        <v>263</v>
      </c>
      <c r="M296" s="1" t="s">
        <v>266</v>
      </c>
    </row>
    <row r="297" spans="1:14" hidden="1" x14ac:dyDescent="0.25">
      <c r="A297">
        <v>224</v>
      </c>
      <c r="B297">
        <v>37</v>
      </c>
      <c r="C297" t="s">
        <v>1286</v>
      </c>
      <c r="D297" s="1" t="s">
        <v>255</v>
      </c>
      <c r="E297" t="s">
        <v>1289</v>
      </c>
      <c r="H297" s="1" t="s">
        <v>258</v>
      </c>
      <c r="I297" t="s">
        <v>1293</v>
      </c>
      <c r="J297" t="s">
        <v>1189</v>
      </c>
      <c r="K297" t="s">
        <v>1294</v>
      </c>
      <c r="L297" s="1" t="s">
        <v>263</v>
      </c>
      <c r="M297" s="1" t="s">
        <v>266</v>
      </c>
    </row>
    <row r="298" spans="1:14" hidden="1" x14ac:dyDescent="0.25">
      <c r="A298">
        <v>225</v>
      </c>
      <c r="B298">
        <v>37</v>
      </c>
      <c r="C298" t="s">
        <v>1287</v>
      </c>
      <c r="D298" s="1" t="s">
        <v>252</v>
      </c>
      <c r="E298" t="s">
        <v>1289</v>
      </c>
      <c r="H298" s="1" t="s">
        <v>258</v>
      </c>
      <c r="I298" t="s">
        <v>1295</v>
      </c>
      <c r="J298" t="s">
        <v>1189</v>
      </c>
      <c r="K298" t="s">
        <v>1296</v>
      </c>
      <c r="L298" s="1" t="s">
        <v>263</v>
      </c>
      <c r="M298" s="1" t="s">
        <v>266</v>
      </c>
    </row>
    <row r="299" spans="1:14" hidden="1" x14ac:dyDescent="0.25">
      <c r="A299">
        <v>226</v>
      </c>
      <c r="B299">
        <v>37</v>
      </c>
      <c r="C299" t="s">
        <v>1288</v>
      </c>
      <c r="D299" s="1" t="s">
        <v>254</v>
      </c>
      <c r="E299" t="s">
        <v>1289</v>
      </c>
      <c r="H299" s="1" t="s">
        <v>258</v>
      </c>
      <c r="I299" t="s">
        <v>1297</v>
      </c>
      <c r="J299" t="s">
        <v>1189</v>
      </c>
      <c r="K299" t="s">
        <v>1298</v>
      </c>
      <c r="L299" s="1" t="s">
        <v>263</v>
      </c>
      <c r="M299" s="1" t="s">
        <v>270</v>
      </c>
    </row>
    <row r="300" spans="1:14" hidden="1" x14ac:dyDescent="0.25">
      <c r="A300" s="7"/>
      <c r="B300" s="7">
        <v>37</v>
      </c>
      <c r="C300" s="7"/>
      <c r="D300" s="7" t="s">
        <v>246</v>
      </c>
      <c r="E300" s="7" t="s">
        <v>1289</v>
      </c>
      <c r="F300" s="7"/>
      <c r="G300" s="7"/>
      <c r="H300" s="7"/>
      <c r="I300" s="7"/>
      <c r="J300" s="7"/>
      <c r="K300" s="7"/>
      <c r="L300" s="7" t="s">
        <v>264</v>
      </c>
      <c r="M300" s="7"/>
      <c r="N300" s="7" t="s">
        <v>1202</v>
      </c>
    </row>
    <row r="301" spans="1:14" hidden="1" x14ac:dyDescent="0.25">
      <c r="A301" s="7"/>
      <c r="B301" s="7">
        <v>37</v>
      </c>
      <c r="C301" s="7"/>
      <c r="D301" s="7" t="s">
        <v>247</v>
      </c>
      <c r="E301" s="7" t="s">
        <v>1289</v>
      </c>
      <c r="F301" s="7"/>
      <c r="G301" s="7"/>
      <c r="H301" s="7"/>
      <c r="I301" s="7"/>
      <c r="J301" s="7"/>
      <c r="K301" s="7"/>
      <c r="L301" s="7" t="s">
        <v>264</v>
      </c>
      <c r="M301" s="7"/>
      <c r="N301" s="7" t="s">
        <v>1202</v>
      </c>
    </row>
    <row r="302" spans="1:14" hidden="1" x14ac:dyDescent="0.25">
      <c r="A302" s="7"/>
      <c r="B302" s="7">
        <v>37</v>
      </c>
      <c r="C302" s="7"/>
      <c r="D302" s="7" t="s">
        <v>248</v>
      </c>
      <c r="E302" s="7" t="s">
        <v>1289</v>
      </c>
      <c r="F302" s="7"/>
      <c r="G302" s="7"/>
      <c r="H302" s="7"/>
      <c r="I302" s="7"/>
      <c r="J302" s="7"/>
      <c r="K302" s="7"/>
      <c r="L302" s="7" t="s">
        <v>264</v>
      </c>
      <c r="M302" s="7"/>
      <c r="N302" s="7" t="s">
        <v>1202</v>
      </c>
    </row>
    <row r="303" spans="1:14" x14ac:dyDescent="0.25">
      <c r="A303" s="4">
        <v>227</v>
      </c>
      <c r="B303" s="4">
        <v>38</v>
      </c>
      <c r="C303" s="4" t="s">
        <v>1300</v>
      </c>
      <c r="D303" s="4" t="s">
        <v>246</v>
      </c>
      <c r="E303" s="4" t="s">
        <v>1304</v>
      </c>
      <c r="F303" s="4"/>
      <c r="G303" s="4"/>
      <c r="H303" s="4" t="s">
        <v>258</v>
      </c>
      <c r="I303" s="4" t="s">
        <v>1305</v>
      </c>
      <c r="J303" s="4" t="s">
        <v>1189</v>
      </c>
      <c r="K303" s="4" t="s">
        <v>1310</v>
      </c>
      <c r="L303" s="4" t="s">
        <v>262</v>
      </c>
      <c r="M303" s="4"/>
      <c r="N303" s="4"/>
    </row>
    <row r="304" spans="1:14" hidden="1" x14ac:dyDescent="0.25">
      <c r="A304">
        <v>228</v>
      </c>
      <c r="B304">
        <v>38</v>
      </c>
      <c r="C304" t="s">
        <v>1301</v>
      </c>
      <c r="D304" s="1" t="s">
        <v>249</v>
      </c>
      <c r="E304" t="s">
        <v>1304</v>
      </c>
      <c r="H304" s="1" t="s">
        <v>258</v>
      </c>
      <c r="I304" t="s">
        <v>1306</v>
      </c>
      <c r="J304" t="s">
        <v>1189</v>
      </c>
      <c r="K304" t="s">
        <v>1311</v>
      </c>
      <c r="L304" s="1" t="s">
        <v>263</v>
      </c>
      <c r="M304" s="1" t="s">
        <v>266</v>
      </c>
    </row>
    <row r="305" spans="1:14" hidden="1" x14ac:dyDescent="0.25">
      <c r="A305">
        <v>229</v>
      </c>
      <c r="B305">
        <v>38</v>
      </c>
      <c r="C305" t="s">
        <v>1302</v>
      </c>
      <c r="D305" s="1" t="s">
        <v>251</v>
      </c>
      <c r="E305" t="s">
        <v>1304</v>
      </c>
      <c r="H305" s="1" t="s">
        <v>258</v>
      </c>
      <c r="I305" t="s">
        <v>1308</v>
      </c>
      <c r="J305" t="s">
        <v>1189</v>
      </c>
      <c r="K305" t="s">
        <v>1312</v>
      </c>
      <c r="L305" s="1" t="s">
        <v>263</v>
      </c>
      <c r="M305" s="1" t="s">
        <v>266</v>
      </c>
    </row>
    <row r="306" spans="1:14" hidden="1" x14ac:dyDescent="0.25">
      <c r="A306">
        <v>230</v>
      </c>
      <c r="B306">
        <v>38</v>
      </c>
      <c r="C306" t="s">
        <v>1303</v>
      </c>
      <c r="D306" s="1" t="s">
        <v>253</v>
      </c>
      <c r="E306" t="s">
        <v>1304</v>
      </c>
      <c r="H306" s="1" t="s">
        <v>258</v>
      </c>
      <c r="I306" t="s">
        <v>1307</v>
      </c>
      <c r="J306" t="s">
        <v>1189</v>
      </c>
      <c r="K306" t="s">
        <v>1309</v>
      </c>
      <c r="L306" s="1" t="s">
        <v>263</v>
      </c>
      <c r="M306" s="1" t="s">
        <v>269</v>
      </c>
    </row>
    <row r="307" spans="1:14" hidden="1" x14ac:dyDescent="0.25">
      <c r="A307" s="7"/>
      <c r="B307" s="7">
        <v>38</v>
      </c>
      <c r="C307" s="7"/>
      <c r="D307" s="7" t="s">
        <v>247</v>
      </c>
      <c r="E307" s="7" t="s">
        <v>1304</v>
      </c>
      <c r="F307" s="7"/>
      <c r="G307" s="7"/>
      <c r="H307" s="7"/>
      <c r="I307" s="7"/>
      <c r="J307" s="7"/>
      <c r="K307" s="7"/>
      <c r="L307" s="7" t="s">
        <v>264</v>
      </c>
      <c r="M307" s="7"/>
      <c r="N307" s="7" t="s">
        <v>1268</v>
      </c>
    </row>
    <row r="308" spans="1:14" hidden="1" x14ac:dyDescent="0.25">
      <c r="A308" s="7"/>
      <c r="B308" s="7">
        <v>38</v>
      </c>
      <c r="C308" s="7"/>
      <c r="D308" s="7" t="s">
        <v>248</v>
      </c>
      <c r="E308" s="7" t="s">
        <v>1304</v>
      </c>
      <c r="F308" s="7"/>
      <c r="G308" s="7"/>
      <c r="H308" s="7"/>
      <c r="I308" s="7"/>
      <c r="J308" s="7"/>
      <c r="K308" s="7"/>
      <c r="L308" s="7" t="s">
        <v>264</v>
      </c>
      <c r="M308" s="7"/>
      <c r="N308" s="7" t="s">
        <v>1268</v>
      </c>
    </row>
    <row r="309" spans="1:14" hidden="1" x14ac:dyDescent="0.25">
      <c r="A309">
        <v>231</v>
      </c>
      <c r="B309">
        <v>39</v>
      </c>
      <c r="C309" t="s">
        <v>249</v>
      </c>
      <c r="D309" s="1" t="s">
        <v>249</v>
      </c>
      <c r="E309" t="s">
        <v>1318</v>
      </c>
      <c r="H309" s="1" t="s">
        <v>258</v>
      </c>
      <c r="I309" t="s">
        <v>1319</v>
      </c>
      <c r="J309" t="s">
        <v>1189</v>
      </c>
      <c r="K309" t="s">
        <v>1329</v>
      </c>
      <c r="L309" s="1" t="s">
        <v>263</v>
      </c>
      <c r="M309" s="1" t="s">
        <v>266</v>
      </c>
    </row>
    <row r="310" spans="1:14" hidden="1" x14ac:dyDescent="0.25">
      <c r="A310">
        <v>232</v>
      </c>
      <c r="B310">
        <v>39</v>
      </c>
      <c r="C310" t="s">
        <v>1313</v>
      </c>
      <c r="D310" s="1" t="s">
        <v>251</v>
      </c>
      <c r="E310" t="s">
        <v>1318</v>
      </c>
      <c r="H310" s="1" t="s">
        <v>258</v>
      </c>
      <c r="I310" t="s">
        <v>1320</v>
      </c>
      <c r="J310" t="s">
        <v>1189</v>
      </c>
      <c r="K310" t="s">
        <v>1324</v>
      </c>
      <c r="L310" s="1" t="s">
        <v>263</v>
      </c>
      <c r="M310" s="1" t="s">
        <v>269</v>
      </c>
      <c r="N310" t="s">
        <v>1325</v>
      </c>
    </row>
    <row r="311" spans="1:14" hidden="1" x14ac:dyDescent="0.25">
      <c r="A311">
        <v>233</v>
      </c>
      <c r="B311">
        <v>39</v>
      </c>
      <c r="C311" t="s">
        <v>1314</v>
      </c>
      <c r="D311" s="1" t="s">
        <v>246</v>
      </c>
      <c r="E311" t="s">
        <v>1318</v>
      </c>
      <c r="H311" s="1" t="s">
        <v>258</v>
      </c>
      <c r="I311" t="s">
        <v>1321</v>
      </c>
      <c r="J311" t="s">
        <v>1189</v>
      </c>
      <c r="K311" t="s">
        <v>1330</v>
      </c>
      <c r="L311" s="1" t="s">
        <v>263</v>
      </c>
      <c r="M311" s="1" t="s">
        <v>266</v>
      </c>
    </row>
    <row r="312" spans="1:14" hidden="1" x14ac:dyDescent="0.25">
      <c r="A312">
        <v>234</v>
      </c>
      <c r="B312">
        <v>39</v>
      </c>
      <c r="C312" t="s">
        <v>1315</v>
      </c>
      <c r="D312" s="1" t="s">
        <v>250</v>
      </c>
      <c r="E312" t="s">
        <v>1318</v>
      </c>
      <c r="H312" s="1" t="s">
        <v>258</v>
      </c>
      <c r="I312" t="s">
        <v>1322</v>
      </c>
      <c r="J312" t="s">
        <v>1189</v>
      </c>
      <c r="K312" t="s">
        <v>1326</v>
      </c>
      <c r="L312" s="1" t="s">
        <v>263</v>
      </c>
      <c r="M312" s="1" t="s">
        <v>266</v>
      </c>
    </row>
    <row r="313" spans="1:14" hidden="1" x14ac:dyDescent="0.25">
      <c r="A313">
        <v>235</v>
      </c>
      <c r="B313">
        <v>39</v>
      </c>
      <c r="C313" t="s">
        <v>1316</v>
      </c>
      <c r="D313" s="1" t="s">
        <v>250</v>
      </c>
      <c r="E313" t="s">
        <v>1318</v>
      </c>
      <c r="H313" s="1" t="s">
        <v>258</v>
      </c>
      <c r="I313" t="s">
        <v>1327</v>
      </c>
      <c r="J313" t="s">
        <v>1189</v>
      </c>
      <c r="K313" t="s">
        <v>1331</v>
      </c>
      <c r="L313" s="1" t="s">
        <v>263</v>
      </c>
      <c r="M313" s="1" t="s">
        <v>266</v>
      </c>
    </row>
    <row r="314" spans="1:14" hidden="1" x14ac:dyDescent="0.25">
      <c r="A314">
        <v>236</v>
      </c>
      <c r="B314">
        <v>39</v>
      </c>
      <c r="C314" t="s">
        <v>1317</v>
      </c>
      <c r="D314" s="1" t="s">
        <v>253</v>
      </c>
      <c r="E314" t="s">
        <v>1318</v>
      </c>
      <c r="H314" s="1" t="s">
        <v>257</v>
      </c>
      <c r="I314" t="s">
        <v>1323</v>
      </c>
      <c r="J314" t="s">
        <v>1189</v>
      </c>
      <c r="K314" t="s">
        <v>1328</v>
      </c>
      <c r="L314" s="1" t="s">
        <v>263</v>
      </c>
      <c r="M314" s="1" t="s">
        <v>266</v>
      </c>
    </row>
    <row r="315" spans="1:14" hidden="1" x14ac:dyDescent="0.25">
      <c r="A315" s="7"/>
      <c r="B315" s="7">
        <v>39</v>
      </c>
      <c r="C315" s="7"/>
      <c r="D315" s="7" t="s">
        <v>246</v>
      </c>
      <c r="E315" s="7" t="s">
        <v>1318</v>
      </c>
      <c r="F315" s="7"/>
      <c r="G315" s="7"/>
      <c r="H315" s="7"/>
      <c r="I315" s="7"/>
      <c r="J315" s="7"/>
      <c r="K315" s="7"/>
      <c r="L315" s="7" t="s">
        <v>264</v>
      </c>
      <c r="M315" s="7"/>
      <c r="N315" s="7" t="s">
        <v>1202</v>
      </c>
    </row>
    <row r="316" spans="1:14" hidden="1" x14ac:dyDescent="0.25">
      <c r="A316" s="7"/>
      <c r="B316" s="7">
        <v>39</v>
      </c>
      <c r="C316" s="7"/>
      <c r="D316" s="7" t="s">
        <v>247</v>
      </c>
      <c r="E316" s="7" t="s">
        <v>1318</v>
      </c>
      <c r="F316" s="7"/>
      <c r="G316" s="7"/>
      <c r="H316" s="7"/>
      <c r="I316" s="7"/>
      <c r="J316" s="7"/>
      <c r="K316" s="7"/>
      <c r="L316" s="7" t="s">
        <v>264</v>
      </c>
      <c r="M316" s="7"/>
      <c r="N316" s="7" t="s">
        <v>1202</v>
      </c>
    </row>
    <row r="317" spans="1:14" hidden="1" x14ac:dyDescent="0.25">
      <c r="A317" s="7"/>
      <c r="B317" s="7">
        <v>39</v>
      </c>
      <c r="C317" s="7"/>
      <c r="D317" s="7" t="s">
        <v>248</v>
      </c>
      <c r="E317" s="7" t="s">
        <v>1318</v>
      </c>
      <c r="F317" s="7"/>
      <c r="G317" s="7"/>
      <c r="H317" s="7"/>
      <c r="I317" s="7"/>
      <c r="J317" s="7"/>
      <c r="K317" s="7"/>
      <c r="L317" s="7" t="s">
        <v>264</v>
      </c>
      <c r="M317" s="7"/>
      <c r="N317" s="7" t="s">
        <v>1202</v>
      </c>
    </row>
    <row r="318" spans="1:14" hidden="1" x14ac:dyDescent="0.25">
      <c r="A318">
        <v>237</v>
      </c>
      <c r="B318">
        <v>40</v>
      </c>
      <c r="C318" t="s">
        <v>1334</v>
      </c>
      <c r="D318" s="1" t="s">
        <v>255</v>
      </c>
      <c r="E318" s="15" t="s">
        <v>1332</v>
      </c>
      <c r="H318" s="1" t="s">
        <v>258</v>
      </c>
      <c r="I318" t="s">
        <v>1335</v>
      </c>
      <c r="J318" t="s">
        <v>1189</v>
      </c>
      <c r="K318" t="s">
        <v>1356</v>
      </c>
      <c r="L318" s="1" t="s">
        <v>263</v>
      </c>
      <c r="M318" s="1" t="s">
        <v>266</v>
      </c>
    </row>
    <row r="319" spans="1:14" hidden="1" x14ac:dyDescent="0.25">
      <c r="A319">
        <v>238</v>
      </c>
      <c r="B319">
        <v>40</v>
      </c>
      <c r="C319" t="s">
        <v>1336</v>
      </c>
      <c r="D319" s="1" t="s">
        <v>249</v>
      </c>
      <c r="E319" s="15" t="s">
        <v>1332</v>
      </c>
      <c r="H319" s="1" t="s">
        <v>258</v>
      </c>
      <c r="I319" t="s">
        <v>1337</v>
      </c>
      <c r="J319" t="s">
        <v>1189</v>
      </c>
      <c r="K319" t="s">
        <v>1352</v>
      </c>
      <c r="L319" s="1" t="s">
        <v>263</v>
      </c>
      <c r="M319" s="1" t="s">
        <v>266</v>
      </c>
    </row>
    <row r="320" spans="1:14" x14ac:dyDescent="0.25">
      <c r="A320" s="4">
        <v>239</v>
      </c>
      <c r="B320" s="4">
        <v>40</v>
      </c>
      <c r="C320" s="4" t="s">
        <v>1338</v>
      </c>
      <c r="D320" s="4" t="s">
        <v>246</v>
      </c>
      <c r="E320" s="17" t="s">
        <v>1332</v>
      </c>
      <c r="F320" s="4"/>
      <c r="G320" s="4"/>
      <c r="H320" s="4" t="s">
        <v>257</v>
      </c>
      <c r="I320" s="4" t="s">
        <v>1339</v>
      </c>
      <c r="J320" s="4" t="s">
        <v>1189</v>
      </c>
      <c r="K320" s="4" t="s">
        <v>1353</v>
      </c>
      <c r="L320" s="4" t="s">
        <v>262</v>
      </c>
      <c r="M320" s="4"/>
      <c r="N320" s="4"/>
    </row>
    <row r="321" spans="1:14" hidden="1" x14ac:dyDescent="0.25">
      <c r="A321">
        <v>240</v>
      </c>
      <c r="B321">
        <v>40</v>
      </c>
      <c r="C321" t="s">
        <v>1340</v>
      </c>
      <c r="D321" s="1" t="s">
        <v>251</v>
      </c>
      <c r="E321" s="15" t="s">
        <v>1332</v>
      </c>
      <c r="H321" s="1" t="s">
        <v>258</v>
      </c>
      <c r="I321" t="s">
        <v>1341</v>
      </c>
      <c r="J321" t="s">
        <v>1189</v>
      </c>
      <c r="K321" t="s">
        <v>1360</v>
      </c>
      <c r="L321" s="1" t="s">
        <v>263</v>
      </c>
      <c r="M321" s="1" t="s">
        <v>266</v>
      </c>
    </row>
    <row r="322" spans="1:14" ht="16.5" hidden="1" x14ac:dyDescent="0.3">
      <c r="A322">
        <v>241</v>
      </c>
      <c r="B322">
        <v>40</v>
      </c>
      <c r="C322" s="16" t="s">
        <v>1342</v>
      </c>
      <c r="D322" s="1" t="s">
        <v>251</v>
      </c>
      <c r="E322" s="15" t="s">
        <v>1332</v>
      </c>
      <c r="H322" s="1" t="s">
        <v>258</v>
      </c>
      <c r="I322" t="s">
        <v>1343</v>
      </c>
      <c r="J322" t="s">
        <v>1189</v>
      </c>
      <c r="K322" t="s">
        <v>1357</v>
      </c>
      <c r="L322" s="1" t="s">
        <v>263</v>
      </c>
      <c r="M322" s="1" t="s">
        <v>266</v>
      </c>
    </row>
    <row r="323" spans="1:14" hidden="1" x14ac:dyDescent="0.25">
      <c r="A323">
        <v>242</v>
      </c>
      <c r="B323">
        <v>40</v>
      </c>
      <c r="C323" t="s">
        <v>1344</v>
      </c>
      <c r="D323" s="1" t="s">
        <v>250</v>
      </c>
      <c r="E323" s="15" t="s">
        <v>1332</v>
      </c>
      <c r="H323" s="1"/>
      <c r="I323" t="s">
        <v>1345</v>
      </c>
      <c r="J323" t="s">
        <v>1189</v>
      </c>
      <c r="K323" t="s">
        <v>1359</v>
      </c>
      <c r="L323" s="1" t="s">
        <v>263</v>
      </c>
      <c r="M323" s="1" t="s">
        <v>266</v>
      </c>
    </row>
    <row r="324" spans="1:14" hidden="1" x14ac:dyDescent="0.25">
      <c r="A324">
        <v>243</v>
      </c>
      <c r="B324">
        <v>40</v>
      </c>
      <c r="C324" t="s">
        <v>1346</v>
      </c>
      <c r="D324" s="1" t="s">
        <v>250</v>
      </c>
      <c r="E324" s="15" t="s">
        <v>1332</v>
      </c>
      <c r="H324" s="1"/>
      <c r="I324" t="s">
        <v>1347</v>
      </c>
      <c r="J324" t="s">
        <v>1189</v>
      </c>
      <c r="K324" t="s">
        <v>1358</v>
      </c>
      <c r="L324" s="1" t="s">
        <v>263</v>
      </c>
      <c r="M324" s="1" t="s">
        <v>266</v>
      </c>
    </row>
    <row r="325" spans="1:14" hidden="1" x14ac:dyDescent="0.25">
      <c r="A325">
        <v>244</v>
      </c>
      <c r="B325">
        <v>40</v>
      </c>
      <c r="C325" t="s">
        <v>1348</v>
      </c>
      <c r="D325" s="1" t="s">
        <v>254</v>
      </c>
      <c r="E325" s="15" t="s">
        <v>1332</v>
      </c>
      <c r="H325" s="1"/>
      <c r="I325" t="s">
        <v>1349</v>
      </c>
      <c r="J325" t="s">
        <v>1189</v>
      </c>
      <c r="K325" t="s">
        <v>1354</v>
      </c>
      <c r="L325" s="1" t="s">
        <v>263</v>
      </c>
      <c r="M325" s="1" t="s">
        <v>269</v>
      </c>
    </row>
    <row r="326" spans="1:14" hidden="1" x14ac:dyDescent="0.25">
      <c r="A326">
        <v>245</v>
      </c>
      <c r="B326">
        <v>40</v>
      </c>
      <c r="C326" t="s">
        <v>1350</v>
      </c>
      <c r="D326" s="1" t="s">
        <v>254</v>
      </c>
      <c r="E326" s="15" t="s">
        <v>1332</v>
      </c>
      <c r="H326" s="1"/>
      <c r="I326" t="s">
        <v>1351</v>
      </c>
      <c r="J326" t="s">
        <v>1189</v>
      </c>
      <c r="K326" t="s">
        <v>1355</v>
      </c>
      <c r="L326" s="1" t="s">
        <v>263</v>
      </c>
      <c r="M326" s="1" t="s">
        <v>269</v>
      </c>
    </row>
    <row r="327" spans="1:14" hidden="1" x14ac:dyDescent="0.25">
      <c r="A327" s="7"/>
      <c r="B327" s="7">
        <v>40</v>
      </c>
      <c r="C327" s="7"/>
      <c r="D327" s="7" t="s">
        <v>247</v>
      </c>
      <c r="E327" s="7" t="s">
        <v>1332</v>
      </c>
      <c r="F327" s="7"/>
      <c r="G327" s="7"/>
      <c r="H327" s="7"/>
      <c r="I327" s="7"/>
      <c r="J327" s="7"/>
      <c r="K327" s="7"/>
      <c r="L327" s="7" t="s">
        <v>264</v>
      </c>
      <c r="M327" s="7"/>
      <c r="N327" s="7" t="s">
        <v>1268</v>
      </c>
    </row>
    <row r="328" spans="1:14" hidden="1" x14ac:dyDescent="0.25">
      <c r="A328" s="7"/>
      <c r="B328" s="7">
        <v>40</v>
      </c>
      <c r="C328" s="7"/>
      <c r="D328" s="7" t="s">
        <v>248</v>
      </c>
      <c r="E328" s="7" t="s">
        <v>1332</v>
      </c>
      <c r="F328" s="7"/>
      <c r="G328" s="7"/>
      <c r="H328" s="7"/>
      <c r="I328" s="7"/>
      <c r="J328" s="7"/>
      <c r="K328" s="7"/>
      <c r="L328" s="7" t="s">
        <v>264</v>
      </c>
      <c r="M328" s="7"/>
      <c r="N328" s="7" t="s">
        <v>1268</v>
      </c>
    </row>
    <row r="329" spans="1:14" x14ac:dyDescent="0.25">
      <c r="D329" s="1"/>
      <c r="H329" s="1"/>
      <c r="L329" s="1"/>
      <c r="M329" s="1"/>
    </row>
    <row r="330" spans="1:14" x14ac:dyDescent="0.25">
      <c r="D330" s="1"/>
      <c r="H330" s="1"/>
      <c r="L330" s="1"/>
      <c r="M330" s="1"/>
    </row>
    <row r="331" spans="1:14" x14ac:dyDescent="0.25">
      <c r="D331" s="1"/>
      <c r="H331" s="1"/>
      <c r="L331" s="1"/>
      <c r="M331" s="1"/>
    </row>
    <row r="332" spans="1:14" x14ac:dyDescent="0.25">
      <c r="D332" s="1"/>
      <c r="H332" s="1"/>
      <c r="L332" s="1"/>
      <c r="M332" s="1"/>
    </row>
    <row r="333" spans="1:14" x14ac:dyDescent="0.25">
      <c r="D333" s="1"/>
      <c r="H333" s="1"/>
      <c r="L333" s="1"/>
      <c r="M333" s="1"/>
    </row>
    <row r="334" spans="1:14" x14ac:dyDescent="0.25">
      <c r="D334" s="1"/>
      <c r="H334" s="1"/>
      <c r="L334" s="1"/>
      <c r="M334" s="1"/>
    </row>
    <row r="335" spans="1:14" x14ac:dyDescent="0.25">
      <c r="D335" s="1"/>
      <c r="H335" s="1"/>
      <c r="L335" s="1"/>
      <c r="M335" s="1"/>
    </row>
    <row r="336" spans="1:14" x14ac:dyDescent="0.25">
      <c r="D336" s="1"/>
      <c r="H336" s="1"/>
      <c r="L336" s="1"/>
      <c r="M336" s="1"/>
    </row>
    <row r="337" spans="4:13" x14ac:dyDescent="0.25">
      <c r="D337" s="1"/>
      <c r="H337" s="1"/>
      <c r="L337" s="1"/>
      <c r="M337" s="1"/>
    </row>
    <row r="338" spans="4:13" x14ac:dyDescent="0.25">
      <c r="D338" s="1"/>
      <c r="H338" s="1"/>
      <c r="L338" s="1"/>
      <c r="M338" s="1"/>
    </row>
    <row r="339" spans="4:13" x14ac:dyDescent="0.25">
      <c r="D339" s="1"/>
      <c r="H339" s="1"/>
      <c r="L339" s="1"/>
      <c r="M339" s="1"/>
    </row>
    <row r="340" spans="4:13" x14ac:dyDescent="0.25">
      <c r="D340" s="1"/>
      <c r="H340" s="1"/>
      <c r="L340" s="1"/>
      <c r="M340" s="1"/>
    </row>
    <row r="341" spans="4:13" x14ac:dyDescent="0.25">
      <c r="D341" s="1"/>
      <c r="H341" s="1"/>
      <c r="L341" s="1"/>
      <c r="M341" s="1"/>
    </row>
    <row r="342" spans="4:13" x14ac:dyDescent="0.25">
      <c r="D342" s="1"/>
      <c r="H342" s="1"/>
      <c r="L342" s="1"/>
      <c r="M342" s="1"/>
    </row>
    <row r="343" spans="4:13" x14ac:dyDescent="0.25">
      <c r="D343" s="1"/>
      <c r="H343" s="1"/>
      <c r="L343" s="1"/>
      <c r="M343" s="1"/>
    </row>
    <row r="344" spans="4:13" x14ac:dyDescent="0.25">
      <c r="D344" s="1"/>
      <c r="H344" s="1"/>
      <c r="L344" s="1"/>
      <c r="M344" s="1"/>
    </row>
    <row r="345" spans="4:13" x14ac:dyDescent="0.25">
      <c r="D345" s="1"/>
      <c r="H345" s="1"/>
      <c r="L345" s="1"/>
      <c r="M345" s="1"/>
    </row>
    <row r="346" spans="4:13" x14ac:dyDescent="0.25">
      <c r="D346" s="1"/>
      <c r="H346" s="1"/>
      <c r="L346" s="1"/>
      <c r="M346" s="1"/>
    </row>
    <row r="347" spans="4:13" x14ac:dyDescent="0.25">
      <c r="D347" s="1"/>
      <c r="H347" s="1"/>
      <c r="L347" s="1"/>
      <c r="M347" s="1"/>
    </row>
    <row r="348" spans="4:13" x14ac:dyDescent="0.25">
      <c r="D348" s="1"/>
      <c r="H348" s="1"/>
      <c r="L348" s="1"/>
      <c r="M348" s="1"/>
    </row>
    <row r="349" spans="4:13" x14ac:dyDescent="0.25">
      <c r="D349" s="1"/>
      <c r="H349" s="1"/>
      <c r="L349" s="1"/>
      <c r="M349" s="1"/>
    </row>
    <row r="350" spans="4:13" x14ac:dyDescent="0.25">
      <c r="D350" s="1"/>
      <c r="H350" s="1"/>
      <c r="L350" s="1"/>
      <c r="M350" s="1"/>
    </row>
    <row r="351" spans="4:13" x14ac:dyDescent="0.25">
      <c r="D351" s="1"/>
      <c r="H351" s="1"/>
      <c r="L351" s="1"/>
      <c r="M351" s="1"/>
    </row>
    <row r="352" spans="4:13" x14ac:dyDescent="0.25">
      <c r="D352" s="1"/>
      <c r="H352" s="1"/>
      <c r="L352" s="1"/>
      <c r="M352" s="1"/>
    </row>
    <row r="353" spans="4:13" x14ac:dyDescent="0.25">
      <c r="D353" s="1"/>
      <c r="H353" s="1"/>
      <c r="L353" s="1"/>
      <c r="M353" s="1"/>
    </row>
    <row r="354" spans="4:13" x14ac:dyDescent="0.25">
      <c r="D354" s="1"/>
      <c r="H354" s="1"/>
      <c r="L354" s="1"/>
      <c r="M354" s="1"/>
    </row>
    <row r="355" spans="4:13" x14ac:dyDescent="0.25">
      <c r="D355" s="1"/>
      <c r="H355" s="1"/>
      <c r="L355" s="1"/>
      <c r="M355" s="1"/>
    </row>
    <row r="356" spans="4:13" x14ac:dyDescent="0.25">
      <c r="D356" s="1"/>
      <c r="H356" s="1"/>
      <c r="L356" s="1"/>
      <c r="M356" s="1"/>
    </row>
    <row r="357" spans="4:13" x14ac:dyDescent="0.25">
      <c r="D357" s="1"/>
      <c r="H357" s="1"/>
      <c r="L357" s="1"/>
      <c r="M357" s="1"/>
    </row>
    <row r="358" spans="4:13" x14ac:dyDescent="0.25">
      <c r="D358" s="1"/>
      <c r="H358" s="1"/>
      <c r="L358" s="1"/>
      <c r="M358" s="1"/>
    </row>
    <row r="359" spans="4:13" x14ac:dyDescent="0.25">
      <c r="D359" s="1"/>
      <c r="H359" s="1"/>
      <c r="L359" s="1"/>
      <c r="M359" s="1"/>
    </row>
    <row r="360" spans="4:13" x14ac:dyDescent="0.25">
      <c r="D360" s="1"/>
      <c r="H360" s="1"/>
      <c r="L360" s="1"/>
      <c r="M360" s="1"/>
    </row>
    <row r="361" spans="4:13" x14ac:dyDescent="0.25">
      <c r="D361" s="1"/>
      <c r="H361" s="1"/>
      <c r="L361" s="1"/>
      <c r="M361" s="1"/>
    </row>
    <row r="362" spans="4:13" x14ac:dyDescent="0.25">
      <c r="D362" s="1"/>
      <c r="H362" s="1"/>
      <c r="L362" s="1"/>
      <c r="M362" s="1"/>
    </row>
    <row r="363" spans="4:13" x14ac:dyDescent="0.25">
      <c r="D363" s="1"/>
      <c r="H363" s="1"/>
      <c r="L363" s="1"/>
      <c r="M363" s="1"/>
    </row>
    <row r="364" spans="4:13" x14ac:dyDescent="0.25">
      <c r="D364" s="1"/>
      <c r="H364" s="1"/>
      <c r="L364" s="1"/>
      <c r="M364" s="1"/>
    </row>
    <row r="365" spans="4:13" x14ac:dyDescent="0.25">
      <c r="D365" s="1"/>
      <c r="H365" s="1"/>
      <c r="L365" s="1"/>
      <c r="M365" s="1"/>
    </row>
    <row r="366" spans="4:13" x14ac:dyDescent="0.25">
      <c r="D366" s="1"/>
      <c r="H366" s="1"/>
      <c r="L366" s="1"/>
      <c r="M366" s="1"/>
    </row>
    <row r="367" spans="4:13" x14ac:dyDescent="0.25">
      <c r="D367" s="1"/>
      <c r="H367" s="1"/>
      <c r="L367" s="1"/>
      <c r="M367" s="1"/>
    </row>
    <row r="368" spans="4:13" x14ac:dyDescent="0.25">
      <c r="D368" s="1"/>
      <c r="H368" s="1"/>
      <c r="L368" s="1"/>
      <c r="M368" s="1"/>
    </row>
    <row r="369" spans="4:13" x14ac:dyDescent="0.25">
      <c r="D369" s="1"/>
      <c r="H369" s="1"/>
      <c r="L369" s="1"/>
      <c r="M369" s="1"/>
    </row>
    <row r="370" spans="4:13" x14ac:dyDescent="0.25">
      <c r="D370" s="1"/>
      <c r="H370" s="1"/>
      <c r="L370" s="1"/>
      <c r="M370" s="1"/>
    </row>
    <row r="371" spans="4:13" x14ac:dyDescent="0.25">
      <c r="D371" s="1"/>
      <c r="H371" s="1"/>
      <c r="L371" s="1"/>
      <c r="M371" s="1"/>
    </row>
    <row r="372" spans="4:13" x14ac:dyDescent="0.25">
      <c r="D372" s="1"/>
      <c r="H372" s="1"/>
      <c r="L372" s="1"/>
      <c r="M372" s="1"/>
    </row>
    <row r="373" spans="4:13" x14ac:dyDescent="0.25">
      <c r="D373" s="1"/>
      <c r="H373" s="1"/>
      <c r="L373" s="1"/>
      <c r="M373" s="1"/>
    </row>
    <row r="374" spans="4:13" x14ac:dyDescent="0.25">
      <c r="D374" s="1"/>
      <c r="H374" s="1"/>
      <c r="L374" s="1"/>
      <c r="M374" s="1"/>
    </row>
    <row r="375" spans="4:13" x14ac:dyDescent="0.25">
      <c r="D375" s="1"/>
      <c r="H375" s="1"/>
      <c r="L375" s="1"/>
      <c r="M375" s="1"/>
    </row>
    <row r="376" spans="4:13" x14ac:dyDescent="0.25">
      <c r="D376" s="1"/>
      <c r="H376" s="1"/>
      <c r="L376" s="1"/>
      <c r="M376" s="1"/>
    </row>
    <row r="377" spans="4:13" x14ac:dyDescent="0.25">
      <c r="D377" s="1"/>
      <c r="H377" s="1"/>
      <c r="L377" s="1"/>
      <c r="M377" s="1"/>
    </row>
    <row r="378" spans="4:13" x14ac:dyDescent="0.25">
      <c r="D378" s="1"/>
      <c r="H378" s="1"/>
      <c r="L378" s="1"/>
      <c r="M378" s="1"/>
    </row>
    <row r="379" spans="4:13" x14ac:dyDescent="0.25">
      <c r="D379" s="1"/>
      <c r="H379" s="1"/>
      <c r="L379" s="1"/>
      <c r="M379" s="1"/>
    </row>
    <row r="380" spans="4:13" x14ac:dyDescent="0.25">
      <c r="D380" s="1"/>
      <c r="H380" s="1"/>
      <c r="L380" s="1"/>
      <c r="M380" s="1"/>
    </row>
    <row r="381" spans="4:13" x14ac:dyDescent="0.25">
      <c r="D381" s="1"/>
      <c r="H381" s="1"/>
      <c r="L381" s="1"/>
      <c r="M381" s="1"/>
    </row>
    <row r="382" spans="4:13" x14ac:dyDescent="0.25">
      <c r="D382" s="1"/>
      <c r="H382" s="1"/>
      <c r="L382" s="1"/>
      <c r="M382" s="1"/>
    </row>
    <row r="383" spans="4:13" x14ac:dyDescent="0.25">
      <c r="D383" s="1"/>
      <c r="H383" s="1"/>
      <c r="L383" s="1"/>
      <c r="M383" s="1"/>
    </row>
    <row r="384" spans="4:13" x14ac:dyDescent="0.25">
      <c r="D384" s="1"/>
      <c r="H384" s="1"/>
      <c r="L384" s="1"/>
      <c r="M384" s="1"/>
    </row>
    <row r="385" spans="4:13" x14ac:dyDescent="0.25">
      <c r="D385" s="1"/>
      <c r="H385" s="1"/>
      <c r="L385" s="1"/>
      <c r="M385" s="1"/>
    </row>
    <row r="386" spans="4:13" x14ac:dyDescent="0.25">
      <c r="D386" s="1"/>
      <c r="H386" s="1"/>
      <c r="L386" s="1"/>
      <c r="M386" s="1"/>
    </row>
    <row r="387" spans="4:13" x14ac:dyDescent="0.25">
      <c r="D387" s="1"/>
      <c r="H387" s="1"/>
      <c r="L387" s="1"/>
      <c r="M387" s="1"/>
    </row>
    <row r="388" spans="4:13" x14ac:dyDescent="0.25">
      <c r="D388" s="1"/>
      <c r="H388" s="1"/>
      <c r="L388" s="1"/>
      <c r="M388" s="1"/>
    </row>
    <row r="389" spans="4:13" x14ac:dyDescent="0.25">
      <c r="D389" s="1"/>
      <c r="H389" s="1"/>
      <c r="L389" s="1"/>
      <c r="M389" s="1"/>
    </row>
    <row r="390" spans="4:13" x14ac:dyDescent="0.25">
      <c r="D390" s="1"/>
      <c r="H390" s="1"/>
      <c r="L390" s="1"/>
      <c r="M390" s="1"/>
    </row>
    <row r="391" spans="4:13" x14ac:dyDescent="0.25">
      <c r="D391" s="1"/>
      <c r="H391" s="1"/>
      <c r="L391" s="1"/>
      <c r="M391" s="1"/>
    </row>
    <row r="392" spans="4:13" x14ac:dyDescent="0.25">
      <c r="D392" s="1"/>
      <c r="H392" s="1"/>
      <c r="L392" s="1"/>
      <c r="M392" s="1"/>
    </row>
    <row r="393" spans="4:13" x14ac:dyDescent="0.25">
      <c r="D393" s="1"/>
      <c r="H393" s="1"/>
      <c r="L393" s="1"/>
      <c r="M393" s="1"/>
    </row>
    <row r="394" spans="4:13" x14ac:dyDescent="0.25">
      <c r="D394" s="1"/>
      <c r="H394" s="1"/>
      <c r="L394" s="1"/>
      <c r="M394" s="1"/>
    </row>
    <row r="395" spans="4:13" x14ac:dyDescent="0.25">
      <c r="D395" s="1"/>
      <c r="H395" s="1"/>
      <c r="L395" s="1"/>
      <c r="M395" s="1"/>
    </row>
    <row r="396" spans="4:13" x14ac:dyDescent="0.25">
      <c r="D396" s="1"/>
      <c r="H396" s="1"/>
      <c r="L396" s="1"/>
      <c r="M396" s="1"/>
    </row>
    <row r="397" spans="4:13" x14ac:dyDescent="0.25">
      <c r="D397" s="1"/>
      <c r="H397" s="1"/>
      <c r="L397" s="1"/>
      <c r="M397" s="1"/>
    </row>
    <row r="398" spans="4:13" x14ac:dyDescent="0.25">
      <c r="D398" s="1"/>
      <c r="H398" s="1"/>
      <c r="L398" s="1"/>
      <c r="M398" s="1"/>
    </row>
    <row r="399" spans="4:13" x14ac:dyDescent="0.25">
      <c r="D399" s="1"/>
      <c r="H399" s="1"/>
      <c r="L399" s="1"/>
      <c r="M399" s="1"/>
    </row>
  </sheetData>
  <phoneticPr fontId="1"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4">
        <x14:dataValidation type="list" showErrorMessage="1" xr:uid="{31C10C8B-65EA-4186-93C3-72631515D9D1}">
          <x14:formula1>
            <xm:f>'99_Lookups'!$E$2:$E$5</xm:f>
          </x14:formula1>
          <xm:sqref>H2:H169 H171:H399</xm:sqref>
        </x14:dataValidation>
        <x14:dataValidation type="list" allowBlank="1" showErrorMessage="1" xr:uid="{F0DF3AB8-550D-44D1-B78C-E8336B4B7512}">
          <x14:formula1>
            <xm:f>'99_Lookups'!$G$2:$G$4</xm:f>
          </x14:formula1>
          <xm:sqref>L2:L328</xm:sqref>
        </x14:dataValidation>
        <x14:dataValidation type="list" showErrorMessage="1" xr:uid="{174E97D9-B9C1-4C33-B850-E9E52034ADA7}">
          <x14:formula1>
            <xm:f>'99_Lookups'!$I$2:$I$7</xm:f>
          </x14:formula1>
          <xm:sqref>M2:M328</xm:sqref>
        </x14:dataValidation>
        <x14:dataValidation type="list" showErrorMessage="1" xr:uid="{B6596F59-00A4-43BA-9FAC-3D025169D61C}">
          <x14:formula1>
            <xm:f>'99_Lookups'!$C$2:$C$11</xm:f>
          </x14:formula1>
          <xm:sqref>D2:D328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E7CFA-497D-4A02-AFA5-EBE095ABECD9}">
  <sheetPr>
    <tabColor rgb="FFFFFF00"/>
  </sheetPr>
  <dimension ref="A1:H19"/>
  <sheetViews>
    <sheetView topLeftCell="D1" workbookViewId="0">
      <selection activeCell="D19" sqref="D19"/>
    </sheetView>
  </sheetViews>
  <sheetFormatPr baseColWidth="10" defaultRowHeight="15" x14ac:dyDescent="0.25"/>
  <cols>
    <col min="2" max="2" width="35" customWidth="1"/>
    <col min="3" max="3" width="57" bestFit="1" customWidth="1"/>
    <col min="4" max="4" width="66.42578125" bestFit="1" customWidth="1"/>
    <col min="5" max="5" width="57.42578125" bestFit="1" customWidth="1"/>
    <col min="6" max="6" width="63.7109375" bestFit="1" customWidth="1"/>
    <col min="7" max="7" width="42.42578125" bestFit="1" customWidth="1"/>
    <col min="8" max="8" width="67.5703125" bestFit="1" customWidth="1"/>
  </cols>
  <sheetData>
    <row r="1" spans="1:8" x14ac:dyDescent="0.25">
      <c r="A1" t="s">
        <v>21</v>
      </c>
      <c r="B1" t="s">
        <v>22</v>
      </c>
      <c r="C1" t="s">
        <v>23</v>
      </c>
      <c r="D1" t="s">
        <v>24</v>
      </c>
      <c r="E1" t="s">
        <v>25</v>
      </c>
      <c r="F1" t="s">
        <v>26</v>
      </c>
      <c r="G1" t="s">
        <v>27</v>
      </c>
      <c r="H1" t="s">
        <v>28</v>
      </c>
    </row>
    <row r="2" spans="1:8" x14ac:dyDescent="0.25">
      <c r="A2" t="s">
        <v>53</v>
      </c>
      <c r="B2" t="s">
        <v>54</v>
      </c>
      <c r="C2" t="s">
        <v>55</v>
      </c>
      <c r="D2" t="s">
        <v>56</v>
      </c>
      <c r="E2" t="s">
        <v>57</v>
      </c>
      <c r="F2" t="s">
        <v>58</v>
      </c>
      <c r="G2" t="s">
        <v>59</v>
      </c>
      <c r="H2" t="s">
        <v>60</v>
      </c>
    </row>
    <row r="3" spans="1:8" x14ac:dyDescent="0.25">
      <c r="A3" t="s">
        <v>61</v>
      </c>
      <c r="B3" t="s">
        <v>62</v>
      </c>
      <c r="C3" t="s">
        <v>63</v>
      </c>
      <c r="D3" t="s">
        <v>64</v>
      </c>
      <c r="E3" t="s">
        <v>65</v>
      </c>
      <c r="F3" t="s">
        <v>66</v>
      </c>
      <c r="G3" t="s">
        <v>67</v>
      </c>
      <c r="H3" t="s">
        <v>68</v>
      </c>
    </row>
    <row r="4" spans="1:8" x14ac:dyDescent="0.25">
      <c r="A4" t="s">
        <v>69</v>
      </c>
      <c r="B4" t="s">
        <v>70</v>
      </c>
      <c r="C4" t="s">
        <v>71</v>
      </c>
      <c r="D4" t="s">
        <v>72</v>
      </c>
      <c r="E4" t="s">
        <v>73</v>
      </c>
      <c r="F4" t="s">
        <v>74</v>
      </c>
      <c r="G4" t="s">
        <v>75</v>
      </c>
      <c r="H4" t="s">
        <v>2045</v>
      </c>
    </row>
    <row r="5" spans="1:8" x14ac:dyDescent="0.25">
      <c r="A5" t="s">
        <v>76</v>
      </c>
      <c r="B5" t="s">
        <v>77</v>
      </c>
      <c r="C5" t="s">
        <v>78</v>
      </c>
      <c r="D5" t="s">
        <v>2048</v>
      </c>
      <c r="E5" t="s">
        <v>79</v>
      </c>
      <c r="F5" t="s">
        <v>80</v>
      </c>
      <c r="G5" t="s">
        <v>81</v>
      </c>
      <c r="H5" t="s">
        <v>82</v>
      </c>
    </row>
    <row r="6" spans="1:8" x14ac:dyDescent="0.25">
      <c r="A6" t="s">
        <v>83</v>
      </c>
      <c r="B6" t="s">
        <v>84</v>
      </c>
      <c r="C6" t="s">
        <v>85</v>
      </c>
      <c r="D6" t="s">
        <v>86</v>
      </c>
      <c r="E6" t="s">
        <v>87</v>
      </c>
      <c r="F6" t="s">
        <v>88</v>
      </c>
      <c r="G6" t="s">
        <v>89</v>
      </c>
      <c r="H6" t="s">
        <v>185</v>
      </c>
    </row>
    <row r="7" spans="1:8" x14ac:dyDescent="0.25">
      <c r="A7" t="s">
        <v>90</v>
      </c>
      <c r="B7" t="s">
        <v>91</v>
      </c>
      <c r="C7" t="s">
        <v>92</v>
      </c>
      <c r="D7" t="s">
        <v>93</v>
      </c>
      <c r="E7" t="s">
        <v>94</v>
      </c>
      <c r="F7" t="s">
        <v>95</v>
      </c>
      <c r="G7" t="s">
        <v>96</v>
      </c>
      <c r="H7" t="s">
        <v>97</v>
      </c>
    </row>
    <row r="8" spans="1:8" x14ac:dyDescent="0.25">
      <c r="A8" t="s">
        <v>98</v>
      </c>
      <c r="B8" t="s">
        <v>99</v>
      </c>
      <c r="C8" t="s">
        <v>100</v>
      </c>
      <c r="D8" t="s">
        <v>101</v>
      </c>
      <c r="E8" t="s">
        <v>102</v>
      </c>
      <c r="F8" t="s">
        <v>103</v>
      </c>
      <c r="G8" t="s">
        <v>104</v>
      </c>
      <c r="H8" t="s">
        <v>105</v>
      </c>
    </row>
    <row r="9" spans="1:8" x14ac:dyDescent="0.25">
      <c r="A9" t="s">
        <v>106</v>
      </c>
      <c r="B9" t="s">
        <v>107</v>
      </c>
      <c r="C9" t="s">
        <v>181</v>
      </c>
      <c r="D9" t="s">
        <v>108</v>
      </c>
      <c r="E9" t="s">
        <v>109</v>
      </c>
      <c r="F9" t="s">
        <v>110</v>
      </c>
      <c r="G9" t="s">
        <v>111</v>
      </c>
      <c r="H9" t="s">
        <v>2050</v>
      </c>
    </row>
    <row r="10" spans="1:8" x14ac:dyDescent="0.25">
      <c r="A10" t="s">
        <v>112</v>
      </c>
      <c r="B10" t="s">
        <v>113</v>
      </c>
      <c r="C10" t="s">
        <v>182</v>
      </c>
      <c r="D10" t="s">
        <v>2052</v>
      </c>
      <c r="E10" t="s">
        <v>114</v>
      </c>
      <c r="F10" t="s">
        <v>115</v>
      </c>
      <c r="G10" t="s">
        <v>116</v>
      </c>
      <c r="H10" t="s">
        <v>117</v>
      </c>
    </row>
    <row r="11" spans="1:8" x14ac:dyDescent="0.25">
      <c r="A11" t="s">
        <v>118</v>
      </c>
      <c r="B11" t="s">
        <v>119</v>
      </c>
      <c r="C11" t="s">
        <v>183</v>
      </c>
      <c r="D11" t="s">
        <v>120</v>
      </c>
      <c r="E11" t="s">
        <v>121</v>
      </c>
      <c r="F11" t="s">
        <v>122</v>
      </c>
      <c r="G11" t="s">
        <v>123</v>
      </c>
      <c r="H11" t="s">
        <v>124</v>
      </c>
    </row>
    <row r="12" spans="1:8" x14ac:dyDescent="0.25">
      <c r="A12" t="s">
        <v>125</v>
      </c>
      <c r="B12" t="s">
        <v>126</v>
      </c>
      <c r="C12" t="s">
        <v>127</v>
      </c>
      <c r="D12" t="s">
        <v>128</v>
      </c>
      <c r="E12" t="s">
        <v>2055</v>
      </c>
      <c r="F12" t="s">
        <v>129</v>
      </c>
      <c r="G12" t="s">
        <v>130</v>
      </c>
      <c r="H12" t="s">
        <v>131</v>
      </c>
    </row>
    <row r="13" spans="1:8" x14ac:dyDescent="0.25">
      <c r="A13" t="s">
        <v>132</v>
      </c>
      <c r="B13" t="s">
        <v>133</v>
      </c>
      <c r="C13" t="s">
        <v>134</v>
      </c>
      <c r="D13" t="s">
        <v>135</v>
      </c>
      <c r="E13" t="s">
        <v>136</v>
      </c>
      <c r="F13" t="s">
        <v>137</v>
      </c>
      <c r="G13" t="s">
        <v>138</v>
      </c>
      <c r="H13" t="s">
        <v>139</v>
      </c>
    </row>
    <row r="14" spans="1:8" x14ac:dyDescent="0.25">
      <c r="A14" t="s">
        <v>140</v>
      </c>
      <c r="B14" t="s">
        <v>141</v>
      </c>
      <c r="C14" t="s">
        <v>142</v>
      </c>
      <c r="D14" t="s">
        <v>2057</v>
      </c>
      <c r="E14" t="s">
        <v>143</v>
      </c>
      <c r="F14" t="s">
        <v>144</v>
      </c>
      <c r="G14" t="s">
        <v>145</v>
      </c>
      <c r="H14" t="s">
        <v>146</v>
      </c>
    </row>
    <row r="15" spans="1:8" x14ac:dyDescent="0.25">
      <c r="A15" t="s">
        <v>147</v>
      </c>
      <c r="B15" t="s">
        <v>148</v>
      </c>
      <c r="C15" t="s">
        <v>149</v>
      </c>
      <c r="D15" t="s">
        <v>150</v>
      </c>
      <c r="E15" t="s">
        <v>151</v>
      </c>
      <c r="F15" t="s">
        <v>152</v>
      </c>
      <c r="G15" t="s">
        <v>153</v>
      </c>
      <c r="H15" t="s">
        <v>2059</v>
      </c>
    </row>
    <row r="16" spans="1:8" x14ac:dyDescent="0.25">
      <c r="A16" t="s">
        <v>154</v>
      </c>
      <c r="B16" t="s">
        <v>155</v>
      </c>
      <c r="C16" t="s">
        <v>156</v>
      </c>
      <c r="D16" t="s">
        <v>157</v>
      </c>
      <c r="E16" t="s">
        <v>2061</v>
      </c>
      <c r="F16" t="s">
        <v>158</v>
      </c>
      <c r="G16" t="s">
        <v>159</v>
      </c>
      <c r="H16" t="s">
        <v>160</v>
      </c>
    </row>
    <row r="17" spans="1:8" x14ac:dyDescent="0.25">
      <c r="A17" t="s">
        <v>161</v>
      </c>
      <c r="B17" t="s">
        <v>162</v>
      </c>
      <c r="C17" t="s">
        <v>184</v>
      </c>
      <c r="D17" t="s">
        <v>2063</v>
      </c>
      <c r="E17" t="s">
        <v>2065</v>
      </c>
      <c r="F17" t="s">
        <v>163</v>
      </c>
      <c r="G17" t="s">
        <v>164</v>
      </c>
      <c r="H17" t="s">
        <v>165</v>
      </c>
    </row>
    <row r="18" spans="1:8" x14ac:dyDescent="0.25">
      <c r="A18" t="s">
        <v>166</v>
      </c>
      <c r="B18" t="s">
        <v>167</v>
      </c>
      <c r="C18" t="s">
        <v>168</v>
      </c>
      <c r="D18" t="s">
        <v>169</v>
      </c>
      <c r="E18" t="s">
        <v>170</v>
      </c>
      <c r="F18" t="s">
        <v>171</v>
      </c>
      <c r="G18" t="s">
        <v>172</v>
      </c>
      <c r="H18" t="s">
        <v>173</v>
      </c>
    </row>
    <row r="19" spans="1:8" x14ac:dyDescent="0.25">
      <c r="A19" t="s">
        <v>174</v>
      </c>
      <c r="B19" t="s">
        <v>175</v>
      </c>
      <c r="C19" t="s">
        <v>176</v>
      </c>
      <c r="D19" t="s">
        <v>2067</v>
      </c>
      <c r="E19" t="s">
        <v>177</v>
      </c>
      <c r="F19" t="s">
        <v>178</v>
      </c>
      <c r="G19" t="s">
        <v>179</v>
      </c>
      <c r="H19" t="s">
        <v>180</v>
      </c>
    </row>
  </sheetData>
  <phoneticPr fontId="1" type="noConversion"/>
  <pageMargins left="0.7" right="0.7" top="0.78740157499999996" bottom="0.78740157499999996"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037E3-73D4-4E02-8725-EE256F58C681}">
  <sheetPr>
    <tabColor rgb="FFFFFF00"/>
  </sheetPr>
  <dimension ref="A1:H8"/>
  <sheetViews>
    <sheetView workbookViewId="0">
      <selection activeCell="D33" sqref="D33"/>
    </sheetView>
  </sheetViews>
  <sheetFormatPr baseColWidth="10" defaultRowHeight="15" x14ac:dyDescent="0.25"/>
  <cols>
    <col min="1" max="1" width="12.42578125" customWidth="1"/>
    <col min="2" max="2" width="16.85546875" bestFit="1" customWidth="1"/>
    <col min="3" max="3" width="34.7109375" bestFit="1" customWidth="1"/>
    <col min="4" max="4" width="54.7109375" bestFit="1" customWidth="1"/>
    <col min="5" max="5" width="63.28515625" customWidth="1"/>
    <col min="6" max="6" width="92.28515625" customWidth="1"/>
    <col min="7" max="7" width="56.5703125" bestFit="1" customWidth="1"/>
    <col min="8" max="8" width="67.28515625" bestFit="1" customWidth="1"/>
  </cols>
  <sheetData>
    <row r="1" spans="1:8" x14ac:dyDescent="0.25">
      <c r="A1" t="s">
        <v>37</v>
      </c>
      <c r="B1" t="s">
        <v>38</v>
      </c>
      <c r="C1" t="s">
        <v>39</v>
      </c>
      <c r="D1" t="s">
        <v>40</v>
      </c>
      <c r="E1" t="s">
        <v>41</v>
      </c>
      <c r="F1" t="s">
        <v>42</v>
      </c>
      <c r="G1" t="s">
        <v>43</v>
      </c>
      <c r="H1" t="s">
        <v>44</v>
      </c>
    </row>
    <row r="2" spans="1:8" x14ac:dyDescent="0.25">
      <c r="A2" t="s">
        <v>186</v>
      </c>
      <c r="B2" t="s">
        <v>187</v>
      </c>
      <c r="C2" t="s">
        <v>188</v>
      </c>
      <c r="D2" t="s">
        <v>2070</v>
      </c>
      <c r="E2" t="s">
        <v>227</v>
      </c>
      <c r="F2" t="s">
        <v>189</v>
      </c>
      <c r="G2" t="s">
        <v>190</v>
      </c>
      <c r="H2" t="s">
        <v>191</v>
      </c>
    </row>
    <row r="3" spans="1:8" x14ac:dyDescent="0.25">
      <c r="A3" t="s">
        <v>192</v>
      </c>
      <c r="B3" t="s">
        <v>193</v>
      </c>
      <c r="C3" t="s">
        <v>194</v>
      </c>
      <c r="D3" t="s">
        <v>195</v>
      </c>
      <c r="E3" t="s">
        <v>228</v>
      </c>
      <c r="F3" t="s">
        <v>230</v>
      </c>
      <c r="G3" t="s">
        <v>196</v>
      </c>
      <c r="H3" t="s">
        <v>197</v>
      </c>
    </row>
    <row r="4" spans="1:8" x14ac:dyDescent="0.25">
      <c r="A4" t="s">
        <v>198</v>
      </c>
      <c r="B4" t="s">
        <v>199</v>
      </c>
      <c r="C4" t="s">
        <v>200</v>
      </c>
      <c r="D4" t="s">
        <v>201</v>
      </c>
      <c r="E4" t="s">
        <v>2073</v>
      </c>
      <c r="F4" t="s">
        <v>202</v>
      </c>
      <c r="G4" t="s">
        <v>2076</v>
      </c>
      <c r="H4" t="s">
        <v>203</v>
      </c>
    </row>
    <row r="5" spans="1:8" x14ac:dyDescent="0.25">
      <c r="A5" t="s">
        <v>204</v>
      </c>
      <c r="B5" t="s">
        <v>205</v>
      </c>
      <c r="C5" t="s">
        <v>206</v>
      </c>
      <c r="D5" t="s">
        <v>2078</v>
      </c>
      <c r="E5" t="s">
        <v>229</v>
      </c>
      <c r="F5" t="s">
        <v>207</v>
      </c>
      <c r="G5" t="s">
        <v>208</v>
      </c>
      <c r="H5" t="s">
        <v>209</v>
      </c>
    </row>
    <row r="6" spans="1:8" x14ac:dyDescent="0.25">
      <c r="A6" t="s">
        <v>210</v>
      </c>
      <c r="B6" t="s">
        <v>211</v>
      </c>
      <c r="C6" t="s">
        <v>212</v>
      </c>
      <c r="D6" t="s">
        <v>2081</v>
      </c>
      <c r="E6" t="s">
        <v>231</v>
      </c>
      <c r="F6" t="s">
        <v>232</v>
      </c>
      <c r="G6" t="s">
        <v>213</v>
      </c>
      <c r="H6" t="s">
        <v>214</v>
      </c>
    </row>
    <row r="7" spans="1:8" x14ac:dyDescent="0.25">
      <c r="A7" t="s">
        <v>215</v>
      </c>
      <c r="B7" t="s">
        <v>216</v>
      </c>
      <c r="C7" t="s">
        <v>217</v>
      </c>
      <c r="D7" t="s">
        <v>218</v>
      </c>
      <c r="E7" t="s">
        <v>233</v>
      </c>
      <c r="F7" t="s">
        <v>219</v>
      </c>
      <c r="G7" t="s">
        <v>234</v>
      </c>
      <c r="H7" t="s">
        <v>220</v>
      </c>
    </row>
    <row r="8" spans="1:8" x14ac:dyDescent="0.25">
      <c r="A8" t="s">
        <v>221</v>
      </c>
      <c r="B8" t="s">
        <v>222</v>
      </c>
      <c r="C8" t="s">
        <v>223</v>
      </c>
      <c r="D8" t="s">
        <v>2083</v>
      </c>
      <c r="E8" t="s">
        <v>235</v>
      </c>
      <c r="F8" t="s">
        <v>224</v>
      </c>
      <c r="G8" t="s">
        <v>225</v>
      </c>
      <c r="H8" t="s">
        <v>226</v>
      </c>
    </row>
  </sheetData>
  <phoneticPr fontId="1" type="noConversion"/>
  <pageMargins left="0.7" right="0.7" top="0.78740157499999996" bottom="0.78740157499999996"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8110B-DFC0-490E-8BF5-D5903B072EA5}">
  <sheetPr>
    <tabColor theme="6"/>
  </sheetPr>
  <dimension ref="A1:K800"/>
  <sheetViews>
    <sheetView topLeftCell="C736" workbookViewId="0">
      <selection activeCell="R768" sqref="R768"/>
    </sheetView>
  </sheetViews>
  <sheetFormatPr baseColWidth="10" defaultRowHeight="15" x14ac:dyDescent="0.25"/>
  <cols>
    <col min="1" max="1" width="13.85546875" customWidth="1"/>
    <col min="4" max="4" width="16.85546875" customWidth="1"/>
    <col min="5" max="5" width="18" customWidth="1"/>
    <col min="6" max="6" width="21.28515625" customWidth="1"/>
    <col min="7" max="7" width="16.7109375" customWidth="1"/>
    <col min="8" max="8" width="19" customWidth="1"/>
    <col min="9" max="9" width="18.7109375" customWidth="1"/>
    <col min="11" max="11" width="14.5703125" customWidth="1"/>
  </cols>
  <sheetData>
    <row r="1" spans="1:11" ht="15.75" thickBot="1" x14ac:dyDescent="0.3">
      <c r="A1" t="s">
        <v>0</v>
      </c>
      <c r="B1" t="s">
        <v>8</v>
      </c>
      <c r="C1" t="s">
        <v>21</v>
      </c>
      <c r="D1" t="s">
        <v>29</v>
      </c>
      <c r="E1" t="s">
        <v>30</v>
      </c>
      <c r="F1" t="s">
        <v>31</v>
      </c>
      <c r="G1" t="s">
        <v>32</v>
      </c>
      <c r="H1" t="s">
        <v>33</v>
      </c>
      <c r="I1" t="s">
        <v>34</v>
      </c>
      <c r="J1" t="s">
        <v>35</v>
      </c>
      <c r="K1" t="s">
        <v>36</v>
      </c>
    </row>
    <row r="2" spans="1:11" x14ac:dyDescent="0.25">
      <c r="A2" s="18">
        <v>2</v>
      </c>
      <c r="B2" s="19">
        <v>8</v>
      </c>
      <c r="C2" s="19" t="s">
        <v>53</v>
      </c>
      <c r="D2" s="20">
        <v>1</v>
      </c>
      <c r="E2" s="21">
        <v>1</v>
      </c>
      <c r="F2" t="s">
        <v>2171</v>
      </c>
      <c r="G2" s="22" t="s">
        <v>2170</v>
      </c>
      <c r="H2" s="22" t="s">
        <v>2169</v>
      </c>
      <c r="I2" s="21" t="s">
        <v>1456</v>
      </c>
      <c r="J2" s="22" t="s">
        <v>2151</v>
      </c>
      <c r="K2" s="23">
        <f>Tabelle5[[#This Row],[value_present]]*Tabelle5[[#This Row],[binding_level]]</f>
        <v>1</v>
      </c>
    </row>
    <row r="3" spans="1:11" x14ac:dyDescent="0.25">
      <c r="A3" s="24">
        <v>2</v>
      </c>
      <c r="B3" s="2">
        <v>8</v>
      </c>
      <c r="C3" s="2" t="s">
        <v>61</v>
      </c>
      <c r="D3" s="3">
        <v>1</v>
      </c>
      <c r="E3" s="1">
        <v>1</v>
      </c>
      <c r="F3" t="s">
        <v>2173</v>
      </c>
      <c r="G3" t="s">
        <v>2172</v>
      </c>
      <c r="H3" t="s">
        <v>2169</v>
      </c>
      <c r="I3" s="1" t="s">
        <v>1456</v>
      </c>
      <c r="J3" t="s">
        <v>2152</v>
      </c>
      <c r="K3" s="25">
        <f>Tabelle5[[#This Row],[value_present]]*Tabelle5[[#This Row],[binding_level]]</f>
        <v>1</v>
      </c>
    </row>
    <row r="4" spans="1:11" x14ac:dyDescent="0.25">
      <c r="A4" s="24">
        <v>2</v>
      </c>
      <c r="B4" s="2">
        <v>8</v>
      </c>
      <c r="C4" s="2" t="s">
        <v>69</v>
      </c>
      <c r="D4" s="3">
        <v>1</v>
      </c>
      <c r="E4" s="1">
        <v>1</v>
      </c>
      <c r="F4" t="s">
        <v>2175</v>
      </c>
      <c r="G4" t="s">
        <v>2174</v>
      </c>
      <c r="H4" t="s">
        <v>2169</v>
      </c>
      <c r="I4" s="1" t="s">
        <v>1456</v>
      </c>
      <c r="J4" t="s">
        <v>2153</v>
      </c>
      <c r="K4" s="25">
        <f>Tabelle5[[#This Row],[value_present]]*Tabelle5[[#This Row],[binding_level]]</f>
        <v>1</v>
      </c>
    </row>
    <row r="5" spans="1:11" x14ac:dyDescent="0.25">
      <c r="A5" s="24">
        <v>2</v>
      </c>
      <c r="B5" s="2">
        <v>8</v>
      </c>
      <c r="C5" s="2" t="s">
        <v>76</v>
      </c>
      <c r="D5" s="3">
        <v>1</v>
      </c>
      <c r="E5" s="1">
        <v>1</v>
      </c>
      <c r="F5" t="s">
        <v>2175</v>
      </c>
      <c r="G5" t="s">
        <v>2174</v>
      </c>
      <c r="H5" t="s">
        <v>2169</v>
      </c>
      <c r="I5" s="1" t="s">
        <v>1456</v>
      </c>
      <c r="J5" t="s">
        <v>2154</v>
      </c>
      <c r="K5" s="25">
        <f>Tabelle5[[#This Row],[value_present]]*Tabelle5[[#This Row],[binding_level]]</f>
        <v>1</v>
      </c>
    </row>
    <row r="6" spans="1:11" x14ac:dyDescent="0.25">
      <c r="A6" s="24">
        <v>2</v>
      </c>
      <c r="B6" s="2">
        <v>8</v>
      </c>
      <c r="C6" s="2" t="s">
        <v>83</v>
      </c>
      <c r="D6" s="3">
        <v>1</v>
      </c>
      <c r="E6" s="1">
        <v>1</v>
      </c>
      <c r="F6" t="s">
        <v>2177</v>
      </c>
      <c r="G6" t="s">
        <v>2176</v>
      </c>
      <c r="H6" t="s">
        <v>2169</v>
      </c>
      <c r="I6" s="1" t="s">
        <v>1456</v>
      </c>
      <c r="J6" t="s">
        <v>2155</v>
      </c>
      <c r="K6" s="25">
        <f>Tabelle5[[#This Row],[value_present]]*Tabelle5[[#This Row],[binding_level]]</f>
        <v>1</v>
      </c>
    </row>
    <row r="7" spans="1:11" x14ac:dyDescent="0.25">
      <c r="A7" s="24">
        <v>2</v>
      </c>
      <c r="B7" s="2">
        <v>8</v>
      </c>
      <c r="C7" s="2" t="s">
        <v>90</v>
      </c>
      <c r="D7" s="3">
        <v>1</v>
      </c>
      <c r="E7" s="1">
        <v>1</v>
      </c>
      <c r="F7" t="s">
        <v>2179</v>
      </c>
      <c r="G7" t="s">
        <v>2178</v>
      </c>
      <c r="H7" t="s">
        <v>2169</v>
      </c>
      <c r="I7" s="1" t="s">
        <v>1456</v>
      </c>
      <c r="J7" t="s">
        <v>2156</v>
      </c>
      <c r="K7" s="25">
        <f>Tabelle5[[#This Row],[value_present]]*Tabelle5[[#This Row],[binding_level]]</f>
        <v>1</v>
      </c>
    </row>
    <row r="8" spans="1:11" x14ac:dyDescent="0.25">
      <c r="A8" s="24">
        <v>2</v>
      </c>
      <c r="B8" s="2">
        <v>8</v>
      </c>
      <c r="C8" s="2" t="s">
        <v>98</v>
      </c>
      <c r="D8" s="3">
        <v>0</v>
      </c>
      <c r="E8" s="1"/>
      <c r="I8" s="1" t="s">
        <v>1456</v>
      </c>
      <c r="J8" t="s">
        <v>2157</v>
      </c>
      <c r="K8" s="25">
        <f>Tabelle5[[#This Row],[value_present]]*Tabelle5[[#This Row],[binding_level]]</f>
        <v>0</v>
      </c>
    </row>
    <row r="9" spans="1:11" x14ac:dyDescent="0.25">
      <c r="A9" s="24">
        <v>2</v>
      </c>
      <c r="B9" s="2">
        <v>8</v>
      </c>
      <c r="C9" s="2" t="s">
        <v>106</v>
      </c>
      <c r="D9" s="3">
        <v>1</v>
      </c>
      <c r="E9" s="1">
        <v>1</v>
      </c>
      <c r="F9" t="s">
        <v>2181</v>
      </c>
      <c r="G9" t="s">
        <v>2180</v>
      </c>
      <c r="H9" t="s">
        <v>2169</v>
      </c>
      <c r="I9" s="1" t="s">
        <v>1456</v>
      </c>
      <c r="J9" t="s">
        <v>2158</v>
      </c>
      <c r="K9" s="25">
        <f>Tabelle5[[#This Row],[value_present]]*Tabelle5[[#This Row],[binding_level]]</f>
        <v>1</v>
      </c>
    </row>
    <row r="10" spans="1:11" x14ac:dyDescent="0.25">
      <c r="A10" s="24">
        <v>2</v>
      </c>
      <c r="B10" s="2">
        <v>8</v>
      </c>
      <c r="C10" s="2" t="s">
        <v>112</v>
      </c>
      <c r="D10" s="3">
        <v>1</v>
      </c>
      <c r="E10" s="1">
        <v>1</v>
      </c>
      <c r="F10" t="s">
        <v>2183</v>
      </c>
      <c r="G10" t="s">
        <v>2182</v>
      </c>
      <c r="H10" t="s">
        <v>2169</v>
      </c>
      <c r="I10" s="1" t="s">
        <v>1456</v>
      </c>
      <c r="J10" t="s">
        <v>2159</v>
      </c>
      <c r="K10" s="25">
        <f>Tabelle5[[#This Row],[value_present]]*Tabelle5[[#This Row],[binding_level]]</f>
        <v>1</v>
      </c>
    </row>
    <row r="11" spans="1:11" x14ac:dyDescent="0.25">
      <c r="A11" s="24">
        <v>2</v>
      </c>
      <c r="B11" s="2">
        <v>8</v>
      </c>
      <c r="C11" s="2" t="s">
        <v>118</v>
      </c>
      <c r="D11" s="3">
        <v>0</v>
      </c>
      <c r="E11" s="1"/>
      <c r="I11" s="1" t="s">
        <v>1456</v>
      </c>
      <c r="J11" t="s">
        <v>2160</v>
      </c>
      <c r="K11" s="25">
        <f>Tabelle5[[#This Row],[value_present]]*Tabelle5[[#This Row],[binding_level]]</f>
        <v>0</v>
      </c>
    </row>
    <row r="12" spans="1:11" x14ac:dyDescent="0.25">
      <c r="A12" s="24">
        <v>2</v>
      </c>
      <c r="B12" s="2">
        <v>8</v>
      </c>
      <c r="C12" s="2" t="s">
        <v>125</v>
      </c>
      <c r="D12" s="3">
        <v>0</v>
      </c>
      <c r="E12" s="1"/>
      <c r="I12" s="1" t="s">
        <v>1457</v>
      </c>
      <c r="J12" t="s">
        <v>2161</v>
      </c>
      <c r="K12" s="25">
        <f>Tabelle5[[#This Row],[value_present]]*Tabelle5[[#This Row],[binding_level]]</f>
        <v>0</v>
      </c>
    </row>
    <row r="13" spans="1:11" x14ac:dyDescent="0.25">
      <c r="A13" s="24">
        <v>2</v>
      </c>
      <c r="B13" s="2">
        <v>8</v>
      </c>
      <c r="C13" s="2" t="s">
        <v>132</v>
      </c>
      <c r="D13" s="3">
        <v>1</v>
      </c>
      <c r="E13" s="1">
        <v>1</v>
      </c>
      <c r="F13" t="s">
        <v>2186</v>
      </c>
      <c r="G13" t="s">
        <v>2185</v>
      </c>
      <c r="H13" t="s">
        <v>2169</v>
      </c>
      <c r="I13" s="1" t="s">
        <v>1456</v>
      </c>
      <c r="J13" t="s">
        <v>2162</v>
      </c>
      <c r="K13" s="25">
        <f>Tabelle5[[#This Row],[value_present]]*Tabelle5[[#This Row],[binding_level]]</f>
        <v>1</v>
      </c>
    </row>
    <row r="14" spans="1:11" x14ac:dyDescent="0.25">
      <c r="A14" s="24">
        <v>2</v>
      </c>
      <c r="B14" s="2">
        <v>8</v>
      </c>
      <c r="C14" s="2" t="s">
        <v>140</v>
      </c>
      <c r="D14" s="3">
        <v>1</v>
      </c>
      <c r="E14" s="1">
        <v>1</v>
      </c>
      <c r="F14" t="s">
        <v>2187</v>
      </c>
      <c r="G14" t="s">
        <v>2184</v>
      </c>
      <c r="H14" t="s">
        <v>2169</v>
      </c>
      <c r="I14" s="1" t="s">
        <v>1456</v>
      </c>
      <c r="J14" t="s">
        <v>2163</v>
      </c>
      <c r="K14" s="25">
        <f>Tabelle5[[#This Row],[value_present]]*Tabelle5[[#This Row],[binding_level]]</f>
        <v>1</v>
      </c>
    </row>
    <row r="15" spans="1:11" x14ac:dyDescent="0.25">
      <c r="A15" s="24">
        <v>2</v>
      </c>
      <c r="B15" s="2">
        <v>8</v>
      </c>
      <c r="C15" s="2" t="s">
        <v>147</v>
      </c>
      <c r="D15" s="3">
        <v>1</v>
      </c>
      <c r="E15" s="1">
        <v>1</v>
      </c>
      <c r="F15" t="s">
        <v>2189</v>
      </c>
      <c r="G15" t="s">
        <v>2188</v>
      </c>
      <c r="H15" t="s">
        <v>2169</v>
      </c>
      <c r="I15" s="1" t="s">
        <v>1457</v>
      </c>
      <c r="J15" t="s">
        <v>2164</v>
      </c>
      <c r="K15" s="25">
        <f>Tabelle5[[#This Row],[value_present]]*Tabelle5[[#This Row],[binding_level]]</f>
        <v>1</v>
      </c>
    </row>
    <row r="16" spans="1:11" x14ac:dyDescent="0.25">
      <c r="A16" s="24">
        <v>2</v>
      </c>
      <c r="B16" s="2">
        <v>8</v>
      </c>
      <c r="C16" s="2" t="s">
        <v>154</v>
      </c>
      <c r="D16" s="3">
        <v>0</v>
      </c>
      <c r="E16" s="1"/>
      <c r="I16" s="1" t="s">
        <v>1457</v>
      </c>
      <c r="J16" t="s">
        <v>2165</v>
      </c>
      <c r="K16" s="25">
        <f>Tabelle5[[#This Row],[value_present]]*Tabelle5[[#This Row],[binding_level]]</f>
        <v>0</v>
      </c>
    </row>
    <row r="17" spans="1:11" x14ac:dyDescent="0.25">
      <c r="A17" s="24">
        <v>2</v>
      </c>
      <c r="B17" s="2">
        <v>8</v>
      </c>
      <c r="C17" s="2" t="s">
        <v>161</v>
      </c>
      <c r="D17" s="3">
        <v>0</v>
      </c>
      <c r="E17" s="1"/>
      <c r="I17" s="1" t="s">
        <v>1457</v>
      </c>
      <c r="J17" t="s">
        <v>2166</v>
      </c>
      <c r="K17" s="25">
        <f>Tabelle5[[#This Row],[value_present]]*Tabelle5[[#This Row],[binding_level]]</f>
        <v>0</v>
      </c>
    </row>
    <row r="18" spans="1:11" x14ac:dyDescent="0.25">
      <c r="A18" s="24">
        <v>2</v>
      </c>
      <c r="B18" s="2">
        <v>8</v>
      </c>
      <c r="C18" s="2" t="s">
        <v>166</v>
      </c>
      <c r="D18" s="3">
        <v>0</v>
      </c>
      <c r="E18" s="1"/>
      <c r="I18" s="1" t="s">
        <v>1456</v>
      </c>
      <c r="J18" t="s">
        <v>2167</v>
      </c>
      <c r="K18" s="25">
        <f>Tabelle5[[#This Row],[value_present]]*Tabelle5[[#This Row],[binding_level]]</f>
        <v>0</v>
      </c>
    </row>
    <row r="19" spans="1:11" ht="15.75" thickBot="1" x14ac:dyDescent="0.3">
      <c r="A19" s="24">
        <v>2</v>
      </c>
      <c r="B19" s="2">
        <v>8</v>
      </c>
      <c r="C19" s="2" t="s">
        <v>174</v>
      </c>
      <c r="D19" s="3">
        <v>1</v>
      </c>
      <c r="E19" s="1">
        <v>1</v>
      </c>
      <c r="F19" t="s">
        <v>2189</v>
      </c>
      <c r="G19" t="s">
        <v>2188</v>
      </c>
      <c r="H19" t="s">
        <v>2169</v>
      </c>
      <c r="I19" s="1" t="s">
        <v>1456</v>
      </c>
      <c r="J19" t="s">
        <v>2168</v>
      </c>
      <c r="K19" s="25">
        <f>Tabelle5[[#This Row],[value_present]]*Tabelle5[[#This Row],[binding_level]]</f>
        <v>1</v>
      </c>
    </row>
    <row r="20" spans="1:11" x14ac:dyDescent="0.25">
      <c r="A20" s="18">
        <v>2</v>
      </c>
      <c r="B20" s="19">
        <v>9</v>
      </c>
      <c r="C20" s="19" t="s">
        <v>53</v>
      </c>
      <c r="D20" s="20">
        <v>1</v>
      </c>
      <c r="E20" s="21">
        <v>2</v>
      </c>
      <c r="F20" s="22" t="s">
        <v>2237</v>
      </c>
      <c r="G20" s="22" t="s">
        <v>2236</v>
      </c>
      <c r="H20" s="22" t="s">
        <v>2217</v>
      </c>
      <c r="I20" s="21" t="s">
        <v>1457</v>
      </c>
      <c r="J20" s="22" t="s">
        <v>2218</v>
      </c>
      <c r="K20" s="23">
        <f>Tabelle5[[#This Row],[value_present]]*Tabelle5[[#This Row],[binding_level]]</f>
        <v>2</v>
      </c>
    </row>
    <row r="21" spans="1:11" x14ac:dyDescent="0.25">
      <c r="A21" s="24">
        <v>2</v>
      </c>
      <c r="B21" s="2">
        <v>9</v>
      </c>
      <c r="C21" s="2" t="s">
        <v>61</v>
      </c>
      <c r="D21" s="3">
        <v>0</v>
      </c>
      <c r="E21" s="1"/>
      <c r="I21" s="1" t="s">
        <v>1457</v>
      </c>
      <c r="J21" t="s">
        <v>2219</v>
      </c>
      <c r="K21" s="25">
        <f>Tabelle5[[#This Row],[value_present]]*Tabelle5[[#This Row],[binding_level]]</f>
        <v>0</v>
      </c>
    </row>
    <row r="22" spans="1:11" x14ac:dyDescent="0.25">
      <c r="A22" s="24">
        <v>2</v>
      </c>
      <c r="B22" s="2">
        <v>9</v>
      </c>
      <c r="C22" s="2" t="s">
        <v>69</v>
      </c>
      <c r="D22" s="3">
        <v>1</v>
      </c>
      <c r="E22" s="1">
        <v>2</v>
      </c>
      <c r="F22" t="s">
        <v>2239</v>
      </c>
      <c r="G22" t="s">
        <v>2238</v>
      </c>
      <c r="H22" t="s">
        <v>2217</v>
      </c>
      <c r="I22" s="1" t="s">
        <v>1456</v>
      </c>
      <c r="J22" t="s">
        <v>2220</v>
      </c>
      <c r="K22" s="25">
        <f>Tabelle5[[#This Row],[value_present]]*Tabelle5[[#This Row],[binding_level]]</f>
        <v>2</v>
      </c>
    </row>
    <row r="23" spans="1:11" x14ac:dyDescent="0.25">
      <c r="A23" s="24">
        <v>2</v>
      </c>
      <c r="B23" s="2">
        <v>9</v>
      </c>
      <c r="C23" s="2" t="s">
        <v>76</v>
      </c>
      <c r="D23" s="3">
        <v>1</v>
      </c>
      <c r="E23" s="1">
        <v>2</v>
      </c>
      <c r="F23" t="s">
        <v>2239</v>
      </c>
      <c r="G23" t="s">
        <v>2238</v>
      </c>
      <c r="H23" t="s">
        <v>2217</v>
      </c>
      <c r="I23" s="1" t="s">
        <v>1456</v>
      </c>
      <c r="J23" t="s">
        <v>2221</v>
      </c>
      <c r="K23" s="25">
        <f>Tabelle5[[#This Row],[value_present]]*Tabelle5[[#This Row],[binding_level]]</f>
        <v>2</v>
      </c>
    </row>
    <row r="24" spans="1:11" x14ac:dyDescent="0.25">
      <c r="A24" s="24">
        <v>2</v>
      </c>
      <c r="B24" s="2">
        <v>9</v>
      </c>
      <c r="C24" s="2" t="s">
        <v>83</v>
      </c>
      <c r="D24" s="3">
        <v>1</v>
      </c>
      <c r="E24" s="1">
        <v>3</v>
      </c>
      <c r="F24" t="s">
        <v>2241</v>
      </c>
      <c r="G24" t="s">
        <v>2240</v>
      </c>
      <c r="H24" t="s">
        <v>2217</v>
      </c>
      <c r="I24" s="1" t="s">
        <v>1456</v>
      </c>
      <c r="J24" t="s">
        <v>2222</v>
      </c>
      <c r="K24" s="25">
        <f>Tabelle5[[#This Row],[value_present]]*Tabelle5[[#This Row],[binding_level]]</f>
        <v>3</v>
      </c>
    </row>
    <row r="25" spans="1:11" x14ac:dyDescent="0.25">
      <c r="A25" s="24">
        <v>2</v>
      </c>
      <c r="B25" s="2">
        <v>9</v>
      </c>
      <c r="C25" s="2" t="s">
        <v>90</v>
      </c>
      <c r="D25" s="3">
        <v>1</v>
      </c>
      <c r="E25" s="1">
        <v>2</v>
      </c>
      <c r="F25" t="s">
        <v>2245</v>
      </c>
      <c r="G25" t="s">
        <v>2244</v>
      </c>
      <c r="H25" t="s">
        <v>2217</v>
      </c>
      <c r="I25" s="1" t="s">
        <v>1456</v>
      </c>
      <c r="J25" t="s">
        <v>2223</v>
      </c>
      <c r="K25" s="25">
        <f>Tabelle5[[#This Row],[value_present]]*Tabelle5[[#This Row],[binding_level]]</f>
        <v>2</v>
      </c>
    </row>
    <row r="26" spans="1:11" x14ac:dyDescent="0.25">
      <c r="A26" s="24">
        <v>2</v>
      </c>
      <c r="B26" s="2">
        <v>9</v>
      </c>
      <c r="C26" s="2" t="s">
        <v>98</v>
      </c>
      <c r="D26" s="3">
        <v>0</v>
      </c>
      <c r="E26" s="1"/>
      <c r="I26" s="1" t="s">
        <v>1456</v>
      </c>
      <c r="J26" t="s">
        <v>2224</v>
      </c>
      <c r="K26" s="25">
        <f>Tabelle5[[#This Row],[value_present]]*Tabelle5[[#This Row],[binding_level]]</f>
        <v>0</v>
      </c>
    </row>
    <row r="27" spans="1:11" x14ac:dyDescent="0.25">
      <c r="A27" s="24">
        <v>2</v>
      </c>
      <c r="B27" s="2">
        <v>9</v>
      </c>
      <c r="C27" s="2" t="s">
        <v>106</v>
      </c>
      <c r="D27" s="3">
        <v>0</v>
      </c>
      <c r="E27" s="1"/>
      <c r="I27" s="1" t="s">
        <v>1456</v>
      </c>
      <c r="J27" t="s">
        <v>2225</v>
      </c>
      <c r="K27" s="25">
        <f>Tabelle5[[#This Row],[value_present]]*Tabelle5[[#This Row],[binding_level]]</f>
        <v>0</v>
      </c>
    </row>
    <row r="28" spans="1:11" x14ac:dyDescent="0.25">
      <c r="A28" s="24">
        <v>2</v>
      </c>
      <c r="B28" s="2">
        <v>9</v>
      </c>
      <c r="C28" s="2" t="s">
        <v>112</v>
      </c>
      <c r="D28" s="3">
        <v>0</v>
      </c>
      <c r="E28" s="1"/>
      <c r="I28" s="1" t="s">
        <v>1456</v>
      </c>
      <c r="J28" t="s">
        <v>2226</v>
      </c>
      <c r="K28" s="25">
        <f>Tabelle5[[#This Row],[value_present]]*Tabelle5[[#This Row],[binding_level]]</f>
        <v>0</v>
      </c>
    </row>
    <row r="29" spans="1:11" x14ac:dyDescent="0.25">
      <c r="A29" s="24">
        <v>2</v>
      </c>
      <c r="B29" s="2">
        <v>9</v>
      </c>
      <c r="C29" s="2" t="s">
        <v>118</v>
      </c>
      <c r="D29" s="3">
        <v>0</v>
      </c>
      <c r="E29" s="1"/>
      <c r="I29" s="1" t="s">
        <v>1456</v>
      </c>
      <c r="J29" t="s">
        <v>2227</v>
      </c>
      <c r="K29" s="25">
        <f>Tabelle5[[#This Row],[value_present]]*Tabelle5[[#This Row],[binding_level]]</f>
        <v>0</v>
      </c>
    </row>
    <row r="30" spans="1:11" x14ac:dyDescent="0.25">
      <c r="A30" s="24">
        <v>2</v>
      </c>
      <c r="B30" s="2">
        <v>9</v>
      </c>
      <c r="C30" s="2" t="s">
        <v>125</v>
      </c>
      <c r="D30" s="3">
        <v>0</v>
      </c>
      <c r="E30" s="1"/>
      <c r="I30" s="1" t="s">
        <v>1457</v>
      </c>
      <c r="J30" t="s">
        <v>2228</v>
      </c>
      <c r="K30" s="25">
        <f>Tabelle5[[#This Row],[value_present]]*Tabelle5[[#This Row],[binding_level]]</f>
        <v>0</v>
      </c>
    </row>
    <row r="31" spans="1:11" x14ac:dyDescent="0.25">
      <c r="A31" s="24">
        <v>2</v>
      </c>
      <c r="B31" s="2">
        <v>9</v>
      </c>
      <c r="C31" s="2" t="s">
        <v>132</v>
      </c>
      <c r="D31" s="3">
        <v>1</v>
      </c>
      <c r="E31" s="1">
        <v>1</v>
      </c>
      <c r="F31" t="s">
        <v>2247</v>
      </c>
      <c r="G31" t="s">
        <v>2246</v>
      </c>
      <c r="H31" t="s">
        <v>2217</v>
      </c>
      <c r="I31" s="1" t="s">
        <v>1457</v>
      </c>
      <c r="J31" t="s">
        <v>2229</v>
      </c>
      <c r="K31" s="25">
        <f>Tabelle5[[#This Row],[value_present]]*Tabelle5[[#This Row],[binding_level]]</f>
        <v>1</v>
      </c>
    </row>
    <row r="32" spans="1:11" x14ac:dyDescent="0.25">
      <c r="A32" s="24">
        <v>2</v>
      </c>
      <c r="B32" s="2">
        <v>9</v>
      </c>
      <c r="C32" s="2" t="s">
        <v>140</v>
      </c>
      <c r="D32" s="3">
        <v>0</v>
      </c>
      <c r="E32" s="1"/>
      <c r="I32" s="1" t="s">
        <v>1457</v>
      </c>
      <c r="J32" t="s">
        <v>2230</v>
      </c>
      <c r="K32" s="25">
        <f>Tabelle5[[#This Row],[value_present]]*Tabelle5[[#This Row],[binding_level]]</f>
        <v>0</v>
      </c>
    </row>
    <row r="33" spans="1:11" x14ac:dyDescent="0.25">
      <c r="A33" s="24">
        <v>2</v>
      </c>
      <c r="B33" s="2">
        <v>9</v>
      </c>
      <c r="C33" s="2" t="s">
        <v>147</v>
      </c>
      <c r="D33" s="3">
        <v>1</v>
      </c>
      <c r="E33" s="1">
        <v>2</v>
      </c>
      <c r="F33" t="s">
        <v>2249</v>
      </c>
      <c r="G33" t="s">
        <v>2248</v>
      </c>
      <c r="H33" t="s">
        <v>2217</v>
      </c>
      <c r="I33" s="1" t="s">
        <v>1456</v>
      </c>
      <c r="J33" t="s">
        <v>2231</v>
      </c>
      <c r="K33" s="25">
        <f>Tabelle5[[#This Row],[value_present]]*Tabelle5[[#This Row],[binding_level]]</f>
        <v>2</v>
      </c>
    </row>
    <row r="34" spans="1:11" x14ac:dyDescent="0.25">
      <c r="A34" s="24">
        <v>2</v>
      </c>
      <c r="B34" s="2">
        <v>9</v>
      </c>
      <c r="C34" s="2" t="s">
        <v>154</v>
      </c>
      <c r="D34" s="3">
        <v>1</v>
      </c>
      <c r="E34" s="1">
        <v>2</v>
      </c>
      <c r="F34" t="s">
        <v>2249</v>
      </c>
      <c r="G34" t="s">
        <v>2248</v>
      </c>
      <c r="H34" t="s">
        <v>2217</v>
      </c>
      <c r="I34" s="1" t="s">
        <v>1456</v>
      </c>
      <c r="J34" t="s">
        <v>2232</v>
      </c>
      <c r="K34" s="25">
        <f>Tabelle5[[#This Row],[value_present]]*Tabelle5[[#This Row],[binding_level]]</f>
        <v>2</v>
      </c>
    </row>
    <row r="35" spans="1:11" x14ac:dyDescent="0.25">
      <c r="A35" s="24">
        <v>2</v>
      </c>
      <c r="B35" s="2">
        <v>9</v>
      </c>
      <c r="C35" s="2" t="s">
        <v>161</v>
      </c>
      <c r="D35" s="3">
        <v>0</v>
      </c>
      <c r="E35" s="1"/>
      <c r="I35" s="1" t="s">
        <v>1457</v>
      </c>
      <c r="J35" t="s">
        <v>2233</v>
      </c>
      <c r="K35" s="25">
        <f>Tabelle5[[#This Row],[value_present]]*Tabelle5[[#This Row],[binding_level]]</f>
        <v>0</v>
      </c>
    </row>
    <row r="36" spans="1:11" x14ac:dyDescent="0.25">
      <c r="A36" s="24">
        <v>2</v>
      </c>
      <c r="B36" s="2">
        <v>9</v>
      </c>
      <c r="C36" s="2" t="s">
        <v>166</v>
      </c>
      <c r="D36" s="3">
        <v>0</v>
      </c>
      <c r="E36" s="1"/>
      <c r="I36" s="1" t="s">
        <v>1456</v>
      </c>
      <c r="J36" t="s">
        <v>2234</v>
      </c>
      <c r="K36" s="25">
        <f>Tabelle5[[#This Row],[value_present]]*Tabelle5[[#This Row],[binding_level]]</f>
        <v>0</v>
      </c>
    </row>
    <row r="37" spans="1:11" ht="15.75" thickBot="1" x14ac:dyDescent="0.3">
      <c r="A37" s="26">
        <v>2</v>
      </c>
      <c r="B37" s="27">
        <v>9</v>
      </c>
      <c r="C37" s="27" t="s">
        <v>174</v>
      </c>
      <c r="D37" s="28">
        <v>1</v>
      </c>
      <c r="E37" s="29">
        <v>2</v>
      </c>
      <c r="F37" s="30" t="s">
        <v>2243</v>
      </c>
      <c r="G37" s="30" t="s">
        <v>2242</v>
      </c>
      <c r="H37" s="30" t="s">
        <v>2217</v>
      </c>
      <c r="I37" s="29" t="s">
        <v>1456</v>
      </c>
      <c r="J37" s="30" t="s">
        <v>2235</v>
      </c>
      <c r="K37" s="31">
        <f>Tabelle5[[#This Row],[value_present]]*Tabelle5[[#This Row],[binding_level]]</f>
        <v>2</v>
      </c>
    </row>
    <row r="38" spans="1:11" x14ac:dyDescent="0.25">
      <c r="A38" s="18">
        <v>3</v>
      </c>
      <c r="B38" s="19">
        <v>16</v>
      </c>
      <c r="C38" s="19" t="s">
        <v>53</v>
      </c>
      <c r="D38" s="20">
        <v>1</v>
      </c>
      <c r="E38" s="21">
        <v>2</v>
      </c>
      <c r="F38" s="22" t="s">
        <v>2439</v>
      </c>
      <c r="G38" s="22" t="s">
        <v>2438</v>
      </c>
      <c r="H38" s="22" t="s">
        <v>2409</v>
      </c>
      <c r="I38" s="21" t="s">
        <v>1456</v>
      </c>
      <c r="J38" s="22" t="s">
        <v>2410</v>
      </c>
      <c r="K38" s="23">
        <f>Tabelle5[[#This Row],[value_present]]*Tabelle5[[#This Row],[binding_level]]</f>
        <v>2</v>
      </c>
    </row>
    <row r="39" spans="1:11" x14ac:dyDescent="0.25">
      <c r="A39" s="24">
        <v>3</v>
      </c>
      <c r="B39" s="2">
        <v>16</v>
      </c>
      <c r="C39" s="2" t="s">
        <v>61</v>
      </c>
      <c r="D39" s="3">
        <v>1</v>
      </c>
      <c r="E39" s="1">
        <v>3</v>
      </c>
      <c r="F39" t="s">
        <v>2441</v>
      </c>
      <c r="G39" t="s">
        <v>2440</v>
      </c>
      <c r="H39" t="s">
        <v>2411</v>
      </c>
      <c r="I39" s="1" t="s">
        <v>1456</v>
      </c>
      <c r="J39" t="s">
        <v>2412</v>
      </c>
      <c r="K39" s="25">
        <f>Tabelle5[[#This Row],[value_present]]*Tabelle5[[#This Row],[binding_level]]</f>
        <v>3</v>
      </c>
    </row>
    <row r="40" spans="1:11" x14ac:dyDescent="0.25">
      <c r="A40" s="24">
        <v>3</v>
      </c>
      <c r="B40" s="2">
        <v>16</v>
      </c>
      <c r="C40" s="2" t="s">
        <v>69</v>
      </c>
      <c r="D40" s="3">
        <v>1</v>
      </c>
      <c r="E40" s="1">
        <v>2</v>
      </c>
      <c r="F40" t="s">
        <v>2443</v>
      </c>
      <c r="G40" t="s">
        <v>2442</v>
      </c>
      <c r="H40" t="s">
        <v>2413</v>
      </c>
      <c r="I40" s="1" t="s">
        <v>1456</v>
      </c>
      <c r="J40" t="s">
        <v>2414</v>
      </c>
      <c r="K40" s="25">
        <f>Tabelle5[[#This Row],[value_present]]*Tabelle5[[#This Row],[binding_level]]</f>
        <v>2</v>
      </c>
    </row>
    <row r="41" spans="1:11" x14ac:dyDescent="0.25">
      <c r="A41" s="24">
        <v>3</v>
      </c>
      <c r="B41" s="2">
        <v>16</v>
      </c>
      <c r="C41" s="2" t="s">
        <v>76</v>
      </c>
      <c r="D41" s="3">
        <v>1</v>
      </c>
      <c r="E41" s="1">
        <v>2</v>
      </c>
      <c r="F41" t="s">
        <v>2445</v>
      </c>
      <c r="G41" t="s">
        <v>2444</v>
      </c>
      <c r="H41" t="s">
        <v>2413</v>
      </c>
      <c r="I41" s="1" t="s">
        <v>1456</v>
      </c>
      <c r="J41" t="s">
        <v>2415</v>
      </c>
      <c r="K41" s="25">
        <f>Tabelle5[[#This Row],[value_present]]*Tabelle5[[#This Row],[binding_level]]</f>
        <v>2</v>
      </c>
    </row>
    <row r="42" spans="1:11" x14ac:dyDescent="0.25">
      <c r="A42" s="24">
        <v>3</v>
      </c>
      <c r="B42" s="2">
        <v>16</v>
      </c>
      <c r="C42" s="2" t="s">
        <v>83</v>
      </c>
      <c r="D42" s="3">
        <v>1</v>
      </c>
      <c r="E42" s="1">
        <v>3</v>
      </c>
      <c r="F42" t="s">
        <v>2447</v>
      </c>
      <c r="G42" t="s">
        <v>2446</v>
      </c>
      <c r="H42" t="s">
        <v>2416</v>
      </c>
      <c r="I42" s="1" t="s">
        <v>1456</v>
      </c>
      <c r="J42" t="s">
        <v>2417</v>
      </c>
      <c r="K42" s="25">
        <f>Tabelle5[[#This Row],[value_present]]*Tabelle5[[#This Row],[binding_level]]</f>
        <v>3</v>
      </c>
    </row>
    <row r="43" spans="1:11" x14ac:dyDescent="0.25">
      <c r="A43" s="24">
        <v>3</v>
      </c>
      <c r="B43" s="2">
        <v>16</v>
      </c>
      <c r="C43" s="2" t="s">
        <v>90</v>
      </c>
      <c r="D43" s="3">
        <v>1</v>
      </c>
      <c r="E43" s="1">
        <v>3</v>
      </c>
      <c r="F43" t="s">
        <v>2449</v>
      </c>
      <c r="G43" t="s">
        <v>2448</v>
      </c>
      <c r="H43" t="s">
        <v>2418</v>
      </c>
      <c r="I43" s="1" t="s">
        <v>1456</v>
      </c>
      <c r="J43" t="s">
        <v>2419</v>
      </c>
      <c r="K43" s="25">
        <f>Tabelle5[[#This Row],[value_present]]*Tabelle5[[#This Row],[binding_level]]</f>
        <v>3</v>
      </c>
    </row>
    <row r="44" spans="1:11" x14ac:dyDescent="0.25">
      <c r="A44" s="24">
        <v>3</v>
      </c>
      <c r="B44" s="2">
        <v>16</v>
      </c>
      <c r="C44" s="2" t="s">
        <v>98</v>
      </c>
      <c r="D44" s="3">
        <v>1</v>
      </c>
      <c r="E44" s="1">
        <v>2</v>
      </c>
      <c r="F44" t="s">
        <v>2451</v>
      </c>
      <c r="G44" t="s">
        <v>2450</v>
      </c>
      <c r="H44" t="s">
        <v>2420</v>
      </c>
      <c r="I44" s="1" t="s">
        <v>1456</v>
      </c>
      <c r="J44" t="s">
        <v>2421</v>
      </c>
      <c r="K44" s="25">
        <f>Tabelle5[[#This Row],[value_present]]*Tabelle5[[#This Row],[binding_level]]</f>
        <v>2</v>
      </c>
    </row>
    <row r="45" spans="1:11" x14ac:dyDescent="0.25">
      <c r="A45" s="24">
        <v>3</v>
      </c>
      <c r="B45" s="2">
        <v>16</v>
      </c>
      <c r="C45" s="2" t="s">
        <v>106</v>
      </c>
      <c r="D45" s="3">
        <v>1</v>
      </c>
      <c r="E45" s="1">
        <v>2</v>
      </c>
      <c r="F45" t="s">
        <v>2453</v>
      </c>
      <c r="G45" t="s">
        <v>2452</v>
      </c>
      <c r="H45" t="s">
        <v>2422</v>
      </c>
      <c r="I45" s="1" t="s">
        <v>1457</v>
      </c>
      <c r="J45" t="s">
        <v>2423</v>
      </c>
      <c r="K45" s="25">
        <f>Tabelle5[[#This Row],[value_present]]*Tabelle5[[#This Row],[binding_level]]</f>
        <v>2</v>
      </c>
    </row>
    <row r="46" spans="1:11" x14ac:dyDescent="0.25">
      <c r="A46" s="24">
        <v>3</v>
      </c>
      <c r="B46" s="2">
        <v>16</v>
      </c>
      <c r="C46" s="2" t="s">
        <v>112</v>
      </c>
      <c r="D46" s="3">
        <v>1</v>
      </c>
      <c r="E46" s="1">
        <v>3</v>
      </c>
      <c r="F46" t="s">
        <v>2454</v>
      </c>
      <c r="G46" t="s">
        <v>2450</v>
      </c>
      <c r="H46" t="s">
        <v>2424</v>
      </c>
      <c r="I46" s="1" t="s">
        <v>1456</v>
      </c>
      <c r="J46" t="s">
        <v>2425</v>
      </c>
      <c r="K46" s="25">
        <f>Tabelle5[[#This Row],[value_present]]*Tabelle5[[#This Row],[binding_level]]</f>
        <v>3</v>
      </c>
    </row>
    <row r="47" spans="1:11" x14ac:dyDescent="0.25">
      <c r="A47" s="24">
        <v>3</v>
      </c>
      <c r="B47" s="2">
        <v>16</v>
      </c>
      <c r="C47" s="2" t="s">
        <v>118</v>
      </c>
      <c r="D47" s="3">
        <v>0</v>
      </c>
      <c r="E47" s="1"/>
      <c r="I47" s="1" t="s">
        <v>1456</v>
      </c>
      <c r="J47" t="s">
        <v>2426</v>
      </c>
      <c r="K47" s="25">
        <f>Tabelle5[[#This Row],[value_present]]*Tabelle5[[#This Row],[binding_level]]</f>
        <v>0</v>
      </c>
    </row>
    <row r="48" spans="1:11" x14ac:dyDescent="0.25">
      <c r="A48" s="24">
        <v>3</v>
      </c>
      <c r="B48" s="2">
        <v>16</v>
      </c>
      <c r="C48" s="2" t="s">
        <v>125</v>
      </c>
      <c r="D48" s="3">
        <v>0</v>
      </c>
      <c r="E48" s="1"/>
      <c r="I48" s="1" t="s">
        <v>1457</v>
      </c>
      <c r="J48" t="s">
        <v>2427</v>
      </c>
      <c r="K48" s="25">
        <f>Tabelle5[[#This Row],[value_present]]*Tabelle5[[#This Row],[binding_level]]</f>
        <v>0</v>
      </c>
    </row>
    <row r="49" spans="1:11" x14ac:dyDescent="0.25">
      <c r="A49" s="24">
        <v>3</v>
      </c>
      <c r="B49" s="2">
        <v>16</v>
      </c>
      <c r="C49" s="2" t="s">
        <v>132</v>
      </c>
      <c r="D49" s="3">
        <v>0</v>
      </c>
      <c r="E49" s="1"/>
      <c r="I49" s="1" t="s">
        <v>1457</v>
      </c>
      <c r="J49" t="s">
        <v>2428</v>
      </c>
      <c r="K49" s="25">
        <f>Tabelle5[[#This Row],[value_present]]*Tabelle5[[#This Row],[binding_level]]</f>
        <v>0</v>
      </c>
    </row>
    <row r="50" spans="1:11" x14ac:dyDescent="0.25">
      <c r="A50" s="24">
        <v>3</v>
      </c>
      <c r="B50" s="2">
        <v>16</v>
      </c>
      <c r="C50" s="2" t="s">
        <v>140</v>
      </c>
      <c r="D50" s="3">
        <v>0</v>
      </c>
      <c r="E50" s="1"/>
      <c r="I50" s="1" t="s">
        <v>1457</v>
      </c>
      <c r="J50" t="s">
        <v>2429</v>
      </c>
      <c r="K50" s="25">
        <f>Tabelle5[[#This Row],[value_present]]*Tabelle5[[#This Row],[binding_level]]</f>
        <v>0</v>
      </c>
    </row>
    <row r="51" spans="1:11" x14ac:dyDescent="0.25">
      <c r="A51" s="24">
        <v>3</v>
      </c>
      <c r="B51" s="2">
        <v>16</v>
      </c>
      <c r="C51" s="2" t="s">
        <v>147</v>
      </c>
      <c r="D51" s="3">
        <v>1</v>
      </c>
      <c r="E51" s="1">
        <v>2</v>
      </c>
      <c r="F51" t="s">
        <v>2456</v>
      </c>
      <c r="G51" t="s">
        <v>2455</v>
      </c>
      <c r="H51" t="s">
        <v>2430</v>
      </c>
      <c r="I51" s="1" t="s">
        <v>1456</v>
      </c>
      <c r="J51" t="s">
        <v>2431</v>
      </c>
      <c r="K51" s="25">
        <f>Tabelle5[[#This Row],[value_present]]*Tabelle5[[#This Row],[binding_level]]</f>
        <v>2</v>
      </c>
    </row>
    <row r="52" spans="1:11" x14ac:dyDescent="0.25">
      <c r="A52" s="24">
        <v>3</v>
      </c>
      <c r="B52" s="2">
        <v>16</v>
      </c>
      <c r="C52" s="2" t="s">
        <v>154</v>
      </c>
      <c r="D52" s="3">
        <v>1</v>
      </c>
      <c r="E52" s="1">
        <v>2</v>
      </c>
      <c r="F52" t="s">
        <v>2458</v>
      </c>
      <c r="G52" t="s">
        <v>2457</v>
      </c>
      <c r="H52" t="s">
        <v>2432</v>
      </c>
      <c r="I52" s="1" t="s">
        <v>1456</v>
      </c>
      <c r="J52" t="s">
        <v>2433</v>
      </c>
      <c r="K52" s="25">
        <f>Tabelle5[[#This Row],[value_present]]*Tabelle5[[#This Row],[binding_level]]</f>
        <v>2</v>
      </c>
    </row>
    <row r="53" spans="1:11" x14ac:dyDescent="0.25">
      <c r="A53" s="24">
        <v>3</v>
      </c>
      <c r="B53" s="2">
        <v>16</v>
      </c>
      <c r="C53" s="2" t="s">
        <v>161</v>
      </c>
      <c r="D53" s="3">
        <v>1</v>
      </c>
      <c r="E53" s="1">
        <v>2</v>
      </c>
      <c r="F53" t="s">
        <v>2460</v>
      </c>
      <c r="G53" t="s">
        <v>2459</v>
      </c>
      <c r="H53" t="s">
        <v>2434</v>
      </c>
      <c r="I53" s="1" t="s">
        <v>1456</v>
      </c>
      <c r="J53" t="s">
        <v>2435</v>
      </c>
      <c r="K53" s="25">
        <f>Tabelle5[[#This Row],[value_present]]*Tabelle5[[#This Row],[binding_level]]</f>
        <v>2</v>
      </c>
    </row>
    <row r="54" spans="1:11" x14ac:dyDescent="0.25">
      <c r="A54" s="24">
        <v>3</v>
      </c>
      <c r="B54" s="2">
        <v>16</v>
      </c>
      <c r="C54" s="2" t="s">
        <v>166</v>
      </c>
      <c r="D54" s="3">
        <v>0</v>
      </c>
      <c r="E54" s="1"/>
      <c r="I54" s="1" t="s">
        <v>1456</v>
      </c>
      <c r="J54" t="s">
        <v>2436</v>
      </c>
      <c r="K54" s="25">
        <f>Tabelle5[[#This Row],[value_present]]*Tabelle5[[#This Row],[binding_level]]</f>
        <v>0</v>
      </c>
    </row>
    <row r="55" spans="1:11" ht="15.75" thickBot="1" x14ac:dyDescent="0.3">
      <c r="A55" s="26">
        <v>3</v>
      </c>
      <c r="B55" s="27">
        <v>16</v>
      </c>
      <c r="C55" s="27" t="s">
        <v>174</v>
      </c>
      <c r="D55" s="28">
        <v>0</v>
      </c>
      <c r="E55" s="29"/>
      <c r="F55" s="30"/>
      <c r="G55" s="30"/>
      <c r="H55" s="30"/>
      <c r="I55" s="29" t="s">
        <v>1457</v>
      </c>
      <c r="J55" s="30" t="s">
        <v>2437</v>
      </c>
      <c r="K55" s="31">
        <f>Tabelle5[[#This Row],[value_present]]*Tabelle5[[#This Row],[binding_level]]</f>
        <v>0</v>
      </c>
    </row>
    <row r="56" spans="1:11" x14ac:dyDescent="0.25">
      <c r="A56" s="18">
        <v>3</v>
      </c>
      <c r="B56" s="19">
        <v>17</v>
      </c>
      <c r="C56" s="19" t="s">
        <v>53</v>
      </c>
      <c r="D56" s="20">
        <v>0</v>
      </c>
      <c r="E56" s="21"/>
      <c r="F56" s="22"/>
      <c r="G56" s="22"/>
      <c r="H56" s="22"/>
      <c r="I56" s="21" t="s">
        <v>1456</v>
      </c>
      <c r="J56" s="22" t="s">
        <v>2489</v>
      </c>
      <c r="K56" s="23">
        <f>Tabelle5[[#This Row],[value_present]]*Tabelle5[[#This Row],[binding_level]]</f>
        <v>0</v>
      </c>
    </row>
    <row r="57" spans="1:11" x14ac:dyDescent="0.25">
      <c r="A57" s="24">
        <v>3</v>
      </c>
      <c r="B57" s="2">
        <v>17</v>
      </c>
      <c r="C57" s="2" t="s">
        <v>61</v>
      </c>
      <c r="D57" s="3">
        <v>0</v>
      </c>
      <c r="E57" s="1"/>
      <c r="I57" s="1" t="s">
        <v>1457</v>
      </c>
      <c r="J57" t="s">
        <v>2490</v>
      </c>
      <c r="K57" s="25">
        <f>Tabelle5[[#This Row],[value_present]]*Tabelle5[[#This Row],[binding_level]]</f>
        <v>0</v>
      </c>
    </row>
    <row r="58" spans="1:11" x14ac:dyDescent="0.25">
      <c r="A58" s="24">
        <v>3</v>
      </c>
      <c r="B58" s="2">
        <v>17</v>
      </c>
      <c r="C58" s="2" t="s">
        <v>69</v>
      </c>
      <c r="D58" s="3">
        <v>1</v>
      </c>
      <c r="E58" s="1">
        <v>2</v>
      </c>
      <c r="F58" t="s">
        <v>2508</v>
      </c>
      <c r="G58" t="s">
        <v>2507</v>
      </c>
      <c r="H58" t="s">
        <v>2491</v>
      </c>
      <c r="I58" s="1" t="s">
        <v>1456</v>
      </c>
      <c r="J58" t="s">
        <v>2492</v>
      </c>
      <c r="K58" s="25">
        <f>Tabelle5[[#This Row],[value_present]]*Tabelle5[[#This Row],[binding_level]]</f>
        <v>2</v>
      </c>
    </row>
    <row r="59" spans="1:11" x14ac:dyDescent="0.25">
      <c r="A59" s="24">
        <v>3</v>
      </c>
      <c r="B59" s="2">
        <v>17</v>
      </c>
      <c r="C59" s="2" t="s">
        <v>76</v>
      </c>
      <c r="D59" s="3">
        <v>0</v>
      </c>
      <c r="E59" s="1"/>
      <c r="I59" s="1" t="s">
        <v>1456</v>
      </c>
      <c r="J59" t="s">
        <v>2493</v>
      </c>
      <c r="K59" s="25">
        <f>Tabelle5[[#This Row],[value_present]]*Tabelle5[[#This Row],[binding_level]]</f>
        <v>0</v>
      </c>
    </row>
    <row r="60" spans="1:11" x14ac:dyDescent="0.25">
      <c r="A60" s="24">
        <v>3</v>
      </c>
      <c r="B60" s="2">
        <v>17</v>
      </c>
      <c r="C60" s="2" t="s">
        <v>83</v>
      </c>
      <c r="D60" s="3">
        <v>1</v>
      </c>
      <c r="E60" s="1">
        <v>2</v>
      </c>
      <c r="F60" t="s">
        <v>2510</v>
      </c>
      <c r="G60" t="s">
        <v>2509</v>
      </c>
      <c r="H60" t="s">
        <v>2491</v>
      </c>
      <c r="I60" s="1" t="s">
        <v>1456</v>
      </c>
      <c r="J60" t="s">
        <v>2494</v>
      </c>
      <c r="K60" s="25">
        <f>Tabelle5[[#This Row],[value_present]]*Tabelle5[[#This Row],[binding_level]]</f>
        <v>2</v>
      </c>
    </row>
    <row r="61" spans="1:11" x14ac:dyDescent="0.25">
      <c r="A61" s="24">
        <v>3</v>
      </c>
      <c r="B61" s="2">
        <v>17</v>
      </c>
      <c r="C61" s="2" t="s">
        <v>90</v>
      </c>
      <c r="D61" s="3">
        <v>0</v>
      </c>
      <c r="E61" s="1"/>
      <c r="I61" s="1" t="s">
        <v>1457</v>
      </c>
      <c r="J61" t="s">
        <v>2495</v>
      </c>
      <c r="K61" s="25">
        <f>Tabelle5[[#This Row],[value_present]]*Tabelle5[[#This Row],[binding_level]]</f>
        <v>0</v>
      </c>
    </row>
    <row r="62" spans="1:11" x14ac:dyDescent="0.25">
      <c r="A62" s="24">
        <v>3</v>
      </c>
      <c r="B62" s="2">
        <v>17</v>
      </c>
      <c r="C62" s="2" t="s">
        <v>98</v>
      </c>
      <c r="D62" s="3">
        <v>1</v>
      </c>
      <c r="E62" s="1">
        <v>2</v>
      </c>
      <c r="F62" t="s">
        <v>2512</v>
      </c>
      <c r="G62" t="s">
        <v>2511</v>
      </c>
      <c r="H62" t="s">
        <v>2491</v>
      </c>
      <c r="I62" s="1" t="s">
        <v>1456</v>
      </c>
      <c r="J62" t="s">
        <v>2496</v>
      </c>
      <c r="K62" s="25">
        <f>Tabelle5[[#This Row],[value_present]]*Tabelle5[[#This Row],[binding_level]]</f>
        <v>2</v>
      </c>
    </row>
    <row r="63" spans="1:11" x14ac:dyDescent="0.25">
      <c r="A63" s="24">
        <v>3</v>
      </c>
      <c r="B63" s="2">
        <v>17</v>
      </c>
      <c r="C63" s="2" t="s">
        <v>106</v>
      </c>
      <c r="D63" s="3">
        <v>0</v>
      </c>
      <c r="E63" s="1"/>
      <c r="I63" s="1" t="s">
        <v>1456</v>
      </c>
      <c r="J63" t="s">
        <v>2497</v>
      </c>
      <c r="K63" s="25">
        <f>Tabelle5[[#This Row],[value_present]]*Tabelle5[[#This Row],[binding_level]]</f>
        <v>0</v>
      </c>
    </row>
    <row r="64" spans="1:11" x14ac:dyDescent="0.25">
      <c r="A64" s="24">
        <v>3</v>
      </c>
      <c r="B64" s="2">
        <v>17</v>
      </c>
      <c r="C64" s="2" t="s">
        <v>112</v>
      </c>
      <c r="D64" s="3">
        <v>1</v>
      </c>
      <c r="E64" s="1">
        <v>2</v>
      </c>
      <c r="F64" t="s">
        <v>2513</v>
      </c>
      <c r="G64" t="s">
        <v>2511</v>
      </c>
      <c r="H64" t="s">
        <v>2491</v>
      </c>
      <c r="I64" s="1" t="s">
        <v>1456</v>
      </c>
      <c r="J64" t="s">
        <v>2498</v>
      </c>
      <c r="K64" s="25">
        <f>Tabelle5[[#This Row],[value_present]]*Tabelle5[[#This Row],[binding_level]]</f>
        <v>2</v>
      </c>
    </row>
    <row r="65" spans="1:11" x14ac:dyDescent="0.25">
      <c r="A65" s="24">
        <v>3</v>
      </c>
      <c r="B65" s="2">
        <v>17</v>
      </c>
      <c r="C65" s="2" t="s">
        <v>118</v>
      </c>
      <c r="D65" s="3">
        <v>0</v>
      </c>
      <c r="E65" s="1"/>
      <c r="I65" s="1" t="s">
        <v>1456</v>
      </c>
      <c r="J65" t="s">
        <v>2227</v>
      </c>
      <c r="K65" s="25">
        <f>Tabelle5[[#This Row],[value_present]]*Tabelle5[[#This Row],[binding_level]]</f>
        <v>0</v>
      </c>
    </row>
    <row r="66" spans="1:11" x14ac:dyDescent="0.25">
      <c r="A66" s="24">
        <v>3</v>
      </c>
      <c r="B66" s="2">
        <v>17</v>
      </c>
      <c r="C66" s="2" t="s">
        <v>125</v>
      </c>
      <c r="D66" s="3">
        <v>0</v>
      </c>
      <c r="E66" s="1"/>
      <c r="I66" s="1" t="s">
        <v>1456</v>
      </c>
      <c r="J66" t="s">
        <v>2499</v>
      </c>
      <c r="K66" s="25">
        <f>Tabelle5[[#This Row],[value_present]]*Tabelle5[[#This Row],[binding_level]]</f>
        <v>0</v>
      </c>
    </row>
    <row r="67" spans="1:11" x14ac:dyDescent="0.25">
      <c r="A67" s="24">
        <v>3</v>
      </c>
      <c r="B67" s="2">
        <v>17</v>
      </c>
      <c r="C67" s="2" t="s">
        <v>132</v>
      </c>
      <c r="D67" s="3">
        <v>0</v>
      </c>
      <c r="E67" s="1"/>
      <c r="I67" s="1" t="s">
        <v>1457</v>
      </c>
      <c r="J67" t="s">
        <v>2500</v>
      </c>
      <c r="K67" s="25">
        <f>Tabelle5[[#This Row],[value_present]]*Tabelle5[[#This Row],[binding_level]]</f>
        <v>0</v>
      </c>
    </row>
    <row r="68" spans="1:11" x14ac:dyDescent="0.25">
      <c r="A68" s="24">
        <v>3</v>
      </c>
      <c r="B68" s="2">
        <v>17</v>
      </c>
      <c r="C68" s="2" t="s">
        <v>140</v>
      </c>
      <c r="D68" s="3">
        <v>0</v>
      </c>
      <c r="E68" s="1"/>
      <c r="I68" s="1" t="s">
        <v>1457</v>
      </c>
      <c r="J68" t="s">
        <v>2501</v>
      </c>
      <c r="K68" s="25">
        <f>Tabelle5[[#This Row],[value_present]]*Tabelle5[[#This Row],[binding_level]]</f>
        <v>0</v>
      </c>
    </row>
    <row r="69" spans="1:11" x14ac:dyDescent="0.25">
      <c r="A69" s="24">
        <v>3</v>
      </c>
      <c r="B69" s="2">
        <v>17</v>
      </c>
      <c r="C69" s="2" t="s">
        <v>147</v>
      </c>
      <c r="D69" s="3">
        <v>0</v>
      </c>
      <c r="E69" s="1"/>
      <c r="I69" s="1" t="s">
        <v>1457</v>
      </c>
      <c r="J69" t="s">
        <v>2502</v>
      </c>
      <c r="K69" s="25">
        <f>Tabelle5[[#This Row],[value_present]]*Tabelle5[[#This Row],[binding_level]]</f>
        <v>0</v>
      </c>
    </row>
    <row r="70" spans="1:11" x14ac:dyDescent="0.25">
      <c r="A70" s="24">
        <v>3</v>
      </c>
      <c r="B70" s="2">
        <v>17</v>
      </c>
      <c r="C70" s="2" t="s">
        <v>154</v>
      </c>
      <c r="D70" s="3">
        <v>1</v>
      </c>
      <c r="E70" s="1">
        <v>2</v>
      </c>
      <c r="F70" t="s">
        <v>2515</v>
      </c>
      <c r="G70" t="s">
        <v>2514</v>
      </c>
      <c r="H70" t="s">
        <v>2491</v>
      </c>
      <c r="I70" s="1" t="s">
        <v>1456</v>
      </c>
      <c r="J70" t="s">
        <v>2503</v>
      </c>
      <c r="K70" s="25">
        <f>Tabelle5[[#This Row],[value_present]]*Tabelle5[[#This Row],[binding_level]]</f>
        <v>2</v>
      </c>
    </row>
    <row r="71" spans="1:11" x14ac:dyDescent="0.25">
      <c r="A71" s="24">
        <v>3</v>
      </c>
      <c r="B71" s="2">
        <v>17</v>
      </c>
      <c r="C71" s="2" t="s">
        <v>161</v>
      </c>
      <c r="D71" s="3">
        <v>0</v>
      </c>
      <c r="E71" s="1"/>
      <c r="I71" s="1" t="s">
        <v>1457</v>
      </c>
      <c r="J71" t="s">
        <v>2504</v>
      </c>
      <c r="K71" s="25">
        <f>Tabelle5[[#This Row],[value_present]]*Tabelle5[[#This Row],[binding_level]]</f>
        <v>0</v>
      </c>
    </row>
    <row r="72" spans="1:11" x14ac:dyDescent="0.25">
      <c r="A72" s="24">
        <v>3</v>
      </c>
      <c r="B72" s="2">
        <v>17</v>
      </c>
      <c r="C72" s="2" t="s">
        <v>166</v>
      </c>
      <c r="D72" s="3">
        <v>0</v>
      </c>
      <c r="E72" s="1"/>
      <c r="I72" s="1" t="s">
        <v>1456</v>
      </c>
      <c r="J72" t="s">
        <v>2505</v>
      </c>
      <c r="K72" s="25">
        <f>Tabelle5[[#This Row],[value_present]]*Tabelle5[[#This Row],[binding_level]]</f>
        <v>0</v>
      </c>
    </row>
    <row r="73" spans="1:11" ht="15.75" thickBot="1" x14ac:dyDescent="0.3">
      <c r="A73" s="26">
        <v>3</v>
      </c>
      <c r="B73" s="27">
        <v>17</v>
      </c>
      <c r="C73" s="27" t="s">
        <v>174</v>
      </c>
      <c r="D73" s="28">
        <v>0</v>
      </c>
      <c r="E73" s="29"/>
      <c r="F73" s="30"/>
      <c r="G73" s="30"/>
      <c r="H73" s="30"/>
      <c r="I73" s="29" t="s">
        <v>1456</v>
      </c>
      <c r="J73" s="30" t="s">
        <v>2506</v>
      </c>
      <c r="K73" s="31">
        <f>Tabelle5[[#This Row],[value_present]]*Tabelle5[[#This Row],[binding_level]]</f>
        <v>0</v>
      </c>
    </row>
    <row r="74" spans="1:11" x14ac:dyDescent="0.25">
      <c r="A74" s="18">
        <v>3</v>
      </c>
      <c r="B74" s="19">
        <v>18</v>
      </c>
      <c r="C74" s="19" t="s">
        <v>53</v>
      </c>
      <c r="D74" s="20">
        <v>1</v>
      </c>
      <c r="E74" s="21">
        <v>3</v>
      </c>
      <c r="F74" s="22" t="s">
        <v>2546</v>
      </c>
      <c r="G74" s="22" t="s">
        <v>2545</v>
      </c>
      <c r="H74" s="22" t="s">
        <v>2530</v>
      </c>
      <c r="I74" s="21" t="s">
        <v>1456</v>
      </c>
      <c r="J74" s="22" t="s">
        <v>2531</v>
      </c>
      <c r="K74" s="23">
        <f>Tabelle5[[#This Row],[value_present]]*Tabelle5[[#This Row],[binding_level]]</f>
        <v>3</v>
      </c>
    </row>
    <row r="75" spans="1:11" x14ac:dyDescent="0.25">
      <c r="A75" s="24">
        <v>3</v>
      </c>
      <c r="B75" s="2">
        <v>18</v>
      </c>
      <c r="C75" s="2" t="s">
        <v>61</v>
      </c>
      <c r="D75" s="3">
        <v>1</v>
      </c>
      <c r="E75" s="1">
        <v>2</v>
      </c>
      <c r="F75" t="s">
        <v>2547</v>
      </c>
      <c r="G75" t="s">
        <v>2548</v>
      </c>
      <c r="H75" t="s">
        <v>2530</v>
      </c>
      <c r="I75" s="1" t="s">
        <v>1456</v>
      </c>
      <c r="J75" t="s">
        <v>2532</v>
      </c>
      <c r="K75" s="25">
        <f>Tabelle5[[#This Row],[value_present]]*Tabelle5[[#This Row],[binding_level]]</f>
        <v>2</v>
      </c>
    </row>
    <row r="76" spans="1:11" x14ac:dyDescent="0.25">
      <c r="A76" s="24">
        <v>3</v>
      </c>
      <c r="B76" s="2">
        <v>18</v>
      </c>
      <c r="C76" s="2" t="s">
        <v>69</v>
      </c>
      <c r="D76" s="3">
        <v>1</v>
      </c>
      <c r="E76" s="1">
        <v>2</v>
      </c>
      <c r="F76" t="s">
        <v>2550</v>
      </c>
      <c r="G76" t="s">
        <v>2549</v>
      </c>
      <c r="H76" t="s">
        <v>2530</v>
      </c>
      <c r="I76" s="1" t="s">
        <v>1456</v>
      </c>
      <c r="J76" t="s">
        <v>2533</v>
      </c>
      <c r="K76" s="25">
        <f>Tabelle5[[#This Row],[value_present]]*Tabelle5[[#This Row],[binding_level]]</f>
        <v>2</v>
      </c>
    </row>
    <row r="77" spans="1:11" x14ac:dyDescent="0.25">
      <c r="A77" s="24">
        <v>3</v>
      </c>
      <c r="B77" s="2">
        <v>18</v>
      </c>
      <c r="C77" s="2" t="s">
        <v>76</v>
      </c>
      <c r="D77" s="3">
        <v>0</v>
      </c>
      <c r="E77" s="1"/>
      <c r="I77" s="1" t="s">
        <v>1456</v>
      </c>
      <c r="J77" t="s">
        <v>2534</v>
      </c>
      <c r="K77" s="25">
        <f>Tabelle5[[#This Row],[value_present]]*Tabelle5[[#This Row],[binding_level]]</f>
        <v>0</v>
      </c>
    </row>
    <row r="78" spans="1:11" x14ac:dyDescent="0.25">
      <c r="A78" s="24">
        <v>3</v>
      </c>
      <c r="B78" s="2">
        <v>18</v>
      </c>
      <c r="C78" s="2" t="s">
        <v>83</v>
      </c>
      <c r="D78" s="3">
        <v>1</v>
      </c>
      <c r="E78" s="1">
        <v>2</v>
      </c>
      <c r="F78" t="s">
        <v>2552</v>
      </c>
      <c r="G78" t="s">
        <v>2551</v>
      </c>
      <c r="H78" t="s">
        <v>2530</v>
      </c>
      <c r="I78" s="1" t="s">
        <v>1456</v>
      </c>
      <c r="J78" t="s">
        <v>2155</v>
      </c>
      <c r="K78" s="25">
        <f>Tabelle5[[#This Row],[value_present]]*Tabelle5[[#This Row],[binding_level]]</f>
        <v>2</v>
      </c>
    </row>
    <row r="79" spans="1:11" x14ac:dyDescent="0.25">
      <c r="A79" s="24">
        <v>3</v>
      </c>
      <c r="B79" s="2">
        <v>18</v>
      </c>
      <c r="C79" s="2" t="s">
        <v>90</v>
      </c>
      <c r="D79" s="3">
        <v>1</v>
      </c>
      <c r="E79" s="1">
        <v>2</v>
      </c>
      <c r="F79" t="s">
        <v>2554</v>
      </c>
      <c r="G79" t="s">
        <v>2553</v>
      </c>
      <c r="H79" t="s">
        <v>2530</v>
      </c>
      <c r="I79" s="1" t="s">
        <v>1456</v>
      </c>
      <c r="J79" t="s">
        <v>2535</v>
      </c>
      <c r="K79" s="25">
        <f>Tabelle5[[#This Row],[value_present]]*Tabelle5[[#This Row],[binding_level]]</f>
        <v>2</v>
      </c>
    </row>
    <row r="80" spans="1:11" x14ac:dyDescent="0.25">
      <c r="A80" s="24">
        <v>3</v>
      </c>
      <c r="B80" s="2">
        <v>18</v>
      </c>
      <c r="C80" s="2" t="s">
        <v>98</v>
      </c>
      <c r="D80" s="3">
        <v>0</v>
      </c>
      <c r="E80" s="1"/>
      <c r="I80" s="1" t="s">
        <v>1456</v>
      </c>
      <c r="J80" t="s">
        <v>2536</v>
      </c>
      <c r="K80" s="25">
        <f>Tabelle5[[#This Row],[value_present]]*Tabelle5[[#This Row],[binding_level]]</f>
        <v>0</v>
      </c>
    </row>
    <row r="81" spans="1:11" x14ac:dyDescent="0.25">
      <c r="A81" s="24">
        <v>3</v>
      </c>
      <c r="B81" s="2">
        <v>18</v>
      </c>
      <c r="C81" s="2" t="s">
        <v>106</v>
      </c>
      <c r="D81" s="3">
        <v>0</v>
      </c>
      <c r="E81" s="1"/>
      <c r="I81" s="1" t="s">
        <v>1456</v>
      </c>
      <c r="J81" t="s">
        <v>2537</v>
      </c>
      <c r="K81" s="25">
        <f>Tabelle5[[#This Row],[value_present]]*Tabelle5[[#This Row],[binding_level]]</f>
        <v>0</v>
      </c>
    </row>
    <row r="82" spans="1:11" x14ac:dyDescent="0.25">
      <c r="A82" s="24">
        <v>3</v>
      </c>
      <c r="B82" s="2">
        <v>18</v>
      </c>
      <c r="C82" s="2" t="s">
        <v>112</v>
      </c>
      <c r="D82" s="3">
        <v>0</v>
      </c>
      <c r="E82" s="1"/>
      <c r="I82" s="1" t="s">
        <v>1456</v>
      </c>
      <c r="J82" t="s">
        <v>2538</v>
      </c>
      <c r="K82" s="25">
        <f>Tabelle5[[#This Row],[value_present]]*Tabelle5[[#This Row],[binding_level]]</f>
        <v>0</v>
      </c>
    </row>
    <row r="83" spans="1:11" x14ac:dyDescent="0.25">
      <c r="A83" s="24">
        <v>3</v>
      </c>
      <c r="B83" s="2">
        <v>18</v>
      </c>
      <c r="C83" s="2" t="s">
        <v>118</v>
      </c>
      <c r="D83" s="3">
        <v>0</v>
      </c>
      <c r="E83" s="1"/>
      <c r="I83" s="1" t="s">
        <v>1456</v>
      </c>
      <c r="J83" t="s">
        <v>2227</v>
      </c>
      <c r="K83" s="25">
        <f>Tabelle5[[#This Row],[value_present]]*Tabelle5[[#This Row],[binding_level]]</f>
        <v>0</v>
      </c>
    </row>
    <row r="84" spans="1:11" x14ac:dyDescent="0.25">
      <c r="A84" s="24">
        <v>3</v>
      </c>
      <c r="B84" s="2">
        <v>18</v>
      </c>
      <c r="C84" s="2" t="s">
        <v>125</v>
      </c>
      <c r="D84" s="3">
        <v>0</v>
      </c>
      <c r="E84" s="1"/>
      <c r="I84" s="1" t="s">
        <v>1456</v>
      </c>
      <c r="J84" t="s">
        <v>2499</v>
      </c>
      <c r="K84" s="25">
        <f>Tabelle5[[#This Row],[value_present]]*Tabelle5[[#This Row],[binding_level]]</f>
        <v>0</v>
      </c>
    </row>
    <row r="85" spans="1:11" x14ac:dyDescent="0.25">
      <c r="A85" s="24">
        <v>3</v>
      </c>
      <c r="B85" s="2">
        <v>18</v>
      </c>
      <c r="C85" s="2" t="s">
        <v>132</v>
      </c>
      <c r="D85" s="3">
        <v>0</v>
      </c>
      <c r="E85" s="1"/>
      <c r="I85" s="1" t="s">
        <v>1456</v>
      </c>
      <c r="J85" t="s">
        <v>2539</v>
      </c>
      <c r="K85" s="25">
        <f>Tabelle5[[#This Row],[value_present]]*Tabelle5[[#This Row],[binding_level]]</f>
        <v>0</v>
      </c>
    </row>
    <row r="86" spans="1:11" x14ac:dyDescent="0.25">
      <c r="A86" s="24">
        <v>3</v>
      </c>
      <c r="B86" s="2">
        <v>18</v>
      </c>
      <c r="C86" s="2" t="s">
        <v>140</v>
      </c>
      <c r="D86" s="3">
        <v>0</v>
      </c>
      <c r="E86" s="1"/>
      <c r="I86" s="1" t="s">
        <v>1457</v>
      </c>
      <c r="J86" t="s">
        <v>2540</v>
      </c>
      <c r="K86" s="25">
        <f>Tabelle5[[#This Row],[value_present]]*Tabelle5[[#This Row],[binding_level]]</f>
        <v>0</v>
      </c>
    </row>
    <row r="87" spans="1:11" x14ac:dyDescent="0.25">
      <c r="A87" s="24">
        <v>3</v>
      </c>
      <c r="B87" s="2">
        <v>18</v>
      </c>
      <c r="C87" s="2" t="s">
        <v>147</v>
      </c>
      <c r="D87" s="3">
        <v>1</v>
      </c>
      <c r="E87" s="1">
        <v>2</v>
      </c>
      <c r="F87" t="s">
        <v>2556</v>
      </c>
      <c r="G87" t="s">
        <v>2555</v>
      </c>
      <c r="H87" t="s">
        <v>2530</v>
      </c>
      <c r="I87" s="1" t="s">
        <v>1456</v>
      </c>
      <c r="J87" t="s">
        <v>2541</v>
      </c>
      <c r="K87" s="25">
        <f>Tabelle5[[#This Row],[value_present]]*Tabelle5[[#This Row],[binding_level]]</f>
        <v>2</v>
      </c>
    </row>
    <row r="88" spans="1:11" x14ac:dyDescent="0.25">
      <c r="A88" s="24">
        <v>3</v>
      </c>
      <c r="B88" s="2">
        <v>18</v>
      </c>
      <c r="C88" s="2" t="s">
        <v>154</v>
      </c>
      <c r="D88" s="3">
        <v>1</v>
      </c>
      <c r="E88" s="1">
        <v>2</v>
      </c>
      <c r="F88" t="s">
        <v>2558</v>
      </c>
      <c r="G88" t="s">
        <v>2557</v>
      </c>
      <c r="H88" t="s">
        <v>2530</v>
      </c>
      <c r="I88" s="1" t="s">
        <v>1456</v>
      </c>
      <c r="J88" t="s">
        <v>2542</v>
      </c>
      <c r="K88" s="25">
        <f>Tabelle5[[#This Row],[value_present]]*Tabelle5[[#This Row],[binding_level]]</f>
        <v>2</v>
      </c>
    </row>
    <row r="89" spans="1:11" x14ac:dyDescent="0.25">
      <c r="A89" s="24">
        <v>3</v>
      </c>
      <c r="B89" s="2">
        <v>18</v>
      </c>
      <c r="C89" s="2" t="s">
        <v>161</v>
      </c>
      <c r="D89" s="3">
        <v>1</v>
      </c>
      <c r="E89" s="1">
        <v>2</v>
      </c>
      <c r="F89" t="s">
        <v>2554</v>
      </c>
      <c r="G89" t="s">
        <v>2553</v>
      </c>
      <c r="H89" t="s">
        <v>2530</v>
      </c>
      <c r="I89" s="1" t="s">
        <v>1456</v>
      </c>
      <c r="J89" t="s">
        <v>2543</v>
      </c>
      <c r="K89" s="25">
        <f>Tabelle5[[#This Row],[value_present]]*Tabelle5[[#This Row],[binding_level]]</f>
        <v>2</v>
      </c>
    </row>
    <row r="90" spans="1:11" x14ac:dyDescent="0.25">
      <c r="A90" s="24">
        <v>3</v>
      </c>
      <c r="B90" s="2">
        <v>18</v>
      </c>
      <c r="C90" s="2" t="s">
        <v>166</v>
      </c>
      <c r="D90" s="3">
        <v>0</v>
      </c>
      <c r="E90" s="1"/>
      <c r="I90" s="1" t="s">
        <v>1456</v>
      </c>
      <c r="J90" t="s">
        <v>2505</v>
      </c>
      <c r="K90" s="25">
        <f>Tabelle5[[#This Row],[value_present]]*Tabelle5[[#This Row],[binding_level]]</f>
        <v>0</v>
      </c>
    </row>
    <row r="91" spans="1:11" ht="15.75" thickBot="1" x14ac:dyDescent="0.3">
      <c r="A91" s="26">
        <v>3</v>
      </c>
      <c r="B91" s="27">
        <v>18</v>
      </c>
      <c r="C91" s="27" t="s">
        <v>174</v>
      </c>
      <c r="D91" s="28">
        <v>0</v>
      </c>
      <c r="E91" s="29"/>
      <c r="F91" s="30"/>
      <c r="G91" s="30"/>
      <c r="H91" s="30"/>
      <c r="I91" s="29" t="s">
        <v>1456</v>
      </c>
      <c r="J91" s="30" t="s">
        <v>2544</v>
      </c>
      <c r="K91" s="31">
        <f>Tabelle5[[#This Row],[value_present]]*Tabelle5[[#This Row],[binding_level]]</f>
        <v>0</v>
      </c>
    </row>
    <row r="92" spans="1:11" x14ac:dyDescent="0.25">
      <c r="A92" s="18">
        <v>3</v>
      </c>
      <c r="B92" s="19">
        <v>21</v>
      </c>
      <c r="C92" s="19" t="s">
        <v>53</v>
      </c>
      <c r="D92" s="20">
        <v>1</v>
      </c>
      <c r="E92" s="21">
        <v>1</v>
      </c>
      <c r="F92" s="22" t="s">
        <v>2618</v>
      </c>
      <c r="G92" s="22" t="s">
        <v>2617</v>
      </c>
      <c r="H92" s="22" t="s">
        <v>2590</v>
      </c>
      <c r="I92" s="21" t="s">
        <v>1457</v>
      </c>
      <c r="J92" s="22" t="s">
        <v>2591</v>
      </c>
      <c r="K92" s="23">
        <f>Tabelle5[[#This Row],[value_present]]*Tabelle5[[#This Row],[binding_level]]</f>
        <v>1</v>
      </c>
    </row>
    <row r="93" spans="1:11" x14ac:dyDescent="0.25">
      <c r="A93" s="24">
        <v>3</v>
      </c>
      <c r="B93" s="2">
        <v>21</v>
      </c>
      <c r="C93" s="2" t="s">
        <v>61</v>
      </c>
      <c r="D93" s="3">
        <v>1</v>
      </c>
      <c r="E93" s="1">
        <v>1</v>
      </c>
      <c r="F93" t="s">
        <v>2620</v>
      </c>
      <c r="G93" t="s">
        <v>2619</v>
      </c>
      <c r="H93" t="s">
        <v>2592</v>
      </c>
      <c r="I93" s="1" t="s">
        <v>1457</v>
      </c>
      <c r="J93" t="s">
        <v>2593</v>
      </c>
      <c r="K93" s="25">
        <f>Tabelle5[[#This Row],[value_present]]*Tabelle5[[#This Row],[binding_level]]</f>
        <v>1</v>
      </c>
    </row>
    <row r="94" spans="1:11" x14ac:dyDescent="0.25">
      <c r="A94" s="24">
        <v>3</v>
      </c>
      <c r="B94" s="2">
        <v>21</v>
      </c>
      <c r="C94" s="2" t="s">
        <v>69</v>
      </c>
      <c r="D94" s="3">
        <v>1</v>
      </c>
      <c r="E94" s="1">
        <v>1</v>
      </c>
      <c r="F94" t="s">
        <v>2622</v>
      </c>
      <c r="G94" t="s">
        <v>2621</v>
      </c>
      <c r="H94" t="s">
        <v>2594</v>
      </c>
      <c r="I94" s="1" t="s">
        <v>1456</v>
      </c>
      <c r="J94" t="s">
        <v>2595</v>
      </c>
      <c r="K94" s="25">
        <f>Tabelle5[[#This Row],[value_present]]*Tabelle5[[#This Row],[binding_level]]</f>
        <v>1</v>
      </c>
    </row>
    <row r="95" spans="1:11" x14ac:dyDescent="0.25">
      <c r="A95" s="24">
        <v>3</v>
      </c>
      <c r="B95" s="2">
        <v>21</v>
      </c>
      <c r="C95" s="2" t="s">
        <v>76</v>
      </c>
      <c r="D95" s="3">
        <v>0</v>
      </c>
      <c r="E95" s="1"/>
      <c r="I95" s="1" t="s">
        <v>1456</v>
      </c>
      <c r="J95" t="s">
        <v>2493</v>
      </c>
      <c r="K95" s="25">
        <f>Tabelle5[[#This Row],[value_present]]*Tabelle5[[#This Row],[binding_level]]</f>
        <v>0</v>
      </c>
    </row>
    <row r="96" spans="1:11" x14ac:dyDescent="0.25">
      <c r="A96" s="24">
        <v>3</v>
      </c>
      <c r="B96" s="2">
        <v>21</v>
      </c>
      <c r="C96" s="2" t="s">
        <v>83</v>
      </c>
      <c r="D96" s="3">
        <v>1</v>
      </c>
      <c r="E96" s="1">
        <v>1</v>
      </c>
      <c r="F96" t="s">
        <v>2625</v>
      </c>
      <c r="G96" t="s">
        <v>2624</v>
      </c>
      <c r="H96" t="s">
        <v>2596</v>
      </c>
      <c r="I96" s="1" t="s">
        <v>1456</v>
      </c>
      <c r="J96" t="s">
        <v>2597</v>
      </c>
      <c r="K96" s="25">
        <f>Tabelle5[[#This Row],[value_present]]*Tabelle5[[#This Row],[binding_level]]</f>
        <v>1</v>
      </c>
    </row>
    <row r="97" spans="1:11" x14ac:dyDescent="0.25">
      <c r="A97" s="24">
        <v>3</v>
      </c>
      <c r="B97" s="2">
        <v>21</v>
      </c>
      <c r="C97" s="2" t="s">
        <v>90</v>
      </c>
      <c r="D97" s="3">
        <v>1</v>
      </c>
      <c r="E97" s="1">
        <v>1</v>
      </c>
      <c r="F97" t="s">
        <v>2618</v>
      </c>
      <c r="G97" t="s">
        <v>2627</v>
      </c>
      <c r="H97" t="s">
        <v>2598</v>
      </c>
      <c r="I97" s="1" t="s">
        <v>1457</v>
      </c>
      <c r="J97" t="s">
        <v>2599</v>
      </c>
      <c r="K97" s="25">
        <f>Tabelle5[[#This Row],[value_present]]*Tabelle5[[#This Row],[binding_level]]</f>
        <v>1</v>
      </c>
    </row>
    <row r="98" spans="1:11" x14ac:dyDescent="0.25">
      <c r="A98" s="24">
        <v>3</v>
      </c>
      <c r="B98" s="2">
        <v>21</v>
      </c>
      <c r="C98" s="2" t="s">
        <v>98</v>
      </c>
      <c r="D98" s="3">
        <v>1</v>
      </c>
      <c r="E98" s="1">
        <v>1</v>
      </c>
      <c r="F98" t="s">
        <v>2628</v>
      </c>
      <c r="G98" t="s">
        <v>2626</v>
      </c>
      <c r="H98" t="s">
        <v>2600</v>
      </c>
      <c r="I98" s="1" t="s">
        <v>1457</v>
      </c>
      <c r="J98" t="s">
        <v>2601</v>
      </c>
      <c r="K98" s="25">
        <f>Tabelle5[[#This Row],[value_present]]*Tabelle5[[#This Row],[binding_level]]</f>
        <v>1</v>
      </c>
    </row>
    <row r="99" spans="1:11" x14ac:dyDescent="0.25">
      <c r="A99" s="24">
        <v>3</v>
      </c>
      <c r="B99" s="2">
        <v>21</v>
      </c>
      <c r="C99" s="2" t="s">
        <v>106</v>
      </c>
      <c r="D99" s="3">
        <v>1</v>
      </c>
      <c r="E99" s="1">
        <v>1</v>
      </c>
      <c r="F99" t="s">
        <v>2630</v>
      </c>
      <c r="G99" t="s">
        <v>2629</v>
      </c>
      <c r="H99" t="s">
        <v>2602</v>
      </c>
      <c r="I99" s="1" t="s">
        <v>1456</v>
      </c>
      <c r="J99" t="s">
        <v>2603</v>
      </c>
      <c r="K99" s="25">
        <f>Tabelle5[[#This Row],[value_present]]*Tabelle5[[#This Row],[binding_level]]</f>
        <v>1</v>
      </c>
    </row>
    <row r="100" spans="1:11" x14ac:dyDescent="0.25">
      <c r="A100" s="24">
        <v>3</v>
      </c>
      <c r="B100" s="2">
        <v>21</v>
      </c>
      <c r="C100" s="2" t="s">
        <v>112</v>
      </c>
      <c r="D100" s="3">
        <v>1</v>
      </c>
      <c r="E100" s="1">
        <v>1</v>
      </c>
      <c r="F100" t="s">
        <v>2631</v>
      </c>
      <c r="G100" t="s">
        <v>2623</v>
      </c>
      <c r="H100" t="s">
        <v>2604</v>
      </c>
      <c r="I100" s="1" t="s">
        <v>1456</v>
      </c>
      <c r="J100" t="s">
        <v>2605</v>
      </c>
      <c r="K100" s="25">
        <f>Tabelle5[[#This Row],[value_present]]*Tabelle5[[#This Row],[binding_level]]</f>
        <v>1</v>
      </c>
    </row>
    <row r="101" spans="1:11" x14ac:dyDescent="0.25">
      <c r="A101" s="24">
        <v>3</v>
      </c>
      <c r="B101" s="2">
        <v>21</v>
      </c>
      <c r="C101" s="2" t="s">
        <v>118</v>
      </c>
      <c r="D101" s="3">
        <v>0</v>
      </c>
      <c r="E101" s="1"/>
      <c r="I101" s="1" t="s">
        <v>1456</v>
      </c>
      <c r="J101" t="s">
        <v>2606</v>
      </c>
      <c r="K101" s="25">
        <f>Tabelle5[[#This Row],[value_present]]*Tabelle5[[#This Row],[binding_level]]</f>
        <v>0</v>
      </c>
    </row>
    <row r="102" spans="1:11" x14ac:dyDescent="0.25">
      <c r="A102" s="24">
        <v>3</v>
      </c>
      <c r="B102" s="2">
        <v>21</v>
      </c>
      <c r="C102" s="2" t="s">
        <v>125</v>
      </c>
      <c r="D102" s="3">
        <v>1</v>
      </c>
      <c r="E102" s="1">
        <v>1</v>
      </c>
      <c r="F102" t="s">
        <v>2633</v>
      </c>
      <c r="G102" t="s">
        <v>2632</v>
      </c>
      <c r="H102" t="s">
        <v>2607</v>
      </c>
      <c r="I102" s="1" t="s">
        <v>1457</v>
      </c>
      <c r="J102" t="s">
        <v>2608</v>
      </c>
      <c r="K102" s="25">
        <f>Tabelle5[[#This Row],[value_present]]*Tabelle5[[#This Row],[binding_level]]</f>
        <v>1</v>
      </c>
    </row>
    <row r="103" spans="1:11" x14ac:dyDescent="0.25">
      <c r="A103" s="24">
        <v>3</v>
      </c>
      <c r="B103" s="2">
        <v>21</v>
      </c>
      <c r="C103" s="2" t="s">
        <v>132</v>
      </c>
      <c r="D103" s="3">
        <v>1</v>
      </c>
      <c r="E103" s="1">
        <v>1</v>
      </c>
      <c r="F103" t="s">
        <v>2635</v>
      </c>
      <c r="G103" t="s">
        <v>2634</v>
      </c>
      <c r="H103" t="s">
        <v>2602</v>
      </c>
      <c r="I103" s="1" t="s">
        <v>1456</v>
      </c>
      <c r="J103" t="s">
        <v>2609</v>
      </c>
      <c r="K103" s="25">
        <f>Tabelle5[[#This Row],[value_present]]*Tabelle5[[#This Row],[binding_level]]</f>
        <v>1</v>
      </c>
    </row>
    <row r="104" spans="1:11" x14ac:dyDescent="0.25">
      <c r="A104" s="24">
        <v>3</v>
      </c>
      <c r="B104" s="2">
        <v>21</v>
      </c>
      <c r="C104" s="2" t="s">
        <v>140</v>
      </c>
      <c r="D104" s="3">
        <v>1</v>
      </c>
      <c r="E104" s="1">
        <v>1</v>
      </c>
      <c r="F104" t="s">
        <v>2637</v>
      </c>
      <c r="G104" t="s">
        <v>2636</v>
      </c>
      <c r="H104" t="s">
        <v>2610</v>
      </c>
      <c r="I104" s="1" t="s">
        <v>1456</v>
      </c>
      <c r="J104" t="s">
        <v>2611</v>
      </c>
      <c r="K104" s="25">
        <f>Tabelle5[[#This Row],[value_present]]*Tabelle5[[#This Row],[binding_level]]</f>
        <v>1</v>
      </c>
    </row>
    <row r="105" spans="1:11" x14ac:dyDescent="0.25">
      <c r="A105" s="24">
        <v>3</v>
      </c>
      <c r="B105" s="2">
        <v>21</v>
      </c>
      <c r="C105" s="2" t="s">
        <v>147</v>
      </c>
      <c r="D105" s="3">
        <v>1</v>
      </c>
      <c r="E105" s="1">
        <v>1</v>
      </c>
      <c r="F105" t="s">
        <v>2639</v>
      </c>
      <c r="G105" t="s">
        <v>2638</v>
      </c>
      <c r="H105" t="s">
        <v>2600</v>
      </c>
      <c r="I105" s="1" t="s">
        <v>1457</v>
      </c>
      <c r="J105" t="s">
        <v>2612</v>
      </c>
      <c r="K105" s="25">
        <f>Tabelle5[[#This Row],[value_present]]*Tabelle5[[#This Row],[binding_level]]</f>
        <v>1</v>
      </c>
    </row>
    <row r="106" spans="1:11" x14ac:dyDescent="0.25">
      <c r="A106" s="24">
        <v>3</v>
      </c>
      <c r="B106" s="2">
        <v>21</v>
      </c>
      <c r="C106" s="2" t="s">
        <v>154</v>
      </c>
      <c r="D106" s="3">
        <v>1</v>
      </c>
      <c r="E106" s="1">
        <v>1</v>
      </c>
      <c r="F106" t="s">
        <v>2641</v>
      </c>
      <c r="G106" t="s">
        <v>2640</v>
      </c>
      <c r="H106" t="s">
        <v>2602</v>
      </c>
      <c r="I106" s="1" t="s">
        <v>1456</v>
      </c>
      <c r="J106" t="s">
        <v>2613</v>
      </c>
      <c r="K106" s="25">
        <f>Tabelle5[[#This Row],[value_present]]*Tabelle5[[#This Row],[binding_level]]</f>
        <v>1</v>
      </c>
    </row>
    <row r="107" spans="1:11" x14ac:dyDescent="0.25">
      <c r="A107" s="24">
        <v>3</v>
      </c>
      <c r="B107" s="2">
        <v>21</v>
      </c>
      <c r="C107" s="2" t="s">
        <v>161</v>
      </c>
      <c r="D107" s="3">
        <v>0</v>
      </c>
      <c r="E107" s="1"/>
      <c r="I107" s="1" t="s">
        <v>1457</v>
      </c>
      <c r="J107" t="s">
        <v>2614</v>
      </c>
      <c r="K107" s="25">
        <f>Tabelle5[[#This Row],[value_present]]*Tabelle5[[#This Row],[binding_level]]</f>
        <v>0</v>
      </c>
    </row>
    <row r="108" spans="1:11" x14ac:dyDescent="0.25">
      <c r="A108" s="24">
        <v>3</v>
      </c>
      <c r="B108" s="2">
        <v>21</v>
      </c>
      <c r="C108" s="2" t="s">
        <v>166</v>
      </c>
      <c r="D108" s="3">
        <v>0</v>
      </c>
      <c r="E108" s="1"/>
      <c r="I108" s="1" t="s">
        <v>1456</v>
      </c>
      <c r="J108" t="s">
        <v>2615</v>
      </c>
      <c r="K108" s="25">
        <f>Tabelle5[[#This Row],[value_present]]*Tabelle5[[#This Row],[binding_level]]</f>
        <v>0</v>
      </c>
    </row>
    <row r="109" spans="1:11" ht="15.75" thickBot="1" x14ac:dyDescent="0.3">
      <c r="A109" s="26">
        <v>3</v>
      </c>
      <c r="B109" s="27">
        <v>21</v>
      </c>
      <c r="C109" s="27" t="s">
        <v>174</v>
      </c>
      <c r="D109" s="28">
        <v>1</v>
      </c>
      <c r="E109" s="29">
        <v>1</v>
      </c>
      <c r="F109" s="30" t="s">
        <v>2643</v>
      </c>
      <c r="G109" s="30" t="s">
        <v>2642</v>
      </c>
      <c r="H109" s="30" t="s">
        <v>2604</v>
      </c>
      <c r="I109" s="29" t="s">
        <v>1457</v>
      </c>
      <c r="J109" s="30" t="s">
        <v>2616</v>
      </c>
      <c r="K109" s="31">
        <f>Tabelle5[[#This Row],[value_present]]*Tabelle5[[#This Row],[binding_level]]</f>
        <v>1</v>
      </c>
    </row>
    <row r="110" spans="1:11" x14ac:dyDescent="0.25">
      <c r="A110" s="18">
        <v>4</v>
      </c>
      <c r="B110" s="19">
        <v>22</v>
      </c>
      <c r="C110" s="19" t="s">
        <v>53</v>
      </c>
      <c r="D110" s="20">
        <v>1</v>
      </c>
      <c r="E110" s="21">
        <v>2</v>
      </c>
      <c r="F110" s="22" t="s">
        <v>2706</v>
      </c>
      <c r="G110" s="22" t="s">
        <v>2705</v>
      </c>
      <c r="H110" s="22" t="s">
        <v>2676</v>
      </c>
      <c r="I110" s="21" t="s">
        <v>1456</v>
      </c>
      <c r="J110" s="22" t="s">
        <v>2677</v>
      </c>
      <c r="K110" s="23">
        <f>Tabelle5[[#This Row],[value_present]]*Tabelle5[[#This Row],[binding_level]]</f>
        <v>2</v>
      </c>
    </row>
    <row r="111" spans="1:11" x14ac:dyDescent="0.25">
      <c r="A111" s="24">
        <v>4</v>
      </c>
      <c r="B111" s="2">
        <v>22</v>
      </c>
      <c r="C111" s="2" t="s">
        <v>61</v>
      </c>
      <c r="D111" s="3">
        <v>1</v>
      </c>
      <c r="E111" s="1">
        <v>2</v>
      </c>
      <c r="F111" t="s">
        <v>2708</v>
      </c>
      <c r="G111" t="s">
        <v>2707</v>
      </c>
      <c r="H111" t="s">
        <v>2678</v>
      </c>
      <c r="I111" s="1" t="s">
        <v>1456</v>
      </c>
      <c r="J111" t="s">
        <v>2679</v>
      </c>
      <c r="K111" s="25">
        <f>Tabelle5[[#This Row],[value_present]]*Tabelle5[[#This Row],[binding_level]]</f>
        <v>2</v>
      </c>
    </row>
    <row r="112" spans="1:11" x14ac:dyDescent="0.25">
      <c r="A112" s="24">
        <v>4</v>
      </c>
      <c r="B112" s="2">
        <v>22</v>
      </c>
      <c r="C112" s="2" t="s">
        <v>69</v>
      </c>
      <c r="D112" s="3">
        <v>1</v>
      </c>
      <c r="E112" s="1">
        <v>2</v>
      </c>
      <c r="F112" t="s">
        <v>2710</v>
      </c>
      <c r="G112" t="s">
        <v>2709</v>
      </c>
      <c r="H112" t="s">
        <v>2680</v>
      </c>
      <c r="I112" s="1" t="s">
        <v>1456</v>
      </c>
      <c r="J112" t="s">
        <v>2681</v>
      </c>
      <c r="K112" s="25">
        <f>Tabelle5[[#This Row],[value_present]]*Tabelle5[[#This Row],[binding_level]]</f>
        <v>2</v>
      </c>
    </row>
    <row r="113" spans="1:11" x14ac:dyDescent="0.25">
      <c r="A113" s="24">
        <v>4</v>
      </c>
      <c r="B113" s="2">
        <v>22</v>
      </c>
      <c r="C113" s="2" t="s">
        <v>76</v>
      </c>
      <c r="D113" s="3">
        <v>0</v>
      </c>
      <c r="E113" s="1"/>
      <c r="I113" s="1" t="s">
        <v>1457</v>
      </c>
      <c r="J113" t="s">
        <v>2682</v>
      </c>
      <c r="K113" s="25">
        <f>Tabelle5[[#This Row],[value_present]]*Tabelle5[[#This Row],[binding_level]]</f>
        <v>0</v>
      </c>
    </row>
    <row r="114" spans="1:11" x14ac:dyDescent="0.25">
      <c r="A114" s="24">
        <v>4</v>
      </c>
      <c r="B114" s="2">
        <v>22</v>
      </c>
      <c r="C114" s="2" t="s">
        <v>83</v>
      </c>
      <c r="D114" s="3">
        <v>1</v>
      </c>
      <c r="E114" s="1">
        <v>2</v>
      </c>
      <c r="F114" t="s">
        <v>2712</v>
      </c>
      <c r="G114" t="s">
        <v>2711</v>
      </c>
      <c r="H114" t="s">
        <v>2683</v>
      </c>
      <c r="I114" s="1" t="s">
        <v>1456</v>
      </c>
      <c r="J114" t="s">
        <v>2684</v>
      </c>
      <c r="K114" s="25">
        <f>Tabelle5[[#This Row],[value_present]]*Tabelle5[[#This Row],[binding_level]]</f>
        <v>2</v>
      </c>
    </row>
    <row r="115" spans="1:11" x14ac:dyDescent="0.25">
      <c r="A115" s="24">
        <v>4</v>
      </c>
      <c r="B115" s="2">
        <v>22</v>
      </c>
      <c r="C115" s="2" t="s">
        <v>90</v>
      </c>
      <c r="D115" s="3">
        <v>1</v>
      </c>
      <c r="E115" s="1">
        <v>2</v>
      </c>
      <c r="F115" t="s">
        <v>2714</v>
      </c>
      <c r="G115" t="s">
        <v>2713</v>
      </c>
      <c r="H115" t="s">
        <v>2685</v>
      </c>
      <c r="I115" s="1" t="s">
        <v>1456</v>
      </c>
      <c r="J115" t="s">
        <v>2686</v>
      </c>
      <c r="K115" s="25">
        <f>Tabelle5[[#This Row],[value_present]]*Tabelle5[[#This Row],[binding_level]]</f>
        <v>2</v>
      </c>
    </row>
    <row r="116" spans="1:11" x14ac:dyDescent="0.25">
      <c r="A116" s="24">
        <v>4</v>
      </c>
      <c r="B116" s="2">
        <v>22</v>
      </c>
      <c r="C116" s="2" t="s">
        <v>98</v>
      </c>
      <c r="D116" s="3">
        <v>1</v>
      </c>
      <c r="E116" s="1">
        <v>2</v>
      </c>
      <c r="F116" t="s">
        <v>2716</v>
      </c>
      <c r="G116" t="s">
        <v>2715</v>
      </c>
      <c r="H116" t="s">
        <v>2687</v>
      </c>
      <c r="I116" s="1" t="s">
        <v>1456</v>
      </c>
      <c r="J116" t="s">
        <v>2688</v>
      </c>
      <c r="K116" s="25">
        <f>Tabelle5[[#This Row],[value_present]]*Tabelle5[[#This Row],[binding_level]]</f>
        <v>2</v>
      </c>
    </row>
    <row r="117" spans="1:11" x14ac:dyDescent="0.25">
      <c r="A117" s="24">
        <v>4</v>
      </c>
      <c r="B117" s="2">
        <v>22</v>
      </c>
      <c r="C117" s="2" t="s">
        <v>106</v>
      </c>
      <c r="D117" s="3">
        <v>1</v>
      </c>
      <c r="E117" s="1">
        <v>2</v>
      </c>
      <c r="F117" t="s">
        <v>2721</v>
      </c>
      <c r="G117" t="s">
        <v>2718</v>
      </c>
      <c r="H117" t="s">
        <v>2689</v>
      </c>
      <c r="I117" s="1" t="s">
        <v>1456</v>
      </c>
      <c r="J117" t="s">
        <v>2690</v>
      </c>
      <c r="K117" s="25">
        <f>Tabelle5[[#This Row],[value_present]]*Tabelle5[[#This Row],[binding_level]]</f>
        <v>2</v>
      </c>
    </row>
    <row r="118" spans="1:11" x14ac:dyDescent="0.25">
      <c r="A118" s="24">
        <v>4</v>
      </c>
      <c r="B118" s="2">
        <v>22</v>
      </c>
      <c r="C118" s="2" t="s">
        <v>112</v>
      </c>
      <c r="D118" s="3">
        <v>1</v>
      </c>
      <c r="E118" s="1">
        <v>2</v>
      </c>
      <c r="F118" t="s">
        <v>2719</v>
      </c>
      <c r="G118" t="s">
        <v>2720</v>
      </c>
      <c r="H118" t="s">
        <v>2691</v>
      </c>
      <c r="I118" s="1" t="s">
        <v>1456</v>
      </c>
      <c r="J118" t="s">
        <v>2692</v>
      </c>
      <c r="K118" s="25">
        <f>Tabelle5[[#This Row],[value_present]]*Tabelle5[[#This Row],[binding_level]]</f>
        <v>2</v>
      </c>
    </row>
    <row r="119" spans="1:11" x14ac:dyDescent="0.25">
      <c r="A119" s="24">
        <v>4</v>
      </c>
      <c r="B119" s="2">
        <v>22</v>
      </c>
      <c r="C119" s="2" t="s">
        <v>118</v>
      </c>
      <c r="D119" s="3">
        <v>0</v>
      </c>
      <c r="E119" s="1"/>
      <c r="I119" s="1" t="s">
        <v>1456</v>
      </c>
      <c r="J119" t="s">
        <v>2160</v>
      </c>
      <c r="K119" s="25">
        <f>Tabelle5[[#This Row],[value_present]]*Tabelle5[[#This Row],[binding_level]]</f>
        <v>0</v>
      </c>
    </row>
    <row r="120" spans="1:11" x14ac:dyDescent="0.25">
      <c r="A120" s="24">
        <v>4</v>
      </c>
      <c r="B120" s="2">
        <v>22</v>
      </c>
      <c r="C120" s="2" t="s">
        <v>125</v>
      </c>
      <c r="D120" s="3">
        <v>0</v>
      </c>
      <c r="E120" s="1"/>
      <c r="I120" s="1" t="s">
        <v>1457</v>
      </c>
      <c r="J120" t="s">
        <v>2693</v>
      </c>
      <c r="K120" s="25">
        <f>Tabelle5[[#This Row],[value_present]]*Tabelle5[[#This Row],[binding_level]]</f>
        <v>0</v>
      </c>
    </row>
    <row r="121" spans="1:11" x14ac:dyDescent="0.25">
      <c r="A121" s="24">
        <v>4</v>
      </c>
      <c r="B121" s="2">
        <v>22</v>
      </c>
      <c r="C121" s="2" t="s">
        <v>132</v>
      </c>
      <c r="D121" s="3">
        <v>0</v>
      </c>
      <c r="E121" s="1"/>
      <c r="I121" s="1" t="s">
        <v>1456</v>
      </c>
      <c r="J121" t="s">
        <v>2694</v>
      </c>
      <c r="K121" s="25">
        <f>Tabelle5[[#This Row],[value_present]]*Tabelle5[[#This Row],[binding_level]]</f>
        <v>0</v>
      </c>
    </row>
    <row r="122" spans="1:11" x14ac:dyDescent="0.25">
      <c r="A122" s="24">
        <v>4</v>
      </c>
      <c r="B122" s="2">
        <v>22</v>
      </c>
      <c r="C122" s="2" t="s">
        <v>140</v>
      </c>
      <c r="D122" s="3">
        <v>0</v>
      </c>
      <c r="E122" s="1"/>
      <c r="I122" s="1" t="s">
        <v>1457</v>
      </c>
      <c r="J122" t="s">
        <v>2695</v>
      </c>
      <c r="K122" s="25">
        <f>Tabelle5[[#This Row],[value_present]]*Tabelle5[[#This Row],[binding_level]]</f>
        <v>0</v>
      </c>
    </row>
    <row r="123" spans="1:11" x14ac:dyDescent="0.25">
      <c r="A123" s="24">
        <v>4</v>
      </c>
      <c r="B123" s="2">
        <v>22</v>
      </c>
      <c r="C123" s="2" t="s">
        <v>147</v>
      </c>
      <c r="D123" s="3">
        <v>1</v>
      </c>
      <c r="E123" s="1">
        <v>2</v>
      </c>
      <c r="F123" t="s">
        <v>2722</v>
      </c>
      <c r="G123" t="s">
        <v>2717</v>
      </c>
      <c r="H123" t="s">
        <v>2696</v>
      </c>
      <c r="I123" s="1" t="s">
        <v>1456</v>
      </c>
      <c r="J123" t="s">
        <v>2697</v>
      </c>
      <c r="K123" s="25">
        <f>Tabelle5[[#This Row],[value_present]]*Tabelle5[[#This Row],[binding_level]]</f>
        <v>2</v>
      </c>
    </row>
    <row r="124" spans="1:11" x14ac:dyDescent="0.25">
      <c r="A124" s="24">
        <v>4</v>
      </c>
      <c r="B124" s="2">
        <v>22</v>
      </c>
      <c r="C124" s="2" t="s">
        <v>154</v>
      </c>
      <c r="D124" s="3">
        <v>1</v>
      </c>
      <c r="E124" s="1">
        <v>2</v>
      </c>
      <c r="F124" t="s">
        <v>2724</v>
      </c>
      <c r="G124" t="s">
        <v>2723</v>
      </c>
      <c r="H124" t="s">
        <v>2698</v>
      </c>
      <c r="I124" s="1" t="s">
        <v>1456</v>
      </c>
      <c r="J124" t="s">
        <v>2699</v>
      </c>
      <c r="K124" s="25">
        <f>Tabelle5[[#This Row],[value_present]]*Tabelle5[[#This Row],[binding_level]]</f>
        <v>2</v>
      </c>
    </row>
    <row r="125" spans="1:11" x14ac:dyDescent="0.25">
      <c r="A125" s="24">
        <v>4</v>
      </c>
      <c r="B125" s="2">
        <v>22</v>
      </c>
      <c r="C125" s="2" t="s">
        <v>161</v>
      </c>
      <c r="D125" s="3">
        <v>1</v>
      </c>
      <c r="E125" s="1">
        <v>1</v>
      </c>
      <c r="F125" t="s">
        <v>2726</v>
      </c>
      <c r="G125" t="s">
        <v>2725</v>
      </c>
      <c r="H125" t="s">
        <v>2700</v>
      </c>
      <c r="I125" s="1" t="s">
        <v>1457</v>
      </c>
      <c r="J125" t="s">
        <v>2701</v>
      </c>
      <c r="K125" s="25">
        <f>Tabelle5[[#This Row],[value_present]]*Tabelle5[[#This Row],[binding_level]]</f>
        <v>1</v>
      </c>
    </row>
    <row r="126" spans="1:11" x14ac:dyDescent="0.25">
      <c r="A126" s="24">
        <v>4</v>
      </c>
      <c r="B126" s="2">
        <v>22</v>
      </c>
      <c r="C126" s="2" t="s">
        <v>166</v>
      </c>
      <c r="D126" s="3">
        <v>0</v>
      </c>
      <c r="E126" s="1"/>
      <c r="I126" s="1" t="s">
        <v>1457</v>
      </c>
      <c r="J126" t="s">
        <v>2702</v>
      </c>
      <c r="K126" s="25">
        <f>Tabelle5[[#This Row],[value_present]]*Tabelle5[[#This Row],[binding_level]]</f>
        <v>0</v>
      </c>
    </row>
    <row r="127" spans="1:11" ht="15.75" thickBot="1" x14ac:dyDescent="0.3">
      <c r="A127" s="24">
        <v>4</v>
      </c>
      <c r="B127" s="2">
        <v>22</v>
      </c>
      <c r="C127" s="2" t="s">
        <v>174</v>
      </c>
      <c r="D127" s="3">
        <v>1</v>
      </c>
      <c r="E127" s="1">
        <v>2</v>
      </c>
      <c r="F127" t="s">
        <v>2714</v>
      </c>
      <c r="G127" t="s">
        <v>2727</v>
      </c>
      <c r="H127" t="s">
        <v>2703</v>
      </c>
      <c r="I127" s="1" t="s">
        <v>1456</v>
      </c>
      <c r="J127" t="s">
        <v>2704</v>
      </c>
      <c r="K127" s="25">
        <f>Tabelle5[[#This Row],[value_present]]*Tabelle5[[#This Row],[binding_level]]</f>
        <v>2</v>
      </c>
    </row>
    <row r="128" spans="1:11" x14ac:dyDescent="0.25">
      <c r="A128" s="18">
        <v>4</v>
      </c>
      <c r="B128" s="19">
        <v>23</v>
      </c>
      <c r="C128" s="19" t="s">
        <v>53</v>
      </c>
      <c r="D128" s="20">
        <v>0</v>
      </c>
      <c r="E128" s="21"/>
      <c r="F128" s="22"/>
      <c r="G128" s="22"/>
      <c r="H128" s="22"/>
      <c r="I128" s="21" t="s">
        <v>1456</v>
      </c>
      <c r="J128" s="22" t="s">
        <v>2489</v>
      </c>
      <c r="K128" s="23">
        <f>Tabelle5[[#This Row],[value_present]]*Tabelle5[[#This Row],[binding_level]]</f>
        <v>0</v>
      </c>
    </row>
    <row r="129" spans="1:11" x14ac:dyDescent="0.25">
      <c r="A129" s="24">
        <v>4</v>
      </c>
      <c r="B129" s="2">
        <v>23</v>
      </c>
      <c r="C129" s="2" t="s">
        <v>61</v>
      </c>
      <c r="D129" s="3">
        <v>0</v>
      </c>
      <c r="E129" s="1"/>
      <c r="I129" s="1" t="s">
        <v>1457</v>
      </c>
      <c r="J129" t="s">
        <v>2750</v>
      </c>
      <c r="K129" s="25">
        <f>Tabelle5[[#This Row],[value_present]]*Tabelle5[[#This Row],[binding_level]]</f>
        <v>0</v>
      </c>
    </row>
    <row r="130" spans="1:11" x14ac:dyDescent="0.25">
      <c r="A130" s="24">
        <v>4</v>
      </c>
      <c r="B130" s="2">
        <v>23</v>
      </c>
      <c r="C130" s="2" t="s">
        <v>69</v>
      </c>
      <c r="D130" s="3">
        <v>1</v>
      </c>
      <c r="E130" s="1">
        <v>1</v>
      </c>
      <c r="F130" t="s">
        <v>2766</v>
      </c>
      <c r="G130" t="s">
        <v>2765</v>
      </c>
      <c r="H130" t="s">
        <v>2751</v>
      </c>
      <c r="I130" s="1" t="s">
        <v>1457</v>
      </c>
      <c r="J130" t="s">
        <v>2752</v>
      </c>
      <c r="K130" s="25">
        <f>Tabelle5[[#This Row],[value_present]]*Tabelle5[[#This Row],[binding_level]]</f>
        <v>1</v>
      </c>
    </row>
    <row r="131" spans="1:11" x14ac:dyDescent="0.25">
      <c r="A131" s="24">
        <v>4</v>
      </c>
      <c r="B131" s="2">
        <v>23</v>
      </c>
      <c r="C131" s="2" t="s">
        <v>76</v>
      </c>
      <c r="D131" s="3">
        <v>0</v>
      </c>
      <c r="E131" s="1"/>
      <c r="I131" s="1" t="s">
        <v>1456</v>
      </c>
      <c r="J131" t="s">
        <v>2493</v>
      </c>
      <c r="K131" s="25">
        <f>Tabelle5[[#This Row],[value_present]]*Tabelle5[[#This Row],[binding_level]]</f>
        <v>0</v>
      </c>
    </row>
    <row r="132" spans="1:11" x14ac:dyDescent="0.25">
      <c r="A132" s="24">
        <v>4</v>
      </c>
      <c r="B132" s="2">
        <v>23</v>
      </c>
      <c r="C132" s="2" t="s">
        <v>83</v>
      </c>
      <c r="D132" s="3">
        <v>1</v>
      </c>
      <c r="E132" s="1">
        <v>1</v>
      </c>
      <c r="F132" t="s">
        <v>2768</v>
      </c>
      <c r="G132" t="s">
        <v>2767</v>
      </c>
      <c r="H132" t="s">
        <v>2753</v>
      </c>
      <c r="I132" s="1" t="s">
        <v>1456</v>
      </c>
      <c r="J132" t="s">
        <v>2754</v>
      </c>
      <c r="K132" s="25">
        <f>Tabelle5[[#This Row],[value_present]]*Tabelle5[[#This Row],[binding_level]]</f>
        <v>1</v>
      </c>
    </row>
    <row r="133" spans="1:11" x14ac:dyDescent="0.25">
      <c r="A133" s="24">
        <v>4</v>
      </c>
      <c r="B133" s="2">
        <v>23</v>
      </c>
      <c r="C133" s="2" t="s">
        <v>90</v>
      </c>
      <c r="D133" s="3">
        <v>1</v>
      </c>
      <c r="E133" s="1">
        <v>1</v>
      </c>
      <c r="F133" t="s">
        <v>2766</v>
      </c>
      <c r="G133" t="s">
        <v>2765</v>
      </c>
      <c r="H133" t="s">
        <v>2751</v>
      </c>
      <c r="I133" s="1" t="s">
        <v>1457</v>
      </c>
      <c r="J133" t="s">
        <v>2755</v>
      </c>
      <c r="K133" s="25">
        <f>Tabelle5[[#This Row],[value_present]]*Tabelle5[[#This Row],[binding_level]]</f>
        <v>1</v>
      </c>
    </row>
    <row r="134" spans="1:11" x14ac:dyDescent="0.25">
      <c r="A134" s="24">
        <v>4</v>
      </c>
      <c r="B134" s="2">
        <v>23</v>
      </c>
      <c r="C134" s="2" t="s">
        <v>98</v>
      </c>
      <c r="D134" s="3">
        <v>0</v>
      </c>
      <c r="E134" s="1"/>
      <c r="I134" s="1" t="s">
        <v>1456</v>
      </c>
      <c r="J134" t="s">
        <v>2756</v>
      </c>
      <c r="K134" s="25">
        <f>Tabelle5[[#This Row],[value_present]]*Tabelle5[[#This Row],[binding_level]]</f>
        <v>0</v>
      </c>
    </row>
    <row r="135" spans="1:11" x14ac:dyDescent="0.25">
      <c r="A135" s="24">
        <v>4</v>
      </c>
      <c r="B135" s="2">
        <v>23</v>
      </c>
      <c r="C135" s="2" t="s">
        <v>106</v>
      </c>
      <c r="D135" s="3">
        <v>0</v>
      </c>
      <c r="E135" s="1"/>
      <c r="I135" s="1" t="s">
        <v>1456</v>
      </c>
      <c r="J135" t="s">
        <v>2757</v>
      </c>
      <c r="K135" s="25">
        <f>Tabelle5[[#This Row],[value_present]]*Tabelle5[[#This Row],[binding_level]]</f>
        <v>0</v>
      </c>
    </row>
    <row r="136" spans="1:11" x14ac:dyDescent="0.25">
      <c r="A136" s="24">
        <v>4</v>
      </c>
      <c r="B136" s="2">
        <v>23</v>
      </c>
      <c r="C136" s="2" t="s">
        <v>112</v>
      </c>
      <c r="D136" s="3">
        <v>0</v>
      </c>
      <c r="E136" s="1"/>
      <c r="I136" s="1" t="s">
        <v>1456</v>
      </c>
      <c r="J136" t="s">
        <v>2758</v>
      </c>
      <c r="K136" s="25">
        <f>Tabelle5[[#This Row],[value_present]]*Tabelle5[[#This Row],[binding_level]]</f>
        <v>0</v>
      </c>
    </row>
    <row r="137" spans="1:11" x14ac:dyDescent="0.25">
      <c r="A137" s="24">
        <v>4</v>
      </c>
      <c r="B137" s="2">
        <v>23</v>
      </c>
      <c r="C137" s="2" t="s">
        <v>118</v>
      </c>
      <c r="D137" s="3">
        <v>0</v>
      </c>
      <c r="E137" s="1"/>
      <c r="I137" s="1" t="s">
        <v>1456</v>
      </c>
      <c r="J137" t="s">
        <v>2606</v>
      </c>
      <c r="K137" s="25">
        <f>Tabelle5[[#This Row],[value_present]]*Tabelle5[[#This Row],[binding_level]]</f>
        <v>0</v>
      </c>
    </row>
    <row r="138" spans="1:11" x14ac:dyDescent="0.25">
      <c r="A138" s="24">
        <v>4</v>
      </c>
      <c r="B138" s="2">
        <v>23</v>
      </c>
      <c r="C138" s="2" t="s">
        <v>125</v>
      </c>
      <c r="D138" s="3">
        <v>1</v>
      </c>
      <c r="E138" s="1">
        <v>2</v>
      </c>
      <c r="F138" t="s">
        <v>2770</v>
      </c>
      <c r="G138" t="s">
        <v>2769</v>
      </c>
      <c r="H138" t="s">
        <v>2753</v>
      </c>
      <c r="I138" s="1" t="s">
        <v>1456</v>
      </c>
      <c r="J138" t="s">
        <v>2759</v>
      </c>
      <c r="K138" s="25">
        <f>Tabelle5[[#This Row],[value_present]]*Tabelle5[[#This Row],[binding_level]]</f>
        <v>2</v>
      </c>
    </row>
    <row r="139" spans="1:11" x14ac:dyDescent="0.25">
      <c r="A139" s="24">
        <v>4</v>
      </c>
      <c r="B139" s="2">
        <v>23</v>
      </c>
      <c r="C139" s="2" t="s">
        <v>132</v>
      </c>
      <c r="D139" s="3">
        <v>0</v>
      </c>
      <c r="E139" s="1"/>
      <c r="I139" s="1" t="s">
        <v>1456</v>
      </c>
      <c r="J139" t="s">
        <v>2694</v>
      </c>
      <c r="K139" s="25">
        <f>Tabelle5[[#This Row],[value_present]]*Tabelle5[[#This Row],[binding_level]]</f>
        <v>0</v>
      </c>
    </row>
    <row r="140" spans="1:11" x14ac:dyDescent="0.25">
      <c r="A140" s="24">
        <v>4</v>
      </c>
      <c r="B140" s="2">
        <v>23</v>
      </c>
      <c r="C140" s="2" t="s">
        <v>140</v>
      </c>
      <c r="D140" s="3">
        <v>1</v>
      </c>
      <c r="E140" s="1">
        <v>1</v>
      </c>
      <c r="F140" t="s">
        <v>2772</v>
      </c>
      <c r="G140" t="s">
        <v>2771</v>
      </c>
      <c r="H140" t="s">
        <v>2753</v>
      </c>
      <c r="I140" s="1" t="s">
        <v>1457</v>
      </c>
      <c r="J140" t="s">
        <v>2760</v>
      </c>
      <c r="K140" s="25">
        <f>Tabelle5[[#This Row],[value_present]]*Tabelle5[[#This Row],[binding_level]]</f>
        <v>1</v>
      </c>
    </row>
    <row r="141" spans="1:11" x14ac:dyDescent="0.25">
      <c r="A141" s="24">
        <v>4</v>
      </c>
      <c r="B141" s="2">
        <v>23</v>
      </c>
      <c r="C141" s="2" t="s">
        <v>147</v>
      </c>
      <c r="D141" s="3">
        <v>0</v>
      </c>
      <c r="E141" s="1"/>
      <c r="I141" s="1" t="s">
        <v>1457</v>
      </c>
      <c r="J141" t="s">
        <v>2761</v>
      </c>
      <c r="K141" s="25">
        <f>Tabelle5[[#This Row],[value_present]]*Tabelle5[[#This Row],[binding_level]]</f>
        <v>0</v>
      </c>
    </row>
    <row r="142" spans="1:11" x14ac:dyDescent="0.25">
      <c r="A142" s="24">
        <v>4</v>
      </c>
      <c r="B142" s="2">
        <v>23</v>
      </c>
      <c r="C142" s="2" t="s">
        <v>154</v>
      </c>
      <c r="D142" s="3">
        <v>1</v>
      </c>
      <c r="E142" s="1">
        <v>2</v>
      </c>
      <c r="F142" t="s">
        <v>2774</v>
      </c>
      <c r="G142" t="s">
        <v>2773</v>
      </c>
      <c r="H142" t="s">
        <v>2753</v>
      </c>
      <c r="I142" s="1" t="s">
        <v>1456</v>
      </c>
      <c r="J142" t="s">
        <v>2762</v>
      </c>
      <c r="K142" s="25">
        <f>Tabelle5[[#This Row],[value_present]]*Tabelle5[[#This Row],[binding_level]]</f>
        <v>2</v>
      </c>
    </row>
    <row r="143" spans="1:11" x14ac:dyDescent="0.25">
      <c r="A143" s="24">
        <v>4</v>
      </c>
      <c r="B143" s="2">
        <v>23</v>
      </c>
      <c r="C143" s="2" t="s">
        <v>161</v>
      </c>
      <c r="D143" s="3">
        <v>0</v>
      </c>
      <c r="E143" s="1"/>
      <c r="I143" s="1" t="s">
        <v>1456</v>
      </c>
      <c r="J143" t="s">
        <v>2763</v>
      </c>
      <c r="K143" s="25">
        <f>Tabelle5[[#This Row],[value_present]]*Tabelle5[[#This Row],[binding_level]]</f>
        <v>0</v>
      </c>
    </row>
    <row r="144" spans="1:11" x14ac:dyDescent="0.25">
      <c r="A144" s="24">
        <v>4</v>
      </c>
      <c r="B144" s="2">
        <v>23</v>
      </c>
      <c r="C144" s="2" t="s">
        <v>166</v>
      </c>
      <c r="D144" s="3">
        <v>0</v>
      </c>
      <c r="E144" s="1"/>
      <c r="I144" s="1" t="s">
        <v>1456</v>
      </c>
      <c r="J144" t="s">
        <v>2505</v>
      </c>
      <c r="K144" s="25">
        <f>Tabelle5[[#This Row],[value_present]]*Tabelle5[[#This Row],[binding_level]]</f>
        <v>0</v>
      </c>
    </row>
    <row r="145" spans="1:11" ht="15.75" thickBot="1" x14ac:dyDescent="0.3">
      <c r="A145" s="26">
        <v>4</v>
      </c>
      <c r="B145" s="27">
        <v>23</v>
      </c>
      <c r="C145" s="27" t="s">
        <v>174</v>
      </c>
      <c r="D145" s="28">
        <v>0</v>
      </c>
      <c r="E145" s="29"/>
      <c r="F145" s="30"/>
      <c r="G145" s="30"/>
      <c r="H145" s="30"/>
      <c r="I145" s="29" t="s">
        <v>1456</v>
      </c>
      <c r="J145" s="30" t="s">
        <v>2764</v>
      </c>
      <c r="K145" s="31">
        <f>Tabelle5[[#This Row],[value_present]]*Tabelle5[[#This Row],[binding_level]]</f>
        <v>0</v>
      </c>
    </row>
    <row r="146" spans="1:11" x14ac:dyDescent="0.25">
      <c r="A146" s="18">
        <v>4</v>
      </c>
      <c r="B146" s="19">
        <v>24</v>
      </c>
      <c r="C146" s="19" t="s">
        <v>53</v>
      </c>
      <c r="D146" s="20">
        <v>1</v>
      </c>
      <c r="E146" s="21">
        <v>2</v>
      </c>
      <c r="F146" s="22" t="s">
        <v>2810</v>
      </c>
      <c r="G146" s="22" t="s">
        <v>2811</v>
      </c>
      <c r="H146" s="22" t="s">
        <v>2797</v>
      </c>
      <c r="I146" s="21" t="s">
        <v>1456</v>
      </c>
      <c r="J146" s="22" t="s">
        <v>2798</v>
      </c>
      <c r="K146" s="23">
        <f>Tabelle5[[#This Row],[value_present]]*Tabelle5[[#This Row],[binding_level]]</f>
        <v>2</v>
      </c>
    </row>
    <row r="147" spans="1:11" x14ac:dyDescent="0.25">
      <c r="A147" s="24">
        <v>4</v>
      </c>
      <c r="B147" s="2">
        <v>24</v>
      </c>
      <c r="C147" s="2" t="s">
        <v>61</v>
      </c>
      <c r="D147" s="3">
        <v>0</v>
      </c>
      <c r="E147" s="1"/>
      <c r="I147" s="1" t="s">
        <v>1456</v>
      </c>
      <c r="J147" t="s">
        <v>2799</v>
      </c>
      <c r="K147" s="25">
        <f>Tabelle5[[#This Row],[value_present]]*Tabelle5[[#This Row],[binding_level]]</f>
        <v>0</v>
      </c>
    </row>
    <row r="148" spans="1:11" x14ac:dyDescent="0.25">
      <c r="A148" s="24">
        <v>4</v>
      </c>
      <c r="B148" s="2">
        <v>24</v>
      </c>
      <c r="C148" s="2" t="s">
        <v>69</v>
      </c>
      <c r="D148" s="3">
        <v>0</v>
      </c>
      <c r="E148" s="1"/>
      <c r="I148" s="1" t="s">
        <v>1456</v>
      </c>
      <c r="J148" t="s">
        <v>2800</v>
      </c>
      <c r="K148" s="25">
        <f>Tabelle5[[#This Row],[value_present]]*Tabelle5[[#This Row],[binding_level]]</f>
        <v>0</v>
      </c>
    </row>
    <row r="149" spans="1:11" x14ac:dyDescent="0.25">
      <c r="A149" s="24">
        <v>4</v>
      </c>
      <c r="B149" s="2">
        <v>24</v>
      </c>
      <c r="C149" s="2" t="s">
        <v>76</v>
      </c>
      <c r="D149" s="3">
        <v>0</v>
      </c>
      <c r="E149" s="1"/>
      <c r="I149" s="1" t="s">
        <v>1456</v>
      </c>
      <c r="J149" t="s">
        <v>2493</v>
      </c>
      <c r="K149" s="25">
        <f>Tabelle5[[#This Row],[value_present]]*Tabelle5[[#This Row],[binding_level]]</f>
        <v>0</v>
      </c>
    </row>
    <row r="150" spans="1:11" x14ac:dyDescent="0.25">
      <c r="A150" s="24">
        <v>4</v>
      </c>
      <c r="B150" s="2">
        <v>24</v>
      </c>
      <c r="C150" s="2" t="s">
        <v>83</v>
      </c>
      <c r="D150" s="3">
        <v>0</v>
      </c>
      <c r="E150" s="1"/>
      <c r="I150" s="1" t="s">
        <v>1456</v>
      </c>
      <c r="J150" t="s">
        <v>2801</v>
      </c>
      <c r="K150" s="25">
        <f>Tabelle5[[#This Row],[value_present]]*Tabelle5[[#This Row],[binding_level]]</f>
        <v>0</v>
      </c>
    </row>
    <row r="151" spans="1:11" x14ac:dyDescent="0.25">
      <c r="A151" s="24">
        <v>4</v>
      </c>
      <c r="B151" s="2">
        <v>24</v>
      </c>
      <c r="C151" s="2" t="s">
        <v>90</v>
      </c>
      <c r="D151" s="3">
        <v>1</v>
      </c>
      <c r="E151" s="1">
        <v>2</v>
      </c>
      <c r="F151" t="s">
        <v>2813</v>
      </c>
      <c r="G151" t="s">
        <v>2812</v>
      </c>
      <c r="H151" t="s">
        <v>2797</v>
      </c>
      <c r="I151" s="1" t="s">
        <v>1456</v>
      </c>
      <c r="J151" t="s">
        <v>2802</v>
      </c>
      <c r="K151" s="25">
        <f>Tabelle5[[#This Row],[value_present]]*Tabelle5[[#This Row],[binding_level]]</f>
        <v>2</v>
      </c>
    </row>
    <row r="152" spans="1:11" x14ac:dyDescent="0.25">
      <c r="A152" s="24">
        <v>4</v>
      </c>
      <c r="B152" s="2">
        <v>24</v>
      </c>
      <c r="C152" s="2" t="s">
        <v>98</v>
      </c>
      <c r="D152" s="3">
        <v>0</v>
      </c>
      <c r="E152" s="1"/>
      <c r="I152" s="1" t="s">
        <v>1457</v>
      </c>
      <c r="J152" t="s">
        <v>2803</v>
      </c>
      <c r="K152" s="25">
        <f>Tabelle5[[#This Row],[value_present]]*Tabelle5[[#This Row],[binding_level]]</f>
        <v>0</v>
      </c>
    </row>
    <row r="153" spans="1:11" x14ac:dyDescent="0.25">
      <c r="A153" s="24">
        <v>4</v>
      </c>
      <c r="B153" s="2">
        <v>24</v>
      </c>
      <c r="C153" s="2" t="s">
        <v>106</v>
      </c>
      <c r="D153" s="3">
        <v>0</v>
      </c>
      <c r="E153" s="1"/>
      <c r="I153" s="1" t="s">
        <v>1456</v>
      </c>
      <c r="J153" t="s">
        <v>2804</v>
      </c>
      <c r="K153" s="25">
        <f>Tabelle5[[#This Row],[value_present]]*Tabelle5[[#This Row],[binding_level]]</f>
        <v>0</v>
      </c>
    </row>
    <row r="154" spans="1:11" x14ac:dyDescent="0.25">
      <c r="A154" s="24">
        <v>4</v>
      </c>
      <c r="B154" s="2">
        <v>24</v>
      </c>
      <c r="C154" s="2" t="s">
        <v>112</v>
      </c>
      <c r="D154" s="3">
        <v>0</v>
      </c>
      <c r="E154" s="1"/>
      <c r="I154" s="1" t="s">
        <v>1456</v>
      </c>
      <c r="J154" t="s">
        <v>2758</v>
      </c>
      <c r="K154" s="25">
        <f>Tabelle5[[#This Row],[value_present]]*Tabelle5[[#This Row],[binding_level]]</f>
        <v>0</v>
      </c>
    </row>
    <row r="155" spans="1:11" x14ac:dyDescent="0.25">
      <c r="A155" s="24">
        <v>4</v>
      </c>
      <c r="B155" s="2">
        <v>24</v>
      </c>
      <c r="C155" s="2" t="s">
        <v>118</v>
      </c>
      <c r="D155" s="3">
        <v>0</v>
      </c>
      <c r="E155" s="1"/>
      <c r="I155" s="1" t="s">
        <v>1456</v>
      </c>
      <c r="J155" t="s">
        <v>2160</v>
      </c>
      <c r="K155" s="25">
        <f>Tabelle5[[#This Row],[value_present]]*Tabelle5[[#This Row],[binding_level]]</f>
        <v>0</v>
      </c>
    </row>
    <row r="156" spans="1:11" x14ac:dyDescent="0.25">
      <c r="A156" s="24">
        <v>4</v>
      </c>
      <c r="B156" s="2">
        <v>24</v>
      </c>
      <c r="C156" s="2" t="s">
        <v>125</v>
      </c>
      <c r="D156" s="3">
        <v>0</v>
      </c>
      <c r="E156" s="1"/>
      <c r="I156" s="1" t="s">
        <v>1456</v>
      </c>
      <c r="J156" t="s">
        <v>2499</v>
      </c>
      <c r="K156" s="25">
        <f>Tabelle5[[#This Row],[value_present]]*Tabelle5[[#This Row],[binding_level]]</f>
        <v>0</v>
      </c>
    </row>
    <row r="157" spans="1:11" x14ac:dyDescent="0.25">
      <c r="A157" s="24">
        <v>4</v>
      </c>
      <c r="B157" s="2">
        <v>24</v>
      </c>
      <c r="C157" s="2" t="s">
        <v>132</v>
      </c>
      <c r="D157" s="3">
        <v>0</v>
      </c>
      <c r="E157" s="1"/>
      <c r="I157" s="1" t="s">
        <v>1456</v>
      </c>
      <c r="J157" t="s">
        <v>2805</v>
      </c>
      <c r="K157" s="25">
        <f>Tabelle5[[#This Row],[value_present]]*Tabelle5[[#This Row],[binding_level]]</f>
        <v>0</v>
      </c>
    </row>
    <row r="158" spans="1:11" x14ac:dyDescent="0.25">
      <c r="A158" s="24">
        <v>4</v>
      </c>
      <c r="B158" s="2">
        <v>24</v>
      </c>
      <c r="C158" s="2" t="s">
        <v>140</v>
      </c>
      <c r="D158" s="3">
        <v>0</v>
      </c>
      <c r="E158" s="1"/>
      <c r="I158" s="1" t="s">
        <v>1457</v>
      </c>
      <c r="J158" t="s">
        <v>2806</v>
      </c>
      <c r="K158" s="25">
        <f>Tabelle5[[#This Row],[value_present]]*Tabelle5[[#This Row],[binding_level]]</f>
        <v>0</v>
      </c>
    </row>
    <row r="159" spans="1:11" x14ac:dyDescent="0.25">
      <c r="A159" s="24">
        <v>4</v>
      </c>
      <c r="B159" s="2">
        <v>24</v>
      </c>
      <c r="C159" s="2" t="s">
        <v>147</v>
      </c>
      <c r="D159" s="3">
        <v>1</v>
      </c>
      <c r="E159" s="1">
        <v>2</v>
      </c>
      <c r="F159" t="s">
        <v>2815</v>
      </c>
      <c r="G159" t="s">
        <v>2814</v>
      </c>
      <c r="H159" t="s">
        <v>2797</v>
      </c>
      <c r="I159" s="1" t="s">
        <v>1456</v>
      </c>
      <c r="J159" t="s">
        <v>2807</v>
      </c>
      <c r="K159" s="25">
        <f>Tabelle5[[#This Row],[value_present]]*Tabelle5[[#This Row],[binding_level]]</f>
        <v>2</v>
      </c>
    </row>
    <row r="160" spans="1:11" x14ac:dyDescent="0.25">
      <c r="A160" s="24">
        <v>4</v>
      </c>
      <c r="B160" s="2">
        <v>24</v>
      </c>
      <c r="C160" s="2" t="s">
        <v>154</v>
      </c>
      <c r="D160" s="3">
        <v>0</v>
      </c>
      <c r="E160" s="1"/>
      <c r="I160" s="1" t="s">
        <v>1457</v>
      </c>
      <c r="J160" t="s">
        <v>2808</v>
      </c>
      <c r="K160" s="25">
        <f>Tabelle5[[#This Row],[value_present]]*Tabelle5[[#This Row],[binding_level]]</f>
        <v>0</v>
      </c>
    </row>
    <row r="161" spans="1:11" x14ac:dyDescent="0.25">
      <c r="A161" s="24">
        <v>4</v>
      </c>
      <c r="B161" s="2">
        <v>24</v>
      </c>
      <c r="C161" s="2" t="s">
        <v>161</v>
      </c>
      <c r="D161" s="3">
        <v>0</v>
      </c>
      <c r="E161" s="1"/>
      <c r="I161" s="1" t="s">
        <v>1456</v>
      </c>
      <c r="J161" t="s">
        <v>2809</v>
      </c>
      <c r="K161" s="25">
        <f>Tabelle5[[#This Row],[value_present]]*Tabelle5[[#This Row],[binding_level]]</f>
        <v>0</v>
      </c>
    </row>
    <row r="162" spans="1:11" x14ac:dyDescent="0.25">
      <c r="A162" s="24">
        <v>4</v>
      </c>
      <c r="B162" s="2">
        <v>24</v>
      </c>
      <c r="C162" s="2" t="s">
        <v>166</v>
      </c>
      <c r="D162" s="3">
        <v>0</v>
      </c>
      <c r="E162" s="1"/>
      <c r="I162" s="1" t="s">
        <v>1456</v>
      </c>
      <c r="J162" t="s">
        <v>2505</v>
      </c>
      <c r="K162" s="25">
        <f>Tabelle5[[#This Row],[value_present]]*Tabelle5[[#This Row],[binding_level]]</f>
        <v>0</v>
      </c>
    </row>
    <row r="163" spans="1:11" ht="15.75" thickBot="1" x14ac:dyDescent="0.3">
      <c r="A163" s="26">
        <v>4</v>
      </c>
      <c r="B163" s="27">
        <v>24</v>
      </c>
      <c r="C163" s="27" t="s">
        <v>174</v>
      </c>
      <c r="D163" s="28">
        <v>0</v>
      </c>
      <c r="E163" s="29"/>
      <c r="F163" s="30"/>
      <c r="G163" s="30"/>
      <c r="H163" s="30"/>
      <c r="I163" s="29" t="s">
        <v>1456</v>
      </c>
      <c r="J163" s="30" t="s">
        <v>2506</v>
      </c>
      <c r="K163" s="31">
        <f>Tabelle5[[#This Row],[value_present]]*Tabelle5[[#This Row],[binding_level]]</f>
        <v>0</v>
      </c>
    </row>
    <row r="164" spans="1:11" x14ac:dyDescent="0.25">
      <c r="A164" s="18">
        <v>5</v>
      </c>
      <c r="B164" s="19">
        <v>27</v>
      </c>
      <c r="C164" s="19" t="s">
        <v>53</v>
      </c>
      <c r="D164" s="20">
        <v>1</v>
      </c>
      <c r="E164" s="21">
        <v>2</v>
      </c>
      <c r="F164" s="22" t="s">
        <v>2852</v>
      </c>
      <c r="G164" s="22" t="s">
        <v>2853</v>
      </c>
      <c r="H164" s="22" t="s">
        <v>2833</v>
      </c>
      <c r="I164" s="21" t="s">
        <v>1456</v>
      </c>
      <c r="J164" s="22" t="s">
        <v>2834</v>
      </c>
      <c r="K164" s="23">
        <f>Tabelle5[[#This Row],[value_present]]*Tabelle5[[#This Row],[binding_level]]</f>
        <v>2</v>
      </c>
    </row>
    <row r="165" spans="1:11" x14ac:dyDescent="0.25">
      <c r="A165" s="24">
        <v>5</v>
      </c>
      <c r="B165" s="2">
        <v>27</v>
      </c>
      <c r="C165" s="2" t="s">
        <v>61</v>
      </c>
      <c r="D165" s="3">
        <v>1</v>
      </c>
      <c r="E165" s="1">
        <v>1</v>
      </c>
      <c r="F165" t="s">
        <v>2855</v>
      </c>
      <c r="G165" t="s">
        <v>2854</v>
      </c>
      <c r="H165" t="s">
        <v>2833</v>
      </c>
      <c r="I165" s="1" t="s">
        <v>1457</v>
      </c>
      <c r="J165" t="s">
        <v>2835</v>
      </c>
      <c r="K165" s="25">
        <f>Tabelle5[[#This Row],[value_present]]*Tabelle5[[#This Row],[binding_level]]</f>
        <v>1</v>
      </c>
    </row>
    <row r="166" spans="1:11" x14ac:dyDescent="0.25">
      <c r="A166" s="24">
        <v>5</v>
      </c>
      <c r="B166" s="2">
        <v>27</v>
      </c>
      <c r="C166" s="2" t="s">
        <v>69</v>
      </c>
      <c r="D166" s="3">
        <v>1</v>
      </c>
      <c r="E166" s="1">
        <v>1</v>
      </c>
      <c r="F166" t="s">
        <v>2857</v>
      </c>
      <c r="G166" t="s">
        <v>2856</v>
      </c>
      <c r="H166" t="s">
        <v>2833</v>
      </c>
      <c r="I166" s="1" t="s">
        <v>1456</v>
      </c>
      <c r="J166" t="s">
        <v>2836</v>
      </c>
      <c r="K166" s="25">
        <f>Tabelle5[[#This Row],[value_present]]*Tabelle5[[#This Row],[binding_level]]</f>
        <v>1</v>
      </c>
    </row>
    <row r="167" spans="1:11" x14ac:dyDescent="0.25">
      <c r="A167" s="24">
        <v>5</v>
      </c>
      <c r="B167" s="2">
        <v>27</v>
      </c>
      <c r="C167" s="2" t="s">
        <v>76</v>
      </c>
      <c r="D167" s="3">
        <v>0</v>
      </c>
      <c r="E167" s="1"/>
      <c r="I167" s="1" t="s">
        <v>1456</v>
      </c>
      <c r="J167" t="s">
        <v>2837</v>
      </c>
      <c r="K167" s="25">
        <f>Tabelle5[[#This Row],[value_present]]*Tabelle5[[#This Row],[binding_level]]</f>
        <v>0</v>
      </c>
    </row>
    <row r="168" spans="1:11" x14ac:dyDescent="0.25">
      <c r="A168" s="24">
        <v>5</v>
      </c>
      <c r="B168" s="2">
        <v>27</v>
      </c>
      <c r="C168" s="2" t="s">
        <v>83</v>
      </c>
      <c r="D168" s="3">
        <v>1</v>
      </c>
      <c r="E168" s="1">
        <v>2</v>
      </c>
      <c r="F168" t="s">
        <v>2858</v>
      </c>
      <c r="G168" t="s">
        <v>2859</v>
      </c>
      <c r="H168" t="s">
        <v>2833</v>
      </c>
      <c r="I168" s="1" t="s">
        <v>1456</v>
      </c>
      <c r="J168" t="s">
        <v>2838</v>
      </c>
      <c r="K168" s="25">
        <f>Tabelle5[[#This Row],[value_present]]*Tabelle5[[#This Row],[binding_level]]</f>
        <v>2</v>
      </c>
    </row>
    <row r="169" spans="1:11" x14ac:dyDescent="0.25">
      <c r="A169" s="24">
        <v>5</v>
      </c>
      <c r="B169" s="2">
        <v>27</v>
      </c>
      <c r="C169" s="2" t="s">
        <v>90</v>
      </c>
      <c r="D169" s="3">
        <v>0</v>
      </c>
      <c r="E169" s="1"/>
      <c r="I169" s="1" t="s">
        <v>1456</v>
      </c>
      <c r="J169" t="s">
        <v>2839</v>
      </c>
      <c r="K169" s="25">
        <f>Tabelle5[[#This Row],[value_present]]*Tabelle5[[#This Row],[binding_level]]</f>
        <v>0</v>
      </c>
    </row>
    <row r="170" spans="1:11" x14ac:dyDescent="0.25">
      <c r="A170" s="24">
        <v>5</v>
      </c>
      <c r="B170" s="2">
        <v>27</v>
      </c>
      <c r="C170" s="2" t="s">
        <v>98</v>
      </c>
      <c r="D170" s="3">
        <v>0</v>
      </c>
      <c r="E170" s="1"/>
      <c r="I170" s="1" t="s">
        <v>1456</v>
      </c>
      <c r="J170" t="s">
        <v>2840</v>
      </c>
      <c r="K170" s="25">
        <f>Tabelle5[[#This Row],[value_present]]*Tabelle5[[#This Row],[binding_level]]</f>
        <v>0</v>
      </c>
    </row>
    <row r="171" spans="1:11" x14ac:dyDescent="0.25">
      <c r="A171" s="24">
        <v>5</v>
      </c>
      <c r="B171" s="2">
        <v>27</v>
      </c>
      <c r="C171" s="2" t="s">
        <v>106</v>
      </c>
      <c r="D171" s="3">
        <v>1</v>
      </c>
      <c r="E171" s="1">
        <v>1</v>
      </c>
      <c r="F171" t="s">
        <v>2861</v>
      </c>
      <c r="G171" t="s">
        <v>2860</v>
      </c>
      <c r="H171" t="s">
        <v>2833</v>
      </c>
      <c r="I171" s="1" t="s">
        <v>1456</v>
      </c>
      <c r="J171" t="s">
        <v>2841</v>
      </c>
      <c r="K171" s="25">
        <f>Tabelle5[[#This Row],[value_present]]*Tabelle5[[#This Row],[binding_level]]</f>
        <v>1</v>
      </c>
    </row>
    <row r="172" spans="1:11" x14ac:dyDescent="0.25">
      <c r="A172" s="24">
        <v>5</v>
      </c>
      <c r="B172" s="2">
        <v>27</v>
      </c>
      <c r="C172" s="2" t="s">
        <v>112</v>
      </c>
      <c r="D172" s="3">
        <v>1</v>
      </c>
      <c r="E172" s="1">
        <v>2</v>
      </c>
      <c r="F172" t="s">
        <v>2863</v>
      </c>
      <c r="G172" t="s">
        <v>2862</v>
      </c>
      <c r="H172" t="s">
        <v>2833</v>
      </c>
      <c r="I172" s="1" t="s">
        <v>1457</v>
      </c>
      <c r="J172" t="s">
        <v>2842</v>
      </c>
      <c r="K172" s="25">
        <f>Tabelle5[[#This Row],[value_present]]*Tabelle5[[#This Row],[binding_level]]</f>
        <v>2</v>
      </c>
    </row>
    <row r="173" spans="1:11" x14ac:dyDescent="0.25">
      <c r="A173" s="24">
        <v>5</v>
      </c>
      <c r="B173" s="2">
        <v>27</v>
      </c>
      <c r="C173" s="2" t="s">
        <v>118</v>
      </c>
      <c r="D173" s="3">
        <v>0</v>
      </c>
      <c r="E173" s="1"/>
      <c r="I173" s="1" t="s">
        <v>1456</v>
      </c>
      <c r="J173" t="s">
        <v>2843</v>
      </c>
      <c r="K173" s="25">
        <f>Tabelle5[[#This Row],[value_present]]*Tabelle5[[#This Row],[binding_level]]</f>
        <v>0</v>
      </c>
    </row>
    <row r="174" spans="1:11" x14ac:dyDescent="0.25">
      <c r="A174" s="24">
        <v>5</v>
      </c>
      <c r="B174" s="2">
        <v>27</v>
      </c>
      <c r="C174" s="2" t="s">
        <v>125</v>
      </c>
      <c r="D174" s="3">
        <v>0</v>
      </c>
      <c r="E174" s="1"/>
      <c r="I174" s="1" t="s">
        <v>1457</v>
      </c>
      <c r="J174" t="s">
        <v>2844</v>
      </c>
      <c r="K174" s="25">
        <f>Tabelle5[[#This Row],[value_present]]*Tabelle5[[#This Row],[binding_level]]</f>
        <v>0</v>
      </c>
    </row>
    <row r="175" spans="1:11" x14ac:dyDescent="0.25">
      <c r="A175" s="24">
        <v>5</v>
      </c>
      <c r="B175" s="2">
        <v>27</v>
      </c>
      <c r="C175" s="2" t="s">
        <v>132</v>
      </c>
      <c r="D175" s="3">
        <v>0</v>
      </c>
      <c r="E175" s="1"/>
      <c r="I175" s="1" t="s">
        <v>1456</v>
      </c>
      <c r="J175" t="s">
        <v>2845</v>
      </c>
      <c r="K175" s="25">
        <f>Tabelle5[[#This Row],[value_present]]*Tabelle5[[#This Row],[binding_level]]</f>
        <v>0</v>
      </c>
    </row>
    <row r="176" spans="1:11" x14ac:dyDescent="0.25">
      <c r="A176" s="24">
        <v>5</v>
      </c>
      <c r="B176" s="2">
        <v>27</v>
      </c>
      <c r="C176" s="2" t="s">
        <v>140</v>
      </c>
      <c r="D176" s="3">
        <v>1</v>
      </c>
      <c r="E176" s="1">
        <v>1</v>
      </c>
      <c r="F176" t="s">
        <v>2865</v>
      </c>
      <c r="G176" t="s">
        <v>2864</v>
      </c>
      <c r="H176" t="s">
        <v>2833</v>
      </c>
      <c r="I176" s="1" t="s">
        <v>1456</v>
      </c>
      <c r="J176" t="s">
        <v>2846</v>
      </c>
      <c r="K176" s="25">
        <f>Tabelle5[[#This Row],[value_present]]*Tabelle5[[#This Row],[binding_level]]</f>
        <v>1</v>
      </c>
    </row>
    <row r="177" spans="1:11" x14ac:dyDescent="0.25">
      <c r="A177" s="24">
        <v>5</v>
      </c>
      <c r="B177" s="2">
        <v>27</v>
      </c>
      <c r="C177" s="2" t="s">
        <v>147</v>
      </c>
      <c r="D177" s="3">
        <v>1</v>
      </c>
      <c r="E177" s="1">
        <v>2</v>
      </c>
      <c r="F177" t="s">
        <v>2866</v>
      </c>
      <c r="G177" t="s">
        <v>1529</v>
      </c>
      <c r="H177" t="s">
        <v>2833</v>
      </c>
      <c r="I177" s="1" t="s">
        <v>1456</v>
      </c>
      <c r="J177" t="s">
        <v>2847</v>
      </c>
      <c r="K177" s="25">
        <f>Tabelle5[[#This Row],[value_present]]*Tabelle5[[#This Row],[binding_level]]</f>
        <v>2</v>
      </c>
    </row>
    <row r="178" spans="1:11" x14ac:dyDescent="0.25">
      <c r="A178" s="24">
        <v>5</v>
      </c>
      <c r="B178" s="2">
        <v>27</v>
      </c>
      <c r="C178" s="2" t="s">
        <v>154</v>
      </c>
      <c r="D178" s="3">
        <v>0</v>
      </c>
      <c r="E178" s="1"/>
      <c r="I178" s="1" t="s">
        <v>1457</v>
      </c>
      <c r="J178" t="s">
        <v>2848</v>
      </c>
      <c r="K178" s="25">
        <f>Tabelle5[[#This Row],[value_present]]*Tabelle5[[#This Row],[binding_level]]</f>
        <v>0</v>
      </c>
    </row>
    <row r="179" spans="1:11" x14ac:dyDescent="0.25">
      <c r="A179" s="24">
        <v>5</v>
      </c>
      <c r="B179" s="2">
        <v>27</v>
      </c>
      <c r="C179" s="2" t="s">
        <v>161</v>
      </c>
      <c r="D179" s="3">
        <v>1</v>
      </c>
      <c r="E179" s="1">
        <v>3</v>
      </c>
      <c r="F179" t="s">
        <v>2868</v>
      </c>
      <c r="G179" t="s">
        <v>2867</v>
      </c>
      <c r="H179" t="s">
        <v>2833</v>
      </c>
      <c r="I179" s="1" t="s">
        <v>1456</v>
      </c>
      <c r="J179" t="s">
        <v>2849</v>
      </c>
      <c r="K179" s="25">
        <f>Tabelle5[[#This Row],[value_present]]*Tabelle5[[#This Row],[binding_level]]</f>
        <v>3</v>
      </c>
    </row>
    <row r="180" spans="1:11" x14ac:dyDescent="0.25">
      <c r="A180" s="24">
        <v>5</v>
      </c>
      <c r="B180" s="2">
        <v>27</v>
      </c>
      <c r="C180" s="2" t="s">
        <v>166</v>
      </c>
      <c r="D180" s="3">
        <v>0</v>
      </c>
      <c r="E180" s="1"/>
      <c r="I180" s="1" t="s">
        <v>1456</v>
      </c>
      <c r="J180" t="s">
        <v>2850</v>
      </c>
      <c r="K180" s="25">
        <f>Tabelle5[[#This Row],[value_present]]*Tabelle5[[#This Row],[binding_level]]</f>
        <v>0</v>
      </c>
    </row>
    <row r="181" spans="1:11" ht="15.75" thickBot="1" x14ac:dyDescent="0.3">
      <c r="A181" s="26">
        <v>5</v>
      </c>
      <c r="B181" s="27">
        <v>27</v>
      </c>
      <c r="C181" s="27" t="s">
        <v>174</v>
      </c>
      <c r="D181" s="28">
        <v>0</v>
      </c>
      <c r="E181" s="29"/>
      <c r="F181" s="30"/>
      <c r="G181" s="30"/>
      <c r="H181" s="30"/>
      <c r="I181" s="29" t="s">
        <v>1457</v>
      </c>
      <c r="J181" s="30" t="s">
        <v>2851</v>
      </c>
      <c r="K181" s="31">
        <f>Tabelle5[[#This Row],[value_present]]*Tabelle5[[#This Row],[binding_level]]</f>
        <v>0</v>
      </c>
    </row>
    <row r="182" spans="1:11" x14ac:dyDescent="0.25">
      <c r="A182" s="18">
        <v>5</v>
      </c>
      <c r="B182" s="19">
        <v>28</v>
      </c>
      <c r="C182" s="19" t="s">
        <v>53</v>
      </c>
      <c r="D182" s="20">
        <v>1</v>
      </c>
      <c r="E182" s="21">
        <v>2</v>
      </c>
      <c r="F182" s="22" t="s">
        <v>2921</v>
      </c>
      <c r="G182" s="22" t="s">
        <v>2922</v>
      </c>
      <c r="H182" s="22" t="s">
        <v>2892</v>
      </c>
      <c r="I182" s="21" t="s">
        <v>1456</v>
      </c>
      <c r="J182" s="22" t="s">
        <v>2893</v>
      </c>
      <c r="K182" s="23">
        <f>Tabelle5[[#This Row],[value_present]]*Tabelle5[[#This Row],[binding_level]]</f>
        <v>2</v>
      </c>
    </row>
    <row r="183" spans="1:11" x14ac:dyDescent="0.25">
      <c r="A183" s="24">
        <v>5</v>
      </c>
      <c r="B183" s="2">
        <v>28</v>
      </c>
      <c r="C183" s="2" t="s">
        <v>61</v>
      </c>
      <c r="D183" s="3">
        <v>1</v>
      </c>
      <c r="E183" s="1">
        <v>2</v>
      </c>
      <c r="F183" t="s">
        <v>2924</v>
      </c>
      <c r="G183" t="s">
        <v>2923</v>
      </c>
      <c r="H183" t="s">
        <v>2894</v>
      </c>
      <c r="I183" s="1" t="s">
        <v>1457</v>
      </c>
      <c r="J183" t="s">
        <v>2895</v>
      </c>
      <c r="K183" s="25">
        <f>Tabelle5[[#This Row],[value_present]]*Tabelle5[[#This Row],[binding_level]]</f>
        <v>2</v>
      </c>
    </row>
    <row r="184" spans="1:11" x14ac:dyDescent="0.25">
      <c r="A184" s="24">
        <v>5</v>
      </c>
      <c r="B184" s="2">
        <v>28</v>
      </c>
      <c r="C184" s="2" t="s">
        <v>69</v>
      </c>
      <c r="D184" s="3">
        <v>1</v>
      </c>
      <c r="E184" s="1">
        <v>2</v>
      </c>
      <c r="F184" t="s">
        <v>2926</v>
      </c>
      <c r="G184" t="s">
        <v>2925</v>
      </c>
      <c r="H184" t="s">
        <v>2896</v>
      </c>
      <c r="I184" s="1" t="s">
        <v>1456</v>
      </c>
      <c r="J184" t="s">
        <v>2897</v>
      </c>
      <c r="K184" s="25">
        <f>Tabelle5[[#This Row],[value_present]]*Tabelle5[[#This Row],[binding_level]]</f>
        <v>2</v>
      </c>
    </row>
    <row r="185" spans="1:11" x14ac:dyDescent="0.25">
      <c r="A185" s="24">
        <v>5</v>
      </c>
      <c r="B185" s="2">
        <v>28</v>
      </c>
      <c r="C185" s="2" t="s">
        <v>76</v>
      </c>
      <c r="D185" s="3">
        <v>0</v>
      </c>
      <c r="E185" s="1"/>
      <c r="I185" s="1" t="s">
        <v>1456</v>
      </c>
      <c r="J185" t="s">
        <v>2898</v>
      </c>
      <c r="K185" s="25">
        <f>Tabelle5[[#This Row],[value_present]]*Tabelle5[[#This Row],[binding_level]]</f>
        <v>0</v>
      </c>
    </row>
    <row r="186" spans="1:11" x14ac:dyDescent="0.25">
      <c r="A186" s="24">
        <v>5</v>
      </c>
      <c r="B186" s="2">
        <v>28</v>
      </c>
      <c r="C186" s="2" t="s">
        <v>83</v>
      </c>
      <c r="D186" s="3">
        <v>1</v>
      </c>
      <c r="E186" s="1">
        <v>2</v>
      </c>
      <c r="F186" t="s">
        <v>2928</v>
      </c>
      <c r="G186" t="s">
        <v>2927</v>
      </c>
      <c r="H186" t="s">
        <v>2899</v>
      </c>
      <c r="I186" s="1" t="s">
        <v>1456</v>
      </c>
      <c r="J186" t="s">
        <v>2900</v>
      </c>
      <c r="K186" s="25">
        <f>Tabelle5[[#This Row],[value_present]]*Tabelle5[[#This Row],[binding_level]]</f>
        <v>2</v>
      </c>
    </row>
    <row r="187" spans="1:11" x14ac:dyDescent="0.25">
      <c r="A187" s="24">
        <v>5</v>
      </c>
      <c r="B187" s="2">
        <v>28</v>
      </c>
      <c r="C187" s="2" t="s">
        <v>90</v>
      </c>
      <c r="D187" s="3">
        <v>1</v>
      </c>
      <c r="E187" s="1">
        <v>3</v>
      </c>
      <c r="F187" t="s">
        <v>2930</v>
      </c>
      <c r="G187" t="s">
        <v>2929</v>
      </c>
      <c r="H187" t="s">
        <v>2901</v>
      </c>
      <c r="I187" s="1" t="s">
        <v>1456</v>
      </c>
      <c r="J187" t="s">
        <v>2902</v>
      </c>
      <c r="K187" s="25">
        <f>Tabelle5[[#This Row],[value_present]]*Tabelle5[[#This Row],[binding_level]]</f>
        <v>3</v>
      </c>
    </row>
    <row r="188" spans="1:11" x14ac:dyDescent="0.25">
      <c r="A188" s="24">
        <v>5</v>
      </c>
      <c r="B188" s="2">
        <v>28</v>
      </c>
      <c r="C188" s="2" t="s">
        <v>98</v>
      </c>
      <c r="D188" s="3">
        <v>0</v>
      </c>
      <c r="E188" s="1"/>
      <c r="I188" s="1" t="s">
        <v>1457</v>
      </c>
      <c r="J188" t="s">
        <v>2903</v>
      </c>
      <c r="K188" s="25">
        <f>Tabelle5[[#This Row],[value_present]]*Tabelle5[[#This Row],[binding_level]]</f>
        <v>0</v>
      </c>
    </row>
    <row r="189" spans="1:11" x14ac:dyDescent="0.25">
      <c r="A189" s="24">
        <v>5</v>
      </c>
      <c r="B189" s="2">
        <v>28</v>
      </c>
      <c r="C189" s="2" t="s">
        <v>106</v>
      </c>
      <c r="D189" s="3">
        <v>1</v>
      </c>
      <c r="E189" s="1">
        <v>2</v>
      </c>
      <c r="F189" t="s">
        <v>2932</v>
      </c>
      <c r="G189" t="s">
        <v>2931</v>
      </c>
      <c r="H189" t="s">
        <v>2904</v>
      </c>
      <c r="I189" s="1" t="s">
        <v>1457</v>
      </c>
      <c r="J189" t="s">
        <v>2905</v>
      </c>
      <c r="K189" s="25">
        <f>Tabelle5[[#This Row],[value_present]]*Tabelle5[[#This Row],[binding_level]]</f>
        <v>2</v>
      </c>
    </row>
    <row r="190" spans="1:11" x14ac:dyDescent="0.25">
      <c r="A190" s="24">
        <v>5</v>
      </c>
      <c r="B190" s="2">
        <v>28</v>
      </c>
      <c r="C190" s="2" t="s">
        <v>112</v>
      </c>
      <c r="D190" s="3">
        <v>1</v>
      </c>
      <c r="E190" s="1">
        <v>2</v>
      </c>
      <c r="F190" t="s">
        <v>2934</v>
      </c>
      <c r="G190" t="s">
        <v>2933</v>
      </c>
      <c r="H190" t="s">
        <v>2906</v>
      </c>
      <c r="I190" s="1" t="s">
        <v>1456</v>
      </c>
      <c r="J190" t="s">
        <v>2907</v>
      </c>
      <c r="K190" s="25">
        <f>Tabelle5[[#This Row],[value_present]]*Tabelle5[[#This Row],[binding_level]]</f>
        <v>2</v>
      </c>
    </row>
    <row r="191" spans="1:11" x14ac:dyDescent="0.25">
      <c r="A191" s="24">
        <v>5</v>
      </c>
      <c r="B191" s="2">
        <v>28</v>
      </c>
      <c r="C191" s="2" t="s">
        <v>118</v>
      </c>
      <c r="D191" s="3">
        <v>0</v>
      </c>
      <c r="E191" s="1"/>
      <c r="I191" s="1" t="s">
        <v>1456</v>
      </c>
      <c r="J191" t="s">
        <v>2908</v>
      </c>
      <c r="K191" s="25">
        <f>Tabelle5[[#This Row],[value_present]]*Tabelle5[[#This Row],[binding_level]]</f>
        <v>0</v>
      </c>
    </row>
    <row r="192" spans="1:11" x14ac:dyDescent="0.25">
      <c r="A192" s="24">
        <v>5</v>
      </c>
      <c r="B192" s="2">
        <v>28</v>
      </c>
      <c r="C192" s="2" t="s">
        <v>125</v>
      </c>
      <c r="D192" s="3">
        <v>0</v>
      </c>
      <c r="E192" s="1"/>
      <c r="I192" s="1" t="s">
        <v>1456</v>
      </c>
      <c r="J192" t="s">
        <v>2909</v>
      </c>
      <c r="K192" s="25">
        <f>Tabelle5[[#This Row],[value_present]]*Tabelle5[[#This Row],[binding_level]]</f>
        <v>0</v>
      </c>
    </row>
    <row r="193" spans="1:11" x14ac:dyDescent="0.25">
      <c r="A193" s="24">
        <v>5</v>
      </c>
      <c r="B193" s="2">
        <v>28</v>
      </c>
      <c r="C193" s="2" t="s">
        <v>132</v>
      </c>
      <c r="D193" s="3">
        <v>0</v>
      </c>
      <c r="E193" s="1"/>
      <c r="I193" s="1" t="s">
        <v>1456</v>
      </c>
      <c r="J193" t="s">
        <v>2910</v>
      </c>
      <c r="K193" s="25">
        <f>Tabelle5[[#This Row],[value_present]]*Tabelle5[[#This Row],[binding_level]]</f>
        <v>0</v>
      </c>
    </row>
    <row r="194" spans="1:11" x14ac:dyDescent="0.25">
      <c r="A194" s="24">
        <v>5</v>
      </c>
      <c r="B194" s="2">
        <v>28</v>
      </c>
      <c r="C194" s="2" t="s">
        <v>140</v>
      </c>
      <c r="D194" s="3">
        <v>0</v>
      </c>
      <c r="E194" s="1"/>
      <c r="I194" s="1" t="s">
        <v>1457</v>
      </c>
      <c r="J194" t="s">
        <v>2911</v>
      </c>
      <c r="K194" s="25">
        <f>Tabelle5[[#This Row],[value_present]]*Tabelle5[[#This Row],[binding_level]]</f>
        <v>0</v>
      </c>
    </row>
    <row r="195" spans="1:11" x14ac:dyDescent="0.25">
      <c r="A195" s="24">
        <v>5</v>
      </c>
      <c r="B195" s="2">
        <v>28</v>
      </c>
      <c r="C195" s="2" t="s">
        <v>147</v>
      </c>
      <c r="D195" s="3">
        <v>1</v>
      </c>
      <c r="E195" s="1">
        <v>3</v>
      </c>
      <c r="F195" t="s">
        <v>2935</v>
      </c>
      <c r="G195" t="s">
        <v>2936</v>
      </c>
      <c r="H195" t="s">
        <v>2912</v>
      </c>
      <c r="I195" s="1" t="s">
        <v>1456</v>
      </c>
      <c r="J195" t="s">
        <v>2913</v>
      </c>
      <c r="K195" s="25">
        <f>Tabelle5[[#This Row],[value_present]]*Tabelle5[[#This Row],[binding_level]]</f>
        <v>3</v>
      </c>
    </row>
    <row r="196" spans="1:11" x14ac:dyDescent="0.25">
      <c r="A196" s="24">
        <v>5</v>
      </c>
      <c r="B196" s="2">
        <v>28</v>
      </c>
      <c r="C196" s="2" t="s">
        <v>154</v>
      </c>
      <c r="D196" s="3">
        <v>1</v>
      </c>
      <c r="E196" s="1">
        <v>2</v>
      </c>
      <c r="F196" t="s">
        <v>2937</v>
      </c>
      <c r="G196" t="s">
        <v>2938</v>
      </c>
      <c r="H196" t="s">
        <v>2914</v>
      </c>
      <c r="I196" s="1" t="s">
        <v>1456</v>
      </c>
      <c r="J196" t="s">
        <v>2915</v>
      </c>
      <c r="K196" s="25">
        <f>Tabelle5[[#This Row],[value_present]]*Tabelle5[[#This Row],[binding_level]]</f>
        <v>2</v>
      </c>
    </row>
    <row r="197" spans="1:11" x14ac:dyDescent="0.25">
      <c r="A197" s="24">
        <v>5</v>
      </c>
      <c r="B197" s="2">
        <v>28</v>
      </c>
      <c r="C197" s="2" t="s">
        <v>161</v>
      </c>
      <c r="D197" s="3">
        <v>1</v>
      </c>
      <c r="E197" s="1">
        <v>3</v>
      </c>
      <c r="F197" t="s">
        <v>2939</v>
      </c>
      <c r="G197" t="s">
        <v>2940</v>
      </c>
      <c r="H197" t="s">
        <v>2916</v>
      </c>
      <c r="I197" s="1" t="s">
        <v>1456</v>
      </c>
      <c r="J197" t="s">
        <v>2917</v>
      </c>
      <c r="K197" s="25">
        <f>Tabelle5[[#This Row],[value_present]]*Tabelle5[[#This Row],[binding_level]]</f>
        <v>3</v>
      </c>
    </row>
    <row r="198" spans="1:11" x14ac:dyDescent="0.25">
      <c r="A198" s="24">
        <v>5</v>
      </c>
      <c r="B198" s="2">
        <v>28</v>
      </c>
      <c r="C198" s="2" t="s">
        <v>166</v>
      </c>
      <c r="D198" s="3">
        <v>1</v>
      </c>
      <c r="E198" s="1">
        <v>2</v>
      </c>
      <c r="F198" t="s">
        <v>2941</v>
      </c>
      <c r="G198" t="s">
        <v>2942</v>
      </c>
      <c r="H198" t="s">
        <v>2918</v>
      </c>
      <c r="I198" s="1" t="s">
        <v>1456</v>
      </c>
      <c r="J198" t="s">
        <v>2919</v>
      </c>
      <c r="K198" s="25">
        <f>Tabelle5[[#This Row],[value_present]]*Tabelle5[[#This Row],[binding_level]]</f>
        <v>2</v>
      </c>
    </row>
    <row r="199" spans="1:11" ht="15.75" thickBot="1" x14ac:dyDescent="0.3">
      <c r="A199" s="26">
        <v>5</v>
      </c>
      <c r="B199" s="27">
        <v>28</v>
      </c>
      <c r="C199" s="27" t="s">
        <v>174</v>
      </c>
      <c r="D199" s="28">
        <v>0</v>
      </c>
      <c r="E199" s="29"/>
      <c r="F199" s="30"/>
      <c r="G199" s="30"/>
      <c r="H199" s="30"/>
      <c r="I199" s="29" t="s">
        <v>1456</v>
      </c>
      <c r="J199" s="30" t="s">
        <v>2920</v>
      </c>
      <c r="K199" s="31">
        <f>Tabelle5[[#This Row],[value_present]]*Tabelle5[[#This Row],[binding_level]]</f>
        <v>0</v>
      </c>
    </row>
    <row r="200" spans="1:11" x14ac:dyDescent="0.25">
      <c r="A200" s="18">
        <v>5</v>
      </c>
      <c r="B200" s="19">
        <v>30</v>
      </c>
      <c r="C200" s="19" t="s">
        <v>53</v>
      </c>
      <c r="D200" s="20">
        <v>1</v>
      </c>
      <c r="E200" s="21">
        <v>3</v>
      </c>
      <c r="F200" s="22" t="s">
        <v>3008</v>
      </c>
      <c r="G200" s="22" t="s">
        <v>3007</v>
      </c>
      <c r="H200" s="22" t="s">
        <v>2983</v>
      </c>
      <c r="I200" s="21" t="s">
        <v>1456</v>
      </c>
      <c r="J200" s="22" t="s">
        <v>2984</v>
      </c>
      <c r="K200" s="23">
        <f>Tabelle5[[#This Row],[value_present]]*Tabelle5[[#This Row],[binding_level]]</f>
        <v>3</v>
      </c>
    </row>
    <row r="201" spans="1:11" x14ac:dyDescent="0.25">
      <c r="A201" s="24">
        <v>5</v>
      </c>
      <c r="B201" s="2">
        <v>30</v>
      </c>
      <c r="C201" s="2" t="s">
        <v>61</v>
      </c>
      <c r="D201" s="3">
        <v>1</v>
      </c>
      <c r="E201" s="1">
        <v>1</v>
      </c>
      <c r="F201" t="s">
        <v>3010</v>
      </c>
      <c r="G201" t="s">
        <v>3009</v>
      </c>
      <c r="H201" t="s">
        <v>2985</v>
      </c>
      <c r="I201" s="1" t="s">
        <v>1457</v>
      </c>
      <c r="J201" t="s">
        <v>2986</v>
      </c>
      <c r="K201" s="25">
        <f>Tabelle5[[#This Row],[value_present]]*Tabelle5[[#This Row],[binding_level]]</f>
        <v>1</v>
      </c>
    </row>
    <row r="202" spans="1:11" x14ac:dyDescent="0.25">
      <c r="A202" s="24">
        <v>5</v>
      </c>
      <c r="B202" s="2">
        <v>30</v>
      </c>
      <c r="C202" s="2" t="s">
        <v>69</v>
      </c>
      <c r="D202" s="3">
        <v>1</v>
      </c>
      <c r="E202" s="1">
        <v>1</v>
      </c>
      <c r="F202" t="s">
        <v>3011</v>
      </c>
      <c r="G202" t="s">
        <v>3010</v>
      </c>
      <c r="H202" t="s">
        <v>2985</v>
      </c>
      <c r="I202" s="1" t="s">
        <v>1456</v>
      </c>
      <c r="J202" t="s">
        <v>2987</v>
      </c>
      <c r="K202" s="25">
        <f>Tabelle5[[#This Row],[value_present]]*Tabelle5[[#This Row],[binding_level]]</f>
        <v>1</v>
      </c>
    </row>
    <row r="203" spans="1:11" x14ac:dyDescent="0.25">
      <c r="A203" s="24">
        <v>5</v>
      </c>
      <c r="B203" s="2">
        <v>30</v>
      </c>
      <c r="C203" s="2" t="s">
        <v>76</v>
      </c>
      <c r="D203" s="3">
        <v>0</v>
      </c>
      <c r="E203" s="1"/>
      <c r="I203" s="1" t="s">
        <v>1456</v>
      </c>
      <c r="J203" t="s">
        <v>2988</v>
      </c>
      <c r="K203" s="25">
        <f>Tabelle5[[#This Row],[value_present]]*Tabelle5[[#This Row],[binding_level]]</f>
        <v>0</v>
      </c>
    </row>
    <row r="204" spans="1:11" x14ac:dyDescent="0.25">
      <c r="A204" s="24">
        <v>5</v>
      </c>
      <c r="B204" s="2">
        <v>30</v>
      </c>
      <c r="C204" s="2" t="s">
        <v>83</v>
      </c>
      <c r="D204" s="3">
        <v>1</v>
      </c>
      <c r="E204" s="1">
        <v>1</v>
      </c>
      <c r="F204" t="s">
        <v>3013</v>
      </c>
      <c r="G204" t="s">
        <v>3012</v>
      </c>
      <c r="H204" t="s">
        <v>2985</v>
      </c>
      <c r="I204" s="1" t="s">
        <v>1456</v>
      </c>
      <c r="J204" t="s">
        <v>2989</v>
      </c>
      <c r="K204" s="25">
        <f>Tabelle5[[#This Row],[value_present]]*Tabelle5[[#This Row],[binding_level]]</f>
        <v>1</v>
      </c>
    </row>
    <row r="205" spans="1:11" x14ac:dyDescent="0.25">
      <c r="A205" s="24">
        <v>5</v>
      </c>
      <c r="B205" s="2">
        <v>30</v>
      </c>
      <c r="C205" s="2" t="s">
        <v>90</v>
      </c>
      <c r="D205" s="3">
        <v>1</v>
      </c>
      <c r="E205" s="1">
        <v>1</v>
      </c>
      <c r="F205" t="s">
        <v>3014</v>
      </c>
      <c r="G205" t="s">
        <v>3014</v>
      </c>
      <c r="H205" t="s">
        <v>2985</v>
      </c>
      <c r="I205" s="1" t="s">
        <v>1456</v>
      </c>
      <c r="J205" t="s">
        <v>2990</v>
      </c>
      <c r="K205" s="25">
        <f>Tabelle5[[#This Row],[value_present]]*Tabelle5[[#This Row],[binding_level]]</f>
        <v>1</v>
      </c>
    </row>
    <row r="206" spans="1:11" x14ac:dyDescent="0.25">
      <c r="A206" s="24">
        <v>5</v>
      </c>
      <c r="B206" s="2">
        <v>30</v>
      </c>
      <c r="C206" s="2" t="s">
        <v>98</v>
      </c>
      <c r="D206" s="3">
        <v>0</v>
      </c>
      <c r="E206" s="1"/>
      <c r="I206" s="1" t="s">
        <v>1457</v>
      </c>
      <c r="J206" t="s">
        <v>2991</v>
      </c>
      <c r="K206" s="25">
        <f>Tabelle5[[#This Row],[value_present]]*Tabelle5[[#This Row],[binding_level]]</f>
        <v>0</v>
      </c>
    </row>
    <row r="207" spans="1:11" x14ac:dyDescent="0.25">
      <c r="A207" s="24">
        <v>5</v>
      </c>
      <c r="B207" s="2">
        <v>30</v>
      </c>
      <c r="C207" s="2" t="s">
        <v>106</v>
      </c>
      <c r="D207" s="3">
        <v>1</v>
      </c>
      <c r="E207" s="1">
        <v>1</v>
      </c>
      <c r="F207" t="s">
        <v>3016</v>
      </c>
      <c r="G207" t="s">
        <v>3015</v>
      </c>
      <c r="H207" t="s">
        <v>2992</v>
      </c>
      <c r="I207" s="1" t="s">
        <v>1456</v>
      </c>
      <c r="J207" t="s">
        <v>2993</v>
      </c>
      <c r="K207" s="25">
        <f>Tabelle5[[#This Row],[value_present]]*Tabelle5[[#This Row],[binding_level]]</f>
        <v>1</v>
      </c>
    </row>
    <row r="208" spans="1:11" x14ac:dyDescent="0.25">
      <c r="A208" s="24">
        <v>5</v>
      </c>
      <c r="B208" s="2">
        <v>30</v>
      </c>
      <c r="C208" s="2" t="s">
        <v>112</v>
      </c>
      <c r="D208" s="3">
        <v>1</v>
      </c>
      <c r="E208" s="1">
        <v>3</v>
      </c>
      <c r="F208" t="s">
        <v>3017</v>
      </c>
      <c r="G208" t="s">
        <v>3006</v>
      </c>
      <c r="H208" t="s">
        <v>2994</v>
      </c>
      <c r="I208" s="1" t="s">
        <v>1457</v>
      </c>
      <c r="J208" t="s">
        <v>2995</v>
      </c>
      <c r="K208" s="25">
        <f>Tabelle5[[#This Row],[value_present]]*Tabelle5[[#This Row],[binding_level]]</f>
        <v>3</v>
      </c>
    </row>
    <row r="209" spans="1:11" x14ac:dyDescent="0.25">
      <c r="A209" s="24">
        <v>5</v>
      </c>
      <c r="B209" s="2">
        <v>30</v>
      </c>
      <c r="C209" s="2" t="s">
        <v>118</v>
      </c>
      <c r="D209" s="3">
        <v>0</v>
      </c>
      <c r="E209" s="1"/>
      <c r="I209" s="1" t="s">
        <v>1456</v>
      </c>
      <c r="J209" t="s">
        <v>2843</v>
      </c>
      <c r="K209" s="25">
        <f>Tabelle5[[#This Row],[value_present]]*Tabelle5[[#This Row],[binding_level]]</f>
        <v>0</v>
      </c>
    </row>
    <row r="210" spans="1:11" x14ac:dyDescent="0.25">
      <c r="A210" s="24">
        <v>5</v>
      </c>
      <c r="B210" s="2">
        <v>30</v>
      </c>
      <c r="C210" s="2" t="s">
        <v>125</v>
      </c>
      <c r="D210" s="3">
        <v>0</v>
      </c>
      <c r="E210" s="1"/>
      <c r="I210" s="1" t="s">
        <v>1541</v>
      </c>
      <c r="J210" t="s">
        <v>2996</v>
      </c>
      <c r="K210" s="25">
        <f>Tabelle5[[#This Row],[value_present]]*Tabelle5[[#This Row],[binding_level]]</f>
        <v>0</v>
      </c>
    </row>
    <row r="211" spans="1:11" x14ac:dyDescent="0.25">
      <c r="A211" s="24">
        <v>5</v>
      </c>
      <c r="B211" s="2">
        <v>30</v>
      </c>
      <c r="C211" s="2" t="s">
        <v>132</v>
      </c>
      <c r="D211" s="3">
        <v>1</v>
      </c>
      <c r="E211" s="1">
        <v>1</v>
      </c>
      <c r="F211" t="s">
        <v>3018</v>
      </c>
      <c r="G211" t="s">
        <v>3018</v>
      </c>
      <c r="H211" t="s">
        <v>2997</v>
      </c>
      <c r="I211" s="1" t="s">
        <v>1457</v>
      </c>
      <c r="J211" t="s">
        <v>2998</v>
      </c>
      <c r="K211" s="25">
        <f>Tabelle5[[#This Row],[value_present]]*Tabelle5[[#This Row],[binding_level]]</f>
        <v>1</v>
      </c>
    </row>
    <row r="212" spans="1:11" x14ac:dyDescent="0.25">
      <c r="A212" s="24">
        <v>5</v>
      </c>
      <c r="B212" s="2">
        <v>30</v>
      </c>
      <c r="C212" s="2" t="s">
        <v>140</v>
      </c>
      <c r="D212" s="3">
        <v>1</v>
      </c>
      <c r="E212" s="1">
        <v>1</v>
      </c>
      <c r="F212" t="s">
        <v>3019</v>
      </c>
      <c r="G212" t="s">
        <v>3020</v>
      </c>
      <c r="H212" t="s">
        <v>2999</v>
      </c>
      <c r="I212" s="1" t="s">
        <v>1456</v>
      </c>
      <c r="J212" t="s">
        <v>3000</v>
      </c>
      <c r="K212" s="25">
        <f>Tabelle5[[#This Row],[value_present]]*Tabelle5[[#This Row],[binding_level]]</f>
        <v>1</v>
      </c>
    </row>
    <row r="213" spans="1:11" x14ac:dyDescent="0.25">
      <c r="A213" s="24">
        <v>5</v>
      </c>
      <c r="B213" s="2">
        <v>30</v>
      </c>
      <c r="C213" s="2" t="s">
        <v>147</v>
      </c>
      <c r="D213" s="3">
        <v>0</v>
      </c>
      <c r="E213" s="1"/>
      <c r="I213" s="1" t="s">
        <v>1457</v>
      </c>
      <c r="J213" t="s">
        <v>3001</v>
      </c>
      <c r="K213" s="25">
        <f>Tabelle5[[#This Row],[value_present]]*Tabelle5[[#This Row],[binding_level]]</f>
        <v>0</v>
      </c>
    </row>
    <row r="214" spans="1:11" x14ac:dyDescent="0.25">
      <c r="A214" s="24">
        <v>5</v>
      </c>
      <c r="B214" s="2">
        <v>30</v>
      </c>
      <c r="C214" s="2" t="s">
        <v>154</v>
      </c>
      <c r="D214" s="3">
        <v>0</v>
      </c>
      <c r="E214" s="1"/>
      <c r="I214" s="1" t="s">
        <v>1457</v>
      </c>
      <c r="J214" t="s">
        <v>3002</v>
      </c>
      <c r="K214" s="25">
        <f>Tabelle5[[#This Row],[value_present]]*Tabelle5[[#This Row],[binding_level]]</f>
        <v>0</v>
      </c>
    </row>
    <row r="215" spans="1:11" x14ac:dyDescent="0.25">
      <c r="A215" s="24">
        <v>5</v>
      </c>
      <c r="B215" s="2">
        <v>30</v>
      </c>
      <c r="C215" s="2" t="s">
        <v>161</v>
      </c>
      <c r="D215" s="3">
        <v>0</v>
      </c>
      <c r="E215" s="1"/>
      <c r="I215" s="1" t="s">
        <v>1456</v>
      </c>
      <c r="J215" t="s">
        <v>3003</v>
      </c>
      <c r="K215" s="25">
        <f>Tabelle5[[#This Row],[value_present]]*Tabelle5[[#This Row],[binding_level]]</f>
        <v>0</v>
      </c>
    </row>
    <row r="216" spans="1:11" x14ac:dyDescent="0.25">
      <c r="A216" s="24">
        <v>5</v>
      </c>
      <c r="B216" s="2">
        <v>30</v>
      </c>
      <c r="C216" s="2" t="s">
        <v>166</v>
      </c>
      <c r="D216" s="3">
        <v>0</v>
      </c>
      <c r="E216" s="1"/>
      <c r="I216" s="1" t="s">
        <v>1456</v>
      </c>
      <c r="J216" t="s">
        <v>3004</v>
      </c>
      <c r="K216" s="25">
        <f>Tabelle5[[#This Row],[value_present]]*Tabelle5[[#This Row],[binding_level]]</f>
        <v>0</v>
      </c>
    </row>
    <row r="217" spans="1:11" ht="15.75" thickBot="1" x14ac:dyDescent="0.3">
      <c r="A217" s="26">
        <v>5</v>
      </c>
      <c r="B217" s="27">
        <v>30</v>
      </c>
      <c r="C217" s="27" t="s">
        <v>174</v>
      </c>
      <c r="D217" s="28">
        <v>0</v>
      </c>
      <c r="E217" s="29"/>
      <c r="F217" s="30"/>
      <c r="G217" s="30"/>
      <c r="H217" s="30"/>
      <c r="I217" s="29" t="s">
        <v>1456</v>
      </c>
      <c r="J217" s="30" t="s">
        <v>3005</v>
      </c>
      <c r="K217" s="31">
        <f>Tabelle5[[#This Row],[value_present]]*Tabelle5[[#This Row],[binding_level]]</f>
        <v>0</v>
      </c>
    </row>
    <row r="218" spans="1:11" x14ac:dyDescent="0.25">
      <c r="A218" s="18">
        <v>5</v>
      </c>
      <c r="B218" s="19">
        <v>31</v>
      </c>
      <c r="C218" s="19" t="s">
        <v>53</v>
      </c>
      <c r="D218" s="20">
        <v>1</v>
      </c>
      <c r="E218" s="21">
        <v>1</v>
      </c>
      <c r="F218" t="s">
        <v>3064</v>
      </c>
      <c r="G218" s="22" t="s">
        <v>3063</v>
      </c>
      <c r="H218" s="22" t="s">
        <v>3041</v>
      </c>
      <c r="I218" s="21" t="s">
        <v>1456</v>
      </c>
      <c r="J218" s="22" t="s">
        <v>3042</v>
      </c>
      <c r="K218" s="23">
        <f>Tabelle5[[#This Row],[value_present]]*Tabelle5[[#This Row],[binding_level]]</f>
        <v>1</v>
      </c>
    </row>
    <row r="219" spans="1:11" x14ac:dyDescent="0.25">
      <c r="A219" s="24">
        <v>5</v>
      </c>
      <c r="B219" s="2">
        <v>31</v>
      </c>
      <c r="C219" s="2" t="s">
        <v>61</v>
      </c>
      <c r="D219" s="3">
        <v>1</v>
      </c>
      <c r="E219" s="1">
        <v>1</v>
      </c>
      <c r="F219" t="s">
        <v>3066</v>
      </c>
      <c r="G219" t="s">
        <v>3065</v>
      </c>
      <c r="H219" t="s">
        <v>3043</v>
      </c>
      <c r="I219" s="1" t="s">
        <v>1457</v>
      </c>
      <c r="J219" t="s">
        <v>3044</v>
      </c>
      <c r="K219" s="25">
        <f>Tabelle5[[#This Row],[value_present]]*Tabelle5[[#This Row],[binding_level]]</f>
        <v>1</v>
      </c>
    </row>
    <row r="220" spans="1:11" x14ac:dyDescent="0.25">
      <c r="A220" s="24">
        <v>5</v>
      </c>
      <c r="B220" s="2">
        <v>31</v>
      </c>
      <c r="C220" s="2" t="s">
        <v>69</v>
      </c>
      <c r="D220" s="3">
        <v>1</v>
      </c>
      <c r="E220" s="1">
        <v>1</v>
      </c>
      <c r="F220" t="s">
        <v>3068</v>
      </c>
      <c r="G220" t="s">
        <v>3067</v>
      </c>
      <c r="H220" t="s">
        <v>3045</v>
      </c>
      <c r="I220" s="1" t="s">
        <v>1456</v>
      </c>
      <c r="J220" t="s">
        <v>3046</v>
      </c>
      <c r="K220" s="25">
        <f>Tabelle5[[#This Row],[value_present]]*Tabelle5[[#This Row],[binding_level]]</f>
        <v>1</v>
      </c>
    </row>
    <row r="221" spans="1:11" x14ac:dyDescent="0.25">
      <c r="A221" s="24">
        <v>5</v>
      </c>
      <c r="B221" s="2">
        <v>31</v>
      </c>
      <c r="C221" s="2" t="s">
        <v>76</v>
      </c>
      <c r="D221" s="3">
        <v>0</v>
      </c>
      <c r="E221" s="1"/>
      <c r="I221" s="1" t="s">
        <v>1456</v>
      </c>
      <c r="J221" t="s">
        <v>3047</v>
      </c>
      <c r="K221" s="25">
        <f>Tabelle5[[#This Row],[value_present]]*Tabelle5[[#This Row],[binding_level]]</f>
        <v>0</v>
      </c>
    </row>
    <row r="222" spans="1:11" x14ac:dyDescent="0.25">
      <c r="A222" s="24">
        <v>5</v>
      </c>
      <c r="B222" s="2">
        <v>31</v>
      </c>
      <c r="C222" s="2" t="s">
        <v>83</v>
      </c>
      <c r="D222" s="3">
        <v>1</v>
      </c>
      <c r="E222" s="1">
        <v>1</v>
      </c>
      <c r="F222" t="s">
        <v>3070</v>
      </c>
      <c r="G222" t="s">
        <v>3069</v>
      </c>
      <c r="H222" t="s">
        <v>2698</v>
      </c>
      <c r="I222" s="1" t="s">
        <v>1456</v>
      </c>
      <c r="J222" t="s">
        <v>3048</v>
      </c>
      <c r="K222" s="25">
        <f>Tabelle5[[#This Row],[value_present]]*Tabelle5[[#This Row],[binding_level]]</f>
        <v>1</v>
      </c>
    </row>
    <row r="223" spans="1:11" x14ac:dyDescent="0.25">
      <c r="A223" s="24">
        <v>5</v>
      </c>
      <c r="B223" s="2">
        <v>31</v>
      </c>
      <c r="C223" s="2" t="s">
        <v>90</v>
      </c>
      <c r="D223" s="3">
        <v>1</v>
      </c>
      <c r="E223" s="1">
        <v>2</v>
      </c>
      <c r="F223" t="s">
        <v>3072</v>
      </c>
      <c r="G223" t="s">
        <v>3071</v>
      </c>
      <c r="H223" t="s">
        <v>3049</v>
      </c>
      <c r="I223" s="1" t="s">
        <v>1456</v>
      </c>
      <c r="J223" t="s">
        <v>3050</v>
      </c>
      <c r="K223" s="25">
        <f>Tabelle5[[#This Row],[value_present]]*Tabelle5[[#This Row],[binding_level]]</f>
        <v>2</v>
      </c>
    </row>
    <row r="224" spans="1:11" x14ac:dyDescent="0.25">
      <c r="A224" s="24">
        <v>5</v>
      </c>
      <c r="B224" s="2">
        <v>31</v>
      </c>
      <c r="C224" s="2" t="s">
        <v>98</v>
      </c>
      <c r="D224" s="3">
        <v>1</v>
      </c>
      <c r="E224" s="1">
        <v>1</v>
      </c>
      <c r="F224" t="s">
        <v>3073</v>
      </c>
      <c r="G224" t="s">
        <v>3073</v>
      </c>
      <c r="H224" t="s">
        <v>3049</v>
      </c>
      <c r="I224" s="1" t="s">
        <v>1457</v>
      </c>
      <c r="J224" t="s">
        <v>3051</v>
      </c>
      <c r="K224" s="25">
        <f>Tabelle5[[#This Row],[value_present]]*Tabelle5[[#This Row],[binding_level]]</f>
        <v>1</v>
      </c>
    </row>
    <row r="225" spans="1:11" x14ac:dyDescent="0.25">
      <c r="A225" s="24">
        <v>5</v>
      </c>
      <c r="B225" s="2">
        <v>31</v>
      </c>
      <c r="C225" s="2" t="s">
        <v>106</v>
      </c>
      <c r="D225" s="3">
        <v>1</v>
      </c>
      <c r="E225" s="1">
        <v>1</v>
      </c>
      <c r="F225" t="s">
        <v>3075</v>
      </c>
      <c r="G225" t="s">
        <v>3074</v>
      </c>
      <c r="H225" t="s">
        <v>3041</v>
      </c>
      <c r="I225" s="1" t="s">
        <v>1457</v>
      </c>
      <c r="J225" t="s">
        <v>3052</v>
      </c>
      <c r="K225" s="25">
        <f>Tabelle5[[#This Row],[value_present]]*Tabelle5[[#This Row],[binding_level]]</f>
        <v>1</v>
      </c>
    </row>
    <row r="226" spans="1:11" x14ac:dyDescent="0.25">
      <c r="A226" s="24">
        <v>5</v>
      </c>
      <c r="B226" s="2">
        <v>31</v>
      </c>
      <c r="C226" s="2" t="s">
        <v>112</v>
      </c>
      <c r="D226" s="3">
        <v>0</v>
      </c>
      <c r="E226" s="1"/>
      <c r="I226" s="1" t="s">
        <v>1457</v>
      </c>
      <c r="J226" t="s">
        <v>3053</v>
      </c>
      <c r="K226" s="25">
        <f>Tabelle5[[#This Row],[value_present]]*Tabelle5[[#This Row],[binding_level]]</f>
        <v>0</v>
      </c>
    </row>
    <row r="227" spans="1:11" x14ac:dyDescent="0.25">
      <c r="A227" s="24">
        <v>5</v>
      </c>
      <c r="B227" s="2">
        <v>31</v>
      </c>
      <c r="C227" s="2" t="s">
        <v>118</v>
      </c>
      <c r="D227" s="3">
        <v>0</v>
      </c>
      <c r="E227" s="1"/>
      <c r="I227" s="1" t="s">
        <v>1456</v>
      </c>
      <c r="J227" t="s">
        <v>2843</v>
      </c>
      <c r="K227" s="25">
        <f>Tabelle5[[#This Row],[value_present]]*Tabelle5[[#This Row],[binding_level]]</f>
        <v>0</v>
      </c>
    </row>
    <row r="228" spans="1:11" x14ac:dyDescent="0.25">
      <c r="A228" s="24">
        <v>5</v>
      </c>
      <c r="B228" s="2">
        <v>31</v>
      </c>
      <c r="C228" s="2" t="s">
        <v>125</v>
      </c>
      <c r="D228" s="3">
        <v>1</v>
      </c>
      <c r="E228" s="1">
        <v>1</v>
      </c>
      <c r="F228" t="s">
        <v>3077</v>
      </c>
      <c r="G228" t="s">
        <v>3076</v>
      </c>
      <c r="H228" t="s">
        <v>2604</v>
      </c>
      <c r="I228" s="1" t="s">
        <v>1457</v>
      </c>
      <c r="J228" t="s">
        <v>3054</v>
      </c>
      <c r="K228" s="25">
        <f>Tabelle5[[#This Row],[value_present]]*Tabelle5[[#This Row],[binding_level]]</f>
        <v>1</v>
      </c>
    </row>
    <row r="229" spans="1:11" x14ac:dyDescent="0.25">
      <c r="A229" s="24">
        <v>5</v>
      </c>
      <c r="B229" s="2">
        <v>31</v>
      </c>
      <c r="C229" s="2" t="s">
        <v>132</v>
      </c>
      <c r="D229" s="3">
        <v>0</v>
      </c>
      <c r="E229" s="1"/>
      <c r="I229" s="1" t="s">
        <v>1456</v>
      </c>
      <c r="J229" t="s">
        <v>3055</v>
      </c>
      <c r="K229" s="25">
        <f>Tabelle5[[#This Row],[value_present]]*Tabelle5[[#This Row],[binding_level]]</f>
        <v>0</v>
      </c>
    </row>
    <row r="230" spans="1:11" x14ac:dyDescent="0.25">
      <c r="A230" s="24">
        <v>5</v>
      </c>
      <c r="B230" s="2">
        <v>31</v>
      </c>
      <c r="C230" s="2" t="s">
        <v>140</v>
      </c>
      <c r="D230" s="3">
        <v>1</v>
      </c>
      <c r="E230" s="1">
        <v>1</v>
      </c>
      <c r="F230" t="s">
        <v>3079</v>
      </c>
      <c r="G230" t="s">
        <v>3078</v>
      </c>
      <c r="H230" t="s">
        <v>3045</v>
      </c>
      <c r="I230" s="1" t="s">
        <v>1456</v>
      </c>
      <c r="J230" t="s">
        <v>3056</v>
      </c>
      <c r="K230" s="25">
        <f>Tabelle5[[#This Row],[value_present]]*Tabelle5[[#This Row],[binding_level]]</f>
        <v>1</v>
      </c>
    </row>
    <row r="231" spans="1:11" x14ac:dyDescent="0.25">
      <c r="A231" s="24">
        <v>5</v>
      </c>
      <c r="B231" s="2">
        <v>31</v>
      </c>
      <c r="C231" s="2" t="s">
        <v>147</v>
      </c>
      <c r="D231" s="3">
        <v>1</v>
      </c>
      <c r="E231" s="1">
        <v>2</v>
      </c>
      <c r="F231" t="s">
        <v>3081</v>
      </c>
      <c r="G231" t="s">
        <v>3080</v>
      </c>
      <c r="H231" t="s">
        <v>3049</v>
      </c>
      <c r="I231" s="1" t="s">
        <v>1456</v>
      </c>
      <c r="J231" t="s">
        <v>3057</v>
      </c>
      <c r="K231" s="25">
        <f>Tabelle5[[#This Row],[value_present]]*Tabelle5[[#This Row],[binding_level]]</f>
        <v>2</v>
      </c>
    </row>
    <row r="232" spans="1:11" x14ac:dyDescent="0.25">
      <c r="A232" s="24">
        <v>5</v>
      </c>
      <c r="B232" s="2">
        <v>31</v>
      </c>
      <c r="C232" s="2" t="s">
        <v>154</v>
      </c>
      <c r="D232" s="3">
        <v>1</v>
      </c>
      <c r="E232" s="1">
        <v>1</v>
      </c>
      <c r="F232" t="s">
        <v>3083</v>
      </c>
      <c r="G232" t="s">
        <v>3082</v>
      </c>
      <c r="H232" t="s">
        <v>2604</v>
      </c>
      <c r="I232" s="1" t="s">
        <v>1457</v>
      </c>
      <c r="J232" t="s">
        <v>3058</v>
      </c>
      <c r="K232" s="25">
        <f>Tabelle5[[#This Row],[value_present]]*Tabelle5[[#This Row],[binding_level]]</f>
        <v>1</v>
      </c>
    </row>
    <row r="233" spans="1:11" x14ac:dyDescent="0.25">
      <c r="A233" s="24">
        <v>5</v>
      </c>
      <c r="B233" s="2">
        <v>31</v>
      </c>
      <c r="C233" s="2" t="s">
        <v>161</v>
      </c>
      <c r="D233" s="3">
        <v>1</v>
      </c>
      <c r="E233" s="1">
        <v>1</v>
      </c>
      <c r="F233" t="s">
        <v>3085</v>
      </c>
      <c r="G233" t="s">
        <v>3084</v>
      </c>
      <c r="H233" t="s">
        <v>3059</v>
      </c>
      <c r="I233" s="1" t="s">
        <v>1457</v>
      </c>
      <c r="J233" t="s">
        <v>3060</v>
      </c>
      <c r="K233" s="25">
        <f>Tabelle5[[#This Row],[value_present]]*Tabelle5[[#This Row],[binding_level]]</f>
        <v>1</v>
      </c>
    </row>
    <row r="234" spans="1:11" x14ac:dyDescent="0.25">
      <c r="A234" s="24">
        <v>5</v>
      </c>
      <c r="B234" s="2">
        <v>31</v>
      </c>
      <c r="C234" s="2" t="s">
        <v>166</v>
      </c>
      <c r="D234" s="3">
        <v>1</v>
      </c>
      <c r="E234" s="1">
        <v>1</v>
      </c>
      <c r="F234" t="s">
        <v>3086</v>
      </c>
      <c r="G234" t="s">
        <v>3085</v>
      </c>
      <c r="H234" t="s">
        <v>3049</v>
      </c>
      <c r="I234" s="1" t="s">
        <v>1457</v>
      </c>
      <c r="J234" t="s">
        <v>3061</v>
      </c>
      <c r="K234" s="25">
        <f>Tabelle5[[#This Row],[value_present]]*Tabelle5[[#This Row],[binding_level]]</f>
        <v>1</v>
      </c>
    </row>
    <row r="235" spans="1:11" ht="15.75" thickBot="1" x14ac:dyDescent="0.3">
      <c r="A235" s="26">
        <v>5</v>
      </c>
      <c r="B235" s="27">
        <v>31</v>
      </c>
      <c r="C235" s="27" t="s">
        <v>174</v>
      </c>
      <c r="D235" s="28">
        <v>0</v>
      </c>
      <c r="E235" s="29"/>
      <c r="F235" s="30"/>
      <c r="G235" s="30"/>
      <c r="H235" s="30"/>
      <c r="I235" s="29" t="s">
        <v>1456</v>
      </c>
      <c r="J235" s="30" t="s">
        <v>3062</v>
      </c>
      <c r="K235" s="31">
        <f>Tabelle5[[#This Row],[value_present]]*Tabelle5[[#This Row],[binding_level]]</f>
        <v>0</v>
      </c>
    </row>
    <row r="236" spans="1:11" x14ac:dyDescent="0.25">
      <c r="A236" s="18">
        <v>6</v>
      </c>
      <c r="B236" s="19">
        <v>34</v>
      </c>
      <c r="C236" s="19" t="s">
        <v>53</v>
      </c>
      <c r="D236" s="20">
        <v>0</v>
      </c>
      <c r="E236" s="21"/>
      <c r="F236" s="22"/>
      <c r="G236" s="22"/>
      <c r="H236" s="22"/>
      <c r="I236" s="21" t="s">
        <v>1457</v>
      </c>
      <c r="J236" s="22" t="s">
        <v>3119</v>
      </c>
      <c r="K236" s="23">
        <f>Tabelle5[[#This Row],[value_present]]*Tabelle5[[#This Row],[binding_level]]</f>
        <v>0</v>
      </c>
    </row>
    <row r="237" spans="1:11" x14ac:dyDescent="0.25">
      <c r="A237" s="24">
        <v>6</v>
      </c>
      <c r="B237" s="2">
        <v>34</v>
      </c>
      <c r="C237" s="2" t="s">
        <v>61</v>
      </c>
      <c r="D237" s="3">
        <v>0</v>
      </c>
      <c r="E237" s="1"/>
      <c r="I237" s="1" t="s">
        <v>1457</v>
      </c>
      <c r="J237" t="s">
        <v>3120</v>
      </c>
      <c r="K237" s="25">
        <f>Tabelle5[[#This Row],[value_present]]*Tabelle5[[#This Row],[binding_level]]</f>
        <v>0</v>
      </c>
    </row>
    <row r="238" spans="1:11" x14ac:dyDescent="0.25">
      <c r="A238" s="24">
        <v>6</v>
      </c>
      <c r="B238" s="2">
        <v>34</v>
      </c>
      <c r="C238" s="2" t="s">
        <v>69</v>
      </c>
      <c r="D238" s="3">
        <v>1</v>
      </c>
      <c r="E238" s="1">
        <v>3</v>
      </c>
      <c r="F238" t="s">
        <v>3141</v>
      </c>
      <c r="G238" t="s">
        <v>3140</v>
      </c>
      <c r="H238" t="s">
        <v>3121</v>
      </c>
      <c r="I238" s="1" t="s">
        <v>1457</v>
      </c>
      <c r="J238" t="s">
        <v>3122</v>
      </c>
      <c r="K238" s="25">
        <f>Tabelle5[[#This Row],[value_present]]*Tabelle5[[#This Row],[binding_level]]</f>
        <v>3</v>
      </c>
    </row>
    <row r="239" spans="1:11" x14ac:dyDescent="0.25">
      <c r="A239" s="24">
        <v>6</v>
      </c>
      <c r="B239" s="2">
        <v>34</v>
      </c>
      <c r="C239" s="2" t="s">
        <v>76</v>
      </c>
      <c r="D239" s="3">
        <v>0</v>
      </c>
      <c r="E239" s="1"/>
      <c r="I239" s="1" t="s">
        <v>1456</v>
      </c>
      <c r="J239" t="s">
        <v>3123</v>
      </c>
      <c r="K239" s="25">
        <f>Tabelle5[[#This Row],[value_present]]*Tabelle5[[#This Row],[binding_level]]</f>
        <v>0</v>
      </c>
    </row>
    <row r="240" spans="1:11" x14ac:dyDescent="0.25">
      <c r="A240" s="24">
        <v>6</v>
      </c>
      <c r="B240" s="2">
        <v>34</v>
      </c>
      <c r="C240" s="2" t="s">
        <v>83</v>
      </c>
      <c r="D240" s="3">
        <v>1</v>
      </c>
      <c r="E240" s="1">
        <v>3</v>
      </c>
      <c r="F240" t="s">
        <v>3142</v>
      </c>
      <c r="G240" t="s">
        <v>3142</v>
      </c>
      <c r="H240" t="s">
        <v>3124</v>
      </c>
      <c r="I240" s="1" t="s">
        <v>1457</v>
      </c>
      <c r="J240" t="s">
        <v>3125</v>
      </c>
      <c r="K240" s="25">
        <f>Tabelle5[[#This Row],[value_present]]*Tabelle5[[#This Row],[binding_level]]</f>
        <v>3</v>
      </c>
    </row>
    <row r="241" spans="1:11" x14ac:dyDescent="0.25">
      <c r="A241" s="24">
        <v>6</v>
      </c>
      <c r="B241" s="2">
        <v>34</v>
      </c>
      <c r="C241" s="2" t="s">
        <v>90</v>
      </c>
      <c r="D241" s="3">
        <v>0</v>
      </c>
      <c r="E241" s="1"/>
      <c r="I241" s="1" t="s">
        <v>1457</v>
      </c>
      <c r="J241" t="s">
        <v>3126</v>
      </c>
      <c r="K241" s="25">
        <f>Tabelle5[[#This Row],[value_present]]*Tabelle5[[#This Row],[binding_level]]</f>
        <v>0</v>
      </c>
    </row>
    <row r="242" spans="1:11" x14ac:dyDescent="0.25">
      <c r="A242" s="24">
        <v>6</v>
      </c>
      <c r="B242" s="2">
        <v>34</v>
      </c>
      <c r="C242" s="2" t="s">
        <v>98</v>
      </c>
      <c r="D242" s="3">
        <v>1</v>
      </c>
      <c r="E242" s="1">
        <v>3</v>
      </c>
      <c r="F242" t="s">
        <v>3144</v>
      </c>
      <c r="G242" t="s">
        <v>3143</v>
      </c>
      <c r="H242" t="s">
        <v>3121</v>
      </c>
      <c r="I242" s="1" t="s">
        <v>1457</v>
      </c>
      <c r="J242" t="s">
        <v>3127</v>
      </c>
      <c r="K242" s="25">
        <f>Tabelle5[[#This Row],[value_present]]*Tabelle5[[#This Row],[binding_level]]</f>
        <v>3</v>
      </c>
    </row>
    <row r="243" spans="1:11" x14ac:dyDescent="0.25">
      <c r="A243" s="24">
        <v>6</v>
      </c>
      <c r="B243" s="2">
        <v>34</v>
      </c>
      <c r="C243" s="2" t="s">
        <v>106</v>
      </c>
      <c r="D243" s="3">
        <v>0</v>
      </c>
      <c r="E243" s="1"/>
      <c r="I243" s="1" t="s">
        <v>1457</v>
      </c>
      <c r="J243" t="s">
        <v>3128</v>
      </c>
      <c r="K243" s="25">
        <f>Tabelle5[[#This Row],[value_present]]*Tabelle5[[#This Row],[binding_level]]</f>
        <v>0</v>
      </c>
    </row>
    <row r="244" spans="1:11" x14ac:dyDescent="0.25">
      <c r="A244" s="24">
        <v>6</v>
      </c>
      <c r="B244" s="2">
        <v>34</v>
      </c>
      <c r="C244" s="2" t="s">
        <v>112</v>
      </c>
      <c r="D244" s="3">
        <v>1</v>
      </c>
      <c r="E244" s="1">
        <v>3</v>
      </c>
      <c r="F244" t="s">
        <v>3146</v>
      </c>
      <c r="G244" t="s">
        <v>3145</v>
      </c>
      <c r="H244" t="s">
        <v>3124</v>
      </c>
      <c r="I244" s="1" t="s">
        <v>1456</v>
      </c>
      <c r="J244" t="s">
        <v>3129</v>
      </c>
      <c r="K244" s="25">
        <f>Tabelle5[[#This Row],[value_present]]*Tabelle5[[#This Row],[binding_level]]</f>
        <v>3</v>
      </c>
    </row>
    <row r="245" spans="1:11" x14ac:dyDescent="0.25">
      <c r="A245" s="24">
        <v>6</v>
      </c>
      <c r="B245" s="2">
        <v>34</v>
      </c>
      <c r="C245" s="2" t="s">
        <v>118</v>
      </c>
      <c r="D245" s="3">
        <v>0</v>
      </c>
      <c r="E245" s="1"/>
      <c r="I245" s="1" t="s">
        <v>1456</v>
      </c>
      <c r="J245" t="s">
        <v>2160</v>
      </c>
      <c r="K245" s="25">
        <f>Tabelle5[[#This Row],[value_present]]*Tabelle5[[#This Row],[binding_level]]</f>
        <v>0</v>
      </c>
    </row>
    <row r="246" spans="1:11" x14ac:dyDescent="0.25">
      <c r="A246" s="24">
        <v>6</v>
      </c>
      <c r="B246" s="2">
        <v>34</v>
      </c>
      <c r="C246" s="2" t="s">
        <v>125</v>
      </c>
      <c r="D246" s="3">
        <v>0</v>
      </c>
      <c r="E246" s="1"/>
      <c r="I246" s="1" t="s">
        <v>1457</v>
      </c>
      <c r="J246" t="s">
        <v>3130</v>
      </c>
      <c r="K246" s="25">
        <f>Tabelle5[[#This Row],[value_present]]*Tabelle5[[#This Row],[binding_level]]</f>
        <v>0</v>
      </c>
    </row>
    <row r="247" spans="1:11" x14ac:dyDescent="0.25">
      <c r="A247" s="24">
        <v>6</v>
      </c>
      <c r="B247" s="2">
        <v>34</v>
      </c>
      <c r="C247" s="2" t="s">
        <v>132</v>
      </c>
      <c r="D247" s="3">
        <v>1</v>
      </c>
      <c r="E247" s="1">
        <v>3</v>
      </c>
      <c r="F247" t="s">
        <v>3147</v>
      </c>
      <c r="G247" t="s">
        <v>3148</v>
      </c>
      <c r="H247" t="s">
        <v>3131</v>
      </c>
      <c r="I247" s="1" t="s">
        <v>1456</v>
      </c>
      <c r="J247" t="s">
        <v>3132</v>
      </c>
      <c r="K247" s="25">
        <f>Tabelle5[[#This Row],[value_present]]*Tabelle5[[#This Row],[binding_level]]</f>
        <v>3</v>
      </c>
    </row>
    <row r="248" spans="1:11" x14ac:dyDescent="0.25">
      <c r="A248" s="24">
        <v>6</v>
      </c>
      <c r="B248" s="2">
        <v>34</v>
      </c>
      <c r="C248" s="2" t="s">
        <v>140</v>
      </c>
      <c r="D248" s="3">
        <v>0</v>
      </c>
      <c r="E248" s="1"/>
      <c r="I248" s="1" t="s">
        <v>1457</v>
      </c>
      <c r="J248" t="s">
        <v>3133</v>
      </c>
      <c r="K248" s="25">
        <f>Tabelle5[[#This Row],[value_present]]*Tabelle5[[#This Row],[binding_level]]</f>
        <v>0</v>
      </c>
    </row>
    <row r="249" spans="1:11" x14ac:dyDescent="0.25">
      <c r="A249" s="24">
        <v>6</v>
      </c>
      <c r="B249" s="2">
        <v>34</v>
      </c>
      <c r="C249" s="2" t="s">
        <v>147</v>
      </c>
      <c r="D249" s="3">
        <v>0</v>
      </c>
      <c r="E249" s="1"/>
      <c r="I249" s="1" t="s">
        <v>1457</v>
      </c>
      <c r="J249" t="s">
        <v>3134</v>
      </c>
      <c r="K249" s="25">
        <f>Tabelle5[[#This Row],[value_present]]*Tabelle5[[#This Row],[binding_level]]</f>
        <v>0</v>
      </c>
    </row>
    <row r="250" spans="1:11" x14ac:dyDescent="0.25">
      <c r="A250" s="24">
        <v>6</v>
      </c>
      <c r="B250" s="2">
        <v>34</v>
      </c>
      <c r="C250" s="2" t="s">
        <v>154</v>
      </c>
      <c r="D250" s="3">
        <v>1</v>
      </c>
      <c r="E250" s="1">
        <v>2</v>
      </c>
      <c r="F250" t="s">
        <v>3150</v>
      </c>
      <c r="G250" t="s">
        <v>3149</v>
      </c>
      <c r="H250" t="s">
        <v>3135</v>
      </c>
      <c r="I250" s="1" t="s">
        <v>1456</v>
      </c>
      <c r="J250" t="s">
        <v>3136</v>
      </c>
      <c r="K250" s="25">
        <f>Tabelle5[[#This Row],[value_present]]*Tabelle5[[#This Row],[binding_level]]</f>
        <v>2</v>
      </c>
    </row>
    <row r="251" spans="1:11" x14ac:dyDescent="0.25">
      <c r="A251" s="24">
        <v>6</v>
      </c>
      <c r="B251" s="2">
        <v>34</v>
      </c>
      <c r="C251" s="2" t="s">
        <v>161</v>
      </c>
      <c r="D251" s="3">
        <v>1</v>
      </c>
      <c r="E251" s="1">
        <v>3</v>
      </c>
      <c r="F251" t="s">
        <v>3152</v>
      </c>
      <c r="G251" t="s">
        <v>3151</v>
      </c>
      <c r="H251" t="s">
        <v>3124</v>
      </c>
      <c r="I251" s="1" t="s">
        <v>1456</v>
      </c>
      <c r="J251" t="s">
        <v>3137</v>
      </c>
      <c r="K251" s="25">
        <f>Tabelle5[[#This Row],[value_present]]*Tabelle5[[#This Row],[binding_level]]</f>
        <v>3</v>
      </c>
    </row>
    <row r="252" spans="1:11" x14ac:dyDescent="0.25">
      <c r="A252" s="24">
        <v>6</v>
      </c>
      <c r="B252" s="2">
        <v>34</v>
      </c>
      <c r="C252" s="2" t="s">
        <v>166</v>
      </c>
      <c r="D252" s="3">
        <v>0</v>
      </c>
      <c r="E252" s="1"/>
      <c r="I252" s="1" t="s">
        <v>1541</v>
      </c>
      <c r="J252" t="s">
        <v>3138</v>
      </c>
      <c r="K252" s="25">
        <f>Tabelle5[[#This Row],[value_present]]*Tabelle5[[#This Row],[binding_level]]</f>
        <v>0</v>
      </c>
    </row>
    <row r="253" spans="1:11" ht="15.75" thickBot="1" x14ac:dyDescent="0.3">
      <c r="A253" s="26">
        <v>6</v>
      </c>
      <c r="B253" s="27">
        <v>34</v>
      </c>
      <c r="C253" s="27" t="s">
        <v>174</v>
      </c>
      <c r="D253" s="28">
        <v>0</v>
      </c>
      <c r="E253" s="29"/>
      <c r="F253" s="30"/>
      <c r="G253" s="30"/>
      <c r="H253" s="30"/>
      <c r="I253" s="29" t="s">
        <v>1456</v>
      </c>
      <c r="J253" s="30" t="s">
        <v>3139</v>
      </c>
      <c r="K253" s="31">
        <f>Tabelle5[[#This Row],[value_present]]*Tabelle5[[#This Row],[binding_level]]</f>
        <v>0</v>
      </c>
    </row>
    <row r="254" spans="1:11" x14ac:dyDescent="0.25">
      <c r="A254" s="18">
        <v>6</v>
      </c>
      <c r="B254" s="19">
        <v>36</v>
      </c>
      <c r="C254" s="19" t="s">
        <v>53</v>
      </c>
      <c r="D254" s="20">
        <v>0</v>
      </c>
      <c r="E254" s="21"/>
      <c r="F254" s="22"/>
      <c r="G254" s="22"/>
      <c r="H254" s="22"/>
      <c r="I254" s="21" t="s">
        <v>1457</v>
      </c>
      <c r="J254" s="22" t="s">
        <v>3189</v>
      </c>
      <c r="K254" s="23">
        <f>Tabelle5[[#This Row],[value_present]]*Tabelle5[[#This Row],[binding_level]]</f>
        <v>0</v>
      </c>
    </row>
    <row r="255" spans="1:11" x14ac:dyDescent="0.25">
      <c r="A255" s="24">
        <v>6</v>
      </c>
      <c r="B255" s="2">
        <v>36</v>
      </c>
      <c r="C255" s="2" t="s">
        <v>61</v>
      </c>
      <c r="D255" s="3">
        <v>0</v>
      </c>
      <c r="E255" s="1"/>
      <c r="I255" s="1" t="s">
        <v>1457</v>
      </c>
      <c r="J255" t="s">
        <v>3190</v>
      </c>
      <c r="K255" s="25">
        <f>Tabelle5[[#This Row],[value_present]]*Tabelle5[[#This Row],[binding_level]]</f>
        <v>0</v>
      </c>
    </row>
    <row r="256" spans="1:11" x14ac:dyDescent="0.25">
      <c r="A256" s="24">
        <v>6</v>
      </c>
      <c r="B256" s="2">
        <v>36</v>
      </c>
      <c r="C256" s="2" t="s">
        <v>69</v>
      </c>
      <c r="D256" s="3">
        <v>0</v>
      </c>
      <c r="E256" s="1"/>
      <c r="I256" s="1" t="s">
        <v>1456</v>
      </c>
      <c r="J256" t="s">
        <v>3191</v>
      </c>
      <c r="K256" s="25">
        <f>Tabelle5[[#This Row],[value_present]]*Tabelle5[[#This Row],[binding_level]]</f>
        <v>0</v>
      </c>
    </row>
    <row r="257" spans="1:11" x14ac:dyDescent="0.25">
      <c r="A257" s="24">
        <v>6</v>
      </c>
      <c r="B257" s="2">
        <v>36</v>
      </c>
      <c r="C257" s="2" t="s">
        <v>76</v>
      </c>
      <c r="D257" s="3">
        <v>0</v>
      </c>
      <c r="E257" s="1"/>
      <c r="I257" s="1" t="s">
        <v>1456</v>
      </c>
      <c r="J257" t="s">
        <v>3192</v>
      </c>
      <c r="K257" s="25">
        <f>Tabelle5[[#This Row],[value_present]]*Tabelle5[[#This Row],[binding_level]]</f>
        <v>0</v>
      </c>
    </row>
    <row r="258" spans="1:11" x14ac:dyDescent="0.25">
      <c r="A258" s="24">
        <v>6</v>
      </c>
      <c r="B258" s="2">
        <v>36</v>
      </c>
      <c r="C258" s="2" t="s">
        <v>83</v>
      </c>
      <c r="D258" s="3">
        <v>1</v>
      </c>
      <c r="E258" s="1">
        <v>1</v>
      </c>
      <c r="F258" t="s">
        <v>3207</v>
      </c>
      <c r="G258" t="s">
        <v>3206</v>
      </c>
      <c r="H258" t="s">
        <v>3193</v>
      </c>
      <c r="I258" s="1" t="s">
        <v>1456</v>
      </c>
      <c r="J258" t="s">
        <v>3194</v>
      </c>
      <c r="K258" s="25">
        <f>Tabelle5[[#This Row],[value_present]]*Tabelle5[[#This Row],[binding_level]]</f>
        <v>1</v>
      </c>
    </row>
    <row r="259" spans="1:11" x14ac:dyDescent="0.25">
      <c r="A259" s="24">
        <v>6</v>
      </c>
      <c r="B259" s="2">
        <v>36</v>
      </c>
      <c r="C259" s="2" t="s">
        <v>90</v>
      </c>
      <c r="D259" s="3">
        <v>1</v>
      </c>
      <c r="E259" s="1">
        <v>1</v>
      </c>
      <c r="F259" t="s">
        <v>3209</v>
      </c>
      <c r="G259" t="s">
        <v>3208</v>
      </c>
      <c r="H259" t="s">
        <v>3193</v>
      </c>
      <c r="I259" s="1" t="s">
        <v>1456</v>
      </c>
      <c r="J259" t="s">
        <v>3195</v>
      </c>
      <c r="K259" s="25">
        <f>Tabelle5[[#This Row],[value_present]]*Tabelle5[[#This Row],[binding_level]]</f>
        <v>1</v>
      </c>
    </row>
    <row r="260" spans="1:11" x14ac:dyDescent="0.25">
      <c r="A260" s="24">
        <v>6</v>
      </c>
      <c r="B260" s="2">
        <v>36</v>
      </c>
      <c r="C260" s="2" t="s">
        <v>98</v>
      </c>
      <c r="D260" s="3">
        <v>0</v>
      </c>
      <c r="E260" s="1"/>
      <c r="I260" s="1" t="s">
        <v>1456</v>
      </c>
      <c r="J260" t="s">
        <v>3196</v>
      </c>
      <c r="K260" s="25">
        <f>Tabelle5[[#This Row],[value_present]]*Tabelle5[[#This Row],[binding_level]]</f>
        <v>0</v>
      </c>
    </row>
    <row r="261" spans="1:11" x14ac:dyDescent="0.25">
      <c r="A261" s="24">
        <v>6</v>
      </c>
      <c r="B261" s="2">
        <v>36</v>
      </c>
      <c r="C261" s="2" t="s">
        <v>106</v>
      </c>
      <c r="D261" s="3">
        <v>0</v>
      </c>
      <c r="E261" s="1"/>
      <c r="I261" s="1" t="s">
        <v>1457</v>
      </c>
      <c r="J261" t="s">
        <v>3197</v>
      </c>
      <c r="K261" s="25">
        <f>Tabelle5[[#This Row],[value_present]]*Tabelle5[[#This Row],[binding_level]]</f>
        <v>0</v>
      </c>
    </row>
    <row r="262" spans="1:11" x14ac:dyDescent="0.25">
      <c r="A262" s="24">
        <v>6</v>
      </c>
      <c r="B262" s="2">
        <v>36</v>
      </c>
      <c r="C262" s="2" t="s">
        <v>112</v>
      </c>
      <c r="D262" s="3">
        <v>1</v>
      </c>
      <c r="E262" s="1">
        <v>1</v>
      </c>
      <c r="F262" t="s">
        <v>3211</v>
      </c>
      <c r="G262" t="s">
        <v>3210</v>
      </c>
      <c r="H262" t="s">
        <v>3193</v>
      </c>
      <c r="I262" s="1" t="s">
        <v>1456</v>
      </c>
      <c r="J262" t="s">
        <v>3198</v>
      </c>
      <c r="K262" s="25">
        <f>Tabelle5[[#This Row],[value_present]]*Tabelle5[[#This Row],[binding_level]]</f>
        <v>1</v>
      </c>
    </row>
    <row r="263" spans="1:11" x14ac:dyDescent="0.25">
      <c r="A263" s="24">
        <v>6</v>
      </c>
      <c r="B263" s="2">
        <v>36</v>
      </c>
      <c r="C263" s="2" t="s">
        <v>118</v>
      </c>
      <c r="D263" s="3">
        <v>0</v>
      </c>
      <c r="E263" s="1"/>
      <c r="I263" s="1" t="s">
        <v>1456</v>
      </c>
      <c r="J263" t="s">
        <v>2160</v>
      </c>
      <c r="K263" s="25">
        <f>Tabelle5[[#This Row],[value_present]]*Tabelle5[[#This Row],[binding_level]]</f>
        <v>0</v>
      </c>
    </row>
    <row r="264" spans="1:11" x14ac:dyDescent="0.25">
      <c r="A264" s="24">
        <v>6</v>
      </c>
      <c r="B264" s="2">
        <v>36</v>
      </c>
      <c r="C264" s="2" t="s">
        <v>125</v>
      </c>
      <c r="D264" s="3">
        <v>0</v>
      </c>
      <c r="E264" s="1"/>
      <c r="I264" s="1" t="s">
        <v>1457</v>
      </c>
      <c r="J264" t="s">
        <v>3199</v>
      </c>
      <c r="K264" s="25">
        <f>Tabelle5[[#This Row],[value_present]]*Tabelle5[[#This Row],[binding_level]]</f>
        <v>0</v>
      </c>
    </row>
    <row r="265" spans="1:11" x14ac:dyDescent="0.25">
      <c r="A265" s="24">
        <v>6</v>
      </c>
      <c r="B265" s="2">
        <v>36</v>
      </c>
      <c r="C265" s="2" t="s">
        <v>132</v>
      </c>
      <c r="D265" s="3">
        <v>0</v>
      </c>
      <c r="E265" s="1"/>
      <c r="I265" s="1" t="s">
        <v>1456</v>
      </c>
      <c r="J265" t="s">
        <v>3055</v>
      </c>
      <c r="K265" s="25">
        <f>Tabelle5[[#This Row],[value_present]]*Tabelle5[[#This Row],[binding_level]]</f>
        <v>0</v>
      </c>
    </row>
    <row r="266" spans="1:11" x14ac:dyDescent="0.25">
      <c r="A266" s="24">
        <v>6</v>
      </c>
      <c r="B266" s="2">
        <v>36</v>
      </c>
      <c r="C266" s="2" t="s">
        <v>140</v>
      </c>
      <c r="D266" s="3">
        <v>1</v>
      </c>
      <c r="E266" s="1">
        <v>1</v>
      </c>
      <c r="F266" t="s">
        <v>3213</v>
      </c>
      <c r="G266" t="s">
        <v>3212</v>
      </c>
      <c r="H266" t="s">
        <v>2604</v>
      </c>
      <c r="I266" s="1" t="s">
        <v>1456</v>
      </c>
      <c r="J266" t="s">
        <v>3200</v>
      </c>
      <c r="K266" s="25">
        <f>Tabelle5[[#This Row],[value_present]]*Tabelle5[[#This Row],[binding_level]]</f>
        <v>1</v>
      </c>
    </row>
    <row r="267" spans="1:11" x14ac:dyDescent="0.25">
      <c r="A267" s="24">
        <v>6</v>
      </c>
      <c r="B267" s="2">
        <v>36</v>
      </c>
      <c r="C267" s="2" t="s">
        <v>147</v>
      </c>
      <c r="D267" s="3">
        <v>0</v>
      </c>
      <c r="E267" s="1"/>
      <c r="I267" s="1" t="s">
        <v>1457</v>
      </c>
      <c r="J267" t="s">
        <v>3201</v>
      </c>
      <c r="K267" s="25">
        <f>Tabelle5[[#This Row],[value_present]]*Tabelle5[[#This Row],[binding_level]]</f>
        <v>0</v>
      </c>
    </row>
    <row r="268" spans="1:11" x14ac:dyDescent="0.25">
      <c r="A268" s="24">
        <v>6</v>
      </c>
      <c r="B268" s="2">
        <v>36</v>
      </c>
      <c r="C268" s="2" t="s">
        <v>154</v>
      </c>
      <c r="D268" s="3">
        <v>0</v>
      </c>
      <c r="E268" s="1"/>
      <c r="I268" s="1" t="s">
        <v>1457</v>
      </c>
      <c r="J268" t="s">
        <v>3202</v>
      </c>
      <c r="K268" s="25">
        <f>Tabelle5[[#This Row],[value_present]]*Tabelle5[[#This Row],[binding_level]]</f>
        <v>0</v>
      </c>
    </row>
    <row r="269" spans="1:11" x14ac:dyDescent="0.25">
      <c r="A269" s="24">
        <v>6</v>
      </c>
      <c r="B269" s="2">
        <v>36</v>
      </c>
      <c r="C269" s="2" t="s">
        <v>161</v>
      </c>
      <c r="D269" s="3">
        <v>1</v>
      </c>
      <c r="E269" s="1">
        <v>1</v>
      </c>
      <c r="F269" t="s">
        <v>3215</v>
      </c>
      <c r="G269" t="s">
        <v>3214</v>
      </c>
      <c r="H269" t="s">
        <v>3193</v>
      </c>
      <c r="I269" s="1" t="s">
        <v>1457</v>
      </c>
      <c r="J269" t="s">
        <v>3203</v>
      </c>
      <c r="K269" s="25">
        <f>Tabelle5[[#This Row],[value_present]]*Tabelle5[[#This Row],[binding_level]]</f>
        <v>1</v>
      </c>
    </row>
    <row r="270" spans="1:11" x14ac:dyDescent="0.25">
      <c r="A270" s="24">
        <v>6</v>
      </c>
      <c r="B270" s="2">
        <v>36</v>
      </c>
      <c r="C270" s="2" t="s">
        <v>166</v>
      </c>
      <c r="D270" s="3">
        <v>0</v>
      </c>
      <c r="E270" s="1"/>
      <c r="I270" s="1" t="s">
        <v>1456</v>
      </c>
      <c r="J270" t="s">
        <v>3204</v>
      </c>
      <c r="K270" s="25">
        <f>Tabelle5[[#This Row],[value_present]]*Tabelle5[[#This Row],[binding_level]]</f>
        <v>0</v>
      </c>
    </row>
    <row r="271" spans="1:11" ht="15.75" thickBot="1" x14ac:dyDescent="0.3">
      <c r="A271" s="26">
        <v>6</v>
      </c>
      <c r="B271" s="27">
        <v>36</v>
      </c>
      <c r="C271" s="27" t="s">
        <v>174</v>
      </c>
      <c r="D271" s="28">
        <v>0</v>
      </c>
      <c r="E271" s="29"/>
      <c r="F271" s="30"/>
      <c r="G271" s="30"/>
      <c r="H271" s="30"/>
      <c r="I271" s="29" t="s">
        <v>1456</v>
      </c>
      <c r="J271" s="30" t="s">
        <v>3205</v>
      </c>
      <c r="K271" s="31">
        <f>Tabelle5[[#This Row],[value_present]]*Tabelle5[[#This Row],[binding_level]]</f>
        <v>0</v>
      </c>
    </row>
    <row r="272" spans="1:11" x14ac:dyDescent="0.25">
      <c r="A272" s="18">
        <v>7</v>
      </c>
      <c r="B272" s="19">
        <v>37</v>
      </c>
      <c r="C272" s="19" t="s">
        <v>53</v>
      </c>
      <c r="D272" s="20">
        <v>1</v>
      </c>
      <c r="E272" s="21">
        <v>2</v>
      </c>
      <c r="F272" s="22" t="s">
        <v>3262</v>
      </c>
      <c r="G272" s="22" t="s">
        <v>3261</v>
      </c>
      <c r="H272" s="22" t="s">
        <v>3239</v>
      </c>
      <c r="I272" s="21" t="s">
        <v>1456</v>
      </c>
      <c r="J272" s="22" t="s">
        <v>3240</v>
      </c>
      <c r="K272" s="23">
        <f>Tabelle5[[#This Row],[value_present]]*Tabelle5[[#This Row],[binding_level]]</f>
        <v>2</v>
      </c>
    </row>
    <row r="273" spans="1:11" x14ac:dyDescent="0.25">
      <c r="A273" s="24">
        <v>7</v>
      </c>
      <c r="B273" s="2">
        <v>37</v>
      </c>
      <c r="C273" s="2" t="s">
        <v>61</v>
      </c>
      <c r="D273" s="3">
        <v>1</v>
      </c>
      <c r="E273" s="1">
        <v>3</v>
      </c>
      <c r="F273" t="s">
        <v>3264</v>
      </c>
      <c r="G273" t="s">
        <v>3263</v>
      </c>
      <c r="H273" t="s">
        <v>3216</v>
      </c>
      <c r="I273" s="1" t="s">
        <v>1456</v>
      </c>
      <c r="J273" t="s">
        <v>3241</v>
      </c>
      <c r="K273" s="25">
        <f>Tabelle5[[#This Row],[value_present]]*Tabelle5[[#This Row],[binding_level]]</f>
        <v>3</v>
      </c>
    </row>
    <row r="274" spans="1:11" x14ac:dyDescent="0.25">
      <c r="A274" s="24">
        <v>7</v>
      </c>
      <c r="B274" s="2">
        <v>37</v>
      </c>
      <c r="C274" s="2" t="s">
        <v>69</v>
      </c>
      <c r="D274" s="3">
        <v>1</v>
      </c>
      <c r="E274" s="1">
        <v>1</v>
      </c>
      <c r="F274" t="s">
        <v>3266</v>
      </c>
      <c r="G274" t="s">
        <v>3265</v>
      </c>
      <c r="H274" t="s">
        <v>3193</v>
      </c>
      <c r="I274" s="1" t="s">
        <v>1456</v>
      </c>
      <c r="J274" t="s">
        <v>3242</v>
      </c>
      <c r="K274" s="25">
        <f>Tabelle5[[#This Row],[value_present]]*Tabelle5[[#This Row],[binding_level]]</f>
        <v>1</v>
      </c>
    </row>
    <row r="275" spans="1:11" x14ac:dyDescent="0.25">
      <c r="A275" s="24">
        <v>7</v>
      </c>
      <c r="B275" s="2">
        <v>37</v>
      </c>
      <c r="C275" s="2" t="s">
        <v>76</v>
      </c>
      <c r="D275" s="3">
        <v>1</v>
      </c>
      <c r="E275" s="1">
        <v>1</v>
      </c>
      <c r="F275" t="s">
        <v>3268</v>
      </c>
      <c r="G275" t="s">
        <v>3267</v>
      </c>
      <c r="H275" t="s">
        <v>3193</v>
      </c>
      <c r="I275" s="1" t="s">
        <v>1456</v>
      </c>
      <c r="J275" t="s">
        <v>3243</v>
      </c>
      <c r="K275" s="25">
        <f>Tabelle5[[#This Row],[value_present]]*Tabelle5[[#This Row],[binding_level]]</f>
        <v>1</v>
      </c>
    </row>
    <row r="276" spans="1:11" x14ac:dyDescent="0.25">
      <c r="A276" s="24">
        <v>7</v>
      </c>
      <c r="B276" s="2">
        <v>37</v>
      </c>
      <c r="C276" s="2" t="s">
        <v>83</v>
      </c>
      <c r="D276" s="3">
        <v>1</v>
      </c>
      <c r="E276" s="1">
        <v>1</v>
      </c>
      <c r="F276" t="s">
        <v>3270</v>
      </c>
      <c r="G276" t="s">
        <v>3269</v>
      </c>
      <c r="H276" t="s">
        <v>3193</v>
      </c>
      <c r="I276" s="1" t="s">
        <v>1456</v>
      </c>
      <c r="J276" t="s">
        <v>3244</v>
      </c>
      <c r="K276" s="25">
        <f>Tabelle5[[#This Row],[value_present]]*Tabelle5[[#This Row],[binding_level]]</f>
        <v>1</v>
      </c>
    </row>
    <row r="277" spans="1:11" x14ac:dyDescent="0.25">
      <c r="A277" s="24">
        <v>7</v>
      </c>
      <c r="B277" s="2">
        <v>37</v>
      </c>
      <c r="C277" s="2" t="s">
        <v>90</v>
      </c>
      <c r="D277" s="3">
        <v>1</v>
      </c>
      <c r="E277" s="1">
        <v>2</v>
      </c>
      <c r="F277" t="s">
        <v>3272</v>
      </c>
      <c r="G277" t="s">
        <v>3271</v>
      </c>
      <c r="H277" t="s">
        <v>3193</v>
      </c>
      <c r="I277" s="1" t="s">
        <v>1456</v>
      </c>
      <c r="J277" t="s">
        <v>3245</v>
      </c>
      <c r="K277" s="25">
        <f>Tabelle5[[#This Row],[value_present]]*Tabelle5[[#This Row],[binding_level]]</f>
        <v>2</v>
      </c>
    </row>
    <row r="278" spans="1:11" x14ac:dyDescent="0.25">
      <c r="A278" s="24">
        <v>7</v>
      </c>
      <c r="B278" s="2">
        <v>37</v>
      </c>
      <c r="C278" s="2" t="s">
        <v>98</v>
      </c>
      <c r="D278" s="3">
        <v>1</v>
      </c>
      <c r="E278" s="1">
        <v>2</v>
      </c>
      <c r="F278" t="s">
        <v>3274</v>
      </c>
      <c r="G278" t="s">
        <v>3273</v>
      </c>
      <c r="H278" t="s">
        <v>3193</v>
      </c>
      <c r="I278" s="1" t="s">
        <v>1456</v>
      </c>
      <c r="J278" t="s">
        <v>3246</v>
      </c>
      <c r="K278" s="25">
        <f>Tabelle5[[#This Row],[value_present]]*Tabelle5[[#This Row],[binding_level]]</f>
        <v>2</v>
      </c>
    </row>
    <row r="279" spans="1:11" x14ac:dyDescent="0.25">
      <c r="A279" s="24">
        <v>7</v>
      </c>
      <c r="B279" s="2">
        <v>37</v>
      </c>
      <c r="C279" s="2" t="s">
        <v>106</v>
      </c>
      <c r="D279" s="3">
        <v>1</v>
      </c>
      <c r="E279" s="1">
        <v>2</v>
      </c>
      <c r="F279" t="s">
        <v>3276</v>
      </c>
      <c r="G279" t="s">
        <v>3275</v>
      </c>
      <c r="H279" t="s">
        <v>3247</v>
      </c>
      <c r="I279" s="1" t="s">
        <v>1456</v>
      </c>
      <c r="J279" t="s">
        <v>3248</v>
      </c>
      <c r="K279" s="25">
        <f>Tabelle5[[#This Row],[value_present]]*Tabelle5[[#This Row],[binding_level]]</f>
        <v>2</v>
      </c>
    </row>
    <row r="280" spans="1:11" x14ac:dyDescent="0.25">
      <c r="A280" s="24">
        <v>7</v>
      </c>
      <c r="B280" s="2">
        <v>37</v>
      </c>
      <c r="C280" s="2" t="s">
        <v>112</v>
      </c>
      <c r="D280" s="3">
        <v>1</v>
      </c>
      <c r="E280" s="1">
        <v>2</v>
      </c>
      <c r="F280" t="s">
        <v>3278</v>
      </c>
      <c r="G280" t="s">
        <v>3277</v>
      </c>
      <c r="H280" t="s">
        <v>3193</v>
      </c>
      <c r="I280" s="1" t="s">
        <v>1456</v>
      </c>
      <c r="J280" t="s">
        <v>3249</v>
      </c>
      <c r="K280" s="25">
        <f>Tabelle5[[#This Row],[value_present]]*Tabelle5[[#This Row],[binding_level]]</f>
        <v>2</v>
      </c>
    </row>
    <row r="281" spans="1:11" x14ac:dyDescent="0.25">
      <c r="A281" s="24">
        <v>7</v>
      </c>
      <c r="B281" s="2">
        <v>37</v>
      </c>
      <c r="C281" s="2" t="s">
        <v>118</v>
      </c>
      <c r="D281" s="3">
        <v>0</v>
      </c>
      <c r="E281" s="1"/>
      <c r="I281" s="1" t="s">
        <v>1456</v>
      </c>
      <c r="J281" t="s">
        <v>2843</v>
      </c>
      <c r="K281" s="25">
        <f>Tabelle5[[#This Row],[value_present]]*Tabelle5[[#This Row],[binding_level]]</f>
        <v>0</v>
      </c>
    </row>
    <row r="282" spans="1:11" x14ac:dyDescent="0.25">
      <c r="A282" s="24">
        <v>7</v>
      </c>
      <c r="B282" s="2">
        <v>37</v>
      </c>
      <c r="C282" s="2" t="s">
        <v>125</v>
      </c>
      <c r="D282" s="3">
        <v>0</v>
      </c>
      <c r="E282" s="1"/>
      <c r="I282" s="1" t="s">
        <v>1457</v>
      </c>
      <c r="J282" t="s">
        <v>3250</v>
      </c>
      <c r="K282" s="25">
        <f>Tabelle5[[#This Row],[value_present]]*Tabelle5[[#This Row],[binding_level]]</f>
        <v>0</v>
      </c>
    </row>
    <row r="283" spans="1:11" x14ac:dyDescent="0.25">
      <c r="A283" s="24">
        <v>7</v>
      </c>
      <c r="B283" s="2">
        <v>37</v>
      </c>
      <c r="C283" s="2" t="s">
        <v>132</v>
      </c>
      <c r="D283" s="3">
        <v>1</v>
      </c>
      <c r="E283" s="1">
        <v>1</v>
      </c>
      <c r="F283" t="s">
        <v>3280</v>
      </c>
      <c r="G283" t="s">
        <v>3279</v>
      </c>
      <c r="H283" t="s">
        <v>3251</v>
      </c>
      <c r="I283" s="1" t="s">
        <v>1456</v>
      </c>
      <c r="J283" t="s">
        <v>3252</v>
      </c>
      <c r="K283" s="25">
        <f>Tabelle5[[#This Row],[value_present]]*Tabelle5[[#This Row],[binding_level]]</f>
        <v>1</v>
      </c>
    </row>
    <row r="284" spans="1:11" x14ac:dyDescent="0.25">
      <c r="A284" s="24">
        <v>7</v>
      </c>
      <c r="B284" s="2">
        <v>37</v>
      </c>
      <c r="C284" s="2" t="s">
        <v>140</v>
      </c>
      <c r="D284" s="3">
        <v>1</v>
      </c>
      <c r="E284" s="1">
        <v>1</v>
      </c>
      <c r="F284" t="s">
        <v>3282</v>
      </c>
      <c r="G284" t="s">
        <v>3281</v>
      </c>
      <c r="H284" t="s">
        <v>3193</v>
      </c>
      <c r="I284" s="1" t="s">
        <v>1456</v>
      </c>
      <c r="J284" t="s">
        <v>3253</v>
      </c>
      <c r="K284" s="25">
        <f>Tabelle5[[#This Row],[value_present]]*Tabelle5[[#This Row],[binding_level]]</f>
        <v>1</v>
      </c>
    </row>
    <row r="285" spans="1:11" x14ac:dyDescent="0.25">
      <c r="A285" s="24">
        <v>7</v>
      </c>
      <c r="B285" s="2">
        <v>37</v>
      </c>
      <c r="C285" s="2" t="s">
        <v>147</v>
      </c>
      <c r="D285" s="3">
        <v>1</v>
      </c>
      <c r="E285" s="1">
        <v>1</v>
      </c>
      <c r="F285" t="s">
        <v>3284</v>
      </c>
      <c r="G285" t="s">
        <v>3283</v>
      </c>
      <c r="H285" t="s">
        <v>3193</v>
      </c>
      <c r="I285" s="1" t="s">
        <v>1457</v>
      </c>
      <c r="J285" t="s">
        <v>3254</v>
      </c>
      <c r="K285" s="25">
        <f>Tabelle5[[#This Row],[value_present]]*Tabelle5[[#This Row],[binding_level]]</f>
        <v>1</v>
      </c>
    </row>
    <row r="286" spans="1:11" x14ac:dyDescent="0.25">
      <c r="A286" s="24">
        <v>7</v>
      </c>
      <c r="B286" s="2">
        <v>37</v>
      </c>
      <c r="C286" s="2" t="s">
        <v>154</v>
      </c>
      <c r="D286" s="3">
        <v>0</v>
      </c>
      <c r="E286" s="1"/>
      <c r="I286" s="1" t="s">
        <v>1457</v>
      </c>
      <c r="J286" t="s">
        <v>3255</v>
      </c>
      <c r="K286" s="25">
        <f>Tabelle5[[#This Row],[value_present]]*Tabelle5[[#This Row],[binding_level]]</f>
        <v>0</v>
      </c>
    </row>
    <row r="287" spans="1:11" x14ac:dyDescent="0.25">
      <c r="A287" s="24">
        <v>7</v>
      </c>
      <c r="B287" s="2">
        <v>37</v>
      </c>
      <c r="C287" s="2" t="s">
        <v>161</v>
      </c>
      <c r="D287" s="3">
        <v>1</v>
      </c>
      <c r="E287" s="1">
        <v>2</v>
      </c>
      <c r="F287" t="s">
        <v>3286</v>
      </c>
      <c r="G287" t="s">
        <v>3285</v>
      </c>
      <c r="H287" t="s">
        <v>3256</v>
      </c>
      <c r="I287" s="1" t="s">
        <v>1456</v>
      </c>
      <c r="J287" t="s">
        <v>3257</v>
      </c>
      <c r="K287" s="25">
        <f>Tabelle5[[#This Row],[value_present]]*Tabelle5[[#This Row],[binding_level]]</f>
        <v>2</v>
      </c>
    </row>
    <row r="288" spans="1:11" x14ac:dyDescent="0.25">
      <c r="A288" s="24">
        <v>7</v>
      </c>
      <c r="B288" s="2">
        <v>37</v>
      </c>
      <c r="C288" s="2" t="s">
        <v>166</v>
      </c>
      <c r="D288" s="3">
        <v>1</v>
      </c>
      <c r="E288" s="1">
        <v>2</v>
      </c>
      <c r="F288" t="s">
        <v>3288</v>
      </c>
      <c r="G288" t="s">
        <v>3287</v>
      </c>
      <c r="H288" t="s">
        <v>3258</v>
      </c>
      <c r="I288" s="1" t="s">
        <v>1456</v>
      </c>
      <c r="J288" t="s">
        <v>3259</v>
      </c>
      <c r="K288" s="25">
        <f>Tabelle5[[#This Row],[value_present]]*Tabelle5[[#This Row],[binding_level]]</f>
        <v>2</v>
      </c>
    </row>
    <row r="289" spans="1:11" ht="15.75" thickBot="1" x14ac:dyDescent="0.3">
      <c r="A289" s="26">
        <v>7</v>
      </c>
      <c r="B289" s="27">
        <v>37</v>
      </c>
      <c r="C289" s="27" t="s">
        <v>174</v>
      </c>
      <c r="D289" s="28">
        <v>1</v>
      </c>
      <c r="E289" s="29">
        <v>1</v>
      </c>
      <c r="F289" s="30" t="s">
        <v>3290</v>
      </c>
      <c r="G289" s="30" t="s">
        <v>3289</v>
      </c>
      <c r="H289" s="30" t="s">
        <v>3193</v>
      </c>
      <c r="I289" s="29" t="s">
        <v>1457</v>
      </c>
      <c r="J289" s="30" t="s">
        <v>3260</v>
      </c>
      <c r="K289" s="31">
        <f>Tabelle5[[#This Row],[value_present]]*Tabelle5[[#This Row],[binding_level]]</f>
        <v>1</v>
      </c>
    </row>
    <row r="290" spans="1:11" x14ac:dyDescent="0.25">
      <c r="A290" s="18">
        <v>7</v>
      </c>
      <c r="B290" s="19">
        <v>38</v>
      </c>
      <c r="C290" s="19" t="s">
        <v>53</v>
      </c>
      <c r="D290" s="20">
        <v>1</v>
      </c>
      <c r="E290" s="21">
        <v>2</v>
      </c>
      <c r="F290" s="22" t="s">
        <v>3345</v>
      </c>
      <c r="G290" s="22" t="s">
        <v>3344</v>
      </c>
      <c r="H290" s="22" t="s">
        <v>3293</v>
      </c>
      <c r="I290" s="21" t="s">
        <v>1456</v>
      </c>
      <c r="J290" s="22" t="s">
        <v>3327</v>
      </c>
      <c r="K290" s="23">
        <f>Tabelle5[[#This Row],[value_present]]*Tabelle5[[#This Row],[binding_level]]</f>
        <v>2</v>
      </c>
    </row>
    <row r="291" spans="1:11" x14ac:dyDescent="0.25">
      <c r="A291" s="24">
        <v>7</v>
      </c>
      <c r="B291" s="2">
        <v>38</v>
      </c>
      <c r="C291" s="2" t="s">
        <v>61</v>
      </c>
      <c r="D291" s="3">
        <v>0</v>
      </c>
      <c r="E291" s="1"/>
      <c r="I291" s="1" t="s">
        <v>1456</v>
      </c>
      <c r="J291" t="s">
        <v>3328</v>
      </c>
      <c r="K291" s="25">
        <f>Tabelle5[[#This Row],[value_present]]*Tabelle5[[#This Row],[binding_level]]</f>
        <v>0</v>
      </c>
    </row>
    <row r="292" spans="1:11" x14ac:dyDescent="0.25">
      <c r="A292" s="24">
        <v>7</v>
      </c>
      <c r="B292" s="2">
        <v>38</v>
      </c>
      <c r="C292" s="2" t="s">
        <v>69</v>
      </c>
      <c r="D292" s="3">
        <v>1</v>
      </c>
      <c r="E292" s="1">
        <v>1</v>
      </c>
      <c r="F292" t="s">
        <v>3347</v>
      </c>
      <c r="G292" t="s">
        <v>3346</v>
      </c>
      <c r="H292" t="s">
        <v>3193</v>
      </c>
      <c r="I292" s="1" t="s">
        <v>1457</v>
      </c>
      <c r="J292" t="s">
        <v>3329</v>
      </c>
      <c r="K292" s="25">
        <f>Tabelle5[[#This Row],[value_present]]*Tabelle5[[#This Row],[binding_level]]</f>
        <v>1</v>
      </c>
    </row>
    <row r="293" spans="1:11" x14ac:dyDescent="0.25">
      <c r="A293" s="24">
        <v>7</v>
      </c>
      <c r="B293" s="2">
        <v>38</v>
      </c>
      <c r="C293" s="2" t="s">
        <v>76</v>
      </c>
      <c r="D293" s="3">
        <v>1</v>
      </c>
      <c r="E293" s="1">
        <v>1</v>
      </c>
      <c r="F293" t="s">
        <v>3349</v>
      </c>
      <c r="G293" t="s">
        <v>3348</v>
      </c>
      <c r="H293" t="s">
        <v>3293</v>
      </c>
      <c r="I293" s="1" t="s">
        <v>1457</v>
      </c>
      <c r="J293" t="s">
        <v>3330</v>
      </c>
      <c r="K293" s="25">
        <f>Tabelle5[[#This Row],[value_present]]*Tabelle5[[#This Row],[binding_level]]</f>
        <v>1</v>
      </c>
    </row>
    <row r="294" spans="1:11" x14ac:dyDescent="0.25">
      <c r="A294" s="24">
        <v>7</v>
      </c>
      <c r="B294" s="2">
        <v>38</v>
      </c>
      <c r="C294" s="2" t="s">
        <v>83</v>
      </c>
      <c r="D294" s="3">
        <v>0</v>
      </c>
      <c r="E294" s="1"/>
      <c r="I294" s="1" t="s">
        <v>1456</v>
      </c>
      <c r="J294" t="s">
        <v>3331</v>
      </c>
      <c r="K294" s="25">
        <f>Tabelle5[[#This Row],[value_present]]*Tabelle5[[#This Row],[binding_level]]</f>
        <v>0</v>
      </c>
    </row>
    <row r="295" spans="1:11" x14ac:dyDescent="0.25">
      <c r="A295" s="24">
        <v>7</v>
      </c>
      <c r="B295" s="2">
        <v>38</v>
      </c>
      <c r="C295" s="2" t="s">
        <v>90</v>
      </c>
      <c r="D295" s="3">
        <v>0</v>
      </c>
      <c r="E295" s="1"/>
      <c r="I295" s="1" t="s">
        <v>1457</v>
      </c>
      <c r="J295" t="s">
        <v>3332</v>
      </c>
      <c r="K295" s="25">
        <f>Tabelle5[[#This Row],[value_present]]*Tabelle5[[#This Row],[binding_level]]</f>
        <v>0</v>
      </c>
    </row>
    <row r="296" spans="1:11" x14ac:dyDescent="0.25">
      <c r="A296" s="24">
        <v>7</v>
      </c>
      <c r="B296" s="2">
        <v>38</v>
      </c>
      <c r="C296" s="2" t="s">
        <v>98</v>
      </c>
      <c r="D296" s="3">
        <v>0</v>
      </c>
      <c r="E296" s="1"/>
      <c r="I296" s="1" t="s">
        <v>1457</v>
      </c>
      <c r="J296" t="s">
        <v>3333</v>
      </c>
      <c r="K296" s="25">
        <f>Tabelle5[[#This Row],[value_present]]*Tabelle5[[#This Row],[binding_level]]</f>
        <v>0</v>
      </c>
    </row>
    <row r="297" spans="1:11" x14ac:dyDescent="0.25">
      <c r="A297" s="24">
        <v>7</v>
      </c>
      <c r="B297" s="2">
        <v>38</v>
      </c>
      <c r="C297" s="2" t="s">
        <v>106</v>
      </c>
      <c r="D297" s="3">
        <v>0</v>
      </c>
      <c r="E297" s="1"/>
      <c r="I297" s="1" t="s">
        <v>1457</v>
      </c>
      <c r="J297" t="s">
        <v>3334</v>
      </c>
      <c r="K297" s="25">
        <f>Tabelle5[[#This Row],[value_present]]*Tabelle5[[#This Row],[binding_level]]</f>
        <v>0</v>
      </c>
    </row>
    <row r="298" spans="1:11" x14ac:dyDescent="0.25">
      <c r="A298" s="24">
        <v>7</v>
      </c>
      <c r="B298" s="2">
        <v>38</v>
      </c>
      <c r="C298" s="2" t="s">
        <v>112</v>
      </c>
      <c r="D298" s="3">
        <v>0</v>
      </c>
      <c r="E298" s="1"/>
      <c r="I298" s="1" t="s">
        <v>1457</v>
      </c>
      <c r="J298" t="s">
        <v>3335</v>
      </c>
      <c r="K298" s="25">
        <f>Tabelle5[[#This Row],[value_present]]*Tabelle5[[#This Row],[binding_level]]</f>
        <v>0</v>
      </c>
    </row>
    <row r="299" spans="1:11" x14ac:dyDescent="0.25">
      <c r="A299" s="24">
        <v>7</v>
      </c>
      <c r="B299" s="2">
        <v>38</v>
      </c>
      <c r="C299" s="2" t="s">
        <v>118</v>
      </c>
      <c r="D299" s="3">
        <v>0</v>
      </c>
      <c r="E299" s="1"/>
      <c r="I299" s="1" t="s">
        <v>1456</v>
      </c>
      <c r="J299" t="s">
        <v>2160</v>
      </c>
      <c r="K299" s="25">
        <f>Tabelle5[[#This Row],[value_present]]*Tabelle5[[#This Row],[binding_level]]</f>
        <v>0</v>
      </c>
    </row>
    <row r="300" spans="1:11" x14ac:dyDescent="0.25">
      <c r="A300" s="24">
        <v>7</v>
      </c>
      <c r="B300" s="2">
        <v>38</v>
      </c>
      <c r="C300" s="2" t="s">
        <v>125</v>
      </c>
      <c r="D300" s="3">
        <v>0</v>
      </c>
      <c r="E300" s="1"/>
      <c r="I300" s="1" t="s">
        <v>1457</v>
      </c>
      <c r="J300" t="s">
        <v>3336</v>
      </c>
      <c r="K300" s="25">
        <f>Tabelle5[[#This Row],[value_present]]*Tabelle5[[#This Row],[binding_level]]</f>
        <v>0</v>
      </c>
    </row>
    <row r="301" spans="1:11" x14ac:dyDescent="0.25">
      <c r="A301" s="24">
        <v>7</v>
      </c>
      <c r="B301" s="2">
        <v>38</v>
      </c>
      <c r="C301" s="2" t="s">
        <v>132</v>
      </c>
      <c r="D301" s="3">
        <v>0</v>
      </c>
      <c r="E301" s="1"/>
      <c r="I301" s="1" t="s">
        <v>1456</v>
      </c>
      <c r="J301" t="s">
        <v>3337</v>
      </c>
      <c r="K301" s="25">
        <f>Tabelle5[[#This Row],[value_present]]*Tabelle5[[#This Row],[binding_level]]</f>
        <v>0</v>
      </c>
    </row>
    <row r="302" spans="1:11" x14ac:dyDescent="0.25">
      <c r="A302" s="24">
        <v>7</v>
      </c>
      <c r="B302" s="2">
        <v>38</v>
      </c>
      <c r="C302" s="2" t="s">
        <v>140</v>
      </c>
      <c r="D302" s="3">
        <v>0</v>
      </c>
      <c r="E302" s="1"/>
      <c r="I302" s="1" t="s">
        <v>1457</v>
      </c>
      <c r="J302" t="s">
        <v>3338</v>
      </c>
      <c r="K302" s="25">
        <f>Tabelle5[[#This Row],[value_present]]*Tabelle5[[#This Row],[binding_level]]</f>
        <v>0</v>
      </c>
    </row>
    <row r="303" spans="1:11" x14ac:dyDescent="0.25">
      <c r="A303" s="24">
        <v>7</v>
      </c>
      <c r="B303" s="2">
        <v>38</v>
      </c>
      <c r="C303" s="2" t="s">
        <v>147</v>
      </c>
      <c r="D303" s="3">
        <v>0</v>
      </c>
      <c r="E303" s="1"/>
      <c r="I303" s="1" t="s">
        <v>1457</v>
      </c>
      <c r="J303" t="s">
        <v>3339</v>
      </c>
      <c r="K303" s="25">
        <f>Tabelle5[[#This Row],[value_present]]*Tabelle5[[#This Row],[binding_level]]</f>
        <v>0</v>
      </c>
    </row>
    <row r="304" spans="1:11" x14ac:dyDescent="0.25">
      <c r="A304" s="24">
        <v>7</v>
      </c>
      <c r="B304" s="2">
        <v>38</v>
      </c>
      <c r="C304" s="2" t="s">
        <v>154</v>
      </c>
      <c r="D304" s="3">
        <v>0</v>
      </c>
      <c r="E304" s="1"/>
      <c r="I304" s="1" t="s">
        <v>1456</v>
      </c>
      <c r="J304" t="s">
        <v>3340</v>
      </c>
      <c r="K304" s="25">
        <f>Tabelle5[[#This Row],[value_present]]*Tabelle5[[#This Row],[binding_level]]</f>
        <v>0</v>
      </c>
    </row>
    <row r="305" spans="1:11" x14ac:dyDescent="0.25">
      <c r="A305" s="24">
        <v>7</v>
      </c>
      <c r="B305" s="2">
        <v>38</v>
      </c>
      <c r="C305" s="2" t="s">
        <v>161</v>
      </c>
      <c r="D305" s="3">
        <v>0</v>
      </c>
      <c r="E305" s="1"/>
      <c r="I305" s="1" t="s">
        <v>1457</v>
      </c>
      <c r="J305" t="s">
        <v>3341</v>
      </c>
      <c r="K305" s="25">
        <f>Tabelle5[[#This Row],[value_present]]*Tabelle5[[#This Row],[binding_level]]</f>
        <v>0</v>
      </c>
    </row>
    <row r="306" spans="1:11" x14ac:dyDescent="0.25">
      <c r="A306" s="24">
        <v>7</v>
      </c>
      <c r="B306" s="2">
        <v>38</v>
      </c>
      <c r="C306" s="2" t="s">
        <v>166</v>
      </c>
      <c r="D306" s="3">
        <v>0</v>
      </c>
      <c r="E306" s="1"/>
      <c r="I306" s="1" t="s">
        <v>1456</v>
      </c>
      <c r="J306" t="s">
        <v>3342</v>
      </c>
      <c r="K306" s="25">
        <f>Tabelle5[[#This Row],[value_present]]*Tabelle5[[#This Row],[binding_level]]</f>
        <v>0</v>
      </c>
    </row>
    <row r="307" spans="1:11" ht="15.75" thickBot="1" x14ac:dyDescent="0.3">
      <c r="A307" s="26">
        <v>7</v>
      </c>
      <c r="B307" s="27">
        <v>38</v>
      </c>
      <c r="C307" s="27" t="s">
        <v>174</v>
      </c>
      <c r="D307" s="28">
        <v>0</v>
      </c>
      <c r="E307" s="29"/>
      <c r="F307" s="30"/>
      <c r="G307" s="30"/>
      <c r="H307" s="30"/>
      <c r="I307" s="29" t="s">
        <v>1456</v>
      </c>
      <c r="J307" s="30" t="s">
        <v>3343</v>
      </c>
      <c r="K307" s="31">
        <f>Tabelle5[[#This Row],[value_present]]*Tabelle5[[#This Row],[binding_level]]</f>
        <v>0</v>
      </c>
    </row>
    <row r="308" spans="1:11" x14ac:dyDescent="0.25">
      <c r="A308" s="18">
        <v>9</v>
      </c>
      <c r="B308" s="19">
        <v>46</v>
      </c>
      <c r="C308" s="19" t="s">
        <v>53</v>
      </c>
      <c r="D308" s="20">
        <v>1</v>
      </c>
      <c r="E308" s="21">
        <v>3</v>
      </c>
      <c r="F308" t="s">
        <v>3389</v>
      </c>
      <c r="G308" s="22" t="s">
        <v>3388</v>
      </c>
      <c r="H308" s="22" t="s">
        <v>3193</v>
      </c>
      <c r="I308" s="21" t="s">
        <v>1456</v>
      </c>
      <c r="J308" s="22" t="s">
        <v>3371</v>
      </c>
      <c r="K308" s="23">
        <f>Tabelle5[[#This Row],[value_present]]*Tabelle5[[#This Row],[binding_level]]</f>
        <v>3</v>
      </c>
    </row>
    <row r="309" spans="1:11" x14ac:dyDescent="0.25">
      <c r="A309" s="24">
        <v>9</v>
      </c>
      <c r="B309" s="2">
        <v>46</v>
      </c>
      <c r="C309" s="2" t="s">
        <v>61</v>
      </c>
      <c r="D309" s="3">
        <v>0</v>
      </c>
      <c r="E309" s="1"/>
      <c r="I309" s="1" t="s">
        <v>1457</v>
      </c>
      <c r="J309" t="s">
        <v>3372</v>
      </c>
      <c r="K309" s="25">
        <f>Tabelle5[[#This Row],[value_present]]*Tabelle5[[#This Row],[binding_level]]</f>
        <v>0</v>
      </c>
    </row>
    <row r="310" spans="1:11" x14ac:dyDescent="0.25">
      <c r="A310" s="24">
        <v>9</v>
      </c>
      <c r="B310" s="2">
        <v>46</v>
      </c>
      <c r="C310" s="2" t="s">
        <v>69</v>
      </c>
      <c r="D310" s="3">
        <v>1</v>
      </c>
      <c r="E310" s="1">
        <v>3</v>
      </c>
      <c r="F310" t="s">
        <v>3391</v>
      </c>
      <c r="G310" t="s">
        <v>3390</v>
      </c>
      <c r="H310" t="s">
        <v>2698</v>
      </c>
      <c r="I310" s="1" t="s">
        <v>1456</v>
      </c>
      <c r="J310" t="s">
        <v>3373</v>
      </c>
      <c r="K310" s="25">
        <f>Tabelle5[[#This Row],[value_present]]*Tabelle5[[#This Row],[binding_level]]</f>
        <v>3</v>
      </c>
    </row>
    <row r="311" spans="1:11" x14ac:dyDescent="0.25">
      <c r="A311" s="24">
        <v>9</v>
      </c>
      <c r="B311" s="2">
        <v>46</v>
      </c>
      <c r="C311" s="2" t="s">
        <v>76</v>
      </c>
      <c r="D311" s="3">
        <v>1</v>
      </c>
      <c r="E311" s="1">
        <v>2</v>
      </c>
      <c r="F311" t="s">
        <v>3393</v>
      </c>
      <c r="G311" t="s">
        <v>3392</v>
      </c>
      <c r="H311" t="s">
        <v>2602</v>
      </c>
      <c r="I311" s="1" t="s">
        <v>1456</v>
      </c>
      <c r="J311" t="s">
        <v>3374</v>
      </c>
      <c r="K311" s="25">
        <f>Tabelle5[[#This Row],[value_present]]*Tabelle5[[#This Row],[binding_level]]</f>
        <v>2</v>
      </c>
    </row>
    <row r="312" spans="1:11" x14ac:dyDescent="0.25">
      <c r="A312" s="24">
        <v>9</v>
      </c>
      <c r="B312" s="2">
        <v>46</v>
      </c>
      <c r="C312" s="2" t="s">
        <v>83</v>
      </c>
      <c r="D312" s="3">
        <v>1</v>
      </c>
      <c r="E312" s="1">
        <v>2</v>
      </c>
      <c r="F312" t="s">
        <v>3395</v>
      </c>
      <c r="G312" t="s">
        <v>3394</v>
      </c>
      <c r="H312" t="s">
        <v>3193</v>
      </c>
      <c r="I312" s="1" t="s">
        <v>1456</v>
      </c>
      <c r="J312" t="s">
        <v>3375</v>
      </c>
      <c r="K312" s="25">
        <f>Tabelle5[[#This Row],[value_present]]*Tabelle5[[#This Row],[binding_level]]</f>
        <v>2</v>
      </c>
    </row>
    <row r="313" spans="1:11" x14ac:dyDescent="0.25">
      <c r="A313" s="24">
        <v>9</v>
      </c>
      <c r="B313" s="2">
        <v>46</v>
      </c>
      <c r="C313" s="2" t="s">
        <v>90</v>
      </c>
      <c r="D313" s="3">
        <v>1</v>
      </c>
      <c r="E313" s="1">
        <v>2</v>
      </c>
      <c r="F313" t="s">
        <v>3397</v>
      </c>
      <c r="G313" t="s">
        <v>3396</v>
      </c>
      <c r="H313" t="s">
        <v>2698</v>
      </c>
      <c r="I313" s="1" t="s">
        <v>1456</v>
      </c>
      <c r="J313" t="s">
        <v>3376</v>
      </c>
      <c r="K313" s="25">
        <f>Tabelle5[[#This Row],[value_present]]*Tabelle5[[#This Row],[binding_level]]</f>
        <v>2</v>
      </c>
    </row>
    <row r="314" spans="1:11" x14ac:dyDescent="0.25">
      <c r="A314" s="24">
        <v>9</v>
      </c>
      <c r="B314" s="2">
        <v>46</v>
      </c>
      <c r="C314" s="2" t="s">
        <v>98</v>
      </c>
      <c r="D314" s="3">
        <v>1</v>
      </c>
      <c r="E314" s="1">
        <v>2</v>
      </c>
      <c r="F314" t="s">
        <v>3399</v>
      </c>
      <c r="G314" t="s">
        <v>3398</v>
      </c>
      <c r="H314" t="s">
        <v>3193</v>
      </c>
      <c r="I314" s="1" t="s">
        <v>1456</v>
      </c>
      <c r="J314" t="s">
        <v>3377</v>
      </c>
      <c r="K314" s="25">
        <f>Tabelle5[[#This Row],[value_present]]*Tabelle5[[#This Row],[binding_level]]</f>
        <v>2</v>
      </c>
    </row>
    <row r="315" spans="1:11" x14ac:dyDescent="0.25">
      <c r="A315" s="24">
        <v>9</v>
      </c>
      <c r="B315" s="2">
        <v>46</v>
      </c>
      <c r="C315" s="2" t="s">
        <v>106</v>
      </c>
      <c r="D315" s="3">
        <v>1</v>
      </c>
      <c r="E315" s="1">
        <v>2</v>
      </c>
      <c r="F315" t="s">
        <v>3401</v>
      </c>
      <c r="G315" t="s">
        <v>3400</v>
      </c>
      <c r="H315" t="s">
        <v>2698</v>
      </c>
      <c r="I315" s="1" t="s">
        <v>1456</v>
      </c>
      <c r="J315" t="s">
        <v>3378</v>
      </c>
      <c r="K315" s="25">
        <f>Tabelle5[[#This Row],[value_present]]*Tabelle5[[#This Row],[binding_level]]</f>
        <v>2</v>
      </c>
    </row>
    <row r="316" spans="1:11" x14ac:dyDescent="0.25">
      <c r="A316" s="24">
        <v>9</v>
      </c>
      <c r="B316" s="2">
        <v>46</v>
      </c>
      <c r="C316" s="2" t="s">
        <v>112</v>
      </c>
      <c r="D316" s="3">
        <v>1</v>
      </c>
      <c r="E316" s="1">
        <v>2</v>
      </c>
      <c r="F316" t="s">
        <v>3403</v>
      </c>
      <c r="G316" t="s">
        <v>3402</v>
      </c>
      <c r="H316" t="s">
        <v>3193</v>
      </c>
      <c r="I316" s="1" t="s">
        <v>1457</v>
      </c>
      <c r="J316" t="s">
        <v>3379</v>
      </c>
      <c r="K316" s="25">
        <f>Tabelle5[[#This Row],[value_present]]*Tabelle5[[#This Row],[binding_level]]</f>
        <v>2</v>
      </c>
    </row>
    <row r="317" spans="1:11" x14ac:dyDescent="0.25">
      <c r="A317" s="24">
        <v>9</v>
      </c>
      <c r="B317" s="2">
        <v>46</v>
      </c>
      <c r="C317" s="2" t="s">
        <v>118</v>
      </c>
      <c r="D317" s="3">
        <v>0</v>
      </c>
      <c r="E317" s="1"/>
      <c r="I317" s="1" t="s">
        <v>1456</v>
      </c>
      <c r="J317" t="s">
        <v>3380</v>
      </c>
      <c r="K317" s="25">
        <f>Tabelle5[[#This Row],[value_present]]*Tabelle5[[#This Row],[binding_level]]</f>
        <v>0</v>
      </c>
    </row>
    <row r="318" spans="1:11" x14ac:dyDescent="0.25">
      <c r="A318" s="24">
        <v>9</v>
      </c>
      <c r="B318" s="2">
        <v>46</v>
      </c>
      <c r="C318" s="2" t="s">
        <v>125</v>
      </c>
      <c r="D318" s="3">
        <v>0</v>
      </c>
      <c r="E318" s="1"/>
      <c r="I318" s="1" t="s">
        <v>1456</v>
      </c>
      <c r="J318" t="s">
        <v>3381</v>
      </c>
      <c r="K318" s="25">
        <f>Tabelle5[[#This Row],[value_present]]*Tabelle5[[#This Row],[binding_level]]</f>
        <v>0</v>
      </c>
    </row>
    <row r="319" spans="1:11" x14ac:dyDescent="0.25">
      <c r="A319" s="24">
        <v>9</v>
      </c>
      <c r="B319" s="2">
        <v>46</v>
      </c>
      <c r="C319" s="2" t="s">
        <v>132</v>
      </c>
      <c r="D319" s="3">
        <v>0</v>
      </c>
      <c r="E319" s="1"/>
      <c r="I319" s="1" t="s">
        <v>1456</v>
      </c>
      <c r="J319" t="s">
        <v>3055</v>
      </c>
      <c r="K319" s="25">
        <f>Tabelle5[[#This Row],[value_present]]*Tabelle5[[#This Row],[binding_level]]</f>
        <v>0</v>
      </c>
    </row>
    <row r="320" spans="1:11" x14ac:dyDescent="0.25">
      <c r="A320" s="24">
        <v>9</v>
      </c>
      <c r="B320" s="2">
        <v>46</v>
      </c>
      <c r="C320" s="2" t="s">
        <v>140</v>
      </c>
      <c r="D320" s="3">
        <v>0</v>
      </c>
      <c r="E320" s="1"/>
      <c r="I320" s="1" t="s">
        <v>1457</v>
      </c>
      <c r="J320" t="s">
        <v>3382</v>
      </c>
      <c r="K320" s="25">
        <f>Tabelle5[[#This Row],[value_present]]*Tabelle5[[#This Row],[binding_level]]</f>
        <v>0</v>
      </c>
    </row>
    <row r="321" spans="1:11" x14ac:dyDescent="0.25">
      <c r="A321" s="24">
        <v>9</v>
      </c>
      <c r="B321" s="2">
        <v>46</v>
      </c>
      <c r="C321" s="2" t="s">
        <v>147</v>
      </c>
      <c r="D321" s="3">
        <v>1</v>
      </c>
      <c r="E321" s="1">
        <v>2</v>
      </c>
      <c r="F321" t="s">
        <v>3405</v>
      </c>
      <c r="G321" t="s">
        <v>3404</v>
      </c>
      <c r="H321" t="s">
        <v>3293</v>
      </c>
      <c r="I321" s="1" t="s">
        <v>1456</v>
      </c>
      <c r="J321" t="s">
        <v>3383</v>
      </c>
      <c r="K321" s="25">
        <f>Tabelle5[[#This Row],[value_present]]*Tabelle5[[#This Row],[binding_level]]</f>
        <v>2</v>
      </c>
    </row>
    <row r="322" spans="1:11" x14ac:dyDescent="0.25">
      <c r="A322" s="24">
        <v>9</v>
      </c>
      <c r="B322" s="2">
        <v>46</v>
      </c>
      <c r="C322" s="2" t="s">
        <v>154</v>
      </c>
      <c r="D322" s="3">
        <v>1</v>
      </c>
      <c r="E322" s="1">
        <v>2</v>
      </c>
      <c r="F322" t="s">
        <v>3407</v>
      </c>
      <c r="G322" t="s">
        <v>3406</v>
      </c>
      <c r="H322" t="s">
        <v>3193</v>
      </c>
      <c r="I322" s="1" t="s">
        <v>1456</v>
      </c>
      <c r="J322" t="s">
        <v>3384</v>
      </c>
      <c r="K322" s="25">
        <f>Tabelle5[[#This Row],[value_present]]*Tabelle5[[#This Row],[binding_level]]</f>
        <v>2</v>
      </c>
    </row>
    <row r="323" spans="1:11" x14ac:dyDescent="0.25">
      <c r="A323" s="24">
        <v>9</v>
      </c>
      <c r="B323" s="2">
        <v>46</v>
      </c>
      <c r="C323" s="2" t="s">
        <v>161</v>
      </c>
      <c r="D323" s="3">
        <v>0</v>
      </c>
      <c r="E323" s="1"/>
      <c r="I323" s="1" t="s">
        <v>1457</v>
      </c>
      <c r="J323" t="s">
        <v>3385</v>
      </c>
      <c r="K323" s="25">
        <f>Tabelle5[[#This Row],[value_present]]*Tabelle5[[#This Row],[binding_level]]</f>
        <v>0</v>
      </c>
    </row>
    <row r="324" spans="1:11" x14ac:dyDescent="0.25">
      <c r="A324" s="24">
        <v>9</v>
      </c>
      <c r="B324" s="2">
        <v>46</v>
      </c>
      <c r="C324" s="2" t="s">
        <v>166</v>
      </c>
      <c r="D324" s="3">
        <v>1</v>
      </c>
      <c r="E324" s="1">
        <v>1</v>
      </c>
      <c r="F324" t="s">
        <v>3409</v>
      </c>
      <c r="G324" t="s">
        <v>3408</v>
      </c>
      <c r="H324" t="s">
        <v>1387</v>
      </c>
      <c r="I324" s="1" t="s">
        <v>1457</v>
      </c>
      <c r="J324" t="s">
        <v>3386</v>
      </c>
      <c r="K324" s="25">
        <f>Tabelle5[[#This Row],[value_present]]*Tabelle5[[#This Row],[binding_level]]</f>
        <v>1</v>
      </c>
    </row>
    <row r="325" spans="1:11" ht="15.75" thickBot="1" x14ac:dyDescent="0.3">
      <c r="A325" s="24">
        <v>9</v>
      </c>
      <c r="B325" s="2">
        <v>46</v>
      </c>
      <c r="C325" s="2" t="s">
        <v>174</v>
      </c>
      <c r="D325" s="3">
        <v>1</v>
      </c>
      <c r="E325" s="1">
        <v>2</v>
      </c>
      <c r="F325" t="s">
        <v>3411</v>
      </c>
      <c r="G325" t="s">
        <v>3410</v>
      </c>
      <c r="H325" t="s">
        <v>3293</v>
      </c>
      <c r="I325" s="1" t="s">
        <v>1456</v>
      </c>
      <c r="J325" t="s">
        <v>3387</v>
      </c>
      <c r="K325" s="25">
        <f>Tabelle5[[#This Row],[value_present]]*Tabelle5[[#This Row],[binding_level]]</f>
        <v>2</v>
      </c>
    </row>
    <row r="326" spans="1:11" x14ac:dyDescent="0.25">
      <c r="A326" s="18">
        <v>9</v>
      </c>
      <c r="B326" s="19">
        <v>48</v>
      </c>
      <c r="C326" s="19" t="s">
        <v>53</v>
      </c>
      <c r="D326" s="20">
        <v>1</v>
      </c>
      <c r="E326" s="21">
        <v>1</v>
      </c>
      <c r="F326" t="s">
        <v>3459</v>
      </c>
      <c r="G326" t="s">
        <v>3458</v>
      </c>
      <c r="H326" s="22" t="s">
        <v>3256</v>
      </c>
      <c r="I326" s="21" t="s">
        <v>1457</v>
      </c>
      <c r="J326" s="22" t="s">
        <v>3440</v>
      </c>
      <c r="K326" s="23">
        <f>Tabelle5[[#This Row],[value_present]]*Tabelle5[[#This Row],[binding_level]]</f>
        <v>1</v>
      </c>
    </row>
    <row r="327" spans="1:11" x14ac:dyDescent="0.25">
      <c r="A327" s="24">
        <v>9</v>
      </c>
      <c r="B327" s="2">
        <v>48</v>
      </c>
      <c r="C327" s="2" t="s">
        <v>61</v>
      </c>
      <c r="D327" s="3">
        <v>1</v>
      </c>
      <c r="E327" s="1">
        <v>2</v>
      </c>
      <c r="F327" t="s">
        <v>3461</v>
      </c>
      <c r="G327" t="s">
        <v>3460</v>
      </c>
      <c r="H327" t="s">
        <v>1404</v>
      </c>
      <c r="I327" s="1" t="s">
        <v>1456</v>
      </c>
      <c r="J327" t="s">
        <v>3441</v>
      </c>
      <c r="K327" s="25">
        <f>Tabelle5[[#This Row],[value_present]]*Tabelle5[[#This Row],[binding_level]]</f>
        <v>2</v>
      </c>
    </row>
    <row r="328" spans="1:11" x14ac:dyDescent="0.25">
      <c r="A328" s="24">
        <v>9</v>
      </c>
      <c r="B328" s="2">
        <v>48</v>
      </c>
      <c r="C328" s="2" t="s">
        <v>69</v>
      </c>
      <c r="D328" s="3">
        <v>1</v>
      </c>
      <c r="E328" s="1">
        <v>1</v>
      </c>
      <c r="F328" t="s">
        <v>3463</v>
      </c>
      <c r="G328" t="s">
        <v>3462</v>
      </c>
      <c r="H328" t="s">
        <v>1387</v>
      </c>
      <c r="I328" s="1" t="s">
        <v>1456</v>
      </c>
      <c r="J328" t="s">
        <v>3442</v>
      </c>
      <c r="K328" s="25">
        <f>Tabelle5[[#This Row],[value_present]]*Tabelle5[[#This Row],[binding_level]]</f>
        <v>1</v>
      </c>
    </row>
    <row r="329" spans="1:11" x14ac:dyDescent="0.25">
      <c r="A329" s="24">
        <v>9</v>
      </c>
      <c r="B329" s="2">
        <v>48</v>
      </c>
      <c r="C329" s="2" t="s">
        <v>76</v>
      </c>
      <c r="D329" s="3">
        <v>1</v>
      </c>
      <c r="E329" s="1">
        <v>1</v>
      </c>
      <c r="F329" t="s">
        <v>3465</v>
      </c>
      <c r="G329" t="s">
        <v>3464</v>
      </c>
      <c r="H329" t="s">
        <v>3443</v>
      </c>
      <c r="I329" s="1" t="s">
        <v>1456</v>
      </c>
      <c r="J329" t="s">
        <v>3444</v>
      </c>
      <c r="K329" s="25">
        <f>Tabelle5[[#This Row],[value_present]]*Tabelle5[[#This Row],[binding_level]]</f>
        <v>1</v>
      </c>
    </row>
    <row r="330" spans="1:11" x14ac:dyDescent="0.25">
      <c r="A330" s="24">
        <v>9</v>
      </c>
      <c r="B330" s="2">
        <v>48</v>
      </c>
      <c r="C330" s="2" t="s">
        <v>83</v>
      </c>
      <c r="D330" s="3">
        <v>1</v>
      </c>
      <c r="E330" s="1">
        <v>2</v>
      </c>
      <c r="F330" t="s">
        <v>3466</v>
      </c>
      <c r="G330" t="s">
        <v>3467</v>
      </c>
      <c r="H330" t="s">
        <v>3443</v>
      </c>
      <c r="I330" s="1" t="s">
        <v>1456</v>
      </c>
      <c r="J330" t="s">
        <v>3445</v>
      </c>
      <c r="K330" s="25">
        <f>Tabelle5[[#This Row],[value_present]]*Tabelle5[[#This Row],[binding_level]]</f>
        <v>2</v>
      </c>
    </row>
    <row r="331" spans="1:11" x14ac:dyDescent="0.25">
      <c r="A331" s="24">
        <v>9</v>
      </c>
      <c r="B331" s="2">
        <v>48</v>
      </c>
      <c r="C331" s="2" t="s">
        <v>90</v>
      </c>
      <c r="D331" s="3">
        <v>1</v>
      </c>
      <c r="E331" s="1">
        <v>1</v>
      </c>
      <c r="F331" t="s">
        <v>3468</v>
      </c>
      <c r="G331" t="s">
        <v>3469</v>
      </c>
      <c r="H331" t="s">
        <v>1404</v>
      </c>
      <c r="I331" s="1" t="s">
        <v>1457</v>
      </c>
      <c r="J331" t="s">
        <v>3446</v>
      </c>
      <c r="K331" s="25">
        <f>Tabelle5[[#This Row],[value_present]]*Tabelle5[[#This Row],[binding_level]]</f>
        <v>1</v>
      </c>
    </row>
    <row r="332" spans="1:11" x14ac:dyDescent="0.25">
      <c r="A332" s="24">
        <v>9</v>
      </c>
      <c r="B332" s="2">
        <v>48</v>
      </c>
      <c r="C332" s="2" t="s">
        <v>98</v>
      </c>
      <c r="D332" s="3">
        <v>1</v>
      </c>
      <c r="E332" s="1">
        <v>1</v>
      </c>
      <c r="F332" t="s">
        <v>3470</v>
      </c>
      <c r="G332" t="s">
        <v>3471</v>
      </c>
      <c r="H332" t="s">
        <v>1387</v>
      </c>
      <c r="I332" s="1" t="s">
        <v>1457</v>
      </c>
      <c r="J332" t="s">
        <v>3447</v>
      </c>
      <c r="K332" s="25">
        <f>Tabelle5[[#This Row],[value_present]]*Tabelle5[[#This Row],[binding_level]]</f>
        <v>1</v>
      </c>
    </row>
    <row r="333" spans="1:11" x14ac:dyDescent="0.25">
      <c r="A333" s="24">
        <v>9</v>
      </c>
      <c r="B333" s="2">
        <v>48</v>
      </c>
      <c r="C333" s="2" t="s">
        <v>106</v>
      </c>
      <c r="D333" s="3">
        <v>0</v>
      </c>
      <c r="E333" s="1"/>
      <c r="I333" s="1" t="s">
        <v>1457</v>
      </c>
      <c r="J333" t="s">
        <v>3448</v>
      </c>
      <c r="K333" s="25">
        <f>Tabelle5[[#This Row],[value_present]]*Tabelle5[[#This Row],[binding_level]]</f>
        <v>0</v>
      </c>
    </row>
    <row r="334" spans="1:11" x14ac:dyDescent="0.25">
      <c r="A334" s="24">
        <v>9</v>
      </c>
      <c r="B334" s="2">
        <v>48</v>
      </c>
      <c r="C334" s="2" t="s">
        <v>112</v>
      </c>
      <c r="D334" s="3">
        <v>1</v>
      </c>
      <c r="E334" s="1">
        <v>1</v>
      </c>
      <c r="F334" t="s">
        <v>3472</v>
      </c>
      <c r="G334" t="s">
        <v>3473</v>
      </c>
      <c r="H334" t="s">
        <v>1387</v>
      </c>
      <c r="I334" s="1" t="s">
        <v>1456</v>
      </c>
      <c r="J334" t="s">
        <v>3449</v>
      </c>
      <c r="K334" s="25">
        <f>Tabelle5[[#This Row],[value_present]]*Tabelle5[[#This Row],[binding_level]]</f>
        <v>1</v>
      </c>
    </row>
    <row r="335" spans="1:11" x14ac:dyDescent="0.25">
      <c r="A335" s="24">
        <v>9</v>
      </c>
      <c r="B335" s="2">
        <v>48</v>
      </c>
      <c r="C335" s="2" t="s">
        <v>118</v>
      </c>
      <c r="D335" s="3">
        <v>0</v>
      </c>
      <c r="E335" s="1"/>
      <c r="I335" s="1" t="s">
        <v>1456</v>
      </c>
      <c r="J335" t="s">
        <v>2908</v>
      </c>
      <c r="K335" s="25">
        <f>Tabelle5[[#This Row],[value_present]]*Tabelle5[[#This Row],[binding_level]]</f>
        <v>0</v>
      </c>
    </row>
    <row r="336" spans="1:11" x14ac:dyDescent="0.25">
      <c r="A336" s="24">
        <v>9</v>
      </c>
      <c r="B336" s="2">
        <v>48</v>
      </c>
      <c r="C336" s="2" t="s">
        <v>125</v>
      </c>
      <c r="D336" s="3">
        <v>0</v>
      </c>
      <c r="E336" s="1"/>
      <c r="I336" s="1" t="s">
        <v>1456</v>
      </c>
      <c r="J336" t="s">
        <v>3450</v>
      </c>
      <c r="K336" s="25">
        <f>Tabelle5[[#This Row],[value_present]]*Tabelle5[[#This Row],[binding_level]]</f>
        <v>0</v>
      </c>
    </row>
    <row r="337" spans="1:11" x14ac:dyDescent="0.25">
      <c r="A337" s="24">
        <v>9</v>
      </c>
      <c r="B337" s="2">
        <v>48</v>
      </c>
      <c r="C337" s="2" t="s">
        <v>132</v>
      </c>
      <c r="D337" s="3">
        <v>0</v>
      </c>
      <c r="E337" s="1"/>
      <c r="I337" s="1" t="s">
        <v>1456</v>
      </c>
      <c r="J337" t="s">
        <v>3451</v>
      </c>
      <c r="K337" s="25">
        <f>Tabelle5[[#This Row],[value_present]]*Tabelle5[[#This Row],[binding_level]]</f>
        <v>0</v>
      </c>
    </row>
    <row r="338" spans="1:11" x14ac:dyDescent="0.25">
      <c r="A338" s="24">
        <v>9</v>
      </c>
      <c r="B338" s="2">
        <v>48</v>
      </c>
      <c r="C338" s="2" t="s">
        <v>140</v>
      </c>
      <c r="D338" s="3">
        <v>0</v>
      </c>
      <c r="E338" s="1"/>
      <c r="I338" s="1" t="s">
        <v>1457</v>
      </c>
      <c r="J338" t="s">
        <v>3452</v>
      </c>
      <c r="K338" s="25">
        <f>Tabelle5[[#This Row],[value_present]]*Tabelle5[[#This Row],[binding_level]]</f>
        <v>0</v>
      </c>
    </row>
    <row r="339" spans="1:11" x14ac:dyDescent="0.25">
      <c r="A339" s="24">
        <v>9</v>
      </c>
      <c r="B339" s="2">
        <v>48</v>
      </c>
      <c r="C339" s="2" t="s">
        <v>147</v>
      </c>
      <c r="D339" s="3">
        <v>1</v>
      </c>
      <c r="E339" s="1">
        <v>2</v>
      </c>
      <c r="F339" t="s">
        <v>3474</v>
      </c>
      <c r="G339" t="s">
        <v>3475</v>
      </c>
      <c r="H339" t="s">
        <v>2833</v>
      </c>
      <c r="I339" s="1" t="s">
        <v>1456</v>
      </c>
      <c r="J339" t="s">
        <v>3453</v>
      </c>
      <c r="K339" s="25">
        <f>Tabelle5[[#This Row],[value_present]]*Tabelle5[[#This Row],[binding_level]]</f>
        <v>2</v>
      </c>
    </row>
    <row r="340" spans="1:11" x14ac:dyDescent="0.25">
      <c r="A340" s="24">
        <v>9</v>
      </c>
      <c r="B340" s="2">
        <v>48</v>
      </c>
      <c r="C340" s="2" t="s">
        <v>154</v>
      </c>
      <c r="D340" s="3">
        <v>1</v>
      </c>
      <c r="E340" s="1">
        <v>1</v>
      </c>
      <c r="F340" t="s">
        <v>3476</v>
      </c>
      <c r="G340" t="s">
        <v>3477</v>
      </c>
      <c r="H340" t="s">
        <v>3193</v>
      </c>
      <c r="I340" s="1" t="s">
        <v>1457</v>
      </c>
      <c r="J340" t="s">
        <v>3454</v>
      </c>
      <c r="K340" s="25">
        <f>Tabelle5[[#This Row],[value_present]]*Tabelle5[[#This Row],[binding_level]]</f>
        <v>1</v>
      </c>
    </row>
    <row r="341" spans="1:11" x14ac:dyDescent="0.25">
      <c r="A341" s="24">
        <v>9</v>
      </c>
      <c r="B341" s="2">
        <v>48</v>
      </c>
      <c r="C341" s="2" t="s">
        <v>161</v>
      </c>
      <c r="D341" s="3">
        <v>1</v>
      </c>
      <c r="E341" s="1">
        <v>1</v>
      </c>
      <c r="F341" t="s">
        <v>3478</v>
      </c>
      <c r="G341" t="s">
        <v>3479</v>
      </c>
      <c r="H341" t="s">
        <v>1387</v>
      </c>
      <c r="I341" s="1" t="s">
        <v>1456</v>
      </c>
      <c r="J341" t="s">
        <v>3455</v>
      </c>
      <c r="K341" s="25">
        <f>Tabelle5[[#This Row],[value_present]]*Tabelle5[[#This Row],[binding_level]]</f>
        <v>1</v>
      </c>
    </row>
    <row r="342" spans="1:11" x14ac:dyDescent="0.25">
      <c r="A342" s="24">
        <v>9</v>
      </c>
      <c r="B342" s="2">
        <v>48</v>
      </c>
      <c r="C342" s="2" t="s">
        <v>166</v>
      </c>
      <c r="D342" s="3">
        <v>1</v>
      </c>
      <c r="E342" s="1">
        <v>1</v>
      </c>
      <c r="F342" t="s">
        <v>3480</v>
      </c>
      <c r="G342" t="s">
        <v>3481</v>
      </c>
      <c r="H342" t="s">
        <v>3443</v>
      </c>
      <c r="I342" s="1" t="s">
        <v>1456</v>
      </c>
      <c r="J342" t="s">
        <v>3456</v>
      </c>
      <c r="K342" s="25">
        <f>Tabelle5[[#This Row],[value_present]]*Tabelle5[[#This Row],[binding_level]]</f>
        <v>1</v>
      </c>
    </row>
    <row r="343" spans="1:11" ht="15.75" thickBot="1" x14ac:dyDescent="0.3">
      <c r="A343" s="24">
        <v>9</v>
      </c>
      <c r="B343" s="2">
        <v>48</v>
      </c>
      <c r="C343" s="2" t="s">
        <v>174</v>
      </c>
      <c r="D343" s="3">
        <v>1</v>
      </c>
      <c r="E343" s="1">
        <v>1</v>
      </c>
      <c r="F343" t="s">
        <v>3482</v>
      </c>
      <c r="G343" t="s">
        <v>3483</v>
      </c>
      <c r="H343" t="s">
        <v>1387</v>
      </c>
      <c r="I343" s="1" t="s">
        <v>1457</v>
      </c>
      <c r="J343" t="s">
        <v>3457</v>
      </c>
      <c r="K343" s="25">
        <f>Tabelle5[[#This Row],[value_present]]*Tabelle5[[#This Row],[binding_level]]</f>
        <v>1</v>
      </c>
    </row>
    <row r="344" spans="1:11" x14ac:dyDescent="0.25">
      <c r="A344" s="18">
        <v>10</v>
      </c>
      <c r="B344" s="19">
        <v>52</v>
      </c>
      <c r="C344" s="19" t="s">
        <v>53</v>
      </c>
      <c r="D344" s="20">
        <v>0</v>
      </c>
      <c r="E344" s="21"/>
      <c r="F344" s="22"/>
      <c r="G344" s="22"/>
      <c r="H344" s="22"/>
      <c r="I344" s="21" t="s">
        <v>1456</v>
      </c>
      <c r="J344" s="22" t="s">
        <v>3513</v>
      </c>
      <c r="K344" s="23">
        <f>Tabelle5[[#This Row],[value_present]]*Tabelle5[[#This Row],[binding_level]]</f>
        <v>0</v>
      </c>
    </row>
    <row r="345" spans="1:11" x14ac:dyDescent="0.25">
      <c r="A345" s="24">
        <v>10</v>
      </c>
      <c r="B345" s="2">
        <v>52</v>
      </c>
      <c r="C345" s="2" t="s">
        <v>61</v>
      </c>
      <c r="D345" s="3">
        <v>0</v>
      </c>
      <c r="E345" s="1"/>
      <c r="I345" s="1" t="s">
        <v>1457</v>
      </c>
      <c r="J345" t="s">
        <v>3514</v>
      </c>
      <c r="K345" s="25">
        <f>Tabelle5[[#This Row],[value_present]]*Tabelle5[[#This Row],[binding_level]]</f>
        <v>0</v>
      </c>
    </row>
    <row r="346" spans="1:11" x14ac:dyDescent="0.25">
      <c r="A346" s="24">
        <v>10</v>
      </c>
      <c r="B346" s="2">
        <v>52</v>
      </c>
      <c r="C346" s="2" t="s">
        <v>69</v>
      </c>
      <c r="D346" s="3">
        <v>1</v>
      </c>
      <c r="E346" s="1">
        <v>1</v>
      </c>
      <c r="F346" t="s">
        <v>3529</v>
      </c>
      <c r="G346" t="s">
        <v>3530</v>
      </c>
      <c r="H346" t="s">
        <v>3515</v>
      </c>
      <c r="I346" s="1" t="s">
        <v>1456</v>
      </c>
      <c r="J346" t="s">
        <v>3516</v>
      </c>
      <c r="K346" s="25">
        <f>Tabelle5[[#This Row],[value_present]]*Tabelle5[[#This Row],[binding_level]]</f>
        <v>1</v>
      </c>
    </row>
    <row r="347" spans="1:11" x14ac:dyDescent="0.25">
      <c r="A347" s="24">
        <v>10</v>
      </c>
      <c r="B347" s="2">
        <v>52</v>
      </c>
      <c r="C347" s="2" t="s">
        <v>76</v>
      </c>
      <c r="D347" s="3">
        <v>0</v>
      </c>
      <c r="E347" s="1"/>
      <c r="I347" s="1" t="s">
        <v>1456</v>
      </c>
      <c r="J347" t="s">
        <v>2898</v>
      </c>
      <c r="K347" s="25">
        <f>Tabelle5[[#This Row],[value_present]]*Tabelle5[[#This Row],[binding_level]]</f>
        <v>0</v>
      </c>
    </row>
    <row r="348" spans="1:11" x14ac:dyDescent="0.25">
      <c r="A348" s="24">
        <v>10</v>
      </c>
      <c r="B348" s="2">
        <v>52</v>
      </c>
      <c r="C348" s="2" t="s">
        <v>83</v>
      </c>
      <c r="D348" s="3">
        <v>1</v>
      </c>
      <c r="E348" s="1">
        <v>1</v>
      </c>
      <c r="F348" t="s">
        <v>3534</v>
      </c>
      <c r="G348" t="s">
        <v>3533</v>
      </c>
      <c r="H348" t="s">
        <v>3515</v>
      </c>
      <c r="I348" s="1" t="s">
        <v>1456</v>
      </c>
      <c r="J348" t="s">
        <v>3517</v>
      </c>
      <c r="K348" s="25">
        <f>Tabelle5[[#This Row],[value_present]]*Tabelle5[[#This Row],[binding_level]]</f>
        <v>1</v>
      </c>
    </row>
    <row r="349" spans="1:11" x14ac:dyDescent="0.25">
      <c r="A349" s="24">
        <v>10</v>
      </c>
      <c r="B349" s="2">
        <v>52</v>
      </c>
      <c r="C349" s="2" t="s">
        <v>90</v>
      </c>
      <c r="D349" s="3">
        <v>0</v>
      </c>
      <c r="E349" s="1"/>
      <c r="I349" s="1" t="s">
        <v>1457</v>
      </c>
      <c r="J349" t="s">
        <v>3518</v>
      </c>
      <c r="K349" s="25">
        <f>Tabelle5[[#This Row],[value_present]]*Tabelle5[[#This Row],[binding_level]]</f>
        <v>0</v>
      </c>
    </row>
    <row r="350" spans="1:11" x14ac:dyDescent="0.25">
      <c r="A350" s="24">
        <v>10</v>
      </c>
      <c r="B350" s="2">
        <v>52</v>
      </c>
      <c r="C350" s="2" t="s">
        <v>98</v>
      </c>
      <c r="D350" s="3">
        <v>0</v>
      </c>
      <c r="E350" s="1"/>
      <c r="I350" s="1" t="s">
        <v>1457</v>
      </c>
      <c r="J350" t="s">
        <v>3519</v>
      </c>
      <c r="K350" s="25">
        <f>Tabelle5[[#This Row],[value_present]]*Tabelle5[[#This Row],[binding_level]]</f>
        <v>0</v>
      </c>
    </row>
    <row r="351" spans="1:11" x14ac:dyDescent="0.25">
      <c r="A351" s="24">
        <v>10</v>
      </c>
      <c r="B351" s="2">
        <v>52</v>
      </c>
      <c r="C351" s="2" t="s">
        <v>106</v>
      </c>
      <c r="D351" s="3">
        <v>1</v>
      </c>
      <c r="E351" s="1">
        <v>1</v>
      </c>
      <c r="F351" t="s">
        <v>3531</v>
      </c>
      <c r="G351" t="s">
        <v>3532</v>
      </c>
      <c r="H351" t="s">
        <v>3515</v>
      </c>
      <c r="I351" s="1" t="s">
        <v>1456</v>
      </c>
      <c r="J351" t="s">
        <v>3520</v>
      </c>
      <c r="K351" s="25">
        <f>Tabelle5[[#This Row],[value_present]]*Tabelle5[[#This Row],[binding_level]]</f>
        <v>1</v>
      </c>
    </row>
    <row r="352" spans="1:11" x14ac:dyDescent="0.25">
      <c r="A352" s="24">
        <v>10</v>
      </c>
      <c r="B352" s="2">
        <v>52</v>
      </c>
      <c r="C352" s="2" t="s">
        <v>112</v>
      </c>
      <c r="D352" s="3">
        <v>0</v>
      </c>
      <c r="E352" s="1"/>
      <c r="I352" s="1" t="s">
        <v>1457</v>
      </c>
      <c r="J352" t="s">
        <v>3521</v>
      </c>
      <c r="K352" s="25">
        <f>Tabelle5[[#This Row],[value_present]]*Tabelle5[[#This Row],[binding_level]]</f>
        <v>0</v>
      </c>
    </row>
    <row r="353" spans="1:11" x14ac:dyDescent="0.25">
      <c r="A353" s="24">
        <v>10</v>
      </c>
      <c r="B353" s="2">
        <v>52</v>
      </c>
      <c r="C353" s="2" t="s">
        <v>118</v>
      </c>
      <c r="D353" s="3">
        <v>0</v>
      </c>
      <c r="E353" s="1"/>
      <c r="I353" s="1" t="s">
        <v>1456</v>
      </c>
      <c r="J353" t="s">
        <v>2843</v>
      </c>
      <c r="K353" s="25">
        <f>Tabelle5[[#This Row],[value_present]]*Tabelle5[[#This Row],[binding_level]]</f>
        <v>0</v>
      </c>
    </row>
    <row r="354" spans="1:11" x14ac:dyDescent="0.25">
      <c r="A354" s="24">
        <v>10</v>
      </c>
      <c r="B354" s="2">
        <v>52</v>
      </c>
      <c r="C354" s="2" t="s">
        <v>125</v>
      </c>
      <c r="D354" s="3">
        <v>0</v>
      </c>
      <c r="E354" s="1"/>
      <c r="I354" s="1" t="s">
        <v>1456</v>
      </c>
      <c r="J354" t="s">
        <v>3450</v>
      </c>
      <c r="K354" s="25">
        <f>Tabelle5[[#This Row],[value_present]]*Tabelle5[[#This Row],[binding_level]]</f>
        <v>0</v>
      </c>
    </row>
    <row r="355" spans="1:11" x14ac:dyDescent="0.25">
      <c r="A355" s="24">
        <v>10</v>
      </c>
      <c r="B355" s="2">
        <v>52</v>
      </c>
      <c r="C355" s="2" t="s">
        <v>132</v>
      </c>
      <c r="D355" s="3">
        <v>0</v>
      </c>
      <c r="E355" s="1"/>
      <c r="I355" s="1" t="s">
        <v>1457</v>
      </c>
      <c r="J355" t="s">
        <v>3522</v>
      </c>
      <c r="K355" s="25">
        <f>Tabelle5[[#This Row],[value_present]]*Tabelle5[[#This Row],[binding_level]]</f>
        <v>0</v>
      </c>
    </row>
    <row r="356" spans="1:11" x14ac:dyDescent="0.25">
      <c r="A356" s="24">
        <v>10</v>
      </c>
      <c r="B356" s="2">
        <v>52</v>
      </c>
      <c r="C356" s="2" t="s">
        <v>140</v>
      </c>
      <c r="D356" s="3">
        <v>1</v>
      </c>
      <c r="E356" s="1">
        <v>1</v>
      </c>
      <c r="F356" t="s">
        <v>3536</v>
      </c>
      <c r="G356" t="s">
        <v>3535</v>
      </c>
      <c r="H356" t="s">
        <v>3515</v>
      </c>
      <c r="I356" s="1" t="s">
        <v>1456</v>
      </c>
      <c r="J356" t="s">
        <v>3523</v>
      </c>
      <c r="K356" s="25">
        <f>Tabelle5[[#This Row],[value_present]]*Tabelle5[[#This Row],[binding_level]]</f>
        <v>1</v>
      </c>
    </row>
    <row r="357" spans="1:11" x14ac:dyDescent="0.25">
      <c r="A357" s="24">
        <v>10</v>
      </c>
      <c r="B357" s="2">
        <v>52</v>
      </c>
      <c r="C357" s="2" t="s">
        <v>147</v>
      </c>
      <c r="D357" s="3">
        <v>0</v>
      </c>
      <c r="E357" s="1"/>
      <c r="I357" s="1" t="s">
        <v>1457</v>
      </c>
      <c r="J357" t="s">
        <v>3524</v>
      </c>
      <c r="K357" s="25">
        <f>Tabelle5[[#This Row],[value_present]]*Tabelle5[[#This Row],[binding_level]]</f>
        <v>0</v>
      </c>
    </row>
    <row r="358" spans="1:11" x14ac:dyDescent="0.25">
      <c r="A358" s="24">
        <v>10</v>
      </c>
      <c r="B358" s="2">
        <v>52</v>
      </c>
      <c r="C358" s="2" t="s">
        <v>154</v>
      </c>
      <c r="D358" s="3">
        <v>1</v>
      </c>
      <c r="E358" s="1">
        <v>1</v>
      </c>
      <c r="F358" t="s">
        <v>3538</v>
      </c>
      <c r="G358" t="s">
        <v>3537</v>
      </c>
      <c r="H358" t="s">
        <v>3515</v>
      </c>
      <c r="I358" s="1" t="s">
        <v>1456</v>
      </c>
      <c r="J358" t="s">
        <v>3525</v>
      </c>
      <c r="K358" s="25">
        <f>Tabelle5[[#This Row],[value_present]]*Tabelle5[[#This Row],[binding_level]]</f>
        <v>1</v>
      </c>
    </row>
    <row r="359" spans="1:11" x14ac:dyDescent="0.25">
      <c r="A359" s="24">
        <v>10</v>
      </c>
      <c r="B359" s="2">
        <v>52</v>
      </c>
      <c r="C359" s="2" t="s">
        <v>161</v>
      </c>
      <c r="D359" s="3">
        <v>0</v>
      </c>
      <c r="E359" s="1"/>
      <c r="I359" s="1" t="s">
        <v>1456</v>
      </c>
      <c r="J359" t="s">
        <v>3526</v>
      </c>
      <c r="K359" s="25">
        <f>Tabelle5[[#This Row],[value_present]]*Tabelle5[[#This Row],[binding_level]]</f>
        <v>0</v>
      </c>
    </row>
    <row r="360" spans="1:11" x14ac:dyDescent="0.25">
      <c r="A360" s="24">
        <v>10</v>
      </c>
      <c r="B360" s="2">
        <v>52</v>
      </c>
      <c r="C360" s="2" t="s">
        <v>166</v>
      </c>
      <c r="D360" s="3">
        <v>0</v>
      </c>
      <c r="E360" s="1"/>
      <c r="I360" s="1" t="s">
        <v>1457</v>
      </c>
      <c r="J360" t="s">
        <v>3527</v>
      </c>
      <c r="K360" s="25">
        <f>Tabelle5[[#This Row],[value_present]]*Tabelle5[[#This Row],[binding_level]]</f>
        <v>0</v>
      </c>
    </row>
    <row r="361" spans="1:11" ht="15.75" thickBot="1" x14ac:dyDescent="0.3">
      <c r="A361" s="26">
        <v>10</v>
      </c>
      <c r="B361" s="27">
        <v>52</v>
      </c>
      <c r="C361" s="27" t="s">
        <v>174</v>
      </c>
      <c r="D361" s="28">
        <v>0</v>
      </c>
      <c r="E361" s="29"/>
      <c r="F361" s="30"/>
      <c r="G361" s="30"/>
      <c r="H361" s="30"/>
      <c r="I361" s="29" t="s">
        <v>1456</v>
      </c>
      <c r="J361" s="30" t="s">
        <v>3528</v>
      </c>
      <c r="K361" s="31">
        <f>Tabelle5[[#This Row],[value_present]]*Tabelle5[[#This Row],[binding_level]]</f>
        <v>0</v>
      </c>
    </row>
    <row r="362" spans="1:11" x14ac:dyDescent="0.25">
      <c r="A362" s="18">
        <v>10</v>
      </c>
      <c r="B362" s="19">
        <v>53</v>
      </c>
      <c r="C362" s="19" t="s">
        <v>53</v>
      </c>
      <c r="D362" s="20">
        <v>0</v>
      </c>
      <c r="E362" s="21"/>
      <c r="F362" s="22"/>
      <c r="G362" s="22"/>
      <c r="H362" s="22"/>
      <c r="I362" s="21" t="s">
        <v>1457</v>
      </c>
      <c r="J362" s="22" t="s">
        <v>3567</v>
      </c>
      <c r="K362" s="23">
        <f>Tabelle5[[#This Row],[value_present]]*Tabelle5[[#This Row],[binding_level]]</f>
        <v>0</v>
      </c>
    </row>
    <row r="363" spans="1:11" x14ac:dyDescent="0.25">
      <c r="A363" s="24">
        <v>10</v>
      </c>
      <c r="B363" s="2">
        <v>53</v>
      </c>
      <c r="C363" s="2" t="s">
        <v>61</v>
      </c>
      <c r="D363" s="3">
        <v>1</v>
      </c>
      <c r="E363" s="1">
        <v>2</v>
      </c>
      <c r="F363" t="s">
        <v>3582</v>
      </c>
      <c r="G363" t="s">
        <v>3583</v>
      </c>
      <c r="H363" t="s">
        <v>3216</v>
      </c>
      <c r="I363" s="1" t="s">
        <v>1456</v>
      </c>
      <c r="J363" t="s">
        <v>3568</v>
      </c>
      <c r="K363" s="25">
        <f>Tabelle5[[#This Row],[value_present]]*Tabelle5[[#This Row],[binding_level]]</f>
        <v>2</v>
      </c>
    </row>
    <row r="364" spans="1:11" x14ac:dyDescent="0.25">
      <c r="A364" s="24">
        <v>10</v>
      </c>
      <c r="B364" s="2">
        <v>53</v>
      </c>
      <c r="C364" s="2" t="s">
        <v>69</v>
      </c>
      <c r="D364" s="3">
        <v>0</v>
      </c>
      <c r="E364" s="1"/>
      <c r="I364" s="1" t="s">
        <v>1456</v>
      </c>
      <c r="J364" t="s">
        <v>3569</v>
      </c>
      <c r="K364" s="25">
        <f>Tabelle5[[#This Row],[value_present]]*Tabelle5[[#This Row],[binding_level]]</f>
        <v>0</v>
      </c>
    </row>
    <row r="365" spans="1:11" x14ac:dyDescent="0.25">
      <c r="A365" s="24">
        <v>10</v>
      </c>
      <c r="B365" s="2">
        <v>53</v>
      </c>
      <c r="C365" s="2" t="s">
        <v>76</v>
      </c>
      <c r="D365" s="3">
        <v>1</v>
      </c>
      <c r="E365" s="1">
        <v>2</v>
      </c>
      <c r="F365" t="s">
        <v>3586</v>
      </c>
      <c r="G365" t="s">
        <v>3587</v>
      </c>
      <c r="H365" t="s">
        <v>3216</v>
      </c>
      <c r="I365" s="1" t="s">
        <v>1456</v>
      </c>
      <c r="J365" t="s">
        <v>3570</v>
      </c>
      <c r="K365" s="25">
        <f>Tabelle5[[#This Row],[value_present]]*Tabelle5[[#This Row],[binding_level]]</f>
        <v>2</v>
      </c>
    </row>
    <row r="366" spans="1:11" x14ac:dyDescent="0.25">
      <c r="A366" s="24">
        <v>10</v>
      </c>
      <c r="B366" s="2">
        <v>53</v>
      </c>
      <c r="C366" s="2" t="s">
        <v>83</v>
      </c>
      <c r="D366" s="3">
        <v>1</v>
      </c>
      <c r="E366" s="1">
        <v>2</v>
      </c>
      <c r="F366" t="s">
        <v>3584</v>
      </c>
      <c r="G366" t="s">
        <v>3585</v>
      </c>
      <c r="H366" t="s">
        <v>3216</v>
      </c>
      <c r="I366" s="1" t="s">
        <v>1456</v>
      </c>
      <c r="J366" t="s">
        <v>3571</v>
      </c>
      <c r="K366" s="25">
        <f>Tabelle5[[#This Row],[value_present]]*Tabelle5[[#This Row],[binding_level]]</f>
        <v>2</v>
      </c>
    </row>
    <row r="367" spans="1:11" x14ac:dyDescent="0.25">
      <c r="A367" s="24">
        <v>10</v>
      </c>
      <c r="B367" s="2">
        <v>53</v>
      </c>
      <c r="C367" s="2" t="s">
        <v>90</v>
      </c>
      <c r="D367" s="3">
        <v>0</v>
      </c>
      <c r="E367" s="1"/>
      <c r="I367" s="1" t="s">
        <v>1457</v>
      </c>
      <c r="J367" t="s">
        <v>3572</v>
      </c>
      <c r="K367" s="25">
        <f>Tabelle5[[#This Row],[value_present]]*Tabelle5[[#This Row],[binding_level]]</f>
        <v>0</v>
      </c>
    </row>
    <row r="368" spans="1:11" x14ac:dyDescent="0.25">
      <c r="A368" s="24">
        <v>10</v>
      </c>
      <c r="B368" s="2">
        <v>53</v>
      </c>
      <c r="C368" s="2" t="s">
        <v>98</v>
      </c>
      <c r="D368" s="3">
        <v>0</v>
      </c>
      <c r="E368" s="1"/>
      <c r="I368" s="1" t="s">
        <v>1457</v>
      </c>
      <c r="J368" t="s">
        <v>3573</v>
      </c>
      <c r="K368" s="25">
        <f>Tabelle5[[#This Row],[value_present]]*Tabelle5[[#This Row],[binding_level]]</f>
        <v>0</v>
      </c>
    </row>
    <row r="369" spans="1:11" x14ac:dyDescent="0.25">
      <c r="A369" s="24">
        <v>10</v>
      </c>
      <c r="B369" s="2">
        <v>53</v>
      </c>
      <c r="C369" s="2" t="s">
        <v>106</v>
      </c>
      <c r="D369" s="3">
        <v>0</v>
      </c>
      <c r="E369" s="1"/>
      <c r="I369" s="1" t="s">
        <v>1457</v>
      </c>
      <c r="J369" t="s">
        <v>3574</v>
      </c>
      <c r="K369" s="25">
        <f>Tabelle5[[#This Row],[value_present]]*Tabelle5[[#This Row],[binding_level]]</f>
        <v>0</v>
      </c>
    </row>
    <row r="370" spans="1:11" x14ac:dyDescent="0.25">
      <c r="A370" s="24">
        <v>10</v>
      </c>
      <c r="B370" s="2">
        <v>53</v>
      </c>
      <c r="C370" s="2" t="s">
        <v>112</v>
      </c>
      <c r="D370" s="3">
        <v>0</v>
      </c>
      <c r="E370" s="1"/>
      <c r="I370" s="1" t="s">
        <v>1456</v>
      </c>
      <c r="J370" t="s">
        <v>3575</v>
      </c>
      <c r="K370" s="25">
        <f>Tabelle5[[#This Row],[value_present]]*Tabelle5[[#This Row],[binding_level]]</f>
        <v>0</v>
      </c>
    </row>
    <row r="371" spans="1:11" x14ac:dyDescent="0.25">
      <c r="A371" s="24">
        <v>10</v>
      </c>
      <c r="B371" s="2">
        <v>53</v>
      </c>
      <c r="C371" s="2" t="s">
        <v>118</v>
      </c>
      <c r="D371" s="3">
        <v>0</v>
      </c>
      <c r="E371" s="1"/>
      <c r="I371" s="1" t="s">
        <v>1456</v>
      </c>
      <c r="J371" t="s">
        <v>3576</v>
      </c>
      <c r="K371" s="25">
        <f>Tabelle5[[#This Row],[value_present]]*Tabelle5[[#This Row],[binding_level]]</f>
        <v>0</v>
      </c>
    </row>
    <row r="372" spans="1:11" x14ac:dyDescent="0.25">
      <c r="A372" s="24">
        <v>10</v>
      </c>
      <c r="B372" s="2">
        <v>53</v>
      </c>
      <c r="C372" s="2" t="s">
        <v>125</v>
      </c>
      <c r="D372" s="3">
        <v>0</v>
      </c>
      <c r="E372" s="1"/>
      <c r="I372" s="1" t="s">
        <v>1456</v>
      </c>
      <c r="J372" t="s">
        <v>3450</v>
      </c>
      <c r="K372" s="25">
        <f>Tabelle5[[#This Row],[value_present]]*Tabelle5[[#This Row],[binding_level]]</f>
        <v>0</v>
      </c>
    </row>
    <row r="373" spans="1:11" x14ac:dyDescent="0.25">
      <c r="A373" s="24">
        <v>10</v>
      </c>
      <c r="B373" s="2">
        <v>53</v>
      </c>
      <c r="C373" s="2" t="s">
        <v>132</v>
      </c>
      <c r="D373" s="3">
        <v>0</v>
      </c>
      <c r="E373" s="1"/>
      <c r="I373" s="1" t="s">
        <v>1456</v>
      </c>
      <c r="J373" t="s">
        <v>3577</v>
      </c>
      <c r="K373" s="25">
        <f>Tabelle5[[#This Row],[value_present]]*Tabelle5[[#This Row],[binding_level]]</f>
        <v>0</v>
      </c>
    </row>
    <row r="374" spans="1:11" x14ac:dyDescent="0.25">
      <c r="A374" s="24">
        <v>10</v>
      </c>
      <c r="B374" s="2">
        <v>53</v>
      </c>
      <c r="C374" s="2" t="s">
        <v>140</v>
      </c>
      <c r="D374" s="3">
        <v>0</v>
      </c>
      <c r="E374" s="1"/>
      <c r="I374" s="1" t="s">
        <v>1456</v>
      </c>
      <c r="J374" t="s">
        <v>3578</v>
      </c>
      <c r="K374" s="25">
        <f>Tabelle5[[#This Row],[value_present]]*Tabelle5[[#This Row],[binding_level]]</f>
        <v>0</v>
      </c>
    </row>
    <row r="375" spans="1:11" x14ac:dyDescent="0.25">
      <c r="A375" s="24">
        <v>10</v>
      </c>
      <c r="B375" s="2">
        <v>53</v>
      </c>
      <c r="C375" s="2" t="s">
        <v>147</v>
      </c>
      <c r="D375" s="3">
        <v>1</v>
      </c>
      <c r="E375" s="1">
        <v>2</v>
      </c>
      <c r="F375" t="s">
        <v>3588</v>
      </c>
      <c r="G375" t="s">
        <v>3589</v>
      </c>
      <c r="H375" t="s">
        <v>3216</v>
      </c>
      <c r="I375" s="1" t="s">
        <v>1456</v>
      </c>
      <c r="J375" t="s">
        <v>3579</v>
      </c>
      <c r="K375" s="25">
        <f>Tabelle5[[#This Row],[value_present]]*Tabelle5[[#This Row],[binding_level]]</f>
        <v>2</v>
      </c>
    </row>
    <row r="376" spans="1:11" x14ac:dyDescent="0.25">
      <c r="A376" s="24">
        <v>10</v>
      </c>
      <c r="B376" s="2">
        <v>53</v>
      </c>
      <c r="C376" s="2" t="s">
        <v>154</v>
      </c>
      <c r="D376" s="3">
        <v>1</v>
      </c>
      <c r="E376" s="1">
        <v>2</v>
      </c>
      <c r="F376" t="s">
        <v>3590</v>
      </c>
      <c r="G376" t="s">
        <v>3591</v>
      </c>
      <c r="H376" t="s">
        <v>3216</v>
      </c>
      <c r="I376" s="1" t="s">
        <v>1456</v>
      </c>
      <c r="J376" t="s">
        <v>3580</v>
      </c>
      <c r="K376" s="25">
        <f>Tabelle5[[#This Row],[value_present]]*Tabelle5[[#This Row],[binding_level]]</f>
        <v>2</v>
      </c>
    </row>
    <row r="377" spans="1:11" x14ac:dyDescent="0.25">
      <c r="A377" s="24">
        <v>10</v>
      </c>
      <c r="B377" s="2">
        <v>53</v>
      </c>
      <c r="C377" s="2" t="s">
        <v>161</v>
      </c>
      <c r="D377" s="3">
        <v>0</v>
      </c>
      <c r="E377" s="1"/>
      <c r="I377" s="1" t="s">
        <v>1456</v>
      </c>
      <c r="J377" t="s">
        <v>3581</v>
      </c>
      <c r="K377" s="25">
        <f>Tabelle5[[#This Row],[value_present]]*Tabelle5[[#This Row],[binding_level]]</f>
        <v>0</v>
      </c>
    </row>
    <row r="378" spans="1:11" x14ac:dyDescent="0.25">
      <c r="A378" s="24">
        <v>10</v>
      </c>
      <c r="B378" s="2">
        <v>53</v>
      </c>
      <c r="C378" s="2" t="s">
        <v>166</v>
      </c>
      <c r="D378" s="3">
        <v>0</v>
      </c>
      <c r="E378" s="1"/>
      <c r="I378" s="1" t="s">
        <v>1457</v>
      </c>
      <c r="J378" t="s">
        <v>3527</v>
      </c>
      <c r="K378" s="25">
        <f>Tabelle5[[#This Row],[value_present]]*Tabelle5[[#This Row],[binding_level]]</f>
        <v>0</v>
      </c>
    </row>
    <row r="379" spans="1:11" ht="15.75" thickBot="1" x14ac:dyDescent="0.3">
      <c r="A379" s="26">
        <v>10</v>
      </c>
      <c r="B379" s="27">
        <v>53</v>
      </c>
      <c r="C379" s="27" t="s">
        <v>174</v>
      </c>
      <c r="D379" s="28">
        <v>0</v>
      </c>
      <c r="E379" s="29"/>
      <c r="F379" s="30"/>
      <c r="G379" s="30"/>
      <c r="H379" s="30"/>
      <c r="I379" s="29" t="s">
        <v>1456</v>
      </c>
      <c r="J379" s="30" t="s">
        <v>3528</v>
      </c>
      <c r="K379" s="31">
        <f>Tabelle5[[#This Row],[value_present]]*Tabelle5[[#This Row],[binding_level]]</f>
        <v>0</v>
      </c>
    </row>
    <row r="380" spans="1:11" x14ac:dyDescent="0.25">
      <c r="A380" s="18">
        <v>11</v>
      </c>
      <c r="B380" s="19">
        <v>56</v>
      </c>
      <c r="C380" s="19" t="s">
        <v>53</v>
      </c>
      <c r="D380" s="20">
        <v>0</v>
      </c>
      <c r="E380" s="21"/>
      <c r="F380" s="22"/>
      <c r="G380" s="22"/>
      <c r="H380" s="22"/>
      <c r="I380" s="21" t="s">
        <v>1456</v>
      </c>
      <c r="J380" s="22" t="s">
        <v>3625</v>
      </c>
      <c r="K380" s="23">
        <f>Tabelle5[[#This Row],[value_present]]*Tabelle5[[#This Row],[binding_level]]</f>
        <v>0</v>
      </c>
    </row>
    <row r="381" spans="1:11" x14ac:dyDescent="0.25">
      <c r="A381" s="24">
        <v>11</v>
      </c>
      <c r="B381" s="2">
        <v>56</v>
      </c>
      <c r="C381" s="2" t="s">
        <v>61</v>
      </c>
      <c r="D381" s="3">
        <v>0</v>
      </c>
      <c r="E381" s="1"/>
      <c r="I381" s="1" t="s">
        <v>1457</v>
      </c>
      <c r="J381" t="s">
        <v>3626</v>
      </c>
      <c r="K381" s="25">
        <f>Tabelle5[[#This Row],[value_present]]*Tabelle5[[#This Row],[binding_level]]</f>
        <v>0</v>
      </c>
    </row>
    <row r="382" spans="1:11" x14ac:dyDescent="0.25">
      <c r="A382" s="24">
        <v>11</v>
      </c>
      <c r="B382" s="2">
        <v>56</v>
      </c>
      <c r="C382" s="2" t="s">
        <v>69</v>
      </c>
      <c r="D382" s="3">
        <v>0</v>
      </c>
      <c r="E382" s="1"/>
      <c r="I382" s="1" t="s">
        <v>1457</v>
      </c>
      <c r="J382" t="s">
        <v>3627</v>
      </c>
      <c r="K382" s="25">
        <f>Tabelle5[[#This Row],[value_present]]*Tabelle5[[#This Row],[binding_level]]</f>
        <v>0</v>
      </c>
    </row>
    <row r="383" spans="1:11" x14ac:dyDescent="0.25">
      <c r="A383" s="24">
        <v>11</v>
      </c>
      <c r="B383" s="2">
        <v>56</v>
      </c>
      <c r="C383" s="2" t="s">
        <v>76</v>
      </c>
      <c r="D383" s="3">
        <v>1</v>
      </c>
      <c r="E383" s="1">
        <v>1</v>
      </c>
      <c r="F383" t="s">
        <v>3615</v>
      </c>
      <c r="G383" t="s">
        <v>3616</v>
      </c>
      <c r="H383" t="s">
        <v>3614</v>
      </c>
      <c r="I383" s="1" t="s">
        <v>1456</v>
      </c>
      <c r="J383" t="s">
        <v>3628</v>
      </c>
      <c r="K383" s="25">
        <f>Tabelle5[[#This Row],[value_present]]*Tabelle5[[#This Row],[binding_level]]</f>
        <v>1</v>
      </c>
    </row>
    <row r="384" spans="1:11" x14ac:dyDescent="0.25">
      <c r="A384" s="24">
        <v>11</v>
      </c>
      <c r="B384" s="2">
        <v>56</v>
      </c>
      <c r="C384" s="2" t="s">
        <v>83</v>
      </c>
      <c r="D384" s="3">
        <v>1</v>
      </c>
      <c r="E384" s="1">
        <v>1</v>
      </c>
      <c r="F384" t="s">
        <v>3623</v>
      </c>
      <c r="G384" t="s">
        <v>3624</v>
      </c>
      <c r="H384" t="s">
        <v>3614</v>
      </c>
      <c r="I384" s="1" t="s">
        <v>1457</v>
      </c>
      <c r="J384" t="s">
        <v>3629</v>
      </c>
      <c r="K384" s="25">
        <f>Tabelle5[[#This Row],[value_present]]*Tabelle5[[#This Row],[binding_level]]</f>
        <v>1</v>
      </c>
    </row>
    <row r="385" spans="1:11" x14ac:dyDescent="0.25">
      <c r="A385" s="24">
        <v>11</v>
      </c>
      <c r="B385" s="2">
        <v>56</v>
      </c>
      <c r="C385" s="2" t="s">
        <v>90</v>
      </c>
      <c r="D385" s="3">
        <v>1</v>
      </c>
      <c r="E385" s="1">
        <v>1</v>
      </c>
      <c r="F385" t="s">
        <v>3617</v>
      </c>
      <c r="G385" t="s">
        <v>3618</v>
      </c>
      <c r="H385" t="s">
        <v>3614</v>
      </c>
      <c r="I385" s="1" t="s">
        <v>1456</v>
      </c>
      <c r="J385" t="s">
        <v>3630</v>
      </c>
      <c r="K385" s="25">
        <f>Tabelle5[[#This Row],[value_present]]*Tabelle5[[#This Row],[binding_level]]</f>
        <v>1</v>
      </c>
    </row>
    <row r="386" spans="1:11" x14ac:dyDescent="0.25">
      <c r="A386" s="24">
        <v>11</v>
      </c>
      <c r="B386" s="2">
        <v>56</v>
      </c>
      <c r="C386" s="2" t="s">
        <v>98</v>
      </c>
      <c r="D386" s="3">
        <v>1</v>
      </c>
      <c r="E386" s="1">
        <v>1</v>
      </c>
      <c r="F386" t="s">
        <v>3619</v>
      </c>
      <c r="G386" t="s">
        <v>3620</v>
      </c>
      <c r="H386" t="s">
        <v>3614</v>
      </c>
      <c r="I386" s="1" t="s">
        <v>1456</v>
      </c>
      <c r="J386" t="s">
        <v>3631</v>
      </c>
      <c r="K386" s="25">
        <f>Tabelle5[[#This Row],[value_present]]*Tabelle5[[#This Row],[binding_level]]</f>
        <v>1</v>
      </c>
    </row>
    <row r="387" spans="1:11" x14ac:dyDescent="0.25">
      <c r="A387" s="24">
        <v>11</v>
      </c>
      <c r="B387" s="2">
        <v>56</v>
      </c>
      <c r="C387" s="2" t="s">
        <v>106</v>
      </c>
      <c r="D387" s="3">
        <v>0</v>
      </c>
      <c r="E387" s="1"/>
      <c r="I387" s="1" t="s">
        <v>1457</v>
      </c>
      <c r="J387" t="s">
        <v>3632</v>
      </c>
      <c r="K387" s="25">
        <f>Tabelle5[[#This Row],[value_present]]*Tabelle5[[#This Row],[binding_level]]</f>
        <v>0</v>
      </c>
    </row>
    <row r="388" spans="1:11" x14ac:dyDescent="0.25">
      <c r="A388" s="24">
        <v>11</v>
      </c>
      <c r="B388" s="2">
        <v>56</v>
      </c>
      <c r="C388" s="2" t="s">
        <v>112</v>
      </c>
      <c r="D388" s="3">
        <v>1</v>
      </c>
      <c r="E388" s="1">
        <v>1</v>
      </c>
      <c r="F388" t="s">
        <v>3621</v>
      </c>
      <c r="G388" t="s">
        <v>3622</v>
      </c>
      <c r="H388" t="s">
        <v>3614</v>
      </c>
      <c r="I388" s="1" t="s">
        <v>1456</v>
      </c>
      <c r="J388" t="s">
        <v>3633</v>
      </c>
      <c r="K388" s="25">
        <f>Tabelle5[[#This Row],[value_present]]*Tabelle5[[#This Row],[binding_level]]</f>
        <v>1</v>
      </c>
    </row>
    <row r="389" spans="1:11" x14ac:dyDescent="0.25">
      <c r="A389" s="24">
        <v>11</v>
      </c>
      <c r="B389" s="2">
        <v>56</v>
      </c>
      <c r="C389" s="2" t="s">
        <v>118</v>
      </c>
      <c r="D389" s="3">
        <v>0</v>
      </c>
      <c r="E389" s="1"/>
      <c r="I389" s="1" t="s">
        <v>1456</v>
      </c>
      <c r="J389" t="s">
        <v>3634</v>
      </c>
      <c r="K389" s="25">
        <f>Tabelle5[[#This Row],[value_present]]*Tabelle5[[#This Row],[binding_level]]</f>
        <v>0</v>
      </c>
    </row>
    <row r="390" spans="1:11" x14ac:dyDescent="0.25">
      <c r="A390" s="24">
        <v>11</v>
      </c>
      <c r="B390" s="2">
        <v>56</v>
      </c>
      <c r="C390" s="2" t="s">
        <v>125</v>
      </c>
      <c r="D390" s="3">
        <v>0</v>
      </c>
      <c r="E390" s="1"/>
      <c r="I390" s="1" t="s">
        <v>1457</v>
      </c>
      <c r="J390" t="s">
        <v>3635</v>
      </c>
      <c r="K390" s="25">
        <f>Tabelle5[[#This Row],[value_present]]*Tabelle5[[#This Row],[binding_level]]</f>
        <v>0</v>
      </c>
    </row>
    <row r="391" spans="1:11" x14ac:dyDescent="0.25">
      <c r="A391" s="24">
        <v>11</v>
      </c>
      <c r="B391" s="2">
        <v>56</v>
      </c>
      <c r="C391" s="2" t="s">
        <v>132</v>
      </c>
      <c r="D391" s="3">
        <v>0</v>
      </c>
      <c r="E391" s="1"/>
      <c r="I391" s="1" t="s">
        <v>1456</v>
      </c>
      <c r="J391" t="s">
        <v>3636</v>
      </c>
      <c r="K391" s="25">
        <f>Tabelle5[[#This Row],[value_present]]*Tabelle5[[#This Row],[binding_level]]</f>
        <v>0</v>
      </c>
    </row>
    <row r="392" spans="1:11" x14ac:dyDescent="0.25">
      <c r="A392" s="24">
        <v>11</v>
      </c>
      <c r="B392" s="2">
        <v>56</v>
      </c>
      <c r="C392" s="2" t="s">
        <v>140</v>
      </c>
      <c r="D392" s="3">
        <v>0</v>
      </c>
      <c r="E392" s="1"/>
      <c r="I392" s="1" t="s">
        <v>1457</v>
      </c>
      <c r="J392" t="s">
        <v>3637</v>
      </c>
      <c r="K392" s="25">
        <f>Tabelle5[[#This Row],[value_present]]*Tabelle5[[#This Row],[binding_level]]</f>
        <v>0</v>
      </c>
    </row>
    <row r="393" spans="1:11" x14ac:dyDescent="0.25">
      <c r="A393" s="24">
        <v>11</v>
      </c>
      <c r="B393" s="2">
        <v>56</v>
      </c>
      <c r="C393" s="2" t="s">
        <v>147</v>
      </c>
      <c r="D393" s="3">
        <v>0</v>
      </c>
      <c r="E393" s="1"/>
      <c r="I393" s="1" t="s">
        <v>1457</v>
      </c>
      <c r="J393" t="s">
        <v>3638</v>
      </c>
      <c r="K393" s="25">
        <f>Tabelle5[[#This Row],[value_present]]*Tabelle5[[#This Row],[binding_level]]</f>
        <v>0</v>
      </c>
    </row>
    <row r="394" spans="1:11" x14ac:dyDescent="0.25">
      <c r="A394" s="24">
        <v>11</v>
      </c>
      <c r="B394" s="2">
        <v>56</v>
      </c>
      <c r="C394" s="2" t="s">
        <v>154</v>
      </c>
      <c r="D394" s="3">
        <v>1</v>
      </c>
      <c r="E394" s="1">
        <v>1</v>
      </c>
      <c r="F394" t="s">
        <v>3612</v>
      </c>
      <c r="G394" t="s">
        <v>3613</v>
      </c>
      <c r="H394" t="s">
        <v>3614</v>
      </c>
      <c r="I394" s="1" t="s">
        <v>1456</v>
      </c>
      <c r="J394" t="s">
        <v>3639</v>
      </c>
      <c r="K394" s="25">
        <f>Tabelle5[[#This Row],[value_present]]*Tabelle5[[#This Row],[binding_level]]</f>
        <v>1</v>
      </c>
    </row>
    <row r="395" spans="1:11" x14ac:dyDescent="0.25">
      <c r="A395" s="24">
        <v>11</v>
      </c>
      <c r="B395" s="2">
        <v>56</v>
      </c>
      <c r="C395" s="2" t="s">
        <v>161</v>
      </c>
      <c r="D395" s="3">
        <v>0</v>
      </c>
      <c r="E395" s="1"/>
      <c r="I395" s="1" t="s">
        <v>1457</v>
      </c>
      <c r="J395" t="s">
        <v>3640</v>
      </c>
      <c r="K395" s="25">
        <f>Tabelle5[[#This Row],[value_present]]*Tabelle5[[#This Row],[binding_level]]</f>
        <v>0</v>
      </c>
    </row>
    <row r="396" spans="1:11" x14ac:dyDescent="0.25">
      <c r="A396" s="24">
        <v>11</v>
      </c>
      <c r="B396" s="2">
        <v>56</v>
      </c>
      <c r="C396" s="2" t="s">
        <v>166</v>
      </c>
      <c r="D396" s="3">
        <v>0</v>
      </c>
      <c r="E396" s="1"/>
      <c r="I396" s="1" t="s">
        <v>1457</v>
      </c>
      <c r="J396" t="s">
        <v>3641</v>
      </c>
      <c r="K396" s="25">
        <f>Tabelle5[[#This Row],[value_present]]*Tabelle5[[#This Row],[binding_level]]</f>
        <v>0</v>
      </c>
    </row>
    <row r="397" spans="1:11" ht="15.75" thickBot="1" x14ac:dyDescent="0.3">
      <c r="A397" s="26">
        <v>11</v>
      </c>
      <c r="B397" s="27">
        <v>56</v>
      </c>
      <c r="C397" s="27" t="s">
        <v>174</v>
      </c>
      <c r="D397" s="28">
        <v>0</v>
      </c>
      <c r="E397" s="29"/>
      <c r="F397" s="30"/>
      <c r="G397" s="30"/>
      <c r="H397" s="30"/>
      <c r="I397" s="29" t="s">
        <v>1457</v>
      </c>
      <c r="J397" s="30" t="s">
        <v>3642</v>
      </c>
      <c r="K397" s="31">
        <f>Tabelle5[[#This Row],[value_present]]*Tabelle5[[#This Row],[binding_level]]</f>
        <v>0</v>
      </c>
    </row>
    <row r="398" spans="1:11" x14ac:dyDescent="0.25">
      <c r="A398" s="18">
        <v>11</v>
      </c>
      <c r="B398" s="19">
        <v>57</v>
      </c>
      <c r="C398" s="19" t="s">
        <v>53</v>
      </c>
      <c r="D398" s="20">
        <v>0</v>
      </c>
      <c r="E398" s="21"/>
      <c r="F398" s="22"/>
      <c r="G398" s="22"/>
      <c r="H398" s="22"/>
      <c r="I398" s="21" t="s">
        <v>1456</v>
      </c>
      <c r="J398" s="22" t="s">
        <v>3671</v>
      </c>
      <c r="K398" s="23">
        <f>Tabelle5[[#This Row],[value_present]]*Tabelle5[[#This Row],[binding_level]]</f>
        <v>0</v>
      </c>
    </row>
    <row r="399" spans="1:11" x14ac:dyDescent="0.25">
      <c r="A399" s="24">
        <v>11</v>
      </c>
      <c r="B399" s="2">
        <v>57</v>
      </c>
      <c r="C399" s="2" t="s">
        <v>61</v>
      </c>
      <c r="D399" s="3">
        <v>0</v>
      </c>
      <c r="E399" s="1"/>
      <c r="I399" s="1" t="s">
        <v>1457</v>
      </c>
      <c r="J399" t="s">
        <v>3672</v>
      </c>
      <c r="K399" s="25">
        <f>Tabelle5[[#This Row],[value_present]]*Tabelle5[[#This Row],[binding_level]]</f>
        <v>0</v>
      </c>
    </row>
    <row r="400" spans="1:11" x14ac:dyDescent="0.25">
      <c r="A400" s="24">
        <v>11</v>
      </c>
      <c r="B400" s="2">
        <v>57</v>
      </c>
      <c r="C400" s="2" t="s">
        <v>69</v>
      </c>
      <c r="D400" s="3">
        <v>0</v>
      </c>
      <c r="E400" s="1"/>
      <c r="I400" s="1" t="s">
        <v>1457</v>
      </c>
      <c r="J400" t="s">
        <v>3673</v>
      </c>
      <c r="K400" s="25">
        <f>Tabelle5[[#This Row],[value_present]]*Tabelle5[[#This Row],[binding_level]]</f>
        <v>0</v>
      </c>
    </row>
    <row r="401" spans="1:11" x14ac:dyDescent="0.25">
      <c r="A401" s="24">
        <v>11</v>
      </c>
      <c r="B401" s="2">
        <v>57</v>
      </c>
      <c r="C401" s="2" t="s">
        <v>76</v>
      </c>
      <c r="D401" s="3">
        <v>1</v>
      </c>
      <c r="E401" s="1">
        <v>1</v>
      </c>
      <c r="F401" t="s">
        <v>3664</v>
      </c>
      <c r="G401" t="s">
        <v>3616</v>
      </c>
      <c r="H401" t="s">
        <v>3674</v>
      </c>
      <c r="I401" s="1" t="s">
        <v>1456</v>
      </c>
      <c r="J401" t="s">
        <v>3675</v>
      </c>
      <c r="K401" s="25">
        <f>Tabelle5[[#This Row],[value_present]]*Tabelle5[[#This Row],[binding_level]]</f>
        <v>1</v>
      </c>
    </row>
    <row r="402" spans="1:11" x14ac:dyDescent="0.25">
      <c r="A402" s="24">
        <v>11</v>
      </c>
      <c r="B402" s="2">
        <v>57</v>
      </c>
      <c r="C402" s="2" t="s">
        <v>83</v>
      </c>
      <c r="D402" s="3">
        <v>0</v>
      </c>
      <c r="E402" s="1"/>
      <c r="I402" s="1" t="s">
        <v>1456</v>
      </c>
      <c r="J402" t="s">
        <v>3676</v>
      </c>
      <c r="K402" s="25">
        <f>Tabelle5[[#This Row],[value_present]]*Tabelle5[[#This Row],[binding_level]]</f>
        <v>0</v>
      </c>
    </row>
    <row r="403" spans="1:11" x14ac:dyDescent="0.25">
      <c r="A403" s="24">
        <v>11</v>
      </c>
      <c r="B403" s="2">
        <v>57</v>
      </c>
      <c r="C403" s="2" t="s">
        <v>90</v>
      </c>
      <c r="D403" s="3">
        <v>1</v>
      </c>
      <c r="E403" s="1">
        <v>1</v>
      </c>
      <c r="F403" t="s">
        <v>3665</v>
      </c>
      <c r="G403" t="s">
        <v>3666</v>
      </c>
      <c r="H403" t="s">
        <v>3674</v>
      </c>
      <c r="I403" s="1" t="s">
        <v>1456</v>
      </c>
      <c r="J403" t="s">
        <v>3677</v>
      </c>
      <c r="K403" s="25">
        <f>Tabelle5[[#This Row],[value_present]]*Tabelle5[[#This Row],[binding_level]]</f>
        <v>1</v>
      </c>
    </row>
    <row r="404" spans="1:11" x14ac:dyDescent="0.25">
      <c r="A404" s="24">
        <v>11</v>
      </c>
      <c r="B404" s="2">
        <v>57</v>
      </c>
      <c r="C404" s="2" t="s">
        <v>98</v>
      </c>
      <c r="D404" s="3">
        <v>1</v>
      </c>
      <c r="E404" s="1">
        <v>1</v>
      </c>
      <c r="F404" t="s">
        <v>3667</v>
      </c>
      <c r="G404" t="s">
        <v>3620</v>
      </c>
      <c r="H404" t="s">
        <v>3674</v>
      </c>
      <c r="I404" s="1" t="s">
        <v>1456</v>
      </c>
      <c r="J404" t="s">
        <v>3678</v>
      </c>
      <c r="K404" s="25">
        <f>Tabelle5[[#This Row],[value_present]]*Tabelle5[[#This Row],[binding_level]]</f>
        <v>1</v>
      </c>
    </row>
    <row r="405" spans="1:11" x14ac:dyDescent="0.25">
      <c r="A405" s="24">
        <v>11</v>
      </c>
      <c r="B405" s="2">
        <v>57</v>
      </c>
      <c r="C405" s="2" t="s">
        <v>106</v>
      </c>
      <c r="D405" s="3">
        <v>0</v>
      </c>
      <c r="E405" s="1"/>
      <c r="I405" s="1" t="s">
        <v>1457</v>
      </c>
      <c r="J405" t="s">
        <v>3574</v>
      </c>
      <c r="K405" s="25">
        <f>Tabelle5[[#This Row],[value_present]]*Tabelle5[[#This Row],[binding_level]]</f>
        <v>0</v>
      </c>
    </row>
    <row r="406" spans="1:11" x14ac:dyDescent="0.25">
      <c r="A406" s="24">
        <v>11</v>
      </c>
      <c r="B406" s="2">
        <v>57</v>
      </c>
      <c r="C406" s="2" t="s">
        <v>112</v>
      </c>
      <c r="D406" s="3">
        <v>1</v>
      </c>
      <c r="E406" s="1">
        <v>1</v>
      </c>
      <c r="F406" t="s">
        <v>3668</v>
      </c>
      <c r="G406" t="s">
        <v>3622</v>
      </c>
      <c r="H406" t="s">
        <v>3674</v>
      </c>
      <c r="I406" s="1" t="s">
        <v>1456</v>
      </c>
      <c r="J406" t="s">
        <v>3679</v>
      </c>
      <c r="K406" s="25">
        <f>Tabelle5[[#This Row],[value_present]]*Tabelle5[[#This Row],[binding_level]]</f>
        <v>1</v>
      </c>
    </row>
    <row r="407" spans="1:11" x14ac:dyDescent="0.25">
      <c r="A407" s="24">
        <v>11</v>
      </c>
      <c r="B407" s="2">
        <v>57</v>
      </c>
      <c r="C407" s="2" t="s">
        <v>118</v>
      </c>
      <c r="D407" s="3">
        <v>0</v>
      </c>
      <c r="E407" s="1"/>
      <c r="I407" s="1" t="s">
        <v>1456</v>
      </c>
      <c r="J407" t="s">
        <v>3576</v>
      </c>
      <c r="K407" s="25">
        <f>Tabelle5[[#This Row],[value_present]]*Tabelle5[[#This Row],[binding_level]]</f>
        <v>0</v>
      </c>
    </row>
    <row r="408" spans="1:11" x14ac:dyDescent="0.25">
      <c r="A408" s="24">
        <v>11</v>
      </c>
      <c r="B408" s="2">
        <v>57</v>
      </c>
      <c r="C408" s="2" t="s">
        <v>125</v>
      </c>
      <c r="D408" s="3">
        <v>0</v>
      </c>
      <c r="E408" s="1"/>
      <c r="I408" s="1" t="s">
        <v>1456</v>
      </c>
      <c r="J408" t="s">
        <v>3450</v>
      </c>
      <c r="K408" s="25">
        <f>Tabelle5[[#This Row],[value_present]]*Tabelle5[[#This Row],[binding_level]]</f>
        <v>0</v>
      </c>
    </row>
    <row r="409" spans="1:11" x14ac:dyDescent="0.25">
      <c r="A409" s="24">
        <v>11</v>
      </c>
      <c r="B409" s="2">
        <v>57</v>
      </c>
      <c r="C409" s="2" t="s">
        <v>132</v>
      </c>
      <c r="D409" s="3">
        <v>0</v>
      </c>
      <c r="E409" s="1"/>
      <c r="I409" s="1" t="s">
        <v>1456</v>
      </c>
      <c r="J409" t="s">
        <v>3577</v>
      </c>
      <c r="K409" s="25">
        <f>Tabelle5[[#This Row],[value_present]]*Tabelle5[[#This Row],[binding_level]]</f>
        <v>0</v>
      </c>
    </row>
    <row r="410" spans="1:11" x14ac:dyDescent="0.25">
      <c r="A410" s="24">
        <v>11</v>
      </c>
      <c r="B410" s="2">
        <v>57</v>
      </c>
      <c r="C410" s="2" t="s">
        <v>140</v>
      </c>
      <c r="D410" s="3">
        <v>0</v>
      </c>
      <c r="E410" s="1"/>
      <c r="I410" s="1" t="s">
        <v>1457</v>
      </c>
      <c r="J410" t="s">
        <v>3680</v>
      </c>
      <c r="K410" s="25">
        <f>Tabelle5[[#This Row],[value_present]]*Tabelle5[[#This Row],[binding_level]]</f>
        <v>0</v>
      </c>
    </row>
    <row r="411" spans="1:11" x14ac:dyDescent="0.25">
      <c r="A411" s="24">
        <v>11</v>
      </c>
      <c r="B411" s="2">
        <v>57</v>
      </c>
      <c r="C411" s="2" t="s">
        <v>147</v>
      </c>
      <c r="D411" s="3">
        <v>0</v>
      </c>
      <c r="E411" s="1"/>
      <c r="I411" s="1" t="s">
        <v>1457</v>
      </c>
      <c r="J411" t="s">
        <v>3681</v>
      </c>
      <c r="K411" s="25">
        <f>Tabelle5[[#This Row],[value_present]]*Tabelle5[[#This Row],[binding_level]]</f>
        <v>0</v>
      </c>
    </row>
    <row r="412" spans="1:11" x14ac:dyDescent="0.25">
      <c r="A412" s="24">
        <v>11</v>
      </c>
      <c r="B412" s="2">
        <v>57</v>
      </c>
      <c r="C412" s="2" t="s">
        <v>154</v>
      </c>
      <c r="D412" s="3">
        <v>1</v>
      </c>
      <c r="E412" s="1">
        <v>1</v>
      </c>
      <c r="F412" t="s">
        <v>3662</v>
      </c>
      <c r="G412" t="s">
        <v>3663</v>
      </c>
      <c r="H412" t="s">
        <v>3674</v>
      </c>
      <c r="I412" s="1" t="s">
        <v>1456</v>
      </c>
      <c r="J412" t="s">
        <v>3682</v>
      </c>
      <c r="K412" s="25">
        <f>Tabelle5[[#This Row],[value_present]]*Tabelle5[[#This Row],[binding_level]]</f>
        <v>1</v>
      </c>
    </row>
    <row r="413" spans="1:11" x14ac:dyDescent="0.25">
      <c r="A413" s="24">
        <v>11</v>
      </c>
      <c r="B413" s="2">
        <v>57</v>
      </c>
      <c r="C413" s="2" t="s">
        <v>161</v>
      </c>
      <c r="D413" s="3">
        <v>0</v>
      </c>
      <c r="E413" s="1"/>
      <c r="I413" s="1" t="s">
        <v>1457</v>
      </c>
      <c r="J413" t="s">
        <v>3669</v>
      </c>
      <c r="K413" s="25">
        <f>Tabelle5[[#This Row],[value_present]]*Tabelle5[[#This Row],[binding_level]]</f>
        <v>0</v>
      </c>
    </row>
    <row r="414" spans="1:11" x14ac:dyDescent="0.25">
      <c r="A414" s="24">
        <v>11</v>
      </c>
      <c r="B414" s="2">
        <v>57</v>
      </c>
      <c r="C414" s="2" t="s">
        <v>166</v>
      </c>
      <c r="D414" s="3">
        <v>0</v>
      </c>
      <c r="E414" s="1"/>
      <c r="I414" s="1" t="s">
        <v>1457</v>
      </c>
      <c r="J414" t="s">
        <v>3670</v>
      </c>
      <c r="K414" s="25">
        <f>Tabelle5[[#This Row],[value_present]]*Tabelle5[[#This Row],[binding_level]]</f>
        <v>0</v>
      </c>
    </row>
    <row r="415" spans="1:11" ht="15.75" thickBot="1" x14ac:dyDescent="0.3">
      <c r="A415" s="26">
        <v>11</v>
      </c>
      <c r="B415" s="27">
        <v>57</v>
      </c>
      <c r="C415" s="27" t="s">
        <v>174</v>
      </c>
      <c r="D415" s="28">
        <v>0</v>
      </c>
      <c r="E415" s="29"/>
      <c r="F415" s="30"/>
      <c r="G415" s="30"/>
      <c r="H415" s="30"/>
      <c r="I415" s="29" t="s">
        <v>1457</v>
      </c>
      <c r="J415" s="30" t="s">
        <v>3683</v>
      </c>
      <c r="K415" s="31">
        <f>Tabelle5[[#This Row],[value_present]]*Tabelle5[[#This Row],[binding_level]]</f>
        <v>0</v>
      </c>
    </row>
    <row r="416" spans="1:11" x14ac:dyDescent="0.25">
      <c r="A416" s="18">
        <v>12</v>
      </c>
      <c r="B416" s="19">
        <v>62</v>
      </c>
      <c r="C416" s="19" t="s">
        <v>53</v>
      </c>
      <c r="D416" s="20">
        <v>1</v>
      </c>
      <c r="E416" s="21">
        <v>1</v>
      </c>
      <c r="F416" s="22" t="s">
        <v>3827</v>
      </c>
      <c r="G416" s="22" t="s">
        <v>3828</v>
      </c>
      <c r="H416" s="22" t="s">
        <v>3807</v>
      </c>
      <c r="I416" s="21" t="s">
        <v>1456</v>
      </c>
      <c r="J416" s="22" t="s">
        <v>3808</v>
      </c>
      <c r="K416" s="23">
        <f>Tabelle5[[#This Row],[value_present]]*Tabelle5[[#This Row],[binding_level]]</f>
        <v>1</v>
      </c>
    </row>
    <row r="417" spans="1:11" x14ac:dyDescent="0.25">
      <c r="A417" s="24">
        <v>12</v>
      </c>
      <c r="B417" s="2">
        <v>62</v>
      </c>
      <c r="C417" s="2" t="s">
        <v>61</v>
      </c>
      <c r="D417" s="3">
        <v>1</v>
      </c>
      <c r="E417" s="1">
        <v>1</v>
      </c>
      <c r="F417" t="s">
        <v>3829</v>
      </c>
      <c r="G417" t="s">
        <v>3830</v>
      </c>
      <c r="H417" t="s">
        <v>3809</v>
      </c>
      <c r="I417" s="1" t="s">
        <v>1457</v>
      </c>
      <c r="J417" t="s">
        <v>3810</v>
      </c>
      <c r="K417" s="25">
        <f>Tabelle5[[#This Row],[value_present]]*Tabelle5[[#This Row],[binding_level]]</f>
        <v>1</v>
      </c>
    </row>
    <row r="418" spans="1:11" x14ac:dyDescent="0.25">
      <c r="A418" s="24">
        <v>12</v>
      </c>
      <c r="B418" s="2">
        <v>62</v>
      </c>
      <c r="C418" s="2" t="s">
        <v>69</v>
      </c>
      <c r="D418" s="3">
        <v>1</v>
      </c>
      <c r="E418" s="1">
        <v>1</v>
      </c>
      <c r="F418" t="s">
        <v>3831</v>
      </c>
      <c r="G418" t="s">
        <v>3832</v>
      </c>
      <c r="H418" t="s">
        <v>3807</v>
      </c>
      <c r="I418" s="1" t="s">
        <v>1456</v>
      </c>
      <c r="J418" t="s">
        <v>3811</v>
      </c>
      <c r="K418" s="25">
        <f>Tabelle5[[#This Row],[value_present]]*Tabelle5[[#This Row],[binding_level]]</f>
        <v>1</v>
      </c>
    </row>
    <row r="419" spans="1:11" x14ac:dyDescent="0.25">
      <c r="A419" s="24">
        <v>12</v>
      </c>
      <c r="B419" s="2">
        <v>62</v>
      </c>
      <c r="C419" s="2" t="s">
        <v>76</v>
      </c>
      <c r="D419" s="3">
        <v>1</v>
      </c>
      <c r="E419" s="1">
        <v>1</v>
      </c>
      <c r="F419" t="s">
        <v>3833</v>
      </c>
      <c r="G419" t="s">
        <v>3832</v>
      </c>
      <c r="H419" t="s">
        <v>3807</v>
      </c>
      <c r="I419" s="1" t="s">
        <v>1456</v>
      </c>
      <c r="J419" t="s">
        <v>3812</v>
      </c>
      <c r="K419" s="25">
        <f>Tabelle5[[#This Row],[value_present]]*Tabelle5[[#This Row],[binding_level]]</f>
        <v>1</v>
      </c>
    </row>
    <row r="420" spans="1:11" x14ac:dyDescent="0.25">
      <c r="A420" s="24">
        <v>12</v>
      </c>
      <c r="B420" s="2">
        <v>62</v>
      </c>
      <c r="C420" s="2" t="s">
        <v>83</v>
      </c>
      <c r="D420" s="3">
        <v>1</v>
      </c>
      <c r="E420" s="1">
        <v>1</v>
      </c>
      <c r="F420" t="s">
        <v>3834</v>
      </c>
      <c r="G420" t="s">
        <v>3835</v>
      </c>
      <c r="H420" t="s">
        <v>3809</v>
      </c>
      <c r="I420" s="1" t="s">
        <v>1456</v>
      </c>
      <c r="J420" t="s">
        <v>3813</v>
      </c>
      <c r="K420" s="25">
        <f>Tabelle5[[#This Row],[value_present]]*Tabelle5[[#This Row],[binding_level]]</f>
        <v>1</v>
      </c>
    </row>
    <row r="421" spans="1:11" x14ac:dyDescent="0.25">
      <c r="A421" s="24">
        <v>12</v>
      </c>
      <c r="B421" s="2">
        <v>62</v>
      </c>
      <c r="C421" s="2" t="s">
        <v>90</v>
      </c>
      <c r="D421" s="3">
        <v>1</v>
      </c>
      <c r="E421" s="1">
        <v>1</v>
      </c>
      <c r="F421" t="s">
        <v>3836</v>
      </c>
      <c r="G421" t="s">
        <v>3837</v>
      </c>
      <c r="H421" t="s">
        <v>3807</v>
      </c>
      <c r="I421" s="1" t="s">
        <v>1456</v>
      </c>
      <c r="J421" t="s">
        <v>3814</v>
      </c>
      <c r="K421" s="25">
        <f>Tabelle5[[#This Row],[value_present]]*Tabelle5[[#This Row],[binding_level]]</f>
        <v>1</v>
      </c>
    </row>
    <row r="422" spans="1:11" x14ac:dyDescent="0.25">
      <c r="A422" s="24">
        <v>12</v>
      </c>
      <c r="B422" s="2">
        <v>62</v>
      </c>
      <c r="C422" s="2" t="s">
        <v>98</v>
      </c>
      <c r="D422" s="3">
        <v>1</v>
      </c>
      <c r="E422" s="1">
        <v>1</v>
      </c>
      <c r="F422" t="s">
        <v>3838</v>
      </c>
      <c r="G422" t="s">
        <v>3839</v>
      </c>
      <c r="H422" t="s">
        <v>3809</v>
      </c>
      <c r="I422" s="1" t="s">
        <v>1456</v>
      </c>
      <c r="J422" t="s">
        <v>3815</v>
      </c>
      <c r="K422" s="25">
        <f>Tabelle5[[#This Row],[value_present]]*Tabelle5[[#This Row],[binding_level]]</f>
        <v>1</v>
      </c>
    </row>
    <row r="423" spans="1:11" x14ac:dyDescent="0.25">
      <c r="A423" s="24">
        <v>12</v>
      </c>
      <c r="B423" s="2">
        <v>62</v>
      </c>
      <c r="C423" s="2" t="s">
        <v>106</v>
      </c>
      <c r="D423" s="3">
        <v>1</v>
      </c>
      <c r="E423" s="1">
        <v>1</v>
      </c>
      <c r="F423" t="s">
        <v>3840</v>
      </c>
      <c r="G423" t="s">
        <v>3841</v>
      </c>
      <c r="H423" t="s">
        <v>3809</v>
      </c>
      <c r="I423" s="1" t="s">
        <v>1457</v>
      </c>
      <c r="J423" t="s">
        <v>3816</v>
      </c>
      <c r="K423" s="25">
        <f>Tabelle5[[#This Row],[value_present]]*Tabelle5[[#This Row],[binding_level]]</f>
        <v>1</v>
      </c>
    </row>
    <row r="424" spans="1:11" x14ac:dyDescent="0.25">
      <c r="A424" s="24">
        <v>12</v>
      </c>
      <c r="B424" s="2">
        <v>62</v>
      </c>
      <c r="C424" s="2" t="s">
        <v>112</v>
      </c>
      <c r="D424" s="3">
        <v>1</v>
      </c>
      <c r="E424" s="1">
        <v>1</v>
      </c>
      <c r="F424" t="s">
        <v>3842</v>
      </c>
      <c r="G424" t="s">
        <v>3843</v>
      </c>
      <c r="H424" t="s">
        <v>3809</v>
      </c>
      <c r="I424" s="1" t="s">
        <v>1456</v>
      </c>
      <c r="J424" t="s">
        <v>3817</v>
      </c>
      <c r="K424" s="25">
        <f>Tabelle5[[#This Row],[value_present]]*Tabelle5[[#This Row],[binding_level]]</f>
        <v>1</v>
      </c>
    </row>
    <row r="425" spans="1:11" x14ac:dyDescent="0.25">
      <c r="A425" s="24">
        <v>12</v>
      </c>
      <c r="B425" s="2">
        <v>62</v>
      </c>
      <c r="C425" s="2" t="s">
        <v>118</v>
      </c>
      <c r="D425" s="3">
        <v>0</v>
      </c>
      <c r="E425" s="1"/>
      <c r="I425" s="1" t="s">
        <v>1456</v>
      </c>
      <c r="J425" t="s">
        <v>3818</v>
      </c>
      <c r="K425" s="25">
        <f>Tabelle5[[#This Row],[value_present]]*Tabelle5[[#This Row],[binding_level]]</f>
        <v>0</v>
      </c>
    </row>
    <row r="426" spans="1:11" x14ac:dyDescent="0.25">
      <c r="A426" s="24">
        <v>12</v>
      </c>
      <c r="B426" s="2">
        <v>62</v>
      </c>
      <c r="C426" s="2" t="s">
        <v>125</v>
      </c>
      <c r="D426" s="3">
        <v>1</v>
      </c>
      <c r="E426" s="1">
        <v>1</v>
      </c>
      <c r="F426" t="s">
        <v>3844</v>
      </c>
      <c r="G426" t="s">
        <v>3845</v>
      </c>
      <c r="H426" t="s">
        <v>3809</v>
      </c>
      <c r="I426" s="1" t="s">
        <v>1457</v>
      </c>
      <c r="J426" t="s">
        <v>3819</v>
      </c>
      <c r="K426" s="25">
        <f>Tabelle5[[#This Row],[value_present]]*Tabelle5[[#This Row],[binding_level]]</f>
        <v>1</v>
      </c>
    </row>
    <row r="427" spans="1:11" x14ac:dyDescent="0.25">
      <c r="A427" s="24">
        <v>12</v>
      </c>
      <c r="B427" s="2">
        <v>62</v>
      </c>
      <c r="C427" s="2" t="s">
        <v>132</v>
      </c>
      <c r="D427" s="3">
        <v>0</v>
      </c>
      <c r="E427" s="1"/>
      <c r="I427" s="1" t="s">
        <v>1456</v>
      </c>
      <c r="J427" t="s">
        <v>3820</v>
      </c>
      <c r="K427" s="25">
        <f>Tabelle5[[#This Row],[value_present]]*Tabelle5[[#This Row],[binding_level]]</f>
        <v>0</v>
      </c>
    </row>
    <row r="428" spans="1:11" x14ac:dyDescent="0.25">
      <c r="A428" s="24">
        <v>12</v>
      </c>
      <c r="B428" s="2">
        <v>62</v>
      </c>
      <c r="C428" s="2" t="s">
        <v>140</v>
      </c>
      <c r="D428" s="3">
        <v>0</v>
      </c>
      <c r="E428" s="1"/>
      <c r="I428" s="1" t="s">
        <v>1457</v>
      </c>
      <c r="J428" t="s">
        <v>3821</v>
      </c>
      <c r="K428" s="25">
        <f>Tabelle5[[#This Row],[value_present]]*Tabelle5[[#This Row],[binding_level]]</f>
        <v>0</v>
      </c>
    </row>
    <row r="429" spans="1:11" x14ac:dyDescent="0.25">
      <c r="A429" s="24">
        <v>12</v>
      </c>
      <c r="B429" s="2">
        <v>62</v>
      </c>
      <c r="C429" s="2" t="s">
        <v>147</v>
      </c>
      <c r="D429" s="3">
        <v>1</v>
      </c>
      <c r="E429" s="1">
        <v>1</v>
      </c>
      <c r="F429" t="s">
        <v>3846</v>
      </c>
      <c r="G429" t="s">
        <v>3847</v>
      </c>
      <c r="H429" t="s">
        <v>3809</v>
      </c>
      <c r="I429" s="1" t="s">
        <v>1457</v>
      </c>
      <c r="J429" t="s">
        <v>3822</v>
      </c>
      <c r="K429" s="25">
        <f>Tabelle5[[#This Row],[value_present]]*Tabelle5[[#This Row],[binding_level]]</f>
        <v>1</v>
      </c>
    </row>
    <row r="430" spans="1:11" x14ac:dyDescent="0.25">
      <c r="A430" s="24">
        <v>12</v>
      </c>
      <c r="B430" s="2">
        <v>62</v>
      </c>
      <c r="C430" s="2" t="s">
        <v>154</v>
      </c>
      <c r="D430" s="3">
        <v>1</v>
      </c>
      <c r="E430" s="1">
        <v>1</v>
      </c>
      <c r="F430" t="s">
        <v>3848</v>
      </c>
      <c r="G430" t="s">
        <v>3849</v>
      </c>
      <c r="H430" t="s">
        <v>3807</v>
      </c>
      <c r="I430" s="1" t="s">
        <v>1457</v>
      </c>
      <c r="J430" t="s">
        <v>3823</v>
      </c>
      <c r="K430" s="25">
        <f>Tabelle5[[#This Row],[value_present]]*Tabelle5[[#This Row],[binding_level]]</f>
        <v>1</v>
      </c>
    </row>
    <row r="431" spans="1:11" x14ac:dyDescent="0.25">
      <c r="A431" s="24">
        <v>12</v>
      </c>
      <c r="B431" s="2">
        <v>62</v>
      </c>
      <c r="C431" s="2" t="s">
        <v>161</v>
      </c>
      <c r="D431" s="3">
        <v>0</v>
      </c>
      <c r="E431" s="1"/>
      <c r="I431" s="1" t="s">
        <v>1457</v>
      </c>
      <c r="J431" t="s">
        <v>3824</v>
      </c>
      <c r="K431" s="25">
        <f>Tabelle5[[#This Row],[value_present]]*Tabelle5[[#This Row],[binding_level]]</f>
        <v>0</v>
      </c>
    </row>
    <row r="432" spans="1:11" x14ac:dyDescent="0.25">
      <c r="A432" s="24">
        <v>12</v>
      </c>
      <c r="B432" s="2">
        <v>62</v>
      </c>
      <c r="C432" s="2" t="s">
        <v>166</v>
      </c>
      <c r="D432" s="3">
        <v>0</v>
      </c>
      <c r="E432" s="1"/>
      <c r="I432" s="1" t="s">
        <v>1456</v>
      </c>
      <c r="J432" t="s">
        <v>3825</v>
      </c>
      <c r="K432" s="25">
        <f>Tabelle5[[#This Row],[value_present]]*Tabelle5[[#This Row],[binding_level]]</f>
        <v>0</v>
      </c>
    </row>
    <row r="433" spans="1:11" ht="15.75" thickBot="1" x14ac:dyDescent="0.3">
      <c r="A433" s="26">
        <v>12</v>
      </c>
      <c r="B433" s="27">
        <v>62</v>
      </c>
      <c r="C433" s="27" t="s">
        <v>174</v>
      </c>
      <c r="D433" s="28">
        <v>0</v>
      </c>
      <c r="E433" s="29"/>
      <c r="F433" s="30"/>
      <c r="G433" s="30"/>
      <c r="H433" s="30"/>
      <c r="I433" s="29" t="s">
        <v>1457</v>
      </c>
      <c r="J433" s="30" t="s">
        <v>3826</v>
      </c>
      <c r="K433" s="31">
        <f>Tabelle5[[#This Row],[value_present]]*Tabelle5[[#This Row],[binding_level]]</f>
        <v>0</v>
      </c>
    </row>
    <row r="434" spans="1:11" x14ac:dyDescent="0.25">
      <c r="A434" s="18">
        <v>12</v>
      </c>
      <c r="B434" s="19">
        <v>64</v>
      </c>
      <c r="C434" s="19" t="s">
        <v>53</v>
      </c>
      <c r="D434" s="20">
        <v>1</v>
      </c>
      <c r="E434" s="21">
        <v>3</v>
      </c>
      <c r="F434" s="22" t="s">
        <v>3901</v>
      </c>
      <c r="G434" s="22" t="s">
        <v>3902</v>
      </c>
      <c r="H434" s="22" t="s">
        <v>3881</v>
      </c>
      <c r="I434" s="21" t="s">
        <v>1457</v>
      </c>
      <c r="J434" s="22" t="s">
        <v>3882</v>
      </c>
      <c r="K434" s="23">
        <f>Tabelle5[[#This Row],[value_present]]*Tabelle5[[#This Row],[binding_level]]</f>
        <v>3</v>
      </c>
    </row>
    <row r="435" spans="1:11" x14ac:dyDescent="0.25">
      <c r="A435" s="24">
        <v>12</v>
      </c>
      <c r="B435" s="2">
        <v>64</v>
      </c>
      <c r="C435" s="2" t="s">
        <v>61</v>
      </c>
      <c r="D435" s="3">
        <v>0</v>
      </c>
      <c r="E435" s="1"/>
      <c r="I435" s="1" t="s">
        <v>1457</v>
      </c>
      <c r="J435" t="s">
        <v>3883</v>
      </c>
      <c r="K435" s="25">
        <f>Tabelle5[[#This Row],[value_present]]*Tabelle5[[#This Row],[binding_level]]</f>
        <v>0</v>
      </c>
    </row>
    <row r="436" spans="1:11" x14ac:dyDescent="0.25">
      <c r="A436" s="24">
        <v>12</v>
      </c>
      <c r="B436" s="2">
        <v>64</v>
      </c>
      <c r="C436" s="2" t="s">
        <v>69</v>
      </c>
      <c r="D436" s="3">
        <v>0</v>
      </c>
      <c r="E436" s="1"/>
      <c r="I436" s="1" t="s">
        <v>1456</v>
      </c>
      <c r="J436" t="s">
        <v>3884</v>
      </c>
      <c r="K436" s="25">
        <f>Tabelle5[[#This Row],[value_present]]*Tabelle5[[#This Row],[binding_level]]</f>
        <v>0</v>
      </c>
    </row>
    <row r="437" spans="1:11" x14ac:dyDescent="0.25">
      <c r="A437" s="24">
        <v>12</v>
      </c>
      <c r="B437" s="2">
        <v>64</v>
      </c>
      <c r="C437" s="2" t="s">
        <v>76</v>
      </c>
      <c r="D437" s="3">
        <v>0</v>
      </c>
      <c r="E437" s="1"/>
      <c r="I437" s="1" t="s">
        <v>1456</v>
      </c>
      <c r="J437" t="s">
        <v>3885</v>
      </c>
      <c r="K437" s="25">
        <f>Tabelle5[[#This Row],[value_present]]*Tabelle5[[#This Row],[binding_level]]</f>
        <v>0</v>
      </c>
    </row>
    <row r="438" spans="1:11" x14ac:dyDescent="0.25">
      <c r="A438" s="24">
        <v>12</v>
      </c>
      <c r="B438" s="2">
        <v>64</v>
      </c>
      <c r="C438" s="2" t="s">
        <v>83</v>
      </c>
      <c r="D438" s="3">
        <v>0</v>
      </c>
      <c r="E438" s="1"/>
      <c r="I438" s="1" t="s">
        <v>1456</v>
      </c>
      <c r="J438" t="s">
        <v>3886</v>
      </c>
      <c r="K438" s="25">
        <f>Tabelle5[[#This Row],[value_present]]*Tabelle5[[#This Row],[binding_level]]</f>
        <v>0</v>
      </c>
    </row>
    <row r="439" spans="1:11" x14ac:dyDescent="0.25">
      <c r="A439" s="24">
        <v>12</v>
      </c>
      <c r="B439" s="2">
        <v>64</v>
      </c>
      <c r="C439" s="2" t="s">
        <v>90</v>
      </c>
      <c r="D439" s="3">
        <v>0</v>
      </c>
      <c r="E439" s="1"/>
      <c r="I439" s="1" t="s">
        <v>1457</v>
      </c>
      <c r="J439" t="s">
        <v>3887</v>
      </c>
      <c r="K439" s="25">
        <f>Tabelle5[[#This Row],[value_present]]*Tabelle5[[#This Row],[binding_level]]</f>
        <v>0</v>
      </c>
    </row>
    <row r="440" spans="1:11" x14ac:dyDescent="0.25">
      <c r="A440" s="24">
        <v>12</v>
      </c>
      <c r="B440" s="2">
        <v>64</v>
      </c>
      <c r="C440" s="2" t="s">
        <v>98</v>
      </c>
      <c r="D440" s="3">
        <v>1</v>
      </c>
      <c r="E440" s="1">
        <v>1</v>
      </c>
      <c r="F440" t="s">
        <v>3903</v>
      </c>
      <c r="G440" t="s">
        <v>3904</v>
      </c>
      <c r="H440" t="s">
        <v>3888</v>
      </c>
      <c r="I440" s="1" t="s">
        <v>1456</v>
      </c>
      <c r="J440" t="s">
        <v>3889</v>
      </c>
      <c r="K440" s="25">
        <f>Tabelle5[[#This Row],[value_present]]*Tabelle5[[#This Row],[binding_level]]</f>
        <v>1</v>
      </c>
    </row>
    <row r="441" spans="1:11" x14ac:dyDescent="0.25">
      <c r="A441" s="24">
        <v>12</v>
      </c>
      <c r="B441" s="2">
        <v>64</v>
      </c>
      <c r="C441" s="2" t="s">
        <v>106</v>
      </c>
      <c r="D441" s="3">
        <v>0</v>
      </c>
      <c r="E441" s="1"/>
      <c r="I441" s="1" t="s">
        <v>1457</v>
      </c>
      <c r="J441" t="s">
        <v>3890</v>
      </c>
      <c r="K441" s="25">
        <f>Tabelle5[[#This Row],[value_present]]*Tabelle5[[#This Row],[binding_level]]</f>
        <v>0</v>
      </c>
    </row>
    <row r="442" spans="1:11" x14ac:dyDescent="0.25">
      <c r="A442" s="24">
        <v>12</v>
      </c>
      <c r="B442" s="2">
        <v>64</v>
      </c>
      <c r="C442" s="2" t="s">
        <v>112</v>
      </c>
      <c r="D442" s="3">
        <v>0</v>
      </c>
      <c r="E442" s="1"/>
      <c r="I442" s="1" t="s">
        <v>1457</v>
      </c>
      <c r="J442" t="s">
        <v>3891</v>
      </c>
      <c r="K442" s="25">
        <f>Tabelle5[[#This Row],[value_present]]*Tabelle5[[#This Row],[binding_level]]</f>
        <v>0</v>
      </c>
    </row>
    <row r="443" spans="1:11" x14ac:dyDescent="0.25">
      <c r="A443" s="24">
        <v>12</v>
      </c>
      <c r="B443" s="2">
        <v>64</v>
      </c>
      <c r="C443" s="2" t="s">
        <v>118</v>
      </c>
      <c r="D443" s="3">
        <v>0</v>
      </c>
      <c r="E443" s="1"/>
      <c r="I443" s="1" t="s">
        <v>1456</v>
      </c>
      <c r="J443" t="s">
        <v>3892</v>
      </c>
      <c r="K443" s="25">
        <f>Tabelle5[[#This Row],[value_present]]*Tabelle5[[#This Row],[binding_level]]</f>
        <v>0</v>
      </c>
    </row>
    <row r="444" spans="1:11" x14ac:dyDescent="0.25">
      <c r="A444" s="24">
        <v>12</v>
      </c>
      <c r="B444" s="2">
        <v>64</v>
      </c>
      <c r="C444" s="2" t="s">
        <v>125</v>
      </c>
      <c r="D444" s="3">
        <v>0</v>
      </c>
      <c r="E444" s="1"/>
      <c r="I444" s="1" t="s">
        <v>1456</v>
      </c>
      <c r="J444" t="s">
        <v>3893</v>
      </c>
      <c r="K444" s="25">
        <f>Tabelle5[[#This Row],[value_present]]*Tabelle5[[#This Row],[binding_level]]</f>
        <v>0</v>
      </c>
    </row>
    <row r="445" spans="1:11" x14ac:dyDescent="0.25">
      <c r="A445" s="24">
        <v>12</v>
      </c>
      <c r="B445" s="2">
        <v>64</v>
      </c>
      <c r="C445" s="2" t="s">
        <v>132</v>
      </c>
      <c r="D445" s="3">
        <v>0</v>
      </c>
      <c r="E445" s="1"/>
      <c r="I445" s="1" t="s">
        <v>1456</v>
      </c>
      <c r="J445" t="s">
        <v>3894</v>
      </c>
      <c r="K445" s="25">
        <f>Tabelle5[[#This Row],[value_present]]*Tabelle5[[#This Row],[binding_level]]</f>
        <v>0</v>
      </c>
    </row>
    <row r="446" spans="1:11" x14ac:dyDescent="0.25">
      <c r="A446" s="24">
        <v>12</v>
      </c>
      <c r="B446" s="2">
        <v>64</v>
      </c>
      <c r="C446" s="2" t="s">
        <v>140</v>
      </c>
      <c r="D446" s="3">
        <v>0</v>
      </c>
      <c r="E446" s="1"/>
      <c r="I446" s="1" t="s">
        <v>1457</v>
      </c>
      <c r="J446" t="s">
        <v>3895</v>
      </c>
      <c r="K446" s="25">
        <f>Tabelle5[[#This Row],[value_present]]*Tabelle5[[#This Row],[binding_level]]</f>
        <v>0</v>
      </c>
    </row>
    <row r="447" spans="1:11" x14ac:dyDescent="0.25">
      <c r="A447" s="24">
        <v>12</v>
      </c>
      <c r="B447" s="2">
        <v>64</v>
      </c>
      <c r="C447" s="2" t="s">
        <v>147</v>
      </c>
      <c r="D447" s="3">
        <v>0</v>
      </c>
      <c r="E447" s="1"/>
      <c r="I447" s="1" t="s">
        <v>1457</v>
      </c>
      <c r="J447" t="s">
        <v>3896</v>
      </c>
      <c r="K447" s="25">
        <f>Tabelle5[[#This Row],[value_present]]*Tabelle5[[#This Row],[binding_level]]</f>
        <v>0</v>
      </c>
    </row>
    <row r="448" spans="1:11" x14ac:dyDescent="0.25">
      <c r="A448" s="24">
        <v>12</v>
      </c>
      <c r="B448" s="2">
        <v>64</v>
      </c>
      <c r="C448" s="2" t="s">
        <v>154</v>
      </c>
      <c r="D448" s="3">
        <v>0</v>
      </c>
      <c r="E448" s="1"/>
      <c r="I448" s="1" t="s">
        <v>1456</v>
      </c>
      <c r="J448" t="s">
        <v>3897</v>
      </c>
      <c r="K448" s="25">
        <f>Tabelle5[[#This Row],[value_present]]*Tabelle5[[#This Row],[binding_level]]</f>
        <v>0</v>
      </c>
    </row>
    <row r="449" spans="1:11" x14ac:dyDescent="0.25">
      <c r="A449" s="24">
        <v>12</v>
      </c>
      <c r="B449" s="2">
        <v>64</v>
      </c>
      <c r="C449" s="2" t="s">
        <v>161</v>
      </c>
      <c r="D449" s="3">
        <v>0</v>
      </c>
      <c r="E449" s="1"/>
      <c r="I449" s="1" t="s">
        <v>1457</v>
      </c>
      <c r="J449" t="s">
        <v>3898</v>
      </c>
      <c r="K449" s="25">
        <f>Tabelle5[[#This Row],[value_present]]*Tabelle5[[#This Row],[binding_level]]</f>
        <v>0</v>
      </c>
    </row>
    <row r="450" spans="1:11" x14ac:dyDescent="0.25">
      <c r="A450" s="24">
        <v>12</v>
      </c>
      <c r="B450" s="2">
        <v>64</v>
      </c>
      <c r="C450" s="2" t="s">
        <v>166</v>
      </c>
      <c r="D450" s="3">
        <v>0</v>
      </c>
      <c r="E450" s="1"/>
      <c r="I450" s="1" t="s">
        <v>1457</v>
      </c>
      <c r="J450" t="s">
        <v>3899</v>
      </c>
      <c r="K450" s="25">
        <f>Tabelle5[[#This Row],[value_present]]*Tabelle5[[#This Row],[binding_level]]</f>
        <v>0</v>
      </c>
    </row>
    <row r="451" spans="1:11" ht="15.75" thickBot="1" x14ac:dyDescent="0.3">
      <c r="A451" s="26">
        <v>12</v>
      </c>
      <c r="B451" s="27">
        <v>64</v>
      </c>
      <c r="C451" s="27" t="s">
        <v>174</v>
      </c>
      <c r="D451" s="28">
        <v>0</v>
      </c>
      <c r="E451" s="29"/>
      <c r="F451" s="30"/>
      <c r="G451" s="30"/>
      <c r="H451" s="30"/>
      <c r="I451" s="29" t="s">
        <v>1456</v>
      </c>
      <c r="J451" s="30" t="s">
        <v>3900</v>
      </c>
      <c r="K451" s="31">
        <f>Tabelle5[[#This Row],[value_present]]*Tabelle5[[#This Row],[binding_level]]</f>
        <v>0</v>
      </c>
    </row>
    <row r="452" spans="1:11" x14ac:dyDescent="0.25">
      <c r="A452" s="18">
        <v>12</v>
      </c>
      <c r="B452" s="19">
        <v>69</v>
      </c>
      <c r="C452" s="19" t="s">
        <v>53</v>
      </c>
      <c r="D452" s="20">
        <v>1</v>
      </c>
      <c r="E452" s="21">
        <v>1</v>
      </c>
      <c r="F452" t="s">
        <v>3962</v>
      </c>
      <c r="G452" t="s">
        <v>3963</v>
      </c>
      <c r="H452" s="22" t="s">
        <v>3934</v>
      </c>
      <c r="I452" s="21" t="s">
        <v>3935</v>
      </c>
      <c r="J452" s="22"/>
      <c r="K452" s="23">
        <f>Tabelle5[[#This Row],[value_present]]*Tabelle5[[#This Row],[binding_level]]</f>
        <v>1</v>
      </c>
    </row>
    <row r="453" spans="1:11" x14ac:dyDescent="0.25">
      <c r="A453" s="24">
        <v>12</v>
      </c>
      <c r="B453" s="2">
        <v>69</v>
      </c>
      <c r="C453" s="2" t="s">
        <v>61</v>
      </c>
      <c r="D453" s="3">
        <v>1</v>
      </c>
      <c r="E453" s="1">
        <v>1</v>
      </c>
      <c r="F453" t="s">
        <v>3979</v>
      </c>
      <c r="G453" t="s">
        <v>3978</v>
      </c>
      <c r="H453" t="s">
        <v>3936</v>
      </c>
      <c r="I453" s="1" t="s">
        <v>1457</v>
      </c>
      <c r="J453" t="s">
        <v>3937</v>
      </c>
      <c r="K453" s="25">
        <f>Tabelle5[[#This Row],[value_present]]*Tabelle5[[#This Row],[binding_level]]</f>
        <v>1</v>
      </c>
    </row>
    <row r="454" spans="1:11" x14ac:dyDescent="0.25">
      <c r="A454" s="24">
        <v>12</v>
      </c>
      <c r="B454" s="2">
        <v>69</v>
      </c>
      <c r="C454" s="2" t="s">
        <v>69</v>
      </c>
      <c r="D454" s="3">
        <v>1</v>
      </c>
      <c r="E454" s="1">
        <v>1</v>
      </c>
      <c r="F454" t="s">
        <v>3981</v>
      </c>
      <c r="G454" t="s">
        <v>3980</v>
      </c>
      <c r="H454" t="s">
        <v>3938</v>
      </c>
      <c r="I454" s="1" t="s">
        <v>1456</v>
      </c>
      <c r="J454" t="s">
        <v>3939</v>
      </c>
      <c r="K454" s="25">
        <f>Tabelle5[[#This Row],[value_present]]*Tabelle5[[#This Row],[binding_level]]</f>
        <v>1</v>
      </c>
    </row>
    <row r="455" spans="1:11" x14ac:dyDescent="0.25">
      <c r="A455" s="24">
        <v>12</v>
      </c>
      <c r="B455" s="2">
        <v>69</v>
      </c>
      <c r="C455" s="2" t="s">
        <v>76</v>
      </c>
      <c r="D455" s="3">
        <v>1</v>
      </c>
      <c r="E455" s="1">
        <v>1</v>
      </c>
      <c r="F455" t="s">
        <v>3964</v>
      </c>
      <c r="G455" t="s">
        <v>3965</v>
      </c>
      <c r="H455" t="s">
        <v>3940</v>
      </c>
      <c r="I455" s="1" t="s">
        <v>1456</v>
      </c>
      <c r="J455" t="s">
        <v>3941</v>
      </c>
      <c r="K455" s="25">
        <f>Tabelle5[[#This Row],[value_present]]*Tabelle5[[#This Row],[binding_level]]</f>
        <v>1</v>
      </c>
    </row>
    <row r="456" spans="1:11" x14ac:dyDescent="0.25">
      <c r="A456" s="24">
        <v>12</v>
      </c>
      <c r="B456" s="2">
        <v>69</v>
      </c>
      <c r="C456" s="2" t="s">
        <v>83</v>
      </c>
      <c r="D456" s="3">
        <v>1</v>
      </c>
      <c r="E456" s="1">
        <v>1</v>
      </c>
      <c r="F456" t="s">
        <v>3966</v>
      </c>
      <c r="G456" t="s">
        <v>3967</v>
      </c>
      <c r="H456" t="s">
        <v>3942</v>
      </c>
      <c r="I456" s="1" t="s">
        <v>1456</v>
      </c>
      <c r="J456" t="s">
        <v>3943</v>
      </c>
      <c r="K456" s="25">
        <f>Tabelle5[[#This Row],[value_present]]*Tabelle5[[#This Row],[binding_level]]</f>
        <v>1</v>
      </c>
    </row>
    <row r="457" spans="1:11" x14ac:dyDescent="0.25">
      <c r="A457" s="24">
        <v>12</v>
      </c>
      <c r="B457" s="2">
        <v>69</v>
      </c>
      <c r="C457" s="2" t="s">
        <v>90</v>
      </c>
      <c r="D457" s="3">
        <v>1</v>
      </c>
      <c r="E457" s="1">
        <v>1</v>
      </c>
      <c r="F457" t="s">
        <v>3983</v>
      </c>
      <c r="G457" t="s">
        <v>3982</v>
      </c>
      <c r="H457" t="s">
        <v>3944</v>
      </c>
      <c r="I457" s="1" t="s">
        <v>1457</v>
      </c>
      <c r="J457" t="s">
        <v>3945</v>
      </c>
      <c r="K457" s="25">
        <f>Tabelle5[[#This Row],[value_present]]*Tabelle5[[#This Row],[binding_level]]</f>
        <v>1</v>
      </c>
    </row>
    <row r="458" spans="1:11" x14ac:dyDescent="0.25">
      <c r="A458" s="24">
        <v>12</v>
      </c>
      <c r="B458" s="2">
        <v>69</v>
      </c>
      <c r="C458" s="2" t="s">
        <v>98</v>
      </c>
      <c r="D458" s="3">
        <v>1</v>
      </c>
      <c r="E458" s="1">
        <v>1</v>
      </c>
      <c r="F458" t="s">
        <v>3968</v>
      </c>
      <c r="G458" t="s">
        <v>3969</v>
      </c>
      <c r="H458" t="s">
        <v>3940</v>
      </c>
      <c r="I458" s="1" t="s">
        <v>1457</v>
      </c>
      <c r="J458" t="s">
        <v>3946</v>
      </c>
      <c r="K458" s="25">
        <f>Tabelle5[[#This Row],[value_present]]*Tabelle5[[#This Row],[binding_level]]</f>
        <v>1</v>
      </c>
    </row>
    <row r="459" spans="1:11" x14ac:dyDescent="0.25">
      <c r="A459" s="24">
        <v>12</v>
      </c>
      <c r="B459" s="2">
        <v>69</v>
      </c>
      <c r="C459" s="2" t="s">
        <v>106</v>
      </c>
      <c r="D459" s="3">
        <v>0</v>
      </c>
      <c r="E459" s="1"/>
      <c r="I459" s="1" t="s">
        <v>1457</v>
      </c>
      <c r="J459" t="s">
        <v>3947</v>
      </c>
      <c r="K459" s="25">
        <f>Tabelle5[[#This Row],[value_present]]*Tabelle5[[#This Row],[binding_level]]</f>
        <v>0</v>
      </c>
    </row>
    <row r="460" spans="1:11" x14ac:dyDescent="0.25">
      <c r="A460" s="24">
        <v>12</v>
      </c>
      <c r="B460" s="2">
        <v>69</v>
      </c>
      <c r="C460" s="2" t="s">
        <v>112</v>
      </c>
      <c r="D460" s="3">
        <v>1</v>
      </c>
      <c r="E460" s="1">
        <v>1</v>
      </c>
      <c r="F460" t="s">
        <v>3970</v>
      </c>
      <c r="G460" t="s">
        <v>3971</v>
      </c>
      <c r="H460" t="s">
        <v>3948</v>
      </c>
      <c r="I460" s="1" t="s">
        <v>1456</v>
      </c>
      <c r="J460" t="s">
        <v>3949</v>
      </c>
      <c r="K460" s="25">
        <f>Tabelle5[[#This Row],[value_present]]*Tabelle5[[#This Row],[binding_level]]</f>
        <v>1</v>
      </c>
    </row>
    <row r="461" spans="1:11" x14ac:dyDescent="0.25">
      <c r="A461" s="24">
        <v>12</v>
      </c>
      <c r="B461" s="2">
        <v>69</v>
      </c>
      <c r="C461" s="2" t="s">
        <v>118</v>
      </c>
      <c r="D461" s="3">
        <v>0</v>
      </c>
      <c r="E461" s="1"/>
      <c r="I461" s="1" t="s">
        <v>1456</v>
      </c>
      <c r="J461" t="s">
        <v>3950</v>
      </c>
      <c r="K461" s="25">
        <f>Tabelle5[[#This Row],[value_present]]*Tabelle5[[#This Row],[binding_level]]</f>
        <v>0</v>
      </c>
    </row>
    <row r="462" spans="1:11" x14ac:dyDescent="0.25">
      <c r="A462" s="24">
        <v>12</v>
      </c>
      <c r="B462" s="2">
        <v>69</v>
      </c>
      <c r="C462" s="2" t="s">
        <v>125</v>
      </c>
      <c r="D462" s="3">
        <v>0</v>
      </c>
      <c r="E462" s="1"/>
      <c r="I462" s="1" t="s">
        <v>1456</v>
      </c>
      <c r="J462" t="s">
        <v>3893</v>
      </c>
      <c r="K462" s="25">
        <f>Tabelle5[[#This Row],[value_present]]*Tabelle5[[#This Row],[binding_level]]</f>
        <v>0</v>
      </c>
    </row>
    <row r="463" spans="1:11" x14ac:dyDescent="0.25">
      <c r="A463" s="24">
        <v>12</v>
      </c>
      <c r="B463" s="2">
        <v>69</v>
      </c>
      <c r="C463" s="2" t="s">
        <v>132</v>
      </c>
      <c r="D463" s="3">
        <v>0</v>
      </c>
      <c r="E463" s="1"/>
      <c r="I463" s="1" t="s">
        <v>1456</v>
      </c>
      <c r="J463" t="s">
        <v>3951</v>
      </c>
      <c r="K463" s="25">
        <f>Tabelle5[[#This Row],[value_present]]*Tabelle5[[#This Row],[binding_level]]</f>
        <v>0</v>
      </c>
    </row>
    <row r="464" spans="1:11" x14ac:dyDescent="0.25">
      <c r="A464" s="24">
        <v>12</v>
      </c>
      <c r="B464" s="2">
        <v>69</v>
      </c>
      <c r="C464" s="2" t="s">
        <v>140</v>
      </c>
      <c r="D464" s="3">
        <v>0</v>
      </c>
      <c r="E464" s="1"/>
      <c r="I464" s="1" t="s">
        <v>1457</v>
      </c>
      <c r="J464" t="s">
        <v>3952</v>
      </c>
      <c r="K464" s="25">
        <f>Tabelle5[[#This Row],[value_present]]*Tabelle5[[#This Row],[binding_level]]</f>
        <v>0</v>
      </c>
    </row>
    <row r="465" spans="1:11" x14ac:dyDescent="0.25">
      <c r="A465" s="24">
        <v>12</v>
      </c>
      <c r="B465" s="2">
        <v>69</v>
      </c>
      <c r="C465" s="2" t="s">
        <v>147</v>
      </c>
      <c r="D465" s="3">
        <v>1</v>
      </c>
      <c r="E465" s="1">
        <v>1</v>
      </c>
      <c r="F465" t="s">
        <v>3972</v>
      </c>
      <c r="G465" t="s">
        <v>3973</v>
      </c>
      <c r="H465" t="s">
        <v>3953</v>
      </c>
      <c r="I465" s="1" t="s">
        <v>1457</v>
      </c>
      <c r="J465" t="s">
        <v>3954</v>
      </c>
      <c r="K465" s="25">
        <f>Tabelle5[[#This Row],[value_present]]*Tabelle5[[#This Row],[binding_level]]</f>
        <v>1</v>
      </c>
    </row>
    <row r="466" spans="1:11" x14ac:dyDescent="0.25">
      <c r="A466" s="24">
        <v>12</v>
      </c>
      <c r="B466" s="2">
        <v>69</v>
      </c>
      <c r="C466" s="2" t="s">
        <v>154</v>
      </c>
      <c r="D466" s="3">
        <v>1</v>
      </c>
      <c r="E466" s="1">
        <v>1</v>
      </c>
      <c r="F466" t="s">
        <v>3985</v>
      </c>
      <c r="G466" t="s">
        <v>3984</v>
      </c>
      <c r="H466" t="s">
        <v>3955</v>
      </c>
      <c r="I466" s="1" t="s">
        <v>1456</v>
      </c>
      <c r="J466" t="s">
        <v>3956</v>
      </c>
      <c r="K466" s="25">
        <f>Tabelle5[[#This Row],[value_present]]*Tabelle5[[#This Row],[binding_level]]</f>
        <v>1</v>
      </c>
    </row>
    <row r="467" spans="1:11" x14ac:dyDescent="0.25">
      <c r="A467" s="24">
        <v>12</v>
      </c>
      <c r="B467" s="2">
        <v>69</v>
      </c>
      <c r="C467" s="2" t="s">
        <v>161</v>
      </c>
      <c r="D467" s="3">
        <v>1</v>
      </c>
      <c r="E467" s="1">
        <v>1</v>
      </c>
      <c r="F467" t="s">
        <v>3974</v>
      </c>
      <c r="G467" t="s">
        <v>3975</v>
      </c>
      <c r="H467" t="s">
        <v>3957</v>
      </c>
      <c r="I467" s="1" t="s">
        <v>1456</v>
      </c>
      <c r="J467" t="s">
        <v>3958</v>
      </c>
      <c r="K467" s="25">
        <f>Tabelle5[[#This Row],[value_present]]*Tabelle5[[#This Row],[binding_level]]</f>
        <v>1</v>
      </c>
    </row>
    <row r="468" spans="1:11" x14ac:dyDescent="0.25">
      <c r="A468" s="24">
        <v>12</v>
      </c>
      <c r="B468" s="2">
        <v>69</v>
      </c>
      <c r="C468" s="2" t="s">
        <v>166</v>
      </c>
      <c r="D468" s="3">
        <v>1</v>
      </c>
      <c r="E468" s="1">
        <v>1</v>
      </c>
      <c r="F468" t="s">
        <v>3976</v>
      </c>
      <c r="G468" t="s">
        <v>3977</v>
      </c>
      <c r="H468" t="s">
        <v>3959</v>
      </c>
      <c r="I468" s="1" t="s">
        <v>1457</v>
      </c>
      <c r="J468" t="s">
        <v>3960</v>
      </c>
      <c r="K468" s="25">
        <f>Tabelle5[[#This Row],[value_present]]*Tabelle5[[#This Row],[binding_level]]</f>
        <v>1</v>
      </c>
    </row>
    <row r="469" spans="1:11" ht="15.75" thickBot="1" x14ac:dyDescent="0.3">
      <c r="A469" s="26">
        <v>12</v>
      </c>
      <c r="B469" s="27">
        <v>69</v>
      </c>
      <c r="C469" s="27" t="s">
        <v>174</v>
      </c>
      <c r="D469" s="28">
        <v>0</v>
      </c>
      <c r="E469" s="29"/>
      <c r="F469" s="30"/>
      <c r="G469" s="30"/>
      <c r="H469" s="30"/>
      <c r="I469" s="29" t="s">
        <v>1456</v>
      </c>
      <c r="J469" s="30" t="s">
        <v>3961</v>
      </c>
      <c r="K469" s="31">
        <f>Tabelle5[[#This Row],[value_present]]*Tabelle5[[#This Row],[binding_level]]</f>
        <v>0</v>
      </c>
    </row>
    <row r="470" spans="1:11" x14ac:dyDescent="0.25">
      <c r="A470" s="18">
        <v>12</v>
      </c>
      <c r="B470" s="19">
        <v>70</v>
      </c>
      <c r="C470" s="19" t="s">
        <v>53</v>
      </c>
      <c r="D470" s="20">
        <v>1</v>
      </c>
      <c r="E470" s="21">
        <v>1</v>
      </c>
      <c r="F470" s="22" t="s">
        <v>4060</v>
      </c>
      <c r="G470" s="22" t="s">
        <v>4059</v>
      </c>
      <c r="H470" s="22" t="s">
        <v>4021</v>
      </c>
      <c r="I470" s="21" t="s">
        <v>1456</v>
      </c>
      <c r="J470" s="22" t="s">
        <v>4022</v>
      </c>
      <c r="K470" s="23">
        <f>Tabelle5[[#This Row],[value_present]]*Tabelle5[[#This Row],[binding_level]]</f>
        <v>1</v>
      </c>
    </row>
    <row r="471" spans="1:11" x14ac:dyDescent="0.25">
      <c r="A471" s="24">
        <v>12</v>
      </c>
      <c r="B471" s="2">
        <v>70</v>
      </c>
      <c r="C471" s="2" t="s">
        <v>61</v>
      </c>
      <c r="D471" s="3">
        <v>1</v>
      </c>
      <c r="E471" s="1">
        <v>1</v>
      </c>
      <c r="F471" t="s">
        <v>4047</v>
      </c>
      <c r="G471" t="s">
        <v>4048</v>
      </c>
      <c r="H471" t="s">
        <v>4023</v>
      </c>
      <c r="I471" s="1" t="s">
        <v>1457</v>
      </c>
      <c r="J471" t="s">
        <v>4024</v>
      </c>
      <c r="K471" s="25">
        <f>Tabelle5[[#This Row],[value_present]]*Tabelle5[[#This Row],[binding_level]]</f>
        <v>1</v>
      </c>
    </row>
    <row r="472" spans="1:11" x14ac:dyDescent="0.25">
      <c r="A472" s="24">
        <v>12</v>
      </c>
      <c r="B472" s="2">
        <v>70</v>
      </c>
      <c r="C472" s="2" t="s">
        <v>69</v>
      </c>
      <c r="D472" s="3">
        <v>1</v>
      </c>
      <c r="E472" s="1">
        <v>1</v>
      </c>
      <c r="F472" t="s">
        <v>4062</v>
      </c>
      <c r="G472" t="s">
        <v>4061</v>
      </c>
      <c r="H472" t="s">
        <v>4023</v>
      </c>
      <c r="I472" s="1" t="s">
        <v>1456</v>
      </c>
      <c r="J472" t="s">
        <v>4025</v>
      </c>
      <c r="K472" s="25">
        <f>Tabelle5[[#This Row],[value_present]]*Tabelle5[[#This Row],[binding_level]]</f>
        <v>1</v>
      </c>
    </row>
    <row r="473" spans="1:11" x14ac:dyDescent="0.25">
      <c r="A473" s="24">
        <v>12</v>
      </c>
      <c r="B473" s="2">
        <v>70</v>
      </c>
      <c r="C473" s="2" t="s">
        <v>76</v>
      </c>
      <c r="D473" s="3">
        <v>1</v>
      </c>
      <c r="E473" s="1">
        <v>1</v>
      </c>
      <c r="F473" t="s">
        <v>4064</v>
      </c>
      <c r="G473" t="s">
        <v>4063</v>
      </c>
      <c r="H473" t="s">
        <v>4023</v>
      </c>
      <c r="I473" s="1" t="s">
        <v>1456</v>
      </c>
      <c r="J473" t="s">
        <v>4026</v>
      </c>
      <c r="K473" s="25">
        <f>Tabelle5[[#This Row],[value_present]]*Tabelle5[[#This Row],[binding_level]]</f>
        <v>1</v>
      </c>
    </row>
    <row r="474" spans="1:11" x14ac:dyDescent="0.25">
      <c r="A474" s="24">
        <v>12</v>
      </c>
      <c r="B474" s="2">
        <v>70</v>
      </c>
      <c r="C474" s="2" t="s">
        <v>83</v>
      </c>
      <c r="D474" s="3">
        <v>1</v>
      </c>
      <c r="E474" s="1">
        <v>1</v>
      </c>
      <c r="F474" t="s">
        <v>4049</v>
      </c>
      <c r="G474" t="s">
        <v>4050</v>
      </c>
      <c r="H474" t="s">
        <v>4023</v>
      </c>
      <c r="I474" s="1" t="s">
        <v>1456</v>
      </c>
      <c r="J474" t="s">
        <v>4027</v>
      </c>
      <c r="K474" s="25">
        <f>Tabelle5[[#This Row],[value_present]]*Tabelle5[[#This Row],[binding_level]]</f>
        <v>1</v>
      </c>
    </row>
    <row r="475" spans="1:11" x14ac:dyDescent="0.25">
      <c r="A475" s="24">
        <v>12</v>
      </c>
      <c r="B475" s="2">
        <v>70</v>
      </c>
      <c r="C475" s="2" t="s">
        <v>90</v>
      </c>
      <c r="D475" s="3">
        <v>1</v>
      </c>
      <c r="E475" s="1">
        <v>1</v>
      </c>
      <c r="F475" t="s">
        <v>4051</v>
      </c>
      <c r="G475" t="s">
        <v>4052</v>
      </c>
      <c r="H475" t="s">
        <v>4028</v>
      </c>
      <c r="I475" s="1" t="s">
        <v>1456</v>
      </c>
      <c r="J475" t="s">
        <v>4029</v>
      </c>
      <c r="K475" s="25">
        <f>Tabelle5[[#This Row],[value_present]]*Tabelle5[[#This Row],[binding_level]]</f>
        <v>1</v>
      </c>
    </row>
    <row r="476" spans="1:11" x14ac:dyDescent="0.25">
      <c r="A476" s="24">
        <v>12</v>
      </c>
      <c r="B476" s="2">
        <v>70</v>
      </c>
      <c r="C476" s="2" t="s">
        <v>98</v>
      </c>
      <c r="D476" s="3">
        <v>1</v>
      </c>
      <c r="E476" s="1">
        <v>1</v>
      </c>
      <c r="F476" t="s">
        <v>4053</v>
      </c>
      <c r="G476" t="s">
        <v>4054</v>
      </c>
      <c r="H476" t="s">
        <v>4030</v>
      </c>
      <c r="I476" s="1" t="s">
        <v>1456</v>
      </c>
      <c r="J476" t="s">
        <v>4031</v>
      </c>
      <c r="K476" s="25">
        <f>Tabelle5[[#This Row],[value_present]]*Tabelle5[[#This Row],[binding_level]]</f>
        <v>1</v>
      </c>
    </row>
    <row r="477" spans="1:11" x14ac:dyDescent="0.25">
      <c r="A477" s="24">
        <v>12</v>
      </c>
      <c r="B477" s="2">
        <v>70</v>
      </c>
      <c r="C477" s="2" t="s">
        <v>106</v>
      </c>
      <c r="D477" s="3">
        <v>1</v>
      </c>
      <c r="E477" s="1">
        <v>1</v>
      </c>
      <c r="F477" t="s">
        <v>4066</v>
      </c>
      <c r="G477" t="s">
        <v>4065</v>
      </c>
      <c r="H477" t="s">
        <v>4032</v>
      </c>
      <c r="I477" s="1" t="s">
        <v>1456</v>
      </c>
      <c r="J477" t="s">
        <v>4033</v>
      </c>
      <c r="K477" s="25">
        <f>Tabelle5[[#This Row],[value_present]]*Tabelle5[[#This Row],[binding_level]]</f>
        <v>1</v>
      </c>
    </row>
    <row r="478" spans="1:11" x14ac:dyDescent="0.25">
      <c r="A478" s="24">
        <v>12</v>
      </c>
      <c r="B478" s="2">
        <v>70</v>
      </c>
      <c r="C478" s="2" t="s">
        <v>112</v>
      </c>
      <c r="D478" s="3">
        <v>1</v>
      </c>
      <c r="E478" s="1">
        <v>1</v>
      </c>
      <c r="F478" t="s">
        <v>4068</v>
      </c>
      <c r="G478" t="s">
        <v>4067</v>
      </c>
      <c r="H478" t="s">
        <v>4034</v>
      </c>
      <c r="I478" s="1" t="s">
        <v>1457</v>
      </c>
      <c r="J478" t="s">
        <v>4035</v>
      </c>
      <c r="K478" s="25">
        <f>Tabelle5[[#This Row],[value_present]]*Tabelle5[[#This Row],[binding_level]]</f>
        <v>1</v>
      </c>
    </row>
    <row r="479" spans="1:11" x14ac:dyDescent="0.25">
      <c r="A479" s="24">
        <v>12</v>
      </c>
      <c r="B479" s="2">
        <v>70</v>
      </c>
      <c r="C479" s="2" t="s">
        <v>118</v>
      </c>
      <c r="D479" s="3">
        <v>0</v>
      </c>
      <c r="E479" s="1"/>
      <c r="I479" s="1" t="s">
        <v>1456</v>
      </c>
      <c r="J479" t="s">
        <v>4036</v>
      </c>
      <c r="K479" s="25">
        <f>Tabelle5[[#This Row],[value_present]]*Tabelle5[[#This Row],[binding_level]]</f>
        <v>0</v>
      </c>
    </row>
    <row r="480" spans="1:11" x14ac:dyDescent="0.25">
      <c r="A480" s="24">
        <v>12</v>
      </c>
      <c r="B480" s="2">
        <v>70</v>
      </c>
      <c r="C480" s="2" t="s">
        <v>125</v>
      </c>
      <c r="D480" s="3">
        <v>0</v>
      </c>
      <c r="E480" s="1"/>
      <c r="I480" s="1" t="s">
        <v>1457</v>
      </c>
      <c r="J480" t="s">
        <v>4037</v>
      </c>
      <c r="K480" s="25">
        <f>Tabelle5[[#This Row],[value_present]]*Tabelle5[[#This Row],[binding_level]]</f>
        <v>0</v>
      </c>
    </row>
    <row r="481" spans="1:11" x14ac:dyDescent="0.25">
      <c r="A481" s="24">
        <v>12</v>
      </c>
      <c r="B481" s="2">
        <v>70</v>
      </c>
      <c r="C481" s="2" t="s">
        <v>132</v>
      </c>
      <c r="D481" s="3">
        <v>0</v>
      </c>
      <c r="E481" s="1"/>
      <c r="I481" s="1" t="s">
        <v>1457</v>
      </c>
      <c r="J481" t="s">
        <v>4038</v>
      </c>
      <c r="K481" s="25">
        <f>Tabelle5[[#This Row],[value_present]]*Tabelle5[[#This Row],[binding_level]]</f>
        <v>0</v>
      </c>
    </row>
    <row r="482" spans="1:11" x14ac:dyDescent="0.25">
      <c r="A482" s="24">
        <v>12</v>
      </c>
      <c r="B482" s="2">
        <v>70</v>
      </c>
      <c r="C482" s="2" t="s">
        <v>140</v>
      </c>
      <c r="D482" s="3">
        <v>0</v>
      </c>
      <c r="E482" s="1"/>
      <c r="I482" s="1" t="s">
        <v>1457</v>
      </c>
      <c r="J482" t="s">
        <v>4039</v>
      </c>
      <c r="K482" s="25">
        <f>Tabelle5[[#This Row],[value_present]]*Tabelle5[[#This Row],[binding_level]]</f>
        <v>0</v>
      </c>
    </row>
    <row r="483" spans="1:11" x14ac:dyDescent="0.25">
      <c r="A483" s="24">
        <v>12</v>
      </c>
      <c r="B483" s="2">
        <v>70</v>
      </c>
      <c r="C483" s="2" t="s">
        <v>147</v>
      </c>
      <c r="D483" s="3">
        <v>1</v>
      </c>
      <c r="E483" s="1">
        <v>1</v>
      </c>
      <c r="F483" t="s">
        <v>4055</v>
      </c>
      <c r="G483" t="s">
        <v>4056</v>
      </c>
      <c r="H483" t="s">
        <v>4023</v>
      </c>
      <c r="I483" s="1" t="s">
        <v>1457</v>
      </c>
      <c r="J483" t="s">
        <v>4040</v>
      </c>
      <c r="K483" s="25">
        <f>Tabelle5[[#This Row],[value_present]]*Tabelle5[[#This Row],[binding_level]]</f>
        <v>1</v>
      </c>
    </row>
    <row r="484" spans="1:11" x14ac:dyDescent="0.25">
      <c r="A484" s="24">
        <v>12</v>
      </c>
      <c r="B484" s="2">
        <v>70</v>
      </c>
      <c r="C484" s="2" t="s">
        <v>154</v>
      </c>
      <c r="D484" s="3">
        <v>1</v>
      </c>
      <c r="E484" s="1">
        <v>1</v>
      </c>
      <c r="F484" t="s">
        <v>4057</v>
      </c>
      <c r="G484" t="s">
        <v>4058</v>
      </c>
      <c r="H484" t="s">
        <v>4023</v>
      </c>
      <c r="I484" s="1" t="s">
        <v>1457</v>
      </c>
      <c r="J484" t="s">
        <v>4041</v>
      </c>
      <c r="K484" s="25">
        <f>Tabelle5[[#This Row],[value_present]]*Tabelle5[[#This Row],[binding_level]]</f>
        <v>1</v>
      </c>
    </row>
    <row r="485" spans="1:11" x14ac:dyDescent="0.25">
      <c r="A485" s="24">
        <v>12</v>
      </c>
      <c r="B485" s="2">
        <v>70</v>
      </c>
      <c r="C485" s="2" t="s">
        <v>161</v>
      </c>
      <c r="D485" s="3">
        <v>1</v>
      </c>
      <c r="E485" s="1">
        <v>1</v>
      </c>
      <c r="F485" t="s">
        <v>4070</v>
      </c>
      <c r="G485" t="s">
        <v>4069</v>
      </c>
      <c r="H485" t="s">
        <v>4042</v>
      </c>
      <c r="I485" s="1" t="s">
        <v>1456</v>
      </c>
      <c r="J485" t="s">
        <v>4043</v>
      </c>
      <c r="K485" s="25">
        <f>Tabelle5[[#This Row],[value_present]]*Tabelle5[[#This Row],[binding_level]]</f>
        <v>1</v>
      </c>
    </row>
    <row r="486" spans="1:11" x14ac:dyDescent="0.25">
      <c r="A486" s="24">
        <v>12</v>
      </c>
      <c r="B486" s="2">
        <v>70</v>
      </c>
      <c r="C486" s="2" t="s">
        <v>166</v>
      </c>
      <c r="D486" s="3">
        <v>1</v>
      </c>
      <c r="E486" s="1">
        <v>1</v>
      </c>
      <c r="F486" t="s">
        <v>4072</v>
      </c>
      <c r="G486" t="s">
        <v>4071</v>
      </c>
      <c r="H486" t="s">
        <v>4044</v>
      </c>
      <c r="I486" s="1" t="s">
        <v>1457</v>
      </c>
      <c r="J486" t="s">
        <v>4045</v>
      </c>
      <c r="K486" s="25">
        <f>Tabelle5[[#This Row],[value_present]]*Tabelle5[[#This Row],[binding_level]]</f>
        <v>1</v>
      </c>
    </row>
    <row r="487" spans="1:11" ht="15.75" thickBot="1" x14ac:dyDescent="0.3">
      <c r="A487" s="26">
        <v>12</v>
      </c>
      <c r="B487" s="27">
        <v>70</v>
      </c>
      <c r="C487" s="27" t="s">
        <v>174</v>
      </c>
      <c r="D487" s="28">
        <v>0</v>
      </c>
      <c r="E487" s="29"/>
      <c r="F487" s="30"/>
      <c r="G487" s="30"/>
      <c r="H487" s="30"/>
      <c r="I487" s="29" t="s">
        <v>1456</v>
      </c>
      <c r="J487" s="30" t="s">
        <v>4046</v>
      </c>
      <c r="K487" s="31">
        <f>Tabelle5[[#This Row],[value_present]]*Tabelle5[[#This Row],[binding_level]]</f>
        <v>0</v>
      </c>
    </row>
    <row r="488" spans="1:11" x14ac:dyDescent="0.25">
      <c r="A488" s="18">
        <v>13</v>
      </c>
      <c r="B488" s="19">
        <v>73</v>
      </c>
      <c r="C488" s="19" t="s">
        <v>53</v>
      </c>
      <c r="D488" s="20">
        <v>0</v>
      </c>
      <c r="E488" s="21"/>
      <c r="F488" s="22"/>
      <c r="G488" s="22"/>
      <c r="H488" s="22"/>
      <c r="I488" s="21" t="s">
        <v>1456</v>
      </c>
      <c r="J488" s="22" t="s">
        <v>4105</v>
      </c>
      <c r="K488" s="23">
        <f>Tabelle5[[#This Row],[value_present]]*Tabelle5[[#This Row],[binding_level]]</f>
        <v>0</v>
      </c>
    </row>
    <row r="489" spans="1:11" x14ac:dyDescent="0.25">
      <c r="A489" s="24">
        <v>13</v>
      </c>
      <c r="B489" s="2">
        <v>73</v>
      </c>
      <c r="C489" s="2" t="s">
        <v>61</v>
      </c>
      <c r="D489" s="3">
        <v>0</v>
      </c>
      <c r="E489" s="1"/>
      <c r="I489" s="1" t="s">
        <v>1457</v>
      </c>
      <c r="J489" t="s">
        <v>4106</v>
      </c>
      <c r="K489" s="25">
        <f>Tabelle5[[#This Row],[value_present]]*Tabelle5[[#This Row],[binding_level]]</f>
        <v>0</v>
      </c>
    </row>
    <row r="490" spans="1:11" x14ac:dyDescent="0.25">
      <c r="A490" s="24">
        <v>13</v>
      </c>
      <c r="B490" s="2">
        <v>73</v>
      </c>
      <c r="C490" s="2" t="s">
        <v>69</v>
      </c>
      <c r="D490" s="3">
        <v>1</v>
      </c>
      <c r="E490" s="1">
        <v>1</v>
      </c>
      <c r="F490" t="s">
        <v>4128</v>
      </c>
      <c r="G490" t="s">
        <v>4135</v>
      </c>
      <c r="H490" t="s">
        <v>4107</v>
      </c>
      <c r="I490" s="1" t="s">
        <v>1456</v>
      </c>
      <c r="J490" t="s">
        <v>4108</v>
      </c>
      <c r="K490" s="25">
        <f>Tabelle5[[#This Row],[value_present]]*Tabelle5[[#This Row],[binding_level]]</f>
        <v>1</v>
      </c>
    </row>
    <row r="491" spans="1:11" x14ac:dyDescent="0.25">
      <c r="A491" s="24">
        <v>13</v>
      </c>
      <c r="B491" s="2">
        <v>73</v>
      </c>
      <c r="C491" s="2" t="s">
        <v>76</v>
      </c>
      <c r="D491" s="3">
        <v>1</v>
      </c>
      <c r="E491" s="1">
        <v>1</v>
      </c>
      <c r="F491" t="s">
        <v>4129</v>
      </c>
      <c r="G491" t="s">
        <v>4130</v>
      </c>
      <c r="H491" t="s">
        <v>4109</v>
      </c>
      <c r="I491" s="1" t="s">
        <v>1456</v>
      </c>
      <c r="J491" t="s">
        <v>4110</v>
      </c>
      <c r="K491" s="25">
        <f>Tabelle5[[#This Row],[value_present]]*Tabelle5[[#This Row],[binding_level]]</f>
        <v>1</v>
      </c>
    </row>
    <row r="492" spans="1:11" x14ac:dyDescent="0.25">
      <c r="A492" s="24">
        <v>13</v>
      </c>
      <c r="B492" s="2">
        <v>73</v>
      </c>
      <c r="C492" s="2" t="s">
        <v>83</v>
      </c>
      <c r="D492" s="3">
        <v>1</v>
      </c>
      <c r="E492" s="1">
        <v>1</v>
      </c>
      <c r="F492" t="s">
        <v>4131</v>
      </c>
      <c r="G492" t="s">
        <v>4132</v>
      </c>
      <c r="H492" t="s">
        <v>4109</v>
      </c>
      <c r="I492" s="1" t="s">
        <v>1456</v>
      </c>
      <c r="J492" t="s">
        <v>4111</v>
      </c>
      <c r="K492" s="25">
        <f>Tabelle5[[#This Row],[value_present]]*Tabelle5[[#This Row],[binding_level]]</f>
        <v>1</v>
      </c>
    </row>
    <row r="493" spans="1:11" x14ac:dyDescent="0.25">
      <c r="A493" s="24">
        <v>13</v>
      </c>
      <c r="B493" s="2">
        <v>73</v>
      </c>
      <c r="C493" s="2" t="s">
        <v>90</v>
      </c>
      <c r="D493" s="3">
        <v>0</v>
      </c>
      <c r="E493" s="1"/>
      <c r="I493" s="1" t="s">
        <v>1457</v>
      </c>
      <c r="J493" t="s">
        <v>4112</v>
      </c>
      <c r="K493" s="25">
        <f>Tabelle5[[#This Row],[value_present]]*Tabelle5[[#This Row],[binding_level]]</f>
        <v>0</v>
      </c>
    </row>
    <row r="494" spans="1:11" x14ac:dyDescent="0.25">
      <c r="A494" s="24">
        <v>13</v>
      </c>
      <c r="B494" s="2">
        <v>73</v>
      </c>
      <c r="C494" s="2" t="s">
        <v>98</v>
      </c>
      <c r="D494" s="3">
        <v>0</v>
      </c>
      <c r="E494" s="1"/>
      <c r="I494" s="1" t="s">
        <v>1457</v>
      </c>
      <c r="J494" t="s">
        <v>4113</v>
      </c>
      <c r="K494" s="25">
        <f>Tabelle5[[#This Row],[value_present]]*Tabelle5[[#This Row],[binding_level]]</f>
        <v>0</v>
      </c>
    </row>
    <row r="495" spans="1:11" x14ac:dyDescent="0.25">
      <c r="A495" s="24">
        <v>13</v>
      </c>
      <c r="B495" s="2">
        <v>73</v>
      </c>
      <c r="C495" s="2" t="s">
        <v>106</v>
      </c>
      <c r="D495" s="3">
        <v>0</v>
      </c>
      <c r="E495" s="1"/>
      <c r="I495" s="1" t="s">
        <v>1457</v>
      </c>
      <c r="J495" t="s">
        <v>4114</v>
      </c>
      <c r="K495" s="25">
        <f>Tabelle5[[#This Row],[value_present]]*Tabelle5[[#This Row],[binding_level]]</f>
        <v>0</v>
      </c>
    </row>
    <row r="496" spans="1:11" x14ac:dyDescent="0.25">
      <c r="A496" s="24">
        <v>13</v>
      </c>
      <c r="B496" s="2">
        <v>73</v>
      </c>
      <c r="C496" s="2" t="s">
        <v>112</v>
      </c>
      <c r="D496" s="3">
        <v>1</v>
      </c>
      <c r="E496" s="1">
        <v>1</v>
      </c>
      <c r="F496" t="s">
        <v>4137</v>
      </c>
      <c r="G496" t="s">
        <v>4136</v>
      </c>
      <c r="H496" t="s">
        <v>4115</v>
      </c>
      <c r="I496" s="1" t="s">
        <v>1456</v>
      </c>
      <c r="J496" t="s">
        <v>4116</v>
      </c>
      <c r="K496" s="25">
        <f>Tabelle5[[#This Row],[value_present]]*Tabelle5[[#This Row],[binding_level]]</f>
        <v>1</v>
      </c>
    </row>
    <row r="497" spans="1:11" x14ac:dyDescent="0.25">
      <c r="A497" s="24">
        <v>13</v>
      </c>
      <c r="B497" s="2">
        <v>73</v>
      </c>
      <c r="C497" s="2" t="s">
        <v>118</v>
      </c>
      <c r="D497" s="3">
        <v>0</v>
      </c>
      <c r="E497" s="1"/>
      <c r="I497" s="1" t="s">
        <v>1456</v>
      </c>
      <c r="J497" t="s">
        <v>4117</v>
      </c>
      <c r="K497" s="25">
        <f>Tabelle5[[#This Row],[value_present]]*Tabelle5[[#This Row],[binding_level]]</f>
        <v>0</v>
      </c>
    </row>
    <row r="498" spans="1:11" x14ac:dyDescent="0.25">
      <c r="A498" s="24">
        <v>13</v>
      </c>
      <c r="B498" s="2">
        <v>73</v>
      </c>
      <c r="C498" s="2" t="s">
        <v>125</v>
      </c>
      <c r="D498" s="3">
        <v>0</v>
      </c>
      <c r="E498" s="1"/>
      <c r="I498" s="1" t="s">
        <v>1456</v>
      </c>
      <c r="J498" t="s">
        <v>4118</v>
      </c>
      <c r="K498" s="25">
        <f>Tabelle5[[#This Row],[value_present]]*Tabelle5[[#This Row],[binding_level]]</f>
        <v>0</v>
      </c>
    </row>
    <row r="499" spans="1:11" x14ac:dyDescent="0.25">
      <c r="A499" s="24">
        <v>13</v>
      </c>
      <c r="B499" s="2">
        <v>73</v>
      </c>
      <c r="C499" s="2" t="s">
        <v>132</v>
      </c>
      <c r="D499" s="3">
        <v>0</v>
      </c>
      <c r="E499" s="1"/>
      <c r="I499" s="1" t="s">
        <v>1456</v>
      </c>
      <c r="J499" t="s">
        <v>4119</v>
      </c>
      <c r="K499" s="25">
        <f>Tabelle5[[#This Row],[value_present]]*Tabelle5[[#This Row],[binding_level]]</f>
        <v>0</v>
      </c>
    </row>
    <row r="500" spans="1:11" x14ac:dyDescent="0.25">
      <c r="A500" s="24">
        <v>13</v>
      </c>
      <c r="B500" s="2">
        <v>73</v>
      </c>
      <c r="C500" s="2" t="s">
        <v>140</v>
      </c>
      <c r="D500" s="3">
        <v>0</v>
      </c>
      <c r="E500" s="1"/>
      <c r="I500" s="1" t="s">
        <v>1457</v>
      </c>
      <c r="J500" t="s">
        <v>4120</v>
      </c>
      <c r="K500" s="25">
        <f>Tabelle5[[#This Row],[value_present]]*Tabelle5[[#This Row],[binding_level]]</f>
        <v>0</v>
      </c>
    </row>
    <row r="501" spans="1:11" x14ac:dyDescent="0.25">
      <c r="A501" s="24">
        <v>13</v>
      </c>
      <c r="B501" s="2">
        <v>73</v>
      </c>
      <c r="C501" s="2" t="s">
        <v>147</v>
      </c>
      <c r="D501" s="3">
        <v>1</v>
      </c>
      <c r="E501" s="1">
        <v>1</v>
      </c>
      <c r="F501" t="s">
        <v>4134</v>
      </c>
      <c r="G501" t="s">
        <v>4133</v>
      </c>
      <c r="H501" t="s">
        <v>4121</v>
      </c>
      <c r="I501" s="1" t="s">
        <v>1457</v>
      </c>
      <c r="J501" t="s">
        <v>4122</v>
      </c>
      <c r="K501" s="25">
        <f>Tabelle5[[#This Row],[value_present]]*Tabelle5[[#This Row],[binding_level]]</f>
        <v>1</v>
      </c>
    </row>
    <row r="502" spans="1:11" x14ac:dyDescent="0.25">
      <c r="A502" s="24">
        <v>13</v>
      </c>
      <c r="B502" s="2">
        <v>73</v>
      </c>
      <c r="C502" s="2" t="s">
        <v>154</v>
      </c>
      <c r="D502" s="3">
        <v>0</v>
      </c>
      <c r="E502" s="1"/>
      <c r="I502" s="1" t="s">
        <v>1457</v>
      </c>
      <c r="J502" t="s">
        <v>4123</v>
      </c>
      <c r="K502" s="25">
        <f>Tabelle5[[#This Row],[value_present]]*Tabelle5[[#This Row],[binding_level]]</f>
        <v>0</v>
      </c>
    </row>
    <row r="503" spans="1:11" x14ac:dyDescent="0.25">
      <c r="A503" s="24">
        <v>13</v>
      </c>
      <c r="B503" s="2">
        <v>73</v>
      </c>
      <c r="C503" s="2" t="s">
        <v>161</v>
      </c>
      <c r="D503" s="3">
        <v>1</v>
      </c>
      <c r="E503" s="1">
        <v>1</v>
      </c>
      <c r="F503" t="s">
        <v>4139</v>
      </c>
      <c r="G503" t="s">
        <v>4138</v>
      </c>
      <c r="H503" t="s">
        <v>4124</v>
      </c>
      <c r="I503" s="1" t="s">
        <v>1456</v>
      </c>
      <c r="J503" t="s">
        <v>4125</v>
      </c>
      <c r="K503" s="25">
        <f>Tabelle5[[#This Row],[value_present]]*Tabelle5[[#This Row],[binding_level]]</f>
        <v>1</v>
      </c>
    </row>
    <row r="504" spans="1:11" x14ac:dyDescent="0.25">
      <c r="A504" s="24">
        <v>13</v>
      </c>
      <c r="B504" s="2">
        <v>73</v>
      </c>
      <c r="C504" s="2" t="s">
        <v>166</v>
      </c>
      <c r="D504" s="3">
        <v>0</v>
      </c>
      <c r="E504" s="1"/>
      <c r="I504" s="1" t="s">
        <v>1457</v>
      </c>
      <c r="J504" t="s">
        <v>4126</v>
      </c>
      <c r="K504" s="25">
        <f>Tabelle5[[#This Row],[value_present]]*Tabelle5[[#This Row],[binding_level]]</f>
        <v>0</v>
      </c>
    </row>
    <row r="505" spans="1:11" ht="15.75" thickBot="1" x14ac:dyDescent="0.3">
      <c r="A505" s="26">
        <v>13</v>
      </c>
      <c r="B505" s="27">
        <v>73</v>
      </c>
      <c r="C505" s="27" t="s">
        <v>174</v>
      </c>
      <c r="D505" s="28">
        <v>0</v>
      </c>
      <c r="E505" s="29"/>
      <c r="F505" s="30"/>
      <c r="G505" s="30"/>
      <c r="H505" s="30"/>
      <c r="I505" s="29" t="s">
        <v>1456</v>
      </c>
      <c r="J505" s="30" t="s">
        <v>4127</v>
      </c>
      <c r="K505" s="31">
        <f>Tabelle5[[#This Row],[value_present]]*Tabelle5[[#This Row],[binding_level]]</f>
        <v>0</v>
      </c>
    </row>
    <row r="506" spans="1:11" x14ac:dyDescent="0.25">
      <c r="A506" s="18">
        <v>13</v>
      </c>
      <c r="B506" s="19">
        <v>74</v>
      </c>
      <c r="C506" s="19" t="s">
        <v>53</v>
      </c>
      <c r="D506" s="20">
        <v>0</v>
      </c>
      <c r="E506" s="21"/>
      <c r="F506" s="22"/>
      <c r="G506" s="22"/>
      <c r="H506" s="22"/>
      <c r="I506" s="21" t="s">
        <v>1456</v>
      </c>
      <c r="J506" s="22" t="s">
        <v>4167</v>
      </c>
      <c r="K506" s="23">
        <f>Tabelle5[[#This Row],[value_present]]*Tabelle5[[#This Row],[binding_level]]</f>
        <v>0</v>
      </c>
    </row>
    <row r="507" spans="1:11" x14ac:dyDescent="0.25">
      <c r="A507" s="24">
        <v>13</v>
      </c>
      <c r="B507" s="2">
        <v>74</v>
      </c>
      <c r="C507" s="2" t="s">
        <v>61</v>
      </c>
      <c r="D507" s="3">
        <v>0</v>
      </c>
      <c r="E507" s="1"/>
      <c r="I507" s="1" t="s">
        <v>1457</v>
      </c>
      <c r="J507" t="s">
        <v>4168</v>
      </c>
      <c r="K507" s="25">
        <f>Tabelle5[[#This Row],[value_present]]*Tabelle5[[#This Row],[binding_level]]</f>
        <v>0</v>
      </c>
    </row>
    <row r="508" spans="1:11" x14ac:dyDescent="0.25">
      <c r="A508" s="24">
        <v>13</v>
      </c>
      <c r="B508" s="2">
        <v>74</v>
      </c>
      <c r="C508" s="2" t="s">
        <v>69</v>
      </c>
      <c r="D508" s="3">
        <v>0</v>
      </c>
      <c r="E508" s="1"/>
      <c r="I508" s="1" t="s">
        <v>1456</v>
      </c>
      <c r="J508" t="s">
        <v>4169</v>
      </c>
      <c r="K508" s="25">
        <f>Tabelle5[[#This Row],[value_present]]*Tabelle5[[#This Row],[binding_level]]</f>
        <v>0</v>
      </c>
    </row>
    <row r="509" spans="1:11" x14ac:dyDescent="0.25">
      <c r="A509" s="24">
        <v>13</v>
      </c>
      <c r="B509" s="2">
        <v>74</v>
      </c>
      <c r="C509" s="2" t="s">
        <v>76</v>
      </c>
      <c r="D509" s="3">
        <v>0</v>
      </c>
      <c r="E509" s="1"/>
      <c r="I509" s="1" t="s">
        <v>1456</v>
      </c>
      <c r="J509" t="s">
        <v>4170</v>
      </c>
      <c r="K509" s="25">
        <f>Tabelle5[[#This Row],[value_present]]*Tabelle5[[#This Row],[binding_level]]</f>
        <v>0</v>
      </c>
    </row>
    <row r="510" spans="1:11" x14ac:dyDescent="0.25">
      <c r="A510" s="24">
        <v>13</v>
      </c>
      <c r="B510" s="2">
        <v>74</v>
      </c>
      <c r="C510" s="2" t="s">
        <v>83</v>
      </c>
      <c r="D510" s="3">
        <v>0</v>
      </c>
      <c r="E510" s="1"/>
      <c r="I510" s="1" t="s">
        <v>1456</v>
      </c>
      <c r="J510" t="s">
        <v>4171</v>
      </c>
      <c r="K510" s="25">
        <f>Tabelle5[[#This Row],[value_present]]*Tabelle5[[#This Row],[binding_level]]</f>
        <v>0</v>
      </c>
    </row>
    <row r="511" spans="1:11" x14ac:dyDescent="0.25">
      <c r="A511" s="24">
        <v>13</v>
      </c>
      <c r="B511" s="2">
        <v>74</v>
      </c>
      <c r="C511" s="2" t="s">
        <v>90</v>
      </c>
      <c r="D511" s="3">
        <v>0</v>
      </c>
      <c r="E511" s="1"/>
      <c r="I511" s="1" t="s">
        <v>1457</v>
      </c>
      <c r="J511" t="s">
        <v>4172</v>
      </c>
      <c r="K511" s="25">
        <f>Tabelle5[[#This Row],[value_present]]*Tabelle5[[#This Row],[binding_level]]</f>
        <v>0</v>
      </c>
    </row>
    <row r="512" spans="1:11" x14ac:dyDescent="0.25">
      <c r="A512" s="24">
        <v>13</v>
      </c>
      <c r="B512" s="2">
        <v>74</v>
      </c>
      <c r="C512" s="2" t="s">
        <v>98</v>
      </c>
      <c r="D512" s="3">
        <v>0</v>
      </c>
      <c r="E512" s="1"/>
      <c r="I512" s="1" t="s">
        <v>1457</v>
      </c>
      <c r="J512" t="s">
        <v>4173</v>
      </c>
      <c r="K512" s="25">
        <f>Tabelle5[[#This Row],[value_present]]*Tabelle5[[#This Row],[binding_level]]</f>
        <v>0</v>
      </c>
    </row>
    <row r="513" spans="1:11" x14ac:dyDescent="0.25">
      <c r="A513" s="24">
        <v>13</v>
      </c>
      <c r="B513" s="2">
        <v>74</v>
      </c>
      <c r="C513" s="2" t="s">
        <v>106</v>
      </c>
      <c r="D513" s="3">
        <v>0</v>
      </c>
      <c r="E513" s="1"/>
      <c r="I513" s="1" t="s">
        <v>1456</v>
      </c>
      <c r="J513" t="s">
        <v>4174</v>
      </c>
      <c r="K513" s="25">
        <f>Tabelle5[[#This Row],[value_present]]*Tabelle5[[#This Row],[binding_level]]</f>
        <v>0</v>
      </c>
    </row>
    <row r="514" spans="1:11" x14ac:dyDescent="0.25">
      <c r="A514" s="24">
        <v>13</v>
      </c>
      <c r="B514" s="2">
        <v>74</v>
      </c>
      <c r="C514" s="2" t="s">
        <v>112</v>
      </c>
      <c r="D514" s="3">
        <v>0</v>
      </c>
      <c r="E514" s="1"/>
      <c r="I514" s="1" t="s">
        <v>1456</v>
      </c>
      <c r="J514" t="s">
        <v>4175</v>
      </c>
      <c r="K514" s="25">
        <f>Tabelle5[[#This Row],[value_present]]*Tabelle5[[#This Row],[binding_level]]</f>
        <v>0</v>
      </c>
    </row>
    <row r="515" spans="1:11" x14ac:dyDescent="0.25">
      <c r="A515" s="24">
        <v>13</v>
      </c>
      <c r="B515" s="2">
        <v>74</v>
      </c>
      <c r="C515" s="2" t="s">
        <v>118</v>
      </c>
      <c r="D515" s="3">
        <v>0</v>
      </c>
      <c r="E515" s="1"/>
      <c r="I515" s="1" t="s">
        <v>1456</v>
      </c>
      <c r="J515" t="s">
        <v>4176</v>
      </c>
      <c r="K515" s="25">
        <f>Tabelle5[[#This Row],[value_present]]*Tabelle5[[#This Row],[binding_level]]</f>
        <v>0</v>
      </c>
    </row>
    <row r="516" spans="1:11" x14ac:dyDescent="0.25">
      <c r="A516" s="24">
        <v>13</v>
      </c>
      <c r="B516" s="2">
        <v>74</v>
      </c>
      <c r="C516" s="2" t="s">
        <v>125</v>
      </c>
      <c r="D516" s="3">
        <v>0</v>
      </c>
      <c r="E516" s="1"/>
      <c r="I516" s="1" t="s">
        <v>1456</v>
      </c>
      <c r="J516" t="s">
        <v>3893</v>
      </c>
      <c r="K516" s="25">
        <f>Tabelle5[[#This Row],[value_present]]*Tabelle5[[#This Row],[binding_level]]</f>
        <v>0</v>
      </c>
    </row>
    <row r="517" spans="1:11" x14ac:dyDescent="0.25">
      <c r="A517" s="24">
        <v>13</v>
      </c>
      <c r="B517" s="2">
        <v>74</v>
      </c>
      <c r="C517" s="2" t="s">
        <v>132</v>
      </c>
      <c r="D517" s="3">
        <v>0</v>
      </c>
      <c r="E517" s="1"/>
      <c r="I517" s="1" t="s">
        <v>1456</v>
      </c>
      <c r="J517" t="s">
        <v>4177</v>
      </c>
      <c r="K517" s="25">
        <f>Tabelle5[[#This Row],[value_present]]*Tabelle5[[#This Row],[binding_level]]</f>
        <v>0</v>
      </c>
    </row>
    <row r="518" spans="1:11" x14ac:dyDescent="0.25">
      <c r="A518" s="24">
        <v>13</v>
      </c>
      <c r="B518" s="2">
        <v>74</v>
      </c>
      <c r="C518" s="2" t="s">
        <v>140</v>
      </c>
      <c r="D518" s="3">
        <v>0</v>
      </c>
      <c r="E518" s="1"/>
      <c r="I518" s="1" t="s">
        <v>1456</v>
      </c>
      <c r="J518" t="s">
        <v>4178</v>
      </c>
      <c r="K518" s="25">
        <f>Tabelle5[[#This Row],[value_present]]*Tabelle5[[#This Row],[binding_level]]</f>
        <v>0</v>
      </c>
    </row>
    <row r="519" spans="1:11" x14ac:dyDescent="0.25">
      <c r="A519" s="24">
        <v>13</v>
      </c>
      <c r="B519" s="2">
        <v>74</v>
      </c>
      <c r="C519" s="2" t="s">
        <v>147</v>
      </c>
      <c r="D519" s="3">
        <v>1</v>
      </c>
      <c r="E519" s="1">
        <v>2</v>
      </c>
      <c r="F519" t="s">
        <v>4185</v>
      </c>
      <c r="G519" t="s">
        <v>4184</v>
      </c>
      <c r="H519" t="s">
        <v>4179</v>
      </c>
      <c r="I519" s="1" t="s">
        <v>1456</v>
      </c>
      <c r="J519" t="s">
        <v>4180</v>
      </c>
      <c r="K519" s="25">
        <f>Tabelle5[[#This Row],[value_present]]*Tabelle5[[#This Row],[binding_level]]</f>
        <v>2</v>
      </c>
    </row>
    <row r="520" spans="1:11" x14ac:dyDescent="0.25">
      <c r="A520" s="24">
        <v>13</v>
      </c>
      <c r="B520" s="2">
        <v>74</v>
      </c>
      <c r="C520" s="2" t="s">
        <v>154</v>
      </c>
      <c r="D520" s="3">
        <v>0</v>
      </c>
      <c r="E520" s="1"/>
      <c r="I520" s="1" t="s">
        <v>1457</v>
      </c>
      <c r="J520" t="s">
        <v>4181</v>
      </c>
      <c r="K520" s="25">
        <f>Tabelle5[[#This Row],[value_present]]*Tabelle5[[#This Row],[binding_level]]</f>
        <v>0</v>
      </c>
    </row>
    <row r="521" spans="1:11" x14ac:dyDescent="0.25">
      <c r="A521" s="24">
        <v>13</v>
      </c>
      <c r="B521" s="2">
        <v>74</v>
      </c>
      <c r="C521" s="2" t="s">
        <v>161</v>
      </c>
      <c r="D521" s="3">
        <v>0</v>
      </c>
      <c r="E521" s="1"/>
      <c r="I521" s="1" t="s">
        <v>1457</v>
      </c>
      <c r="J521" t="s">
        <v>4182</v>
      </c>
      <c r="K521" s="25">
        <f>Tabelle5[[#This Row],[value_present]]*Tabelle5[[#This Row],[binding_level]]</f>
        <v>0</v>
      </c>
    </row>
    <row r="522" spans="1:11" x14ac:dyDescent="0.25">
      <c r="A522" s="24">
        <v>13</v>
      </c>
      <c r="B522" s="2">
        <v>74</v>
      </c>
      <c r="C522" s="2" t="s">
        <v>166</v>
      </c>
      <c r="D522" s="3">
        <v>0</v>
      </c>
      <c r="E522" s="1"/>
      <c r="I522" s="1" t="s">
        <v>1457</v>
      </c>
      <c r="J522" t="s">
        <v>4183</v>
      </c>
      <c r="K522" s="25">
        <f>Tabelle5[[#This Row],[value_present]]*Tabelle5[[#This Row],[binding_level]]</f>
        <v>0</v>
      </c>
    </row>
    <row r="523" spans="1:11" ht="15.75" thickBot="1" x14ac:dyDescent="0.3">
      <c r="A523" s="26">
        <v>13</v>
      </c>
      <c r="B523" s="27">
        <v>74</v>
      </c>
      <c r="C523" s="27" t="s">
        <v>174</v>
      </c>
      <c r="D523" s="28">
        <v>0</v>
      </c>
      <c r="E523" s="29"/>
      <c r="F523" s="30"/>
      <c r="G523" s="30"/>
      <c r="H523" s="30"/>
      <c r="I523" s="29" t="s">
        <v>1456</v>
      </c>
      <c r="J523" s="30" t="s">
        <v>3900</v>
      </c>
      <c r="K523" s="31">
        <f>Tabelle5[[#This Row],[value_present]]*Tabelle5[[#This Row],[binding_level]]</f>
        <v>0</v>
      </c>
    </row>
    <row r="524" spans="1:11" x14ac:dyDescent="0.25">
      <c r="A524" s="18">
        <v>15</v>
      </c>
      <c r="B524" s="19">
        <v>86</v>
      </c>
      <c r="C524" s="19" t="s">
        <v>53</v>
      </c>
      <c r="D524" s="20">
        <v>1</v>
      </c>
      <c r="E524" s="21">
        <v>3</v>
      </c>
      <c r="F524" t="s">
        <v>4235</v>
      </c>
      <c r="G524" t="s">
        <v>4236</v>
      </c>
      <c r="H524" s="22" t="s">
        <v>4208</v>
      </c>
      <c r="I524" s="1" t="s">
        <v>1457</v>
      </c>
      <c r="J524" s="22" t="s">
        <v>4209</v>
      </c>
      <c r="K524" s="23">
        <f>Tabelle5[[#This Row],[value_present]]*Tabelle5[[#This Row],[binding_level]]</f>
        <v>3</v>
      </c>
    </row>
    <row r="525" spans="1:11" x14ac:dyDescent="0.25">
      <c r="A525" s="24">
        <v>15</v>
      </c>
      <c r="B525" s="2">
        <v>86</v>
      </c>
      <c r="C525" s="2" t="s">
        <v>61</v>
      </c>
      <c r="D525" s="3">
        <v>1</v>
      </c>
      <c r="E525" s="1">
        <v>3</v>
      </c>
      <c r="F525" t="s">
        <v>4233</v>
      </c>
      <c r="G525" t="s">
        <v>4234</v>
      </c>
      <c r="H525" t="s">
        <v>4210</v>
      </c>
      <c r="I525" s="1" t="s">
        <v>1456</v>
      </c>
      <c r="J525" t="s">
        <v>4211</v>
      </c>
      <c r="K525" s="25">
        <f>Tabelle5[[#This Row],[value_present]]*Tabelle5[[#This Row],[binding_level]]</f>
        <v>3</v>
      </c>
    </row>
    <row r="526" spans="1:11" x14ac:dyDescent="0.25">
      <c r="A526" s="24">
        <v>15</v>
      </c>
      <c r="B526" s="2">
        <v>86</v>
      </c>
      <c r="C526" s="2" t="s">
        <v>69</v>
      </c>
      <c r="D526" s="3">
        <v>1</v>
      </c>
      <c r="E526" s="1">
        <v>3</v>
      </c>
      <c r="F526" t="s">
        <v>4239</v>
      </c>
      <c r="G526" t="s">
        <v>4238</v>
      </c>
      <c r="H526" t="s">
        <v>4212</v>
      </c>
      <c r="I526" s="1" t="s">
        <v>1457</v>
      </c>
      <c r="J526" t="s">
        <v>4213</v>
      </c>
      <c r="K526" s="25">
        <f>Tabelle5[[#This Row],[value_present]]*Tabelle5[[#This Row],[binding_level]]</f>
        <v>3</v>
      </c>
    </row>
    <row r="527" spans="1:11" x14ac:dyDescent="0.25">
      <c r="A527" s="24">
        <v>15</v>
      </c>
      <c r="B527" s="2">
        <v>86</v>
      </c>
      <c r="C527" s="2" t="s">
        <v>76</v>
      </c>
      <c r="D527" s="3">
        <v>1</v>
      </c>
      <c r="E527" s="1">
        <v>3</v>
      </c>
      <c r="F527" t="s">
        <v>4237</v>
      </c>
      <c r="G527" t="s">
        <v>1812</v>
      </c>
      <c r="H527" t="s">
        <v>4214</v>
      </c>
      <c r="I527" s="1" t="s">
        <v>1457</v>
      </c>
      <c r="J527" t="s">
        <v>4215</v>
      </c>
      <c r="K527" s="25">
        <f>Tabelle5[[#This Row],[value_present]]*Tabelle5[[#This Row],[binding_level]]</f>
        <v>3</v>
      </c>
    </row>
    <row r="528" spans="1:11" x14ac:dyDescent="0.25">
      <c r="A528" s="24">
        <v>15</v>
      </c>
      <c r="B528" s="2">
        <v>86</v>
      </c>
      <c r="C528" s="2" t="s">
        <v>83</v>
      </c>
      <c r="D528" s="3">
        <v>1</v>
      </c>
      <c r="E528" s="1">
        <v>3</v>
      </c>
      <c r="F528" t="s">
        <v>4241</v>
      </c>
      <c r="G528" t="s">
        <v>4240</v>
      </c>
      <c r="H528" t="s">
        <v>4216</v>
      </c>
      <c r="I528" s="1"/>
      <c r="J528" t="s">
        <v>4217</v>
      </c>
      <c r="K528" s="25">
        <f>Tabelle5[[#This Row],[value_present]]*Tabelle5[[#This Row],[binding_level]]</f>
        <v>3</v>
      </c>
    </row>
    <row r="529" spans="1:11" x14ac:dyDescent="0.25">
      <c r="A529" s="24">
        <v>15</v>
      </c>
      <c r="B529" s="2">
        <v>86</v>
      </c>
      <c r="C529" s="2" t="s">
        <v>90</v>
      </c>
      <c r="D529" s="3">
        <v>1</v>
      </c>
      <c r="E529" s="1">
        <v>3</v>
      </c>
      <c r="F529" t="s">
        <v>4243</v>
      </c>
      <c r="G529" t="s">
        <v>4242</v>
      </c>
      <c r="H529" t="s">
        <v>4218</v>
      </c>
      <c r="I529" s="1" t="s">
        <v>1456</v>
      </c>
      <c r="J529" t="s">
        <v>4219</v>
      </c>
      <c r="K529" s="25">
        <f>Tabelle5[[#This Row],[value_present]]*Tabelle5[[#This Row],[binding_level]]</f>
        <v>3</v>
      </c>
    </row>
    <row r="530" spans="1:11" x14ac:dyDescent="0.25">
      <c r="A530" s="24">
        <v>15</v>
      </c>
      <c r="B530" s="2">
        <v>86</v>
      </c>
      <c r="C530" s="2" t="s">
        <v>98</v>
      </c>
      <c r="D530" s="3">
        <v>1</v>
      </c>
      <c r="E530" s="1">
        <v>3</v>
      </c>
      <c r="F530" t="s">
        <v>4245</v>
      </c>
      <c r="G530" t="s">
        <v>4244</v>
      </c>
      <c r="H530" t="s">
        <v>4220</v>
      </c>
      <c r="I530" s="1" t="s">
        <v>1456</v>
      </c>
      <c r="J530" t="s">
        <v>4221</v>
      </c>
      <c r="K530" s="25">
        <f>Tabelle5[[#This Row],[value_present]]*Tabelle5[[#This Row],[binding_level]]</f>
        <v>3</v>
      </c>
    </row>
    <row r="531" spans="1:11" x14ac:dyDescent="0.25">
      <c r="A531" s="24">
        <v>15</v>
      </c>
      <c r="B531" s="2">
        <v>86</v>
      </c>
      <c r="C531" s="2" t="s">
        <v>106</v>
      </c>
      <c r="D531" s="3">
        <v>1</v>
      </c>
      <c r="E531" s="1">
        <v>3</v>
      </c>
      <c r="F531" t="s">
        <v>4247</v>
      </c>
      <c r="G531" t="s">
        <v>4246</v>
      </c>
      <c r="H531" t="s">
        <v>4216</v>
      </c>
      <c r="I531" s="1" t="s">
        <v>1456</v>
      </c>
      <c r="J531" t="s">
        <v>4222</v>
      </c>
      <c r="K531" s="25">
        <f>Tabelle5[[#This Row],[value_present]]*Tabelle5[[#This Row],[binding_level]]</f>
        <v>3</v>
      </c>
    </row>
    <row r="532" spans="1:11" x14ac:dyDescent="0.25">
      <c r="A532" s="24">
        <v>15</v>
      </c>
      <c r="B532" s="2">
        <v>86</v>
      </c>
      <c r="C532" s="2" t="s">
        <v>112</v>
      </c>
      <c r="D532" s="3">
        <v>1</v>
      </c>
      <c r="E532" s="1">
        <v>3</v>
      </c>
      <c r="F532" t="s">
        <v>4249</v>
      </c>
      <c r="G532" t="s">
        <v>4248</v>
      </c>
      <c r="H532" t="s">
        <v>4223</v>
      </c>
      <c r="I532" s="1" t="s">
        <v>1456</v>
      </c>
      <c r="J532" t="s">
        <v>4224</v>
      </c>
      <c r="K532" s="25">
        <f>Tabelle5[[#This Row],[value_present]]*Tabelle5[[#This Row],[binding_level]]</f>
        <v>3</v>
      </c>
    </row>
    <row r="533" spans="1:11" x14ac:dyDescent="0.25">
      <c r="A533" s="24">
        <v>15</v>
      </c>
      <c r="B533" s="2">
        <v>86</v>
      </c>
      <c r="C533" s="2" t="s">
        <v>118</v>
      </c>
      <c r="D533" s="3">
        <v>0</v>
      </c>
      <c r="E533" s="1"/>
      <c r="I533" s="1" t="s">
        <v>1456</v>
      </c>
      <c r="K533" s="25">
        <f>Tabelle5[[#This Row],[value_present]]*Tabelle5[[#This Row],[binding_level]]</f>
        <v>0</v>
      </c>
    </row>
    <row r="534" spans="1:11" x14ac:dyDescent="0.25">
      <c r="A534" s="24">
        <v>15</v>
      </c>
      <c r="B534" s="2">
        <v>86</v>
      </c>
      <c r="C534" s="2" t="s">
        <v>125</v>
      </c>
      <c r="D534" s="3">
        <v>0</v>
      </c>
      <c r="E534" s="1"/>
      <c r="I534" s="1" t="s">
        <v>1456</v>
      </c>
      <c r="K534" s="25">
        <f>Tabelle5[[#This Row],[value_present]]*Tabelle5[[#This Row],[binding_level]]</f>
        <v>0</v>
      </c>
    </row>
    <row r="535" spans="1:11" x14ac:dyDescent="0.25">
      <c r="A535" s="24">
        <v>15</v>
      </c>
      <c r="B535" s="2">
        <v>86</v>
      </c>
      <c r="C535" s="2" t="s">
        <v>132</v>
      </c>
      <c r="D535" s="3">
        <v>0</v>
      </c>
      <c r="E535" s="1"/>
      <c r="I535" s="1" t="s">
        <v>1456</v>
      </c>
      <c r="K535" s="25">
        <f>Tabelle5[[#This Row],[value_present]]*Tabelle5[[#This Row],[binding_level]]</f>
        <v>0</v>
      </c>
    </row>
    <row r="536" spans="1:11" x14ac:dyDescent="0.25">
      <c r="A536" s="24">
        <v>15</v>
      </c>
      <c r="B536" s="2">
        <v>86</v>
      </c>
      <c r="C536" s="2" t="s">
        <v>140</v>
      </c>
      <c r="D536" s="3">
        <v>1</v>
      </c>
      <c r="E536" s="1">
        <v>2</v>
      </c>
      <c r="F536" t="s">
        <v>4251</v>
      </c>
      <c r="G536" t="s">
        <v>4250</v>
      </c>
      <c r="H536" t="s">
        <v>4225</v>
      </c>
      <c r="I536" s="1" t="s">
        <v>1457</v>
      </c>
      <c r="J536" t="s">
        <v>4226</v>
      </c>
      <c r="K536" s="25">
        <f>Tabelle5[[#This Row],[value_present]]*Tabelle5[[#This Row],[binding_level]]</f>
        <v>2</v>
      </c>
    </row>
    <row r="537" spans="1:11" x14ac:dyDescent="0.25">
      <c r="A537" s="24">
        <v>15</v>
      </c>
      <c r="B537" s="2">
        <v>86</v>
      </c>
      <c r="C537" s="2" t="s">
        <v>147</v>
      </c>
      <c r="D537" s="3">
        <v>1</v>
      </c>
      <c r="E537" s="1">
        <v>2</v>
      </c>
      <c r="F537" t="s">
        <v>4253</v>
      </c>
      <c r="G537" t="s">
        <v>4252</v>
      </c>
      <c r="H537" t="s">
        <v>4227</v>
      </c>
      <c r="I537" s="1" t="s">
        <v>1456</v>
      </c>
      <c r="J537" t="s">
        <v>4228</v>
      </c>
      <c r="K537" s="25">
        <f>Tabelle5[[#This Row],[value_present]]*Tabelle5[[#This Row],[binding_level]]</f>
        <v>2</v>
      </c>
    </row>
    <row r="538" spans="1:11" x14ac:dyDescent="0.25">
      <c r="A538" s="24">
        <v>15</v>
      </c>
      <c r="B538" s="2">
        <v>86</v>
      </c>
      <c r="C538" s="2" t="s">
        <v>154</v>
      </c>
      <c r="D538" s="3">
        <v>1</v>
      </c>
      <c r="E538" s="1">
        <v>2</v>
      </c>
      <c r="F538" t="s">
        <v>4254</v>
      </c>
      <c r="G538" t="s">
        <v>4255</v>
      </c>
      <c r="H538" t="s">
        <v>4229</v>
      </c>
      <c r="I538" s="1" t="s">
        <v>1456</v>
      </c>
      <c r="J538" t="s">
        <v>4230</v>
      </c>
      <c r="K538" s="25">
        <f>Tabelle5[[#This Row],[value_present]]*Tabelle5[[#This Row],[binding_level]]</f>
        <v>2</v>
      </c>
    </row>
    <row r="539" spans="1:11" x14ac:dyDescent="0.25">
      <c r="A539" s="24">
        <v>15</v>
      </c>
      <c r="B539" s="2">
        <v>86</v>
      </c>
      <c r="C539" s="2" t="s">
        <v>161</v>
      </c>
      <c r="D539" s="3">
        <v>1</v>
      </c>
      <c r="E539" s="1">
        <v>3</v>
      </c>
      <c r="F539" t="s">
        <v>4257</v>
      </c>
      <c r="G539" t="s">
        <v>4256</v>
      </c>
      <c r="H539" t="s">
        <v>4231</v>
      </c>
      <c r="I539" s="1" t="s">
        <v>1456</v>
      </c>
      <c r="J539" t="s">
        <v>4232</v>
      </c>
      <c r="K539" s="25">
        <f>Tabelle5[[#This Row],[value_present]]*Tabelle5[[#This Row],[binding_level]]</f>
        <v>3</v>
      </c>
    </row>
    <row r="540" spans="1:11" x14ac:dyDescent="0.25">
      <c r="A540" s="24">
        <v>15</v>
      </c>
      <c r="B540" s="2">
        <v>86</v>
      </c>
      <c r="C540" s="2" t="s">
        <v>166</v>
      </c>
      <c r="D540" s="3">
        <v>0</v>
      </c>
      <c r="E540" s="1"/>
      <c r="I540" s="1" t="s">
        <v>1457</v>
      </c>
      <c r="K540" s="25">
        <f>Tabelle5[[#This Row],[value_present]]*Tabelle5[[#This Row],[binding_level]]</f>
        <v>0</v>
      </c>
    </row>
    <row r="541" spans="1:11" ht="15.75" thickBot="1" x14ac:dyDescent="0.3">
      <c r="A541" s="26">
        <v>15</v>
      </c>
      <c r="B541" s="27">
        <v>86</v>
      </c>
      <c r="C541" s="27" t="s">
        <v>174</v>
      </c>
      <c r="D541" s="28">
        <v>0</v>
      </c>
      <c r="E541" s="29"/>
      <c r="F541" s="30"/>
      <c r="G541" s="30"/>
      <c r="H541" s="30"/>
      <c r="I541" s="29" t="s">
        <v>1456</v>
      </c>
      <c r="J541" s="30"/>
      <c r="K541" s="31">
        <f>Tabelle5[[#This Row],[value_present]]*Tabelle5[[#This Row],[binding_level]]</f>
        <v>0</v>
      </c>
    </row>
    <row r="542" spans="1:11" x14ac:dyDescent="0.25">
      <c r="A542" s="18">
        <v>15</v>
      </c>
      <c r="B542" s="19">
        <v>88</v>
      </c>
      <c r="C542" s="19" t="s">
        <v>53</v>
      </c>
      <c r="D542" s="20">
        <v>0</v>
      </c>
      <c r="E542" s="21"/>
      <c r="F542" s="22"/>
      <c r="G542" s="22"/>
      <c r="H542" s="22"/>
      <c r="I542" s="21" t="s">
        <v>1456</v>
      </c>
      <c r="J542" s="22" t="s">
        <v>4167</v>
      </c>
      <c r="K542" s="23">
        <f>Tabelle5[[#This Row],[value_present]]*Tabelle5[[#This Row],[binding_level]]</f>
        <v>0</v>
      </c>
    </row>
    <row r="543" spans="1:11" x14ac:dyDescent="0.25">
      <c r="A543" s="24">
        <v>15</v>
      </c>
      <c r="B543" s="2">
        <v>88</v>
      </c>
      <c r="C543" s="2" t="s">
        <v>61</v>
      </c>
      <c r="D543" s="3">
        <v>1</v>
      </c>
      <c r="E543" s="1">
        <v>1</v>
      </c>
      <c r="F543" t="s">
        <v>4303</v>
      </c>
      <c r="G543" t="s">
        <v>4304</v>
      </c>
      <c r="H543" t="s">
        <v>4288</v>
      </c>
      <c r="I543" s="1" t="s">
        <v>1457</v>
      </c>
      <c r="J543" t="s">
        <v>4289</v>
      </c>
      <c r="K543" s="25">
        <f>Tabelle5[[#This Row],[value_present]]*Tabelle5[[#This Row],[binding_level]]</f>
        <v>1</v>
      </c>
    </row>
    <row r="544" spans="1:11" x14ac:dyDescent="0.25">
      <c r="A544" s="24">
        <v>15</v>
      </c>
      <c r="B544" s="2">
        <v>88</v>
      </c>
      <c r="C544" s="2" t="s">
        <v>69</v>
      </c>
      <c r="D544" s="3">
        <v>0</v>
      </c>
      <c r="E544" s="1"/>
      <c r="I544" s="1" t="s">
        <v>1457</v>
      </c>
      <c r="J544" t="s">
        <v>4290</v>
      </c>
      <c r="K544" s="25">
        <f>Tabelle5[[#This Row],[value_present]]*Tabelle5[[#This Row],[binding_level]]</f>
        <v>0</v>
      </c>
    </row>
    <row r="545" spans="1:11" x14ac:dyDescent="0.25">
      <c r="A545" s="24">
        <v>15</v>
      </c>
      <c r="B545" s="2">
        <v>88</v>
      </c>
      <c r="C545" s="2" t="s">
        <v>76</v>
      </c>
      <c r="D545" s="3">
        <v>0</v>
      </c>
      <c r="E545" s="1"/>
      <c r="I545" s="1" t="s">
        <v>1456</v>
      </c>
      <c r="J545" t="s">
        <v>4291</v>
      </c>
      <c r="K545" s="25">
        <f>Tabelle5[[#This Row],[value_present]]*Tabelle5[[#This Row],[binding_level]]</f>
        <v>0</v>
      </c>
    </row>
    <row r="546" spans="1:11" x14ac:dyDescent="0.25">
      <c r="A546" s="24">
        <v>15</v>
      </c>
      <c r="B546" s="2">
        <v>88</v>
      </c>
      <c r="C546" s="2" t="s">
        <v>83</v>
      </c>
      <c r="D546" s="3">
        <v>0</v>
      </c>
      <c r="E546" s="1"/>
      <c r="I546" s="1" t="s">
        <v>1456</v>
      </c>
      <c r="J546" t="s">
        <v>4292</v>
      </c>
      <c r="K546" s="25">
        <f>Tabelle5[[#This Row],[value_present]]*Tabelle5[[#This Row],[binding_level]]</f>
        <v>0</v>
      </c>
    </row>
    <row r="547" spans="1:11" x14ac:dyDescent="0.25">
      <c r="A547" s="24">
        <v>15</v>
      </c>
      <c r="B547" s="2">
        <v>88</v>
      </c>
      <c r="C547" s="2" t="s">
        <v>90</v>
      </c>
      <c r="D547" s="3">
        <v>0</v>
      </c>
      <c r="E547" s="1"/>
      <c r="I547" s="1" t="s">
        <v>1456</v>
      </c>
      <c r="J547" t="s">
        <v>4293</v>
      </c>
      <c r="K547" s="25">
        <f>Tabelle5[[#This Row],[value_present]]*Tabelle5[[#This Row],[binding_level]]</f>
        <v>0</v>
      </c>
    </row>
    <row r="548" spans="1:11" x14ac:dyDescent="0.25">
      <c r="A548" s="24">
        <v>15</v>
      </c>
      <c r="B548" s="2">
        <v>88</v>
      </c>
      <c r="C548" s="2" t="s">
        <v>98</v>
      </c>
      <c r="D548" s="3">
        <v>0</v>
      </c>
      <c r="E548" s="1"/>
      <c r="I548" s="1" t="s">
        <v>1456</v>
      </c>
      <c r="J548" t="s">
        <v>4294</v>
      </c>
      <c r="K548" s="25">
        <f>Tabelle5[[#This Row],[value_present]]*Tabelle5[[#This Row],[binding_level]]</f>
        <v>0</v>
      </c>
    </row>
    <row r="549" spans="1:11" x14ac:dyDescent="0.25">
      <c r="A549" s="24">
        <v>15</v>
      </c>
      <c r="B549" s="2">
        <v>88</v>
      </c>
      <c r="C549" s="2" t="s">
        <v>106</v>
      </c>
      <c r="D549" s="3">
        <v>0</v>
      </c>
      <c r="E549" s="1"/>
      <c r="I549" s="1" t="s">
        <v>1457</v>
      </c>
      <c r="J549" t="s">
        <v>4295</v>
      </c>
      <c r="K549" s="25">
        <f>Tabelle5[[#This Row],[value_present]]*Tabelle5[[#This Row],[binding_level]]</f>
        <v>0</v>
      </c>
    </row>
    <row r="550" spans="1:11" x14ac:dyDescent="0.25">
      <c r="A550" s="24">
        <v>15</v>
      </c>
      <c r="B550" s="2">
        <v>88</v>
      </c>
      <c r="C550" s="2" t="s">
        <v>112</v>
      </c>
      <c r="D550" s="3">
        <v>0</v>
      </c>
      <c r="E550" s="1"/>
      <c r="I550" s="1" t="s">
        <v>1457</v>
      </c>
      <c r="J550" t="s">
        <v>4296</v>
      </c>
      <c r="K550" s="25">
        <f>Tabelle5[[#This Row],[value_present]]*Tabelle5[[#This Row],[binding_level]]</f>
        <v>0</v>
      </c>
    </row>
    <row r="551" spans="1:11" x14ac:dyDescent="0.25">
      <c r="A551" s="24">
        <v>15</v>
      </c>
      <c r="B551" s="2">
        <v>88</v>
      </c>
      <c r="C551" s="2" t="s">
        <v>118</v>
      </c>
      <c r="D551" s="3">
        <v>0</v>
      </c>
      <c r="E551" s="1"/>
      <c r="I551" s="1" t="s">
        <v>1456</v>
      </c>
      <c r="J551" t="s">
        <v>4176</v>
      </c>
      <c r="K551" s="25">
        <f>Tabelle5[[#This Row],[value_present]]*Tabelle5[[#This Row],[binding_level]]</f>
        <v>0</v>
      </c>
    </row>
    <row r="552" spans="1:11" x14ac:dyDescent="0.25">
      <c r="A552" s="24">
        <v>15</v>
      </c>
      <c r="B552" s="2">
        <v>88</v>
      </c>
      <c r="C552" s="2" t="s">
        <v>125</v>
      </c>
      <c r="D552" s="3">
        <v>0</v>
      </c>
      <c r="E552" s="1"/>
      <c r="I552" s="1" t="s">
        <v>1456</v>
      </c>
      <c r="J552" t="s">
        <v>4118</v>
      </c>
      <c r="K552" s="25">
        <f>Tabelle5[[#This Row],[value_present]]*Tabelle5[[#This Row],[binding_level]]</f>
        <v>0</v>
      </c>
    </row>
    <row r="553" spans="1:11" x14ac:dyDescent="0.25">
      <c r="A553" s="24">
        <v>15</v>
      </c>
      <c r="B553" s="2">
        <v>88</v>
      </c>
      <c r="C553" s="2" t="s">
        <v>132</v>
      </c>
      <c r="D553" s="3">
        <v>1</v>
      </c>
      <c r="E553" s="1">
        <v>1</v>
      </c>
      <c r="F553" t="s">
        <v>4306</v>
      </c>
      <c r="G553" t="s">
        <v>4305</v>
      </c>
      <c r="H553" t="s">
        <v>2700</v>
      </c>
      <c r="I553" s="1" t="s">
        <v>1456</v>
      </c>
      <c r="J553" t="s">
        <v>4297</v>
      </c>
      <c r="K553" s="25">
        <f>Tabelle5[[#This Row],[value_present]]*Tabelle5[[#This Row],[binding_level]]</f>
        <v>1</v>
      </c>
    </row>
    <row r="554" spans="1:11" x14ac:dyDescent="0.25">
      <c r="A554" s="24">
        <v>15</v>
      </c>
      <c r="B554" s="2">
        <v>88</v>
      </c>
      <c r="C554" s="2" t="s">
        <v>140</v>
      </c>
      <c r="D554" s="3">
        <v>0</v>
      </c>
      <c r="E554" s="1"/>
      <c r="I554" s="1" t="s">
        <v>1457</v>
      </c>
      <c r="J554" t="s">
        <v>4298</v>
      </c>
      <c r="K554" s="25">
        <f>Tabelle5[[#This Row],[value_present]]*Tabelle5[[#This Row],[binding_level]]</f>
        <v>0</v>
      </c>
    </row>
    <row r="555" spans="1:11" x14ac:dyDescent="0.25">
      <c r="A555" s="24">
        <v>15</v>
      </c>
      <c r="B555" s="2">
        <v>88</v>
      </c>
      <c r="C555" s="2" t="s">
        <v>147</v>
      </c>
      <c r="D555" s="3">
        <v>0</v>
      </c>
      <c r="E555" s="1"/>
      <c r="I555" s="1" t="s">
        <v>1456</v>
      </c>
      <c r="J555" t="s">
        <v>4299</v>
      </c>
      <c r="K555" s="25">
        <f>Tabelle5[[#This Row],[value_present]]*Tabelle5[[#This Row],[binding_level]]</f>
        <v>0</v>
      </c>
    </row>
    <row r="556" spans="1:11" x14ac:dyDescent="0.25">
      <c r="A556" s="24">
        <v>15</v>
      </c>
      <c r="B556" s="2">
        <v>88</v>
      </c>
      <c r="C556" s="2" t="s">
        <v>154</v>
      </c>
      <c r="D556" s="3">
        <v>0</v>
      </c>
      <c r="E556" s="1"/>
      <c r="I556" s="1" t="s">
        <v>1457</v>
      </c>
      <c r="J556" t="s">
        <v>4300</v>
      </c>
      <c r="K556" s="25">
        <f>Tabelle5[[#This Row],[value_present]]*Tabelle5[[#This Row],[binding_level]]</f>
        <v>0</v>
      </c>
    </row>
    <row r="557" spans="1:11" x14ac:dyDescent="0.25">
      <c r="A557" s="24">
        <v>15</v>
      </c>
      <c r="B557" s="2">
        <v>88</v>
      </c>
      <c r="C557" s="2" t="s">
        <v>161</v>
      </c>
      <c r="D557" s="3">
        <v>0</v>
      </c>
      <c r="E557" s="1"/>
      <c r="I557" s="1" t="s">
        <v>1456</v>
      </c>
      <c r="J557" t="s">
        <v>4301</v>
      </c>
      <c r="K557" s="25">
        <f>Tabelle5[[#This Row],[value_present]]*Tabelle5[[#This Row],[binding_level]]</f>
        <v>0</v>
      </c>
    </row>
    <row r="558" spans="1:11" x14ac:dyDescent="0.25">
      <c r="A558" s="24">
        <v>15</v>
      </c>
      <c r="B558" s="2">
        <v>88</v>
      </c>
      <c r="C558" s="2" t="s">
        <v>166</v>
      </c>
      <c r="D558" s="3">
        <v>0</v>
      </c>
      <c r="E558" s="1"/>
      <c r="I558" s="1" t="s">
        <v>1456</v>
      </c>
      <c r="J558" t="s">
        <v>4302</v>
      </c>
      <c r="K558" s="25">
        <f>Tabelle5[[#This Row],[value_present]]*Tabelle5[[#This Row],[binding_level]]</f>
        <v>0</v>
      </c>
    </row>
    <row r="559" spans="1:11" ht="15.75" thickBot="1" x14ac:dyDescent="0.3">
      <c r="A559" s="26">
        <v>15</v>
      </c>
      <c r="B559" s="27">
        <v>88</v>
      </c>
      <c r="C559" s="27" t="s">
        <v>174</v>
      </c>
      <c r="D559" s="28">
        <v>0</v>
      </c>
      <c r="E559" s="29"/>
      <c r="F559" s="30"/>
      <c r="G559" s="30"/>
      <c r="H559" s="30"/>
      <c r="I559" s="29" t="s">
        <v>1456</v>
      </c>
      <c r="J559" s="30" t="s">
        <v>4127</v>
      </c>
      <c r="K559" s="31">
        <f>Tabelle5[[#This Row],[value_present]]*Tabelle5[[#This Row],[binding_level]]</f>
        <v>0</v>
      </c>
    </row>
    <row r="560" spans="1:11" x14ac:dyDescent="0.25">
      <c r="A560" s="18">
        <v>15</v>
      </c>
      <c r="B560" s="19">
        <v>90</v>
      </c>
      <c r="C560" s="19" t="s">
        <v>53</v>
      </c>
      <c r="D560" s="20">
        <v>1</v>
      </c>
      <c r="E560" s="21">
        <v>3</v>
      </c>
      <c r="F560" t="s">
        <v>4353</v>
      </c>
      <c r="G560" t="s">
        <v>4354</v>
      </c>
      <c r="H560" s="22" t="s">
        <v>4334</v>
      </c>
      <c r="I560" s="21" t="s">
        <v>1456</v>
      </c>
      <c r="J560" s="22" t="s">
        <v>4335</v>
      </c>
      <c r="K560" s="23">
        <f>Tabelle5[[#This Row],[value_present]]*Tabelle5[[#This Row],[binding_level]]</f>
        <v>3</v>
      </c>
    </row>
    <row r="561" spans="1:11" x14ac:dyDescent="0.25">
      <c r="A561" s="24">
        <v>15</v>
      </c>
      <c r="B561" s="2">
        <v>90</v>
      </c>
      <c r="C561" s="2" t="s">
        <v>61</v>
      </c>
      <c r="D561" s="3">
        <v>1</v>
      </c>
      <c r="E561" s="1">
        <v>3</v>
      </c>
      <c r="F561" t="s">
        <v>4355</v>
      </c>
      <c r="G561" t="s">
        <v>4356</v>
      </c>
      <c r="H561" t="s">
        <v>4334</v>
      </c>
      <c r="I561" s="1" t="s">
        <v>1456</v>
      </c>
      <c r="J561" t="s">
        <v>4336</v>
      </c>
      <c r="K561" s="25">
        <f>Tabelle5[[#This Row],[value_present]]*Tabelle5[[#This Row],[binding_level]]</f>
        <v>3</v>
      </c>
    </row>
    <row r="562" spans="1:11" x14ac:dyDescent="0.25">
      <c r="A562" s="24">
        <v>15</v>
      </c>
      <c r="B562" s="2">
        <v>90</v>
      </c>
      <c r="C562" s="2" t="s">
        <v>69</v>
      </c>
      <c r="D562" s="3">
        <v>1</v>
      </c>
      <c r="E562" s="1">
        <v>3</v>
      </c>
      <c r="F562" t="s">
        <v>4370</v>
      </c>
      <c r="G562" t="s">
        <v>4369</v>
      </c>
      <c r="H562" t="s">
        <v>4334</v>
      </c>
      <c r="I562" s="1" t="s">
        <v>1456</v>
      </c>
      <c r="J562" t="s">
        <v>4337</v>
      </c>
      <c r="K562" s="25">
        <f>Tabelle5[[#This Row],[value_present]]*Tabelle5[[#This Row],[binding_level]]</f>
        <v>3</v>
      </c>
    </row>
    <row r="563" spans="1:11" x14ac:dyDescent="0.25">
      <c r="A563" s="24">
        <v>15</v>
      </c>
      <c r="B563" s="2">
        <v>90</v>
      </c>
      <c r="C563" s="2" t="s">
        <v>76</v>
      </c>
      <c r="D563" s="3">
        <v>1</v>
      </c>
      <c r="E563" s="1">
        <v>3</v>
      </c>
      <c r="F563" t="s">
        <v>4357</v>
      </c>
      <c r="G563" t="s">
        <v>4368</v>
      </c>
      <c r="H563" t="s">
        <v>4334</v>
      </c>
      <c r="I563" s="1" t="s">
        <v>1456</v>
      </c>
      <c r="J563" t="s">
        <v>4338</v>
      </c>
      <c r="K563" s="25">
        <f>Tabelle5[[#This Row],[value_present]]*Tabelle5[[#This Row],[binding_level]]</f>
        <v>3</v>
      </c>
    </row>
    <row r="564" spans="1:11" x14ac:dyDescent="0.25">
      <c r="A564" s="24">
        <v>15</v>
      </c>
      <c r="B564" s="2">
        <v>90</v>
      </c>
      <c r="C564" s="2" t="s">
        <v>83</v>
      </c>
      <c r="D564" s="3">
        <v>1</v>
      </c>
      <c r="E564" s="1">
        <v>2</v>
      </c>
      <c r="F564" t="s">
        <v>4358</v>
      </c>
      <c r="G564" t="s">
        <v>4359</v>
      </c>
      <c r="H564" t="s">
        <v>4334</v>
      </c>
      <c r="I564" s="1" t="s">
        <v>1456</v>
      </c>
      <c r="J564" t="s">
        <v>4339</v>
      </c>
      <c r="K564" s="25">
        <f>Tabelle5[[#This Row],[value_present]]*Tabelle5[[#This Row],[binding_level]]</f>
        <v>2</v>
      </c>
    </row>
    <row r="565" spans="1:11" x14ac:dyDescent="0.25">
      <c r="A565" s="24">
        <v>15</v>
      </c>
      <c r="B565" s="2">
        <v>90</v>
      </c>
      <c r="C565" s="2" t="s">
        <v>90</v>
      </c>
      <c r="D565" s="3">
        <v>1</v>
      </c>
      <c r="E565" s="1">
        <v>3</v>
      </c>
      <c r="F565" t="s">
        <v>4372</v>
      </c>
      <c r="G565" t="s">
        <v>4371</v>
      </c>
      <c r="H565" t="s">
        <v>4334</v>
      </c>
      <c r="I565" s="1" t="s">
        <v>1456</v>
      </c>
      <c r="J565" t="s">
        <v>4340</v>
      </c>
      <c r="K565" s="25">
        <f>Tabelle5[[#This Row],[value_present]]*Tabelle5[[#This Row],[binding_level]]</f>
        <v>3</v>
      </c>
    </row>
    <row r="566" spans="1:11" x14ac:dyDescent="0.25">
      <c r="A566" s="24">
        <v>15</v>
      </c>
      <c r="B566" s="2">
        <v>90</v>
      </c>
      <c r="C566" s="2" t="s">
        <v>98</v>
      </c>
      <c r="D566" s="3">
        <v>1</v>
      </c>
      <c r="E566" s="1">
        <v>2</v>
      </c>
      <c r="F566" t="s">
        <v>4360</v>
      </c>
      <c r="G566" t="s">
        <v>4361</v>
      </c>
      <c r="H566" t="s">
        <v>4334</v>
      </c>
      <c r="I566" s="1" t="s">
        <v>1457</v>
      </c>
      <c r="J566" t="s">
        <v>4341</v>
      </c>
      <c r="K566" s="25">
        <f>Tabelle5[[#This Row],[value_present]]*Tabelle5[[#This Row],[binding_level]]</f>
        <v>2</v>
      </c>
    </row>
    <row r="567" spans="1:11" x14ac:dyDescent="0.25">
      <c r="A567" s="24">
        <v>15</v>
      </c>
      <c r="B567" s="2">
        <v>90</v>
      </c>
      <c r="C567" s="2" t="s">
        <v>106</v>
      </c>
      <c r="D567" s="3">
        <v>0</v>
      </c>
      <c r="E567" s="1"/>
      <c r="I567" s="1" t="s">
        <v>1456</v>
      </c>
      <c r="J567" t="s">
        <v>4342</v>
      </c>
      <c r="K567" s="25">
        <f>Tabelle5[[#This Row],[value_present]]*Tabelle5[[#This Row],[binding_level]]</f>
        <v>0</v>
      </c>
    </row>
    <row r="568" spans="1:11" x14ac:dyDescent="0.25">
      <c r="A568" s="24">
        <v>15</v>
      </c>
      <c r="B568" s="2">
        <v>90</v>
      </c>
      <c r="C568" s="2" t="s">
        <v>112</v>
      </c>
      <c r="D568" s="3">
        <v>0</v>
      </c>
      <c r="E568" s="1"/>
      <c r="I568" s="1" t="s">
        <v>1456</v>
      </c>
      <c r="J568" t="s">
        <v>4343</v>
      </c>
      <c r="K568" s="25">
        <f>Tabelle5[[#This Row],[value_present]]*Tabelle5[[#This Row],[binding_level]]</f>
        <v>0</v>
      </c>
    </row>
    <row r="569" spans="1:11" x14ac:dyDescent="0.25">
      <c r="A569" s="24">
        <v>15</v>
      </c>
      <c r="B569" s="2">
        <v>90</v>
      </c>
      <c r="C569" s="2" t="s">
        <v>118</v>
      </c>
      <c r="D569" s="3">
        <v>0</v>
      </c>
      <c r="E569" s="1"/>
      <c r="I569" s="1" t="s">
        <v>1456</v>
      </c>
      <c r="J569" t="s">
        <v>4344</v>
      </c>
      <c r="K569" s="25">
        <f>Tabelle5[[#This Row],[value_present]]*Tabelle5[[#This Row],[binding_level]]</f>
        <v>0</v>
      </c>
    </row>
    <row r="570" spans="1:11" x14ac:dyDescent="0.25">
      <c r="A570" s="24">
        <v>15</v>
      </c>
      <c r="B570" s="2">
        <v>90</v>
      </c>
      <c r="C570" s="2" t="s">
        <v>125</v>
      </c>
      <c r="D570" s="3">
        <v>1</v>
      </c>
      <c r="E570" s="1">
        <v>2</v>
      </c>
      <c r="F570" t="s">
        <v>4362</v>
      </c>
      <c r="G570" t="s">
        <v>4363</v>
      </c>
      <c r="H570" t="s">
        <v>4334</v>
      </c>
      <c r="I570" s="1" t="s">
        <v>1456</v>
      </c>
      <c r="J570" t="s">
        <v>4345</v>
      </c>
      <c r="K570" s="25">
        <f>Tabelle5[[#This Row],[value_present]]*Tabelle5[[#This Row],[binding_level]]</f>
        <v>2</v>
      </c>
    </row>
    <row r="571" spans="1:11" x14ac:dyDescent="0.25">
      <c r="A571" s="24">
        <v>15</v>
      </c>
      <c r="B571" s="2">
        <v>90</v>
      </c>
      <c r="C571" s="2" t="s">
        <v>132</v>
      </c>
      <c r="D571" s="3">
        <v>0</v>
      </c>
      <c r="E571" s="1"/>
      <c r="I571" s="1" t="s">
        <v>1456</v>
      </c>
      <c r="J571" t="s">
        <v>4346</v>
      </c>
      <c r="K571" s="25">
        <f>Tabelle5[[#This Row],[value_present]]*Tabelle5[[#This Row],[binding_level]]</f>
        <v>0</v>
      </c>
    </row>
    <row r="572" spans="1:11" x14ac:dyDescent="0.25">
      <c r="A572" s="24">
        <v>15</v>
      </c>
      <c r="B572" s="2">
        <v>90</v>
      </c>
      <c r="C572" s="2" t="s">
        <v>140</v>
      </c>
      <c r="D572" s="3">
        <v>0</v>
      </c>
      <c r="E572" s="1"/>
      <c r="I572" s="1" t="s">
        <v>1456</v>
      </c>
      <c r="J572" t="s">
        <v>4347</v>
      </c>
      <c r="K572" s="25">
        <f>Tabelle5[[#This Row],[value_present]]*Tabelle5[[#This Row],[binding_level]]</f>
        <v>0</v>
      </c>
    </row>
    <row r="573" spans="1:11" x14ac:dyDescent="0.25">
      <c r="A573" s="24">
        <v>15</v>
      </c>
      <c r="B573" s="2">
        <v>90</v>
      </c>
      <c r="C573" s="2" t="s">
        <v>147</v>
      </c>
      <c r="D573" s="3">
        <v>1</v>
      </c>
      <c r="E573" s="1">
        <v>2</v>
      </c>
      <c r="F573" t="s">
        <v>4364</v>
      </c>
      <c r="G573" t="s">
        <v>4365</v>
      </c>
      <c r="H573" t="s">
        <v>4334</v>
      </c>
      <c r="I573" s="1" t="s">
        <v>1456</v>
      </c>
      <c r="J573" t="s">
        <v>4348</v>
      </c>
      <c r="K573" s="25">
        <f>Tabelle5[[#This Row],[value_present]]*Tabelle5[[#This Row],[binding_level]]</f>
        <v>2</v>
      </c>
    </row>
    <row r="574" spans="1:11" x14ac:dyDescent="0.25">
      <c r="A574" s="24">
        <v>15</v>
      </c>
      <c r="B574" s="2">
        <v>90</v>
      </c>
      <c r="C574" s="2" t="s">
        <v>154</v>
      </c>
      <c r="D574" s="3">
        <v>1</v>
      </c>
      <c r="E574" s="1">
        <v>2</v>
      </c>
      <c r="F574" t="s">
        <v>4366</v>
      </c>
      <c r="G574" t="s">
        <v>4367</v>
      </c>
      <c r="H574" t="s">
        <v>4334</v>
      </c>
      <c r="I574" s="1" t="s">
        <v>1457</v>
      </c>
      <c r="J574" t="s">
        <v>4349</v>
      </c>
      <c r="K574" s="25">
        <f>Tabelle5[[#This Row],[value_present]]*Tabelle5[[#This Row],[binding_level]]</f>
        <v>2</v>
      </c>
    </row>
    <row r="575" spans="1:11" x14ac:dyDescent="0.25">
      <c r="A575" s="24">
        <v>15</v>
      </c>
      <c r="B575" s="2">
        <v>90</v>
      </c>
      <c r="C575" s="2" t="s">
        <v>161</v>
      </c>
      <c r="D575" s="3">
        <v>0</v>
      </c>
      <c r="E575" s="1"/>
      <c r="I575" s="1" t="s">
        <v>1457</v>
      </c>
      <c r="J575" t="s">
        <v>4350</v>
      </c>
      <c r="K575" s="25">
        <f>Tabelle5[[#This Row],[value_present]]*Tabelle5[[#This Row],[binding_level]]</f>
        <v>0</v>
      </c>
    </row>
    <row r="576" spans="1:11" x14ac:dyDescent="0.25">
      <c r="A576" s="24">
        <v>15</v>
      </c>
      <c r="B576" s="2">
        <v>90</v>
      </c>
      <c r="C576" s="2" t="s">
        <v>166</v>
      </c>
      <c r="D576" s="3">
        <v>0</v>
      </c>
      <c r="E576" s="1"/>
      <c r="I576" s="1" t="s">
        <v>1456</v>
      </c>
      <c r="J576" t="s">
        <v>4351</v>
      </c>
      <c r="K576" s="25">
        <f>Tabelle5[[#This Row],[value_present]]*Tabelle5[[#This Row],[binding_level]]</f>
        <v>0</v>
      </c>
    </row>
    <row r="577" spans="1:11" ht="15.75" thickBot="1" x14ac:dyDescent="0.3">
      <c r="A577" s="26">
        <v>15</v>
      </c>
      <c r="B577" s="27">
        <v>90</v>
      </c>
      <c r="C577" s="27" t="s">
        <v>174</v>
      </c>
      <c r="D577" s="28">
        <v>0</v>
      </c>
      <c r="E577" s="29"/>
      <c r="F577" s="30"/>
      <c r="G577" s="30"/>
      <c r="H577" s="30"/>
      <c r="I577" s="29" t="s">
        <v>1457</v>
      </c>
      <c r="J577" s="30" t="s">
        <v>4352</v>
      </c>
      <c r="K577" s="31">
        <f>Tabelle5[[#This Row],[value_present]]*Tabelle5[[#This Row],[binding_level]]</f>
        <v>0</v>
      </c>
    </row>
    <row r="578" spans="1:11" x14ac:dyDescent="0.25">
      <c r="A578" s="18">
        <v>15</v>
      </c>
      <c r="B578" s="19">
        <v>91</v>
      </c>
      <c r="C578" s="19" t="s">
        <v>53</v>
      </c>
      <c r="D578" s="20">
        <v>0</v>
      </c>
      <c r="E578" s="21"/>
      <c r="F578" s="22"/>
      <c r="G578" s="22"/>
      <c r="H578" s="22"/>
      <c r="I578" s="21" t="s">
        <v>1457</v>
      </c>
      <c r="J578" s="22" t="s">
        <v>4416</v>
      </c>
      <c r="K578" s="23">
        <f>Tabelle5[[#This Row],[value_present]]*Tabelle5[[#This Row],[binding_level]]</f>
        <v>0</v>
      </c>
    </row>
    <row r="579" spans="1:11" x14ac:dyDescent="0.25">
      <c r="A579" s="24">
        <v>15</v>
      </c>
      <c r="B579" s="2">
        <v>91</v>
      </c>
      <c r="C579" s="2" t="s">
        <v>61</v>
      </c>
      <c r="D579" s="3">
        <v>0</v>
      </c>
      <c r="E579" s="1"/>
      <c r="I579" s="1" t="s">
        <v>1457</v>
      </c>
      <c r="J579" t="s">
        <v>4417</v>
      </c>
      <c r="K579" s="25">
        <f>Tabelle5[[#This Row],[value_present]]*Tabelle5[[#This Row],[binding_level]]</f>
        <v>0</v>
      </c>
    </row>
    <row r="580" spans="1:11" x14ac:dyDescent="0.25">
      <c r="A580" s="24">
        <v>15</v>
      </c>
      <c r="B580" s="2">
        <v>91</v>
      </c>
      <c r="C580" s="2" t="s">
        <v>69</v>
      </c>
      <c r="D580" s="3">
        <v>0</v>
      </c>
      <c r="E580" s="1"/>
      <c r="I580" s="1" t="s">
        <v>1456</v>
      </c>
      <c r="J580" t="s">
        <v>4418</v>
      </c>
      <c r="K580" s="25">
        <f>Tabelle5[[#This Row],[value_present]]*Tabelle5[[#This Row],[binding_level]]</f>
        <v>0</v>
      </c>
    </row>
    <row r="581" spans="1:11" x14ac:dyDescent="0.25">
      <c r="A581" s="24">
        <v>15</v>
      </c>
      <c r="B581" s="2">
        <v>91</v>
      </c>
      <c r="C581" s="2" t="s">
        <v>76</v>
      </c>
      <c r="D581" s="3">
        <v>0</v>
      </c>
      <c r="E581" s="1"/>
      <c r="I581" s="1" t="s">
        <v>1456</v>
      </c>
      <c r="J581" t="s">
        <v>4419</v>
      </c>
      <c r="K581" s="25">
        <f>Tabelle5[[#This Row],[value_present]]*Tabelle5[[#This Row],[binding_level]]</f>
        <v>0</v>
      </c>
    </row>
    <row r="582" spans="1:11" x14ac:dyDescent="0.25">
      <c r="A582" s="24">
        <v>15</v>
      </c>
      <c r="B582" s="2">
        <v>91</v>
      </c>
      <c r="C582" s="2" t="s">
        <v>83</v>
      </c>
      <c r="D582" s="3">
        <v>0</v>
      </c>
      <c r="E582" s="1"/>
      <c r="I582" s="1" t="s">
        <v>1456</v>
      </c>
      <c r="J582" t="s">
        <v>4420</v>
      </c>
      <c r="K582" s="25">
        <f>Tabelle5[[#This Row],[value_present]]*Tabelle5[[#This Row],[binding_level]]</f>
        <v>0</v>
      </c>
    </row>
    <row r="583" spans="1:11" x14ac:dyDescent="0.25">
      <c r="A583" s="24">
        <v>15</v>
      </c>
      <c r="B583" s="2">
        <v>91</v>
      </c>
      <c r="C583" s="2" t="s">
        <v>90</v>
      </c>
      <c r="D583" s="3">
        <v>1</v>
      </c>
      <c r="E583" s="1">
        <v>3</v>
      </c>
      <c r="F583" t="s">
        <v>4437</v>
      </c>
      <c r="G583" t="s">
        <v>4436</v>
      </c>
      <c r="H583" t="s">
        <v>4421</v>
      </c>
      <c r="I583" s="1" t="s">
        <v>1456</v>
      </c>
      <c r="J583" t="s">
        <v>4422</v>
      </c>
      <c r="K583" s="25">
        <f>Tabelle5[[#This Row],[value_present]]*Tabelle5[[#This Row],[binding_level]]</f>
        <v>3</v>
      </c>
    </row>
    <row r="584" spans="1:11" x14ac:dyDescent="0.25">
      <c r="A584" s="24">
        <v>15</v>
      </c>
      <c r="B584" s="2">
        <v>91</v>
      </c>
      <c r="C584" s="2" t="s">
        <v>98</v>
      </c>
      <c r="D584" s="3">
        <v>0</v>
      </c>
      <c r="E584" s="1"/>
      <c r="I584" s="1" t="s">
        <v>1457</v>
      </c>
      <c r="J584" t="s">
        <v>4423</v>
      </c>
      <c r="K584" s="25">
        <f>Tabelle5[[#This Row],[value_present]]*Tabelle5[[#This Row],[binding_level]]</f>
        <v>0</v>
      </c>
    </row>
    <row r="585" spans="1:11" x14ac:dyDescent="0.25">
      <c r="A585" s="24">
        <v>15</v>
      </c>
      <c r="B585" s="2">
        <v>91</v>
      </c>
      <c r="C585" s="2" t="s">
        <v>106</v>
      </c>
      <c r="D585" s="3">
        <v>0</v>
      </c>
      <c r="E585" s="1"/>
      <c r="I585" s="1" t="s">
        <v>1456</v>
      </c>
      <c r="J585" t="s">
        <v>4424</v>
      </c>
      <c r="K585" s="25">
        <f>Tabelle5[[#This Row],[value_present]]*Tabelle5[[#This Row],[binding_level]]</f>
        <v>0</v>
      </c>
    </row>
    <row r="586" spans="1:11" x14ac:dyDescent="0.25">
      <c r="A586" s="24">
        <v>15</v>
      </c>
      <c r="B586" s="2">
        <v>91</v>
      </c>
      <c r="C586" s="2" t="s">
        <v>112</v>
      </c>
      <c r="D586" s="3">
        <v>0</v>
      </c>
      <c r="E586" s="1"/>
      <c r="I586" s="1" t="s">
        <v>1456</v>
      </c>
      <c r="J586" t="s">
        <v>4425</v>
      </c>
      <c r="K586" s="25">
        <f>Tabelle5[[#This Row],[value_present]]*Tabelle5[[#This Row],[binding_level]]</f>
        <v>0</v>
      </c>
    </row>
    <row r="587" spans="1:11" x14ac:dyDescent="0.25">
      <c r="A587" s="24">
        <v>15</v>
      </c>
      <c r="B587" s="2">
        <v>91</v>
      </c>
      <c r="C587" s="2" t="s">
        <v>118</v>
      </c>
      <c r="D587" s="3">
        <v>0</v>
      </c>
      <c r="E587" s="1"/>
      <c r="I587" s="1" t="s">
        <v>1456</v>
      </c>
      <c r="J587" t="s">
        <v>4344</v>
      </c>
      <c r="K587" s="25">
        <f>Tabelle5[[#This Row],[value_present]]*Tabelle5[[#This Row],[binding_level]]</f>
        <v>0</v>
      </c>
    </row>
    <row r="588" spans="1:11" x14ac:dyDescent="0.25">
      <c r="A588" s="24">
        <v>15</v>
      </c>
      <c r="B588" s="2">
        <v>91</v>
      </c>
      <c r="C588" s="2" t="s">
        <v>125</v>
      </c>
      <c r="D588" s="3">
        <v>0</v>
      </c>
      <c r="E588" s="1"/>
      <c r="I588" s="1" t="s">
        <v>1456</v>
      </c>
      <c r="J588" t="s">
        <v>4426</v>
      </c>
      <c r="K588" s="25">
        <f>Tabelle5[[#This Row],[value_present]]*Tabelle5[[#This Row],[binding_level]]</f>
        <v>0</v>
      </c>
    </row>
    <row r="589" spans="1:11" x14ac:dyDescent="0.25">
      <c r="A589" s="24">
        <v>15</v>
      </c>
      <c r="B589" s="2">
        <v>91</v>
      </c>
      <c r="C589" s="2" t="s">
        <v>132</v>
      </c>
      <c r="D589" s="3">
        <v>0</v>
      </c>
      <c r="E589" s="1"/>
      <c r="I589" s="1" t="s">
        <v>1456</v>
      </c>
      <c r="J589" t="s">
        <v>4427</v>
      </c>
      <c r="K589" s="25">
        <f>Tabelle5[[#This Row],[value_present]]*Tabelle5[[#This Row],[binding_level]]</f>
        <v>0</v>
      </c>
    </row>
    <row r="590" spans="1:11" x14ac:dyDescent="0.25">
      <c r="A590" s="24">
        <v>15</v>
      </c>
      <c r="B590" s="2">
        <v>91</v>
      </c>
      <c r="C590" s="2" t="s">
        <v>140</v>
      </c>
      <c r="D590" s="3">
        <v>0</v>
      </c>
      <c r="E590" s="1"/>
      <c r="I590" s="1" t="s">
        <v>1457</v>
      </c>
      <c r="J590" t="s">
        <v>4428</v>
      </c>
      <c r="K590" s="25">
        <f>Tabelle5[[#This Row],[value_present]]*Tabelle5[[#This Row],[binding_level]]</f>
        <v>0</v>
      </c>
    </row>
    <row r="591" spans="1:11" x14ac:dyDescent="0.25">
      <c r="A591" s="24">
        <v>15</v>
      </c>
      <c r="B591" s="2">
        <v>91</v>
      </c>
      <c r="C591" s="2" t="s">
        <v>147</v>
      </c>
      <c r="D591" s="3">
        <v>1</v>
      </c>
      <c r="E591" s="1">
        <v>3</v>
      </c>
      <c r="F591" t="s">
        <v>4439</v>
      </c>
      <c r="G591" t="s">
        <v>4438</v>
      </c>
      <c r="H591" t="s">
        <v>4429</v>
      </c>
      <c r="I591" s="1" t="s">
        <v>1456</v>
      </c>
      <c r="J591" t="s">
        <v>4430</v>
      </c>
      <c r="K591" s="25">
        <f>Tabelle5[[#This Row],[value_present]]*Tabelle5[[#This Row],[binding_level]]</f>
        <v>3</v>
      </c>
    </row>
    <row r="592" spans="1:11" x14ac:dyDescent="0.25">
      <c r="A592" s="24">
        <v>15</v>
      </c>
      <c r="B592" s="2">
        <v>91</v>
      </c>
      <c r="C592" s="2" t="s">
        <v>154</v>
      </c>
      <c r="D592" s="3">
        <v>1</v>
      </c>
      <c r="E592" s="1">
        <v>3</v>
      </c>
      <c r="F592" t="s">
        <v>4441</v>
      </c>
      <c r="G592" t="s">
        <v>4440</v>
      </c>
      <c r="H592" t="s">
        <v>4431</v>
      </c>
      <c r="I592" s="1" t="s">
        <v>1456</v>
      </c>
      <c r="J592" t="s">
        <v>4432</v>
      </c>
      <c r="K592" s="25">
        <f>Tabelle5[[#This Row],[value_present]]*Tabelle5[[#This Row],[binding_level]]</f>
        <v>3</v>
      </c>
    </row>
    <row r="593" spans="1:11" x14ac:dyDescent="0.25">
      <c r="A593" s="24">
        <v>15</v>
      </c>
      <c r="B593" s="2">
        <v>91</v>
      </c>
      <c r="C593" s="2" t="s">
        <v>161</v>
      </c>
      <c r="D593" s="3">
        <v>0</v>
      </c>
      <c r="E593" s="1"/>
      <c r="I593" s="1" t="s">
        <v>1457</v>
      </c>
      <c r="J593" t="s">
        <v>4433</v>
      </c>
      <c r="K593" s="25">
        <f>Tabelle5[[#This Row],[value_present]]*Tabelle5[[#This Row],[binding_level]]</f>
        <v>0</v>
      </c>
    </row>
    <row r="594" spans="1:11" x14ac:dyDescent="0.25">
      <c r="A594" s="24">
        <v>15</v>
      </c>
      <c r="B594" s="2">
        <v>91</v>
      </c>
      <c r="C594" s="2" t="s">
        <v>166</v>
      </c>
      <c r="D594" s="3">
        <v>0</v>
      </c>
      <c r="E594" s="1"/>
      <c r="I594" s="1" t="s">
        <v>1456</v>
      </c>
      <c r="J594" t="s">
        <v>4434</v>
      </c>
      <c r="K594" s="25">
        <f>Tabelle5[[#This Row],[value_present]]*Tabelle5[[#This Row],[binding_level]]</f>
        <v>0</v>
      </c>
    </row>
    <row r="595" spans="1:11" ht="15.75" thickBot="1" x14ac:dyDescent="0.3">
      <c r="A595" s="26">
        <v>15</v>
      </c>
      <c r="B595" s="27">
        <v>91</v>
      </c>
      <c r="C595" s="27" t="s">
        <v>174</v>
      </c>
      <c r="D595" s="28">
        <v>0</v>
      </c>
      <c r="E595" s="29"/>
      <c r="F595" s="30"/>
      <c r="G595" s="30"/>
      <c r="H595" s="30"/>
      <c r="I595" s="29" t="s">
        <v>1457</v>
      </c>
      <c r="J595" s="30" t="s">
        <v>4435</v>
      </c>
      <c r="K595" s="31">
        <f>Tabelle5[[#This Row],[value_present]]*Tabelle5[[#This Row],[binding_level]]</f>
        <v>0</v>
      </c>
    </row>
    <row r="596" spans="1:11" x14ac:dyDescent="0.25">
      <c r="A596" s="18">
        <v>15</v>
      </c>
      <c r="B596" s="19">
        <v>92</v>
      </c>
      <c r="C596" s="19" t="s">
        <v>53</v>
      </c>
      <c r="D596" s="20">
        <v>0</v>
      </c>
      <c r="E596" s="21"/>
      <c r="F596" s="22"/>
      <c r="G596" s="22"/>
      <c r="H596" s="22"/>
      <c r="I596" s="21" t="s">
        <v>1456</v>
      </c>
      <c r="J596" s="22" t="s">
        <v>4473</v>
      </c>
      <c r="K596" s="23">
        <f>Tabelle5[[#This Row],[value_present]]*Tabelle5[[#This Row],[binding_level]]</f>
        <v>0</v>
      </c>
    </row>
    <row r="597" spans="1:11" x14ac:dyDescent="0.25">
      <c r="A597" s="24">
        <v>15</v>
      </c>
      <c r="B597" s="2">
        <v>92</v>
      </c>
      <c r="C597" s="2" t="s">
        <v>61</v>
      </c>
      <c r="D597" s="3">
        <v>0</v>
      </c>
      <c r="E597" s="1"/>
      <c r="I597" s="1" t="s">
        <v>1457</v>
      </c>
      <c r="J597" t="s">
        <v>4474</v>
      </c>
      <c r="K597" s="25">
        <f>Tabelle5[[#This Row],[value_present]]*Tabelle5[[#This Row],[binding_level]]</f>
        <v>0</v>
      </c>
    </row>
    <row r="598" spans="1:11" x14ac:dyDescent="0.25">
      <c r="A598" s="24">
        <v>15</v>
      </c>
      <c r="B598" s="2">
        <v>92</v>
      </c>
      <c r="C598" s="2" t="s">
        <v>69</v>
      </c>
      <c r="D598" s="3">
        <v>1</v>
      </c>
      <c r="E598" s="1">
        <v>1</v>
      </c>
      <c r="F598" t="s">
        <v>4490</v>
      </c>
      <c r="G598" t="s">
        <v>4491</v>
      </c>
      <c r="H598" t="s">
        <v>2700</v>
      </c>
      <c r="I598" s="1" t="s">
        <v>1457</v>
      </c>
      <c r="J598" t="s">
        <v>4475</v>
      </c>
      <c r="K598" s="25">
        <f>Tabelle5[[#This Row],[value_present]]*Tabelle5[[#This Row],[binding_level]]</f>
        <v>1</v>
      </c>
    </row>
    <row r="599" spans="1:11" x14ac:dyDescent="0.25">
      <c r="A599" s="24">
        <v>15</v>
      </c>
      <c r="B599" s="2">
        <v>92</v>
      </c>
      <c r="C599" s="2" t="s">
        <v>76</v>
      </c>
      <c r="D599" s="3">
        <v>0</v>
      </c>
      <c r="E599" s="1"/>
      <c r="I599" s="1" t="s">
        <v>1456</v>
      </c>
      <c r="J599" t="s">
        <v>4419</v>
      </c>
      <c r="K599" s="25">
        <f>Tabelle5[[#This Row],[value_present]]*Tabelle5[[#This Row],[binding_level]]</f>
        <v>0</v>
      </c>
    </row>
    <row r="600" spans="1:11" x14ac:dyDescent="0.25">
      <c r="A600" s="24">
        <v>15</v>
      </c>
      <c r="B600" s="2">
        <v>92</v>
      </c>
      <c r="C600" s="2" t="s">
        <v>83</v>
      </c>
      <c r="D600" s="3">
        <v>0</v>
      </c>
      <c r="E600" s="1"/>
      <c r="I600" s="1" t="s">
        <v>1456</v>
      </c>
      <c r="J600" t="s">
        <v>4292</v>
      </c>
      <c r="K600" s="25">
        <f>Tabelle5[[#This Row],[value_present]]*Tabelle5[[#This Row],[binding_level]]</f>
        <v>0</v>
      </c>
    </row>
    <row r="601" spans="1:11" x14ac:dyDescent="0.25">
      <c r="A601" s="24">
        <v>15</v>
      </c>
      <c r="B601" s="2">
        <v>92</v>
      </c>
      <c r="C601" s="2" t="s">
        <v>90</v>
      </c>
      <c r="D601" s="3">
        <v>1</v>
      </c>
      <c r="E601" s="1">
        <v>3</v>
      </c>
      <c r="F601" t="s">
        <v>4492</v>
      </c>
      <c r="G601" t="s">
        <v>4493</v>
      </c>
      <c r="H601" t="s">
        <v>4476</v>
      </c>
      <c r="I601" s="1" t="s">
        <v>1456</v>
      </c>
      <c r="J601" t="s">
        <v>4477</v>
      </c>
      <c r="K601" s="25">
        <f>Tabelle5[[#This Row],[value_present]]*Tabelle5[[#This Row],[binding_level]]</f>
        <v>3</v>
      </c>
    </row>
    <row r="602" spans="1:11" x14ac:dyDescent="0.25">
      <c r="A602" s="24">
        <v>15</v>
      </c>
      <c r="B602" s="2">
        <v>92</v>
      </c>
      <c r="C602" s="2" t="s">
        <v>98</v>
      </c>
      <c r="D602" s="3">
        <v>1</v>
      </c>
      <c r="E602" s="1">
        <v>3</v>
      </c>
      <c r="F602" t="s">
        <v>4494</v>
      </c>
      <c r="G602" t="s">
        <v>4493</v>
      </c>
      <c r="H602" t="s">
        <v>4476</v>
      </c>
      <c r="I602" s="1" t="s">
        <v>1456</v>
      </c>
      <c r="J602" t="s">
        <v>4478</v>
      </c>
      <c r="K602" s="25">
        <f>Tabelle5[[#This Row],[value_present]]*Tabelle5[[#This Row],[binding_level]]</f>
        <v>3</v>
      </c>
    </row>
    <row r="603" spans="1:11" x14ac:dyDescent="0.25">
      <c r="A603" s="24">
        <v>15</v>
      </c>
      <c r="B603" s="2">
        <v>92</v>
      </c>
      <c r="C603" s="2" t="s">
        <v>106</v>
      </c>
      <c r="D603" s="3">
        <v>1</v>
      </c>
      <c r="E603" s="1">
        <v>1</v>
      </c>
      <c r="F603" t="s">
        <v>4495</v>
      </c>
      <c r="G603" t="s">
        <v>4491</v>
      </c>
      <c r="H603" t="s">
        <v>2700</v>
      </c>
      <c r="I603" s="1" t="s">
        <v>1457</v>
      </c>
      <c r="J603" t="s">
        <v>4479</v>
      </c>
      <c r="K603" s="25">
        <f>Tabelle5[[#This Row],[value_present]]*Tabelle5[[#This Row],[binding_level]]</f>
        <v>1</v>
      </c>
    </row>
    <row r="604" spans="1:11" x14ac:dyDescent="0.25">
      <c r="A604" s="24">
        <v>15</v>
      </c>
      <c r="B604" s="2">
        <v>92</v>
      </c>
      <c r="C604" s="2" t="s">
        <v>112</v>
      </c>
      <c r="D604" s="3">
        <v>0</v>
      </c>
      <c r="E604" s="1"/>
      <c r="I604" s="1" t="s">
        <v>1456</v>
      </c>
      <c r="J604" t="s">
        <v>4425</v>
      </c>
      <c r="K604" s="25">
        <f>Tabelle5[[#This Row],[value_present]]*Tabelle5[[#This Row],[binding_level]]</f>
        <v>0</v>
      </c>
    </row>
    <row r="605" spans="1:11" x14ac:dyDescent="0.25">
      <c r="A605" s="24">
        <v>15</v>
      </c>
      <c r="B605" s="2">
        <v>92</v>
      </c>
      <c r="C605" s="2" t="s">
        <v>118</v>
      </c>
      <c r="D605" s="3">
        <v>0</v>
      </c>
      <c r="E605" s="1"/>
      <c r="I605" s="1" t="s">
        <v>1456</v>
      </c>
      <c r="J605" t="s">
        <v>4480</v>
      </c>
      <c r="K605" s="25">
        <f>Tabelle5[[#This Row],[value_present]]*Tabelle5[[#This Row],[binding_level]]</f>
        <v>0</v>
      </c>
    </row>
    <row r="606" spans="1:11" x14ac:dyDescent="0.25">
      <c r="A606" s="24">
        <v>15</v>
      </c>
      <c r="B606" s="2">
        <v>92</v>
      </c>
      <c r="C606" s="2" t="s">
        <v>125</v>
      </c>
      <c r="D606" s="3">
        <v>0</v>
      </c>
      <c r="E606" s="1"/>
      <c r="I606" s="1" t="s">
        <v>1456</v>
      </c>
      <c r="J606" t="s">
        <v>4118</v>
      </c>
      <c r="K606" s="25">
        <f>Tabelle5[[#This Row],[value_present]]*Tabelle5[[#This Row],[binding_level]]</f>
        <v>0</v>
      </c>
    </row>
    <row r="607" spans="1:11" x14ac:dyDescent="0.25">
      <c r="A607" s="24">
        <v>15</v>
      </c>
      <c r="B607" s="2">
        <v>92</v>
      </c>
      <c r="C607" s="2" t="s">
        <v>132</v>
      </c>
      <c r="D607" s="3">
        <v>0</v>
      </c>
      <c r="E607" s="1"/>
      <c r="I607" s="1" t="s">
        <v>1456</v>
      </c>
      <c r="J607" t="s">
        <v>4481</v>
      </c>
      <c r="K607" s="25">
        <f>Tabelle5[[#This Row],[value_present]]*Tabelle5[[#This Row],[binding_level]]</f>
        <v>0</v>
      </c>
    </row>
    <row r="608" spans="1:11" x14ac:dyDescent="0.25">
      <c r="A608" s="24">
        <v>15</v>
      </c>
      <c r="B608" s="2">
        <v>92</v>
      </c>
      <c r="C608" s="2" t="s">
        <v>140</v>
      </c>
      <c r="D608" s="3">
        <v>0</v>
      </c>
      <c r="E608" s="1"/>
      <c r="I608" s="1" t="s">
        <v>1457</v>
      </c>
      <c r="J608" t="s">
        <v>4482</v>
      </c>
      <c r="K608" s="25">
        <f>Tabelle5[[#This Row],[value_present]]*Tabelle5[[#This Row],[binding_level]]</f>
        <v>0</v>
      </c>
    </row>
    <row r="609" spans="1:11" x14ac:dyDescent="0.25">
      <c r="A609" s="24">
        <v>15</v>
      </c>
      <c r="B609" s="2">
        <v>92</v>
      </c>
      <c r="C609" s="2" t="s">
        <v>147</v>
      </c>
      <c r="D609" s="3">
        <v>1</v>
      </c>
      <c r="E609" s="1">
        <v>3</v>
      </c>
      <c r="F609" t="s">
        <v>4497</v>
      </c>
      <c r="G609" t="s">
        <v>4496</v>
      </c>
      <c r="H609" t="s">
        <v>4483</v>
      </c>
      <c r="I609" s="1" t="s">
        <v>1456</v>
      </c>
      <c r="J609" t="s">
        <v>4484</v>
      </c>
      <c r="K609" s="25">
        <f>Tabelle5[[#This Row],[value_present]]*Tabelle5[[#This Row],[binding_level]]</f>
        <v>3</v>
      </c>
    </row>
    <row r="610" spans="1:11" x14ac:dyDescent="0.25">
      <c r="A610" s="24">
        <v>15</v>
      </c>
      <c r="B610" s="2">
        <v>92</v>
      </c>
      <c r="C610" s="2" t="s">
        <v>154</v>
      </c>
      <c r="D610" s="3">
        <v>1</v>
      </c>
      <c r="E610" s="1">
        <v>3</v>
      </c>
      <c r="F610" t="s">
        <v>4499</v>
      </c>
      <c r="G610" t="s">
        <v>4498</v>
      </c>
      <c r="H610" t="s">
        <v>4485</v>
      </c>
      <c r="I610" s="1" t="s">
        <v>1456</v>
      </c>
      <c r="J610" t="s">
        <v>4486</v>
      </c>
      <c r="K610" s="25">
        <f>Tabelle5[[#This Row],[value_present]]*Tabelle5[[#This Row],[binding_level]]</f>
        <v>3</v>
      </c>
    </row>
    <row r="611" spans="1:11" x14ac:dyDescent="0.25">
      <c r="A611" s="24">
        <v>15</v>
      </c>
      <c r="B611" s="2">
        <v>92</v>
      </c>
      <c r="C611" s="2" t="s">
        <v>161</v>
      </c>
      <c r="D611" s="3">
        <v>0</v>
      </c>
      <c r="E611" s="1"/>
      <c r="I611" s="1" t="s">
        <v>1457</v>
      </c>
      <c r="J611" t="s">
        <v>4487</v>
      </c>
      <c r="K611" s="25">
        <f>Tabelle5[[#This Row],[value_present]]*Tabelle5[[#This Row],[binding_level]]</f>
        <v>0</v>
      </c>
    </row>
    <row r="612" spans="1:11" x14ac:dyDescent="0.25">
      <c r="A612" s="24">
        <v>15</v>
      </c>
      <c r="B612" s="2">
        <v>92</v>
      </c>
      <c r="C612" s="2" t="s">
        <v>166</v>
      </c>
      <c r="D612" s="3">
        <v>0</v>
      </c>
      <c r="E612" s="1"/>
      <c r="I612" s="1" t="s">
        <v>1456</v>
      </c>
      <c r="J612" t="s">
        <v>4488</v>
      </c>
      <c r="K612" s="25">
        <f>Tabelle5[[#This Row],[value_present]]*Tabelle5[[#This Row],[binding_level]]</f>
        <v>0</v>
      </c>
    </row>
    <row r="613" spans="1:11" ht="15.75" thickBot="1" x14ac:dyDescent="0.3">
      <c r="A613" s="26">
        <v>15</v>
      </c>
      <c r="B613" s="27">
        <v>92</v>
      </c>
      <c r="C613" s="27" t="s">
        <v>174</v>
      </c>
      <c r="D613" s="28">
        <v>0</v>
      </c>
      <c r="E613" s="29"/>
      <c r="F613" s="30"/>
      <c r="G613" s="30"/>
      <c r="H613" s="30"/>
      <c r="I613" s="29" t="s">
        <v>1457</v>
      </c>
      <c r="J613" s="30" t="s">
        <v>4489</v>
      </c>
      <c r="K613" s="31">
        <f>Tabelle5[[#This Row],[value_present]]*Tabelle5[[#This Row],[binding_level]]</f>
        <v>0</v>
      </c>
    </row>
    <row r="614" spans="1:11" x14ac:dyDescent="0.25">
      <c r="A614" s="18">
        <v>15</v>
      </c>
      <c r="B614" s="19">
        <v>93</v>
      </c>
      <c r="C614" s="19" t="s">
        <v>53</v>
      </c>
      <c r="D614" s="20">
        <v>1</v>
      </c>
      <c r="E614" s="21">
        <v>2</v>
      </c>
      <c r="F614" t="s">
        <v>4554</v>
      </c>
      <c r="G614" t="s">
        <v>4553</v>
      </c>
      <c r="H614" s="22" t="s">
        <v>4518</v>
      </c>
      <c r="I614" s="21" t="s">
        <v>1456</v>
      </c>
      <c r="J614" s="22" t="s">
        <v>4519</v>
      </c>
      <c r="K614" s="23">
        <f>Tabelle5[[#This Row],[value_present]]*Tabelle5[[#This Row],[binding_level]]</f>
        <v>2</v>
      </c>
    </row>
    <row r="615" spans="1:11" x14ac:dyDescent="0.25">
      <c r="A615" s="24">
        <v>15</v>
      </c>
      <c r="B615" s="50">
        <v>93</v>
      </c>
      <c r="C615" s="50" t="s">
        <v>61</v>
      </c>
      <c r="D615" s="51">
        <v>1</v>
      </c>
      <c r="E615" s="53">
        <v>2</v>
      </c>
      <c r="F615" t="s">
        <v>4556</v>
      </c>
      <c r="G615" t="s">
        <v>4555</v>
      </c>
      <c r="H615" s="52" t="s">
        <v>4520</v>
      </c>
      <c r="I615" s="53" t="s">
        <v>1456</v>
      </c>
      <c r="J615" s="52" t="s">
        <v>4521</v>
      </c>
      <c r="K615" s="25">
        <f>Tabelle5[[#This Row],[value_present]]*Tabelle5[[#This Row],[binding_level]]</f>
        <v>2</v>
      </c>
    </row>
    <row r="616" spans="1:11" x14ac:dyDescent="0.25">
      <c r="A616" s="24">
        <v>15</v>
      </c>
      <c r="B616" s="50">
        <v>93</v>
      </c>
      <c r="C616" s="50" t="s">
        <v>69</v>
      </c>
      <c r="D616" s="51">
        <v>1</v>
      </c>
      <c r="E616" s="53">
        <v>2</v>
      </c>
      <c r="F616" t="s">
        <v>4557</v>
      </c>
      <c r="G616" t="s">
        <v>4558</v>
      </c>
      <c r="H616" s="52" t="s">
        <v>4522</v>
      </c>
      <c r="I616" s="53" t="s">
        <v>1456</v>
      </c>
      <c r="J616" s="52" t="s">
        <v>4523</v>
      </c>
      <c r="K616" s="25">
        <f>Tabelle5[[#This Row],[value_present]]*Tabelle5[[#This Row],[binding_level]]</f>
        <v>2</v>
      </c>
    </row>
    <row r="617" spans="1:11" x14ac:dyDescent="0.25">
      <c r="A617" s="24">
        <v>15</v>
      </c>
      <c r="B617" s="50">
        <v>93</v>
      </c>
      <c r="C617" s="50" t="s">
        <v>76</v>
      </c>
      <c r="D617" s="51">
        <v>1</v>
      </c>
      <c r="E617" s="53">
        <v>1</v>
      </c>
      <c r="F617" t="s">
        <v>4545</v>
      </c>
      <c r="G617" t="s">
        <v>4546</v>
      </c>
      <c r="H617" s="52" t="s">
        <v>4524</v>
      </c>
      <c r="I617" s="53" t="s">
        <v>1457</v>
      </c>
      <c r="J617" s="52" t="s">
        <v>4525</v>
      </c>
      <c r="K617" s="25">
        <f>Tabelle5[[#This Row],[value_present]]*Tabelle5[[#This Row],[binding_level]]</f>
        <v>1</v>
      </c>
    </row>
    <row r="618" spans="1:11" x14ac:dyDescent="0.25">
      <c r="A618" s="24">
        <v>15</v>
      </c>
      <c r="B618" s="50">
        <v>93</v>
      </c>
      <c r="C618" s="50" t="s">
        <v>83</v>
      </c>
      <c r="D618" s="51">
        <v>0</v>
      </c>
      <c r="E618" s="53"/>
      <c r="F618" s="52"/>
      <c r="G618" s="52"/>
      <c r="H618" s="52"/>
      <c r="I618" s="53" t="s">
        <v>1541</v>
      </c>
      <c r="J618" s="52" t="s">
        <v>4526</v>
      </c>
      <c r="K618" s="25">
        <f>Tabelle5[[#This Row],[value_present]]*Tabelle5[[#This Row],[binding_level]]</f>
        <v>0</v>
      </c>
    </row>
    <row r="619" spans="1:11" x14ac:dyDescent="0.25">
      <c r="A619" s="24">
        <v>15</v>
      </c>
      <c r="B619" s="50">
        <v>93</v>
      </c>
      <c r="C619" s="50" t="s">
        <v>90</v>
      </c>
      <c r="D619" s="51">
        <v>1</v>
      </c>
      <c r="E619" s="53">
        <v>3</v>
      </c>
      <c r="F619" t="s">
        <v>4560</v>
      </c>
      <c r="G619" t="s">
        <v>4559</v>
      </c>
      <c r="H619" s="52" t="s">
        <v>4520</v>
      </c>
      <c r="I619" s="53" t="s">
        <v>1456</v>
      </c>
      <c r="J619" s="52" t="s">
        <v>4527</v>
      </c>
      <c r="K619" s="25">
        <f>Tabelle5[[#This Row],[value_present]]*Tabelle5[[#This Row],[binding_level]]</f>
        <v>3</v>
      </c>
    </row>
    <row r="620" spans="1:11" x14ac:dyDescent="0.25">
      <c r="A620" s="24">
        <v>15</v>
      </c>
      <c r="B620" s="50">
        <v>93</v>
      </c>
      <c r="C620" s="50" t="s">
        <v>98</v>
      </c>
      <c r="D620" s="51">
        <v>0</v>
      </c>
      <c r="E620" s="53"/>
      <c r="F620" s="52"/>
      <c r="G620" s="52"/>
      <c r="H620" s="52"/>
      <c r="I620" s="53" t="s">
        <v>1457</v>
      </c>
      <c r="J620" s="52" t="s">
        <v>4528</v>
      </c>
      <c r="K620" s="25">
        <f>Tabelle5[[#This Row],[value_present]]*Tabelle5[[#This Row],[binding_level]]</f>
        <v>0</v>
      </c>
    </row>
    <row r="621" spans="1:11" x14ac:dyDescent="0.25">
      <c r="A621" s="24">
        <v>15</v>
      </c>
      <c r="B621" s="50">
        <v>93</v>
      </c>
      <c r="C621" s="50" t="s">
        <v>106</v>
      </c>
      <c r="D621" s="51">
        <v>1</v>
      </c>
      <c r="E621" s="53">
        <v>1</v>
      </c>
      <c r="F621" t="s">
        <v>4547</v>
      </c>
      <c r="G621" t="s">
        <v>4548</v>
      </c>
      <c r="H621" s="52" t="s">
        <v>4529</v>
      </c>
      <c r="I621" s="53" t="s">
        <v>1457</v>
      </c>
      <c r="J621" s="52" t="s">
        <v>4530</v>
      </c>
      <c r="K621" s="25">
        <f>Tabelle5[[#This Row],[value_present]]*Tabelle5[[#This Row],[binding_level]]</f>
        <v>1</v>
      </c>
    </row>
    <row r="622" spans="1:11" x14ac:dyDescent="0.25">
      <c r="A622" s="24">
        <v>15</v>
      </c>
      <c r="B622" s="50">
        <v>93</v>
      </c>
      <c r="C622" s="50" t="s">
        <v>112</v>
      </c>
      <c r="D622" s="51">
        <v>1</v>
      </c>
      <c r="E622" s="53">
        <v>1</v>
      </c>
      <c r="F622" t="s">
        <v>4549</v>
      </c>
      <c r="G622" t="s">
        <v>4550</v>
      </c>
      <c r="H622" s="52" t="s">
        <v>4531</v>
      </c>
      <c r="I622" s="53" t="s">
        <v>1541</v>
      </c>
      <c r="J622" s="52" t="s">
        <v>4532</v>
      </c>
      <c r="K622" s="25">
        <f>Tabelle5[[#This Row],[value_present]]*Tabelle5[[#This Row],[binding_level]]</f>
        <v>1</v>
      </c>
    </row>
    <row r="623" spans="1:11" x14ac:dyDescent="0.25">
      <c r="A623" s="24">
        <v>15</v>
      </c>
      <c r="B623" s="50">
        <v>93</v>
      </c>
      <c r="C623" s="50" t="s">
        <v>118</v>
      </c>
      <c r="D623" s="51">
        <v>0</v>
      </c>
      <c r="E623" s="53"/>
      <c r="F623" s="52"/>
      <c r="G623" s="52"/>
      <c r="H623" s="52"/>
      <c r="I623" s="53" t="s">
        <v>1456</v>
      </c>
      <c r="J623" s="52" t="s">
        <v>4533</v>
      </c>
      <c r="K623" s="25">
        <f>Tabelle5[[#This Row],[value_present]]*Tabelle5[[#This Row],[binding_level]]</f>
        <v>0</v>
      </c>
    </row>
    <row r="624" spans="1:11" x14ac:dyDescent="0.25">
      <c r="A624" s="24">
        <v>15</v>
      </c>
      <c r="B624" s="50">
        <v>93</v>
      </c>
      <c r="C624" s="50" t="s">
        <v>125</v>
      </c>
      <c r="D624" s="51">
        <v>0</v>
      </c>
      <c r="E624" s="53"/>
      <c r="F624" s="52"/>
      <c r="G624" s="52"/>
      <c r="H624" s="52"/>
      <c r="I624" s="53" t="s">
        <v>1456</v>
      </c>
      <c r="J624" s="52" t="s">
        <v>4534</v>
      </c>
      <c r="K624" s="25">
        <f>Tabelle5[[#This Row],[value_present]]*Tabelle5[[#This Row],[binding_level]]</f>
        <v>0</v>
      </c>
    </row>
    <row r="625" spans="1:11" x14ac:dyDescent="0.25">
      <c r="A625" s="24">
        <v>15</v>
      </c>
      <c r="B625" s="50">
        <v>93</v>
      </c>
      <c r="C625" s="50" t="s">
        <v>132</v>
      </c>
      <c r="D625" s="51">
        <v>0</v>
      </c>
      <c r="E625" s="53"/>
      <c r="F625" s="52"/>
      <c r="G625" s="52"/>
      <c r="H625" s="52"/>
      <c r="I625" s="53" t="s">
        <v>1456</v>
      </c>
      <c r="J625" s="52" t="s">
        <v>4535</v>
      </c>
      <c r="K625" s="25">
        <f>Tabelle5[[#This Row],[value_present]]*Tabelle5[[#This Row],[binding_level]]</f>
        <v>0</v>
      </c>
    </row>
    <row r="626" spans="1:11" x14ac:dyDescent="0.25">
      <c r="A626" s="24">
        <v>15</v>
      </c>
      <c r="B626" s="50">
        <v>93</v>
      </c>
      <c r="C626" s="50" t="s">
        <v>140</v>
      </c>
      <c r="D626" s="51">
        <v>1</v>
      </c>
      <c r="E626" s="53">
        <v>1</v>
      </c>
      <c r="F626" t="s">
        <v>4562</v>
      </c>
      <c r="G626" t="s">
        <v>4561</v>
      </c>
      <c r="H626" s="52" t="s">
        <v>4536</v>
      </c>
      <c r="I626" s="53" t="s">
        <v>1457</v>
      </c>
      <c r="J626" s="52" t="s">
        <v>4537</v>
      </c>
      <c r="K626" s="25">
        <f>Tabelle5[[#This Row],[value_present]]*Tabelle5[[#This Row],[binding_level]]</f>
        <v>1</v>
      </c>
    </row>
    <row r="627" spans="1:11" x14ac:dyDescent="0.25">
      <c r="A627" s="24">
        <v>15</v>
      </c>
      <c r="B627" s="50">
        <v>93</v>
      </c>
      <c r="C627" s="50" t="s">
        <v>147</v>
      </c>
      <c r="D627" s="51">
        <v>1</v>
      </c>
      <c r="E627" s="53">
        <v>2</v>
      </c>
      <c r="F627" t="s">
        <v>4564</v>
      </c>
      <c r="G627" t="s">
        <v>4563</v>
      </c>
      <c r="H627" s="52" t="s">
        <v>4518</v>
      </c>
      <c r="I627" s="53" t="s">
        <v>1456</v>
      </c>
      <c r="J627" s="52" t="s">
        <v>4538</v>
      </c>
      <c r="K627" s="25">
        <f>Tabelle5[[#This Row],[value_present]]*Tabelle5[[#This Row],[binding_level]]</f>
        <v>2</v>
      </c>
    </row>
    <row r="628" spans="1:11" x14ac:dyDescent="0.25">
      <c r="A628" s="24">
        <v>15</v>
      </c>
      <c r="B628" s="50">
        <v>93</v>
      </c>
      <c r="C628" s="50" t="s">
        <v>154</v>
      </c>
      <c r="D628" s="51">
        <v>1</v>
      </c>
      <c r="E628" s="53">
        <v>2</v>
      </c>
      <c r="F628" t="s">
        <v>4566</v>
      </c>
      <c r="G628" t="s">
        <v>4565</v>
      </c>
      <c r="H628" s="52" t="s">
        <v>4539</v>
      </c>
      <c r="I628" s="53" t="s">
        <v>1457</v>
      </c>
      <c r="J628" s="52" t="s">
        <v>4540</v>
      </c>
      <c r="K628" s="25">
        <f>Tabelle5[[#This Row],[value_present]]*Tabelle5[[#This Row],[binding_level]]</f>
        <v>2</v>
      </c>
    </row>
    <row r="629" spans="1:11" x14ac:dyDescent="0.25">
      <c r="A629" s="24">
        <v>15</v>
      </c>
      <c r="B629" s="50">
        <v>93</v>
      </c>
      <c r="C629" s="50" t="s">
        <v>161</v>
      </c>
      <c r="D629" s="51">
        <v>0</v>
      </c>
      <c r="E629" s="53"/>
      <c r="F629" s="52"/>
      <c r="G629" s="52"/>
      <c r="H629" s="52"/>
      <c r="I629" s="53" t="s">
        <v>1457</v>
      </c>
      <c r="J629" s="52" t="s">
        <v>4541</v>
      </c>
      <c r="K629" s="25">
        <f>Tabelle5[[#This Row],[value_present]]*Tabelle5[[#This Row],[binding_level]]</f>
        <v>0</v>
      </c>
    </row>
    <row r="630" spans="1:11" x14ac:dyDescent="0.25">
      <c r="A630" s="24">
        <v>15</v>
      </c>
      <c r="B630" s="50">
        <v>93</v>
      </c>
      <c r="C630" s="50" t="s">
        <v>166</v>
      </c>
      <c r="D630" s="51">
        <v>1</v>
      </c>
      <c r="E630" s="53">
        <v>2</v>
      </c>
      <c r="F630" t="s">
        <v>4551</v>
      </c>
      <c r="G630" t="s">
        <v>4552</v>
      </c>
      <c r="H630" s="52" t="s">
        <v>4542</v>
      </c>
      <c r="I630" s="53" t="s">
        <v>1456</v>
      </c>
      <c r="J630" s="52" t="s">
        <v>4543</v>
      </c>
      <c r="K630" s="25">
        <f>Tabelle5[[#This Row],[value_present]]*Tabelle5[[#This Row],[binding_level]]</f>
        <v>2</v>
      </c>
    </row>
    <row r="631" spans="1:11" ht="15.75" thickBot="1" x14ac:dyDescent="0.3">
      <c r="A631" s="26">
        <v>15</v>
      </c>
      <c r="B631" s="27">
        <v>93</v>
      </c>
      <c r="C631" s="27" t="s">
        <v>174</v>
      </c>
      <c r="D631" s="28">
        <v>0</v>
      </c>
      <c r="E631" s="29"/>
      <c r="F631" s="30"/>
      <c r="G631" s="30"/>
      <c r="H631" s="30"/>
      <c r="I631" s="29" t="s">
        <v>1457</v>
      </c>
      <c r="J631" s="30" t="s">
        <v>4544</v>
      </c>
      <c r="K631" s="31">
        <f>Tabelle5[[#This Row],[value_present]]*Tabelle5[[#This Row],[binding_level]]</f>
        <v>0</v>
      </c>
    </row>
    <row r="632" spans="1:11" x14ac:dyDescent="0.25">
      <c r="A632" s="18">
        <v>15</v>
      </c>
      <c r="B632" s="19">
        <v>94</v>
      </c>
      <c r="C632" s="19" t="s">
        <v>53</v>
      </c>
      <c r="D632" s="20">
        <v>1</v>
      </c>
      <c r="E632" s="21">
        <v>3</v>
      </c>
      <c r="F632" t="s">
        <v>4641</v>
      </c>
      <c r="G632" t="s">
        <v>4640</v>
      </c>
      <c r="H632" s="22" t="s">
        <v>4620</v>
      </c>
      <c r="I632" s="21" t="s">
        <v>1456</v>
      </c>
      <c r="J632" s="22" t="s">
        <v>4597</v>
      </c>
      <c r="K632" s="23">
        <f>Tabelle5[[#This Row],[value_present]]*Tabelle5[[#This Row],[binding_level]]</f>
        <v>3</v>
      </c>
    </row>
    <row r="633" spans="1:11" x14ac:dyDescent="0.25">
      <c r="A633" s="24">
        <v>15</v>
      </c>
      <c r="B633" s="50">
        <v>94</v>
      </c>
      <c r="C633" s="50" t="s">
        <v>61</v>
      </c>
      <c r="D633" s="51">
        <v>1</v>
      </c>
      <c r="E633" s="53">
        <v>3</v>
      </c>
      <c r="F633" t="s">
        <v>4643</v>
      </c>
      <c r="G633" t="s">
        <v>4642</v>
      </c>
      <c r="H633" s="52" t="s">
        <v>4619</v>
      </c>
      <c r="I633" s="53" t="s">
        <v>1456</v>
      </c>
      <c r="J633" s="52" t="s">
        <v>4598</v>
      </c>
      <c r="K633" s="25">
        <f>Tabelle5[[#This Row],[value_present]]*Tabelle5[[#This Row],[binding_level]]</f>
        <v>3</v>
      </c>
    </row>
    <row r="634" spans="1:11" x14ac:dyDescent="0.25">
      <c r="A634" s="24">
        <v>15</v>
      </c>
      <c r="B634" s="50">
        <v>94</v>
      </c>
      <c r="C634" s="50" t="s">
        <v>69</v>
      </c>
      <c r="D634" s="51">
        <v>1</v>
      </c>
      <c r="E634" s="53">
        <v>3</v>
      </c>
      <c r="F634" t="s">
        <v>4645</v>
      </c>
      <c r="G634" t="s">
        <v>4644</v>
      </c>
      <c r="H634" s="52" t="s">
        <v>4621</v>
      </c>
      <c r="I634" s="53" t="s">
        <v>1456</v>
      </c>
      <c r="J634" s="52" t="s">
        <v>4599</v>
      </c>
      <c r="K634" s="25">
        <f>Tabelle5[[#This Row],[value_present]]*Tabelle5[[#This Row],[binding_level]]</f>
        <v>3</v>
      </c>
    </row>
    <row r="635" spans="1:11" x14ac:dyDescent="0.25">
      <c r="A635" s="24">
        <v>15</v>
      </c>
      <c r="B635" s="50">
        <v>94</v>
      </c>
      <c r="C635" s="50" t="s">
        <v>76</v>
      </c>
      <c r="D635" s="51">
        <v>1</v>
      </c>
      <c r="E635" s="53">
        <v>3</v>
      </c>
      <c r="F635" t="s">
        <v>4647</v>
      </c>
      <c r="G635" t="s">
        <v>4646</v>
      </c>
      <c r="H635" s="52" t="s">
        <v>4622</v>
      </c>
      <c r="I635" s="53" t="s">
        <v>1456</v>
      </c>
      <c r="J635" s="52" t="s">
        <v>4600</v>
      </c>
      <c r="K635" s="25">
        <f>Tabelle5[[#This Row],[value_present]]*Tabelle5[[#This Row],[binding_level]]</f>
        <v>3</v>
      </c>
    </row>
    <row r="636" spans="1:11" x14ac:dyDescent="0.25">
      <c r="A636" s="24">
        <v>15</v>
      </c>
      <c r="B636" s="50">
        <v>94</v>
      </c>
      <c r="C636" s="50" t="s">
        <v>83</v>
      </c>
      <c r="D636" s="51">
        <v>1</v>
      </c>
      <c r="E636" s="53">
        <v>3</v>
      </c>
      <c r="F636" t="s">
        <v>4649</v>
      </c>
      <c r="G636" t="s">
        <v>4648</v>
      </c>
      <c r="H636" s="52" t="s">
        <v>4623</v>
      </c>
      <c r="I636" s="53" t="s">
        <v>1456</v>
      </c>
      <c r="J636" s="52" t="s">
        <v>4601</v>
      </c>
      <c r="K636" s="25">
        <f>Tabelle5[[#This Row],[value_present]]*Tabelle5[[#This Row],[binding_level]]</f>
        <v>3</v>
      </c>
    </row>
    <row r="637" spans="1:11" x14ac:dyDescent="0.25">
      <c r="A637" s="24">
        <v>15</v>
      </c>
      <c r="B637" s="50">
        <v>94</v>
      </c>
      <c r="C637" s="50" t="s">
        <v>90</v>
      </c>
      <c r="D637" s="51">
        <v>1</v>
      </c>
      <c r="E637" s="53">
        <v>3</v>
      </c>
      <c r="F637" t="s">
        <v>4651</v>
      </c>
      <c r="G637" t="s">
        <v>4650</v>
      </c>
      <c r="H637" s="52" t="s">
        <v>4624</v>
      </c>
      <c r="I637" s="53" t="s">
        <v>1456</v>
      </c>
      <c r="J637" s="52" t="s">
        <v>4602</v>
      </c>
      <c r="K637" s="25">
        <f>Tabelle5[[#This Row],[value_present]]*Tabelle5[[#This Row],[binding_level]]</f>
        <v>3</v>
      </c>
    </row>
    <row r="638" spans="1:11" x14ac:dyDescent="0.25">
      <c r="A638" s="24">
        <v>15</v>
      </c>
      <c r="B638" s="50">
        <v>94</v>
      </c>
      <c r="C638" s="50" t="s">
        <v>98</v>
      </c>
      <c r="D638" s="51">
        <v>1</v>
      </c>
      <c r="E638" s="53">
        <v>3</v>
      </c>
      <c r="F638" t="s">
        <v>4653</v>
      </c>
      <c r="G638" t="s">
        <v>4652</v>
      </c>
      <c r="H638" s="52" t="s">
        <v>4625</v>
      </c>
      <c r="I638" s="53" t="s">
        <v>1456</v>
      </c>
      <c r="J638" s="52" t="s">
        <v>4603</v>
      </c>
      <c r="K638" s="25">
        <f>Tabelle5[[#This Row],[value_present]]*Tabelle5[[#This Row],[binding_level]]</f>
        <v>3</v>
      </c>
    </row>
    <row r="639" spans="1:11" x14ac:dyDescent="0.25">
      <c r="A639" s="24">
        <v>15</v>
      </c>
      <c r="B639" s="50">
        <v>94</v>
      </c>
      <c r="C639" s="50" t="s">
        <v>106</v>
      </c>
      <c r="D639" s="51">
        <v>1</v>
      </c>
      <c r="E639" s="53">
        <v>3</v>
      </c>
      <c r="F639" t="s">
        <v>4655</v>
      </c>
      <c r="G639" t="s">
        <v>4654</v>
      </c>
      <c r="H639" s="52" t="s">
        <v>4626</v>
      </c>
      <c r="I639" s="53" t="s">
        <v>1456</v>
      </c>
      <c r="J639" s="52" t="s">
        <v>4604</v>
      </c>
      <c r="K639" s="25">
        <f>Tabelle5[[#This Row],[value_present]]*Tabelle5[[#This Row],[binding_level]]</f>
        <v>3</v>
      </c>
    </row>
    <row r="640" spans="1:11" x14ac:dyDescent="0.25">
      <c r="A640" s="24">
        <v>15</v>
      </c>
      <c r="B640" s="50">
        <v>94</v>
      </c>
      <c r="C640" s="50" t="s">
        <v>112</v>
      </c>
      <c r="D640" s="51">
        <v>1</v>
      </c>
      <c r="E640" s="53">
        <v>3</v>
      </c>
      <c r="F640" t="s">
        <v>4657</v>
      </c>
      <c r="G640" t="s">
        <v>4656</v>
      </c>
      <c r="H640" s="52" t="s">
        <v>4627</v>
      </c>
      <c r="I640" s="53" t="s">
        <v>1456</v>
      </c>
      <c r="J640" s="52" t="s">
        <v>4605</v>
      </c>
      <c r="K640" s="25">
        <f>Tabelle5[[#This Row],[value_present]]*Tabelle5[[#This Row],[binding_level]]</f>
        <v>3</v>
      </c>
    </row>
    <row r="641" spans="1:11" x14ac:dyDescent="0.25">
      <c r="A641" s="24">
        <v>15</v>
      </c>
      <c r="B641" s="50">
        <v>94</v>
      </c>
      <c r="C641" s="50" t="s">
        <v>118</v>
      </c>
      <c r="D641" s="51">
        <v>1</v>
      </c>
      <c r="E641" s="53">
        <v>3</v>
      </c>
      <c r="F641" t="s">
        <v>4634</v>
      </c>
      <c r="G641" t="s">
        <v>4635</v>
      </c>
      <c r="H641" s="52" t="s">
        <v>4615</v>
      </c>
      <c r="I641" s="53" t="s">
        <v>1457</v>
      </c>
      <c r="J641" s="52" t="s">
        <v>4606</v>
      </c>
      <c r="K641" s="25">
        <f>Tabelle5[[#This Row],[value_present]]*Tabelle5[[#This Row],[binding_level]]</f>
        <v>3</v>
      </c>
    </row>
    <row r="642" spans="1:11" x14ac:dyDescent="0.25">
      <c r="A642" s="24">
        <v>15</v>
      </c>
      <c r="B642" s="50">
        <v>94</v>
      </c>
      <c r="C642" s="50" t="s">
        <v>125</v>
      </c>
      <c r="D642" s="51">
        <v>1</v>
      </c>
      <c r="E642" s="53">
        <v>3</v>
      </c>
      <c r="F642" t="s">
        <v>4636</v>
      </c>
      <c r="G642" t="s">
        <v>4637</v>
      </c>
      <c r="H642" s="52" t="s">
        <v>4628</v>
      </c>
      <c r="I642" s="53" t="s">
        <v>1456</v>
      </c>
      <c r="J642" s="52" t="s">
        <v>4607</v>
      </c>
      <c r="K642" s="25">
        <f>Tabelle5[[#This Row],[value_present]]*Tabelle5[[#This Row],[binding_level]]</f>
        <v>3</v>
      </c>
    </row>
    <row r="643" spans="1:11" x14ac:dyDescent="0.25">
      <c r="A643" s="24">
        <v>15</v>
      </c>
      <c r="B643" s="50">
        <v>94</v>
      </c>
      <c r="C643" s="50" t="s">
        <v>132</v>
      </c>
      <c r="D643" s="51">
        <v>1</v>
      </c>
      <c r="E643" s="53">
        <v>2</v>
      </c>
      <c r="F643" t="s">
        <v>4638</v>
      </c>
      <c r="G643" t="s">
        <v>4639</v>
      </c>
      <c r="H643" s="52" t="s">
        <v>4616</v>
      </c>
      <c r="I643" s="53" t="s">
        <v>1457</v>
      </c>
      <c r="J643" s="52" t="s">
        <v>4608</v>
      </c>
      <c r="K643" s="25">
        <f>Tabelle5[[#This Row],[value_present]]*Tabelle5[[#This Row],[binding_level]]</f>
        <v>2</v>
      </c>
    </row>
    <row r="644" spans="1:11" x14ac:dyDescent="0.25">
      <c r="A644" s="24">
        <v>15</v>
      </c>
      <c r="B644" s="50">
        <v>94</v>
      </c>
      <c r="C644" s="50" t="s">
        <v>140</v>
      </c>
      <c r="D644" s="51">
        <v>1</v>
      </c>
      <c r="E644" s="53">
        <v>2</v>
      </c>
      <c r="F644" t="s">
        <v>4659</v>
      </c>
      <c r="G644" t="s">
        <v>4658</v>
      </c>
      <c r="H644" s="52" t="s">
        <v>4629</v>
      </c>
      <c r="I644" s="53" t="s">
        <v>1457</v>
      </c>
      <c r="J644" s="52" t="s">
        <v>4609</v>
      </c>
      <c r="K644" s="25">
        <f>Tabelle5[[#This Row],[value_present]]*Tabelle5[[#This Row],[binding_level]]</f>
        <v>2</v>
      </c>
    </row>
    <row r="645" spans="1:11" x14ac:dyDescent="0.25">
      <c r="A645" s="24">
        <v>15</v>
      </c>
      <c r="B645" s="50">
        <v>94</v>
      </c>
      <c r="C645" s="50" t="s">
        <v>147</v>
      </c>
      <c r="D645" s="51">
        <v>1</v>
      </c>
      <c r="E645" s="53">
        <v>3</v>
      </c>
      <c r="F645" t="s">
        <v>4651</v>
      </c>
      <c r="G645" t="s">
        <v>4650</v>
      </c>
      <c r="H645" s="52" t="s">
        <v>4630</v>
      </c>
      <c r="I645" s="53" t="s">
        <v>1456</v>
      </c>
      <c r="J645" s="52" t="s">
        <v>4610</v>
      </c>
      <c r="K645" s="25">
        <f>Tabelle5[[#This Row],[value_present]]*Tabelle5[[#This Row],[binding_level]]</f>
        <v>3</v>
      </c>
    </row>
    <row r="646" spans="1:11" x14ac:dyDescent="0.25">
      <c r="A646" s="24">
        <v>15</v>
      </c>
      <c r="B646" s="50">
        <v>94</v>
      </c>
      <c r="C646" s="50" t="s">
        <v>154</v>
      </c>
      <c r="D646" s="51">
        <v>1</v>
      </c>
      <c r="E646" s="53">
        <v>2</v>
      </c>
      <c r="F646" t="s">
        <v>4661</v>
      </c>
      <c r="G646" t="s">
        <v>4660</v>
      </c>
      <c r="H646" s="52" t="s">
        <v>4617</v>
      </c>
      <c r="I646" s="53" t="s">
        <v>1456</v>
      </c>
      <c r="J646" s="52" t="s">
        <v>4611</v>
      </c>
      <c r="K646" s="25">
        <f>Tabelle5[[#This Row],[value_present]]*Tabelle5[[#This Row],[binding_level]]</f>
        <v>2</v>
      </c>
    </row>
    <row r="647" spans="1:11" x14ac:dyDescent="0.25">
      <c r="A647" s="24">
        <v>15</v>
      </c>
      <c r="B647" s="50">
        <v>94</v>
      </c>
      <c r="C647" s="50" t="s">
        <v>161</v>
      </c>
      <c r="D647" s="51">
        <v>1</v>
      </c>
      <c r="E647" s="53">
        <v>3</v>
      </c>
      <c r="F647" t="s">
        <v>4663</v>
      </c>
      <c r="G647" t="s">
        <v>4662</v>
      </c>
      <c r="H647" s="52" t="s">
        <v>4631</v>
      </c>
      <c r="I647" s="53" t="s">
        <v>1456</v>
      </c>
      <c r="J647" s="52" t="s">
        <v>4612</v>
      </c>
      <c r="K647" s="25">
        <f>Tabelle5[[#This Row],[value_present]]*Tabelle5[[#This Row],[binding_level]]</f>
        <v>3</v>
      </c>
    </row>
    <row r="648" spans="1:11" x14ac:dyDescent="0.25">
      <c r="A648" s="24">
        <v>15</v>
      </c>
      <c r="B648" s="50">
        <v>94</v>
      </c>
      <c r="C648" s="50" t="s">
        <v>166</v>
      </c>
      <c r="D648" s="51">
        <v>1</v>
      </c>
      <c r="E648" s="53">
        <v>2</v>
      </c>
      <c r="F648" t="s">
        <v>4632</v>
      </c>
      <c r="G648" t="s">
        <v>4633</v>
      </c>
      <c r="H648" s="52" t="s">
        <v>4618</v>
      </c>
      <c r="I648" s="53" t="s">
        <v>1457</v>
      </c>
      <c r="J648" s="52" t="s">
        <v>4613</v>
      </c>
      <c r="K648" s="25">
        <f>Tabelle5[[#This Row],[value_present]]*Tabelle5[[#This Row],[binding_level]]</f>
        <v>2</v>
      </c>
    </row>
    <row r="649" spans="1:11" ht="15.75" thickBot="1" x14ac:dyDescent="0.3">
      <c r="A649" s="26">
        <v>15</v>
      </c>
      <c r="B649" s="27">
        <v>94</v>
      </c>
      <c r="C649" s="27" t="s">
        <v>174</v>
      </c>
      <c r="D649" s="28">
        <v>0</v>
      </c>
      <c r="E649" s="29"/>
      <c r="F649" s="30"/>
      <c r="G649" s="30"/>
      <c r="H649" s="30"/>
      <c r="I649" s="29" t="s">
        <v>1457</v>
      </c>
      <c r="J649" s="30" t="s">
        <v>4614</v>
      </c>
      <c r="K649" s="31">
        <f>Tabelle5[[#This Row],[value_present]]*Tabelle5[[#This Row],[binding_level]]</f>
        <v>0</v>
      </c>
    </row>
    <row r="650" spans="1:11" x14ac:dyDescent="0.25">
      <c r="A650" s="18">
        <v>15</v>
      </c>
      <c r="B650" s="19">
        <v>96</v>
      </c>
      <c r="C650" s="19" t="s">
        <v>53</v>
      </c>
      <c r="D650" s="20">
        <v>0</v>
      </c>
      <c r="E650" s="21"/>
      <c r="F650" s="22"/>
      <c r="G650" s="22"/>
      <c r="H650" s="22"/>
      <c r="I650" s="21" t="s">
        <v>1457</v>
      </c>
      <c r="J650" s="22" t="s">
        <v>4728</v>
      </c>
      <c r="K650" s="23">
        <f>Tabelle5[[#This Row],[value_present]]*Tabelle5[[#This Row],[binding_level]]</f>
        <v>0</v>
      </c>
    </row>
    <row r="651" spans="1:11" x14ac:dyDescent="0.25">
      <c r="A651" s="24">
        <v>15</v>
      </c>
      <c r="B651" s="50">
        <v>96</v>
      </c>
      <c r="C651" s="50" t="s">
        <v>61</v>
      </c>
      <c r="D651" s="51">
        <v>1</v>
      </c>
      <c r="E651" s="53">
        <v>1</v>
      </c>
      <c r="F651" t="s">
        <v>4745</v>
      </c>
      <c r="G651" t="s">
        <v>4746</v>
      </c>
      <c r="H651" s="52" t="s">
        <v>4729</v>
      </c>
      <c r="I651" s="53" t="s">
        <v>1457</v>
      </c>
      <c r="J651" s="52" t="s">
        <v>4730</v>
      </c>
      <c r="K651" s="25">
        <f>Tabelle5[[#This Row],[value_present]]*Tabelle5[[#This Row],[binding_level]]</f>
        <v>1</v>
      </c>
    </row>
    <row r="652" spans="1:11" x14ac:dyDescent="0.25">
      <c r="A652" s="24">
        <v>15</v>
      </c>
      <c r="B652" s="50">
        <v>96</v>
      </c>
      <c r="C652" s="50" t="s">
        <v>69</v>
      </c>
      <c r="D652" s="51">
        <v>0</v>
      </c>
      <c r="E652" s="53"/>
      <c r="F652" s="52"/>
      <c r="G652" s="52"/>
      <c r="H652" s="52"/>
      <c r="I652" s="53" t="s">
        <v>1457</v>
      </c>
      <c r="J652" s="52" t="s">
        <v>4731</v>
      </c>
      <c r="K652" s="25">
        <f>Tabelle5[[#This Row],[value_present]]*Tabelle5[[#This Row],[binding_level]]</f>
        <v>0</v>
      </c>
    </row>
    <row r="653" spans="1:11" x14ac:dyDescent="0.25">
      <c r="A653" s="24">
        <v>15</v>
      </c>
      <c r="B653" s="50">
        <v>96</v>
      </c>
      <c r="C653" s="50" t="s">
        <v>76</v>
      </c>
      <c r="D653" s="51">
        <v>0</v>
      </c>
      <c r="E653" s="53"/>
      <c r="F653" s="52"/>
      <c r="G653" s="52"/>
      <c r="H653" s="52"/>
      <c r="I653" s="53" t="s">
        <v>1456</v>
      </c>
      <c r="J653" s="52" t="s">
        <v>4711</v>
      </c>
      <c r="K653" s="25">
        <f>Tabelle5[[#This Row],[value_present]]*Tabelle5[[#This Row],[binding_level]]</f>
        <v>0</v>
      </c>
    </row>
    <row r="654" spans="1:11" x14ac:dyDescent="0.25">
      <c r="A654" s="24">
        <v>15</v>
      </c>
      <c r="B654" s="50">
        <v>96</v>
      </c>
      <c r="C654" s="50" t="s">
        <v>83</v>
      </c>
      <c r="D654" s="51">
        <v>0</v>
      </c>
      <c r="E654" s="53"/>
      <c r="F654" s="52"/>
      <c r="G654" s="52"/>
      <c r="H654" s="52"/>
      <c r="I654" s="53" t="s">
        <v>1456</v>
      </c>
      <c r="J654" s="52" t="s">
        <v>4712</v>
      </c>
      <c r="K654" s="25">
        <f>Tabelle5[[#This Row],[value_present]]*Tabelle5[[#This Row],[binding_level]]</f>
        <v>0</v>
      </c>
    </row>
    <row r="655" spans="1:11" x14ac:dyDescent="0.25">
      <c r="A655" s="24">
        <v>15</v>
      </c>
      <c r="B655" s="50">
        <v>96</v>
      </c>
      <c r="C655" s="50" t="s">
        <v>90</v>
      </c>
      <c r="D655" s="51">
        <v>0</v>
      </c>
      <c r="E655" s="53"/>
      <c r="F655" s="52"/>
      <c r="G655" s="52"/>
      <c r="H655" s="52"/>
      <c r="I655" s="53" t="s">
        <v>1457</v>
      </c>
      <c r="J655" s="52" t="s">
        <v>4732</v>
      </c>
      <c r="K655" s="25">
        <f>Tabelle5[[#This Row],[value_present]]*Tabelle5[[#This Row],[binding_level]]</f>
        <v>0</v>
      </c>
    </row>
    <row r="656" spans="1:11" x14ac:dyDescent="0.25">
      <c r="A656" s="24">
        <v>15</v>
      </c>
      <c r="B656" s="50">
        <v>96</v>
      </c>
      <c r="C656" s="50" t="s">
        <v>98</v>
      </c>
      <c r="D656" s="51">
        <v>0</v>
      </c>
      <c r="E656" s="53"/>
      <c r="F656" s="52"/>
      <c r="G656" s="52"/>
      <c r="H656" s="52"/>
      <c r="I656" s="53" t="s">
        <v>1456</v>
      </c>
      <c r="J656" s="52" t="s">
        <v>4733</v>
      </c>
      <c r="K656" s="25">
        <f>Tabelle5[[#This Row],[value_present]]*Tabelle5[[#This Row],[binding_level]]</f>
        <v>0</v>
      </c>
    </row>
    <row r="657" spans="1:11" x14ac:dyDescent="0.25">
      <c r="A657" s="24">
        <v>15</v>
      </c>
      <c r="B657" s="50">
        <v>96</v>
      </c>
      <c r="C657" s="50" t="s">
        <v>106</v>
      </c>
      <c r="D657" s="51">
        <v>0</v>
      </c>
      <c r="E657" s="53"/>
      <c r="F657" s="52"/>
      <c r="G657" s="52"/>
      <c r="H657" s="52"/>
      <c r="I657" s="53" t="s">
        <v>1457</v>
      </c>
      <c r="J657" s="52" t="s">
        <v>4734</v>
      </c>
      <c r="K657" s="25">
        <f>Tabelle5[[#This Row],[value_present]]*Tabelle5[[#This Row],[binding_level]]</f>
        <v>0</v>
      </c>
    </row>
    <row r="658" spans="1:11" x14ac:dyDescent="0.25">
      <c r="A658" s="24">
        <v>15</v>
      </c>
      <c r="B658" s="50">
        <v>96</v>
      </c>
      <c r="C658" s="50" t="s">
        <v>112</v>
      </c>
      <c r="D658" s="51">
        <v>0</v>
      </c>
      <c r="E658" s="53"/>
      <c r="F658" s="52"/>
      <c r="G658" s="52"/>
      <c r="H658" s="52"/>
      <c r="I658" s="53" t="s">
        <v>1456</v>
      </c>
      <c r="J658" s="52" t="s">
        <v>4711</v>
      </c>
      <c r="K658" s="25">
        <f>Tabelle5[[#This Row],[value_present]]*Tabelle5[[#This Row],[binding_level]]</f>
        <v>0</v>
      </c>
    </row>
    <row r="659" spans="1:11" x14ac:dyDescent="0.25">
      <c r="A659" s="24">
        <v>15</v>
      </c>
      <c r="B659" s="50">
        <v>96</v>
      </c>
      <c r="C659" s="50" t="s">
        <v>118</v>
      </c>
      <c r="D659" s="51">
        <v>0</v>
      </c>
      <c r="E659" s="53"/>
      <c r="F659" s="52"/>
      <c r="G659" s="52"/>
      <c r="H659" s="52"/>
      <c r="I659" s="53" t="s">
        <v>1456</v>
      </c>
      <c r="J659" s="52" t="s">
        <v>4711</v>
      </c>
      <c r="K659" s="25">
        <f>Tabelle5[[#This Row],[value_present]]*Tabelle5[[#This Row],[binding_level]]</f>
        <v>0</v>
      </c>
    </row>
    <row r="660" spans="1:11" x14ac:dyDescent="0.25">
      <c r="A660" s="24">
        <v>15</v>
      </c>
      <c r="B660" s="50">
        <v>96</v>
      </c>
      <c r="C660" s="50" t="s">
        <v>125</v>
      </c>
      <c r="D660" s="51">
        <v>0</v>
      </c>
      <c r="E660" s="53"/>
      <c r="F660" s="52"/>
      <c r="G660" s="52"/>
      <c r="H660" s="52"/>
      <c r="I660" s="53" t="s">
        <v>1456</v>
      </c>
      <c r="J660" s="52" t="s">
        <v>4712</v>
      </c>
      <c r="K660" s="25">
        <f>Tabelle5[[#This Row],[value_present]]*Tabelle5[[#This Row],[binding_level]]</f>
        <v>0</v>
      </c>
    </row>
    <row r="661" spans="1:11" x14ac:dyDescent="0.25">
      <c r="A661" s="24">
        <v>15</v>
      </c>
      <c r="B661" s="50">
        <v>96</v>
      </c>
      <c r="C661" s="50" t="s">
        <v>132</v>
      </c>
      <c r="D661" s="51">
        <v>1</v>
      </c>
      <c r="E661" s="53">
        <v>2</v>
      </c>
      <c r="F661" t="s">
        <v>4750</v>
      </c>
      <c r="G661" t="s">
        <v>4749</v>
      </c>
      <c r="H661" s="52" t="s">
        <v>4735</v>
      </c>
      <c r="I661" s="53" t="s">
        <v>1456</v>
      </c>
      <c r="J661" s="52" t="s">
        <v>4736</v>
      </c>
      <c r="K661" s="25">
        <f>Tabelle5[[#This Row],[value_present]]*Tabelle5[[#This Row],[binding_level]]</f>
        <v>2</v>
      </c>
    </row>
    <row r="662" spans="1:11" x14ac:dyDescent="0.25">
      <c r="A662" s="24">
        <v>15</v>
      </c>
      <c r="B662" s="50">
        <v>96</v>
      </c>
      <c r="C662" s="50" t="s">
        <v>140</v>
      </c>
      <c r="D662" s="51">
        <v>1</v>
      </c>
      <c r="E662" s="53">
        <v>1</v>
      </c>
      <c r="F662" t="s">
        <v>4747</v>
      </c>
      <c r="G662" t="s">
        <v>4748</v>
      </c>
      <c r="H662" s="52" t="s">
        <v>4737</v>
      </c>
      <c r="I662" s="53" t="s">
        <v>1457</v>
      </c>
      <c r="J662" s="52" t="s">
        <v>4738</v>
      </c>
      <c r="K662" s="25">
        <f>Tabelle5[[#This Row],[value_present]]*Tabelle5[[#This Row],[binding_level]]</f>
        <v>1</v>
      </c>
    </row>
    <row r="663" spans="1:11" x14ac:dyDescent="0.25">
      <c r="A663" s="24">
        <v>15</v>
      </c>
      <c r="B663" s="50">
        <v>96</v>
      </c>
      <c r="C663" s="50" t="s">
        <v>147</v>
      </c>
      <c r="D663" s="51">
        <v>1</v>
      </c>
      <c r="E663" s="53">
        <v>2</v>
      </c>
      <c r="F663" t="s">
        <v>4752</v>
      </c>
      <c r="G663" t="s">
        <v>4751</v>
      </c>
      <c r="H663" s="52" t="s">
        <v>4739</v>
      </c>
      <c r="I663" s="53" t="s">
        <v>1456</v>
      </c>
      <c r="J663" s="52" t="s">
        <v>4740</v>
      </c>
      <c r="K663" s="25">
        <f>Tabelle5[[#This Row],[value_present]]*Tabelle5[[#This Row],[binding_level]]</f>
        <v>2</v>
      </c>
    </row>
    <row r="664" spans="1:11" x14ac:dyDescent="0.25">
      <c r="A664" s="24">
        <v>15</v>
      </c>
      <c r="B664" s="50">
        <v>96</v>
      </c>
      <c r="C664" s="50" t="s">
        <v>154</v>
      </c>
      <c r="D664" s="51">
        <v>1</v>
      </c>
      <c r="E664" s="53">
        <v>3</v>
      </c>
      <c r="F664" t="s">
        <v>4754</v>
      </c>
      <c r="G664" t="s">
        <v>4753</v>
      </c>
      <c r="H664" s="52" t="s">
        <v>4741</v>
      </c>
      <c r="I664" s="53" t="s">
        <v>1457</v>
      </c>
      <c r="J664" s="52" t="s">
        <v>4742</v>
      </c>
      <c r="K664" s="25">
        <f>Tabelle5[[#This Row],[value_present]]*Tabelle5[[#This Row],[binding_level]]</f>
        <v>3</v>
      </c>
    </row>
    <row r="665" spans="1:11" x14ac:dyDescent="0.25">
      <c r="A665" s="24">
        <v>15</v>
      </c>
      <c r="B665" s="50">
        <v>96</v>
      </c>
      <c r="C665" s="50" t="s">
        <v>161</v>
      </c>
      <c r="D665" s="51">
        <v>0</v>
      </c>
      <c r="E665" s="53"/>
      <c r="F665" s="52"/>
      <c r="G665" s="52"/>
      <c r="H665" s="52"/>
      <c r="I665" s="53" t="s">
        <v>1456</v>
      </c>
      <c r="J665" s="52" t="s">
        <v>4711</v>
      </c>
      <c r="K665" s="25">
        <f>Tabelle5[[#This Row],[value_present]]*Tabelle5[[#This Row],[binding_level]]</f>
        <v>0</v>
      </c>
    </row>
    <row r="666" spans="1:11" x14ac:dyDescent="0.25">
      <c r="A666" s="24">
        <v>15</v>
      </c>
      <c r="B666" s="50">
        <v>96</v>
      </c>
      <c r="C666" s="50" t="s">
        <v>166</v>
      </c>
      <c r="D666" s="51">
        <v>0</v>
      </c>
      <c r="E666" s="53"/>
      <c r="F666" s="52"/>
      <c r="G666" s="52"/>
      <c r="H666" s="52"/>
      <c r="I666" s="53" t="s">
        <v>1456</v>
      </c>
      <c r="J666" s="52" t="s">
        <v>4711</v>
      </c>
      <c r="K666" s="25">
        <f>Tabelle5[[#This Row],[value_present]]*Tabelle5[[#This Row],[binding_level]]</f>
        <v>0</v>
      </c>
    </row>
    <row r="667" spans="1:11" ht="15.75" thickBot="1" x14ac:dyDescent="0.3">
      <c r="A667" s="24">
        <v>15</v>
      </c>
      <c r="B667" s="50">
        <v>96</v>
      </c>
      <c r="C667" s="50" t="s">
        <v>174</v>
      </c>
      <c r="D667" s="51">
        <v>1</v>
      </c>
      <c r="E667" s="53">
        <v>1</v>
      </c>
      <c r="F667" t="s">
        <v>4756</v>
      </c>
      <c r="G667" t="s">
        <v>4755</v>
      </c>
      <c r="H667" s="52" t="s">
        <v>4743</v>
      </c>
      <c r="I667" s="53" t="s">
        <v>1456</v>
      </c>
      <c r="J667" s="52" t="s">
        <v>4744</v>
      </c>
      <c r="K667" s="25">
        <f>Tabelle5[[#This Row],[value_present]]*Tabelle5[[#This Row],[binding_level]]</f>
        <v>1</v>
      </c>
    </row>
    <row r="668" spans="1:11" x14ac:dyDescent="0.25">
      <c r="A668" s="18">
        <v>15</v>
      </c>
      <c r="B668" s="19">
        <v>97</v>
      </c>
      <c r="C668" s="19" t="s">
        <v>53</v>
      </c>
      <c r="D668" s="20">
        <v>0</v>
      </c>
      <c r="E668" s="21"/>
      <c r="F668" s="22"/>
      <c r="G668" s="22"/>
      <c r="H668" s="22"/>
      <c r="I668" s="21" t="s">
        <v>1457</v>
      </c>
      <c r="J668" s="22" t="s">
        <v>4785</v>
      </c>
      <c r="K668" s="23">
        <f>Tabelle5[[#This Row],[value_present]]*Tabelle5[[#This Row],[binding_level]]</f>
        <v>0</v>
      </c>
    </row>
    <row r="669" spans="1:11" x14ac:dyDescent="0.25">
      <c r="A669" s="24">
        <v>15</v>
      </c>
      <c r="B669" s="50">
        <v>97</v>
      </c>
      <c r="C669" s="50" t="s">
        <v>61</v>
      </c>
      <c r="D669" s="51">
        <v>1</v>
      </c>
      <c r="E669" s="53">
        <v>1</v>
      </c>
      <c r="F669" t="s">
        <v>4800</v>
      </c>
      <c r="G669" t="s">
        <v>4799</v>
      </c>
      <c r="H669" s="52" t="s">
        <v>4786</v>
      </c>
      <c r="I669" s="53" t="s">
        <v>1457</v>
      </c>
      <c r="J669" s="52" t="s">
        <v>4787</v>
      </c>
      <c r="K669" s="25">
        <f>Tabelle5[[#This Row],[value_present]]*Tabelle5[[#This Row],[binding_level]]</f>
        <v>1</v>
      </c>
    </row>
    <row r="670" spans="1:11" x14ac:dyDescent="0.25">
      <c r="A670" s="24">
        <v>15</v>
      </c>
      <c r="B670" s="50">
        <v>97</v>
      </c>
      <c r="C670" s="50" t="s">
        <v>69</v>
      </c>
      <c r="D670" s="51">
        <v>0</v>
      </c>
      <c r="E670" s="53"/>
      <c r="F670" s="52"/>
      <c r="G670" s="52"/>
      <c r="H670" s="52"/>
      <c r="I670" s="53" t="s">
        <v>1457</v>
      </c>
      <c r="J670" s="52" t="s">
        <v>4788</v>
      </c>
      <c r="K670" s="25">
        <f>Tabelle5[[#This Row],[value_present]]*Tabelle5[[#This Row],[binding_level]]</f>
        <v>0</v>
      </c>
    </row>
    <row r="671" spans="1:11" x14ac:dyDescent="0.25">
      <c r="A671" s="24">
        <v>15</v>
      </c>
      <c r="B671" s="50">
        <v>97</v>
      </c>
      <c r="C671" s="50" t="s">
        <v>76</v>
      </c>
      <c r="D671" s="51">
        <v>0</v>
      </c>
      <c r="E671" s="53"/>
      <c r="F671" s="52"/>
      <c r="G671" s="52"/>
      <c r="H671" s="52"/>
      <c r="I671" s="53" t="s">
        <v>1456</v>
      </c>
      <c r="J671" s="52" t="s">
        <v>4711</v>
      </c>
      <c r="K671" s="25">
        <f>Tabelle5[[#This Row],[value_present]]*Tabelle5[[#This Row],[binding_level]]</f>
        <v>0</v>
      </c>
    </row>
    <row r="672" spans="1:11" x14ac:dyDescent="0.25">
      <c r="A672" s="24">
        <v>15</v>
      </c>
      <c r="B672" s="50">
        <v>97</v>
      </c>
      <c r="C672" s="50" t="s">
        <v>83</v>
      </c>
      <c r="D672" s="51">
        <v>0</v>
      </c>
      <c r="E672" s="53"/>
      <c r="F672" s="52"/>
      <c r="G672" s="52"/>
      <c r="H672" s="52"/>
      <c r="I672" s="53" t="s">
        <v>1456</v>
      </c>
      <c r="J672" s="52" t="s">
        <v>4711</v>
      </c>
      <c r="K672" s="25">
        <f>Tabelle5[[#This Row],[value_present]]*Tabelle5[[#This Row],[binding_level]]</f>
        <v>0</v>
      </c>
    </row>
    <row r="673" spans="1:11" x14ac:dyDescent="0.25">
      <c r="A673" s="24">
        <v>15</v>
      </c>
      <c r="B673" s="50">
        <v>97</v>
      </c>
      <c r="C673" s="50" t="s">
        <v>90</v>
      </c>
      <c r="D673" s="51">
        <v>1</v>
      </c>
      <c r="E673" s="53">
        <v>3</v>
      </c>
      <c r="F673" t="s">
        <v>4802</v>
      </c>
      <c r="G673" t="s">
        <v>4801</v>
      </c>
      <c r="H673" s="52" t="s">
        <v>4789</v>
      </c>
      <c r="I673" s="53" t="s">
        <v>1456</v>
      </c>
      <c r="J673" s="52" t="s">
        <v>4790</v>
      </c>
      <c r="K673" s="25">
        <f>Tabelle5[[#This Row],[value_present]]*Tabelle5[[#This Row],[binding_level]]</f>
        <v>3</v>
      </c>
    </row>
    <row r="674" spans="1:11" x14ac:dyDescent="0.25">
      <c r="A674" s="24">
        <v>15</v>
      </c>
      <c r="B674" s="50">
        <v>97</v>
      </c>
      <c r="C674" s="50" t="s">
        <v>98</v>
      </c>
      <c r="D674" s="51">
        <v>0</v>
      </c>
      <c r="E674" s="53"/>
      <c r="F674" s="52"/>
      <c r="G674" s="52"/>
      <c r="H674" s="52"/>
      <c r="I674" s="53" t="s">
        <v>1456</v>
      </c>
      <c r="J674" s="52" t="s">
        <v>4791</v>
      </c>
      <c r="K674" s="25">
        <f>Tabelle5[[#This Row],[value_present]]*Tabelle5[[#This Row],[binding_level]]</f>
        <v>0</v>
      </c>
    </row>
    <row r="675" spans="1:11" x14ac:dyDescent="0.25">
      <c r="A675" s="24">
        <v>15</v>
      </c>
      <c r="B675" s="50">
        <v>97</v>
      </c>
      <c r="C675" s="50" t="s">
        <v>106</v>
      </c>
      <c r="D675" s="51">
        <v>0</v>
      </c>
      <c r="E675" s="53"/>
      <c r="F675" s="52"/>
      <c r="G675" s="52"/>
      <c r="H675" s="52"/>
      <c r="I675" s="53" t="s">
        <v>1457</v>
      </c>
      <c r="J675" s="52" t="s">
        <v>4792</v>
      </c>
      <c r="K675" s="25">
        <f>Tabelle5[[#This Row],[value_present]]*Tabelle5[[#This Row],[binding_level]]</f>
        <v>0</v>
      </c>
    </row>
    <row r="676" spans="1:11" x14ac:dyDescent="0.25">
      <c r="A676" s="24">
        <v>15</v>
      </c>
      <c r="B676" s="50">
        <v>97</v>
      </c>
      <c r="C676" s="50" t="s">
        <v>112</v>
      </c>
      <c r="D676" s="51">
        <v>0</v>
      </c>
      <c r="E676" s="53"/>
      <c r="F676" s="52"/>
      <c r="G676" s="52"/>
      <c r="H676" s="52"/>
      <c r="I676" s="53" t="s">
        <v>1456</v>
      </c>
      <c r="J676" s="52" t="s">
        <v>4711</v>
      </c>
      <c r="K676" s="25">
        <f>Tabelle5[[#This Row],[value_present]]*Tabelle5[[#This Row],[binding_level]]</f>
        <v>0</v>
      </c>
    </row>
    <row r="677" spans="1:11" x14ac:dyDescent="0.25">
      <c r="A677" s="24">
        <v>15</v>
      </c>
      <c r="B677" s="50">
        <v>97</v>
      </c>
      <c r="C677" s="50" t="s">
        <v>118</v>
      </c>
      <c r="D677" s="51">
        <v>0</v>
      </c>
      <c r="E677" s="53"/>
      <c r="F677" s="52"/>
      <c r="G677" s="52"/>
      <c r="H677" s="52"/>
      <c r="I677" s="53" t="s">
        <v>1456</v>
      </c>
      <c r="J677" s="52" t="s">
        <v>4711</v>
      </c>
      <c r="K677" s="25">
        <f>Tabelle5[[#This Row],[value_present]]*Tabelle5[[#This Row],[binding_level]]</f>
        <v>0</v>
      </c>
    </row>
    <row r="678" spans="1:11" x14ac:dyDescent="0.25">
      <c r="A678" s="24">
        <v>15</v>
      </c>
      <c r="B678" s="50">
        <v>97</v>
      </c>
      <c r="C678" s="50" t="s">
        <v>125</v>
      </c>
      <c r="D678" s="51">
        <v>0</v>
      </c>
      <c r="E678" s="53"/>
      <c r="F678" s="52"/>
      <c r="G678" s="52"/>
      <c r="H678" s="52"/>
      <c r="I678" s="53" t="s">
        <v>1456</v>
      </c>
      <c r="J678" s="52" t="s">
        <v>4711</v>
      </c>
      <c r="K678" s="25">
        <f>Tabelle5[[#This Row],[value_present]]*Tabelle5[[#This Row],[binding_level]]</f>
        <v>0</v>
      </c>
    </row>
    <row r="679" spans="1:11" x14ac:dyDescent="0.25">
      <c r="A679" s="24">
        <v>15</v>
      </c>
      <c r="B679" s="50">
        <v>97</v>
      </c>
      <c r="C679" s="50" t="s">
        <v>132</v>
      </c>
      <c r="D679" s="51">
        <v>0</v>
      </c>
      <c r="E679" s="53"/>
      <c r="F679" s="52"/>
      <c r="G679" s="52"/>
      <c r="H679" s="52"/>
      <c r="I679" s="53" t="s">
        <v>1456</v>
      </c>
      <c r="J679" s="52" t="s">
        <v>4711</v>
      </c>
      <c r="K679" s="25">
        <f>Tabelle5[[#This Row],[value_present]]*Tabelle5[[#This Row],[binding_level]]</f>
        <v>0</v>
      </c>
    </row>
    <row r="680" spans="1:11" x14ac:dyDescent="0.25">
      <c r="A680" s="24">
        <v>15</v>
      </c>
      <c r="B680" s="50">
        <v>97</v>
      </c>
      <c r="C680" s="50" t="s">
        <v>140</v>
      </c>
      <c r="D680" s="51">
        <v>1</v>
      </c>
      <c r="E680" s="53">
        <v>1</v>
      </c>
      <c r="F680" t="s">
        <v>4783</v>
      </c>
      <c r="G680" t="s">
        <v>4784</v>
      </c>
      <c r="H680" s="52" t="s">
        <v>4793</v>
      </c>
      <c r="I680" s="53" t="s">
        <v>1457</v>
      </c>
      <c r="J680" s="52" t="s">
        <v>4794</v>
      </c>
      <c r="K680" s="25">
        <f>Tabelle5[[#This Row],[value_present]]*Tabelle5[[#This Row],[binding_level]]</f>
        <v>1</v>
      </c>
    </row>
    <row r="681" spans="1:11" x14ac:dyDescent="0.25">
      <c r="A681" s="24">
        <v>15</v>
      </c>
      <c r="B681" s="50">
        <v>97</v>
      </c>
      <c r="C681" s="50" t="s">
        <v>147</v>
      </c>
      <c r="D681" s="51">
        <v>1</v>
      </c>
      <c r="E681" s="53">
        <v>3</v>
      </c>
      <c r="F681" t="s">
        <v>4804</v>
      </c>
      <c r="G681" t="s">
        <v>4803</v>
      </c>
      <c r="H681" s="52" t="s">
        <v>4795</v>
      </c>
      <c r="I681" s="53" t="s">
        <v>1456</v>
      </c>
      <c r="J681" s="52" t="s">
        <v>4796</v>
      </c>
      <c r="K681" s="25">
        <f>Tabelle5[[#This Row],[value_present]]*Tabelle5[[#This Row],[binding_level]]</f>
        <v>3</v>
      </c>
    </row>
    <row r="682" spans="1:11" x14ac:dyDescent="0.25">
      <c r="A682" s="24">
        <v>15</v>
      </c>
      <c r="B682" s="50">
        <v>97</v>
      </c>
      <c r="C682" s="50" t="s">
        <v>154</v>
      </c>
      <c r="D682" s="51">
        <v>0</v>
      </c>
      <c r="E682" s="53"/>
      <c r="F682" s="52"/>
      <c r="G682" s="52"/>
      <c r="H682" s="52"/>
      <c r="I682" s="53" t="s">
        <v>1457</v>
      </c>
      <c r="J682" s="52" t="s">
        <v>4797</v>
      </c>
      <c r="K682" s="25">
        <f>Tabelle5[[#This Row],[value_present]]*Tabelle5[[#This Row],[binding_level]]</f>
        <v>0</v>
      </c>
    </row>
    <row r="683" spans="1:11" x14ac:dyDescent="0.25">
      <c r="A683" s="24">
        <v>15</v>
      </c>
      <c r="B683" s="50">
        <v>97</v>
      </c>
      <c r="C683" s="50" t="s">
        <v>161</v>
      </c>
      <c r="D683" s="51">
        <v>0</v>
      </c>
      <c r="E683" s="53"/>
      <c r="F683" s="52"/>
      <c r="G683" s="52"/>
      <c r="H683" s="52"/>
      <c r="I683" s="53" t="s">
        <v>1457</v>
      </c>
      <c r="J683" s="52" t="s">
        <v>4798</v>
      </c>
      <c r="K683" s="25">
        <f>Tabelle5[[#This Row],[value_present]]*Tabelle5[[#This Row],[binding_level]]</f>
        <v>0</v>
      </c>
    </row>
    <row r="684" spans="1:11" x14ac:dyDescent="0.25">
      <c r="A684" s="24">
        <v>15</v>
      </c>
      <c r="B684" s="50">
        <v>97</v>
      </c>
      <c r="C684" s="50" t="s">
        <v>166</v>
      </c>
      <c r="D684" s="51">
        <v>0</v>
      </c>
      <c r="E684" s="53"/>
      <c r="F684" s="52"/>
      <c r="G684" s="52"/>
      <c r="H684" s="52"/>
      <c r="I684" s="53" t="s">
        <v>1456</v>
      </c>
      <c r="J684" s="52" t="s">
        <v>4711</v>
      </c>
      <c r="K684" s="25">
        <f>Tabelle5[[#This Row],[value_present]]*Tabelle5[[#This Row],[binding_level]]</f>
        <v>0</v>
      </c>
    </row>
    <row r="685" spans="1:11" ht="15.75" thickBot="1" x14ac:dyDescent="0.3">
      <c r="A685" s="26">
        <v>15</v>
      </c>
      <c r="B685" s="27">
        <v>97</v>
      </c>
      <c r="C685" s="27" t="s">
        <v>174</v>
      </c>
      <c r="D685" s="28">
        <v>0</v>
      </c>
      <c r="E685" s="29"/>
      <c r="F685" s="30"/>
      <c r="G685" s="30"/>
      <c r="H685" s="30"/>
      <c r="I685" s="29" t="s">
        <v>1456</v>
      </c>
      <c r="J685" s="30" t="s">
        <v>4711</v>
      </c>
      <c r="K685" s="31">
        <f>Tabelle5[[#This Row],[value_present]]*Tabelle5[[#This Row],[binding_level]]</f>
        <v>0</v>
      </c>
    </row>
    <row r="686" spans="1:11" x14ac:dyDescent="0.25">
      <c r="A686" s="18">
        <v>17</v>
      </c>
      <c r="B686" s="19">
        <v>102</v>
      </c>
      <c r="C686" s="19" t="s">
        <v>53</v>
      </c>
      <c r="D686" s="20">
        <v>1</v>
      </c>
      <c r="E686" s="21">
        <v>3</v>
      </c>
      <c r="F686" t="s">
        <v>4888</v>
      </c>
      <c r="G686" t="s">
        <v>4887</v>
      </c>
      <c r="H686" s="22" t="s">
        <v>4841</v>
      </c>
      <c r="I686" s="21" t="s">
        <v>1456</v>
      </c>
      <c r="J686" s="22" t="s">
        <v>4842</v>
      </c>
      <c r="K686" s="23">
        <f>Tabelle5[[#This Row],[value_present]]*Tabelle5[[#This Row],[binding_level]]</f>
        <v>3</v>
      </c>
    </row>
    <row r="687" spans="1:11" x14ac:dyDescent="0.25">
      <c r="A687" s="24">
        <v>17</v>
      </c>
      <c r="B687" s="50">
        <v>102</v>
      </c>
      <c r="C687" s="50" t="s">
        <v>61</v>
      </c>
      <c r="D687" s="51">
        <v>1</v>
      </c>
      <c r="E687" s="53">
        <v>2</v>
      </c>
      <c r="F687" t="s">
        <v>4889</v>
      </c>
      <c r="G687" t="s">
        <v>4890</v>
      </c>
      <c r="H687" s="52" t="s">
        <v>4843</v>
      </c>
      <c r="I687" s="53" t="s">
        <v>1456</v>
      </c>
      <c r="J687" s="52" t="s">
        <v>4844</v>
      </c>
      <c r="K687" s="25">
        <f>Tabelle5[[#This Row],[value_present]]*Tabelle5[[#This Row],[binding_level]]</f>
        <v>2</v>
      </c>
    </row>
    <row r="688" spans="1:11" x14ac:dyDescent="0.25">
      <c r="A688" s="24">
        <v>17</v>
      </c>
      <c r="B688" s="50">
        <v>102</v>
      </c>
      <c r="C688" s="50" t="s">
        <v>69</v>
      </c>
      <c r="D688" s="51">
        <v>1</v>
      </c>
      <c r="E688" s="53">
        <v>3</v>
      </c>
      <c r="F688" t="s">
        <v>4891</v>
      </c>
      <c r="G688" t="s">
        <v>4892</v>
      </c>
      <c r="H688" s="52" t="s">
        <v>4845</v>
      </c>
      <c r="I688" s="53" t="s">
        <v>1456</v>
      </c>
      <c r="J688" s="52" t="s">
        <v>4846</v>
      </c>
      <c r="K688" s="25">
        <f>Tabelle5[[#This Row],[value_present]]*Tabelle5[[#This Row],[binding_level]]</f>
        <v>3</v>
      </c>
    </row>
    <row r="689" spans="1:11" x14ac:dyDescent="0.25">
      <c r="A689" s="24">
        <v>17</v>
      </c>
      <c r="B689" s="50">
        <v>102</v>
      </c>
      <c r="C689" s="50" t="s">
        <v>76</v>
      </c>
      <c r="D689" s="51">
        <v>1</v>
      </c>
      <c r="E689" s="53">
        <v>3</v>
      </c>
      <c r="F689" t="s">
        <v>4871</v>
      </c>
      <c r="G689" t="s">
        <v>4872</v>
      </c>
      <c r="H689" s="52" t="s">
        <v>4826</v>
      </c>
      <c r="I689" s="53" t="s">
        <v>1456</v>
      </c>
      <c r="J689" s="52" t="s">
        <v>4847</v>
      </c>
      <c r="K689" s="25">
        <f>Tabelle5[[#This Row],[value_present]]*Tabelle5[[#This Row],[binding_level]]</f>
        <v>3</v>
      </c>
    </row>
    <row r="690" spans="1:11" x14ac:dyDescent="0.25">
      <c r="A690" s="24">
        <v>17</v>
      </c>
      <c r="B690" s="50">
        <v>102</v>
      </c>
      <c r="C690" s="50" t="s">
        <v>83</v>
      </c>
      <c r="D690" s="51">
        <v>1</v>
      </c>
      <c r="E690" s="53">
        <v>3</v>
      </c>
      <c r="F690" t="s">
        <v>4894</v>
      </c>
      <c r="G690" t="s">
        <v>4893</v>
      </c>
      <c r="H690" s="52" t="s">
        <v>4848</v>
      </c>
      <c r="I690" s="53" t="s">
        <v>1456</v>
      </c>
      <c r="J690" s="52" t="s">
        <v>4849</v>
      </c>
      <c r="K690" s="25">
        <f>Tabelle5[[#This Row],[value_present]]*Tabelle5[[#This Row],[binding_level]]</f>
        <v>3</v>
      </c>
    </row>
    <row r="691" spans="1:11" x14ac:dyDescent="0.25">
      <c r="A691" s="24">
        <v>17</v>
      </c>
      <c r="B691" s="50">
        <v>102</v>
      </c>
      <c r="C691" s="50" t="s">
        <v>90</v>
      </c>
      <c r="D691" s="51">
        <v>1</v>
      </c>
      <c r="E691" s="53">
        <v>3</v>
      </c>
      <c r="F691" t="s">
        <v>4896</v>
      </c>
      <c r="G691" t="s">
        <v>4895</v>
      </c>
      <c r="H691" s="52" t="s">
        <v>4850</v>
      </c>
      <c r="I691" s="53" t="s">
        <v>1456</v>
      </c>
      <c r="J691" s="52" t="s">
        <v>4851</v>
      </c>
      <c r="K691" s="25">
        <f>Tabelle5[[#This Row],[value_present]]*Tabelle5[[#This Row],[binding_level]]</f>
        <v>3</v>
      </c>
    </row>
    <row r="692" spans="1:11" x14ac:dyDescent="0.25">
      <c r="A692" s="24">
        <v>17</v>
      </c>
      <c r="B692" s="50">
        <v>102</v>
      </c>
      <c r="C692" s="50" t="s">
        <v>98</v>
      </c>
      <c r="D692" s="51">
        <v>1</v>
      </c>
      <c r="E692" s="53">
        <v>3</v>
      </c>
      <c r="F692" t="s">
        <v>4898</v>
      </c>
      <c r="G692" t="s">
        <v>4897</v>
      </c>
      <c r="H692" s="52" t="s">
        <v>4852</v>
      </c>
      <c r="I692" s="53" t="s">
        <v>1456</v>
      </c>
      <c r="J692" s="52" t="s">
        <v>4853</v>
      </c>
      <c r="K692" s="25">
        <f>Tabelle5[[#This Row],[value_present]]*Tabelle5[[#This Row],[binding_level]]</f>
        <v>3</v>
      </c>
    </row>
    <row r="693" spans="1:11" x14ac:dyDescent="0.25">
      <c r="A693" s="24">
        <v>17</v>
      </c>
      <c r="B693" s="50">
        <v>102</v>
      </c>
      <c r="C693" s="50" t="s">
        <v>106</v>
      </c>
      <c r="D693" s="51">
        <v>1</v>
      </c>
      <c r="E693" s="53">
        <v>3</v>
      </c>
      <c r="F693" t="s">
        <v>4900</v>
      </c>
      <c r="G693" t="s">
        <v>4899</v>
      </c>
      <c r="H693" s="52" t="s">
        <v>4854</v>
      </c>
      <c r="I693" s="53" t="s">
        <v>1456</v>
      </c>
      <c r="J693" s="52" t="s">
        <v>4855</v>
      </c>
      <c r="K693" s="25">
        <f>Tabelle5[[#This Row],[value_present]]*Tabelle5[[#This Row],[binding_level]]</f>
        <v>3</v>
      </c>
    </row>
    <row r="694" spans="1:11" x14ac:dyDescent="0.25">
      <c r="A694" s="24">
        <v>17</v>
      </c>
      <c r="B694" s="50">
        <v>102</v>
      </c>
      <c r="C694" s="50" t="s">
        <v>112</v>
      </c>
      <c r="D694" s="51">
        <v>1</v>
      </c>
      <c r="E694" s="53">
        <v>3</v>
      </c>
      <c r="F694" t="s">
        <v>4875</v>
      </c>
      <c r="G694" t="s">
        <v>4876</v>
      </c>
      <c r="H694" s="52" t="s">
        <v>4856</v>
      </c>
      <c r="I694" s="53" t="s">
        <v>1456</v>
      </c>
      <c r="J694" s="52" t="s">
        <v>4857</v>
      </c>
      <c r="K694" s="25">
        <f>Tabelle5[[#This Row],[value_present]]*Tabelle5[[#This Row],[binding_level]]</f>
        <v>3</v>
      </c>
    </row>
    <row r="695" spans="1:11" x14ac:dyDescent="0.25">
      <c r="A695" s="24">
        <v>17</v>
      </c>
      <c r="B695" s="50">
        <v>102</v>
      </c>
      <c r="C695" s="50" t="s">
        <v>118</v>
      </c>
      <c r="D695" s="51">
        <v>1</v>
      </c>
      <c r="E695" s="53">
        <v>2</v>
      </c>
      <c r="F695" t="s">
        <v>4877</v>
      </c>
      <c r="G695" t="s">
        <v>4878</v>
      </c>
      <c r="H695" s="52" t="s">
        <v>4832</v>
      </c>
      <c r="I695" s="53" t="s">
        <v>1457</v>
      </c>
      <c r="J695" s="52" t="s">
        <v>4858</v>
      </c>
      <c r="K695" s="25">
        <f>Tabelle5[[#This Row],[value_present]]*Tabelle5[[#This Row],[binding_level]]</f>
        <v>2</v>
      </c>
    </row>
    <row r="696" spans="1:11" x14ac:dyDescent="0.25">
      <c r="A696" s="24">
        <v>17</v>
      </c>
      <c r="B696" s="50">
        <v>102</v>
      </c>
      <c r="C696" s="50" t="s">
        <v>125</v>
      </c>
      <c r="D696" s="51">
        <v>1</v>
      </c>
      <c r="E696" s="53">
        <v>3</v>
      </c>
      <c r="F696" t="s">
        <v>4879</v>
      </c>
      <c r="G696" t="s">
        <v>4880</v>
      </c>
      <c r="H696" s="52" t="s">
        <v>4826</v>
      </c>
      <c r="I696" s="53" t="s">
        <v>1457</v>
      </c>
      <c r="J696" s="52" t="s">
        <v>4859</v>
      </c>
      <c r="K696" s="25">
        <f>Tabelle5[[#This Row],[value_present]]*Tabelle5[[#This Row],[binding_level]]</f>
        <v>3</v>
      </c>
    </row>
    <row r="697" spans="1:11" x14ac:dyDescent="0.25">
      <c r="A697" s="24">
        <v>17</v>
      </c>
      <c r="B697" s="50">
        <v>102</v>
      </c>
      <c r="C697" s="50" t="s">
        <v>132</v>
      </c>
      <c r="D697" s="51">
        <v>0</v>
      </c>
      <c r="E697" s="53"/>
      <c r="F697" s="52"/>
      <c r="G697" s="52"/>
      <c r="H697" s="52"/>
      <c r="I697" s="53" t="s">
        <v>1456</v>
      </c>
      <c r="J697" s="52" t="s">
        <v>4860</v>
      </c>
      <c r="K697" s="25">
        <f>Tabelle5[[#This Row],[value_present]]*Tabelle5[[#This Row],[binding_level]]</f>
        <v>0</v>
      </c>
    </row>
    <row r="698" spans="1:11" x14ac:dyDescent="0.25">
      <c r="A698" s="24">
        <v>17</v>
      </c>
      <c r="B698" s="50">
        <v>102</v>
      </c>
      <c r="C698" s="50" t="s">
        <v>140</v>
      </c>
      <c r="D698" s="51">
        <v>1</v>
      </c>
      <c r="E698" s="53">
        <v>1</v>
      </c>
      <c r="F698" t="s">
        <v>4881</v>
      </c>
      <c r="G698" t="s">
        <v>4882</v>
      </c>
      <c r="H698" s="52" t="s">
        <v>4861</v>
      </c>
      <c r="I698" s="53" t="s">
        <v>1457</v>
      </c>
      <c r="J698" s="52" t="s">
        <v>4862</v>
      </c>
      <c r="K698" s="25">
        <f>Tabelle5[[#This Row],[value_present]]*Tabelle5[[#This Row],[binding_level]]</f>
        <v>1</v>
      </c>
    </row>
    <row r="699" spans="1:11" x14ac:dyDescent="0.25">
      <c r="A699" s="24">
        <v>17</v>
      </c>
      <c r="B699" s="50">
        <v>102</v>
      </c>
      <c r="C699" s="50" t="s">
        <v>147</v>
      </c>
      <c r="D699" s="51">
        <v>1</v>
      </c>
      <c r="E699" s="53">
        <v>3</v>
      </c>
      <c r="F699" t="s">
        <v>4902</v>
      </c>
      <c r="G699" t="s">
        <v>4901</v>
      </c>
      <c r="H699" s="52" t="s">
        <v>4863</v>
      </c>
      <c r="I699" s="53" t="s">
        <v>1456</v>
      </c>
      <c r="J699" s="52" t="s">
        <v>4864</v>
      </c>
      <c r="K699" s="25">
        <f>Tabelle5[[#This Row],[value_present]]*Tabelle5[[#This Row],[binding_level]]</f>
        <v>3</v>
      </c>
    </row>
    <row r="700" spans="1:11" x14ac:dyDescent="0.25">
      <c r="A700" s="24">
        <v>17</v>
      </c>
      <c r="B700" s="50">
        <v>102</v>
      </c>
      <c r="C700" s="50" t="s">
        <v>154</v>
      </c>
      <c r="D700" s="51">
        <v>1</v>
      </c>
      <c r="E700" s="53">
        <v>2</v>
      </c>
      <c r="F700" t="s">
        <v>4883</v>
      </c>
      <c r="G700" t="s">
        <v>4884</v>
      </c>
      <c r="H700" s="52" t="s">
        <v>4822</v>
      </c>
      <c r="I700" s="53" t="s">
        <v>1456</v>
      </c>
      <c r="J700" s="52" t="s">
        <v>4865</v>
      </c>
      <c r="K700" s="25">
        <f>Tabelle5[[#This Row],[value_present]]*Tabelle5[[#This Row],[binding_level]]</f>
        <v>2</v>
      </c>
    </row>
    <row r="701" spans="1:11" x14ac:dyDescent="0.25">
      <c r="A701" s="24">
        <v>17</v>
      </c>
      <c r="B701" s="50">
        <v>102</v>
      </c>
      <c r="C701" s="50" t="s">
        <v>161</v>
      </c>
      <c r="D701" s="51">
        <v>1</v>
      </c>
      <c r="E701" s="53">
        <v>3</v>
      </c>
      <c r="F701" t="s">
        <v>4904</v>
      </c>
      <c r="G701" t="s">
        <v>4903</v>
      </c>
      <c r="H701" s="52" t="s">
        <v>4866</v>
      </c>
      <c r="I701" s="53" t="s">
        <v>1456</v>
      </c>
      <c r="J701" s="52" t="s">
        <v>4867</v>
      </c>
      <c r="K701" s="25">
        <f>Tabelle5[[#This Row],[value_present]]*Tabelle5[[#This Row],[binding_level]]</f>
        <v>3</v>
      </c>
    </row>
    <row r="702" spans="1:11" x14ac:dyDescent="0.25">
      <c r="A702" s="24">
        <v>17</v>
      </c>
      <c r="B702" s="50">
        <v>102</v>
      </c>
      <c r="C702" s="50" t="s">
        <v>166</v>
      </c>
      <c r="D702" s="51">
        <v>1</v>
      </c>
      <c r="E702" s="53">
        <v>3</v>
      </c>
      <c r="F702" t="s">
        <v>4873</v>
      </c>
      <c r="G702" t="s">
        <v>4874</v>
      </c>
      <c r="H702" s="52" t="s">
        <v>4868</v>
      </c>
      <c r="I702" s="53" t="s">
        <v>1456</v>
      </c>
      <c r="J702" s="52" t="s">
        <v>4869</v>
      </c>
      <c r="K702" s="25">
        <f>Tabelle5[[#This Row],[value_present]]*Tabelle5[[#This Row],[binding_level]]</f>
        <v>3</v>
      </c>
    </row>
    <row r="703" spans="1:11" ht="15.75" thickBot="1" x14ac:dyDescent="0.3">
      <c r="A703" s="24">
        <v>17</v>
      </c>
      <c r="B703" s="50">
        <v>102</v>
      </c>
      <c r="C703" s="50" t="s">
        <v>174</v>
      </c>
      <c r="D703" s="51">
        <v>1</v>
      </c>
      <c r="E703" s="53">
        <v>3</v>
      </c>
      <c r="F703" t="s">
        <v>4885</v>
      </c>
      <c r="G703" t="s">
        <v>4886</v>
      </c>
      <c r="H703" s="52" t="s">
        <v>4836</v>
      </c>
      <c r="I703" s="53" t="s">
        <v>1457</v>
      </c>
      <c r="J703" s="52" t="s">
        <v>4870</v>
      </c>
      <c r="K703" s="25">
        <f>Tabelle5[[#This Row],[value_present]]*Tabelle5[[#This Row],[binding_level]]</f>
        <v>3</v>
      </c>
    </row>
    <row r="704" spans="1:11" x14ac:dyDescent="0.25">
      <c r="A704" s="18">
        <v>19</v>
      </c>
      <c r="B704" s="19">
        <v>113</v>
      </c>
      <c r="C704" s="19" t="s">
        <v>53</v>
      </c>
      <c r="D704" s="20">
        <v>1</v>
      </c>
      <c r="E704" s="21">
        <v>3</v>
      </c>
      <c r="F704" t="s">
        <v>4964</v>
      </c>
      <c r="G704" t="s">
        <v>4963</v>
      </c>
      <c r="H704" s="22" t="s">
        <v>4940</v>
      </c>
      <c r="I704" s="21" t="s">
        <v>1456</v>
      </c>
      <c r="J704" s="22" t="s">
        <v>4924</v>
      </c>
      <c r="K704" s="23">
        <f>Tabelle5[[#This Row],[value_present]]*Tabelle5[[#This Row],[binding_level]]</f>
        <v>3</v>
      </c>
    </row>
    <row r="705" spans="1:11" x14ac:dyDescent="0.25">
      <c r="A705" s="24">
        <v>19</v>
      </c>
      <c r="B705" s="50">
        <v>113</v>
      </c>
      <c r="C705" s="50" t="s">
        <v>61</v>
      </c>
      <c r="D705" s="51">
        <v>1</v>
      </c>
      <c r="E705" s="53">
        <v>3</v>
      </c>
      <c r="F705" t="s">
        <v>4949</v>
      </c>
      <c r="G705" t="s">
        <v>4950</v>
      </c>
      <c r="H705" s="52" t="s">
        <v>4941</v>
      </c>
      <c r="I705" s="53" t="s">
        <v>1456</v>
      </c>
      <c r="J705" s="52" t="s">
        <v>4925</v>
      </c>
      <c r="K705" s="25">
        <f>Tabelle5[[#This Row],[value_present]]*Tabelle5[[#This Row],[binding_level]]</f>
        <v>3</v>
      </c>
    </row>
    <row r="706" spans="1:11" x14ac:dyDescent="0.25">
      <c r="A706" s="24">
        <v>19</v>
      </c>
      <c r="B706" s="50">
        <v>113</v>
      </c>
      <c r="C706" s="50" t="s">
        <v>69</v>
      </c>
      <c r="D706" s="51">
        <v>1</v>
      </c>
      <c r="E706" s="53">
        <v>2</v>
      </c>
      <c r="F706" t="s">
        <v>4951</v>
      </c>
      <c r="G706" t="s">
        <v>4952</v>
      </c>
      <c r="H706" s="52" t="s">
        <v>4942</v>
      </c>
      <c r="I706" s="53" t="s">
        <v>1456</v>
      </c>
      <c r="J706" s="52" t="s">
        <v>4926</v>
      </c>
      <c r="K706" s="25">
        <f>Tabelle5[[#This Row],[value_present]]*Tabelle5[[#This Row],[binding_level]]</f>
        <v>2</v>
      </c>
    </row>
    <row r="707" spans="1:11" x14ac:dyDescent="0.25">
      <c r="A707" s="24">
        <v>19</v>
      </c>
      <c r="B707" s="50">
        <v>113</v>
      </c>
      <c r="C707" s="50" t="s">
        <v>76</v>
      </c>
      <c r="D707" s="51">
        <v>0</v>
      </c>
      <c r="E707" s="53"/>
      <c r="F707" s="52"/>
      <c r="G707" s="52"/>
      <c r="H707" s="52"/>
      <c r="I707" s="53" t="s">
        <v>1456</v>
      </c>
      <c r="J707" s="52" t="s">
        <v>4711</v>
      </c>
      <c r="K707" s="25">
        <f>Tabelle5[[#This Row],[value_present]]*Tabelle5[[#This Row],[binding_level]]</f>
        <v>0</v>
      </c>
    </row>
    <row r="708" spans="1:11" x14ac:dyDescent="0.25">
      <c r="A708" s="24">
        <v>19</v>
      </c>
      <c r="B708" s="50">
        <v>113</v>
      </c>
      <c r="C708" s="50" t="s">
        <v>83</v>
      </c>
      <c r="D708" s="51">
        <v>1</v>
      </c>
      <c r="E708" s="53">
        <v>2</v>
      </c>
      <c r="F708" t="s">
        <v>4953</v>
      </c>
      <c r="G708" t="s">
        <v>4954</v>
      </c>
      <c r="H708" s="52" t="s">
        <v>4942</v>
      </c>
      <c r="I708" s="53" t="s">
        <v>1456</v>
      </c>
      <c r="J708" s="52" t="s">
        <v>4927</v>
      </c>
      <c r="K708" s="25">
        <f>Tabelle5[[#This Row],[value_present]]*Tabelle5[[#This Row],[binding_level]]</f>
        <v>2</v>
      </c>
    </row>
    <row r="709" spans="1:11" x14ac:dyDescent="0.25">
      <c r="A709" s="24">
        <v>19</v>
      </c>
      <c r="B709" s="50">
        <v>113</v>
      </c>
      <c r="C709" s="50" t="s">
        <v>90</v>
      </c>
      <c r="D709" s="51">
        <v>1</v>
      </c>
      <c r="E709" s="53">
        <v>3</v>
      </c>
      <c r="F709" t="s">
        <v>4966</v>
      </c>
      <c r="G709" t="s">
        <v>4965</v>
      </c>
      <c r="H709" s="52" t="s">
        <v>4943</v>
      </c>
      <c r="I709" s="53" t="s">
        <v>1456</v>
      </c>
      <c r="J709" s="52" t="s">
        <v>4928</v>
      </c>
      <c r="K709" s="25">
        <f>Tabelle5[[#This Row],[value_present]]*Tabelle5[[#This Row],[binding_level]]</f>
        <v>3</v>
      </c>
    </row>
    <row r="710" spans="1:11" x14ac:dyDescent="0.25">
      <c r="A710" s="24">
        <v>19</v>
      </c>
      <c r="B710" s="50">
        <v>113</v>
      </c>
      <c r="C710" s="50" t="s">
        <v>98</v>
      </c>
      <c r="D710" s="51">
        <v>1</v>
      </c>
      <c r="E710" s="53">
        <v>3</v>
      </c>
      <c r="F710" t="s">
        <v>4968</v>
      </c>
      <c r="G710" t="s">
        <v>4967</v>
      </c>
      <c r="H710" s="52" t="s">
        <v>4943</v>
      </c>
      <c r="I710" s="53" t="s">
        <v>1456</v>
      </c>
      <c r="J710" s="52" t="s">
        <v>4929</v>
      </c>
      <c r="K710" s="25">
        <f>Tabelle5[[#This Row],[value_present]]*Tabelle5[[#This Row],[binding_level]]</f>
        <v>3</v>
      </c>
    </row>
    <row r="711" spans="1:11" x14ac:dyDescent="0.25">
      <c r="A711" s="24">
        <v>19</v>
      </c>
      <c r="B711" s="50">
        <v>113</v>
      </c>
      <c r="C711" s="50" t="s">
        <v>106</v>
      </c>
      <c r="D711" s="51">
        <v>1</v>
      </c>
      <c r="E711" s="53">
        <v>2</v>
      </c>
      <c r="F711" t="s">
        <v>4957</v>
      </c>
      <c r="G711" t="s">
        <v>4958</v>
      </c>
      <c r="H711" s="52" t="s">
        <v>4944</v>
      </c>
      <c r="I711" s="53" t="s">
        <v>1457</v>
      </c>
      <c r="J711" s="52" t="s">
        <v>4930</v>
      </c>
      <c r="K711" s="25">
        <f>Tabelle5[[#This Row],[value_present]]*Tabelle5[[#This Row],[binding_level]]</f>
        <v>2</v>
      </c>
    </row>
    <row r="712" spans="1:11" x14ac:dyDescent="0.25">
      <c r="A712" s="24">
        <v>19</v>
      </c>
      <c r="B712" s="50">
        <v>113</v>
      </c>
      <c r="C712" s="50" t="s">
        <v>112</v>
      </c>
      <c r="D712" s="51">
        <v>0</v>
      </c>
      <c r="E712" s="53"/>
      <c r="F712" s="52"/>
      <c r="G712" s="52"/>
      <c r="H712" s="52"/>
      <c r="I712" s="53" t="s">
        <v>1457</v>
      </c>
      <c r="J712" s="52" t="s">
        <v>4931</v>
      </c>
      <c r="K712" s="25">
        <f>Tabelle5[[#This Row],[value_present]]*Tabelle5[[#This Row],[binding_level]]</f>
        <v>0</v>
      </c>
    </row>
    <row r="713" spans="1:11" x14ac:dyDescent="0.25">
      <c r="A713" s="24">
        <v>19</v>
      </c>
      <c r="B713" s="50">
        <v>113</v>
      </c>
      <c r="C713" s="50" t="s">
        <v>118</v>
      </c>
      <c r="D713" s="51">
        <v>0</v>
      </c>
      <c r="E713" s="53"/>
      <c r="F713" s="52"/>
      <c r="G713" s="52"/>
      <c r="H713" s="52"/>
      <c r="I713" s="53" t="s">
        <v>1456</v>
      </c>
      <c r="J713" s="52" t="s">
        <v>4711</v>
      </c>
      <c r="K713" s="25">
        <f>Tabelle5[[#This Row],[value_present]]*Tabelle5[[#This Row],[binding_level]]</f>
        <v>0</v>
      </c>
    </row>
    <row r="714" spans="1:11" x14ac:dyDescent="0.25">
      <c r="A714" s="24">
        <v>19</v>
      </c>
      <c r="B714" s="50">
        <v>113</v>
      </c>
      <c r="C714" s="50" t="s">
        <v>125</v>
      </c>
      <c r="D714" s="51">
        <v>1</v>
      </c>
      <c r="E714" s="53">
        <v>1</v>
      </c>
      <c r="F714" t="s">
        <v>4959</v>
      </c>
      <c r="G714" t="s">
        <v>4960</v>
      </c>
      <c r="H714" s="52" t="s">
        <v>4944</v>
      </c>
      <c r="I714" s="53" t="s">
        <v>1457</v>
      </c>
      <c r="J714" s="52" t="s">
        <v>4932</v>
      </c>
      <c r="K714" s="25">
        <f>Tabelle5[[#This Row],[value_present]]*Tabelle5[[#This Row],[binding_level]]</f>
        <v>1</v>
      </c>
    </row>
    <row r="715" spans="1:11" x14ac:dyDescent="0.25">
      <c r="A715" s="24">
        <v>19</v>
      </c>
      <c r="B715" s="50">
        <v>113</v>
      </c>
      <c r="C715" s="50" t="s">
        <v>132</v>
      </c>
      <c r="D715" s="51">
        <v>1</v>
      </c>
      <c r="E715" s="53">
        <v>3</v>
      </c>
      <c r="F715" t="s">
        <v>4970</v>
      </c>
      <c r="G715" t="s">
        <v>4969</v>
      </c>
      <c r="H715" s="52" t="s">
        <v>4945</v>
      </c>
      <c r="I715" s="53" t="s">
        <v>1456</v>
      </c>
      <c r="J715" s="52" t="s">
        <v>4933</v>
      </c>
      <c r="K715" s="25">
        <f>Tabelle5[[#This Row],[value_present]]*Tabelle5[[#This Row],[binding_level]]</f>
        <v>3</v>
      </c>
    </row>
    <row r="716" spans="1:11" x14ac:dyDescent="0.25">
      <c r="A716" s="24">
        <v>19</v>
      </c>
      <c r="B716" s="50">
        <v>113</v>
      </c>
      <c r="C716" s="50" t="s">
        <v>140</v>
      </c>
      <c r="D716" s="51">
        <v>1</v>
      </c>
      <c r="E716" s="53">
        <v>1</v>
      </c>
      <c r="F716" t="s">
        <v>4961</v>
      </c>
      <c r="G716" t="s">
        <v>4962</v>
      </c>
      <c r="H716" s="52" t="s">
        <v>4946</v>
      </c>
      <c r="I716" s="53" t="s">
        <v>1457</v>
      </c>
      <c r="J716" s="52" t="s">
        <v>4934</v>
      </c>
      <c r="K716" s="25">
        <f>Tabelle5[[#This Row],[value_present]]*Tabelle5[[#This Row],[binding_level]]</f>
        <v>1</v>
      </c>
    </row>
    <row r="717" spans="1:11" x14ac:dyDescent="0.25">
      <c r="A717" s="24">
        <v>19</v>
      </c>
      <c r="B717" s="50">
        <v>113</v>
      </c>
      <c r="C717" s="50" t="s">
        <v>147</v>
      </c>
      <c r="D717" s="51">
        <v>1</v>
      </c>
      <c r="E717" s="53">
        <v>3</v>
      </c>
      <c r="F717" t="s">
        <v>4974</v>
      </c>
      <c r="G717" t="s">
        <v>4971</v>
      </c>
      <c r="H717" s="52" t="s">
        <v>4947</v>
      </c>
      <c r="I717" s="53" t="s">
        <v>1456</v>
      </c>
      <c r="J717" s="52" t="s">
        <v>4935</v>
      </c>
      <c r="K717" s="25">
        <f>Tabelle5[[#This Row],[value_present]]*Tabelle5[[#This Row],[binding_level]]</f>
        <v>3</v>
      </c>
    </row>
    <row r="718" spans="1:11" x14ac:dyDescent="0.25">
      <c r="A718" s="24">
        <v>19</v>
      </c>
      <c r="B718" s="50">
        <v>113</v>
      </c>
      <c r="C718" s="50" t="s">
        <v>154</v>
      </c>
      <c r="D718" s="51">
        <v>1</v>
      </c>
      <c r="E718" s="53">
        <v>2</v>
      </c>
      <c r="F718" t="s">
        <v>4973</v>
      </c>
      <c r="G718" t="s">
        <v>4972</v>
      </c>
      <c r="H718" s="52" t="s">
        <v>4948</v>
      </c>
      <c r="I718" s="53" t="s">
        <v>1456</v>
      </c>
      <c r="J718" s="52" t="s">
        <v>4936</v>
      </c>
      <c r="K718" s="25">
        <f>Tabelle5[[#This Row],[value_present]]*Tabelle5[[#This Row],[binding_level]]</f>
        <v>2</v>
      </c>
    </row>
    <row r="719" spans="1:11" x14ac:dyDescent="0.25">
      <c r="A719" s="24">
        <v>19</v>
      </c>
      <c r="B719" s="50">
        <v>113</v>
      </c>
      <c r="C719" s="50" t="s">
        <v>161</v>
      </c>
      <c r="D719" s="51">
        <v>0</v>
      </c>
      <c r="E719" s="53"/>
      <c r="F719" s="52"/>
      <c r="G719" s="52"/>
      <c r="H719" s="52"/>
      <c r="I719" s="53" t="s">
        <v>1457</v>
      </c>
      <c r="J719" s="52" t="s">
        <v>4937</v>
      </c>
      <c r="K719" s="25">
        <f>Tabelle5[[#This Row],[value_present]]*Tabelle5[[#This Row],[binding_level]]</f>
        <v>0</v>
      </c>
    </row>
    <row r="720" spans="1:11" x14ac:dyDescent="0.25">
      <c r="A720" s="24">
        <v>19</v>
      </c>
      <c r="B720" s="50">
        <v>113</v>
      </c>
      <c r="C720" s="50" t="s">
        <v>166</v>
      </c>
      <c r="D720" s="51">
        <v>1</v>
      </c>
      <c r="E720" s="53">
        <v>2</v>
      </c>
      <c r="F720" t="s">
        <v>4955</v>
      </c>
      <c r="G720" t="s">
        <v>4956</v>
      </c>
      <c r="H720" s="52" t="s">
        <v>4943</v>
      </c>
      <c r="I720" s="53" t="s">
        <v>1457</v>
      </c>
      <c r="J720" s="52" t="s">
        <v>4938</v>
      </c>
      <c r="K720" s="25">
        <f>Tabelle5[[#This Row],[value_present]]*Tabelle5[[#This Row],[binding_level]]</f>
        <v>2</v>
      </c>
    </row>
    <row r="721" spans="1:11" ht="15.75" thickBot="1" x14ac:dyDescent="0.3">
      <c r="A721" s="26">
        <v>19</v>
      </c>
      <c r="B721" s="27">
        <v>113</v>
      </c>
      <c r="C721" s="27" t="s">
        <v>174</v>
      </c>
      <c r="D721" s="28">
        <v>0</v>
      </c>
      <c r="E721" s="29"/>
      <c r="F721" s="30"/>
      <c r="G721" s="30"/>
      <c r="H721" s="30"/>
      <c r="I721" s="29" t="s">
        <v>1457</v>
      </c>
      <c r="J721" s="30" t="s">
        <v>4939</v>
      </c>
      <c r="K721" s="31">
        <f>Tabelle5[[#This Row],[value_present]]*Tabelle5[[#This Row],[binding_level]]</f>
        <v>0</v>
      </c>
    </row>
    <row r="722" spans="1:11" x14ac:dyDescent="0.25">
      <c r="A722" s="18">
        <v>20</v>
      </c>
      <c r="B722" s="19">
        <v>122</v>
      </c>
      <c r="C722" s="19" t="s">
        <v>53</v>
      </c>
      <c r="D722" s="20">
        <v>0</v>
      </c>
      <c r="E722" s="21"/>
      <c r="F722" s="22"/>
      <c r="G722" s="22"/>
      <c r="H722" s="22"/>
      <c r="I722" s="21" t="s">
        <v>1457</v>
      </c>
      <c r="J722" s="22" t="s">
        <v>5002</v>
      </c>
      <c r="K722" s="23">
        <f>Tabelle5[[#This Row],[value_present]]*Tabelle5[[#This Row],[binding_level]]</f>
        <v>0</v>
      </c>
    </row>
    <row r="723" spans="1:11" x14ac:dyDescent="0.25">
      <c r="A723" s="24">
        <v>20</v>
      </c>
      <c r="B723" s="50">
        <v>122</v>
      </c>
      <c r="C723" s="50" t="s">
        <v>61</v>
      </c>
      <c r="D723" s="51">
        <v>0</v>
      </c>
      <c r="E723" s="53"/>
      <c r="F723" s="52"/>
      <c r="G723" s="52"/>
      <c r="H723" s="52"/>
      <c r="I723" s="53" t="s">
        <v>1457</v>
      </c>
      <c r="J723" s="52" t="s">
        <v>5003</v>
      </c>
      <c r="K723" s="25">
        <f>Tabelle5[[#This Row],[value_present]]*Tabelle5[[#This Row],[binding_level]]</f>
        <v>0</v>
      </c>
    </row>
    <row r="724" spans="1:11" x14ac:dyDescent="0.25">
      <c r="A724" s="24">
        <v>20</v>
      </c>
      <c r="B724" s="50">
        <v>122</v>
      </c>
      <c r="C724" s="50" t="s">
        <v>69</v>
      </c>
      <c r="D724" s="51">
        <v>1</v>
      </c>
      <c r="E724" s="53">
        <v>1</v>
      </c>
      <c r="F724" t="s">
        <v>5012</v>
      </c>
      <c r="G724" t="s">
        <v>5013</v>
      </c>
      <c r="H724" s="52" t="s">
        <v>5004</v>
      </c>
      <c r="I724" s="53" t="s">
        <v>1457</v>
      </c>
      <c r="J724" s="52" t="s">
        <v>5005</v>
      </c>
      <c r="K724" s="25">
        <f>Tabelle5[[#This Row],[value_present]]*Tabelle5[[#This Row],[binding_level]]</f>
        <v>1</v>
      </c>
    </row>
    <row r="725" spans="1:11" x14ac:dyDescent="0.25">
      <c r="A725" s="24">
        <v>20</v>
      </c>
      <c r="B725" s="50">
        <v>122</v>
      </c>
      <c r="C725" s="50" t="s">
        <v>76</v>
      </c>
      <c r="D725" s="51">
        <v>0</v>
      </c>
      <c r="E725" s="53"/>
      <c r="F725" s="52"/>
      <c r="G725" s="52"/>
      <c r="H725" s="52"/>
      <c r="I725" s="53" t="s">
        <v>1456</v>
      </c>
      <c r="J725" s="52" t="s">
        <v>4711</v>
      </c>
      <c r="K725" s="25">
        <f>Tabelle5[[#This Row],[value_present]]*Tabelle5[[#This Row],[binding_level]]</f>
        <v>0</v>
      </c>
    </row>
    <row r="726" spans="1:11" x14ac:dyDescent="0.25">
      <c r="A726" s="24">
        <v>20</v>
      </c>
      <c r="B726" s="50">
        <v>122</v>
      </c>
      <c r="C726" s="50" t="s">
        <v>83</v>
      </c>
      <c r="D726" s="51">
        <v>0</v>
      </c>
      <c r="E726" s="53"/>
      <c r="F726" s="52"/>
      <c r="G726" s="52"/>
      <c r="H726" s="52"/>
      <c r="I726" s="53" t="s">
        <v>1456</v>
      </c>
      <c r="J726" s="52" t="s">
        <v>4711</v>
      </c>
      <c r="K726" s="25">
        <f>Tabelle5[[#This Row],[value_present]]*Tabelle5[[#This Row],[binding_level]]</f>
        <v>0</v>
      </c>
    </row>
    <row r="727" spans="1:11" x14ac:dyDescent="0.25">
      <c r="A727" s="24">
        <v>20</v>
      </c>
      <c r="B727" s="50">
        <v>122</v>
      </c>
      <c r="C727" s="50" t="s">
        <v>90</v>
      </c>
      <c r="D727" s="51">
        <v>1</v>
      </c>
      <c r="E727" s="53">
        <v>1</v>
      </c>
      <c r="F727" t="s">
        <v>5019</v>
      </c>
      <c r="G727" t="s">
        <v>5018</v>
      </c>
      <c r="H727" s="52" t="s">
        <v>5004</v>
      </c>
      <c r="I727" s="53" t="s">
        <v>1456</v>
      </c>
      <c r="J727" s="52" t="s">
        <v>5006</v>
      </c>
      <c r="K727" s="25">
        <f>Tabelle5[[#This Row],[value_present]]*Tabelle5[[#This Row],[binding_level]]</f>
        <v>1</v>
      </c>
    </row>
    <row r="728" spans="1:11" x14ac:dyDescent="0.25">
      <c r="A728" s="24">
        <v>20</v>
      </c>
      <c r="B728" s="50">
        <v>122</v>
      </c>
      <c r="C728" s="50" t="s">
        <v>98</v>
      </c>
      <c r="D728" s="51">
        <v>1</v>
      </c>
      <c r="E728" s="53">
        <v>1</v>
      </c>
      <c r="F728" t="s">
        <v>5012</v>
      </c>
      <c r="G728" t="s">
        <v>5013</v>
      </c>
      <c r="H728" s="52" t="s">
        <v>5004</v>
      </c>
      <c r="I728" s="53" t="s">
        <v>1457</v>
      </c>
      <c r="J728" s="52" t="s">
        <v>5007</v>
      </c>
      <c r="K728" s="25">
        <f>Tabelle5[[#This Row],[value_present]]*Tabelle5[[#This Row],[binding_level]]</f>
        <v>1</v>
      </c>
    </row>
    <row r="729" spans="1:11" x14ac:dyDescent="0.25">
      <c r="A729" s="24">
        <v>20</v>
      </c>
      <c r="B729" s="50">
        <v>122</v>
      </c>
      <c r="C729" s="50" t="s">
        <v>106</v>
      </c>
      <c r="D729" s="51">
        <v>0</v>
      </c>
      <c r="E729" s="53"/>
      <c r="F729" s="52"/>
      <c r="G729" s="52"/>
      <c r="H729" s="52"/>
      <c r="I729" s="53" t="s">
        <v>1456</v>
      </c>
      <c r="J729" s="52" t="s">
        <v>4711</v>
      </c>
      <c r="K729" s="25">
        <f>Tabelle5[[#This Row],[value_present]]*Tabelle5[[#This Row],[binding_level]]</f>
        <v>0</v>
      </c>
    </row>
    <row r="730" spans="1:11" x14ac:dyDescent="0.25">
      <c r="A730" s="24">
        <v>20</v>
      </c>
      <c r="B730" s="50">
        <v>122</v>
      </c>
      <c r="C730" s="50" t="s">
        <v>112</v>
      </c>
      <c r="D730" s="51">
        <v>0</v>
      </c>
      <c r="E730" s="53"/>
      <c r="F730" s="52"/>
      <c r="G730" s="52"/>
      <c r="H730" s="52"/>
      <c r="I730" s="53" t="s">
        <v>1456</v>
      </c>
      <c r="J730" s="52" t="s">
        <v>4711</v>
      </c>
      <c r="K730" s="25">
        <f>Tabelle5[[#This Row],[value_present]]*Tabelle5[[#This Row],[binding_level]]</f>
        <v>0</v>
      </c>
    </row>
    <row r="731" spans="1:11" x14ac:dyDescent="0.25">
      <c r="A731" s="24">
        <v>20</v>
      </c>
      <c r="B731" s="50">
        <v>122</v>
      </c>
      <c r="C731" s="50" t="s">
        <v>118</v>
      </c>
      <c r="D731" s="51">
        <v>0</v>
      </c>
      <c r="E731" s="53"/>
      <c r="F731" s="52"/>
      <c r="G731" s="52"/>
      <c r="H731" s="52"/>
      <c r="I731" s="53" t="s">
        <v>1457</v>
      </c>
      <c r="J731" s="52" t="s">
        <v>5008</v>
      </c>
      <c r="K731" s="25">
        <f>Tabelle5[[#This Row],[value_present]]*Tabelle5[[#This Row],[binding_level]]</f>
        <v>0</v>
      </c>
    </row>
    <row r="732" spans="1:11" x14ac:dyDescent="0.25">
      <c r="A732" s="24">
        <v>20</v>
      </c>
      <c r="B732" s="50">
        <v>122</v>
      </c>
      <c r="C732" s="50" t="s">
        <v>125</v>
      </c>
      <c r="D732" s="51">
        <v>0</v>
      </c>
      <c r="E732" s="53"/>
      <c r="F732" s="52"/>
      <c r="G732" s="52"/>
      <c r="H732" s="52"/>
      <c r="I732" s="53" t="s">
        <v>1456</v>
      </c>
      <c r="J732" s="52" t="s">
        <v>4711</v>
      </c>
      <c r="K732" s="25">
        <f>Tabelle5[[#This Row],[value_present]]*Tabelle5[[#This Row],[binding_level]]</f>
        <v>0</v>
      </c>
    </row>
    <row r="733" spans="1:11" x14ac:dyDescent="0.25">
      <c r="A733" s="24">
        <v>20</v>
      </c>
      <c r="B733" s="50">
        <v>122</v>
      </c>
      <c r="C733" s="50" t="s">
        <v>132</v>
      </c>
      <c r="D733" s="51">
        <v>0</v>
      </c>
      <c r="E733" s="53"/>
      <c r="F733" s="52"/>
      <c r="G733" s="52"/>
      <c r="H733" s="52"/>
      <c r="I733" s="53" t="s">
        <v>1456</v>
      </c>
      <c r="J733" s="52" t="s">
        <v>4711</v>
      </c>
      <c r="K733" s="25">
        <f>Tabelle5[[#This Row],[value_present]]*Tabelle5[[#This Row],[binding_level]]</f>
        <v>0</v>
      </c>
    </row>
    <row r="734" spans="1:11" x14ac:dyDescent="0.25">
      <c r="A734" s="24">
        <v>20</v>
      </c>
      <c r="B734" s="50">
        <v>122</v>
      </c>
      <c r="C734" s="50" t="s">
        <v>140</v>
      </c>
      <c r="D734" s="51">
        <v>0</v>
      </c>
      <c r="E734" s="53"/>
      <c r="F734" s="52"/>
      <c r="G734" s="52"/>
      <c r="H734" s="52"/>
      <c r="I734" s="53" t="s">
        <v>1457</v>
      </c>
      <c r="J734" s="52" t="s">
        <v>5009</v>
      </c>
      <c r="K734" s="25">
        <f>Tabelle5[[#This Row],[value_present]]*Tabelle5[[#This Row],[binding_level]]</f>
        <v>0</v>
      </c>
    </row>
    <row r="735" spans="1:11" x14ac:dyDescent="0.25">
      <c r="A735" s="24">
        <v>20</v>
      </c>
      <c r="B735" s="50">
        <v>122</v>
      </c>
      <c r="C735" s="50" t="s">
        <v>147</v>
      </c>
      <c r="D735" s="51">
        <v>1</v>
      </c>
      <c r="E735" s="53">
        <v>1</v>
      </c>
      <c r="F735" t="s">
        <v>5014</v>
      </c>
      <c r="G735" t="s">
        <v>5015</v>
      </c>
      <c r="H735" s="52" t="s">
        <v>5004</v>
      </c>
      <c r="I735" s="53" t="s">
        <v>1456</v>
      </c>
      <c r="J735" s="52" t="s">
        <v>5010</v>
      </c>
      <c r="K735" s="25">
        <f>Tabelle5[[#This Row],[value_present]]*Tabelle5[[#This Row],[binding_level]]</f>
        <v>1</v>
      </c>
    </row>
    <row r="736" spans="1:11" x14ac:dyDescent="0.25">
      <c r="A736" s="24">
        <v>20</v>
      </c>
      <c r="B736" s="50">
        <v>122</v>
      </c>
      <c r="C736" s="50" t="s">
        <v>154</v>
      </c>
      <c r="D736" s="51">
        <v>1</v>
      </c>
      <c r="E736" s="53">
        <v>1</v>
      </c>
      <c r="F736" t="s">
        <v>5016</v>
      </c>
      <c r="G736" t="s">
        <v>5017</v>
      </c>
      <c r="H736" s="52" t="s">
        <v>5004</v>
      </c>
      <c r="I736" s="53" t="s">
        <v>1456</v>
      </c>
      <c r="J736" s="52" t="s">
        <v>5011</v>
      </c>
      <c r="K736" s="25">
        <f>Tabelle5[[#This Row],[value_present]]*Tabelle5[[#This Row],[binding_level]]</f>
        <v>1</v>
      </c>
    </row>
    <row r="737" spans="1:11" x14ac:dyDescent="0.25">
      <c r="A737" s="24">
        <v>20</v>
      </c>
      <c r="B737" s="50">
        <v>122</v>
      </c>
      <c r="C737" s="50" t="s">
        <v>161</v>
      </c>
      <c r="D737" s="51">
        <v>0</v>
      </c>
      <c r="E737" s="53"/>
      <c r="F737" s="52"/>
      <c r="G737" s="52"/>
      <c r="H737" s="52"/>
      <c r="I737" s="53" t="s">
        <v>1456</v>
      </c>
      <c r="J737" s="52" t="s">
        <v>4711</v>
      </c>
      <c r="K737" s="25">
        <f>Tabelle5[[#This Row],[value_present]]*Tabelle5[[#This Row],[binding_level]]</f>
        <v>0</v>
      </c>
    </row>
    <row r="738" spans="1:11" x14ac:dyDescent="0.25">
      <c r="A738" s="24">
        <v>20</v>
      </c>
      <c r="B738" s="50">
        <v>122</v>
      </c>
      <c r="C738" s="50" t="s">
        <v>166</v>
      </c>
      <c r="D738" s="51">
        <v>0</v>
      </c>
      <c r="E738" s="53"/>
      <c r="F738" s="52"/>
      <c r="G738" s="52"/>
      <c r="H738" s="52"/>
      <c r="I738" s="53" t="s">
        <v>1456</v>
      </c>
      <c r="J738" s="52" t="s">
        <v>4711</v>
      </c>
      <c r="K738" s="25">
        <f>Tabelle5[[#This Row],[value_present]]*Tabelle5[[#This Row],[binding_level]]</f>
        <v>0</v>
      </c>
    </row>
    <row r="739" spans="1:11" ht="15.75" thickBot="1" x14ac:dyDescent="0.3">
      <c r="A739" s="26">
        <v>20</v>
      </c>
      <c r="B739" s="27">
        <v>122</v>
      </c>
      <c r="C739" s="27" t="s">
        <v>174</v>
      </c>
      <c r="D739" s="28">
        <v>0</v>
      </c>
      <c r="E739" s="29"/>
      <c r="F739" s="30"/>
      <c r="G739" s="30"/>
      <c r="H739" s="30"/>
      <c r="I739" s="29" t="s">
        <v>1456</v>
      </c>
      <c r="J739" s="30" t="s">
        <v>4711</v>
      </c>
      <c r="K739" s="31">
        <f>Tabelle5[[#This Row],[value_present]]*Tabelle5[[#This Row],[binding_level]]</f>
        <v>0</v>
      </c>
    </row>
    <row r="740" spans="1:11" x14ac:dyDescent="0.25">
      <c r="A740" s="18">
        <v>22</v>
      </c>
      <c r="B740" s="19">
        <v>132</v>
      </c>
      <c r="C740" s="19" t="s">
        <v>53</v>
      </c>
      <c r="D740" s="20">
        <v>1</v>
      </c>
      <c r="E740" s="21">
        <v>2</v>
      </c>
      <c r="F740" t="s">
        <v>5073</v>
      </c>
      <c r="G740" t="s">
        <v>5074</v>
      </c>
      <c r="H740" s="22" t="s">
        <v>5072</v>
      </c>
      <c r="I740" s="21" t="s">
        <v>1456</v>
      </c>
      <c r="J740" s="22" t="s">
        <v>5057</v>
      </c>
      <c r="K740" s="23">
        <f>Tabelle5[[#This Row],[value_present]]*Tabelle5[[#This Row],[binding_level]]</f>
        <v>2</v>
      </c>
    </row>
    <row r="741" spans="1:11" x14ac:dyDescent="0.25">
      <c r="A741" s="24">
        <v>22</v>
      </c>
      <c r="B741" s="50">
        <v>132</v>
      </c>
      <c r="C741" s="50" t="s">
        <v>61</v>
      </c>
      <c r="D741" s="51">
        <v>1</v>
      </c>
      <c r="E741" s="53">
        <v>2</v>
      </c>
      <c r="F741" t="s">
        <v>5075</v>
      </c>
      <c r="G741" t="s">
        <v>2854</v>
      </c>
      <c r="H741" s="52" t="s">
        <v>5072</v>
      </c>
      <c r="I741" s="53" t="s">
        <v>1456</v>
      </c>
      <c r="J741" s="52" t="s">
        <v>5058</v>
      </c>
      <c r="K741" s="25">
        <f>Tabelle5[[#This Row],[value_present]]*Tabelle5[[#This Row],[binding_level]]</f>
        <v>2</v>
      </c>
    </row>
    <row r="742" spans="1:11" x14ac:dyDescent="0.25">
      <c r="A742" s="24">
        <v>22</v>
      </c>
      <c r="B742" s="50">
        <v>132</v>
      </c>
      <c r="C742" s="50" t="s">
        <v>69</v>
      </c>
      <c r="D742" s="51">
        <v>1</v>
      </c>
      <c r="E742" s="53">
        <v>2</v>
      </c>
      <c r="F742" t="s">
        <v>5076</v>
      </c>
      <c r="G742" t="s">
        <v>5077</v>
      </c>
      <c r="H742" s="52" t="s">
        <v>5072</v>
      </c>
      <c r="I742" s="53" t="s">
        <v>1456</v>
      </c>
      <c r="J742" s="52" t="s">
        <v>5059</v>
      </c>
      <c r="K742" s="25">
        <f>Tabelle5[[#This Row],[value_present]]*Tabelle5[[#This Row],[binding_level]]</f>
        <v>2</v>
      </c>
    </row>
    <row r="743" spans="1:11" x14ac:dyDescent="0.25">
      <c r="A743" s="24">
        <v>22</v>
      </c>
      <c r="B743" s="50">
        <v>132</v>
      </c>
      <c r="C743" s="50" t="s">
        <v>76</v>
      </c>
      <c r="D743" s="51">
        <v>0</v>
      </c>
      <c r="E743" s="53"/>
      <c r="F743" s="52"/>
      <c r="G743" s="52"/>
      <c r="H743" s="52"/>
      <c r="I743" s="53" t="s">
        <v>1456</v>
      </c>
      <c r="J743" s="52" t="s">
        <v>5060</v>
      </c>
      <c r="K743" s="25">
        <f>Tabelle5[[#This Row],[value_present]]*Tabelle5[[#This Row],[binding_level]]</f>
        <v>0</v>
      </c>
    </row>
    <row r="744" spans="1:11" x14ac:dyDescent="0.25">
      <c r="A744" s="24">
        <v>22</v>
      </c>
      <c r="B744" s="50">
        <v>132</v>
      </c>
      <c r="C744" s="50" t="s">
        <v>83</v>
      </c>
      <c r="D744" s="51">
        <v>0</v>
      </c>
      <c r="E744" s="53"/>
      <c r="F744" s="52"/>
      <c r="G744" s="52"/>
      <c r="H744" s="52"/>
      <c r="I744" s="53" t="s">
        <v>1456</v>
      </c>
      <c r="J744" s="52" t="s">
        <v>5061</v>
      </c>
      <c r="K744" s="25">
        <f>Tabelle5[[#This Row],[value_present]]*Tabelle5[[#This Row],[binding_level]]</f>
        <v>0</v>
      </c>
    </row>
    <row r="745" spans="1:11" x14ac:dyDescent="0.25">
      <c r="A745" s="24">
        <v>22</v>
      </c>
      <c r="B745" s="50">
        <v>132</v>
      </c>
      <c r="C745" s="50" t="s">
        <v>90</v>
      </c>
      <c r="D745" s="51">
        <v>0</v>
      </c>
      <c r="E745" s="53"/>
      <c r="F745" s="52"/>
      <c r="G745" s="52"/>
      <c r="H745" s="52"/>
      <c r="I745" s="53" t="s">
        <v>1457</v>
      </c>
      <c r="J745" s="52" t="s">
        <v>5062</v>
      </c>
      <c r="K745" s="25">
        <f>Tabelle5[[#This Row],[value_present]]*Tabelle5[[#This Row],[binding_level]]</f>
        <v>0</v>
      </c>
    </row>
    <row r="746" spans="1:11" x14ac:dyDescent="0.25">
      <c r="A746" s="24">
        <v>22</v>
      </c>
      <c r="B746" s="50">
        <v>132</v>
      </c>
      <c r="C746" s="50" t="s">
        <v>98</v>
      </c>
      <c r="D746" s="51">
        <v>0</v>
      </c>
      <c r="E746" s="53"/>
      <c r="F746" s="52"/>
      <c r="G746" s="52"/>
      <c r="H746" s="52"/>
      <c r="I746" s="53" t="s">
        <v>1457</v>
      </c>
      <c r="J746" s="52" t="s">
        <v>5063</v>
      </c>
      <c r="K746" s="25">
        <f>Tabelle5[[#This Row],[value_present]]*Tabelle5[[#This Row],[binding_level]]</f>
        <v>0</v>
      </c>
    </row>
    <row r="747" spans="1:11" x14ac:dyDescent="0.25">
      <c r="A747" s="24">
        <v>22</v>
      </c>
      <c r="B747" s="50">
        <v>132</v>
      </c>
      <c r="C747" s="50" t="s">
        <v>106</v>
      </c>
      <c r="D747" s="51">
        <v>1</v>
      </c>
      <c r="E747" s="53">
        <v>2</v>
      </c>
      <c r="F747" t="s">
        <v>5078</v>
      </c>
      <c r="G747" t="s">
        <v>5079</v>
      </c>
      <c r="H747" s="52" t="s">
        <v>5072</v>
      </c>
      <c r="I747" s="53" t="s">
        <v>1457</v>
      </c>
      <c r="J747" s="52" t="s">
        <v>5064</v>
      </c>
      <c r="K747" s="25">
        <f>Tabelle5[[#This Row],[value_present]]*Tabelle5[[#This Row],[binding_level]]</f>
        <v>2</v>
      </c>
    </row>
    <row r="748" spans="1:11" x14ac:dyDescent="0.25">
      <c r="A748" s="24">
        <v>22</v>
      </c>
      <c r="B748" s="50">
        <v>132</v>
      </c>
      <c r="C748" s="50" t="s">
        <v>112</v>
      </c>
      <c r="D748" s="51">
        <v>1</v>
      </c>
      <c r="E748" s="53">
        <v>2</v>
      </c>
      <c r="F748" t="s">
        <v>5080</v>
      </c>
      <c r="G748" t="s">
        <v>5081</v>
      </c>
      <c r="H748" s="52" t="s">
        <v>5072</v>
      </c>
      <c r="I748" s="53" t="s">
        <v>1457</v>
      </c>
      <c r="J748" s="52" t="s">
        <v>5065</v>
      </c>
      <c r="K748" s="25">
        <f>Tabelle5[[#This Row],[value_present]]*Tabelle5[[#This Row],[binding_level]]</f>
        <v>2</v>
      </c>
    </row>
    <row r="749" spans="1:11" x14ac:dyDescent="0.25">
      <c r="A749" s="24">
        <v>22</v>
      </c>
      <c r="B749" s="50">
        <v>132</v>
      </c>
      <c r="C749" s="50" t="s">
        <v>118</v>
      </c>
      <c r="D749" s="51">
        <v>0</v>
      </c>
      <c r="E749" s="53"/>
      <c r="F749" s="52"/>
      <c r="G749" s="52"/>
      <c r="H749" s="52"/>
      <c r="I749" s="53" t="s">
        <v>1457</v>
      </c>
      <c r="J749" s="52" t="s">
        <v>5066</v>
      </c>
      <c r="K749" s="25">
        <f>Tabelle5[[#This Row],[value_present]]*Tabelle5[[#This Row],[binding_level]]</f>
        <v>0</v>
      </c>
    </row>
    <row r="750" spans="1:11" x14ac:dyDescent="0.25">
      <c r="A750" s="24">
        <v>22</v>
      </c>
      <c r="B750" s="50">
        <v>132</v>
      </c>
      <c r="C750" s="50" t="s">
        <v>125</v>
      </c>
      <c r="D750" s="51">
        <v>0</v>
      </c>
      <c r="E750" s="53"/>
      <c r="F750" s="52"/>
      <c r="G750" s="52"/>
      <c r="H750" s="52"/>
      <c r="I750" s="53" t="s">
        <v>1456</v>
      </c>
      <c r="J750" s="52" t="s">
        <v>4711</v>
      </c>
      <c r="K750" s="25">
        <f>Tabelle5[[#This Row],[value_present]]*Tabelle5[[#This Row],[binding_level]]</f>
        <v>0</v>
      </c>
    </row>
    <row r="751" spans="1:11" x14ac:dyDescent="0.25">
      <c r="A751" s="24">
        <v>22</v>
      </c>
      <c r="B751" s="50">
        <v>132</v>
      </c>
      <c r="C751" s="50" t="s">
        <v>132</v>
      </c>
      <c r="D751" s="51">
        <v>0</v>
      </c>
      <c r="E751" s="53"/>
      <c r="F751" s="52"/>
      <c r="G751" s="52"/>
      <c r="H751" s="52"/>
      <c r="I751" s="53" t="s">
        <v>1456</v>
      </c>
      <c r="J751" s="52" t="s">
        <v>4711</v>
      </c>
      <c r="K751" s="25">
        <f>Tabelle5[[#This Row],[value_present]]*Tabelle5[[#This Row],[binding_level]]</f>
        <v>0</v>
      </c>
    </row>
    <row r="752" spans="1:11" x14ac:dyDescent="0.25">
      <c r="A752" s="24">
        <v>22</v>
      </c>
      <c r="B752" s="50">
        <v>132</v>
      </c>
      <c r="C752" s="50" t="s">
        <v>140</v>
      </c>
      <c r="D752" s="51">
        <v>0</v>
      </c>
      <c r="E752" s="53"/>
      <c r="F752" s="52"/>
      <c r="G752" s="52"/>
      <c r="H752" s="52"/>
      <c r="I752" s="53" t="s">
        <v>1456</v>
      </c>
      <c r="J752" s="52" t="s">
        <v>4711</v>
      </c>
      <c r="K752" s="25">
        <f>Tabelle5[[#This Row],[value_present]]*Tabelle5[[#This Row],[binding_level]]</f>
        <v>0</v>
      </c>
    </row>
    <row r="753" spans="1:11" x14ac:dyDescent="0.25">
      <c r="A753" s="24">
        <v>22</v>
      </c>
      <c r="B753" s="50">
        <v>132</v>
      </c>
      <c r="C753" s="50" t="s">
        <v>147</v>
      </c>
      <c r="D753" s="51">
        <v>0</v>
      </c>
      <c r="E753" s="53"/>
      <c r="F753" s="52"/>
      <c r="G753" s="52"/>
      <c r="H753" s="52"/>
      <c r="I753" s="53" t="s">
        <v>1457</v>
      </c>
      <c r="J753" s="52" t="s">
        <v>5067</v>
      </c>
      <c r="K753" s="25">
        <f>Tabelle5[[#This Row],[value_present]]*Tabelle5[[#This Row],[binding_level]]</f>
        <v>0</v>
      </c>
    </row>
    <row r="754" spans="1:11" x14ac:dyDescent="0.25">
      <c r="A754" s="24">
        <v>22</v>
      </c>
      <c r="B754" s="50">
        <v>132</v>
      </c>
      <c r="C754" s="50" t="s">
        <v>154</v>
      </c>
      <c r="D754" s="51">
        <v>1</v>
      </c>
      <c r="E754" s="53">
        <v>1</v>
      </c>
      <c r="F754" t="s">
        <v>5082</v>
      </c>
      <c r="G754" t="s">
        <v>5083</v>
      </c>
      <c r="H754" s="52" t="s">
        <v>5072</v>
      </c>
      <c r="I754" s="53" t="s">
        <v>1457</v>
      </c>
      <c r="J754" s="52" t="s">
        <v>5068</v>
      </c>
      <c r="K754" s="25">
        <f>Tabelle5[[#This Row],[value_present]]*Tabelle5[[#This Row],[binding_level]]</f>
        <v>1</v>
      </c>
    </row>
    <row r="755" spans="1:11" x14ac:dyDescent="0.25">
      <c r="A755" s="24">
        <v>22</v>
      </c>
      <c r="B755" s="50">
        <v>132</v>
      </c>
      <c r="C755" s="50" t="s">
        <v>161</v>
      </c>
      <c r="D755" s="51">
        <v>0</v>
      </c>
      <c r="E755" s="53"/>
      <c r="F755" s="52"/>
      <c r="G755" s="52"/>
      <c r="H755" s="52"/>
      <c r="I755" s="53" t="s">
        <v>1457</v>
      </c>
      <c r="J755" s="52" t="s">
        <v>5069</v>
      </c>
      <c r="K755" s="25">
        <f>Tabelle5[[#This Row],[value_present]]*Tabelle5[[#This Row],[binding_level]]</f>
        <v>0</v>
      </c>
    </row>
    <row r="756" spans="1:11" x14ac:dyDescent="0.25">
      <c r="A756" s="24">
        <v>22</v>
      </c>
      <c r="B756" s="50">
        <v>132</v>
      </c>
      <c r="C756" s="50" t="s">
        <v>166</v>
      </c>
      <c r="D756" s="51">
        <v>0</v>
      </c>
      <c r="E756" s="53"/>
      <c r="F756" s="52"/>
      <c r="G756" s="52"/>
      <c r="H756" s="52"/>
      <c r="I756" s="53" t="s">
        <v>1457</v>
      </c>
      <c r="J756" s="52" t="s">
        <v>5070</v>
      </c>
      <c r="K756" s="25">
        <f>Tabelle5[[#This Row],[value_present]]*Tabelle5[[#This Row],[binding_level]]</f>
        <v>0</v>
      </c>
    </row>
    <row r="757" spans="1:11" ht="15.75" thickBot="1" x14ac:dyDescent="0.3">
      <c r="A757" s="26">
        <v>22</v>
      </c>
      <c r="B757" s="27">
        <v>132</v>
      </c>
      <c r="C757" s="27" t="s">
        <v>174</v>
      </c>
      <c r="D757" s="28">
        <v>0</v>
      </c>
      <c r="E757" s="29"/>
      <c r="F757" s="30"/>
      <c r="G757" s="30"/>
      <c r="H757" s="30"/>
      <c r="I757" s="29" t="s">
        <v>1541</v>
      </c>
      <c r="J757" s="30" t="s">
        <v>5071</v>
      </c>
      <c r="K757" s="31">
        <f>Tabelle5[[#This Row],[value_present]]*Tabelle5[[#This Row],[binding_level]]</f>
        <v>0</v>
      </c>
    </row>
    <row r="758" spans="1:11" x14ac:dyDescent="0.25">
      <c r="A758" s="2"/>
      <c r="B758" s="2"/>
      <c r="C758" s="2" t="s">
        <v>53</v>
      </c>
      <c r="D758" s="3"/>
      <c r="E758" s="1"/>
      <c r="I758" s="1"/>
      <c r="K758" s="4">
        <f>Tabelle5[[#This Row],[value_present]]*Tabelle5[[#This Row],[binding_level]]</f>
        <v>0</v>
      </c>
    </row>
    <row r="759" spans="1:11" x14ac:dyDescent="0.25">
      <c r="A759" s="2"/>
      <c r="B759" s="2"/>
      <c r="C759" s="2" t="s">
        <v>61</v>
      </c>
      <c r="D759" s="3"/>
      <c r="E759" s="1"/>
      <c r="I759" s="1"/>
      <c r="K759" s="4">
        <f>Tabelle5[[#This Row],[value_present]]*Tabelle5[[#This Row],[binding_level]]</f>
        <v>0</v>
      </c>
    </row>
    <row r="760" spans="1:11" x14ac:dyDescent="0.25">
      <c r="A760" s="2"/>
      <c r="B760" s="2"/>
      <c r="C760" s="2" t="s">
        <v>69</v>
      </c>
      <c r="D760" s="3"/>
      <c r="E760" s="1"/>
      <c r="I760" s="1"/>
      <c r="K760" s="4">
        <f>Tabelle5[[#This Row],[value_present]]*Tabelle5[[#This Row],[binding_level]]</f>
        <v>0</v>
      </c>
    </row>
    <row r="761" spans="1:11" x14ac:dyDescent="0.25">
      <c r="A761" s="2"/>
      <c r="B761" s="2"/>
      <c r="C761" s="2" t="s">
        <v>76</v>
      </c>
      <c r="D761" s="3"/>
      <c r="E761" s="1"/>
      <c r="I761" s="1"/>
      <c r="K761" s="4">
        <f>Tabelle5[[#This Row],[value_present]]*Tabelle5[[#This Row],[binding_level]]</f>
        <v>0</v>
      </c>
    </row>
    <row r="762" spans="1:11" x14ac:dyDescent="0.25">
      <c r="A762" s="2"/>
      <c r="B762" s="2"/>
      <c r="C762" s="2" t="s">
        <v>83</v>
      </c>
      <c r="D762" s="3"/>
      <c r="E762" s="1"/>
      <c r="I762" s="1"/>
      <c r="K762" s="4">
        <f>Tabelle5[[#This Row],[value_present]]*Tabelle5[[#This Row],[binding_level]]</f>
        <v>0</v>
      </c>
    </row>
    <row r="763" spans="1:11" x14ac:dyDescent="0.25">
      <c r="A763" s="2"/>
      <c r="B763" s="2"/>
      <c r="C763" s="2" t="s">
        <v>90</v>
      </c>
      <c r="D763" s="3"/>
      <c r="E763" s="1"/>
      <c r="I763" s="1"/>
      <c r="K763" s="4">
        <f>Tabelle5[[#This Row],[value_present]]*Tabelle5[[#This Row],[binding_level]]</f>
        <v>0</v>
      </c>
    </row>
    <row r="764" spans="1:11" x14ac:dyDescent="0.25">
      <c r="A764" s="2"/>
      <c r="B764" s="2"/>
      <c r="C764" s="2" t="s">
        <v>98</v>
      </c>
      <c r="D764" s="3"/>
      <c r="E764" s="1"/>
      <c r="I764" s="1"/>
      <c r="K764" s="4">
        <f>Tabelle5[[#This Row],[value_present]]*Tabelle5[[#This Row],[binding_level]]</f>
        <v>0</v>
      </c>
    </row>
    <row r="765" spans="1:11" x14ac:dyDescent="0.25">
      <c r="A765" s="2"/>
      <c r="B765" s="2"/>
      <c r="C765" s="2" t="s">
        <v>106</v>
      </c>
      <c r="D765" s="3"/>
      <c r="E765" s="1"/>
      <c r="I765" s="1"/>
      <c r="K765" s="4">
        <f>Tabelle5[[#This Row],[value_present]]*Tabelle5[[#This Row],[binding_level]]</f>
        <v>0</v>
      </c>
    </row>
    <row r="766" spans="1:11" x14ac:dyDescent="0.25">
      <c r="A766" s="2"/>
      <c r="B766" s="2"/>
      <c r="C766" s="2" t="s">
        <v>112</v>
      </c>
      <c r="D766" s="3"/>
      <c r="E766" s="1"/>
      <c r="I766" s="1"/>
      <c r="K766" s="4">
        <f>Tabelle5[[#This Row],[value_present]]*Tabelle5[[#This Row],[binding_level]]</f>
        <v>0</v>
      </c>
    </row>
    <row r="767" spans="1:11" x14ac:dyDescent="0.25">
      <c r="A767" s="2"/>
      <c r="B767" s="2"/>
      <c r="C767" s="2" t="s">
        <v>118</v>
      </c>
      <c r="D767" s="3"/>
      <c r="E767" s="1"/>
      <c r="I767" s="1"/>
      <c r="K767" s="4">
        <f>Tabelle5[[#This Row],[value_present]]*Tabelle5[[#This Row],[binding_level]]</f>
        <v>0</v>
      </c>
    </row>
    <row r="768" spans="1:11" x14ac:dyDescent="0.25">
      <c r="A768" s="2"/>
      <c r="B768" s="2"/>
      <c r="C768" s="2" t="s">
        <v>125</v>
      </c>
      <c r="D768" s="3"/>
      <c r="E768" s="1"/>
      <c r="I768" s="1"/>
      <c r="K768" s="4">
        <f>Tabelle5[[#This Row],[value_present]]*Tabelle5[[#This Row],[binding_level]]</f>
        <v>0</v>
      </c>
    </row>
    <row r="769" spans="1:11" x14ac:dyDescent="0.25">
      <c r="A769" s="2"/>
      <c r="B769" s="2"/>
      <c r="C769" s="2" t="s">
        <v>132</v>
      </c>
      <c r="D769" s="3"/>
      <c r="E769" s="1"/>
      <c r="I769" s="1"/>
      <c r="K769" s="4">
        <f>Tabelle5[[#This Row],[value_present]]*Tabelle5[[#This Row],[binding_level]]</f>
        <v>0</v>
      </c>
    </row>
    <row r="770" spans="1:11" x14ac:dyDescent="0.25">
      <c r="A770" s="2"/>
      <c r="B770" s="2"/>
      <c r="C770" s="2" t="s">
        <v>140</v>
      </c>
      <c r="D770" s="3"/>
      <c r="E770" s="1"/>
      <c r="I770" s="1"/>
      <c r="K770" s="4">
        <f>Tabelle5[[#This Row],[value_present]]*Tabelle5[[#This Row],[binding_level]]</f>
        <v>0</v>
      </c>
    </row>
    <row r="771" spans="1:11" x14ac:dyDescent="0.25">
      <c r="A771" s="2"/>
      <c r="B771" s="2"/>
      <c r="C771" s="2" t="s">
        <v>147</v>
      </c>
      <c r="D771" s="3"/>
      <c r="E771" s="1"/>
      <c r="I771" s="1"/>
      <c r="K771" s="4">
        <f>Tabelle5[[#This Row],[value_present]]*Tabelle5[[#This Row],[binding_level]]</f>
        <v>0</v>
      </c>
    </row>
    <row r="772" spans="1:11" x14ac:dyDescent="0.25">
      <c r="A772" s="2"/>
      <c r="B772" s="2"/>
      <c r="C772" s="2" t="s">
        <v>154</v>
      </c>
      <c r="D772" s="3"/>
      <c r="E772" s="1"/>
      <c r="I772" s="1"/>
      <c r="K772" s="4">
        <f>Tabelle5[[#This Row],[value_present]]*Tabelle5[[#This Row],[binding_level]]</f>
        <v>0</v>
      </c>
    </row>
    <row r="773" spans="1:11" x14ac:dyDescent="0.25">
      <c r="A773" s="2"/>
      <c r="B773" s="2"/>
      <c r="C773" s="2" t="s">
        <v>161</v>
      </c>
      <c r="D773" s="3"/>
      <c r="E773" s="1"/>
      <c r="I773" s="1"/>
      <c r="K773" s="4">
        <f>Tabelle5[[#This Row],[value_present]]*Tabelle5[[#This Row],[binding_level]]</f>
        <v>0</v>
      </c>
    </row>
    <row r="774" spans="1:11" x14ac:dyDescent="0.25">
      <c r="A774" s="2"/>
      <c r="B774" s="2"/>
      <c r="C774" s="2" t="s">
        <v>166</v>
      </c>
      <c r="D774" s="3"/>
      <c r="E774" s="1"/>
      <c r="I774" s="1"/>
      <c r="K774" s="4">
        <f>Tabelle5[[#This Row],[value_present]]*Tabelle5[[#This Row],[binding_level]]</f>
        <v>0</v>
      </c>
    </row>
    <row r="775" spans="1:11" x14ac:dyDescent="0.25">
      <c r="A775" s="2"/>
      <c r="B775" s="2"/>
      <c r="C775" s="2" t="s">
        <v>174</v>
      </c>
      <c r="D775" s="3"/>
      <c r="E775" s="1"/>
      <c r="I775" s="1"/>
      <c r="K775" s="4">
        <f>Tabelle5[[#This Row],[value_present]]*Tabelle5[[#This Row],[binding_level]]</f>
        <v>0</v>
      </c>
    </row>
    <row r="776" spans="1:11" x14ac:dyDescent="0.25">
      <c r="A776" s="2"/>
      <c r="B776" s="2"/>
      <c r="C776" s="2"/>
      <c r="D776" s="3"/>
      <c r="E776" s="1"/>
      <c r="I776" s="1"/>
      <c r="K776" s="4">
        <f>Tabelle5[[#This Row],[value_present]]*Tabelle5[[#This Row],[binding_level]]</f>
        <v>0</v>
      </c>
    </row>
    <row r="777" spans="1:11" x14ac:dyDescent="0.25">
      <c r="A777" s="2"/>
      <c r="B777" s="2"/>
      <c r="C777" s="2"/>
      <c r="D777" s="3"/>
      <c r="E777" s="1"/>
      <c r="I777" s="1"/>
      <c r="K777" s="4">
        <f>Tabelle5[[#This Row],[value_present]]*Tabelle5[[#This Row],[binding_level]]</f>
        <v>0</v>
      </c>
    </row>
    <row r="778" spans="1:11" x14ac:dyDescent="0.25">
      <c r="A778" s="2"/>
      <c r="B778" s="2"/>
      <c r="C778" s="2"/>
      <c r="D778" s="3"/>
      <c r="E778" s="1"/>
      <c r="I778" s="1"/>
      <c r="K778" s="4">
        <f>Tabelle5[[#This Row],[value_present]]*Tabelle5[[#This Row],[binding_level]]</f>
        <v>0</v>
      </c>
    </row>
    <row r="779" spans="1:11" x14ac:dyDescent="0.25">
      <c r="A779" s="2"/>
      <c r="B779" s="2"/>
      <c r="C779" s="2"/>
      <c r="D779" s="3"/>
      <c r="E779" s="1"/>
      <c r="I779" s="1"/>
      <c r="K779" s="4">
        <f>Tabelle5[[#This Row],[value_present]]*Tabelle5[[#This Row],[binding_level]]</f>
        <v>0</v>
      </c>
    </row>
    <row r="780" spans="1:11" x14ac:dyDescent="0.25">
      <c r="A780" s="2"/>
      <c r="B780" s="2"/>
      <c r="C780" s="2"/>
      <c r="D780" s="3"/>
      <c r="E780" s="1"/>
      <c r="I780" s="1"/>
      <c r="K780" s="4">
        <f>Tabelle5[[#This Row],[value_present]]*Tabelle5[[#This Row],[binding_level]]</f>
        <v>0</v>
      </c>
    </row>
    <row r="781" spans="1:11" x14ac:dyDescent="0.25">
      <c r="A781" s="2"/>
      <c r="B781" s="2"/>
      <c r="C781" s="2"/>
      <c r="D781" s="3"/>
      <c r="E781" s="1"/>
      <c r="I781" s="1"/>
      <c r="K781" s="4">
        <f>Tabelle5[[#This Row],[value_present]]*Tabelle5[[#This Row],[binding_level]]</f>
        <v>0</v>
      </c>
    </row>
    <row r="782" spans="1:11" x14ac:dyDescent="0.25">
      <c r="A782" s="2"/>
      <c r="B782" s="2"/>
      <c r="C782" s="2"/>
      <c r="D782" s="3"/>
      <c r="E782" s="1"/>
      <c r="I782" s="1"/>
      <c r="K782" s="4">
        <f>Tabelle5[[#This Row],[value_present]]*Tabelle5[[#This Row],[binding_level]]</f>
        <v>0</v>
      </c>
    </row>
    <row r="783" spans="1:11" x14ac:dyDescent="0.25">
      <c r="A783" s="2"/>
      <c r="B783" s="2"/>
      <c r="C783" s="2"/>
      <c r="D783" s="3"/>
      <c r="E783" s="1"/>
      <c r="I783" s="1"/>
      <c r="K783" s="4">
        <f>Tabelle5[[#This Row],[value_present]]*Tabelle5[[#This Row],[binding_level]]</f>
        <v>0</v>
      </c>
    </row>
    <row r="784" spans="1:11" x14ac:dyDescent="0.25">
      <c r="A784" s="2"/>
      <c r="B784" s="2"/>
      <c r="C784" s="2"/>
      <c r="D784" s="3"/>
      <c r="E784" s="1"/>
      <c r="I784" s="1"/>
      <c r="K784" s="4">
        <f>Tabelle5[[#This Row],[value_present]]*Tabelle5[[#This Row],[binding_level]]</f>
        <v>0</v>
      </c>
    </row>
    <row r="785" spans="1:11" x14ac:dyDescent="0.25">
      <c r="A785" s="2"/>
      <c r="B785" s="2"/>
      <c r="C785" s="2"/>
      <c r="D785" s="3"/>
      <c r="E785" s="1"/>
      <c r="I785" s="1"/>
      <c r="K785" s="4">
        <f>Tabelle5[[#This Row],[value_present]]*Tabelle5[[#This Row],[binding_level]]</f>
        <v>0</v>
      </c>
    </row>
    <row r="786" spans="1:11" x14ac:dyDescent="0.25">
      <c r="A786" s="2"/>
      <c r="B786" s="2"/>
      <c r="C786" s="2"/>
      <c r="D786" s="3"/>
      <c r="E786" s="1"/>
      <c r="I786" s="1"/>
      <c r="K786" s="4">
        <f>Tabelle5[[#This Row],[value_present]]*Tabelle5[[#This Row],[binding_level]]</f>
        <v>0</v>
      </c>
    </row>
    <row r="787" spans="1:11" x14ac:dyDescent="0.25">
      <c r="A787" s="2"/>
      <c r="B787" s="2"/>
      <c r="C787" s="2"/>
      <c r="D787" s="3"/>
      <c r="E787" s="1"/>
      <c r="I787" s="1"/>
      <c r="K787" s="4">
        <f>Tabelle5[[#This Row],[value_present]]*Tabelle5[[#This Row],[binding_level]]</f>
        <v>0</v>
      </c>
    </row>
    <row r="788" spans="1:11" x14ac:dyDescent="0.25">
      <c r="A788" s="2"/>
      <c r="B788" s="2"/>
      <c r="C788" s="2"/>
      <c r="D788" s="3"/>
      <c r="E788" s="1"/>
      <c r="I788" s="1"/>
      <c r="K788" s="4">
        <f>Tabelle5[[#This Row],[value_present]]*Tabelle5[[#This Row],[binding_level]]</f>
        <v>0</v>
      </c>
    </row>
    <row r="789" spans="1:11" x14ac:dyDescent="0.25">
      <c r="A789" s="2"/>
      <c r="B789" s="2"/>
      <c r="C789" s="2"/>
      <c r="D789" s="3"/>
      <c r="E789" s="1"/>
      <c r="I789" s="1"/>
      <c r="K789" s="4">
        <f>Tabelle5[[#This Row],[value_present]]*Tabelle5[[#This Row],[binding_level]]</f>
        <v>0</v>
      </c>
    </row>
    <row r="790" spans="1:11" x14ac:dyDescent="0.25">
      <c r="A790" s="2"/>
      <c r="B790" s="2"/>
      <c r="C790" s="2"/>
      <c r="D790" s="3"/>
      <c r="E790" s="1"/>
      <c r="I790" s="1"/>
      <c r="K790" s="4">
        <f>Tabelle5[[#This Row],[value_present]]*Tabelle5[[#This Row],[binding_level]]</f>
        <v>0</v>
      </c>
    </row>
    <row r="791" spans="1:11" x14ac:dyDescent="0.25">
      <c r="A791" s="2"/>
      <c r="B791" s="2"/>
      <c r="C791" s="2"/>
      <c r="D791" s="3"/>
      <c r="E791" s="1"/>
      <c r="I791" s="1"/>
      <c r="K791" s="4">
        <f>Tabelle5[[#This Row],[value_present]]*Tabelle5[[#This Row],[binding_level]]</f>
        <v>0</v>
      </c>
    </row>
    <row r="792" spans="1:11" x14ac:dyDescent="0.25">
      <c r="A792" s="2"/>
      <c r="B792" s="2"/>
      <c r="C792" s="2"/>
      <c r="D792" s="3"/>
      <c r="E792" s="1"/>
      <c r="I792" s="1"/>
      <c r="K792" s="4">
        <f>Tabelle5[[#This Row],[value_present]]*Tabelle5[[#This Row],[binding_level]]</f>
        <v>0</v>
      </c>
    </row>
    <row r="793" spans="1:11" x14ac:dyDescent="0.25">
      <c r="A793" s="2"/>
      <c r="B793" s="2"/>
      <c r="C793" s="2"/>
      <c r="D793" s="3"/>
      <c r="E793" s="1"/>
      <c r="I793" s="1"/>
      <c r="K793" s="4">
        <f>Tabelle5[[#This Row],[value_present]]*Tabelle5[[#This Row],[binding_level]]</f>
        <v>0</v>
      </c>
    </row>
    <row r="794" spans="1:11" x14ac:dyDescent="0.25">
      <c r="A794" s="2"/>
      <c r="B794" s="2"/>
      <c r="C794" s="2"/>
      <c r="D794" s="3"/>
      <c r="E794" s="1"/>
      <c r="I794" s="1"/>
      <c r="K794" s="4">
        <f>Tabelle5[[#This Row],[value_present]]*Tabelle5[[#This Row],[binding_level]]</f>
        <v>0</v>
      </c>
    </row>
    <row r="795" spans="1:11" x14ac:dyDescent="0.25">
      <c r="A795" s="2"/>
      <c r="B795" s="2"/>
      <c r="C795" s="2"/>
      <c r="D795" s="3"/>
      <c r="E795" s="1"/>
      <c r="I795" s="1"/>
      <c r="K795" s="4">
        <f>Tabelle5[[#This Row],[value_present]]*Tabelle5[[#This Row],[binding_level]]</f>
        <v>0</v>
      </c>
    </row>
    <row r="796" spans="1:11" x14ac:dyDescent="0.25">
      <c r="A796" s="2"/>
      <c r="B796" s="2"/>
      <c r="C796" s="2"/>
      <c r="D796" s="3"/>
      <c r="E796" s="1"/>
      <c r="I796" s="1"/>
      <c r="K796" s="4">
        <f>Tabelle5[[#This Row],[value_present]]*Tabelle5[[#This Row],[binding_level]]</f>
        <v>0</v>
      </c>
    </row>
    <row r="797" spans="1:11" x14ac:dyDescent="0.25">
      <c r="A797" s="2"/>
      <c r="B797" s="2"/>
      <c r="C797" s="2"/>
      <c r="D797" s="3"/>
      <c r="E797" s="1"/>
      <c r="I797" s="1"/>
      <c r="K797" s="4">
        <f>Tabelle5[[#This Row],[value_present]]*Tabelle5[[#This Row],[binding_level]]</f>
        <v>0</v>
      </c>
    </row>
    <row r="798" spans="1:11" x14ac:dyDescent="0.25">
      <c r="A798" s="2"/>
      <c r="B798" s="2"/>
      <c r="C798" s="2"/>
      <c r="D798" s="3"/>
      <c r="E798" s="1"/>
      <c r="I798" s="1"/>
      <c r="K798" s="4">
        <f>Tabelle5[[#This Row],[value_present]]*Tabelle5[[#This Row],[binding_level]]</f>
        <v>0</v>
      </c>
    </row>
    <row r="799" spans="1:11" x14ac:dyDescent="0.25">
      <c r="A799" s="2"/>
      <c r="B799" s="2"/>
      <c r="C799" s="2"/>
      <c r="D799" s="3"/>
      <c r="E799" s="1"/>
      <c r="I799" s="1"/>
      <c r="K799" s="4">
        <f>Tabelle5[[#This Row],[value_present]]*Tabelle5[[#This Row],[binding_level]]</f>
        <v>0</v>
      </c>
    </row>
    <row r="800" spans="1:11" x14ac:dyDescent="0.25">
      <c r="A800" s="2"/>
      <c r="B800" s="2"/>
      <c r="C800" s="2"/>
      <c r="D800" s="3"/>
      <c r="E800" s="1"/>
      <c r="I800" s="1"/>
      <c r="K800" s="4">
        <f>Tabelle5[[#This Row],[value_present]]*Tabelle5[[#This Row],[binding_level]]</f>
        <v>0</v>
      </c>
    </row>
  </sheetData>
  <phoneticPr fontId="1"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3">
        <x14:dataValidation type="list" showErrorMessage="1" xr:uid="{ED16B4F3-240E-41C4-BE1E-368BB259B529}">
          <x14:formula1>
            <xm:f>'99_Lookups'!$O$2:$O$3</xm:f>
          </x14:formula1>
          <xm:sqref>D2:D800</xm:sqref>
        </x14:dataValidation>
        <x14:dataValidation type="list" showInputMessage="1" showErrorMessage="1" xr:uid="{645BC1A3-4DC8-4D9B-837C-7691C1DCD3DF}">
          <x14:formula1>
            <xm:f>'99_Lookups'!$M$2:$M$4</xm:f>
          </x14:formula1>
          <xm:sqref>E2:E800</xm:sqref>
        </x14:dataValidation>
        <x14:dataValidation type="list" showErrorMessage="1" xr:uid="{3A25E9A5-878D-4E9A-A433-6C3AA99501EF}">
          <x14:formula1>
            <xm:f>'99_Lookups'!$K$2:$K$4</xm:f>
          </x14:formula1>
          <xm:sqref>I2:I523 J524:J532 J536:J539 I533:I535 I540:I800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EC00D-5EFE-412B-BE23-B5A4BBA5C768}">
  <sheetPr>
    <tabColor theme="6"/>
  </sheetPr>
  <dimension ref="A1:O550"/>
  <sheetViews>
    <sheetView topLeftCell="A272" workbookViewId="0">
      <selection activeCell="E299" sqref="E299"/>
    </sheetView>
  </sheetViews>
  <sheetFormatPr baseColWidth="10" defaultRowHeight="15" x14ac:dyDescent="0.25"/>
  <cols>
    <col min="1" max="1" width="14" bestFit="1" customWidth="1"/>
    <col min="2" max="2" width="12.85546875" bestFit="1" customWidth="1"/>
    <col min="3" max="3" width="11.140625" customWidth="1"/>
    <col min="4" max="4" width="11.7109375" customWidth="1"/>
    <col min="5" max="5" width="16.7109375" customWidth="1"/>
    <col min="6" max="6" width="19" customWidth="1"/>
    <col min="7" max="7" width="16.7109375" customWidth="1"/>
    <col min="8" max="8" width="18.7109375" customWidth="1"/>
    <col min="9" max="9" width="61.85546875" bestFit="1" customWidth="1"/>
  </cols>
  <sheetData>
    <row r="1" spans="1:9" ht="15.75" thickBot="1" x14ac:dyDescent="0.3">
      <c r="A1" t="s">
        <v>0</v>
      </c>
      <c r="B1" t="s">
        <v>8</v>
      </c>
      <c r="C1" t="s">
        <v>2196</v>
      </c>
      <c r="D1" t="s">
        <v>46</v>
      </c>
      <c r="E1" t="s">
        <v>32</v>
      </c>
      <c r="F1" t="s">
        <v>33</v>
      </c>
      <c r="G1" t="s">
        <v>47</v>
      </c>
      <c r="H1" t="s">
        <v>34</v>
      </c>
      <c r="I1" t="s">
        <v>35</v>
      </c>
    </row>
    <row r="2" spans="1:9" ht="15.75" thickBot="1" x14ac:dyDescent="0.3">
      <c r="A2" s="18">
        <v>2</v>
      </c>
      <c r="B2" s="19">
        <v>8</v>
      </c>
      <c r="C2" s="19" t="s">
        <v>186</v>
      </c>
      <c r="D2" s="20">
        <v>0</v>
      </c>
      <c r="E2" s="22"/>
      <c r="F2" s="19"/>
      <c r="G2" s="22"/>
      <c r="H2" s="21" t="s">
        <v>1456</v>
      </c>
      <c r="I2" s="32" t="s">
        <v>2190</v>
      </c>
    </row>
    <row r="3" spans="1:9" x14ac:dyDescent="0.25">
      <c r="A3" s="24">
        <v>2</v>
      </c>
      <c r="B3" s="2">
        <v>8</v>
      </c>
      <c r="C3" s="2" t="s">
        <v>192</v>
      </c>
      <c r="D3" s="3">
        <v>1</v>
      </c>
      <c r="E3" t="s">
        <v>2199</v>
      </c>
      <c r="F3" s="19" t="s">
        <v>2169</v>
      </c>
      <c r="G3" t="s">
        <v>2197</v>
      </c>
      <c r="H3" s="1" t="s">
        <v>1457</v>
      </c>
      <c r="I3" s="33" t="s">
        <v>2198</v>
      </c>
    </row>
    <row r="4" spans="1:9" x14ac:dyDescent="0.25">
      <c r="A4" s="24">
        <v>2</v>
      </c>
      <c r="B4" s="2">
        <v>8</v>
      </c>
      <c r="C4" s="2" t="s">
        <v>198</v>
      </c>
      <c r="D4" s="3">
        <v>0</v>
      </c>
      <c r="F4" s="2"/>
      <c r="H4" s="1" t="s">
        <v>1456</v>
      </c>
      <c r="I4" s="33" t="s">
        <v>2191</v>
      </c>
    </row>
    <row r="5" spans="1:9" x14ac:dyDescent="0.25">
      <c r="A5" s="24">
        <v>2</v>
      </c>
      <c r="B5" s="2">
        <v>8</v>
      </c>
      <c r="C5" s="2" t="s">
        <v>204</v>
      </c>
      <c r="D5" s="3">
        <v>0</v>
      </c>
      <c r="F5" s="2"/>
      <c r="H5" s="1" t="s">
        <v>1456</v>
      </c>
      <c r="I5" s="33" t="s">
        <v>2192</v>
      </c>
    </row>
    <row r="6" spans="1:9" x14ac:dyDescent="0.25">
      <c r="A6" s="24">
        <v>2</v>
      </c>
      <c r="B6" s="2">
        <v>8</v>
      </c>
      <c r="C6" s="2" t="s">
        <v>210</v>
      </c>
      <c r="D6" s="3">
        <v>0</v>
      </c>
      <c r="F6" s="2"/>
      <c r="H6" s="1" t="s">
        <v>1456</v>
      </c>
      <c r="I6" s="33" t="s">
        <v>2193</v>
      </c>
    </row>
    <row r="7" spans="1:9" x14ac:dyDescent="0.25">
      <c r="A7" s="24">
        <v>2</v>
      </c>
      <c r="B7" s="2">
        <v>8</v>
      </c>
      <c r="C7" s="2" t="s">
        <v>215</v>
      </c>
      <c r="D7" s="3">
        <v>0</v>
      </c>
      <c r="F7" s="2"/>
      <c r="H7" s="1" t="s">
        <v>1456</v>
      </c>
      <c r="I7" s="33" t="s">
        <v>2194</v>
      </c>
    </row>
    <row r="8" spans="1:9" ht="15.75" thickBot="1" x14ac:dyDescent="0.3">
      <c r="A8" s="26">
        <v>2</v>
      </c>
      <c r="B8" s="27">
        <v>8</v>
      </c>
      <c r="C8" s="27" t="s">
        <v>221</v>
      </c>
      <c r="D8" s="28">
        <v>0</v>
      </c>
      <c r="E8" s="30"/>
      <c r="F8" s="27"/>
      <c r="G8" s="30"/>
      <c r="H8" s="29" t="s">
        <v>1456</v>
      </c>
      <c r="I8" s="34" t="s">
        <v>2195</v>
      </c>
    </row>
    <row r="9" spans="1:9" x14ac:dyDescent="0.25">
      <c r="A9" s="18">
        <v>2</v>
      </c>
      <c r="B9" s="19">
        <v>9</v>
      </c>
      <c r="C9" s="19" t="s">
        <v>186</v>
      </c>
      <c r="D9" s="20">
        <v>0</v>
      </c>
      <c r="E9" s="22"/>
      <c r="F9" s="19"/>
      <c r="G9" s="22"/>
      <c r="H9" s="21" t="s">
        <v>1456</v>
      </c>
      <c r="I9" s="32" t="s">
        <v>2250</v>
      </c>
    </row>
    <row r="10" spans="1:9" x14ac:dyDescent="0.25">
      <c r="A10" s="24">
        <v>2</v>
      </c>
      <c r="B10" s="2">
        <v>9</v>
      </c>
      <c r="C10" s="2" t="s">
        <v>192</v>
      </c>
      <c r="D10" s="3">
        <v>2</v>
      </c>
      <c r="E10" t="s">
        <v>2259</v>
      </c>
      <c r="F10" s="2" t="s">
        <v>2217</v>
      </c>
      <c r="G10" t="s">
        <v>2257</v>
      </c>
      <c r="H10" s="1" t="s">
        <v>1457</v>
      </c>
      <c r="I10" s="33" t="s">
        <v>2255</v>
      </c>
    </row>
    <row r="11" spans="1:9" x14ac:dyDescent="0.25">
      <c r="A11" s="24">
        <v>2</v>
      </c>
      <c r="B11" s="2">
        <v>9</v>
      </c>
      <c r="C11" s="2" t="s">
        <v>198</v>
      </c>
      <c r="D11" s="3">
        <v>2</v>
      </c>
      <c r="E11" t="s">
        <v>2240</v>
      </c>
      <c r="F11" s="2" t="s">
        <v>2217</v>
      </c>
      <c r="G11" t="s">
        <v>2256</v>
      </c>
      <c r="H11" s="1" t="s">
        <v>1457</v>
      </c>
      <c r="I11" s="33" t="s">
        <v>2258</v>
      </c>
    </row>
    <row r="12" spans="1:9" x14ac:dyDescent="0.25">
      <c r="A12" s="24">
        <v>2</v>
      </c>
      <c r="B12" s="2">
        <v>9</v>
      </c>
      <c r="C12" s="2" t="s">
        <v>204</v>
      </c>
      <c r="D12" s="3">
        <v>0</v>
      </c>
      <c r="F12" s="2"/>
      <c r="H12" s="1" t="s">
        <v>1456</v>
      </c>
      <c r="I12" s="33" t="s">
        <v>2251</v>
      </c>
    </row>
    <row r="13" spans="1:9" x14ac:dyDescent="0.25">
      <c r="A13" s="24">
        <v>2</v>
      </c>
      <c r="B13" s="2">
        <v>9</v>
      </c>
      <c r="C13" s="2" t="s">
        <v>210</v>
      </c>
      <c r="D13" s="3">
        <v>0</v>
      </c>
      <c r="F13" s="2"/>
      <c r="H13" s="1" t="s">
        <v>1456</v>
      </c>
      <c r="I13" s="33" t="s">
        <v>2252</v>
      </c>
    </row>
    <row r="14" spans="1:9" x14ac:dyDescent="0.25">
      <c r="A14" s="24">
        <v>2</v>
      </c>
      <c r="B14" s="2">
        <v>9</v>
      </c>
      <c r="C14" s="2" t="s">
        <v>215</v>
      </c>
      <c r="D14" s="3">
        <v>0</v>
      </c>
      <c r="F14" s="2"/>
      <c r="H14" s="1" t="s">
        <v>1456</v>
      </c>
      <c r="I14" s="33" t="s">
        <v>2253</v>
      </c>
    </row>
    <row r="15" spans="1:9" ht="15.75" thickBot="1" x14ac:dyDescent="0.3">
      <c r="A15" s="26">
        <v>2</v>
      </c>
      <c r="B15" s="27">
        <v>9</v>
      </c>
      <c r="C15" s="27" t="s">
        <v>221</v>
      </c>
      <c r="D15" s="28">
        <v>0</v>
      </c>
      <c r="E15" s="30"/>
      <c r="F15" s="27"/>
      <c r="G15" s="30"/>
      <c r="H15" s="29" t="s">
        <v>1456</v>
      </c>
      <c r="I15" s="34" t="s">
        <v>2254</v>
      </c>
    </row>
    <row r="16" spans="1:9" x14ac:dyDescent="0.25">
      <c r="A16" s="18">
        <v>3</v>
      </c>
      <c r="B16" s="19">
        <v>16</v>
      </c>
      <c r="C16" s="19" t="s">
        <v>186</v>
      </c>
      <c r="D16" s="20">
        <v>2</v>
      </c>
      <c r="E16" s="22" t="s">
        <v>2574</v>
      </c>
      <c r="F16" s="19" t="s">
        <v>2461</v>
      </c>
      <c r="G16" s="22" t="s">
        <v>2467</v>
      </c>
      <c r="H16" s="21" t="s">
        <v>1456</v>
      </c>
      <c r="I16" s="32" t="s">
        <v>2474</v>
      </c>
    </row>
    <row r="17" spans="1:9" x14ac:dyDescent="0.25">
      <c r="A17" s="24">
        <v>3</v>
      </c>
      <c r="B17" s="2">
        <v>16</v>
      </c>
      <c r="C17" s="2" t="s">
        <v>192</v>
      </c>
      <c r="D17" s="3">
        <v>2</v>
      </c>
      <c r="E17" t="s">
        <v>2575</v>
      </c>
      <c r="F17" s="2" t="s">
        <v>2462</v>
      </c>
      <c r="G17" t="s">
        <v>2468</v>
      </c>
      <c r="H17" s="1" t="s">
        <v>1456</v>
      </c>
      <c r="I17" s="33" t="s">
        <v>2475</v>
      </c>
    </row>
    <row r="18" spans="1:9" x14ac:dyDescent="0.25">
      <c r="A18" s="24">
        <v>3</v>
      </c>
      <c r="B18" s="2">
        <v>16</v>
      </c>
      <c r="C18" s="2" t="s">
        <v>198</v>
      </c>
      <c r="D18" s="3">
        <v>2</v>
      </c>
      <c r="E18" t="s">
        <v>2576</v>
      </c>
      <c r="F18" s="2" t="s">
        <v>2463</v>
      </c>
      <c r="G18" t="s">
        <v>2469</v>
      </c>
      <c r="H18" s="1" t="s">
        <v>1456</v>
      </c>
      <c r="I18" s="33" t="s">
        <v>2476</v>
      </c>
    </row>
    <row r="19" spans="1:9" x14ac:dyDescent="0.25">
      <c r="A19" s="24">
        <v>3</v>
      </c>
      <c r="B19" s="2">
        <v>16</v>
      </c>
      <c r="C19" s="2" t="s">
        <v>204</v>
      </c>
      <c r="D19" s="3">
        <v>0</v>
      </c>
      <c r="F19" s="2"/>
      <c r="H19" s="1" t="s">
        <v>1456</v>
      </c>
      <c r="I19" s="33" t="s">
        <v>2464</v>
      </c>
    </row>
    <row r="20" spans="1:9" x14ac:dyDescent="0.25">
      <c r="A20" s="24">
        <v>3</v>
      </c>
      <c r="B20" s="2">
        <v>16</v>
      </c>
      <c r="C20" s="2" t="s">
        <v>210</v>
      </c>
      <c r="D20" s="3">
        <v>2</v>
      </c>
      <c r="E20" t="s">
        <v>2577</v>
      </c>
      <c r="F20" s="2" t="s">
        <v>2462</v>
      </c>
      <c r="G20" t="s">
        <v>2470</v>
      </c>
      <c r="H20" s="1" t="s">
        <v>1456</v>
      </c>
      <c r="I20" s="33" t="s">
        <v>2473</v>
      </c>
    </row>
    <row r="21" spans="1:9" x14ac:dyDescent="0.25">
      <c r="A21" s="24">
        <v>3</v>
      </c>
      <c r="B21" s="2">
        <v>16</v>
      </c>
      <c r="C21" s="2" t="s">
        <v>215</v>
      </c>
      <c r="D21" s="3">
        <v>2</v>
      </c>
      <c r="E21" t="s">
        <v>2578</v>
      </c>
      <c r="F21" s="2" t="s">
        <v>2465</v>
      </c>
      <c r="G21" t="s">
        <v>2471</v>
      </c>
      <c r="H21" s="1" t="s">
        <v>1456</v>
      </c>
      <c r="I21" s="33" t="s">
        <v>2472</v>
      </c>
    </row>
    <row r="22" spans="1:9" ht="15.75" thickBot="1" x14ac:dyDescent="0.3">
      <c r="A22" s="26">
        <v>3</v>
      </c>
      <c r="B22" s="27">
        <v>16</v>
      </c>
      <c r="C22" s="27" t="s">
        <v>221</v>
      </c>
      <c r="D22" s="28">
        <v>0</v>
      </c>
      <c r="E22" s="30"/>
      <c r="F22" s="27"/>
      <c r="G22" s="30"/>
      <c r="H22" s="29" t="s">
        <v>1456</v>
      </c>
      <c r="I22" s="34" t="s">
        <v>2466</v>
      </c>
    </row>
    <row r="23" spans="1:9" x14ac:dyDescent="0.25">
      <c r="A23" s="18">
        <v>3</v>
      </c>
      <c r="B23" s="19">
        <v>17</v>
      </c>
      <c r="C23" s="19" t="s">
        <v>186</v>
      </c>
      <c r="D23" s="20">
        <v>0</v>
      </c>
      <c r="E23" s="22"/>
      <c r="F23" s="19"/>
      <c r="G23" s="22"/>
      <c r="H23" s="21" t="s">
        <v>1456</v>
      </c>
      <c r="I23" s="32" t="s">
        <v>2250</v>
      </c>
    </row>
    <row r="24" spans="1:9" x14ac:dyDescent="0.25">
      <c r="A24" s="24">
        <v>3</v>
      </c>
      <c r="B24" s="2">
        <v>17</v>
      </c>
      <c r="C24" s="2" t="s">
        <v>192</v>
      </c>
      <c r="D24" s="3">
        <v>0</v>
      </c>
      <c r="F24" s="2"/>
      <c r="H24" s="1" t="s">
        <v>1456</v>
      </c>
      <c r="I24" s="33" t="s">
        <v>2516</v>
      </c>
    </row>
    <row r="25" spans="1:9" x14ac:dyDescent="0.25">
      <c r="A25" s="24">
        <v>3</v>
      </c>
      <c r="B25" s="2">
        <v>17</v>
      </c>
      <c r="C25" s="2" t="s">
        <v>198</v>
      </c>
      <c r="D25" s="3">
        <v>0</v>
      </c>
      <c r="F25" s="2"/>
      <c r="H25" s="1" t="s">
        <v>1457</v>
      </c>
      <c r="I25" s="33" t="s">
        <v>2517</v>
      </c>
    </row>
    <row r="26" spans="1:9" x14ac:dyDescent="0.25">
      <c r="A26" s="24">
        <v>3</v>
      </c>
      <c r="B26" s="2">
        <v>17</v>
      </c>
      <c r="C26" s="2" t="s">
        <v>204</v>
      </c>
      <c r="D26" s="3">
        <v>0</v>
      </c>
      <c r="F26" s="2"/>
      <c r="H26" s="1" t="s">
        <v>1456</v>
      </c>
      <c r="I26" s="33" t="s">
        <v>2518</v>
      </c>
    </row>
    <row r="27" spans="1:9" x14ac:dyDescent="0.25">
      <c r="A27" s="24">
        <v>3</v>
      </c>
      <c r="B27" s="2">
        <v>17</v>
      </c>
      <c r="C27" s="2" t="s">
        <v>210</v>
      </c>
      <c r="D27" s="3">
        <v>0</v>
      </c>
      <c r="F27" s="2"/>
      <c r="H27" s="1" t="s">
        <v>1456</v>
      </c>
      <c r="I27" s="33" t="s">
        <v>2252</v>
      </c>
    </row>
    <row r="28" spans="1:9" x14ac:dyDescent="0.25">
      <c r="A28" s="24">
        <v>3</v>
      </c>
      <c r="B28" s="2">
        <v>17</v>
      </c>
      <c r="C28" s="2" t="s">
        <v>215</v>
      </c>
      <c r="D28" s="3">
        <v>0</v>
      </c>
      <c r="F28" s="2"/>
      <c r="H28" s="1" t="s">
        <v>1456</v>
      </c>
      <c r="I28" s="33" t="s">
        <v>2519</v>
      </c>
    </row>
    <row r="29" spans="1:9" ht="15.75" thickBot="1" x14ac:dyDescent="0.3">
      <c r="A29" s="26">
        <v>3</v>
      </c>
      <c r="B29" s="27">
        <v>17</v>
      </c>
      <c r="C29" s="27" t="s">
        <v>221</v>
      </c>
      <c r="D29" s="28">
        <v>0</v>
      </c>
      <c r="E29" s="30"/>
      <c r="F29" s="27"/>
      <c r="G29" s="30"/>
      <c r="H29" s="29" t="s">
        <v>1456</v>
      </c>
      <c r="I29" s="34" t="s">
        <v>2254</v>
      </c>
    </row>
    <row r="30" spans="1:9" x14ac:dyDescent="0.25">
      <c r="A30" s="18">
        <v>3</v>
      </c>
      <c r="B30" s="19">
        <v>18</v>
      </c>
      <c r="C30" s="19" t="s">
        <v>186</v>
      </c>
      <c r="D30" s="20">
        <v>1</v>
      </c>
      <c r="E30" t="s">
        <v>2570</v>
      </c>
      <c r="F30" s="19" t="s">
        <v>2530</v>
      </c>
      <c r="G30" s="22" t="s">
        <v>2562</v>
      </c>
      <c r="H30" s="21" t="s">
        <v>1457</v>
      </c>
      <c r="I30" s="32" t="s">
        <v>2567</v>
      </c>
    </row>
    <row r="31" spans="1:9" x14ac:dyDescent="0.25">
      <c r="A31" s="24">
        <v>3</v>
      </c>
      <c r="B31" s="2">
        <v>18</v>
      </c>
      <c r="C31" s="2" t="s">
        <v>192</v>
      </c>
      <c r="D31" s="3">
        <v>2</v>
      </c>
      <c r="E31" t="s">
        <v>2571</v>
      </c>
      <c r="F31" s="2" t="s">
        <v>2530</v>
      </c>
      <c r="G31" t="s">
        <v>2564</v>
      </c>
      <c r="H31" s="1" t="s">
        <v>1456</v>
      </c>
      <c r="I31" s="33" t="s">
        <v>2568</v>
      </c>
    </row>
    <row r="32" spans="1:9" x14ac:dyDescent="0.25">
      <c r="A32" s="24">
        <v>3</v>
      </c>
      <c r="B32" s="2">
        <v>18</v>
      </c>
      <c r="C32" s="2" t="s">
        <v>198</v>
      </c>
      <c r="D32" s="3">
        <v>2</v>
      </c>
      <c r="E32" t="s">
        <v>2572</v>
      </c>
      <c r="F32" s="2" t="s">
        <v>2530</v>
      </c>
      <c r="G32" t="s">
        <v>2563</v>
      </c>
      <c r="H32" s="1" t="s">
        <v>1456</v>
      </c>
      <c r="I32" s="33" t="s">
        <v>2569</v>
      </c>
    </row>
    <row r="33" spans="1:9" x14ac:dyDescent="0.25">
      <c r="A33" s="24">
        <v>3</v>
      </c>
      <c r="B33" s="2">
        <v>18</v>
      </c>
      <c r="C33" s="2" t="s">
        <v>204</v>
      </c>
      <c r="D33" s="3">
        <v>0</v>
      </c>
      <c r="F33" s="2"/>
      <c r="H33" s="1" t="s">
        <v>1457</v>
      </c>
      <c r="I33" s="33" t="s">
        <v>2559</v>
      </c>
    </row>
    <row r="34" spans="1:9" x14ac:dyDescent="0.25">
      <c r="A34" s="24">
        <v>3</v>
      </c>
      <c r="B34" s="2">
        <v>18</v>
      </c>
      <c r="C34" s="2" t="s">
        <v>210</v>
      </c>
      <c r="D34" s="3">
        <v>2</v>
      </c>
      <c r="E34" t="s">
        <v>2573</v>
      </c>
      <c r="F34" s="2" t="s">
        <v>2530</v>
      </c>
      <c r="G34" t="s">
        <v>2565</v>
      </c>
      <c r="H34" s="1" t="s">
        <v>1456</v>
      </c>
      <c r="I34" s="33" t="s">
        <v>2566</v>
      </c>
    </row>
    <row r="35" spans="1:9" x14ac:dyDescent="0.25">
      <c r="A35" s="24">
        <v>3</v>
      </c>
      <c r="B35" s="2">
        <v>18</v>
      </c>
      <c r="C35" s="2" t="s">
        <v>215</v>
      </c>
      <c r="D35" s="3">
        <v>0</v>
      </c>
      <c r="F35" s="2"/>
      <c r="H35" s="1" t="s">
        <v>1456</v>
      </c>
      <c r="I35" s="33" t="s">
        <v>2560</v>
      </c>
    </row>
    <row r="36" spans="1:9" ht="15.75" thickBot="1" x14ac:dyDescent="0.3">
      <c r="A36" s="26">
        <v>3</v>
      </c>
      <c r="B36" s="27">
        <v>18</v>
      </c>
      <c r="C36" s="27" t="s">
        <v>221</v>
      </c>
      <c r="D36" s="28">
        <v>0</v>
      </c>
      <c r="E36" s="30"/>
      <c r="F36" s="27"/>
      <c r="G36" s="30"/>
      <c r="H36" s="29" t="s">
        <v>1456</v>
      </c>
      <c r="I36" s="34" t="s">
        <v>2561</v>
      </c>
    </row>
    <row r="37" spans="1:9" x14ac:dyDescent="0.25">
      <c r="A37" s="18">
        <v>3</v>
      </c>
      <c r="B37" s="19">
        <v>21</v>
      </c>
      <c r="C37" s="19" t="s">
        <v>186</v>
      </c>
      <c r="D37" s="20">
        <v>1</v>
      </c>
      <c r="E37" s="22" t="s">
        <v>2659</v>
      </c>
      <c r="F37" s="19" t="s">
        <v>2598</v>
      </c>
      <c r="G37" s="22" t="s">
        <v>2653</v>
      </c>
      <c r="H37" s="21" t="s">
        <v>1457</v>
      </c>
      <c r="I37" s="32" t="s">
        <v>2647</v>
      </c>
    </row>
    <row r="38" spans="1:9" x14ac:dyDescent="0.25">
      <c r="A38" s="24">
        <v>3</v>
      </c>
      <c r="B38" s="2">
        <v>21</v>
      </c>
      <c r="C38" s="2" t="s">
        <v>192</v>
      </c>
      <c r="D38" s="3">
        <v>2</v>
      </c>
      <c r="E38" t="s">
        <v>2660</v>
      </c>
      <c r="F38" s="2" t="s">
        <v>2644</v>
      </c>
      <c r="G38" t="s">
        <v>2654</v>
      </c>
      <c r="H38" s="1" t="s">
        <v>1457</v>
      </c>
      <c r="I38" s="33" t="s">
        <v>2648</v>
      </c>
    </row>
    <row r="39" spans="1:9" x14ac:dyDescent="0.25">
      <c r="A39" s="24">
        <v>3</v>
      </c>
      <c r="B39" s="2">
        <v>21</v>
      </c>
      <c r="C39" s="2" t="s">
        <v>198</v>
      </c>
      <c r="D39" s="3">
        <v>1</v>
      </c>
      <c r="E39" t="s">
        <v>2661</v>
      </c>
      <c r="F39" s="2" t="s">
        <v>2590</v>
      </c>
      <c r="G39" t="s">
        <v>2655</v>
      </c>
      <c r="H39" s="1" t="s">
        <v>1541</v>
      </c>
      <c r="I39" s="33" t="s">
        <v>2649</v>
      </c>
    </row>
    <row r="40" spans="1:9" x14ac:dyDescent="0.25">
      <c r="A40" s="24">
        <v>3</v>
      </c>
      <c r="B40" s="2">
        <v>21</v>
      </c>
      <c r="C40" s="2" t="s">
        <v>204</v>
      </c>
      <c r="D40" s="3">
        <v>0</v>
      </c>
      <c r="F40" s="2"/>
      <c r="H40" s="1" t="s">
        <v>1456</v>
      </c>
      <c r="I40" s="33" t="s">
        <v>2645</v>
      </c>
    </row>
    <row r="41" spans="1:9" x14ac:dyDescent="0.25">
      <c r="A41" s="24">
        <v>3</v>
      </c>
      <c r="B41" s="2">
        <v>21</v>
      </c>
      <c r="C41" s="2" t="s">
        <v>210</v>
      </c>
      <c r="D41" s="3">
        <v>1</v>
      </c>
      <c r="E41" t="s">
        <v>2662</v>
      </c>
      <c r="F41" s="2" t="s">
        <v>2590</v>
      </c>
      <c r="G41" t="s">
        <v>2656</v>
      </c>
      <c r="H41" s="1" t="s">
        <v>1541</v>
      </c>
      <c r="I41" s="33" t="s">
        <v>2650</v>
      </c>
    </row>
    <row r="42" spans="1:9" x14ac:dyDescent="0.25">
      <c r="A42" s="24">
        <v>3</v>
      </c>
      <c r="B42" s="2">
        <v>21</v>
      </c>
      <c r="C42" s="2" t="s">
        <v>215</v>
      </c>
      <c r="D42" s="3">
        <v>1</v>
      </c>
      <c r="E42" t="s">
        <v>2661</v>
      </c>
      <c r="F42" s="2" t="s">
        <v>2590</v>
      </c>
      <c r="G42" t="s">
        <v>2657</v>
      </c>
      <c r="H42" s="1" t="s">
        <v>1541</v>
      </c>
      <c r="I42" s="33" t="s">
        <v>2651</v>
      </c>
    </row>
    <row r="43" spans="1:9" ht="15.75" thickBot="1" x14ac:dyDescent="0.3">
      <c r="A43" s="26">
        <v>3</v>
      </c>
      <c r="B43" s="27">
        <v>21</v>
      </c>
      <c r="C43" s="27" t="s">
        <v>221</v>
      </c>
      <c r="D43" s="28">
        <v>1</v>
      </c>
      <c r="E43" s="30" t="s">
        <v>2663</v>
      </c>
      <c r="F43" s="27" t="s">
        <v>2646</v>
      </c>
      <c r="G43" s="30" t="s">
        <v>2658</v>
      </c>
      <c r="H43" s="29" t="s">
        <v>1457</v>
      </c>
      <c r="I43" s="34" t="s">
        <v>2652</v>
      </c>
    </row>
    <row r="44" spans="1:9" x14ac:dyDescent="0.25">
      <c r="A44" s="18">
        <v>4</v>
      </c>
      <c r="B44" s="19">
        <v>22</v>
      </c>
      <c r="C44" s="19" t="s">
        <v>186</v>
      </c>
      <c r="D44" s="20">
        <v>1</v>
      </c>
      <c r="E44" t="s">
        <v>2736</v>
      </c>
      <c r="F44" s="19" t="s">
        <v>2728</v>
      </c>
      <c r="G44" s="22" t="s">
        <v>2735</v>
      </c>
      <c r="H44" s="21" t="s">
        <v>1457</v>
      </c>
      <c r="I44" s="32" t="s">
        <v>2730</v>
      </c>
    </row>
    <row r="45" spans="1:9" x14ac:dyDescent="0.25">
      <c r="A45" s="24">
        <v>4</v>
      </c>
      <c r="B45" s="2">
        <v>22</v>
      </c>
      <c r="C45" s="2" t="s">
        <v>192</v>
      </c>
      <c r="D45" s="3">
        <v>2</v>
      </c>
      <c r="E45" t="s">
        <v>2738</v>
      </c>
      <c r="F45" s="2" t="s">
        <v>2696</v>
      </c>
      <c r="G45" t="s">
        <v>2734</v>
      </c>
      <c r="H45" s="1" t="s">
        <v>1456</v>
      </c>
      <c r="I45" s="33" t="s">
        <v>2731</v>
      </c>
    </row>
    <row r="46" spans="1:9" x14ac:dyDescent="0.25">
      <c r="A46" s="24">
        <v>4</v>
      </c>
      <c r="B46" s="2">
        <v>22</v>
      </c>
      <c r="C46" s="2" t="s">
        <v>198</v>
      </c>
      <c r="D46" s="3">
        <v>2</v>
      </c>
      <c r="E46" t="s">
        <v>2737</v>
      </c>
      <c r="F46" s="2" t="s">
        <v>2696</v>
      </c>
      <c r="G46" t="s">
        <v>2733</v>
      </c>
      <c r="H46" s="1" t="s">
        <v>1456</v>
      </c>
      <c r="I46" s="33" t="s">
        <v>2732</v>
      </c>
    </row>
    <row r="47" spans="1:9" x14ac:dyDescent="0.25">
      <c r="A47" s="24">
        <v>4</v>
      </c>
      <c r="B47" s="2">
        <v>22</v>
      </c>
      <c r="C47" s="2" t="s">
        <v>204</v>
      </c>
      <c r="D47" s="3">
        <v>0</v>
      </c>
      <c r="F47" s="2"/>
      <c r="H47" s="1" t="s">
        <v>1456</v>
      </c>
      <c r="I47" s="33" t="s">
        <v>2251</v>
      </c>
    </row>
    <row r="48" spans="1:9" x14ac:dyDescent="0.25">
      <c r="A48" s="24">
        <v>4</v>
      </c>
      <c r="B48" s="2">
        <v>22</v>
      </c>
      <c r="C48" s="2" t="s">
        <v>210</v>
      </c>
      <c r="D48" s="3">
        <v>0</v>
      </c>
      <c r="F48" s="2"/>
      <c r="H48" s="1" t="s">
        <v>1456</v>
      </c>
      <c r="I48" s="33" t="s">
        <v>2729</v>
      </c>
    </row>
    <row r="49" spans="1:9" x14ac:dyDescent="0.25">
      <c r="A49" s="24">
        <v>4</v>
      </c>
      <c r="B49" s="2">
        <v>22</v>
      </c>
      <c r="C49" s="2" t="s">
        <v>215</v>
      </c>
      <c r="D49" s="3">
        <v>0</v>
      </c>
      <c r="F49" s="2"/>
      <c r="H49" s="1" t="s">
        <v>1456</v>
      </c>
      <c r="I49" s="33" t="s">
        <v>2560</v>
      </c>
    </row>
    <row r="50" spans="1:9" ht="15.75" thickBot="1" x14ac:dyDescent="0.3">
      <c r="A50" s="26">
        <v>4</v>
      </c>
      <c r="B50" s="27">
        <v>22</v>
      </c>
      <c r="C50" s="27" t="s">
        <v>221</v>
      </c>
      <c r="D50" s="28">
        <v>0</v>
      </c>
      <c r="E50" s="30"/>
      <c r="F50" s="27"/>
      <c r="G50" s="30"/>
      <c r="H50" s="29" t="s">
        <v>1456</v>
      </c>
      <c r="I50" s="34" t="s">
        <v>2254</v>
      </c>
    </row>
    <row r="51" spans="1:9" x14ac:dyDescent="0.25">
      <c r="A51" s="18">
        <v>4</v>
      </c>
      <c r="B51" s="19">
        <v>23</v>
      </c>
      <c r="C51" s="19" t="s">
        <v>186</v>
      </c>
      <c r="D51" s="20">
        <v>0</v>
      </c>
      <c r="E51" s="22"/>
      <c r="F51" s="19"/>
      <c r="G51" s="22"/>
      <c r="H51" s="21" t="s">
        <v>1456</v>
      </c>
      <c r="I51" s="32" t="s">
        <v>2250</v>
      </c>
    </row>
    <row r="52" spans="1:9" x14ac:dyDescent="0.25">
      <c r="A52" s="24">
        <v>4</v>
      </c>
      <c r="B52" s="2">
        <v>23</v>
      </c>
      <c r="C52" s="2" t="s">
        <v>192</v>
      </c>
      <c r="D52" s="3">
        <v>2</v>
      </c>
      <c r="E52" t="s">
        <v>2781</v>
      </c>
      <c r="F52" s="2" t="s">
        <v>2753</v>
      </c>
      <c r="G52" t="s">
        <v>2779</v>
      </c>
      <c r="H52" s="1" t="s">
        <v>1457</v>
      </c>
      <c r="I52" s="33" t="s">
        <v>2778</v>
      </c>
    </row>
    <row r="53" spans="1:9" x14ac:dyDescent="0.25">
      <c r="A53" s="24">
        <v>4</v>
      </c>
      <c r="B53" s="2">
        <v>23</v>
      </c>
      <c r="C53" s="2" t="s">
        <v>198</v>
      </c>
      <c r="D53" s="3">
        <v>0</v>
      </c>
      <c r="F53" s="2"/>
      <c r="H53" s="1" t="s">
        <v>1456</v>
      </c>
      <c r="I53" s="33" t="s">
        <v>2775</v>
      </c>
    </row>
    <row r="54" spans="1:9" x14ac:dyDescent="0.25">
      <c r="A54" s="24">
        <v>4</v>
      </c>
      <c r="B54" s="2">
        <v>23</v>
      </c>
      <c r="C54" s="2" t="s">
        <v>204</v>
      </c>
      <c r="D54" s="3">
        <v>0</v>
      </c>
      <c r="F54" s="2"/>
      <c r="H54" s="1" t="s">
        <v>1456</v>
      </c>
      <c r="I54" s="33" t="s">
        <v>2518</v>
      </c>
    </row>
    <row r="55" spans="1:9" x14ac:dyDescent="0.25">
      <c r="A55" s="24">
        <v>4</v>
      </c>
      <c r="B55" s="2">
        <v>23</v>
      </c>
      <c r="C55" s="2" t="s">
        <v>210</v>
      </c>
      <c r="D55" s="3">
        <v>1</v>
      </c>
      <c r="E55" t="s">
        <v>2782</v>
      </c>
      <c r="F55" s="2" t="s">
        <v>2753</v>
      </c>
      <c r="G55" t="s">
        <v>2780</v>
      </c>
      <c r="H55" s="1" t="s">
        <v>1457</v>
      </c>
      <c r="I55" s="33" t="s">
        <v>2777</v>
      </c>
    </row>
    <row r="56" spans="1:9" x14ac:dyDescent="0.25">
      <c r="A56" s="24">
        <v>4</v>
      </c>
      <c r="B56" s="2">
        <v>23</v>
      </c>
      <c r="C56" s="2" t="s">
        <v>215</v>
      </c>
      <c r="D56" s="3">
        <v>0</v>
      </c>
      <c r="F56" s="2"/>
      <c r="H56" s="1" t="s">
        <v>1456</v>
      </c>
      <c r="I56" s="33" t="s">
        <v>2560</v>
      </c>
    </row>
    <row r="57" spans="1:9" ht="15.75" thickBot="1" x14ac:dyDescent="0.3">
      <c r="A57" s="26">
        <v>4</v>
      </c>
      <c r="B57" s="27">
        <v>23</v>
      </c>
      <c r="C57" s="27" t="s">
        <v>221</v>
      </c>
      <c r="D57" s="28">
        <v>0</v>
      </c>
      <c r="E57" s="30"/>
      <c r="F57" s="27"/>
      <c r="G57" s="30"/>
      <c r="H57" s="29" t="s">
        <v>1457</v>
      </c>
      <c r="I57" s="34" t="s">
        <v>2776</v>
      </c>
    </row>
    <row r="58" spans="1:9" x14ac:dyDescent="0.25">
      <c r="A58" s="18">
        <v>4</v>
      </c>
      <c r="B58" s="19">
        <v>24</v>
      </c>
      <c r="C58" s="19" t="s">
        <v>186</v>
      </c>
      <c r="D58" s="20">
        <v>0</v>
      </c>
      <c r="E58" s="22"/>
      <c r="F58" s="19"/>
      <c r="G58" s="22"/>
      <c r="H58" s="21" t="s">
        <v>1457</v>
      </c>
      <c r="I58" s="32" t="s">
        <v>2816</v>
      </c>
    </row>
    <row r="59" spans="1:9" x14ac:dyDescent="0.25">
      <c r="A59" s="24">
        <v>4</v>
      </c>
      <c r="B59" s="2">
        <v>24</v>
      </c>
      <c r="C59" s="2" t="s">
        <v>192</v>
      </c>
      <c r="D59" s="3">
        <v>1</v>
      </c>
      <c r="E59" t="s">
        <v>2822</v>
      </c>
      <c r="F59" s="2" t="s">
        <v>2797</v>
      </c>
      <c r="G59" t="s">
        <v>2819</v>
      </c>
      <c r="H59" s="1" t="s">
        <v>1457</v>
      </c>
      <c r="I59" s="33" t="s">
        <v>2817</v>
      </c>
    </row>
    <row r="60" spans="1:9" x14ac:dyDescent="0.25">
      <c r="A60" s="24">
        <v>4</v>
      </c>
      <c r="B60" s="2">
        <v>24</v>
      </c>
      <c r="C60" s="2" t="s">
        <v>198</v>
      </c>
      <c r="D60" s="3">
        <v>1</v>
      </c>
      <c r="E60" t="s">
        <v>2821</v>
      </c>
      <c r="F60" s="2" t="s">
        <v>2797</v>
      </c>
      <c r="G60" t="s">
        <v>2820</v>
      </c>
      <c r="H60" s="1" t="s">
        <v>1457</v>
      </c>
      <c r="I60" s="33" t="s">
        <v>2818</v>
      </c>
    </row>
    <row r="61" spans="1:9" x14ac:dyDescent="0.25">
      <c r="A61" s="24">
        <v>4</v>
      </c>
      <c r="B61" s="2">
        <v>24</v>
      </c>
      <c r="C61" s="2" t="s">
        <v>204</v>
      </c>
      <c r="D61" s="3">
        <v>0</v>
      </c>
      <c r="F61" s="2"/>
      <c r="H61" s="1" t="s">
        <v>1456</v>
      </c>
      <c r="I61" s="33" t="s">
        <v>2251</v>
      </c>
    </row>
    <row r="62" spans="1:9" x14ac:dyDescent="0.25">
      <c r="A62" s="24">
        <v>4</v>
      </c>
      <c r="B62" s="2">
        <v>24</v>
      </c>
      <c r="C62" s="2" t="s">
        <v>210</v>
      </c>
      <c r="D62" s="3">
        <v>0</v>
      </c>
      <c r="F62" s="2"/>
      <c r="H62" s="1" t="s">
        <v>1456</v>
      </c>
      <c r="I62" s="33" t="s">
        <v>2252</v>
      </c>
    </row>
    <row r="63" spans="1:9" x14ac:dyDescent="0.25">
      <c r="A63" s="24">
        <v>4</v>
      </c>
      <c r="B63" s="2">
        <v>24</v>
      </c>
      <c r="C63" s="2" t="s">
        <v>215</v>
      </c>
      <c r="D63" s="3">
        <v>0</v>
      </c>
      <c r="F63" s="2"/>
      <c r="H63" s="1" t="s">
        <v>1456</v>
      </c>
      <c r="I63" s="33" t="s">
        <v>2560</v>
      </c>
    </row>
    <row r="64" spans="1:9" ht="15.75" thickBot="1" x14ac:dyDescent="0.3">
      <c r="A64" s="26">
        <v>4</v>
      </c>
      <c r="B64" s="27">
        <v>24</v>
      </c>
      <c r="C64" s="27" t="s">
        <v>221</v>
      </c>
      <c r="D64" s="28">
        <v>0</v>
      </c>
      <c r="E64" s="30"/>
      <c r="F64" s="27"/>
      <c r="G64" s="30"/>
      <c r="H64" s="29" t="s">
        <v>1456</v>
      </c>
      <c r="I64" s="34" t="s">
        <v>2254</v>
      </c>
    </row>
    <row r="65" spans="1:9" x14ac:dyDescent="0.25">
      <c r="A65" s="18">
        <v>5</v>
      </c>
      <c r="B65" s="19">
        <v>27</v>
      </c>
      <c r="C65" s="19" t="s">
        <v>186</v>
      </c>
      <c r="D65" s="20">
        <v>0</v>
      </c>
      <c r="E65" s="22"/>
      <c r="F65" s="19"/>
      <c r="G65" s="22"/>
      <c r="H65" s="21" t="s">
        <v>1456</v>
      </c>
      <c r="I65" s="32" t="s">
        <v>2869</v>
      </c>
    </row>
    <row r="66" spans="1:9" x14ac:dyDescent="0.25">
      <c r="A66" s="24">
        <v>5</v>
      </c>
      <c r="B66" s="2">
        <v>27</v>
      </c>
      <c r="C66" s="2" t="s">
        <v>192</v>
      </c>
      <c r="D66" s="3">
        <v>1</v>
      </c>
      <c r="E66" t="s">
        <v>2879</v>
      </c>
      <c r="F66" s="2" t="s">
        <v>2870</v>
      </c>
      <c r="G66" t="s">
        <v>2876</v>
      </c>
      <c r="H66" s="1" t="s">
        <v>1457</v>
      </c>
      <c r="I66" s="33" t="s">
        <v>2875</v>
      </c>
    </row>
    <row r="67" spans="1:9" x14ac:dyDescent="0.25">
      <c r="A67" s="24">
        <v>5</v>
      </c>
      <c r="B67" s="2">
        <v>27</v>
      </c>
      <c r="C67" s="2" t="s">
        <v>198</v>
      </c>
      <c r="D67" s="3">
        <v>2</v>
      </c>
      <c r="E67" t="s">
        <v>2880</v>
      </c>
      <c r="F67" s="2" t="s">
        <v>2833</v>
      </c>
      <c r="G67" t="s">
        <v>2877</v>
      </c>
      <c r="H67" s="1" t="s">
        <v>1456</v>
      </c>
      <c r="I67" s="33" t="s">
        <v>2878</v>
      </c>
    </row>
    <row r="68" spans="1:9" x14ac:dyDescent="0.25">
      <c r="A68" s="24">
        <v>5</v>
      </c>
      <c r="B68" s="2">
        <v>27</v>
      </c>
      <c r="C68" s="2" t="s">
        <v>204</v>
      </c>
      <c r="D68" s="3">
        <v>1</v>
      </c>
      <c r="E68" t="s">
        <v>2881</v>
      </c>
      <c r="F68" s="2" t="s">
        <v>2833</v>
      </c>
      <c r="G68" t="s">
        <v>2871</v>
      </c>
      <c r="H68" s="1" t="s">
        <v>1457</v>
      </c>
      <c r="I68" s="33"/>
    </row>
    <row r="69" spans="1:9" x14ac:dyDescent="0.25">
      <c r="A69" s="24">
        <v>5</v>
      </c>
      <c r="B69" s="2">
        <v>27</v>
      </c>
      <c r="C69" s="2" t="s">
        <v>210</v>
      </c>
      <c r="D69" s="3">
        <v>0</v>
      </c>
      <c r="F69" s="2"/>
      <c r="H69" s="1" t="s">
        <v>1456</v>
      </c>
      <c r="I69" s="33" t="s">
        <v>2872</v>
      </c>
    </row>
    <row r="70" spans="1:9" x14ac:dyDescent="0.25">
      <c r="A70" s="24">
        <v>5</v>
      </c>
      <c r="B70" s="2">
        <v>27</v>
      </c>
      <c r="C70" s="2" t="s">
        <v>215</v>
      </c>
      <c r="D70" s="3">
        <v>0</v>
      </c>
      <c r="F70" s="2"/>
      <c r="H70" s="1" t="s">
        <v>1456</v>
      </c>
      <c r="I70" s="33" t="s">
        <v>2873</v>
      </c>
    </row>
    <row r="71" spans="1:9" ht="15.75" thickBot="1" x14ac:dyDescent="0.3">
      <c r="A71" s="26">
        <v>5</v>
      </c>
      <c r="B71" s="27">
        <v>27</v>
      </c>
      <c r="C71" s="27" t="s">
        <v>221</v>
      </c>
      <c r="D71" s="28">
        <v>0</v>
      </c>
      <c r="E71" s="30"/>
      <c r="F71" s="27"/>
      <c r="G71" s="30"/>
      <c r="H71" s="29" t="s">
        <v>1456</v>
      </c>
      <c r="I71" s="34" t="s">
        <v>2874</v>
      </c>
    </row>
    <row r="72" spans="1:9" x14ac:dyDescent="0.25">
      <c r="A72" s="18">
        <v>5</v>
      </c>
      <c r="B72" s="19">
        <v>28</v>
      </c>
      <c r="C72" s="19" t="s">
        <v>186</v>
      </c>
      <c r="D72" s="20">
        <v>2</v>
      </c>
      <c r="E72" t="s">
        <v>2961</v>
      </c>
      <c r="F72" s="19" t="s">
        <v>2943</v>
      </c>
      <c r="G72" s="22" t="s">
        <v>2950</v>
      </c>
      <c r="H72" s="21" t="s">
        <v>1457</v>
      </c>
      <c r="I72" s="32" t="s">
        <v>2949</v>
      </c>
    </row>
    <row r="73" spans="1:9" x14ac:dyDescent="0.25">
      <c r="A73" s="24">
        <v>5</v>
      </c>
      <c r="B73" s="2">
        <v>28</v>
      </c>
      <c r="C73" s="2" t="s">
        <v>192</v>
      </c>
      <c r="D73" s="3">
        <v>2</v>
      </c>
      <c r="E73" t="s">
        <v>2962</v>
      </c>
      <c r="F73" s="2" t="s">
        <v>2944</v>
      </c>
      <c r="G73" t="s">
        <v>2952</v>
      </c>
      <c r="H73" s="1" t="s">
        <v>1456</v>
      </c>
      <c r="I73" s="33" t="s">
        <v>2951</v>
      </c>
    </row>
    <row r="74" spans="1:9" x14ac:dyDescent="0.25">
      <c r="A74" s="24">
        <v>5</v>
      </c>
      <c r="B74" s="2">
        <v>28</v>
      </c>
      <c r="C74" s="2" t="s">
        <v>198</v>
      </c>
      <c r="D74" s="3">
        <v>2</v>
      </c>
      <c r="E74" t="s">
        <v>2963</v>
      </c>
      <c r="F74" s="2" t="s">
        <v>2945</v>
      </c>
      <c r="G74" t="s">
        <v>2954</v>
      </c>
      <c r="H74" s="1" t="s">
        <v>1456</v>
      </c>
      <c r="I74" s="33" t="s">
        <v>2953</v>
      </c>
    </row>
    <row r="75" spans="1:9" x14ac:dyDescent="0.25">
      <c r="A75" s="24">
        <v>5</v>
      </c>
      <c r="B75" s="2">
        <v>28</v>
      </c>
      <c r="C75" s="2" t="s">
        <v>204</v>
      </c>
      <c r="D75" s="3">
        <v>1</v>
      </c>
      <c r="E75" t="s">
        <v>2964</v>
      </c>
      <c r="F75" s="2" t="s">
        <v>2946</v>
      </c>
      <c r="G75" t="s">
        <v>2956</v>
      </c>
      <c r="H75" s="1" t="s">
        <v>1457</v>
      </c>
      <c r="I75" s="33" t="s">
        <v>2955</v>
      </c>
    </row>
    <row r="76" spans="1:9" x14ac:dyDescent="0.25">
      <c r="A76" s="24">
        <v>5</v>
      </c>
      <c r="B76" s="2">
        <v>28</v>
      </c>
      <c r="C76" s="2" t="s">
        <v>210</v>
      </c>
      <c r="D76" s="3">
        <v>1</v>
      </c>
      <c r="E76" t="s">
        <v>2965</v>
      </c>
      <c r="F76" s="2" t="s">
        <v>2947</v>
      </c>
      <c r="G76" t="s">
        <v>2958</v>
      </c>
      <c r="H76" s="1" t="s">
        <v>1456</v>
      </c>
      <c r="I76" s="33" t="s">
        <v>2957</v>
      </c>
    </row>
    <row r="77" spans="1:9" x14ac:dyDescent="0.25">
      <c r="A77" s="24">
        <v>5</v>
      </c>
      <c r="B77" s="2">
        <v>28</v>
      </c>
      <c r="C77" s="2" t="s">
        <v>215</v>
      </c>
      <c r="D77" s="3">
        <v>1</v>
      </c>
      <c r="E77" t="s">
        <v>2966</v>
      </c>
      <c r="F77" s="2" t="s">
        <v>2948</v>
      </c>
      <c r="G77" t="s">
        <v>2960</v>
      </c>
      <c r="H77" s="1" t="s">
        <v>1456</v>
      </c>
      <c r="I77" s="33" t="s">
        <v>2959</v>
      </c>
    </row>
    <row r="78" spans="1:9" ht="15.75" thickBot="1" x14ac:dyDescent="0.3">
      <c r="A78" s="26">
        <v>5</v>
      </c>
      <c r="B78" s="27">
        <v>28</v>
      </c>
      <c r="C78" s="27" t="s">
        <v>221</v>
      </c>
      <c r="D78" s="28">
        <v>0</v>
      </c>
      <c r="E78" s="30"/>
      <c r="F78" s="27"/>
      <c r="G78" s="30"/>
      <c r="H78" s="29" t="s">
        <v>1456</v>
      </c>
      <c r="I78" s="34" t="s">
        <v>2874</v>
      </c>
    </row>
    <row r="79" spans="1:9" x14ac:dyDescent="0.25">
      <c r="A79" s="18">
        <v>5</v>
      </c>
      <c r="B79" s="19">
        <v>30</v>
      </c>
      <c r="C79" s="19" t="s">
        <v>186</v>
      </c>
      <c r="D79" s="20">
        <v>0</v>
      </c>
      <c r="E79" s="22"/>
      <c r="F79" s="19"/>
      <c r="G79" s="22"/>
      <c r="H79" s="21" t="s">
        <v>1456</v>
      </c>
      <c r="I79" s="32" t="s">
        <v>3021</v>
      </c>
    </row>
    <row r="80" spans="1:9" x14ac:dyDescent="0.25">
      <c r="A80" s="24">
        <v>5</v>
      </c>
      <c r="B80" s="2">
        <v>30</v>
      </c>
      <c r="C80" s="2" t="s">
        <v>192</v>
      </c>
      <c r="D80" s="3">
        <v>0</v>
      </c>
      <c r="F80" s="2"/>
      <c r="H80" s="1" t="s">
        <v>1456</v>
      </c>
      <c r="I80" s="33" t="s">
        <v>3022</v>
      </c>
    </row>
    <row r="81" spans="1:9" x14ac:dyDescent="0.25">
      <c r="A81" s="24">
        <v>5</v>
      </c>
      <c r="B81" s="2">
        <v>30</v>
      </c>
      <c r="C81" s="2" t="s">
        <v>198</v>
      </c>
      <c r="D81" s="3">
        <v>2</v>
      </c>
      <c r="E81" t="s">
        <v>3006</v>
      </c>
      <c r="F81" s="2" t="s">
        <v>2994</v>
      </c>
      <c r="G81" t="s">
        <v>3023</v>
      </c>
      <c r="H81" s="1" t="s">
        <v>1457</v>
      </c>
      <c r="I81" s="33"/>
    </row>
    <row r="82" spans="1:9" x14ac:dyDescent="0.25">
      <c r="A82" s="24">
        <v>5</v>
      </c>
      <c r="B82" s="2">
        <v>30</v>
      </c>
      <c r="C82" s="2" t="s">
        <v>204</v>
      </c>
      <c r="D82" s="3">
        <v>0</v>
      </c>
      <c r="F82" s="2"/>
      <c r="H82" s="1" t="s">
        <v>1456</v>
      </c>
      <c r="I82" s="33" t="s">
        <v>3024</v>
      </c>
    </row>
    <row r="83" spans="1:9" x14ac:dyDescent="0.25">
      <c r="A83" s="24">
        <v>5</v>
      </c>
      <c r="B83" s="2">
        <v>30</v>
      </c>
      <c r="C83" s="2" t="s">
        <v>210</v>
      </c>
      <c r="D83" s="3">
        <v>1</v>
      </c>
      <c r="E83" t="s">
        <v>3029</v>
      </c>
      <c r="F83" s="2" t="s">
        <v>3025</v>
      </c>
      <c r="G83" t="s">
        <v>3027</v>
      </c>
      <c r="H83" s="1" t="s">
        <v>1456</v>
      </c>
      <c r="I83" s="33" t="s">
        <v>3028</v>
      </c>
    </row>
    <row r="84" spans="1:9" x14ac:dyDescent="0.25">
      <c r="A84" s="24">
        <v>5</v>
      </c>
      <c r="B84" s="2">
        <v>30</v>
      </c>
      <c r="C84" s="2" t="s">
        <v>215</v>
      </c>
      <c r="D84" s="3">
        <v>0</v>
      </c>
      <c r="F84" s="2"/>
      <c r="H84" s="1" t="s">
        <v>1456</v>
      </c>
      <c r="I84" s="33" t="s">
        <v>3026</v>
      </c>
    </row>
    <row r="85" spans="1:9" ht="15.75" thickBot="1" x14ac:dyDescent="0.3">
      <c r="A85" s="26">
        <v>5</v>
      </c>
      <c r="B85" s="27">
        <v>30</v>
      </c>
      <c r="C85" s="27" t="s">
        <v>221</v>
      </c>
      <c r="D85" s="28">
        <v>0</v>
      </c>
      <c r="E85" s="30"/>
      <c r="F85" s="27"/>
      <c r="G85" s="30"/>
      <c r="H85" s="29" t="s">
        <v>1456</v>
      </c>
      <c r="I85" s="34" t="s">
        <v>2874</v>
      </c>
    </row>
    <row r="86" spans="1:9" x14ac:dyDescent="0.25">
      <c r="A86" s="18">
        <v>5</v>
      </c>
      <c r="B86" s="19">
        <v>31</v>
      </c>
      <c r="C86" s="19" t="s">
        <v>186</v>
      </c>
      <c r="D86" s="20">
        <v>1</v>
      </c>
      <c r="E86" s="22" t="s">
        <v>3091</v>
      </c>
      <c r="F86" s="19" t="s">
        <v>2700</v>
      </c>
      <c r="G86" s="22" t="s">
        <v>3096</v>
      </c>
      <c r="H86" s="21" t="s">
        <v>1457</v>
      </c>
      <c r="I86" s="32" t="s">
        <v>3095</v>
      </c>
    </row>
    <row r="87" spans="1:9" x14ac:dyDescent="0.25">
      <c r="A87" s="24">
        <v>5</v>
      </c>
      <c r="B87" s="2">
        <v>31</v>
      </c>
      <c r="C87" s="2" t="s">
        <v>192</v>
      </c>
      <c r="D87" s="3">
        <v>1</v>
      </c>
      <c r="E87" t="s">
        <v>3092</v>
      </c>
      <c r="F87" s="2" t="s">
        <v>3087</v>
      </c>
      <c r="G87" t="s">
        <v>3098</v>
      </c>
      <c r="H87" s="1" t="s">
        <v>1457</v>
      </c>
      <c r="I87" s="33" t="s">
        <v>3097</v>
      </c>
    </row>
    <row r="88" spans="1:9" x14ac:dyDescent="0.25">
      <c r="A88" s="24">
        <v>5</v>
      </c>
      <c r="B88" s="2">
        <v>31</v>
      </c>
      <c r="C88" s="2" t="s">
        <v>198</v>
      </c>
      <c r="D88" s="3">
        <v>1</v>
      </c>
      <c r="E88" t="s">
        <v>3093</v>
      </c>
      <c r="F88" s="2" t="s">
        <v>3087</v>
      </c>
      <c r="G88" t="s">
        <v>3099</v>
      </c>
      <c r="H88" s="1" t="s">
        <v>1457</v>
      </c>
      <c r="I88" s="33" t="s">
        <v>3100</v>
      </c>
    </row>
    <row r="89" spans="1:9" x14ac:dyDescent="0.25">
      <c r="A89" s="24">
        <v>5</v>
      </c>
      <c r="B89" s="2">
        <v>31</v>
      </c>
      <c r="C89" s="2" t="s">
        <v>204</v>
      </c>
      <c r="D89" s="3">
        <v>1</v>
      </c>
      <c r="E89" t="s">
        <v>3094</v>
      </c>
      <c r="F89" s="2" t="s">
        <v>3087</v>
      </c>
      <c r="G89" t="s">
        <v>3101</v>
      </c>
      <c r="H89" s="1" t="s">
        <v>1456</v>
      </c>
      <c r="I89" s="33" t="s">
        <v>3102</v>
      </c>
    </row>
    <row r="90" spans="1:9" x14ac:dyDescent="0.25">
      <c r="A90" s="24">
        <v>5</v>
      </c>
      <c r="B90" s="2">
        <v>31</v>
      </c>
      <c r="C90" s="2" t="s">
        <v>210</v>
      </c>
      <c r="D90" s="3">
        <v>0</v>
      </c>
      <c r="F90" s="2"/>
      <c r="H90" s="1" t="s">
        <v>1456</v>
      </c>
      <c r="I90" s="33" t="s">
        <v>3088</v>
      </c>
    </row>
    <row r="91" spans="1:9" x14ac:dyDescent="0.25">
      <c r="A91" s="24">
        <v>5</v>
      </c>
      <c r="B91" s="2">
        <v>31</v>
      </c>
      <c r="C91" s="2" t="s">
        <v>215</v>
      </c>
      <c r="D91" s="3">
        <v>0</v>
      </c>
      <c r="F91" s="2"/>
      <c r="H91" s="1" t="s">
        <v>1456</v>
      </c>
      <c r="I91" s="33" t="s">
        <v>3089</v>
      </c>
    </row>
    <row r="92" spans="1:9" ht="15.75" thickBot="1" x14ac:dyDescent="0.3">
      <c r="A92" s="26">
        <v>5</v>
      </c>
      <c r="B92" s="27">
        <v>31</v>
      </c>
      <c r="C92" s="27" t="s">
        <v>221</v>
      </c>
      <c r="D92" s="28">
        <v>0</v>
      </c>
      <c r="E92" s="30"/>
      <c r="F92" s="27"/>
      <c r="G92" s="30"/>
      <c r="H92" s="29" t="s">
        <v>1456</v>
      </c>
      <c r="I92" s="34" t="s">
        <v>3090</v>
      </c>
    </row>
    <row r="93" spans="1:9" x14ac:dyDescent="0.25">
      <c r="A93" s="18">
        <v>6</v>
      </c>
      <c r="B93" s="19">
        <v>34</v>
      </c>
      <c r="C93" s="19" t="s">
        <v>186</v>
      </c>
      <c r="D93" s="20">
        <v>2</v>
      </c>
      <c r="E93" s="22" t="s">
        <v>3168</v>
      </c>
      <c r="F93" s="19" t="s">
        <v>3153</v>
      </c>
      <c r="G93" s="22" t="s">
        <v>3161</v>
      </c>
      <c r="H93" s="21" t="s">
        <v>1457</v>
      </c>
      <c r="I93" s="32" t="s">
        <v>3160</v>
      </c>
    </row>
    <row r="94" spans="1:9" x14ac:dyDescent="0.25">
      <c r="A94" s="24">
        <v>6</v>
      </c>
      <c r="B94" s="2">
        <v>34</v>
      </c>
      <c r="C94" s="2" t="s">
        <v>192</v>
      </c>
      <c r="D94" s="3">
        <v>2</v>
      </c>
      <c r="E94" t="s">
        <v>3169</v>
      </c>
      <c r="F94" s="2" t="s">
        <v>3154</v>
      </c>
      <c r="G94" t="s">
        <v>3163</v>
      </c>
      <c r="H94" s="1" t="s">
        <v>1456</v>
      </c>
      <c r="I94" s="33" t="s">
        <v>3162</v>
      </c>
    </row>
    <row r="95" spans="1:9" x14ac:dyDescent="0.25">
      <c r="A95" s="24">
        <v>6</v>
      </c>
      <c r="B95" s="2">
        <v>34</v>
      </c>
      <c r="C95" s="2" t="s">
        <v>198</v>
      </c>
      <c r="D95" s="3">
        <v>2</v>
      </c>
      <c r="E95" t="s">
        <v>3170</v>
      </c>
      <c r="F95" s="2" t="s">
        <v>3155</v>
      </c>
      <c r="G95" t="s">
        <v>3165</v>
      </c>
      <c r="H95" s="1" t="s">
        <v>1456</v>
      </c>
      <c r="I95" s="33" t="s">
        <v>3164</v>
      </c>
    </row>
    <row r="96" spans="1:9" x14ac:dyDescent="0.25">
      <c r="A96" s="24">
        <v>6</v>
      </c>
      <c r="B96" s="2">
        <v>34</v>
      </c>
      <c r="C96" s="2" t="s">
        <v>204</v>
      </c>
      <c r="D96" s="3">
        <v>0</v>
      </c>
      <c r="F96" s="2"/>
      <c r="H96" s="1" t="s">
        <v>1456</v>
      </c>
      <c r="I96" s="33" t="s">
        <v>3156</v>
      </c>
    </row>
    <row r="97" spans="1:15" x14ac:dyDescent="0.25">
      <c r="A97" s="24">
        <v>6</v>
      </c>
      <c r="B97" s="2">
        <v>34</v>
      </c>
      <c r="C97" s="2" t="s">
        <v>210</v>
      </c>
      <c r="D97" s="3">
        <v>0</v>
      </c>
      <c r="F97" s="2"/>
      <c r="H97" s="1" t="s">
        <v>1456</v>
      </c>
      <c r="I97" s="33" t="s">
        <v>3157</v>
      </c>
    </row>
    <row r="98" spans="1:15" x14ac:dyDescent="0.25">
      <c r="A98" s="24">
        <v>6</v>
      </c>
      <c r="B98" s="2">
        <v>34</v>
      </c>
      <c r="C98" s="2" t="s">
        <v>215</v>
      </c>
      <c r="D98" s="3">
        <v>0</v>
      </c>
      <c r="F98" s="2"/>
      <c r="H98" s="1" t="s">
        <v>1456</v>
      </c>
      <c r="I98" s="33" t="s">
        <v>3158</v>
      </c>
    </row>
    <row r="99" spans="1:15" ht="15.75" thickBot="1" x14ac:dyDescent="0.3">
      <c r="A99" s="26">
        <v>6</v>
      </c>
      <c r="B99" s="27">
        <v>34</v>
      </c>
      <c r="C99" s="27" t="s">
        <v>221</v>
      </c>
      <c r="D99" s="28">
        <v>1</v>
      </c>
      <c r="E99" s="30" t="s">
        <v>3171</v>
      </c>
      <c r="F99" s="27" t="s">
        <v>3159</v>
      </c>
      <c r="G99" s="30" t="s">
        <v>3167</v>
      </c>
      <c r="H99" s="29" t="s">
        <v>1457</v>
      </c>
      <c r="I99" s="34" t="s">
        <v>3166</v>
      </c>
    </row>
    <row r="100" spans="1:15" x14ac:dyDescent="0.25">
      <c r="A100" s="18">
        <v>6</v>
      </c>
      <c r="B100" s="19">
        <v>36</v>
      </c>
      <c r="C100" s="19" t="s">
        <v>186</v>
      </c>
      <c r="D100" s="20">
        <v>1</v>
      </c>
      <c r="E100" s="22" t="s">
        <v>3219</v>
      </c>
      <c r="F100" s="19" t="s">
        <v>3216</v>
      </c>
      <c r="G100" s="22" t="s">
        <v>3096</v>
      </c>
      <c r="H100" s="21" t="s">
        <v>1457</v>
      </c>
      <c r="I100" s="32" t="s">
        <v>3222</v>
      </c>
    </row>
    <row r="101" spans="1:15" x14ac:dyDescent="0.25">
      <c r="A101" s="24">
        <v>6</v>
      </c>
      <c r="B101" s="2">
        <v>36</v>
      </c>
      <c r="C101" s="2" t="s">
        <v>192</v>
      </c>
      <c r="D101" s="3">
        <v>1</v>
      </c>
      <c r="E101" t="s">
        <v>3220</v>
      </c>
      <c r="F101" s="2" t="s">
        <v>3216</v>
      </c>
      <c r="G101" t="s">
        <v>3224</v>
      </c>
      <c r="H101" s="1" t="s">
        <v>1457</v>
      </c>
      <c r="I101" s="33" t="s">
        <v>3223</v>
      </c>
    </row>
    <row r="102" spans="1:15" x14ac:dyDescent="0.25">
      <c r="A102" s="24">
        <v>6</v>
      </c>
      <c r="B102" s="2">
        <v>36</v>
      </c>
      <c r="C102" s="2" t="s">
        <v>198</v>
      </c>
      <c r="D102" s="3">
        <v>1</v>
      </c>
      <c r="E102" t="s">
        <v>3221</v>
      </c>
      <c r="F102" s="2" t="s">
        <v>3216</v>
      </c>
      <c r="G102" t="s">
        <v>3226</v>
      </c>
      <c r="H102" s="1" t="s">
        <v>1457</v>
      </c>
      <c r="I102" s="33" t="s">
        <v>3225</v>
      </c>
    </row>
    <row r="103" spans="1:15" x14ac:dyDescent="0.25">
      <c r="A103" s="24">
        <v>6</v>
      </c>
      <c r="B103" s="2">
        <v>36</v>
      </c>
      <c r="C103" s="2" t="s">
        <v>204</v>
      </c>
      <c r="D103" s="3">
        <v>0</v>
      </c>
      <c r="F103" s="2"/>
      <c r="H103" s="1" t="s">
        <v>1456</v>
      </c>
      <c r="I103" s="33" t="s">
        <v>3217</v>
      </c>
    </row>
    <row r="104" spans="1:15" x14ac:dyDescent="0.25">
      <c r="A104" s="24">
        <v>6</v>
      </c>
      <c r="B104" s="2">
        <v>36</v>
      </c>
      <c r="C104" s="2" t="s">
        <v>210</v>
      </c>
      <c r="D104" s="3">
        <v>0</v>
      </c>
      <c r="F104" s="2"/>
      <c r="H104" s="1" t="s">
        <v>1456</v>
      </c>
      <c r="I104" s="33" t="s">
        <v>3088</v>
      </c>
      <c r="O104" t="s">
        <v>3326</v>
      </c>
    </row>
    <row r="105" spans="1:15" x14ac:dyDescent="0.25">
      <c r="A105" s="24">
        <v>6</v>
      </c>
      <c r="B105" s="2">
        <v>36</v>
      </c>
      <c r="C105" s="2" t="s">
        <v>215</v>
      </c>
      <c r="D105" s="3">
        <v>0</v>
      </c>
      <c r="F105" s="2"/>
      <c r="H105" s="1" t="s">
        <v>1456</v>
      </c>
      <c r="I105" s="33" t="s">
        <v>3218</v>
      </c>
    </row>
    <row r="106" spans="1:15" ht="15.75" thickBot="1" x14ac:dyDescent="0.3">
      <c r="A106" s="26">
        <v>6</v>
      </c>
      <c r="B106" s="27">
        <v>36</v>
      </c>
      <c r="C106" s="27" t="s">
        <v>221</v>
      </c>
      <c r="D106" s="28">
        <v>0</v>
      </c>
      <c r="E106" s="30"/>
      <c r="F106" s="27"/>
      <c r="G106" s="30"/>
      <c r="H106" s="29" t="s">
        <v>1456</v>
      </c>
      <c r="I106" s="34" t="s">
        <v>2874</v>
      </c>
    </row>
    <row r="107" spans="1:15" x14ac:dyDescent="0.25">
      <c r="A107" s="18">
        <v>7</v>
      </c>
      <c r="B107" s="19">
        <v>37</v>
      </c>
      <c r="C107" s="19" t="s">
        <v>186</v>
      </c>
      <c r="D107" s="20">
        <v>2</v>
      </c>
      <c r="E107" s="22" t="s">
        <v>3304</v>
      </c>
      <c r="F107" s="19" t="s">
        <v>3216</v>
      </c>
      <c r="G107" s="22" t="s">
        <v>3161</v>
      </c>
      <c r="H107" s="21" t="s">
        <v>1456</v>
      </c>
      <c r="I107" s="32" t="s">
        <v>3295</v>
      </c>
    </row>
    <row r="108" spans="1:15" x14ac:dyDescent="0.25">
      <c r="A108" s="24">
        <v>7</v>
      </c>
      <c r="B108" s="2">
        <v>37</v>
      </c>
      <c r="C108" s="2" t="s">
        <v>192</v>
      </c>
      <c r="D108" s="3">
        <v>2</v>
      </c>
      <c r="E108" t="s">
        <v>3305</v>
      </c>
      <c r="F108" s="2" t="s">
        <v>2602</v>
      </c>
      <c r="G108" t="s">
        <v>3297</v>
      </c>
      <c r="H108" s="1" t="s">
        <v>1456</v>
      </c>
      <c r="I108" s="33" t="s">
        <v>3296</v>
      </c>
    </row>
    <row r="109" spans="1:15" x14ac:dyDescent="0.25">
      <c r="A109" s="24">
        <v>7</v>
      </c>
      <c r="B109" s="2">
        <v>37</v>
      </c>
      <c r="C109" s="2" t="s">
        <v>198</v>
      </c>
      <c r="D109" s="3">
        <v>2</v>
      </c>
      <c r="E109" t="s">
        <v>3306</v>
      </c>
      <c r="F109" s="2" t="s">
        <v>3291</v>
      </c>
      <c r="G109" t="s">
        <v>3299</v>
      </c>
      <c r="H109" s="1" t="s">
        <v>1456</v>
      </c>
      <c r="I109" s="33" t="s">
        <v>3298</v>
      </c>
    </row>
    <row r="110" spans="1:15" x14ac:dyDescent="0.25">
      <c r="A110" s="24">
        <v>7</v>
      </c>
      <c r="B110" s="2">
        <v>37</v>
      </c>
      <c r="C110" s="2" t="s">
        <v>204</v>
      </c>
      <c r="D110" s="3">
        <v>0</v>
      </c>
      <c r="F110" s="2"/>
      <c r="H110" s="1" t="s">
        <v>1456</v>
      </c>
      <c r="I110" s="33" t="s">
        <v>3292</v>
      </c>
    </row>
    <row r="111" spans="1:15" x14ac:dyDescent="0.25">
      <c r="A111" s="24">
        <v>7</v>
      </c>
      <c r="B111" s="2">
        <v>37</v>
      </c>
      <c r="C111" s="2" t="s">
        <v>210</v>
      </c>
      <c r="D111" s="3">
        <v>1</v>
      </c>
      <c r="E111" t="s">
        <v>3307</v>
      </c>
      <c r="F111" s="2" t="s">
        <v>3293</v>
      </c>
      <c r="G111" t="s">
        <v>3301</v>
      </c>
      <c r="H111" s="1" t="s">
        <v>1457</v>
      </c>
      <c r="I111" s="33" t="s">
        <v>3300</v>
      </c>
    </row>
    <row r="112" spans="1:15" x14ac:dyDescent="0.25">
      <c r="A112" s="24">
        <v>7</v>
      </c>
      <c r="B112" s="2">
        <v>37</v>
      </c>
      <c r="C112" s="2" t="s">
        <v>215</v>
      </c>
      <c r="D112" s="3">
        <v>0</v>
      </c>
      <c r="F112" s="2"/>
      <c r="H112" s="1" t="s">
        <v>1456</v>
      </c>
      <c r="I112" s="33" t="s">
        <v>3294</v>
      </c>
    </row>
    <row r="113" spans="1:9" ht="15.75" thickBot="1" x14ac:dyDescent="0.3">
      <c r="A113" s="26">
        <v>7</v>
      </c>
      <c r="B113" s="27">
        <v>37</v>
      </c>
      <c r="C113" s="27" t="s">
        <v>221</v>
      </c>
      <c r="D113" s="28">
        <v>1</v>
      </c>
      <c r="E113" s="30" t="s">
        <v>3308</v>
      </c>
      <c r="F113" s="27" t="s">
        <v>3216</v>
      </c>
      <c r="G113" s="30" t="s">
        <v>3303</v>
      </c>
      <c r="H113" s="29" t="s">
        <v>1457</v>
      </c>
      <c r="I113" s="34" t="s">
        <v>3302</v>
      </c>
    </row>
    <row r="114" spans="1:9" x14ac:dyDescent="0.25">
      <c r="A114" s="18">
        <v>7</v>
      </c>
      <c r="B114" s="19">
        <v>38</v>
      </c>
      <c r="C114" s="19" t="s">
        <v>186</v>
      </c>
      <c r="D114" s="20">
        <v>0</v>
      </c>
      <c r="E114" s="22"/>
      <c r="F114" s="19"/>
      <c r="G114" s="22"/>
      <c r="H114" s="21" t="s">
        <v>1456</v>
      </c>
      <c r="I114" s="32" t="s">
        <v>3350</v>
      </c>
    </row>
    <row r="115" spans="1:9" x14ac:dyDescent="0.25">
      <c r="A115" s="24">
        <v>7</v>
      </c>
      <c r="B115" s="2">
        <v>38</v>
      </c>
      <c r="C115" s="2" t="s">
        <v>192</v>
      </c>
      <c r="D115" s="3">
        <v>0</v>
      </c>
      <c r="F115" s="2"/>
      <c r="H115" s="1" t="s">
        <v>1456</v>
      </c>
      <c r="I115" s="33" t="s">
        <v>3351</v>
      </c>
    </row>
    <row r="116" spans="1:9" x14ac:dyDescent="0.25">
      <c r="A116" s="24">
        <v>7</v>
      </c>
      <c r="B116" s="2">
        <v>38</v>
      </c>
      <c r="C116" s="2" t="s">
        <v>198</v>
      </c>
      <c r="D116" s="3">
        <v>1</v>
      </c>
      <c r="E116" t="s">
        <v>3357</v>
      </c>
      <c r="F116" s="2" t="s">
        <v>3193</v>
      </c>
      <c r="G116" t="s">
        <v>3353</v>
      </c>
      <c r="H116" s="1" t="s">
        <v>1541</v>
      </c>
      <c r="I116" s="33" t="s">
        <v>3354</v>
      </c>
    </row>
    <row r="117" spans="1:9" x14ac:dyDescent="0.25">
      <c r="A117" s="24">
        <v>7</v>
      </c>
      <c r="B117" s="2">
        <v>38</v>
      </c>
      <c r="C117" s="2" t="s">
        <v>204</v>
      </c>
      <c r="D117" s="3">
        <v>0</v>
      </c>
      <c r="F117" s="2"/>
      <c r="H117" s="1" t="s">
        <v>1456</v>
      </c>
      <c r="I117" s="33" t="s">
        <v>3352</v>
      </c>
    </row>
    <row r="118" spans="1:9" x14ac:dyDescent="0.25">
      <c r="A118" s="24">
        <v>7</v>
      </c>
      <c r="B118" s="2">
        <v>38</v>
      </c>
      <c r="C118" s="2" t="s">
        <v>210</v>
      </c>
      <c r="D118" s="3">
        <v>1</v>
      </c>
      <c r="E118" t="s">
        <v>3358</v>
      </c>
      <c r="F118" s="2" t="s">
        <v>3193</v>
      </c>
      <c r="G118" t="s">
        <v>3356</v>
      </c>
      <c r="H118" s="1" t="s">
        <v>1456</v>
      </c>
      <c r="I118" s="33" t="s">
        <v>3355</v>
      </c>
    </row>
    <row r="119" spans="1:9" x14ac:dyDescent="0.25">
      <c r="A119" s="24">
        <v>7</v>
      </c>
      <c r="B119" s="2">
        <v>38</v>
      </c>
      <c r="C119" s="2" t="s">
        <v>215</v>
      </c>
      <c r="D119" s="3">
        <v>0</v>
      </c>
      <c r="F119" s="2"/>
      <c r="H119" s="1" t="s">
        <v>1456</v>
      </c>
      <c r="I119" s="33" t="s">
        <v>3218</v>
      </c>
    </row>
    <row r="120" spans="1:9" ht="15.75" thickBot="1" x14ac:dyDescent="0.3">
      <c r="A120" s="26">
        <v>7</v>
      </c>
      <c r="B120" s="27">
        <v>38</v>
      </c>
      <c r="C120" s="27" t="s">
        <v>221</v>
      </c>
      <c r="D120" s="28">
        <v>0</v>
      </c>
      <c r="E120" s="30"/>
      <c r="F120" s="27"/>
      <c r="G120" s="30"/>
      <c r="H120" s="29" t="s">
        <v>1456</v>
      </c>
      <c r="I120" s="34" t="s">
        <v>2874</v>
      </c>
    </row>
    <row r="121" spans="1:9" x14ac:dyDescent="0.25">
      <c r="A121" s="18">
        <v>9</v>
      </c>
      <c r="B121" s="19">
        <v>46</v>
      </c>
      <c r="C121" s="19" t="s">
        <v>186</v>
      </c>
      <c r="D121" s="20">
        <v>2</v>
      </c>
      <c r="E121" s="22" t="s">
        <v>3418</v>
      </c>
      <c r="F121" s="19" t="s">
        <v>2698</v>
      </c>
      <c r="G121" s="22"/>
      <c r="H121" s="21" t="s">
        <v>1456</v>
      </c>
      <c r="I121" s="32" t="s">
        <v>3412</v>
      </c>
    </row>
    <row r="122" spans="1:9" x14ac:dyDescent="0.25">
      <c r="A122" s="24">
        <v>9</v>
      </c>
      <c r="B122" s="2">
        <v>46</v>
      </c>
      <c r="C122" s="2" t="s">
        <v>192</v>
      </c>
      <c r="D122" s="3">
        <v>2</v>
      </c>
      <c r="E122" t="s">
        <v>3419</v>
      </c>
      <c r="F122" s="2" t="s">
        <v>2698</v>
      </c>
      <c r="H122" s="1" t="s">
        <v>1456</v>
      </c>
      <c r="I122" s="33" t="s">
        <v>3413</v>
      </c>
    </row>
    <row r="123" spans="1:9" x14ac:dyDescent="0.25">
      <c r="A123" s="24">
        <v>9</v>
      </c>
      <c r="B123" s="2">
        <v>46</v>
      </c>
      <c r="C123" s="2" t="s">
        <v>198</v>
      </c>
      <c r="D123" s="3">
        <v>2</v>
      </c>
      <c r="E123" t="s">
        <v>3420</v>
      </c>
      <c r="F123" s="2" t="s">
        <v>3256</v>
      </c>
      <c r="H123" s="1" t="s">
        <v>1457</v>
      </c>
      <c r="I123" s="33" t="s">
        <v>3414</v>
      </c>
    </row>
    <row r="124" spans="1:9" x14ac:dyDescent="0.25">
      <c r="A124" s="24">
        <v>9</v>
      </c>
      <c r="B124" s="2">
        <v>46</v>
      </c>
      <c r="C124" s="2" t="s">
        <v>204</v>
      </c>
      <c r="D124" s="3">
        <v>0</v>
      </c>
      <c r="F124" s="2"/>
      <c r="H124" s="1" t="s">
        <v>1456</v>
      </c>
      <c r="I124" s="33" t="s">
        <v>3415</v>
      </c>
    </row>
    <row r="125" spans="1:9" x14ac:dyDescent="0.25">
      <c r="A125" s="24">
        <v>9</v>
      </c>
      <c r="B125" s="2">
        <v>46</v>
      </c>
      <c r="C125" s="2" t="s">
        <v>210</v>
      </c>
      <c r="D125" s="3">
        <v>1</v>
      </c>
      <c r="E125" t="s">
        <v>3421</v>
      </c>
      <c r="F125" s="2" t="s">
        <v>3293</v>
      </c>
      <c r="G125" t="s">
        <v>3422</v>
      </c>
      <c r="H125" s="1" t="s">
        <v>1457</v>
      </c>
      <c r="I125" s="33" t="s">
        <v>3423</v>
      </c>
    </row>
    <row r="126" spans="1:9" x14ac:dyDescent="0.25">
      <c r="A126" s="24">
        <v>9</v>
      </c>
      <c r="B126" s="2">
        <v>46</v>
      </c>
      <c r="C126" s="2" t="s">
        <v>215</v>
      </c>
      <c r="D126" s="3">
        <v>0</v>
      </c>
      <c r="F126" s="2"/>
      <c r="H126" s="1" t="s">
        <v>1456</v>
      </c>
      <c r="I126" s="33" t="s">
        <v>3416</v>
      </c>
    </row>
    <row r="127" spans="1:9" ht="15.75" thickBot="1" x14ac:dyDescent="0.3">
      <c r="A127" s="26">
        <v>9</v>
      </c>
      <c r="B127" s="27">
        <v>46</v>
      </c>
      <c r="C127" s="27" t="s">
        <v>221</v>
      </c>
      <c r="D127" s="28">
        <v>0</v>
      </c>
      <c r="E127" s="30"/>
      <c r="F127" s="27"/>
      <c r="G127" s="30"/>
      <c r="H127" s="29" t="s">
        <v>1456</v>
      </c>
      <c r="I127" s="34" t="s">
        <v>3417</v>
      </c>
    </row>
    <row r="128" spans="1:9" x14ac:dyDescent="0.25">
      <c r="A128" s="18">
        <v>9</v>
      </c>
      <c r="B128" s="19">
        <v>48</v>
      </c>
      <c r="C128" s="19" t="s">
        <v>186</v>
      </c>
      <c r="D128" s="20">
        <v>2</v>
      </c>
      <c r="E128" t="s">
        <v>3497</v>
      </c>
      <c r="F128" s="19" t="s">
        <v>3484</v>
      </c>
      <c r="G128" s="22"/>
      <c r="H128" s="21" t="s">
        <v>1456</v>
      </c>
      <c r="I128" s="32" t="s">
        <v>3485</v>
      </c>
    </row>
    <row r="129" spans="1:9" x14ac:dyDescent="0.25">
      <c r="A129" s="24">
        <v>9</v>
      </c>
      <c r="B129" s="2">
        <v>48</v>
      </c>
      <c r="C129" s="2" t="s">
        <v>192</v>
      </c>
      <c r="D129" s="3">
        <v>2</v>
      </c>
      <c r="E129" t="s">
        <v>3498</v>
      </c>
      <c r="F129" s="2" t="s">
        <v>3486</v>
      </c>
      <c r="G129" t="s">
        <v>3492</v>
      </c>
      <c r="H129" s="1" t="s">
        <v>1456</v>
      </c>
      <c r="I129" s="33" t="s">
        <v>3491</v>
      </c>
    </row>
    <row r="130" spans="1:9" x14ac:dyDescent="0.25">
      <c r="A130" s="24">
        <v>9</v>
      </c>
      <c r="B130" s="2">
        <v>48</v>
      </c>
      <c r="C130" s="2" t="s">
        <v>198</v>
      </c>
      <c r="D130" s="3">
        <v>2</v>
      </c>
      <c r="E130" t="s">
        <v>3495</v>
      </c>
      <c r="F130" s="2" t="s">
        <v>2833</v>
      </c>
      <c r="G130" t="s">
        <v>3494</v>
      </c>
      <c r="H130" s="1" t="s">
        <v>1457</v>
      </c>
      <c r="I130" s="33" t="s">
        <v>3493</v>
      </c>
    </row>
    <row r="131" spans="1:9" x14ac:dyDescent="0.25">
      <c r="A131" s="24">
        <v>9</v>
      </c>
      <c r="B131" s="2">
        <v>48</v>
      </c>
      <c r="C131" s="2" t="s">
        <v>204</v>
      </c>
      <c r="D131" s="3">
        <v>2</v>
      </c>
      <c r="E131" t="s">
        <v>3496</v>
      </c>
      <c r="F131" s="2" t="s">
        <v>1400</v>
      </c>
      <c r="H131" s="1" t="s">
        <v>1456</v>
      </c>
      <c r="I131" s="33" t="s">
        <v>3487</v>
      </c>
    </row>
    <row r="132" spans="1:9" x14ac:dyDescent="0.25">
      <c r="A132" s="24">
        <v>9</v>
      </c>
      <c r="B132" s="2">
        <v>48</v>
      </c>
      <c r="C132" s="2" t="s">
        <v>210</v>
      </c>
      <c r="D132" s="3">
        <v>0</v>
      </c>
      <c r="F132" s="2"/>
      <c r="H132" s="1" t="s">
        <v>1456</v>
      </c>
      <c r="I132" s="33" t="s">
        <v>3488</v>
      </c>
    </row>
    <row r="133" spans="1:9" x14ac:dyDescent="0.25">
      <c r="A133" s="24">
        <v>9</v>
      </c>
      <c r="B133" s="2">
        <v>48</v>
      </c>
      <c r="C133" s="2" t="s">
        <v>215</v>
      </c>
      <c r="D133" s="3">
        <v>0</v>
      </c>
      <c r="F133" s="2"/>
      <c r="H133" s="1" t="s">
        <v>1456</v>
      </c>
      <c r="I133" s="33" t="s">
        <v>3489</v>
      </c>
    </row>
    <row r="134" spans="1:9" ht="15.75" thickBot="1" x14ac:dyDescent="0.3">
      <c r="A134" s="26">
        <v>9</v>
      </c>
      <c r="B134" s="27">
        <v>48</v>
      </c>
      <c r="C134" s="27" t="s">
        <v>221</v>
      </c>
      <c r="D134" s="28">
        <v>0</v>
      </c>
      <c r="E134" s="30"/>
      <c r="F134" s="27"/>
      <c r="G134" s="30"/>
      <c r="H134" s="29" t="s">
        <v>1456</v>
      </c>
      <c r="I134" s="34" t="s">
        <v>3490</v>
      </c>
    </row>
    <row r="135" spans="1:9" x14ac:dyDescent="0.25">
      <c r="A135" s="18">
        <v>10</v>
      </c>
      <c r="B135" s="19">
        <v>52</v>
      </c>
      <c r="C135" s="19" t="s">
        <v>186</v>
      </c>
      <c r="D135" s="20">
        <v>0</v>
      </c>
      <c r="E135" s="22"/>
      <c r="F135" s="19"/>
      <c r="G135" s="22"/>
      <c r="H135" s="21" t="s">
        <v>1457</v>
      </c>
      <c r="I135" s="32" t="s">
        <v>3539</v>
      </c>
    </row>
    <row r="136" spans="1:9" x14ac:dyDescent="0.25">
      <c r="A136" s="24">
        <v>10</v>
      </c>
      <c r="B136" s="2">
        <v>52</v>
      </c>
      <c r="C136" s="2" t="s">
        <v>192</v>
      </c>
      <c r="D136" s="3">
        <v>1</v>
      </c>
      <c r="E136" t="s">
        <v>3545</v>
      </c>
      <c r="F136" s="2" t="s">
        <v>3515</v>
      </c>
      <c r="G136" t="s">
        <v>3547</v>
      </c>
      <c r="H136" s="1" t="s">
        <v>1457</v>
      </c>
      <c r="I136" s="33" t="s">
        <v>3546</v>
      </c>
    </row>
    <row r="137" spans="1:9" x14ac:dyDescent="0.25">
      <c r="A137" s="24">
        <v>10</v>
      </c>
      <c r="B137" s="2">
        <v>52</v>
      </c>
      <c r="C137" s="2" t="s">
        <v>198</v>
      </c>
      <c r="D137" s="3">
        <v>0</v>
      </c>
      <c r="F137" s="2"/>
      <c r="H137" s="1" t="s">
        <v>1456</v>
      </c>
      <c r="I137" s="33" t="s">
        <v>3540</v>
      </c>
    </row>
    <row r="138" spans="1:9" x14ac:dyDescent="0.25">
      <c r="A138" s="24">
        <v>10</v>
      </c>
      <c r="B138" s="2">
        <v>52</v>
      </c>
      <c r="C138" s="2" t="s">
        <v>204</v>
      </c>
      <c r="D138" s="3">
        <v>0</v>
      </c>
      <c r="F138" s="2"/>
      <c r="H138" s="1" t="s">
        <v>1456</v>
      </c>
      <c r="I138" s="33" t="s">
        <v>3541</v>
      </c>
    </row>
    <row r="139" spans="1:9" x14ac:dyDescent="0.25">
      <c r="A139" s="24">
        <v>10</v>
      </c>
      <c r="B139" s="2">
        <v>52</v>
      </c>
      <c r="C139" s="2" t="s">
        <v>210</v>
      </c>
      <c r="D139" s="3">
        <v>0</v>
      </c>
      <c r="F139" s="2"/>
      <c r="H139" s="1" t="s">
        <v>1456</v>
      </c>
      <c r="I139" s="33" t="s">
        <v>3542</v>
      </c>
    </row>
    <row r="140" spans="1:9" x14ac:dyDescent="0.25">
      <c r="A140" s="24">
        <v>10</v>
      </c>
      <c r="B140" s="2">
        <v>52</v>
      </c>
      <c r="C140" s="2" t="s">
        <v>215</v>
      </c>
      <c r="D140" s="3">
        <v>1</v>
      </c>
      <c r="E140" t="s">
        <v>3544</v>
      </c>
      <c r="F140" s="2" t="s">
        <v>3515</v>
      </c>
      <c r="G140" t="s">
        <v>3549</v>
      </c>
      <c r="H140" s="1" t="s">
        <v>1456</v>
      </c>
      <c r="I140" s="33" t="s">
        <v>3548</v>
      </c>
    </row>
    <row r="141" spans="1:9" ht="15.75" thickBot="1" x14ac:dyDescent="0.3">
      <c r="A141" s="26">
        <v>10</v>
      </c>
      <c r="B141" s="27">
        <v>52</v>
      </c>
      <c r="C141" s="27" t="s">
        <v>221</v>
      </c>
      <c r="D141" s="28">
        <v>0</v>
      </c>
      <c r="E141" s="30"/>
      <c r="F141" s="27"/>
      <c r="G141" s="30"/>
      <c r="H141" s="29" t="s">
        <v>1456</v>
      </c>
      <c r="I141" s="34" t="s">
        <v>3543</v>
      </c>
    </row>
    <row r="142" spans="1:9" x14ac:dyDescent="0.25">
      <c r="A142" s="18">
        <v>10</v>
      </c>
      <c r="B142" s="19">
        <v>53</v>
      </c>
      <c r="C142" s="19" t="s">
        <v>186</v>
      </c>
      <c r="D142" s="20">
        <v>0</v>
      </c>
      <c r="E142" s="22"/>
      <c r="F142" s="19"/>
      <c r="G142" s="22"/>
      <c r="H142" s="21" t="s">
        <v>1456</v>
      </c>
      <c r="I142" s="32" t="s">
        <v>3592</v>
      </c>
    </row>
    <row r="143" spans="1:9" x14ac:dyDescent="0.25">
      <c r="A143" s="24">
        <v>10</v>
      </c>
      <c r="B143" s="2">
        <v>53</v>
      </c>
      <c r="C143" s="2" t="s">
        <v>192</v>
      </c>
      <c r="D143" s="3">
        <v>0</v>
      </c>
      <c r="F143" s="2"/>
      <c r="H143" s="1" t="s">
        <v>1457</v>
      </c>
      <c r="I143" s="33" t="s">
        <v>3593</v>
      </c>
    </row>
    <row r="144" spans="1:9" x14ac:dyDescent="0.25">
      <c r="A144" s="24">
        <v>10</v>
      </c>
      <c r="B144" s="2">
        <v>53</v>
      </c>
      <c r="C144" s="2" t="s">
        <v>198</v>
      </c>
      <c r="D144" s="3">
        <v>0</v>
      </c>
      <c r="F144" s="2"/>
      <c r="H144" s="1" t="s">
        <v>1456</v>
      </c>
      <c r="I144" s="33" t="s">
        <v>3594</v>
      </c>
    </row>
    <row r="145" spans="1:9" x14ac:dyDescent="0.25">
      <c r="A145" s="24">
        <v>10</v>
      </c>
      <c r="B145" s="2">
        <v>53</v>
      </c>
      <c r="C145" s="2" t="s">
        <v>204</v>
      </c>
      <c r="D145" s="3">
        <v>0</v>
      </c>
      <c r="F145" s="2"/>
      <c r="H145" s="1" t="s">
        <v>1457</v>
      </c>
      <c r="I145" s="33" t="s">
        <v>3595</v>
      </c>
    </row>
    <row r="146" spans="1:9" x14ac:dyDescent="0.25">
      <c r="A146" s="24">
        <v>10</v>
      </c>
      <c r="B146" s="2">
        <v>53</v>
      </c>
      <c r="C146" s="2" t="s">
        <v>210</v>
      </c>
      <c r="D146" s="3">
        <v>0</v>
      </c>
      <c r="F146" s="2"/>
      <c r="H146" s="1" t="s">
        <v>1457</v>
      </c>
      <c r="I146" s="33" t="s">
        <v>3596</v>
      </c>
    </row>
    <row r="147" spans="1:9" x14ac:dyDescent="0.25">
      <c r="A147" s="24">
        <v>10</v>
      </c>
      <c r="B147" s="2">
        <v>53</v>
      </c>
      <c r="C147" s="2" t="s">
        <v>215</v>
      </c>
      <c r="D147" s="3">
        <v>0</v>
      </c>
      <c r="F147" s="2"/>
      <c r="H147" s="1" t="s">
        <v>1457</v>
      </c>
      <c r="I147" s="33" t="s">
        <v>3597</v>
      </c>
    </row>
    <row r="148" spans="1:9" ht="15.75" thickBot="1" x14ac:dyDescent="0.3">
      <c r="A148" s="26">
        <v>10</v>
      </c>
      <c r="B148" s="27">
        <v>53</v>
      </c>
      <c r="C148" s="27" t="s">
        <v>221</v>
      </c>
      <c r="D148" s="28">
        <v>0</v>
      </c>
      <c r="E148" s="30"/>
      <c r="F148" s="27"/>
      <c r="G148" s="30"/>
      <c r="H148" s="29" t="s">
        <v>1456</v>
      </c>
      <c r="I148" s="34" t="s">
        <v>3543</v>
      </c>
    </row>
    <row r="149" spans="1:9" x14ac:dyDescent="0.25">
      <c r="A149" s="18">
        <v>11</v>
      </c>
      <c r="B149" s="19">
        <v>56</v>
      </c>
      <c r="C149" s="19" t="s">
        <v>186</v>
      </c>
      <c r="D149" s="20">
        <v>0</v>
      </c>
      <c r="E149" s="22"/>
      <c r="F149" s="19"/>
      <c r="G149" s="22"/>
      <c r="H149" s="21" t="s">
        <v>1456</v>
      </c>
      <c r="I149" s="32" t="s">
        <v>3643</v>
      </c>
    </row>
    <row r="150" spans="1:9" x14ac:dyDescent="0.25">
      <c r="A150" s="24">
        <v>11</v>
      </c>
      <c r="B150" s="2">
        <v>56</v>
      </c>
      <c r="C150" s="2" t="s">
        <v>192</v>
      </c>
      <c r="D150" s="3">
        <v>0</v>
      </c>
      <c r="F150" s="2"/>
      <c r="H150" s="1" t="s">
        <v>1457</v>
      </c>
      <c r="I150" s="33" t="s">
        <v>3644</v>
      </c>
    </row>
    <row r="151" spans="1:9" x14ac:dyDescent="0.25">
      <c r="A151" s="24">
        <v>11</v>
      </c>
      <c r="B151" s="2">
        <v>56</v>
      </c>
      <c r="C151" s="2" t="s">
        <v>198</v>
      </c>
      <c r="D151" s="3">
        <v>0</v>
      </c>
      <c r="F151" s="2"/>
      <c r="H151" s="1" t="s">
        <v>1456</v>
      </c>
      <c r="I151" s="33" t="s">
        <v>3540</v>
      </c>
    </row>
    <row r="152" spans="1:9" x14ac:dyDescent="0.25">
      <c r="A152" s="24">
        <v>11</v>
      </c>
      <c r="B152" s="2">
        <v>56</v>
      </c>
      <c r="C152" s="2" t="s">
        <v>204</v>
      </c>
      <c r="D152" s="3">
        <v>0</v>
      </c>
      <c r="F152" s="2"/>
      <c r="H152" s="1" t="s">
        <v>1456</v>
      </c>
      <c r="I152" s="33" t="s">
        <v>3645</v>
      </c>
    </row>
    <row r="153" spans="1:9" x14ac:dyDescent="0.25">
      <c r="A153" s="24">
        <v>11</v>
      </c>
      <c r="B153" s="2">
        <v>56</v>
      </c>
      <c r="C153" s="2" t="s">
        <v>210</v>
      </c>
      <c r="D153" s="3">
        <v>0</v>
      </c>
      <c r="F153" s="2"/>
      <c r="H153" s="1" t="s">
        <v>1457</v>
      </c>
      <c r="I153" s="33" t="s">
        <v>3646</v>
      </c>
    </row>
    <row r="154" spans="1:9" x14ac:dyDescent="0.25">
      <c r="A154" s="24">
        <v>11</v>
      </c>
      <c r="B154" s="2">
        <v>56</v>
      </c>
      <c r="C154" s="2" t="s">
        <v>215</v>
      </c>
      <c r="D154" s="3">
        <v>0</v>
      </c>
      <c r="F154" s="2"/>
      <c r="H154" s="1" t="s">
        <v>1457</v>
      </c>
      <c r="I154" s="33" t="s">
        <v>3647</v>
      </c>
    </row>
    <row r="155" spans="1:9" ht="15.75" thickBot="1" x14ac:dyDescent="0.3">
      <c r="A155" s="26">
        <v>11</v>
      </c>
      <c r="B155" s="27">
        <v>56</v>
      </c>
      <c r="C155" s="27" t="s">
        <v>221</v>
      </c>
      <c r="D155" s="28">
        <v>0</v>
      </c>
      <c r="E155" s="30"/>
      <c r="F155" s="27"/>
      <c r="G155" s="30"/>
      <c r="H155" s="29" t="s">
        <v>1456</v>
      </c>
      <c r="I155" s="34" t="s">
        <v>3543</v>
      </c>
    </row>
    <row r="156" spans="1:9" x14ac:dyDescent="0.25">
      <c r="A156" s="18">
        <v>11</v>
      </c>
      <c r="B156" s="19">
        <v>57</v>
      </c>
      <c r="C156" s="19" t="s">
        <v>186</v>
      </c>
      <c r="D156" s="20">
        <v>0</v>
      </c>
      <c r="E156" s="22"/>
      <c r="F156" s="19"/>
      <c r="G156" s="22"/>
      <c r="H156" s="21" t="s">
        <v>1456</v>
      </c>
      <c r="I156" s="32" t="s">
        <v>3643</v>
      </c>
    </row>
    <row r="157" spans="1:9" x14ac:dyDescent="0.25">
      <c r="A157" s="24">
        <v>11</v>
      </c>
      <c r="B157" s="2">
        <v>57</v>
      </c>
      <c r="C157" s="2" t="s">
        <v>192</v>
      </c>
      <c r="D157" s="3">
        <v>1</v>
      </c>
      <c r="E157" t="s">
        <v>3661</v>
      </c>
      <c r="F157" s="2" t="s">
        <v>3674</v>
      </c>
      <c r="G157" s="33" t="s">
        <v>3684</v>
      </c>
      <c r="H157" s="1" t="s">
        <v>1457</v>
      </c>
    </row>
    <row r="158" spans="1:9" x14ac:dyDescent="0.25">
      <c r="A158" s="24">
        <v>11</v>
      </c>
      <c r="B158" s="2">
        <v>57</v>
      </c>
      <c r="C158" s="2" t="s">
        <v>198</v>
      </c>
      <c r="D158" s="3">
        <v>0</v>
      </c>
      <c r="F158" s="2"/>
      <c r="H158" s="1" t="s">
        <v>1456</v>
      </c>
      <c r="I158" s="33" t="s">
        <v>3540</v>
      </c>
    </row>
    <row r="159" spans="1:9" x14ac:dyDescent="0.25">
      <c r="A159" s="24">
        <v>11</v>
      </c>
      <c r="B159" s="2">
        <v>57</v>
      </c>
      <c r="C159" s="2" t="s">
        <v>204</v>
      </c>
      <c r="D159" s="3">
        <v>0</v>
      </c>
      <c r="F159" s="2"/>
      <c r="H159" s="1" t="s">
        <v>1456</v>
      </c>
      <c r="I159" s="33" t="s">
        <v>3645</v>
      </c>
    </row>
    <row r="160" spans="1:9" x14ac:dyDescent="0.25">
      <c r="A160" s="24">
        <v>11</v>
      </c>
      <c r="B160" s="2">
        <v>57</v>
      </c>
      <c r="C160" s="2" t="s">
        <v>210</v>
      </c>
      <c r="D160" s="3">
        <v>0</v>
      </c>
      <c r="F160" s="2"/>
      <c r="H160" s="1" t="s">
        <v>1457</v>
      </c>
      <c r="I160" s="33" t="s">
        <v>3685</v>
      </c>
    </row>
    <row r="161" spans="1:9" x14ac:dyDescent="0.25">
      <c r="A161" s="24">
        <v>11</v>
      </c>
      <c r="B161" s="2">
        <v>57</v>
      </c>
      <c r="C161" s="2" t="s">
        <v>215</v>
      </c>
      <c r="D161" s="3">
        <v>0</v>
      </c>
      <c r="F161" s="2"/>
      <c r="H161" s="1" t="s">
        <v>1457</v>
      </c>
      <c r="I161" s="33" t="s">
        <v>3686</v>
      </c>
    </row>
    <row r="162" spans="1:9" ht="15.75" thickBot="1" x14ac:dyDescent="0.3">
      <c r="A162" s="26">
        <v>11</v>
      </c>
      <c r="B162" s="27">
        <v>57</v>
      </c>
      <c r="C162" s="27" t="s">
        <v>221</v>
      </c>
      <c r="D162" s="28">
        <v>0</v>
      </c>
      <c r="E162" s="30"/>
      <c r="F162" s="27"/>
      <c r="G162" s="30"/>
      <c r="H162" s="29" t="s">
        <v>1456</v>
      </c>
      <c r="I162" s="34" t="s">
        <v>3543</v>
      </c>
    </row>
    <row r="163" spans="1:9" x14ac:dyDescent="0.25">
      <c r="A163" s="18">
        <v>12</v>
      </c>
      <c r="B163" s="19">
        <v>62</v>
      </c>
      <c r="C163" s="19" t="s">
        <v>186</v>
      </c>
      <c r="D163" s="20">
        <v>0</v>
      </c>
      <c r="E163" s="22"/>
      <c r="F163" s="19"/>
      <c r="G163" s="22"/>
      <c r="H163" s="21" t="s">
        <v>1457</v>
      </c>
      <c r="I163" s="32" t="s">
        <v>3850</v>
      </c>
    </row>
    <row r="164" spans="1:9" x14ac:dyDescent="0.25">
      <c r="A164" s="24">
        <v>12</v>
      </c>
      <c r="B164" s="2">
        <v>62</v>
      </c>
      <c r="C164" s="2" t="s">
        <v>192</v>
      </c>
      <c r="D164" s="3">
        <v>1</v>
      </c>
      <c r="E164" t="s">
        <v>3860</v>
      </c>
      <c r="F164" s="2" t="s">
        <v>3807</v>
      </c>
      <c r="G164" t="s">
        <v>3854</v>
      </c>
      <c r="H164" s="1" t="s">
        <v>1457</v>
      </c>
      <c r="I164" s="33" t="s">
        <v>3855</v>
      </c>
    </row>
    <row r="165" spans="1:9" x14ac:dyDescent="0.25">
      <c r="A165" s="24">
        <v>12</v>
      </c>
      <c r="B165" s="2">
        <v>62</v>
      </c>
      <c r="C165" s="2" t="s">
        <v>198</v>
      </c>
      <c r="D165" s="3">
        <v>1</v>
      </c>
      <c r="E165" t="s">
        <v>3861</v>
      </c>
      <c r="F165" s="2" t="s">
        <v>3807</v>
      </c>
      <c r="G165" t="s">
        <v>3857</v>
      </c>
      <c r="H165" s="1" t="s">
        <v>1457</v>
      </c>
      <c r="I165" s="33" t="s">
        <v>3856</v>
      </c>
    </row>
    <row r="166" spans="1:9" x14ac:dyDescent="0.25">
      <c r="A166" s="24">
        <v>12</v>
      </c>
      <c r="B166" s="2">
        <v>62</v>
      </c>
      <c r="C166" s="2" t="s">
        <v>204</v>
      </c>
      <c r="D166" s="3">
        <v>0</v>
      </c>
      <c r="F166" s="2"/>
      <c r="H166" s="1" t="s">
        <v>1456</v>
      </c>
      <c r="I166" s="33" t="s">
        <v>3851</v>
      </c>
    </row>
    <row r="167" spans="1:9" x14ac:dyDescent="0.25">
      <c r="A167" s="24">
        <v>12</v>
      </c>
      <c r="B167" s="2">
        <v>62</v>
      </c>
      <c r="C167" s="2" t="s">
        <v>210</v>
      </c>
      <c r="D167" s="3">
        <v>1</v>
      </c>
      <c r="E167" t="s">
        <v>3862</v>
      </c>
      <c r="F167" s="2" t="s">
        <v>3809</v>
      </c>
      <c r="G167" t="s">
        <v>3859</v>
      </c>
      <c r="H167" s="1" t="s">
        <v>1456</v>
      </c>
      <c r="I167" s="33" t="s">
        <v>3858</v>
      </c>
    </row>
    <row r="168" spans="1:9" x14ac:dyDescent="0.25">
      <c r="A168" s="24">
        <v>12</v>
      </c>
      <c r="B168" s="2">
        <v>62</v>
      </c>
      <c r="C168" s="2" t="s">
        <v>215</v>
      </c>
      <c r="D168" s="3">
        <v>0</v>
      </c>
      <c r="F168" s="2"/>
      <c r="H168" s="1" t="s">
        <v>1456</v>
      </c>
      <c r="I168" s="33" t="s">
        <v>3852</v>
      </c>
    </row>
    <row r="169" spans="1:9" ht="15.75" thickBot="1" x14ac:dyDescent="0.3">
      <c r="A169" s="26">
        <v>12</v>
      </c>
      <c r="B169" s="27">
        <v>62</v>
      </c>
      <c r="C169" s="27" t="s">
        <v>221</v>
      </c>
      <c r="D169" s="28">
        <v>0</v>
      </c>
      <c r="E169" s="30"/>
      <c r="F169" s="27"/>
      <c r="G169" s="30"/>
      <c r="H169" s="29" t="s">
        <v>1456</v>
      </c>
      <c r="I169" s="34" t="s">
        <v>3853</v>
      </c>
    </row>
    <row r="170" spans="1:9" x14ac:dyDescent="0.25">
      <c r="A170" s="18">
        <v>12</v>
      </c>
      <c r="B170" s="19">
        <v>64</v>
      </c>
      <c r="C170" s="19" t="s">
        <v>186</v>
      </c>
      <c r="D170" s="20">
        <v>2</v>
      </c>
      <c r="E170" t="s">
        <v>3919</v>
      </c>
      <c r="F170" s="19" t="s">
        <v>3905</v>
      </c>
      <c r="G170" s="22" t="s">
        <v>3912</v>
      </c>
      <c r="H170" s="21" t="s">
        <v>1457</v>
      </c>
      <c r="I170" s="32" t="s">
        <v>3911</v>
      </c>
    </row>
    <row r="171" spans="1:9" x14ac:dyDescent="0.25">
      <c r="A171" s="24">
        <v>12</v>
      </c>
      <c r="B171" s="2">
        <v>64</v>
      </c>
      <c r="C171" s="2" t="s">
        <v>192</v>
      </c>
      <c r="D171" s="3">
        <v>1</v>
      </c>
      <c r="E171" t="s">
        <v>3920</v>
      </c>
      <c r="F171" s="2" t="s">
        <v>3906</v>
      </c>
      <c r="G171" t="s">
        <v>3914</v>
      </c>
      <c r="H171" s="1" t="s">
        <v>1457</v>
      </c>
      <c r="I171" s="33" t="s">
        <v>3913</v>
      </c>
    </row>
    <row r="172" spans="1:9" x14ac:dyDescent="0.25">
      <c r="A172" s="24">
        <v>12</v>
      </c>
      <c r="B172" s="2">
        <v>64</v>
      </c>
      <c r="C172" s="2" t="s">
        <v>198</v>
      </c>
      <c r="D172" s="3">
        <v>2</v>
      </c>
      <c r="E172" t="s">
        <v>3921</v>
      </c>
      <c r="F172" s="2" t="s">
        <v>3907</v>
      </c>
      <c r="G172" t="s">
        <v>3916</v>
      </c>
      <c r="H172" s="1" t="s">
        <v>1457</v>
      </c>
      <c r="I172" s="33" t="s">
        <v>3915</v>
      </c>
    </row>
    <row r="173" spans="1:9" x14ac:dyDescent="0.25">
      <c r="A173" s="24">
        <v>12</v>
      </c>
      <c r="B173" s="2">
        <v>64</v>
      </c>
      <c r="C173" s="2" t="s">
        <v>204</v>
      </c>
      <c r="D173" s="3">
        <v>0</v>
      </c>
      <c r="F173" s="2"/>
      <c r="H173" s="1" t="s">
        <v>1456</v>
      </c>
      <c r="I173" s="33" t="s">
        <v>3908</v>
      </c>
    </row>
    <row r="174" spans="1:9" x14ac:dyDescent="0.25">
      <c r="A174" s="24">
        <v>12</v>
      </c>
      <c r="B174" s="2">
        <v>64</v>
      </c>
      <c r="C174" s="2" t="s">
        <v>210</v>
      </c>
      <c r="D174" s="3">
        <v>1</v>
      </c>
      <c r="E174" t="s">
        <v>3922</v>
      </c>
      <c r="F174" s="2" t="s">
        <v>3906</v>
      </c>
      <c r="G174" t="s">
        <v>3918</v>
      </c>
      <c r="H174" s="1" t="s">
        <v>1457</v>
      </c>
      <c r="I174" s="33" t="s">
        <v>3917</v>
      </c>
    </row>
    <row r="175" spans="1:9" x14ac:dyDescent="0.25">
      <c r="A175" s="24">
        <v>12</v>
      </c>
      <c r="B175" s="2">
        <v>64</v>
      </c>
      <c r="C175" s="2" t="s">
        <v>215</v>
      </c>
      <c r="D175" s="3">
        <v>0</v>
      </c>
      <c r="F175" s="2"/>
      <c r="H175" s="1" t="s">
        <v>1456</v>
      </c>
      <c r="I175" s="33" t="s">
        <v>3909</v>
      </c>
    </row>
    <row r="176" spans="1:9" ht="15.75" thickBot="1" x14ac:dyDescent="0.3">
      <c r="A176" s="26">
        <v>12</v>
      </c>
      <c r="B176" s="27">
        <v>64</v>
      </c>
      <c r="C176" s="27" t="s">
        <v>221</v>
      </c>
      <c r="D176" s="28">
        <v>0</v>
      </c>
      <c r="E176" s="30"/>
      <c r="F176" s="27"/>
      <c r="G176" s="30"/>
      <c r="H176" s="29" t="s">
        <v>1456</v>
      </c>
      <c r="I176" s="34" t="s">
        <v>3910</v>
      </c>
    </row>
    <row r="177" spans="1:9" x14ac:dyDescent="0.25">
      <c r="A177" s="18">
        <v>12</v>
      </c>
      <c r="B177" s="19">
        <v>69</v>
      </c>
      <c r="C177" s="19" t="s">
        <v>186</v>
      </c>
      <c r="D177" s="20">
        <v>2</v>
      </c>
      <c r="E177" t="s">
        <v>4005</v>
      </c>
      <c r="F177" s="19" t="s">
        <v>3986</v>
      </c>
      <c r="G177" s="22" t="s">
        <v>3994</v>
      </c>
      <c r="H177" s="21" t="s">
        <v>1457</v>
      </c>
      <c r="I177" s="32" t="s">
        <v>3993</v>
      </c>
    </row>
    <row r="178" spans="1:9" x14ac:dyDescent="0.25">
      <c r="A178" s="24">
        <v>12</v>
      </c>
      <c r="B178" s="2">
        <v>69</v>
      </c>
      <c r="C178" s="2" t="s">
        <v>192</v>
      </c>
      <c r="D178" s="3">
        <v>2</v>
      </c>
      <c r="E178" t="s">
        <v>4006</v>
      </c>
      <c r="F178" s="2" t="s">
        <v>3987</v>
      </c>
      <c r="G178" t="s">
        <v>3996</v>
      </c>
      <c r="H178" s="1" t="s">
        <v>1457</v>
      </c>
      <c r="I178" s="33" t="s">
        <v>3995</v>
      </c>
    </row>
    <row r="179" spans="1:9" x14ac:dyDescent="0.25">
      <c r="A179" s="24">
        <v>12</v>
      </c>
      <c r="B179" s="2">
        <v>69</v>
      </c>
      <c r="C179" s="2" t="s">
        <v>198</v>
      </c>
      <c r="D179" s="3">
        <v>2</v>
      </c>
      <c r="E179" t="s">
        <v>4007</v>
      </c>
      <c r="F179" s="2" t="s">
        <v>3988</v>
      </c>
      <c r="G179" t="s">
        <v>3998</v>
      </c>
      <c r="H179" s="1" t="s">
        <v>1457</v>
      </c>
      <c r="I179" s="33" t="s">
        <v>3997</v>
      </c>
    </row>
    <row r="180" spans="1:9" x14ac:dyDescent="0.25">
      <c r="A180" s="24">
        <v>12</v>
      </c>
      <c r="B180" s="2">
        <v>69</v>
      </c>
      <c r="C180" s="2" t="s">
        <v>204</v>
      </c>
      <c r="D180" s="3">
        <v>1</v>
      </c>
      <c r="E180" t="s">
        <v>4003</v>
      </c>
      <c r="F180" s="2" t="s">
        <v>3989</v>
      </c>
      <c r="G180" t="s">
        <v>4000</v>
      </c>
      <c r="H180" s="1" t="s">
        <v>1456</v>
      </c>
      <c r="I180" s="33" t="s">
        <v>3999</v>
      </c>
    </row>
    <row r="181" spans="1:9" x14ac:dyDescent="0.25">
      <c r="A181" s="24">
        <v>12</v>
      </c>
      <c r="B181" s="2">
        <v>69</v>
      </c>
      <c r="C181" s="2" t="s">
        <v>210</v>
      </c>
      <c r="D181" s="3">
        <v>1</v>
      </c>
      <c r="E181" t="s">
        <v>4004</v>
      </c>
      <c r="F181" s="2" t="s">
        <v>3990</v>
      </c>
      <c r="G181" t="s">
        <v>4002</v>
      </c>
      <c r="H181" s="1" t="s">
        <v>1456</v>
      </c>
      <c r="I181" s="33" t="s">
        <v>4001</v>
      </c>
    </row>
    <row r="182" spans="1:9" x14ac:dyDescent="0.25">
      <c r="A182" s="24">
        <v>12</v>
      </c>
      <c r="B182" s="2">
        <v>69</v>
      </c>
      <c r="C182" s="2" t="s">
        <v>215</v>
      </c>
      <c r="D182" s="3">
        <v>0</v>
      </c>
      <c r="F182" s="2"/>
      <c r="H182" s="1" t="s">
        <v>1456</v>
      </c>
      <c r="I182" s="33" t="s">
        <v>3991</v>
      </c>
    </row>
    <row r="183" spans="1:9" ht="15.75" thickBot="1" x14ac:dyDescent="0.3">
      <c r="A183" s="26">
        <v>12</v>
      </c>
      <c r="B183" s="27">
        <v>69</v>
      </c>
      <c r="C183" s="27" t="s">
        <v>221</v>
      </c>
      <c r="D183" s="28">
        <v>0</v>
      </c>
      <c r="E183" s="30"/>
      <c r="F183" s="27"/>
      <c r="G183" s="30"/>
      <c r="H183" s="29" t="s">
        <v>1457</v>
      </c>
      <c r="I183" s="34" t="s">
        <v>3992</v>
      </c>
    </row>
    <row r="184" spans="1:9" x14ac:dyDescent="0.25">
      <c r="A184" s="18">
        <v>12</v>
      </c>
      <c r="B184" s="19">
        <v>70</v>
      </c>
      <c r="C184" s="19" t="s">
        <v>186</v>
      </c>
      <c r="D184" s="20">
        <v>1</v>
      </c>
      <c r="E184" t="s">
        <v>4078</v>
      </c>
      <c r="F184" s="19" t="s">
        <v>4023</v>
      </c>
      <c r="G184" s="22" t="s">
        <v>4083</v>
      </c>
      <c r="H184" s="21" t="s">
        <v>1457</v>
      </c>
      <c r="I184" s="32" t="s">
        <v>4082</v>
      </c>
    </row>
    <row r="185" spans="1:9" x14ac:dyDescent="0.25">
      <c r="A185" s="24">
        <v>12</v>
      </c>
      <c r="B185" s="2">
        <v>70</v>
      </c>
      <c r="C185" s="2" t="s">
        <v>192</v>
      </c>
      <c r="D185" s="3">
        <v>1</v>
      </c>
      <c r="E185" t="s">
        <v>4079</v>
      </c>
      <c r="F185" s="2" t="s">
        <v>4073</v>
      </c>
      <c r="G185" t="s">
        <v>4085</v>
      </c>
      <c r="H185" s="1" t="s">
        <v>1457</v>
      </c>
      <c r="I185" s="33" t="s">
        <v>4084</v>
      </c>
    </row>
    <row r="186" spans="1:9" x14ac:dyDescent="0.25">
      <c r="A186" s="24">
        <v>12</v>
      </c>
      <c r="B186" s="2">
        <v>70</v>
      </c>
      <c r="C186" s="2" t="s">
        <v>198</v>
      </c>
      <c r="D186" s="3">
        <v>2</v>
      </c>
      <c r="E186" t="s">
        <v>4081</v>
      </c>
      <c r="F186" s="2" t="s">
        <v>4074</v>
      </c>
      <c r="G186" t="s">
        <v>4087</v>
      </c>
      <c r="H186" s="1" t="s">
        <v>1456</v>
      </c>
      <c r="I186" s="33" t="s">
        <v>4086</v>
      </c>
    </row>
    <row r="187" spans="1:9" x14ac:dyDescent="0.25">
      <c r="A187" s="24">
        <v>12</v>
      </c>
      <c r="B187" s="2">
        <v>70</v>
      </c>
      <c r="C187" s="2" t="s">
        <v>204</v>
      </c>
      <c r="D187" s="3">
        <v>0</v>
      </c>
      <c r="F187" s="2"/>
      <c r="H187" s="1" t="s">
        <v>1457</v>
      </c>
      <c r="I187" s="33" t="s">
        <v>4075</v>
      </c>
    </row>
    <row r="188" spans="1:9" x14ac:dyDescent="0.25">
      <c r="A188" s="24">
        <v>12</v>
      </c>
      <c r="B188" s="2">
        <v>70</v>
      </c>
      <c r="C188" s="2" t="s">
        <v>210</v>
      </c>
      <c r="D188" s="3">
        <v>1</v>
      </c>
      <c r="E188" t="s">
        <v>4080</v>
      </c>
      <c r="F188" s="2" t="s">
        <v>3515</v>
      </c>
      <c r="G188" t="s">
        <v>4089</v>
      </c>
      <c r="H188" s="1" t="s">
        <v>1456</v>
      </c>
      <c r="I188" s="33" t="s">
        <v>4088</v>
      </c>
    </row>
    <row r="189" spans="1:9" x14ac:dyDescent="0.25">
      <c r="A189" s="24">
        <v>12</v>
      </c>
      <c r="B189" s="2">
        <v>70</v>
      </c>
      <c r="C189" s="2" t="s">
        <v>215</v>
      </c>
      <c r="D189" s="3">
        <v>0</v>
      </c>
      <c r="F189" s="2"/>
      <c r="H189" s="1" t="s">
        <v>1456</v>
      </c>
      <c r="I189" s="33" t="s">
        <v>4076</v>
      </c>
    </row>
    <row r="190" spans="1:9" ht="15.75" thickBot="1" x14ac:dyDescent="0.3">
      <c r="A190" s="26">
        <v>12</v>
      </c>
      <c r="B190" s="27">
        <v>70</v>
      </c>
      <c r="C190" s="27" t="s">
        <v>221</v>
      </c>
      <c r="D190" s="28">
        <v>0</v>
      </c>
      <c r="E190" s="30"/>
      <c r="F190" s="27"/>
      <c r="G190" s="30"/>
      <c r="H190" s="29" t="s">
        <v>1457</v>
      </c>
      <c r="I190" s="34" t="s">
        <v>4077</v>
      </c>
    </row>
    <row r="191" spans="1:9" x14ac:dyDescent="0.25">
      <c r="A191" s="18">
        <v>13</v>
      </c>
      <c r="B191" s="19">
        <v>73</v>
      </c>
      <c r="C191" s="19" t="s">
        <v>186</v>
      </c>
      <c r="D191" s="20">
        <v>1</v>
      </c>
      <c r="E191" t="s">
        <v>4153</v>
      </c>
      <c r="F191" s="19" t="s">
        <v>4140</v>
      </c>
      <c r="G191" s="22" t="s">
        <v>4148</v>
      </c>
      <c r="H191" s="21" t="s">
        <v>1457</v>
      </c>
      <c r="I191" s="32" t="s">
        <v>4147</v>
      </c>
    </row>
    <row r="192" spans="1:9" x14ac:dyDescent="0.25">
      <c r="A192" s="24">
        <v>13</v>
      </c>
      <c r="B192" s="2">
        <v>73</v>
      </c>
      <c r="C192" s="2" t="s">
        <v>192</v>
      </c>
      <c r="D192" s="3">
        <v>1</v>
      </c>
      <c r="E192" t="s">
        <v>4154</v>
      </c>
      <c r="F192" s="2" t="s">
        <v>4141</v>
      </c>
      <c r="G192" t="s">
        <v>4150</v>
      </c>
      <c r="H192" s="1" t="s">
        <v>1457</v>
      </c>
      <c r="I192" s="33" t="s">
        <v>4149</v>
      </c>
    </row>
    <row r="193" spans="1:9" x14ac:dyDescent="0.25">
      <c r="A193" s="24">
        <v>13</v>
      </c>
      <c r="B193" s="2">
        <v>73</v>
      </c>
      <c r="C193" s="2" t="s">
        <v>198</v>
      </c>
      <c r="D193" s="3">
        <v>1</v>
      </c>
      <c r="E193" t="s">
        <v>4155</v>
      </c>
      <c r="F193" s="2" t="s">
        <v>4142</v>
      </c>
      <c r="G193" t="s">
        <v>4152</v>
      </c>
      <c r="H193" s="1" t="s">
        <v>1457</v>
      </c>
      <c r="I193" s="33" t="s">
        <v>4151</v>
      </c>
    </row>
    <row r="194" spans="1:9" x14ac:dyDescent="0.25">
      <c r="A194" s="24">
        <v>13</v>
      </c>
      <c r="B194" s="2">
        <v>73</v>
      </c>
      <c r="C194" s="2" t="s">
        <v>204</v>
      </c>
      <c r="D194" s="3">
        <v>0</v>
      </c>
      <c r="F194" s="2"/>
      <c r="H194" s="1" t="s">
        <v>1456</v>
      </c>
      <c r="I194" s="33" t="s">
        <v>4143</v>
      </c>
    </row>
    <row r="195" spans="1:9" x14ac:dyDescent="0.25">
      <c r="A195" s="24">
        <v>13</v>
      </c>
      <c r="B195" s="2">
        <v>73</v>
      </c>
      <c r="C195" s="2" t="s">
        <v>210</v>
      </c>
      <c r="D195" s="3">
        <v>0</v>
      </c>
      <c r="F195" s="2"/>
      <c r="H195" s="1" t="s">
        <v>1456</v>
      </c>
      <c r="I195" s="33" t="s">
        <v>4144</v>
      </c>
    </row>
    <row r="196" spans="1:9" x14ac:dyDescent="0.25">
      <c r="A196" s="24">
        <v>13</v>
      </c>
      <c r="B196" s="2">
        <v>73</v>
      </c>
      <c r="C196" s="2" t="s">
        <v>215</v>
      </c>
      <c r="D196" s="3">
        <v>0</v>
      </c>
      <c r="F196" s="2"/>
      <c r="H196" s="1" t="s">
        <v>1456</v>
      </c>
      <c r="I196" s="33" t="s">
        <v>4145</v>
      </c>
    </row>
    <row r="197" spans="1:9" ht="15.75" thickBot="1" x14ac:dyDescent="0.3">
      <c r="A197" s="26">
        <v>13</v>
      </c>
      <c r="B197" s="27">
        <v>73</v>
      </c>
      <c r="C197" s="27" t="s">
        <v>221</v>
      </c>
      <c r="D197" s="28">
        <v>0</v>
      </c>
      <c r="E197" s="30"/>
      <c r="F197" s="27"/>
      <c r="G197" s="30"/>
      <c r="H197" s="29" t="s">
        <v>1456</v>
      </c>
      <c r="I197" s="34" t="s">
        <v>4146</v>
      </c>
    </row>
    <row r="198" spans="1:9" x14ac:dyDescent="0.25">
      <c r="A198" s="18">
        <v>13</v>
      </c>
      <c r="B198" s="19">
        <v>74</v>
      </c>
      <c r="C198" s="19" t="s">
        <v>186</v>
      </c>
      <c r="D198" s="20">
        <v>0</v>
      </c>
      <c r="E198" s="22"/>
      <c r="F198" s="19"/>
      <c r="G198" s="22"/>
      <c r="H198" s="21" t="s">
        <v>1456</v>
      </c>
      <c r="I198" s="32" t="s">
        <v>4186</v>
      </c>
    </row>
    <row r="199" spans="1:9" x14ac:dyDescent="0.25">
      <c r="A199" s="24">
        <v>13</v>
      </c>
      <c r="B199" s="2">
        <v>74</v>
      </c>
      <c r="C199" s="2" t="s">
        <v>192</v>
      </c>
      <c r="D199" s="3">
        <v>1</v>
      </c>
      <c r="E199" t="s">
        <v>4194</v>
      </c>
      <c r="F199" s="2" t="s">
        <v>4179</v>
      </c>
      <c r="G199" t="s">
        <v>4085</v>
      </c>
      <c r="H199" s="1" t="s">
        <v>1457</v>
      </c>
      <c r="I199" s="33" t="s">
        <v>4190</v>
      </c>
    </row>
    <row r="200" spans="1:9" x14ac:dyDescent="0.25">
      <c r="A200" s="24">
        <v>13</v>
      </c>
      <c r="B200" s="2">
        <v>74</v>
      </c>
      <c r="C200" s="2" t="s">
        <v>198</v>
      </c>
      <c r="D200" s="3">
        <v>2</v>
      </c>
      <c r="E200" t="s">
        <v>4193</v>
      </c>
      <c r="F200" s="2" t="s">
        <v>4179</v>
      </c>
      <c r="G200" t="s">
        <v>4192</v>
      </c>
      <c r="H200" s="1" t="s">
        <v>1456</v>
      </c>
      <c r="I200" s="33" t="s">
        <v>4191</v>
      </c>
    </row>
    <row r="201" spans="1:9" x14ac:dyDescent="0.25">
      <c r="A201" s="24">
        <v>13</v>
      </c>
      <c r="B201" s="2">
        <v>74</v>
      </c>
      <c r="C201" s="2" t="s">
        <v>204</v>
      </c>
      <c r="D201" s="3">
        <v>0</v>
      </c>
      <c r="F201" s="2"/>
      <c r="H201" s="1" t="s">
        <v>1456</v>
      </c>
      <c r="I201" s="33" t="s">
        <v>4187</v>
      </c>
    </row>
    <row r="202" spans="1:9" x14ac:dyDescent="0.25">
      <c r="A202" s="24">
        <v>13</v>
      </c>
      <c r="B202" s="2">
        <v>74</v>
      </c>
      <c r="C202" s="2" t="s">
        <v>210</v>
      </c>
      <c r="D202" s="3">
        <v>0</v>
      </c>
      <c r="F202" s="2"/>
      <c r="H202" s="1" t="s">
        <v>1456</v>
      </c>
      <c r="I202" s="33" t="s">
        <v>4144</v>
      </c>
    </row>
    <row r="203" spans="1:9" x14ac:dyDescent="0.25">
      <c r="A203" s="24">
        <v>13</v>
      </c>
      <c r="B203" s="2">
        <v>74</v>
      </c>
      <c r="C203" s="2" t="s">
        <v>215</v>
      </c>
      <c r="D203" s="3">
        <v>0</v>
      </c>
      <c r="F203" s="2"/>
      <c r="H203" s="1" t="s">
        <v>1457</v>
      </c>
      <c r="I203" s="33" t="s">
        <v>4188</v>
      </c>
    </row>
    <row r="204" spans="1:9" ht="15.75" thickBot="1" x14ac:dyDescent="0.3">
      <c r="A204" s="26">
        <v>13</v>
      </c>
      <c r="B204" s="27">
        <v>74</v>
      </c>
      <c r="C204" s="27" t="s">
        <v>221</v>
      </c>
      <c r="D204" s="28">
        <v>0</v>
      </c>
      <c r="E204" s="30"/>
      <c r="F204" s="27"/>
      <c r="G204" s="30"/>
      <c r="H204" s="29" t="s">
        <v>1456</v>
      </c>
      <c r="I204" s="34" t="s">
        <v>4189</v>
      </c>
    </row>
    <row r="205" spans="1:9" x14ac:dyDescent="0.25">
      <c r="A205" s="18">
        <v>15</v>
      </c>
      <c r="B205" s="19">
        <v>86</v>
      </c>
      <c r="C205" s="19" t="s">
        <v>186</v>
      </c>
      <c r="D205" s="20">
        <v>2</v>
      </c>
      <c r="E205" t="s">
        <v>4234</v>
      </c>
      <c r="F205" s="19" t="s">
        <v>4210</v>
      </c>
      <c r="G205" s="22" t="s">
        <v>4263</v>
      </c>
      <c r="H205" s="21" t="s">
        <v>1456</v>
      </c>
      <c r="I205" s="32" t="s">
        <v>4262</v>
      </c>
    </row>
    <row r="206" spans="1:9" x14ac:dyDescent="0.25">
      <c r="A206" s="24">
        <v>15</v>
      </c>
      <c r="B206" s="2">
        <v>86</v>
      </c>
      <c r="C206" s="2" t="s">
        <v>192</v>
      </c>
      <c r="D206" s="3">
        <v>2</v>
      </c>
      <c r="E206" t="s">
        <v>4270</v>
      </c>
      <c r="F206" s="2" t="s">
        <v>4214</v>
      </c>
      <c r="G206" t="s">
        <v>4265</v>
      </c>
      <c r="H206" s="1" t="s">
        <v>1457</v>
      </c>
      <c r="I206" s="33" t="s">
        <v>4264</v>
      </c>
    </row>
    <row r="207" spans="1:9" x14ac:dyDescent="0.25">
      <c r="A207" s="24">
        <v>15</v>
      </c>
      <c r="B207" s="2">
        <v>86</v>
      </c>
      <c r="C207" s="2" t="s">
        <v>198</v>
      </c>
      <c r="D207" s="3">
        <v>2</v>
      </c>
      <c r="E207" t="s">
        <v>4271</v>
      </c>
      <c r="F207" s="2" t="s">
        <v>4231</v>
      </c>
      <c r="G207" t="s">
        <v>4267</v>
      </c>
      <c r="H207" s="1" t="s">
        <v>1456</v>
      </c>
      <c r="I207" s="33" t="s">
        <v>4266</v>
      </c>
    </row>
    <row r="208" spans="1:9" x14ac:dyDescent="0.25">
      <c r="A208" s="24">
        <v>15</v>
      </c>
      <c r="B208" s="2">
        <v>86</v>
      </c>
      <c r="C208" s="2" t="s">
        <v>204</v>
      </c>
      <c r="D208" s="3">
        <v>0</v>
      </c>
      <c r="F208" s="2"/>
      <c r="H208" s="1" t="s">
        <v>1456</v>
      </c>
      <c r="I208" s="33" t="s">
        <v>4258</v>
      </c>
    </row>
    <row r="209" spans="1:9" x14ac:dyDescent="0.25">
      <c r="A209" s="24">
        <v>15</v>
      </c>
      <c r="B209" s="2">
        <v>86</v>
      </c>
      <c r="C209" s="2" t="s">
        <v>210</v>
      </c>
      <c r="D209" s="3">
        <v>1</v>
      </c>
      <c r="E209" t="s">
        <v>4272</v>
      </c>
      <c r="F209" s="2" t="s">
        <v>4259</v>
      </c>
      <c r="G209" t="s">
        <v>4269</v>
      </c>
      <c r="H209" s="1" t="s">
        <v>1456</v>
      </c>
      <c r="I209" s="33" t="s">
        <v>4268</v>
      </c>
    </row>
    <row r="210" spans="1:9" x14ac:dyDescent="0.25">
      <c r="A210" s="24">
        <v>15</v>
      </c>
      <c r="B210" s="2">
        <v>86</v>
      </c>
      <c r="C210" s="2" t="s">
        <v>215</v>
      </c>
      <c r="D210" s="3">
        <v>0</v>
      </c>
      <c r="F210" s="2"/>
      <c r="H210" s="1" t="s">
        <v>1456</v>
      </c>
      <c r="I210" s="33" t="s">
        <v>4260</v>
      </c>
    </row>
    <row r="211" spans="1:9" ht="15.75" thickBot="1" x14ac:dyDescent="0.3">
      <c r="A211" s="26">
        <v>15</v>
      </c>
      <c r="B211" s="27">
        <v>86</v>
      </c>
      <c r="C211" s="27" t="s">
        <v>221</v>
      </c>
      <c r="D211" s="28">
        <v>0</v>
      </c>
      <c r="E211" s="30"/>
      <c r="F211" s="27"/>
      <c r="G211" s="30"/>
      <c r="H211" s="29" t="s">
        <v>1456</v>
      </c>
      <c r="I211" s="34" t="s">
        <v>4261</v>
      </c>
    </row>
    <row r="212" spans="1:9" x14ac:dyDescent="0.25">
      <c r="A212" s="18">
        <v>15</v>
      </c>
      <c r="B212" s="19">
        <v>88</v>
      </c>
      <c r="C212" s="19" t="s">
        <v>186</v>
      </c>
      <c r="D212" s="20">
        <v>0</v>
      </c>
      <c r="E212" s="22"/>
      <c r="F212" s="19"/>
      <c r="G212" s="22"/>
      <c r="H212" s="21" t="s">
        <v>1457</v>
      </c>
      <c r="I212" s="32" t="s">
        <v>4307</v>
      </c>
    </row>
    <row r="213" spans="1:9" x14ac:dyDescent="0.25">
      <c r="A213" s="24">
        <v>15</v>
      </c>
      <c r="B213" s="2">
        <v>88</v>
      </c>
      <c r="C213" s="2" t="s">
        <v>192</v>
      </c>
      <c r="D213" s="3">
        <v>1</v>
      </c>
      <c r="E213" t="s">
        <v>4316</v>
      </c>
      <c r="F213" s="2"/>
      <c r="G213" t="s">
        <v>4313</v>
      </c>
      <c r="H213" s="1" t="s">
        <v>1457</v>
      </c>
      <c r="I213" s="33" t="s">
        <v>4312</v>
      </c>
    </row>
    <row r="214" spans="1:9" x14ac:dyDescent="0.25">
      <c r="A214" s="24">
        <v>15</v>
      </c>
      <c r="B214" s="2">
        <v>88</v>
      </c>
      <c r="C214" s="2" t="s">
        <v>198</v>
      </c>
      <c r="D214" s="3">
        <v>1</v>
      </c>
      <c r="E214" t="s">
        <v>4317</v>
      </c>
      <c r="F214" s="2"/>
      <c r="G214" t="s">
        <v>4315</v>
      </c>
      <c r="H214" s="1" t="s">
        <v>1457</v>
      </c>
      <c r="I214" s="33" t="s">
        <v>4314</v>
      </c>
    </row>
    <row r="215" spans="1:9" x14ac:dyDescent="0.25">
      <c r="A215" s="24">
        <v>15</v>
      </c>
      <c r="B215" s="2">
        <v>88</v>
      </c>
      <c r="C215" s="2" t="s">
        <v>204</v>
      </c>
      <c r="D215" s="3">
        <v>0</v>
      </c>
      <c r="F215" s="2"/>
      <c r="H215" s="1" t="s">
        <v>1456</v>
      </c>
      <c r="I215" s="33" t="s">
        <v>4308</v>
      </c>
    </row>
    <row r="216" spans="1:9" x14ac:dyDescent="0.25">
      <c r="A216" s="24">
        <v>15</v>
      </c>
      <c r="B216" s="2">
        <v>88</v>
      </c>
      <c r="C216" s="2" t="s">
        <v>210</v>
      </c>
      <c r="D216" s="3">
        <v>0</v>
      </c>
      <c r="F216" s="2"/>
      <c r="H216" s="1" t="s">
        <v>1456</v>
      </c>
      <c r="I216" s="33" t="s">
        <v>4309</v>
      </c>
    </row>
    <row r="217" spans="1:9" x14ac:dyDescent="0.25">
      <c r="A217" s="24">
        <v>15</v>
      </c>
      <c r="B217" s="2">
        <v>88</v>
      </c>
      <c r="C217" s="2" t="s">
        <v>215</v>
      </c>
      <c r="D217" s="3">
        <v>0</v>
      </c>
      <c r="F217" s="2"/>
      <c r="H217" s="1" t="s">
        <v>1456</v>
      </c>
      <c r="I217" s="33" t="s">
        <v>4310</v>
      </c>
    </row>
    <row r="218" spans="1:9" ht="15.75" thickBot="1" x14ac:dyDescent="0.3">
      <c r="A218" s="26">
        <v>15</v>
      </c>
      <c r="B218" s="27">
        <v>88</v>
      </c>
      <c r="C218" s="27" t="s">
        <v>221</v>
      </c>
      <c r="D218" s="28">
        <v>0</v>
      </c>
      <c r="E218" s="30"/>
      <c r="F218" s="27"/>
      <c r="G218" s="30"/>
      <c r="H218" s="29" t="s">
        <v>1457</v>
      </c>
      <c r="I218" s="34" t="s">
        <v>4311</v>
      </c>
    </row>
    <row r="219" spans="1:9" x14ac:dyDescent="0.25">
      <c r="A219" s="18">
        <v>15</v>
      </c>
      <c r="B219" s="19">
        <v>90</v>
      </c>
      <c r="C219" s="19" t="s">
        <v>186</v>
      </c>
      <c r="D219" s="20">
        <v>2</v>
      </c>
      <c r="E219" t="s">
        <v>4383</v>
      </c>
      <c r="F219" s="19" t="s">
        <v>4334</v>
      </c>
      <c r="G219" s="22" t="s">
        <v>4378</v>
      </c>
      <c r="H219" s="21" t="s">
        <v>1456</v>
      </c>
      <c r="I219" s="32" t="s">
        <v>4377</v>
      </c>
    </row>
    <row r="220" spans="1:9" x14ac:dyDescent="0.25">
      <c r="A220" s="24">
        <v>15</v>
      </c>
      <c r="B220" s="2">
        <v>90</v>
      </c>
      <c r="C220" s="2" t="s">
        <v>192</v>
      </c>
      <c r="D220" s="3">
        <v>2</v>
      </c>
      <c r="E220" t="s">
        <v>4384</v>
      </c>
      <c r="F220" s="2" t="s">
        <v>4334</v>
      </c>
      <c r="G220" t="s">
        <v>4380</v>
      </c>
      <c r="H220" s="1" t="s">
        <v>1457</v>
      </c>
      <c r="I220" s="33" t="s">
        <v>4379</v>
      </c>
    </row>
    <row r="221" spans="1:9" x14ac:dyDescent="0.25">
      <c r="A221" s="24">
        <v>15</v>
      </c>
      <c r="B221" s="2">
        <v>90</v>
      </c>
      <c r="C221" s="2" t="s">
        <v>198</v>
      </c>
      <c r="D221" s="3">
        <v>2</v>
      </c>
      <c r="E221" t="s">
        <v>4385</v>
      </c>
      <c r="F221" s="2" t="s">
        <v>4334</v>
      </c>
      <c r="G221" t="s">
        <v>4382</v>
      </c>
      <c r="H221" s="1" t="s">
        <v>1456</v>
      </c>
      <c r="I221" s="33" t="s">
        <v>4381</v>
      </c>
    </row>
    <row r="222" spans="1:9" x14ac:dyDescent="0.25">
      <c r="A222" s="24">
        <v>15</v>
      </c>
      <c r="B222" s="2">
        <v>90</v>
      </c>
      <c r="C222" s="2" t="s">
        <v>204</v>
      </c>
      <c r="D222" s="3">
        <v>0</v>
      </c>
      <c r="F222" s="2"/>
      <c r="H222" s="1" t="s">
        <v>1457</v>
      </c>
      <c r="I222" s="33" t="s">
        <v>4373</v>
      </c>
    </row>
    <row r="223" spans="1:9" x14ac:dyDescent="0.25">
      <c r="A223" s="24">
        <v>15</v>
      </c>
      <c r="B223" s="2">
        <v>90</v>
      </c>
      <c r="C223" s="2" t="s">
        <v>210</v>
      </c>
      <c r="D223" s="3">
        <v>0</v>
      </c>
      <c r="F223" s="2"/>
      <c r="H223" s="1" t="s">
        <v>1457</v>
      </c>
      <c r="I223" s="33" t="s">
        <v>4374</v>
      </c>
    </row>
    <row r="224" spans="1:9" x14ac:dyDescent="0.25">
      <c r="A224" s="24">
        <v>15</v>
      </c>
      <c r="B224" s="2">
        <v>90</v>
      </c>
      <c r="C224" s="2" t="s">
        <v>215</v>
      </c>
      <c r="D224" s="3">
        <v>0</v>
      </c>
      <c r="F224" s="2"/>
      <c r="H224" s="1" t="s">
        <v>1457</v>
      </c>
      <c r="I224" s="33" t="s">
        <v>4375</v>
      </c>
    </row>
    <row r="225" spans="1:9" ht="15.75" thickBot="1" x14ac:dyDescent="0.3">
      <c r="A225" s="26">
        <v>15</v>
      </c>
      <c r="B225" s="27">
        <v>90</v>
      </c>
      <c r="C225" s="27" t="s">
        <v>221</v>
      </c>
      <c r="D225" s="28">
        <v>0</v>
      </c>
      <c r="E225" s="30"/>
      <c r="F225" s="27"/>
      <c r="G225" s="30"/>
      <c r="H225" s="29" t="s">
        <v>1457</v>
      </c>
      <c r="I225" s="34" t="s">
        <v>4376</v>
      </c>
    </row>
    <row r="226" spans="1:9" x14ac:dyDescent="0.25">
      <c r="A226" s="18">
        <v>15</v>
      </c>
      <c r="B226" s="19">
        <v>91</v>
      </c>
      <c r="C226" s="19" t="s">
        <v>186</v>
      </c>
      <c r="D226" s="20">
        <v>2</v>
      </c>
      <c r="E226" t="s">
        <v>4455</v>
      </c>
      <c r="F226" s="19" t="s">
        <v>4442</v>
      </c>
      <c r="G226" s="22" t="s">
        <v>4447</v>
      </c>
      <c r="H226" s="21" t="s">
        <v>1456</v>
      </c>
      <c r="I226" s="32" t="s">
        <v>4446</v>
      </c>
    </row>
    <row r="227" spans="1:9" x14ac:dyDescent="0.25">
      <c r="A227" s="24">
        <v>15</v>
      </c>
      <c r="B227" s="2">
        <v>91</v>
      </c>
      <c r="C227" s="2" t="s">
        <v>192</v>
      </c>
      <c r="D227" s="3">
        <v>2</v>
      </c>
      <c r="E227" t="s">
        <v>4456</v>
      </c>
      <c r="F227" s="2" t="s">
        <v>4421</v>
      </c>
      <c r="G227" t="s">
        <v>4449</v>
      </c>
      <c r="H227" s="1" t="s">
        <v>1456</v>
      </c>
      <c r="I227" s="33" t="s">
        <v>4448</v>
      </c>
    </row>
    <row r="228" spans="1:9" x14ac:dyDescent="0.25">
      <c r="A228" s="24">
        <v>15</v>
      </c>
      <c r="B228" s="2">
        <v>91</v>
      </c>
      <c r="C228" s="2" t="s">
        <v>198</v>
      </c>
      <c r="D228" s="3">
        <v>2</v>
      </c>
      <c r="E228" t="s">
        <v>4457</v>
      </c>
      <c r="F228" s="2" t="s">
        <v>4443</v>
      </c>
      <c r="G228" t="s">
        <v>4451</v>
      </c>
      <c r="H228" s="1" t="s">
        <v>1456</v>
      </c>
      <c r="I228" s="33" t="s">
        <v>4450</v>
      </c>
    </row>
    <row r="229" spans="1:9" x14ac:dyDescent="0.25">
      <c r="A229" s="24">
        <v>15</v>
      </c>
      <c r="B229" s="2">
        <v>91</v>
      </c>
      <c r="C229" s="2" t="s">
        <v>204</v>
      </c>
      <c r="D229" s="3">
        <v>0</v>
      </c>
      <c r="F229" s="2"/>
      <c r="H229" s="1" t="s">
        <v>1456</v>
      </c>
      <c r="I229" s="33" t="s">
        <v>3908</v>
      </c>
    </row>
    <row r="230" spans="1:9" x14ac:dyDescent="0.25">
      <c r="A230" s="24">
        <v>15</v>
      </c>
      <c r="B230" s="2">
        <v>91</v>
      </c>
      <c r="C230" s="2" t="s">
        <v>210</v>
      </c>
      <c r="D230" s="3">
        <v>1</v>
      </c>
      <c r="E230" t="s">
        <v>4454</v>
      </c>
      <c r="F230" s="2" t="s">
        <v>4442</v>
      </c>
      <c r="G230" t="s">
        <v>4453</v>
      </c>
      <c r="H230" s="1" t="s">
        <v>1457</v>
      </c>
      <c r="I230" s="33" t="s">
        <v>4452</v>
      </c>
    </row>
    <row r="231" spans="1:9" x14ac:dyDescent="0.25">
      <c r="A231" s="24">
        <v>15</v>
      </c>
      <c r="B231" s="2">
        <v>91</v>
      </c>
      <c r="C231" s="2" t="s">
        <v>215</v>
      </c>
      <c r="D231" s="3">
        <v>0</v>
      </c>
      <c r="F231" s="2"/>
      <c r="H231" s="1" t="s">
        <v>1456</v>
      </c>
      <c r="I231" s="33" t="s">
        <v>4444</v>
      </c>
    </row>
    <row r="232" spans="1:9" ht="15.75" thickBot="1" x14ac:dyDescent="0.3">
      <c r="A232" s="26">
        <v>15</v>
      </c>
      <c r="B232" s="27">
        <v>91</v>
      </c>
      <c r="C232" s="27" t="s">
        <v>221</v>
      </c>
      <c r="D232" s="28">
        <v>0</v>
      </c>
      <c r="E232" s="30"/>
      <c r="F232" s="27"/>
      <c r="G232" s="30"/>
      <c r="H232" s="29" t="s">
        <v>1456</v>
      </c>
      <c r="I232" s="34" t="s">
        <v>4445</v>
      </c>
    </row>
    <row r="233" spans="1:9" x14ac:dyDescent="0.25">
      <c r="A233" s="18">
        <v>15</v>
      </c>
      <c r="B233" s="19">
        <v>92</v>
      </c>
      <c r="C233" s="19" t="s">
        <v>186</v>
      </c>
      <c r="D233" s="20">
        <v>2</v>
      </c>
      <c r="E233" t="s">
        <v>4513</v>
      </c>
      <c r="F233" s="19" t="s">
        <v>4476</v>
      </c>
      <c r="G233" s="22" t="s">
        <v>4508</v>
      </c>
      <c r="H233" s="21" t="s">
        <v>1456</v>
      </c>
      <c r="I233" s="32" t="s">
        <v>4507</v>
      </c>
    </row>
    <row r="234" spans="1:9" x14ac:dyDescent="0.25">
      <c r="A234" s="24">
        <v>15</v>
      </c>
      <c r="B234" s="2">
        <v>92</v>
      </c>
      <c r="C234" s="2" t="s">
        <v>192</v>
      </c>
      <c r="D234" s="3">
        <v>2</v>
      </c>
      <c r="E234" t="s">
        <v>4514</v>
      </c>
      <c r="F234" s="2" t="s">
        <v>4500</v>
      </c>
      <c r="G234" t="s">
        <v>4510</v>
      </c>
      <c r="H234" s="1" t="s">
        <v>1456</v>
      </c>
      <c r="I234" s="33" t="s">
        <v>4509</v>
      </c>
    </row>
    <row r="235" spans="1:9" x14ac:dyDescent="0.25">
      <c r="A235" s="24">
        <v>15</v>
      </c>
      <c r="B235" s="2">
        <v>92</v>
      </c>
      <c r="C235" s="2" t="s">
        <v>198</v>
      </c>
      <c r="D235" s="3">
        <v>2</v>
      </c>
      <c r="E235" t="s">
        <v>4515</v>
      </c>
      <c r="F235" s="2" t="s">
        <v>4501</v>
      </c>
      <c r="G235" t="s">
        <v>4512</v>
      </c>
      <c r="H235" s="1" t="s">
        <v>1456</v>
      </c>
      <c r="I235" s="33" t="s">
        <v>4511</v>
      </c>
    </row>
    <row r="236" spans="1:9" x14ac:dyDescent="0.25">
      <c r="A236" s="24">
        <v>15</v>
      </c>
      <c r="B236" s="2">
        <v>92</v>
      </c>
      <c r="C236" s="2" t="s">
        <v>204</v>
      </c>
      <c r="D236" s="3">
        <v>3</v>
      </c>
      <c r="E236" t="s">
        <v>4516</v>
      </c>
      <c r="F236" s="2" t="s">
        <v>4476</v>
      </c>
      <c r="H236" s="1" t="s">
        <v>1456</v>
      </c>
      <c r="I236" s="33" t="s">
        <v>4502</v>
      </c>
    </row>
    <row r="237" spans="1:9" x14ac:dyDescent="0.25">
      <c r="A237" s="24">
        <v>15</v>
      </c>
      <c r="B237" s="2">
        <v>92</v>
      </c>
      <c r="C237" s="2" t="s">
        <v>210</v>
      </c>
      <c r="D237" s="3">
        <v>3</v>
      </c>
      <c r="E237" t="s">
        <v>4517</v>
      </c>
      <c r="F237" s="2" t="s">
        <v>4503</v>
      </c>
      <c r="H237" s="1" t="s">
        <v>1456</v>
      </c>
      <c r="I237" s="33" t="s">
        <v>4504</v>
      </c>
    </row>
    <row r="238" spans="1:9" x14ac:dyDescent="0.25">
      <c r="A238" s="24">
        <v>15</v>
      </c>
      <c r="B238" s="2">
        <v>92</v>
      </c>
      <c r="C238" s="2" t="s">
        <v>215</v>
      </c>
      <c r="D238" s="3">
        <v>0</v>
      </c>
      <c r="F238" s="2"/>
      <c r="H238" s="1" t="s">
        <v>1456</v>
      </c>
      <c r="I238" s="33" t="s">
        <v>4505</v>
      </c>
    </row>
    <row r="239" spans="1:9" ht="15.75" thickBot="1" x14ac:dyDescent="0.3">
      <c r="A239" s="26">
        <v>15</v>
      </c>
      <c r="B239" s="27">
        <v>92</v>
      </c>
      <c r="C239" s="27" t="s">
        <v>221</v>
      </c>
      <c r="D239" s="28">
        <v>0</v>
      </c>
      <c r="E239" s="30"/>
      <c r="F239" s="27"/>
      <c r="G239" s="30"/>
      <c r="H239" s="29" t="s">
        <v>1457</v>
      </c>
      <c r="I239" s="34" t="s">
        <v>4506</v>
      </c>
    </row>
    <row r="240" spans="1:9" x14ac:dyDescent="0.25">
      <c r="A240" s="18">
        <v>15</v>
      </c>
      <c r="B240" s="19">
        <v>93</v>
      </c>
      <c r="C240" s="19" t="s">
        <v>186</v>
      </c>
      <c r="D240" s="20">
        <v>2</v>
      </c>
      <c r="E240" t="s">
        <v>4578</v>
      </c>
      <c r="F240" s="19" t="s">
        <v>4567</v>
      </c>
      <c r="G240" s="22" t="s">
        <v>4573</v>
      </c>
      <c r="H240" s="21" t="s">
        <v>1457</v>
      </c>
      <c r="I240" s="32" t="s">
        <v>4572</v>
      </c>
    </row>
    <row r="241" spans="1:9" x14ac:dyDescent="0.25">
      <c r="A241" s="24">
        <v>15</v>
      </c>
      <c r="B241" s="50">
        <v>93</v>
      </c>
      <c r="C241" s="50" t="s">
        <v>192</v>
      </c>
      <c r="D241" s="51">
        <v>2</v>
      </c>
      <c r="E241" t="s">
        <v>4579</v>
      </c>
      <c r="F241" s="50" t="s">
        <v>4518</v>
      </c>
      <c r="G241" s="52" t="s">
        <v>4575</v>
      </c>
      <c r="H241" s="53" t="s">
        <v>1456</v>
      </c>
      <c r="I241" s="33" t="s">
        <v>4574</v>
      </c>
    </row>
    <row r="242" spans="1:9" x14ac:dyDescent="0.25">
      <c r="A242" s="24">
        <v>15</v>
      </c>
      <c r="B242" s="50">
        <v>93</v>
      </c>
      <c r="C242" s="50" t="s">
        <v>198</v>
      </c>
      <c r="D242" s="51">
        <v>2</v>
      </c>
      <c r="E242" t="s">
        <v>4580</v>
      </c>
      <c r="F242" s="50" t="s">
        <v>4520</v>
      </c>
      <c r="G242" s="52" t="s">
        <v>4577</v>
      </c>
      <c r="H242" s="53" t="s">
        <v>1456</v>
      </c>
      <c r="I242" s="33" t="s">
        <v>4576</v>
      </c>
    </row>
    <row r="243" spans="1:9" x14ac:dyDescent="0.25">
      <c r="A243" s="24">
        <v>15</v>
      </c>
      <c r="B243" s="50">
        <v>93</v>
      </c>
      <c r="C243" s="50" t="s">
        <v>204</v>
      </c>
      <c r="D243" s="51">
        <v>0</v>
      </c>
      <c r="E243" s="52"/>
      <c r="F243" s="50"/>
      <c r="G243" s="52"/>
      <c r="H243" s="53" t="s">
        <v>1456</v>
      </c>
      <c r="I243" s="33" t="s">
        <v>4568</v>
      </c>
    </row>
    <row r="244" spans="1:9" x14ac:dyDescent="0.25">
      <c r="A244" s="24">
        <v>15</v>
      </c>
      <c r="B244" s="50">
        <v>93</v>
      </c>
      <c r="C244" s="50" t="s">
        <v>210</v>
      </c>
      <c r="D244" s="51">
        <v>0</v>
      </c>
      <c r="E244" s="52"/>
      <c r="F244" s="50"/>
      <c r="G244" s="52"/>
      <c r="H244" s="53" t="s">
        <v>1456</v>
      </c>
      <c r="I244" s="33" t="s">
        <v>4569</v>
      </c>
    </row>
    <row r="245" spans="1:9" x14ac:dyDescent="0.25">
      <c r="A245" s="24">
        <v>15</v>
      </c>
      <c r="B245" s="50">
        <v>93</v>
      </c>
      <c r="C245" s="50" t="s">
        <v>215</v>
      </c>
      <c r="D245" s="51">
        <v>0</v>
      </c>
      <c r="E245" s="52"/>
      <c r="F245" s="50"/>
      <c r="G245" s="52"/>
      <c r="H245" s="53" t="s">
        <v>1456</v>
      </c>
      <c r="I245" s="33" t="s">
        <v>4570</v>
      </c>
    </row>
    <row r="246" spans="1:9" ht="15.75" thickBot="1" x14ac:dyDescent="0.3">
      <c r="A246" s="26">
        <v>15</v>
      </c>
      <c r="B246" s="27">
        <v>93</v>
      </c>
      <c r="C246" s="27" t="s">
        <v>221</v>
      </c>
      <c r="D246" s="28">
        <v>0</v>
      </c>
      <c r="E246" s="30"/>
      <c r="F246" s="27"/>
      <c r="G246" s="30"/>
      <c r="H246" s="29" t="s">
        <v>1456</v>
      </c>
      <c r="I246" s="34" t="s">
        <v>4571</v>
      </c>
    </row>
    <row r="247" spans="1:9" x14ac:dyDescent="0.25">
      <c r="A247" s="18">
        <v>15</v>
      </c>
      <c r="B247" s="19">
        <v>94</v>
      </c>
      <c r="C247" s="19" t="s">
        <v>186</v>
      </c>
      <c r="D247" s="20">
        <v>2</v>
      </c>
      <c r="E247" t="s">
        <v>4690</v>
      </c>
      <c r="F247" s="19" t="s">
        <v>4619</v>
      </c>
      <c r="G247" s="22" t="s">
        <v>4671</v>
      </c>
      <c r="H247" s="21" t="s">
        <v>1456</v>
      </c>
      <c r="I247" s="32" t="s">
        <v>4670</v>
      </c>
    </row>
    <row r="248" spans="1:9" x14ac:dyDescent="0.25">
      <c r="A248" s="24">
        <v>15</v>
      </c>
      <c r="B248" s="50">
        <v>94</v>
      </c>
      <c r="C248" s="50" t="s">
        <v>192</v>
      </c>
      <c r="D248" s="51">
        <v>2</v>
      </c>
      <c r="E248" t="s">
        <v>4689</v>
      </c>
      <c r="F248" s="50" t="s">
        <v>4664</v>
      </c>
      <c r="G248" s="52" t="s">
        <v>4673</v>
      </c>
      <c r="H248" s="53" t="s">
        <v>1456</v>
      </c>
      <c r="I248" s="33" t="s">
        <v>4672</v>
      </c>
    </row>
    <row r="249" spans="1:9" x14ac:dyDescent="0.25">
      <c r="A249" s="24">
        <v>15</v>
      </c>
      <c r="B249" s="50">
        <v>94</v>
      </c>
      <c r="C249" s="50" t="s">
        <v>198</v>
      </c>
      <c r="D249" s="51">
        <v>2</v>
      </c>
      <c r="E249" t="s">
        <v>4688</v>
      </c>
      <c r="F249" s="50" t="s">
        <v>4665</v>
      </c>
      <c r="G249" s="52" t="s">
        <v>4675</v>
      </c>
      <c r="H249" s="53" t="s">
        <v>1456</v>
      </c>
      <c r="I249" s="33" t="s">
        <v>4674</v>
      </c>
    </row>
    <row r="250" spans="1:9" x14ac:dyDescent="0.25">
      <c r="A250" s="24">
        <v>15</v>
      </c>
      <c r="B250" s="50">
        <v>94</v>
      </c>
      <c r="C250" s="50" t="s">
        <v>204</v>
      </c>
      <c r="D250" s="51">
        <v>1</v>
      </c>
      <c r="E250" t="s">
        <v>4684</v>
      </c>
      <c r="F250" s="50" t="s">
        <v>4666</v>
      </c>
      <c r="G250" s="52" t="s">
        <v>4677</v>
      </c>
      <c r="H250" s="53" t="s">
        <v>1457</v>
      </c>
      <c r="I250" s="33" t="s">
        <v>4676</v>
      </c>
    </row>
    <row r="251" spans="1:9" x14ac:dyDescent="0.25">
      <c r="A251" s="24">
        <v>15</v>
      </c>
      <c r="B251" s="50">
        <v>94</v>
      </c>
      <c r="C251" s="50" t="s">
        <v>210</v>
      </c>
      <c r="D251" s="51">
        <v>1</v>
      </c>
      <c r="E251" t="s">
        <v>4685</v>
      </c>
      <c r="F251" s="50" t="s">
        <v>4667</v>
      </c>
      <c r="G251" s="52" t="s">
        <v>4679</v>
      </c>
      <c r="H251" s="53" t="s">
        <v>1456</v>
      </c>
      <c r="I251" s="33" t="s">
        <v>4678</v>
      </c>
    </row>
    <row r="252" spans="1:9" x14ac:dyDescent="0.25">
      <c r="A252" s="24">
        <v>15</v>
      </c>
      <c r="B252" s="50">
        <v>94</v>
      </c>
      <c r="C252" s="50" t="s">
        <v>215</v>
      </c>
      <c r="D252" s="51">
        <v>2</v>
      </c>
      <c r="E252" t="s">
        <v>4687</v>
      </c>
      <c r="F252" s="50" t="s">
        <v>4668</v>
      </c>
      <c r="G252" s="52" t="s">
        <v>4681</v>
      </c>
      <c r="H252" s="53" t="s">
        <v>1457</v>
      </c>
      <c r="I252" s="33" t="s">
        <v>4680</v>
      </c>
    </row>
    <row r="253" spans="1:9" ht="15.75" thickBot="1" x14ac:dyDescent="0.3">
      <c r="A253" s="24">
        <v>15</v>
      </c>
      <c r="B253" s="50">
        <v>94</v>
      </c>
      <c r="C253" s="50" t="s">
        <v>221</v>
      </c>
      <c r="D253" s="51">
        <v>1</v>
      </c>
      <c r="E253" t="s">
        <v>4686</v>
      </c>
      <c r="F253" s="50" t="s">
        <v>4669</v>
      </c>
      <c r="G253" s="52" t="s">
        <v>4683</v>
      </c>
      <c r="H253" s="53" t="s">
        <v>1457</v>
      </c>
      <c r="I253" s="33" t="s">
        <v>4682</v>
      </c>
    </row>
    <row r="254" spans="1:9" x14ac:dyDescent="0.25">
      <c r="A254" s="18">
        <v>15</v>
      </c>
      <c r="B254" s="19">
        <v>96</v>
      </c>
      <c r="C254" s="19" t="s">
        <v>186</v>
      </c>
      <c r="D254" s="20">
        <v>0</v>
      </c>
      <c r="E254" s="22"/>
      <c r="F254" s="19"/>
      <c r="G254" s="22"/>
      <c r="H254" s="21" t="s">
        <v>1456</v>
      </c>
      <c r="I254" s="32" t="s">
        <v>4757</v>
      </c>
    </row>
    <row r="255" spans="1:9" x14ac:dyDescent="0.25">
      <c r="A255" s="24">
        <v>15</v>
      </c>
      <c r="B255" s="50">
        <v>96</v>
      </c>
      <c r="C255" s="50" t="s">
        <v>192</v>
      </c>
      <c r="D255" s="51">
        <v>1</v>
      </c>
      <c r="E255" t="s">
        <v>4765</v>
      </c>
      <c r="F255" s="50" t="s">
        <v>4758</v>
      </c>
      <c r="G255" s="52" t="s">
        <v>4767</v>
      </c>
      <c r="H255" s="53" t="s">
        <v>1457</v>
      </c>
      <c r="I255" s="33" t="s">
        <v>4766</v>
      </c>
    </row>
    <row r="256" spans="1:9" x14ac:dyDescent="0.25">
      <c r="A256" s="24">
        <v>15</v>
      </c>
      <c r="B256" s="50">
        <v>96</v>
      </c>
      <c r="C256" s="50" t="s">
        <v>198</v>
      </c>
      <c r="D256" s="51">
        <v>2</v>
      </c>
      <c r="E256" t="s">
        <v>4764</v>
      </c>
      <c r="F256" s="50" t="s">
        <v>4719</v>
      </c>
      <c r="G256" s="52" t="s">
        <v>4577</v>
      </c>
      <c r="H256" s="53" t="s">
        <v>1456</v>
      </c>
      <c r="I256" s="33" t="s">
        <v>4759</v>
      </c>
    </row>
    <row r="257" spans="1:9" x14ac:dyDescent="0.25">
      <c r="A257" s="24">
        <v>15</v>
      </c>
      <c r="B257" s="50">
        <v>96</v>
      </c>
      <c r="C257" s="50" t="s">
        <v>204</v>
      </c>
      <c r="D257" s="51">
        <v>0</v>
      </c>
      <c r="E257" s="52"/>
      <c r="F257" s="50"/>
      <c r="G257" s="52"/>
      <c r="H257" s="53" t="s">
        <v>1456</v>
      </c>
      <c r="I257" s="33" t="s">
        <v>4760</v>
      </c>
    </row>
    <row r="258" spans="1:9" x14ac:dyDescent="0.25">
      <c r="A258" s="24">
        <v>15</v>
      </c>
      <c r="B258" s="50">
        <v>96</v>
      </c>
      <c r="C258" s="50" t="s">
        <v>210</v>
      </c>
      <c r="D258" s="51">
        <v>0</v>
      </c>
      <c r="E258" s="52"/>
      <c r="F258" s="50"/>
      <c r="G258" s="52"/>
      <c r="H258" s="53" t="s">
        <v>1456</v>
      </c>
      <c r="I258" s="33" t="s">
        <v>4761</v>
      </c>
    </row>
    <row r="259" spans="1:9" x14ac:dyDescent="0.25">
      <c r="A259" s="24">
        <v>15</v>
      </c>
      <c r="B259" s="50">
        <v>96</v>
      </c>
      <c r="C259" s="50" t="s">
        <v>215</v>
      </c>
      <c r="D259" s="51">
        <v>0</v>
      </c>
      <c r="E259" s="52"/>
      <c r="F259" s="50"/>
      <c r="G259" s="52"/>
      <c r="H259" s="53" t="s">
        <v>1456</v>
      </c>
      <c r="I259" s="33" t="s">
        <v>4762</v>
      </c>
    </row>
    <row r="260" spans="1:9" ht="15.75" thickBot="1" x14ac:dyDescent="0.3">
      <c r="A260" s="26">
        <v>15</v>
      </c>
      <c r="B260" s="27">
        <v>96</v>
      </c>
      <c r="C260" s="27" t="s">
        <v>221</v>
      </c>
      <c r="D260" s="28">
        <v>0</v>
      </c>
      <c r="E260" s="30"/>
      <c r="F260" s="27"/>
      <c r="G260" s="30"/>
      <c r="H260" s="29" t="s">
        <v>1456</v>
      </c>
      <c r="I260" s="34" t="s">
        <v>4763</v>
      </c>
    </row>
    <row r="261" spans="1:9" x14ac:dyDescent="0.25">
      <c r="A261" s="18">
        <v>15</v>
      </c>
      <c r="B261" s="19">
        <v>97</v>
      </c>
      <c r="C261" s="19" t="s">
        <v>186</v>
      </c>
      <c r="D261" s="20">
        <v>1</v>
      </c>
      <c r="E261" t="s">
        <v>4782</v>
      </c>
      <c r="F261" s="19" t="s">
        <v>4781</v>
      </c>
      <c r="G261" s="22" t="s">
        <v>4812</v>
      </c>
      <c r="H261" s="21" t="s">
        <v>1457</v>
      </c>
      <c r="I261" s="32" t="s">
        <v>4811</v>
      </c>
    </row>
    <row r="262" spans="1:9" x14ac:dyDescent="0.25">
      <c r="A262" s="24">
        <v>15</v>
      </c>
      <c r="B262" s="50">
        <v>97</v>
      </c>
      <c r="C262" s="50" t="s">
        <v>192</v>
      </c>
      <c r="D262" s="51">
        <v>2</v>
      </c>
      <c r="E262" t="s">
        <v>4819</v>
      </c>
      <c r="F262" s="50" t="s">
        <v>4805</v>
      </c>
      <c r="G262" s="52" t="s">
        <v>4814</v>
      </c>
      <c r="H262" s="53" t="s">
        <v>1456</v>
      </c>
      <c r="I262" s="33" t="s">
        <v>4813</v>
      </c>
    </row>
    <row r="263" spans="1:9" x14ac:dyDescent="0.25">
      <c r="A263" s="24">
        <v>15</v>
      </c>
      <c r="B263" s="50">
        <v>97</v>
      </c>
      <c r="C263" s="50" t="s">
        <v>198</v>
      </c>
      <c r="D263" s="51">
        <v>2</v>
      </c>
      <c r="E263" t="s">
        <v>4820</v>
      </c>
      <c r="F263" s="50" t="s">
        <v>4806</v>
      </c>
      <c r="G263" s="52" t="s">
        <v>4816</v>
      </c>
      <c r="H263" s="53" t="s">
        <v>1456</v>
      </c>
      <c r="I263" s="33" t="s">
        <v>4815</v>
      </c>
    </row>
    <row r="264" spans="1:9" x14ac:dyDescent="0.25">
      <c r="A264" s="24">
        <v>15</v>
      </c>
      <c r="B264" s="50">
        <v>97</v>
      </c>
      <c r="C264" s="50" t="s">
        <v>204</v>
      </c>
      <c r="D264" s="51">
        <v>0</v>
      </c>
      <c r="E264" s="52"/>
      <c r="F264" s="50"/>
      <c r="G264" s="52"/>
      <c r="H264" s="53" t="s">
        <v>1457</v>
      </c>
      <c r="I264" s="33" t="s">
        <v>4807</v>
      </c>
    </row>
    <row r="265" spans="1:9" x14ac:dyDescent="0.25">
      <c r="A265" s="24">
        <v>15</v>
      </c>
      <c r="B265" s="50">
        <v>97</v>
      </c>
      <c r="C265" s="50" t="s">
        <v>210</v>
      </c>
      <c r="D265" s="51">
        <v>1</v>
      </c>
      <c r="E265" t="s">
        <v>4821</v>
      </c>
      <c r="F265" s="50" t="s">
        <v>4808</v>
      </c>
      <c r="G265" s="52" t="s">
        <v>4818</v>
      </c>
      <c r="H265" s="53" t="s">
        <v>1457</v>
      </c>
      <c r="I265" s="33" t="s">
        <v>4817</v>
      </c>
    </row>
    <row r="266" spans="1:9" x14ac:dyDescent="0.25">
      <c r="A266" s="24">
        <v>15</v>
      </c>
      <c r="B266" s="50">
        <v>97</v>
      </c>
      <c r="C266" s="50" t="s">
        <v>215</v>
      </c>
      <c r="D266" s="51">
        <v>0</v>
      </c>
      <c r="E266" s="52"/>
      <c r="F266" s="50"/>
      <c r="G266" s="52"/>
      <c r="H266" s="53" t="s">
        <v>1456</v>
      </c>
      <c r="I266" s="33" t="s">
        <v>4809</v>
      </c>
    </row>
    <row r="267" spans="1:9" ht="15.75" thickBot="1" x14ac:dyDescent="0.3">
      <c r="A267" s="26">
        <v>15</v>
      </c>
      <c r="B267" s="27">
        <v>97</v>
      </c>
      <c r="C267" s="27" t="s">
        <v>221</v>
      </c>
      <c r="D267" s="28">
        <v>0</v>
      </c>
      <c r="E267" s="30"/>
      <c r="F267" s="27"/>
      <c r="G267" s="30"/>
      <c r="H267" s="29" t="s">
        <v>1456</v>
      </c>
      <c r="I267" s="34" t="s">
        <v>4810</v>
      </c>
    </row>
    <row r="268" spans="1:9" x14ac:dyDescent="0.25">
      <c r="A268" s="18">
        <v>17</v>
      </c>
      <c r="B268" s="19">
        <v>102</v>
      </c>
      <c r="C268" s="19" t="s">
        <v>186</v>
      </c>
      <c r="D268" s="20">
        <v>0</v>
      </c>
      <c r="E268" s="22"/>
      <c r="F268" s="19"/>
      <c r="G268" s="22" t="s">
        <v>4910</v>
      </c>
      <c r="H268" s="21" t="s">
        <v>1457</v>
      </c>
      <c r="I268" s="32" t="s">
        <v>4909</v>
      </c>
    </row>
    <row r="269" spans="1:9" x14ac:dyDescent="0.25">
      <c r="A269" s="24">
        <v>17</v>
      </c>
      <c r="B269" s="50">
        <v>102</v>
      </c>
      <c r="C269" s="50" t="s">
        <v>192</v>
      </c>
      <c r="D269" s="51">
        <v>2</v>
      </c>
      <c r="E269" t="s">
        <v>4922</v>
      </c>
      <c r="F269" s="50" t="s">
        <v>4905</v>
      </c>
      <c r="G269" s="52" t="s">
        <v>4912</v>
      </c>
      <c r="H269" s="53" t="s">
        <v>1457</v>
      </c>
      <c r="I269" s="33" t="s">
        <v>4911</v>
      </c>
    </row>
    <row r="270" spans="1:9" x14ac:dyDescent="0.25">
      <c r="A270" s="24">
        <v>17</v>
      </c>
      <c r="B270" s="50">
        <v>102</v>
      </c>
      <c r="C270" s="50" t="s">
        <v>198</v>
      </c>
      <c r="D270" s="51">
        <v>2</v>
      </c>
      <c r="E270" t="s">
        <v>4923</v>
      </c>
      <c r="F270" s="50" t="s">
        <v>4906</v>
      </c>
      <c r="G270" s="52" t="s">
        <v>4914</v>
      </c>
      <c r="H270" s="53" t="s">
        <v>1456</v>
      </c>
      <c r="I270" s="33" t="s">
        <v>4913</v>
      </c>
    </row>
    <row r="271" spans="1:9" x14ac:dyDescent="0.25">
      <c r="A271" s="24">
        <v>17</v>
      </c>
      <c r="B271" s="50">
        <v>102</v>
      </c>
      <c r="C271" s="50" t="s">
        <v>204</v>
      </c>
      <c r="D271" s="51">
        <v>0</v>
      </c>
      <c r="E271" s="52"/>
      <c r="F271" s="50"/>
      <c r="G271" s="52"/>
      <c r="H271" s="53" t="s">
        <v>1456</v>
      </c>
      <c r="I271" s="33" t="s">
        <v>4907</v>
      </c>
    </row>
    <row r="272" spans="1:9" x14ac:dyDescent="0.25">
      <c r="A272" s="24">
        <v>17</v>
      </c>
      <c r="B272" s="50">
        <v>102</v>
      </c>
      <c r="C272" s="50" t="s">
        <v>210</v>
      </c>
      <c r="D272" s="51">
        <v>1</v>
      </c>
      <c r="E272" t="s">
        <v>4882</v>
      </c>
      <c r="F272" s="50" t="s">
        <v>4861</v>
      </c>
      <c r="G272" s="52" t="s">
        <v>4916</v>
      </c>
      <c r="H272" s="53" t="s">
        <v>1457</v>
      </c>
      <c r="I272" s="33" t="s">
        <v>4915</v>
      </c>
    </row>
    <row r="273" spans="1:9" x14ac:dyDescent="0.25">
      <c r="A273" s="24">
        <v>17</v>
      </c>
      <c r="B273" s="50">
        <v>102</v>
      </c>
      <c r="C273" s="50" t="s">
        <v>215</v>
      </c>
      <c r="D273" s="51">
        <v>1</v>
      </c>
      <c r="E273" t="s">
        <v>4921</v>
      </c>
      <c r="F273" s="50" t="s">
        <v>4908</v>
      </c>
      <c r="G273" s="52" t="s">
        <v>4918</v>
      </c>
      <c r="H273" s="53" t="s">
        <v>1457</v>
      </c>
      <c r="I273" s="33" t="s">
        <v>4917</v>
      </c>
    </row>
    <row r="274" spans="1:9" ht="15.75" thickBot="1" x14ac:dyDescent="0.3">
      <c r="A274" s="24">
        <v>17</v>
      </c>
      <c r="B274" s="50">
        <v>102</v>
      </c>
      <c r="C274" s="50" t="s">
        <v>221</v>
      </c>
      <c r="D274" s="51">
        <v>1</v>
      </c>
      <c r="E274" t="s">
        <v>4878</v>
      </c>
      <c r="F274" s="50" t="s">
        <v>4832</v>
      </c>
      <c r="G274" s="52" t="s">
        <v>4920</v>
      </c>
      <c r="H274" s="53" t="s">
        <v>1541</v>
      </c>
      <c r="I274" s="33" t="s">
        <v>4919</v>
      </c>
    </row>
    <row r="275" spans="1:9" x14ac:dyDescent="0.25">
      <c r="A275" s="18">
        <v>19</v>
      </c>
      <c r="B275" s="19">
        <v>113</v>
      </c>
      <c r="C275" s="19" t="s">
        <v>186</v>
      </c>
      <c r="D275" s="20">
        <v>2</v>
      </c>
      <c r="E275" t="s">
        <v>4950</v>
      </c>
      <c r="F275" s="19" t="s">
        <v>4941</v>
      </c>
      <c r="G275" s="22" t="s">
        <v>4671</v>
      </c>
      <c r="H275" s="21" t="s">
        <v>1456</v>
      </c>
      <c r="I275" s="32" t="s">
        <v>4975</v>
      </c>
    </row>
    <row r="276" spans="1:9" x14ac:dyDescent="0.25">
      <c r="A276" s="24">
        <v>19</v>
      </c>
      <c r="B276" s="50">
        <v>113</v>
      </c>
      <c r="C276" s="50" t="s">
        <v>192</v>
      </c>
      <c r="D276" s="51">
        <v>2</v>
      </c>
      <c r="E276" t="s">
        <v>4988</v>
      </c>
      <c r="F276" s="50" t="s">
        <v>4980</v>
      </c>
      <c r="G276" s="52" t="s">
        <v>4673</v>
      </c>
      <c r="H276" s="53" t="s">
        <v>1456</v>
      </c>
      <c r="I276" s="33" t="s">
        <v>4976</v>
      </c>
    </row>
    <row r="277" spans="1:9" x14ac:dyDescent="0.25">
      <c r="A277" s="24">
        <v>19</v>
      </c>
      <c r="B277" s="50">
        <v>113</v>
      </c>
      <c r="C277" s="50" t="s">
        <v>198</v>
      </c>
      <c r="D277" s="51">
        <v>2</v>
      </c>
      <c r="E277" t="s">
        <v>4989</v>
      </c>
      <c r="F277" s="50" t="s">
        <v>4981</v>
      </c>
      <c r="G277" s="52" t="s">
        <v>4675</v>
      </c>
      <c r="H277" s="53" t="s">
        <v>1456</v>
      </c>
      <c r="I277" s="33" t="s">
        <v>4977</v>
      </c>
    </row>
    <row r="278" spans="1:9" x14ac:dyDescent="0.25">
      <c r="A278" s="24">
        <v>19</v>
      </c>
      <c r="B278" s="50">
        <v>113</v>
      </c>
      <c r="C278" s="50" t="s">
        <v>204</v>
      </c>
      <c r="D278" s="51">
        <v>0</v>
      </c>
      <c r="E278" s="52"/>
      <c r="F278" s="50"/>
      <c r="G278" s="52"/>
      <c r="H278" s="53" t="s">
        <v>1456</v>
      </c>
      <c r="I278" s="33" t="s">
        <v>4978</v>
      </c>
    </row>
    <row r="279" spans="1:9" x14ac:dyDescent="0.25">
      <c r="A279" s="24">
        <v>19</v>
      </c>
      <c r="B279" s="50">
        <v>113</v>
      </c>
      <c r="C279" s="50" t="s">
        <v>210</v>
      </c>
      <c r="D279" s="51">
        <v>2</v>
      </c>
      <c r="E279" t="s">
        <v>4986</v>
      </c>
      <c r="F279" s="50" t="s">
        <v>4982</v>
      </c>
      <c r="G279" t="s">
        <v>4814</v>
      </c>
      <c r="H279" s="53" t="s">
        <v>1456</v>
      </c>
      <c r="I279" s="33" t="s">
        <v>4985</v>
      </c>
    </row>
    <row r="280" spans="1:9" x14ac:dyDescent="0.25">
      <c r="A280" s="24">
        <v>19</v>
      </c>
      <c r="B280" s="50">
        <v>113</v>
      </c>
      <c r="C280" s="50" t="s">
        <v>215</v>
      </c>
      <c r="D280" s="51">
        <v>1</v>
      </c>
      <c r="E280" t="s">
        <v>4987</v>
      </c>
      <c r="F280" s="50" t="s">
        <v>4982</v>
      </c>
      <c r="G280" s="52" t="s">
        <v>4983</v>
      </c>
      <c r="H280" s="53" t="s">
        <v>1457</v>
      </c>
      <c r="I280" s="33" t="s">
        <v>4984</v>
      </c>
    </row>
    <row r="281" spans="1:9" ht="15.75" thickBot="1" x14ac:dyDescent="0.3">
      <c r="A281" s="26">
        <v>19</v>
      </c>
      <c r="B281" s="27">
        <v>113</v>
      </c>
      <c r="C281" s="27" t="s">
        <v>221</v>
      </c>
      <c r="D281" s="28">
        <v>0</v>
      </c>
      <c r="E281" s="30"/>
      <c r="F281" s="27"/>
      <c r="G281" s="30"/>
      <c r="H281" s="29" t="s">
        <v>1456</v>
      </c>
      <c r="I281" s="34" t="s">
        <v>4979</v>
      </c>
    </row>
    <row r="282" spans="1:9" x14ac:dyDescent="0.25">
      <c r="A282" s="18">
        <v>20</v>
      </c>
      <c r="B282" s="19">
        <v>122</v>
      </c>
      <c r="C282" s="19" t="s">
        <v>186</v>
      </c>
      <c r="D282" s="20">
        <v>0</v>
      </c>
      <c r="E282" s="22"/>
      <c r="F282" s="19"/>
      <c r="G282" s="22"/>
      <c r="H282" s="21" t="s">
        <v>1456</v>
      </c>
      <c r="I282" s="32" t="s">
        <v>5020</v>
      </c>
    </row>
    <row r="283" spans="1:9" x14ac:dyDescent="0.25">
      <c r="A283" s="24">
        <v>20</v>
      </c>
      <c r="B283" s="50">
        <v>122</v>
      </c>
      <c r="C283" s="50" t="s">
        <v>192</v>
      </c>
      <c r="D283" s="51">
        <v>1</v>
      </c>
      <c r="E283" t="s">
        <v>5026</v>
      </c>
      <c r="F283" s="50" t="s">
        <v>5021</v>
      </c>
      <c r="G283" s="52" t="s">
        <v>5025</v>
      </c>
      <c r="H283" s="53" t="s">
        <v>1457</v>
      </c>
      <c r="I283" s="33" t="s">
        <v>5024</v>
      </c>
    </row>
    <row r="284" spans="1:9" x14ac:dyDescent="0.25">
      <c r="A284" s="24">
        <v>20</v>
      </c>
      <c r="B284" s="50">
        <v>122</v>
      </c>
      <c r="C284" s="50" t="s">
        <v>198</v>
      </c>
      <c r="D284" s="51">
        <v>0</v>
      </c>
      <c r="E284" s="52"/>
      <c r="F284" s="50"/>
      <c r="G284" s="52"/>
      <c r="H284" s="53" t="s">
        <v>1457</v>
      </c>
      <c r="I284" s="33" t="s">
        <v>5022</v>
      </c>
    </row>
    <row r="285" spans="1:9" x14ac:dyDescent="0.25">
      <c r="A285" s="24">
        <v>20</v>
      </c>
      <c r="B285" s="50">
        <v>122</v>
      </c>
      <c r="C285" s="50" t="s">
        <v>204</v>
      </c>
      <c r="D285" s="51">
        <v>0</v>
      </c>
      <c r="E285" s="52"/>
      <c r="F285" s="50"/>
      <c r="G285" s="52"/>
      <c r="H285" s="53" t="s">
        <v>1456</v>
      </c>
      <c r="I285" s="33" t="s">
        <v>4711</v>
      </c>
    </row>
    <row r="286" spans="1:9" x14ac:dyDescent="0.25">
      <c r="A286" s="24">
        <v>20</v>
      </c>
      <c r="B286" s="50">
        <v>122</v>
      </c>
      <c r="C286" s="50" t="s">
        <v>210</v>
      </c>
      <c r="D286" s="51">
        <v>0</v>
      </c>
      <c r="E286" s="52"/>
      <c r="F286" s="50"/>
      <c r="G286" s="52"/>
      <c r="H286" s="53" t="s">
        <v>1456</v>
      </c>
      <c r="I286" s="33" t="s">
        <v>4711</v>
      </c>
    </row>
    <row r="287" spans="1:9" x14ac:dyDescent="0.25">
      <c r="A287" s="24">
        <v>20</v>
      </c>
      <c r="B287" s="50">
        <v>122</v>
      </c>
      <c r="C287" s="50" t="s">
        <v>215</v>
      </c>
      <c r="D287" s="51">
        <v>0</v>
      </c>
      <c r="E287" s="52"/>
      <c r="F287" s="50"/>
      <c r="G287" s="52"/>
      <c r="H287" s="53" t="s">
        <v>1457</v>
      </c>
      <c r="I287" s="33" t="s">
        <v>5023</v>
      </c>
    </row>
    <row r="288" spans="1:9" ht="15.75" thickBot="1" x14ac:dyDescent="0.3">
      <c r="A288" s="26">
        <v>20</v>
      </c>
      <c r="B288" s="27">
        <v>122</v>
      </c>
      <c r="C288" s="27" t="s">
        <v>221</v>
      </c>
      <c r="D288" s="28">
        <v>0</v>
      </c>
      <c r="E288" s="30"/>
      <c r="F288" s="27"/>
      <c r="G288" s="30"/>
      <c r="H288" s="29" t="s">
        <v>1456</v>
      </c>
      <c r="I288" s="34" t="s">
        <v>4711</v>
      </c>
    </row>
    <row r="289" spans="1:9" x14ac:dyDescent="0.25">
      <c r="A289" s="18">
        <v>22</v>
      </c>
      <c r="B289" s="19">
        <v>132</v>
      </c>
      <c r="C289" s="19" t="s">
        <v>186</v>
      </c>
      <c r="D289" s="20">
        <v>0</v>
      </c>
      <c r="E289" s="22"/>
      <c r="F289" s="19"/>
      <c r="G289" s="22"/>
      <c r="H289" s="21" t="s">
        <v>1456</v>
      </c>
      <c r="I289" s="32" t="s">
        <v>5084</v>
      </c>
    </row>
    <row r="290" spans="1:9" x14ac:dyDescent="0.25">
      <c r="A290" s="24">
        <v>22</v>
      </c>
      <c r="B290" s="50">
        <v>132</v>
      </c>
      <c r="C290" s="50" t="s">
        <v>192</v>
      </c>
      <c r="D290" s="51">
        <v>0</v>
      </c>
      <c r="E290" s="52"/>
      <c r="F290" s="50"/>
      <c r="G290" s="52"/>
      <c r="H290" s="53" t="s">
        <v>1457</v>
      </c>
      <c r="I290" s="33" t="s">
        <v>5085</v>
      </c>
    </row>
    <row r="291" spans="1:9" x14ac:dyDescent="0.25">
      <c r="A291" s="24">
        <v>22</v>
      </c>
      <c r="B291" s="50">
        <v>132</v>
      </c>
      <c r="C291" s="50" t="s">
        <v>198</v>
      </c>
      <c r="D291" s="51">
        <v>1</v>
      </c>
      <c r="E291" s="52"/>
      <c r="F291" s="50" t="s">
        <v>5072</v>
      </c>
      <c r="G291" s="52" t="s">
        <v>5086</v>
      </c>
      <c r="H291" s="53" t="s">
        <v>1457</v>
      </c>
      <c r="I291" s="33"/>
    </row>
    <row r="292" spans="1:9" x14ac:dyDescent="0.25">
      <c r="A292" s="24">
        <v>22</v>
      </c>
      <c r="B292" s="50">
        <v>132</v>
      </c>
      <c r="C292" s="50" t="s">
        <v>204</v>
      </c>
      <c r="D292" s="51">
        <v>0</v>
      </c>
      <c r="E292" s="52"/>
      <c r="F292" s="50"/>
      <c r="G292" s="52"/>
      <c r="H292" s="53" t="s">
        <v>1456</v>
      </c>
      <c r="I292" s="33" t="s">
        <v>4711</v>
      </c>
    </row>
    <row r="293" spans="1:9" x14ac:dyDescent="0.25">
      <c r="A293" s="24">
        <v>22</v>
      </c>
      <c r="B293" s="50">
        <v>132</v>
      </c>
      <c r="C293" s="50" t="s">
        <v>210</v>
      </c>
      <c r="D293" s="51">
        <v>0</v>
      </c>
      <c r="E293" s="52"/>
      <c r="F293" s="50"/>
      <c r="G293" s="52"/>
      <c r="H293" s="53" t="s">
        <v>1456</v>
      </c>
      <c r="I293" s="33" t="s">
        <v>4711</v>
      </c>
    </row>
    <row r="294" spans="1:9" x14ac:dyDescent="0.25">
      <c r="A294" s="24">
        <v>22</v>
      </c>
      <c r="B294" s="50">
        <v>132</v>
      </c>
      <c r="C294" s="50" t="s">
        <v>215</v>
      </c>
      <c r="D294" s="51">
        <v>0</v>
      </c>
      <c r="E294" s="52"/>
      <c r="F294" s="50"/>
      <c r="G294" s="52"/>
      <c r="H294" s="53" t="s">
        <v>1457</v>
      </c>
      <c r="I294" s="33" t="s">
        <v>5087</v>
      </c>
    </row>
    <row r="295" spans="1:9" ht="15.75" thickBot="1" x14ac:dyDescent="0.3">
      <c r="A295" s="26">
        <v>22</v>
      </c>
      <c r="B295" s="27">
        <v>132</v>
      </c>
      <c r="C295" s="27" t="s">
        <v>221</v>
      </c>
      <c r="D295" s="28">
        <v>0</v>
      </c>
      <c r="E295" s="30"/>
      <c r="F295" s="27"/>
      <c r="G295" s="30"/>
      <c r="H295" s="29" t="s">
        <v>1457</v>
      </c>
      <c r="I295" s="34" t="s">
        <v>5088</v>
      </c>
    </row>
    <row r="296" spans="1:9" x14ac:dyDescent="0.25">
      <c r="A296" s="2"/>
      <c r="B296" s="2"/>
      <c r="C296" s="2" t="s">
        <v>186</v>
      </c>
      <c r="D296" s="3"/>
      <c r="F296" s="2"/>
      <c r="H296" s="1"/>
    </row>
    <row r="297" spans="1:9" x14ac:dyDescent="0.25">
      <c r="A297" s="2"/>
      <c r="B297" s="2"/>
      <c r="C297" s="2" t="s">
        <v>192</v>
      </c>
      <c r="D297" s="3"/>
      <c r="F297" s="2"/>
      <c r="H297" s="1"/>
    </row>
    <row r="298" spans="1:9" x14ac:dyDescent="0.25">
      <c r="A298" s="2"/>
      <c r="B298" s="2"/>
      <c r="C298" s="2" t="s">
        <v>198</v>
      </c>
      <c r="D298" s="3"/>
      <c r="F298" s="2"/>
      <c r="H298" s="1"/>
    </row>
    <row r="299" spans="1:9" x14ac:dyDescent="0.25">
      <c r="A299" s="2"/>
      <c r="B299" s="2"/>
      <c r="C299" s="2" t="s">
        <v>204</v>
      </c>
      <c r="D299" s="3"/>
      <c r="F299" s="2"/>
      <c r="H299" s="1"/>
    </row>
    <row r="300" spans="1:9" x14ac:dyDescent="0.25">
      <c r="A300" s="2"/>
      <c r="B300" s="2"/>
      <c r="C300" s="2" t="s">
        <v>210</v>
      </c>
      <c r="D300" s="3"/>
      <c r="F300" s="2"/>
      <c r="H300" s="1"/>
    </row>
    <row r="301" spans="1:9" x14ac:dyDescent="0.25">
      <c r="A301" s="2"/>
      <c r="B301" s="2"/>
      <c r="C301" s="2" t="s">
        <v>215</v>
      </c>
      <c r="D301" s="3"/>
      <c r="F301" s="2"/>
      <c r="H301" s="1"/>
    </row>
    <row r="302" spans="1:9" x14ac:dyDescent="0.25">
      <c r="A302" s="2"/>
      <c r="B302" s="2"/>
      <c r="C302" s="2" t="s">
        <v>221</v>
      </c>
      <c r="D302" s="3"/>
      <c r="F302" s="2"/>
      <c r="H302" s="1"/>
    </row>
    <row r="303" spans="1:9" x14ac:dyDescent="0.25">
      <c r="A303" s="2"/>
      <c r="B303" s="2"/>
      <c r="C303" s="2"/>
      <c r="D303" s="3"/>
      <c r="F303" s="2"/>
      <c r="H303" s="1"/>
    </row>
    <row r="304" spans="1:9" x14ac:dyDescent="0.25">
      <c r="A304" s="2"/>
      <c r="B304" s="2"/>
      <c r="C304" s="2"/>
      <c r="D304" s="3"/>
      <c r="F304" s="2"/>
      <c r="H304" s="1"/>
    </row>
    <row r="305" spans="1:8" x14ac:dyDescent="0.25">
      <c r="A305" s="2"/>
      <c r="B305" s="2"/>
      <c r="C305" s="2"/>
      <c r="D305" s="3"/>
      <c r="F305" s="2"/>
      <c r="H305" s="1"/>
    </row>
    <row r="306" spans="1:8" x14ac:dyDescent="0.25">
      <c r="A306" s="2"/>
      <c r="B306" s="2"/>
      <c r="C306" s="2"/>
      <c r="D306" s="3"/>
      <c r="F306" s="2"/>
      <c r="H306" s="1"/>
    </row>
    <row r="307" spans="1:8" x14ac:dyDescent="0.25">
      <c r="A307" s="2"/>
      <c r="B307" s="2"/>
      <c r="C307" s="2"/>
      <c r="D307" s="3"/>
      <c r="F307" s="2"/>
      <c r="H307" s="1"/>
    </row>
    <row r="308" spans="1:8" x14ac:dyDescent="0.25">
      <c r="A308" s="2"/>
      <c r="B308" s="2"/>
      <c r="C308" s="2"/>
      <c r="D308" s="3"/>
      <c r="F308" s="2"/>
      <c r="H308" s="1"/>
    </row>
    <row r="309" spans="1:8" x14ac:dyDescent="0.25">
      <c r="A309" s="2"/>
      <c r="B309" s="2"/>
      <c r="C309" s="2"/>
      <c r="D309" s="3"/>
      <c r="F309" s="2"/>
      <c r="H309" s="1"/>
    </row>
    <row r="310" spans="1:8" x14ac:dyDescent="0.25">
      <c r="A310" s="2"/>
      <c r="B310" s="2"/>
      <c r="C310" s="2"/>
      <c r="D310" s="3"/>
      <c r="F310" s="2"/>
      <c r="H310" s="1"/>
    </row>
    <row r="311" spans="1:8" x14ac:dyDescent="0.25">
      <c r="A311" s="2"/>
      <c r="B311" s="2"/>
      <c r="C311" s="2"/>
      <c r="D311" s="3"/>
      <c r="F311" s="2"/>
      <c r="H311" s="1"/>
    </row>
    <row r="312" spans="1:8" x14ac:dyDescent="0.25">
      <c r="A312" s="2"/>
      <c r="B312" s="2"/>
      <c r="C312" s="2"/>
      <c r="D312" s="3"/>
      <c r="F312" s="2"/>
      <c r="H312" s="1"/>
    </row>
    <row r="313" spans="1:8" x14ac:dyDescent="0.25">
      <c r="A313" s="2"/>
      <c r="B313" s="2"/>
      <c r="C313" s="2"/>
      <c r="D313" s="3"/>
      <c r="F313" s="2"/>
      <c r="H313" s="1"/>
    </row>
    <row r="314" spans="1:8" x14ac:dyDescent="0.25">
      <c r="A314" s="2"/>
      <c r="B314" s="2"/>
      <c r="C314" s="2"/>
      <c r="D314" s="3"/>
      <c r="F314" s="2"/>
      <c r="H314" s="1"/>
    </row>
    <row r="315" spans="1:8" x14ac:dyDescent="0.25">
      <c r="A315" s="2"/>
      <c r="B315" s="2"/>
      <c r="C315" s="2"/>
      <c r="D315" s="3"/>
      <c r="F315" s="2"/>
      <c r="H315" s="1"/>
    </row>
    <row r="316" spans="1:8" x14ac:dyDescent="0.25">
      <c r="A316" s="2"/>
      <c r="B316" s="2"/>
      <c r="C316" s="2"/>
      <c r="D316" s="3"/>
      <c r="F316" s="2"/>
      <c r="H316" s="1"/>
    </row>
    <row r="317" spans="1:8" x14ac:dyDescent="0.25">
      <c r="A317" s="2"/>
      <c r="B317" s="2"/>
      <c r="C317" s="2"/>
      <c r="D317" s="3"/>
      <c r="F317" s="2"/>
      <c r="H317" s="1"/>
    </row>
    <row r="318" spans="1:8" x14ac:dyDescent="0.25">
      <c r="A318" s="2"/>
      <c r="B318" s="2"/>
      <c r="C318" s="2"/>
      <c r="D318" s="3"/>
      <c r="F318" s="2"/>
      <c r="H318" s="1"/>
    </row>
    <row r="319" spans="1:8" x14ac:dyDescent="0.25">
      <c r="A319" s="2"/>
      <c r="B319" s="2"/>
      <c r="C319" s="2"/>
      <c r="D319" s="3"/>
      <c r="F319" s="2"/>
      <c r="H319" s="1"/>
    </row>
    <row r="320" spans="1:8" x14ac:dyDescent="0.25">
      <c r="A320" s="2"/>
      <c r="B320" s="2"/>
      <c r="C320" s="2"/>
      <c r="D320" s="3"/>
      <c r="F320" s="2"/>
      <c r="H320" s="1"/>
    </row>
    <row r="321" spans="1:8" x14ac:dyDescent="0.25">
      <c r="A321" s="2"/>
      <c r="B321" s="2"/>
      <c r="C321" s="2"/>
      <c r="D321" s="3"/>
      <c r="F321" s="2"/>
      <c r="H321" s="1"/>
    </row>
    <row r="322" spans="1:8" x14ac:dyDescent="0.25">
      <c r="A322" s="2"/>
      <c r="B322" s="2"/>
      <c r="C322" s="2"/>
      <c r="D322" s="3"/>
      <c r="F322" s="2"/>
      <c r="H322" s="1"/>
    </row>
    <row r="323" spans="1:8" x14ac:dyDescent="0.25">
      <c r="A323" s="2"/>
      <c r="B323" s="2"/>
      <c r="C323" s="2"/>
      <c r="D323" s="3"/>
      <c r="F323" s="2"/>
      <c r="H323" s="1"/>
    </row>
    <row r="324" spans="1:8" x14ac:dyDescent="0.25">
      <c r="A324" s="2"/>
      <c r="B324" s="2"/>
      <c r="C324" s="2"/>
      <c r="D324" s="3"/>
      <c r="F324" s="2"/>
      <c r="H324" s="1"/>
    </row>
    <row r="325" spans="1:8" x14ac:dyDescent="0.25">
      <c r="A325" s="2"/>
      <c r="B325" s="2"/>
      <c r="C325" s="2"/>
      <c r="D325" s="3"/>
      <c r="F325" s="2"/>
      <c r="H325" s="1"/>
    </row>
    <row r="326" spans="1:8" x14ac:dyDescent="0.25">
      <c r="A326" s="2"/>
      <c r="B326" s="2"/>
      <c r="C326" s="2"/>
      <c r="D326" s="3"/>
      <c r="F326" s="2"/>
      <c r="H326" s="1"/>
    </row>
    <row r="327" spans="1:8" x14ac:dyDescent="0.25">
      <c r="A327" s="2"/>
      <c r="B327" s="2"/>
      <c r="C327" s="2"/>
      <c r="D327" s="3"/>
      <c r="F327" s="2"/>
      <c r="H327" s="1"/>
    </row>
    <row r="328" spans="1:8" x14ac:dyDescent="0.25">
      <c r="A328" s="2"/>
      <c r="B328" s="2"/>
      <c r="C328" s="2"/>
      <c r="D328" s="3"/>
      <c r="F328" s="2"/>
      <c r="H328" s="1"/>
    </row>
    <row r="329" spans="1:8" x14ac:dyDescent="0.25">
      <c r="A329" s="2"/>
      <c r="B329" s="2"/>
      <c r="C329" s="2"/>
      <c r="D329" s="3"/>
      <c r="F329" s="2"/>
      <c r="H329" s="1"/>
    </row>
    <row r="330" spans="1:8" x14ac:dyDescent="0.25">
      <c r="A330" s="2"/>
      <c r="B330" s="2"/>
      <c r="C330" s="2"/>
      <c r="D330" s="3"/>
      <c r="F330" s="2"/>
      <c r="H330" s="1"/>
    </row>
    <row r="331" spans="1:8" x14ac:dyDescent="0.25">
      <c r="A331" s="2"/>
      <c r="B331" s="2"/>
      <c r="C331" s="2"/>
      <c r="D331" s="3"/>
      <c r="F331" s="2"/>
      <c r="H331" s="1"/>
    </row>
    <row r="332" spans="1:8" x14ac:dyDescent="0.25">
      <c r="A332" s="2"/>
      <c r="B332" s="2"/>
      <c r="C332" s="2"/>
      <c r="D332" s="3"/>
      <c r="F332" s="2"/>
      <c r="H332" s="1"/>
    </row>
    <row r="333" spans="1:8" x14ac:dyDescent="0.25">
      <c r="A333" s="2"/>
      <c r="B333" s="2"/>
      <c r="C333" s="2"/>
      <c r="D333" s="3"/>
      <c r="F333" s="2"/>
      <c r="H333" s="1"/>
    </row>
    <row r="334" spans="1:8" x14ac:dyDescent="0.25">
      <c r="A334" s="2"/>
      <c r="B334" s="2"/>
      <c r="C334" s="2"/>
      <c r="D334" s="3"/>
      <c r="F334" s="2"/>
      <c r="H334" s="1"/>
    </row>
    <row r="335" spans="1:8" x14ac:dyDescent="0.25">
      <c r="A335" s="2"/>
      <c r="B335" s="2"/>
      <c r="C335" s="2"/>
      <c r="D335" s="3"/>
      <c r="F335" s="2"/>
      <c r="H335" s="1"/>
    </row>
    <row r="336" spans="1:8" x14ac:dyDescent="0.25">
      <c r="A336" s="2"/>
      <c r="B336" s="2"/>
      <c r="C336" s="2"/>
      <c r="D336" s="3"/>
      <c r="F336" s="2"/>
      <c r="H336" s="1"/>
    </row>
    <row r="337" spans="1:8" x14ac:dyDescent="0.25">
      <c r="A337" s="2"/>
      <c r="B337" s="2"/>
      <c r="C337" s="2"/>
      <c r="D337" s="3"/>
      <c r="F337" s="2"/>
      <c r="H337" s="1"/>
    </row>
    <row r="338" spans="1:8" x14ac:dyDescent="0.25">
      <c r="A338" s="2"/>
      <c r="B338" s="2"/>
      <c r="C338" s="2"/>
      <c r="D338" s="3"/>
      <c r="F338" s="2"/>
      <c r="H338" s="1"/>
    </row>
    <row r="339" spans="1:8" x14ac:dyDescent="0.25">
      <c r="A339" s="2"/>
      <c r="B339" s="2"/>
      <c r="C339" s="2"/>
      <c r="D339" s="3"/>
      <c r="F339" s="2"/>
      <c r="H339" s="1"/>
    </row>
    <row r="340" spans="1:8" x14ac:dyDescent="0.25">
      <c r="A340" s="2"/>
      <c r="B340" s="2"/>
      <c r="C340" s="2"/>
      <c r="D340" s="3"/>
      <c r="F340" s="2"/>
      <c r="H340" s="1"/>
    </row>
    <row r="341" spans="1:8" x14ac:dyDescent="0.25">
      <c r="A341" s="2"/>
      <c r="B341" s="2"/>
      <c r="C341" s="2"/>
      <c r="D341" s="3"/>
      <c r="F341" s="2"/>
      <c r="H341" s="1"/>
    </row>
    <row r="342" spans="1:8" x14ac:dyDescent="0.25">
      <c r="A342" s="2"/>
      <c r="B342" s="2"/>
      <c r="C342" s="2"/>
      <c r="D342" s="3"/>
      <c r="F342" s="2"/>
      <c r="H342" s="1"/>
    </row>
    <row r="343" spans="1:8" x14ac:dyDescent="0.25">
      <c r="A343" s="2"/>
      <c r="B343" s="2"/>
      <c r="C343" s="2"/>
      <c r="D343" s="3"/>
      <c r="F343" s="2"/>
      <c r="H343" s="1"/>
    </row>
    <row r="344" spans="1:8" x14ac:dyDescent="0.25">
      <c r="A344" s="2"/>
      <c r="B344" s="2"/>
      <c r="C344" s="2"/>
      <c r="D344" s="3"/>
      <c r="F344" s="2"/>
      <c r="H344" s="1"/>
    </row>
    <row r="345" spans="1:8" x14ac:dyDescent="0.25">
      <c r="A345" s="2"/>
      <c r="B345" s="2"/>
      <c r="C345" s="2"/>
      <c r="D345" s="3"/>
      <c r="F345" s="2"/>
      <c r="H345" s="1"/>
    </row>
    <row r="346" spans="1:8" x14ac:dyDescent="0.25">
      <c r="A346" s="2"/>
      <c r="B346" s="2"/>
      <c r="C346" s="2"/>
      <c r="D346" s="3"/>
      <c r="F346" s="2"/>
      <c r="H346" s="1"/>
    </row>
    <row r="347" spans="1:8" x14ac:dyDescent="0.25">
      <c r="A347" s="2"/>
      <c r="B347" s="2"/>
      <c r="C347" s="2"/>
      <c r="D347" s="3"/>
      <c r="F347" s="2"/>
      <c r="H347" s="1"/>
    </row>
    <row r="348" spans="1:8" x14ac:dyDescent="0.25">
      <c r="A348" s="2"/>
      <c r="B348" s="2"/>
      <c r="C348" s="2"/>
      <c r="D348" s="3"/>
      <c r="F348" s="2"/>
      <c r="H348" s="1"/>
    </row>
    <row r="349" spans="1:8" x14ac:dyDescent="0.25">
      <c r="A349" s="2"/>
      <c r="B349" s="2"/>
      <c r="C349" s="2"/>
      <c r="D349" s="3"/>
      <c r="F349" s="2"/>
      <c r="H349" s="1"/>
    </row>
    <row r="350" spans="1:8" x14ac:dyDescent="0.25">
      <c r="A350" s="2"/>
      <c r="B350" s="2"/>
      <c r="C350" s="2"/>
      <c r="D350" s="3"/>
      <c r="F350" s="2"/>
      <c r="H350" s="1"/>
    </row>
    <row r="351" spans="1:8" x14ac:dyDescent="0.25">
      <c r="A351" s="2"/>
      <c r="B351" s="2"/>
      <c r="C351" s="2"/>
      <c r="D351" s="3"/>
      <c r="F351" s="2"/>
      <c r="H351" s="1"/>
    </row>
    <row r="352" spans="1:8" x14ac:dyDescent="0.25">
      <c r="A352" s="2"/>
      <c r="B352" s="2"/>
      <c r="C352" s="2"/>
      <c r="D352" s="3"/>
      <c r="F352" s="2"/>
      <c r="H352" s="1"/>
    </row>
    <row r="353" spans="1:8" x14ac:dyDescent="0.25">
      <c r="A353" s="2"/>
      <c r="B353" s="2"/>
      <c r="C353" s="2"/>
      <c r="D353" s="3"/>
      <c r="F353" s="2"/>
      <c r="H353" s="1"/>
    </row>
    <row r="354" spans="1:8" x14ac:dyDescent="0.25">
      <c r="A354" s="2"/>
      <c r="B354" s="2"/>
      <c r="C354" s="2"/>
      <c r="D354" s="3"/>
      <c r="F354" s="2"/>
      <c r="H354" s="1"/>
    </row>
    <row r="355" spans="1:8" x14ac:dyDescent="0.25">
      <c r="A355" s="2"/>
      <c r="B355" s="2"/>
      <c r="C355" s="2"/>
      <c r="D355" s="3"/>
      <c r="F355" s="2"/>
      <c r="H355" s="1"/>
    </row>
    <row r="356" spans="1:8" x14ac:dyDescent="0.25">
      <c r="A356" s="2"/>
      <c r="B356" s="2"/>
      <c r="C356" s="2"/>
      <c r="D356" s="3"/>
      <c r="F356" s="2"/>
      <c r="H356" s="1"/>
    </row>
    <row r="357" spans="1:8" x14ac:dyDescent="0.25">
      <c r="A357" s="2"/>
      <c r="B357" s="2"/>
      <c r="C357" s="2"/>
      <c r="D357" s="3"/>
      <c r="F357" s="2"/>
      <c r="H357" s="1"/>
    </row>
    <row r="358" spans="1:8" x14ac:dyDescent="0.25">
      <c r="A358" s="2"/>
      <c r="B358" s="2"/>
      <c r="C358" s="2"/>
      <c r="D358" s="3"/>
      <c r="F358" s="2"/>
      <c r="H358" s="1"/>
    </row>
    <row r="359" spans="1:8" x14ac:dyDescent="0.25">
      <c r="A359" s="2"/>
      <c r="B359" s="2"/>
      <c r="C359" s="2"/>
      <c r="D359" s="3"/>
      <c r="F359" s="2"/>
      <c r="H359" s="1"/>
    </row>
    <row r="360" spans="1:8" x14ac:dyDescent="0.25">
      <c r="A360" s="2"/>
      <c r="B360" s="2"/>
      <c r="C360" s="2"/>
      <c r="D360" s="3"/>
      <c r="F360" s="2"/>
      <c r="H360" s="1"/>
    </row>
    <row r="361" spans="1:8" x14ac:dyDescent="0.25">
      <c r="A361" s="2"/>
      <c r="B361" s="2"/>
      <c r="C361" s="2"/>
      <c r="D361" s="3"/>
      <c r="F361" s="2"/>
      <c r="H361" s="1"/>
    </row>
    <row r="362" spans="1:8" x14ac:dyDescent="0.25">
      <c r="A362" s="2"/>
      <c r="B362" s="2"/>
      <c r="C362" s="2"/>
      <c r="D362" s="3"/>
      <c r="F362" s="2"/>
      <c r="H362" s="1"/>
    </row>
    <row r="363" spans="1:8" x14ac:dyDescent="0.25">
      <c r="A363" s="2"/>
      <c r="B363" s="2"/>
      <c r="C363" s="2"/>
      <c r="D363" s="3"/>
      <c r="F363" s="2"/>
      <c r="H363" s="1"/>
    </row>
    <row r="364" spans="1:8" x14ac:dyDescent="0.25">
      <c r="A364" s="2"/>
      <c r="B364" s="2"/>
      <c r="C364" s="2"/>
      <c r="D364" s="3"/>
      <c r="F364" s="2"/>
      <c r="H364" s="1"/>
    </row>
    <row r="365" spans="1:8" x14ac:dyDescent="0.25">
      <c r="A365" s="2"/>
      <c r="B365" s="2"/>
      <c r="C365" s="2"/>
      <c r="D365" s="3"/>
      <c r="F365" s="2"/>
      <c r="H365" s="1"/>
    </row>
    <row r="366" spans="1:8" x14ac:dyDescent="0.25">
      <c r="A366" s="2"/>
      <c r="B366" s="2"/>
      <c r="C366" s="2"/>
      <c r="D366" s="3"/>
      <c r="F366" s="2"/>
      <c r="H366" s="1"/>
    </row>
    <row r="367" spans="1:8" x14ac:dyDescent="0.25">
      <c r="A367" s="2"/>
      <c r="B367" s="2"/>
      <c r="C367" s="2"/>
      <c r="D367" s="3"/>
      <c r="F367" s="2"/>
      <c r="H367" s="1"/>
    </row>
    <row r="368" spans="1:8" x14ac:dyDescent="0.25">
      <c r="A368" s="2"/>
      <c r="B368" s="2"/>
      <c r="C368" s="2"/>
      <c r="D368" s="3"/>
      <c r="F368" s="2"/>
      <c r="H368" s="1"/>
    </row>
    <row r="369" spans="1:8" x14ac:dyDescent="0.25">
      <c r="A369" s="2"/>
      <c r="B369" s="2"/>
      <c r="C369" s="2"/>
      <c r="D369" s="3"/>
      <c r="F369" s="2"/>
      <c r="H369" s="1"/>
    </row>
    <row r="370" spans="1:8" x14ac:dyDescent="0.25">
      <c r="A370" s="2"/>
      <c r="B370" s="2"/>
      <c r="C370" s="2"/>
      <c r="D370" s="3"/>
      <c r="F370" s="2"/>
      <c r="H370" s="1"/>
    </row>
    <row r="371" spans="1:8" x14ac:dyDescent="0.25">
      <c r="A371" s="2"/>
      <c r="B371" s="2"/>
      <c r="C371" s="2"/>
      <c r="D371" s="3"/>
      <c r="F371" s="2"/>
      <c r="H371" s="1"/>
    </row>
    <row r="372" spans="1:8" x14ac:dyDescent="0.25">
      <c r="A372" s="2"/>
      <c r="B372" s="2"/>
      <c r="C372" s="2"/>
      <c r="D372" s="3"/>
      <c r="F372" s="2"/>
      <c r="H372" s="1"/>
    </row>
    <row r="373" spans="1:8" x14ac:dyDescent="0.25">
      <c r="A373" s="2"/>
      <c r="B373" s="2"/>
      <c r="C373" s="2"/>
      <c r="D373" s="3"/>
      <c r="F373" s="2"/>
      <c r="H373" s="1"/>
    </row>
    <row r="374" spans="1:8" x14ac:dyDescent="0.25">
      <c r="A374" s="2"/>
      <c r="B374" s="2"/>
      <c r="C374" s="2"/>
      <c r="D374" s="3"/>
      <c r="F374" s="2"/>
      <c r="H374" s="1"/>
    </row>
    <row r="375" spans="1:8" x14ac:dyDescent="0.25">
      <c r="A375" s="2"/>
      <c r="B375" s="2"/>
      <c r="C375" s="2"/>
      <c r="D375" s="3"/>
      <c r="F375" s="2"/>
      <c r="H375" s="1"/>
    </row>
    <row r="376" spans="1:8" x14ac:dyDescent="0.25">
      <c r="A376" s="2"/>
      <c r="B376" s="2"/>
      <c r="C376" s="2"/>
      <c r="D376" s="3"/>
      <c r="F376" s="2"/>
      <c r="H376" s="1"/>
    </row>
    <row r="377" spans="1:8" x14ac:dyDescent="0.25">
      <c r="A377" s="2"/>
      <c r="B377" s="2"/>
      <c r="C377" s="2"/>
      <c r="D377" s="3"/>
      <c r="F377" s="2"/>
      <c r="H377" s="1"/>
    </row>
    <row r="378" spans="1:8" x14ac:dyDescent="0.25">
      <c r="A378" s="2"/>
      <c r="B378" s="2"/>
      <c r="C378" s="2"/>
      <c r="D378" s="3"/>
      <c r="F378" s="2"/>
      <c r="H378" s="1"/>
    </row>
    <row r="379" spans="1:8" x14ac:dyDescent="0.25">
      <c r="A379" s="2"/>
      <c r="B379" s="2"/>
      <c r="C379" s="2"/>
      <c r="D379" s="3"/>
      <c r="F379" s="2"/>
      <c r="H379" s="1"/>
    </row>
    <row r="380" spans="1:8" x14ac:dyDescent="0.25">
      <c r="A380" s="2"/>
      <c r="B380" s="2"/>
      <c r="C380" s="2"/>
      <c r="D380" s="3"/>
      <c r="F380" s="2"/>
      <c r="H380" s="1"/>
    </row>
    <row r="381" spans="1:8" x14ac:dyDescent="0.25">
      <c r="A381" s="2"/>
      <c r="B381" s="2"/>
      <c r="C381" s="2"/>
      <c r="D381" s="3"/>
      <c r="F381" s="2"/>
      <c r="H381" s="1"/>
    </row>
    <row r="382" spans="1:8" x14ac:dyDescent="0.25">
      <c r="A382" s="2"/>
      <c r="B382" s="2"/>
      <c r="C382" s="2"/>
      <c r="D382" s="3"/>
      <c r="F382" s="2"/>
      <c r="H382" s="1"/>
    </row>
    <row r="383" spans="1:8" x14ac:dyDescent="0.25">
      <c r="A383" s="2"/>
      <c r="B383" s="2"/>
      <c r="C383" s="2"/>
      <c r="D383" s="3"/>
      <c r="F383" s="2"/>
      <c r="H383" s="1"/>
    </row>
    <row r="384" spans="1:8" x14ac:dyDescent="0.25">
      <c r="A384" s="2"/>
      <c r="B384" s="2"/>
      <c r="C384" s="2"/>
      <c r="D384" s="3"/>
      <c r="F384" s="2"/>
      <c r="H384" s="1"/>
    </row>
    <row r="385" spans="1:8" x14ac:dyDescent="0.25">
      <c r="A385" s="2"/>
      <c r="B385" s="2"/>
      <c r="C385" s="2"/>
      <c r="D385" s="3"/>
      <c r="F385" s="2"/>
      <c r="H385" s="1"/>
    </row>
    <row r="386" spans="1:8" x14ac:dyDescent="0.25">
      <c r="A386" s="2"/>
      <c r="B386" s="2"/>
      <c r="C386" s="2"/>
      <c r="D386" s="3"/>
      <c r="F386" s="2"/>
      <c r="H386" s="1"/>
    </row>
    <row r="387" spans="1:8" x14ac:dyDescent="0.25">
      <c r="A387" s="2"/>
      <c r="B387" s="2"/>
      <c r="C387" s="2"/>
      <c r="D387" s="3"/>
      <c r="F387" s="2"/>
      <c r="H387" s="1"/>
    </row>
    <row r="388" spans="1:8" x14ac:dyDescent="0.25">
      <c r="A388" s="2"/>
      <c r="B388" s="2"/>
      <c r="C388" s="2"/>
      <c r="D388" s="3"/>
      <c r="F388" s="2"/>
      <c r="H388" s="1"/>
    </row>
    <row r="389" spans="1:8" x14ac:dyDescent="0.25">
      <c r="A389" s="2"/>
      <c r="B389" s="2"/>
      <c r="C389" s="2"/>
      <c r="D389" s="3"/>
      <c r="F389" s="2"/>
      <c r="H389" s="1"/>
    </row>
    <row r="390" spans="1:8" x14ac:dyDescent="0.25">
      <c r="A390" s="2"/>
      <c r="B390" s="2"/>
      <c r="C390" s="2"/>
      <c r="D390" s="3"/>
      <c r="F390" s="2"/>
      <c r="H390" s="1"/>
    </row>
    <row r="391" spans="1:8" x14ac:dyDescent="0.25">
      <c r="A391" s="2"/>
      <c r="B391" s="2"/>
      <c r="C391" s="2"/>
      <c r="D391" s="3"/>
      <c r="F391" s="2"/>
      <c r="H391" s="1"/>
    </row>
    <row r="392" spans="1:8" x14ac:dyDescent="0.25">
      <c r="A392" s="2"/>
      <c r="B392" s="2"/>
      <c r="C392" s="2"/>
      <c r="D392" s="3"/>
      <c r="F392" s="2"/>
      <c r="H392" s="1"/>
    </row>
    <row r="393" spans="1:8" x14ac:dyDescent="0.25">
      <c r="A393" s="2"/>
      <c r="B393" s="2"/>
      <c r="C393" s="2"/>
      <c r="D393" s="3"/>
      <c r="F393" s="2"/>
      <c r="H393" s="1"/>
    </row>
    <row r="394" spans="1:8" x14ac:dyDescent="0.25">
      <c r="A394" s="2"/>
      <c r="B394" s="2"/>
      <c r="C394" s="2"/>
      <c r="D394" s="3"/>
      <c r="F394" s="2"/>
      <c r="H394" s="1"/>
    </row>
    <row r="395" spans="1:8" x14ac:dyDescent="0.25">
      <c r="A395" s="2"/>
      <c r="B395" s="2"/>
      <c r="C395" s="2"/>
      <c r="D395" s="3"/>
      <c r="F395" s="2"/>
      <c r="H395" s="1"/>
    </row>
    <row r="396" spans="1:8" x14ac:dyDescent="0.25">
      <c r="A396" s="2"/>
      <c r="B396" s="2"/>
      <c r="C396" s="2"/>
      <c r="D396" s="3"/>
      <c r="F396" s="2"/>
      <c r="H396" s="1"/>
    </row>
    <row r="397" spans="1:8" x14ac:dyDescent="0.25">
      <c r="A397" s="2"/>
      <c r="B397" s="2"/>
      <c r="C397" s="2"/>
      <c r="D397" s="3"/>
      <c r="F397" s="2"/>
      <c r="H397" s="1"/>
    </row>
    <row r="398" spans="1:8" x14ac:dyDescent="0.25">
      <c r="A398" s="2"/>
      <c r="B398" s="2"/>
      <c r="C398" s="2"/>
      <c r="D398" s="3"/>
      <c r="F398" s="2"/>
      <c r="H398" s="1"/>
    </row>
    <row r="399" spans="1:8" x14ac:dyDescent="0.25">
      <c r="A399" s="2"/>
      <c r="B399" s="2"/>
      <c r="C399" s="2"/>
      <c r="D399" s="3"/>
      <c r="F399" s="2"/>
      <c r="H399" s="1"/>
    </row>
    <row r="400" spans="1:8" x14ac:dyDescent="0.25">
      <c r="A400" s="2"/>
      <c r="B400" s="2"/>
      <c r="C400" s="2"/>
      <c r="D400" s="3"/>
      <c r="F400" s="2"/>
      <c r="H400" s="1"/>
    </row>
    <row r="401" spans="1:8" x14ac:dyDescent="0.25">
      <c r="A401" s="2"/>
      <c r="B401" s="2"/>
      <c r="C401" s="2"/>
      <c r="D401" s="3"/>
      <c r="F401" s="2"/>
      <c r="H401" s="1"/>
    </row>
    <row r="402" spans="1:8" x14ac:dyDescent="0.25">
      <c r="A402" s="2"/>
      <c r="B402" s="2"/>
      <c r="C402" s="2"/>
      <c r="D402" s="3"/>
      <c r="F402" s="2"/>
      <c r="H402" s="1"/>
    </row>
    <row r="403" spans="1:8" x14ac:dyDescent="0.25">
      <c r="A403" s="2"/>
      <c r="B403" s="2"/>
      <c r="C403" s="2"/>
      <c r="D403" s="3"/>
      <c r="F403" s="2"/>
      <c r="H403" s="1"/>
    </row>
    <row r="404" spans="1:8" x14ac:dyDescent="0.25">
      <c r="A404" s="2"/>
      <c r="B404" s="2"/>
      <c r="C404" s="2"/>
      <c r="D404" s="3"/>
      <c r="F404" s="2"/>
      <c r="H404" s="1"/>
    </row>
    <row r="405" spans="1:8" x14ac:dyDescent="0.25">
      <c r="A405" s="2"/>
      <c r="B405" s="2"/>
      <c r="C405" s="2"/>
      <c r="D405" s="3"/>
      <c r="F405" s="2"/>
      <c r="H405" s="1"/>
    </row>
    <row r="406" spans="1:8" x14ac:dyDescent="0.25">
      <c r="A406" s="2"/>
      <c r="B406" s="2"/>
      <c r="C406" s="2"/>
      <c r="D406" s="3"/>
      <c r="F406" s="2"/>
      <c r="H406" s="1"/>
    </row>
    <row r="407" spans="1:8" x14ac:dyDescent="0.25">
      <c r="A407" s="2"/>
      <c r="B407" s="2"/>
      <c r="C407" s="2"/>
      <c r="D407" s="3"/>
      <c r="F407" s="2"/>
      <c r="H407" s="1"/>
    </row>
    <row r="408" spans="1:8" x14ac:dyDescent="0.25">
      <c r="A408" s="2"/>
      <c r="B408" s="2"/>
      <c r="C408" s="2"/>
      <c r="D408" s="3"/>
      <c r="F408" s="2"/>
      <c r="H408" s="1"/>
    </row>
    <row r="409" spans="1:8" x14ac:dyDescent="0.25">
      <c r="A409" s="2"/>
      <c r="B409" s="2"/>
      <c r="C409" s="2"/>
      <c r="D409" s="3"/>
      <c r="F409" s="2"/>
      <c r="H409" s="1"/>
    </row>
    <row r="410" spans="1:8" x14ac:dyDescent="0.25">
      <c r="A410" s="2"/>
      <c r="B410" s="2"/>
      <c r="C410" s="2"/>
      <c r="D410" s="3"/>
      <c r="F410" s="2"/>
      <c r="H410" s="1"/>
    </row>
    <row r="411" spans="1:8" x14ac:dyDescent="0.25">
      <c r="A411" s="2"/>
      <c r="B411" s="2"/>
      <c r="C411" s="2"/>
      <c r="D411" s="3"/>
      <c r="F411" s="2"/>
      <c r="H411" s="1"/>
    </row>
    <row r="412" spans="1:8" x14ac:dyDescent="0.25">
      <c r="A412" s="2"/>
      <c r="B412" s="2"/>
      <c r="C412" s="2"/>
      <c r="D412" s="3"/>
      <c r="F412" s="2"/>
      <c r="H412" s="1"/>
    </row>
    <row r="413" spans="1:8" x14ac:dyDescent="0.25">
      <c r="A413" s="2"/>
      <c r="B413" s="2"/>
      <c r="C413" s="2"/>
      <c r="D413" s="3"/>
      <c r="F413" s="2"/>
      <c r="H413" s="1"/>
    </row>
    <row r="414" spans="1:8" x14ac:dyDescent="0.25">
      <c r="A414" s="2"/>
      <c r="B414" s="2"/>
      <c r="C414" s="2"/>
      <c r="D414" s="3"/>
      <c r="F414" s="2"/>
      <c r="H414" s="1"/>
    </row>
    <row r="415" spans="1:8" x14ac:dyDescent="0.25">
      <c r="A415" s="2"/>
      <c r="B415" s="2"/>
      <c r="C415" s="2"/>
      <c r="D415" s="3"/>
      <c r="F415" s="2"/>
      <c r="H415" s="1"/>
    </row>
    <row r="416" spans="1:8" x14ac:dyDescent="0.25">
      <c r="A416" s="2"/>
      <c r="B416" s="2"/>
      <c r="C416" s="2"/>
      <c r="D416" s="3"/>
      <c r="F416" s="2"/>
      <c r="H416" s="1"/>
    </row>
    <row r="417" spans="1:8" x14ac:dyDescent="0.25">
      <c r="A417" s="2"/>
      <c r="B417" s="2"/>
      <c r="C417" s="2"/>
      <c r="D417" s="3"/>
      <c r="F417" s="2"/>
      <c r="H417" s="1"/>
    </row>
    <row r="418" spans="1:8" x14ac:dyDescent="0.25">
      <c r="A418" s="2"/>
      <c r="B418" s="2"/>
      <c r="C418" s="2"/>
      <c r="D418" s="3"/>
      <c r="F418" s="2"/>
      <c r="H418" s="1"/>
    </row>
    <row r="419" spans="1:8" x14ac:dyDescent="0.25">
      <c r="A419" s="2"/>
      <c r="B419" s="2"/>
      <c r="C419" s="2"/>
      <c r="D419" s="3"/>
      <c r="F419" s="2"/>
      <c r="H419" s="1"/>
    </row>
    <row r="420" spans="1:8" x14ac:dyDescent="0.25">
      <c r="A420" s="2"/>
      <c r="B420" s="2"/>
      <c r="C420" s="2"/>
      <c r="D420" s="3"/>
      <c r="F420" s="2"/>
      <c r="H420" s="1"/>
    </row>
    <row r="421" spans="1:8" x14ac:dyDescent="0.25">
      <c r="A421" s="2"/>
      <c r="B421" s="2"/>
      <c r="C421" s="2"/>
      <c r="D421" s="3"/>
      <c r="F421" s="2"/>
      <c r="H421" s="1"/>
    </row>
    <row r="422" spans="1:8" x14ac:dyDescent="0.25">
      <c r="A422" s="2"/>
      <c r="B422" s="2"/>
      <c r="C422" s="2"/>
      <c r="D422" s="3"/>
      <c r="F422" s="2"/>
      <c r="H422" s="1"/>
    </row>
    <row r="423" spans="1:8" x14ac:dyDescent="0.25">
      <c r="A423" s="2"/>
      <c r="B423" s="2"/>
      <c r="C423" s="2"/>
      <c r="D423" s="3"/>
      <c r="F423" s="2"/>
      <c r="H423" s="1"/>
    </row>
    <row r="424" spans="1:8" x14ac:dyDescent="0.25">
      <c r="A424" s="2"/>
      <c r="B424" s="2"/>
      <c r="C424" s="2"/>
      <c r="D424" s="3"/>
      <c r="F424" s="2"/>
      <c r="H424" s="1"/>
    </row>
    <row r="425" spans="1:8" x14ac:dyDescent="0.25">
      <c r="A425" s="2"/>
      <c r="B425" s="2"/>
      <c r="C425" s="2"/>
      <c r="D425" s="3"/>
      <c r="F425" s="2"/>
      <c r="H425" s="1"/>
    </row>
    <row r="426" spans="1:8" x14ac:dyDescent="0.25">
      <c r="A426" s="2"/>
      <c r="B426" s="2"/>
      <c r="C426" s="2"/>
      <c r="D426" s="3"/>
      <c r="F426" s="2"/>
      <c r="H426" s="1"/>
    </row>
    <row r="427" spans="1:8" x14ac:dyDescent="0.25">
      <c r="A427" s="2"/>
      <c r="B427" s="2"/>
      <c r="C427" s="2"/>
      <c r="D427" s="3"/>
      <c r="F427" s="2"/>
      <c r="H427" s="1"/>
    </row>
    <row r="428" spans="1:8" x14ac:dyDescent="0.25">
      <c r="A428" s="2"/>
      <c r="B428" s="2"/>
      <c r="C428" s="2"/>
      <c r="D428" s="3"/>
      <c r="F428" s="2"/>
      <c r="H428" s="1"/>
    </row>
    <row r="429" spans="1:8" x14ac:dyDescent="0.25">
      <c r="A429" s="2"/>
      <c r="B429" s="2"/>
      <c r="C429" s="2"/>
      <c r="D429" s="3"/>
      <c r="F429" s="2"/>
      <c r="H429" s="1"/>
    </row>
    <row r="430" spans="1:8" x14ac:dyDescent="0.25">
      <c r="A430" s="2"/>
      <c r="B430" s="2"/>
      <c r="C430" s="2"/>
      <c r="D430" s="3"/>
      <c r="F430" s="2"/>
      <c r="H430" s="1"/>
    </row>
    <row r="431" spans="1:8" x14ac:dyDescent="0.25">
      <c r="A431" s="2"/>
      <c r="B431" s="2"/>
      <c r="C431" s="2"/>
      <c r="D431" s="3"/>
      <c r="F431" s="2"/>
      <c r="H431" s="1"/>
    </row>
    <row r="432" spans="1:8" x14ac:dyDescent="0.25">
      <c r="A432" s="2"/>
      <c r="B432" s="2"/>
      <c r="C432" s="2"/>
      <c r="D432" s="3"/>
      <c r="F432" s="2"/>
      <c r="H432" s="1"/>
    </row>
    <row r="433" spans="1:8" x14ac:dyDescent="0.25">
      <c r="A433" s="2"/>
      <c r="B433" s="2"/>
      <c r="C433" s="2"/>
      <c r="D433" s="3"/>
      <c r="F433" s="2"/>
      <c r="H433" s="1"/>
    </row>
    <row r="434" spans="1:8" x14ac:dyDescent="0.25">
      <c r="A434" s="2"/>
      <c r="B434" s="2"/>
      <c r="C434" s="2"/>
      <c r="D434" s="3"/>
      <c r="F434" s="2"/>
      <c r="H434" s="1"/>
    </row>
    <row r="435" spans="1:8" x14ac:dyDescent="0.25">
      <c r="A435" s="2"/>
      <c r="B435" s="2"/>
      <c r="C435" s="2"/>
      <c r="D435" s="3"/>
      <c r="F435" s="2"/>
      <c r="H435" s="1"/>
    </row>
    <row r="436" spans="1:8" x14ac:dyDescent="0.25">
      <c r="A436" s="2"/>
      <c r="B436" s="2"/>
      <c r="C436" s="2"/>
      <c r="D436" s="3"/>
      <c r="F436" s="2"/>
      <c r="H436" s="1"/>
    </row>
    <row r="437" spans="1:8" x14ac:dyDescent="0.25">
      <c r="A437" s="2"/>
      <c r="B437" s="2"/>
      <c r="C437" s="2"/>
      <c r="D437" s="3"/>
      <c r="F437" s="2"/>
      <c r="H437" s="1"/>
    </row>
    <row r="438" spans="1:8" x14ac:dyDescent="0.25">
      <c r="A438" s="2"/>
      <c r="B438" s="2"/>
      <c r="C438" s="2"/>
      <c r="D438" s="3"/>
      <c r="F438" s="2"/>
      <c r="H438" s="1"/>
    </row>
    <row r="439" spans="1:8" x14ac:dyDescent="0.25">
      <c r="A439" s="2"/>
      <c r="B439" s="2"/>
      <c r="C439" s="2"/>
      <c r="D439" s="3"/>
      <c r="F439" s="2"/>
      <c r="H439" s="1"/>
    </row>
    <row r="440" spans="1:8" x14ac:dyDescent="0.25">
      <c r="A440" s="2"/>
      <c r="B440" s="2"/>
      <c r="C440" s="2"/>
      <c r="D440" s="3"/>
      <c r="F440" s="2"/>
      <c r="H440" s="1"/>
    </row>
    <row r="441" spans="1:8" x14ac:dyDescent="0.25">
      <c r="A441" s="2"/>
      <c r="B441" s="2"/>
      <c r="C441" s="2"/>
      <c r="D441" s="3"/>
      <c r="F441" s="2"/>
      <c r="H441" s="1"/>
    </row>
    <row r="442" spans="1:8" x14ac:dyDescent="0.25">
      <c r="A442" s="2"/>
      <c r="B442" s="2"/>
      <c r="C442" s="2"/>
      <c r="D442" s="3"/>
      <c r="F442" s="2"/>
      <c r="H442" s="1"/>
    </row>
    <row r="443" spans="1:8" x14ac:dyDescent="0.25">
      <c r="A443" s="2"/>
      <c r="B443" s="2"/>
      <c r="C443" s="2"/>
      <c r="D443" s="3"/>
      <c r="F443" s="2"/>
      <c r="H443" s="1"/>
    </row>
    <row r="444" spans="1:8" x14ac:dyDescent="0.25">
      <c r="A444" s="2"/>
      <c r="B444" s="2"/>
      <c r="C444" s="2"/>
      <c r="D444" s="3"/>
      <c r="F444" s="2"/>
      <c r="H444" s="1"/>
    </row>
    <row r="445" spans="1:8" x14ac:dyDescent="0.25">
      <c r="A445" s="2"/>
      <c r="B445" s="2"/>
      <c r="C445" s="2"/>
      <c r="D445" s="3"/>
      <c r="F445" s="2"/>
      <c r="H445" s="1"/>
    </row>
    <row r="446" spans="1:8" x14ac:dyDescent="0.25">
      <c r="A446" s="2"/>
      <c r="B446" s="2"/>
      <c r="C446" s="2"/>
      <c r="D446" s="3"/>
      <c r="F446" s="2"/>
      <c r="H446" s="1"/>
    </row>
    <row r="447" spans="1:8" x14ac:dyDescent="0.25">
      <c r="A447" s="2"/>
      <c r="B447" s="2"/>
      <c r="C447" s="2"/>
      <c r="D447" s="3"/>
      <c r="F447" s="2"/>
      <c r="H447" s="1"/>
    </row>
    <row r="448" spans="1:8" x14ac:dyDescent="0.25">
      <c r="A448" s="2"/>
      <c r="B448" s="2"/>
      <c r="C448" s="2"/>
      <c r="D448" s="3"/>
      <c r="F448" s="2"/>
      <c r="H448" s="1"/>
    </row>
    <row r="449" spans="1:8" x14ac:dyDescent="0.25">
      <c r="A449" s="2"/>
      <c r="B449" s="2"/>
      <c r="C449" s="2"/>
      <c r="D449" s="3"/>
      <c r="F449" s="2"/>
      <c r="H449" s="1"/>
    </row>
    <row r="450" spans="1:8" x14ac:dyDescent="0.25">
      <c r="A450" s="2"/>
      <c r="B450" s="2"/>
      <c r="C450" s="2"/>
      <c r="D450" s="3"/>
      <c r="F450" s="2"/>
      <c r="H450" s="1"/>
    </row>
    <row r="451" spans="1:8" x14ac:dyDescent="0.25">
      <c r="A451" s="2"/>
      <c r="B451" s="2"/>
      <c r="C451" s="2"/>
      <c r="D451" s="3"/>
      <c r="F451" s="2"/>
      <c r="H451" s="1"/>
    </row>
    <row r="452" spans="1:8" x14ac:dyDescent="0.25">
      <c r="A452" s="2"/>
      <c r="B452" s="2"/>
      <c r="C452" s="2"/>
      <c r="D452" s="3"/>
      <c r="F452" s="2"/>
      <c r="H452" s="1"/>
    </row>
    <row r="453" spans="1:8" x14ac:dyDescent="0.25">
      <c r="A453" s="2"/>
      <c r="B453" s="2"/>
      <c r="C453" s="2"/>
      <c r="D453" s="3"/>
      <c r="F453" s="2"/>
      <c r="H453" s="1"/>
    </row>
    <row r="454" spans="1:8" x14ac:dyDescent="0.25">
      <c r="A454" s="2"/>
      <c r="B454" s="2"/>
      <c r="C454" s="2"/>
      <c r="D454" s="3"/>
      <c r="F454" s="2"/>
      <c r="H454" s="1"/>
    </row>
    <row r="455" spans="1:8" x14ac:dyDescent="0.25">
      <c r="A455" s="2"/>
      <c r="B455" s="2"/>
      <c r="C455" s="2"/>
      <c r="D455" s="3"/>
      <c r="F455" s="2"/>
      <c r="H455" s="1"/>
    </row>
    <row r="456" spans="1:8" x14ac:dyDescent="0.25">
      <c r="A456" s="2"/>
      <c r="B456" s="2"/>
      <c r="C456" s="2"/>
      <c r="D456" s="3"/>
      <c r="F456" s="2"/>
      <c r="H456" s="1"/>
    </row>
    <row r="457" spans="1:8" x14ac:dyDescent="0.25">
      <c r="A457" s="2"/>
      <c r="B457" s="2"/>
      <c r="C457" s="2"/>
      <c r="D457" s="3"/>
      <c r="F457" s="2"/>
      <c r="H457" s="1"/>
    </row>
    <row r="458" spans="1:8" x14ac:dyDescent="0.25">
      <c r="A458" s="2"/>
      <c r="B458" s="2"/>
      <c r="C458" s="2"/>
      <c r="D458" s="3"/>
      <c r="F458" s="2"/>
      <c r="H458" s="1"/>
    </row>
    <row r="459" spans="1:8" x14ac:dyDescent="0.25">
      <c r="A459" s="2"/>
      <c r="B459" s="2"/>
      <c r="C459" s="2"/>
      <c r="D459" s="3"/>
      <c r="F459" s="2"/>
      <c r="H459" s="1"/>
    </row>
    <row r="460" spans="1:8" x14ac:dyDescent="0.25">
      <c r="A460" s="2"/>
      <c r="B460" s="2"/>
      <c r="C460" s="2"/>
      <c r="D460" s="3"/>
      <c r="F460" s="2"/>
      <c r="H460" s="1"/>
    </row>
    <row r="461" spans="1:8" x14ac:dyDescent="0.25">
      <c r="A461" s="2"/>
      <c r="B461" s="2"/>
      <c r="C461" s="2"/>
      <c r="D461" s="3"/>
      <c r="F461" s="2"/>
      <c r="H461" s="1"/>
    </row>
    <row r="462" spans="1:8" x14ac:dyDescent="0.25">
      <c r="A462" s="2"/>
      <c r="B462" s="2"/>
      <c r="C462" s="2"/>
      <c r="D462" s="3"/>
      <c r="F462" s="2"/>
      <c r="H462" s="1"/>
    </row>
    <row r="463" spans="1:8" x14ac:dyDescent="0.25">
      <c r="A463" s="2"/>
      <c r="B463" s="2"/>
      <c r="C463" s="2"/>
      <c r="D463" s="3"/>
      <c r="F463" s="2"/>
      <c r="H463" s="1"/>
    </row>
    <row r="464" spans="1:8" x14ac:dyDescent="0.25">
      <c r="A464" s="2"/>
      <c r="B464" s="2"/>
      <c r="C464" s="2"/>
      <c r="D464" s="3"/>
      <c r="F464" s="2"/>
      <c r="H464" s="1"/>
    </row>
    <row r="465" spans="1:8" x14ac:dyDescent="0.25">
      <c r="A465" s="2"/>
      <c r="B465" s="2"/>
      <c r="C465" s="2"/>
      <c r="D465" s="3"/>
      <c r="F465" s="2"/>
      <c r="H465" s="1"/>
    </row>
    <row r="466" spans="1:8" x14ac:dyDescent="0.25">
      <c r="A466" s="2"/>
      <c r="B466" s="2"/>
      <c r="C466" s="2"/>
      <c r="D466" s="3"/>
      <c r="F466" s="2"/>
      <c r="H466" s="1"/>
    </row>
    <row r="467" spans="1:8" x14ac:dyDescent="0.25">
      <c r="A467" s="2"/>
      <c r="B467" s="2"/>
      <c r="C467" s="2"/>
      <c r="D467" s="3"/>
      <c r="F467" s="2"/>
      <c r="H467" s="1"/>
    </row>
    <row r="468" spans="1:8" x14ac:dyDescent="0.25">
      <c r="A468" s="2"/>
      <c r="B468" s="2"/>
      <c r="C468" s="2"/>
      <c r="D468" s="3"/>
      <c r="F468" s="2"/>
      <c r="H468" s="1"/>
    </row>
    <row r="469" spans="1:8" x14ac:dyDescent="0.25">
      <c r="A469" s="2"/>
      <c r="B469" s="2"/>
      <c r="C469" s="2"/>
      <c r="D469" s="3"/>
      <c r="F469" s="2"/>
      <c r="H469" s="1"/>
    </row>
    <row r="470" spans="1:8" x14ac:dyDescent="0.25">
      <c r="A470" s="2"/>
      <c r="B470" s="2"/>
      <c r="C470" s="2"/>
      <c r="D470" s="3"/>
      <c r="F470" s="2"/>
      <c r="H470" s="1"/>
    </row>
    <row r="471" spans="1:8" x14ac:dyDescent="0.25">
      <c r="A471" s="2"/>
      <c r="B471" s="2"/>
      <c r="C471" s="2"/>
      <c r="D471" s="3"/>
      <c r="F471" s="2"/>
      <c r="H471" s="1"/>
    </row>
    <row r="472" spans="1:8" x14ac:dyDescent="0.25">
      <c r="A472" s="2"/>
      <c r="B472" s="2"/>
      <c r="C472" s="2"/>
      <c r="D472" s="3"/>
      <c r="F472" s="2"/>
      <c r="H472" s="1"/>
    </row>
    <row r="473" spans="1:8" x14ac:dyDescent="0.25">
      <c r="A473" s="2"/>
      <c r="B473" s="2"/>
      <c r="C473" s="2"/>
      <c r="D473" s="3"/>
      <c r="F473" s="2"/>
      <c r="H473" s="1"/>
    </row>
    <row r="474" spans="1:8" x14ac:dyDescent="0.25">
      <c r="A474" s="2"/>
      <c r="B474" s="2"/>
      <c r="C474" s="2"/>
      <c r="D474" s="3"/>
      <c r="F474" s="2"/>
      <c r="H474" s="1"/>
    </row>
    <row r="475" spans="1:8" x14ac:dyDescent="0.25">
      <c r="A475" s="2"/>
      <c r="B475" s="2"/>
      <c r="C475" s="2"/>
      <c r="D475" s="3"/>
      <c r="F475" s="2"/>
      <c r="H475" s="1"/>
    </row>
    <row r="476" spans="1:8" x14ac:dyDescent="0.25">
      <c r="A476" s="2"/>
      <c r="B476" s="2"/>
      <c r="C476" s="2"/>
      <c r="D476" s="3"/>
      <c r="F476" s="2"/>
      <c r="H476" s="1"/>
    </row>
    <row r="477" spans="1:8" x14ac:dyDescent="0.25">
      <c r="A477" s="2"/>
      <c r="B477" s="2"/>
      <c r="C477" s="2"/>
      <c r="D477" s="3"/>
      <c r="F477" s="2"/>
      <c r="H477" s="1"/>
    </row>
    <row r="478" spans="1:8" x14ac:dyDescent="0.25">
      <c r="A478" s="2"/>
      <c r="B478" s="2"/>
      <c r="C478" s="2"/>
      <c r="D478" s="3"/>
      <c r="F478" s="2"/>
      <c r="H478" s="1"/>
    </row>
    <row r="479" spans="1:8" x14ac:dyDescent="0.25">
      <c r="A479" s="2"/>
      <c r="B479" s="2"/>
      <c r="C479" s="2"/>
      <c r="D479" s="3"/>
      <c r="F479" s="2"/>
      <c r="H479" s="1"/>
    </row>
    <row r="480" spans="1:8" x14ac:dyDescent="0.25">
      <c r="A480" s="2"/>
      <c r="B480" s="2"/>
      <c r="C480" s="2"/>
      <c r="D480" s="3"/>
      <c r="F480" s="2"/>
      <c r="H480" s="1"/>
    </row>
    <row r="481" spans="1:8" x14ac:dyDescent="0.25">
      <c r="A481" s="2"/>
      <c r="B481" s="2"/>
      <c r="C481" s="2"/>
      <c r="D481" s="3"/>
      <c r="F481" s="2"/>
      <c r="H481" s="1"/>
    </row>
    <row r="482" spans="1:8" x14ac:dyDescent="0.25">
      <c r="A482" s="2"/>
      <c r="B482" s="2"/>
      <c r="C482" s="2"/>
      <c r="D482" s="3"/>
      <c r="F482" s="2"/>
      <c r="H482" s="1"/>
    </row>
    <row r="483" spans="1:8" x14ac:dyDescent="0.25">
      <c r="A483" s="2"/>
      <c r="B483" s="2"/>
      <c r="C483" s="2"/>
      <c r="D483" s="3"/>
      <c r="F483" s="2"/>
      <c r="H483" s="1"/>
    </row>
    <row r="484" spans="1:8" x14ac:dyDescent="0.25">
      <c r="A484" s="2"/>
      <c r="B484" s="2"/>
      <c r="C484" s="2"/>
      <c r="D484" s="3"/>
      <c r="F484" s="2"/>
      <c r="H484" s="1"/>
    </row>
    <row r="485" spans="1:8" x14ac:dyDescent="0.25">
      <c r="A485" s="2"/>
      <c r="B485" s="2"/>
      <c r="C485" s="2"/>
      <c r="D485" s="3"/>
      <c r="F485" s="2"/>
      <c r="H485" s="1"/>
    </row>
    <row r="486" spans="1:8" x14ac:dyDescent="0.25">
      <c r="A486" s="2"/>
      <c r="B486" s="2"/>
      <c r="C486" s="2"/>
      <c r="D486" s="3"/>
      <c r="F486" s="2"/>
      <c r="H486" s="1"/>
    </row>
    <row r="487" spans="1:8" x14ac:dyDescent="0.25">
      <c r="A487" s="2"/>
      <c r="B487" s="2"/>
      <c r="C487" s="2"/>
      <c r="D487" s="3"/>
      <c r="F487" s="2"/>
      <c r="H487" s="1"/>
    </row>
    <row r="488" spans="1:8" x14ac:dyDescent="0.25">
      <c r="A488" s="2"/>
      <c r="B488" s="2"/>
      <c r="C488" s="2"/>
      <c r="D488" s="3"/>
      <c r="F488" s="2"/>
      <c r="H488" s="1"/>
    </row>
    <row r="489" spans="1:8" x14ac:dyDescent="0.25">
      <c r="A489" s="2"/>
      <c r="B489" s="2"/>
      <c r="C489" s="2"/>
      <c r="D489" s="3"/>
      <c r="F489" s="2"/>
      <c r="H489" s="1"/>
    </row>
    <row r="490" spans="1:8" x14ac:dyDescent="0.25">
      <c r="A490" s="2"/>
      <c r="B490" s="2"/>
      <c r="C490" s="2"/>
      <c r="D490" s="3"/>
      <c r="F490" s="2"/>
      <c r="H490" s="1"/>
    </row>
    <row r="491" spans="1:8" x14ac:dyDescent="0.25">
      <c r="A491" s="2"/>
      <c r="B491" s="2"/>
      <c r="C491" s="2"/>
      <c r="D491" s="3"/>
      <c r="F491" s="2"/>
      <c r="H491" s="1"/>
    </row>
    <row r="492" spans="1:8" x14ac:dyDescent="0.25">
      <c r="A492" s="2"/>
      <c r="B492" s="2"/>
      <c r="C492" s="2"/>
      <c r="D492" s="3"/>
      <c r="F492" s="2"/>
      <c r="H492" s="1"/>
    </row>
    <row r="493" spans="1:8" x14ac:dyDescent="0.25">
      <c r="A493" s="2"/>
      <c r="B493" s="2"/>
      <c r="C493" s="2"/>
      <c r="D493" s="3"/>
      <c r="F493" s="2"/>
      <c r="H493" s="1"/>
    </row>
    <row r="494" spans="1:8" x14ac:dyDescent="0.25">
      <c r="A494" s="2"/>
      <c r="B494" s="2"/>
      <c r="C494" s="2"/>
      <c r="D494" s="3"/>
      <c r="F494" s="2"/>
      <c r="H494" s="1"/>
    </row>
    <row r="495" spans="1:8" x14ac:dyDescent="0.25">
      <c r="A495" s="2"/>
      <c r="B495" s="2"/>
      <c r="C495" s="2"/>
      <c r="D495" s="3"/>
      <c r="F495" s="2"/>
      <c r="H495" s="1"/>
    </row>
    <row r="496" spans="1:8" x14ac:dyDescent="0.25">
      <c r="A496" s="2"/>
      <c r="B496" s="2"/>
      <c r="C496" s="2"/>
      <c r="D496" s="3"/>
      <c r="F496" s="2"/>
      <c r="H496" s="1"/>
    </row>
    <row r="497" spans="1:8" x14ac:dyDescent="0.25">
      <c r="A497" s="2"/>
      <c r="B497" s="2"/>
      <c r="C497" s="2"/>
      <c r="D497" s="3"/>
      <c r="F497" s="2"/>
      <c r="H497" s="1"/>
    </row>
    <row r="498" spans="1:8" x14ac:dyDescent="0.25">
      <c r="A498" s="2"/>
      <c r="B498" s="2"/>
      <c r="C498" s="2"/>
      <c r="D498" s="3"/>
      <c r="F498" s="2"/>
      <c r="H498" s="1"/>
    </row>
    <row r="499" spans="1:8" x14ac:dyDescent="0.25">
      <c r="A499" s="2"/>
      <c r="B499" s="2"/>
      <c r="C499" s="2"/>
      <c r="D499" s="3"/>
      <c r="F499" s="2"/>
      <c r="H499" s="1"/>
    </row>
    <row r="500" spans="1:8" x14ac:dyDescent="0.25">
      <c r="A500" s="2"/>
      <c r="B500" s="2"/>
      <c r="C500" s="2"/>
      <c r="D500" s="3"/>
      <c r="F500" s="2"/>
      <c r="H500" s="1"/>
    </row>
    <row r="501" spans="1:8" x14ac:dyDescent="0.25">
      <c r="A501" s="2"/>
      <c r="B501" s="2"/>
      <c r="C501" s="2"/>
      <c r="D501" s="3"/>
      <c r="F501" s="2"/>
      <c r="H501" s="1"/>
    </row>
    <row r="502" spans="1:8" x14ac:dyDescent="0.25">
      <c r="A502" s="2"/>
      <c r="B502" s="2"/>
      <c r="C502" s="2"/>
      <c r="D502" s="3"/>
      <c r="F502" s="2"/>
      <c r="H502" s="1"/>
    </row>
    <row r="503" spans="1:8" x14ac:dyDescent="0.25">
      <c r="A503" s="2"/>
      <c r="B503" s="2"/>
      <c r="C503" s="2"/>
      <c r="D503" s="3"/>
      <c r="F503" s="2"/>
      <c r="H503" s="1"/>
    </row>
    <row r="504" spans="1:8" x14ac:dyDescent="0.25">
      <c r="A504" s="2"/>
      <c r="B504" s="2"/>
      <c r="C504" s="2"/>
      <c r="D504" s="3"/>
      <c r="F504" s="2"/>
      <c r="H504" s="1"/>
    </row>
    <row r="505" spans="1:8" x14ac:dyDescent="0.25">
      <c r="A505" s="2"/>
      <c r="B505" s="2"/>
      <c r="C505" s="2"/>
      <c r="D505" s="3"/>
      <c r="F505" s="2"/>
      <c r="H505" s="1"/>
    </row>
    <row r="506" spans="1:8" x14ac:dyDescent="0.25">
      <c r="A506" s="2"/>
      <c r="B506" s="2"/>
      <c r="C506" s="2"/>
      <c r="D506" s="3"/>
      <c r="F506" s="2"/>
      <c r="H506" s="1"/>
    </row>
    <row r="507" spans="1:8" x14ac:dyDescent="0.25">
      <c r="A507" s="2"/>
      <c r="B507" s="2"/>
      <c r="C507" s="2"/>
      <c r="D507" s="3"/>
      <c r="F507" s="2"/>
      <c r="H507" s="1"/>
    </row>
    <row r="508" spans="1:8" x14ac:dyDescent="0.25">
      <c r="A508" s="2"/>
      <c r="B508" s="2"/>
      <c r="C508" s="2"/>
      <c r="D508" s="3"/>
      <c r="F508" s="2"/>
      <c r="H508" s="1"/>
    </row>
    <row r="509" spans="1:8" x14ac:dyDescent="0.25">
      <c r="A509" s="2"/>
      <c r="B509" s="2"/>
      <c r="C509" s="2"/>
      <c r="D509" s="3"/>
      <c r="F509" s="2"/>
      <c r="H509" s="1"/>
    </row>
    <row r="510" spans="1:8" x14ac:dyDescent="0.25">
      <c r="A510" s="2"/>
      <c r="B510" s="2"/>
      <c r="C510" s="2"/>
      <c r="D510" s="3"/>
      <c r="F510" s="2"/>
      <c r="H510" s="1"/>
    </row>
    <row r="511" spans="1:8" x14ac:dyDescent="0.25">
      <c r="A511" s="2"/>
      <c r="B511" s="2"/>
      <c r="C511" s="2"/>
      <c r="D511" s="3"/>
      <c r="F511" s="2"/>
      <c r="H511" s="1"/>
    </row>
    <row r="512" spans="1:8" x14ac:dyDescent="0.25">
      <c r="A512" s="2"/>
      <c r="B512" s="2"/>
      <c r="C512" s="2"/>
      <c r="D512" s="3"/>
      <c r="F512" s="2"/>
      <c r="H512" s="1"/>
    </row>
    <row r="513" spans="1:8" x14ac:dyDescent="0.25">
      <c r="A513" s="2"/>
      <c r="B513" s="2"/>
      <c r="C513" s="2"/>
      <c r="D513" s="3"/>
      <c r="F513" s="2"/>
      <c r="H513" s="1"/>
    </row>
    <row r="514" spans="1:8" x14ac:dyDescent="0.25">
      <c r="A514" s="2"/>
      <c r="B514" s="2"/>
      <c r="C514" s="2"/>
      <c r="D514" s="3"/>
      <c r="F514" s="2"/>
      <c r="H514" s="1"/>
    </row>
    <row r="515" spans="1:8" x14ac:dyDescent="0.25">
      <c r="A515" s="2"/>
      <c r="B515" s="2"/>
      <c r="C515" s="2"/>
      <c r="D515" s="3"/>
      <c r="F515" s="2"/>
      <c r="H515" s="1"/>
    </row>
    <row r="516" spans="1:8" x14ac:dyDescent="0.25">
      <c r="A516" s="2"/>
      <c r="B516" s="2"/>
      <c r="C516" s="2"/>
      <c r="D516" s="3"/>
      <c r="F516" s="2"/>
      <c r="H516" s="1"/>
    </row>
    <row r="517" spans="1:8" x14ac:dyDescent="0.25">
      <c r="A517" s="2"/>
      <c r="B517" s="2"/>
      <c r="C517" s="2"/>
      <c r="D517" s="3"/>
      <c r="F517" s="2"/>
      <c r="H517" s="1"/>
    </row>
    <row r="518" spans="1:8" x14ac:dyDescent="0.25">
      <c r="A518" s="2"/>
      <c r="B518" s="2"/>
      <c r="C518" s="2"/>
      <c r="D518" s="3"/>
      <c r="F518" s="2"/>
      <c r="H518" s="1"/>
    </row>
    <row r="519" spans="1:8" x14ac:dyDescent="0.25">
      <c r="A519" s="2"/>
      <c r="B519" s="2"/>
      <c r="C519" s="2"/>
      <c r="D519" s="3"/>
      <c r="F519" s="2"/>
      <c r="H519" s="1"/>
    </row>
    <row r="520" spans="1:8" x14ac:dyDescent="0.25">
      <c r="A520" s="2"/>
      <c r="B520" s="2"/>
      <c r="C520" s="2"/>
      <c r="D520" s="3"/>
      <c r="F520" s="2"/>
      <c r="H520" s="1"/>
    </row>
    <row r="521" spans="1:8" x14ac:dyDescent="0.25">
      <c r="A521" s="2"/>
      <c r="B521" s="2"/>
      <c r="C521" s="2"/>
      <c r="D521" s="3"/>
      <c r="F521" s="2"/>
      <c r="H521" s="1"/>
    </row>
    <row r="522" spans="1:8" x14ac:dyDescent="0.25">
      <c r="A522" s="2"/>
      <c r="B522" s="2"/>
      <c r="C522" s="2"/>
      <c r="D522" s="3"/>
      <c r="F522" s="2"/>
      <c r="H522" s="1"/>
    </row>
    <row r="523" spans="1:8" x14ac:dyDescent="0.25">
      <c r="A523" s="2"/>
      <c r="B523" s="2"/>
      <c r="C523" s="2"/>
      <c r="D523" s="3"/>
      <c r="F523" s="2"/>
      <c r="H523" s="1"/>
    </row>
    <row r="524" spans="1:8" x14ac:dyDescent="0.25">
      <c r="A524" s="2"/>
      <c r="B524" s="2"/>
      <c r="C524" s="2"/>
      <c r="D524" s="3"/>
      <c r="F524" s="2"/>
      <c r="H524" s="1"/>
    </row>
    <row r="525" spans="1:8" x14ac:dyDescent="0.25">
      <c r="A525" s="2"/>
      <c r="B525" s="2"/>
      <c r="C525" s="2"/>
      <c r="D525" s="3"/>
      <c r="F525" s="2"/>
      <c r="H525" s="1"/>
    </row>
    <row r="526" spans="1:8" x14ac:dyDescent="0.25">
      <c r="A526" s="2"/>
      <c r="B526" s="2"/>
      <c r="C526" s="2"/>
      <c r="D526" s="3"/>
      <c r="F526" s="2"/>
      <c r="H526" s="1"/>
    </row>
    <row r="527" spans="1:8" x14ac:dyDescent="0.25">
      <c r="A527" s="2"/>
      <c r="B527" s="2"/>
      <c r="C527" s="2"/>
      <c r="D527" s="3"/>
      <c r="F527" s="2"/>
      <c r="H527" s="1"/>
    </row>
    <row r="528" spans="1:8" x14ac:dyDescent="0.25">
      <c r="A528" s="2"/>
      <c r="B528" s="2"/>
      <c r="C528" s="2"/>
      <c r="D528" s="3"/>
      <c r="F528" s="2"/>
      <c r="H528" s="1"/>
    </row>
    <row r="529" spans="1:8" x14ac:dyDescent="0.25">
      <c r="A529" s="2"/>
      <c r="B529" s="2"/>
      <c r="C529" s="2"/>
      <c r="D529" s="3"/>
      <c r="F529" s="2"/>
      <c r="H529" s="1"/>
    </row>
    <row r="530" spans="1:8" x14ac:dyDescent="0.25">
      <c r="A530" s="2"/>
      <c r="B530" s="2"/>
      <c r="C530" s="2"/>
      <c r="D530" s="3"/>
      <c r="F530" s="2"/>
      <c r="H530" s="1"/>
    </row>
    <row r="531" spans="1:8" x14ac:dyDescent="0.25">
      <c r="A531" s="2"/>
      <c r="B531" s="2"/>
      <c r="C531" s="2"/>
      <c r="D531" s="3"/>
      <c r="F531" s="2"/>
      <c r="H531" s="1"/>
    </row>
    <row r="532" spans="1:8" x14ac:dyDescent="0.25">
      <c r="A532" s="2"/>
      <c r="B532" s="2"/>
      <c r="C532" s="2"/>
      <c r="D532" s="3"/>
      <c r="F532" s="2"/>
      <c r="H532" s="1"/>
    </row>
    <row r="533" spans="1:8" x14ac:dyDescent="0.25">
      <c r="A533" s="2"/>
      <c r="B533" s="2"/>
      <c r="C533" s="2"/>
      <c r="D533" s="3"/>
      <c r="F533" s="2"/>
      <c r="H533" s="1"/>
    </row>
    <row r="534" spans="1:8" x14ac:dyDescent="0.25">
      <c r="A534" s="2"/>
      <c r="B534" s="2"/>
      <c r="C534" s="2"/>
      <c r="D534" s="3"/>
      <c r="F534" s="2"/>
      <c r="H534" s="1"/>
    </row>
    <row r="535" spans="1:8" x14ac:dyDescent="0.25">
      <c r="A535" s="2"/>
      <c r="B535" s="2"/>
      <c r="C535" s="2"/>
      <c r="D535" s="3"/>
      <c r="F535" s="2"/>
      <c r="H535" s="1"/>
    </row>
    <row r="536" spans="1:8" x14ac:dyDescent="0.25">
      <c r="A536" s="2"/>
      <c r="B536" s="2"/>
      <c r="C536" s="2"/>
      <c r="D536" s="3"/>
      <c r="F536" s="2"/>
      <c r="H536" s="1"/>
    </row>
    <row r="537" spans="1:8" x14ac:dyDescent="0.25">
      <c r="A537" s="2"/>
      <c r="B537" s="2"/>
      <c r="C537" s="2"/>
      <c r="D537" s="3"/>
      <c r="F537" s="2"/>
      <c r="H537" s="1"/>
    </row>
    <row r="538" spans="1:8" x14ac:dyDescent="0.25">
      <c r="A538" s="2"/>
      <c r="B538" s="2"/>
      <c r="C538" s="2"/>
      <c r="D538" s="3"/>
      <c r="F538" s="2"/>
      <c r="H538" s="1"/>
    </row>
    <row r="539" spans="1:8" x14ac:dyDescent="0.25">
      <c r="A539" s="2"/>
      <c r="B539" s="2"/>
      <c r="C539" s="2"/>
      <c r="D539" s="3"/>
      <c r="F539" s="2"/>
      <c r="H539" s="1"/>
    </row>
    <row r="540" spans="1:8" x14ac:dyDescent="0.25">
      <c r="A540" s="2"/>
      <c r="B540" s="2"/>
      <c r="C540" s="2"/>
      <c r="D540" s="3"/>
      <c r="F540" s="2"/>
      <c r="H540" s="1"/>
    </row>
    <row r="541" spans="1:8" x14ac:dyDescent="0.25">
      <c r="A541" s="2"/>
      <c r="B541" s="2"/>
      <c r="C541" s="2"/>
      <c r="D541" s="3"/>
      <c r="F541" s="2"/>
      <c r="H541" s="1"/>
    </row>
    <row r="542" spans="1:8" x14ac:dyDescent="0.25">
      <c r="A542" s="2"/>
      <c r="B542" s="2"/>
      <c r="C542" s="2"/>
      <c r="D542" s="3"/>
      <c r="F542" s="2"/>
      <c r="H542" s="1"/>
    </row>
    <row r="543" spans="1:8" x14ac:dyDescent="0.25">
      <c r="A543" s="2"/>
      <c r="B543" s="2"/>
      <c r="C543" s="2"/>
      <c r="D543" s="3"/>
      <c r="F543" s="2"/>
      <c r="H543" s="1"/>
    </row>
    <row r="544" spans="1:8" x14ac:dyDescent="0.25">
      <c r="A544" s="2"/>
      <c r="B544" s="2"/>
      <c r="C544" s="2"/>
      <c r="D544" s="3"/>
      <c r="F544" s="2"/>
      <c r="H544" s="1"/>
    </row>
    <row r="545" spans="1:8" x14ac:dyDescent="0.25">
      <c r="A545" s="2"/>
      <c r="B545" s="2"/>
      <c r="C545" s="2"/>
      <c r="D545" s="3"/>
      <c r="F545" s="2"/>
      <c r="H545" s="1"/>
    </row>
    <row r="546" spans="1:8" x14ac:dyDescent="0.25">
      <c r="A546" s="2"/>
      <c r="B546" s="2"/>
      <c r="C546" s="2"/>
      <c r="D546" s="3"/>
      <c r="F546" s="2"/>
      <c r="H546" s="1"/>
    </row>
    <row r="547" spans="1:8" x14ac:dyDescent="0.25">
      <c r="A547" s="2"/>
      <c r="B547" s="2"/>
      <c r="C547" s="2"/>
      <c r="D547" s="3"/>
      <c r="F547" s="2"/>
      <c r="H547" s="1"/>
    </row>
    <row r="548" spans="1:8" x14ac:dyDescent="0.25">
      <c r="A548" s="2"/>
      <c r="B548" s="2"/>
      <c r="C548" s="2"/>
      <c r="D548" s="3"/>
      <c r="F548" s="2"/>
      <c r="H548" s="1"/>
    </row>
    <row r="549" spans="1:8" x14ac:dyDescent="0.25">
      <c r="A549" s="2"/>
      <c r="B549" s="2"/>
      <c r="C549" s="2"/>
      <c r="D549" s="3"/>
      <c r="F549" s="2"/>
      <c r="H549" s="1"/>
    </row>
    <row r="550" spans="1:8" x14ac:dyDescent="0.25">
      <c r="A550" s="2"/>
      <c r="B550" s="2"/>
      <c r="C550" s="2"/>
      <c r="D550" s="3"/>
      <c r="F550" s="2"/>
      <c r="H550" s="1"/>
    </row>
  </sheetData>
  <phoneticPr fontId="1"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showInputMessage="1" showErrorMessage="1" xr:uid="{4318044F-257E-4046-A292-ACFE7E40DCB4}">
          <x14:formula1>
            <xm:f>'99_Lookups'!$Q$2:$Q$5</xm:f>
          </x14:formula1>
          <xm:sqref>D2:D99 D107:D210</xm:sqref>
        </x14:dataValidation>
        <x14:dataValidation type="list" showErrorMessage="1" xr:uid="{38C9CCAC-A8FD-4817-A813-A1EBF4030D40}">
          <x14:formula1>
            <xm:f>'99_Lookups'!$K$2:$K$4</xm:f>
          </x14:formula1>
          <xm:sqref>H2:H550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67104-0AEF-4CFC-97AE-E6D64B036E78}">
  <sheetPr>
    <tabColor theme="6"/>
  </sheetPr>
  <dimension ref="A1:J300"/>
  <sheetViews>
    <sheetView tabSelected="1" topLeftCell="A257" workbookViewId="0">
      <selection activeCell="M280" sqref="M280"/>
    </sheetView>
  </sheetViews>
  <sheetFormatPr baseColWidth="10" defaultRowHeight="15" x14ac:dyDescent="0.25"/>
  <cols>
    <col min="3" max="3" width="13.85546875" customWidth="1"/>
    <col min="5" max="5" width="30.5703125" hidden="1" customWidth="1"/>
    <col min="6" max="6" width="23.28515625" customWidth="1"/>
    <col min="7" max="7" width="21.42578125" customWidth="1"/>
    <col min="9" max="9" width="25.140625" customWidth="1"/>
    <col min="10" max="10" width="19.140625" customWidth="1"/>
  </cols>
  <sheetData>
    <row r="1" spans="1:10" ht="15.75" thickBot="1" x14ac:dyDescent="0.3">
      <c r="A1" t="s">
        <v>283</v>
      </c>
      <c r="B1" t="s">
        <v>284</v>
      </c>
      <c r="C1" t="s">
        <v>0</v>
      </c>
      <c r="D1" t="s">
        <v>8</v>
      </c>
      <c r="E1" t="s">
        <v>285</v>
      </c>
      <c r="F1" t="s">
        <v>286</v>
      </c>
      <c r="G1" t="s">
        <v>287</v>
      </c>
      <c r="H1" t="s">
        <v>288</v>
      </c>
      <c r="I1" t="s">
        <v>289</v>
      </c>
      <c r="J1" t="s">
        <v>290</v>
      </c>
    </row>
    <row r="2" spans="1:10" x14ac:dyDescent="0.25">
      <c r="A2" s="40" t="s">
        <v>1416</v>
      </c>
      <c r="B2" s="41" t="s">
        <v>1421</v>
      </c>
      <c r="C2" s="41">
        <v>3</v>
      </c>
      <c r="D2" s="41">
        <v>16</v>
      </c>
      <c r="E2" s="41"/>
      <c r="F2" s="41" t="s">
        <v>1423</v>
      </c>
      <c r="G2" s="41" t="s">
        <v>1425</v>
      </c>
      <c r="H2" s="41" t="s">
        <v>1434</v>
      </c>
      <c r="I2" s="41" t="s">
        <v>1431</v>
      </c>
      <c r="J2" s="42" t="s">
        <v>1433</v>
      </c>
    </row>
    <row r="3" spans="1:10" x14ac:dyDescent="0.25">
      <c r="A3" s="43" t="s">
        <v>1417</v>
      </c>
      <c r="B3" s="39" t="s">
        <v>1421</v>
      </c>
      <c r="C3" s="39">
        <v>3</v>
      </c>
      <c r="D3" s="39">
        <v>16</v>
      </c>
      <c r="E3" s="39"/>
      <c r="F3" s="39" t="s">
        <v>112</v>
      </c>
      <c r="G3" s="39" t="s">
        <v>1426</v>
      </c>
      <c r="H3" s="39" t="s">
        <v>1435</v>
      </c>
      <c r="I3" s="39" t="s">
        <v>1432</v>
      </c>
      <c r="J3" s="44" t="s">
        <v>1433</v>
      </c>
    </row>
    <row r="4" spans="1:10" x14ac:dyDescent="0.25">
      <c r="A4" s="43" t="s">
        <v>1418</v>
      </c>
      <c r="B4" s="39" t="s">
        <v>1421</v>
      </c>
      <c r="C4" s="39">
        <v>3</v>
      </c>
      <c r="D4" s="39">
        <v>16</v>
      </c>
      <c r="E4" s="39"/>
      <c r="F4" s="39" t="s">
        <v>192</v>
      </c>
      <c r="G4" s="39" t="s">
        <v>1427</v>
      </c>
      <c r="H4" s="39" t="s">
        <v>1436</v>
      </c>
      <c r="I4" s="39" t="s">
        <v>1432</v>
      </c>
      <c r="J4" s="44" t="s">
        <v>1433</v>
      </c>
    </row>
    <row r="5" spans="1:10" x14ac:dyDescent="0.25">
      <c r="A5" s="43" t="s">
        <v>1419</v>
      </c>
      <c r="B5" s="39" t="s">
        <v>1421</v>
      </c>
      <c r="C5" s="39">
        <v>3</v>
      </c>
      <c r="D5" s="39">
        <v>16</v>
      </c>
      <c r="E5" s="39"/>
      <c r="F5" s="39" t="s">
        <v>221</v>
      </c>
      <c r="G5" s="39" t="s">
        <v>1428</v>
      </c>
      <c r="H5" s="39" t="s">
        <v>1437</v>
      </c>
      <c r="I5" s="39" t="s">
        <v>1431</v>
      </c>
      <c r="J5" s="44" t="s">
        <v>1433</v>
      </c>
    </row>
    <row r="6" spans="1:10" x14ac:dyDescent="0.25">
      <c r="A6" s="43" t="s">
        <v>1420</v>
      </c>
      <c r="B6" s="39" t="s">
        <v>1421</v>
      </c>
      <c r="C6" s="39">
        <v>3</v>
      </c>
      <c r="D6" s="39">
        <v>16</v>
      </c>
      <c r="E6" s="39"/>
      <c r="F6" s="39" t="s">
        <v>154</v>
      </c>
      <c r="G6" s="39" t="s">
        <v>1429</v>
      </c>
      <c r="H6" s="39" t="s">
        <v>1438</v>
      </c>
      <c r="I6" s="39" t="s">
        <v>1432</v>
      </c>
      <c r="J6" s="44" t="s">
        <v>1433</v>
      </c>
    </row>
    <row r="7" spans="1:10" ht="15.75" thickBot="1" x14ac:dyDescent="0.3">
      <c r="A7" s="45" t="s">
        <v>1422</v>
      </c>
      <c r="B7" s="46" t="s">
        <v>1421</v>
      </c>
      <c r="C7" s="46">
        <v>3</v>
      </c>
      <c r="D7" s="46">
        <v>16</v>
      </c>
      <c r="E7" s="46"/>
      <c r="F7" s="46" t="s">
        <v>1424</v>
      </c>
      <c r="G7" s="46" t="s">
        <v>1430</v>
      </c>
      <c r="H7" s="46" t="s">
        <v>1439</v>
      </c>
      <c r="I7" s="46" t="s">
        <v>1432</v>
      </c>
      <c r="J7" s="47" t="s">
        <v>1433</v>
      </c>
    </row>
    <row r="8" spans="1:10" x14ac:dyDescent="0.25">
      <c r="A8" s="40" t="s">
        <v>1501</v>
      </c>
      <c r="B8" s="41" t="s">
        <v>1421</v>
      </c>
      <c r="C8" s="41">
        <v>4</v>
      </c>
      <c r="D8" s="41">
        <v>22</v>
      </c>
      <c r="E8" s="41"/>
      <c r="F8" s="41" t="s">
        <v>1507</v>
      </c>
      <c r="G8" s="41" t="s">
        <v>1508</v>
      </c>
      <c r="H8" s="41" t="s">
        <v>1509</v>
      </c>
      <c r="I8" s="41" t="s">
        <v>1432</v>
      </c>
      <c r="J8" s="42" t="s">
        <v>1433</v>
      </c>
    </row>
    <row r="9" spans="1:10" x14ac:dyDescent="0.25">
      <c r="A9" s="43" t="s">
        <v>1502</v>
      </c>
      <c r="B9" s="39" t="s">
        <v>1421</v>
      </c>
      <c r="C9" s="39">
        <v>4</v>
      </c>
      <c r="D9" s="39">
        <v>22</v>
      </c>
      <c r="E9" s="39"/>
      <c r="F9" s="39" t="s">
        <v>1510</v>
      </c>
      <c r="G9" s="39" t="s">
        <v>1511</v>
      </c>
      <c r="H9" s="39" t="s">
        <v>1512</v>
      </c>
      <c r="I9" s="39" t="s">
        <v>1432</v>
      </c>
      <c r="J9" s="44" t="s">
        <v>1433</v>
      </c>
    </row>
    <row r="10" spans="1:10" x14ac:dyDescent="0.25">
      <c r="A10" s="43" t="s">
        <v>1503</v>
      </c>
      <c r="B10" s="39" t="s">
        <v>1421</v>
      </c>
      <c r="C10" s="39">
        <v>4</v>
      </c>
      <c r="D10" s="39">
        <v>22</v>
      </c>
      <c r="E10" s="39"/>
      <c r="F10" s="39" t="s">
        <v>1513</v>
      </c>
      <c r="G10" s="39" t="s">
        <v>1514</v>
      </c>
      <c r="H10" s="39" t="s">
        <v>1515</v>
      </c>
      <c r="I10" s="39" t="s">
        <v>1432</v>
      </c>
      <c r="J10" s="44" t="s">
        <v>1433</v>
      </c>
    </row>
    <row r="11" spans="1:10" x14ac:dyDescent="0.25">
      <c r="A11" s="43" t="s">
        <v>1504</v>
      </c>
      <c r="B11" s="39" t="s">
        <v>1421</v>
      </c>
      <c r="C11" s="39">
        <v>4</v>
      </c>
      <c r="D11" s="39">
        <v>22</v>
      </c>
      <c r="E11" s="39"/>
      <c r="F11" s="39" t="s">
        <v>161</v>
      </c>
      <c r="G11" s="39" t="s">
        <v>1516</v>
      </c>
      <c r="H11" s="39" t="s">
        <v>1517</v>
      </c>
      <c r="I11" s="39" t="s">
        <v>1432</v>
      </c>
      <c r="J11" s="44" t="s">
        <v>1433</v>
      </c>
    </row>
    <row r="12" spans="1:10" x14ac:dyDescent="0.25">
      <c r="A12" s="43" t="s">
        <v>1505</v>
      </c>
      <c r="B12" s="39" t="s">
        <v>1421</v>
      </c>
      <c r="C12" s="39">
        <v>4</v>
      </c>
      <c r="D12" s="39">
        <v>22</v>
      </c>
      <c r="E12" s="39"/>
      <c r="F12" s="39" t="s">
        <v>106</v>
      </c>
      <c r="G12" s="39" t="s">
        <v>1518</v>
      </c>
      <c r="H12" s="39" t="s">
        <v>1519</v>
      </c>
      <c r="I12" s="39" t="s">
        <v>1432</v>
      </c>
      <c r="J12" s="44" t="s">
        <v>1433</v>
      </c>
    </row>
    <row r="13" spans="1:10" ht="15.75" thickBot="1" x14ac:dyDescent="0.3">
      <c r="A13" s="45" t="s">
        <v>1506</v>
      </c>
      <c r="B13" s="46" t="s">
        <v>1421</v>
      </c>
      <c r="C13" s="46">
        <v>4</v>
      </c>
      <c r="D13" s="46">
        <v>22</v>
      </c>
      <c r="E13" s="46"/>
      <c r="F13" s="46" t="s">
        <v>174</v>
      </c>
      <c r="G13" s="46" t="s">
        <v>1520</v>
      </c>
      <c r="H13" s="46" t="s">
        <v>1521</v>
      </c>
      <c r="I13" s="46" t="s">
        <v>1431</v>
      </c>
      <c r="J13" s="47" t="s">
        <v>1433</v>
      </c>
    </row>
    <row r="14" spans="1:10" x14ac:dyDescent="0.25">
      <c r="A14" s="40" t="s">
        <v>1574</v>
      </c>
      <c r="B14" s="41" t="s">
        <v>1421</v>
      </c>
      <c r="C14" s="41">
        <v>5</v>
      </c>
      <c r="D14" s="41">
        <v>27</v>
      </c>
      <c r="E14" s="41"/>
      <c r="F14" s="41" t="s">
        <v>198</v>
      </c>
      <c r="G14" s="41" t="s">
        <v>1561</v>
      </c>
      <c r="H14" s="41" t="s">
        <v>1562</v>
      </c>
      <c r="I14" s="41" t="s">
        <v>1432</v>
      </c>
      <c r="J14" s="42" t="s">
        <v>1433</v>
      </c>
    </row>
    <row r="15" spans="1:10" x14ac:dyDescent="0.25">
      <c r="A15" s="43" t="s">
        <v>1575</v>
      </c>
      <c r="B15" s="39" t="s">
        <v>1421</v>
      </c>
      <c r="C15" s="39">
        <v>5</v>
      </c>
      <c r="D15" s="39">
        <v>27</v>
      </c>
      <c r="E15" s="39"/>
      <c r="F15" s="39" t="s">
        <v>204</v>
      </c>
      <c r="G15" s="39" t="s">
        <v>1563</v>
      </c>
      <c r="H15" s="39" t="s">
        <v>1564</v>
      </c>
      <c r="I15" s="39" t="s">
        <v>1432</v>
      </c>
      <c r="J15" s="44" t="s">
        <v>1433</v>
      </c>
    </row>
    <row r="16" spans="1:10" x14ac:dyDescent="0.25">
      <c r="A16" s="43" t="s">
        <v>1576</v>
      </c>
      <c r="B16" s="39" t="s">
        <v>1421</v>
      </c>
      <c r="C16" s="39">
        <v>5</v>
      </c>
      <c r="D16" s="39">
        <v>27</v>
      </c>
      <c r="E16" s="39"/>
      <c r="F16" s="39" t="s">
        <v>186</v>
      </c>
      <c r="G16" s="39" t="s">
        <v>1565</v>
      </c>
      <c r="H16" s="39" t="s">
        <v>1566</v>
      </c>
      <c r="I16" s="39" t="s">
        <v>1432</v>
      </c>
      <c r="J16" s="44" t="s">
        <v>1433</v>
      </c>
    </row>
    <row r="17" spans="1:10" x14ac:dyDescent="0.25">
      <c r="A17" s="43" t="s">
        <v>1577</v>
      </c>
      <c r="B17" s="39" t="s">
        <v>1421</v>
      </c>
      <c r="C17" s="39">
        <v>5</v>
      </c>
      <c r="D17" s="39">
        <v>27</v>
      </c>
      <c r="E17" s="39"/>
      <c r="F17" s="39" t="s">
        <v>1567</v>
      </c>
      <c r="G17" s="39" t="s">
        <v>1568</v>
      </c>
      <c r="H17" s="39" t="s">
        <v>1569</v>
      </c>
      <c r="I17" s="39" t="s">
        <v>1432</v>
      </c>
      <c r="J17" s="44" t="s">
        <v>1433</v>
      </c>
    </row>
    <row r="18" spans="1:10" x14ac:dyDescent="0.25">
      <c r="A18" s="43" t="s">
        <v>1578</v>
      </c>
      <c r="B18" s="39" t="s">
        <v>1421</v>
      </c>
      <c r="C18" s="39">
        <v>5</v>
      </c>
      <c r="D18" s="39">
        <v>27</v>
      </c>
      <c r="E18" s="39"/>
      <c r="F18" s="39" t="s">
        <v>112</v>
      </c>
      <c r="G18" s="39" t="s">
        <v>1570</v>
      </c>
      <c r="H18" s="39" t="s">
        <v>1571</v>
      </c>
      <c r="I18" s="39" t="s">
        <v>1432</v>
      </c>
      <c r="J18" s="44" t="s">
        <v>1433</v>
      </c>
    </row>
    <row r="19" spans="1:10" ht="15.75" thickBot="1" x14ac:dyDescent="0.3">
      <c r="A19" s="45" t="s">
        <v>1579</v>
      </c>
      <c r="B19" s="46" t="s">
        <v>1421</v>
      </c>
      <c r="C19" s="46">
        <v>5</v>
      </c>
      <c r="D19" s="46">
        <v>27</v>
      </c>
      <c r="E19" s="46"/>
      <c r="F19" s="46" t="s">
        <v>1510</v>
      </c>
      <c r="G19" s="46" t="s">
        <v>1572</v>
      </c>
      <c r="H19" s="46" t="s">
        <v>1573</v>
      </c>
      <c r="I19" s="46" t="s">
        <v>1431</v>
      </c>
      <c r="J19" s="47" t="s">
        <v>1433</v>
      </c>
    </row>
    <row r="20" spans="1:10" x14ac:dyDescent="0.25">
      <c r="A20" s="40" t="s">
        <v>1613</v>
      </c>
      <c r="B20" s="41" t="s">
        <v>1421</v>
      </c>
      <c r="C20" s="41">
        <v>6</v>
      </c>
      <c r="D20" s="41">
        <v>32</v>
      </c>
      <c r="E20" s="41"/>
      <c r="F20" s="41" t="s">
        <v>90</v>
      </c>
      <c r="G20" s="41" t="s">
        <v>1600</v>
      </c>
      <c r="H20" s="41" t="s">
        <v>1601</v>
      </c>
      <c r="I20" s="41" t="s">
        <v>1432</v>
      </c>
      <c r="J20" s="42" t="s">
        <v>1433</v>
      </c>
    </row>
    <row r="21" spans="1:10" x14ac:dyDescent="0.25">
      <c r="A21" s="43" t="s">
        <v>1614</v>
      </c>
      <c r="B21" s="39" t="s">
        <v>1421</v>
      </c>
      <c r="C21" s="39">
        <v>6</v>
      </c>
      <c r="D21" s="39">
        <v>32</v>
      </c>
      <c r="E21" s="39"/>
      <c r="F21" s="39" t="s">
        <v>83</v>
      </c>
      <c r="G21" s="39" t="s">
        <v>1602</v>
      </c>
      <c r="H21" s="39" t="s">
        <v>1603</v>
      </c>
      <c r="I21" s="39" t="s">
        <v>1432</v>
      </c>
      <c r="J21" s="44" t="s">
        <v>1433</v>
      </c>
    </row>
    <row r="22" spans="1:10" x14ac:dyDescent="0.25">
      <c r="A22" s="43" t="s">
        <v>1615</v>
      </c>
      <c r="B22" s="39" t="s">
        <v>1421</v>
      </c>
      <c r="C22" s="39">
        <v>6</v>
      </c>
      <c r="D22" s="39">
        <v>32</v>
      </c>
      <c r="E22" s="39"/>
      <c r="F22" s="39" t="s">
        <v>186</v>
      </c>
      <c r="G22" s="39" t="s">
        <v>1604</v>
      </c>
      <c r="H22" s="39" t="s">
        <v>1605</v>
      </c>
      <c r="I22" s="39" t="s">
        <v>1432</v>
      </c>
      <c r="J22" s="44" t="s">
        <v>1433</v>
      </c>
    </row>
    <row r="23" spans="1:10" x14ac:dyDescent="0.25">
      <c r="A23" s="43" t="s">
        <v>1616</v>
      </c>
      <c r="B23" s="39" t="s">
        <v>1421</v>
      </c>
      <c r="C23" s="39">
        <v>6</v>
      </c>
      <c r="D23" s="39">
        <v>32</v>
      </c>
      <c r="E23" s="39"/>
      <c r="F23" s="39" t="s">
        <v>204</v>
      </c>
      <c r="G23" s="39" t="s">
        <v>1606</v>
      </c>
      <c r="H23" s="39" t="s">
        <v>1607</v>
      </c>
      <c r="I23" s="39" t="s">
        <v>1432</v>
      </c>
      <c r="J23" s="44" t="s">
        <v>1433</v>
      </c>
    </row>
    <row r="24" spans="1:10" x14ac:dyDescent="0.25">
      <c r="A24" s="43" t="s">
        <v>1617</v>
      </c>
      <c r="B24" s="39" t="s">
        <v>1421</v>
      </c>
      <c r="C24" s="39">
        <v>6</v>
      </c>
      <c r="D24" s="39">
        <v>32</v>
      </c>
      <c r="E24" s="39"/>
      <c r="F24" s="39" t="s">
        <v>215</v>
      </c>
      <c r="G24" s="39" t="s">
        <v>1608</v>
      </c>
      <c r="H24" s="39" t="s">
        <v>1609</v>
      </c>
      <c r="I24" s="39" t="s">
        <v>1432</v>
      </c>
      <c r="J24" s="44" t="s">
        <v>1433</v>
      </c>
    </row>
    <row r="25" spans="1:10" ht="15.75" thickBot="1" x14ac:dyDescent="0.3">
      <c r="A25" s="45" t="s">
        <v>1618</v>
      </c>
      <c r="B25" s="46" t="s">
        <v>1421</v>
      </c>
      <c r="C25" s="46">
        <v>6</v>
      </c>
      <c r="D25" s="46">
        <v>32</v>
      </c>
      <c r="E25" s="46"/>
      <c r="F25" s="46" t="s">
        <v>1610</v>
      </c>
      <c r="G25" s="46" t="s">
        <v>1611</v>
      </c>
      <c r="H25" s="46" t="s">
        <v>1612</v>
      </c>
      <c r="I25" s="46" t="s">
        <v>1432</v>
      </c>
      <c r="J25" s="47" t="s">
        <v>1433</v>
      </c>
    </row>
    <row r="26" spans="1:10" x14ac:dyDescent="0.25">
      <c r="A26" s="40" t="s">
        <v>1698</v>
      </c>
      <c r="B26" s="41" t="s">
        <v>1421</v>
      </c>
      <c r="C26" s="41">
        <v>7</v>
      </c>
      <c r="D26" s="41">
        <v>37</v>
      </c>
      <c r="E26" s="41"/>
      <c r="F26" s="41" t="s">
        <v>1685</v>
      </c>
      <c r="G26" s="41" t="s">
        <v>1686</v>
      </c>
      <c r="H26" s="41" t="s">
        <v>1687</v>
      </c>
      <c r="I26" s="41" t="s">
        <v>1432</v>
      </c>
      <c r="J26" s="42" t="s">
        <v>1433</v>
      </c>
    </row>
    <row r="27" spans="1:10" x14ac:dyDescent="0.25">
      <c r="A27" s="43" t="s">
        <v>1699</v>
      </c>
      <c r="B27" s="39" t="s">
        <v>1421</v>
      </c>
      <c r="C27" s="39">
        <v>7</v>
      </c>
      <c r="D27" s="39">
        <v>37</v>
      </c>
      <c r="E27" s="39"/>
      <c r="F27" s="39" t="s">
        <v>147</v>
      </c>
      <c r="G27" s="39" t="s">
        <v>1688</v>
      </c>
      <c r="H27" s="39" t="s">
        <v>1689</v>
      </c>
      <c r="I27" s="39" t="s">
        <v>1432</v>
      </c>
      <c r="J27" s="44" t="s">
        <v>1433</v>
      </c>
    </row>
    <row r="28" spans="1:10" x14ac:dyDescent="0.25">
      <c r="A28" s="43" t="s">
        <v>1700</v>
      </c>
      <c r="B28" s="39" t="s">
        <v>1421</v>
      </c>
      <c r="C28" s="39">
        <v>7</v>
      </c>
      <c r="D28" s="39">
        <v>37</v>
      </c>
      <c r="E28" s="39"/>
      <c r="F28" s="39" t="s">
        <v>69</v>
      </c>
      <c r="G28" s="39" t="s">
        <v>1690</v>
      </c>
      <c r="H28" s="39" t="s">
        <v>1691</v>
      </c>
      <c r="I28" s="39" t="s">
        <v>1432</v>
      </c>
      <c r="J28" s="44" t="s">
        <v>1433</v>
      </c>
    </row>
    <row r="29" spans="1:10" x14ac:dyDescent="0.25">
      <c r="A29" s="43" t="s">
        <v>1701</v>
      </c>
      <c r="B29" s="39" t="s">
        <v>1421</v>
      </c>
      <c r="C29" s="39">
        <v>7</v>
      </c>
      <c r="D29" s="39">
        <v>37</v>
      </c>
      <c r="E29" s="39"/>
      <c r="F29" s="39" t="s">
        <v>198</v>
      </c>
      <c r="G29" s="39" t="s">
        <v>1692</v>
      </c>
      <c r="H29" s="39" t="s">
        <v>1693</v>
      </c>
      <c r="I29" s="39" t="s">
        <v>1432</v>
      </c>
      <c r="J29" s="44" t="s">
        <v>1433</v>
      </c>
    </row>
    <row r="30" spans="1:10" x14ac:dyDescent="0.25">
      <c r="A30" s="43" t="s">
        <v>1702</v>
      </c>
      <c r="B30" s="39" t="s">
        <v>1421</v>
      </c>
      <c r="C30" s="39">
        <v>7</v>
      </c>
      <c r="D30" s="39">
        <v>37</v>
      </c>
      <c r="E30" s="39"/>
      <c r="F30" s="39" t="s">
        <v>210</v>
      </c>
      <c r="G30" s="39" t="s">
        <v>1694</v>
      </c>
      <c r="H30" s="39" t="s">
        <v>1695</v>
      </c>
      <c r="I30" s="39" t="s">
        <v>1432</v>
      </c>
      <c r="J30" s="44" t="s">
        <v>1433</v>
      </c>
    </row>
    <row r="31" spans="1:10" ht="15.75" thickBot="1" x14ac:dyDescent="0.3">
      <c r="A31" s="45" t="s">
        <v>1703</v>
      </c>
      <c r="B31" s="46" t="s">
        <v>1421</v>
      </c>
      <c r="C31" s="46">
        <v>7</v>
      </c>
      <c r="D31" s="46">
        <v>37</v>
      </c>
      <c r="E31" s="46"/>
      <c r="F31" s="46" t="s">
        <v>221</v>
      </c>
      <c r="G31" s="46" t="s">
        <v>1696</v>
      </c>
      <c r="H31" s="46" t="s">
        <v>1697</v>
      </c>
      <c r="I31" s="46" t="s">
        <v>1431</v>
      </c>
      <c r="J31" s="47" t="s">
        <v>1433</v>
      </c>
    </row>
    <row r="32" spans="1:10" x14ac:dyDescent="0.25">
      <c r="A32" s="40" t="s">
        <v>1769</v>
      </c>
      <c r="B32" s="41" t="s">
        <v>1421</v>
      </c>
      <c r="C32" s="41">
        <v>12</v>
      </c>
      <c r="D32" s="41">
        <v>62</v>
      </c>
      <c r="E32" s="41"/>
      <c r="F32" s="41" t="s">
        <v>1758</v>
      </c>
      <c r="G32" s="41" t="s">
        <v>1759</v>
      </c>
      <c r="H32" s="41" t="s">
        <v>1760</v>
      </c>
      <c r="I32" s="41" t="s">
        <v>1432</v>
      </c>
      <c r="J32" s="42" t="s">
        <v>1433</v>
      </c>
    </row>
    <row r="33" spans="1:10" x14ac:dyDescent="0.25">
      <c r="A33" s="43" t="s">
        <v>1770</v>
      </c>
      <c r="B33" s="39" t="s">
        <v>1421</v>
      </c>
      <c r="C33" s="39">
        <v>12</v>
      </c>
      <c r="D33" s="39">
        <v>62</v>
      </c>
      <c r="E33" s="39"/>
      <c r="F33" s="39" t="s">
        <v>125</v>
      </c>
      <c r="G33" s="39" t="s">
        <v>1761</v>
      </c>
      <c r="H33" s="39" t="s">
        <v>1762</v>
      </c>
      <c r="I33" s="39" t="s">
        <v>1432</v>
      </c>
      <c r="J33" s="44" t="s">
        <v>1433</v>
      </c>
    </row>
    <row r="34" spans="1:10" x14ac:dyDescent="0.25">
      <c r="A34" s="43" t="s">
        <v>1771</v>
      </c>
      <c r="B34" s="39" t="s">
        <v>1421</v>
      </c>
      <c r="C34" s="39">
        <v>12</v>
      </c>
      <c r="D34" s="39">
        <v>62</v>
      </c>
      <c r="E34" s="39"/>
      <c r="F34" s="39" t="s">
        <v>198</v>
      </c>
      <c r="G34" s="39" t="s">
        <v>1763</v>
      </c>
      <c r="H34" s="39" t="s">
        <v>1764</v>
      </c>
      <c r="I34" s="39" t="s">
        <v>1432</v>
      </c>
      <c r="J34" s="44" t="s">
        <v>1433</v>
      </c>
    </row>
    <row r="35" spans="1:10" x14ac:dyDescent="0.25">
      <c r="A35" s="43" t="s">
        <v>1772</v>
      </c>
      <c r="B35" s="39" t="s">
        <v>1421</v>
      </c>
      <c r="C35" s="39">
        <v>12</v>
      </c>
      <c r="D35" s="39">
        <v>62</v>
      </c>
      <c r="E35" s="39"/>
      <c r="F35" s="39" t="s">
        <v>186</v>
      </c>
      <c r="G35" s="39" t="s">
        <v>1765</v>
      </c>
      <c r="H35" s="39" t="s">
        <v>1766</v>
      </c>
      <c r="I35" s="39" t="s">
        <v>1432</v>
      </c>
      <c r="J35" s="44" t="s">
        <v>1433</v>
      </c>
    </row>
    <row r="36" spans="1:10" ht="15.75" thickBot="1" x14ac:dyDescent="0.3">
      <c r="A36" s="45" t="s">
        <v>1773</v>
      </c>
      <c r="B36" s="46" t="s">
        <v>1421</v>
      </c>
      <c r="C36" s="46">
        <v>12</v>
      </c>
      <c r="D36" s="46">
        <v>62</v>
      </c>
      <c r="E36" s="46"/>
      <c r="F36" s="46" t="s">
        <v>1685</v>
      </c>
      <c r="G36" s="46" t="s">
        <v>1767</v>
      </c>
      <c r="H36" s="46" t="s">
        <v>1768</v>
      </c>
      <c r="I36" s="46" t="s">
        <v>1432</v>
      </c>
      <c r="J36" s="47" t="s">
        <v>1433</v>
      </c>
    </row>
    <row r="37" spans="1:10" x14ac:dyDescent="0.25">
      <c r="A37" s="40" t="s">
        <v>1774</v>
      </c>
      <c r="B37" s="41" t="s">
        <v>1421</v>
      </c>
      <c r="C37" s="41">
        <v>15</v>
      </c>
      <c r="D37" s="41">
        <v>86</v>
      </c>
      <c r="E37" s="41"/>
      <c r="F37" s="41" t="s">
        <v>76</v>
      </c>
      <c r="G37" s="41" t="s">
        <v>1847</v>
      </c>
      <c r="H37" s="41" t="s">
        <v>1848</v>
      </c>
      <c r="I37" s="41" t="s">
        <v>1432</v>
      </c>
      <c r="J37" s="42" t="s">
        <v>1433</v>
      </c>
    </row>
    <row r="38" spans="1:10" x14ac:dyDescent="0.25">
      <c r="A38" s="43" t="s">
        <v>1775</v>
      </c>
      <c r="B38" s="39" t="s">
        <v>1421</v>
      </c>
      <c r="C38" s="39">
        <v>15</v>
      </c>
      <c r="D38" s="39">
        <v>86</v>
      </c>
      <c r="E38" s="39"/>
      <c r="F38" s="39" t="s">
        <v>204</v>
      </c>
      <c r="G38" s="39" t="s">
        <v>1849</v>
      </c>
      <c r="H38" s="39" t="s">
        <v>1850</v>
      </c>
      <c r="I38" s="39" t="s">
        <v>1432</v>
      </c>
      <c r="J38" s="44" t="s">
        <v>1433</v>
      </c>
    </row>
    <row r="39" spans="1:10" x14ac:dyDescent="0.25">
      <c r="A39" s="43" t="s">
        <v>1776</v>
      </c>
      <c r="B39" s="39" t="s">
        <v>1421</v>
      </c>
      <c r="C39" s="39">
        <v>15</v>
      </c>
      <c r="D39" s="39">
        <v>86</v>
      </c>
      <c r="E39" s="39"/>
      <c r="F39" s="39" t="s">
        <v>1851</v>
      </c>
      <c r="G39" s="39" t="s">
        <v>1852</v>
      </c>
      <c r="H39" s="39" t="s">
        <v>1853</v>
      </c>
      <c r="I39" s="39" t="s">
        <v>1432</v>
      </c>
      <c r="J39" s="44" t="s">
        <v>1433</v>
      </c>
    </row>
    <row r="40" spans="1:10" x14ac:dyDescent="0.25">
      <c r="A40" s="43" t="s">
        <v>1777</v>
      </c>
      <c r="B40" s="39" t="s">
        <v>1421</v>
      </c>
      <c r="C40" s="39">
        <v>15</v>
      </c>
      <c r="D40" s="39">
        <v>86</v>
      </c>
      <c r="E40" s="39"/>
      <c r="F40" s="39" t="s">
        <v>53</v>
      </c>
      <c r="G40" s="39" t="s">
        <v>1854</v>
      </c>
      <c r="H40" s="39" t="s">
        <v>1855</v>
      </c>
      <c r="I40" s="39" t="s">
        <v>1432</v>
      </c>
      <c r="J40" s="44" t="s">
        <v>1433</v>
      </c>
    </row>
    <row r="41" spans="1:10" x14ac:dyDescent="0.25">
      <c r="A41" s="43" t="s">
        <v>1778</v>
      </c>
      <c r="B41" s="39" t="s">
        <v>1421</v>
      </c>
      <c r="C41" s="39">
        <v>15</v>
      </c>
      <c r="D41" s="39">
        <v>86</v>
      </c>
      <c r="E41" s="39"/>
      <c r="F41" s="39" t="s">
        <v>140</v>
      </c>
      <c r="G41" s="39" t="s">
        <v>1856</v>
      </c>
      <c r="H41" s="39" t="s">
        <v>1857</v>
      </c>
      <c r="I41" s="39" t="s">
        <v>1432</v>
      </c>
      <c r="J41" s="44" t="s">
        <v>1433</v>
      </c>
    </row>
    <row r="42" spans="1:10" ht="15.75" thickBot="1" x14ac:dyDescent="0.3">
      <c r="A42" s="45" t="s">
        <v>1846</v>
      </c>
      <c r="B42" s="46" t="s">
        <v>1421</v>
      </c>
      <c r="C42" s="46">
        <v>15</v>
      </c>
      <c r="D42" s="46">
        <v>86</v>
      </c>
      <c r="E42" s="46"/>
      <c r="F42" s="46" t="s">
        <v>192</v>
      </c>
      <c r="G42" s="46" t="s">
        <v>1858</v>
      </c>
      <c r="H42" s="46" t="s">
        <v>1859</v>
      </c>
      <c r="I42" s="46" t="s">
        <v>1431</v>
      </c>
      <c r="J42" s="47" t="s">
        <v>1433</v>
      </c>
    </row>
    <row r="43" spans="1:10" x14ac:dyDescent="0.25">
      <c r="A43" s="40" t="s">
        <v>1860</v>
      </c>
      <c r="B43" s="41" t="s">
        <v>1421</v>
      </c>
      <c r="C43" s="41">
        <v>32</v>
      </c>
      <c r="D43" s="41">
        <v>188</v>
      </c>
      <c r="E43" s="41"/>
      <c r="F43" s="41" t="s">
        <v>198</v>
      </c>
      <c r="G43" s="41" t="s">
        <v>1950</v>
      </c>
      <c r="H43" s="41" t="s">
        <v>1951</v>
      </c>
      <c r="I43" s="41" t="s">
        <v>1432</v>
      </c>
      <c r="J43" s="42" t="s">
        <v>1433</v>
      </c>
    </row>
    <row r="44" spans="1:10" x14ac:dyDescent="0.25">
      <c r="A44" s="43" t="s">
        <v>1861</v>
      </c>
      <c r="B44" s="39" t="s">
        <v>1421</v>
      </c>
      <c r="C44" s="39">
        <v>32</v>
      </c>
      <c r="D44" s="39">
        <v>188</v>
      </c>
      <c r="E44" s="39"/>
      <c r="F44" s="39" t="s">
        <v>204</v>
      </c>
      <c r="G44" s="39" t="s">
        <v>1952</v>
      </c>
      <c r="H44" s="39" t="s">
        <v>1953</v>
      </c>
      <c r="I44" s="39" t="s">
        <v>1431</v>
      </c>
      <c r="J44" s="44" t="s">
        <v>1433</v>
      </c>
    </row>
    <row r="45" spans="1:10" x14ac:dyDescent="0.25">
      <c r="A45" s="43" t="s">
        <v>1862</v>
      </c>
      <c r="B45" s="39" t="s">
        <v>1421</v>
      </c>
      <c r="C45" s="39">
        <v>32</v>
      </c>
      <c r="D45" s="39">
        <v>188</v>
      </c>
      <c r="E45" s="39"/>
      <c r="F45" s="39" t="s">
        <v>118</v>
      </c>
      <c r="G45" s="39" t="s">
        <v>1954</v>
      </c>
      <c r="H45" s="39" t="s">
        <v>1955</v>
      </c>
      <c r="I45" s="39" t="s">
        <v>1432</v>
      </c>
      <c r="J45" s="44" t="s">
        <v>1433</v>
      </c>
    </row>
    <row r="46" spans="1:10" x14ac:dyDescent="0.25">
      <c r="A46" s="43" t="s">
        <v>1863</v>
      </c>
      <c r="B46" s="39" t="s">
        <v>1421</v>
      </c>
      <c r="C46" s="39">
        <v>32</v>
      </c>
      <c r="D46" s="39">
        <v>188</v>
      </c>
      <c r="E46" s="39"/>
      <c r="F46" s="39" t="s">
        <v>140</v>
      </c>
      <c r="G46" s="39" t="s">
        <v>1956</v>
      </c>
      <c r="H46" s="39" t="s">
        <v>1957</v>
      </c>
      <c r="I46" s="39" t="s">
        <v>1432</v>
      </c>
      <c r="J46" s="44" t="s">
        <v>1433</v>
      </c>
    </row>
    <row r="47" spans="1:10" x14ac:dyDescent="0.25">
      <c r="A47" s="43" t="s">
        <v>1864</v>
      </c>
      <c r="B47" s="39" t="s">
        <v>1421</v>
      </c>
      <c r="C47" s="39">
        <v>32</v>
      </c>
      <c r="D47" s="39">
        <v>188</v>
      </c>
      <c r="E47" s="39"/>
      <c r="F47" s="39" t="s">
        <v>112</v>
      </c>
      <c r="G47" s="39" t="s">
        <v>1958</v>
      </c>
      <c r="H47" s="39" t="s">
        <v>1959</v>
      </c>
      <c r="I47" s="39" t="s">
        <v>1431</v>
      </c>
      <c r="J47" s="44" t="s">
        <v>1433</v>
      </c>
    </row>
    <row r="48" spans="1:10" ht="15.75" thickBot="1" x14ac:dyDescent="0.3">
      <c r="A48" s="45" t="s">
        <v>1865</v>
      </c>
      <c r="B48" s="46" t="s">
        <v>1421</v>
      </c>
      <c r="C48" s="46">
        <v>32</v>
      </c>
      <c r="D48" s="46">
        <v>188</v>
      </c>
      <c r="E48" s="46"/>
      <c r="F48" s="46" t="s">
        <v>161</v>
      </c>
      <c r="G48" s="46" t="s">
        <v>1960</v>
      </c>
      <c r="H48" s="46" t="s">
        <v>1961</v>
      </c>
      <c r="I48" s="46" t="s">
        <v>1432</v>
      </c>
      <c r="J48" s="47" t="s">
        <v>1433</v>
      </c>
    </row>
    <row r="49" spans="1:10" x14ac:dyDescent="0.25">
      <c r="A49" s="35" t="s">
        <v>2212</v>
      </c>
      <c r="B49" s="22" t="s">
        <v>1963</v>
      </c>
      <c r="C49" s="22">
        <v>2</v>
      </c>
      <c r="D49" s="22">
        <v>8</v>
      </c>
      <c r="E49" s="22"/>
      <c r="F49" s="22" t="s">
        <v>2200</v>
      </c>
      <c r="G49" s="22" t="s">
        <v>2201</v>
      </c>
      <c r="H49" s="22" t="s">
        <v>2202</v>
      </c>
      <c r="I49" s="22" t="s">
        <v>1431</v>
      </c>
      <c r="J49" s="32" t="s">
        <v>2216</v>
      </c>
    </row>
    <row r="50" spans="1:10" x14ac:dyDescent="0.25">
      <c r="A50" s="36" t="s">
        <v>2213</v>
      </c>
      <c r="B50" t="s">
        <v>1963</v>
      </c>
      <c r="C50">
        <v>2</v>
      </c>
      <c r="D50">
        <v>8</v>
      </c>
      <c r="F50" t="s">
        <v>2203</v>
      </c>
      <c r="G50" t="s">
        <v>2204</v>
      </c>
      <c r="H50" t="s">
        <v>2205</v>
      </c>
      <c r="I50" t="s">
        <v>1431</v>
      </c>
      <c r="J50" s="33" t="s">
        <v>2216</v>
      </c>
    </row>
    <row r="51" spans="1:10" x14ac:dyDescent="0.25">
      <c r="A51" s="36" t="s">
        <v>2214</v>
      </c>
      <c r="B51" t="s">
        <v>1963</v>
      </c>
      <c r="C51">
        <v>2</v>
      </c>
      <c r="D51">
        <v>8</v>
      </c>
      <c r="F51" t="s">
        <v>2206</v>
      </c>
      <c r="G51" t="s">
        <v>2207</v>
      </c>
      <c r="H51" t="s">
        <v>2208</v>
      </c>
      <c r="I51" t="s">
        <v>1431</v>
      </c>
      <c r="J51" s="33" t="s">
        <v>2216</v>
      </c>
    </row>
    <row r="52" spans="1:10" ht="15.75" thickBot="1" x14ac:dyDescent="0.3">
      <c r="A52" s="37" t="s">
        <v>2215</v>
      </c>
      <c r="B52" s="30" t="s">
        <v>1963</v>
      </c>
      <c r="C52" s="30">
        <v>2</v>
      </c>
      <c r="D52" s="30">
        <v>8</v>
      </c>
      <c r="E52" s="30"/>
      <c r="F52" s="30" t="s">
        <v>2209</v>
      </c>
      <c r="G52" s="30" t="s">
        <v>2210</v>
      </c>
      <c r="H52" s="30" t="s">
        <v>2211</v>
      </c>
      <c r="I52" s="30" t="s">
        <v>1431</v>
      </c>
      <c r="J52" s="34" t="s">
        <v>2216</v>
      </c>
    </row>
    <row r="53" spans="1:10" x14ac:dyDescent="0.25">
      <c r="A53" s="35" t="s">
        <v>2271</v>
      </c>
      <c r="B53" s="22" t="s">
        <v>1963</v>
      </c>
      <c r="C53" s="22">
        <v>2</v>
      </c>
      <c r="D53" s="22">
        <v>9</v>
      </c>
      <c r="E53" s="22"/>
      <c r="F53" s="22" t="s">
        <v>53</v>
      </c>
      <c r="G53" s="22" t="s">
        <v>2260</v>
      </c>
      <c r="H53" s="22" t="s">
        <v>2261</v>
      </c>
      <c r="I53" s="22" t="s">
        <v>1431</v>
      </c>
      <c r="J53" s="32" t="s">
        <v>2216</v>
      </c>
    </row>
    <row r="54" spans="1:10" x14ac:dyDescent="0.25">
      <c r="A54" s="36" t="s">
        <v>2272</v>
      </c>
      <c r="B54" t="s">
        <v>1963</v>
      </c>
      <c r="C54">
        <v>2</v>
      </c>
      <c r="D54">
        <v>9</v>
      </c>
      <c r="F54" t="s">
        <v>2262</v>
      </c>
      <c r="G54" t="s">
        <v>2263</v>
      </c>
      <c r="H54" t="s">
        <v>2264</v>
      </c>
      <c r="I54" t="s">
        <v>1431</v>
      </c>
      <c r="J54" s="33" t="s">
        <v>2216</v>
      </c>
    </row>
    <row r="55" spans="1:10" x14ac:dyDescent="0.25">
      <c r="A55" s="36" t="s">
        <v>2273</v>
      </c>
      <c r="B55" t="s">
        <v>1963</v>
      </c>
      <c r="C55">
        <v>2</v>
      </c>
      <c r="D55">
        <v>9</v>
      </c>
      <c r="F55" t="s">
        <v>2265</v>
      </c>
      <c r="G55" t="s">
        <v>2266</v>
      </c>
      <c r="H55" t="s">
        <v>2267</v>
      </c>
      <c r="I55" t="s">
        <v>1431</v>
      </c>
      <c r="J55" s="33" t="s">
        <v>2216</v>
      </c>
    </row>
    <row r="56" spans="1:10" ht="15.75" thickBot="1" x14ac:dyDescent="0.3">
      <c r="A56" s="37" t="s">
        <v>2274</v>
      </c>
      <c r="B56" s="30" t="s">
        <v>1963</v>
      </c>
      <c r="C56" s="30">
        <v>2</v>
      </c>
      <c r="D56" s="30">
        <v>9</v>
      </c>
      <c r="E56" s="30"/>
      <c r="F56" s="30" t="s">
        <v>2268</v>
      </c>
      <c r="G56" s="30" t="s">
        <v>2269</v>
      </c>
      <c r="H56" s="30" t="s">
        <v>2270</v>
      </c>
      <c r="I56" s="30" t="s">
        <v>1431</v>
      </c>
      <c r="J56" s="34" t="s">
        <v>2216</v>
      </c>
    </row>
    <row r="57" spans="1:10" x14ac:dyDescent="0.25">
      <c r="A57" s="35" t="s">
        <v>2275</v>
      </c>
      <c r="B57" s="22" t="s">
        <v>1963</v>
      </c>
      <c r="C57" s="22">
        <v>3</v>
      </c>
      <c r="D57" s="22">
        <v>16</v>
      </c>
      <c r="E57" s="22"/>
      <c r="F57" s="22" t="s">
        <v>2477</v>
      </c>
      <c r="G57" s="22" t="s">
        <v>2478</v>
      </c>
      <c r="H57" s="22" t="s">
        <v>2479</v>
      </c>
      <c r="I57" s="22" t="s">
        <v>1431</v>
      </c>
      <c r="J57" s="32" t="s">
        <v>2216</v>
      </c>
    </row>
    <row r="58" spans="1:10" x14ac:dyDescent="0.25">
      <c r="A58" s="36" t="s">
        <v>2276</v>
      </c>
      <c r="B58" t="s">
        <v>1963</v>
      </c>
      <c r="C58">
        <v>3</v>
      </c>
      <c r="D58">
        <v>16</v>
      </c>
      <c r="F58" t="s">
        <v>174</v>
      </c>
      <c r="G58" t="s">
        <v>2480</v>
      </c>
      <c r="H58" t="s">
        <v>2481</v>
      </c>
      <c r="I58" t="s">
        <v>1431</v>
      </c>
      <c r="J58" s="33" t="s">
        <v>2216</v>
      </c>
    </row>
    <row r="59" spans="1:10" x14ac:dyDescent="0.25">
      <c r="A59" s="36" t="s">
        <v>2277</v>
      </c>
      <c r="B59" t="s">
        <v>1963</v>
      </c>
      <c r="C59">
        <v>3</v>
      </c>
      <c r="D59">
        <v>16</v>
      </c>
      <c r="F59" t="s">
        <v>2482</v>
      </c>
      <c r="G59" t="s">
        <v>2483</v>
      </c>
      <c r="H59" t="s">
        <v>2484</v>
      </c>
      <c r="I59" t="s">
        <v>1431</v>
      </c>
      <c r="J59" s="33" t="s">
        <v>2216</v>
      </c>
    </row>
    <row r="60" spans="1:10" x14ac:dyDescent="0.25">
      <c r="A60" s="36" t="s">
        <v>2278</v>
      </c>
      <c r="B60" t="s">
        <v>1963</v>
      </c>
      <c r="C60">
        <v>3</v>
      </c>
      <c r="D60">
        <v>16</v>
      </c>
      <c r="F60" t="s">
        <v>210</v>
      </c>
      <c r="G60" t="s">
        <v>2485</v>
      </c>
      <c r="H60" t="s">
        <v>2486</v>
      </c>
      <c r="I60" t="s">
        <v>1431</v>
      </c>
      <c r="J60" s="33" t="s">
        <v>2216</v>
      </c>
    </row>
    <row r="61" spans="1:10" ht="15.75" thickBot="1" x14ac:dyDescent="0.3">
      <c r="A61" s="37" t="s">
        <v>2279</v>
      </c>
      <c r="B61" s="30" t="s">
        <v>1963</v>
      </c>
      <c r="C61" s="30">
        <v>3</v>
      </c>
      <c r="D61" s="30">
        <v>16</v>
      </c>
      <c r="E61" s="30"/>
      <c r="F61" s="30" t="s">
        <v>125</v>
      </c>
      <c r="G61" s="30" t="s">
        <v>2487</v>
      </c>
      <c r="H61" s="30" t="s">
        <v>2488</v>
      </c>
      <c r="I61" s="30" t="s">
        <v>1431</v>
      </c>
      <c r="J61" s="34" t="s">
        <v>2216</v>
      </c>
    </row>
    <row r="62" spans="1:10" x14ac:dyDescent="0.25">
      <c r="A62" s="35" t="s">
        <v>2280</v>
      </c>
      <c r="B62" s="22" t="s">
        <v>1963</v>
      </c>
      <c r="C62" s="22">
        <v>3</v>
      </c>
      <c r="D62" s="22">
        <v>17</v>
      </c>
      <c r="E62" s="22"/>
      <c r="F62" s="22" t="s">
        <v>2520</v>
      </c>
      <c r="G62" s="22" t="s">
        <v>2521</v>
      </c>
      <c r="H62" s="22" t="s">
        <v>2522</v>
      </c>
      <c r="I62" s="22" t="s">
        <v>1431</v>
      </c>
      <c r="J62" s="32" t="s">
        <v>2216</v>
      </c>
    </row>
    <row r="63" spans="1:10" x14ac:dyDescent="0.25">
      <c r="A63" s="36" t="s">
        <v>2281</v>
      </c>
      <c r="B63" t="s">
        <v>1963</v>
      </c>
      <c r="C63">
        <v>3</v>
      </c>
      <c r="D63">
        <v>17</v>
      </c>
      <c r="F63" t="s">
        <v>112</v>
      </c>
      <c r="G63" t="s">
        <v>2523</v>
      </c>
      <c r="H63" t="s">
        <v>2524</v>
      </c>
      <c r="I63" t="s">
        <v>1431</v>
      </c>
      <c r="J63" s="33" t="s">
        <v>2216</v>
      </c>
    </row>
    <row r="64" spans="1:10" x14ac:dyDescent="0.25">
      <c r="A64" s="36" t="s">
        <v>2282</v>
      </c>
      <c r="B64" t="s">
        <v>1963</v>
      </c>
      <c r="C64">
        <v>3</v>
      </c>
      <c r="D64">
        <v>17</v>
      </c>
      <c r="F64" t="s">
        <v>198</v>
      </c>
      <c r="G64" t="s">
        <v>2525</v>
      </c>
      <c r="H64" t="s">
        <v>2526</v>
      </c>
      <c r="I64" t="s">
        <v>1431</v>
      </c>
      <c r="J64" s="33" t="s">
        <v>2216</v>
      </c>
    </row>
    <row r="65" spans="1:10" ht="15.75" thickBot="1" x14ac:dyDescent="0.3">
      <c r="A65" s="37" t="s">
        <v>2283</v>
      </c>
      <c r="B65" s="30" t="s">
        <v>1963</v>
      </c>
      <c r="C65" s="30">
        <v>3</v>
      </c>
      <c r="D65" s="30">
        <v>17</v>
      </c>
      <c r="E65" s="30"/>
      <c r="F65" s="30" t="s">
        <v>2527</v>
      </c>
      <c r="G65" s="30" t="s">
        <v>2528</v>
      </c>
      <c r="H65" s="30" t="s">
        <v>2529</v>
      </c>
      <c r="I65" s="30" t="s">
        <v>1431</v>
      </c>
      <c r="J65" s="34" t="s">
        <v>2216</v>
      </c>
    </row>
    <row r="66" spans="1:10" x14ac:dyDescent="0.25">
      <c r="A66" s="35" t="s">
        <v>2284</v>
      </c>
      <c r="B66" s="22" t="s">
        <v>1963</v>
      </c>
      <c r="C66" s="22">
        <v>3</v>
      </c>
      <c r="D66" s="22">
        <v>18</v>
      </c>
      <c r="E66" s="22"/>
      <c r="F66" s="22" t="s">
        <v>186</v>
      </c>
      <c r="G66" s="22" t="s">
        <v>2579</v>
      </c>
      <c r="H66" s="22" t="s">
        <v>2580</v>
      </c>
      <c r="I66" s="22" t="s">
        <v>1431</v>
      </c>
      <c r="J66" s="32" t="s">
        <v>2216</v>
      </c>
    </row>
    <row r="67" spans="1:10" x14ac:dyDescent="0.25">
      <c r="A67" s="36" t="s">
        <v>2285</v>
      </c>
      <c r="B67" t="s">
        <v>1963</v>
      </c>
      <c r="C67">
        <v>3</v>
      </c>
      <c r="D67">
        <v>18</v>
      </c>
      <c r="F67" t="s">
        <v>2581</v>
      </c>
      <c r="G67" t="s">
        <v>2582</v>
      </c>
      <c r="H67" t="s">
        <v>2583</v>
      </c>
      <c r="I67" t="s">
        <v>1431</v>
      </c>
      <c r="J67" s="33" t="s">
        <v>2216</v>
      </c>
    </row>
    <row r="68" spans="1:10" x14ac:dyDescent="0.25">
      <c r="A68" s="36" t="s">
        <v>2286</v>
      </c>
      <c r="B68" t="s">
        <v>1963</v>
      </c>
      <c r="C68">
        <v>3</v>
      </c>
      <c r="D68">
        <v>18</v>
      </c>
      <c r="F68" t="s">
        <v>2584</v>
      </c>
      <c r="G68" t="s">
        <v>2585</v>
      </c>
      <c r="H68" t="s">
        <v>2586</v>
      </c>
      <c r="I68" t="s">
        <v>1431</v>
      </c>
      <c r="J68" s="33" t="s">
        <v>2216</v>
      </c>
    </row>
    <row r="69" spans="1:10" ht="15.75" thickBot="1" x14ac:dyDescent="0.3">
      <c r="A69" s="37" t="s">
        <v>2287</v>
      </c>
      <c r="B69" s="30" t="s">
        <v>1963</v>
      </c>
      <c r="C69" s="30">
        <v>3</v>
      </c>
      <c r="D69" s="30">
        <v>18</v>
      </c>
      <c r="E69" s="30"/>
      <c r="F69" s="30" t="s">
        <v>2587</v>
      </c>
      <c r="G69" s="30" t="s">
        <v>2588</v>
      </c>
      <c r="H69" s="30" t="s">
        <v>2589</v>
      </c>
      <c r="I69" s="30" t="s">
        <v>1431</v>
      </c>
      <c r="J69" s="34" t="s">
        <v>2216</v>
      </c>
    </row>
    <row r="70" spans="1:10" x14ac:dyDescent="0.25">
      <c r="A70" s="35" t="s">
        <v>2288</v>
      </c>
      <c r="B70" s="22" t="s">
        <v>1963</v>
      </c>
      <c r="C70" s="22">
        <v>3</v>
      </c>
      <c r="D70" s="22">
        <v>21</v>
      </c>
      <c r="E70" s="22"/>
      <c r="F70" s="22" t="s">
        <v>186</v>
      </c>
      <c r="G70" s="22" t="s">
        <v>2664</v>
      </c>
      <c r="H70" s="22" t="s">
        <v>2665</v>
      </c>
      <c r="I70" s="22" t="s">
        <v>1431</v>
      </c>
      <c r="J70" s="32" t="s">
        <v>2216</v>
      </c>
    </row>
    <row r="71" spans="1:10" x14ac:dyDescent="0.25">
      <c r="A71" s="36" t="s">
        <v>2289</v>
      </c>
      <c r="B71" t="s">
        <v>1963</v>
      </c>
      <c r="C71">
        <v>3</v>
      </c>
      <c r="D71">
        <v>21</v>
      </c>
      <c r="F71" t="s">
        <v>2666</v>
      </c>
      <c r="G71" t="s">
        <v>2667</v>
      </c>
      <c r="H71" t="s">
        <v>2668</v>
      </c>
      <c r="I71" t="s">
        <v>1431</v>
      </c>
      <c r="J71" s="33" t="s">
        <v>2216</v>
      </c>
    </row>
    <row r="72" spans="1:10" x14ac:dyDescent="0.25">
      <c r="A72" s="36" t="s">
        <v>2290</v>
      </c>
      <c r="B72" t="s">
        <v>1963</v>
      </c>
      <c r="C72">
        <v>3</v>
      </c>
      <c r="D72">
        <v>21</v>
      </c>
      <c r="F72" t="s">
        <v>2669</v>
      </c>
      <c r="G72" t="s">
        <v>2670</v>
      </c>
      <c r="H72" t="s">
        <v>2671</v>
      </c>
      <c r="I72" t="s">
        <v>1431</v>
      </c>
      <c r="J72" s="33" t="s">
        <v>2216</v>
      </c>
    </row>
    <row r="73" spans="1:10" x14ac:dyDescent="0.25">
      <c r="A73" s="36" t="s">
        <v>2291</v>
      </c>
      <c r="B73" t="s">
        <v>1963</v>
      </c>
      <c r="C73">
        <v>3</v>
      </c>
      <c r="D73">
        <v>21</v>
      </c>
      <c r="F73" t="s">
        <v>125</v>
      </c>
      <c r="G73" t="s">
        <v>2672</v>
      </c>
      <c r="H73" t="s">
        <v>2673</v>
      </c>
      <c r="I73" t="s">
        <v>1431</v>
      </c>
      <c r="J73" s="33" t="s">
        <v>2216</v>
      </c>
    </row>
    <row r="74" spans="1:10" ht="15.75" thickBot="1" x14ac:dyDescent="0.3">
      <c r="A74" s="37" t="s">
        <v>2292</v>
      </c>
      <c r="B74" s="30" t="s">
        <v>1963</v>
      </c>
      <c r="C74" s="30">
        <v>3</v>
      </c>
      <c r="D74" s="30">
        <v>21</v>
      </c>
      <c r="E74" s="30"/>
      <c r="F74" s="30" t="s">
        <v>161</v>
      </c>
      <c r="G74" s="30" t="s">
        <v>2674</v>
      </c>
      <c r="H74" s="30" t="s">
        <v>2675</v>
      </c>
      <c r="I74" s="30" t="s">
        <v>1431</v>
      </c>
      <c r="J74" s="34" t="s">
        <v>2216</v>
      </c>
    </row>
    <row r="75" spans="1:10" x14ac:dyDescent="0.25">
      <c r="A75" s="35" t="s">
        <v>2293</v>
      </c>
      <c r="B75" s="22" t="s">
        <v>1963</v>
      </c>
      <c r="C75" s="22">
        <v>4</v>
      </c>
      <c r="D75" s="22">
        <v>22</v>
      </c>
      <c r="E75" s="22"/>
      <c r="F75" s="22" t="s">
        <v>76</v>
      </c>
      <c r="G75" s="22" t="s">
        <v>2739</v>
      </c>
      <c r="H75" s="22" t="s">
        <v>2740</v>
      </c>
      <c r="I75" s="22" t="s">
        <v>1431</v>
      </c>
      <c r="J75" s="32" t="s">
        <v>2216</v>
      </c>
    </row>
    <row r="76" spans="1:10" x14ac:dyDescent="0.25">
      <c r="A76" s="36" t="s">
        <v>2294</v>
      </c>
      <c r="B76" t="s">
        <v>1963</v>
      </c>
      <c r="C76">
        <v>4</v>
      </c>
      <c r="D76">
        <v>22</v>
      </c>
      <c r="F76" t="s">
        <v>161</v>
      </c>
      <c r="G76" t="s">
        <v>2741</v>
      </c>
      <c r="H76" t="s">
        <v>2742</v>
      </c>
      <c r="I76" t="s">
        <v>1431</v>
      </c>
      <c r="J76" s="33" t="s">
        <v>2216</v>
      </c>
    </row>
    <row r="77" spans="1:10" x14ac:dyDescent="0.25">
      <c r="A77" s="36" t="s">
        <v>2295</v>
      </c>
      <c r="B77" t="s">
        <v>1963</v>
      </c>
      <c r="C77">
        <v>4</v>
      </c>
      <c r="D77">
        <v>22</v>
      </c>
      <c r="F77" t="s">
        <v>166</v>
      </c>
      <c r="G77" t="s">
        <v>2743</v>
      </c>
      <c r="H77" t="s">
        <v>2744</v>
      </c>
      <c r="I77" t="s">
        <v>1431</v>
      </c>
      <c r="J77" s="33" t="s">
        <v>2216</v>
      </c>
    </row>
    <row r="78" spans="1:10" x14ac:dyDescent="0.25">
      <c r="A78" s="36" t="s">
        <v>2296</v>
      </c>
      <c r="B78" t="s">
        <v>1963</v>
      </c>
      <c r="C78">
        <v>4</v>
      </c>
      <c r="D78">
        <v>22</v>
      </c>
      <c r="F78" t="s">
        <v>2745</v>
      </c>
      <c r="G78" t="s">
        <v>2746</v>
      </c>
      <c r="H78" t="s">
        <v>2747</v>
      </c>
      <c r="I78" t="s">
        <v>1431</v>
      </c>
      <c r="J78" s="33" t="s">
        <v>2216</v>
      </c>
    </row>
    <row r="79" spans="1:10" ht="15.75" thickBot="1" x14ac:dyDescent="0.3">
      <c r="A79" s="37" t="s">
        <v>2297</v>
      </c>
      <c r="B79" s="30" t="s">
        <v>1963</v>
      </c>
      <c r="C79" s="30">
        <v>4</v>
      </c>
      <c r="D79" s="30">
        <v>22</v>
      </c>
      <c r="E79" s="30"/>
      <c r="F79" s="30" t="s">
        <v>186</v>
      </c>
      <c r="G79" s="30" t="s">
        <v>2748</v>
      </c>
      <c r="H79" s="30" t="s">
        <v>2749</v>
      </c>
      <c r="I79" s="30" t="s">
        <v>1431</v>
      </c>
      <c r="J79" s="34" t="s">
        <v>2216</v>
      </c>
    </row>
    <row r="80" spans="1:10" x14ac:dyDescent="0.25">
      <c r="A80" s="35" t="s">
        <v>2298</v>
      </c>
      <c r="B80" s="22" t="s">
        <v>1963</v>
      </c>
      <c r="C80" s="22">
        <v>4</v>
      </c>
      <c r="D80" s="22">
        <v>23</v>
      </c>
      <c r="E80" s="22"/>
      <c r="F80" s="22" t="s">
        <v>2783</v>
      </c>
      <c r="G80" s="22" t="s">
        <v>2784</v>
      </c>
      <c r="H80" s="22" t="s">
        <v>2785</v>
      </c>
      <c r="I80" s="22" t="s">
        <v>1431</v>
      </c>
      <c r="J80" s="32" t="s">
        <v>2216</v>
      </c>
    </row>
    <row r="81" spans="1:10" x14ac:dyDescent="0.25">
      <c r="A81" s="36" t="s">
        <v>2299</v>
      </c>
      <c r="B81" t="s">
        <v>1963</v>
      </c>
      <c r="C81">
        <v>4</v>
      </c>
      <c r="D81">
        <v>23</v>
      </c>
      <c r="F81" t="s">
        <v>2003</v>
      </c>
      <c r="G81" t="s">
        <v>2786</v>
      </c>
      <c r="H81" t="s">
        <v>2787</v>
      </c>
      <c r="I81" t="s">
        <v>1431</v>
      </c>
      <c r="J81" s="33" t="s">
        <v>2216</v>
      </c>
    </row>
    <row r="82" spans="1:10" x14ac:dyDescent="0.25">
      <c r="A82" s="36" t="s">
        <v>2300</v>
      </c>
      <c r="B82" t="s">
        <v>1963</v>
      </c>
      <c r="C82">
        <v>4</v>
      </c>
      <c r="D82">
        <v>23</v>
      </c>
      <c r="F82" t="s">
        <v>2788</v>
      </c>
      <c r="G82" t="s">
        <v>2789</v>
      </c>
      <c r="H82" t="s">
        <v>2790</v>
      </c>
      <c r="I82" t="s">
        <v>1431</v>
      </c>
      <c r="J82" s="33" t="s">
        <v>2216</v>
      </c>
    </row>
    <row r="83" spans="1:10" x14ac:dyDescent="0.25">
      <c r="A83" s="36" t="s">
        <v>2301</v>
      </c>
      <c r="B83" t="s">
        <v>1963</v>
      </c>
      <c r="C83">
        <v>4</v>
      </c>
      <c r="D83">
        <v>23</v>
      </c>
      <c r="F83" t="s">
        <v>2791</v>
      </c>
      <c r="G83" t="s">
        <v>2792</v>
      </c>
      <c r="H83" t="s">
        <v>2793</v>
      </c>
      <c r="I83" t="s">
        <v>1431</v>
      </c>
      <c r="J83" s="33" t="s">
        <v>2216</v>
      </c>
    </row>
    <row r="84" spans="1:10" ht="15.75" thickBot="1" x14ac:dyDescent="0.3">
      <c r="A84" s="37" t="s">
        <v>2302</v>
      </c>
      <c r="B84" s="30" t="s">
        <v>1963</v>
      </c>
      <c r="C84" s="30">
        <v>4</v>
      </c>
      <c r="D84" s="30">
        <v>23</v>
      </c>
      <c r="E84" s="30"/>
      <c r="F84" s="30" t="s">
        <v>2794</v>
      </c>
      <c r="G84" s="30" t="s">
        <v>2795</v>
      </c>
      <c r="H84" s="30" t="s">
        <v>2796</v>
      </c>
      <c r="I84" s="30" t="s">
        <v>1431</v>
      </c>
      <c r="J84" s="34" t="s">
        <v>2216</v>
      </c>
    </row>
    <row r="85" spans="1:10" x14ac:dyDescent="0.25">
      <c r="A85" s="35" t="s">
        <v>2303</v>
      </c>
      <c r="B85" s="22" t="s">
        <v>1963</v>
      </c>
      <c r="C85" s="22">
        <v>4</v>
      </c>
      <c r="D85" s="22">
        <v>24</v>
      </c>
      <c r="E85" s="22"/>
      <c r="F85" s="22" t="s">
        <v>2823</v>
      </c>
      <c r="G85" s="22" t="s">
        <v>2824</v>
      </c>
      <c r="H85" s="22" t="s">
        <v>2825</v>
      </c>
      <c r="I85" s="22" t="s">
        <v>1431</v>
      </c>
      <c r="J85" s="32" t="s">
        <v>2216</v>
      </c>
    </row>
    <row r="86" spans="1:10" x14ac:dyDescent="0.25">
      <c r="A86" s="36" t="s">
        <v>2304</v>
      </c>
      <c r="B86" t="s">
        <v>1963</v>
      </c>
      <c r="C86">
        <v>4</v>
      </c>
      <c r="D86">
        <v>24</v>
      </c>
      <c r="F86" t="s">
        <v>186</v>
      </c>
      <c r="G86" t="s">
        <v>2826</v>
      </c>
      <c r="H86" t="s">
        <v>2827</v>
      </c>
      <c r="I86" t="s">
        <v>1431</v>
      </c>
      <c r="J86" s="33" t="s">
        <v>2216</v>
      </c>
    </row>
    <row r="87" spans="1:10" x14ac:dyDescent="0.25">
      <c r="A87" s="36" t="s">
        <v>2305</v>
      </c>
      <c r="B87" t="s">
        <v>1963</v>
      </c>
      <c r="C87">
        <v>4</v>
      </c>
      <c r="D87">
        <v>24</v>
      </c>
      <c r="F87" t="s">
        <v>2584</v>
      </c>
      <c r="G87" t="s">
        <v>2828</v>
      </c>
      <c r="H87" t="s">
        <v>2829</v>
      </c>
      <c r="I87" t="s">
        <v>1431</v>
      </c>
      <c r="J87" s="33" t="s">
        <v>2216</v>
      </c>
    </row>
    <row r="88" spans="1:10" ht="15.75" thickBot="1" x14ac:dyDescent="0.3">
      <c r="A88" s="37" t="s">
        <v>2306</v>
      </c>
      <c r="B88" s="30" t="s">
        <v>1963</v>
      </c>
      <c r="C88" s="30">
        <v>4</v>
      </c>
      <c r="D88" s="30">
        <v>24</v>
      </c>
      <c r="E88" s="30"/>
      <c r="F88" s="30" t="s">
        <v>192</v>
      </c>
      <c r="G88" s="30" t="s">
        <v>2830</v>
      </c>
      <c r="H88" s="30" t="s">
        <v>2831</v>
      </c>
      <c r="I88" s="30" t="s">
        <v>1431</v>
      </c>
      <c r="J88" s="34" t="s">
        <v>2216</v>
      </c>
    </row>
    <row r="89" spans="1:10" x14ac:dyDescent="0.25">
      <c r="A89" s="35" t="s">
        <v>2307</v>
      </c>
      <c r="B89" s="22" t="s">
        <v>2832</v>
      </c>
      <c r="C89" s="22">
        <v>5</v>
      </c>
      <c r="D89" s="22">
        <v>27</v>
      </c>
      <c r="E89" s="22"/>
      <c r="F89" s="22" t="s">
        <v>1999</v>
      </c>
      <c r="G89" s="22" t="s">
        <v>2882</v>
      </c>
      <c r="H89" s="22" t="s">
        <v>2883</v>
      </c>
      <c r="I89" s="22" t="s">
        <v>1431</v>
      </c>
      <c r="J89" s="32" t="s">
        <v>2216</v>
      </c>
    </row>
    <row r="90" spans="1:10" x14ac:dyDescent="0.25">
      <c r="A90" s="36" t="s">
        <v>2308</v>
      </c>
      <c r="B90" t="s">
        <v>2832</v>
      </c>
      <c r="C90">
        <v>5</v>
      </c>
      <c r="D90">
        <v>27</v>
      </c>
      <c r="F90" t="s">
        <v>154</v>
      </c>
      <c r="G90" t="s">
        <v>2884</v>
      </c>
      <c r="H90" t="s">
        <v>2885</v>
      </c>
      <c r="I90" t="s">
        <v>1431</v>
      </c>
      <c r="J90" s="33" t="s">
        <v>2216</v>
      </c>
    </row>
    <row r="91" spans="1:10" x14ac:dyDescent="0.25">
      <c r="A91" s="36" t="s">
        <v>2309</v>
      </c>
      <c r="B91" t="s">
        <v>2832</v>
      </c>
      <c r="C91">
        <v>5</v>
      </c>
      <c r="D91">
        <v>27</v>
      </c>
      <c r="F91" t="s">
        <v>2886</v>
      </c>
      <c r="G91" t="s">
        <v>2887</v>
      </c>
      <c r="H91" t="s">
        <v>2888</v>
      </c>
      <c r="I91" t="s">
        <v>1431</v>
      </c>
      <c r="J91" s="33" t="s">
        <v>2216</v>
      </c>
    </row>
    <row r="92" spans="1:10" ht="15.75" thickBot="1" x14ac:dyDescent="0.3">
      <c r="A92" s="37" t="s">
        <v>2310</v>
      </c>
      <c r="B92" s="30" t="s">
        <v>2832</v>
      </c>
      <c r="C92" s="30">
        <v>5</v>
      </c>
      <c r="D92" s="30">
        <v>27</v>
      </c>
      <c r="E92" s="30"/>
      <c r="F92" s="30" t="s">
        <v>2889</v>
      </c>
      <c r="G92" s="30" t="s">
        <v>2890</v>
      </c>
      <c r="H92" s="30" t="s">
        <v>2891</v>
      </c>
      <c r="I92" s="30" t="s">
        <v>1431</v>
      </c>
      <c r="J92" s="34" t="s">
        <v>2216</v>
      </c>
    </row>
    <row r="93" spans="1:10" x14ac:dyDescent="0.25">
      <c r="A93" s="35" t="s">
        <v>2311</v>
      </c>
      <c r="B93" s="22" t="s">
        <v>2832</v>
      </c>
      <c r="C93" s="22">
        <v>5</v>
      </c>
      <c r="D93" s="22">
        <v>28</v>
      </c>
      <c r="E93" s="22"/>
      <c r="F93" s="22" t="s">
        <v>2967</v>
      </c>
      <c r="G93" s="22" t="s">
        <v>2968</v>
      </c>
      <c r="H93" s="22" t="s">
        <v>2969</v>
      </c>
      <c r="I93" s="22" t="s">
        <v>1431</v>
      </c>
      <c r="J93" s="32" t="s">
        <v>2216</v>
      </c>
    </row>
    <row r="94" spans="1:10" x14ac:dyDescent="0.25">
      <c r="A94" s="36" t="s">
        <v>2312</v>
      </c>
      <c r="B94" t="s">
        <v>2832</v>
      </c>
      <c r="C94">
        <v>5</v>
      </c>
      <c r="D94">
        <v>28</v>
      </c>
      <c r="F94" t="s">
        <v>2970</v>
      </c>
      <c r="G94" t="s">
        <v>2971</v>
      </c>
      <c r="H94" t="s">
        <v>2972</v>
      </c>
      <c r="I94" t="s">
        <v>1431</v>
      </c>
      <c r="J94" s="33" t="s">
        <v>2216</v>
      </c>
    </row>
    <row r="95" spans="1:10" x14ac:dyDescent="0.25">
      <c r="A95" s="36" t="s">
        <v>2313</v>
      </c>
      <c r="B95" t="s">
        <v>2832</v>
      </c>
      <c r="C95">
        <v>5</v>
      </c>
      <c r="D95">
        <v>28</v>
      </c>
      <c r="F95" t="s">
        <v>2973</v>
      </c>
      <c r="G95" t="s">
        <v>2974</v>
      </c>
      <c r="H95" t="s">
        <v>2975</v>
      </c>
      <c r="I95" t="s">
        <v>1431</v>
      </c>
      <c r="J95" s="33" t="s">
        <v>2216</v>
      </c>
    </row>
    <row r="96" spans="1:10" x14ac:dyDescent="0.25">
      <c r="A96" s="36" t="s">
        <v>2314</v>
      </c>
      <c r="B96" t="s">
        <v>2832</v>
      </c>
      <c r="C96">
        <v>5</v>
      </c>
      <c r="D96">
        <v>28</v>
      </c>
      <c r="F96" t="s">
        <v>2976</v>
      </c>
      <c r="G96" t="s">
        <v>2977</v>
      </c>
      <c r="H96" t="s">
        <v>2978</v>
      </c>
      <c r="I96" t="s">
        <v>1431</v>
      </c>
      <c r="J96" s="33" t="s">
        <v>2216</v>
      </c>
    </row>
    <row r="97" spans="1:10" ht="15.75" thickBot="1" x14ac:dyDescent="0.3">
      <c r="A97" s="37" t="s">
        <v>2315</v>
      </c>
      <c r="B97" s="30" t="s">
        <v>2832</v>
      </c>
      <c r="C97" s="30">
        <v>5</v>
      </c>
      <c r="D97" s="30">
        <v>28</v>
      </c>
      <c r="E97" s="30"/>
      <c r="F97" s="30" t="s">
        <v>2979</v>
      </c>
      <c r="G97" s="30" t="s">
        <v>2980</v>
      </c>
      <c r="H97" s="30" t="s">
        <v>2981</v>
      </c>
      <c r="I97" s="30" t="s">
        <v>1431</v>
      </c>
      <c r="J97" s="34" t="s">
        <v>2216</v>
      </c>
    </row>
    <row r="98" spans="1:10" x14ac:dyDescent="0.25">
      <c r="A98" s="35" t="s">
        <v>2316</v>
      </c>
      <c r="B98" s="22" t="s">
        <v>2832</v>
      </c>
      <c r="C98" s="22">
        <v>5</v>
      </c>
      <c r="D98" s="22">
        <v>30</v>
      </c>
      <c r="E98" s="22"/>
      <c r="F98" s="22" t="s">
        <v>125</v>
      </c>
      <c r="G98" s="22" t="s">
        <v>3030</v>
      </c>
      <c r="H98" s="22" t="s">
        <v>3031</v>
      </c>
      <c r="I98" s="22" t="s">
        <v>1431</v>
      </c>
      <c r="J98" s="32" t="s">
        <v>2216</v>
      </c>
    </row>
    <row r="99" spans="1:10" x14ac:dyDescent="0.25">
      <c r="A99" s="36" t="s">
        <v>2317</v>
      </c>
      <c r="B99" t="s">
        <v>2832</v>
      </c>
      <c r="C99">
        <v>5</v>
      </c>
      <c r="D99">
        <v>30</v>
      </c>
      <c r="F99" t="s">
        <v>154</v>
      </c>
      <c r="G99" t="s">
        <v>3032</v>
      </c>
      <c r="H99" t="s">
        <v>3033</v>
      </c>
      <c r="I99" t="s">
        <v>1431</v>
      </c>
      <c r="J99" s="33" t="s">
        <v>2216</v>
      </c>
    </row>
    <row r="100" spans="1:10" x14ac:dyDescent="0.25">
      <c r="A100" s="36" t="s">
        <v>2318</v>
      </c>
      <c r="B100" t="s">
        <v>2832</v>
      </c>
      <c r="C100">
        <v>5</v>
      </c>
      <c r="D100">
        <v>30</v>
      </c>
      <c r="F100" t="s">
        <v>98</v>
      </c>
      <c r="G100" t="s">
        <v>3034</v>
      </c>
      <c r="H100" t="s">
        <v>3035</v>
      </c>
      <c r="I100" t="s">
        <v>1431</v>
      </c>
      <c r="J100" s="33" t="s">
        <v>2216</v>
      </c>
    </row>
    <row r="101" spans="1:10" x14ac:dyDescent="0.25">
      <c r="A101" s="36" t="s">
        <v>2319</v>
      </c>
      <c r="B101" t="s">
        <v>2832</v>
      </c>
      <c r="C101">
        <v>5</v>
      </c>
      <c r="D101">
        <v>30</v>
      </c>
      <c r="F101" t="s">
        <v>3036</v>
      </c>
      <c r="G101" t="s">
        <v>3037</v>
      </c>
      <c r="H101" t="s">
        <v>3038</v>
      </c>
      <c r="I101" t="s">
        <v>1431</v>
      </c>
      <c r="J101" s="33" t="s">
        <v>2216</v>
      </c>
    </row>
    <row r="102" spans="1:10" ht="15.75" thickBot="1" x14ac:dyDescent="0.3">
      <c r="A102" s="37" t="s">
        <v>2320</v>
      </c>
      <c r="B102" s="30" t="s">
        <v>2832</v>
      </c>
      <c r="C102" s="30">
        <v>5</v>
      </c>
      <c r="D102" s="30">
        <v>30</v>
      </c>
      <c r="E102" s="30"/>
      <c r="F102" s="30" t="s">
        <v>147</v>
      </c>
      <c r="G102" s="30" t="s">
        <v>3039</v>
      </c>
      <c r="H102" s="30" t="s">
        <v>3040</v>
      </c>
      <c r="I102" s="30" t="s">
        <v>1431</v>
      </c>
      <c r="J102" s="34" t="s">
        <v>2216</v>
      </c>
    </row>
    <row r="103" spans="1:10" x14ac:dyDescent="0.25">
      <c r="A103" s="35" t="s">
        <v>2321</v>
      </c>
      <c r="B103" s="22" t="s">
        <v>2832</v>
      </c>
      <c r="C103" s="22">
        <v>5</v>
      </c>
      <c r="D103" s="22">
        <v>31</v>
      </c>
      <c r="E103" s="22"/>
      <c r="F103" s="22" t="s">
        <v>3103</v>
      </c>
      <c r="G103" s="22" t="s">
        <v>3104</v>
      </c>
      <c r="H103" s="22" t="s">
        <v>3105</v>
      </c>
      <c r="I103" s="22" t="s">
        <v>1431</v>
      </c>
      <c r="J103" s="32" t="s">
        <v>2216</v>
      </c>
    </row>
    <row r="104" spans="1:10" x14ac:dyDescent="0.25">
      <c r="A104" s="36" t="s">
        <v>2322</v>
      </c>
      <c r="B104" t="s">
        <v>2832</v>
      </c>
      <c r="C104">
        <v>5</v>
      </c>
      <c r="D104">
        <v>31</v>
      </c>
      <c r="F104" t="s">
        <v>2206</v>
      </c>
      <c r="G104" t="s">
        <v>3106</v>
      </c>
      <c r="H104" t="s">
        <v>3107</v>
      </c>
      <c r="I104" t="s">
        <v>1431</v>
      </c>
      <c r="J104" s="33" t="s">
        <v>2216</v>
      </c>
    </row>
    <row r="105" spans="1:10" x14ac:dyDescent="0.25">
      <c r="A105" s="36" t="s">
        <v>2323</v>
      </c>
      <c r="B105" t="s">
        <v>2832</v>
      </c>
      <c r="C105">
        <v>5</v>
      </c>
      <c r="D105">
        <v>31</v>
      </c>
      <c r="F105" t="s">
        <v>2823</v>
      </c>
      <c r="G105" t="s">
        <v>3108</v>
      </c>
      <c r="H105" t="s">
        <v>3109</v>
      </c>
      <c r="I105" t="s">
        <v>1431</v>
      </c>
      <c r="J105" s="33" t="s">
        <v>2216</v>
      </c>
    </row>
    <row r="106" spans="1:10" x14ac:dyDescent="0.25">
      <c r="A106" s="36" t="s">
        <v>2324</v>
      </c>
      <c r="B106" t="s">
        <v>2832</v>
      </c>
      <c r="C106">
        <v>5</v>
      </c>
      <c r="D106">
        <v>31</v>
      </c>
      <c r="F106" t="s">
        <v>3110</v>
      </c>
      <c r="G106" t="s">
        <v>3111</v>
      </c>
      <c r="H106" t="s">
        <v>3112</v>
      </c>
      <c r="I106" t="s">
        <v>1431</v>
      </c>
      <c r="J106" s="33" t="s">
        <v>2216</v>
      </c>
    </row>
    <row r="107" spans="1:10" x14ac:dyDescent="0.25">
      <c r="A107" s="36" t="s">
        <v>2325</v>
      </c>
      <c r="B107" t="s">
        <v>2832</v>
      </c>
      <c r="C107">
        <v>5</v>
      </c>
      <c r="D107">
        <v>31</v>
      </c>
      <c r="F107" t="s">
        <v>3113</v>
      </c>
      <c r="G107" t="s">
        <v>3114</v>
      </c>
      <c r="H107" t="s">
        <v>3115</v>
      </c>
      <c r="I107" t="s">
        <v>1431</v>
      </c>
      <c r="J107" s="33" t="s">
        <v>2216</v>
      </c>
    </row>
    <row r="108" spans="1:10" ht="15.75" thickBot="1" x14ac:dyDescent="0.3">
      <c r="A108" s="37" t="s">
        <v>2326</v>
      </c>
      <c r="B108" s="30" t="s">
        <v>2832</v>
      </c>
      <c r="C108" s="30">
        <v>5</v>
      </c>
      <c r="D108" s="30">
        <v>31</v>
      </c>
      <c r="E108" s="30"/>
      <c r="F108" s="30" t="s">
        <v>3116</v>
      </c>
      <c r="G108" s="30" t="s">
        <v>3117</v>
      </c>
      <c r="H108" s="30" t="s">
        <v>3118</v>
      </c>
      <c r="I108" s="30" t="s">
        <v>1431</v>
      </c>
      <c r="J108" s="34" t="s">
        <v>2216</v>
      </c>
    </row>
    <row r="109" spans="1:10" x14ac:dyDescent="0.25">
      <c r="A109" s="35" t="s">
        <v>2327</v>
      </c>
      <c r="B109" s="22" t="s">
        <v>2832</v>
      </c>
      <c r="C109" s="22">
        <v>6</v>
      </c>
      <c r="D109" s="22">
        <v>34</v>
      </c>
      <c r="E109" s="22"/>
      <c r="F109" s="22" t="s">
        <v>3172</v>
      </c>
      <c r="G109" s="22" t="s">
        <v>3173</v>
      </c>
      <c r="H109" s="22" t="s">
        <v>3174</v>
      </c>
      <c r="I109" s="22" t="s">
        <v>1431</v>
      </c>
      <c r="J109" s="32" t="s">
        <v>2216</v>
      </c>
    </row>
    <row r="110" spans="1:10" x14ac:dyDescent="0.25">
      <c r="A110" s="36" t="s">
        <v>2328</v>
      </c>
      <c r="B110" t="s">
        <v>2832</v>
      </c>
      <c r="C110">
        <v>6</v>
      </c>
      <c r="D110">
        <v>34</v>
      </c>
      <c r="F110" t="s">
        <v>3175</v>
      </c>
      <c r="G110" t="s">
        <v>3176</v>
      </c>
      <c r="H110" t="s">
        <v>3177</v>
      </c>
      <c r="I110" t="s">
        <v>1431</v>
      </c>
      <c r="J110" s="33" t="s">
        <v>2216</v>
      </c>
    </row>
    <row r="111" spans="1:10" x14ac:dyDescent="0.25">
      <c r="A111" s="36" t="s">
        <v>2329</v>
      </c>
      <c r="B111" t="s">
        <v>2832</v>
      </c>
      <c r="C111">
        <v>6</v>
      </c>
      <c r="D111">
        <v>34</v>
      </c>
      <c r="F111" t="s">
        <v>3178</v>
      </c>
      <c r="G111" t="s">
        <v>3179</v>
      </c>
      <c r="H111" t="s">
        <v>3180</v>
      </c>
      <c r="I111" t="s">
        <v>1431</v>
      </c>
      <c r="J111" s="33" t="s">
        <v>2216</v>
      </c>
    </row>
    <row r="112" spans="1:10" x14ac:dyDescent="0.25">
      <c r="A112" s="36" t="s">
        <v>2330</v>
      </c>
      <c r="B112" t="s">
        <v>2832</v>
      </c>
      <c r="C112">
        <v>6</v>
      </c>
      <c r="D112">
        <v>34</v>
      </c>
      <c r="F112" t="s">
        <v>3181</v>
      </c>
      <c r="G112" t="s">
        <v>3182</v>
      </c>
      <c r="H112" t="s">
        <v>3183</v>
      </c>
      <c r="I112" t="s">
        <v>1431</v>
      </c>
      <c r="J112" s="33" t="s">
        <v>2216</v>
      </c>
    </row>
    <row r="113" spans="1:10" x14ac:dyDescent="0.25">
      <c r="A113" s="36" t="s">
        <v>2331</v>
      </c>
      <c r="B113" t="s">
        <v>2832</v>
      </c>
      <c r="C113">
        <v>6</v>
      </c>
      <c r="D113">
        <v>34</v>
      </c>
      <c r="F113" t="s">
        <v>186</v>
      </c>
      <c r="G113" t="s">
        <v>3184</v>
      </c>
      <c r="H113" t="s">
        <v>3185</v>
      </c>
      <c r="I113" t="s">
        <v>1431</v>
      </c>
      <c r="J113" s="33" t="s">
        <v>2216</v>
      </c>
    </row>
    <row r="114" spans="1:10" ht="15.75" thickBot="1" x14ac:dyDescent="0.3">
      <c r="A114" s="37" t="s">
        <v>2332</v>
      </c>
      <c r="B114" s="30" t="s">
        <v>2832</v>
      </c>
      <c r="C114" s="30">
        <v>6</v>
      </c>
      <c r="D114" s="30">
        <v>34</v>
      </c>
      <c r="E114" s="30"/>
      <c r="F114" s="30" t="s">
        <v>3186</v>
      </c>
      <c r="G114" s="30" t="s">
        <v>3187</v>
      </c>
      <c r="H114" s="30" t="s">
        <v>3188</v>
      </c>
      <c r="I114" s="30" t="s">
        <v>1431</v>
      </c>
      <c r="J114" s="34" t="s">
        <v>2216</v>
      </c>
    </row>
    <row r="115" spans="1:10" x14ac:dyDescent="0.25">
      <c r="A115" s="35" t="s">
        <v>2333</v>
      </c>
      <c r="B115" s="22" t="s">
        <v>2832</v>
      </c>
      <c r="C115" s="22">
        <v>6</v>
      </c>
      <c r="D115" s="22">
        <v>36</v>
      </c>
      <c r="E115" s="22"/>
      <c r="F115" s="22" t="s">
        <v>154</v>
      </c>
      <c r="G115" s="22" t="s">
        <v>3227</v>
      </c>
      <c r="H115" s="22" t="s">
        <v>3228</v>
      </c>
      <c r="I115" s="22" t="s">
        <v>1431</v>
      </c>
      <c r="J115" s="32" t="s">
        <v>2216</v>
      </c>
    </row>
    <row r="116" spans="1:10" x14ac:dyDescent="0.25">
      <c r="A116" s="36" t="s">
        <v>2334</v>
      </c>
      <c r="B116" t="s">
        <v>2832</v>
      </c>
      <c r="C116">
        <v>6</v>
      </c>
      <c r="D116">
        <v>36</v>
      </c>
      <c r="F116" t="s">
        <v>3229</v>
      </c>
      <c r="G116" t="s">
        <v>3230</v>
      </c>
      <c r="H116" t="s">
        <v>3231</v>
      </c>
      <c r="I116" t="s">
        <v>1431</v>
      </c>
      <c r="J116" s="33" t="s">
        <v>2216</v>
      </c>
    </row>
    <row r="117" spans="1:10" x14ac:dyDescent="0.25">
      <c r="A117" s="36" t="s">
        <v>2335</v>
      </c>
      <c r="B117" t="s">
        <v>2832</v>
      </c>
      <c r="C117">
        <v>6</v>
      </c>
      <c r="D117">
        <v>36</v>
      </c>
      <c r="F117" t="s">
        <v>186</v>
      </c>
      <c r="G117" t="s">
        <v>3232</v>
      </c>
      <c r="H117" t="s">
        <v>3233</v>
      </c>
      <c r="I117" t="s">
        <v>1431</v>
      </c>
      <c r="J117" s="33" t="s">
        <v>2216</v>
      </c>
    </row>
    <row r="118" spans="1:10" x14ac:dyDescent="0.25">
      <c r="A118" s="36" t="s">
        <v>2336</v>
      </c>
      <c r="B118" t="s">
        <v>2832</v>
      </c>
      <c r="C118">
        <v>6</v>
      </c>
      <c r="D118">
        <v>36</v>
      </c>
      <c r="F118" t="s">
        <v>198</v>
      </c>
      <c r="G118" t="s">
        <v>3234</v>
      </c>
      <c r="H118" t="s">
        <v>3235</v>
      </c>
      <c r="I118" t="s">
        <v>1431</v>
      </c>
      <c r="J118" s="33" t="s">
        <v>2216</v>
      </c>
    </row>
    <row r="119" spans="1:10" ht="15.75" thickBot="1" x14ac:dyDescent="0.3">
      <c r="A119" s="37" t="s">
        <v>2337</v>
      </c>
      <c r="B119" s="30" t="s">
        <v>2832</v>
      </c>
      <c r="C119" s="30">
        <v>6</v>
      </c>
      <c r="D119" s="30">
        <v>36</v>
      </c>
      <c r="E119" s="30"/>
      <c r="F119" s="30" t="s">
        <v>3236</v>
      </c>
      <c r="G119" s="30" t="s">
        <v>3237</v>
      </c>
      <c r="H119" s="30" t="s">
        <v>3238</v>
      </c>
      <c r="I119" s="30" t="s">
        <v>1431</v>
      </c>
      <c r="J119" s="34" t="s">
        <v>2216</v>
      </c>
    </row>
    <row r="120" spans="1:10" x14ac:dyDescent="0.25">
      <c r="A120" s="35" t="s">
        <v>2338</v>
      </c>
      <c r="B120" s="22" t="s">
        <v>2832</v>
      </c>
      <c r="C120" s="22">
        <v>7</v>
      </c>
      <c r="D120" s="22">
        <v>37</v>
      </c>
      <c r="E120" s="22"/>
      <c r="F120" s="22" t="s">
        <v>1989</v>
      </c>
      <c r="G120" s="22" t="s">
        <v>3309</v>
      </c>
      <c r="H120" s="22" t="s">
        <v>3310</v>
      </c>
      <c r="I120" s="22" t="s">
        <v>1431</v>
      </c>
      <c r="J120" s="32" t="s">
        <v>2216</v>
      </c>
    </row>
    <row r="121" spans="1:10" x14ac:dyDescent="0.25">
      <c r="A121" s="36" t="s">
        <v>2339</v>
      </c>
      <c r="B121" t="s">
        <v>2832</v>
      </c>
      <c r="C121">
        <v>7</v>
      </c>
      <c r="D121">
        <v>37</v>
      </c>
      <c r="F121" t="s">
        <v>3311</v>
      </c>
      <c r="G121" t="s">
        <v>3312</v>
      </c>
      <c r="H121" t="s">
        <v>3313</v>
      </c>
      <c r="I121" t="s">
        <v>1431</v>
      </c>
      <c r="J121" s="33" t="s">
        <v>2216</v>
      </c>
    </row>
    <row r="122" spans="1:10" x14ac:dyDescent="0.25">
      <c r="A122" s="36" t="s">
        <v>2340</v>
      </c>
      <c r="B122" t="s">
        <v>2832</v>
      </c>
      <c r="C122">
        <v>7</v>
      </c>
      <c r="D122">
        <v>37</v>
      </c>
      <c r="F122" t="s">
        <v>3314</v>
      </c>
      <c r="G122" t="s">
        <v>3315</v>
      </c>
      <c r="H122" t="s">
        <v>3316</v>
      </c>
      <c r="I122" t="s">
        <v>1431</v>
      </c>
      <c r="J122" s="33" t="s">
        <v>2216</v>
      </c>
    </row>
    <row r="123" spans="1:10" x14ac:dyDescent="0.25">
      <c r="A123" s="36" t="s">
        <v>2341</v>
      </c>
      <c r="B123" t="s">
        <v>2832</v>
      </c>
      <c r="C123">
        <v>7</v>
      </c>
      <c r="D123">
        <v>37</v>
      </c>
      <c r="F123" t="s">
        <v>3317</v>
      </c>
      <c r="G123" t="s">
        <v>3318</v>
      </c>
      <c r="H123" t="s">
        <v>3319</v>
      </c>
      <c r="I123" t="s">
        <v>1431</v>
      </c>
      <c r="J123" s="33" t="s">
        <v>2216</v>
      </c>
    </row>
    <row r="124" spans="1:10" x14ac:dyDescent="0.25">
      <c r="A124" s="36" t="s">
        <v>2342</v>
      </c>
      <c r="B124" t="s">
        <v>2832</v>
      </c>
      <c r="C124">
        <v>7</v>
      </c>
      <c r="D124">
        <v>37</v>
      </c>
      <c r="F124" t="s">
        <v>3320</v>
      </c>
      <c r="G124" t="s">
        <v>3321</v>
      </c>
      <c r="H124" t="s">
        <v>3322</v>
      </c>
      <c r="I124" t="s">
        <v>1431</v>
      </c>
      <c r="J124" s="33" t="s">
        <v>2216</v>
      </c>
    </row>
    <row r="125" spans="1:10" ht="15.75" thickBot="1" x14ac:dyDescent="0.3">
      <c r="A125" s="37" t="s">
        <v>2343</v>
      </c>
      <c r="B125" s="30" t="s">
        <v>2832</v>
      </c>
      <c r="C125" s="30">
        <v>7</v>
      </c>
      <c r="D125" s="30">
        <v>37</v>
      </c>
      <c r="E125" s="30"/>
      <c r="F125" s="30" t="s">
        <v>3323</v>
      </c>
      <c r="G125" s="30" t="s">
        <v>3324</v>
      </c>
      <c r="H125" s="30" t="s">
        <v>3325</v>
      </c>
      <c r="I125" s="30" t="s">
        <v>1431</v>
      </c>
      <c r="J125" s="34" t="s">
        <v>2216</v>
      </c>
    </row>
    <row r="126" spans="1:10" x14ac:dyDescent="0.25">
      <c r="A126" s="35" t="s">
        <v>2344</v>
      </c>
      <c r="B126" s="22" t="s">
        <v>2832</v>
      </c>
      <c r="C126" s="22">
        <v>7</v>
      </c>
      <c r="D126" s="22">
        <v>38</v>
      </c>
      <c r="E126" s="22"/>
      <c r="F126" s="22" t="s">
        <v>3359</v>
      </c>
      <c r="G126" s="22" t="s">
        <v>3360</v>
      </c>
      <c r="H126" s="22" t="s">
        <v>3361</v>
      </c>
      <c r="I126" s="22" t="s">
        <v>1431</v>
      </c>
      <c r="J126" s="32" t="s">
        <v>2216</v>
      </c>
    </row>
    <row r="127" spans="1:10" x14ac:dyDescent="0.25">
      <c r="A127" s="36" t="s">
        <v>2345</v>
      </c>
      <c r="B127" t="s">
        <v>2832</v>
      </c>
      <c r="C127">
        <v>7</v>
      </c>
      <c r="D127">
        <v>38</v>
      </c>
      <c r="F127" t="s">
        <v>76</v>
      </c>
      <c r="G127" t="s">
        <v>3362</v>
      </c>
      <c r="H127" t="s">
        <v>3363</v>
      </c>
      <c r="I127" t="s">
        <v>1431</v>
      </c>
      <c r="J127" s="33" t="s">
        <v>2216</v>
      </c>
    </row>
    <row r="128" spans="1:10" x14ac:dyDescent="0.25">
      <c r="A128" s="36" t="s">
        <v>2346</v>
      </c>
      <c r="B128" t="s">
        <v>2832</v>
      </c>
      <c r="C128">
        <v>7</v>
      </c>
      <c r="D128">
        <v>38</v>
      </c>
      <c r="F128" t="s">
        <v>3364</v>
      </c>
      <c r="G128" t="s">
        <v>3365</v>
      </c>
      <c r="H128" t="s">
        <v>3366</v>
      </c>
      <c r="I128" t="s">
        <v>1431</v>
      </c>
      <c r="J128" s="33" t="s">
        <v>2216</v>
      </c>
    </row>
    <row r="129" spans="1:10" x14ac:dyDescent="0.25">
      <c r="A129" s="36" t="s">
        <v>2347</v>
      </c>
      <c r="B129" t="s">
        <v>2832</v>
      </c>
      <c r="C129">
        <v>7</v>
      </c>
      <c r="D129">
        <v>38</v>
      </c>
      <c r="F129" t="s">
        <v>3311</v>
      </c>
      <c r="G129" t="s">
        <v>3367</v>
      </c>
      <c r="H129" t="s">
        <v>3368</v>
      </c>
      <c r="I129" t="s">
        <v>1431</v>
      </c>
      <c r="J129" s="33" t="s">
        <v>2216</v>
      </c>
    </row>
    <row r="130" spans="1:10" ht="15.75" thickBot="1" x14ac:dyDescent="0.3">
      <c r="A130" s="37" t="s">
        <v>2348</v>
      </c>
      <c r="B130" s="30" t="s">
        <v>2832</v>
      </c>
      <c r="C130" s="30">
        <v>7</v>
      </c>
      <c r="D130" s="30">
        <v>38</v>
      </c>
      <c r="E130" s="30"/>
      <c r="F130" s="30" t="s">
        <v>125</v>
      </c>
      <c r="G130" s="30" t="s">
        <v>3369</v>
      </c>
      <c r="H130" s="30" t="s">
        <v>3370</v>
      </c>
      <c r="I130" s="30" t="s">
        <v>1431</v>
      </c>
      <c r="J130" s="34" t="s">
        <v>2216</v>
      </c>
    </row>
    <row r="131" spans="1:10" x14ac:dyDescent="0.25">
      <c r="A131" s="35" t="s">
        <v>2349</v>
      </c>
      <c r="B131" s="22" t="s">
        <v>2832</v>
      </c>
      <c r="C131" s="22">
        <v>9</v>
      </c>
      <c r="D131" s="22">
        <v>46</v>
      </c>
      <c r="E131" s="22"/>
      <c r="F131" s="22" t="s">
        <v>2979</v>
      </c>
      <c r="G131" s="22" t="s">
        <v>3424</v>
      </c>
      <c r="H131" s="22" t="s">
        <v>3425</v>
      </c>
      <c r="I131" s="22" t="s">
        <v>1431</v>
      </c>
      <c r="J131" s="32" t="s">
        <v>2216</v>
      </c>
    </row>
    <row r="132" spans="1:10" x14ac:dyDescent="0.25">
      <c r="A132" s="36" t="s">
        <v>2350</v>
      </c>
      <c r="B132" t="s">
        <v>2832</v>
      </c>
      <c r="C132">
        <v>9</v>
      </c>
      <c r="D132">
        <v>46</v>
      </c>
      <c r="F132" t="s">
        <v>1989</v>
      </c>
      <c r="G132" t="s">
        <v>3426</v>
      </c>
      <c r="H132" t="s">
        <v>3427</v>
      </c>
      <c r="I132" t="s">
        <v>1431</v>
      </c>
      <c r="J132" s="33" t="s">
        <v>2216</v>
      </c>
    </row>
    <row r="133" spans="1:10" x14ac:dyDescent="0.25">
      <c r="A133" s="36" t="s">
        <v>2351</v>
      </c>
      <c r="B133" t="s">
        <v>2832</v>
      </c>
      <c r="C133">
        <v>9</v>
      </c>
      <c r="D133">
        <v>46</v>
      </c>
      <c r="F133" t="s">
        <v>3428</v>
      </c>
      <c r="G133" t="s">
        <v>3429</v>
      </c>
      <c r="H133" t="s">
        <v>3430</v>
      </c>
      <c r="I133" t="s">
        <v>1431</v>
      </c>
      <c r="J133" s="33" t="s">
        <v>2216</v>
      </c>
    </row>
    <row r="134" spans="1:10" x14ac:dyDescent="0.25">
      <c r="A134" s="36" t="s">
        <v>2352</v>
      </c>
      <c r="B134" t="s">
        <v>2832</v>
      </c>
      <c r="C134">
        <v>9</v>
      </c>
      <c r="D134">
        <v>46</v>
      </c>
      <c r="F134" t="s">
        <v>3431</v>
      </c>
      <c r="G134" t="s">
        <v>3432</v>
      </c>
      <c r="H134" t="s">
        <v>3433</v>
      </c>
      <c r="I134" t="s">
        <v>1431</v>
      </c>
      <c r="J134" s="33" t="s">
        <v>2216</v>
      </c>
    </row>
    <row r="135" spans="1:10" x14ac:dyDescent="0.25">
      <c r="A135" s="36" t="s">
        <v>2353</v>
      </c>
      <c r="B135" t="s">
        <v>2832</v>
      </c>
      <c r="C135">
        <v>9</v>
      </c>
      <c r="D135">
        <v>46</v>
      </c>
      <c r="F135" t="s">
        <v>3434</v>
      </c>
      <c r="G135" t="s">
        <v>3435</v>
      </c>
      <c r="H135" t="s">
        <v>3436</v>
      </c>
      <c r="I135" t="s">
        <v>1431</v>
      </c>
      <c r="J135" s="33" t="s">
        <v>2216</v>
      </c>
    </row>
    <row r="136" spans="1:10" ht="15.75" thickBot="1" x14ac:dyDescent="0.3">
      <c r="A136" s="37" t="s">
        <v>2354</v>
      </c>
      <c r="B136" s="30" t="s">
        <v>2832</v>
      </c>
      <c r="C136" s="30">
        <v>9</v>
      </c>
      <c r="D136" s="30">
        <v>46</v>
      </c>
      <c r="E136" s="30"/>
      <c r="F136" s="30" t="s">
        <v>3437</v>
      </c>
      <c r="G136" s="30" t="s">
        <v>3438</v>
      </c>
      <c r="H136" s="30" t="s">
        <v>3439</v>
      </c>
      <c r="I136" s="30" t="s">
        <v>1431</v>
      </c>
      <c r="J136" s="34" t="s">
        <v>2216</v>
      </c>
    </row>
    <row r="137" spans="1:10" x14ac:dyDescent="0.25">
      <c r="A137" s="35" t="s">
        <v>2355</v>
      </c>
      <c r="B137" s="22" t="s">
        <v>2832</v>
      </c>
      <c r="C137" s="22">
        <v>9</v>
      </c>
      <c r="D137" s="22">
        <v>48</v>
      </c>
      <c r="E137" s="22"/>
      <c r="F137" s="22" t="s">
        <v>3359</v>
      </c>
      <c r="G137" s="22" t="s">
        <v>3499</v>
      </c>
      <c r="H137" s="22" t="s">
        <v>3500</v>
      </c>
      <c r="I137" s="22" t="s">
        <v>1431</v>
      </c>
      <c r="J137" s="32" t="s">
        <v>2216</v>
      </c>
    </row>
    <row r="138" spans="1:10" x14ac:dyDescent="0.25">
      <c r="A138" s="36" t="s">
        <v>2356</v>
      </c>
      <c r="B138" t="s">
        <v>2832</v>
      </c>
      <c r="C138">
        <v>9</v>
      </c>
      <c r="D138">
        <v>48</v>
      </c>
      <c r="F138" t="s">
        <v>53</v>
      </c>
      <c r="G138" t="s">
        <v>3501</v>
      </c>
      <c r="H138" t="s">
        <v>3502</v>
      </c>
      <c r="I138" t="s">
        <v>1431</v>
      </c>
      <c r="J138" s="33" t="s">
        <v>2216</v>
      </c>
    </row>
    <row r="139" spans="1:10" x14ac:dyDescent="0.25">
      <c r="A139" s="36" t="s">
        <v>2357</v>
      </c>
      <c r="B139" t="s">
        <v>2832</v>
      </c>
      <c r="C139">
        <v>9</v>
      </c>
      <c r="D139">
        <v>48</v>
      </c>
      <c r="F139" t="s">
        <v>3503</v>
      </c>
      <c r="G139" t="s">
        <v>3504</v>
      </c>
      <c r="H139" t="s">
        <v>3505</v>
      </c>
      <c r="I139" t="s">
        <v>1431</v>
      </c>
      <c r="J139" s="33" t="s">
        <v>2216</v>
      </c>
    </row>
    <row r="140" spans="1:10" x14ac:dyDescent="0.25">
      <c r="A140" s="36" t="s">
        <v>2358</v>
      </c>
      <c r="B140" t="s">
        <v>2832</v>
      </c>
      <c r="C140">
        <v>9</v>
      </c>
      <c r="D140">
        <v>48</v>
      </c>
      <c r="F140" t="s">
        <v>198</v>
      </c>
      <c r="G140" t="s">
        <v>3506</v>
      </c>
      <c r="H140" t="s">
        <v>3507</v>
      </c>
      <c r="I140" t="s">
        <v>1431</v>
      </c>
      <c r="J140" s="33" t="s">
        <v>2216</v>
      </c>
    </row>
    <row r="141" spans="1:10" x14ac:dyDescent="0.25">
      <c r="A141" s="36" t="s">
        <v>2359</v>
      </c>
      <c r="B141" t="s">
        <v>2832</v>
      </c>
      <c r="C141">
        <v>9</v>
      </c>
      <c r="D141">
        <v>48</v>
      </c>
      <c r="F141" t="s">
        <v>2979</v>
      </c>
      <c r="G141" t="s">
        <v>3508</v>
      </c>
      <c r="H141" t="s">
        <v>3509</v>
      </c>
      <c r="I141" t="s">
        <v>1431</v>
      </c>
      <c r="J141" s="33" t="s">
        <v>2216</v>
      </c>
    </row>
    <row r="142" spans="1:10" ht="15.75" thickBot="1" x14ac:dyDescent="0.3">
      <c r="A142" s="37" t="s">
        <v>2360</v>
      </c>
      <c r="B142" s="30" t="s">
        <v>2832</v>
      </c>
      <c r="C142" s="30">
        <v>9</v>
      </c>
      <c r="D142" s="30">
        <v>48</v>
      </c>
      <c r="E142" s="30"/>
      <c r="F142" s="30" t="s">
        <v>3510</v>
      </c>
      <c r="G142" s="30" t="s">
        <v>3511</v>
      </c>
      <c r="H142" s="30" t="s">
        <v>3512</v>
      </c>
      <c r="I142" s="30" t="s">
        <v>1431</v>
      </c>
      <c r="J142" s="34" t="s">
        <v>2216</v>
      </c>
    </row>
    <row r="143" spans="1:10" x14ac:dyDescent="0.25">
      <c r="A143" s="35" t="s">
        <v>2361</v>
      </c>
      <c r="B143" s="22" t="s">
        <v>2832</v>
      </c>
      <c r="C143" s="22">
        <v>10</v>
      </c>
      <c r="D143" s="22">
        <v>52</v>
      </c>
      <c r="E143" s="22"/>
      <c r="F143" s="22" t="s">
        <v>3550</v>
      </c>
      <c r="G143" s="22" t="s">
        <v>3551</v>
      </c>
      <c r="H143" s="22" t="s">
        <v>3552</v>
      </c>
      <c r="I143" s="22" t="s">
        <v>1431</v>
      </c>
      <c r="J143" s="32" t="s">
        <v>2216</v>
      </c>
    </row>
    <row r="144" spans="1:10" x14ac:dyDescent="0.25">
      <c r="A144" s="36" t="s">
        <v>2362</v>
      </c>
      <c r="B144" t="s">
        <v>2832</v>
      </c>
      <c r="C144">
        <v>10</v>
      </c>
      <c r="D144">
        <v>52</v>
      </c>
      <c r="F144" t="s">
        <v>154</v>
      </c>
      <c r="G144" t="s">
        <v>3553</v>
      </c>
      <c r="H144" t="s">
        <v>3554</v>
      </c>
      <c r="I144" t="s">
        <v>1431</v>
      </c>
      <c r="J144" s="33" t="s">
        <v>2216</v>
      </c>
    </row>
    <row r="145" spans="1:10" x14ac:dyDescent="0.25">
      <c r="A145" s="36" t="s">
        <v>2363</v>
      </c>
      <c r="B145" t="s">
        <v>2832</v>
      </c>
      <c r="C145">
        <v>10</v>
      </c>
      <c r="D145">
        <v>52</v>
      </c>
      <c r="F145" t="s">
        <v>3555</v>
      </c>
      <c r="G145" t="s">
        <v>3556</v>
      </c>
      <c r="H145" t="s">
        <v>3557</v>
      </c>
      <c r="I145" t="s">
        <v>1431</v>
      </c>
      <c r="J145" s="33" t="s">
        <v>2216</v>
      </c>
    </row>
    <row r="146" spans="1:10" x14ac:dyDescent="0.25">
      <c r="A146" s="36" t="s">
        <v>2364</v>
      </c>
      <c r="B146" t="s">
        <v>2832</v>
      </c>
      <c r="C146">
        <v>10</v>
      </c>
      <c r="D146">
        <v>52</v>
      </c>
      <c r="F146" t="s">
        <v>3558</v>
      </c>
      <c r="G146" t="s">
        <v>3559</v>
      </c>
      <c r="H146" t="s">
        <v>3560</v>
      </c>
      <c r="I146" t="s">
        <v>1431</v>
      </c>
      <c r="J146" s="33" t="s">
        <v>2216</v>
      </c>
    </row>
    <row r="147" spans="1:10" x14ac:dyDescent="0.25">
      <c r="A147" s="36" t="s">
        <v>2365</v>
      </c>
      <c r="B147" t="s">
        <v>2832</v>
      </c>
      <c r="C147">
        <v>10</v>
      </c>
      <c r="D147">
        <v>52</v>
      </c>
      <c r="F147" t="s">
        <v>3561</v>
      </c>
      <c r="G147" t="s">
        <v>3562</v>
      </c>
      <c r="H147" t="s">
        <v>3563</v>
      </c>
      <c r="I147" t="s">
        <v>1431</v>
      </c>
      <c r="J147" s="33" t="s">
        <v>2216</v>
      </c>
    </row>
    <row r="148" spans="1:10" ht="15.75" thickBot="1" x14ac:dyDescent="0.3">
      <c r="A148" s="37" t="s">
        <v>2366</v>
      </c>
      <c r="B148" s="30" t="s">
        <v>2832</v>
      </c>
      <c r="C148" s="30">
        <v>10</v>
      </c>
      <c r="D148" s="30">
        <v>52</v>
      </c>
      <c r="E148" s="30"/>
      <c r="F148" s="30" t="s">
        <v>3564</v>
      </c>
      <c r="G148" s="30" t="s">
        <v>3565</v>
      </c>
      <c r="H148" s="30" t="s">
        <v>3566</v>
      </c>
      <c r="I148" s="30" t="s">
        <v>1431</v>
      </c>
      <c r="J148" s="34" t="s">
        <v>2216</v>
      </c>
    </row>
    <row r="149" spans="1:10" x14ac:dyDescent="0.25">
      <c r="A149" s="35" t="s">
        <v>2367</v>
      </c>
      <c r="B149" s="22" t="s">
        <v>2832</v>
      </c>
      <c r="C149" s="22">
        <v>10</v>
      </c>
      <c r="D149" s="22">
        <v>53</v>
      </c>
      <c r="E149" s="22"/>
      <c r="F149" s="22" t="s">
        <v>53</v>
      </c>
      <c r="G149" s="22" t="s">
        <v>3598</v>
      </c>
      <c r="H149" s="22" t="s">
        <v>3599</v>
      </c>
      <c r="I149" s="22" t="s">
        <v>1431</v>
      </c>
      <c r="J149" s="32" t="s">
        <v>2216</v>
      </c>
    </row>
    <row r="150" spans="1:10" x14ac:dyDescent="0.25">
      <c r="A150" s="36" t="s">
        <v>2368</v>
      </c>
      <c r="B150" t="s">
        <v>2832</v>
      </c>
      <c r="C150">
        <v>10</v>
      </c>
      <c r="D150">
        <v>53</v>
      </c>
      <c r="F150" t="s">
        <v>3600</v>
      </c>
      <c r="G150" t="s">
        <v>3601</v>
      </c>
      <c r="H150" t="s">
        <v>3602</v>
      </c>
      <c r="I150" t="s">
        <v>1431</v>
      </c>
      <c r="J150" s="33" t="s">
        <v>2216</v>
      </c>
    </row>
    <row r="151" spans="1:10" x14ac:dyDescent="0.25">
      <c r="A151" s="36" t="s">
        <v>2369</v>
      </c>
      <c r="B151" t="s">
        <v>2832</v>
      </c>
      <c r="C151">
        <v>10</v>
      </c>
      <c r="D151">
        <v>53</v>
      </c>
      <c r="F151" t="s">
        <v>204</v>
      </c>
      <c r="G151" t="s">
        <v>3603</v>
      </c>
      <c r="H151" t="s">
        <v>3604</v>
      </c>
      <c r="I151" t="s">
        <v>1431</v>
      </c>
      <c r="J151" s="33" t="s">
        <v>2216</v>
      </c>
    </row>
    <row r="152" spans="1:10" x14ac:dyDescent="0.25">
      <c r="A152" s="36" t="s">
        <v>2370</v>
      </c>
      <c r="B152" t="s">
        <v>2832</v>
      </c>
      <c r="C152">
        <v>10</v>
      </c>
      <c r="D152">
        <v>53</v>
      </c>
      <c r="F152" t="s">
        <v>210</v>
      </c>
      <c r="G152" t="s">
        <v>3605</v>
      </c>
      <c r="H152" t="s">
        <v>3606</v>
      </c>
      <c r="I152" t="s">
        <v>1431</v>
      </c>
      <c r="J152" s="33" t="s">
        <v>2216</v>
      </c>
    </row>
    <row r="153" spans="1:10" x14ac:dyDescent="0.25">
      <c r="A153" s="36" t="s">
        <v>2371</v>
      </c>
      <c r="B153" t="s">
        <v>2832</v>
      </c>
      <c r="C153">
        <v>10</v>
      </c>
      <c r="D153">
        <v>53</v>
      </c>
      <c r="F153" t="s">
        <v>215</v>
      </c>
      <c r="G153" t="s">
        <v>3607</v>
      </c>
      <c r="H153" t="s">
        <v>3608</v>
      </c>
      <c r="I153" t="s">
        <v>1431</v>
      </c>
      <c r="J153" s="33" t="s">
        <v>2216</v>
      </c>
    </row>
    <row r="154" spans="1:10" ht="15.75" thickBot="1" x14ac:dyDescent="0.3">
      <c r="A154" s="37" t="s">
        <v>2372</v>
      </c>
      <c r="B154" s="30" t="s">
        <v>2832</v>
      </c>
      <c r="C154" s="30">
        <v>10</v>
      </c>
      <c r="D154" s="30">
        <v>53</v>
      </c>
      <c r="E154" s="30"/>
      <c r="F154" s="30" t="s">
        <v>3609</v>
      </c>
      <c r="G154" s="30" t="s">
        <v>3610</v>
      </c>
      <c r="H154" s="30" t="s">
        <v>3611</v>
      </c>
      <c r="I154" s="30" t="s">
        <v>1431</v>
      </c>
      <c r="J154" s="34" t="s">
        <v>2216</v>
      </c>
    </row>
    <row r="155" spans="1:10" x14ac:dyDescent="0.25">
      <c r="A155" s="35" t="s">
        <v>2373</v>
      </c>
      <c r="B155" s="22" t="s">
        <v>2832</v>
      </c>
      <c r="C155" s="22">
        <v>11</v>
      </c>
      <c r="D155" s="22">
        <v>56</v>
      </c>
      <c r="E155" s="22"/>
      <c r="F155" s="22" t="s">
        <v>69</v>
      </c>
      <c r="G155" s="22" t="s">
        <v>3648</v>
      </c>
      <c r="H155" s="22" t="s">
        <v>3649</v>
      </c>
      <c r="I155" s="22" t="s">
        <v>1431</v>
      </c>
      <c r="J155" s="32" t="s">
        <v>2216</v>
      </c>
    </row>
    <row r="156" spans="1:10" x14ac:dyDescent="0.25">
      <c r="A156" s="36" t="s">
        <v>2374</v>
      </c>
      <c r="B156" t="s">
        <v>2832</v>
      </c>
      <c r="C156">
        <v>11</v>
      </c>
      <c r="D156">
        <v>56</v>
      </c>
      <c r="F156" t="s">
        <v>2206</v>
      </c>
      <c r="G156" t="s">
        <v>3650</v>
      </c>
      <c r="H156" t="s">
        <v>3651</v>
      </c>
      <c r="I156" t="s">
        <v>1431</v>
      </c>
      <c r="J156" s="33" t="s">
        <v>2216</v>
      </c>
    </row>
    <row r="157" spans="1:10" x14ac:dyDescent="0.25">
      <c r="A157" s="36" t="s">
        <v>2375</v>
      </c>
      <c r="B157" t="s">
        <v>2832</v>
      </c>
      <c r="C157">
        <v>11</v>
      </c>
      <c r="D157">
        <v>56</v>
      </c>
      <c r="F157" t="s">
        <v>3652</v>
      </c>
      <c r="G157" t="s">
        <v>3653</v>
      </c>
      <c r="H157" t="s">
        <v>3654</v>
      </c>
      <c r="I157" t="s">
        <v>1431</v>
      </c>
      <c r="J157" s="33" t="s">
        <v>2216</v>
      </c>
    </row>
    <row r="158" spans="1:10" x14ac:dyDescent="0.25">
      <c r="A158" s="36" t="s">
        <v>2376</v>
      </c>
      <c r="B158" t="s">
        <v>2832</v>
      </c>
      <c r="C158">
        <v>11</v>
      </c>
      <c r="D158">
        <v>56</v>
      </c>
      <c r="F158" t="s">
        <v>215</v>
      </c>
      <c r="G158" t="s">
        <v>3655</v>
      </c>
      <c r="H158" t="s">
        <v>3656</v>
      </c>
      <c r="I158" t="s">
        <v>1431</v>
      </c>
      <c r="J158" s="33" t="s">
        <v>2216</v>
      </c>
    </row>
    <row r="159" spans="1:10" x14ac:dyDescent="0.25">
      <c r="A159" s="36" t="s">
        <v>2377</v>
      </c>
      <c r="B159" t="s">
        <v>2832</v>
      </c>
      <c r="C159">
        <v>11</v>
      </c>
      <c r="D159">
        <v>56</v>
      </c>
      <c r="F159" t="s">
        <v>210</v>
      </c>
      <c r="G159" t="s">
        <v>3657</v>
      </c>
      <c r="H159" t="s">
        <v>3658</v>
      </c>
      <c r="I159" t="s">
        <v>1431</v>
      </c>
      <c r="J159" s="33" t="s">
        <v>2216</v>
      </c>
    </row>
    <row r="160" spans="1:10" ht="15.75" thickBot="1" x14ac:dyDescent="0.3">
      <c r="A160" s="37" t="s">
        <v>2378</v>
      </c>
      <c r="B160" s="30" t="s">
        <v>2832</v>
      </c>
      <c r="C160" s="30">
        <v>11</v>
      </c>
      <c r="D160" s="30">
        <v>56</v>
      </c>
      <c r="E160" s="30"/>
      <c r="F160" s="30" t="s">
        <v>174</v>
      </c>
      <c r="G160" s="30" t="s">
        <v>3659</v>
      </c>
      <c r="H160" s="30" t="s">
        <v>3660</v>
      </c>
      <c r="I160" s="30" t="s">
        <v>1431</v>
      </c>
      <c r="J160" s="34" t="s">
        <v>2216</v>
      </c>
    </row>
    <row r="161" spans="1:10" x14ac:dyDescent="0.25">
      <c r="A161" s="35" t="s">
        <v>2379</v>
      </c>
      <c r="B161" s="22" t="s">
        <v>2832</v>
      </c>
      <c r="C161" s="22">
        <v>11</v>
      </c>
      <c r="D161" s="22">
        <v>57</v>
      </c>
      <c r="E161" s="22"/>
      <c r="F161" s="22" t="s">
        <v>2012</v>
      </c>
      <c r="G161" s="22" t="s">
        <v>3687</v>
      </c>
      <c r="H161" s="22" t="s">
        <v>3688</v>
      </c>
      <c r="I161" s="22" t="s">
        <v>1431</v>
      </c>
      <c r="J161" s="32" t="s">
        <v>2216</v>
      </c>
    </row>
    <row r="162" spans="1:10" x14ac:dyDescent="0.25">
      <c r="A162" s="36" t="s">
        <v>2380</v>
      </c>
      <c r="B162" t="s">
        <v>2832</v>
      </c>
      <c r="C162">
        <v>11</v>
      </c>
      <c r="D162">
        <v>57</v>
      </c>
      <c r="F162" t="s">
        <v>192</v>
      </c>
      <c r="G162" t="s">
        <v>3689</v>
      </c>
      <c r="H162" t="s">
        <v>3690</v>
      </c>
      <c r="I162" t="s">
        <v>1431</v>
      </c>
      <c r="J162" s="33" t="s">
        <v>2216</v>
      </c>
    </row>
    <row r="163" spans="1:10" x14ac:dyDescent="0.25">
      <c r="A163" s="36" t="s">
        <v>2381</v>
      </c>
      <c r="B163" t="s">
        <v>2832</v>
      </c>
      <c r="C163">
        <v>11</v>
      </c>
      <c r="D163">
        <v>57</v>
      </c>
      <c r="F163" t="s">
        <v>147</v>
      </c>
      <c r="G163" t="s">
        <v>3691</v>
      </c>
      <c r="H163" t="s">
        <v>3692</v>
      </c>
      <c r="I163" t="s">
        <v>1431</v>
      </c>
      <c r="J163" s="33" t="s">
        <v>2216</v>
      </c>
    </row>
    <row r="164" spans="1:10" x14ac:dyDescent="0.25">
      <c r="A164" s="36" t="s">
        <v>2382</v>
      </c>
      <c r="B164" t="s">
        <v>2832</v>
      </c>
      <c r="C164">
        <v>11</v>
      </c>
      <c r="D164">
        <v>57</v>
      </c>
      <c r="F164" t="s">
        <v>215</v>
      </c>
      <c r="G164" t="s">
        <v>3693</v>
      </c>
      <c r="H164" t="s">
        <v>3694</v>
      </c>
      <c r="I164" t="s">
        <v>1431</v>
      </c>
      <c r="J164" s="33" t="s">
        <v>2216</v>
      </c>
    </row>
    <row r="165" spans="1:10" x14ac:dyDescent="0.25">
      <c r="A165" s="36" t="s">
        <v>2383</v>
      </c>
      <c r="B165" t="s">
        <v>2832</v>
      </c>
      <c r="C165">
        <v>11</v>
      </c>
      <c r="D165">
        <v>57</v>
      </c>
      <c r="F165" t="s">
        <v>210</v>
      </c>
      <c r="G165" t="s">
        <v>3695</v>
      </c>
      <c r="H165" t="s">
        <v>3658</v>
      </c>
      <c r="I165" t="s">
        <v>1431</v>
      </c>
      <c r="J165" s="33" t="s">
        <v>2216</v>
      </c>
    </row>
    <row r="166" spans="1:10" ht="15.75" thickBot="1" x14ac:dyDescent="0.3">
      <c r="A166" s="37" t="s">
        <v>2384</v>
      </c>
      <c r="B166" s="30" t="s">
        <v>2832</v>
      </c>
      <c r="C166" s="30">
        <v>11</v>
      </c>
      <c r="D166" s="30">
        <v>57</v>
      </c>
      <c r="E166" s="30"/>
      <c r="F166" s="30" t="s">
        <v>166</v>
      </c>
      <c r="G166" s="30" t="s">
        <v>3696</v>
      </c>
      <c r="H166" s="30" t="s">
        <v>3697</v>
      </c>
      <c r="I166" s="30" t="s">
        <v>1431</v>
      </c>
      <c r="J166" s="34" t="s">
        <v>2216</v>
      </c>
    </row>
    <row r="167" spans="1:10" x14ac:dyDescent="0.25">
      <c r="A167" s="35" t="s">
        <v>2385</v>
      </c>
      <c r="B167" s="22" t="s">
        <v>3698</v>
      </c>
      <c r="C167" s="22">
        <v>12</v>
      </c>
      <c r="D167" s="22">
        <v>62</v>
      </c>
      <c r="E167" s="22"/>
      <c r="F167" s="22" t="s">
        <v>3863</v>
      </c>
      <c r="G167" s="22" t="s">
        <v>3864</v>
      </c>
      <c r="H167" s="22" t="s">
        <v>3865</v>
      </c>
      <c r="I167" s="22" t="s">
        <v>1431</v>
      </c>
      <c r="J167" s="32" t="s">
        <v>2216</v>
      </c>
    </row>
    <row r="168" spans="1:10" x14ac:dyDescent="0.25">
      <c r="A168" s="36" t="s">
        <v>2386</v>
      </c>
      <c r="B168" t="s">
        <v>3698</v>
      </c>
      <c r="C168">
        <v>12</v>
      </c>
      <c r="D168">
        <v>62</v>
      </c>
      <c r="F168" t="s">
        <v>3866</v>
      </c>
      <c r="G168" t="s">
        <v>3867</v>
      </c>
      <c r="H168" t="s">
        <v>3868</v>
      </c>
      <c r="I168" t="s">
        <v>1431</v>
      </c>
      <c r="J168" s="33" t="s">
        <v>2216</v>
      </c>
    </row>
    <row r="169" spans="1:10" x14ac:dyDescent="0.25">
      <c r="A169" s="36" t="s">
        <v>2387</v>
      </c>
      <c r="B169" t="s">
        <v>3698</v>
      </c>
      <c r="C169">
        <v>12</v>
      </c>
      <c r="D169">
        <v>62</v>
      </c>
      <c r="F169" t="s">
        <v>3869</v>
      </c>
      <c r="G169" t="s">
        <v>3870</v>
      </c>
      <c r="H169" t="s">
        <v>3871</v>
      </c>
      <c r="I169" t="s">
        <v>1431</v>
      </c>
      <c r="J169" s="33" t="s">
        <v>2216</v>
      </c>
    </row>
    <row r="170" spans="1:10" x14ac:dyDescent="0.25">
      <c r="A170" s="36" t="s">
        <v>2388</v>
      </c>
      <c r="B170" t="s">
        <v>3698</v>
      </c>
      <c r="C170">
        <v>12</v>
      </c>
      <c r="D170">
        <v>62</v>
      </c>
      <c r="F170" t="s">
        <v>198</v>
      </c>
      <c r="G170" t="s">
        <v>3872</v>
      </c>
      <c r="H170" t="s">
        <v>3873</v>
      </c>
      <c r="I170" t="s">
        <v>1431</v>
      </c>
      <c r="J170" s="33" t="s">
        <v>2216</v>
      </c>
    </row>
    <row r="171" spans="1:10" x14ac:dyDescent="0.25">
      <c r="A171" s="36" t="s">
        <v>2389</v>
      </c>
      <c r="B171" t="s">
        <v>3698</v>
      </c>
      <c r="C171">
        <v>12</v>
      </c>
      <c r="D171">
        <v>62</v>
      </c>
      <c r="F171" t="s">
        <v>3874</v>
      </c>
      <c r="G171" t="s">
        <v>3875</v>
      </c>
      <c r="H171" t="s">
        <v>3876</v>
      </c>
      <c r="I171" t="s">
        <v>1431</v>
      </c>
      <c r="J171" s="33" t="s">
        <v>2216</v>
      </c>
    </row>
    <row r="172" spans="1:10" x14ac:dyDescent="0.25">
      <c r="A172" s="36" t="s">
        <v>2390</v>
      </c>
      <c r="B172" t="s">
        <v>3698</v>
      </c>
      <c r="C172">
        <v>12</v>
      </c>
      <c r="D172">
        <v>62</v>
      </c>
      <c r="F172" t="s">
        <v>140</v>
      </c>
      <c r="G172" t="s">
        <v>3877</v>
      </c>
      <c r="H172" t="s">
        <v>3878</v>
      </c>
      <c r="I172" t="s">
        <v>1431</v>
      </c>
      <c r="J172" s="33" t="s">
        <v>2216</v>
      </c>
    </row>
    <row r="173" spans="1:10" ht="15.75" thickBot="1" x14ac:dyDescent="0.3">
      <c r="A173" s="37" t="s">
        <v>2391</v>
      </c>
      <c r="B173" s="30" t="s">
        <v>3698</v>
      </c>
      <c r="C173" s="30">
        <v>12</v>
      </c>
      <c r="D173" s="30">
        <v>62</v>
      </c>
      <c r="E173" s="30"/>
      <c r="F173" s="30" t="s">
        <v>161</v>
      </c>
      <c r="G173" s="30" t="s">
        <v>3879</v>
      </c>
      <c r="H173" s="30" t="s">
        <v>3880</v>
      </c>
      <c r="I173" s="30" t="s">
        <v>1431</v>
      </c>
      <c r="J173" s="34" t="s">
        <v>2216</v>
      </c>
    </row>
    <row r="174" spans="1:10" x14ac:dyDescent="0.25">
      <c r="A174" s="35" t="s">
        <v>2392</v>
      </c>
      <c r="B174" s="22" t="s">
        <v>3698</v>
      </c>
      <c r="C174" s="22">
        <v>12</v>
      </c>
      <c r="D174" s="22">
        <v>64</v>
      </c>
      <c r="E174" s="22"/>
      <c r="F174" s="22" t="s">
        <v>3923</v>
      </c>
      <c r="G174" s="22" t="s">
        <v>3924</v>
      </c>
      <c r="H174" s="22" t="s">
        <v>3925</v>
      </c>
      <c r="I174" s="22" t="s">
        <v>1431</v>
      </c>
      <c r="J174" s="32" t="s">
        <v>2216</v>
      </c>
    </row>
    <row r="175" spans="1:10" x14ac:dyDescent="0.25">
      <c r="A175" s="36" t="s">
        <v>2393</v>
      </c>
      <c r="B175" t="s">
        <v>3698</v>
      </c>
      <c r="C175">
        <v>12</v>
      </c>
      <c r="D175">
        <v>64</v>
      </c>
      <c r="F175" t="s">
        <v>198</v>
      </c>
      <c r="G175" t="s">
        <v>3926</v>
      </c>
      <c r="H175" t="s">
        <v>3927</v>
      </c>
      <c r="I175" t="s">
        <v>1431</v>
      </c>
      <c r="J175" s="33" t="s">
        <v>2216</v>
      </c>
    </row>
    <row r="176" spans="1:10" x14ac:dyDescent="0.25">
      <c r="A176" s="36" t="s">
        <v>2394</v>
      </c>
      <c r="B176" t="s">
        <v>3698</v>
      </c>
      <c r="C176">
        <v>12</v>
      </c>
      <c r="D176">
        <v>64</v>
      </c>
      <c r="F176" t="s">
        <v>210</v>
      </c>
      <c r="G176" t="s">
        <v>3928</v>
      </c>
      <c r="H176" t="s">
        <v>3929</v>
      </c>
      <c r="I176" t="s">
        <v>1431</v>
      </c>
      <c r="J176" s="33" t="s">
        <v>2216</v>
      </c>
    </row>
    <row r="177" spans="1:10" x14ac:dyDescent="0.25">
      <c r="A177" s="36" t="s">
        <v>2395</v>
      </c>
      <c r="B177" t="s">
        <v>3698</v>
      </c>
      <c r="C177">
        <v>12</v>
      </c>
      <c r="D177">
        <v>64</v>
      </c>
      <c r="F177" t="s">
        <v>147</v>
      </c>
      <c r="G177" t="s">
        <v>3930</v>
      </c>
      <c r="H177" t="s">
        <v>3931</v>
      </c>
      <c r="I177" t="s">
        <v>1431</v>
      </c>
      <c r="J177" s="33" t="s">
        <v>2216</v>
      </c>
    </row>
    <row r="178" spans="1:10" ht="15.75" thickBot="1" x14ac:dyDescent="0.3">
      <c r="A178" s="37" t="s">
        <v>2396</v>
      </c>
      <c r="B178" s="30" t="s">
        <v>3698</v>
      </c>
      <c r="C178" s="30">
        <v>12</v>
      </c>
      <c r="D178" s="30">
        <v>64</v>
      </c>
      <c r="E178" s="30"/>
      <c r="F178" s="30" t="s">
        <v>2823</v>
      </c>
      <c r="G178" s="30" t="s">
        <v>3932</v>
      </c>
      <c r="H178" s="30" t="s">
        <v>3933</v>
      </c>
      <c r="I178" s="30" t="s">
        <v>1431</v>
      </c>
      <c r="J178" s="34" t="s">
        <v>2216</v>
      </c>
    </row>
    <row r="179" spans="1:10" x14ac:dyDescent="0.25">
      <c r="A179" s="35" t="s">
        <v>2397</v>
      </c>
      <c r="B179" s="22" t="s">
        <v>3698</v>
      </c>
      <c r="C179" s="22">
        <v>12</v>
      </c>
      <c r="D179" s="22">
        <v>69</v>
      </c>
      <c r="E179" s="22"/>
      <c r="F179" s="22" t="s">
        <v>4008</v>
      </c>
      <c r="G179" s="22" t="s">
        <v>4009</v>
      </c>
      <c r="H179" s="22" t="s">
        <v>4010</v>
      </c>
      <c r="I179" s="22" t="s">
        <v>1431</v>
      </c>
      <c r="J179" s="32" t="s">
        <v>2216</v>
      </c>
    </row>
    <row r="180" spans="1:10" x14ac:dyDescent="0.25">
      <c r="A180" s="36" t="s">
        <v>2398</v>
      </c>
      <c r="B180" t="s">
        <v>3698</v>
      </c>
      <c r="C180">
        <v>12</v>
      </c>
      <c r="D180">
        <v>69</v>
      </c>
      <c r="F180" t="s">
        <v>147</v>
      </c>
      <c r="G180" t="s">
        <v>4011</v>
      </c>
      <c r="H180" t="s">
        <v>4012</v>
      </c>
      <c r="I180" t="s">
        <v>1431</v>
      </c>
      <c r="J180" s="33" t="s">
        <v>2216</v>
      </c>
    </row>
    <row r="181" spans="1:10" x14ac:dyDescent="0.25">
      <c r="A181" s="36" t="s">
        <v>2399</v>
      </c>
      <c r="B181" t="s">
        <v>3698</v>
      </c>
      <c r="C181">
        <v>12</v>
      </c>
      <c r="D181">
        <v>69</v>
      </c>
      <c r="F181" t="s">
        <v>186</v>
      </c>
      <c r="G181" t="s">
        <v>4013</v>
      </c>
      <c r="H181" t="s">
        <v>4014</v>
      </c>
      <c r="I181" t="s">
        <v>1431</v>
      </c>
      <c r="J181" s="33" t="s">
        <v>2216</v>
      </c>
    </row>
    <row r="182" spans="1:10" x14ac:dyDescent="0.25">
      <c r="A182" s="36" t="s">
        <v>2400</v>
      </c>
      <c r="B182" t="s">
        <v>3698</v>
      </c>
      <c r="C182">
        <v>12</v>
      </c>
      <c r="D182">
        <v>69</v>
      </c>
      <c r="F182" t="s">
        <v>204</v>
      </c>
      <c r="G182" t="s">
        <v>4015</v>
      </c>
      <c r="H182" t="s">
        <v>4016</v>
      </c>
      <c r="I182" t="s">
        <v>1431</v>
      </c>
      <c r="J182" s="33" t="s">
        <v>2216</v>
      </c>
    </row>
    <row r="183" spans="1:10" x14ac:dyDescent="0.25">
      <c r="A183" s="36" t="s">
        <v>2401</v>
      </c>
      <c r="B183" t="s">
        <v>3698</v>
      </c>
      <c r="C183">
        <v>12</v>
      </c>
      <c r="D183">
        <v>69</v>
      </c>
      <c r="F183" t="s">
        <v>3178</v>
      </c>
      <c r="G183" t="s">
        <v>4017</v>
      </c>
      <c r="H183" t="s">
        <v>4018</v>
      </c>
      <c r="I183" t="s">
        <v>1431</v>
      </c>
      <c r="J183" s="33" t="s">
        <v>2216</v>
      </c>
    </row>
    <row r="184" spans="1:10" ht="15.75" thickBot="1" x14ac:dyDescent="0.3">
      <c r="A184" s="37" t="s">
        <v>2402</v>
      </c>
      <c r="B184" s="30" t="s">
        <v>3698</v>
      </c>
      <c r="C184" s="30">
        <v>12</v>
      </c>
      <c r="D184" s="30">
        <v>69</v>
      </c>
      <c r="E184" s="30"/>
      <c r="F184" s="30" t="s">
        <v>221</v>
      </c>
      <c r="G184" s="30" t="s">
        <v>4019</v>
      </c>
      <c r="H184" s="30" t="s">
        <v>4020</v>
      </c>
      <c r="I184" s="30" t="s">
        <v>1431</v>
      </c>
      <c r="J184" s="34" t="s">
        <v>2216</v>
      </c>
    </row>
    <row r="185" spans="1:10" x14ac:dyDescent="0.25">
      <c r="A185" s="35" t="s">
        <v>2403</v>
      </c>
      <c r="B185" s="22" t="s">
        <v>3698</v>
      </c>
      <c r="C185" s="22">
        <v>12</v>
      </c>
      <c r="D185" s="22">
        <v>70</v>
      </c>
      <c r="E185" s="22"/>
      <c r="F185" s="22" t="s">
        <v>3863</v>
      </c>
      <c r="G185" s="22" t="s">
        <v>4090</v>
      </c>
      <c r="H185" s="22" t="s">
        <v>4091</v>
      </c>
      <c r="I185" s="22" t="s">
        <v>1431</v>
      </c>
      <c r="J185" s="32" t="s">
        <v>2216</v>
      </c>
    </row>
    <row r="186" spans="1:10" x14ac:dyDescent="0.25">
      <c r="A186" s="36" t="s">
        <v>2404</v>
      </c>
      <c r="B186" t="s">
        <v>3698</v>
      </c>
      <c r="C186">
        <v>12</v>
      </c>
      <c r="D186">
        <v>70</v>
      </c>
      <c r="F186" t="s">
        <v>4092</v>
      </c>
      <c r="G186" t="s">
        <v>4093</v>
      </c>
      <c r="H186" t="s">
        <v>4094</v>
      </c>
      <c r="I186" t="s">
        <v>1431</v>
      </c>
      <c r="J186" s="33" t="s">
        <v>2216</v>
      </c>
    </row>
    <row r="187" spans="1:10" x14ac:dyDescent="0.25">
      <c r="A187" s="36" t="s">
        <v>2405</v>
      </c>
      <c r="B187" t="s">
        <v>3698</v>
      </c>
      <c r="C187">
        <v>12</v>
      </c>
      <c r="D187">
        <v>70</v>
      </c>
      <c r="F187" t="s">
        <v>186</v>
      </c>
      <c r="G187" t="s">
        <v>4095</v>
      </c>
      <c r="H187" t="s">
        <v>4096</v>
      </c>
      <c r="I187" t="s">
        <v>1431</v>
      </c>
      <c r="J187" s="33" t="s">
        <v>2216</v>
      </c>
    </row>
    <row r="188" spans="1:10" x14ac:dyDescent="0.25">
      <c r="A188" s="36" t="s">
        <v>2406</v>
      </c>
      <c r="B188" t="s">
        <v>3698</v>
      </c>
      <c r="C188">
        <v>12</v>
      </c>
      <c r="D188">
        <v>70</v>
      </c>
      <c r="F188" t="s">
        <v>192</v>
      </c>
      <c r="G188" t="s">
        <v>4097</v>
      </c>
      <c r="H188" t="s">
        <v>4098</v>
      </c>
      <c r="I188" t="s">
        <v>1431</v>
      </c>
      <c r="J188" s="33" t="s">
        <v>2216</v>
      </c>
    </row>
    <row r="189" spans="1:10" x14ac:dyDescent="0.25">
      <c r="A189" s="36" t="s">
        <v>2407</v>
      </c>
      <c r="B189" t="s">
        <v>3698</v>
      </c>
      <c r="C189">
        <v>12</v>
      </c>
      <c r="D189">
        <v>70</v>
      </c>
      <c r="F189" t="s">
        <v>125</v>
      </c>
      <c r="G189" t="s">
        <v>4099</v>
      </c>
      <c r="H189" t="s">
        <v>4100</v>
      </c>
      <c r="I189" t="s">
        <v>1431</v>
      </c>
      <c r="J189" s="33" t="s">
        <v>2216</v>
      </c>
    </row>
    <row r="190" spans="1:10" x14ac:dyDescent="0.25">
      <c r="A190" s="36" t="s">
        <v>2408</v>
      </c>
      <c r="B190" t="s">
        <v>3698</v>
      </c>
      <c r="C190">
        <v>12</v>
      </c>
      <c r="D190">
        <v>70</v>
      </c>
      <c r="F190" t="s">
        <v>132</v>
      </c>
      <c r="G190" t="s">
        <v>4101</v>
      </c>
      <c r="H190" t="s">
        <v>4102</v>
      </c>
      <c r="I190" t="s">
        <v>1431</v>
      </c>
      <c r="J190" s="33" t="s">
        <v>2216</v>
      </c>
    </row>
    <row r="191" spans="1:10" ht="15.75" thickBot="1" x14ac:dyDescent="0.3">
      <c r="A191" s="37" t="s">
        <v>3699</v>
      </c>
      <c r="B191" s="30" t="s">
        <v>3698</v>
      </c>
      <c r="C191" s="30">
        <v>12</v>
      </c>
      <c r="D191" s="30">
        <v>70</v>
      </c>
      <c r="E191" s="30"/>
      <c r="F191" s="30" t="s">
        <v>140</v>
      </c>
      <c r="G191" s="30" t="s">
        <v>4103</v>
      </c>
      <c r="H191" s="30" t="s">
        <v>4104</v>
      </c>
      <c r="I191" s="30" t="s">
        <v>1431</v>
      </c>
      <c r="J191" s="34" t="s">
        <v>2216</v>
      </c>
    </row>
    <row r="192" spans="1:10" x14ac:dyDescent="0.25">
      <c r="A192" s="35" t="s">
        <v>3700</v>
      </c>
      <c r="B192" s="22" t="s">
        <v>3698</v>
      </c>
      <c r="C192" s="22">
        <v>13</v>
      </c>
      <c r="D192" s="22">
        <v>73</v>
      </c>
      <c r="E192" s="22"/>
      <c r="F192" s="22" t="s">
        <v>147</v>
      </c>
      <c r="G192" s="22" t="s">
        <v>4156</v>
      </c>
      <c r="H192" s="22" t="s">
        <v>4157</v>
      </c>
      <c r="I192" s="22" t="s">
        <v>1431</v>
      </c>
      <c r="J192" s="32" t="s">
        <v>2216</v>
      </c>
    </row>
    <row r="193" spans="1:10" x14ac:dyDescent="0.25">
      <c r="A193" s="36" t="s">
        <v>3701</v>
      </c>
      <c r="B193" t="s">
        <v>3698</v>
      </c>
      <c r="C193">
        <v>13</v>
      </c>
      <c r="D193">
        <v>73</v>
      </c>
      <c r="F193" t="s">
        <v>198</v>
      </c>
      <c r="G193" t="s">
        <v>4158</v>
      </c>
      <c r="H193" t="s">
        <v>4159</v>
      </c>
      <c r="I193" t="s">
        <v>1431</v>
      </c>
      <c r="J193" s="33" t="s">
        <v>2216</v>
      </c>
    </row>
    <row r="194" spans="1:10" x14ac:dyDescent="0.25">
      <c r="A194" s="36" t="s">
        <v>3702</v>
      </c>
      <c r="B194" t="s">
        <v>3698</v>
      </c>
      <c r="C194">
        <v>13</v>
      </c>
      <c r="D194">
        <v>73</v>
      </c>
      <c r="F194" t="s">
        <v>4160</v>
      </c>
      <c r="G194" t="s">
        <v>4161</v>
      </c>
      <c r="H194" t="s">
        <v>4162</v>
      </c>
      <c r="I194" t="s">
        <v>1431</v>
      </c>
      <c r="J194" s="33" t="s">
        <v>2216</v>
      </c>
    </row>
    <row r="195" spans="1:10" x14ac:dyDescent="0.25">
      <c r="A195" s="36" t="s">
        <v>3703</v>
      </c>
      <c r="B195" t="s">
        <v>3698</v>
      </c>
      <c r="C195">
        <v>13</v>
      </c>
      <c r="D195">
        <v>73</v>
      </c>
      <c r="F195" t="s">
        <v>140</v>
      </c>
      <c r="G195" t="s">
        <v>4163</v>
      </c>
      <c r="H195" t="s">
        <v>4164</v>
      </c>
      <c r="I195" t="s">
        <v>1431</v>
      </c>
      <c r="J195" s="33" t="s">
        <v>2216</v>
      </c>
    </row>
    <row r="196" spans="1:10" ht="15.75" thickBot="1" x14ac:dyDescent="0.3">
      <c r="A196" s="37" t="s">
        <v>3704</v>
      </c>
      <c r="B196" s="30" t="s">
        <v>3698</v>
      </c>
      <c r="C196" s="30">
        <v>13</v>
      </c>
      <c r="D196" s="30">
        <v>73</v>
      </c>
      <c r="E196" s="30"/>
      <c r="F196" s="30" t="s">
        <v>186</v>
      </c>
      <c r="G196" s="30" t="s">
        <v>4165</v>
      </c>
      <c r="H196" s="30" t="s">
        <v>4166</v>
      </c>
      <c r="I196" s="30" t="s">
        <v>1431</v>
      </c>
      <c r="J196" s="34" t="s">
        <v>2216</v>
      </c>
    </row>
    <row r="197" spans="1:10" x14ac:dyDescent="0.25">
      <c r="A197" s="35" t="s">
        <v>3705</v>
      </c>
      <c r="B197" s="22" t="s">
        <v>3698</v>
      </c>
      <c r="C197" s="22">
        <v>13</v>
      </c>
      <c r="D197" s="22">
        <v>74</v>
      </c>
      <c r="E197" s="22"/>
      <c r="F197" s="22" t="s">
        <v>1510</v>
      </c>
      <c r="G197" s="22" t="s">
        <v>4195</v>
      </c>
      <c r="H197" s="22" t="s">
        <v>4196</v>
      </c>
      <c r="I197" s="22" t="s">
        <v>1431</v>
      </c>
      <c r="J197" s="32" t="s">
        <v>2216</v>
      </c>
    </row>
    <row r="198" spans="1:10" x14ac:dyDescent="0.25">
      <c r="A198" s="36" t="s">
        <v>3706</v>
      </c>
      <c r="B198" t="s">
        <v>3698</v>
      </c>
      <c r="C198">
        <v>13</v>
      </c>
      <c r="D198">
        <v>74</v>
      </c>
      <c r="F198" t="s">
        <v>2823</v>
      </c>
      <c r="G198" t="s">
        <v>4197</v>
      </c>
      <c r="H198" t="s">
        <v>4198</v>
      </c>
      <c r="I198" t="s">
        <v>1431</v>
      </c>
      <c r="J198" s="33" t="s">
        <v>2216</v>
      </c>
    </row>
    <row r="199" spans="1:10" x14ac:dyDescent="0.25">
      <c r="A199" s="36" t="s">
        <v>3707</v>
      </c>
      <c r="B199" t="s">
        <v>3698</v>
      </c>
      <c r="C199">
        <v>13</v>
      </c>
      <c r="D199">
        <v>74</v>
      </c>
      <c r="F199" t="s">
        <v>192</v>
      </c>
      <c r="G199" t="s">
        <v>4199</v>
      </c>
      <c r="H199" t="s">
        <v>4200</v>
      </c>
      <c r="I199" t="s">
        <v>1431</v>
      </c>
      <c r="J199" s="33" t="s">
        <v>2216</v>
      </c>
    </row>
    <row r="200" spans="1:10" x14ac:dyDescent="0.25">
      <c r="A200" s="36" t="s">
        <v>3708</v>
      </c>
      <c r="B200" t="s">
        <v>3698</v>
      </c>
      <c r="C200">
        <v>13</v>
      </c>
      <c r="D200">
        <v>74</v>
      </c>
      <c r="F200" t="s">
        <v>215</v>
      </c>
      <c r="G200" t="s">
        <v>4201</v>
      </c>
      <c r="H200" t="s">
        <v>4202</v>
      </c>
      <c r="I200" t="s">
        <v>1431</v>
      </c>
      <c r="J200" s="33" t="s">
        <v>2216</v>
      </c>
    </row>
    <row r="201" spans="1:10" x14ac:dyDescent="0.25">
      <c r="A201" s="36" t="s">
        <v>3709</v>
      </c>
      <c r="B201" t="s">
        <v>3698</v>
      </c>
      <c r="C201">
        <v>13</v>
      </c>
      <c r="D201">
        <v>74</v>
      </c>
      <c r="F201" t="s">
        <v>166</v>
      </c>
      <c r="G201" t="s">
        <v>4203</v>
      </c>
      <c r="H201" t="s">
        <v>4204</v>
      </c>
      <c r="I201" t="s">
        <v>1431</v>
      </c>
      <c r="J201" s="33" t="s">
        <v>2216</v>
      </c>
    </row>
    <row r="202" spans="1:10" ht="15.75" thickBot="1" x14ac:dyDescent="0.3">
      <c r="A202" s="37" t="s">
        <v>3710</v>
      </c>
      <c r="B202" s="30" t="s">
        <v>3698</v>
      </c>
      <c r="C202" s="30">
        <v>13</v>
      </c>
      <c r="D202" s="30">
        <v>74</v>
      </c>
      <c r="E202" s="30"/>
      <c r="F202" s="30" t="s">
        <v>4205</v>
      </c>
      <c r="G202" s="30" t="s">
        <v>4206</v>
      </c>
      <c r="H202" s="30" t="s">
        <v>4207</v>
      </c>
      <c r="I202" s="30" t="s">
        <v>1431</v>
      </c>
      <c r="J202" s="34" t="s">
        <v>2216</v>
      </c>
    </row>
    <row r="203" spans="1:10" x14ac:dyDescent="0.25">
      <c r="A203" s="35" t="s">
        <v>3711</v>
      </c>
      <c r="B203" s="22" t="s">
        <v>3698</v>
      </c>
      <c r="C203" s="22">
        <v>15</v>
      </c>
      <c r="D203" s="22">
        <v>86</v>
      </c>
      <c r="E203" s="22"/>
      <c r="F203" s="22" t="s">
        <v>204</v>
      </c>
      <c r="G203" s="22" t="s">
        <v>4273</v>
      </c>
      <c r="H203" s="22" t="s">
        <v>4274</v>
      </c>
      <c r="I203" s="22" t="s">
        <v>1431</v>
      </c>
      <c r="J203" s="32" t="s">
        <v>2216</v>
      </c>
    </row>
    <row r="204" spans="1:10" x14ac:dyDescent="0.25">
      <c r="A204" s="36" t="s">
        <v>3712</v>
      </c>
      <c r="B204" t="s">
        <v>3698</v>
      </c>
      <c r="C204">
        <v>15</v>
      </c>
      <c r="D204">
        <v>86</v>
      </c>
      <c r="F204" t="s">
        <v>4275</v>
      </c>
      <c r="G204" t="s">
        <v>4276</v>
      </c>
      <c r="H204" t="s">
        <v>4277</v>
      </c>
      <c r="I204" t="s">
        <v>1431</v>
      </c>
      <c r="J204" s="33" t="s">
        <v>2216</v>
      </c>
    </row>
    <row r="205" spans="1:10" x14ac:dyDescent="0.25">
      <c r="A205" s="36" t="s">
        <v>3713</v>
      </c>
      <c r="B205" t="s">
        <v>3698</v>
      </c>
      <c r="C205">
        <v>15</v>
      </c>
      <c r="D205">
        <v>86</v>
      </c>
      <c r="F205" t="s">
        <v>4278</v>
      </c>
      <c r="G205" t="s">
        <v>4279</v>
      </c>
      <c r="H205" t="s">
        <v>4280</v>
      </c>
      <c r="I205" t="s">
        <v>1431</v>
      </c>
      <c r="J205" s="33" t="s">
        <v>2216</v>
      </c>
    </row>
    <row r="206" spans="1:10" x14ac:dyDescent="0.25">
      <c r="A206" s="36" t="s">
        <v>3714</v>
      </c>
      <c r="B206" t="s">
        <v>3698</v>
      </c>
      <c r="C206">
        <v>15</v>
      </c>
      <c r="D206">
        <v>86</v>
      </c>
      <c r="F206" t="s">
        <v>140</v>
      </c>
      <c r="G206" t="s">
        <v>4281</v>
      </c>
      <c r="H206" t="s">
        <v>4282</v>
      </c>
      <c r="I206" t="s">
        <v>1431</v>
      </c>
      <c r="J206" s="33" t="s">
        <v>2216</v>
      </c>
    </row>
    <row r="207" spans="1:10" x14ac:dyDescent="0.25">
      <c r="A207" s="36" t="s">
        <v>3715</v>
      </c>
      <c r="B207" t="s">
        <v>3698</v>
      </c>
      <c r="C207">
        <v>15</v>
      </c>
      <c r="D207">
        <v>86</v>
      </c>
      <c r="F207" t="s">
        <v>4283</v>
      </c>
      <c r="G207" t="s">
        <v>4284</v>
      </c>
      <c r="H207" t="s">
        <v>4285</v>
      </c>
      <c r="I207" t="s">
        <v>1431</v>
      </c>
      <c r="J207" s="33" t="s">
        <v>2216</v>
      </c>
    </row>
    <row r="208" spans="1:10" ht="15.75" thickBot="1" x14ac:dyDescent="0.3">
      <c r="A208" s="37" t="s">
        <v>3716</v>
      </c>
      <c r="B208" s="30" t="s">
        <v>3698</v>
      </c>
      <c r="C208" s="30">
        <v>15</v>
      </c>
      <c r="D208" s="30">
        <v>86</v>
      </c>
      <c r="E208" s="30"/>
      <c r="F208" s="30" t="s">
        <v>192</v>
      </c>
      <c r="G208" s="30" t="s">
        <v>4286</v>
      </c>
      <c r="H208" s="30" t="s">
        <v>4287</v>
      </c>
      <c r="I208" s="30" t="s">
        <v>1431</v>
      </c>
      <c r="J208" s="34" t="s">
        <v>2216</v>
      </c>
    </row>
    <row r="209" spans="1:10" x14ac:dyDescent="0.25">
      <c r="A209" s="35" t="s">
        <v>3717</v>
      </c>
      <c r="B209" s="22" t="s">
        <v>3698</v>
      </c>
      <c r="C209" s="22">
        <v>15</v>
      </c>
      <c r="D209" s="22">
        <v>88</v>
      </c>
      <c r="E209" s="22"/>
      <c r="F209" s="22" t="s">
        <v>4318</v>
      </c>
      <c r="G209" s="22" t="s">
        <v>4319</v>
      </c>
      <c r="H209" s="22" t="s">
        <v>4320</v>
      </c>
      <c r="I209" s="22" t="s">
        <v>1431</v>
      </c>
      <c r="J209" s="32" t="s">
        <v>2216</v>
      </c>
    </row>
    <row r="210" spans="1:10" x14ac:dyDescent="0.25">
      <c r="A210" s="36" t="s">
        <v>3718</v>
      </c>
      <c r="B210" t="s">
        <v>3698</v>
      </c>
      <c r="C210">
        <v>15</v>
      </c>
      <c r="D210">
        <v>88</v>
      </c>
      <c r="F210" t="s">
        <v>4321</v>
      </c>
      <c r="G210" t="s">
        <v>4322</v>
      </c>
      <c r="H210" t="s">
        <v>4323</v>
      </c>
      <c r="I210" t="s">
        <v>1431</v>
      </c>
      <c r="J210" s="33" t="s">
        <v>2216</v>
      </c>
    </row>
    <row r="211" spans="1:10" x14ac:dyDescent="0.25">
      <c r="A211" s="36" t="s">
        <v>3719</v>
      </c>
      <c r="B211" t="s">
        <v>3698</v>
      </c>
      <c r="C211">
        <v>15</v>
      </c>
      <c r="D211">
        <v>88</v>
      </c>
      <c r="F211" t="s">
        <v>198</v>
      </c>
      <c r="G211" t="s">
        <v>4324</v>
      </c>
      <c r="H211" t="s">
        <v>4325</v>
      </c>
      <c r="I211" t="s">
        <v>1431</v>
      </c>
      <c r="J211" s="33" t="s">
        <v>2216</v>
      </c>
    </row>
    <row r="212" spans="1:10" x14ac:dyDescent="0.25">
      <c r="A212" s="36" t="s">
        <v>3720</v>
      </c>
      <c r="B212" t="s">
        <v>3698</v>
      </c>
      <c r="C212">
        <v>15</v>
      </c>
      <c r="D212">
        <v>88</v>
      </c>
      <c r="F212" t="s">
        <v>192</v>
      </c>
      <c r="G212" t="s">
        <v>4326</v>
      </c>
      <c r="H212" t="s">
        <v>4327</v>
      </c>
      <c r="I212" t="s">
        <v>1431</v>
      </c>
      <c r="J212" s="33" t="s">
        <v>2216</v>
      </c>
    </row>
    <row r="213" spans="1:10" x14ac:dyDescent="0.25">
      <c r="A213" s="36" t="s">
        <v>3721</v>
      </c>
      <c r="B213" t="s">
        <v>3698</v>
      </c>
      <c r="C213">
        <v>15</v>
      </c>
      <c r="D213">
        <v>88</v>
      </c>
      <c r="F213" t="s">
        <v>4328</v>
      </c>
      <c r="G213" t="s">
        <v>4329</v>
      </c>
      <c r="H213" t="s">
        <v>4330</v>
      </c>
      <c r="I213" t="s">
        <v>1431</v>
      </c>
      <c r="J213" s="33" t="s">
        <v>2216</v>
      </c>
    </row>
    <row r="214" spans="1:10" ht="15.75" thickBot="1" x14ac:dyDescent="0.3">
      <c r="A214" s="37" t="s">
        <v>3722</v>
      </c>
      <c r="B214" s="30" t="s">
        <v>3698</v>
      </c>
      <c r="C214" s="30">
        <v>15</v>
      </c>
      <c r="D214" s="30">
        <v>88</v>
      </c>
      <c r="E214" s="30"/>
      <c r="F214" s="30" t="s">
        <v>112</v>
      </c>
      <c r="G214" s="30" t="s">
        <v>4331</v>
      </c>
      <c r="H214" s="30" t="s">
        <v>4332</v>
      </c>
      <c r="I214" s="30" t="s">
        <v>1431</v>
      </c>
      <c r="J214" s="34" t="s">
        <v>2216</v>
      </c>
    </row>
    <row r="215" spans="1:10" x14ac:dyDescent="0.25">
      <c r="A215" s="35" t="s">
        <v>3723</v>
      </c>
      <c r="B215" s="22" t="s">
        <v>3698</v>
      </c>
      <c r="C215" s="22">
        <v>15</v>
      </c>
      <c r="D215" s="22">
        <v>90</v>
      </c>
      <c r="E215" s="22"/>
      <c r="F215" s="22" t="s">
        <v>4275</v>
      </c>
      <c r="G215" s="22" t="s">
        <v>4386</v>
      </c>
      <c r="H215" s="22" t="s">
        <v>4387</v>
      </c>
      <c r="I215" s="22" t="s">
        <v>1431</v>
      </c>
      <c r="J215" s="32" t="s">
        <v>2216</v>
      </c>
    </row>
    <row r="216" spans="1:10" x14ac:dyDescent="0.25">
      <c r="A216" s="36" t="s">
        <v>3724</v>
      </c>
      <c r="B216" t="s">
        <v>3698</v>
      </c>
      <c r="C216">
        <v>15</v>
      </c>
      <c r="D216">
        <v>90</v>
      </c>
      <c r="F216" t="s">
        <v>161</v>
      </c>
      <c r="G216" t="s">
        <v>4388</v>
      </c>
      <c r="H216" t="s">
        <v>4389</v>
      </c>
      <c r="I216" t="s">
        <v>1431</v>
      </c>
      <c r="J216" s="33" t="s">
        <v>2216</v>
      </c>
    </row>
    <row r="217" spans="1:10" x14ac:dyDescent="0.25">
      <c r="A217" s="36" t="s">
        <v>3725</v>
      </c>
      <c r="B217" t="s">
        <v>3698</v>
      </c>
      <c r="C217">
        <v>15</v>
      </c>
      <c r="D217">
        <v>90</v>
      </c>
      <c r="F217" t="s">
        <v>4390</v>
      </c>
      <c r="G217" t="s">
        <v>4391</v>
      </c>
      <c r="H217" t="s">
        <v>4392</v>
      </c>
      <c r="I217" t="s">
        <v>1431</v>
      </c>
      <c r="J217" s="33" t="s">
        <v>2216</v>
      </c>
    </row>
    <row r="218" spans="1:10" x14ac:dyDescent="0.25">
      <c r="A218" s="36" t="s">
        <v>3726</v>
      </c>
      <c r="B218" t="s">
        <v>3698</v>
      </c>
      <c r="C218">
        <v>15</v>
      </c>
      <c r="D218">
        <v>90</v>
      </c>
      <c r="F218" t="s">
        <v>4393</v>
      </c>
      <c r="G218" t="s">
        <v>4394</v>
      </c>
      <c r="H218" t="s">
        <v>4395</v>
      </c>
      <c r="I218" t="s">
        <v>1431</v>
      </c>
      <c r="J218" s="33" t="s">
        <v>2216</v>
      </c>
    </row>
    <row r="219" spans="1:10" x14ac:dyDescent="0.25">
      <c r="A219" s="36" t="s">
        <v>3727</v>
      </c>
      <c r="B219" t="s">
        <v>3698</v>
      </c>
      <c r="C219">
        <v>15</v>
      </c>
      <c r="D219">
        <v>90</v>
      </c>
      <c r="F219" t="s">
        <v>4396</v>
      </c>
      <c r="G219" t="s">
        <v>4397</v>
      </c>
      <c r="H219" t="s">
        <v>4398</v>
      </c>
      <c r="I219" t="s">
        <v>1431</v>
      </c>
      <c r="J219" s="33" t="s">
        <v>2216</v>
      </c>
    </row>
    <row r="220" spans="1:10" ht="15.75" thickBot="1" x14ac:dyDescent="0.3">
      <c r="A220" s="37" t="s">
        <v>3728</v>
      </c>
      <c r="B220" s="30" t="s">
        <v>3698</v>
      </c>
      <c r="C220" s="30">
        <v>15</v>
      </c>
      <c r="D220" s="30">
        <v>90</v>
      </c>
      <c r="E220" s="30"/>
      <c r="F220" s="30" t="s">
        <v>221</v>
      </c>
      <c r="G220" s="30" t="s">
        <v>4399</v>
      </c>
      <c r="H220" s="30" t="s">
        <v>4400</v>
      </c>
      <c r="I220" s="30" t="s">
        <v>1431</v>
      </c>
      <c r="J220" s="34" t="s">
        <v>2216</v>
      </c>
    </row>
    <row r="221" spans="1:10" x14ac:dyDescent="0.25">
      <c r="A221" s="35" t="s">
        <v>3729</v>
      </c>
      <c r="B221" s="22" t="s">
        <v>3698</v>
      </c>
      <c r="C221" s="22">
        <v>15</v>
      </c>
      <c r="D221" s="22">
        <v>91</v>
      </c>
      <c r="E221" s="22"/>
      <c r="F221" s="22" t="s">
        <v>4401</v>
      </c>
      <c r="G221" s="22" t="s">
        <v>4402</v>
      </c>
      <c r="H221" s="22" t="s">
        <v>4403</v>
      </c>
      <c r="I221" s="22" t="s">
        <v>1431</v>
      </c>
      <c r="J221" s="32" t="s">
        <v>2216</v>
      </c>
    </row>
    <row r="222" spans="1:10" x14ac:dyDescent="0.25">
      <c r="A222" s="36" t="s">
        <v>3730</v>
      </c>
      <c r="B222" t="s">
        <v>3698</v>
      </c>
      <c r="C222">
        <v>15</v>
      </c>
      <c r="D222">
        <v>91</v>
      </c>
      <c r="F222" t="s">
        <v>4318</v>
      </c>
      <c r="G222" t="s">
        <v>4404</v>
      </c>
      <c r="H222" t="s">
        <v>4405</v>
      </c>
      <c r="I222" t="s">
        <v>1431</v>
      </c>
      <c r="J222" s="33" t="s">
        <v>2216</v>
      </c>
    </row>
    <row r="223" spans="1:10" x14ac:dyDescent="0.25">
      <c r="A223" s="36" t="s">
        <v>3731</v>
      </c>
      <c r="B223" t="s">
        <v>3698</v>
      </c>
      <c r="C223">
        <v>15</v>
      </c>
      <c r="D223">
        <v>91</v>
      </c>
      <c r="F223" t="s">
        <v>198</v>
      </c>
      <c r="G223" t="s">
        <v>4406</v>
      </c>
      <c r="H223" t="s">
        <v>4407</v>
      </c>
      <c r="I223" t="s">
        <v>1431</v>
      </c>
      <c r="J223" s="33" t="s">
        <v>2216</v>
      </c>
    </row>
    <row r="224" spans="1:10" x14ac:dyDescent="0.25">
      <c r="A224" s="36" t="s">
        <v>3732</v>
      </c>
      <c r="B224" t="s">
        <v>3698</v>
      </c>
      <c r="C224">
        <v>15</v>
      </c>
      <c r="D224">
        <v>91</v>
      </c>
      <c r="F224" t="s">
        <v>210</v>
      </c>
      <c r="G224" t="s">
        <v>4408</v>
      </c>
      <c r="H224" t="s">
        <v>4409</v>
      </c>
      <c r="I224" t="s">
        <v>1431</v>
      </c>
      <c r="J224" s="33" t="s">
        <v>2216</v>
      </c>
    </row>
    <row r="225" spans="1:10" x14ac:dyDescent="0.25">
      <c r="A225" s="36" t="s">
        <v>3733</v>
      </c>
      <c r="B225" t="s">
        <v>3698</v>
      </c>
      <c r="C225">
        <v>15</v>
      </c>
      <c r="D225">
        <v>91</v>
      </c>
      <c r="F225" t="s">
        <v>4410</v>
      </c>
      <c r="G225" t="s">
        <v>4411</v>
      </c>
      <c r="H225" t="s">
        <v>4412</v>
      </c>
      <c r="I225" t="s">
        <v>1431</v>
      </c>
      <c r="J225" s="33" t="s">
        <v>2216</v>
      </c>
    </row>
    <row r="226" spans="1:10" ht="15.75" thickBot="1" x14ac:dyDescent="0.3">
      <c r="A226" s="37" t="s">
        <v>3734</v>
      </c>
      <c r="B226" s="30" t="s">
        <v>3698</v>
      </c>
      <c r="C226" s="30">
        <v>15</v>
      </c>
      <c r="D226" s="30">
        <v>91</v>
      </c>
      <c r="E226" s="30"/>
      <c r="F226" s="30" t="s">
        <v>4413</v>
      </c>
      <c r="G226" s="30" t="s">
        <v>4414</v>
      </c>
      <c r="H226" s="30" t="s">
        <v>4415</v>
      </c>
      <c r="I226" s="30" t="s">
        <v>1431</v>
      </c>
      <c r="J226" s="34" t="s">
        <v>2216</v>
      </c>
    </row>
    <row r="227" spans="1:10" x14ac:dyDescent="0.25">
      <c r="A227" s="35" t="s">
        <v>3735</v>
      </c>
      <c r="B227" s="22" t="s">
        <v>3698</v>
      </c>
      <c r="C227" s="22">
        <v>15</v>
      </c>
      <c r="D227" s="22">
        <v>92</v>
      </c>
      <c r="E227" s="22"/>
      <c r="F227" s="22" t="s">
        <v>4458</v>
      </c>
      <c r="G227" s="22" t="s">
        <v>4459</v>
      </c>
      <c r="H227" s="22" t="s">
        <v>4460</v>
      </c>
      <c r="I227" s="22" t="s">
        <v>1431</v>
      </c>
      <c r="J227" s="32" t="s">
        <v>2216</v>
      </c>
    </row>
    <row r="228" spans="1:10" x14ac:dyDescent="0.25">
      <c r="A228" s="36" t="s">
        <v>3736</v>
      </c>
      <c r="B228" t="s">
        <v>3698</v>
      </c>
      <c r="C228">
        <v>15</v>
      </c>
      <c r="D228">
        <v>92</v>
      </c>
      <c r="F228" t="s">
        <v>4461</v>
      </c>
      <c r="G228" t="s">
        <v>4462</v>
      </c>
      <c r="H228" t="s">
        <v>4463</v>
      </c>
      <c r="I228" t="s">
        <v>1431</v>
      </c>
      <c r="J228" s="33" t="s">
        <v>2216</v>
      </c>
    </row>
    <row r="229" spans="1:10" x14ac:dyDescent="0.25">
      <c r="A229" s="36" t="s">
        <v>3737</v>
      </c>
      <c r="B229" t="s">
        <v>3698</v>
      </c>
      <c r="C229">
        <v>15</v>
      </c>
      <c r="D229">
        <v>92</v>
      </c>
      <c r="F229" t="s">
        <v>204</v>
      </c>
      <c r="G229" t="s">
        <v>4464</v>
      </c>
      <c r="H229" t="s">
        <v>4465</v>
      </c>
      <c r="I229" t="s">
        <v>1431</v>
      </c>
      <c r="J229" s="33" t="s">
        <v>2216</v>
      </c>
    </row>
    <row r="230" spans="1:10" x14ac:dyDescent="0.25">
      <c r="A230" s="36" t="s">
        <v>3738</v>
      </c>
      <c r="B230" t="s">
        <v>3698</v>
      </c>
      <c r="C230">
        <v>15</v>
      </c>
      <c r="D230">
        <v>92</v>
      </c>
      <c r="F230" t="s">
        <v>210</v>
      </c>
      <c r="G230" t="s">
        <v>4466</v>
      </c>
      <c r="H230" t="s">
        <v>4467</v>
      </c>
      <c r="I230" t="s">
        <v>1431</v>
      </c>
      <c r="J230" s="33" t="s">
        <v>2216</v>
      </c>
    </row>
    <row r="231" spans="1:10" x14ac:dyDescent="0.25">
      <c r="A231" s="36" t="s">
        <v>3739</v>
      </c>
      <c r="B231" t="s">
        <v>3698</v>
      </c>
      <c r="C231">
        <v>15</v>
      </c>
      <c r="D231">
        <v>92</v>
      </c>
      <c r="F231" t="s">
        <v>4468</v>
      </c>
      <c r="G231" t="s">
        <v>4469</v>
      </c>
      <c r="H231" t="s">
        <v>4470</v>
      </c>
      <c r="I231" t="s">
        <v>1431</v>
      </c>
      <c r="J231" s="33" t="s">
        <v>2216</v>
      </c>
    </row>
    <row r="232" spans="1:10" ht="15.75" thickBot="1" x14ac:dyDescent="0.3">
      <c r="A232" s="37" t="s">
        <v>3740</v>
      </c>
      <c r="B232" s="30" t="s">
        <v>3698</v>
      </c>
      <c r="C232" s="30">
        <v>15</v>
      </c>
      <c r="D232" s="30">
        <v>92</v>
      </c>
      <c r="E232" s="30"/>
      <c r="F232" s="30" t="s">
        <v>174</v>
      </c>
      <c r="G232" s="30" t="s">
        <v>4471</v>
      </c>
      <c r="H232" s="30" t="s">
        <v>4472</v>
      </c>
      <c r="I232" s="30" t="s">
        <v>1431</v>
      </c>
      <c r="J232" s="34" t="s">
        <v>2216</v>
      </c>
    </row>
    <row r="233" spans="1:10" x14ac:dyDescent="0.25">
      <c r="A233" s="35" t="s">
        <v>3741</v>
      </c>
      <c r="B233" s="22" t="s">
        <v>3698</v>
      </c>
      <c r="C233" s="22">
        <v>15</v>
      </c>
      <c r="D233" s="22">
        <v>93</v>
      </c>
      <c r="E233" s="22"/>
      <c r="F233" s="22" t="s">
        <v>4581</v>
      </c>
      <c r="G233" s="22" t="s">
        <v>4582</v>
      </c>
      <c r="H233" s="22" t="s">
        <v>4583</v>
      </c>
      <c r="I233" s="22" t="s">
        <v>1431</v>
      </c>
      <c r="J233" s="32" t="s">
        <v>2216</v>
      </c>
    </row>
    <row r="234" spans="1:10" x14ac:dyDescent="0.25">
      <c r="A234" s="36" t="s">
        <v>3742</v>
      </c>
      <c r="B234" s="52" t="s">
        <v>3698</v>
      </c>
      <c r="C234" s="52">
        <v>15</v>
      </c>
      <c r="D234" s="52">
        <v>93</v>
      </c>
      <c r="E234" s="52"/>
      <c r="F234" s="52" t="s">
        <v>4584</v>
      </c>
      <c r="G234" s="52" t="s">
        <v>4585</v>
      </c>
      <c r="H234" s="52" t="s">
        <v>4586</v>
      </c>
      <c r="I234" s="52" t="s">
        <v>1431</v>
      </c>
      <c r="J234" s="33" t="s">
        <v>2216</v>
      </c>
    </row>
    <row r="235" spans="1:10" x14ac:dyDescent="0.25">
      <c r="A235" s="36" t="s">
        <v>3743</v>
      </c>
      <c r="B235" s="52" t="s">
        <v>3698</v>
      </c>
      <c r="C235" s="52">
        <v>15</v>
      </c>
      <c r="D235" s="52">
        <v>93</v>
      </c>
      <c r="E235" s="52"/>
      <c r="F235" s="52" t="s">
        <v>4587</v>
      </c>
      <c r="G235" s="52" t="s">
        <v>4588</v>
      </c>
      <c r="H235" s="52" t="s">
        <v>4589</v>
      </c>
      <c r="I235" s="52" t="s">
        <v>1431</v>
      </c>
      <c r="J235" s="33" t="s">
        <v>2216</v>
      </c>
    </row>
    <row r="236" spans="1:10" x14ac:dyDescent="0.25">
      <c r="A236" s="36" t="s">
        <v>3744</v>
      </c>
      <c r="B236" s="52" t="s">
        <v>3698</v>
      </c>
      <c r="C236" s="52">
        <v>15</v>
      </c>
      <c r="D236" s="52">
        <v>93</v>
      </c>
      <c r="E236" s="52"/>
      <c r="F236" s="52" t="s">
        <v>186</v>
      </c>
      <c r="G236" s="52" t="s">
        <v>4590</v>
      </c>
      <c r="H236" s="52" t="s">
        <v>4591</v>
      </c>
      <c r="I236" s="52" t="s">
        <v>1431</v>
      </c>
      <c r="J236" s="33" t="s">
        <v>2216</v>
      </c>
    </row>
    <row r="237" spans="1:10" x14ac:dyDescent="0.25">
      <c r="A237" s="36" t="s">
        <v>3745</v>
      </c>
      <c r="B237" s="52" t="s">
        <v>3698</v>
      </c>
      <c r="C237" s="52">
        <v>15</v>
      </c>
      <c r="D237" s="52">
        <v>93</v>
      </c>
      <c r="E237" s="52"/>
      <c r="F237" s="52" t="s">
        <v>4592</v>
      </c>
      <c r="G237" s="52" t="s">
        <v>4593</v>
      </c>
      <c r="H237" s="52" t="s">
        <v>4594</v>
      </c>
      <c r="I237" s="52" t="s">
        <v>1431</v>
      </c>
      <c r="J237" s="33" t="s">
        <v>2216</v>
      </c>
    </row>
    <row r="238" spans="1:10" ht="15.75" thickBot="1" x14ac:dyDescent="0.3">
      <c r="A238" s="37" t="s">
        <v>3746</v>
      </c>
      <c r="B238" s="30" t="s">
        <v>3698</v>
      </c>
      <c r="C238" s="30">
        <v>15</v>
      </c>
      <c r="D238" s="30">
        <v>93</v>
      </c>
      <c r="E238" s="30"/>
      <c r="F238" s="30" t="s">
        <v>112</v>
      </c>
      <c r="G238" s="30" t="s">
        <v>4595</v>
      </c>
      <c r="H238" s="30" t="s">
        <v>4596</v>
      </c>
      <c r="I238" s="30" t="s">
        <v>1431</v>
      </c>
      <c r="J238" s="34" t="s">
        <v>2216</v>
      </c>
    </row>
    <row r="239" spans="1:10" x14ac:dyDescent="0.25">
      <c r="A239" s="35" t="s">
        <v>3747</v>
      </c>
      <c r="B239" s="22" t="s">
        <v>3698</v>
      </c>
      <c r="C239" s="22">
        <v>15</v>
      </c>
      <c r="D239" s="22">
        <v>94</v>
      </c>
      <c r="E239" s="22"/>
      <c r="F239" s="22" t="s">
        <v>4691</v>
      </c>
      <c r="G239" s="22" t="s">
        <v>4692</v>
      </c>
      <c r="H239" s="22" t="s">
        <v>4693</v>
      </c>
      <c r="I239" s="22" t="s">
        <v>1431</v>
      </c>
      <c r="J239" s="32" t="s">
        <v>2216</v>
      </c>
    </row>
    <row r="240" spans="1:10" x14ac:dyDescent="0.25">
      <c r="A240" s="36" t="s">
        <v>3748</v>
      </c>
      <c r="B240" s="52" t="s">
        <v>3698</v>
      </c>
      <c r="C240" s="52">
        <v>15</v>
      </c>
      <c r="D240" s="52">
        <v>94</v>
      </c>
      <c r="E240" s="52"/>
      <c r="F240" s="52" t="s">
        <v>132</v>
      </c>
      <c r="G240" s="52" t="s">
        <v>4694</v>
      </c>
      <c r="H240" s="52" t="s">
        <v>4695</v>
      </c>
      <c r="I240" s="52" t="s">
        <v>1431</v>
      </c>
      <c r="J240" s="33" t="s">
        <v>2216</v>
      </c>
    </row>
    <row r="241" spans="1:10" x14ac:dyDescent="0.25">
      <c r="A241" s="36" t="s">
        <v>3749</v>
      </c>
      <c r="B241" s="52" t="s">
        <v>3698</v>
      </c>
      <c r="C241" s="52">
        <v>15</v>
      </c>
      <c r="D241" s="52">
        <v>94</v>
      </c>
      <c r="E241" s="52"/>
      <c r="F241" s="52" t="s">
        <v>4696</v>
      </c>
      <c r="G241" s="52" t="s">
        <v>4697</v>
      </c>
      <c r="H241" s="52" t="s">
        <v>4698</v>
      </c>
      <c r="I241" s="52" t="s">
        <v>1431</v>
      </c>
      <c r="J241" s="33" t="s">
        <v>2216</v>
      </c>
    </row>
    <row r="242" spans="1:10" x14ac:dyDescent="0.25">
      <c r="A242" s="36" t="s">
        <v>3750</v>
      </c>
      <c r="B242" s="52" t="s">
        <v>3698</v>
      </c>
      <c r="C242" s="52">
        <v>15</v>
      </c>
      <c r="D242" s="52">
        <v>94</v>
      </c>
      <c r="E242" s="52"/>
      <c r="F242" s="52" t="s">
        <v>4699</v>
      </c>
      <c r="G242" s="52" t="s">
        <v>4700</v>
      </c>
      <c r="H242" s="52" t="s">
        <v>4701</v>
      </c>
      <c r="I242" s="52" t="s">
        <v>1431</v>
      </c>
      <c r="J242" s="33" t="s">
        <v>2216</v>
      </c>
    </row>
    <row r="243" spans="1:10" x14ac:dyDescent="0.25">
      <c r="A243" s="36" t="s">
        <v>3751</v>
      </c>
      <c r="B243" s="52" t="s">
        <v>3698</v>
      </c>
      <c r="C243" s="52">
        <v>15</v>
      </c>
      <c r="D243" s="52">
        <v>94</v>
      </c>
      <c r="E243" s="52"/>
      <c r="F243" s="52" t="s">
        <v>4702</v>
      </c>
      <c r="G243" s="52" t="s">
        <v>4703</v>
      </c>
      <c r="H243" s="52" t="s">
        <v>4704</v>
      </c>
      <c r="I243" s="52" t="s">
        <v>1431</v>
      </c>
      <c r="J243" s="33" t="s">
        <v>2216</v>
      </c>
    </row>
    <row r="244" spans="1:10" x14ac:dyDescent="0.25">
      <c r="A244" s="36" t="s">
        <v>3752</v>
      </c>
      <c r="B244" s="52" t="s">
        <v>3698</v>
      </c>
      <c r="C244" s="52">
        <v>15</v>
      </c>
      <c r="D244" s="52">
        <v>94</v>
      </c>
      <c r="E244" s="52"/>
      <c r="F244" s="52" t="s">
        <v>4705</v>
      </c>
      <c r="G244" s="52" t="s">
        <v>4706</v>
      </c>
      <c r="H244" s="52" t="s">
        <v>4707</v>
      </c>
      <c r="I244" s="52" t="s">
        <v>1431</v>
      </c>
      <c r="J244" s="33" t="s">
        <v>2216</v>
      </c>
    </row>
    <row r="245" spans="1:10" ht="15.75" thickBot="1" x14ac:dyDescent="0.3">
      <c r="A245" s="37" t="s">
        <v>3753</v>
      </c>
      <c r="B245" s="30" t="s">
        <v>3698</v>
      </c>
      <c r="C245" s="30">
        <v>15</v>
      </c>
      <c r="D245" s="30">
        <v>94</v>
      </c>
      <c r="E245" s="30"/>
      <c r="F245" s="30" t="s">
        <v>4708</v>
      </c>
      <c r="G245" s="30" t="s">
        <v>4709</v>
      </c>
      <c r="H245" s="30" t="s">
        <v>4710</v>
      </c>
      <c r="I245" s="30" t="s">
        <v>1431</v>
      </c>
      <c r="J245" s="34" t="s">
        <v>2216</v>
      </c>
    </row>
    <row r="246" spans="1:10" x14ac:dyDescent="0.25">
      <c r="A246" s="35" t="s">
        <v>3754</v>
      </c>
      <c r="B246" s="22" t="s">
        <v>3698</v>
      </c>
      <c r="C246" s="22">
        <v>15</v>
      </c>
      <c r="D246" s="22">
        <v>96</v>
      </c>
      <c r="E246" s="22"/>
      <c r="F246" s="22" t="s">
        <v>53</v>
      </c>
      <c r="G246" s="22" t="s">
        <v>4714</v>
      </c>
      <c r="H246" s="22" t="s">
        <v>4715</v>
      </c>
      <c r="I246" s="22" t="s">
        <v>1431</v>
      </c>
      <c r="J246" s="32" t="s">
        <v>2216</v>
      </c>
    </row>
    <row r="247" spans="1:10" x14ac:dyDescent="0.25">
      <c r="A247" s="36" t="s">
        <v>3755</v>
      </c>
      <c r="B247" s="52" t="s">
        <v>3698</v>
      </c>
      <c r="C247" s="52">
        <v>15</v>
      </c>
      <c r="D247" s="52">
        <v>96</v>
      </c>
      <c r="E247" s="52"/>
      <c r="F247" s="52" t="s">
        <v>4716</v>
      </c>
      <c r="G247" s="52" t="s">
        <v>4717</v>
      </c>
      <c r="H247" s="52" t="s">
        <v>4718</v>
      </c>
      <c r="I247" s="52" t="s">
        <v>1431</v>
      </c>
      <c r="J247" s="33" t="s">
        <v>2216</v>
      </c>
    </row>
    <row r="248" spans="1:10" x14ac:dyDescent="0.25">
      <c r="A248" s="36" t="s">
        <v>3756</v>
      </c>
      <c r="B248" s="52" t="s">
        <v>3698</v>
      </c>
      <c r="C248" s="52">
        <v>15</v>
      </c>
      <c r="D248" s="52">
        <v>96</v>
      </c>
      <c r="E248" s="52"/>
      <c r="F248" s="52" t="s">
        <v>154</v>
      </c>
      <c r="G248" s="52" t="s">
        <v>4720</v>
      </c>
      <c r="H248" s="52" t="s">
        <v>4721</v>
      </c>
      <c r="I248" s="52" t="s">
        <v>1431</v>
      </c>
      <c r="J248" s="33" t="s">
        <v>2216</v>
      </c>
    </row>
    <row r="249" spans="1:10" x14ac:dyDescent="0.25">
      <c r="A249" s="36" t="s">
        <v>3757</v>
      </c>
      <c r="B249" s="52" t="s">
        <v>3698</v>
      </c>
      <c r="C249" s="52">
        <v>15</v>
      </c>
      <c r="D249" s="52">
        <v>96</v>
      </c>
      <c r="E249" s="52"/>
      <c r="F249" s="52" t="s">
        <v>1513</v>
      </c>
      <c r="G249" s="52" t="s">
        <v>4722</v>
      </c>
      <c r="H249" s="52" t="s">
        <v>4723</v>
      </c>
      <c r="I249" s="52" t="s">
        <v>1431</v>
      </c>
      <c r="J249" s="33" t="s">
        <v>2216</v>
      </c>
    </row>
    <row r="250" spans="1:10" x14ac:dyDescent="0.25">
      <c r="A250" s="36" t="s">
        <v>3758</v>
      </c>
      <c r="B250" s="52" t="s">
        <v>3698</v>
      </c>
      <c r="C250" s="52">
        <v>15</v>
      </c>
      <c r="D250" s="52">
        <v>96</v>
      </c>
      <c r="E250" s="52"/>
      <c r="F250" s="52" t="s">
        <v>140</v>
      </c>
      <c r="G250" s="52" t="s">
        <v>4724</v>
      </c>
      <c r="H250" s="52" t="s">
        <v>4725</v>
      </c>
      <c r="I250" s="52" t="s">
        <v>1431</v>
      </c>
      <c r="J250" s="33" t="s">
        <v>2216</v>
      </c>
    </row>
    <row r="251" spans="1:10" ht="15.75" thickBot="1" x14ac:dyDescent="0.3">
      <c r="A251" s="37" t="s">
        <v>3759</v>
      </c>
      <c r="B251" s="30" t="s">
        <v>3698</v>
      </c>
      <c r="C251" s="30">
        <v>15</v>
      </c>
      <c r="D251" s="30">
        <v>96</v>
      </c>
      <c r="E251" s="30"/>
      <c r="F251" s="30" t="s">
        <v>4708</v>
      </c>
      <c r="G251" s="30" t="s">
        <v>4726</v>
      </c>
      <c r="H251" s="30" t="s">
        <v>4727</v>
      </c>
      <c r="I251" s="30" t="s">
        <v>1431</v>
      </c>
      <c r="J251" s="34" t="s">
        <v>2216</v>
      </c>
    </row>
    <row r="252" spans="1:10" x14ac:dyDescent="0.25">
      <c r="A252" s="35" t="s">
        <v>3760</v>
      </c>
      <c r="B252" s="22" t="s">
        <v>3698</v>
      </c>
      <c r="C252" s="22">
        <v>15</v>
      </c>
      <c r="D252" s="22">
        <v>97</v>
      </c>
      <c r="E252" s="22"/>
      <c r="F252" s="22" t="s">
        <v>69</v>
      </c>
      <c r="G252" s="22" t="s">
        <v>4768</v>
      </c>
      <c r="H252" s="22" t="s">
        <v>4769</v>
      </c>
      <c r="I252" s="22" t="s">
        <v>1431</v>
      </c>
      <c r="J252" s="32" t="s">
        <v>2216</v>
      </c>
    </row>
    <row r="253" spans="1:10" x14ac:dyDescent="0.25">
      <c r="A253" s="36" t="s">
        <v>3761</v>
      </c>
      <c r="B253" s="52" t="s">
        <v>3698</v>
      </c>
      <c r="C253" s="52">
        <v>15</v>
      </c>
      <c r="D253" s="52">
        <v>97</v>
      </c>
      <c r="E253" s="52"/>
      <c r="F253" s="52" t="s">
        <v>4770</v>
      </c>
      <c r="G253" s="52" t="s">
        <v>4771</v>
      </c>
      <c r="H253" s="52" t="s">
        <v>4772</v>
      </c>
      <c r="I253" s="52" t="s">
        <v>1431</v>
      </c>
      <c r="J253" s="33" t="s">
        <v>2216</v>
      </c>
    </row>
    <row r="254" spans="1:10" x14ac:dyDescent="0.25">
      <c r="A254" s="36" t="s">
        <v>3762</v>
      </c>
      <c r="B254" s="52" t="s">
        <v>3698</v>
      </c>
      <c r="C254" s="52">
        <v>15</v>
      </c>
      <c r="D254" s="52">
        <v>97</v>
      </c>
      <c r="E254" s="52"/>
      <c r="F254" s="52" t="s">
        <v>4773</v>
      </c>
      <c r="G254" s="52" t="s">
        <v>4774</v>
      </c>
      <c r="H254" s="52" t="s">
        <v>4775</v>
      </c>
      <c r="I254" s="52" t="s">
        <v>1431</v>
      </c>
      <c r="J254" s="33" t="s">
        <v>2216</v>
      </c>
    </row>
    <row r="255" spans="1:10" x14ac:dyDescent="0.25">
      <c r="A255" s="36" t="s">
        <v>3763</v>
      </c>
      <c r="B255" s="52" t="s">
        <v>3698</v>
      </c>
      <c r="C255" s="52">
        <v>15</v>
      </c>
      <c r="D255" s="52">
        <v>97</v>
      </c>
      <c r="E255" s="52"/>
      <c r="F255" s="52" t="s">
        <v>210</v>
      </c>
      <c r="G255" s="52" t="s">
        <v>4776</v>
      </c>
      <c r="H255" s="52" t="s">
        <v>4777</v>
      </c>
      <c r="I255" s="52" t="s">
        <v>1431</v>
      </c>
      <c r="J255" s="33" t="s">
        <v>2216</v>
      </c>
    </row>
    <row r="256" spans="1:10" ht="15.75" thickBot="1" x14ac:dyDescent="0.3">
      <c r="A256" s="37" t="s">
        <v>3764</v>
      </c>
      <c r="B256" s="30" t="s">
        <v>3698</v>
      </c>
      <c r="C256" s="30">
        <v>15</v>
      </c>
      <c r="D256" s="30">
        <v>97</v>
      </c>
      <c r="E256" s="30"/>
      <c r="F256" s="30" t="s">
        <v>4778</v>
      </c>
      <c r="G256" s="30" t="s">
        <v>4779</v>
      </c>
      <c r="H256" s="30" t="s">
        <v>4780</v>
      </c>
      <c r="I256" s="30" t="s">
        <v>1431</v>
      </c>
      <c r="J256" s="34" t="s">
        <v>2216</v>
      </c>
    </row>
    <row r="257" spans="1:10" x14ac:dyDescent="0.25">
      <c r="A257" s="35" t="s">
        <v>3765</v>
      </c>
      <c r="B257" s="22" t="s">
        <v>3698</v>
      </c>
      <c r="C257" s="22">
        <v>17</v>
      </c>
      <c r="D257" s="22">
        <v>102</v>
      </c>
      <c r="E257" s="22"/>
      <c r="F257" s="22" t="s">
        <v>4823</v>
      </c>
      <c r="G257" s="22" t="s">
        <v>4824</v>
      </c>
      <c r="H257" s="22" t="s">
        <v>4825</v>
      </c>
      <c r="I257" s="22" t="s">
        <v>1431</v>
      </c>
      <c r="J257" s="32" t="s">
        <v>2216</v>
      </c>
    </row>
    <row r="258" spans="1:10" x14ac:dyDescent="0.25">
      <c r="A258" s="36" t="s">
        <v>3766</v>
      </c>
      <c r="B258" s="52" t="s">
        <v>3698</v>
      </c>
      <c r="C258" s="52">
        <v>17</v>
      </c>
      <c r="D258" s="52">
        <v>102</v>
      </c>
      <c r="E258" s="52"/>
      <c r="F258" s="52" t="s">
        <v>125</v>
      </c>
      <c r="G258" s="52" t="s">
        <v>4827</v>
      </c>
      <c r="H258" s="52" t="s">
        <v>4828</v>
      </c>
      <c r="I258" s="52" t="s">
        <v>1431</v>
      </c>
      <c r="J258" s="33" t="s">
        <v>2216</v>
      </c>
    </row>
    <row r="259" spans="1:10" x14ac:dyDescent="0.25">
      <c r="A259" s="36" t="s">
        <v>3767</v>
      </c>
      <c r="B259" s="52" t="s">
        <v>3698</v>
      </c>
      <c r="C259" s="52">
        <v>17</v>
      </c>
      <c r="D259" s="52">
        <v>102</v>
      </c>
      <c r="E259" s="52"/>
      <c r="F259" s="52" t="s">
        <v>4829</v>
      </c>
      <c r="G259" s="52" t="s">
        <v>4830</v>
      </c>
      <c r="H259" s="52" t="s">
        <v>4831</v>
      </c>
      <c r="I259" s="52" t="s">
        <v>1431</v>
      </c>
      <c r="J259" s="33" t="s">
        <v>2216</v>
      </c>
    </row>
    <row r="260" spans="1:10" x14ac:dyDescent="0.25">
      <c r="A260" s="36" t="s">
        <v>3768</v>
      </c>
      <c r="B260" s="52" t="s">
        <v>3698</v>
      </c>
      <c r="C260" s="52">
        <v>17</v>
      </c>
      <c r="D260" s="52">
        <v>102</v>
      </c>
      <c r="E260" s="52"/>
      <c r="F260" s="52" t="s">
        <v>4833</v>
      </c>
      <c r="G260" s="52" t="s">
        <v>4834</v>
      </c>
      <c r="H260" s="52" t="s">
        <v>4835</v>
      </c>
      <c r="I260" s="52" t="s">
        <v>1431</v>
      </c>
      <c r="J260" s="33" t="s">
        <v>2216</v>
      </c>
    </row>
    <row r="261" spans="1:10" x14ac:dyDescent="0.25">
      <c r="A261" s="36" t="s">
        <v>3769</v>
      </c>
      <c r="B261" s="52" t="s">
        <v>3698</v>
      </c>
      <c r="C261" s="52">
        <v>17</v>
      </c>
      <c r="D261" s="52">
        <v>102</v>
      </c>
      <c r="E261" s="52"/>
      <c r="F261" s="52" t="s">
        <v>174</v>
      </c>
      <c r="G261" s="52" t="s">
        <v>4837</v>
      </c>
      <c r="H261" s="52" t="s">
        <v>4838</v>
      </c>
      <c r="I261" s="52" t="s">
        <v>1431</v>
      </c>
      <c r="J261" s="33" t="s">
        <v>2216</v>
      </c>
    </row>
    <row r="262" spans="1:10" ht="15.75" thickBot="1" x14ac:dyDescent="0.3">
      <c r="A262" s="37" t="s">
        <v>3770</v>
      </c>
      <c r="B262" s="30" t="s">
        <v>3698</v>
      </c>
      <c r="C262" s="30">
        <v>17</v>
      </c>
      <c r="D262" s="30">
        <v>102</v>
      </c>
      <c r="E262" s="30"/>
      <c r="F262" s="30" t="s">
        <v>198</v>
      </c>
      <c r="G262" s="30" t="s">
        <v>4839</v>
      </c>
      <c r="H262" s="30" t="s">
        <v>4840</v>
      </c>
      <c r="I262" s="30" t="s">
        <v>1431</v>
      </c>
      <c r="J262" s="34" t="s">
        <v>2216</v>
      </c>
    </row>
    <row r="263" spans="1:10" x14ac:dyDescent="0.25">
      <c r="A263" s="35" t="s">
        <v>3771</v>
      </c>
      <c r="B263" s="22" t="s">
        <v>3698</v>
      </c>
      <c r="C263" s="22">
        <v>19</v>
      </c>
      <c r="D263" s="22">
        <v>113</v>
      </c>
      <c r="E263" s="22"/>
      <c r="F263" s="22" t="s">
        <v>161</v>
      </c>
      <c r="G263" s="22" t="s">
        <v>4990</v>
      </c>
      <c r="H263" s="22" t="s">
        <v>4991</v>
      </c>
      <c r="I263" s="22" t="s">
        <v>1431</v>
      </c>
      <c r="J263" s="32" t="s">
        <v>2216</v>
      </c>
    </row>
    <row r="264" spans="1:10" x14ac:dyDescent="0.25">
      <c r="A264" s="36" t="s">
        <v>3772</v>
      </c>
      <c r="B264" s="52" t="s">
        <v>3698</v>
      </c>
      <c r="C264" s="52">
        <v>19</v>
      </c>
      <c r="D264" s="52">
        <v>113</v>
      </c>
      <c r="E264" s="52"/>
      <c r="F264" s="52" t="s">
        <v>166</v>
      </c>
      <c r="G264" s="52" t="s">
        <v>4992</v>
      </c>
      <c r="H264" s="52" t="s">
        <v>4993</v>
      </c>
      <c r="I264" s="52" t="s">
        <v>1431</v>
      </c>
      <c r="J264" s="33" t="s">
        <v>2216</v>
      </c>
    </row>
    <row r="265" spans="1:10" x14ac:dyDescent="0.25">
      <c r="A265" s="36" t="s">
        <v>3773</v>
      </c>
      <c r="B265" s="52" t="s">
        <v>3698</v>
      </c>
      <c r="C265" s="52">
        <v>19</v>
      </c>
      <c r="D265" s="52">
        <v>113</v>
      </c>
      <c r="E265" s="52"/>
      <c r="F265" s="52" t="s">
        <v>106</v>
      </c>
      <c r="G265" s="52" t="s">
        <v>4994</v>
      </c>
      <c r="H265" s="52" t="s">
        <v>4995</v>
      </c>
      <c r="I265" s="52" t="s">
        <v>1431</v>
      </c>
      <c r="J265" s="33" t="s">
        <v>2216</v>
      </c>
    </row>
    <row r="266" spans="1:10" x14ac:dyDescent="0.25">
      <c r="A266" s="36" t="s">
        <v>3774</v>
      </c>
      <c r="B266" s="52" t="s">
        <v>3698</v>
      </c>
      <c r="C266" s="52">
        <v>19</v>
      </c>
      <c r="D266" s="52">
        <v>113</v>
      </c>
      <c r="E266" s="52"/>
      <c r="F266" s="52" t="s">
        <v>125</v>
      </c>
      <c r="G266" s="52" t="s">
        <v>4996</v>
      </c>
      <c r="H266" s="52" t="s">
        <v>4997</v>
      </c>
      <c r="I266" s="52" t="s">
        <v>1431</v>
      </c>
      <c r="J266" s="33" t="s">
        <v>2216</v>
      </c>
    </row>
    <row r="267" spans="1:10" x14ac:dyDescent="0.25">
      <c r="A267" s="36" t="s">
        <v>3775</v>
      </c>
      <c r="B267" s="52" t="s">
        <v>3698</v>
      </c>
      <c r="C267" s="52">
        <v>19</v>
      </c>
      <c r="D267" s="52">
        <v>113</v>
      </c>
      <c r="E267" s="52"/>
      <c r="F267" s="52" t="s">
        <v>174</v>
      </c>
      <c r="G267" s="52" t="s">
        <v>4998</v>
      </c>
      <c r="H267" s="52" t="s">
        <v>4999</v>
      </c>
      <c r="I267" s="52" t="s">
        <v>1431</v>
      </c>
      <c r="J267" s="33" t="s">
        <v>2216</v>
      </c>
    </row>
    <row r="268" spans="1:10" ht="15.75" thickBot="1" x14ac:dyDescent="0.3">
      <c r="A268" s="37" t="s">
        <v>3776</v>
      </c>
      <c r="B268" s="30" t="s">
        <v>3698</v>
      </c>
      <c r="C268" s="30">
        <v>19</v>
      </c>
      <c r="D268" s="30">
        <v>113</v>
      </c>
      <c r="E268" s="30"/>
      <c r="F268" s="30" t="s">
        <v>215</v>
      </c>
      <c r="G268" s="30" t="s">
        <v>5000</v>
      </c>
      <c r="H268" s="30" t="s">
        <v>5001</v>
      </c>
      <c r="I268" s="30" t="s">
        <v>1431</v>
      </c>
      <c r="J268" s="34" t="s">
        <v>2216</v>
      </c>
    </row>
    <row r="269" spans="1:10" x14ac:dyDescent="0.25">
      <c r="A269" s="35" t="s">
        <v>3777</v>
      </c>
      <c r="B269" s="22" t="s">
        <v>3698</v>
      </c>
      <c r="C269" s="22">
        <v>20</v>
      </c>
      <c r="D269" s="22">
        <v>122</v>
      </c>
      <c r="E269" s="22"/>
      <c r="F269" s="22" t="s">
        <v>5027</v>
      </c>
      <c r="G269" s="22" t="s">
        <v>5028</v>
      </c>
      <c r="H269" s="22" t="s">
        <v>5029</v>
      </c>
      <c r="I269" s="22" t="s">
        <v>1431</v>
      </c>
      <c r="J269" s="32" t="s">
        <v>2216</v>
      </c>
    </row>
    <row r="270" spans="1:10" x14ac:dyDescent="0.25">
      <c r="A270" s="36" t="s">
        <v>3778</v>
      </c>
      <c r="B270" s="52" t="s">
        <v>3698</v>
      </c>
      <c r="C270" s="52">
        <v>20</v>
      </c>
      <c r="D270" s="52">
        <v>122</v>
      </c>
      <c r="E270" s="52"/>
      <c r="F270" s="52" t="s">
        <v>5030</v>
      </c>
      <c r="G270" s="52" t="s">
        <v>5031</v>
      </c>
      <c r="H270" s="52" t="s">
        <v>5032</v>
      </c>
      <c r="I270" s="52" t="s">
        <v>1431</v>
      </c>
      <c r="J270" s="33" t="s">
        <v>2216</v>
      </c>
    </row>
    <row r="271" spans="1:10" x14ac:dyDescent="0.25">
      <c r="A271" s="36" t="s">
        <v>3779</v>
      </c>
      <c r="B271" s="52" t="s">
        <v>3698</v>
      </c>
      <c r="C271" s="52">
        <v>20</v>
      </c>
      <c r="D271" s="52">
        <v>122</v>
      </c>
      <c r="E271" s="52"/>
      <c r="F271" s="52" t="s">
        <v>198</v>
      </c>
      <c r="G271" s="52" t="s">
        <v>5033</v>
      </c>
      <c r="H271" s="52" t="s">
        <v>5034</v>
      </c>
      <c r="I271" s="52" t="s">
        <v>1431</v>
      </c>
      <c r="J271" s="33" t="s">
        <v>2216</v>
      </c>
    </row>
    <row r="272" spans="1:10" x14ac:dyDescent="0.25">
      <c r="A272" s="36" t="s">
        <v>3780</v>
      </c>
      <c r="B272" s="52" t="s">
        <v>3698</v>
      </c>
      <c r="C272" s="52">
        <v>20</v>
      </c>
      <c r="D272" s="52">
        <v>122</v>
      </c>
      <c r="E272" s="52"/>
      <c r="F272" s="52" t="s">
        <v>5035</v>
      </c>
      <c r="G272" s="52" t="s">
        <v>5036</v>
      </c>
      <c r="H272" s="52" t="s">
        <v>5037</v>
      </c>
      <c r="I272" s="52" t="s">
        <v>1431</v>
      </c>
      <c r="J272" s="33" t="s">
        <v>2216</v>
      </c>
    </row>
    <row r="273" spans="1:10" x14ac:dyDescent="0.25">
      <c r="A273" s="36" t="s">
        <v>3781</v>
      </c>
      <c r="B273" s="52" t="s">
        <v>3698</v>
      </c>
      <c r="C273" s="52">
        <v>20</v>
      </c>
      <c r="D273" s="52">
        <v>122</v>
      </c>
      <c r="E273" s="52"/>
      <c r="F273" s="52" t="s">
        <v>140</v>
      </c>
      <c r="G273" s="52" t="s">
        <v>5038</v>
      </c>
      <c r="H273" s="52" t="s">
        <v>5039</v>
      </c>
      <c r="I273" s="52" t="s">
        <v>1431</v>
      </c>
      <c r="J273" s="33" t="s">
        <v>2216</v>
      </c>
    </row>
    <row r="274" spans="1:10" ht="15.75" thickBot="1" x14ac:dyDescent="0.3">
      <c r="A274" s="37" t="s">
        <v>3782</v>
      </c>
      <c r="B274" s="30" t="s">
        <v>3698</v>
      </c>
      <c r="C274" s="30">
        <v>20</v>
      </c>
      <c r="D274" s="30">
        <v>122</v>
      </c>
      <c r="E274" s="30"/>
      <c r="F274" s="30" t="s">
        <v>215</v>
      </c>
      <c r="G274" s="30" t="s">
        <v>5040</v>
      </c>
      <c r="H274" s="30" t="s">
        <v>5041</v>
      </c>
      <c r="I274" s="30" t="s">
        <v>1431</v>
      </c>
      <c r="J274" s="34" t="s">
        <v>2216</v>
      </c>
    </row>
    <row r="275" spans="1:10" x14ac:dyDescent="0.25">
      <c r="A275" s="35" t="s">
        <v>3783</v>
      </c>
      <c r="B275" s="22" t="s">
        <v>3698</v>
      </c>
      <c r="C275" s="22">
        <v>22</v>
      </c>
      <c r="D275" s="22">
        <v>132</v>
      </c>
      <c r="E275" s="22"/>
      <c r="F275" s="22" t="s">
        <v>5042</v>
      </c>
      <c r="G275" s="22" t="s">
        <v>5043</v>
      </c>
      <c r="H275" s="22" t="s">
        <v>5044</v>
      </c>
      <c r="I275" s="22" t="s">
        <v>1431</v>
      </c>
      <c r="J275" s="32" t="s">
        <v>2216</v>
      </c>
    </row>
    <row r="276" spans="1:10" x14ac:dyDescent="0.25">
      <c r="A276" s="36" t="s">
        <v>3784</v>
      </c>
      <c r="B276" s="52" t="s">
        <v>3698</v>
      </c>
      <c r="C276" s="52">
        <v>22</v>
      </c>
      <c r="D276" s="52">
        <v>132</v>
      </c>
      <c r="E276" s="52"/>
      <c r="F276" s="52" t="s">
        <v>5045</v>
      </c>
      <c r="G276" s="52" t="s">
        <v>5046</v>
      </c>
      <c r="H276" s="52" t="s">
        <v>5047</v>
      </c>
      <c r="I276" s="52" t="s">
        <v>1431</v>
      </c>
      <c r="J276" s="33" t="s">
        <v>2216</v>
      </c>
    </row>
    <row r="277" spans="1:10" x14ac:dyDescent="0.25">
      <c r="A277" s="36" t="s">
        <v>3785</v>
      </c>
      <c r="B277" s="52" t="s">
        <v>3698</v>
      </c>
      <c r="C277" s="52">
        <v>22</v>
      </c>
      <c r="D277" s="52">
        <v>132</v>
      </c>
      <c r="E277" s="52"/>
      <c r="F277" s="52" t="s">
        <v>5048</v>
      </c>
      <c r="G277" s="52" t="s">
        <v>5049</v>
      </c>
      <c r="H277" s="52" t="s">
        <v>5050</v>
      </c>
      <c r="I277" s="52" t="s">
        <v>1431</v>
      </c>
      <c r="J277" s="33" t="s">
        <v>2216</v>
      </c>
    </row>
    <row r="278" spans="1:10" x14ac:dyDescent="0.25">
      <c r="A278" s="36" t="s">
        <v>3786</v>
      </c>
      <c r="B278" s="52" t="s">
        <v>3698</v>
      </c>
      <c r="C278" s="52">
        <v>22</v>
      </c>
      <c r="D278" s="52">
        <v>132</v>
      </c>
      <c r="E278" s="52"/>
      <c r="F278" s="52" t="s">
        <v>1513</v>
      </c>
      <c r="G278" s="52" t="s">
        <v>5051</v>
      </c>
      <c r="H278" s="52" t="s">
        <v>5052</v>
      </c>
      <c r="I278" s="52" t="s">
        <v>1431</v>
      </c>
      <c r="J278" s="33" t="s">
        <v>2216</v>
      </c>
    </row>
    <row r="279" spans="1:10" x14ac:dyDescent="0.25">
      <c r="A279" s="36" t="s">
        <v>3787</v>
      </c>
      <c r="B279" s="52" t="s">
        <v>3698</v>
      </c>
      <c r="C279" s="52">
        <v>22</v>
      </c>
      <c r="D279" s="52">
        <v>132</v>
      </c>
      <c r="E279" s="52"/>
      <c r="F279" s="52" t="s">
        <v>106</v>
      </c>
      <c r="G279" s="52" t="s">
        <v>5053</v>
      </c>
      <c r="H279" s="52" t="s">
        <v>5054</v>
      </c>
      <c r="I279" s="52" t="s">
        <v>1431</v>
      </c>
      <c r="J279" s="33" t="s">
        <v>2216</v>
      </c>
    </row>
    <row r="280" spans="1:10" ht="15.75" thickBot="1" x14ac:dyDescent="0.3">
      <c r="A280" s="37" t="s">
        <v>3788</v>
      </c>
      <c r="B280" s="30" t="s">
        <v>3698</v>
      </c>
      <c r="C280" s="30">
        <v>22</v>
      </c>
      <c r="D280" s="30">
        <v>132</v>
      </c>
      <c r="E280" s="30"/>
      <c r="F280" s="30" t="s">
        <v>4699</v>
      </c>
      <c r="G280" s="30" t="s">
        <v>5055</v>
      </c>
      <c r="H280" s="30" t="s">
        <v>5056</v>
      </c>
      <c r="I280" s="30" t="s">
        <v>1431</v>
      </c>
      <c r="J280" s="34" t="s">
        <v>2216</v>
      </c>
    </row>
    <row r="281" spans="1:10" x14ac:dyDescent="0.25">
      <c r="A281" t="s">
        <v>3789</v>
      </c>
      <c r="J281" s="33" t="s">
        <v>2216</v>
      </c>
    </row>
    <row r="282" spans="1:10" x14ac:dyDescent="0.25">
      <c r="A282" t="s">
        <v>3790</v>
      </c>
      <c r="J282" s="33" t="s">
        <v>2216</v>
      </c>
    </row>
    <row r="283" spans="1:10" x14ac:dyDescent="0.25">
      <c r="A283" t="s">
        <v>3791</v>
      </c>
      <c r="J283" s="33" t="s">
        <v>2216</v>
      </c>
    </row>
    <row r="284" spans="1:10" x14ac:dyDescent="0.25">
      <c r="A284" t="s">
        <v>3792</v>
      </c>
      <c r="J284" s="33" t="s">
        <v>2216</v>
      </c>
    </row>
    <row r="285" spans="1:10" x14ac:dyDescent="0.25">
      <c r="A285" t="s">
        <v>3793</v>
      </c>
      <c r="J285" s="33" t="s">
        <v>2216</v>
      </c>
    </row>
    <row r="286" spans="1:10" x14ac:dyDescent="0.25">
      <c r="A286" t="s">
        <v>3794</v>
      </c>
      <c r="J286" s="33" t="s">
        <v>2216</v>
      </c>
    </row>
    <row r="287" spans="1:10" x14ac:dyDescent="0.25">
      <c r="A287" t="s">
        <v>3795</v>
      </c>
      <c r="J287" s="33" t="s">
        <v>2216</v>
      </c>
    </row>
    <row r="288" spans="1:10" x14ac:dyDescent="0.25">
      <c r="A288" t="s">
        <v>3796</v>
      </c>
      <c r="J288" s="33" t="s">
        <v>2216</v>
      </c>
    </row>
    <row r="289" spans="1:10" x14ac:dyDescent="0.25">
      <c r="A289" t="s">
        <v>3797</v>
      </c>
      <c r="J289" s="33" t="s">
        <v>2216</v>
      </c>
    </row>
    <row r="290" spans="1:10" x14ac:dyDescent="0.25">
      <c r="A290" t="s">
        <v>3798</v>
      </c>
      <c r="J290" s="33" t="s">
        <v>2216</v>
      </c>
    </row>
    <row r="291" spans="1:10" x14ac:dyDescent="0.25">
      <c r="A291" t="s">
        <v>3799</v>
      </c>
      <c r="J291" s="33" t="s">
        <v>2216</v>
      </c>
    </row>
    <row r="292" spans="1:10" x14ac:dyDescent="0.25">
      <c r="A292" t="s">
        <v>3800</v>
      </c>
      <c r="J292" s="33" t="s">
        <v>2216</v>
      </c>
    </row>
    <row r="293" spans="1:10" x14ac:dyDescent="0.25">
      <c r="A293" t="s">
        <v>3801</v>
      </c>
      <c r="J293" s="33" t="s">
        <v>2216</v>
      </c>
    </row>
    <row r="294" spans="1:10" x14ac:dyDescent="0.25">
      <c r="A294" t="s">
        <v>3802</v>
      </c>
      <c r="J294" s="33" t="s">
        <v>2216</v>
      </c>
    </row>
    <row r="295" spans="1:10" x14ac:dyDescent="0.25">
      <c r="A295" t="s">
        <v>3803</v>
      </c>
      <c r="J295" s="33" t="s">
        <v>2216</v>
      </c>
    </row>
    <row r="296" spans="1:10" x14ac:dyDescent="0.25">
      <c r="A296" t="s">
        <v>3804</v>
      </c>
      <c r="J296" s="33" t="s">
        <v>2216</v>
      </c>
    </row>
    <row r="297" spans="1:10" x14ac:dyDescent="0.25">
      <c r="A297" t="s">
        <v>3805</v>
      </c>
      <c r="J297" s="33" t="s">
        <v>2216</v>
      </c>
    </row>
    <row r="298" spans="1:10" x14ac:dyDescent="0.25">
      <c r="A298" t="s">
        <v>3806</v>
      </c>
      <c r="J298" s="33" t="s">
        <v>2216</v>
      </c>
    </row>
    <row r="299" spans="1:10" x14ac:dyDescent="0.25">
      <c r="J299" s="33" t="s">
        <v>2216</v>
      </c>
    </row>
    <row r="300" spans="1:10" x14ac:dyDescent="0.25">
      <c r="J300" s="33" t="s">
        <v>2216</v>
      </c>
    </row>
  </sheetData>
  <phoneticPr fontId="1" type="noConversion"/>
  <pageMargins left="0.7" right="0.7" top="0.78740157499999996" bottom="0.78740157499999996"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60853-20B2-4ADC-A023-C9D9A37F31A9}">
  <sheetPr>
    <tabColor theme="4"/>
  </sheetPr>
  <dimension ref="A1:G721"/>
  <sheetViews>
    <sheetView topLeftCell="A15" workbookViewId="0">
      <selection activeCell="E20" sqref="E20"/>
    </sheetView>
  </sheetViews>
  <sheetFormatPr baseColWidth="10" defaultRowHeight="15" x14ac:dyDescent="0.25"/>
  <cols>
    <col min="1" max="1" width="13.85546875" customWidth="1"/>
    <col min="2" max="2" width="10.42578125" customWidth="1"/>
    <col min="3" max="3" width="24.28515625" customWidth="1"/>
    <col min="4" max="4" width="23.7109375" customWidth="1"/>
    <col min="5" max="5" width="23.28515625" customWidth="1"/>
    <col min="6" max="6" width="18" customWidth="1"/>
    <col min="7" max="7" width="28" customWidth="1"/>
  </cols>
  <sheetData>
    <row r="1" spans="1:7" ht="15.75" thickBot="1" x14ac:dyDescent="0.3">
      <c r="A1" t="s">
        <v>0</v>
      </c>
      <c r="B1" t="s">
        <v>21</v>
      </c>
      <c r="C1" t="s">
        <v>278</v>
      </c>
      <c r="D1" t="s">
        <v>279</v>
      </c>
      <c r="E1" t="s">
        <v>280</v>
      </c>
      <c r="F1" t="s">
        <v>281</v>
      </c>
      <c r="G1" t="s">
        <v>282</v>
      </c>
    </row>
    <row r="2" spans="1:7" x14ac:dyDescent="0.25">
      <c r="A2" s="35">
        <v>1</v>
      </c>
      <c r="B2" s="22" t="s">
        <v>53</v>
      </c>
      <c r="C2" s="48">
        <f>IF(Tabelle18[[#This Row],[binding_level_company]]&gt;=1,1,0)</f>
        <v>0</v>
      </c>
      <c r="D2" s="48">
        <f>_xlfn.MAXIFS(Tabelle5[[#This Row],[binding_level]], Tabelle5[[#This Row],[company_id]],Tabelle18[[#This Row],[company_id]], Tabelle5[[#This Row],[value_id]], Tabelle18[[#This Row],[value_id]], Tabelle5[[#This Row],[value_present]],"1")</f>
        <v>0</v>
      </c>
      <c r="E2" s="48">
        <f>_xlfn.MAXIFS(Tabelle5[[#This Row],[value_points]], Tabelle5[[#This Row],[company_id]],Tabelle18[[#This Row],[company_id]], Tabelle5[[#This Row],[value_id]], Tabelle18[[#This Row],[value_id]], Tabelle5[[#This Row],[value_present]],"1")</f>
        <v>0</v>
      </c>
      <c r="F2" s="22"/>
      <c r="G2" s="32"/>
    </row>
    <row r="3" spans="1:7" x14ac:dyDescent="0.25">
      <c r="A3" s="36">
        <v>1</v>
      </c>
      <c r="B3" t="s">
        <v>61</v>
      </c>
      <c r="C3" s="4">
        <f>IF(Tabelle18[[#This Row],[binding_level_company]]&gt;=1,1,0)</f>
        <v>0</v>
      </c>
      <c r="D3" s="4">
        <f>_xlfn.MAXIFS(Tabelle5[[#This Row],[binding_level]], Tabelle5[[#This Row],[company_id]],Tabelle18[[#This Row],[company_id]], Tabelle5[[#This Row],[value_id]], Tabelle18[[#This Row],[value_id]], Tabelle5[[#This Row],[value_present]],"1")</f>
        <v>0</v>
      </c>
      <c r="E3" s="4">
        <f>_xlfn.MAXIFS(Tabelle5[[#This Row],[value_points]], Tabelle5[[#This Row],[company_id]],Tabelle18[[#This Row],[company_id]], Tabelle5[[#This Row],[value_id]], Tabelle18[[#This Row],[value_id]], Tabelle5[[#This Row],[value_present]],"1")</f>
        <v>0</v>
      </c>
      <c r="G3" s="33"/>
    </row>
    <row r="4" spans="1:7" x14ac:dyDescent="0.25">
      <c r="A4" s="36">
        <v>1</v>
      </c>
      <c r="B4" t="s">
        <v>69</v>
      </c>
      <c r="C4" s="4">
        <f>IF(Tabelle18[[#This Row],[binding_level_company]]&gt;=1,1,0)</f>
        <v>0</v>
      </c>
      <c r="D4" s="4">
        <f>_xlfn.MAXIFS(Tabelle5[[#This Row],[binding_level]], Tabelle5[[#This Row],[company_id]],Tabelle18[[#This Row],[company_id]], Tabelle5[[#This Row],[value_id]], Tabelle18[[#This Row],[value_id]], Tabelle5[[#This Row],[value_present]],"1")</f>
        <v>0</v>
      </c>
      <c r="E4" s="4">
        <f>_xlfn.MAXIFS(Tabelle5[[#This Row],[value_points]], Tabelle5[[#This Row],[company_id]],Tabelle18[[#This Row],[company_id]], Tabelle5[[#This Row],[value_id]], Tabelle18[[#This Row],[value_id]], Tabelle5[[#This Row],[value_present]],"1")</f>
        <v>0</v>
      </c>
      <c r="G4" s="33"/>
    </row>
    <row r="5" spans="1:7" x14ac:dyDescent="0.25">
      <c r="A5" s="36">
        <v>1</v>
      </c>
      <c r="B5" t="s">
        <v>76</v>
      </c>
      <c r="C5" s="4">
        <f>IF(Tabelle18[[#This Row],[binding_level_company]]&gt;=1,1,0)</f>
        <v>0</v>
      </c>
      <c r="D5" s="4">
        <f>_xlfn.MAXIFS(Tabelle5[[#This Row],[binding_level]], Tabelle5[[#This Row],[company_id]],Tabelle18[[#This Row],[company_id]], Tabelle5[[#This Row],[value_id]], Tabelle18[[#This Row],[value_id]], Tabelle5[[#This Row],[value_present]],"1")</f>
        <v>0</v>
      </c>
      <c r="E5" s="4">
        <f>_xlfn.MAXIFS(Tabelle5[[#This Row],[value_points]], Tabelle5[[#This Row],[company_id]],Tabelle18[[#This Row],[company_id]], Tabelle5[[#This Row],[value_id]], Tabelle18[[#This Row],[value_id]], Tabelle5[[#This Row],[value_present]],"1")</f>
        <v>0</v>
      </c>
      <c r="G5" s="33"/>
    </row>
    <row r="6" spans="1:7" x14ac:dyDescent="0.25">
      <c r="A6" s="36">
        <v>1</v>
      </c>
      <c r="B6" t="s">
        <v>83</v>
      </c>
      <c r="C6" s="4">
        <f>IF(Tabelle18[[#This Row],[binding_level_company]]&gt;=1,1,0)</f>
        <v>0</v>
      </c>
      <c r="D6" s="4">
        <f>_xlfn.MAXIFS(Tabelle5[[#This Row],[binding_level]], Tabelle5[[#This Row],[company_id]],Tabelle18[[#This Row],[company_id]], Tabelle5[[#This Row],[value_id]], Tabelle18[[#This Row],[value_id]], Tabelle5[[#This Row],[value_present]],"1")</f>
        <v>0</v>
      </c>
      <c r="E6" s="4">
        <f>_xlfn.MAXIFS(Tabelle5[[#This Row],[value_points]], Tabelle5[[#This Row],[company_id]],Tabelle18[[#This Row],[company_id]], Tabelle5[[#This Row],[value_id]], Tabelle18[[#This Row],[value_id]], Tabelle5[[#This Row],[value_present]],"1")</f>
        <v>0</v>
      </c>
      <c r="G6" s="33"/>
    </row>
    <row r="7" spans="1:7" x14ac:dyDescent="0.25">
      <c r="A7" s="36">
        <v>1</v>
      </c>
      <c r="B7" t="s">
        <v>90</v>
      </c>
      <c r="C7" s="4">
        <f>IF(Tabelle18[[#This Row],[binding_level_company]]&gt;=1,1,0)</f>
        <v>0</v>
      </c>
      <c r="D7" s="4">
        <f>_xlfn.MAXIFS(Tabelle5[[#This Row],[binding_level]], Tabelle5[[#This Row],[company_id]],Tabelle18[[#This Row],[company_id]], Tabelle5[[#This Row],[value_id]], Tabelle18[[#This Row],[value_id]], Tabelle5[[#This Row],[value_present]],"1")</f>
        <v>0</v>
      </c>
      <c r="E7" s="4">
        <f>_xlfn.MAXIFS(Tabelle5[[#This Row],[value_points]], Tabelle5[[#This Row],[company_id]],Tabelle18[[#This Row],[company_id]], Tabelle5[[#This Row],[value_id]], Tabelle18[[#This Row],[value_id]], Tabelle5[[#This Row],[value_present]],"1")</f>
        <v>0</v>
      </c>
      <c r="G7" s="33"/>
    </row>
    <row r="8" spans="1:7" x14ac:dyDescent="0.25">
      <c r="A8" s="36">
        <v>1</v>
      </c>
      <c r="B8" t="s">
        <v>98</v>
      </c>
      <c r="C8" s="4">
        <f>IF(Tabelle18[[#This Row],[binding_level_company]]&gt;=1,1,0)</f>
        <v>0</v>
      </c>
      <c r="D8" s="4">
        <f>_xlfn.MAXIFS(Tabelle5[[#This Row],[binding_level]], Tabelle5[[#This Row],[company_id]],Tabelle18[[#This Row],[company_id]], Tabelle5[[#This Row],[value_id]], Tabelle18[[#This Row],[value_id]], Tabelle5[[#This Row],[value_present]],"1")</f>
        <v>0</v>
      </c>
      <c r="E8" s="4">
        <f>_xlfn.MAXIFS(Tabelle5[[#This Row],[value_points]], Tabelle5[[#This Row],[company_id]],Tabelle18[[#This Row],[company_id]], Tabelle5[[#This Row],[value_id]], Tabelle18[[#This Row],[value_id]], Tabelle5[[#This Row],[value_present]],"1")</f>
        <v>0</v>
      </c>
      <c r="G8" s="33"/>
    </row>
    <row r="9" spans="1:7" x14ac:dyDescent="0.25">
      <c r="A9" s="36">
        <v>1</v>
      </c>
      <c r="B9" t="s">
        <v>106</v>
      </c>
      <c r="C9" s="4">
        <f>IF(Tabelle18[[#This Row],[binding_level_company]]&gt;=1,1,0)</f>
        <v>0</v>
      </c>
      <c r="D9" s="4">
        <f>_xlfn.MAXIFS(Tabelle5[[#This Row],[binding_level]], Tabelle5[[#This Row],[company_id]],Tabelle18[[#This Row],[company_id]], Tabelle5[[#This Row],[value_id]], Tabelle18[[#This Row],[value_id]], Tabelle5[[#This Row],[value_present]],"1")</f>
        <v>0</v>
      </c>
      <c r="E9" s="4">
        <f>_xlfn.MAXIFS(Tabelle5[[#This Row],[value_points]], Tabelle5[[#This Row],[company_id]],Tabelle18[[#This Row],[company_id]], Tabelle5[[#This Row],[value_id]], Tabelle18[[#This Row],[value_id]], Tabelle5[[#This Row],[value_present]],"1")</f>
        <v>0</v>
      </c>
      <c r="G9" s="33"/>
    </row>
    <row r="10" spans="1:7" x14ac:dyDescent="0.25">
      <c r="A10" s="36">
        <v>1</v>
      </c>
      <c r="B10" t="s">
        <v>112</v>
      </c>
      <c r="C10" s="4">
        <f>IF(Tabelle18[[#This Row],[binding_level_company]]&gt;=1,1,0)</f>
        <v>0</v>
      </c>
      <c r="D10" s="4">
        <f>_xlfn.MAXIFS(Tabelle5[[#This Row],[binding_level]], Tabelle5[[#This Row],[company_id]],Tabelle18[[#This Row],[company_id]], Tabelle5[[#This Row],[value_id]], Tabelle18[[#This Row],[value_id]], Tabelle5[[#This Row],[value_present]],"1")</f>
        <v>0</v>
      </c>
      <c r="E10" s="4">
        <f>_xlfn.MAXIFS(Tabelle5[[#This Row],[value_points]], Tabelle5[[#This Row],[company_id]],Tabelle18[[#This Row],[company_id]], Tabelle5[[#This Row],[value_id]], Tabelle18[[#This Row],[value_id]], Tabelle5[[#This Row],[value_present]],"1")</f>
        <v>0</v>
      </c>
      <c r="G10" s="33"/>
    </row>
    <row r="11" spans="1:7" x14ac:dyDescent="0.25">
      <c r="A11" s="36">
        <v>1</v>
      </c>
      <c r="B11" t="s">
        <v>118</v>
      </c>
      <c r="C11" s="4">
        <f>IF(Tabelle18[[#This Row],[binding_level_company]]&gt;=1,1,0)</f>
        <v>0</v>
      </c>
      <c r="D11" s="4">
        <f>_xlfn.MAXIFS(Tabelle5[[#This Row],[binding_level]], Tabelle5[[#This Row],[company_id]],Tabelle18[[#This Row],[company_id]], Tabelle5[[#This Row],[value_id]], Tabelle18[[#This Row],[value_id]], Tabelle5[[#This Row],[value_present]],"1")</f>
        <v>0</v>
      </c>
      <c r="E11" s="4">
        <f>_xlfn.MAXIFS(Tabelle5[[#This Row],[value_points]], Tabelle5[[#This Row],[company_id]],Tabelle18[[#This Row],[company_id]], Tabelle5[[#This Row],[value_id]], Tabelle18[[#This Row],[value_id]], Tabelle5[[#This Row],[value_present]],"1")</f>
        <v>0</v>
      </c>
      <c r="G11" s="33"/>
    </row>
    <row r="12" spans="1:7" x14ac:dyDescent="0.25">
      <c r="A12" s="36">
        <v>1</v>
      </c>
      <c r="B12" t="s">
        <v>125</v>
      </c>
      <c r="C12" s="4">
        <f>IF(Tabelle18[[#This Row],[binding_level_company]]&gt;=1,1,0)</f>
        <v>0</v>
      </c>
      <c r="D12" s="4">
        <f>_xlfn.MAXIFS(Tabelle5[[#This Row],[binding_level]], Tabelle5[[#This Row],[company_id]],Tabelle18[[#This Row],[company_id]], Tabelle5[[#This Row],[value_id]], Tabelle18[[#This Row],[value_id]], Tabelle5[[#This Row],[value_present]],"1")</f>
        <v>0</v>
      </c>
      <c r="E12" s="4">
        <f>_xlfn.MAXIFS(Tabelle5[[#This Row],[value_points]], Tabelle5[[#This Row],[company_id]],Tabelle18[[#This Row],[company_id]], Tabelle5[[#This Row],[value_id]], Tabelle18[[#This Row],[value_id]], Tabelle5[[#This Row],[value_present]],"1")</f>
        <v>0</v>
      </c>
      <c r="G12" s="33"/>
    </row>
    <row r="13" spans="1:7" x14ac:dyDescent="0.25">
      <c r="A13" s="36">
        <v>1</v>
      </c>
      <c r="B13" t="s">
        <v>132</v>
      </c>
      <c r="C13" s="4">
        <f>IF(Tabelle18[[#This Row],[binding_level_company]]&gt;=1,1,0)</f>
        <v>0</v>
      </c>
      <c r="D13" s="4">
        <f>_xlfn.MAXIFS(Tabelle5[[#This Row],[binding_level]], Tabelle5[[#This Row],[company_id]],Tabelle18[[#This Row],[company_id]], Tabelle5[[#This Row],[value_id]], Tabelle18[[#This Row],[value_id]], Tabelle5[[#This Row],[value_present]],"1")</f>
        <v>0</v>
      </c>
      <c r="E13" s="4">
        <f>_xlfn.MAXIFS(Tabelle5[[#This Row],[value_points]], Tabelle5[[#This Row],[company_id]],Tabelle18[[#This Row],[company_id]], Tabelle5[[#This Row],[value_id]], Tabelle18[[#This Row],[value_id]], Tabelle5[[#This Row],[value_present]],"1")</f>
        <v>0</v>
      </c>
      <c r="G13" s="33"/>
    </row>
    <row r="14" spans="1:7" x14ac:dyDescent="0.25">
      <c r="A14" s="36">
        <v>1</v>
      </c>
      <c r="B14" t="s">
        <v>140</v>
      </c>
      <c r="C14" s="4">
        <f>IF(Tabelle18[[#This Row],[binding_level_company]]&gt;=1,1,0)</f>
        <v>0</v>
      </c>
      <c r="D14" s="4">
        <f>_xlfn.MAXIFS(Tabelle5[[#This Row],[binding_level]], Tabelle5[[#This Row],[company_id]],Tabelle18[[#This Row],[company_id]], Tabelle5[[#This Row],[value_id]], Tabelle18[[#This Row],[value_id]], Tabelle5[[#This Row],[value_present]],"1")</f>
        <v>0</v>
      </c>
      <c r="E14" s="4">
        <f>_xlfn.MAXIFS(Tabelle5[[#This Row],[value_points]], Tabelle5[[#This Row],[company_id]],Tabelle18[[#This Row],[company_id]], Tabelle5[[#This Row],[value_id]], Tabelle18[[#This Row],[value_id]], Tabelle5[[#This Row],[value_present]],"1")</f>
        <v>0</v>
      </c>
      <c r="G14" s="33"/>
    </row>
    <row r="15" spans="1:7" x14ac:dyDescent="0.25">
      <c r="A15" s="36">
        <v>1</v>
      </c>
      <c r="B15" t="s">
        <v>147</v>
      </c>
      <c r="C15" s="4">
        <f>IF(Tabelle18[[#This Row],[binding_level_company]]&gt;=1,1,0)</f>
        <v>0</v>
      </c>
      <c r="D15" s="4">
        <f>_xlfn.MAXIFS(Tabelle5[[#This Row],[binding_level]], Tabelle5[[#This Row],[company_id]],Tabelle18[[#This Row],[company_id]], Tabelle5[[#This Row],[value_id]], Tabelle18[[#This Row],[value_id]], Tabelle5[[#This Row],[value_present]],"1")</f>
        <v>0</v>
      </c>
      <c r="E15" s="4">
        <f>_xlfn.MAXIFS(Tabelle5[[#This Row],[value_points]], Tabelle5[[#This Row],[company_id]],Tabelle18[[#This Row],[company_id]], Tabelle5[[#This Row],[value_id]], Tabelle18[[#This Row],[value_id]], Tabelle5[[#This Row],[value_present]],"1")</f>
        <v>0</v>
      </c>
      <c r="G15" s="33"/>
    </row>
    <row r="16" spans="1:7" x14ac:dyDescent="0.25">
      <c r="A16" s="36">
        <v>1</v>
      </c>
      <c r="B16" t="s">
        <v>154</v>
      </c>
      <c r="C16" s="4">
        <f>IF(Tabelle18[[#This Row],[binding_level_company]]&gt;=1,1,0)</f>
        <v>0</v>
      </c>
      <c r="D16" s="4">
        <f>_xlfn.MAXIFS(Tabelle5[[#This Row],[binding_level]], Tabelle5[[#This Row],[company_id]],Tabelle18[[#This Row],[company_id]], Tabelle5[[#This Row],[value_id]], Tabelle18[[#This Row],[value_id]], Tabelle5[[#This Row],[value_present]],"1")</f>
        <v>0</v>
      </c>
      <c r="E16" s="4">
        <f>_xlfn.MAXIFS(Tabelle5[[#This Row],[value_points]], Tabelle5[[#This Row],[company_id]],Tabelle18[[#This Row],[company_id]], Tabelle5[[#This Row],[value_id]], Tabelle18[[#This Row],[value_id]], Tabelle5[[#This Row],[value_present]],"1")</f>
        <v>0</v>
      </c>
      <c r="G16" s="33"/>
    </row>
    <row r="17" spans="1:7" x14ac:dyDescent="0.25">
      <c r="A17" s="36">
        <v>1</v>
      </c>
      <c r="B17" t="s">
        <v>161</v>
      </c>
      <c r="C17" s="4">
        <f>IF(Tabelle18[[#This Row],[binding_level_company]]&gt;=1,1,0)</f>
        <v>0</v>
      </c>
      <c r="D17" s="4">
        <f>_xlfn.MAXIFS(Tabelle5[[#This Row],[binding_level]], Tabelle5[[#This Row],[company_id]],Tabelle18[[#This Row],[company_id]], Tabelle5[[#This Row],[value_id]], Tabelle18[[#This Row],[value_id]], Tabelle5[[#This Row],[value_present]],"1")</f>
        <v>0</v>
      </c>
      <c r="E17" s="4">
        <f>_xlfn.MAXIFS(Tabelle5[[#This Row],[value_points]], Tabelle5[[#This Row],[company_id]],Tabelle18[[#This Row],[company_id]], Tabelle5[[#This Row],[value_id]], Tabelle18[[#This Row],[value_id]], Tabelle5[[#This Row],[value_present]],"1")</f>
        <v>0</v>
      </c>
      <c r="G17" s="33"/>
    </row>
    <row r="18" spans="1:7" x14ac:dyDescent="0.25">
      <c r="A18" s="36">
        <v>1</v>
      </c>
      <c r="B18" t="s">
        <v>166</v>
      </c>
      <c r="C18" s="4">
        <f>IF(Tabelle18[[#This Row],[binding_level_company]]&gt;=1,1,0)</f>
        <v>0</v>
      </c>
      <c r="D18" s="4">
        <f>_xlfn.MAXIFS(Tabelle5[[#This Row],[binding_level]], Tabelle5[[#This Row],[company_id]],Tabelle18[[#This Row],[company_id]], Tabelle5[[#This Row],[value_id]], Tabelle18[[#This Row],[value_id]], Tabelle5[[#This Row],[value_present]],"1")</f>
        <v>0</v>
      </c>
      <c r="E18" s="4">
        <f>_xlfn.MAXIFS(Tabelle5[[#This Row],[value_points]], Tabelle5[[#This Row],[company_id]],Tabelle18[[#This Row],[company_id]], Tabelle5[[#This Row],[value_id]], Tabelle18[[#This Row],[value_id]], Tabelle5[[#This Row],[value_present]],"1")</f>
        <v>0</v>
      </c>
      <c r="G18" s="33"/>
    </row>
    <row r="19" spans="1:7" ht="15.75" thickBot="1" x14ac:dyDescent="0.3">
      <c r="A19" s="37">
        <v>1</v>
      </c>
      <c r="B19" s="30" t="s">
        <v>174</v>
      </c>
      <c r="C19" s="49">
        <f>IF(Tabelle18[[#This Row],[binding_level_company]]&gt;=1,1,0)</f>
        <v>0</v>
      </c>
      <c r="D19" s="49">
        <f>_xlfn.MAXIFS(Tabelle5[[#This Row],[binding_level]], Tabelle5[[#This Row],[company_id]],Tabelle18[[#This Row],[company_id]], Tabelle5[[#This Row],[value_id]], Tabelle18[[#This Row],[value_id]], Tabelle5[[#This Row],[value_present]],"1")</f>
        <v>0</v>
      </c>
      <c r="E19" s="49">
        <f>_xlfn.MAXIFS(Tabelle5[[#This Row],[value_points]], Tabelle5[[#This Row],[company_id]],Tabelle18[[#This Row],[company_id]], Tabelle5[[#This Row],[value_id]], Tabelle18[[#This Row],[value_id]], Tabelle5[[#This Row],[value_present]],"1")</f>
        <v>0</v>
      </c>
      <c r="F19" s="30"/>
      <c r="G19" s="34"/>
    </row>
    <row r="20" spans="1:7" x14ac:dyDescent="0.25">
      <c r="A20" s="35">
        <v>2</v>
      </c>
      <c r="B20" s="22" t="s">
        <v>53</v>
      </c>
      <c r="C20" s="4">
        <f>IF(Tabelle18[[#This Row],[binding_level_company]]&gt;=1,1,0)</f>
        <v>1</v>
      </c>
      <c r="D20" s="4">
        <f>_xlfn.MAXIFS(Tabelle5[[#This Row],[binding_level]], Tabelle5[[#This Row],[company_id]],Tabelle18[[#This Row],[company_id]], Tabelle5[[#This Row],[value_id]], Tabelle18[[#This Row],[value_id]], Tabelle5[[#This Row],[value_present]],"1")</f>
        <v>2</v>
      </c>
      <c r="E20" s="4">
        <f>_xlfn.MAXIFS(Tabelle5[[#This Row],[value_points]], Tabelle5[[#This Row],[company_id]],Tabelle18[[#This Row],[company_id]], Tabelle5[[#This Row],[value_id]], Tabelle18[[#This Row],[value_id]], Tabelle5[[#This Row],[value_present]],"1")</f>
        <v>2</v>
      </c>
    </row>
    <row r="21" spans="1:7" x14ac:dyDescent="0.25">
      <c r="A21" s="36">
        <v>2</v>
      </c>
      <c r="B21" t="s">
        <v>61</v>
      </c>
      <c r="C21" s="4">
        <f>IF(Tabelle18[[#This Row],[binding_level_company]]&gt;=1,1,0)</f>
        <v>0</v>
      </c>
      <c r="D21" s="4">
        <f>_xlfn.MAXIFS(Tabelle5[[#This Row],[binding_level]], Tabelle5[[#This Row],[company_id]],Tabelle18[[#This Row],[company_id]], Tabelle5[[#This Row],[value_id]], Tabelle18[[#This Row],[value_id]], Tabelle5[[#This Row],[value_present]],"1")</f>
        <v>0</v>
      </c>
      <c r="E21" s="4">
        <f>_xlfn.MAXIFS(Tabelle5[[#This Row],[value_points]], Tabelle5[[#This Row],[company_id]],Tabelle18[[#This Row],[company_id]], Tabelle5[[#This Row],[value_id]], Tabelle18[[#This Row],[value_id]], Tabelle5[[#This Row],[value_present]],"1")</f>
        <v>0</v>
      </c>
    </row>
    <row r="22" spans="1:7" x14ac:dyDescent="0.25">
      <c r="A22" s="36">
        <v>2</v>
      </c>
      <c r="B22" t="s">
        <v>69</v>
      </c>
      <c r="C22" s="4">
        <f>IF(Tabelle18[[#This Row],[binding_level_company]]&gt;=1,1,0)</f>
        <v>1</v>
      </c>
      <c r="D22" s="4">
        <f>_xlfn.MAXIFS(Tabelle5[[#This Row],[binding_level]], Tabelle5[[#This Row],[company_id]],Tabelle18[[#This Row],[company_id]], Tabelle5[[#This Row],[value_id]], Tabelle18[[#This Row],[value_id]], Tabelle5[[#This Row],[value_present]],"1")</f>
        <v>2</v>
      </c>
      <c r="E22" s="4">
        <f>_xlfn.MAXIFS(Tabelle5[[#This Row],[value_points]], Tabelle5[[#This Row],[company_id]],Tabelle18[[#This Row],[company_id]], Tabelle5[[#This Row],[value_id]], Tabelle18[[#This Row],[value_id]], Tabelle5[[#This Row],[value_present]],"1")</f>
        <v>2</v>
      </c>
    </row>
    <row r="23" spans="1:7" x14ac:dyDescent="0.25">
      <c r="A23" s="36">
        <v>2</v>
      </c>
      <c r="B23" t="s">
        <v>76</v>
      </c>
      <c r="C23" s="4">
        <f>IF(Tabelle18[[#This Row],[binding_level_company]]&gt;=1,1,0)</f>
        <v>1</v>
      </c>
      <c r="D23" s="4">
        <f>_xlfn.MAXIFS(Tabelle5[[#This Row],[binding_level]], Tabelle5[[#This Row],[company_id]],Tabelle18[[#This Row],[company_id]], Tabelle5[[#This Row],[value_id]], Tabelle18[[#This Row],[value_id]], Tabelle5[[#This Row],[value_present]],"1")</f>
        <v>2</v>
      </c>
      <c r="E23" s="4">
        <f>_xlfn.MAXIFS(Tabelle5[[#This Row],[value_points]], Tabelle5[[#This Row],[company_id]],Tabelle18[[#This Row],[company_id]], Tabelle5[[#This Row],[value_id]], Tabelle18[[#This Row],[value_id]], Tabelle5[[#This Row],[value_present]],"1")</f>
        <v>2</v>
      </c>
    </row>
    <row r="24" spans="1:7" x14ac:dyDescent="0.25">
      <c r="A24" s="36">
        <v>2</v>
      </c>
      <c r="B24" t="s">
        <v>83</v>
      </c>
      <c r="C24" s="4">
        <f>IF(Tabelle18[[#This Row],[binding_level_company]]&gt;=1,1,0)</f>
        <v>1</v>
      </c>
      <c r="D24" s="4">
        <f>_xlfn.MAXIFS(Tabelle5[[#This Row],[binding_level]], Tabelle5[[#This Row],[company_id]],Tabelle18[[#This Row],[company_id]], Tabelle5[[#This Row],[value_id]], Tabelle18[[#This Row],[value_id]], Tabelle5[[#This Row],[value_present]],"1")</f>
        <v>3</v>
      </c>
      <c r="E24" s="4">
        <f>_xlfn.MAXIFS(Tabelle5[[#This Row],[value_points]], Tabelle5[[#This Row],[company_id]],Tabelle18[[#This Row],[company_id]], Tabelle5[[#This Row],[value_id]], Tabelle18[[#This Row],[value_id]], Tabelle5[[#This Row],[value_present]],"1")</f>
        <v>3</v>
      </c>
    </row>
    <row r="25" spans="1:7" x14ac:dyDescent="0.25">
      <c r="A25" s="36">
        <v>2</v>
      </c>
      <c r="B25" t="s">
        <v>90</v>
      </c>
      <c r="C25" s="4">
        <f>IF(Tabelle18[[#This Row],[binding_level_company]]&gt;=1,1,0)</f>
        <v>1</v>
      </c>
      <c r="D25" s="4">
        <f>_xlfn.MAXIFS(Tabelle5[[#This Row],[binding_level]], Tabelle5[[#This Row],[company_id]],Tabelle18[[#This Row],[company_id]], Tabelle5[[#This Row],[value_id]], Tabelle18[[#This Row],[value_id]], Tabelle5[[#This Row],[value_present]],"1")</f>
        <v>2</v>
      </c>
      <c r="E25" s="4">
        <f>_xlfn.MAXIFS(Tabelle5[[#This Row],[value_points]], Tabelle5[[#This Row],[company_id]],Tabelle18[[#This Row],[company_id]], Tabelle5[[#This Row],[value_id]], Tabelle18[[#This Row],[value_id]], Tabelle5[[#This Row],[value_present]],"1")</f>
        <v>2</v>
      </c>
    </row>
    <row r="26" spans="1:7" x14ac:dyDescent="0.25">
      <c r="A26" s="36">
        <v>2</v>
      </c>
      <c r="B26" t="s">
        <v>98</v>
      </c>
      <c r="C26" s="4">
        <f>IF(Tabelle18[[#This Row],[binding_level_company]]&gt;=1,1,0)</f>
        <v>0</v>
      </c>
      <c r="D26" s="4">
        <f>_xlfn.MAXIFS(Tabelle5[[#This Row],[binding_level]], Tabelle5[[#This Row],[company_id]],Tabelle18[[#This Row],[company_id]], Tabelle5[[#This Row],[value_id]], Tabelle18[[#This Row],[value_id]], Tabelle5[[#This Row],[value_present]],"1")</f>
        <v>0</v>
      </c>
      <c r="E26" s="4">
        <f>_xlfn.MAXIFS(Tabelle5[[#This Row],[value_points]], Tabelle5[[#This Row],[company_id]],Tabelle18[[#This Row],[company_id]], Tabelle5[[#This Row],[value_id]], Tabelle18[[#This Row],[value_id]], Tabelle5[[#This Row],[value_present]],"1")</f>
        <v>0</v>
      </c>
    </row>
    <row r="27" spans="1:7" x14ac:dyDescent="0.25">
      <c r="A27" s="36">
        <v>2</v>
      </c>
      <c r="B27" t="s">
        <v>106</v>
      </c>
      <c r="C27" s="4">
        <f>IF(Tabelle18[[#This Row],[binding_level_company]]&gt;=1,1,0)</f>
        <v>0</v>
      </c>
      <c r="D27" s="4">
        <f>_xlfn.MAXIFS(Tabelle5[[#This Row],[binding_level]], Tabelle5[[#This Row],[company_id]],Tabelle18[[#This Row],[company_id]], Tabelle5[[#This Row],[value_id]], Tabelle18[[#This Row],[value_id]], Tabelle5[[#This Row],[value_present]],"1")</f>
        <v>0</v>
      </c>
      <c r="E27" s="4">
        <f>_xlfn.MAXIFS(Tabelle5[[#This Row],[value_points]], Tabelle5[[#This Row],[company_id]],Tabelle18[[#This Row],[company_id]], Tabelle5[[#This Row],[value_id]], Tabelle18[[#This Row],[value_id]], Tabelle5[[#This Row],[value_present]],"1")</f>
        <v>0</v>
      </c>
    </row>
    <row r="28" spans="1:7" x14ac:dyDescent="0.25">
      <c r="A28" s="36">
        <v>2</v>
      </c>
      <c r="B28" t="s">
        <v>112</v>
      </c>
      <c r="C28" s="4">
        <f>IF(Tabelle18[[#This Row],[binding_level_company]]&gt;=1,1,0)</f>
        <v>0</v>
      </c>
      <c r="D28" s="4">
        <f>_xlfn.MAXIFS(Tabelle5[[#This Row],[binding_level]], Tabelle5[[#This Row],[company_id]],Tabelle18[[#This Row],[company_id]], Tabelle5[[#This Row],[value_id]], Tabelle18[[#This Row],[value_id]], Tabelle5[[#This Row],[value_present]],"1")</f>
        <v>0</v>
      </c>
      <c r="E28" s="4">
        <f>_xlfn.MAXIFS(Tabelle5[[#This Row],[value_points]], Tabelle5[[#This Row],[company_id]],Tabelle18[[#This Row],[company_id]], Tabelle5[[#This Row],[value_id]], Tabelle18[[#This Row],[value_id]], Tabelle5[[#This Row],[value_present]],"1")</f>
        <v>0</v>
      </c>
    </row>
    <row r="29" spans="1:7" x14ac:dyDescent="0.25">
      <c r="A29" s="36">
        <v>2</v>
      </c>
      <c r="B29" t="s">
        <v>118</v>
      </c>
      <c r="C29" s="4">
        <f>IF(Tabelle18[[#This Row],[binding_level_company]]&gt;=1,1,0)</f>
        <v>0</v>
      </c>
      <c r="D29" s="4">
        <f>_xlfn.MAXIFS(Tabelle5[[#This Row],[binding_level]], Tabelle5[[#This Row],[company_id]],Tabelle18[[#This Row],[company_id]], Tabelle5[[#This Row],[value_id]], Tabelle18[[#This Row],[value_id]], Tabelle5[[#This Row],[value_present]],"1")</f>
        <v>0</v>
      </c>
      <c r="E29" s="4">
        <f>_xlfn.MAXIFS(Tabelle5[[#This Row],[value_points]], Tabelle5[[#This Row],[company_id]],Tabelle18[[#This Row],[company_id]], Tabelle5[[#This Row],[value_id]], Tabelle18[[#This Row],[value_id]], Tabelle5[[#This Row],[value_present]],"1")</f>
        <v>0</v>
      </c>
    </row>
    <row r="30" spans="1:7" x14ac:dyDescent="0.25">
      <c r="A30" s="36">
        <v>2</v>
      </c>
      <c r="B30" t="s">
        <v>125</v>
      </c>
      <c r="C30" s="4">
        <f>IF(Tabelle18[[#This Row],[binding_level_company]]&gt;=1,1,0)</f>
        <v>0</v>
      </c>
      <c r="D30" s="4">
        <f>_xlfn.MAXIFS(Tabelle5[[#This Row],[binding_level]], Tabelle5[[#This Row],[company_id]],Tabelle18[[#This Row],[company_id]], Tabelle5[[#This Row],[value_id]], Tabelle18[[#This Row],[value_id]], Tabelle5[[#This Row],[value_present]],"1")</f>
        <v>0</v>
      </c>
      <c r="E30" s="4">
        <f>_xlfn.MAXIFS(Tabelle5[[#This Row],[value_points]], Tabelle5[[#This Row],[company_id]],Tabelle18[[#This Row],[company_id]], Tabelle5[[#This Row],[value_id]], Tabelle18[[#This Row],[value_id]], Tabelle5[[#This Row],[value_present]],"1")</f>
        <v>0</v>
      </c>
    </row>
    <row r="31" spans="1:7" x14ac:dyDescent="0.25">
      <c r="A31" s="36">
        <v>2</v>
      </c>
      <c r="B31" t="s">
        <v>132</v>
      </c>
      <c r="C31" s="4">
        <f>IF(Tabelle18[[#This Row],[binding_level_company]]&gt;=1,1,0)</f>
        <v>1</v>
      </c>
      <c r="D31" s="4">
        <f>_xlfn.MAXIFS(Tabelle5[[#This Row],[binding_level]], Tabelle5[[#This Row],[company_id]],Tabelle18[[#This Row],[company_id]], Tabelle5[[#This Row],[value_id]], Tabelle18[[#This Row],[value_id]], Tabelle5[[#This Row],[value_present]],"1")</f>
        <v>1</v>
      </c>
      <c r="E31" s="4">
        <f>_xlfn.MAXIFS(Tabelle5[[#This Row],[value_points]], Tabelle5[[#This Row],[company_id]],Tabelle18[[#This Row],[company_id]], Tabelle5[[#This Row],[value_id]], Tabelle18[[#This Row],[value_id]], Tabelle5[[#This Row],[value_present]],"1")</f>
        <v>1</v>
      </c>
    </row>
    <row r="32" spans="1:7" x14ac:dyDescent="0.25">
      <c r="A32" s="36">
        <v>2</v>
      </c>
      <c r="B32" t="s">
        <v>140</v>
      </c>
      <c r="C32" s="4">
        <f>IF(Tabelle18[[#This Row],[binding_level_company]]&gt;=1,1,0)</f>
        <v>0</v>
      </c>
      <c r="D32" s="4">
        <f>_xlfn.MAXIFS(Tabelle5[[#This Row],[binding_level]], Tabelle5[[#This Row],[company_id]],Tabelle18[[#This Row],[company_id]], Tabelle5[[#This Row],[value_id]], Tabelle18[[#This Row],[value_id]], Tabelle5[[#This Row],[value_present]],"1")</f>
        <v>0</v>
      </c>
      <c r="E32" s="4">
        <f>_xlfn.MAXIFS(Tabelle5[[#This Row],[value_points]], Tabelle5[[#This Row],[company_id]],Tabelle18[[#This Row],[company_id]], Tabelle5[[#This Row],[value_id]], Tabelle18[[#This Row],[value_id]], Tabelle5[[#This Row],[value_present]],"1")</f>
        <v>0</v>
      </c>
    </row>
    <row r="33" spans="1:5" x14ac:dyDescent="0.25">
      <c r="A33" s="36">
        <v>2</v>
      </c>
      <c r="B33" t="s">
        <v>147</v>
      </c>
      <c r="C33" s="4">
        <f>IF(Tabelle18[[#This Row],[binding_level_company]]&gt;=1,1,0)</f>
        <v>1</v>
      </c>
      <c r="D33" s="4">
        <f>_xlfn.MAXIFS(Tabelle5[[#This Row],[binding_level]], Tabelle5[[#This Row],[company_id]],Tabelle18[[#This Row],[company_id]], Tabelle5[[#This Row],[value_id]], Tabelle18[[#This Row],[value_id]], Tabelle5[[#This Row],[value_present]],"1")</f>
        <v>2</v>
      </c>
      <c r="E33" s="4">
        <f>_xlfn.MAXIFS(Tabelle5[[#This Row],[value_points]], Tabelle5[[#This Row],[company_id]],Tabelle18[[#This Row],[company_id]], Tabelle5[[#This Row],[value_id]], Tabelle18[[#This Row],[value_id]], Tabelle5[[#This Row],[value_present]],"1")</f>
        <v>2</v>
      </c>
    </row>
    <row r="34" spans="1:5" x14ac:dyDescent="0.25">
      <c r="A34" s="36">
        <v>2</v>
      </c>
      <c r="B34" t="s">
        <v>154</v>
      </c>
      <c r="C34" s="4">
        <f>IF(Tabelle18[[#This Row],[binding_level_company]]&gt;=1,1,0)</f>
        <v>1</v>
      </c>
      <c r="D34" s="4">
        <f>_xlfn.MAXIFS(Tabelle5[[#This Row],[binding_level]], Tabelle5[[#This Row],[company_id]],Tabelle18[[#This Row],[company_id]], Tabelle5[[#This Row],[value_id]], Tabelle18[[#This Row],[value_id]], Tabelle5[[#This Row],[value_present]],"1")</f>
        <v>2</v>
      </c>
      <c r="E34" s="4">
        <f>_xlfn.MAXIFS(Tabelle5[[#This Row],[value_points]], Tabelle5[[#This Row],[company_id]],Tabelle18[[#This Row],[company_id]], Tabelle5[[#This Row],[value_id]], Tabelle18[[#This Row],[value_id]], Tabelle5[[#This Row],[value_present]],"1")</f>
        <v>2</v>
      </c>
    </row>
    <row r="35" spans="1:5" x14ac:dyDescent="0.25">
      <c r="A35" s="36">
        <v>2</v>
      </c>
      <c r="B35" t="s">
        <v>161</v>
      </c>
      <c r="C35" s="4">
        <f>IF(Tabelle18[[#This Row],[binding_level_company]]&gt;=1,1,0)</f>
        <v>0</v>
      </c>
      <c r="D35" s="4">
        <f>_xlfn.MAXIFS(Tabelle5[[#This Row],[binding_level]], Tabelle5[[#This Row],[company_id]],Tabelle18[[#This Row],[company_id]], Tabelle5[[#This Row],[value_id]], Tabelle18[[#This Row],[value_id]], Tabelle5[[#This Row],[value_present]],"1")</f>
        <v>0</v>
      </c>
      <c r="E35" s="4">
        <f>_xlfn.MAXIFS(Tabelle5[[#This Row],[value_points]], Tabelle5[[#This Row],[company_id]],Tabelle18[[#This Row],[company_id]], Tabelle5[[#This Row],[value_id]], Tabelle18[[#This Row],[value_id]], Tabelle5[[#This Row],[value_present]],"1")</f>
        <v>0</v>
      </c>
    </row>
    <row r="36" spans="1:5" x14ac:dyDescent="0.25">
      <c r="A36" s="36">
        <v>2</v>
      </c>
      <c r="B36" t="s">
        <v>166</v>
      </c>
      <c r="C36" s="4">
        <f>IF(Tabelle18[[#This Row],[binding_level_company]]&gt;=1,1,0)</f>
        <v>0</v>
      </c>
      <c r="D36" s="4">
        <f>_xlfn.MAXIFS(Tabelle5[[#This Row],[binding_level]], Tabelle5[[#This Row],[company_id]],Tabelle18[[#This Row],[company_id]], Tabelle5[[#This Row],[value_id]], Tabelle18[[#This Row],[value_id]], Tabelle5[[#This Row],[value_present]],"1")</f>
        <v>0</v>
      </c>
      <c r="E36" s="4">
        <f>_xlfn.MAXIFS(Tabelle5[[#This Row],[value_points]], Tabelle5[[#This Row],[company_id]],Tabelle18[[#This Row],[company_id]], Tabelle5[[#This Row],[value_id]], Tabelle18[[#This Row],[value_id]], Tabelle5[[#This Row],[value_present]],"1")</f>
        <v>0</v>
      </c>
    </row>
    <row r="37" spans="1:5" ht="15.75" thickBot="1" x14ac:dyDescent="0.3">
      <c r="A37" s="37">
        <v>2</v>
      </c>
      <c r="B37" s="30" t="s">
        <v>174</v>
      </c>
      <c r="C37" s="4">
        <f>IF(Tabelle18[[#This Row],[binding_level_company]]&gt;=1,1,0)</f>
        <v>1</v>
      </c>
      <c r="D37" s="4">
        <f>_xlfn.MAXIFS(Tabelle5[[#This Row],[binding_level]], Tabelle5[[#This Row],[company_id]],Tabelle18[[#This Row],[company_id]], Tabelle5[[#This Row],[value_id]], Tabelle18[[#This Row],[value_id]], Tabelle5[[#This Row],[value_present]],"1")</f>
        <v>2</v>
      </c>
      <c r="E37" s="4">
        <f>_xlfn.MAXIFS(Tabelle5[[#This Row],[value_points]], Tabelle5[[#This Row],[company_id]],Tabelle18[[#This Row],[company_id]], Tabelle5[[#This Row],[value_id]], Tabelle18[[#This Row],[value_id]], Tabelle5[[#This Row],[value_present]],"1")</f>
        <v>2</v>
      </c>
    </row>
    <row r="38" spans="1:5" x14ac:dyDescent="0.25">
      <c r="A38">
        <v>4</v>
      </c>
      <c r="B38" s="22" t="s">
        <v>53</v>
      </c>
      <c r="C38" s="4">
        <f>IF(Tabelle18[[#This Row],[binding_level_company]]&gt;=1,1,0)</f>
        <v>0</v>
      </c>
      <c r="D38" s="4">
        <f>_xlfn.MAXIFS(Tabelle5[[#This Row],[binding_level]], Tabelle5[[#This Row],[company_id]],Tabelle18[[#This Row],[company_id]], Tabelle5[[#This Row],[value_id]], Tabelle18[[#This Row],[value_id]], Tabelle5[[#This Row],[value_present]],"1")</f>
        <v>0</v>
      </c>
      <c r="E38" s="4">
        <f>_xlfn.MAXIFS(Tabelle5[[#This Row],[value_points]], Tabelle5[[#This Row],[company_id]],Tabelle18[[#This Row],[company_id]], Tabelle5[[#This Row],[value_id]], Tabelle18[[#This Row],[value_id]], Tabelle5[[#This Row],[value_present]],"1")</f>
        <v>0</v>
      </c>
    </row>
    <row r="39" spans="1:5" x14ac:dyDescent="0.25">
      <c r="A39">
        <v>3</v>
      </c>
      <c r="B39" t="s">
        <v>61</v>
      </c>
      <c r="C39" s="4">
        <f>IF(Tabelle18[[#This Row],[binding_level_company]]&gt;=1,1,0)</f>
        <v>1</v>
      </c>
      <c r="D39" s="4">
        <f>_xlfn.MAXIFS(Tabelle5[[#This Row],[binding_level]], Tabelle5[[#This Row],[company_id]],Tabelle18[[#This Row],[company_id]], Tabelle5[[#This Row],[value_id]], Tabelle18[[#This Row],[value_id]], Tabelle5[[#This Row],[value_present]],"1")</f>
        <v>3</v>
      </c>
      <c r="E39" s="4">
        <f>_xlfn.MAXIFS(Tabelle5[[#This Row],[value_points]], Tabelle5[[#This Row],[company_id]],Tabelle18[[#This Row],[company_id]], Tabelle5[[#This Row],[value_id]], Tabelle18[[#This Row],[value_id]], Tabelle5[[#This Row],[value_present]],"1")</f>
        <v>3</v>
      </c>
    </row>
    <row r="40" spans="1:5" x14ac:dyDescent="0.25">
      <c r="A40">
        <v>3</v>
      </c>
      <c r="B40" t="s">
        <v>69</v>
      </c>
      <c r="C40" s="4">
        <f>IF(Tabelle18[[#This Row],[binding_level_company]]&gt;=1,1,0)</f>
        <v>1</v>
      </c>
      <c r="D40" s="4">
        <f>_xlfn.MAXIFS(Tabelle5[[#This Row],[binding_level]], Tabelle5[[#This Row],[company_id]],Tabelle18[[#This Row],[company_id]], Tabelle5[[#This Row],[value_id]], Tabelle18[[#This Row],[value_id]], Tabelle5[[#This Row],[value_present]],"1")</f>
        <v>2</v>
      </c>
      <c r="E40" s="4">
        <f>_xlfn.MAXIFS(Tabelle5[[#This Row],[value_points]], Tabelle5[[#This Row],[company_id]],Tabelle18[[#This Row],[company_id]], Tabelle5[[#This Row],[value_id]], Tabelle18[[#This Row],[value_id]], Tabelle5[[#This Row],[value_present]],"1")</f>
        <v>2</v>
      </c>
    </row>
    <row r="41" spans="1:5" x14ac:dyDescent="0.25">
      <c r="A41">
        <v>3</v>
      </c>
      <c r="B41" t="s">
        <v>76</v>
      </c>
      <c r="C41" s="4">
        <f>IF(Tabelle18[[#This Row],[binding_level_company]]&gt;=1,1,0)</f>
        <v>1</v>
      </c>
      <c r="D41" s="4">
        <f>_xlfn.MAXIFS(Tabelle5[[#This Row],[binding_level]], Tabelle5[[#This Row],[company_id]],Tabelle18[[#This Row],[company_id]], Tabelle5[[#This Row],[value_id]], Tabelle18[[#This Row],[value_id]], Tabelle5[[#This Row],[value_present]],"1")</f>
        <v>2</v>
      </c>
      <c r="E41" s="4">
        <f>_xlfn.MAXIFS(Tabelle5[[#This Row],[value_points]], Tabelle5[[#This Row],[company_id]],Tabelle18[[#This Row],[company_id]], Tabelle5[[#This Row],[value_id]], Tabelle18[[#This Row],[value_id]], Tabelle5[[#This Row],[value_present]],"1")</f>
        <v>2</v>
      </c>
    </row>
    <row r="42" spans="1:5" x14ac:dyDescent="0.25">
      <c r="A42">
        <v>3</v>
      </c>
      <c r="B42" t="s">
        <v>83</v>
      </c>
      <c r="C42" s="4">
        <f>IF(Tabelle18[[#This Row],[binding_level_company]]&gt;=1,1,0)</f>
        <v>1</v>
      </c>
      <c r="D42" s="4">
        <f>_xlfn.MAXIFS(Tabelle5[[#This Row],[binding_level]], Tabelle5[[#This Row],[company_id]],Tabelle18[[#This Row],[company_id]], Tabelle5[[#This Row],[value_id]], Tabelle18[[#This Row],[value_id]], Tabelle5[[#This Row],[value_present]],"1")</f>
        <v>3</v>
      </c>
      <c r="E42" s="4">
        <f>_xlfn.MAXIFS(Tabelle5[[#This Row],[value_points]], Tabelle5[[#This Row],[company_id]],Tabelle18[[#This Row],[company_id]], Tabelle5[[#This Row],[value_id]], Tabelle18[[#This Row],[value_id]], Tabelle5[[#This Row],[value_present]],"1")</f>
        <v>3</v>
      </c>
    </row>
    <row r="43" spans="1:5" x14ac:dyDescent="0.25">
      <c r="A43">
        <v>3</v>
      </c>
      <c r="B43" t="s">
        <v>90</v>
      </c>
      <c r="C43" s="4">
        <f>IF(Tabelle18[[#This Row],[binding_level_company]]&gt;=1,1,0)</f>
        <v>1</v>
      </c>
      <c r="D43" s="4">
        <f>_xlfn.MAXIFS(Tabelle5[[#This Row],[binding_level]], Tabelle5[[#This Row],[company_id]],Tabelle18[[#This Row],[company_id]], Tabelle5[[#This Row],[value_id]], Tabelle18[[#This Row],[value_id]], Tabelle5[[#This Row],[value_present]],"1")</f>
        <v>3</v>
      </c>
      <c r="E43" s="4">
        <f>_xlfn.MAXIFS(Tabelle5[[#This Row],[value_points]], Tabelle5[[#This Row],[company_id]],Tabelle18[[#This Row],[company_id]], Tabelle5[[#This Row],[value_id]], Tabelle18[[#This Row],[value_id]], Tabelle5[[#This Row],[value_present]],"1")</f>
        <v>3</v>
      </c>
    </row>
    <row r="44" spans="1:5" x14ac:dyDescent="0.25">
      <c r="A44">
        <v>3</v>
      </c>
      <c r="B44" t="s">
        <v>98</v>
      </c>
      <c r="C44" s="4">
        <f>IF(Tabelle18[[#This Row],[binding_level_company]]&gt;=1,1,0)</f>
        <v>1</v>
      </c>
      <c r="D44" s="4">
        <f>_xlfn.MAXIFS(Tabelle5[[#This Row],[binding_level]], Tabelle5[[#This Row],[company_id]],Tabelle18[[#This Row],[company_id]], Tabelle5[[#This Row],[value_id]], Tabelle18[[#This Row],[value_id]], Tabelle5[[#This Row],[value_present]],"1")</f>
        <v>2</v>
      </c>
      <c r="E44" s="4">
        <f>_xlfn.MAXIFS(Tabelle5[[#This Row],[value_points]], Tabelle5[[#This Row],[company_id]],Tabelle18[[#This Row],[company_id]], Tabelle5[[#This Row],[value_id]], Tabelle18[[#This Row],[value_id]], Tabelle5[[#This Row],[value_present]],"1")</f>
        <v>2</v>
      </c>
    </row>
    <row r="45" spans="1:5" x14ac:dyDescent="0.25">
      <c r="A45">
        <v>3</v>
      </c>
      <c r="B45" t="s">
        <v>106</v>
      </c>
      <c r="C45" s="4">
        <f>IF(Tabelle18[[#This Row],[binding_level_company]]&gt;=1,1,0)</f>
        <v>1</v>
      </c>
      <c r="D45" s="4">
        <f>_xlfn.MAXIFS(Tabelle5[[#This Row],[binding_level]], Tabelle5[[#This Row],[company_id]],Tabelle18[[#This Row],[company_id]], Tabelle5[[#This Row],[value_id]], Tabelle18[[#This Row],[value_id]], Tabelle5[[#This Row],[value_present]],"1")</f>
        <v>2</v>
      </c>
      <c r="E45" s="4">
        <f>_xlfn.MAXIFS(Tabelle5[[#This Row],[value_points]], Tabelle5[[#This Row],[company_id]],Tabelle18[[#This Row],[company_id]], Tabelle5[[#This Row],[value_id]], Tabelle18[[#This Row],[value_id]], Tabelle5[[#This Row],[value_present]],"1")</f>
        <v>2</v>
      </c>
    </row>
    <row r="46" spans="1:5" x14ac:dyDescent="0.25">
      <c r="A46">
        <v>3</v>
      </c>
      <c r="B46" t="s">
        <v>112</v>
      </c>
      <c r="C46" s="4">
        <f>IF(Tabelle18[[#This Row],[binding_level_company]]&gt;=1,1,0)</f>
        <v>1</v>
      </c>
      <c r="D46" s="4">
        <f>_xlfn.MAXIFS(Tabelle5[[#This Row],[binding_level]], Tabelle5[[#This Row],[company_id]],Tabelle18[[#This Row],[company_id]], Tabelle5[[#This Row],[value_id]], Tabelle18[[#This Row],[value_id]], Tabelle5[[#This Row],[value_present]],"1")</f>
        <v>3</v>
      </c>
      <c r="E46" s="4">
        <f>_xlfn.MAXIFS(Tabelle5[[#This Row],[value_points]], Tabelle5[[#This Row],[company_id]],Tabelle18[[#This Row],[company_id]], Tabelle5[[#This Row],[value_id]], Tabelle18[[#This Row],[value_id]], Tabelle5[[#This Row],[value_present]],"1")</f>
        <v>3</v>
      </c>
    </row>
    <row r="47" spans="1:5" x14ac:dyDescent="0.25">
      <c r="A47">
        <v>3</v>
      </c>
      <c r="B47" t="s">
        <v>118</v>
      </c>
      <c r="C47" s="4">
        <f>IF(Tabelle18[[#This Row],[binding_level_company]]&gt;=1,1,0)</f>
        <v>0</v>
      </c>
      <c r="D47" s="4">
        <f>_xlfn.MAXIFS(Tabelle5[[#This Row],[binding_level]], Tabelle5[[#This Row],[company_id]],Tabelle18[[#This Row],[company_id]], Tabelle5[[#This Row],[value_id]], Tabelle18[[#This Row],[value_id]], Tabelle5[[#This Row],[value_present]],"1")</f>
        <v>0</v>
      </c>
      <c r="E47" s="4">
        <f>_xlfn.MAXIFS(Tabelle5[[#This Row],[value_points]], Tabelle5[[#This Row],[company_id]],Tabelle18[[#This Row],[company_id]], Tabelle5[[#This Row],[value_id]], Tabelle18[[#This Row],[value_id]], Tabelle5[[#This Row],[value_present]],"1")</f>
        <v>0</v>
      </c>
    </row>
    <row r="48" spans="1:5" x14ac:dyDescent="0.25">
      <c r="A48">
        <v>3</v>
      </c>
      <c r="B48" t="s">
        <v>125</v>
      </c>
      <c r="C48" s="4">
        <f>IF(Tabelle18[[#This Row],[binding_level_company]]&gt;=1,1,0)</f>
        <v>0</v>
      </c>
      <c r="D48" s="4">
        <f>_xlfn.MAXIFS(Tabelle5[[#This Row],[binding_level]], Tabelle5[[#This Row],[company_id]],Tabelle18[[#This Row],[company_id]], Tabelle5[[#This Row],[value_id]], Tabelle18[[#This Row],[value_id]], Tabelle5[[#This Row],[value_present]],"1")</f>
        <v>0</v>
      </c>
      <c r="E48" s="4">
        <f>_xlfn.MAXIFS(Tabelle5[[#This Row],[value_points]], Tabelle5[[#This Row],[company_id]],Tabelle18[[#This Row],[company_id]], Tabelle5[[#This Row],[value_id]], Tabelle18[[#This Row],[value_id]], Tabelle5[[#This Row],[value_present]],"1")</f>
        <v>0</v>
      </c>
    </row>
    <row r="49" spans="1:5" x14ac:dyDescent="0.25">
      <c r="A49">
        <v>3</v>
      </c>
      <c r="B49" t="s">
        <v>132</v>
      </c>
      <c r="C49" s="4">
        <f>IF(Tabelle18[[#This Row],[binding_level_company]]&gt;=1,1,0)</f>
        <v>0</v>
      </c>
      <c r="D49" s="4">
        <f>_xlfn.MAXIFS(Tabelle5[[#This Row],[binding_level]], Tabelle5[[#This Row],[company_id]],Tabelle18[[#This Row],[company_id]], Tabelle5[[#This Row],[value_id]], Tabelle18[[#This Row],[value_id]], Tabelle5[[#This Row],[value_present]],"1")</f>
        <v>0</v>
      </c>
      <c r="E49" s="4">
        <f>_xlfn.MAXIFS(Tabelle5[[#This Row],[value_points]], Tabelle5[[#This Row],[company_id]],Tabelle18[[#This Row],[company_id]], Tabelle5[[#This Row],[value_id]], Tabelle18[[#This Row],[value_id]], Tabelle5[[#This Row],[value_present]],"1")</f>
        <v>0</v>
      </c>
    </row>
    <row r="50" spans="1:5" x14ac:dyDescent="0.25">
      <c r="A50">
        <v>3</v>
      </c>
      <c r="B50" t="s">
        <v>140</v>
      </c>
      <c r="C50" s="4">
        <f>IF(Tabelle18[[#This Row],[binding_level_company]]&gt;=1,1,0)</f>
        <v>0</v>
      </c>
      <c r="D50" s="4">
        <f>_xlfn.MAXIFS(Tabelle5[[#This Row],[binding_level]], Tabelle5[[#This Row],[company_id]],Tabelle18[[#This Row],[company_id]], Tabelle5[[#This Row],[value_id]], Tabelle18[[#This Row],[value_id]], Tabelle5[[#This Row],[value_present]],"1")</f>
        <v>0</v>
      </c>
      <c r="E50" s="4">
        <f>_xlfn.MAXIFS(Tabelle5[[#This Row],[value_points]], Tabelle5[[#This Row],[company_id]],Tabelle18[[#This Row],[company_id]], Tabelle5[[#This Row],[value_id]], Tabelle18[[#This Row],[value_id]], Tabelle5[[#This Row],[value_present]],"1")</f>
        <v>0</v>
      </c>
    </row>
    <row r="51" spans="1:5" x14ac:dyDescent="0.25">
      <c r="A51">
        <v>3</v>
      </c>
      <c r="B51" t="s">
        <v>147</v>
      </c>
      <c r="C51" s="4">
        <f>IF(Tabelle18[[#This Row],[binding_level_company]]&gt;=1,1,0)</f>
        <v>1</v>
      </c>
      <c r="D51" s="4">
        <f>_xlfn.MAXIFS(Tabelle5[[#This Row],[binding_level]], Tabelle5[[#This Row],[company_id]],Tabelle18[[#This Row],[company_id]], Tabelle5[[#This Row],[value_id]], Tabelle18[[#This Row],[value_id]], Tabelle5[[#This Row],[value_present]],"1")</f>
        <v>2</v>
      </c>
      <c r="E51" s="4">
        <f>_xlfn.MAXIFS(Tabelle5[[#This Row],[value_points]], Tabelle5[[#This Row],[company_id]],Tabelle18[[#This Row],[company_id]], Tabelle5[[#This Row],[value_id]], Tabelle18[[#This Row],[value_id]], Tabelle5[[#This Row],[value_present]],"1")</f>
        <v>2</v>
      </c>
    </row>
    <row r="52" spans="1:5" x14ac:dyDescent="0.25">
      <c r="A52">
        <v>3</v>
      </c>
      <c r="B52" t="s">
        <v>154</v>
      </c>
      <c r="C52" s="4">
        <f>IF(Tabelle18[[#This Row],[binding_level_company]]&gt;=1,1,0)</f>
        <v>1</v>
      </c>
      <c r="D52" s="4">
        <f>_xlfn.MAXIFS(Tabelle5[[#This Row],[binding_level]], Tabelle5[[#This Row],[company_id]],Tabelle18[[#This Row],[company_id]], Tabelle5[[#This Row],[value_id]], Tabelle18[[#This Row],[value_id]], Tabelle5[[#This Row],[value_present]],"1")</f>
        <v>2</v>
      </c>
      <c r="E52" s="4">
        <f>_xlfn.MAXIFS(Tabelle5[[#This Row],[value_points]], Tabelle5[[#This Row],[company_id]],Tabelle18[[#This Row],[company_id]], Tabelle5[[#This Row],[value_id]], Tabelle18[[#This Row],[value_id]], Tabelle5[[#This Row],[value_present]],"1")</f>
        <v>2</v>
      </c>
    </row>
    <row r="53" spans="1:5" x14ac:dyDescent="0.25">
      <c r="A53">
        <v>3</v>
      </c>
      <c r="B53" t="s">
        <v>161</v>
      </c>
      <c r="C53" s="4">
        <f>IF(Tabelle18[[#This Row],[binding_level_company]]&gt;=1,1,0)</f>
        <v>1</v>
      </c>
      <c r="D53" s="4">
        <f>_xlfn.MAXIFS(Tabelle5[[#This Row],[binding_level]], Tabelle5[[#This Row],[company_id]],Tabelle18[[#This Row],[company_id]], Tabelle5[[#This Row],[value_id]], Tabelle18[[#This Row],[value_id]], Tabelle5[[#This Row],[value_present]],"1")</f>
        <v>2</v>
      </c>
      <c r="E53" s="4">
        <f>_xlfn.MAXIFS(Tabelle5[[#This Row],[value_points]], Tabelle5[[#This Row],[company_id]],Tabelle18[[#This Row],[company_id]], Tabelle5[[#This Row],[value_id]], Tabelle18[[#This Row],[value_id]], Tabelle5[[#This Row],[value_present]],"1")</f>
        <v>2</v>
      </c>
    </row>
    <row r="54" spans="1:5" x14ac:dyDescent="0.25">
      <c r="A54">
        <v>3</v>
      </c>
      <c r="B54" t="s">
        <v>166</v>
      </c>
      <c r="C54" s="4">
        <f>IF(Tabelle18[[#This Row],[binding_level_company]]&gt;=1,1,0)</f>
        <v>0</v>
      </c>
      <c r="D54" s="4">
        <f>_xlfn.MAXIFS(Tabelle5[[#This Row],[binding_level]], Tabelle5[[#This Row],[company_id]],Tabelle18[[#This Row],[company_id]], Tabelle5[[#This Row],[value_id]], Tabelle18[[#This Row],[value_id]], Tabelle5[[#This Row],[value_present]],"1")</f>
        <v>0</v>
      </c>
      <c r="E54" s="4">
        <f>_xlfn.MAXIFS(Tabelle5[[#This Row],[value_points]], Tabelle5[[#This Row],[company_id]],Tabelle18[[#This Row],[company_id]], Tabelle5[[#This Row],[value_id]], Tabelle18[[#This Row],[value_id]], Tabelle5[[#This Row],[value_present]],"1")</f>
        <v>0</v>
      </c>
    </row>
    <row r="55" spans="1:5" ht="15.75" thickBot="1" x14ac:dyDescent="0.3">
      <c r="A55">
        <v>3</v>
      </c>
      <c r="B55" s="30" t="s">
        <v>174</v>
      </c>
      <c r="C55" s="4">
        <f>IF(Tabelle18[[#This Row],[binding_level_company]]&gt;=1,1,0)</f>
        <v>0</v>
      </c>
      <c r="D55" s="4">
        <f>_xlfn.MAXIFS(Tabelle5[[#This Row],[binding_level]], Tabelle5[[#This Row],[company_id]],Tabelle18[[#This Row],[company_id]], Tabelle5[[#This Row],[value_id]], Tabelle18[[#This Row],[value_id]], Tabelle5[[#This Row],[value_present]],"1")</f>
        <v>0</v>
      </c>
      <c r="E55" s="4">
        <f>_xlfn.MAXIFS(Tabelle5[[#This Row],[value_points]], Tabelle5[[#This Row],[company_id]],Tabelle18[[#This Row],[company_id]], Tabelle5[[#This Row],[value_id]], Tabelle18[[#This Row],[value_id]], Tabelle5[[#This Row],[value_present]],"1")</f>
        <v>0</v>
      </c>
    </row>
    <row r="56" spans="1:5" x14ac:dyDescent="0.25">
      <c r="A56">
        <v>4</v>
      </c>
      <c r="B56" s="22" t="s">
        <v>53</v>
      </c>
      <c r="C56" s="4">
        <f>IF(Tabelle18[[#This Row],[binding_level_company]]&gt;=1,1,0)</f>
        <v>0</v>
      </c>
      <c r="D56" s="4">
        <f>_xlfn.MAXIFS(Tabelle5[[#This Row],[binding_level]], Tabelle5[[#This Row],[company_id]],Tabelle18[[#This Row],[company_id]], Tabelle5[[#This Row],[value_id]], Tabelle18[[#This Row],[value_id]], Tabelle5[[#This Row],[value_present]],"1")</f>
        <v>0</v>
      </c>
      <c r="E56" s="4">
        <f>_xlfn.MAXIFS(Tabelle5[[#This Row],[value_points]], Tabelle5[[#This Row],[company_id]],Tabelle18[[#This Row],[company_id]], Tabelle5[[#This Row],[value_id]], Tabelle18[[#This Row],[value_id]], Tabelle5[[#This Row],[value_present]],"1")</f>
        <v>0</v>
      </c>
    </row>
    <row r="57" spans="1:5" x14ac:dyDescent="0.25">
      <c r="A57">
        <v>4</v>
      </c>
      <c r="B57" t="s">
        <v>61</v>
      </c>
      <c r="C57" s="4">
        <f>IF(Tabelle18[[#This Row],[binding_level_company]]&gt;=1,1,0)</f>
        <v>0</v>
      </c>
      <c r="D57" s="4">
        <f>_xlfn.MAXIFS(Tabelle5[[#This Row],[binding_level]], Tabelle5[[#This Row],[company_id]],Tabelle18[[#This Row],[company_id]], Tabelle5[[#This Row],[value_id]], Tabelle18[[#This Row],[value_id]], Tabelle5[[#This Row],[value_present]],"1")</f>
        <v>0</v>
      </c>
      <c r="E57" s="4">
        <f>_xlfn.MAXIFS(Tabelle5[[#This Row],[value_points]], Tabelle5[[#This Row],[company_id]],Tabelle18[[#This Row],[company_id]], Tabelle5[[#This Row],[value_id]], Tabelle18[[#This Row],[value_id]], Tabelle5[[#This Row],[value_present]],"1")</f>
        <v>0</v>
      </c>
    </row>
    <row r="58" spans="1:5" x14ac:dyDescent="0.25">
      <c r="A58">
        <v>4</v>
      </c>
      <c r="B58" t="s">
        <v>69</v>
      </c>
      <c r="C58" s="4">
        <f>IF(Tabelle18[[#This Row],[binding_level_company]]&gt;=1,1,0)</f>
        <v>0</v>
      </c>
      <c r="D58" s="4">
        <f>_xlfn.MAXIFS(Tabelle5[[#This Row],[binding_level]], Tabelle5[[#This Row],[company_id]],Tabelle18[[#This Row],[company_id]], Tabelle5[[#This Row],[value_id]], Tabelle18[[#This Row],[value_id]], Tabelle5[[#This Row],[value_present]],"1")</f>
        <v>0</v>
      </c>
      <c r="E58" s="4">
        <f>_xlfn.MAXIFS(Tabelle5[[#This Row],[value_points]], Tabelle5[[#This Row],[company_id]],Tabelle18[[#This Row],[company_id]], Tabelle5[[#This Row],[value_id]], Tabelle18[[#This Row],[value_id]], Tabelle5[[#This Row],[value_present]],"1")</f>
        <v>0</v>
      </c>
    </row>
    <row r="59" spans="1:5" x14ac:dyDescent="0.25">
      <c r="A59">
        <v>4</v>
      </c>
      <c r="B59" t="s">
        <v>76</v>
      </c>
      <c r="C59" s="4">
        <f>IF(Tabelle18[[#This Row],[binding_level_company]]&gt;=1,1,0)</f>
        <v>0</v>
      </c>
      <c r="D59" s="4">
        <f>_xlfn.MAXIFS(Tabelle5[[#This Row],[binding_level]], Tabelle5[[#This Row],[company_id]],Tabelle18[[#This Row],[company_id]], Tabelle5[[#This Row],[value_id]], Tabelle18[[#This Row],[value_id]], Tabelle5[[#This Row],[value_present]],"1")</f>
        <v>0</v>
      </c>
      <c r="E59" s="4">
        <f>_xlfn.MAXIFS(Tabelle5[[#This Row],[value_points]], Tabelle5[[#This Row],[company_id]],Tabelle18[[#This Row],[company_id]], Tabelle5[[#This Row],[value_id]], Tabelle18[[#This Row],[value_id]], Tabelle5[[#This Row],[value_present]],"1")</f>
        <v>0</v>
      </c>
    </row>
    <row r="60" spans="1:5" x14ac:dyDescent="0.25">
      <c r="A60">
        <v>4</v>
      </c>
      <c r="B60" t="s">
        <v>83</v>
      </c>
      <c r="C60" s="4">
        <f>IF(Tabelle18[[#This Row],[binding_level_company]]&gt;=1,1,0)</f>
        <v>0</v>
      </c>
      <c r="D60" s="4">
        <f>_xlfn.MAXIFS(Tabelle5[[#This Row],[binding_level]], Tabelle5[[#This Row],[company_id]],Tabelle18[[#This Row],[company_id]], Tabelle5[[#This Row],[value_id]], Tabelle18[[#This Row],[value_id]], Tabelle5[[#This Row],[value_present]],"1")</f>
        <v>0</v>
      </c>
      <c r="E60" s="4">
        <f>_xlfn.MAXIFS(Tabelle5[[#This Row],[value_points]], Tabelle5[[#This Row],[company_id]],Tabelle18[[#This Row],[company_id]], Tabelle5[[#This Row],[value_id]], Tabelle18[[#This Row],[value_id]], Tabelle5[[#This Row],[value_present]],"1")</f>
        <v>0</v>
      </c>
    </row>
    <row r="61" spans="1:5" x14ac:dyDescent="0.25">
      <c r="A61">
        <v>4</v>
      </c>
      <c r="B61" t="s">
        <v>90</v>
      </c>
      <c r="C61" s="4">
        <f>IF(Tabelle18[[#This Row],[binding_level_company]]&gt;=1,1,0)</f>
        <v>0</v>
      </c>
      <c r="D61" s="4">
        <f>_xlfn.MAXIFS(Tabelle5[[#This Row],[binding_level]], Tabelle5[[#This Row],[company_id]],Tabelle18[[#This Row],[company_id]], Tabelle5[[#This Row],[value_id]], Tabelle18[[#This Row],[value_id]], Tabelle5[[#This Row],[value_present]],"1")</f>
        <v>0</v>
      </c>
      <c r="E61" s="4">
        <f>_xlfn.MAXIFS(Tabelle5[[#This Row],[value_points]], Tabelle5[[#This Row],[company_id]],Tabelle18[[#This Row],[company_id]], Tabelle5[[#This Row],[value_id]], Tabelle18[[#This Row],[value_id]], Tabelle5[[#This Row],[value_present]],"1")</f>
        <v>0</v>
      </c>
    </row>
    <row r="62" spans="1:5" x14ac:dyDescent="0.25">
      <c r="A62">
        <v>4</v>
      </c>
      <c r="B62" t="s">
        <v>98</v>
      </c>
      <c r="C62" s="4">
        <f>IF(Tabelle18[[#This Row],[binding_level_company]]&gt;=1,1,0)</f>
        <v>0</v>
      </c>
      <c r="D62" s="4">
        <f>_xlfn.MAXIFS(Tabelle5[[#This Row],[binding_level]], Tabelle5[[#This Row],[company_id]],Tabelle18[[#This Row],[company_id]], Tabelle5[[#This Row],[value_id]], Tabelle18[[#This Row],[value_id]], Tabelle5[[#This Row],[value_present]],"1")</f>
        <v>0</v>
      </c>
      <c r="E62" s="4">
        <f>_xlfn.MAXIFS(Tabelle5[[#This Row],[value_points]], Tabelle5[[#This Row],[company_id]],Tabelle18[[#This Row],[company_id]], Tabelle5[[#This Row],[value_id]], Tabelle18[[#This Row],[value_id]], Tabelle5[[#This Row],[value_present]],"1")</f>
        <v>0</v>
      </c>
    </row>
    <row r="63" spans="1:5" x14ac:dyDescent="0.25">
      <c r="A63">
        <v>4</v>
      </c>
      <c r="B63" t="s">
        <v>106</v>
      </c>
      <c r="C63" s="4">
        <f>IF(Tabelle18[[#This Row],[binding_level_company]]&gt;=1,1,0)</f>
        <v>0</v>
      </c>
      <c r="D63" s="4">
        <f>_xlfn.MAXIFS(Tabelle5[[#This Row],[binding_level]], Tabelle5[[#This Row],[company_id]],Tabelle18[[#This Row],[company_id]], Tabelle5[[#This Row],[value_id]], Tabelle18[[#This Row],[value_id]], Tabelle5[[#This Row],[value_present]],"1")</f>
        <v>0</v>
      </c>
      <c r="E63" s="4">
        <f>_xlfn.MAXIFS(Tabelle5[[#This Row],[value_points]], Tabelle5[[#This Row],[company_id]],Tabelle18[[#This Row],[company_id]], Tabelle5[[#This Row],[value_id]], Tabelle18[[#This Row],[value_id]], Tabelle5[[#This Row],[value_present]],"1")</f>
        <v>0</v>
      </c>
    </row>
    <row r="64" spans="1:5" x14ac:dyDescent="0.25">
      <c r="A64">
        <v>4</v>
      </c>
      <c r="B64" t="s">
        <v>112</v>
      </c>
      <c r="C64" s="4">
        <f>IF(Tabelle18[[#This Row],[binding_level_company]]&gt;=1,1,0)</f>
        <v>0</v>
      </c>
      <c r="D64" s="4">
        <f>_xlfn.MAXIFS(Tabelle5[[#This Row],[binding_level]], Tabelle5[[#This Row],[company_id]],Tabelle18[[#This Row],[company_id]], Tabelle5[[#This Row],[value_id]], Tabelle18[[#This Row],[value_id]], Tabelle5[[#This Row],[value_present]],"1")</f>
        <v>0</v>
      </c>
      <c r="E64" s="4">
        <f>_xlfn.MAXIFS(Tabelle5[[#This Row],[value_points]], Tabelle5[[#This Row],[company_id]],Tabelle18[[#This Row],[company_id]], Tabelle5[[#This Row],[value_id]], Tabelle18[[#This Row],[value_id]], Tabelle5[[#This Row],[value_present]],"1")</f>
        <v>0</v>
      </c>
    </row>
    <row r="65" spans="1:5" x14ac:dyDescent="0.25">
      <c r="A65">
        <v>4</v>
      </c>
      <c r="B65" t="s">
        <v>118</v>
      </c>
      <c r="C65" s="4">
        <f>IF(Tabelle18[[#This Row],[binding_level_company]]&gt;=1,1,0)</f>
        <v>0</v>
      </c>
      <c r="D65" s="4">
        <f>_xlfn.MAXIFS(Tabelle5[[#This Row],[binding_level]], Tabelle5[[#This Row],[company_id]],Tabelle18[[#This Row],[company_id]], Tabelle5[[#This Row],[value_id]], Tabelle18[[#This Row],[value_id]], Tabelle5[[#This Row],[value_present]],"1")</f>
        <v>0</v>
      </c>
      <c r="E65" s="4">
        <f>_xlfn.MAXIFS(Tabelle5[[#This Row],[value_points]], Tabelle5[[#This Row],[company_id]],Tabelle18[[#This Row],[company_id]], Tabelle5[[#This Row],[value_id]], Tabelle18[[#This Row],[value_id]], Tabelle5[[#This Row],[value_present]],"1")</f>
        <v>0</v>
      </c>
    </row>
    <row r="66" spans="1:5" x14ac:dyDescent="0.25">
      <c r="A66">
        <v>4</v>
      </c>
      <c r="B66" t="s">
        <v>125</v>
      </c>
      <c r="C66" s="4">
        <f>IF(Tabelle18[[#This Row],[binding_level_company]]&gt;=1,1,0)</f>
        <v>0</v>
      </c>
      <c r="D66" s="4">
        <f>_xlfn.MAXIFS(Tabelle5[[#This Row],[binding_level]], Tabelle5[[#This Row],[company_id]],Tabelle18[[#This Row],[company_id]], Tabelle5[[#This Row],[value_id]], Tabelle18[[#This Row],[value_id]], Tabelle5[[#This Row],[value_present]],"1")</f>
        <v>0</v>
      </c>
      <c r="E66" s="4">
        <f>_xlfn.MAXIFS(Tabelle5[[#This Row],[value_points]], Tabelle5[[#This Row],[company_id]],Tabelle18[[#This Row],[company_id]], Tabelle5[[#This Row],[value_id]], Tabelle18[[#This Row],[value_id]], Tabelle5[[#This Row],[value_present]],"1")</f>
        <v>0</v>
      </c>
    </row>
    <row r="67" spans="1:5" x14ac:dyDescent="0.25">
      <c r="A67">
        <v>4</v>
      </c>
      <c r="B67" t="s">
        <v>132</v>
      </c>
      <c r="C67" s="4">
        <f>IF(Tabelle18[[#This Row],[binding_level_company]]&gt;=1,1,0)</f>
        <v>0</v>
      </c>
      <c r="D67" s="4">
        <f>_xlfn.MAXIFS(Tabelle5[[#This Row],[binding_level]], Tabelle5[[#This Row],[company_id]],Tabelle18[[#This Row],[company_id]], Tabelle5[[#This Row],[value_id]], Tabelle18[[#This Row],[value_id]], Tabelle5[[#This Row],[value_present]],"1")</f>
        <v>0</v>
      </c>
      <c r="E67" s="4">
        <f>_xlfn.MAXIFS(Tabelle5[[#This Row],[value_points]], Tabelle5[[#This Row],[company_id]],Tabelle18[[#This Row],[company_id]], Tabelle5[[#This Row],[value_id]], Tabelle18[[#This Row],[value_id]], Tabelle5[[#This Row],[value_present]],"1")</f>
        <v>0</v>
      </c>
    </row>
    <row r="68" spans="1:5" x14ac:dyDescent="0.25">
      <c r="A68">
        <v>4</v>
      </c>
      <c r="B68" t="s">
        <v>140</v>
      </c>
      <c r="C68" s="4">
        <f>IF(Tabelle18[[#This Row],[binding_level_company]]&gt;=1,1,0)</f>
        <v>0</v>
      </c>
      <c r="D68" s="4">
        <f>_xlfn.MAXIFS(Tabelle5[[#This Row],[binding_level]], Tabelle5[[#This Row],[company_id]],Tabelle18[[#This Row],[company_id]], Tabelle5[[#This Row],[value_id]], Tabelle18[[#This Row],[value_id]], Tabelle5[[#This Row],[value_present]],"1")</f>
        <v>0</v>
      </c>
      <c r="E68" s="4">
        <f>_xlfn.MAXIFS(Tabelle5[[#This Row],[value_points]], Tabelle5[[#This Row],[company_id]],Tabelle18[[#This Row],[company_id]], Tabelle5[[#This Row],[value_id]], Tabelle18[[#This Row],[value_id]], Tabelle5[[#This Row],[value_present]],"1")</f>
        <v>0</v>
      </c>
    </row>
    <row r="69" spans="1:5" x14ac:dyDescent="0.25">
      <c r="A69">
        <v>4</v>
      </c>
      <c r="B69" t="s">
        <v>147</v>
      </c>
      <c r="C69" s="4">
        <f>IF(Tabelle18[[#This Row],[binding_level_company]]&gt;=1,1,0)</f>
        <v>0</v>
      </c>
      <c r="D69" s="4">
        <f>_xlfn.MAXIFS(Tabelle5[[#This Row],[binding_level]], Tabelle5[[#This Row],[company_id]],Tabelle18[[#This Row],[company_id]], Tabelle5[[#This Row],[value_id]], Tabelle18[[#This Row],[value_id]], Tabelle5[[#This Row],[value_present]],"1")</f>
        <v>0</v>
      </c>
      <c r="E69" s="4">
        <f>_xlfn.MAXIFS(Tabelle5[[#This Row],[value_points]], Tabelle5[[#This Row],[company_id]],Tabelle18[[#This Row],[company_id]], Tabelle5[[#This Row],[value_id]], Tabelle18[[#This Row],[value_id]], Tabelle5[[#This Row],[value_present]],"1")</f>
        <v>0</v>
      </c>
    </row>
    <row r="70" spans="1:5" x14ac:dyDescent="0.25">
      <c r="A70">
        <v>4</v>
      </c>
      <c r="B70" t="s">
        <v>154</v>
      </c>
      <c r="C70" s="4">
        <f>IF(Tabelle18[[#This Row],[binding_level_company]]&gt;=1,1,0)</f>
        <v>0</v>
      </c>
      <c r="D70" s="4">
        <f>_xlfn.MAXIFS(Tabelle5[[#This Row],[binding_level]], Tabelle5[[#This Row],[company_id]],Tabelle18[[#This Row],[company_id]], Tabelle5[[#This Row],[value_id]], Tabelle18[[#This Row],[value_id]], Tabelle5[[#This Row],[value_present]],"1")</f>
        <v>0</v>
      </c>
      <c r="E70" s="4">
        <f>_xlfn.MAXIFS(Tabelle5[[#This Row],[value_points]], Tabelle5[[#This Row],[company_id]],Tabelle18[[#This Row],[company_id]], Tabelle5[[#This Row],[value_id]], Tabelle18[[#This Row],[value_id]], Tabelle5[[#This Row],[value_present]],"1")</f>
        <v>0</v>
      </c>
    </row>
    <row r="71" spans="1:5" x14ac:dyDescent="0.25">
      <c r="A71">
        <v>4</v>
      </c>
      <c r="B71" t="s">
        <v>161</v>
      </c>
      <c r="C71" s="4">
        <f>IF(Tabelle18[[#This Row],[binding_level_company]]&gt;=1,1,0)</f>
        <v>0</v>
      </c>
      <c r="D71" s="4">
        <f>_xlfn.MAXIFS(Tabelle5[[#This Row],[binding_level]], Tabelle5[[#This Row],[company_id]],Tabelle18[[#This Row],[company_id]], Tabelle5[[#This Row],[value_id]], Tabelle18[[#This Row],[value_id]], Tabelle5[[#This Row],[value_present]],"1")</f>
        <v>0</v>
      </c>
      <c r="E71" s="4">
        <f>_xlfn.MAXIFS(Tabelle5[[#This Row],[value_points]], Tabelle5[[#This Row],[company_id]],Tabelle18[[#This Row],[company_id]], Tabelle5[[#This Row],[value_id]], Tabelle18[[#This Row],[value_id]], Tabelle5[[#This Row],[value_present]],"1")</f>
        <v>0</v>
      </c>
    </row>
    <row r="72" spans="1:5" x14ac:dyDescent="0.25">
      <c r="A72">
        <v>4</v>
      </c>
      <c r="B72" t="s">
        <v>166</v>
      </c>
      <c r="C72" s="4">
        <f>IF(Tabelle18[[#This Row],[binding_level_company]]&gt;=1,1,0)</f>
        <v>0</v>
      </c>
      <c r="D72" s="4">
        <f>_xlfn.MAXIFS(Tabelle5[[#This Row],[binding_level]], Tabelle5[[#This Row],[company_id]],Tabelle18[[#This Row],[company_id]], Tabelle5[[#This Row],[value_id]], Tabelle18[[#This Row],[value_id]], Tabelle5[[#This Row],[value_present]],"1")</f>
        <v>0</v>
      </c>
      <c r="E72" s="4">
        <f>_xlfn.MAXIFS(Tabelle5[[#This Row],[value_points]], Tabelle5[[#This Row],[company_id]],Tabelle18[[#This Row],[company_id]], Tabelle5[[#This Row],[value_id]], Tabelle18[[#This Row],[value_id]], Tabelle5[[#This Row],[value_present]],"1")</f>
        <v>0</v>
      </c>
    </row>
    <row r="73" spans="1:5" ht="15.75" thickBot="1" x14ac:dyDescent="0.3">
      <c r="A73">
        <v>4</v>
      </c>
      <c r="B73" s="30" t="s">
        <v>174</v>
      </c>
      <c r="C73" s="4">
        <f>IF(Tabelle18[[#This Row],[binding_level_company]]&gt;=1,1,0)</f>
        <v>0</v>
      </c>
      <c r="D73" s="4">
        <f>_xlfn.MAXIFS(Tabelle5[[#This Row],[binding_level]], Tabelle5[[#This Row],[company_id]],Tabelle18[[#This Row],[company_id]], Tabelle5[[#This Row],[value_id]], Tabelle18[[#This Row],[value_id]], Tabelle5[[#This Row],[value_present]],"1")</f>
        <v>0</v>
      </c>
      <c r="E73" s="4">
        <f>_xlfn.MAXIFS(Tabelle5[[#This Row],[value_points]], Tabelle5[[#This Row],[company_id]],Tabelle18[[#This Row],[company_id]], Tabelle5[[#This Row],[value_id]], Tabelle18[[#This Row],[value_id]], Tabelle5[[#This Row],[value_present]],"1")</f>
        <v>0</v>
      </c>
    </row>
    <row r="74" spans="1:5" x14ac:dyDescent="0.25">
      <c r="A74">
        <v>5</v>
      </c>
      <c r="B74" s="22" t="s">
        <v>53</v>
      </c>
      <c r="C74" s="4">
        <f>IF(Tabelle18[[#This Row],[binding_level_company]]&gt;=1,1,0)</f>
        <v>0</v>
      </c>
      <c r="D74" s="4">
        <f>_xlfn.MAXIFS(Tabelle5[[#This Row],[binding_level]], Tabelle5[[#This Row],[company_id]],Tabelle18[[#This Row],[company_id]], Tabelle5[[#This Row],[value_id]], Tabelle18[[#This Row],[value_id]], Tabelle5[[#This Row],[value_present]],"1")</f>
        <v>0</v>
      </c>
      <c r="E74" s="4">
        <f>_xlfn.MAXIFS(Tabelle5[[#This Row],[value_points]], Tabelle5[[#This Row],[company_id]],Tabelle18[[#This Row],[company_id]], Tabelle5[[#This Row],[value_id]], Tabelle18[[#This Row],[value_id]], Tabelle5[[#This Row],[value_present]],"1")</f>
        <v>0</v>
      </c>
    </row>
    <row r="75" spans="1:5" x14ac:dyDescent="0.25">
      <c r="A75">
        <v>5</v>
      </c>
      <c r="B75" t="s">
        <v>61</v>
      </c>
      <c r="C75" s="4">
        <f>IF(Tabelle18[[#This Row],[binding_level_company]]&gt;=1,1,0)</f>
        <v>0</v>
      </c>
      <c r="D75" s="4">
        <f>_xlfn.MAXIFS(Tabelle5[[#This Row],[binding_level]], Tabelle5[[#This Row],[company_id]],Tabelle18[[#This Row],[company_id]], Tabelle5[[#This Row],[value_id]], Tabelle18[[#This Row],[value_id]], Tabelle5[[#This Row],[value_present]],"1")</f>
        <v>0</v>
      </c>
      <c r="E75" s="4">
        <f>_xlfn.MAXIFS(Tabelle5[[#This Row],[value_points]], Tabelle5[[#This Row],[company_id]],Tabelle18[[#This Row],[company_id]], Tabelle5[[#This Row],[value_id]], Tabelle18[[#This Row],[value_id]], Tabelle5[[#This Row],[value_present]],"1")</f>
        <v>0</v>
      </c>
    </row>
    <row r="76" spans="1:5" x14ac:dyDescent="0.25">
      <c r="A76">
        <v>5</v>
      </c>
      <c r="B76" t="s">
        <v>69</v>
      </c>
      <c r="C76" s="4">
        <f>IF(Tabelle18[[#This Row],[binding_level_company]]&gt;=1,1,0)</f>
        <v>0</v>
      </c>
      <c r="D76" s="4">
        <f>_xlfn.MAXIFS(Tabelle5[[#This Row],[binding_level]], Tabelle5[[#This Row],[company_id]],Tabelle18[[#This Row],[company_id]], Tabelle5[[#This Row],[value_id]], Tabelle18[[#This Row],[value_id]], Tabelle5[[#This Row],[value_present]],"1")</f>
        <v>0</v>
      </c>
      <c r="E76" s="4">
        <f>_xlfn.MAXIFS(Tabelle5[[#This Row],[value_points]], Tabelle5[[#This Row],[company_id]],Tabelle18[[#This Row],[company_id]], Tabelle5[[#This Row],[value_id]], Tabelle18[[#This Row],[value_id]], Tabelle5[[#This Row],[value_present]],"1")</f>
        <v>0</v>
      </c>
    </row>
    <row r="77" spans="1:5" x14ac:dyDescent="0.25">
      <c r="A77">
        <v>5</v>
      </c>
      <c r="B77" t="s">
        <v>76</v>
      </c>
      <c r="C77" s="4">
        <f>IF(Tabelle18[[#This Row],[binding_level_company]]&gt;=1,1,0)</f>
        <v>0</v>
      </c>
      <c r="D77" s="4">
        <f>_xlfn.MAXIFS(Tabelle5[[#This Row],[binding_level]], Tabelle5[[#This Row],[company_id]],Tabelle18[[#This Row],[company_id]], Tabelle5[[#This Row],[value_id]], Tabelle18[[#This Row],[value_id]], Tabelle5[[#This Row],[value_present]],"1")</f>
        <v>0</v>
      </c>
      <c r="E77" s="4">
        <f>_xlfn.MAXIFS(Tabelle5[[#This Row],[value_points]], Tabelle5[[#This Row],[company_id]],Tabelle18[[#This Row],[company_id]], Tabelle5[[#This Row],[value_id]], Tabelle18[[#This Row],[value_id]], Tabelle5[[#This Row],[value_present]],"1")</f>
        <v>0</v>
      </c>
    </row>
    <row r="78" spans="1:5" x14ac:dyDescent="0.25">
      <c r="A78">
        <v>5</v>
      </c>
      <c r="B78" t="s">
        <v>83</v>
      </c>
      <c r="C78" s="4">
        <f>IF(Tabelle18[[#This Row],[binding_level_company]]&gt;=1,1,0)</f>
        <v>0</v>
      </c>
      <c r="D78" s="4">
        <f>_xlfn.MAXIFS(Tabelle5[[#This Row],[binding_level]], Tabelle5[[#This Row],[company_id]],Tabelle18[[#This Row],[company_id]], Tabelle5[[#This Row],[value_id]], Tabelle18[[#This Row],[value_id]], Tabelle5[[#This Row],[value_present]],"1")</f>
        <v>0</v>
      </c>
      <c r="E78" s="4">
        <f>_xlfn.MAXIFS(Tabelle5[[#This Row],[value_points]], Tabelle5[[#This Row],[company_id]],Tabelle18[[#This Row],[company_id]], Tabelle5[[#This Row],[value_id]], Tabelle18[[#This Row],[value_id]], Tabelle5[[#This Row],[value_present]],"1")</f>
        <v>0</v>
      </c>
    </row>
    <row r="79" spans="1:5" x14ac:dyDescent="0.25">
      <c r="A79">
        <v>5</v>
      </c>
      <c r="B79" t="s">
        <v>90</v>
      </c>
      <c r="C79" s="4">
        <f>IF(Tabelle18[[#This Row],[binding_level_company]]&gt;=1,1,0)</f>
        <v>0</v>
      </c>
      <c r="D79" s="4">
        <f>_xlfn.MAXIFS(Tabelle5[[#This Row],[binding_level]], Tabelle5[[#This Row],[company_id]],Tabelle18[[#This Row],[company_id]], Tabelle5[[#This Row],[value_id]], Tabelle18[[#This Row],[value_id]], Tabelle5[[#This Row],[value_present]],"1")</f>
        <v>0</v>
      </c>
      <c r="E79" s="4">
        <f>_xlfn.MAXIFS(Tabelle5[[#This Row],[value_points]], Tabelle5[[#This Row],[company_id]],Tabelle18[[#This Row],[company_id]], Tabelle5[[#This Row],[value_id]], Tabelle18[[#This Row],[value_id]], Tabelle5[[#This Row],[value_present]],"1")</f>
        <v>0</v>
      </c>
    </row>
    <row r="80" spans="1:5" x14ac:dyDescent="0.25">
      <c r="A80">
        <v>5</v>
      </c>
      <c r="B80" t="s">
        <v>98</v>
      </c>
      <c r="C80" s="4">
        <f>IF(Tabelle18[[#This Row],[binding_level_company]]&gt;=1,1,0)</f>
        <v>0</v>
      </c>
      <c r="D80" s="4">
        <f>_xlfn.MAXIFS(Tabelle5[[#This Row],[binding_level]], Tabelle5[[#This Row],[company_id]],Tabelle18[[#This Row],[company_id]], Tabelle5[[#This Row],[value_id]], Tabelle18[[#This Row],[value_id]], Tabelle5[[#This Row],[value_present]],"1")</f>
        <v>0</v>
      </c>
      <c r="E80" s="4">
        <f>_xlfn.MAXIFS(Tabelle5[[#This Row],[value_points]], Tabelle5[[#This Row],[company_id]],Tabelle18[[#This Row],[company_id]], Tabelle5[[#This Row],[value_id]], Tabelle18[[#This Row],[value_id]], Tabelle5[[#This Row],[value_present]],"1")</f>
        <v>0</v>
      </c>
    </row>
    <row r="81" spans="1:5" x14ac:dyDescent="0.25">
      <c r="A81">
        <v>5</v>
      </c>
      <c r="B81" t="s">
        <v>106</v>
      </c>
      <c r="C81" s="4">
        <f>IF(Tabelle18[[#This Row],[binding_level_company]]&gt;=1,1,0)</f>
        <v>0</v>
      </c>
      <c r="D81" s="4">
        <f>_xlfn.MAXIFS(Tabelle5[[#This Row],[binding_level]], Tabelle5[[#This Row],[company_id]],Tabelle18[[#This Row],[company_id]], Tabelle5[[#This Row],[value_id]], Tabelle18[[#This Row],[value_id]], Tabelle5[[#This Row],[value_present]],"1")</f>
        <v>0</v>
      </c>
      <c r="E81" s="4">
        <f>_xlfn.MAXIFS(Tabelle5[[#This Row],[value_points]], Tabelle5[[#This Row],[company_id]],Tabelle18[[#This Row],[company_id]], Tabelle5[[#This Row],[value_id]], Tabelle18[[#This Row],[value_id]], Tabelle5[[#This Row],[value_present]],"1")</f>
        <v>0</v>
      </c>
    </row>
    <row r="82" spans="1:5" x14ac:dyDescent="0.25">
      <c r="A82">
        <v>5</v>
      </c>
      <c r="B82" t="s">
        <v>112</v>
      </c>
      <c r="C82" s="4">
        <f>IF(Tabelle18[[#This Row],[binding_level_company]]&gt;=1,1,0)</f>
        <v>0</v>
      </c>
      <c r="D82" s="4">
        <f>_xlfn.MAXIFS(Tabelle5[[#This Row],[binding_level]], Tabelle5[[#This Row],[company_id]],Tabelle18[[#This Row],[company_id]], Tabelle5[[#This Row],[value_id]], Tabelle18[[#This Row],[value_id]], Tabelle5[[#This Row],[value_present]],"1")</f>
        <v>0</v>
      </c>
      <c r="E82" s="4">
        <f>_xlfn.MAXIFS(Tabelle5[[#This Row],[value_points]], Tabelle5[[#This Row],[company_id]],Tabelle18[[#This Row],[company_id]], Tabelle5[[#This Row],[value_id]], Tabelle18[[#This Row],[value_id]], Tabelle5[[#This Row],[value_present]],"1")</f>
        <v>0</v>
      </c>
    </row>
    <row r="83" spans="1:5" x14ac:dyDescent="0.25">
      <c r="A83">
        <v>5</v>
      </c>
      <c r="B83" t="s">
        <v>118</v>
      </c>
      <c r="C83" s="4">
        <f>IF(Tabelle18[[#This Row],[binding_level_company]]&gt;=1,1,0)</f>
        <v>0</v>
      </c>
      <c r="D83" s="4">
        <f>_xlfn.MAXIFS(Tabelle5[[#This Row],[binding_level]], Tabelle5[[#This Row],[company_id]],Tabelle18[[#This Row],[company_id]], Tabelle5[[#This Row],[value_id]], Tabelle18[[#This Row],[value_id]], Tabelle5[[#This Row],[value_present]],"1")</f>
        <v>0</v>
      </c>
      <c r="E83" s="4">
        <f>_xlfn.MAXIFS(Tabelle5[[#This Row],[value_points]], Tabelle5[[#This Row],[company_id]],Tabelle18[[#This Row],[company_id]], Tabelle5[[#This Row],[value_id]], Tabelle18[[#This Row],[value_id]], Tabelle5[[#This Row],[value_present]],"1")</f>
        <v>0</v>
      </c>
    </row>
    <row r="84" spans="1:5" x14ac:dyDescent="0.25">
      <c r="A84">
        <v>5</v>
      </c>
      <c r="B84" t="s">
        <v>125</v>
      </c>
      <c r="C84" s="4">
        <f>IF(Tabelle18[[#This Row],[binding_level_company]]&gt;=1,1,0)</f>
        <v>0</v>
      </c>
      <c r="D84" s="4">
        <f>_xlfn.MAXIFS(Tabelle5[[#This Row],[binding_level]], Tabelle5[[#This Row],[company_id]],Tabelle18[[#This Row],[company_id]], Tabelle5[[#This Row],[value_id]], Tabelle18[[#This Row],[value_id]], Tabelle5[[#This Row],[value_present]],"1")</f>
        <v>0</v>
      </c>
      <c r="E84" s="4">
        <f>_xlfn.MAXIFS(Tabelle5[[#This Row],[value_points]], Tabelle5[[#This Row],[company_id]],Tabelle18[[#This Row],[company_id]], Tabelle5[[#This Row],[value_id]], Tabelle18[[#This Row],[value_id]], Tabelle5[[#This Row],[value_present]],"1")</f>
        <v>0</v>
      </c>
    </row>
    <row r="85" spans="1:5" x14ac:dyDescent="0.25">
      <c r="A85">
        <v>5</v>
      </c>
      <c r="B85" t="s">
        <v>132</v>
      </c>
      <c r="C85" s="4">
        <f>IF(Tabelle18[[#This Row],[binding_level_company]]&gt;=1,1,0)</f>
        <v>0</v>
      </c>
      <c r="D85" s="4">
        <f>_xlfn.MAXIFS(Tabelle5[[#This Row],[binding_level]], Tabelle5[[#This Row],[company_id]],Tabelle18[[#This Row],[company_id]], Tabelle5[[#This Row],[value_id]], Tabelle18[[#This Row],[value_id]], Tabelle5[[#This Row],[value_present]],"1")</f>
        <v>0</v>
      </c>
      <c r="E85" s="4">
        <f>_xlfn.MAXIFS(Tabelle5[[#This Row],[value_points]], Tabelle5[[#This Row],[company_id]],Tabelle18[[#This Row],[company_id]], Tabelle5[[#This Row],[value_id]], Tabelle18[[#This Row],[value_id]], Tabelle5[[#This Row],[value_present]],"1")</f>
        <v>0</v>
      </c>
    </row>
    <row r="86" spans="1:5" x14ac:dyDescent="0.25">
      <c r="A86">
        <v>5</v>
      </c>
      <c r="B86" t="s">
        <v>140</v>
      </c>
      <c r="C86" s="4">
        <f>IF(Tabelle18[[#This Row],[binding_level_company]]&gt;=1,1,0)</f>
        <v>0</v>
      </c>
      <c r="D86" s="4">
        <f>_xlfn.MAXIFS(Tabelle5[[#This Row],[binding_level]], Tabelle5[[#This Row],[company_id]],Tabelle18[[#This Row],[company_id]], Tabelle5[[#This Row],[value_id]], Tabelle18[[#This Row],[value_id]], Tabelle5[[#This Row],[value_present]],"1")</f>
        <v>0</v>
      </c>
      <c r="E86" s="4">
        <f>_xlfn.MAXIFS(Tabelle5[[#This Row],[value_points]], Tabelle5[[#This Row],[company_id]],Tabelle18[[#This Row],[company_id]], Tabelle5[[#This Row],[value_id]], Tabelle18[[#This Row],[value_id]], Tabelle5[[#This Row],[value_present]],"1")</f>
        <v>0</v>
      </c>
    </row>
    <row r="87" spans="1:5" x14ac:dyDescent="0.25">
      <c r="A87">
        <v>5</v>
      </c>
      <c r="B87" t="s">
        <v>147</v>
      </c>
      <c r="C87" s="4">
        <f>IF(Tabelle18[[#This Row],[binding_level_company]]&gt;=1,1,0)</f>
        <v>0</v>
      </c>
      <c r="D87" s="4">
        <f>_xlfn.MAXIFS(Tabelle5[[#This Row],[binding_level]], Tabelle5[[#This Row],[company_id]],Tabelle18[[#This Row],[company_id]], Tabelle5[[#This Row],[value_id]], Tabelle18[[#This Row],[value_id]], Tabelle5[[#This Row],[value_present]],"1")</f>
        <v>0</v>
      </c>
      <c r="E87" s="4">
        <f>_xlfn.MAXIFS(Tabelle5[[#This Row],[value_points]], Tabelle5[[#This Row],[company_id]],Tabelle18[[#This Row],[company_id]], Tabelle5[[#This Row],[value_id]], Tabelle18[[#This Row],[value_id]], Tabelle5[[#This Row],[value_present]],"1")</f>
        <v>0</v>
      </c>
    </row>
    <row r="88" spans="1:5" x14ac:dyDescent="0.25">
      <c r="A88">
        <v>5</v>
      </c>
      <c r="B88" t="s">
        <v>154</v>
      </c>
      <c r="C88" s="4">
        <f>IF(Tabelle18[[#This Row],[binding_level_company]]&gt;=1,1,0)</f>
        <v>0</v>
      </c>
      <c r="D88" s="4">
        <f>_xlfn.MAXIFS(Tabelle5[[#This Row],[binding_level]], Tabelle5[[#This Row],[company_id]],Tabelle18[[#This Row],[company_id]], Tabelle5[[#This Row],[value_id]], Tabelle18[[#This Row],[value_id]], Tabelle5[[#This Row],[value_present]],"1")</f>
        <v>0</v>
      </c>
      <c r="E88" s="4">
        <f>_xlfn.MAXIFS(Tabelle5[[#This Row],[value_points]], Tabelle5[[#This Row],[company_id]],Tabelle18[[#This Row],[company_id]], Tabelle5[[#This Row],[value_id]], Tabelle18[[#This Row],[value_id]], Tabelle5[[#This Row],[value_present]],"1")</f>
        <v>0</v>
      </c>
    </row>
    <row r="89" spans="1:5" x14ac:dyDescent="0.25">
      <c r="A89">
        <v>5</v>
      </c>
      <c r="B89" t="s">
        <v>161</v>
      </c>
      <c r="C89" s="4">
        <f>IF(Tabelle18[[#This Row],[binding_level_company]]&gt;=1,1,0)</f>
        <v>0</v>
      </c>
      <c r="D89" s="4">
        <f>_xlfn.MAXIFS(Tabelle5[[#This Row],[binding_level]], Tabelle5[[#This Row],[company_id]],Tabelle18[[#This Row],[company_id]], Tabelle5[[#This Row],[value_id]], Tabelle18[[#This Row],[value_id]], Tabelle5[[#This Row],[value_present]],"1")</f>
        <v>0</v>
      </c>
      <c r="E89" s="4">
        <f>_xlfn.MAXIFS(Tabelle5[[#This Row],[value_points]], Tabelle5[[#This Row],[company_id]],Tabelle18[[#This Row],[company_id]], Tabelle5[[#This Row],[value_id]], Tabelle18[[#This Row],[value_id]], Tabelle5[[#This Row],[value_present]],"1")</f>
        <v>0</v>
      </c>
    </row>
    <row r="90" spans="1:5" x14ac:dyDescent="0.25">
      <c r="A90">
        <v>5</v>
      </c>
      <c r="B90" t="s">
        <v>166</v>
      </c>
      <c r="C90" s="4">
        <f>IF(Tabelle18[[#This Row],[binding_level_company]]&gt;=1,1,0)</f>
        <v>0</v>
      </c>
      <c r="D90" s="4">
        <f>_xlfn.MAXIFS(Tabelle5[[#This Row],[binding_level]], Tabelle5[[#This Row],[company_id]],Tabelle18[[#This Row],[company_id]], Tabelle5[[#This Row],[value_id]], Tabelle18[[#This Row],[value_id]], Tabelle5[[#This Row],[value_present]],"1")</f>
        <v>0</v>
      </c>
      <c r="E90" s="4">
        <f>_xlfn.MAXIFS(Tabelle5[[#This Row],[value_points]], Tabelle5[[#This Row],[company_id]],Tabelle18[[#This Row],[company_id]], Tabelle5[[#This Row],[value_id]], Tabelle18[[#This Row],[value_id]], Tabelle5[[#This Row],[value_present]],"1")</f>
        <v>0</v>
      </c>
    </row>
    <row r="91" spans="1:5" ht="15.75" thickBot="1" x14ac:dyDescent="0.3">
      <c r="A91">
        <v>5</v>
      </c>
      <c r="B91" s="30" t="s">
        <v>174</v>
      </c>
      <c r="C91" s="4">
        <f>IF(Tabelle18[[#This Row],[binding_level_company]]&gt;=1,1,0)</f>
        <v>0</v>
      </c>
      <c r="D91" s="4">
        <f>_xlfn.MAXIFS(Tabelle5[[#This Row],[binding_level]], Tabelle5[[#This Row],[company_id]],Tabelle18[[#This Row],[company_id]], Tabelle5[[#This Row],[value_id]], Tabelle18[[#This Row],[value_id]], Tabelle5[[#This Row],[value_present]],"1")</f>
        <v>0</v>
      </c>
      <c r="E91" s="4">
        <f>_xlfn.MAXIFS(Tabelle5[[#This Row],[value_points]], Tabelle5[[#This Row],[company_id]],Tabelle18[[#This Row],[company_id]], Tabelle5[[#This Row],[value_id]], Tabelle18[[#This Row],[value_id]], Tabelle5[[#This Row],[value_present]],"1")</f>
        <v>0</v>
      </c>
    </row>
    <row r="92" spans="1:5" x14ac:dyDescent="0.25">
      <c r="A92">
        <v>6</v>
      </c>
      <c r="B92" s="22" t="s">
        <v>53</v>
      </c>
      <c r="C92" s="4">
        <f>IF(Tabelle18[[#This Row],[binding_level_company]]&gt;=1,1,0)</f>
        <v>0</v>
      </c>
      <c r="D92" s="4">
        <f>_xlfn.MAXIFS(Tabelle5[[#This Row],[binding_level]], Tabelle5[[#This Row],[company_id]],Tabelle18[[#This Row],[company_id]], Tabelle5[[#This Row],[value_id]], Tabelle18[[#This Row],[value_id]], Tabelle5[[#This Row],[value_present]],"1")</f>
        <v>0</v>
      </c>
      <c r="E92" s="4">
        <f>_xlfn.MAXIFS(Tabelle5[[#This Row],[value_points]], Tabelle5[[#This Row],[company_id]],Tabelle18[[#This Row],[company_id]], Tabelle5[[#This Row],[value_id]], Tabelle18[[#This Row],[value_id]], Tabelle5[[#This Row],[value_present]],"1")</f>
        <v>0</v>
      </c>
    </row>
    <row r="93" spans="1:5" x14ac:dyDescent="0.25">
      <c r="A93">
        <v>6</v>
      </c>
      <c r="B93" t="s">
        <v>61</v>
      </c>
      <c r="C93" s="4">
        <f>IF(Tabelle18[[#This Row],[binding_level_company]]&gt;=1,1,0)</f>
        <v>0</v>
      </c>
      <c r="D93" s="4">
        <f>_xlfn.MAXIFS(Tabelle5[[#This Row],[binding_level]], Tabelle5[[#This Row],[company_id]],Tabelle18[[#This Row],[company_id]], Tabelle5[[#This Row],[value_id]], Tabelle18[[#This Row],[value_id]], Tabelle5[[#This Row],[value_present]],"1")</f>
        <v>0</v>
      </c>
      <c r="E93" s="4">
        <f>_xlfn.MAXIFS(Tabelle5[[#This Row],[value_points]], Tabelle5[[#This Row],[company_id]],Tabelle18[[#This Row],[company_id]], Tabelle5[[#This Row],[value_id]], Tabelle18[[#This Row],[value_id]], Tabelle5[[#This Row],[value_present]],"1")</f>
        <v>0</v>
      </c>
    </row>
    <row r="94" spans="1:5" x14ac:dyDescent="0.25">
      <c r="A94">
        <v>6</v>
      </c>
      <c r="B94" t="s">
        <v>69</v>
      </c>
      <c r="C94" s="4">
        <f>IF(Tabelle18[[#This Row],[binding_level_company]]&gt;=1,1,0)</f>
        <v>0</v>
      </c>
      <c r="D94" s="4">
        <f>_xlfn.MAXIFS(Tabelle5[[#This Row],[binding_level]], Tabelle5[[#This Row],[company_id]],Tabelle18[[#This Row],[company_id]], Tabelle5[[#This Row],[value_id]], Tabelle18[[#This Row],[value_id]], Tabelle5[[#This Row],[value_present]],"1")</f>
        <v>0</v>
      </c>
      <c r="E94" s="4">
        <f>_xlfn.MAXIFS(Tabelle5[[#This Row],[value_points]], Tabelle5[[#This Row],[company_id]],Tabelle18[[#This Row],[company_id]], Tabelle5[[#This Row],[value_id]], Tabelle18[[#This Row],[value_id]], Tabelle5[[#This Row],[value_present]],"1")</f>
        <v>0</v>
      </c>
    </row>
    <row r="95" spans="1:5" x14ac:dyDescent="0.25">
      <c r="A95">
        <v>6</v>
      </c>
      <c r="B95" t="s">
        <v>76</v>
      </c>
      <c r="C95" s="4">
        <f>IF(Tabelle18[[#This Row],[binding_level_company]]&gt;=1,1,0)</f>
        <v>0</v>
      </c>
      <c r="D95" s="4">
        <f>_xlfn.MAXIFS(Tabelle5[[#This Row],[binding_level]], Tabelle5[[#This Row],[company_id]],Tabelle18[[#This Row],[company_id]], Tabelle5[[#This Row],[value_id]], Tabelle18[[#This Row],[value_id]], Tabelle5[[#This Row],[value_present]],"1")</f>
        <v>0</v>
      </c>
      <c r="E95" s="4">
        <f>_xlfn.MAXIFS(Tabelle5[[#This Row],[value_points]], Tabelle5[[#This Row],[company_id]],Tabelle18[[#This Row],[company_id]], Tabelle5[[#This Row],[value_id]], Tabelle18[[#This Row],[value_id]], Tabelle5[[#This Row],[value_present]],"1")</f>
        <v>0</v>
      </c>
    </row>
    <row r="96" spans="1:5" x14ac:dyDescent="0.25">
      <c r="A96">
        <v>6</v>
      </c>
      <c r="B96" t="s">
        <v>83</v>
      </c>
      <c r="C96" s="4">
        <f>IF(Tabelle18[[#This Row],[binding_level_company]]&gt;=1,1,0)</f>
        <v>0</v>
      </c>
      <c r="D96" s="4">
        <f>_xlfn.MAXIFS(Tabelle5[[#This Row],[binding_level]], Tabelle5[[#This Row],[company_id]],Tabelle18[[#This Row],[company_id]], Tabelle5[[#This Row],[value_id]], Tabelle18[[#This Row],[value_id]], Tabelle5[[#This Row],[value_present]],"1")</f>
        <v>0</v>
      </c>
      <c r="E96" s="4">
        <f>_xlfn.MAXIFS(Tabelle5[[#This Row],[value_points]], Tabelle5[[#This Row],[company_id]],Tabelle18[[#This Row],[company_id]], Tabelle5[[#This Row],[value_id]], Tabelle18[[#This Row],[value_id]], Tabelle5[[#This Row],[value_present]],"1")</f>
        <v>0</v>
      </c>
    </row>
    <row r="97" spans="1:5" x14ac:dyDescent="0.25">
      <c r="A97">
        <v>6</v>
      </c>
      <c r="B97" t="s">
        <v>90</v>
      </c>
      <c r="C97" s="4">
        <f>IF(Tabelle18[[#This Row],[binding_level_company]]&gt;=1,1,0)</f>
        <v>0</v>
      </c>
      <c r="D97" s="4">
        <f>_xlfn.MAXIFS(Tabelle5[[#This Row],[binding_level]], Tabelle5[[#This Row],[company_id]],Tabelle18[[#This Row],[company_id]], Tabelle5[[#This Row],[value_id]], Tabelle18[[#This Row],[value_id]], Tabelle5[[#This Row],[value_present]],"1")</f>
        <v>0</v>
      </c>
      <c r="E97" s="4">
        <f>_xlfn.MAXIFS(Tabelle5[[#This Row],[value_points]], Tabelle5[[#This Row],[company_id]],Tabelle18[[#This Row],[company_id]], Tabelle5[[#This Row],[value_id]], Tabelle18[[#This Row],[value_id]], Tabelle5[[#This Row],[value_present]],"1")</f>
        <v>0</v>
      </c>
    </row>
    <row r="98" spans="1:5" x14ac:dyDescent="0.25">
      <c r="A98">
        <v>6</v>
      </c>
      <c r="B98" t="s">
        <v>98</v>
      </c>
      <c r="C98" s="4">
        <f>IF(Tabelle18[[#This Row],[binding_level_company]]&gt;=1,1,0)</f>
        <v>0</v>
      </c>
      <c r="D98" s="4">
        <f>_xlfn.MAXIFS(Tabelle5[[#This Row],[binding_level]], Tabelle5[[#This Row],[company_id]],Tabelle18[[#This Row],[company_id]], Tabelle5[[#This Row],[value_id]], Tabelle18[[#This Row],[value_id]], Tabelle5[[#This Row],[value_present]],"1")</f>
        <v>0</v>
      </c>
      <c r="E98" s="4">
        <f>_xlfn.MAXIFS(Tabelle5[[#This Row],[value_points]], Tabelle5[[#This Row],[company_id]],Tabelle18[[#This Row],[company_id]], Tabelle5[[#This Row],[value_id]], Tabelle18[[#This Row],[value_id]], Tabelle5[[#This Row],[value_present]],"1")</f>
        <v>0</v>
      </c>
    </row>
    <row r="99" spans="1:5" x14ac:dyDescent="0.25">
      <c r="A99">
        <v>6</v>
      </c>
      <c r="B99" t="s">
        <v>106</v>
      </c>
      <c r="C99" s="4">
        <f>IF(Tabelle18[[#This Row],[binding_level_company]]&gt;=1,1,0)</f>
        <v>0</v>
      </c>
      <c r="D99" s="4">
        <f>_xlfn.MAXIFS(Tabelle5[[#This Row],[binding_level]], Tabelle5[[#This Row],[company_id]],Tabelle18[[#This Row],[company_id]], Tabelle5[[#This Row],[value_id]], Tabelle18[[#This Row],[value_id]], Tabelle5[[#This Row],[value_present]],"1")</f>
        <v>0</v>
      </c>
      <c r="E99" s="4">
        <f>_xlfn.MAXIFS(Tabelle5[[#This Row],[value_points]], Tabelle5[[#This Row],[company_id]],Tabelle18[[#This Row],[company_id]], Tabelle5[[#This Row],[value_id]], Tabelle18[[#This Row],[value_id]], Tabelle5[[#This Row],[value_present]],"1")</f>
        <v>0</v>
      </c>
    </row>
    <row r="100" spans="1:5" x14ac:dyDescent="0.25">
      <c r="A100">
        <v>6</v>
      </c>
      <c r="B100" t="s">
        <v>112</v>
      </c>
      <c r="C100" s="4">
        <f>IF(Tabelle18[[#This Row],[binding_level_company]]&gt;=1,1,0)</f>
        <v>0</v>
      </c>
      <c r="D100" s="4">
        <f>_xlfn.MAXIFS(Tabelle5[[#This Row],[binding_level]], Tabelle5[[#This Row],[company_id]],Tabelle18[[#This Row],[company_id]], Tabelle5[[#This Row],[value_id]], Tabelle18[[#This Row],[value_id]], Tabelle5[[#This Row],[value_present]],"1")</f>
        <v>0</v>
      </c>
      <c r="E100" s="4">
        <f>_xlfn.MAXIFS(Tabelle5[[#This Row],[value_points]], Tabelle5[[#This Row],[company_id]],Tabelle18[[#This Row],[company_id]], Tabelle5[[#This Row],[value_id]], Tabelle18[[#This Row],[value_id]], Tabelle5[[#This Row],[value_present]],"1")</f>
        <v>0</v>
      </c>
    </row>
    <row r="101" spans="1:5" x14ac:dyDescent="0.25">
      <c r="A101">
        <v>6</v>
      </c>
      <c r="B101" t="s">
        <v>118</v>
      </c>
      <c r="C101" s="4">
        <f>IF(Tabelle18[[#This Row],[binding_level_company]]&gt;=1,1,0)</f>
        <v>0</v>
      </c>
      <c r="D101" s="4">
        <f>_xlfn.MAXIFS(Tabelle5[[#This Row],[binding_level]], Tabelle5[[#This Row],[company_id]],Tabelle18[[#This Row],[company_id]], Tabelle5[[#This Row],[value_id]], Tabelle18[[#This Row],[value_id]], Tabelle5[[#This Row],[value_present]],"1")</f>
        <v>0</v>
      </c>
      <c r="E101" s="4">
        <f>_xlfn.MAXIFS(Tabelle5[[#This Row],[value_points]], Tabelle5[[#This Row],[company_id]],Tabelle18[[#This Row],[company_id]], Tabelle5[[#This Row],[value_id]], Tabelle18[[#This Row],[value_id]], Tabelle5[[#This Row],[value_present]],"1")</f>
        <v>0</v>
      </c>
    </row>
    <row r="102" spans="1:5" x14ac:dyDescent="0.25">
      <c r="A102">
        <v>6</v>
      </c>
      <c r="B102" t="s">
        <v>125</v>
      </c>
      <c r="C102" s="4">
        <f>IF(Tabelle18[[#This Row],[binding_level_company]]&gt;=1,1,0)</f>
        <v>0</v>
      </c>
      <c r="D102" s="4">
        <f>_xlfn.MAXIFS(Tabelle5[[#This Row],[binding_level]], Tabelle5[[#This Row],[company_id]],Tabelle18[[#This Row],[company_id]], Tabelle5[[#This Row],[value_id]], Tabelle18[[#This Row],[value_id]], Tabelle5[[#This Row],[value_present]],"1")</f>
        <v>0</v>
      </c>
      <c r="E102" s="4">
        <f>_xlfn.MAXIFS(Tabelle5[[#This Row],[value_points]], Tabelle5[[#This Row],[company_id]],Tabelle18[[#This Row],[company_id]], Tabelle5[[#This Row],[value_id]], Tabelle18[[#This Row],[value_id]], Tabelle5[[#This Row],[value_present]],"1")</f>
        <v>0</v>
      </c>
    </row>
    <row r="103" spans="1:5" x14ac:dyDescent="0.25">
      <c r="A103">
        <v>6</v>
      </c>
      <c r="B103" t="s">
        <v>132</v>
      </c>
      <c r="C103" s="4">
        <f>IF(Tabelle18[[#This Row],[binding_level_company]]&gt;=1,1,0)</f>
        <v>0</v>
      </c>
      <c r="D103" s="4">
        <f>_xlfn.MAXIFS(Tabelle5[[#This Row],[binding_level]], Tabelle5[[#This Row],[company_id]],Tabelle18[[#This Row],[company_id]], Tabelle5[[#This Row],[value_id]], Tabelle18[[#This Row],[value_id]], Tabelle5[[#This Row],[value_present]],"1")</f>
        <v>0</v>
      </c>
      <c r="E103" s="4">
        <f>_xlfn.MAXIFS(Tabelle5[[#This Row],[value_points]], Tabelle5[[#This Row],[company_id]],Tabelle18[[#This Row],[company_id]], Tabelle5[[#This Row],[value_id]], Tabelle18[[#This Row],[value_id]], Tabelle5[[#This Row],[value_present]],"1")</f>
        <v>0</v>
      </c>
    </row>
    <row r="104" spans="1:5" x14ac:dyDescent="0.25">
      <c r="A104">
        <v>6</v>
      </c>
      <c r="B104" t="s">
        <v>140</v>
      </c>
      <c r="C104" s="4">
        <f>IF(Tabelle18[[#This Row],[binding_level_company]]&gt;=1,1,0)</f>
        <v>0</v>
      </c>
      <c r="D104" s="4">
        <f>_xlfn.MAXIFS(Tabelle5[[#This Row],[binding_level]], Tabelle5[[#This Row],[company_id]],Tabelle18[[#This Row],[company_id]], Tabelle5[[#This Row],[value_id]], Tabelle18[[#This Row],[value_id]], Tabelle5[[#This Row],[value_present]],"1")</f>
        <v>0</v>
      </c>
      <c r="E104" s="4">
        <f>_xlfn.MAXIFS(Tabelle5[[#This Row],[value_points]], Tabelle5[[#This Row],[company_id]],Tabelle18[[#This Row],[company_id]], Tabelle5[[#This Row],[value_id]], Tabelle18[[#This Row],[value_id]], Tabelle5[[#This Row],[value_present]],"1")</f>
        <v>0</v>
      </c>
    </row>
    <row r="105" spans="1:5" x14ac:dyDescent="0.25">
      <c r="A105">
        <v>6</v>
      </c>
      <c r="B105" t="s">
        <v>147</v>
      </c>
      <c r="C105" s="4">
        <f>IF(Tabelle18[[#This Row],[binding_level_company]]&gt;=1,1,0)</f>
        <v>0</v>
      </c>
      <c r="D105" s="4">
        <f>_xlfn.MAXIFS(Tabelle5[[#This Row],[binding_level]], Tabelle5[[#This Row],[company_id]],Tabelle18[[#This Row],[company_id]], Tabelle5[[#This Row],[value_id]], Tabelle18[[#This Row],[value_id]], Tabelle5[[#This Row],[value_present]],"1")</f>
        <v>0</v>
      </c>
      <c r="E105" s="4">
        <f>_xlfn.MAXIFS(Tabelle5[[#This Row],[value_points]], Tabelle5[[#This Row],[company_id]],Tabelle18[[#This Row],[company_id]], Tabelle5[[#This Row],[value_id]], Tabelle18[[#This Row],[value_id]], Tabelle5[[#This Row],[value_present]],"1")</f>
        <v>0</v>
      </c>
    </row>
    <row r="106" spans="1:5" x14ac:dyDescent="0.25">
      <c r="A106">
        <v>6</v>
      </c>
      <c r="B106" t="s">
        <v>154</v>
      </c>
      <c r="C106" s="4">
        <f>IF(Tabelle18[[#This Row],[binding_level_company]]&gt;=1,1,0)</f>
        <v>0</v>
      </c>
      <c r="D106" s="4">
        <f>_xlfn.MAXIFS(Tabelle5[[#This Row],[binding_level]], Tabelle5[[#This Row],[company_id]],Tabelle18[[#This Row],[company_id]], Tabelle5[[#This Row],[value_id]], Tabelle18[[#This Row],[value_id]], Tabelle5[[#This Row],[value_present]],"1")</f>
        <v>0</v>
      </c>
      <c r="E106" s="4">
        <f>_xlfn.MAXIFS(Tabelle5[[#This Row],[value_points]], Tabelle5[[#This Row],[company_id]],Tabelle18[[#This Row],[company_id]], Tabelle5[[#This Row],[value_id]], Tabelle18[[#This Row],[value_id]], Tabelle5[[#This Row],[value_present]],"1")</f>
        <v>0</v>
      </c>
    </row>
    <row r="107" spans="1:5" x14ac:dyDescent="0.25">
      <c r="A107">
        <v>6</v>
      </c>
      <c r="B107" t="s">
        <v>161</v>
      </c>
      <c r="C107" s="4">
        <f>IF(Tabelle18[[#This Row],[binding_level_company]]&gt;=1,1,0)</f>
        <v>0</v>
      </c>
      <c r="D107" s="4">
        <f>_xlfn.MAXIFS(Tabelle5[[#This Row],[binding_level]], Tabelle5[[#This Row],[company_id]],Tabelle18[[#This Row],[company_id]], Tabelle5[[#This Row],[value_id]], Tabelle18[[#This Row],[value_id]], Tabelle5[[#This Row],[value_present]],"1")</f>
        <v>0</v>
      </c>
      <c r="E107" s="4">
        <f>_xlfn.MAXIFS(Tabelle5[[#This Row],[value_points]], Tabelle5[[#This Row],[company_id]],Tabelle18[[#This Row],[company_id]], Tabelle5[[#This Row],[value_id]], Tabelle18[[#This Row],[value_id]], Tabelle5[[#This Row],[value_present]],"1")</f>
        <v>0</v>
      </c>
    </row>
    <row r="108" spans="1:5" x14ac:dyDescent="0.25">
      <c r="A108">
        <v>6</v>
      </c>
      <c r="B108" t="s">
        <v>166</v>
      </c>
      <c r="C108" s="4">
        <f>IF(Tabelle18[[#This Row],[binding_level_company]]&gt;=1,1,0)</f>
        <v>0</v>
      </c>
      <c r="D108" s="4">
        <f>_xlfn.MAXIFS(Tabelle5[[#This Row],[binding_level]], Tabelle5[[#This Row],[company_id]],Tabelle18[[#This Row],[company_id]], Tabelle5[[#This Row],[value_id]], Tabelle18[[#This Row],[value_id]], Tabelle5[[#This Row],[value_present]],"1")</f>
        <v>0</v>
      </c>
      <c r="E108" s="4">
        <f>_xlfn.MAXIFS(Tabelle5[[#This Row],[value_points]], Tabelle5[[#This Row],[company_id]],Tabelle18[[#This Row],[company_id]], Tabelle5[[#This Row],[value_id]], Tabelle18[[#This Row],[value_id]], Tabelle5[[#This Row],[value_present]],"1")</f>
        <v>0</v>
      </c>
    </row>
    <row r="109" spans="1:5" ht="15.75" thickBot="1" x14ac:dyDescent="0.3">
      <c r="A109">
        <v>6</v>
      </c>
      <c r="B109" s="30" t="s">
        <v>174</v>
      </c>
      <c r="C109" s="4">
        <f>IF(Tabelle18[[#This Row],[binding_level_company]]&gt;=1,1,0)</f>
        <v>0</v>
      </c>
      <c r="D109" s="4">
        <f>_xlfn.MAXIFS(Tabelle5[[#This Row],[binding_level]], Tabelle5[[#This Row],[company_id]],Tabelle18[[#This Row],[company_id]], Tabelle5[[#This Row],[value_id]], Tabelle18[[#This Row],[value_id]], Tabelle5[[#This Row],[value_present]],"1")</f>
        <v>0</v>
      </c>
      <c r="E109" s="4">
        <f>_xlfn.MAXIFS(Tabelle5[[#This Row],[value_points]], Tabelle5[[#This Row],[company_id]],Tabelle18[[#This Row],[company_id]], Tabelle5[[#This Row],[value_id]], Tabelle18[[#This Row],[value_id]], Tabelle5[[#This Row],[value_present]],"1")</f>
        <v>0</v>
      </c>
    </row>
    <row r="110" spans="1:5" x14ac:dyDescent="0.25">
      <c r="A110">
        <v>7</v>
      </c>
      <c r="B110" s="22" t="s">
        <v>53</v>
      </c>
      <c r="C110" s="4">
        <f>IF(Tabelle18[[#This Row],[binding_level_company]]&gt;=1,1,0)</f>
        <v>0</v>
      </c>
      <c r="D110" s="4">
        <f>_xlfn.MAXIFS(Tabelle5[[#This Row],[binding_level]], Tabelle5[[#This Row],[company_id]],Tabelle18[[#This Row],[company_id]], Tabelle5[[#This Row],[value_id]], Tabelle18[[#This Row],[value_id]], Tabelle5[[#This Row],[value_present]],"1")</f>
        <v>0</v>
      </c>
      <c r="E110" s="4">
        <f>_xlfn.MAXIFS(Tabelle5[[#This Row],[value_points]], Tabelle5[[#This Row],[company_id]],Tabelle18[[#This Row],[company_id]], Tabelle5[[#This Row],[value_id]], Tabelle18[[#This Row],[value_id]], Tabelle5[[#This Row],[value_present]],"1")</f>
        <v>0</v>
      </c>
    </row>
    <row r="111" spans="1:5" x14ac:dyDescent="0.25">
      <c r="A111">
        <v>7</v>
      </c>
      <c r="B111" t="s">
        <v>61</v>
      </c>
      <c r="C111" s="4">
        <f>IF(Tabelle18[[#This Row],[binding_level_company]]&gt;=1,1,0)</f>
        <v>0</v>
      </c>
      <c r="D111" s="4">
        <f>_xlfn.MAXIFS(Tabelle5[[#This Row],[binding_level]], Tabelle5[[#This Row],[company_id]],Tabelle18[[#This Row],[company_id]], Tabelle5[[#This Row],[value_id]], Tabelle18[[#This Row],[value_id]], Tabelle5[[#This Row],[value_present]],"1")</f>
        <v>0</v>
      </c>
      <c r="E111" s="4">
        <f>_xlfn.MAXIFS(Tabelle5[[#This Row],[value_points]], Tabelle5[[#This Row],[company_id]],Tabelle18[[#This Row],[company_id]], Tabelle5[[#This Row],[value_id]], Tabelle18[[#This Row],[value_id]], Tabelle5[[#This Row],[value_present]],"1")</f>
        <v>0</v>
      </c>
    </row>
    <row r="112" spans="1:5" x14ac:dyDescent="0.25">
      <c r="A112">
        <v>7</v>
      </c>
      <c r="B112" t="s">
        <v>69</v>
      </c>
      <c r="C112" s="4">
        <f>IF(Tabelle18[[#This Row],[binding_level_company]]&gt;=1,1,0)</f>
        <v>0</v>
      </c>
      <c r="D112" s="4">
        <f>_xlfn.MAXIFS(Tabelle5[[#This Row],[binding_level]], Tabelle5[[#This Row],[company_id]],Tabelle18[[#This Row],[company_id]], Tabelle5[[#This Row],[value_id]], Tabelle18[[#This Row],[value_id]], Tabelle5[[#This Row],[value_present]],"1")</f>
        <v>0</v>
      </c>
      <c r="E112" s="4">
        <f>_xlfn.MAXIFS(Tabelle5[[#This Row],[value_points]], Tabelle5[[#This Row],[company_id]],Tabelle18[[#This Row],[company_id]], Tabelle5[[#This Row],[value_id]], Tabelle18[[#This Row],[value_id]], Tabelle5[[#This Row],[value_present]],"1")</f>
        <v>0</v>
      </c>
    </row>
    <row r="113" spans="1:5" x14ac:dyDescent="0.25">
      <c r="A113">
        <v>7</v>
      </c>
      <c r="B113" t="s">
        <v>76</v>
      </c>
      <c r="C113" s="4">
        <f>IF(Tabelle18[[#This Row],[binding_level_company]]&gt;=1,1,0)</f>
        <v>0</v>
      </c>
      <c r="D113" s="4">
        <f>_xlfn.MAXIFS(Tabelle5[[#This Row],[binding_level]], Tabelle5[[#This Row],[company_id]],Tabelle18[[#This Row],[company_id]], Tabelle5[[#This Row],[value_id]], Tabelle18[[#This Row],[value_id]], Tabelle5[[#This Row],[value_present]],"1")</f>
        <v>0</v>
      </c>
      <c r="E113" s="4">
        <f>_xlfn.MAXIFS(Tabelle5[[#This Row],[value_points]], Tabelle5[[#This Row],[company_id]],Tabelle18[[#This Row],[company_id]], Tabelle5[[#This Row],[value_id]], Tabelle18[[#This Row],[value_id]], Tabelle5[[#This Row],[value_present]],"1")</f>
        <v>0</v>
      </c>
    </row>
    <row r="114" spans="1:5" x14ac:dyDescent="0.25">
      <c r="A114">
        <v>7</v>
      </c>
      <c r="B114" t="s">
        <v>83</v>
      </c>
      <c r="C114" s="4">
        <f>IF(Tabelle18[[#This Row],[binding_level_company]]&gt;=1,1,0)</f>
        <v>0</v>
      </c>
      <c r="D114" s="4">
        <f>_xlfn.MAXIFS(Tabelle5[[#This Row],[binding_level]], Tabelle5[[#This Row],[company_id]],Tabelle18[[#This Row],[company_id]], Tabelle5[[#This Row],[value_id]], Tabelle18[[#This Row],[value_id]], Tabelle5[[#This Row],[value_present]],"1")</f>
        <v>0</v>
      </c>
      <c r="E114" s="4">
        <f>_xlfn.MAXIFS(Tabelle5[[#This Row],[value_points]], Tabelle5[[#This Row],[company_id]],Tabelle18[[#This Row],[company_id]], Tabelle5[[#This Row],[value_id]], Tabelle18[[#This Row],[value_id]], Tabelle5[[#This Row],[value_present]],"1")</f>
        <v>0</v>
      </c>
    </row>
    <row r="115" spans="1:5" x14ac:dyDescent="0.25">
      <c r="A115">
        <v>7</v>
      </c>
      <c r="B115" t="s">
        <v>90</v>
      </c>
      <c r="C115" s="4">
        <f>IF(Tabelle18[[#This Row],[binding_level_company]]&gt;=1,1,0)</f>
        <v>0</v>
      </c>
      <c r="D115" s="4">
        <f>_xlfn.MAXIFS(Tabelle5[[#This Row],[binding_level]], Tabelle5[[#This Row],[company_id]],Tabelle18[[#This Row],[company_id]], Tabelle5[[#This Row],[value_id]], Tabelle18[[#This Row],[value_id]], Tabelle5[[#This Row],[value_present]],"1")</f>
        <v>0</v>
      </c>
      <c r="E115" s="4">
        <f>_xlfn.MAXIFS(Tabelle5[[#This Row],[value_points]], Tabelle5[[#This Row],[company_id]],Tabelle18[[#This Row],[company_id]], Tabelle5[[#This Row],[value_id]], Tabelle18[[#This Row],[value_id]], Tabelle5[[#This Row],[value_present]],"1")</f>
        <v>0</v>
      </c>
    </row>
    <row r="116" spans="1:5" x14ac:dyDescent="0.25">
      <c r="A116">
        <v>7</v>
      </c>
      <c r="B116" t="s">
        <v>98</v>
      </c>
      <c r="C116" s="4">
        <f>IF(Tabelle18[[#This Row],[binding_level_company]]&gt;=1,1,0)</f>
        <v>0</v>
      </c>
      <c r="D116" s="4">
        <f>_xlfn.MAXIFS(Tabelle5[[#This Row],[binding_level]], Tabelle5[[#This Row],[company_id]],Tabelle18[[#This Row],[company_id]], Tabelle5[[#This Row],[value_id]], Tabelle18[[#This Row],[value_id]], Tabelle5[[#This Row],[value_present]],"1")</f>
        <v>0</v>
      </c>
      <c r="E116" s="4">
        <f>_xlfn.MAXIFS(Tabelle5[[#This Row],[value_points]], Tabelle5[[#This Row],[company_id]],Tabelle18[[#This Row],[company_id]], Tabelle5[[#This Row],[value_id]], Tabelle18[[#This Row],[value_id]], Tabelle5[[#This Row],[value_present]],"1")</f>
        <v>0</v>
      </c>
    </row>
    <row r="117" spans="1:5" x14ac:dyDescent="0.25">
      <c r="A117">
        <v>7</v>
      </c>
      <c r="B117" t="s">
        <v>106</v>
      </c>
      <c r="C117" s="4">
        <f>IF(Tabelle18[[#This Row],[binding_level_company]]&gt;=1,1,0)</f>
        <v>0</v>
      </c>
      <c r="D117" s="4">
        <f>_xlfn.MAXIFS(Tabelle5[[#This Row],[binding_level]], Tabelle5[[#This Row],[company_id]],Tabelle18[[#This Row],[company_id]], Tabelle5[[#This Row],[value_id]], Tabelle18[[#This Row],[value_id]], Tabelle5[[#This Row],[value_present]],"1")</f>
        <v>0</v>
      </c>
      <c r="E117" s="4">
        <f>_xlfn.MAXIFS(Tabelle5[[#This Row],[value_points]], Tabelle5[[#This Row],[company_id]],Tabelle18[[#This Row],[company_id]], Tabelle5[[#This Row],[value_id]], Tabelle18[[#This Row],[value_id]], Tabelle5[[#This Row],[value_present]],"1")</f>
        <v>0</v>
      </c>
    </row>
    <row r="118" spans="1:5" x14ac:dyDescent="0.25">
      <c r="A118">
        <v>7</v>
      </c>
      <c r="B118" t="s">
        <v>112</v>
      </c>
      <c r="C118" s="4">
        <f>IF(Tabelle18[[#This Row],[binding_level_company]]&gt;=1,1,0)</f>
        <v>0</v>
      </c>
      <c r="D118" s="4">
        <f>_xlfn.MAXIFS(Tabelle5[[#This Row],[binding_level]], Tabelle5[[#This Row],[company_id]],Tabelle18[[#This Row],[company_id]], Tabelle5[[#This Row],[value_id]], Tabelle18[[#This Row],[value_id]], Tabelle5[[#This Row],[value_present]],"1")</f>
        <v>0</v>
      </c>
      <c r="E118" s="4">
        <f>_xlfn.MAXIFS(Tabelle5[[#This Row],[value_points]], Tabelle5[[#This Row],[company_id]],Tabelle18[[#This Row],[company_id]], Tabelle5[[#This Row],[value_id]], Tabelle18[[#This Row],[value_id]], Tabelle5[[#This Row],[value_present]],"1")</f>
        <v>0</v>
      </c>
    </row>
    <row r="119" spans="1:5" x14ac:dyDescent="0.25">
      <c r="A119">
        <v>7</v>
      </c>
      <c r="B119" t="s">
        <v>118</v>
      </c>
      <c r="C119" s="4">
        <f>IF(Tabelle18[[#This Row],[binding_level_company]]&gt;=1,1,0)</f>
        <v>0</v>
      </c>
      <c r="D119" s="4">
        <f>_xlfn.MAXIFS(Tabelle5[[#This Row],[binding_level]], Tabelle5[[#This Row],[company_id]],Tabelle18[[#This Row],[company_id]], Tabelle5[[#This Row],[value_id]], Tabelle18[[#This Row],[value_id]], Tabelle5[[#This Row],[value_present]],"1")</f>
        <v>0</v>
      </c>
      <c r="E119" s="4">
        <f>_xlfn.MAXIFS(Tabelle5[[#This Row],[value_points]], Tabelle5[[#This Row],[company_id]],Tabelle18[[#This Row],[company_id]], Tabelle5[[#This Row],[value_id]], Tabelle18[[#This Row],[value_id]], Tabelle5[[#This Row],[value_present]],"1")</f>
        <v>0</v>
      </c>
    </row>
    <row r="120" spans="1:5" x14ac:dyDescent="0.25">
      <c r="A120">
        <v>7</v>
      </c>
      <c r="B120" t="s">
        <v>125</v>
      </c>
      <c r="C120" s="4">
        <f>IF(Tabelle18[[#This Row],[binding_level_company]]&gt;=1,1,0)</f>
        <v>0</v>
      </c>
      <c r="D120" s="4">
        <f>_xlfn.MAXIFS(Tabelle5[[#This Row],[binding_level]], Tabelle5[[#This Row],[company_id]],Tabelle18[[#This Row],[company_id]], Tabelle5[[#This Row],[value_id]], Tabelle18[[#This Row],[value_id]], Tabelle5[[#This Row],[value_present]],"1")</f>
        <v>0</v>
      </c>
      <c r="E120" s="4">
        <f>_xlfn.MAXIFS(Tabelle5[[#This Row],[value_points]], Tabelle5[[#This Row],[company_id]],Tabelle18[[#This Row],[company_id]], Tabelle5[[#This Row],[value_id]], Tabelle18[[#This Row],[value_id]], Tabelle5[[#This Row],[value_present]],"1")</f>
        <v>0</v>
      </c>
    </row>
    <row r="121" spans="1:5" x14ac:dyDescent="0.25">
      <c r="A121">
        <v>7</v>
      </c>
      <c r="B121" t="s">
        <v>132</v>
      </c>
      <c r="C121" s="4">
        <f>IF(Tabelle18[[#This Row],[binding_level_company]]&gt;=1,1,0)</f>
        <v>0</v>
      </c>
      <c r="D121" s="4">
        <f>_xlfn.MAXIFS(Tabelle5[[#This Row],[binding_level]], Tabelle5[[#This Row],[company_id]],Tabelle18[[#This Row],[company_id]], Tabelle5[[#This Row],[value_id]], Tabelle18[[#This Row],[value_id]], Tabelle5[[#This Row],[value_present]],"1")</f>
        <v>0</v>
      </c>
      <c r="E121" s="4">
        <f>_xlfn.MAXIFS(Tabelle5[[#This Row],[value_points]], Tabelle5[[#This Row],[company_id]],Tabelle18[[#This Row],[company_id]], Tabelle5[[#This Row],[value_id]], Tabelle18[[#This Row],[value_id]], Tabelle5[[#This Row],[value_present]],"1")</f>
        <v>0</v>
      </c>
    </row>
    <row r="122" spans="1:5" x14ac:dyDescent="0.25">
      <c r="A122">
        <v>7</v>
      </c>
      <c r="B122" t="s">
        <v>140</v>
      </c>
      <c r="C122" s="4">
        <f>IF(Tabelle18[[#This Row],[binding_level_company]]&gt;=1,1,0)</f>
        <v>0</v>
      </c>
      <c r="D122" s="4">
        <f>_xlfn.MAXIFS(Tabelle5[[#This Row],[binding_level]], Tabelle5[[#This Row],[company_id]],Tabelle18[[#This Row],[company_id]], Tabelle5[[#This Row],[value_id]], Tabelle18[[#This Row],[value_id]], Tabelle5[[#This Row],[value_present]],"1")</f>
        <v>0</v>
      </c>
      <c r="E122" s="4">
        <f>_xlfn.MAXIFS(Tabelle5[[#This Row],[value_points]], Tabelle5[[#This Row],[company_id]],Tabelle18[[#This Row],[company_id]], Tabelle5[[#This Row],[value_id]], Tabelle18[[#This Row],[value_id]], Tabelle5[[#This Row],[value_present]],"1")</f>
        <v>0</v>
      </c>
    </row>
    <row r="123" spans="1:5" x14ac:dyDescent="0.25">
      <c r="A123">
        <v>7</v>
      </c>
      <c r="B123" t="s">
        <v>147</v>
      </c>
      <c r="C123" s="4">
        <f>IF(Tabelle18[[#This Row],[binding_level_company]]&gt;=1,1,0)</f>
        <v>0</v>
      </c>
      <c r="D123" s="4">
        <f>_xlfn.MAXIFS(Tabelle5[[#This Row],[binding_level]], Tabelle5[[#This Row],[company_id]],Tabelle18[[#This Row],[company_id]], Tabelle5[[#This Row],[value_id]], Tabelle18[[#This Row],[value_id]], Tabelle5[[#This Row],[value_present]],"1")</f>
        <v>0</v>
      </c>
      <c r="E123" s="4">
        <f>_xlfn.MAXIFS(Tabelle5[[#This Row],[value_points]], Tabelle5[[#This Row],[company_id]],Tabelle18[[#This Row],[company_id]], Tabelle5[[#This Row],[value_id]], Tabelle18[[#This Row],[value_id]], Tabelle5[[#This Row],[value_present]],"1")</f>
        <v>0</v>
      </c>
    </row>
    <row r="124" spans="1:5" x14ac:dyDescent="0.25">
      <c r="A124">
        <v>7</v>
      </c>
      <c r="B124" t="s">
        <v>154</v>
      </c>
      <c r="C124" s="4">
        <f>IF(Tabelle18[[#This Row],[binding_level_company]]&gt;=1,1,0)</f>
        <v>0</v>
      </c>
      <c r="D124" s="4">
        <f>_xlfn.MAXIFS(Tabelle5[[#This Row],[binding_level]], Tabelle5[[#This Row],[company_id]],Tabelle18[[#This Row],[company_id]], Tabelle5[[#This Row],[value_id]], Tabelle18[[#This Row],[value_id]], Tabelle5[[#This Row],[value_present]],"1")</f>
        <v>0</v>
      </c>
      <c r="E124" s="4">
        <f>_xlfn.MAXIFS(Tabelle5[[#This Row],[value_points]], Tabelle5[[#This Row],[company_id]],Tabelle18[[#This Row],[company_id]], Tabelle5[[#This Row],[value_id]], Tabelle18[[#This Row],[value_id]], Tabelle5[[#This Row],[value_present]],"1")</f>
        <v>0</v>
      </c>
    </row>
    <row r="125" spans="1:5" x14ac:dyDescent="0.25">
      <c r="A125">
        <v>7</v>
      </c>
      <c r="B125" t="s">
        <v>161</v>
      </c>
      <c r="C125" s="4">
        <f>IF(Tabelle18[[#This Row],[binding_level_company]]&gt;=1,1,0)</f>
        <v>0</v>
      </c>
      <c r="D125" s="4">
        <f>_xlfn.MAXIFS(Tabelle5[[#This Row],[binding_level]], Tabelle5[[#This Row],[company_id]],Tabelle18[[#This Row],[company_id]], Tabelle5[[#This Row],[value_id]], Tabelle18[[#This Row],[value_id]], Tabelle5[[#This Row],[value_present]],"1")</f>
        <v>0</v>
      </c>
      <c r="E125" s="4">
        <f>_xlfn.MAXIFS(Tabelle5[[#This Row],[value_points]], Tabelle5[[#This Row],[company_id]],Tabelle18[[#This Row],[company_id]], Tabelle5[[#This Row],[value_id]], Tabelle18[[#This Row],[value_id]], Tabelle5[[#This Row],[value_present]],"1")</f>
        <v>0</v>
      </c>
    </row>
    <row r="126" spans="1:5" x14ac:dyDescent="0.25">
      <c r="A126">
        <v>7</v>
      </c>
      <c r="B126" t="s">
        <v>166</v>
      </c>
      <c r="C126" s="4">
        <f>IF(Tabelle18[[#This Row],[binding_level_company]]&gt;=1,1,0)</f>
        <v>0</v>
      </c>
      <c r="D126" s="4">
        <f>_xlfn.MAXIFS(Tabelle5[[#This Row],[binding_level]], Tabelle5[[#This Row],[company_id]],Tabelle18[[#This Row],[company_id]], Tabelle5[[#This Row],[value_id]], Tabelle18[[#This Row],[value_id]], Tabelle5[[#This Row],[value_present]],"1")</f>
        <v>0</v>
      </c>
      <c r="E126" s="4">
        <f>_xlfn.MAXIFS(Tabelle5[[#This Row],[value_points]], Tabelle5[[#This Row],[company_id]],Tabelle18[[#This Row],[company_id]], Tabelle5[[#This Row],[value_id]], Tabelle18[[#This Row],[value_id]], Tabelle5[[#This Row],[value_present]],"1")</f>
        <v>0</v>
      </c>
    </row>
    <row r="127" spans="1:5" ht="15.75" thickBot="1" x14ac:dyDescent="0.3">
      <c r="A127">
        <v>7</v>
      </c>
      <c r="B127" s="30" t="s">
        <v>174</v>
      </c>
      <c r="C127" s="4">
        <f>IF(Tabelle18[[#This Row],[binding_level_company]]&gt;=1,1,0)</f>
        <v>0</v>
      </c>
      <c r="D127" s="4">
        <f>_xlfn.MAXIFS(Tabelle5[[#This Row],[binding_level]], Tabelle5[[#This Row],[company_id]],Tabelle18[[#This Row],[company_id]], Tabelle5[[#This Row],[value_id]], Tabelle18[[#This Row],[value_id]], Tabelle5[[#This Row],[value_present]],"1")</f>
        <v>0</v>
      </c>
      <c r="E127" s="4">
        <f>_xlfn.MAXIFS(Tabelle5[[#This Row],[value_points]], Tabelle5[[#This Row],[company_id]],Tabelle18[[#This Row],[company_id]], Tabelle5[[#This Row],[value_id]], Tabelle18[[#This Row],[value_id]], Tabelle5[[#This Row],[value_present]],"1")</f>
        <v>0</v>
      </c>
    </row>
    <row r="128" spans="1:5" x14ac:dyDescent="0.25">
      <c r="A128">
        <v>8</v>
      </c>
      <c r="B128" s="22" t="s">
        <v>53</v>
      </c>
      <c r="C128" s="4">
        <f>IF(Tabelle18[[#This Row],[binding_level_company]]&gt;=1,1,0)</f>
        <v>0</v>
      </c>
      <c r="D128" s="4">
        <f>_xlfn.MAXIFS(Tabelle5[[#This Row],[binding_level]], Tabelle5[[#This Row],[company_id]],Tabelle18[[#This Row],[company_id]], Tabelle5[[#This Row],[value_id]], Tabelle18[[#This Row],[value_id]], Tabelle5[[#This Row],[value_present]],"1")</f>
        <v>0</v>
      </c>
      <c r="E128" s="4">
        <f>_xlfn.MAXIFS(Tabelle5[[#This Row],[value_points]], Tabelle5[[#This Row],[company_id]],Tabelle18[[#This Row],[company_id]], Tabelle5[[#This Row],[value_id]], Tabelle18[[#This Row],[value_id]], Tabelle5[[#This Row],[value_present]],"1")</f>
        <v>0</v>
      </c>
    </row>
    <row r="129" spans="1:5" x14ac:dyDescent="0.25">
      <c r="A129">
        <v>8</v>
      </c>
      <c r="B129" t="s">
        <v>61</v>
      </c>
      <c r="C129" s="4">
        <f>IF(Tabelle18[[#This Row],[binding_level_company]]&gt;=1,1,0)</f>
        <v>0</v>
      </c>
      <c r="D129" s="4">
        <f>_xlfn.MAXIFS(Tabelle5[[#This Row],[binding_level]], Tabelle5[[#This Row],[company_id]],Tabelle18[[#This Row],[company_id]], Tabelle5[[#This Row],[value_id]], Tabelle18[[#This Row],[value_id]], Tabelle5[[#This Row],[value_present]],"1")</f>
        <v>0</v>
      </c>
      <c r="E129" s="4">
        <f>_xlfn.MAXIFS(Tabelle5[[#This Row],[value_points]], Tabelle5[[#This Row],[company_id]],Tabelle18[[#This Row],[company_id]], Tabelle5[[#This Row],[value_id]], Tabelle18[[#This Row],[value_id]], Tabelle5[[#This Row],[value_present]],"1")</f>
        <v>0</v>
      </c>
    </row>
    <row r="130" spans="1:5" x14ac:dyDescent="0.25">
      <c r="A130">
        <v>8</v>
      </c>
      <c r="B130" t="s">
        <v>69</v>
      </c>
      <c r="C130" s="4">
        <f>IF(Tabelle18[[#This Row],[binding_level_company]]&gt;=1,1,0)</f>
        <v>0</v>
      </c>
      <c r="D130" s="4">
        <f>_xlfn.MAXIFS(Tabelle5[[#This Row],[binding_level]], Tabelle5[[#This Row],[company_id]],Tabelle18[[#This Row],[company_id]], Tabelle5[[#This Row],[value_id]], Tabelle18[[#This Row],[value_id]], Tabelle5[[#This Row],[value_present]],"1")</f>
        <v>0</v>
      </c>
      <c r="E130" s="4">
        <f>_xlfn.MAXIFS(Tabelle5[[#This Row],[value_points]], Tabelle5[[#This Row],[company_id]],Tabelle18[[#This Row],[company_id]], Tabelle5[[#This Row],[value_id]], Tabelle18[[#This Row],[value_id]], Tabelle5[[#This Row],[value_present]],"1")</f>
        <v>0</v>
      </c>
    </row>
    <row r="131" spans="1:5" x14ac:dyDescent="0.25">
      <c r="A131">
        <v>8</v>
      </c>
      <c r="B131" t="s">
        <v>76</v>
      </c>
      <c r="C131" s="4">
        <f>IF(Tabelle18[[#This Row],[binding_level_company]]&gt;=1,1,0)</f>
        <v>0</v>
      </c>
      <c r="D131" s="4">
        <f>_xlfn.MAXIFS(Tabelle5[[#This Row],[binding_level]], Tabelle5[[#This Row],[company_id]],Tabelle18[[#This Row],[company_id]], Tabelle5[[#This Row],[value_id]], Tabelle18[[#This Row],[value_id]], Tabelle5[[#This Row],[value_present]],"1")</f>
        <v>0</v>
      </c>
      <c r="E131" s="4">
        <f>_xlfn.MAXIFS(Tabelle5[[#This Row],[value_points]], Tabelle5[[#This Row],[company_id]],Tabelle18[[#This Row],[company_id]], Tabelle5[[#This Row],[value_id]], Tabelle18[[#This Row],[value_id]], Tabelle5[[#This Row],[value_present]],"1")</f>
        <v>0</v>
      </c>
    </row>
    <row r="132" spans="1:5" x14ac:dyDescent="0.25">
      <c r="A132">
        <v>8</v>
      </c>
      <c r="B132" t="s">
        <v>83</v>
      </c>
      <c r="C132" s="4">
        <f>IF(Tabelle18[[#This Row],[binding_level_company]]&gt;=1,1,0)</f>
        <v>0</v>
      </c>
      <c r="D132" s="4">
        <f>_xlfn.MAXIFS(Tabelle5[[#This Row],[binding_level]], Tabelle5[[#This Row],[company_id]],Tabelle18[[#This Row],[company_id]], Tabelle5[[#This Row],[value_id]], Tabelle18[[#This Row],[value_id]], Tabelle5[[#This Row],[value_present]],"1")</f>
        <v>0</v>
      </c>
      <c r="E132" s="4">
        <f>_xlfn.MAXIFS(Tabelle5[[#This Row],[value_points]], Tabelle5[[#This Row],[company_id]],Tabelle18[[#This Row],[company_id]], Tabelle5[[#This Row],[value_id]], Tabelle18[[#This Row],[value_id]], Tabelle5[[#This Row],[value_present]],"1")</f>
        <v>0</v>
      </c>
    </row>
    <row r="133" spans="1:5" x14ac:dyDescent="0.25">
      <c r="A133">
        <v>8</v>
      </c>
      <c r="B133" t="s">
        <v>90</v>
      </c>
      <c r="C133" s="4">
        <f>IF(Tabelle18[[#This Row],[binding_level_company]]&gt;=1,1,0)</f>
        <v>0</v>
      </c>
      <c r="D133" s="4">
        <f>_xlfn.MAXIFS(Tabelle5[[#This Row],[binding_level]], Tabelle5[[#This Row],[company_id]],Tabelle18[[#This Row],[company_id]], Tabelle5[[#This Row],[value_id]], Tabelle18[[#This Row],[value_id]], Tabelle5[[#This Row],[value_present]],"1")</f>
        <v>0</v>
      </c>
      <c r="E133" s="4">
        <f>_xlfn.MAXIFS(Tabelle5[[#This Row],[value_points]], Tabelle5[[#This Row],[company_id]],Tabelle18[[#This Row],[company_id]], Tabelle5[[#This Row],[value_id]], Tabelle18[[#This Row],[value_id]], Tabelle5[[#This Row],[value_present]],"1")</f>
        <v>0</v>
      </c>
    </row>
    <row r="134" spans="1:5" x14ac:dyDescent="0.25">
      <c r="A134">
        <v>8</v>
      </c>
      <c r="B134" t="s">
        <v>98</v>
      </c>
      <c r="C134" s="4">
        <f>IF(Tabelle18[[#This Row],[binding_level_company]]&gt;=1,1,0)</f>
        <v>0</v>
      </c>
      <c r="D134" s="4">
        <f>_xlfn.MAXIFS(Tabelle5[[#This Row],[binding_level]], Tabelle5[[#This Row],[company_id]],Tabelle18[[#This Row],[company_id]], Tabelle5[[#This Row],[value_id]], Tabelle18[[#This Row],[value_id]], Tabelle5[[#This Row],[value_present]],"1")</f>
        <v>0</v>
      </c>
      <c r="E134" s="4">
        <f>_xlfn.MAXIFS(Tabelle5[[#This Row],[value_points]], Tabelle5[[#This Row],[company_id]],Tabelle18[[#This Row],[company_id]], Tabelle5[[#This Row],[value_id]], Tabelle18[[#This Row],[value_id]], Tabelle5[[#This Row],[value_present]],"1")</f>
        <v>0</v>
      </c>
    </row>
    <row r="135" spans="1:5" x14ac:dyDescent="0.25">
      <c r="A135">
        <v>8</v>
      </c>
      <c r="B135" t="s">
        <v>106</v>
      </c>
      <c r="C135" s="4">
        <f>IF(Tabelle18[[#This Row],[binding_level_company]]&gt;=1,1,0)</f>
        <v>0</v>
      </c>
      <c r="D135" s="4">
        <f>_xlfn.MAXIFS(Tabelle5[[#This Row],[binding_level]], Tabelle5[[#This Row],[company_id]],Tabelle18[[#This Row],[company_id]], Tabelle5[[#This Row],[value_id]], Tabelle18[[#This Row],[value_id]], Tabelle5[[#This Row],[value_present]],"1")</f>
        <v>0</v>
      </c>
      <c r="E135" s="4">
        <f>_xlfn.MAXIFS(Tabelle5[[#This Row],[value_points]], Tabelle5[[#This Row],[company_id]],Tabelle18[[#This Row],[company_id]], Tabelle5[[#This Row],[value_id]], Tabelle18[[#This Row],[value_id]], Tabelle5[[#This Row],[value_present]],"1")</f>
        <v>0</v>
      </c>
    </row>
    <row r="136" spans="1:5" x14ac:dyDescent="0.25">
      <c r="A136">
        <v>8</v>
      </c>
      <c r="B136" t="s">
        <v>112</v>
      </c>
      <c r="C136" s="4">
        <f>IF(Tabelle18[[#This Row],[binding_level_company]]&gt;=1,1,0)</f>
        <v>0</v>
      </c>
      <c r="D136" s="4">
        <f>_xlfn.MAXIFS(Tabelle5[[#This Row],[binding_level]], Tabelle5[[#This Row],[company_id]],Tabelle18[[#This Row],[company_id]], Tabelle5[[#This Row],[value_id]], Tabelle18[[#This Row],[value_id]], Tabelle5[[#This Row],[value_present]],"1")</f>
        <v>0</v>
      </c>
      <c r="E136" s="4">
        <f>_xlfn.MAXIFS(Tabelle5[[#This Row],[value_points]], Tabelle5[[#This Row],[company_id]],Tabelle18[[#This Row],[company_id]], Tabelle5[[#This Row],[value_id]], Tabelle18[[#This Row],[value_id]], Tabelle5[[#This Row],[value_present]],"1")</f>
        <v>0</v>
      </c>
    </row>
    <row r="137" spans="1:5" x14ac:dyDescent="0.25">
      <c r="A137">
        <v>8</v>
      </c>
      <c r="B137" t="s">
        <v>118</v>
      </c>
      <c r="C137" s="4">
        <f>IF(Tabelle18[[#This Row],[binding_level_company]]&gt;=1,1,0)</f>
        <v>0</v>
      </c>
      <c r="D137" s="4">
        <f>_xlfn.MAXIFS(Tabelle5[[#This Row],[binding_level]], Tabelle5[[#This Row],[company_id]],Tabelle18[[#This Row],[company_id]], Tabelle5[[#This Row],[value_id]], Tabelle18[[#This Row],[value_id]], Tabelle5[[#This Row],[value_present]],"1")</f>
        <v>0</v>
      </c>
      <c r="E137" s="4">
        <f>_xlfn.MAXIFS(Tabelle5[[#This Row],[value_points]], Tabelle5[[#This Row],[company_id]],Tabelle18[[#This Row],[company_id]], Tabelle5[[#This Row],[value_id]], Tabelle18[[#This Row],[value_id]], Tabelle5[[#This Row],[value_present]],"1")</f>
        <v>0</v>
      </c>
    </row>
    <row r="138" spans="1:5" x14ac:dyDescent="0.25">
      <c r="A138">
        <v>8</v>
      </c>
      <c r="B138" t="s">
        <v>125</v>
      </c>
      <c r="C138" s="4">
        <f>IF(Tabelle18[[#This Row],[binding_level_company]]&gt;=1,1,0)</f>
        <v>0</v>
      </c>
      <c r="D138" s="4">
        <f>_xlfn.MAXIFS(Tabelle5[[#This Row],[binding_level]], Tabelle5[[#This Row],[company_id]],Tabelle18[[#This Row],[company_id]], Tabelle5[[#This Row],[value_id]], Tabelle18[[#This Row],[value_id]], Tabelle5[[#This Row],[value_present]],"1")</f>
        <v>0</v>
      </c>
      <c r="E138" s="4">
        <f>_xlfn.MAXIFS(Tabelle5[[#This Row],[value_points]], Tabelle5[[#This Row],[company_id]],Tabelle18[[#This Row],[company_id]], Tabelle5[[#This Row],[value_id]], Tabelle18[[#This Row],[value_id]], Tabelle5[[#This Row],[value_present]],"1")</f>
        <v>0</v>
      </c>
    </row>
    <row r="139" spans="1:5" x14ac:dyDescent="0.25">
      <c r="A139">
        <v>8</v>
      </c>
      <c r="B139" t="s">
        <v>132</v>
      </c>
      <c r="C139" s="4">
        <f>IF(Tabelle18[[#This Row],[binding_level_company]]&gt;=1,1,0)</f>
        <v>0</v>
      </c>
      <c r="D139" s="4">
        <f>_xlfn.MAXIFS(Tabelle5[[#This Row],[binding_level]], Tabelle5[[#This Row],[company_id]],Tabelle18[[#This Row],[company_id]], Tabelle5[[#This Row],[value_id]], Tabelle18[[#This Row],[value_id]], Tabelle5[[#This Row],[value_present]],"1")</f>
        <v>0</v>
      </c>
      <c r="E139" s="4">
        <f>_xlfn.MAXIFS(Tabelle5[[#This Row],[value_points]], Tabelle5[[#This Row],[company_id]],Tabelle18[[#This Row],[company_id]], Tabelle5[[#This Row],[value_id]], Tabelle18[[#This Row],[value_id]], Tabelle5[[#This Row],[value_present]],"1")</f>
        <v>0</v>
      </c>
    </row>
    <row r="140" spans="1:5" x14ac:dyDescent="0.25">
      <c r="A140">
        <v>8</v>
      </c>
      <c r="B140" t="s">
        <v>140</v>
      </c>
      <c r="C140" s="4">
        <f>IF(Tabelle18[[#This Row],[binding_level_company]]&gt;=1,1,0)</f>
        <v>0</v>
      </c>
      <c r="D140" s="4">
        <f>_xlfn.MAXIFS(Tabelle5[[#This Row],[binding_level]], Tabelle5[[#This Row],[company_id]],Tabelle18[[#This Row],[company_id]], Tabelle5[[#This Row],[value_id]], Tabelle18[[#This Row],[value_id]], Tabelle5[[#This Row],[value_present]],"1")</f>
        <v>0</v>
      </c>
      <c r="E140" s="4">
        <f>_xlfn.MAXIFS(Tabelle5[[#This Row],[value_points]], Tabelle5[[#This Row],[company_id]],Tabelle18[[#This Row],[company_id]], Tabelle5[[#This Row],[value_id]], Tabelle18[[#This Row],[value_id]], Tabelle5[[#This Row],[value_present]],"1")</f>
        <v>0</v>
      </c>
    </row>
    <row r="141" spans="1:5" x14ac:dyDescent="0.25">
      <c r="A141">
        <v>8</v>
      </c>
      <c r="B141" t="s">
        <v>147</v>
      </c>
      <c r="C141" s="4">
        <f>IF(Tabelle18[[#This Row],[binding_level_company]]&gt;=1,1,0)</f>
        <v>0</v>
      </c>
      <c r="D141" s="4">
        <f>_xlfn.MAXIFS(Tabelle5[[#This Row],[binding_level]], Tabelle5[[#This Row],[company_id]],Tabelle18[[#This Row],[company_id]], Tabelle5[[#This Row],[value_id]], Tabelle18[[#This Row],[value_id]], Tabelle5[[#This Row],[value_present]],"1")</f>
        <v>0</v>
      </c>
      <c r="E141" s="4">
        <f>_xlfn.MAXIFS(Tabelle5[[#This Row],[value_points]], Tabelle5[[#This Row],[company_id]],Tabelle18[[#This Row],[company_id]], Tabelle5[[#This Row],[value_id]], Tabelle18[[#This Row],[value_id]], Tabelle5[[#This Row],[value_present]],"1")</f>
        <v>0</v>
      </c>
    </row>
    <row r="142" spans="1:5" x14ac:dyDescent="0.25">
      <c r="A142">
        <v>8</v>
      </c>
      <c r="B142" t="s">
        <v>154</v>
      </c>
      <c r="C142" s="4">
        <f>IF(Tabelle18[[#This Row],[binding_level_company]]&gt;=1,1,0)</f>
        <v>0</v>
      </c>
      <c r="D142" s="4">
        <f>_xlfn.MAXIFS(Tabelle5[[#This Row],[binding_level]], Tabelle5[[#This Row],[company_id]],Tabelle18[[#This Row],[company_id]], Tabelle5[[#This Row],[value_id]], Tabelle18[[#This Row],[value_id]], Tabelle5[[#This Row],[value_present]],"1")</f>
        <v>0</v>
      </c>
      <c r="E142" s="4">
        <f>_xlfn.MAXIFS(Tabelle5[[#This Row],[value_points]], Tabelle5[[#This Row],[company_id]],Tabelle18[[#This Row],[company_id]], Tabelle5[[#This Row],[value_id]], Tabelle18[[#This Row],[value_id]], Tabelle5[[#This Row],[value_present]],"1")</f>
        <v>0</v>
      </c>
    </row>
    <row r="143" spans="1:5" x14ac:dyDescent="0.25">
      <c r="A143">
        <v>8</v>
      </c>
      <c r="B143" t="s">
        <v>161</v>
      </c>
      <c r="C143" s="4">
        <f>IF(Tabelle18[[#This Row],[binding_level_company]]&gt;=1,1,0)</f>
        <v>0</v>
      </c>
      <c r="D143" s="4">
        <f>_xlfn.MAXIFS(Tabelle5[[#This Row],[binding_level]], Tabelle5[[#This Row],[company_id]],Tabelle18[[#This Row],[company_id]], Tabelle5[[#This Row],[value_id]], Tabelle18[[#This Row],[value_id]], Tabelle5[[#This Row],[value_present]],"1")</f>
        <v>0</v>
      </c>
      <c r="E143" s="4">
        <f>_xlfn.MAXIFS(Tabelle5[[#This Row],[value_points]], Tabelle5[[#This Row],[company_id]],Tabelle18[[#This Row],[company_id]], Tabelle5[[#This Row],[value_id]], Tabelle18[[#This Row],[value_id]], Tabelle5[[#This Row],[value_present]],"1")</f>
        <v>0</v>
      </c>
    </row>
    <row r="144" spans="1:5" x14ac:dyDescent="0.25">
      <c r="A144">
        <v>8</v>
      </c>
      <c r="B144" t="s">
        <v>166</v>
      </c>
      <c r="C144" s="4">
        <f>IF(Tabelle18[[#This Row],[binding_level_company]]&gt;=1,1,0)</f>
        <v>0</v>
      </c>
      <c r="D144" s="4">
        <f>_xlfn.MAXIFS(Tabelle5[[#This Row],[binding_level]], Tabelle5[[#This Row],[company_id]],Tabelle18[[#This Row],[company_id]], Tabelle5[[#This Row],[value_id]], Tabelle18[[#This Row],[value_id]], Tabelle5[[#This Row],[value_present]],"1")</f>
        <v>0</v>
      </c>
      <c r="E144" s="4">
        <f>_xlfn.MAXIFS(Tabelle5[[#This Row],[value_points]], Tabelle5[[#This Row],[company_id]],Tabelle18[[#This Row],[company_id]], Tabelle5[[#This Row],[value_id]], Tabelle18[[#This Row],[value_id]], Tabelle5[[#This Row],[value_present]],"1")</f>
        <v>0</v>
      </c>
    </row>
    <row r="145" spans="1:5" ht="15.75" thickBot="1" x14ac:dyDescent="0.3">
      <c r="A145">
        <v>8</v>
      </c>
      <c r="B145" s="30" t="s">
        <v>174</v>
      </c>
      <c r="C145" s="4">
        <f>IF(Tabelle18[[#This Row],[binding_level_company]]&gt;=1,1,0)</f>
        <v>0</v>
      </c>
      <c r="D145" s="4">
        <f>_xlfn.MAXIFS(Tabelle5[[#This Row],[binding_level]], Tabelle5[[#This Row],[company_id]],Tabelle18[[#This Row],[company_id]], Tabelle5[[#This Row],[value_id]], Tabelle18[[#This Row],[value_id]], Tabelle5[[#This Row],[value_present]],"1")</f>
        <v>0</v>
      </c>
      <c r="E145" s="4">
        <f>_xlfn.MAXIFS(Tabelle5[[#This Row],[value_points]], Tabelle5[[#This Row],[company_id]],Tabelle18[[#This Row],[company_id]], Tabelle5[[#This Row],[value_id]], Tabelle18[[#This Row],[value_id]], Tabelle5[[#This Row],[value_present]],"1")</f>
        <v>0</v>
      </c>
    </row>
    <row r="146" spans="1:5" x14ac:dyDescent="0.25">
      <c r="A146">
        <v>9</v>
      </c>
      <c r="B146" s="22" t="s">
        <v>53</v>
      </c>
      <c r="C146" s="4">
        <f>IF(Tabelle18[[#This Row],[binding_level_company]]&gt;=1,1,0)</f>
        <v>0</v>
      </c>
      <c r="D146" s="4">
        <f>_xlfn.MAXIFS(Tabelle5[[#This Row],[binding_level]], Tabelle5[[#This Row],[company_id]],Tabelle18[[#This Row],[company_id]], Tabelle5[[#This Row],[value_id]], Tabelle18[[#This Row],[value_id]], Tabelle5[[#This Row],[value_present]],"1")</f>
        <v>0</v>
      </c>
      <c r="E146" s="4">
        <f>_xlfn.MAXIFS(Tabelle5[[#This Row],[value_points]], Tabelle5[[#This Row],[company_id]],Tabelle18[[#This Row],[company_id]], Tabelle5[[#This Row],[value_id]], Tabelle18[[#This Row],[value_id]], Tabelle5[[#This Row],[value_present]],"1")</f>
        <v>0</v>
      </c>
    </row>
    <row r="147" spans="1:5" x14ac:dyDescent="0.25">
      <c r="A147">
        <v>9</v>
      </c>
      <c r="B147" t="s">
        <v>61</v>
      </c>
      <c r="C147" s="4">
        <f>IF(Tabelle18[[#This Row],[binding_level_company]]&gt;=1,1,0)</f>
        <v>0</v>
      </c>
      <c r="D147" s="4">
        <f>_xlfn.MAXIFS(Tabelle5[[#This Row],[binding_level]], Tabelle5[[#This Row],[company_id]],Tabelle18[[#This Row],[company_id]], Tabelle5[[#This Row],[value_id]], Tabelle18[[#This Row],[value_id]], Tabelle5[[#This Row],[value_present]],"1")</f>
        <v>0</v>
      </c>
      <c r="E147" s="4">
        <f>_xlfn.MAXIFS(Tabelle5[[#This Row],[value_points]], Tabelle5[[#This Row],[company_id]],Tabelle18[[#This Row],[company_id]], Tabelle5[[#This Row],[value_id]], Tabelle18[[#This Row],[value_id]], Tabelle5[[#This Row],[value_present]],"1")</f>
        <v>0</v>
      </c>
    </row>
    <row r="148" spans="1:5" x14ac:dyDescent="0.25">
      <c r="A148">
        <v>9</v>
      </c>
      <c r="B148" t="s">
        <v>69</v>
      </c>
      <c r="C148" s="4">
        <f>IF(Tabelle18[[#This Row],[binding_level_company]]&gt;=1,1,0)</f>
        <v>0</v>
      </c>
      <c r="D148" s="4">
        <f>_xlfn.MAXIFS(Tabelle5[[#This Row],[binding_level]], Tabelle5[[#This Row],[company_id]],Tabelle18[[#This Row],[company_id]], Tabelle5[[#This Row],[value_id]], Tabelle18[[#This Row],[value_id]], Tabelle5[[#This Row],[value_present]],"1")</f>
        <v>0</v>
      </c>
      <c r="E148" s="4">
        <f>_xlfn.MAXIFS(Tabelle5[[#This Row],[value_points]], Tabelle5[[#This Row],[company_id]],Tabelle18[[#This Row],[company_id]], Tabelle5[[#This Row],[value_id]], Tabelle18[[#This Row],[value_id]], Tabelle5[[#This Row],[value_present]],"1")</f>
        <v>0</v>
      </c>
    </row>
    <row r="149" spans="1:5" x14ac:dyDescent="0.25">
      <c r="A149">
        <v>9</v>
      </c>
      <c r="B149" t="s">
        <v>76</v>
      </c>
      <c r="C149" s="4">
        <f>IF(Tabelle18[[#This Row],[binding_level_company]]&gt;=1,1,0)</f>
        <v>0</v>
      </c>
      <c r="D149" s="4">
        <f>_xlfn.MAXIFS(Tabelle5[[#This Row],[binding_level]], Tabelle5[[#This Row],[company_id]],Tabelle18[[#This Row],[company_id]], Tabelle5[[#This Row],[value_id]], Tabelle18[[#This Row],[value_id]], Tabelle5[[#This Row],[value_present]],"1")</f>
        <v>0</v>
      </c>
      <c r="E149" s="4">
        <f>_xlfn.MAXIFS(Tabelle5[[#This Row],[value_points]], Tabelle5[[#This Row],[company_id]],Tabelle18[[#This Row],[company_id]], Tabelle5[[#This Row],[value_id]], Tabelle18[[#This Row],[value_id]], Tabelle5[[#This Row],[value_present]],"1")</f>
        <v>0</v>
      </c>
    </row>
    <row r="150" spans="1:5" x14ac:dyDescent="0.25">
      <c r="A150">
        <v>9</v>
      </c>
      <c r="B150" t="s">
        <v>83</v>
      </c>
      <c r="C150" s="4">
        <f>IF(Tabelle18[[#This Row],[binding_level_company]]&gt;=1,1,0)</f>
        <v>0</v>
      </c>
      <c r="D150" s="4">
        <f>_xlfn.MAXIFS(Tabelle5[[#This Row],[binding_level]], Tabelle5[[#This Row],[company_id]],Tabelle18[[#This Row],[company_id]], Tabelle5[[#This Row],[value_id]], Tabelle18[[#This Row],[value_id]], Tabelle5[[#This Row],[value_present]],"1")</f>
        <v>0</v>
      </c>
      <c r="E150" s="4">
        <f>_xlfn.MAXIFS(Tabelle5[[#This Row],[value_points]], Tabelle5[[#This Row],[company_id]],Tabelle18[[#This Row],[company_id]], Tabelle5[[#This Row],[value_id]], Tabelle18[[#This Row],[value_id]], Tabelle5[[#This Row],[value_present]],"1")</f>
        <v>0</v>
      </c>
    </row>
    <row r="151" spans="1:5" x14ac:dyDescent="0.25">
      <c r="A151">
        <v>9</v>
      </c>
      <c r="B151" t="s">
        <v>90</v>
      </c>
      <c r="C151" s="4">
        <f>IF(Tabelle18[[#This Row],[binding_level_company]]&gt;=1,1,0)</f>
        <v>0</v>
      </c>
      <c r="D151" s="4">
        <f>_xlfn.MAXIFS(Tabelle5[[#This Row],[binding_level]], Tabelle5[[#This Row],[company_id]],Tabelle18[[#This Row],[company_id]], Tabelle5[[#This Row],[value_id]], Tabelle18[[#This Row],[value_id]], Tabelle5[[#This Row],[value_present]],"1")</f>
        <v>0</v>
      </c>
      <c r="E151" s="4">
        <f>_xlfn.MAXIFS(Tabelle5[[#This Row],[value_points]], Tabelle5[[#This Row],[company_id]],Tabelle18[[#This Row],[company_id]], Tabelle5[[#This Row],[value_id]], Tabelle18[[#This Row],[value_id]], Tabelle5[[#This Row],[value_present]],"1")</f>
        <v>0</v>
      </c>
    </row>
    <row r="152" spans="1:5" x14ac:dyDescent="0.25">
      <c r="A152">
        <v>9</v>
      </c>
      <c r="B152" t="s">
        <v>98</v>
      </c>
      <c r="C152" s="4">
        <f>IF(Tabelle18[[#This Row],[binding_level_company]]&gt;=1,1,0)</f>
        <v>0</v>
      </c>
      <c r="D152" s="4">
        <f>_xlfn.MAXIFS(Tabelle5[[#This Row],[binding_level]], Tabelle5[[#This Row],[company_id]],Tabelle18[[#This Row],[company_id]], Tabelle5[[#This Row],[value_id]], Tabelle18[[#This Row],[value_id]], Tabelle5[[#This Row],[value_present]],"1")</f>
        <v>0</v>
      </c>
      <c r="E152" s="4">
        <f>_xlfn.MAXIFS(Tabelle5[[#This Row],[value_points]], Tabelle5[[#This Row],[company_id]],Tabelle18[[#This Row],[company_id]], Tabelle5[[#This Row],[value_id]], Tabelle18[[#This Row],[value_id]], Tabelle5[[#This Row],[value_present]],"1")</f>
        <v>0</v>
      </c>
    </row>
    <row r="153" spans="1:5" x14ac:dyDescent="0.25">
      <c r="A153">
        <v>9</v>
      </c>
      <c r="B153" t="s">
        <v>106</v>
      </c>
      <c r="C153" s="4">
        <f>IF(Tabelle18[[#This Row],[binding_level_company]]&gt;=1,1,0)</f>
        <v>0</v>
      </c>
      <c r="D153" s="4">
        <f>_xlfn.MAXIFS(Tabelle5[[#This Row],[binding_level]], Tabelle5[[#This Row],[company_id]],Tabelle18[[#This Row],[company_id]], Tabelle5[[#This Row],[value_id]], Tabelle18[[#This Row],[value_id]], Tabelle5[[#This Row],[value_present]],"1")</f>
        <v>0</v>
      </c>
      <c r="E153" s="4">
        <f>_xlfn.MAXIFS(Tabelle5[[#This Row],[value_points]], Tabelle5[[#This Row],[company_id]],Tabelle18[[#This Row],[company_id]], Tabelle5[[#This Row],[value_id]], Tabelle18[[#This Row],[value_id]], Tabelle5[[#This Row],[value_present]],"1")</f>
        <v>0</v>
      </c>
    </row>
    <row r="154" spans="1:5" x14ac:dyDescent="0.25">
      <c r="A154">
        <v>9</v>
      </c>
      <c r="B154" t="s">
        <v>112</v>
      </c>
      <c r="C154" s="4">
        <f>IF(Tabelle18[[#This Row],[binding_level_company]]&gt;=1,1,0)</f>
        <v>0</v>
      </c>
      <c r="D154" s="4">
        <f>_xlfn.MAXIFS(Tabelle5[[#This Row],[binding_level]], Tabelle5[[#This Row],[company_id]],Tabelle18[[#This Row],[company_id]], Tabelle5[[#This Row],[value_id]], Tabelle18[[#This Row],[value_id]], Tabelle5[[#This Row],[value_present]],"1")</f>
        <v>0</v>
      </c>
      <c r="E154" s="4">
        <f>_xlfn.MAXIFS(Tabelle5[[#This Row],[value_points]], Tabelle5[[#This Row],[company_id]],Tabelle18[[#This Row],[company_id]], Tabelle5[[#This Row],[value_id]], Tabelle18[[#This Row],[value_id]], Tabelle5[[#This Row],[value_present]],"1")</f>
        <v>0</v>
      </c>
    </row>
    <row r="155" spans="1:5" x14ac:dyDescent="0.25">
      <c r="A155">
        <v>9</v>
      </c>
      <c r="B155" t="s">
        <v>118</v>
      </c>
      <c r="C155" s="4">
        <f>IF(Tabelle18[[#This Row],[binding_level_company]]&gt;=1,1,0)</f>
        <v>0</v>
      </c>
      <c r="D155" s="4">
        <f>_xlfn.MAXIFS(Tabelle5[[#This Row],[binding_level]], Tabelle5[[#This Row],[company_id]],Tabelle18[[#This Row],[company_id]], Tabelle5[[#This Row],[value_id]], Tabelle18[[#This Row],[value_id]], Tabelle5[[#This Row],[value_present]],"1")</f>
        <v>0</v>
      </c>
      <c r="E155" s="4">
        <f>_xlfn.MAXIFS(Tabelle5[[#This Row],[value_points]], Tabelle5[[#This Row],[company_id]],Tabelle18[[#This Row],[company_id]], Tabelle5[[#This Row],[value_id]], Tabelle18[[#This Row],[value_id]], Tabelle5[[#This Row],[value_present]],"1")</f>
        <v>0</v>
      </c>
    </row>
    <row r="156" spans="1:5" x14ac:dyDescent="0.25">
      <c r="A156">
        <v>9</v>
      </c>
      <c r="B156" t="s">
        <v>125</v>
      </c>
      <c r="C156" s="4">
        <f>IF(Tabelle18[[#This Row],[binding_level_company]]&gt;=1,1,0)</f>
        <v>0</v>
      </c>
      <c r="D156" s="4">
        <f>_xlfn.MAXIFS(Tabelle5[[#This Row],[binding_level]], Tabelle5[[#This Row],[company_id]],Tabelle18[[#This Row],[company_id]], Tabelle5[[#This Row],[value_id]], Tabelle18[[#This Row],[value_id]], Tabelle5[[#This Row],[value_present]],"1")</f>
        <v>0</v>
      </c>
      <c r="E156" s="4">
        <f>_xlfn.MAXIFS(Tabelle5[[#This Row],[value_points]], Tabelle5[[#This Row],[company_id]],Tabelle18[[#This Row],[company_id]], Tabelle5[[#This Row],[value_id]], Tabelle18[[#This Row],[value_id]], Tabelle5[[#This Row],[value_present]],"1")</f>
        <v>0</v>
      </c>
    </row>
    <row r="157" spans="1:5" x14ac:dyDescent="0.25">
      <c r="A157">
        <v>9</v>
      </c>
      <c r="B157" t="s">
        <v>132</v>
      </c>
      <c r="C157" s="4">
        <f>IF(Tabelle18[[#This Row],[binding_level_company]]&gt;=1,1,0)</f>
        <v>0</v>
      </c>
      <c r="D157" s="4">
        <f>_xlfn.MAXIFS(Tabelle5[[#This Row],[binding_level]], Tabelle5[[#This Row],[company_id]],Tabelle18[[#This Row],[company_id]], Tabelle5[[#This Row],[value_id]], Tabelle18[[#This Row],[value_id]], Tabelle5[[#This Row],[value_present]],"1")</f>
        <v>0</v>
      </c>
      <c r="E157" s="4">
        <f>_xlfn.MAXIFS(Tabelle5[[#This Row],[value_points]], Tabelle5[[#This Row],[company_id]],Tabelle18[[#This Row],[company_id]], Tabelle5[[#This Row],[value_id]], Tabelle18[[#This Row],[value_id]], Tabelle5[[#This Row],[value_present]],"1")</f>
        <v>0</v>
      </c>
    </row>
    <row r="158" spans="1:5" x14ac:dyDescent="0.25">
      <c r="A158">
        <v>9</v>
      </c>
      <c r="B158" t="s">
        <v>140</v>
      </c>
      <c r="C158" s="4">
        <f>IF(Tabelle18[[#This Row],[binding_level_company]]&gt;=1,1,0)</f>
        <v>0</v>
      </c>
      <c r="D158" s="4">
        <f>_xlfn.MAXIFS(Tabelle5[[#This Row],[binding_level]], Tabelle5[[#This Row],[company_id]],Tabelle18[[#This Row],[company_id]], Tabelle5[[#This Row],[value_id]], Tabelle18[[#This Row],[value_id]], Tabelle5[[#This Row],[value_present]],"1")</f>
        <v>0</v>
      </c>
      <c r="E158" s="4">
        <f>_xlfn.MAXIFS(Tabelle5[[#This Row],[value_points]], Tabelle5[[#This Row],[company_id]],Tabelle18[[#This Row],[company_id]], Tabelle5[[#This Row],[value_id]], Tabelle18[[#This Row],[value_id]], Tabelle5[[#This Row],[value_present]],"1")</f>
        <v>0</v>
      </c>
    </row>
    <row r="159" spans="1:5" x14ac:dyDescent="0.25">
      <c r="A159">
        <v>9</v>
      </c>
      <c r="B159" t="s">
        <v>147</v>
      </c>
      <c r="C159" s="4">
        <f>IF(Tabelle18[[#This Row],[binding_level_company]]&gt;=1,1,0)</f>
        <v>0</v>
      </c>
      <c r="D159" s="4">
        <f>_xlfn.MAXIFS(Tabelle5[[#This Row],[binding_level]], Tabelle5[[#This Row],[company_id]],Tabelle18[[#This Row],[company_id]], Tabelle5[[#This Row],[value_id]], Tabelle18[[#This Row],[value_id]], Tabelle5[[#This Row],[value_present]],"1")</f>
        <v>0</v>
      </c>
      <c r="E159" s="4">
        <f>_xlfn.MAXIFS(Tabelle5[[#This Row],[value_points]], Tabelle5[[#This Row],[company_id]],Tabelle18[[#This Row],[company_id]], Tabelle5[[#This Row],[value_id]], Tabelle18[[#This Row],[value_id]], Tabelle5[[#This Row],[value_present]],"1")</f>
        <v>0</v>
      </c>
    </row>
    <row r="160" spans="1:5" x14ac:dyDescent="0.25">
      <c r="A160">
        <v>9</v>
      </c>
      <c r="B160" t="s">
        <v>154</v>
      </c>
      <c r="C160" s="4">
        <f>IF(Tabelle18[[#This Row],[binding_level_company]]&gt;=1,1,0)</f>
        <v>0</v>
      </c>
      <c r="D160" s="4">
        <f>_xlfn.MAXIFS(Tabelle5[[#This Row],[binding_level]], Tabelle5[[#This Row],[company_id]],Tabelle18[[#This Row],[company_id]], Tabelle5[[#This Row],[value_id]], Tabelle18[[#This Row],[value_id]], Tabelle5[[#This Row],[value_present]],"1")</f>
        <v>0</v>
      </c>
      <c r="E160" s="4">
        <f>_xlfn.MAXIFS(Tabelle5[[#This Row],[value_points]], Tabelle5[[#This Row],[company_id]],Tabelle18[[#This Row],[company_id]], Tabelle5[[#This Row],[value_id]], Tabelle18[[#This Row],[value_id]], Tabelle5[[#This Row],[value_present]],"1")</f>
        <v>0</v>
      </c>
    </row>
    <row r="161" spans="1:5" x14ac:dyDescent="0.25">
      <c r="A161">
        <v>9</v>
      </c>
      <c r="B161" t="s">
        <v>161</v>
      </c>
      <c r="C161" s="4">
        <f>IF(Tabelle18[[#This Row],[binding_level_company]]&gt;=1,1,0)</f>
        <v>0</v>
      </c>
      <c r="D161" s="4">
        <f>_xlfn.MAXIFS(Tabelle5[[#This Row],[binding_level]], Tabelle5[[#This Row],[company_id]],Tabelle18[[#This Row],[company_id]], Tabelle5[[#This Row],[value_id]], Tabelle18[[#This Row],[value_id]], Tabelle5[[#This Row],[value_present]],"1")</f>
        <v>0</v>
      </c>
      <c r="E161" s="4">
        <f>_xlfn.MAXIFS(Tabelle5[[#This Row],[value_points]], Tabelle5[[#This Row],[company_id]],Tabelle18[[#This Row],[company_id]], Tabelle5[[#This Row],[value_id]], Tabelle18[[#This Row],[value_id]], Tabelle5[[#This Row],[value_present]],"1")</f>
        <v>0</v>
      </c>
    </row>
    <row r="162" spans="1:5" x14ac:dyDescent="0.25">
      <c r="A162">
        <v>9</v>
      </c>
      <c r="B162" t="s">
        <v>166</v>
      </c>
      <c r="C162" s="4">
        <f>IF(Tabelle18[[#This Row],[binding_level_company]]&gt;=1,1,0)</f>
        <v>0</v>
      </c>
      <c r="D162" s="4">
        <f>_xlfn.MAXIFS(Tabelle5[[#This Row],[binding_level]], Tabelle5[[#This Row],[company_id]],Tabelle18[[#This Row],[company_id]], Tabelle5[[#This Row],[value_id]], Tabelle18[[#This Row],[value_id]], Tabelle5[[#This Row],[value_present]],"1")</f>
        <v>0</v>
      </c>
      <c r="E162" s="4">
        <f>_xlfn.MAXIFS(Tabelle5[[#This Row],[value_points]], Tabelle5[[#This Row],[company_id]],Tabelle18[[#This Row],[company_id]], Tabelle5[[#This Row],[value_id]], Tabelle18[[#This Row],[value_id]], Tabelle5[[#This Row],[value_present]],"1")</f>
        <v>0</v>
      </c>
    </row>
    <row r="163" spans="1:5" ht="15.75" thickBot="1" x14ac:dyDescent="0.3">
      <c r="A163">
        <v>9</v>
      </c>
      <c r="B163" s="30" t="s">
        <v>174</v>
      </c>
      <c r="C163" s="4">
        <f>IF(Tabelle18[[#This Row],[binding_level_company]]&gt;=1,1,0)</f>
        <v>0</v>
      </c>
      <c r="D163" s="4">
        <f>_xlfn.MAXIFS(Tabelle5[[#This Row],[binding_level]], Tabelle5[[#This Row],[company_id]],Tabelle18[[#This Row],[company_id]], Tabelle5[[#This Row],[value_id]], Tabelle18[[#This Row],[value_id]], Tabelle5[[#This Row],[value_present]],"1")</f>
        <v>0</v>
      </c>
      <c r="E163" s="4">
        <f>_xlfn.MAXIFS(Tabelle5[[#This Row],[value_points]], Tabelle5[[#This Row],[company_id]],Tabelle18[[#This Row],[company_id]], Tabelle5[[#This Row],[value_id]], Tabelle18[[#This Row],[value_id]], Tabelle5[[#This Row],[value_present]],"1")</f>
        <v>0</v>
      </c>
    </row>
    <row r="164" spans="1:5" x14ac:dyDescent="0.25">
      <c r="A164">
        <v>10</v>
      </c>
      <c r="B164" s="22" t="s">
        <v>53</v>
      </c>
      <c r="C164" s="4">
        <f>IF(Tabelle18[[#This Row],[binding_level_company]]&gt;=1,1,0)</f>
        <v>0</v>
      </c>
      <c r="D164" s="4">
        <f>_xlfn.MAXIFS(Tabelle5[[#This Row],[binding_level]], Tabelle5[[#This Row],[company_id]],Tabelle18[[#This Row],[company_id]], Tabelle5[[#This Row],[value_id]], Tabelle18[[#This Row],[value_id]], Tabelle5[[#This Row],[value_present]],"1")</f>
        <v>0</v>
      </c>
      <c r="E164" s="4">
        <f>_xlfn.MAXIFS(Tabelle5[[#This Row],[value_points]], Tabelle5[[#This Row],[company_id]],Tabelle18[[#This Row],[company_id]], Tabelle5[[#This Row],[value_id]], Tabelle18[[#This Row],[value_id]], Tabelle5[[#This Row],[value_present]],"1")</f>
        <v>0</v>
      </c>
    </row>
    <row r="165" spans="1:5" x14ac:dyDescent="0.25">
      <c r="A165">
        <v>10</v>
      </c>
      <c r="B165" t="s">
        <v>61</v>
      </c>
      <c r="C165" s="4">
        <f>IF(Tabelle18[[#This Row],[binding_level_company]]&gt;=1,1,0)</f>
        <v>0</v>
      </c>
      <c r="D165" s="4">
        <f>_xlfn.MAXIFS(Tabelle5[[#This Row],[binding_level]], Tabelle5[[#This Row],[company_id]],Tabelle18[[#This Row],[company_id]], Tabelle5[[#This Row],[value_id]], Tabelle18[[#This Row],[value_id]], Tabelle5[[#This Row],[value_present]],"1")</f>
        <v>0</v>
      </c>
      <c r="E165" s="4">
        <f>_xlfn.MAXIFS(Tabelle5[[#This Row],[value_points]], Tabelle5[[#This Row],[company_id]],Tabelle18[[#This Row],[company_id]], Tabelle5[[#This Row],[value_id]], Tabelle18[[#This Row],[value_id]], Tabelle5[[#This Row],[value_present]],"1")</f>
        <v>0</v>
      </c>
    </row>
    <row r="166" spans="1:5" x14ac:dyDescent="0.25">
      <c r="A166">
        <v>10</v>
      </c>
      <c r="B166" t="s">
        <v>69</v>
      </c>
      <c r="C166" s="4">
        <f>IF(Tabelle18[[#This Row],[binding_level_company]]&gt;=1,1,0)</f>
        <v>0</v>
      </c>
      <c r="D166" s="4">
        <f>_xlfn.MAXIFS(Tabelle5[[#This Row],[binding_level]], Tabelle5[[#This Row],[company_id]],Tabelle18[[#This Row],[company_id]], Tabelle5[[#This Row],[value_id]], Tabelle18[[#This Row],[value_id]], Tabelle5[[#This Row],[value_present]],"1")</f>
        <v>0</v>
      </c>
      <c r="E166" s="4">
        <f>_xlfn.MAXIFS(Tabelle5[[#This Row],[value_points]], Tabelle5[[#This Row],[company_id]],Tabelle18[[#This Row],[company_id]], Tabelle5[[#This Row],[value_id]], Tabelle18[[#This Row],[value_id]], Tabelle5[[#This Row],[value_present]],"1")</f>
        <v>0</v>
      </c>
    </row>
    <row r="167" spans="1:5" x14ac:dyDescent="0.25">
      <c r="A167">
        <v>10</v>
      </c>
      <c r="B167" t="s">
        <v>76</v>
      </c>
      <c r="C167" s="4">
        <f>IF(Tabelle18[[#This Row],[binding_level_company]]&gt;=1,1,0)</f>
        <v>0</v>
      </c>
      <c r="D167" s="4">
        <f>_xlfn.MAXIFS(Tabelle5[[#This Row],[binding_level]], Tabelle5[[#This Row],[company_id]],Tabelle18[[#This Row],[company_id]], Tabelle5[[#This Row],[value_id]], Tabelle18[[#This Row],[value_id]], Tabelle5[[#This Row],[value_present]],"1")</f>
        <v>0</v>
      </c>
      <c r="E167" s="4">
        <f>_xlfn.MAXIFS(Tabelle5[[#This Row],[value_points]], Tabelle5[[#This Row],[company_id]],Tabelle18[[#This Row],[company_id]], Tabelle5[[#This Row],[value_id]], Tabelle18[[#This Row],[value_id]], Tabelle5[[#This Row],[value_present]],"1")</f>
        <v>0</v>
      </c>
    </row>
    <row r="168" spans="1:5" x14ac:dyDescent="0.25">
      <c r="A168">
        <v>10</v>
      </c>
      <c r="B168" t="s">
        <v>83</v>
      </c>
      <c r="C168" s="4">
        <f>IF(Tabelle18[[#This Row],[binding_level_company]]&gt;=1,1,0)</f>
        <v>0</v>
      </c>
      <c r="D168" s="4">
        <f>_xlfn.MAXIFS(Tabelle5[[#This Row],[binding_level]], Tabelle5[[#This Row],[company_id]],Tabelle18[[#This Row],[company_id]], Tabelle5[[#This Row],[value_id]], Tabelle18[[#This Row],[value_id]], Tabelle5[[#This Row],[value_present]],"1")</f>
        <v>0</v>
      </c>
      <c r="E168" s="4">
        <f>_xlfn.MAXIFS(Tabelle5[[#This Row],[value_points]], Tabelle5[[#This Row],[company_id]],Tabelle18[[#This Row],[company_id]], Tabelle5[[#This Row],[value_id]], Tabelle18[[#This Row],[value_id]], Tabelle5[[#This Row],[value_present]],"1")</f>
        <v>0</v>
      </c>
    </row>
    <row r="169" spans="1:5" x14ac:dyDescent="0.25">
      <c r="A169">
        <v>10</v>
      </c>
      <c r="B169" t="s">
        <v>90</v>
      </c>
      <c r="C169" s="4">
        <f>IF(Tabelle18[[#This Row],[binding_level_company]]&gt;=1,1,0)</f>
        <v>0</v>
      </c>
      <c r="D169" s="4">
        <f>_xlfn.MAXIFS(Tabelle5[[#This Row],[binding_level]], Tabelle5[[#This Row],[company_id]],Tabelle18[[#This Row],[company_id]], Tabelle5[[#This Row],[value_id]], Tabelle18[[#This Row],[value_id]], Tabelle5[[#This Row],[value_present]],"1")</f>
        <v>0</v>
      </c>
      <c r="E169" s="4">
        <f>_xlfn.MAXIFS(Tabelle5[[#This Row],[value_points]], Tabelle5[[#This Row],[company_id]],Tabelle18[[#This Row],[company_id]], Tabelle5[[#This Row],[value_id]], Tabelle18[[#This Row],[value_id]], Tabelle5[[#This Row],[value_present]],"1")</f>
        <v>0</v>
      </c>
    </row>
    <row r="170" spans="1:5" x14ac:dyDescent="0.25">
      <c r="A170">
        <v>10</v>
      </c>
      <c r="B170" t="s">
        <v>98</v>
      </c>
      <c r="C170" s="4">
        <f>IF(Tabelle18[[#This Row],[binding_level_company]]&gt;=1,1,0)</f>
        <v>0</v>
      </c>
      <c r="D170" s="4">
        <f>_xlfn.MAXIFS(Tabelle5[[#This Row],[binding_level]], Tabelle5[[#This Row],[company_id]],Tabelle18[[#This Row],[company_id]], Tabelle5[[#This Row],[value_id]], Tabelle18[[#This Row],[value_id]], Tabelle5[[#This Row],[value_present]],"1")</f>
        <v>0</v>
      </c>
      <c r="E170" s="4">
        <f>_xlfn.MAXIFS(Tabelle5[[#This Row],[value_points]], Tabelle5[[#This Row],[company_id]],Tabelle18[[#This Row],[company_id]], Tabelle5[[#This Row],[value_id]], Tabelle18[[#This Row],[value_id]], Tabelle5[[#This Row],[value_present]],"1")</f>
        <v>0</v>
      </c>
    </row>
    <row r="171" spans="1:5" x14ac:dyDescent="0.25">
      <c r="A171">
        <v>10</v>
      </c>
      <c r="B171" t="s">
        <v>106</v>
      </c>
      <c r="C171" s="4">
        <f>IF(Tabelle18[[#This Row],[binding_level_company]]&gt;=1,1,0)</f>
        <v>0</v>
      </c>
      <c r="D171" s="4">
        <f>_xlfn.MAXIFS(Tabelle5[[#This Row],[binding_level]], Tabelle5[[#This Row],[company_id]],Tabelle18[[#This Row],[company_id]], Tabelle5[[#This Row],[value_id]], Tabelle18[[#This Row],[value_id]], Tabelle5[[#This Row],[value_present]],"1")</f>
        <v>0</v>
      </c>
      <c r="E171" s="4">
        <f>_xlfn.MAXIFS(Tabelle5[[#This Row],[value_points]], Tabelle5[[#This Row],[company_id]],Tabelle18[[#This Row],[company_id]], Tabelle5[[#This Row],[value_id]], Tabelle18[[#This Row],[value_id]], Tabelle5[[#This Row],[value_present]],"1")</f>
        <v>0</v>
      </c>
    </row>
    <row r="172" spans="1:5" x14ac:dyDescent="0.25">
      <c r="A172">
        <v>10</v>
      </c>
      <c r="B172" t="s">
        <v>112</v>
      </c>
      <c r="C172" s="4">
        <f>IF(Tabelle18[[#This Row],[binding_level_company]]&gt;=1,1,0)</f>
        <v>0</v>
      </c>
      <c r="D172" s="4">
        <f>_xlfn.MAXIFS(Tabelle5[[#This Row],[binding_level]], Tabelle5[[#This Row],[company_id]],Tabelle18[[#This Row],[company_id]], Tabelle5[[#This Row],[value_id]], Tabelle18[[#This Row],[value_id]], Tabelle5[[#This Row],[value_present]],"1")</f>
        <v>0</v>
      </c>
      <c r="E172" s="4">
        <f>_xlfn.MAXIFS(Tabelle5[[#This Row],[value_points]], Tabelle5[[#This Row],[company_id]],Tabelle18[[#This Row],[company_id]], Tabelle5[[#This Row],[value_id]], Tabelle18[[#This Row],[value_id]], Tabelle5[[#This Row],[value_present]],"1")</f>
        <v>0</v>
      </c>
    </row>
    <row r="173" spans="1:5" x14ac:dyDescent="0.25">
      <c r="A173">
        <v>10</v>
      </c>
      <c r="B173" t="s">
        <v>118</v>
      </c>
      <c r="C173" s="4">
        <f>IF(Tabelle18[[#This Row],[binding_level_company]]&gt;=1,1,0)</f>
        <v>0</v>
      </c>
      <c r="D173" s="4">
        <f>_xlfn.MAXIFS(Tabelle5[[#This Row],[binding_level]], Tabelle5[[#This Row],[company_id]],Tabelle18[[#This Row],[company_id]], Tabelle5[[#This Row],[value_id]], Tabelle18[[#This Row],[value_id]], Tabelle5[[#This Row],[value_present]],"1")</f>
        <v>0</v>
      </c>
      <c r="E173" s="4">
        <f>_xlfn.MAXIFS(Tabelle5[[#This Row],[value_points]], Tabelle5[[#This Row],[company_id]],Tabelle18[[#This Row],[company_id]], Tabelle5[[#This Row],[value_id]], Tabelle18[[#This Row],[value_id]], Tabelle5[[#This Row],[value_present]],"1")</f>
        <v>0</v>
      </c>
    </row>
    <row r="174" spans="1:5" x14ac:dyDescent="0.25">
      <c r="A174">
        <v>10</v>
      </c>
      <c r="B174" t="s">
        <v>125</v>
      </c>
      <c r="C174" s="4">
        <f>IF(Tabelle18[[#This Row],[binding_level_company]]&gt;=1,1,0)</f>
        <v>0</v>
      </c>
      <c r="D174" s="4">
        <f>_xlfn.MAXIFS(Tabelle5[[#This Row],[binding_level]], Tabelle5[[#This Row],[company_id]],Tabelle18[[#This Row],[company_id]], Tabelle5[[#This Row],[value_id]], Tabelle18[[#This Row],[value_id]], Tabelle5[[#This Row],[value_present]],"1")</f>
        <v>0</v>
      </c>
      <c r="E174" s="4">
        <f>_xlfn.MAXIFS(Tabelle5[[#This Row],[value_points]], Tabelle5[[#This Row],[company_id]],Tabelle18[[#This Row],[company_id]], Tabelle5[[#This Row],[value_id]], Tabelle18[[#This Row],[value_id]], Tabelle5[[#This Row],[value_present]],"1")</f>
        <v>0</v>
      </c>
    </row>
    <row r="175" spans="1:5" x14ac:dyDescent="0.25">
      <c r="A175">
        <v>10</v>
      </c>
      <c r="B175" t="s">
        <v>132</v>
      </c>
      <c r="C175" s="4">
        <f>IF(Tabelle18[[#This Row],[binding_level_company]]&gt;=1,1,0)</f>
        <v>0</v>
      </c>
      <c r="D175" s="4">
        <f>_xlfn.MAXIFS(Tabelle5[[#This Row],[binding_level]], Tabelle5[[#This Row],[company_id]],Tabelle18[[#This Row],[company_id]], Tabelle5[[#This Row],[value_id]], Tabelle18[[#This Row],[value_id]], Tabelle5[[#This Row],[value_present]],"1")</f>
        <v>0</v>
      </c>
      <c r="E175" s="4">
        <f>_xlfn.MAXIFS(Tabelle5[[#This Row],[value_points]], Tabelle5[[#This Row],[company_id]],Tabelle18[[#This Row],[company_id]], Tabelle5[[#This Row],[value_id]], Tabelle18[[#This Row],[value_id]], Tabelle5[[#This Row],[value_present]],"1")</f>
        <v>0</v>
      </c>
    </row>
    <row r="176" spans="1:5" x14ac:dyDescent="0.25">
      <c r="A176">
        <v>10</v>
      </c>
      <c r="B176" t="s">
        <v>140</v>
      </c>
      <c r="C176" s="4">
        <f>IF(Tabelle18[[#This Row],[binding_level_company]]&gt;=1,1,0)</f>
        <v>0</v>
      </c>
      <c r="D176" s="4">
        <f>_xlfn.MAXIFS(Tabelle5[[#This Row],[binding_level]], Tabelle5[[#This Row],[company_id]],Tabelle18[[#This Row],[company_id]], Tabelle5[[#This Row],[value_id]], Tabelle18[[#This Row],[value_id]], Tabelle5[[#This Row],[value_present]],"1")</f>
        <v>0</v>
      </c>
      <c r="E176" s="4">
        <f>_xlfn.MAXIFS(Tabelle5[[#This Row],[value_points]], Tabelle5[[#This Row],[company_id]],Tabelle18[[#This Row],[company_id]], Tabelle5[[#This Row],[value_id]], Tabelle18[[#This Row],[value_id]], Tabelle5[[#This Row],[value_present]],"1")</f>
        <v>0</v>
      </c>
    </row>
    <row r="177" spans="1:5" x14ac:dyDescent="0.25">
      <c r="A177">
        <v>10</v>
      </c>
      <c r="B177" t="s">
        <v>147</v>
      </c>
      <c r="C177" s="4">
        <f>IF(Tabelle18[[#This Row],[binding_level_company]]&gt;=1,1,0)</f>
        <v>0</v>
      </c>
      <c r="D177" s="4">
        <f>_xlfn.MAXIFS(Tabelle5[[#This Row],[binding_level]], Tabelle5[[#This Row],[company_id]],Tabelle18[[#This Row],[company_id]], Tabelle5[[#This Row],[value_id]], Tabelle18[[#This Row],[value_id]], Tabelle5[[#This Row],[value_present]],"1")</f>
        <v>0</v>
      </c>
      <c r="E177" s="4">
        <f>_xlfn.MAXIFS(Tabelle5[[#This Row],[value_points]], Tabelle5[[#This Row],[company_id]],Tabelle18[[#This Row],[company_id]], Tabelle5[[#This Row],[value_id]], Tabelle18[[#This Row],[value_id]], Tabelle5[[#This Row],[value_present]],"1")</f>
        <v>0</v>
      </c>
    </row>
    <row r="178" spans="1:5" x14ac:dyDescent="0.25">
      <c r="A178">
        <v>10</v>
      </c>
      <c r="B178" t="s">
        <v>154</v>
      </c>
      <c r="C178" s="4">
        <f>IF(Tabelle18[[#This Row],[binding_level_company]]&gt;=1,1,0)</f>
        <v>0</v>
      </c>
      <c r="D178" s="4">
        <f>_xlfn.MAXIFS(Tabelle5[[#This Row],[binding_level]], Tabelle5[[#This Row],[company_id]],Tabelle18[[#This Row],[company_id]], Tabelle5[[#This Row],[value_id]], Tabelle18[[#This Row],[value_id]], Tabelle5[[#This Row],[value_present]],"1")</f>
        <v>0</v>
      </c>
      <c r="E178" s="4">
        <f>_xlfn.MAXIFS(Tabelle5[[#This Row],[value_points]], Tabelle5[[#This Row],[company_id]],Tabelle18[[#This Row],[company_id]], Tabelle5[[#This Row],[value_id]], Tabelle18[[#This Row],[value_id]], Tabelle5[[#This Row],[value_present]],"1")</f>
        <v>0</v>
      </c>
    </row>
    <row r="179" spans="1:5" x14ac:dyDescent="0.25">
      <c r="A179">
        <v>10</v>
      </c>
      <c r="B179" t="s">
        <v>161</v>
      </c>
      <c r="C179" s="4">
        <f>IF(Tabelle18[[#This Row],[binding_level_company]]&gt;=1,1,0)</f>
        <v>0</v>
      </c>
      <c r="D179" s="4">
        <f>_xlfn.MAXIFS(Tabelle5[[#This Row],[binding_level]], Tabelle5[[#This Row],[company_id]],Tabelle18[[#This Row],[company_id]], Tabelle5[[#This Row],[value_id]], Tabelle18[[#This Row],[value_id]], Tabelle5[[#This Row],[value_present]],"1")</f>
        <v>0</v>
      </c>
      <c r="E179" s="4">
        <f>_xlfn.MAXIFS(Tabelle5[[#This Row],[value_points]], Tabelle5[[#This Row],[company_id]],Tabelle18[[#This Row],[company_id]], Tabelle5[[#This Row],[value_id]], Tabelle18[[#This Row],[value_id]], Tabelle5[[#This Row],[value_present]],"1")</f>
        <v>0</v>
      </c>
    </row>
    <row r="180" spans="1:5" x14ac:dyDescent="0.25">
      <c r="A180">
        <v>10</v>
      </c>
      <c r="B180" t="s">
        <v>166</v>
      </c>
      <c r="C180" s="4">
        <f>IF(Tabelle18[[#This Row],[binding_level_company]]&gt;=1,1,0)</f>
        <v>0</v>
      </c>
      <c r="D180" s="4">
        <f>_xlfn.MAXIFS(Tabelle5[[#This Row],[binding_level]], Tabelle5[[#This Row],[company_id]],Tabelle18[[#This Row],[company_id]], Tabelle5[[#This Row],[value_id]], Tabelle18[[#This Row],[value_id]], Tabelle5[[#This Row],[value_present]],"1")</f>
        <v>0</v>
      </c>
      <c r="E180" s="4">
        <f>_xlfn.MAXIFS(Tabelle5[[#This Row],[value_points]], Tabelle5[[#This Row],[company_id]],Tabelle18[[#This Row],[company_id]], Tabelle5[[#This Row],[value_id]], Tabelle18[[#This Row],[value_id]], Tabelle5[[#This Row],[value_present]],"1")</f>
        <v>0</v>
      </c>
    </row>
    <row r="181" spans="1:5" ht="15.75" thickBot="1" x14ac:dyDescent="0.3">
      <c r="A181">
        <v>10</v>
      </c>
      <c r="B181" s="30" t="s">
        <v>174</v>
      </c>
      <c r="C181" s="4">
        <f>IF(Tabelle18[[#This Row],[binding_level_company]]&gt;=1,1,0)</f>
        <v>0</v>
      </c>
      <c r="D181" s="4">
        <f>_xlfn.MAXIFS(Tabelle5[[#This Row],[binding_level]], Tabelle5[[#This Row],[company_id]],Tabelle18[[#This Row],[company_id]], Tabelle5[[#This Row],[value_id]], Tabelle18[[#This Row],[value_id]], Tabelle5[[#This Row],[value_present]],"1")</f>
        <v>0</v>
      </c>
      <c r="E181" s="4">
        <f>_xlfn.MAXIFS(Tabelle5[[#This Row],[value_points]], Tabelle5[[#This Row],[company_id]],Tabelle18[[#This Row],[company_id]], Tabelle5[[#This Row],[value_id]], Tabelle18[[#This Row],[value_id]], Tabelle5[[#This Row],[value_present]],"1")</f>
        <v>0</v>
      </c>
    </row>
    <row r="182" spans="1:5" x14ac:dyDescent="0.25">
      <c r="B182" s="22" t="s">
        <v>53</v>
      </c>
      <c r="C182" s="4">
        <f>IF(Tabelle18[[#This Row],[binding_level_company]]&gt;=1,1,0)</f>
        <v>0</v>
      </c>
      <c r="D182" s="4">
        <f>_xlfn.MAXIFS(Tabelle5[[#This Row],[binding_level]], Tabelle5[[#This Row],[company_id]],Tabelle18[[#This Row],[company_id]], Tabelle5[[#This Row],[value_id]], Tabelle18[[#This Row],[value_id]], Tabelle5[[#This Row],[value_present]],"1")</f>
        <v>0</v>
      </c>
      <c r="E182" s="4">
        <f>_xlfn.MAXIFS(Tabelle5[[#This Row],[value_points]], Tabelle5[[#This Row],[company_id]],Tabelle18[[#This Row],[company_id]], Tabelle5[[#This Row],[value_id]], Tabelle18[[#This Row],[value_id]], Tabelle5[[#This Row],[value_present]],"1")</f>
        <v>0</v>
      </c>
    </row>
    <row r="183" spans="1:5" x14ac:dyDescent="0.25">
      <c r="A183">
        <v>11</v>
      </c>
      <c r="B183" t="s">
        <v>61</v>
      </c>
      <c r="C183" s="4">
        <f>IF(Tabelle18[[#This Row],[binding_level_company]]&gt;=1,1,0)</f>
        <v>0</v>
      </c>
      <c r="D183" s="4">
        <f>_xlfn.MAXIFS(Tabelle5[[#This Row],[binding_level]], Tabelle5[[#This Row],[company_id]],Tabelle18[[#This Row],[company_id]], Tabelle5[[#This Row],[value_id]], Tabelle18[[#This Row],[value_id]], Tabelle5[[#This Row],[value_present]],"1")</f>
        <v>0</v>
      </c>
      <c r="E183" s="4">
        <f>_xlfn.MAXIFS(Tabelle5[[#This Row],[value_points]], Tabelle5[[#This Row],[company_id]],Tabelle18[[#This Row],[company_id]], Tabelle5[[#This Row],[value_id]], Tabelle18[[#This Row],[value_id]], Tabelle5[[#This Row],[value_present]],"1")</f>
        <v>0</v>
      </c>
    </row>
    <row r="184" spans="1:5" x14ac:dyDescent="0.25">
      <c r="A184">
        <v>11</v>
      </c>
      <c r="B184" t="s">
        <v>69</v>
      </c>
      <c r="C184" s="4">
        <f>IF(Tabelle18[[#This Row],[binding_level_company]]&gt;=1,1,0)</f>
        <v>0</v>
      </c>
      <c r="D184" s="4">
        <f>_xlfn.MAXIFS(Tabelle5[[#This Row],[binding_level]], Tabelle5[[#This Row],[company_id]],Tabelle18[[#This Row],[company_id]], Tabelle5[[#This Row],[value_id]], Tabelle18[[#This Row],[value_id]], Tabelle5[[#This Row],[value_present]],"1")</f>
        <v>0</v>
      </c>
      <c r="E184" s="4">
        <f>_xlfn.MAXIFS(Tabelle5[[#This Row],[value_points]], Tabelle5[[#This Row],[company_id]],Tabelle18[[#This Row],[company_id]], Tabelle5[[#This Row],[value_id]], Tabelle18[[#This Row],[value_id]], Tabelle5[[#This Row],[value_present]],"1")</f>
        <v>0</v>
      </c>
    </row>
    <row r="185" spans="1:5" x14ac:dyDescent="0.25">
      <c r="A185">
        <v>11</v>
      </c>
      <c r="B185" t="s">
        <v>76</v>
      </c>
      <c r="C185" s="4">
        <f>IF(Tabelle18[[#This Row],[binding_level_company]]&gt;=1,1,0)</f>
        <v>0</v>
      </c>
      <c r="D185" s="4">
        <f>_xlfn.MAXIFS(Tabelle5[[#This Row],[binding_level]], Tabelle5[[#This Row],[company_id]],Tabelle18[[#This Row],[company_id]], Tabelle5[[#This Row],[value_id]], Tabelle18[[#This Row],[value_id]], Tabelle5[[#This Row],[value_present]],"1")</f>
        <v>0</v>
      </c>
      <c r="E185" s="4">
        <f>_xlfn.MAXIFS(Tabelle5[[#This Row],[value_points]], Tabelle5[[#This Row],[company_id]],Tabelle18[[#This Row],[company_id]], Tabelle5[[#This Row],[value_id]], Tabelle18[[#This Row],[value_id]], Tabelle5[[#This Row],[value_present]],"1")</f>
        <v>0</v>
      </c>
    </row>
    <row r="186" spans="1:5" x14ac:dyDescent="0.25">
      <c r="A186">
        <v>11</v>
      </c>
      <c r="B186" t="s">
        <v>83</v>
      </c>
      <c r="C186" s="4">
        <f>IF(Tabelle18[[#This Row],[binding_level_company]]&gt;=1,1,0)</f>
        <v>0</v>
      </c>
      <c r="D186" s="4">
        <f>_xlfn.MAXIFS(Tabelle5[[#This Row],[binding_level]], Tabelle5[[#This Row],[company_id]],Tabelle18[[#This Row],[company_id]], Tabelle5[[#This Row],[value_id]], Tabelle18[[#This Row],[value_id]], Tabelle5[[#This Row],[value_present]],"1")</f>
        <v>0</v>
      </c>
      <c r="E186" s="4">
        <f>_xlfn.MAXIFS(Tabelle5[[#This Row],[value_points]], Tabelle5[[#This Row],[company_id]],Tabelle18[[#This Row],[company_id]], Tabelle5[[#This Row],[value_id]], Tabelle18[[#This Row],[value_id]], Tabelle5[[#This Row],[value_present]],"1")</f>
        <v>0</v>
      </c>
    </row>
    <row r="187" spans="1:5" x14ac:dyDescent="0.25">
      <c r="A187">
        <v>11</v>
      </c>
      <c r="B187" t="s">
        <v>90</v>
      </c>
      <c r="C187" s="4">
        <f>IF(Tabelle18[[#This Row],[binding_level_company]]&gt;=1,1,0)</f>
        <v>0</v>
      </c>
      <c r="D187" s="4">
        <f>_xlfn.MAXIFS(Tabelle5[[#This Row],[binding_level]], Tabelle5[[#This Row],[company_id]],Tabelle18[[#This Row],[company_id]], Tabelle5[[#This Row],[value_id]], Tabelle18[[#This Row],[value_id]], Tabelle5[[#This Row],[value_present]],"1")</f>
        <v>0</v>
      </c>
      <c r="E187" s="4">
        <f>_xlfn.MAXIFS(Tabelle5[[#This Row],[value_points]], Tabelle5[[#This Row],[company_id]],Tabelle18[[#This Row],[company_id]], Tabelle5[[#This Row],[value_id]], Tabelle18[[#This Row],[value_id]], Tabelle5[[#This Row],[value_present]],"1")</f>
        <v>0</v>
      </c>
    </row>
    <row r="188" spans="1:5" x14ac:dyDescent="0.25">
      <c r="A188">
        <v>11</v>
      </c>
      <c r="B188" t="s">
        <v>98</v>
      </c>
      <c r="C188" s="4">
        <f>IF(Tabelle18[[#This Row],[binding_level_company]]&gt;=1,1,0)</f>
        <v>0</v>
      </c>
      <c r="D188" s="4">
        <f>_xlfn.MAXIFS(Tabelle5[[#This Row],[binding_level]], Tabelle5[[#This Row],[company_id]],Tabelle18[[#This Row],[company_id]], Tabelle5[[#This Row],[value_id]], Tabelle18[[#This Row],[value_id]], Tabelle5[[#This Row],[value_present]],"1")</f>
        <v>0</v>
      </c>
      <c r="E188" s="4">
        <f>_xlfn.MAXIFS(Tabelle5[[#This Row],[value_points]], Tabelle5[[#This Row],[company_id]],Tabelle18[[#This Row],[company_id]], Tabelle5[[#This Row],[value_id]], Tabelle18[[#This Row],[value_id]], Tabelle5[[#This Row],[value_present]],"1")</f>
        <v>0</v>
      </c>
    </row>
    <row r="189" spans="1:5" x14ac:dyDescent="0.25">
      <c r="A189">
        <v>11</v>
      </c>
      <c r="B189" t="s">
        <v>106</v>
      </c>
      <c r="C189" s="4">
        <f>IF(Tabelle18[[#This Row],[binding_level_company]]&gt;=1,1,0)</f>
        <v>0</v>
      </c>
      <c r="D189" s="4">
        <f>_xlfn.MAXIFS(Tabelle5[[#This Row],[binding_level]], Tabelle5[[#This Row],[company_id]],Tabelle18[[#This Row],[company_id]], Tabelle5[[#This Row],[value_id]], Tabelle18[[#This Row],[value_id]], Tabelle5[[#This Row],[value_present]],"1")</f>
        <v>0</v>
      </c>
      <c r="E189" s="4">
        <f>_xlfn.MAXIFS(Tabelle5[[#This Row],[value_points]], Tabelle5[[#This Row],[company_id]],Tabelle18[[#This Row],[company_id]], Tabelle5[[#This Row],[value_id]], Tabelle18[[#This Row],[value_id]], Tabelle5[[#This Row],[value_present]],"1")</f>
        <v>0</v>
      </c>
    </row>
    <row r="190" spans="1:5" x14ac:dyDescent="0.25">
      <c r="A190">
        <v>11</v>
      </c>
      <c r="B190" t="s">
        <v>112</v>
      </c>
      <c r="C190" s="4">
        <f>IF(Tabelle18[[#This Row],[binding_level_company]]&gt;=1,1,0)</f>
        <v>0</v>
      </c>
      <c r="D190" s="4">
        <f>_xlfn.MAXIFS(Tabelle5[[#This Row],[binding_level]], Tabelle5[[#This Row],[company_id]],Tabelle18[[#This Row],[company_id]], Tabelle5[[#This Row],[value_id]], Tabelle18[[#This Row],[value_id]], Tabelle5[[#This Row],[value_present]],"1")</f>
        <v>0</v>
      </c>
      <c r="E190" s="4">
        <f>_xlfn.MAXIFS(Tabelle5[[#This Row],[value_points]], Tabelle5[[#This Row],[company_id]],Tabelle18[[#This Row],[company_id]], Tabelle5[[#This Row],[value_id]], Tabelle18[[#This Row],[value_id]], Tabelle5[[#This Row],[value_present]],"1")</f>
        <v>0</v>
      </c>
    </row>
    <row r="191" spans="1:5" x14ac:dyDescent="0.25">
      <c r="A191">
        <v>11</v>
      </c>
      <c r="B191" t="s">
        <v>118</v>
      </c>
      <c r="C191" s="4">
        <f>IF(Tabelle18[[#This Row],[binding_level_company]]&gt;=1,1,0)</f>
        <v>0</v>
      </c>
      <c r="D191" s="4">
        <f>_xlfn.MAXIFS(Tabelle5[[#This Row],[binding_level]], Tabelle5[[#This Row],[company_id]],Tabelle18[[#This Row],[company_id]], Tabelle5[[#This Row],[value_id]], Tabelle18[[#This Row],[value_id]], Tabelle5[[#This Row],[value_present]],"1")</f>
        <v>0</v>
      </c>
      <c r="E191" s="4">
        <f>_xlfn.MAXIFS(Tabelle5[[#This Row],[value_points]], Tabelle5[[#This Row],[company_id]],Tabelle18[[#This Row],[company_id]], Tabelle5[[#This Row],[value_id]], Tabelle18[[#This Row],[value_id]], Tabelle5[[#This Row],[value_present]],"1")</f>
        <v>0</v>
      </c>
    </row>
    <row r="192" spans="1:5" x14ac:dyDescent="0.25">
      <c r="A192">
        <v>11</v>
      </c>
      <c r="B192" t="s">
        <v>125</v>
      </c>
      <c r="C192" s="4">
        <f>IF(Tabelle18[[#This Row],[binding_level_company]]&gt;=1,1,0)</f>
        <v>0</v>
      </c>
      <c r="D192" s="4">
        <f>_xlfn.MAXIFS(Tabelle5[[#This Row],[binding_level]], Tabelle5[[#This Row],[company_id]],Tabelle18[[#This Row],[company_id]], Tabelle5[[#This Row],[value_id]], Tabelle18[[#This Row],[value_id]], Tabelle5[[#This Row],[value_present]],"1")</f>
        <v>0</v>
      </c>
      <c r="E192" s="4">
        <f>_xlfn.MAXIFS(Tabelle5[[#This Row],[value_points]], Tabelle5[[#This Row],[company_id]],Tabelle18[[#This Row],[company_id]], Tabelle5[[#This Row],[value_id]], Tabelle18[[#This Row],[value_id]], Tabelle5[[#This Row],[value_present]],"1")</f>
        <v>0</v>
      </c>
    </row>
    <row r="193" spans="1:5" x14ac:dyDescent="0.25">
      <c r="A193">
        <v>11</v>
      </c>
      <c r="B193" t="s">
        <v>132</v>
      </c>
      <c r="C193" s="4">
        <f>IF(Tabelle18[[#This Row],[binding_level_company]]&gt;=1,1,0)</f>
        <v>0</v>
      </c>
      <c r="D193" s="4">
        <f>_xlfn.MAXIFS(Tabelle5[[#This Row],[binding_level]], Tabelle5[[#This Row],[company_id]],Tabelle18[[#This Row],[company_id]], Tabelle5[[#This Row],[value_id]], Tabelle18[[#This Row],[value_id]], Tabelle5[[#This Row],[value_present]],"1")</f>
        <v>0</v>
      </c>
      <c r="E193" s="4">
        <f>_xlfn.MAXIFS(Tabelle5[[#This Row],[value_points]], Tabelle5[[#This Row],[company_id]],Tabelle18[[#This Row],[company_id]], Tabelle5[[#This Row],[value_id]], Tabelle18[[#This Row],[value_id]], Tabelle5[[#This Row],[value_present]],"1")</f>
        <v>0</v>
      </c>
    </row>
    <row r="194" spans="1:5" x14ac:dyDescent="0.25">
      <c r="A194">
        <v>11</v>
      </c>
      <c r="B194" t="s">
        <v>140</v>
      </c>
      <c r="C194" s="4">
        <f>IF(Tabelle18[[#This Row],[binding_level_company]]&gt;=1,1,0)</f>
        <v>0</v>
      </c>
      <c r="D194" s="4">
        <f>_xlfn.MAXIFS(Tabelle5[[#This Row],[binding_level]], Tabelle5[[#This Row],[company_id]],Tabelle18[[#This Row],[company_id]], Tabelle5[[#This Row],[value_id]], Tabelle18[[#This Row],[value_id]], Tabelle5[[#This Row],[value_present]],"1")</f>
        <v>0</v>
      </c>
      <c r="E194" s="4">
        <f>_xlfn.MAXIFS(Tabelle5[[#This Row],[value_points]], Tabelle5[[#This Row],[company_id]],Tabelle18[[#This Row],[company_id]], Tabelle5[[#This Row],[value_id]], Tabelle18[[#This Row],[value_id]], Tabelle5[[#This Row],[value_present]],"1")</f>
        <v>0</v>
      </c>
    </row>
    <row r="195" spans="1:5" x14ac:dyDescent="0.25">
      <c r="A195">
        <v>11</v>
      </c>
      <c r="B195" t="s">
        <v>147</v>
      </c>
      <c r="C195" s="4">
        <f>IF(Tabelle18[[#This Row],[binding_level_company]]&gt;=1,1,0)</f>
        <v>0</v>
      </c>
      <c r="D195" s="4">
        <f>_xlfn.MAXIFS(Tabelle5[[#This Row],[binding_level]], Tabelle5[[#This Row],[company_id]],Tabelle18[[#This Row],[company_id]], Tabelle5[[#This Row],[value_id]], Tabelle18[[#This Row],[value_id]], Tabelle5[[#This Row],[value_present]],"1")</f>
        <v>0</v>
      </c>
      <c r="E195" s="4">
        <f>_xlfn.MAXIFS(Tabelle5[[#This Row],[value_points]], Tabelle5[[#This Row],[company_id]],Tabelle18[[#This Row],[company_id]], Tabelle5[[#This Row],[value_id]], Tabelle18[[#This Row],[value_id]], Tabelle5[[#This Row],[value_present]],"1")</f>
        <v>0</v>
      </c>
    </row>
    <row r="196" spans="1:5" x14ac:dyDescent="0.25">
      <c r="A196">
        <v>11</v>
      </c>
      <c r="B196" t="s">
        <v>154</v>
      </c>
      <c r="C196" s="4">
        <f>IF(Tabelle18[[#This Row],[binding_level_company]]&gt;=1,1,0)</f>
        <v>0</v>
      </c>
      <c r="D196" s="4">
        <f>_xlfn.MAXIFS(Tabelle5[[#This Row],[binding_level]], Tabelle5[[#This Row],[company_id]],Tabelle18[[#This Row],[company_id]], Tabelle5[[#This Row],[value_id]], Tabelle18[[#This Row],[value_id]], Tabelle5[[#This Row],[value_present]],"1")</f>
        <v>0</v>
      </c>
      <c r="E196" s="4">
        <f>_xlfn.MAXIFS(Tabelle5[[#This Row],[value_points]], Tabelle5[[#This Row],[company_id]],Tabelle18[[#This Row],[company_id]], Tabelle5[[#This Row],[value_id]], Tabelle18[[#This Row],[value_id]], Tabelle5[[#This Row],[value_present]],"1")</f>
        <v>0</v>
      </c>
    </row>
    <row r="197" spans="1:5" x14ac:dyDescent="0.25">
      <c r="A197">
        <v>11</v>
      </c>
      <c r="B197" t="s">
        <v>161</v>
      </c>
      <c r="C197" s="4">
        <f>IF(Tabelle18[[#This Row],[binding_level_company]]&gt;=1,1,0)</f>
        <v>0</v>
      </c>
      <c r="D197" s="4">
        <f>_xlfn.MAXIFS(Tabelle5[[#This Row],[binding_level]], Tabelle5[[#This Row],[company_id]],Tabelle18[[#This Row],[company_id]], Tabelle5[[#This Row],[value_id]], Tabelle18[[#This Row],[value_id]], Tabelle5[[#This Row],[value_present]],"1")</f>
        <v>0</v>
      </c>
      <c r="E197" s="4">
        <f>_xlfn.MAXIFS(Tabelle5[[#This Row],[value_points]], Tabelle5[[#This Row],[company_id]],Tabelle18[[#This Row],[company_id]], Tabelle5[[#This Row],[value_id]], Tabelle18[[#This Row],[value_id]], Tabelle5[[#This Row],[value_present]],"1")</f>
        <v>0</v>
      </c>
    </row>
    <row r="198" spans="1:5" x14ac:dyDescent="0.25">
      <c r="A198">
        <v>11</v>
      </c>
      <c r="B198" t="s">
        <v>166</v>
      </c>
      <c r="C198" s="4">
        <f>IF(Tabelle18[[#This Row],[binding_level_company]]&gt;=1,1,0)</f>
        <v>0</v>
      </c>
      <c r="D198" s="4">
        <f>_xlfn.MAXIFS(Tabelle5[[#This Row],[binding_level]], Tabelle5[[#This Row],[company_id]],Tabelle18[[#This Row],[company_id]], Tabelle5[[#This Row],[value_id]], Tabelle18[[#This Row],[value_id]], Tabelle5[[#This Row],[value_present]],"1")</f>
        <v>0</v>
      </c>
      <c r="E198" s="4">
        <f>_xlfn.MAXIFS(Tabelle5[[#This Row],[value_points]], Tabelle5[[#This Row],[company_id]],Tabelle18[[#This Row],[company_id]], Tabelle5[[#This Row],[value_id]], Tabelle18[[#This Row],[value_id]], Tabelle5[[#This Row],[value_present]],"1")</f>
        <v>0</v>
      </c>
    </row>
    <row r="199" spans="1:5" ht="15.75" thickBot="1" x14ac:dyDescent="0.3">
      <c r="A199">
        <v>11</v>
      </c>
      <c r="B199" s="30" t="s">
        <v>174</v>
      </c>
      <c r="C199" s="4">
        <f>IF(Tabelle18[[#This Row],[binding_level_company]]&gt;=1,1,0)</f>
        <v>0</v>
      </c>
      <c r="D199" s="4">
        <f>_xlfn.MAXIFS(Tabelle5[[#This Row],[binding_level]], Tabelle5[[#This Row],[company_id]],Tabelle18[[#This Row],[company_id]], Tabelle5[[#This Row],[value_id]], Tabelle18[[#This Row],[value_id]], Tabelle5[[#This Row],[value_present]],"1")</f>
        <v>0</v>
      </c>
      <c r="E199" s="4">
        <f>_xlfn.MAXIFS(Tabelle5[[#This Row],[value_points]], Tabelle5[[#This Row],[company_id]],Tabelle18[[#This Row],[company_id]], Tabelle5[[#This Row],[value_id]], Tabelle18[[#This Row],[value_id]], Tabelle5[[#This Row],[value_present]],"1")</f>
        <v>0</v>
      </c>
    </row>
    <row r="200" spans="1:5" x14ac:dyDescent="0.25">
      <c r="A200">
        <v>12</v>
      </c>
      <c r="B200" s="22" t="s">
        <v>53</v>
      </c>
      <c r="C200" s="4">
        <f>IF(Tabelle18[[#This Row],[binding_level_company]]&gt;=1,1,0)</f>
        <v>0</v>
      </c>
      <c r="D200" s="4">
        <f>_xlfn.MAXIFS(Tabelle5[[#This Row],[binding_level]], Tabelle5[[#This Row],[company_id]],Tabelle18[[#This Row],[company_id]], Tabelle5[[#This Row],[value_id]], Tabelle18[[#This Row],[value_id]], Tabelle5[[#This Row],[value_present]],"1")</f>
        <v>0</v>
      </c>
      <c r="E200" s="4">
        <f>_xlfn.MAXIFS(Tabelle5[[#This Row],[value_points]], Tabelle5[[#This Row],[company_id]],Tabelle18[[#This Row],[company_id]], Tabelle5[[#This Row],[value_id]], Tabelle18[[#This Row],[value_id]], Tabelle5[[#This Row],[value_present]],"1")</f>
        <v>0</v>
      </c>
    </row>
    <row r="201" spans="1:5" x14ac:dyDescent="0.25">
      <c r="A201">
        <v>12</v>
      </c>
      <c r="B201" t="s">
        <v>61</v>
      </c>
      <c r="C201" s="4">
        <f>IF(Tabelle18[[#This Row],[binding_level_company]]&gt;=1,1,0)</f>
        <v>0</v>
      </c>
      <c r="D201" s="4">
        <f>_xlfn.MAXIFS(Tabelle5[[#This Row],[binding_level]], Tabelle5[[#This Row],[company_id]],Tabelle18[[#This Row],[company_id]], Tabelle5[[#This Row],[value_id]], Tabelle18[[#This Row],[value_id]], Tabelle5[[#This Row],[value_present]],"1")</f>
        <v>0</v>
      </c>
      <c r="E201" s="4">
        <f>_xlfn.MAXIFS(Tabelle5[[#This Row],[value_points]], Tabelle5[[#This Row],[company_id]],Tabelle18[[#This Row],[company_id]], Tabelle5[[#This Row],[value_id]], Tabelle18[[#This Row],[value_id]], Tabelle5[[#This Row],[value_present]],"1")</f>
        <v>0</v>
      </c>
    </row>
    <row r="202" spans="1:5" x14ac:dyDescent="0.25">
      <c r="A202">
        <v>12</v>
      </c>
      <c r="B202" t="s">
        <v>69</v>
      </c>
      <c r="C202" s="4">
        <f>IF(Tabelle18[[#This Row],[binding_level_company]]&gt;=1,1,0)</f>
        <v>0</v>
      </c>
      <c r="D202" s="4">
        <f>_xlfn.MAXIFS(Tabelle5[[#This Row],[binding_level]], Tabelle5[[#This Row],[company_id]],Tabelle18[[#This Row],[company_id]], Tabelle5[[#This Row],[value_id]], Tabelle18[[#This Row],[value_id]], Tabelle5[[#This Row],[value_present]],"1")</f>
        <v>0</v>
      </c>
      <c r="E202" s="4">
        <f>_xlfn.MAXIFS(Tabelle5[[#This Row],[value_points]], Tabelle5[[#This Row],[company_id]],Tabelle18[[#This Row],[company_id]], Tabelle5[[#This Row],[value_id]], Tabelle18[[#This Row],[value_id]], Tabelle5[[#This Row],[value_present]],"1")</f>
        <v>0</v>
      </c>
    </row>
    <row r="203" spans="1:5" x14ac:dyDescent="0.25">
      <c r="A203">
        <v>12</v>
      </c>
      <c r="B203" t="s">
        <v>76</v>
      </c>
      <c r="C203" s="4">
        <f>IF(Tabelle18[[#This Row],[binding_level_company]]&gt;=1,1,0)</f>
        <v>0</v>
      </c>
      <c r="D203" s="4">
        <f>_xlfn.MAXIFS(Tabelle5[[#This Row],[binding_level]], Tabelle5[[#This Row],[company_id]],Tabelle18[[#This Row],[company_id]], Tabelle5[[#This Row],[value_id]], Tabelle18[[#This Row],[value_id]], Tabelle5[[#This Row],[value_present]],"1")</f>
        <v>0</v>
      </c>
      <c r="E203" s="4">
        <f>_xlfn.MAXIFS(Tabelle5[[#This Row],[value_points]], Tabelle5[[#This Row],[company_id]],Tabelle18[[#This Row],[company_id]], Tabelle5[[#This Row],[value_id]], Tabelle18[[#This Row],[value_id]], Tabelle5[[#This Row],[value_present]],"1")</f>
        <v>0</v>
      </c>
    </row>
    <row r="204" spans="1:5" x14ac:dyDescent="0.25">
      <c r="A204">
        <v>12</v>
      </c>
      <c r="B204" t="s">
        <v>83</v>
      </c>
      <c r="C204" s="4">
        <f>IF(Tabelle18[[#This Row],[binding_level_company]]&gt;=1,1,0)</f>
        <v>0</v>
      </c>
      <c r="D204" s="4">
        <f>_xlfn.MAXIFS(Tabelle5[[#This Row],[binding_level]], Tabelle5[[#This Row],[company_id]],Tabelle18[[#This Row],[company_id]], Tabelle5[[#This Row],[value_id]], Tabelle18[[#This Row],[value_id]], Tabelle5[[#This Row],[value_present]],"1")</f>
        <v>0</v>
      </c>
      <c r="E204" s="4">
        <f>_xlfn.MAXIFS(Tabelle5[[#This Row],[value_points]], Tabelle5[[#This Row],[company_id]],Tabelle18[[#This Row],[company_id]], Tabelle5[[#This Row],[value_id]], Tabelle18[[#This Row],[value_id]], Tabelle5[[#This Row],[value_present]],"1")</f>
        <v>0</v>
      </c>
    </row>
    <row r="205" spans="1:5" x14ac:dyDescent="0.25">
      <c r="A205">
        <v>12</v>
      </c>
      <c r="B205" t="s">
        <v>90</v>
      </c>
      <c r="C205" s="4">
        <f>IF(Tabelle18[[#This Row],[binding_level_company]]&gt;=1,1,0)</f>
        <v>0</v>
      </c>
      <c r="D205" s="4">
        <f>_xlfn.MAXIFS(Tabelle5[[#This Row],[binding_level]], Tabelle5[[#This Row],[company_id]],Tabelle18[[#This Row],[company_id]], Tabelle5[[#This Row],[value_id]], Tabelle18[[#This Row],[value_id]], Tabelle5[[#This Row],[value_present]],"1")</f>
        <v>0</v>
      </c>
      <c r="E205" s="4">
        <f>_xlfn.MAXIFS(Tabelle5[[#This Row],[value_points]], Tabelle5[[#This Row],[company_id]],Tabelle18[[#This Row],[company_id]], Tabelle5[[#This Row],[value_id]], Tabelle18[[#This Row],[value_id]], Tabelle5[[#This Row],[value_present]],"1")</f>
        <v>0</v>
      </c>
    </row>
    <row r="206" spans="1:5" x14ac:dyDescent="0.25">
      <c r="A206">
        <v>12</v>
      </c>
      <c r="B206" t="s">
        <v>98</v>
      </c>
      <c r="C206" s="4">
        <f>IF(Tabelle18[[#This Row],[binding_level_company]]&gt;=1,1,0)</f>
        <v>0</v>
      </c>
      <c r="D206" s="4">
        <f>_xlfn.MAXIFS(Tabelle5[[#This Row],[binding_level]], Tabelle5[[#This Row],[company_id]],Tabelle18[[#This Row],[company_id]], Tabelle5[[#This Row],[value_id]], Tabelle18[[#This Row],[value_id]], Tabelle5[[#This Row],[value_present]],"1")</f>
        <v>0</v>
      </c>
      <c r="E206" s="4">
        <f>_xlfn.MAXIFS(Tabelle5[[#This Row],[value_points]], Tabelle5[[#This Row],[company_id]],Tabelle18[[#This Row],[company_id]], Tabelle5[[#This Row],[value_id]], Tabelle18[[#This Row],[value_id]], Tabelle5[[#This Row],[value_present]],"1")</f>
        <v>0</v>
      </c>
    </row>
    <row r="207" spans="1:5" x14ac:dyDescent="0.25">
      <c r="A207">
        <v>12</v>
      </c>
      <c r="B207" t="s">
        <v>106</v>
      </c>
      <c r="C207" s="4">
        <f>IF(Tabelle18[[#This Row],[binding_level_company]]&gt;=1,1,0)</f>
        <v>0</v>
      </c>
      <c r="D207" s="4">
        <f>_xlfn.MAXIFS(Tabelle5[[#This Row],[binding_level]], Tabelle5[[#This Row],[company_id]],Tabelle18[[#This Row],[company_id]], Tabelle5[[#This Row],[value_id]], Tabelle18[[#This Row],[value_id]], Tabelle5[[#This Row],[value_present]],"1")</f>
        <v>0</v>
      </c>
      <c r="E207" s="4">
        <f>_xlfn.MAXIFS(Tabelle5[[#This Row],[value_points]], Tabelle5[[#This Row],[company_id]],Tabelle18[[#This Row],[company_id]], Tabelle5[[#This Row],[value_id]], Tabelle18[[#This Row],[value_id]], Tabelle5[[#This Row],[value_present]],"1")</f>
        <v>0</v>
      </c>
    </row>
    <row r="208" spans="1:5" x14ac:dyDescent="0.25">
      <c r="A208">
        <v>12</v>
      </c>
      <c r="B208" t="s">
        <v>112</v>
      </c>
      <c r="C208" s="4">
        <f>IF(Tabelle18[[#This Row],[binding_level_company]]&gt;=1,1,0)</f>
        <v>0</v>
      </c>
      <c r="D208" s="4">
        <f>_xlfn.MAXIFS(Tabelle5[[#This Row],[binding_level]], Tabelle5[[#This Row],[company_id]],Tabelle18[[#This Row],[company_id]], Tabelle5[[#This Row],[value_id]], Tabelle18[[#This Row],[value_id]], Tabelle5[[#This Row],[value_present]],"1")</f>
        <v>0</v>
      </c>
      <c r="E208" s="4">
        <f>_xlfn.MAXIFS(Tabelle5[[#This Row],[value_points]], Tabelle5[[#This Row],[company_id]],Tabelle18[[#This Row],[company_id]], Tabelle5[[#This Row],[value_id]], Tabelle18[[#This Row],[value_id]], Tabelle5[[#This Row],[value_present]],"1")</f>
        <v>0</v>
      </c>
    </row>
    <row r="209" spans="1:5" x14ac:dyDescent="0.25">
      <c r="A209">
        <v>12</v>
      </c>
      <c r="B209" t="s">
        <v>118</v>
      </c>
      <c r="C209" s="4">
        <f>IF(Tabelle18[[#This Row],[binding_level_company]]&gt;=1,1,0)</f>
        <v>0</v>
      </c>
      <c r="D209" s="4">
        <f>_xlfn.MAXIFS(Tabelle5[[#This Row],[binding_level]], Tabelle5[[#This Row],[company_id]],Tabelle18[[#This Row],[company_id]], Tabelle5[[#This Row],[value_id]], Tabelle18[[#This Row],[value_id]], Tabelle5[[#This Row],[value_present]],"1")</f>
        <v>0</v>
      </c>
      <c r="E209" s="4">
        <f>_xlfn.MAXIFS(Tabelle5[[#This Row],[value_points]], Tabelle5[[#This Row],[company_id]],Tabelle18[[#This Row],[company_id]], Tabelle5[[#This Row],[value_id]], Tabelle18[[#This Row],[value_id]], Tabelle5[[#This Row],[value_present]],"1")</f>
        <v>0</v>
      </c>
    </row>
    <row r="210" spans="1:5" x14ac:dyDescent="0.25">
      <c r="A210">
        <v>12</v>
      </c>
      <c r="B210" t="s">
        <v>125</v>
      </c>
      <c r="C210" s="4">
        <f>IF(Tabelle18[[#This Row],[binding_level_company]]&gt;=1,1,0)</f>
        <v>0</v>
      </c>
      <c r="D210" s="4">
        <f>_xlfn.MAXIFS(Tabelle5[[#This Row],[binding_level]], Tabelle5[[#This Row],[company_id]],Tabelle18[[#This Row],[company_id]], Tabelle5[[#This Row],[value_id]], Tabelle18[[#This Row],[value_id]], Tabelle5[[#This Row],[value_present]],"1")</f>
        <v>0</v>
      </c>
      <c r="E210" s="4">
        <f>_xlfn.MAXIFS(Tabelle5[[#This Row],[value_points]], Tabelle5[[#This Row],[company_id]],Tabelle18[[#This Row],[company_id]], Tabelle5[[#This Row],[value_id]], Tabelle18[[#This Row],[value_id]], Tabelle5[[#This Row],[value_present]],"1")</f>
        <v>0</v>
      </c>
    </row>
    <row r="211" spans="1:5" x14ac:dyDescent="0.25">
      <c r="A211">
        <v>12</v>
      </c>
      <c r="B211" t="s">
        <v>132</v>
      </c>
      <c r="C211" s="4">
        <f>IF(Tabelle18[[#This Row],[binding_level_company]]&gt;=1,1,0)</f>
        <v>0</v>
      </c>
      <c r="D211" s="4">
        <f>_xlfn.MAXIFS(Tabelle5[[#This Row],[binding_level]], Tabelle5[[#This Row],[company_id]],Tabelle18[[#This Row],[company_id]], Tabelle5[[#This Row],[value_id]], Tabelle18[[#This Row],[value_id]], Tabelle5[[#This Row],[value_present]],"1")</f>
        <v>0</v>
      </c>
      <c r="E211" s="4">
        <f>_xlfn.MAXIFS(Tabelle5[[#This Row],[value_points]], Tabelle5[[#This Row],[company_id]],Tabelle18[[#This Row],[company_id]], Tabelle5[[#This Row],[value_id]], Tabelle18[[#This Row],[value_id]], Tabelle5[[#This Row],[value_present]],"1")</f>
        <v>0</v>
      </c>
    </row>
    <row r="212" spans="1:5" x14ac:dyDescent="0.25">
      <c r="A212">
        <v>12</v>
      </c>
      <c r="B212" t="s">
        <v>140</v>
      </c>
      <c r="C212" s="4">
        <f>IF(Tabelle18[[#This Row],[binding_level_company]]&gt;=1,1,0)</f>
        <v>0</v>
      </c>
      <c r="D212" s="4">
        <f>_xlfn.MAXIFS(Tabelle5[[#This Row],[binding_level]], Tabelle5[[#This Row],[company_id]],Tabelle18[[#This Row],[company_id]], Tabelle5[[#This Row],[value_id]], Tabelle18[[#This Row],[value_id]], Tabelle5[[#This Row],[value_present]],"1")</f>
        <v>0</v>
      </c>
      <c r="E212" s="4">
        <f>_xlfn.MAXIFS(Tabelle5[[#This Row],[value_points]], Tabelle5[[#This Row],[company_id]],Tabelle18[[#This Row],[company_id]], Tabelle5[[#This Row],[value_id]], Tabelle18[[#This Row],[value_id]], Tabelle5[[#This Row],[value_present]],"1")</f>
        <v>0</v>
      </c>
    </row>
    <row r="213" spans="1:5" x14ac:dyDescent="0.25">
      <c r="A213">
        <v>12</v>
      </c>
      <c r="B213" t="s">
        <v>147</v>
      </c>
      <c r="C213" s="4">
        <f>IF(Tabelle18[[#This Row],[binding_level_company]]&gt;=1,1,0)</f>
        <v>0</v>
      </c>
      <c r="D213" s="4">
        <f>_xlfn.MAXIFS(Tabelle5[[#This Row],[binding_level]], Tabelle5[[#This Row],[company_id]],Tabelle18[[#This Row],[company_id]], Tabelle5[[#This Row],[value_id]], Tabelle18[[#This Row],[value_id]], Tabelle5[[#This Row],[value_present]],"1")</f>
        <v>0</v>
      </c>
      <c r="E213" s="4">
        <f>_xlfn.MAXIFS(Tabelle5[[#This Row],[value_points]], Tabelle5[[#This Row],[company_id]],Tabelle18[[#This Row],[company_id]], Tabelle5[[#This Row],[value_id]], Tabelle18[[#This Row],[value_id]], Tabelle5[[#This Row],[value_present]],"1")</f>
        <v>0</v>
      </c>
    </row>
    <row r="214" spans="1:5" x14ac:dyDescent="0.25">
      <c r="A214">
        <v>12</v>
      </c>
      <c r="B214" t="s">
        <v>154</v>
      </c>
      <c r="C214" s="4">
        <f>IF(Tabelle18[[#This Row],[binding_level_company]]&gt;=1,1,0)</f>
        <v>0</v>
      </c>
      <c r="D214" s="4">
        <f>_xlfn.MAXIFS(Tabelle5[[#This Row],[binding_level]], Tabelle5[[#This Row],[company_id]],Tabelle18[[#This Row],[company_id]], Tabelle5[[#This Row],[value_id]], Tabelle18[[#This Row],[value_id]], Tabelle5[[#This Row],[value_present]],"1")</f>
        <v>0</v>
      </c>
      <c r="E214" s="4">
        <f>_xlfn.MAXIFS(Tabelle5[[#This Row],[value_points]], Tabelle5[[#This Row],[company_id]],Tabelle18[[#This Row],[company_id]], Tabelle5[[#This Row],[value_id]], Tabelle18[[#This Row],[value_id]], Tabelle5[[#This Row],[value_present]],"1")</f>
        <v>0</v>
      </c>
    </row>
    <row r="215" spans="1:5" x14ac:dyDescent="0.25">
      <c r="A215">
        <v>12</v>
      </c>
      <c r="B215" t="s">
        <v>161</v>
      </c>
      <c r="C215" s="4">
        <f>IF(Tabelle18[[#This Row],[binding_level_company]]&gt;=1,1,0)</f>
        <v>0</v>
      </c>
      <c r="D215" s="4">
        <f>_xlfn.MAXIFS(Tabelle5[[#This Row],[binding_level]], Tabelle5[[#This Row],[company_id]],Tabelle18[[#This Row],[company_id]], Tabelle5[[#This Row],[value_id]], Tabelle18[[#This Row],[value_id]], Tabelle5[[#This Row],[value_present]],"1")</f>
        <v>0</v>
      </c>
      <c r="E215" s="4">
        <f>_xlfn.MAXIFS(Tabelle5[[#This Row],[value_points]], Tabelle5[[#This Row],[company_id]],Tabelle18[[#This Row],[company_id]], Tabelle5[[#This Row],[value_id]], Tabelle18[[#This Row],[value_id]], Tabelle5[[#This Row],[value_present]],"1")</f>
        <v>0</v>
      </c>
    </row>
    <row r="216" spans="1:5" x14ac:dyDescent="0.25">
      <c r="A216">
        <v>12</v>
      </c>
      <c r="B216" t="s">
        <v>166</v>
      </c>
      <c r="C216" s="4">
        <f>IF(Tabelle18[[#This Row],[binding_level_company]]&gt;=1,1,0)</f>
        <v>0</v>
      </c>
      <c r="D216" s="4">
        <f>_xlfn.MAXIFS(Tabelle5[[#This Row],[binding_level]], Tabelle5[[#This Row],[company_id]],Tabelle18[[#This Row],[company_id]], Tabelle5[[#This Row],[value_id]], Tabelle18[[#This Row],[value_id]], Tabelle5[[#This Row],[value_present]],"1")</f>
        <v>0</v>
      </c>
      <c r="E216" s="4">
        <f>_xlfn.MAXIFS(Tabelle5[[#This Row],[value_points]], Tabelle5[[#This Row],[company_id]],Tabelle18[[#This Row],[company_id]], Tabelle5[[#This Row],[value_id]], Tabelle18[[#This Row],[value_id]], Tabelle5[[#This Row],[value_present]],"1")</f>
        <v>0</v>
      </c>
    </row>
    <row r="217" spans="1:5" ht="15.75" thickBot="1" x14ac:dyDescent="0.3">
      <c r="A217">
        <v>12</v>
      </c>
      <c r="B217" s="30" t="s">
        <v>174</v>
      </c>
      <c r="C217" s="4">
        <f>IF(Tabelle18[[#This Row],[binding_level_company]]&gt;=1,1,0)</f>
        <v>0</v>
      </c>
      <c r="D217" s="4">
        <f>_xlfn.MAXIFS(Tabelle5[[#This Row],[binding_level]], Tabelle5[[#This Row],[company_id]],Tabelle18[[#This Row],[company_id]], Tabelle5[[#This Row],[value_id]], Tabelle18[[#This Row],[value_id]], Tabelle5[[#This Row],[value_present]],"1")</f>
        <v>0</v>
      </c>
      <c r="E217" s="4">
        <f>_xlfn.MAXIFS(Tabelle5[[#This Row],[value_points]], Tabelle5[[#This Row],[company_id]],Tabelle18[[#This Row],[company_id]], Tabelle5[[#This Row],[value_id]], Tabelle18[[#This Row],[value_id]], Tabelle5[[#This Row],[value_present]],"1")</f>
        <v>0</v>
      </c>
    </row>
    <row r="218" spans="1:5" x14ac:dyDescent="0.25">
      <c r="A218">
        <v>13</v>
      </c>
      <c r="B218" s="22" t="s">
        <v>53</v>
      </c>
      <c r="C218" s="4">
        <f>IF(Tabelle18[[#This Row],[binding_level_company]]&gt;=1,1,0)</f>
        <v>0</v>
      </c>
      <c r="D218" s="4">
        <f>_xlfn.MAXIFS(Tabelle5[[#This Row],[binding_level]], Tabelle5[[#This Row],[company_id]],Tabelle18[[#This Row],[company_id]], Tabelle5[[#This Row],[value_id]], Tabelle18[[#This Row],[value_id]], Tabelle5[[#This Row],[value_present]],"1")</f>
        <v>0</v>
      </c>
      <c r="E218" s="4">
        <f>_xlfn.MAXIFS(Tabelle5[[#This Row],[value_points]], Tabelle5[[#This Row],[company_id]],Tabelle18[[#This Row],[company_id]], Tabelle5[[#This Row],[value_id]], Tabelle18[[#This Row],[value_id]], Tabelle5[[#This Row],[value_present]],"1")</f>
        <v>0</v>
      </c>
    </row>
    <row r="219" spans="1:5" x14ac:dyDescent="0.25">
      <c r="A219">
        <v>13</v>
      </c>
      <c r="B219" t="s">
        <v>61</v>
      </c>
      <c r="C219" s="4">
        <f>IF(Tabelle18[[#This Row],[binding_level_company]]&gt;=1,1,0)</f>
        <v>0</v>
      </c>
      <c r="D219" s="4">
        <f>_xlfn.MAXIFS(Tabelle5[[#This Row],[binding_level]], Tabelle5[[#This Row],[company_id]],Tabelle18[[#This Row],[company_id]], Tabelle5[[#This Row],[value_id]], Tabelle18[[#This Row],[value_id]], Tabelle5[[#This Row],[value_present]],"1")</f>
        <v>0</v>
      </c>
      <c r="E219" s="4">
        <f>_xlfn.MAXIFS(Tabelle5[[#This Row],[value_points]], Tabelle5[[#This Row],[company_id]],Tabelle18[[#This Row],[company_id]], Tabelle5[[#This Row],[value_id]], Tabelle18[[#This Row],[value_id]], Tabelle5[[#This Row],[value_present]],"1")</f>
        <v>0</v>
      </c>
    </row>
    <row r="220" spans="1:5" x14ac:dyDescent="0.25">
      <c r="A220">
        <v>13</v>
      </c>
      <c r="B220" t="s">
        <v>69</v>
      </c>
      <c r="C220" s="4">
        <f>IF(Tabelle18[[#This Row],[binding_level_company]]&gt;=1,1,0)</f>
        <v>0</v>
      </c>
      <c r="D220" s="4">
        <f>_xlfn.MAXIFS(Tabelle5[[#This Row],[binding_level]], Tabelle5[[#This Row],[company_id]],Tabelle18[[#This Row],[company_id]], Tabelle5[[#This Row],[value_id]], Tabelle18[[#This Row],[value_id]], Tabelle5[[#This Row],[value_present]],"1")</f>
        <v>0</v>
      </c>
      <c r="E220" s="4">
        <f>_xlfn.MAXIFS(Tabelle5[[#This Row],[value_points]], Tabelle5[[#This Row],[company_id]],Tabelle18[[#This Row],[company_id]], Tabelle5[[#This Row],[value_id]], Tabelle18[[#This Row],[value_id]], Tabelle5[[#This Row],[value_present]],"1")</f>
        <v>0</v>
      </c>
    </row>
    <row r="221" spans="1:5" x14ac:dyDescent="0.25">
      <c r="A221">
        <v>13</v>
      </c>
      <c r="B221" t="s">
        <v>76</v>
      </c>
      <c r="C221" s="4">
        <f>IF(Tabelle18[[#This Row],[binding_level_company]]&gt;=1,1,0)</f>
        <v>0</v>
      </c>
      <c r="D221" s="4">
        <f>_xlfn.MAXIFS(Tabelle5[[#This Row],[binding_level]], Tabelle5[[#This Row],[company_id]],Tabelle18[[#This Row],[company_id]], Tabelle5[[#This Row],[value_id]], Tabelle18[[#This Row],[value_id]], Tabelle5[[#This Row],[value_present]],"1")</f>
        <v>0</v>
      </c>
      <c r="E221" s="4">
        <f>_xlfn.MAXIFS(Tabelle5[[#This Row],[value_points]], Tabelle5[[#This Row],[company_id]],Tabelle18[[#This Row],[company_id]], Tabelle5[[#This Row],[value_id]], Tabelle18[[#This Row],[value_id]], Tabelle5[[#This Row],[value_present]],"1")</f>
        <v>0</v>
      </c>
    </row>
    <row r="222" spans="1:5" x14ac:dyDescent="0.25">
      <c r="A222">
        <v>13</v>
      </c>
      <c r="B222" t="s">
        <v>83</v>
      </c>
      <c r="C222" s="4">
        <f>IF(Tabelle18[[#This Row],[binding_level_company]]&gt;=1,1,0)</f>
        <v>0</v>
      </c>
      <c r="D222" s="4">
        <f>_xlfn.MAXIFS(Tabelle5[[#This Row],[binding_level]], Tabelle5[[#This Row],[company_id]],Tabelle18[[#This Row],[company_id]], Tabelle5[[#This Row],[value_id]], Tabelle18[[#This Row],[value_id]], Tabelle5[[#This Row],[value_present]],"1")</f>
        <v>0</v>
      </c>
      <c r="E222" s="4">
        <f>_xlfn.MAXIFS(Tabelle5[[#This Row],[value_points]], Tabelle5[[#This Row],[company_id]],Tabelle18[[#This Row],[company_id]], Tabelle5[[#This Row],[value_id]], Tabelle18[[#This Row],[value_id]], Tabelle5[[#This Row],[value_present]],"1")</f>
        <v>0</v>
      </c>
    </row>
    <row r="223" spans="1:5" x14ac:dyDescent="0.25">
      <c r="A223">
        <v>13</v>
      </c>
      <c r="B223" t="s">
        <v>90</v>
      </c>
      <c r="C223" s="4">
        <f>IF(Tabelle18[[#This Row],[binding_level_company]]&gt;=1,1,0)</f>
        <v>0</v>
      </c>
      <c r="D223" s="4">
        <f>_xlfn.MAXIFS(Tabelle5[[#This Row],[binding_level]], Tabelle5[[#This Row],[company_id]],Tabelle18[[#This Row],[company_id]], Tabelle5[[#This Row],[value_id]], Tabelle18[[#This Row],[value_id]], Tabelle5[[#This Row],[value_present]],"1")</f>
        <v>0</v>
      </c>
      <c r="E223" s="4">
        <f>_xlfn.MAXIFS(Tabelle5[[#This Row],[value_points]], Tabelle5[[#This Row],[company_id]],Tabelle18[[#This Row],[company_id]], Tabelle5[[#This Row],[value_id]], Tabelle18[[#This Row],[value_id]], Tabelle5[[#This Row],[value_present]],"1")</f>
        <v>0</v>
      </c>
    </row>
    <row r="224" spans="1:5" x14ac:dyDescent="0.25">
      <c r="A224">
        <v>13</v>
      </c>
      <c r="B224" t="s">
        <v>98</v>
      </c>
      <c r="C224" s="4">
        <f>IF(Tabelle18[[#This Row],[binding_level_company]]&gt;=1,1,0)</f>
        <v>0</v>
      </c>
      <c r="D224" s="4">
        <f>_xlfn.MAXIFS(Tabelle5[[#This Row],[binding_level]], Tabelle5[[#This Row],[company_id]],Tabelle18[[#This Row],[company_id]], Tabelle5[[#This Row],[value_id]], Tabelle18[[#This Row],[value_id]], Tabelle5[[#This Row],[value_present]],"1")</f>
        <v>0</v>
      </c>
      <c r="E224" s="4">
        <f>_xlfn.MAXIFS(Tabelle5[[#This Row],[value_points]], Tabelle5[[#This Row],[company_id]],Tabelle18[[#This Row],[company_id]], Tabelle5[[#This Row],[value_id]], Tabelle18[[#This Row],[value_id]], Tabelle5[[#This Row],[value_present]],"1")</f>
        <v>0</v>
      </c>
    </row>
    <row r="225" spans="1:5" x14ac:dyDescent="0.25">
      <c r="A225">
        <v>13</v>
      </c>
      <c r="B225" t="s">
        <v>106</v>
      </c>
      <c r="C225" s="4">
        <f>IF(Tabelle18[[#This Row],[binding_level_company]]&gt;=1,1,0)</f>
        <v>0</v>
      </c>
      <c r="D225" s="4">
        <f>_xlfn.MAXIFS(Tabelle5[[#This Row],[binding_level]], Tabelle5[[#This Row],[company_id]],Tabelle18[[#This Row],[company_id]], Tabelle5[[#This Row],[value_id]], Tabelle18[[#This Row],[value_id]], Tabelle5[[#This Row],[value_present]],"1")</f>
        <v>0</v>
      </c>
      <c r="E225" s="4">
        <f>_xlfn.MAXIFS(Tabelle5[[#This Row],[value_points]], Tabelle5[[#This Row],[company_id]],Tabelle18[[#This Row],[company_id]], Tabelle5[[#This Row],[value_id]], Tabelle18[[#This Row],[value_id]], Tabelle5[[#This Row],[value_present]],"1")</f>
        <v>0</v>
      </c>
    </row>
    <row r="226" spans="1:5" x14ac:dyDescent="0.25">
      <c r="A226">
        <v>13</v>
      </c>
      <c r="B226" t="s">
        <v>112</v>
      </c>
      <c r="C226" s="4">
        <f>IF(Tabelle18[[#This Row],[binding_level_company]]&gt;=1,1,0)</f>
        <v>0</v>
      </c>
      <c r="D226" s="4">
        <f>_xlfn.MAXIFS(Tabelle5[[#This Row],[binding_level]], Tabelle5[[#This Row],[company_id]],Tabelle18[[#This Row],[company_id]], Tabelle5[[#This Row],[value_id]], Tabelle18[[#This Row],[value_id]], Tabelle5[[#This Row],[value_present]],"1")</f>
        <v>0</v>
      </c>
      <c r="E226" s="4">
        <f>_xlfn.MAXIFS(Tabelle5[[#This Row],[value_points]], Tabelle5[[#This Row],[company_id]],Tabelle18[[#This Row],[company_id]], Tabelle5[[#This Row],[value_id]], Tabelle18[[#This Row],[value_id]], Tabelle5[[#This Row],[value_present]],"1")</f>
        <v>0</v>
      </c>
    </row>
    <row r="227" spans="1:5" x14ac:dyDescent="0.25">
      <c r="A227">
        <v>13</v>
      </c>
      <c r="B227" t="s">
        <v>118</v>
      </c>
      <c r="C227" s="4">
        <f>IF(Tabelle18[[#This Row],[binding_level_company]]&gt;=1,1,0)</f>
        <v>0</v>
      </c>
      <c r="D227" s="4">
        <f>_xlfn.MAXIFS(Tabelle5[[#This Row],[binding_level]], Tabelle5[[#This Row],[company_id]],Tabelle18[[#This Row],[company_id]], Tabelle5[[#This Row],[value_id]], Tabelle18[[#This Row],[value_id]], Tabelle5[[#This Row],[value_present]],"1")</f>
        <v>0</v>
      </c>
      <c r="E227" s="4">
        <f>_xlfn.MAXIFS(Tabelle5[[#This Row],[value_points]], Tabelle5[[#This Row],[company_id]],Tabelle18[[#This Row],[company_id]], Tabelle5[[#This Row],[value_id]], Tabelle18[[#This Row],[value_id]], Tabelle5[[#This Row],[value_present]],"1")</f>
        <v>0</v>
      </c>
    </row>
    <row r="228" spans="1:5" x14ac:dyDescent="0.25">
      <c r="A228">
        <v>13</v>
      </c>
      <c r="B228" t="s">
        <v>125</v>
      </c>
      <c r="C228" s="4">
        <f>IF(Tabelle18[[#This Row],[binding_level_company]]&gt;=1,1,0)</f>
        <v>0</v>
      </c>
      <c r="D228" s="4">
        <f>_xlfn.MAXIFS(Tabelle5[[#This Row],[binding_level]], Tabelle5[[#This Row],[company_id]],Tabelle18[[#This Row],[company_id]], Tabelle5[[#This Row],[value_id]], Tabelle18[[#This Row],[value_id]], Tabelle5[[#This Row],[value_present]],"1")</f>
        <v>0</v>
      </c>
      <c r="E228" s="4">
        <f>_xlfn.MAXIFS(Tabelle5[[#This Row],[value_points]], Tabelle5[[#This Row],[company_id]],Tabelle18[[#This Row],[company_id]], Tabelle5[[#This Row],[value_id]], Tabelle18[[#This Row],[value_id]], Tabelle5[[#This Row],[value_present]],"1")</f>
        <v>0</v>
      </c>
    </row>
    <row r="229" spans="1:5" x14ac:dyDescent="0.25">
      <c r="A229">
        <v>13</v>
      </c>
      <c r="B229" t="s">
        <v>132</v>
      </c>
      <c r="C229" s="4">
        <f>IF(Tabelle18[[#This Row],[binding_level_company]]&gt;=1,1,0)</f>
        <v>0</v>
      </c>
      <c r="D229" s="4">
        <f>_xlfn.MAXIFS(Tabelle5[[#This Row],[binding_level]], Tabelle5[[#This Row],[company_id]],Tabelle18[[#This Row],[company_id]], Tabelle5[[#This Row],[value_id]], Tabelle18[[#This Row],[value_id]], Tabelle5[[#This Row],[value_present]],"1")</f>
        <v>0</v>
      </c>
      <c r="E229" s="4">
        <f>_xlfn.MAXIFS(Tabelle5[[#This Row],[value_points]], Tabelle5[[#This Row],[company_id]],Tabelle18[[#This Row],[company_id]], Tabelle5[[#This Row],[value_id]], Tabelle18[[#This Row],[value_id]], Tabelle5[[#This Row],[value_present]],"1")</f>
        <v>0</v>
      </c>
    </row>
    <row r="230" spans="1:5" x14ac:dyDescent="0.25">
      <c r="A230">
        <v>13</v>
      </c>
      <c r="B230" t="s">
        <v>140</v>
      </c>
      <c r="C230" s="4">
        <f>IF(Tabelle18[[#This Row],[binding_level_company]]&gt;=1,1,0)</f>
        <v>0</v>
      </c>
      <c r="D230" s="4">
        <f>_xlfn.MAXIFS(Tabelle5[[#This Row],[binding_level]], Tabelle5[[#This Row],[company_id]],Tabelle18[[#This Row],[company_id]], Tabelle5[[#This Row],[value_id]], Tabelle18[[#This Row],[value_id]], Tabelle5[[#This Row],[value_present]],"1")</f>
        <v>0</v>
      </c>
      <c r="E230" s="4">
        <f>_xlfn.MAXIFS(Tabelle5[[#This Row],[value_points]], Tabelle5[[#This Row],[company_id]],Tabelle18[[#This Row],[company_id]], Tabelle5[[#This Row],[value_id]], Tabelle18[[#This Row],[value_id]], Tabelle5[[#This Row],[value_present]],"1")</f>
        <v>0</v>
      </c>
    </row>
    <row r="231" spans="1:5" x14ac:dyDescent="0.25">
      <c r="A231">
        <v>13</v>
      </c>
      <c r="B231" t="s">
        <v>147</v>
      </c>
      <c r="C231" s="4">
        <f>IF(Tabelle18[[#This Row],[binding_level_company]]&gt;=1,1,0)</f>
        <v>0</v>
      </c>
      <c r="D231" s="4">
        <f>_xlfn.MAXIFS(Tabelle5[[#This Row],[binding_level]], Tabelle5[[#This Row],[company_id]],Tabelle18[[#This Row],[company_id]], Tabelle5[[#This Row],[value_id]], Tabelle18[[#This Row],[value_id]], Tabelle5[[#This Row],[value_present]],"1")</f>
        <v>0</v>
      </c>
      <c r="E231" s="4">
        <f>_xlfn.MAXIFS(Tabelle5[[#This Row],[value_points]], Tabelle5[[#This Row],[company_id]],Tabelle18[[#This Row],[company_id]], Tabelle5[[#This Row],[value_id]], Tabelle18[[#This Row],[value_id]], Tabelle5[[#This Row],[value_present]],"1")</f>
        <v>0</v>
      </c>
    </row>
    <row r="232" spans="1:5" x14ac:dyDescent="0.25">
      <c r="A232">
        <v>13</v>
      </c>
      <c r="B232" t="s">
        <v>154</v>
      </c>
      <c r="C232" s="4">
        <f>IF(Tabelle18[[#This Row],[binding_level_company]]&gt;=1,1,0)</f>
        <v>0</v>
      </c>
      <c r="D232" s="4">
        <f>_xlfn.MAXIFS(Tabelle5[[#This Row],[binding_level]], Tabelle5[[#This Row],[company_id]],Tabelle18[[#This Row],[company_id]], Tabelle5[[#This Row],[value_id]], Tabelle18[[#This Row],[value_id]], Tabelle5[[#This Row],[value_present]],"1")</f>
        <v>0</v>
      </c>
      <c r="E232" s="4">
        <f>_xlfn.MAXIFS(Tabelle5[[#This Row],[value_points]], Tabelle5[[#This Row],[company_id]],Tabelle18[[#This Row],[company_id]], Tabelle5[[#This Row],[value_id]], Tabelle18[[#This Row],[value_id]], Tabelle5[[#This Row],[value_present]],"1")</f>
        <v>0</v>
      </c>
    </row>
    <row r="233" spans="1:5" x14ac:dyDescent="0.25">
      <c r="A233">
        <v>13</v>
      </c>
      <c r="B233" t="s">
        <v>161</v>
      </c>
      <c r="C233" s="4">
        <f>IF(Tabelle18[[#This Row],[binding_level_company]]&gt;=1,1,0)</f>
        <v>0</v>
      </c>
      <c r="D233" s="4">
        <f>_xlfn.MAXIFS(Tabelle5[[#This Row],[binding_level]], Tabelle5[[#This Row],[company_id]],Tabelle18[[#This Row],[company_id]], Tabelle5[[#This Row],[value_id]], Tabelle18[[#This Row],[value_id]], Tabelle5[[#This Row],[value_present]],"1")</f>
        <v>0</v>
      </c>
      <c r="E233" s="4">
        <f>_xlfn.MAXIFS(Tabelle5[[#This Row],[value_points]], Tabelle5[[#This Row],[company_id]],Tabelle18[[#This Row],[company_id]], Tabelle5[[#This Row],[value_id]], Tabelle18[[#This Row],[value_id]], Tabelle5[[#This Row],[value_present]],"1")</f>
        <v>0</v>
      </c>
    </row>
    <row r="234" spans="1:5" x14ac:dyDescent="0.25">
      <c r="A234">
        <v>13</v>
      </c>
      <c r="B234" t="s">
        <v>166</v>
      </c>
      <c r="C234" s="4">
        <f>IF(Tabelle18[[#This Row],[binding_level_company]]&gt;=1,1,0)</f>
        <v>0</v>
      </c>
      <c r="D234" s="4">
        <f>_xlfn.MAXIFS(Tabelle5[[#This Row],[binding_level]], Tabelle5[[#This Row],[company_id]],Tabelle18[[#This Row],[company_id]], Tabelle5[[#This Row],[value_id]], Tabelle18[[#This Row],[value_id]], Tabelle5[[#This Row],[value_present]],"1")</f>
        <v>0</v>
      </c>
      <c r="E234" s="4">
        <f>_xlfn.MAXIFS(Tabelle5[[#This Row],[value_points]], Tabelle5[[#This Row],[company_id]],Tabelle18[[#This Row],[company_id]], Tabelle5[[#This Row],[value_id]], Tabelle18[[#This Row],[value_id]], Tabelle5[[#This Row],[value_present]],"1")</f>
        <v>0</v>
      </c>
    </row>
    <row r="235" spans="1:5" ht="15.75" thickBot="1" x14ac:dyDescent="0.3">
      <c r="A235">
        <v>13</v>
      </c>
      <c r="B235" s="30" t="s">
        <v>174</v>
      </c>
      <c r="C235" s="4">
        <f>IF(Tabelle18[[#This Row],[binding_level_company]]&gt;=1,1,0)</f>
        <v>0</v>
      </c>
      <c r="D235" s="4">
        <f>_xlfn.MAXIFS(Tabelle5[[#This Row],[binding_level]], Tabelle5[[#This Row],[company_id]],Tabelle18[[#This Row],[company_id]], Tabelle5[[#This Row],[value_id]], Tabelle18[[#This Row],[value_id]], Tabelle5[[#This Row],[value_present]],"1")</f>
        <v>0</v>
      </c>
      <c r="E235" s="4">
        <f>_xlfn.MAXIFS(Tabelle5[[#This Row],[value_points]], Tabelle5[[#This Row],[company_id]],Tabelle18[[#This Row],[company_id]], Tabelle5[[#This Row],[value_id]], Tabelle18[[#This Row],[value_id]], Tabelle5[[#This Row],[value_present]],"1")</f>
        <v>0</v>
      </c>
    </row>
    <row r="236" spans="1:5" x14ac:dyDescent="0.25">
      <c r="A236">
        <v>14</v>
      </c>
      <c r="B236" s="22" t="s">
        <v>53</v>
      </c>
      <c r="C236" s="4">
        <f>IF(Tabelle18[[#This Row],[binding_level_company]]&gt;=1,1,0)</f>
        <v>0</v>
      </c>
      <c r="D236" s="4">
        <f>_xlfn.MAXIFS(Tabelle5[[#This Row],[binding_level]], Tabelle5[[#This Row],[company_id]],Tabelle18[[#This Row],[company_id]], Tabelle5[[#This Row],[value_id]], Tabelle18[[#This Row],[value_id]], Tabelle5[[#This Row],[value_present]],"1")</f>
        <v>0</v>
      </c>
      <c r="E236" s="4">
        <f>_xlfn.MAXIFS(Tabelle5[[#This Row],[value_points]], Tabelle5[[#This Row],[company_id]],Tabelle18[[#This Row],[company_id]], Tabelle5[[#This Row],[value_id]], Tabelle18[[#This Row],[value_id]], Tabelle5[[#This Row],[value_present]],"1")</f>
        <v>0</v>
      </c>
    </row>
    <row r="237" spans="1:5" x14ac:dyDescent="0.25">
      <c r="A237">
        <v>14</v>
      </c>
      <c r="B237" t="s">
        <v>61</v>
      </c>
      <c r="C237" s="4">
        <f>IF(Tabelle18[[#This Row],[binding_level_company]]&gt;=1,1,0)</f>
        <v>0</v>
      </c>
      <c r="D237" s="4">
        <f>_xlfn.MAXIFS(Tabelle5[[#This Row],[binding_level]], Tabelle5[[#This Row],[company_id]],Tabelle18[[#This Row],[company_id]], Tabelle5[[#This Row],[value_id]], Tabelle18[[#This Row],[value_id]], Tabelle5[[#This Row],[value_present]],"1")</f>
        <v>0</v>
      </c>
      <c r="E237" s="4">
        <f>_xlfn.MAXIFS(Tabelle5[[#This Row],[value_points]], Tabelle5[[#This Row],[company_id]],Tabelle18[[#This Row],[company_id]], Tabelle5[[#This Row],[value_id]], Tabelle18[[#This Row],[value_id]], Tabelle5[[#This Row],[value_present]],"1")</f>
        <v>0</v>
      </c>
    </row>
    <row r="238" spans="1:5" x14ac:dyDescent="0.25">
      <c r="A238">
        <v>14</v>
      </c>
      <c r="B238" t="s">
        <v>69</v>
      </c>
      <c r="C238" s="4">
        <f>IF(Tabelle18[[#This Row],[binding_level_company]]&gt;=1,1,0)</f>
        <v>0</v>
      </c>
      <c r="D238" s="4">
        <f>_xlfn.MAXIFS(Tabelle5[[#This Row],[binding_level]], Tabelle5[[#This Row],[company_id]],Tabelle18[[#This Row],[company_id]], Tabelle5[[#This Row],[value_id]], Tabelle18[[#This Row],[value_id]], Tabelle5[[#This Row],[value_present]],"1")</f>
        <v>0</v>
      </c>
      <c r="E238" s="4">
        <f>_xlfn.MAXIFS(Tabelle5[[#This Row],[value_points]], Tabelle5[[#This Row],[company_id]],Tabelle18[[#This Row],[company_id]], Tabelle5[[#This Row],[value_id]], Tabelle18[[#This Row],[value_id]], Tabelle5[[#This Row],[value_present]],"1")</f>
        <v>0</v>
      </c>
    </row>
    <row r="239" spans="1:5" x14ac:dyDescent="0.25">
      <c r="A239">
        <v>14</v>
      </c>
      <c r="B239" t="s">
        <v>76</v>
      </c>
      <c r="C239" s="4">
        <f>IF(Tabelle18[[#This Row],[binding_level_company]]&gt;=1,1,0)</f>
        <v>0</v>
      </c>
      <c r="D239" s="4">
        <f>_xlfn.MAXIFS(Tabelle5[[#This Row],[binding_level]], Tabelle5[[#This Row],[company_id]],Tabelle18[[#This Row],[company_id]], Tabelle5[[#This Row],[value_id]], Tabelle18[[#This Row],[value_id]], Tabelle5[[#This Row],[value_present]],"1")</f>
        <v>0</v>
      </c>
      <c r="E239" s="4">
        <f>_xlfn.MAXIFS(Tabelle5[[#This Row],[value_points]], Tabelle5[[#This Row],[company_id]],Tabelle18[[#This Row],[company_id]], Tabelle5[[#This Row],[value_id]], Tabelle18[[#This Row],[value_id]], Tabelle5[[#This Row],[value_present]],"1")</f>
        <v>0</v>
      </c>
    </row>
    <row r="240" spans="1:5" x14ac:dyDescent="0.25">
      <c r="A240">
        <v>14</v>
      </c>
      <c r="B240" t="s">
        <v>83</v>
      </c>
      <c r="C240" s="4">
        <f>IF(Tabelle18[[#This Row],[binding_level_company]]&gt;=1,1,0)</f>
        <v>0</v>
      </c>
      <c r="D240" s="4">
        <f>_xlfn.MAXIFS(Tabelle5[[#This Row],[binding_level]], Tabelle5[[#This Row],[company_id]],Tabelle18[[#This Row],[company_id]], Tabelle5[[#This Row],[value_id]], Tabelle18[[#This Row],[value_id]], Tabelle5[[#This Row],[value_present]],"1")</f>
        <v>0</v>
      </c>
      <c r="E240" s="4">
        <f>_xlfn.MAXIFS(Tabelle5[[#This Row],[value_points]], Tabelle5[[#This Row],[company_id]],Tabelle18[[#This Row],[company_id]], Tabelle5[[#This Row],[value_id]], Tabelle18[[#This Row],[value_id]], Tabelle5[[#This Row],[value_present]],"1")</f>
        <v>0</v>
      </c>
    </row>
    <row r="241" spans="1:5" x14ac:dyDescent="0.25">
      <c r="A241">
        <v>14</v>
      </c>
      <c r="B241" t="s">
        <v>90</v>
      </c>
      <c r="C241" s="4">
        <f>IF(Tabelle18[[#This Row],[binding_level_company]]&gt;=1,1,0)</f>
        <v>0</v>
      </c>
      <c r="D241" s="4">
        <f>_xlfn.MAXIFS(Tabelle5[[#This Row],[binding_level]], Tabelle5[[#This Row],[company_id]],Tabelle18[[#This Row],[company_id]], Tabelle5[[#This Row],[value_id]], Tabelle18[[#This Row],[value_id]], Tabelle5[[#This Row],[value_present]],"1")</f>
        <v>0</v>
      </c>
      <c r="E241" s="4">
        <f>_xlfn.MAXIFS(Tabelle5[[#This Row],[value_points]], Tabelle5[[#This Row],[company_id]],Tabelle18[[#This Row],[company_id]], Tabelle5[[#This Row],[value_id]], Tabelle18[[#This Row],[value_id]], Tabelle5[[#This Row],[value_present]],"1")</f>
        <v>0</v>
      </c>
    </row>
    <row r="242" spans="1:5" x14ac:dyDescent="0.25">
      <c r="A242">
        <v>14</v>
      </c>
      <c r="B242" t="s">
        <v>98</v>
      </c>
      <c r="C242" s="4">
        <f>IF(Tabelle18[[#This Row],[binding_level_company]]&gt;=1,1,0)</f>
        <v>0</v>
      </c>
      <c r="D242" s="4">
        <f>_xlfn.MAXIFS(Tabelle5[[#This Row],[binding_level]], Tabelle5[[#This Row],[company_id]],Tabelle18[[#This Row],[company_id]], Tabelle5[[#This Row],[value_id]], Tabelle18[[#This Row],[value_id]], Tabelle5[[#This Row],[value_present]],"1")</f>
        <v>0</v>
      </c>
      <c r="E242" s="4">
        <f>_xlfn.MAXIFS(Tabelle5[[#This Row],[value_points]], Tabelle5[[#This Row],[company_id]],Tabelle18[[#This Row],[company_id]], Tabelle5[[#This Row],[value_id]], Tabelle18[[#This Row],[value_id]], Tabelle5[[#This Row],[value_present]],"1")</f>
        <v>0</v>
      </c>
    </row>
    <row r="243" spans="1:5" x14ac:dyDescent="0.25">
      <c r="A243">
        <v>14</v>
      </c>
      <c r="B243" t="s">
        <v>106</v>
      </c>
      <c r="C243" s="4">
        <f>IF(Tabelle18[[#This Row],[binding_level_company]]&gt;=1,1,0)</f>
        <v>0</v>
      </c>
      <c r="D243" s="4">
        <f>_xlfn.MAXIFS(Tabelle5[[#This Row],[binding_level]], Tabelle5[[#This Row],[company_id]],Tabelle18[[#This Row],[company_id]], Tabelle5[[#This Row],[value_id]], Tabelle18[[#This Row],[value_id]], Tabelle5[[#This Row],[value_present]],"1")</f>
        <v>0</v>
      </c>
      <c r="E243" s="4">
        <f>_xlfn.MAXIFS(Tabelle5[[#This Row],[value_points]], Tabelle5[[#This Row],[company_id]],Tabelle18[[#This Row],[company_id]], Tabelle5[[#This Row],[value_id]], Tabelle18[[#This Row],[value_id]], Tabelle5[[#This Row],[value_present]],"1")</f>
        <v>0</v>
      </c>
    </row>
    <row r="244" spans="1:5" x14ac:dyDescent="0.25">
      <c r="A244">
        <v>14</v>
      </c>
      <c r="B244" t="s">
        <v>112</v>
      </c>
      <c r="C244" s="4">
        <f>IF(Tabelle18[[#This Row],[binding_level_company]]&gt;=1,1,0)</f>
        <v>0</v>
      </c>
      <c r="D244" s="4">
        <f>_xlfn.MAXIFS(Tabelle5[[#This Row],[binding_level]], Tabelle5[[#This Row],[company_id]],Tabelle18[[#This Row],[company_id]], Tabelle5[[#This Row],[value_id]], Tabelle18[[#This Row],[value_id]], Tabelle5[[#This Row],[value_present]],"1")</f>
        <v>0</v>
      </c>
      <c r="E244" s="4">
        <f>_xlfn.MAXIFS(Tabelle5[[#This Row],[value_points]], Tabelle5[[#This Row],[company_id]],Tabelle18[[#This Row],[company_id]], Tabelle5[[#This Row],[value_id]], Tabelle18[[#This Row],[value_id]], Tabelle5[[#This Row],[value_present]],"1")</f>
        <v>0</v>
      </c>
    </row>
    <row r="245" spans="1:5" x14ac:dyDescent="0.25">
      <c r="A245">
        <v>14</v>
      </c>
      <c r="B245" t="s">
        <v>118</v>
      </c>
      <c r="C245" s="4">
        <f>IF(Tabelle18[[#This Row],[binding_level_company]]&gt;=1,1,0)</f>
        <v>0</v>
      </c>
      <c r="D245" s="4">
        <f>_xlfn.MAXIFS(Tabelle5[[#This Row],[binding_level]], Tabelle5[[#This Row],[company_id]],Tabelle18[[#This Row],[company_id]], Tabelle5[[#This Row],[value_id]], Tabelle18[[#This Row],[value_id]], Tabelle5[[#This Row],[value_present]],"1")</f>
        <v>0</v>
      </c>
      <c r="E245" s="4">
        <f>_xlfn.MAXIFS(Tabelle5[[#This Row],[value_points]], Tabelle5[[#This Row],[company_id]],Tabelle18[[#This Row],[company_id]], Tabelle5[[#This Row],[value_id]], Tabelle18[[#This Row],[value_id]], Tabelle5[[#This Row],[value_present]],"1")</f>
        <v>0</v>
      </c>
    </row>
    <row r="246" spans="1:5" x14ac:dyDescent="0.25">
      <c r="A246">
        <v>14</v>
      </c>
      <c r="B246" t="s">
        <v>125</v>
      </c>
      <c r="C246" s="4">
        <f>IF(Tabelle18[[#This Row],[binding_level_company]]&gt;=1,1,0)</f>
        <v>0</v>
      </c>
      <c r="D246" s="4">
        <f>_xlfn.MAXIFS(Tabelle5[[#This Row],[binding_level]], Tabelle5[[#This Row],[company_id]],Tabelle18[[#This Row],[company_id]], Tabelle5[[#This Row],[value_id]], Tabelle18[[#This Row],[value_id]], Tabelle5[[#This Row],[value_present]],"1")</f>
        <v>0</v>
      </c>
      <c r="E246" s="4">
        <f>_xlfn.MAXIFS(Tabelle5[[#This Row],[value_points]], Tabelle5[[#This Row],[company_id]],Tabelle18[[#This Row],[company_id]], Tabelle5[[#This Row],[value_id]], Tabelle18[[#This Row],[value_id]], Tabelle5[[#This Row],[value_present]],"1")</f>
        <v>0</v>
      </c>
    </row>
    <row r="247" spans="1:5" x14ac:dyDescent="0.25">
      <c r="A247">
        <v>14</v>
      </c>
      <c r="B247" t="s">
        <v>132</v>
      </c>
      <c r="C247" s="4">
        <f>IF(Tabelle18[[#This Row],[binding_level_company]]&gt;=1,1,0)</f>
        <v>0</v>
      </c>
      <c r="D247" s="4">
        <f>_xlfn.MAXIFS(Tabelle5[[#This Row],[binding_level]], Tabelle5[[#This Row],[company_id]],Tabelle18[[#This Row],[company_id]], Tabelle5[[#This Row],[value_id]], Tabelle18[[#This Row],[value_id]], Tabelle5[[#This Row],[value_present]],"1")</f>
        <v>0</v>
      </c>
      <c r="E247" s="4">
        <f>_xlfn.MAXIFS(Tabelle5[[#This Row],[value_points]], Tabelle5[[#This Row],[company_id]],Tabelle18[[#This Row],[company_id]], Tabelle5[[#This Row],[value_id]], Tabelle18[[#This Row],[value_id]], Tabelle5[[#This Row],[value_present]],"1")</f>
        <v>0</v>
      </c>
    </row>
    <row r="248" spans="1:5" x14ac:dyDescent="0.25">
      <c r="A248">
        <v>14</v>
      </c>
      <c r="B248" t="s">
        <v>140</v>
      </c>
      <c r="C248" s="4">
        <f>IF(Tabelle18[[#This Row],[binding_level_company]]&gt;=1,1,0)</f>
        <v>0</v>
      </c>
      <c r="D248" s="4">
        <f>_xlfn.MAXIFS(Tabelle5[[#This Row],[binding_level]], Tabelle5[[#This Row],[company_id]],Tabelle18[[#This Row],[company_id]], Tabelle5[[#This Row],[value_id]], Tabelle18[[#This Row],[value_id]], Tabelle5[[#This Row],[value_present]],"1")</f>
        <v>0</v>
      </c>
      <c r="E248" s="4">
        <f>_xlfn.MAXIFS(Tabelle5[[#This Row],[value_points]], Tabelle5[[#This Row],[company_id]],Tabelle18[[#This Row],[company_id]], Tabelle5[[#This Row],[value_id]], Tabelle18[[#This Row],[value_id]], Tabelle5[[#This Row],[value_present]],"1")</f>
        <v>0</v>
      </c>
    </row>
    <row r="249" spans="1:5" x14ac:dyDescent="0.25">
      <c r="A249">
        <v>14</v>
      </c>
      <c r="B249" t="s">
        <v>147</v>
      </c>
      <c r="C249" s="4">
        <f>IF(Tabelle18[[#This Row],[binding_level_company]]&gt;=1,1,0)</f>
        <v>0</v>
      </c>
      <c r="D249" s="4">
        <f>_xlfn.MAXIFS(Tabelle5[[#This Row],[binding_level]], Tabelle5[[#This Row],[company_id]],Tabelle18[[#This Row],[company_id]], Tabelle5[[#This Row],[value_id]], Tabelle18[[#This Row],[value_id]], Tabelle5[[#This Row],[value_present]],"1")</f>
        <v>0</v>
      </c>
      <c r="E249" s="4">
        <f>_xlfn.MAXIFS(Tabelle5[[#This Row],[value_points]], Tabelle5[[#This Row],[company_id]],Tabelle18[[#This Row],[company_id]], Tabelle5[[#This Row],[value_id]], Tabelle18[[#This Row],[value_id]], Tabelle5[[#This Row],[value_present]],"1")</f>
        <v>0</v>
      </c>
    </row>
    <row r="250" spans="1:5" x14ac:dyDescent="0.25">
      <c r="A250">
        <v>14</v>
      </c>
      <c r="B250" t="s">
        <v>154</v>
      </c>
      <c r="C250" s="4">
        <f>IF(Tabelle18[[#This Row],[binding_level_company]]&gt;=1,1,0)</f>
        <v>0</v>
      </c>
      <c r="D250" s="4">
        <f>_xlfn.MAXIFS(Tabelle5[[#This Row],[binding_level]], Tabelle5[[#This Row],[company_id]],Tabelle18[[#This Row],[company_id]], Tabelle5[[#This Row],[value_id]], Tabelle18[[#This Row],[value_id]], Tabelle5[[#This Row],[value_present]],"1")</f>
        <v>0</v>
      </c>
      <c r="E250" s="4">
        <f>_xlfn.MAXIFS(Tabelle5[[#This Row],[value_points]], Tabelle5[[#This Row],[company_id]],Tabelle18[[#This Row],[company_id]], Tabelle5[[#This Row],[value_id]], Tabelle18[[#This Row],[value_id]], Tabelle5[[#This Row],[value_present]],"1")</f>
        <v>0</v>
      </c>
    </row>
    <row r="251" spans="1:5" x14ac:dyDescent="0.25">
      <c r="A251">
        <v>14</v>
      </c>
      <c r="B251" t="s">
        <v>161</v>
      </c>
      <c r="C251" s="4">
        <f>IF(Tabelle18[[#This Row],[binding_level_company]]&gt;=1,1,0)</f>
        <v>0</v>
      </c>
      <c r="D251" s="4">
        <f>_xlfn.MAXIFS(Tabelle5[[#This Row],[binding_level]], Tabelle5[[#This Row],[company_id]],Tabelle18[[#This Row],[company_id]], Tabelle5[[#This Row],[value_id]], Tabelle18[[#This Row],[value_id]], Tabelle5[[#This Row],[value_present]],"1")</f>
        <v>0</v>
      </c>
      <c r="E251" s="4">
        <f>_xlfn.MAXIFS(Tabelle5[[#This Row],[value_points]], Tabelle5[[#This Row],[company_id]],Tabelle18[[#This Row],[company_id]], Tabelle5[[#This Row],[value_id]], Tabelle18[[#This Row],[value_id]], Tabelle5[[#This Row],[value_present]],"1")</f>
        <v>0</v>
      </c>
    </row>
    <row r="252" spans="1:5" x14ac:dyDescent="0.25">
      <c r="A252">
        <v>14</v>
      </c>
      <c r="B252" t="s">
        <v>166</v>
      </c>
      <c r="C252" s="4">
        <f>IF(Tabelle18[[#This Row],[binding_level_company]]&gt;=1,1,0)</f>
        <v>0</v>
      </c>
      <c r="D252" s="4">
        <f>_xlfn.MAXIFS(Tabelle5[[#This Row],[binding_level]], Tabelle5[[#This Row],[company_id]],Tabelle18[[#This Row],[company_id]], Tabelle5[[#This Row],[value_id]], Tabelle18[[#This Row],[value_id]], Tabelle5[[#This Row],[value_present]],"1")</f>
        <v>0</v>
      </c>
      <c r="E252" s="4">
        <f>_xlfn.MAXIFS(Tabelle5[[#This Row],[value_points]], Tabelle5[[#This Row],[company_id]],Tabelle18[[#This Row],[company_id]], Tabelle5[[#This Row],[value_id]], Tabelle18[[#This Row],[value_id]], Tabelle5[[#This Row],[value_present]],"1")</f>
        <v>0</v>
      </c>
    </row>
    <row r="253" spans="1:5" ht="15.75" thickBot="1" x14ac:dyDescent="0.3">
      <c r="A253">
        <v>14</v>
      </c>
      <c r="B253" s="30" t="s">
        <v>174</v>
      </c>
      <c r="C253" s="4">
        <f>IF(Tabelle18[[#This Row],[binding_level_company]]&gt;=1,1,0)</f>
        <v>0</v>
      </c>
      <c r="D253" s="4">
        <f>_xlfn.MAXIFS(Tabelle5[[#This Row],[binding_level]], Tabelle5[[#This Row],[company_id]],Tabelle18[[#This Row],[company_id]], Tabelle5[[#This Row],[value_id]], Tabelle18[[#This Row],[value_id]], Tabelle5[[#This Row],[value_present]],"1")</f>
        <v>0</v>
      </c>
      <c r="E253" s="4">
        <f>_xlfn.MAXIFS(Tabelle5[[#This Row],[value_points]], Tabelle5[[#This Row],[company_id]],Tabelle18[[#This Row],[company_id]], Tabelle5[[#This Row],[value_id]], Tabelle18[[#This Row],[value_id]], Tabelle5[[#This Row],[value_present]],"1")</f>
        <v>0</v>
      </c>
    </row>
    <row r="254" spans="1:5" x14ac:dyDescent="0.25">
      <c r="A254">
        <v>15</v>
      </c>
      <c r="B254" s="22" t="s">
        <v>53</v>
      </c>
      <c r="C254" s="4">
        <f>IF(Tabelle18[[#This Row],[binding_level_company]]&gt;=1,1,0)</f>
        <v>0</v>
      </c>
      <c r="D254" s="4">
        <f>_xlfn.MAXIFS(Tabelle5[[#This Row],[binding_level]], Tabelle5[[#This Row],[company_id]],Tabelle18[[#This Row],[company_id]], Tabelle5[[#This Row],[value_id]], Tabelle18[[#This Row],[value_id]], Tabelle5[[#This Row],[value_present]],"1")</f>
        <v>0</v>
      </c>
      <c r="E254" s="4">
        <f>_xlfn.MAXIFS(Tabelle5[[#This Row],[value_points]], Tabelle5[[#This Row],[company_id]],Tabelle18[[#This Row],[company_id]], Tabelle5[[#This Row],[value_id]], Tabelle18[[#This Row],[value_id]], Tabelle5[[#This Row],[value_present]],"1")</f>
        <v>0</v>
      </c>
    </row>
    <row r="255" spans="1:5" x14ac:dyDescent="0.25">
      <c r="A255">
        <v>15</v>
      </c>
      <c r="B255" t="s">
        <v>61</v>
      </c>
      <c r="C255" s="4">
        <f>IF(Tabelle18[[#This Row],[binding_level_company]]&gt;=1,1,0)</f>
        <v>0</v>
      </c>
      <c r="D255" s="4">
        <f>_xlfn.MAXIFS(Tabelle5[[#This Row],[binding_level]], Tabelle5[[#This Row],[company_id]],Tabelle18[[#This Row],[company_id]], Tabelle5[[#This Row],[value_id]], Tabelle18[[#This Row],[value_id]], Tabelle5[[#This Row],[value_present]],"1")</f>
        <v>0</v>
      </c>
      <c r="E255" s="4">
        <f>_xlfn.MAXIFS(Tabelle5[[#This Row],[value_points]], Tabelle5[[#This Row],[company_id]],Tabelle18[[#This Row],[company_id]], Tabelle5[[#This Row],[value_id]], Tabelle18[[#This Row],[value_id]], Tabelle5[[#This Row],[value_present]],"1")</f>
        <v>0</v>
      </c>
    </row>
    <row r="256" spans="1:5" x14ac:dyDescent="0.25">
      <c r="A256">
        <v>15</v>
      </c>
      <c r="B256" t="s">
        <v>69</v>
      </c>
      <c r="C256" s="4">
        <f>IF(Tabelle18[[#This Row],[binding_level_company]]&gt;=1,1,0)</f>
        <v>0</v>
      </c>
      <c r="D256" s="4">
        <f>_xlfn.MAXIFS(Tabelle5[[#This Row],[binding_level]], Tabelle5[[#This Row],[company_id]],Tabelle18[[#This Row],[company_id]], Tabelle5[[#This Row],[value_id]], Tabelle18[[#This Row],[value_id]], Tabelle5[[#This Row],[value_present]],"1")</f>
        <v>0</v>
      </c>
      <c r="E256" s="4">
        <f>_xlfn.MAXIFS(Tabelle5[[#This Row],[value_points]], Tabelle5[[#This Row],[company_id]],Tabelle18[[#This Row],[company_id]], Tabelle5[[#This Row],[value_id]], Tabelle18[[#This Row],[value_id]], Tabelle5[[#This Row],[value_present]],"1")</f>
        <v>0</v>
      </c>
    </row>
    <row r="257" spans="1:5" x14ac:dyDescent="0.25">
      <c r="A257">
        <v>15</v>
      </c>
      <c r="B257" t="s">
        <v>76</v>
      </c>
      <c r="C257" s="4">
        <f>IF(Tabelle18[[#This Row],[binding_level_company]]&gt;=1,1,0)</f>
        <v>0</v>
      </c>
      <c r="D257" s="4">
        <f>_xlfn.MAXIFS(Tabelle5[[#This Row],[binding_level]], Tabelle5[[#This Row],[company_id]],Tabelle18[[#This Row],[company_id]], Tabelle5[[#This Row],[value_id]], Tabelle18[[#This Row],[value_id]], Tabelle5[[#This Row],[value_present]],"1")</f>
        <v>0</v>
      </c>
      <c r="E257" s="4">
        <f>_xlfn.MAXIFS(Tabelle5[[#This Row],[value_points]], Tabelle5[[#This Row],[company_id]],Tabelle18[[#This Row],[company_id]], Tabelle5[[#This Row],[value_id]], Tabelle18[[#This Row],[value_id]], Tabelle5[[#This Row],[value_present]],"1")</f>
        <v>0</v>
      </c>
    </row>
    <row r="258" spans="1:5" x14ac:dyDescent="0.25">
      <c r="A258">
        <v>15</v>
      </c>
      <c r="B258" t="s">
        <v>83</v>
      </c>
      <c r="C258" s="4">
        <f>IF(Tabelle18[[#This Row],[binding_level_company]]&gt;=1,1,0)</f>
        <v>0</v>
      </c>
      <c r="D258" s="4">
        <f>_xlfn.MAXIFS(Tabelle5[[#This Row],[binding_level]], Tabelle5[[#This Row],[company_id]],Tabelle18[[#This Row],[company_id]], Tabelle5[[#This Row],[value_id]], Tabelle18[[#This Row],[value_id]], Tabelle5[[#This Row],[value_present]],"1")</f>
        <v>0</v>
      </c>
      <c r="E258" s="4">
        <f>_xlfn.MAXIFS(Tabelle5[[#This Row],[value_points]], Tabelle5[[#This Row],[company_id]],Tabelle18[[#This Row],[company_id]], Tabelle5[[#This Row],[value_id]], Tabelle18[[#This Row],[value_id]], Tabelle5[[#This Row],[value_present]],"1")</f>
        <v>0</v>
      </c>
    </row>
    <row r="259" spans="1:5" x14ac:dyDescent="0.25">
      <c r="A259">
        <v>15</v>
      </c>
      <c r="B259" t="s">
        <v>90</v>
      </c>
      <c r="C259" s="4">
        <f>IF(Tabelle18[[#This Row],[binding_level_company]]&gt;=1,1,0)</f>
        <v>0</v>
      </c>
      <c r="D259" s="4">
        <f>_xlfn.MAXIFS(Tabelle5[[#This Row],[binding_level]], Tabelle5[[#This Row],[company_id]],Tabelle18[[#This Row],[company_id]], Tabelle5[[#This Row],[value_id]], Tabelle18[[#This Row],[value_id]], Tabelle5[[#This Row],[value_present]],"1")</f>
        <v>0</v>
      </c>
      <c r="E259" s="4">
        <f>_xlfn.MAXIFS(Tabelle5[[#This Row],[value_points]], Tabelle5[[#This Row],[company_id]],Tabelle18[[#This Row],[company_id]], Tabelle5[[#This Row],[value_id]], Tabelle18[[#This Row],[value_id]], Tabelle5[[#This Row],[value_present]],"1")</f>
        <v>0</v>
      </c>
    </row>
    <row r="260" spans="1:5" x14ac:dyDescent="0.25">
      <c r="A260">
        <v>15</v>
      </c>
      <c r="B260" t="s">
        <v>98</v>
      </c>
      <c r="C260" s="4">
        <f>IF(Tabelle18[[#This Row],[binding_level_company]]&gt;=1,1,0)</f>
        <v>0</v>
      </c>
      <c r="D260" s="4">
        <f>_xlfn.MAXIFS(Tabelle5[[#This Row],[binding_level]], Tabelle5[[#This Row],[company_id]],Tabelle18[[#This Row],[company_id]], Tabelle5[[#This Row],[value_id]], Tabelle18[[#This Row],[value_id]], Tabelle5[[#This Row],[value_present]],"1")</f>
        <v>0</v>
      </c>
      <c r="E260" s="4">
        <f>_xlfn.MAXIFS(Tabelle5[[#This Row],[value_points]], Tabelle5[[#This Row],[company_id]],Tabelle18[[#This Row],[company_id]], Tabelle5[[#This Row],[value_id]], Tabelle18[[#This Row],[value_id]], Tabelle5[[#This Row],[value_present]],"1")</f>
        <v>0</v>
      </c>
    </row>
    <row r="261" spans="1:5" x14ac:dyDescent="0.25">
      <c r="A261">
        <v>15</v>
      </c>
      <c r="B261" t="s">
        <v>106</v>
      </c>
      <c r="C261" s="4">
        <f>IF(Tabelle18[[#This Row],[binding_level_company]]&gt;=1,1,0)</f>
        <v>0</v>
      </c>
      <c r="D261" s="4">
        <f>_xlfn.MAXIFS(Tabelle5[[#This Row],[binding_level]], Tabelle5[[#This Row],[company_id]],Tabelle18[[#This Row],[company_id]], Tabelle5[[#This Row],[value_id]], Tabelle18[[#This Row],[value_id]], Tabelle5[[#This Row],[value_present]],"1")</f>
        <v>0</v>
      </c>
      <c r="E261" s="4">
        <f>_xlfn.MAXIFS(Tabelle5[[#This Row],[value_points]], Tabelle5[[#This Row],[company_id]],Tabelle18[[#This Row],[company_id]], Tabelle5[[#This Row],[value_id]], Tabelle18[[#This Row],[value_id]], Tabelle5[[#This Row],[value_present]],"1")</f>
        <v>0</v>
      </c>
    </row>
    <row r="262" spans="1:5" x14ac:dyDescent="0.25">
      <c r="A262">
        <v>15</v>
      </c>
      <c r="B262" t="s">
        <v>112</v>
      </c>
      <c r="C262" s="4">
        <f>IF(Tabelle18[[#This Row],[binding_level_company]]&gt;=1,1,0)</f>
        <v>0</v>
      </c>
      <c r="D262" s="4">
        <f>_xlfn.MAXIFS(Tabelle5[[#This Row],[binding_level]], Tabelle5[[#This Row],[company_id]],Tabelle18[[#This Row],[company_id]], Tabelle5[[#This Row],[value_id]], Tabelle18[[#This Row],[value_id]], Tabelle5[[#This Row],[value_present]],"1")</f>
        <v>0</v>
      </c>
      <c r="E262" s="4">
        <f>_xlfn.MAXIFS(Tabelle5[[#This Row],[value_points]], Tabelle5[[#This Row],[company_id]],Tabelle18[[#This Row],[company_id]], Tabelle5[[#This Row],[value_id]], Tabelle18[[#This Row],[value_id]], Tabelle5[[#This Row],[value_present]],"1")</f>
        <v>0</v>
      </c>
    </row>
    <row r="263" spans="1:5" x14ac:dyDescent="0.25">
      <c r="A263">
        <v>15</v>
      </c>
      <c r="B263" t="s">
        <v>118</v>
      </c>
      <c r="C263" s="4">
        <f>IF(Tabelle18[[#This Row],[binding_level_company]]&gt;=1,1,0)</f>
        <v>0</v>
      </c>
      <c r="D263" s="4">
        <f>_xlfn.MAXIFS(Tabelle5[[#This Row],[binding_level]], Tabelle5[[#This Row],[company_id]],Tabelle18[[#This Row],[company_id]], Tabelle5[[#This Row],[value_id]], Tabelle18[[#This Row],[value_id]], Tabelle5[[#This Row],[value_present]],"1")</f>
        <v>0</v>
      </c>
      <c r="E263" s="4">
        <f>_xlfn.MAXIFS(Tabelle5[[#This Row],[value_points]], Tabelle5[[#This Row],[company_id]],Tabelle18[[#This Row],[company_id]], Tabelle5[[#This Row],[value_id]], Tabelle18[[#This Row],[value_id]], Tabelle5[[#This Row],[value_present]],"1")</f>
        <v>0</v>
      </c>
    </row>
    <row r="264" spans="1:5" x14ac:dyDescent="0.25">
      <c r="A264">
        <v>15</v>
      </c>
      <c r="B264" t="s">
        <v>125</v>
      </c>
      <c r="C264" s="4">
        <f>IF(Tabelle18[[#This Row],[binding_level_company]]&gt;=1,1,0)</f>
        <v>0</v>
      </c>
      <c r="D264" s="4">
        <f>_xlfn.MAXIFS(Tabelle5[[#This Row],[binding_level]], Tabelle5[[#This Row],[company_id]],Tabelle18[[#This Row],[company_id]], Tabelle5[[#This Row],[value_id]], Tabelle18[[#This Row],[value_id]], Tabelle5[[#This Row],[value_present]],"1")</f>
        <v>0</v>
      </c>
      <c r="E264" s="4">
        <f>_xlfn.MAXIFS(Tabelle5[[#This Row],[value_points]], Tabelle5[[#This Row],[company_id]],Tabelle18[[#This Row],[company_id]], Tabelle5[[#This Row],[value_id]], Tabelle18[[#This Row],[value_id]], Tabelle5[[#This Row],[value_present]],"1")</f>
        <v>0</v>
      </c>
    </row>
    <row r="265" spans="1:5" x14ac:dyDescent="0.25">
      <c r="A265">
        <v>15</v>
      </c>
      <c r="B265" t="s">
        <v>132</v>
      </c>
      <c r="C265" s="4">
        <f>IF(Tabelle18[[#This Row],[binding_level_company]]&gt;=1,1,0)</f>
        <v>0</v>
      </c>
      <c r="D265" s="4">
        <f>_xlfn.MAXIFS(Tabelle5[[#This Row],[binding_level]], Tabelle5[[#This Row],[company_id]],Tabelle18[[#This Row],[company_id]], Tabelle5[[#This Row],[value_id]], Tabelle18[[#This Row],[value_id]], Tabelle5[[#This Row],[value_present]],"1")</f>
        <v>0</v>
      </c>
      <c r="E265" s="4">
        <f>_xlfn.MAXIFS(Tabelle5[[#This Row],[value_points]], Tabelle5[[#This Row],[company_id]],Tabelle18[[#This Row],[company_id]], Tabelle5[[#This Row],[value_id]], Tabelle18[[#This Row],[value_id]], Tabelle5[[#This Row],[value_present]],"1")</f>
        <v>0</v>
      </c>
    </row>
    <row r="266" spans="1:5" x14ac:dyDescent="0.25">
      <c r="A266">
        <v>15</v>
      </c>
      <c r="B266" t="s">
        <v>140</v>
      </c>
      <c r="C266" s="4">
        <f>IF(Tabelle18[[#This Row],[binding_level_company]]&gt;=1,1,0)</f>
        <v>0</v>
      </c>
      <c r="D266" s="4">
        <f>_xlfn.MAXIFS(Tabelle5[[#This Row],[binding_level]], Tabelle5[[#This Row],[company_id]],Tabelle18[[#This Row],[company_id]], Tabelle5[[#This Row],[value_id]], Tabelle18[[#This Row],[value_id]], Tabelle5[[#This Row],[value_present]],"1")</f>
        <v>0</v>
      </c>
      <c r="E266" s="4">
        <f>_xlfn.MAXIFS(Tabelle5[[#This Row],[value_points]], Tabelle5[[#This Row],[company_id]],Tabelle18[[#This Row],[company_id]], Tabelle5[[#This Row],[value_id]], Tabelle18[[#This Row],[value_id]], Tabelle5[[#This Row],[value_present]],"1")</f>
        <v>0</v>
      </c>
    </row>
    <row r="267" spans="1:5" x14ac:dyDescent="0.25">
      <c r="A267">
        <v>15</v>
      </c>
      <c r="B267" t="s">
        <v>147</v>
      </c>
      <c r="C267" s="4">
        <f>IF(Tabelle18[[#This Row],[binding_level_company]]&gt;=1,1,0)</f>
        <v>0</v>
      </c>
      <c r="D267" s="4">
        <f>_xlfn.MAXIFS(Tabelle5[[#This Row],[binding_level]], Tabelle5[[#This Row],[company_id]],Tabelle18[[#This Row],[company_id]], Tabelle5[[#This Row],[value_id]], Tabelle18[[#This Row],[value_id]], Tabelle5[[#This Row],[value_present]],"1")</f>
        <v>0</v>
      </c>
      <c r="E267" s="4">
        <f>_xlfn.MAXIFS(Tabelle5[[#This Row],[value_points]], Tabelle5[[#This Row],[company_id]],Tabelle18[[#This Row],[company_id]], Tabelle5[[#This Row],[value_id]], Tabelle18[[#This Row],[value_id]], Tabelle5[[#This Row],[value_present]],"1")</f>
        <v>0</v>
      </c>
    </row>
    <row r="268" spans="1:5" x14ac:dyDescent="0.25">
      <c r="A268">
        <v>15</v>
      </c>
      <c r="B268" t="s">
        <v>154</v>
      </c>
      <c r="C268" s="4">
        <f>IF(Tabelle18[[#This Row],[binding_level_company]]&gt;=1,1,0)</f>
        <v>0</v>
      </c>
      <c r="D268" s="4">
        <f>_xlfn.MAXIFS(Tabelle5[[#This Row],[binding_level]], Tabelle5[[#This Row],[company_id]],Tabelle18[[#This Row],[company_id]], Tabelle5[[#This Row],[value_id]], Tabelle18[[#This Row],[value_id]], Tabelle5[[#This Row],[value_present]],"1")</f>
        <v>0</v>
      </c>
      <c r="E268" s="4">
        <f>_xlfn.MAXIFS(Tabelle5[[#This Row],[value_points]], Tabelle5[[#This Row],[company_id]],Tabelle18[[#This Row],[company_id]], Tabelle5[[#This Row],[value_id]], Tabelle18[[#This Row],[value_id]], Tabelle5[[#This Row],[value_present]],"1")</f>
        <v>0</v>
      </c>
    </row>
    <row r="269" spans="1:5" x14ac:dyDescent="0.25">
      <c r="A269">
        <v>15</v>
      </c>
      <c r="B269" t="s">
        <v>161</v>
      </c>
      <c r="C269" s="4">
        <f>IF(Tabelle18[[#This Row],[binding_level_company]]&gt;=1,1,0)</f>
        <v>0</v>
      </c>
      <c r="D269" s="4">
        <f>_xlfn.MAXIFS(Tabelle5[[#This Row],[binding_level]], Tabelle5[[#This Row],[company_id]],Tabelle18[[#This Row],[company_id]], Tabelle5[[#This Row],[value_id]], Tabelle18[[#This Row],[value_id]], Tabelle5[[#This Row],[value_present]],"1")</f>
        <v>0</v>
      </c>
      <c r="E269" s="4">
        <f>_xlfn.MAXIFS(Tabelle5[[#This Row],[value_points]], Tabelle5[[#This Row],[company_id]],Tabelle18[[#This Row],[company_id]], Tabelle5[[#This Row],[value_id]], Tabelle18[[#This Row],[value_id]], Tabelle5[[#This Row],[value_present]],"1")</f>
        <v>0</v>
      </c>
    </row>
    <row r="270" spans="1:5" x14ac:dyDescent="0.25">
      <c r="A270">
        <v>15</v>
      </c>
      <c r="B270" t="s">
        <v>166</v>
      </c>
      <c r="C270" s="4">
        <f>IF(Tabelle18[[#This Row],[binding_level_company]]&gt;=1,1,0)</f>
        <v>0</v>
      </c>
      <c r="D270" s="4">
        <f>_xlfn.MAXIFS(Tabelle5[[#This Row],[binding_level]], Tabelle5[[#This Row],[company_id]],Tabelle18[[#This Row],[company_id]], Tabelle5[[#This Row],[value_id]], Tabelle18[[#This Row],[value_id]], Tabelle5[[#This Row],[value_present]],"1")</f>
        <v>0</v>
      </c>
      <c r="E270" s="4">
        <f>_xlfn.MAXIFS(Tabelle5[[#This Row],[value_points]], Tabelle5[[#This Row],[company_id]],Tabelle18[[#This Row],[company_id]], Tabelle5[[#This Row],[value_id]], Tabelle18[[#This Row],[value_id]], Tabelle5[[#This Row],[value_present]],"1")</f>
        <v>0</v>
      </c>
    </row>
    <row r="271" spans="1:5" ht="15.75" thickBot="1" x14ac:dyDescent="0.3">
      <c r="A271">
        <v>15</v>
      </c>
      <c r="B271" s="30" t="s">
        <v>174</v>
      </c>
      <c r="C271" s="4">
        <f>IF(Tabelle18[[#This Row],[binding_level_company]]&gt;=1,1,0)</f>
        <v>0</v>
      </c>
      <c r="D271" s="4">
        <f>_xlfn.MAXIFS(Tabelle5[[#This Row],[binding_level]], Tabelle5[[#This Row],[company_id]],Tabelle18[[#This Row],[company_id]], Tabelle5[[#This Row],[value_id]], Tabelle18[[#This Row],[value_id]], Tabelle5[[#This Row],[value_present]],"1")</f>
        <v>0</v>
      </c>
      <c r="E271" s="4">
        <f>_xlfn.MAXIFS(Tabelle5[[#This Row],[value_points]], Tabelle5[[#This Row],[company_id]],Tabelle18[[#This Row],[company_id]], Tabelle5[[#This Row],[value_id]], Tabelle18[[#This Row],[value_id]], Tabelle5[[#This Row],[value_present]],"1")</f>
        <v>0</v>
      </c>
    </row>
    <row r="272" spans="1:5" x14ac:dyDescent="0.25">
      <c r="A272">
        <v>16</v>
      </c>
      <c r="B272" s="22" t="s">
        <v>53</v>
      </c>
      <c r="C272" s="4">
        <f>IF(Tabelle18[[#This Row],[binding_level_company]]&gt;=1,1,0)</f>
        <v>0</v>
      </c>
      <c r="D272" s="4">
        <f>_xlfn.MAXIFS(Tabelle5[[#This Row],[binding_level]], Tabelle5[[#This Row],[company_id]],Tabelle18[[#This Row],[company_id]], Tabelle5[[#This Row],[value_id]], Tabelle18[[#This Row],[value_id]], Tabelle5[[#This Row],[value_present]],"1")</f>
        <v>0</v>
      </c>
      <c r="E272" s="4">
        <f>_xlfn.MAXIFS(Tabelle5[[#This Row],[value_points]], Tabelle5[[#This Row],[company_id]],Tabelle18[[#This Row],[company_id]], Tabelle5[[#This Row],[value_id]], Tabelle18[[#This Row],[value_id]], Tabelle5[[#This Row],[value_present]],"1")</f>
        <v>0</v>
      </c>
    </row>
    <row r="273" spans="1:5" x14ac:dyDescent="0.25">
      <c r="A273">
        <v>16</v>
      </c>
      <c r="B273" t="s">
        <v>61</v>
      </c>
      <c r="C273" s="4">
        <f>IF(Tabelle18[[#This Row],[binding_level_company]]&gt;=1,1,0)</f>
        <v>0</v>
      </c>
      <c r="D273" s="4">
        <f>_xlfn.MAXIFS(Tabelle5[[#This Row],[binding_level]], Tabelle5[[#This Row],[company_id]],Tabelle18[[#This Row],[company_id]], Tabelle5[[#This Row],[value_id]], Tabelle18[[#This Row],[value_id]], Tabelle5[[#This Row],[value_present]],"1")</f>
        <v>0</v>
      </c>
      <c r="E273" s="4">
        <f>_xlfn.MAXIFS(Tabelle5[[#This Row],[value_points]], Tabelle5[[#This Row],[company_id]],Tabelle18[[#This Row],[company_id]], Tabelle5[[#This Row],[value_id]], Tabelle18[[#This Row],[value_id]], Tabelle5[[#This Row],[value_present]],"1")</f>
        <v>0</v>
      </c>
    </row>
    <row r="274" spans="1:5" x14ac:dyDescent="0.25">
      <c r="A274">
        <v>16</v>
      </c>
      <c r="B274" t="s">
        <v>69</v>
      </c>
      <c r="C274" s="4">
        <f>IF(Tabelle18[[#This Row],[binding_level_company]]&gt;=1,1,0)</f>
        <v>0</v>
      </c>
      <c r="D274" s="4">
        <f>_xlfn.MAXIFS(Tabelle5[[#This Row],[binding_level]], Tabelle5[[#This Row],[company_id]],Tabelle18[[#This Row],[company_id]], Tabelle5[[#This Row],[value_id]], Tabelle18[[#This Row],[value_id]], Tabelle5[[#This Row],[value_present]],"1")</f>
        <v>0</v>
      </c>
      <c r="E274" s="4">
        <f>_xlfn.MAXIFS(Tabelle5[[#This Row],[value_points]], Tabelle5[[#This Row],[company_id]],Tabelle18[[#This Row],[company_id]], Tabelle5[[#This Row],[value_id]], Tabelle18[[#This Row],[value_id]], Tabelle5[[#This Row],[value_present]],"1")</f>
        <v>0</v>
      </c>
    </row>
    <row r="275" spans="1:5" x14ac:dyDescent="0.25">
      <c r="A275">
        <v>16</v>
      </c>
      <c r="B275" t="s">
        <v>76</v>
      </c>
      <c r="C275" s="4">
        <f>IF(Tabelle18[[#This Row],[binding_level_company]]&gt;=1,1,0)</f>
        <v>0</v>
      </c>
      <c r="D275" s="4">
        <f>_xlfn.MAXIFS(Tabelle5[[#This Row],[binding_level]], Tabelle5[[#This Row],[company_id]],Tabelle18[[#This Row],[company_id]], Tabelle5[[#This Row],[value_id]], Tabelle18[[#This Row],[value_id]], Tabelle5[[#This Row],[value_present]],"1")</f>
        <v>0</v>
      </c>
      <c r="E275" s="4">
        <f>_xlfn.MAXIFS(Tabelle5[[#This Row],[value_points]], Tabelle5[[#This Row],[company_id]],Tabelle18[[#This Row],[company_id]], Tabelle5[[#This Row],[value_id]], Tabelle18[[#This Row],[value_id]], Tabelle5[[#This Row],[value_present]],"1")</f>
        <v>0</v>
      </c>
    </row>
    <row r="276" spans="1:5" x14ac:dyDescent="0.25">
      <c r="A276">
        <v>16</v>
      </c>
      <c r="B276" t="s">
        <v>83</v>
      </c>
      <c r="C276" s="4">
        <f>IF(Tabelle18[[#This Row],[binding_level_company]]&gt;=1,1,0)</f>
        <v>0</v>
      </c>
      <c r="D276" s="4">
        <f>_xlfn.MAXIFS(Tabelle5[[#This Row],[binding_level]], Tabelle5[[#This Row],[company_id]],Tabelle18[[#This Row],[company_id]], Tabelle5[[#This Row],[value_id]], Tabelle18[[#This Row],[value_id]], Tabelle5[[#This Row],[value_present]],"1")</f>
        <v>0</v>
      </c>
      <c r="E276" s="4">
        <f>_xlfn.MAXIFS(Tabelle5[[#This Row],[value_points]], Tabelle5[[#This Row],[company_id]],Tabelle18[[#This Row],[company_id]], Tabelle5[[#This Row],[value_id]], Tabelle18[[#This Row],[value_id]], Tabelle5[[#This Row],[value_present]],"1")</f>
        <v>0</v>
      </c>
    </row>
    <row r="277" spans="1:5" x14ac:dyDescent="0.25">
      <c r="A277">
        <v>16</v>
      </c>
      <c r="B277" t="s">
        <v>90</v>
      </c>
      <c r="C277" s="4">
        <f>IF(Tabelle18[[#This Row],[binding_level_company]]&gt;=1,1,0)</f>
        <v>0</v>
      </c>
      <c r="D277" s="4">
        <f>_xlfn.MAXIFS(Tabelle5[[#This Row],[binding_level]], Tabelle5[[#This Row],[company_id]],Tabelle18[[#This Row],[company_id]], Tabelle5[[#This Row],[value_id]], Tabelle18[[#This Row],[value_id]], Tabelle5[[#This Row],[value_present]],"1")</f>
        <v>0</v>
      </c>
      <c r="E277" s="4">
        <f>_xlfn.MAXIFS(Tabelle5[[#This Row],[value_points]], Tabelle5[[#This Row],[company_id]],Tabelle18[[#This Row],[company_id]], Tabelle5[[#This Row],[value_id]], Tabelle18[[#This Row],[value_id]], Tabelle5[[#This Row],[value_present]],"1")</f>
        <v>0</v>
      </c>
    </row>
    <row r="278" spans="1:5" x14ac:dyDescent="0.25">
      <c r="A278">
        <v>16</v>
      </c>
      <c r="B278" t="s">
        <v>98</v>
      </c>
      <c r="C278" s="4">
        <f>IF(Tabelle18[[#This Row],[binding_level_company]]&gt;=1,1,0)</f>
        <v>0</v>
      </c>
      <c r="D278" s="4">
        <f>_xlfn.MAXIFS(Tabelle5[[#This Row],[binding_level]], Tabelle5[[#This Row],[company_id]],Tabelle18[[#This Row],[company_id]], Tabelle5[[#This Row],[value_id]], Tabelle18[[#This Row],[value_id]], Tabelle5[[#This Row],[value_present]],"1")</f>
        <v>0</v>
      </c>
      <c r="E278" s="4">
        <f>_xlfn.MAXIFS(Tabelle5[[#This Row],[value_points]], Tabelle5[[#This Row],[company_id]],Tabelle18[[#This Row],[company_id]], Tabelle5[[#This Row],[value_id]], Tabelle18[[#This Row],[value_id]], Tabelle5[[#This Row],[value_present]],"1")</f>
        <v>0</v>
      </c>
    </row>
    <row r="279" spans="1:5" x14ac:dyDescent="0.25">
      <c r="A279">
        <v>16</v>
      </c>
      <c r="B279" t="s">
        <v>106</v>
      </c>
      <c r="C279" s="4">
        <f>IF(Tabelle18[[#This Row],[binding_level_company]]&gt;=1,1,0)</f>
        <v>0</v>
      </c>
      <c r="D279" s="4">
        <f>_xlfn.MAXIFS(Tabelle5[[#This Row],[binding_level]], Tabelle5[[#This Row],[company_id]],Tabelle18[[#This Row],[company_id]], Tabelle5[[#This Row],[value_id]], Tabelle18[[#This Row],[value_id]], Tabelle5[[#This Row],[value_present]],"1")</f>
        <v>0</v>
      </c>
      <c r="E279" s="4">
        <f>_xlfn.MAXIFS(Tabelle5[[#This Row],[value_points]], Tabelle5[[#This Row],[company_id]],Tabelle18[[#This Row],[company_id]], Tabelle5[[#This Row],[value_id]], Tabelle18[[#This Row],[value_id]], Tabelle5[[#This Row],[value_present]],"1")</f>
        <v>0</v>
      </c>
    </row>
    <row r="280" spans="1:5" x14ac:dyDescent="0.25">
      <c r="A280">
        <v>16</v>
      </c>
      <c r="B280" t="s">
        <v>112</v>
      </c>
      <c r="C280" s="4">
        <f>IF(Tabelle18[[#This Row],[binding_level_company]]&gt;=1,1,0)</f>
        <v>0</v>
      </c>
      <c r="D280" s="4">
        <f>_xlfn.MAXIFS(Tabelle5[[#This Row],[binding_level]], Tabelle5[[#This Row],[company_id]],Tabelle18[[#This Row],[company_id]], Tabelle5[[#This Row],[value_id]], Tabelle18[[#This Row],[value_id]], Tabelle5[[#This Row],[value_present]],"1")</f>
        <v>0</v>
      </c>
      <c r="E280" s="4">
        <f>_xlfn.MAXIFS(Tabelle5[[#This Row],[value_points]], Tabelle5[[#This Row],[company_id]],Tabelle18[[#This Row],[company_id]], Tabelle5[[#This Row],[value_id]], Tabelle18[[#This Row],[value_id]], Tabelle5[[#This Row],[value_present]],"1")</f>
        <v>0</v>
      </c>
    </row>
    <row r="281" spans="1:5" x14ac:dyDescent="0.25">
      <c r="A281">
        <v>16</v>
      </c>
      <c r="B281" t="s">
        <v>118</v>
      </c>
      <c r="C281" s="4">
        <f>IF(Tabelle18[[#This Row],[binding_level_company]]&gt;=1,1,0)</f>
        <v>0</v>
      </c>
      <c r="D281" s="4">
        <f>_xlfn.MAXIFS(Tabelle5[[#This Row],[binding_level]], Tabelle5[[#This Row],[company_id]],Tabelle18[[#This Row],[company_id]], Tabelle5[[#This Row],[value_id]], Tabelle18[[#This Row],[value_id]], Tabelle5[[#This Row],[value_present]],"1")</f>
        <v>0</v>
      </c>
      <c r="E281" s="4">
        <f>_xlfn.MAXIFS(Tabelle5[[#This Row],[value_points]], Tabelle5[[#This Row],[company_id]],Tabelle18[[#This Row],[company_id]], Tabelle5[[#This Row],[value_id]], Tabelle18[[#This Row],[value_id]], Tabelle5[[#This Row],[value_present]],"1")</f>
        <v>0</v>
      </c>
    </row>
    <row r="282" spans="1:5" x14ac:dyDescent="0.25">
      <c r="A282">
        <v>16</v>
      </c>
      <c r="B282" t="s">
        <v>125</v>
      </c>
      <c r="C282" s="4">
        <f>IF(Tabelle18[[#This Row],[binding_level_company]]&gt;=1,1,0)</f>
        <v>0</v>
      </c>
      <c r="D282" s="4">
        <f>_xlfn.MAXIFS(Tabelle5[[#This Row],[binding_level]], Tabelle5[[#This Row],[company_id]],Tabelle18[[#This Row],[company_id]], Tabelle5[[#This Row],[value_id]], Tabelle18[[#This Row],[value_id]], Tabelle5[[#This Row],[value_present]],"1")</f>
        <v>0</v>
      </c>
      <c r="E282" s="4">
        <f>_xlfn.MAXIFS(Tabelle5[[#This Row],[value_points]], Tabelle5[[#This Row],[company_id]],Tabelle18[[#This Row],[company_id]], Tabelle5[[#This Row],[value_id]], Tabelle18[[#This Row],[value_id]], Tabelle5[[#This Row],[value_present]],"1")</f>
        <v>0</v>
      </c>
    </row>
    <row r="283" spans="1:5" x14ac:dyDescent="0.25">
      <c r="A283">
        <v>16</v>
      </c>
      <c r="B283" t="s">
        <v>132</v>
      </c>
      <c r="C283" s="4">
        <f>IF(Tabelle18[[#This Row],[binding_level_company]]&gt;=1,1,0)</f>
        <v>0</v>
      </c>
      <c r="D283" s="4">
        <f>_xlfn.MAXIFS(Tabelle5[[#This Row],[binding_level]], Tabelle5[[#This Row],[company_id]],Tabelle18[[#This Row],[company_id]], Tabelle5[[#This Row],[value_id]], Tabelle18[[#This Row],[value_id]], Tabelle5[[#This Row],[value_present]],"1")</f>
        <v>0</v>
      </c>
      <c r="E283" s="4">
        <f>_xlfn.MAXIFS(Tabelle5[[#This Row],[value_points]], Tabelle5[[#This Row],[company_id]],Tabelle18[[#This Row],[company_id]], Tabelle5[[#This Row],[value_id]], Tabelle18[[#This Row],[value_id]], Tabelle5[[#This Row],[value_present]],"1")</f>
        <v>0</v>
      </c>
    </row>
    <row r="284" spans="1:5" x14ac:dyDescent="0.25">
      <c r="A284">
        <v>16</v>
      </c>
      <c r="B284" t="s">
        <v>140</v>
      </c>
      <c r="C284" s="4">
        <f>IF(Tabelle18[[#This Row],[binding_level_company]]&gt;=1,1,0)</f>
        <v>0</v>
      </c>
      <c r="D284" s="4">
        <f>_xlfn.MAXIFS(Tabelle5[[#This Row],[binding_level]], Tabelle5[[#This Row],[company_id]],Tabelle18[[#This Row],[company_id]], Tabelle5[[#This Row],[value_id]], Tabelle18[[#This Row],[value_id]], Tabelle5[[#This Row],[value_present]],"1")</f>
        <v>0</v>
      </c>
      <c r="E284" s="4">
        <f>_xlfn.MAXIFS(Tabelle5[[#This Row],[value_points]], Tabelle5[[#This Row],[company_id]],Tabelle18[[#This Row],[company_id]], Tabelle5[[#This Row],[value_id]], Tabelle18[[#This Row],[value_id]], Tabelle5[[#This Row],[value_present]],"1")</f>
        <v>0</v>
      </c>
    </row>
    <row r="285" spans="1:5" x14ac:dyDescent="0.25">
      <c r="A285">
        <v>16</v>
      </c>
      <c r="B285" t="s">
        <v>147</v>
      </c>
      <c r="C285" s="4">
        <f>IF(Tabelle18[[#This Row],[binding_level_company]]&gt;=1,1,0)</f>
        <v>0</v>
      </c>
      <c r="D285" s="4">
        <f>_xlfn.MAXIFS(Tabelle5[[#This Row],[binding_level]], Tabelle5[[#This Row],[company_id]],Tabelle18[[#This Row],[company_id]], Tabelle5[[#This Row],[value_id]], Tabelle18[[#This Row],[value_id]], Tabelle5[[#This Row],[value_present]],"1")</f>
        <v>0</v>
      </c>
      <c r="E285" s="4">
        <f>_xlfn.MAXIFS(Tabelle5[[#This Row],[value_points]], Tabelle5[[#This Row],[company_id]],Tabelle18[[#This Row],[company_id]], Tabelle5[[#This Row],[value_id]], Tabelle18[[#This Row],[value_id]], Tabelle5[[#This Row],[value_present]],"1")</f>
        <v>0</v>
      </c>
    </row>
    <row r="286" spans="1:5" x14ac:dyDescent="0.25">
      <c r="A286">
        <v>16</v>
      </c>
      <c r="B286" t="s">
        <v>154</v>
      </c>
      <c r="C286" s="4">
        <f>IF(Tabelle18[[#This Row],[binding_level_company]]&gt;=1,1,0)</f>
        <v>0</v>
      </c>
      <c r="D286" s="4">
        <f>_xlfn.MAXIFS(Tabelle5[[#This Row],[binding_level]], Tabelle5[[#This Row],[company_id]],Tabelle18[[#This Row],[company_id]], Tabelle5[[#This Row],[value_id]], Tabelle18[[#This Row],[value_id]], Tabelle5[[#This Row],[value_present]],"1")</f>
        <v>0</v>
      </c>
      <c r="E286" s="4">
        <f>_xlfn.MAXIFS(Tabelle5[[#This Row],[value_points]], Tabelle5[[#This Row],[company_id]],Tabelle18[[#This Row],[company_id]], Tabelle5[[#This Row],[value_id]], Tabelle18[[#This Row],[value_id]], Tabelle5[[#This Row],[value_present]],"1")</f>
        <v>0</v>
      </c>
    </row>
    <row r="287" spans="1:5" x14ac:dyDescent="0.25">
      <c r="A287">
        <v>16</v>
      </c>
      <c r="B287" t="s">
        <v>161</v>
      </c>
      <c r="C287" s="4">
        <f>IF(Tabelle18[[#This Row],[binding_level_company]]&gt;=1,1,0)</f>
        <v>0</v>
      </c>
      <c r="D287" s="4">
        <f>_xlfn.MAXIFS(Tabelle5[[#This Row],[binding_level]], Tabelle5[[#This Row],[company_id]],Tabelle18[[#This Row],[company_id]], Tabelle5[[#This Row],[value_id]], Tabelle18[[#This Row],[value_id]], Tabelle5[[#This Row],[value_present]],"1")</f>
        <v>0</v>
      </c>
      <c r="E287" s="4">
        <f>_xlfn.MAXIFS(Tabelle5[[#This Row],[value_points]], Tabelle5[[#This Row],[company_id]],Tabelle18[[#This Row],[company_id]], Tabelle5[[#This Row],[value_id]], Tabelle18[[#This Row],[value_id]], Tabelle5[[#This Row],[value_present]],"1")</f>
        <v>0</v>
      </c>
    </row>
    <row r="288" spans="1:5" x14ac:dyDescent="0.25">
      <c r="A288">
        <v>16</v>
      </c>
      <c r="B288" t="s">
        <v>166</v>
      </c>
      <c r="C288" s="4">
        <f>IF(Tabelle18[[#This Row],[binding_level_company]]&gt;=1,1,0)</f>
        <v>0</v>
      </c>
      <c r="D288" s="4">
        <f>_xlfn.MAXIFS(Tabelle5[[#This Row],[binding_level]], Tabelle5[[#This Row],[company_id]],Tabelle18[[#This Row],[company_id]], Tabelle5[[#This Row],[value_id]], Tabelle18[[#This Row],[value_id]], Tabelle5[[#This Row],[value_present]],"1")</f>
        <v>0</v>
      </c>
      <c r="E288" s="4">
        <f>_xlfn.MAXIFS(Tabelle5[[#This Row],[value_points]], Tabelle5[[#This Row],[company_id]],Tabelle18[[#This Row],[company_id]], Tabelle5[[#This Row],[value_id]], Tabelle18[[#This Row],[value_id]], Tabelle5[[#This Row],[value_present]],"1")</f>
        <v>0</v>
      </c>
    </row>
    <row r="289" spans="1:5" ht="15.75" thickBot="1" x14ac:dyDescent="0.3">
      <c r="A289">
        <v>16</v>
      </c>
      <c r="B289" s="30" t="s">
        <v>174</v>
      </c>
      <c r="C289" s="4">
        <f>IF(Tabelle18[[#This Row],[binding_level_company]]&gt;=1,1,0)</f>
        <v>0</v>
      </c>
      <c r="D289" s="4">
        <f>_xlfn.MAXIFS(Tabelle5[[#This Row],[binding_level]], Tabelle5[[#This Row],[company_id]],Tabelle18[[#This Row],[company_id]], Tabelle5[[#This Row],[value_id]], Tabelle18[[#This Row],[value_id]], Tabelle5[[#This Row],[value_present]],"1")</f>
        <v>0</v>
      </c>
      <c r="E289" s="4">
        <f>_xlfn.MAXIFS(Tabelle5[[#This Row],[value_points]], Tabelle5[[#This Row],[company_id]],Tabelle18[[#This Row],[company_id]], Tabelle5[[#This Row],[value_id]], Tabelle18[[#This Row],[value_id]], Tabelle5[[#This Row],[value_present]],"1")</f>
        <v>0</v>
      </c>
    </row>
    <row r="290" spans="1:5" x14ac:dyDescent="0.25">
      <c r="A290">
        <v>17</v>
      </c>
      <c r="B290" s="22" t="s">
        <v>53</v>
      </c>
      <c r="C290" s="4">
        <f>IF(Tabelle18[[#This Row],[binding_level_company]]&gt;=1,1,0)</f>
        <v>0</v>
      </c>
      <c r="D290" s="4">
        <f>_xlfn.MAXIFS(Tabelle5[[#This Row],[binding_level]], Tabelle5[[#This Row],[company_id]],Tabelle18[[#This Row],[company_id]], Tabelle5[[#This Row],[value_id]], Tabelle18[[#This Row],[value_id]], Tabelle5[[#This Row],[value_present]],"1")</f>
        <v>0</v>
      </c>
      <c r="E290" s="4">
        <f>_xlfn.MAXIFS(Tabelle5[[#This Row],[value_points]], Tabelle5[[#This Row],[company_id]],Tabelle18[[#This Row],[company_id]], Tabelle5[[#This Row],[value_id]], Tabelle18[[#This Row],[value_id]], Tabelle5[[#This Row],[value_present]],"1")</f>
        <v>0</v>
      </c>
    </row>
    <row r="291" spans="1:5" x14ac:dyDescent="0.25">
      <c r="A291">
        <v>17</v>
      </c>
      <c r="B291" t="s">
        <v>61</v>
      </c>
      <c r="C291" s="4">
        <f>IF(Tabelle18[[#This Row],[binding_level_company]]&gt;=1,1,0)</f>
        <v>0</v>
      </c>
      <c r="D291" s="4">
        <f>_xlfn.MAXIFS(Tabelle5[[#This Row],[binding_level]], Tabelle5[[#This Row],[company_id]],Tabelle18[[#This Row],[company_id]], Tabelle5[[#This Row],[value_id]], Tabelle18[[#This Row],[value_id]], Tabelle5[[#This Row],[value_present]],"1")</f>
        <v>0</v>
      </c>
      <c r="E291" s="4">
        <f>_xlfn.MAXIFS(Tabelle5[[#This Row],[value_points]], Tabelle5[[#This Row],[company_id]],Tabelle18[[#This Row],[company_id]], Tabelle5[[#This Row],[value_id]], Tabelle18[[#This Row],[value_id]], Tabelle5[[#This Row],[value_present]],"1")</f>
        <v>0</v>
      </c>
    </row>
    <row r="292" spans="1:5" x14ac:dyDescent="0.25">
      <c r="A292">
        <v>17</v>
      </c>
      <c r="B292" t="s">
        <v>69</v>
      </c>
      <c r="C292" s="4">
        <f>IF(Tabelle18[[#This Row],[binding_level_company]]&gt;=1,1,0)</f>
        <v>0</v>
      </c>
      <c r="D292" s="4">
        <f>_xlfn.MAXIFS(Tabelle5[[#This Row],[binding_level]], Tabelle5[[#This Row],[company_id]],Tabelle18[[#This Row],[company_id]], Tabelle5[[#This Row],[value_id]], Tabelle18[[#This Row],[value_id]], Tabelle5[[#This Row],[value_present]],"1")</f>
        <v>0</v>
      </c>
      <c r="E292" s="4">
        <f>_xlfn.MAXIFS(Tabelle5[[#This Row],[value_points]], Tabelle5[[#This Row],[company_id]],Tabelle18[[#This Row],[company_id]], Tabelle5[[#This Row],[value_id]], Tabelle18[[#This Row],[value_id]], Tabelle5[[#This Row],[value_present]],"1")</f>
        <v>0</v>
      </c>
    </row>
    <row r="293" spans="1:5" x14ac:dyDescent="0.25">
      <c r="A293">
        <v>17</v>
      </c>
      <c r="B293" t="s">
        <v>76</v>
      </c>
      <c r="C293" s="4">
        <f>IF(Tabelle18[[#This Row],[binding_level_company]]&gt;=1,1,0)</f>
        <v>0</v>
      </c>
      <c r="D293" s="4">
        <f>_xlfn.MAXIFS(Tabelle5[[#This Row],[binding_level]], Tabelle5[[#This Row],[company_id]],Tabelle18[[#This Row],[company_id]], Tabelle5[[#This Row],[value_id]], Tabelle18[[#This Row],[value_id]], Tabelle5[[#This Row],[value_present]],"1")</f>
        <v>0</v>
      </c>
      <c r="E293" s="4">
        <f>_xlfn.MAXIFS(Tabelle5[[#This Row],[value_points]], Tabelle5[[#This Row],[company_id]],Tabelle18[[#This Row],[company_id]], Tabelle5[[#This Row],[value_id]], Tabelle18[[#This Row],[value_id]], Tabelle5[[#This Row],[value_present]],"1")</f>
        <v>0</v>
      </c>
    </row>
    <row r="294" spans="1:5" x14ac:dyDescent="0.25">
      <c r="A294">
        <v>17</v>
      </c>
      <c r="B294" t="s">
        <v>83</v>
      </c>
      <c r="C294" s="4">
        <f>IF(Tabelle18[[#This Row],[binding_level_company]]&gt;=1,1,0)</f>
        <v>0</v>
      </c>
      <c r="D294" s="4">
        <f>_xlfn.MAXIFS(Tabelle5[[#This Row],[binding_level]], Tabelle5[[#This Row],[company_id]],Tabelle18[[#This Row],[company_id]], Tabelle5[[#This Row],[value_id]], Tabelle18[[#This Row],[value_id]], Tabelle5[[#This Row],[value_present]],"1")</f>
        <v>0</v>
      </c>
      <c r="E294" s="4">
        <f>_xlfn.MAXIFS(Tabelle5[[#This Row],[value_points]], Tabelle5[[#This Row],[company_id]],Tabelle18[[#This Row],[company_id]], Tabelle5[[#This Row],[value_id]], Tabelle18[[#This Row],[value_id]], Tabelle5[[#This Row],[value_present]],"1")</f>
        <v>0</v>
      </c>
    </row>
    <row r="295" spans="1:5" x14ac:dyDescent="0.25">
      <c r="A295">
        <v>17</v>
      </c>
      <c r="B295" t="s">
        <v>90</v>
      </c>
      <c r="C295" s="4">
        <f>IF(Tabelle18[[#This Row],[binding_level_company]]&gt;=1,1,0)</f>
        <v>0</v>
      </c>
      <c r="D295" s="4">
        <f>_xlfn.MAXIFS(Tabelle5[[#This Row],[binding_level]], Tabelle5[[#This Row],[company_id]],Tabelle18[[#This Row],[company_id]], Tabelle5[[#This Row],[value_id]], Tabelle18[[#This Row],[value_id]], Tabelle5[[#This Row],[value_present]],"1")</f>
        <v>0</v>
      </c>
      <c r="E295" s="4">
        <f>_xlfn.MAXIFS(Tabelle5[[#This Row],[value_points]], Tabelle5[[#This Row],[company_id]],Tabelle18[[#This Row],[company_id]], Tabelle5[[#This Row],[value_id]], Tabelle18[[#This Row],[value_id]], Tabelle5[[#This Row],[value_present]],"1")</f>
        <v>0</v>
      </c>
    </row>
    <row r="296" spans="1:5" x14ac:dyDescent="0.25">
      <c r="A296">
        <v>17</v>
      </c>
      <c r="B296" t="s">
        <v>98</v>
      </c>
      <c r="C296" s="4">
        <f>IF(Tabelle18[[#This Row],[binding_level_company]]&gt;=1,1,0)</f>
        <v>0</v>
      </c>
      <c r="D296" s="4">
        <f>_xlfn.MAXIFS(Tabelle5[[#This Row],[binding_level]], Tabelle5[[#This Row],[company_id]],Tabelle18[[#This Row],[company_id]], Tabelle5[[#This Row],[value_id]], Tabelle18[[#This Row],[value_id]], Tabelle5[[#This Row],[value_present]],"1")</f>
        <v>0</v>
      </c>
      <c r="E296" s="4">
        <f>_xlfn.MAXIFS(Tabelle5[[#This Row],[value_points]], Tabelle5[[#This Row],[company_id]],Tabelle18[[#This Row],[company_id]], Tabelle5[[#This Row],[value_id]], Tabelle18[[#This Row],[value_id]], Tabelle5[[#This Row],[value_present]],"1")</f>
        <v>0</v>
      </c>
    </row>
    <row r="297" spans="1:5" x14ac:dyDescent="0.25">
      <c r="A297">
        <v>17</v>
      </c>
      <c r="B297" t="s">
        <v>106</v>
      </c>
      <c r="C297" s="4">
        <f>IF(Tabelle18[[#This Row],[binding_level_company]]&gt;=1,1,0)</f>
        <v>0</v>
      </c>
      <c r="D297" s="4">
        <f>_xlfn.MAXIFS(Tabelle5[[#This Row],[binding_level]], Tabelle5[[#This Row],[company_id]],Tabelle18[[#This Row],[company_id]], Tabelle5[[#This Row],[value_id]], Tabelle18[[#This Row],[value_id]], Tabelle5[[#This Row],[value_present]],"1")</f>
        <v>0</v>
      </c>
      <c r="E297" s="4">
        <f>_xlfn.MAXIFS(Tabelle5[[#This Row],[value_points]], Tabelle5[[#This Row],[company_id]],Tabelle18[[#This Row],[company_id]], Tabelle5[[#This Row],[value_id]], Tabelle18[[#This Row],[value_id]], Tabelle5[[#This Row],[value_present]],"1")</f>
        <v>0</v>
      </c>
    </row>
    <row r="298" spans="1:5" x14ac:dyDescent="0.25">
      <c r="A298">
        <v>17</v>
      </c>
      <c r="B298" t="s">
        <v>112</v>
      </c>
      <c r="C298" s="4">
        <f>IF(Tabelle18[[#This Row],[binding_level_company]]&gt;=1,1,0)</f>
        <v>0</v>
      </c>
      <c r="D298" s="4">
        <f>_xlfn.MAXIFS(Tabelle5[[#This Row],[binding_level]], Tabelle5[[#This Row],[company_id]],Tabelle18[[#This Row],[company_id]], Tabelle5[[#This Row],[value_id]], Tabelle18[[#This Row],[value_id]], Tabelle5[[#This Row],[value_present]],"1")</f>
        <v>0</v>
      </c>
      <c r="E298" s="4">
        <f>_xlfn.MAXIFS(Tabelle5[[#This Row],[value_points]], Tabelle5[[#This Row],[company_id]],Tabelle18[[#This Row],[company_id]], Tabelle5[[#This Row],[value_id]], Tabelle18[[#This Row],[value_id]], Tabelle5[[#This Row],[value_present]],"1")</f>
        <v>0</v>
      </c>
    </row>
    <row r="299" spans="1:5" x14ac:dyDescent="0.25">
      <c r="A299">
        <v>17</v>
      </c>
      <c r="B299" t="s">
        <v>118</v>
      </c>
      <c r="C299" s="4">
        <f>IF(Tabelle18[[#This Row],[binding_level_company]]&gt;=1,1,0)</f>
        <v>0</v>
      </c>
      <c r="D299" s="4">
        <f>_xlfn.MAXIFS(Tabelle5[[#This Row],[binding_level]], Tabelle5[[#This Row],[company_id]],Tabelle18[[#This Row],[company_id]], Tabelle5[[#This Row],[value_id]], Tabelle18[[#This Row],[value_id]], Tabelle5[[#This Row],[value_present]],"1")</f>
        <v>0</v>
      </c>
      <c r="E299" s="4">
        <f>_xlfn.MAXIFS(Tabelle5[[#This Row],[value_points]], Tabelle5[[#This Row],[company_id]],Tabelle18[[#This Row],[company_id]], Tabelle5[[#This Row],[value_id]], Tabelle18[[#This Row],[value_id]], Tabelle5[[#This Row],[value_present]],"1")</f>
        <v>0</v>
      </c>
    </row>
    <row r="300" spans="1:5" x14ac:dyDescent="0.25">
      <c r="A300">
        <v>17</v>
      </c>
      <c r="B300" t="s">
        <v>125</v>
      </c>
      <c r="C300" s="4">
        <f>IF(Tabelle18[[#This Row],[binding_level_company]]&gt;=1,1,0)</f>
        <v>0</v>
      </c>
      <c r="D300" s="4">
        <f>_xlfn.MAXIFS(Tabelle5[[#This Row],[binding_level]], Tabelle5[[#This Row],[company_id]],Tabelle18[[#This Row],[company_id]], Tabelle5[[#This Row],[value_id]], Tabelle18[[#This Row],[value_id]], Tabelle5[[#This Row],[value_present]],"1")</f>
        <v>0</v>
      </c>
      <c r="E300" s="4">
        <f>_xlfn.MAXIFS(Tabelle5[[#This Row],[value_points]], Tabelle5[[#This Row],[company_id]],Tabelle18[[#This Row],[company_id]], Tabelle5[[#This Row],[value_id]], Tabelle18[[#This Row],[value_id]], Tabelle5[[#This Row],[value_present]],"1")</f>
        <v>0</v>
      </c>
    </row>
    <row r="301" spans="1:5" x14ac:dyDescent="0.25">
      <c r="A301">
        <v>17</v>
      </c>
      <c r="B301" t="s">
        <v>132</v>
      </c>
      <c r="C301" s="4">
        <f>IF(Tabelle18[[#This Row],[binding_level_company]]&gt;=1,1,0)</f>
        <v>0</v>
      </c>
      <c r="D301" s="4">
        <f>_xlfn.MAXIFS(Tabelle5[[#This Row],[binding_level]], Tabelle5[[#This Row],[company_id]],Tabelle18[[#This Row],[company_id]], Tabelle5[[#This Row],[value_id]], Tabelle18[[#This Row],[value_id]], Tabelle5[[#This Row],[value_present]],"1")</f>
        <v>0</v>
      </c>
      <c r="E301" s="4">
        <f>_xlfn.MAXIFS(Tabelle5[[#This Row],[value_points]], Tabelle5[[#This Row],[company_id]],Tabelle18[[#This Row],[company_id]], Tabelle5[[#This Row],[value_id]], Tabelle18[[#This Row],[value_id]], Tabelle5[[#This Row],[value_present]],"1")</f>
        <v>0</v>
      </c>
    </row>
    <row r="302" spans="1:5" x14ac:dyDescent="0.25">
      <c r="A302">
        <v>17</v>
      </c>
      <c r="B302" t="s">
        <v>140</v>
      </c>
      <c r="C302" s="4">
        <f>IF(Tabelle18[[#This Row],[binding_level_company]]&gt;=1,1,0)</f>
        <v>0</v>
      </c>
      <c r="D302" s="4">
        <f>_xlfn.MAXIFS(Tabelle5[[#This Row],[binding_level]], Tabelle5[[#This Row],[company_id]],Tabelle18[[#This Row],[company_id]], Tabelle5[[#This Row],[value_id]], Tabelle18[[#This Row],[value_id]], Tabelle5[[#This Row],[value_present]],"1")</f>
        <v>0</v>
      </c>
      <c r="E302" s="4">
        <f>_xlfn.MAXIFS(Tabelle5[[#This Row],[value_points]], Tabelle5[[#This Row],[company_id]],Tabelle18[[#This Row],[company_id]], Tabelle5[[#This Row],[value_id]], Tabelle18[[#This Row],[value_id]], Tabelle5[[#This Row],[value_present]],"1")</f>
        <v>0</v>
      </c>
    </row>
    <row r="303" spans="1:5" x14ac:dyDescent="0.25">
      <c r="A303">
        <v>17</v>
      </c>
      <c r="B303" t="s">
        <v>147</v>
      </c>
      <c r="C303" s="4">
        <f>IF(Tabelle18[[#This Row],[binding_level_company]]&gt;=1,1,0)</f>
        <v>0</v>
      </c>
      <c r="D303" s="4">
        <f>_xlfn.MAXIFS(Tabelle5[[#This Row],[binding_level]], Tabelle5[[#This Row],[company_id]],Tabelle18[[#This Row],[company_id]], Tabelle5[[#This Row],[value_id]], Tabelle18[[#This Row],[value_id]], Tabelle5[[#This Row],[value_present]],"1")</f>
        <v>0</v>
      </c>
      <c r="E303" s="4">
        <f>_xlfn.MAXIFS(Tabelle5[[#This Row],[value_points]], Tabelle5[[#This Row],[company_id]],Tabelle18[[#This Row],[company_id]], Tabelle5[[#This Row],[value_id]], Tabelle18[[#This Row],[value_id]], Tabelle5[[#This Row],[value_present]],"1")</f>
        <v>0</v>
      </c>
    </row>
    <row r="304" spans="1:5" x14ac:dyDescent="0.25">
      <c r="A304">
        <v>17</v>
      </c>
      <c r="B304" t="s">
        <v>154</v>
      </c>
      <c r="C304" s="4">
        <f>IF(Tabelle18[[#This Row],[binding_level_company]]&gt;=1,1,0)</f>
        <v>0</v>
      </c>
      <c r="D304" s="4">
        <f>_xlfn.MAXIFS(Tabelle5[[#This Row],[binding_level]], Tabelle5[[#This Row],[company_id]],Tabelle18[[#This Row],[company_id]], Tabelle5[[#This Row],[value_id]], Tabelle18[[#This Row],[value_id]], Tabelle5[[#This Row],[value_present]],"1")</f>
        <v>0</v>
      </c>
      <c r="E304" s="4">
        <f>_xlfn.MAXIFS(Tabelle5[[#This Row],[value_points]], Tabelle5[[#This Row],[company_id]],Tabelle18[[#This Row],[company_id]], Tabelle5[[#This Row],[value_id]], Tabelle18[[#This Row],[value_id]], Tabelle5[[#This Row],[value_present]],"1")</f>
        <v>0</v>
      </c>
    </row>
    <row r="305" spans="1:5" x14ac:dyDescent="0.25">
      <c r="A305">
        <v>17</v>
      </c>
      <c r="B305" t="s">
        <v>161</v>
      </c>
      <c r="C305" s="4">
        <f>IF(Tabelle18[[#This Row],[binding_level_company]]&gt;=1,1,0)</f>
        <v>0</v>
      </c>
      <c r="D305" s="4">
        <f>_xlfn.MAXIFS(Tabelle5[[#This Row],[binding_level]], Tabelle5[[#This Row],[company_id]],Tabelle18[[#This Row],[company_id]], Tabelle5[[#This Row],[value_id]], Tabelle18[[#This Row],[value_id]], Tabelle5[[#This Row],[value_present]],"1")</f>
        <v>0</v>
      </c>
      <c r="E305" s="4">
        <f>_xlfn.MAXIFS(Tabelle5[[#This Row],[value_points]], Tabelle5[[#This Row],[company_id]],Tabelle18[[#This Row],[company_id]], Tabelle5[[#This Row],[value_id]], Tabelle18[[#This Row],[value_id]], Tabelle5[[#This Row],[value_present]],"1")</f>
        <v>0</v>
      </c>
    </row>
    <row r="306" spans="1:5" x14ac:dyDescent="0.25">
      <c r="A306">
        <v>17</v>
      </c>
      <c r="B306" t="s">
        <v>166</v>
      </c>
      <c r="C306" s="4">
        <f>IF(Tabelle18[[#This Row],[binding_level_company]]&gt;=1,1,0)</f>
        <v>0</v>
      </c>
      <c r="D306" s="4">
        <f>_xlfn.MAXIFS(Tabelle5[[#This Row],[binding_level]], Tabelle5[[#This Row],[company_id]],Tabelle18[[#This Row],[company_id]], Tabelle5[[#This Row],[value_id]], Tabelle18[[#This Row],[value_id]], Tabelle5[[#This Row],[value_present]],"1")</f>
        <v>0</v>
      </c>
      <c r="E306" s="4">
        <f>_xlfn.MAXIFS(Tabelle5[[#This Row],[value_points]], Tabelle5[[#This Row],[company_id]],Tabelle18[[#This Row],[company_id]], Tabelle5[[#This Row],[value_id]], Tabelle18[[#This Row],[value_id]], Tabelle5[[#This Row],[value_present]],"1")</f>
        <v>0</v>
      </c>
    </row>
    <row r="307" spans="1:5" ht="15.75" thickBot="1" x14ac:dyDescent="0.3">
      <c r="A307">
        <v>17</v>
      </c>
      <c r="B307" s="30" t="s">
        <v>174</v>
      </c>
      <c r="C307" s="4">
        <f>IF(Tabelle18[[#This Row],[binding_level_company]]&gt;=1,1,0)</f>
        <v>0</v>
      </c>
      <c r="D307" s="4">
        <f>_xlfn.MAXIFS(Tabelle5[[#This Row],[binding_level]], Tabelle5[[#This Row],[company_id]],Tabelle18[[#This Row],[company_id]], Tabelle5[[#This Row],[value_id]], Tabelle18[[#This Row],[value_id]], Tabelle5[[#This Row],[value_present]],"1")</f>
        <v>0</v>
      </c>
      <c r="E307" s="4">
        <f>_xlfn.MAXIFS(Tabelle5[[#This Row],[value_points]], Tabelle5[[#This Row],[company_id]],Tabelle18[[#This Row],[company_id]], Tabelle5[[#This Row],[value_id]], Tabelle18[[#This Row],[value_id]], Tabelle5[[#This Row],[value_present]],"1")</f>
        <v>0</v>
      </c>
    </row>
    <row r="308" spans="1:5" x14ac:dyDescent="0.25">
      <c r="A308">
        <v>18</v>
      </c>
      <c r="B308" s="22" t="s">
        <v>53</v>
      </c>
      <c r="C308" s="4">
        <f>IF(Tabelle18[[#This Row],[binding_level_company]]&gt;=1,1,0)</f>
        <v>0</v>
      </c>
      <c r="D308" s="4">
        <f>_xlfn.MAXIFS(Tabelle5[[#This Row],[binding_level]], Tabelle5[[#This Row],[company_id]],Tabelle18[[#This Row],[company_id]], Tabelle5[[#This Row],[value_id]], Tabelle18[[#This Row],[value_id]], Tabelle5[[#This Row],[value_present]],"1")</f>
        <v>0</v>
      </c>
      <c r="E308" s="4">
        <f>_xlfn.MAXIFS(Tabelle5[[#This Row],[value_points]], Tabelle5[[#This Row],[company_id]],Tabelle18[[#This Row],[company_id]], Tabelle5[[#This Row],[value_id]], Tabelle18[[#This Row],[value_id]], Tabelle5[[#This Row],[value_present]],"1")</f>
        <v>0</v>
      </c>
    </row>
    <row r="309" spans="1:5" x14ac:dyDescent="0.25">
      <c r="A309">
        <v>18</v>
      </c>
      <c r="B309" t="s">
        <v>61</v>
      </c>
      <c r="C309" s="4">
        <f>IF(Tabelle18[[#This Row],[binding_level_company]]&gt;=1,1,0)</f>
        <v>0</v>
      </c>
      <c r="D309" s="4">
        <f>_xlfn.MAXIFS(Tabelle5[[#This Row],[binding_level]], Tabelle5[[#This Row],[company_id]],Tabelle18[[#This Row],[company_id]], Tabelle5[[#This Row],[value_id]], Tabelle18[[#This Row],[value_id]], Tabelle5[[#This Row],[value_present]],"1")</f>
        <v>0</v>
      </c>
      <c r="E309" s="4">
        <f>_xlfn.MAXIFS(Tabelle5[[#This Row],[value_points]], Tabelle5[[#This Row],[company_id]],Tabelle18[[#This Row],[company_id]], Tabelle5[[#This Row],[value_id]], Tabelle18[[#This Row],[value_id]], Tabelle5[[#This Row],[value_present]],"1")</f>
        <v>0</v>
      </c>
    </row>
    <row r="310" spans="1:5" x14ac:dyDescent="0.25">
      <c r="A310">
        <v>18</v>
      </c>
      <c r="B310" t="s">
        <v>69</v>
      </c>
      <c r="C310" s="4">
        <f>IF(Tabelle18[[#This Row],[binding_level_company]]&gt;=1,1,0)</f>
        <v>0</v>
      </c>
      <c r="D310" s="4">
        <f>_xlfn.MAXIFS(Tabelle5[[#This Row],[binding_level]], Tabelle5[[#This Row],[company_id]],Tabelle18[[#This Row],[company_id]], Tabelle5[[#This Row],[value_id]], Tabelle18[[#This Row],[value_id]], Tabelle5[[#This Row],[value_present]],"1")</f>
        <v>0</v>
      </c>
      <c r="E310" s="4">
        <f>_xlfn.MAXIFS(Tabelle5[[#This Row],[value_points]], Tabelle5[[#This Row],[company_id]],Tabelle18[[#This Row],[company_id]], Tabelle5[[#This Row],[value_id]], Tabelle18[[#This Row],[value_id]], Tabelle5[[#This Row],[value_present]],"1")</f>
        <v>0</v>
      </c>
    </row>
    <row r="311" spans="1:5" x14ac:dyDescent="0.25">
      <c r="A311">
        <v>18</v>
      </c>
      <c r="B311" t="s">
        <v>76</v>
      </c>
      <c r="C311" s="4">
        <f>IF(Tabelle18[[#This Row],[binding_level_company]]&gt;=1,1,0)</f>
        <v>0</v>
      </c>
      <c r="D311" s="4">
        <f>_xlfn.MAXIFS(Tabelle5[[#This Row],[binding_level]], Tabelle5[[#This Row],[company_id]],Tabelle18[[#This Row],[company_id]], Tabelle5[[#This Row],[value_id]], Tabelle18[[#This Row],[value_id]], Tabelle5[[#This Row],[value_present]],"1")</f>
        <v>0</v>
      </c>
      <c r="E311" s="4">
        <f>_xlfn.MAXIFS(Tabelle5[[#This Row],[value_points]], Tabelle5[[#This Row],[company_id]],Tabelle18[[#This Row],[company_id]], Tabelle5[[#This Row],[value_id]], Tabelle18[[#This Row],[value_id]], Tabelle5[[#This Row],[value_present]],"1")</f>
        <v>0</v>
      </c>
    </row>
    <row r="312" spans="1:5" x14ac:dyDescent="0.25">
      <c r="A312">
        <v>18</v>
      </c>
      <c r="B312" t="s">
        <v>83</v>
      </c>
      <c r="C312" s="4">
        <f>IF(Tabelle18[[#This Row],[binding_level_company]]&gt;=1,1,0)</f>
        <v>0</v>
      </c>
      <c r="D312" s="4">
        <f>_xlfn.MAXIFS(Tabelle5[[#This Row],[binding_level]], Tabelle5[[#This Row],[company_id]],Tabelle18[[#This Row],[company_id]], Tabelle5[[#This Row],[value_id]], Tabelle18[[#This Row],[value_id]], Tabelle5[[#This Row],[value_present]],"1")</f>
        <v>0</v>
      </c>
      <c r="E312" s="4">
        <f>_xlfn.MAXIFS(Tabelle5[[#This Row],[value_points]], Tabelle5[[#This Row],[company_id]],Tabelle18[[#This Row],[company_id]], Tabelle5[[#This Row],[value_id]], Tabelle18[[#This Row],[value_id]], Tabelle5[[#This Row],[value_present]],"1")</f>
        <v>0</v>
      </c>
    </row>
    <row r="313" spans="1:5" x14ac:dyDescent="0.25">
      <c r="A313">
        <v>18</v>
      </c>
      <c r="B313" t="s">
        <v>90</v>
      </c>
      <c r="C313" s="4">
        <f>IF(Tabelle18[[#This Row],[binding_level_company]]&gt;=1,1,0)</f>
        <v>0</v>
      </c>
      <c r="D313" s="4">
        <f>_xlfn.MAXIFS(Tabelle5[[#This Row],[binding_level]], Tabelle5[[#This Row],[company_id]],Tabelle18[[#This Row],[company_id]], Tabelle5[[#This Row],[value_id]], Tabelle18[[#This Row],[value_id]], Tabelle5[[#This Row],[value_present]],"1")</f>
        <v>0</v>
      </c>
      <c r="E313" s="4">
        <f>_xlfn.MAXIFS(Tabelle5[[#This Row],[value_points]], Tabelle5[[#This Row],[company_id]],Tabelle18[[#This Row],[company_id]], Tabelle5[[#This Row],[value_id]], Tabelle18[[#This Row],[value_id]], Tabelle5[[#This Row],[value_present]],"1")</f>
        <v>0</v>
      </c>
    </row>
    <row r="314" spans="1:5" x14ac:dyDescent="0.25">
      <c r="A314">
        <v>18</v>
      </c>
      <c r="B314" t="s">
        <v>98</v>
      </c>
      <c r="C314" s="4">
        <f>IF(Tabelle18[[#This Row],[binding_level_company]]&gt;=1,1,0)</f>
        <v>0</v>
      </c>
      <c r="D314" s="4">
        <f>_xlfn.MAXIFS(Tabelle5[[#This Row],[binding_level]], Tabelle5[[#This Row],[company_id]],Tabelle18[[#This Row],[company_id]], Tabelle5[[#This Row],[value_id]], Tabelle18[[#This Row],[value_id]], Tabelle5[[#This Row],[value_present]],"1")</f>
        <v>0</v>
      </c>
      <c r="E314" s="4">
        <f>_xlfn.MAXIFS(Tabelle5[[#This Row],[value_points]], Tabelle5[[#This Row],[company_id]],Tabelle18[[#This Row],[company_id]], Tabelle5[[#This Row],[value_id]], Tabelle18[[#This Row],[value_id]], Tabelle5[[#This Row],[value_present]],"1")</f>
        <v>0</v>
      </c>
    </row>
    <row r="315" spans="1:5" x14ac:dyDescent="0.25">
      <c r="A315">
        <v>18</v>
      </c>
      <c r="B315" t="s">
        <v>106</v>
      </c>
      <c r="C315" s="4">
        <f>IF(Tabelle18[[#This Row],[binding_level_company]]&gt;=1,1,0)</f>
        <v>0</v>
      </c>
      <c r="D315" s="4">
        <f>_xlfn.MAXIFS(Tabelle5[[#This Row],[binding_level]], Tabelle5[[#This Row],[company_id]],Tabelle18[[#This Row],[company_id]], Tabelle5[[#This Row],[value_id]], Tabelle18[[#This Row],[value_id]], Tabelle5[[#This Row],[value_present]],"1")</f>
        <v>0</v>
      </c>
      <c r="E315" s="4">
        <f>_xlfn.MAXIFS(Tabelle5[[#This Row],[value_points]], Tabelle5[[#This Row],[company_id]],Tabelle18[[#This Row],[company_id]], Tabelle5[[#This Row],[value_id]], Tabelle18[[#This Row],[value_id]], Tabelle5[[#This Row],[value_present]],"1")</f>
        <v>0</v>
      </c>
    </row>
    <row r="316" spans="1:5" x14ac:dyDescent="0.25">
      <c r="A316">
        <v>18</v>
      </c>
      <c r="B316" t="s">
        <v>112</v>
      </c>
      <c r="C316" s="4">
        <f>IF(Tabelle18[[#This Row],[binding_level_company]]&gt;=1,1,0)</f>
        <v>0</v>
      </c>
      <c r="D316" s="4">
        <f>_xlfn.MAXIFS(Tabelle5[[#This Row],[binding_level]], Tabelle5[[#This Row],[company_id]],Tabelle18[[#This Row],[company_id]], Tabelle5[[#This Row],[value_id]], Tabelle18[[#This Row],[value_id]], Tabelle5[[#This Row],[value_present]],"1")</f>
        <v>0</v>
      </c>
      <c r="E316" s="4">
        <f>_xlfn.MAXIFS(Tabelle5[[#This Row],[value_points]], Tabelle5[[#This Row],[company_id]],Tabelle18[[#This Row],[company_id]], Tabelle5[[#This Row],[value_id]], Tabelle18[[#This Row],[value_id]], Tabelle5[[#This Row],[value_present]],"1")</f>
        <v>0</v>
      </c>
    </row>
    <row r="317" spans="1:5" x14ac:dyDescent="0.25">
      <c r="A317">
        <v>18</v>
      </c>
      <c r="B317" t="s">
        <v>118</v>
      </c>
      <c r="C317" s="4">
        <f>IF(Tabelle18[[#This Row],[binding_level_company]]&gt;=1,1,0)</f>
        <v>0</v>
      </c>
      <c r="D317" s="4">
        <f>_xlfn.MAXIFS(Tabelle5[[#This Row],[binding_level]], Tabelle5[[#This Row],[company_id]],Tabelle18[[#This Row],[company_id]], Tabelle5[[#This Row],[value_id]], Tabelle18[[#This Row],[value_id]], Tabelle5[[#This Row],[value_present]],"1")</f>
        <v>0</v>
      </c>
      <c r="E317" s="4">
        <f>_xlfn.MAXIFS(Tabelle5[[#This Row],[value_points]], Tabelle5[[#This Row],[company_id]],Tabelle18[[#This Row],[company_id]], Tabelle5[[#This Row],[value_id]], Tabelle18[[#This Row],[value_id]], Tabelle5[[#This Row],[value_present]],"1")</f>
        <v>0</v>
      </c>
    </row>
    <row r="318" spans="1:5" x14ac:dyDescent="0.25">
      <c r="A318">
        <v>18</v>
      </c>
      <c r="B318" t="s">
        <v>125</v>
      </c>
      <c r="C318" s="4">
        <f>IF(Tabelle18[[#This Row],[binding_level_company]]&gt;=1,1,0)</f>
        <v>0</v>
      </c>
      <c r="D318" s="4">
        <f>_xlfn.MAXIFS(Tabelle5[[#This Row],[binding_level]], Tabelle5[[#This Row],[company_id]],Tabelle18[[#This Row],[company_id]], Tabelle5[[#This Row],[value_id]], Tabelle18[[#This Row],[value_id]], Tabelle5[[#This Row],[value_present]],"1")</f>
        <v>0</v>
      </c>
      <c r="E318" s="4">
        <f>_xlfn.MAXIFS(Tabelle5[[#This Row],[value_points]], Tabelle5[[#This Row],[company_id]],Tabelle18[[#This Row],[company_id]], Tabelle5[[#This Row],[value_id]], Tabelle18[[#This Row],[value_id]], Tabelle5[[#This Row],[value_present]],"1")</f>
        <v>0</v>
      </c>
    </row>
    <row r="319" spans="1:5" x14ac:dyDescent="0.25">
      <c r="A319">
        <v>18</v>
      </c>
      <c r="B319" t="s">
        <v>132</v>
      </c>
      <c r="C319" s="4">
        <f>IF(Tabelle18[[#This Row],[binding_level_company]]&gt;=1,1,0)</f>
        <v>0</v>
      </c>
      <c r="D319" s="4">
        <f>_xlfn.MAXIFS(Tabelle5[[#This Row],[binding_level]], Tabelle5[[#This Row],[company_id]],Tabelle18[[#This Row],[company_id]], Tabelle5[[#This Row],[value_id]], Tabelle18[[#This Row],[value_id]], Tabelle5[[#This Row],[value_present]],"1")</f>
        <v>0</v>
      </c>
      <c r="E319" s="4">
        <f>_xlfn.MAXIFS(Tabelle5[[#This Row],[value_points]], Tabelle5[[#This Row],[company_id]],Tabelle18[[#This Row],[company_id]], Tabelle5[[#This Row],[value_id]], Tabelle18[[#This Row],[value_id]], Tabelle5[[#This Row],[value_present]],"1")</f>
        <v>0</v>
      </c>
    </row>
    <row r="320" spans="1:5" x14ac:dyDescent="0.25">
      <c r="A320">
        <v>18</v>
      </c>
      <c r="B320" t="s">
        <v>140</v>
      </c>
      <c r="C320" s="4">
        <f>IF(Tabelle18[[#This Row],[binding_level_company]]&gt;=1,1,0)</f>
        <v>0</v>
      </c>
      <c r="D320" s="4">
        <f>_xlfn.MAXIFS(Tabelle5[[#This Row],[binding_level]], Tabelle5[[#This Row],[company_id]],Tabelle18[[#This Row],[company_id]], Tabelle5[[#This Row],[value_id]], Tabelle18[[#This Row],[value_id]], Tabelle5[[#This Row],[value_present]],"1")</f>
        <v>0</v>
      </c>
      <c r="E320" s="4">
        <f>_xlfn.MAXIFS(Tabelle5[[#This Row],[value_points]], Tabelle5[[#This Row],[company_id]],Tabelle18[[#This Row],[company_id]], Tabelle5[[#This Row],[value_id]], Tabelle18[[#This Row],[value_id]], Tabelle5[[#This Row],[value_present]],"1")</f>
        <v>0</v>
      </c>
    </row>
    <row r="321" spans="1:5" x14ac:dyDescent="0.25">
      <c r="A321">
        <v>18</v>
      </c>
      <c r="B321" t="s">
        <v>147</v>
      </c>
      <c r="C321" s="4">
        <f>IF(Tabelle18[[#This Row],[binding_level_company]]&gt;=1,1,0)</f>
        <v>0</v>
      </c>
      <c r="D321" s="4">
        <f>_xlfn.MAXIFS(Tabelle5[[#This Row],[binding_level]], Tabelle5[[#This Row],[company_id]],Tabelle18[[#This Row],[company_id]], Tabelle5[[#This Row],[value_id]], Tabelle18[[#This Row],[value_id]], Tabelle5[[#This Row],[value_present]],"1")</f>
        <v>0</v>
      </c>
      <c r="E321" s="4">
        <f>_xlfn.MAXIFS(Tabelle5[[#This Row],[value_points]], Tabelle5[[#This Row],[company_id]],Tabelle18[[#This Row],[company_id]], Tabelle5[[#This Row],[value_id]], Tabelle18[[#This Row],[value_id]], Tabelle5[[#This Row],[value_present]],"1")</f>
        <v>0</v>
      </c>
    </row>
    <row r="322" spans="1:5" x14ac:dyDescent="0.25">
      <c r="A322">
        <v>18</v>
      </c>
      <c r="B322" t="s">
        <v>154</v>
      </c>
      <c r="C322" s="4">
        <f>IF(Tabelle18[[#This Row],[binding_level_company]]&gt;=1,1,0)</f>
        <v>0</v>
      </c>
      <c r="D322" s="4">
        <f>_xlfn.MAXIFS(Tabelle5[[#This Row],[binding_level]], Tabelle5[[#This Row],[company_id]],Tabelle18[[#This Row],[company_id]], Tabelle5[[#This Row],[value_id]], Tabelle18[[#This Row],[value_id]], Tabelle5[[#This Row],[value_present]],"1")</f>
        <v>0</v>
      </c>
      <c r="E322" s="4">
        <f>_xlfn.MAXIFS(Tabelle5[[#This Row],[value_points]], Tabelle5[[#This Row],[company_id]],Tabelle18[[#This Row],[company_id]], Tabelle5[[#This Row],[value_id]], Tabelle18[[#This Row],[value_id]], Tabelle5[[#This Row],[value_present]],"1")</f>
        <v>0</v>
      </c>
    </row>
    <row r="323" spans="1:5" x14ac:dyDescent="0.25">
      <c r="A323">
        <v>18</v>
      </c>
      <c r="B323" t="s">
        <v>161</v>
      </c>
      <c r="C323" s="4">
        <f>IF(Tabelle18[[#This Row],[binding_level_company]]&gt;=1,1,0)</f>
        <v>0</v>
      </c>
      <c r="D323" s="4">
        <f>_xlfn.MAXIFS(Tabelle5[[#This Row],[binding_level]], Tabelle5[[#This Row],[company_id]],Tabelle18[[#This Row],[company_id]], Tabelle5[[#This Row],[value_id]], Tabelle18[[#This Row],[value_id]], Tabelle5[[#This Row],[value_present]],"1")</f>
        <v>0</v>
      </c>
      <c r="E323" s="4">
        <f>_xlfn.MAXIFS(Tabelle5[[#This Row],[value_points]], Tabelle5[[#This Row],[company_id]],Tabelle18[[#This Row],[company_id]], Tabelle5[[#This Row],[value_id]], Tabelle18[[#This Row],[value_id]], Tabelle5[[#This Row],[value_present]],"1")</f>
        <v>0</v>
      </c>
    </row>
    <row r="324" spans="1:5" x14ac:dyDescent="0.25">
      <c r="A324">
        <v>18</v>
      </c>
      <c r="B324" t="s">
        <v>166</v>
      </c>
      <c r="C324" s="4">
        <f>IF(Tabelle18[[#This Row],[binding_level_company]]&gt;=1,1,0)</f>
        <v>0</v>
      </c>
      <c r="D324" s="4">
        <f>_xlfn.MAXIFS(Tabelle5[[#This Row],[binding_level]], Tabelle5[[#This Row],[company_id]],Tabelle18[[#This Row],[company_id]], Tabelle5[[#This Row],[value_id]], Tabelle18[[#This Row],[value_id]], Tabelle5[[#This Row],[value_present]],"1")</f>
        <v>0</v>
      </c>
      <c r="E324" s="4">
        <f>_xlfn.MAXIFS(Tabelle5[[#This Row],[value_points]], Tabelle5[[#This Row],[company_id]],Tabelle18[[#This Row],[company_id]], Tabelle5[[#This Row],[value_id]], Tabelle18[[#This Row],[value_id]], Tabelle5[[#This Row],[value_present]],"1")</f>
        <v>0</v>
      </c>
    </row>
    <row r="325" spans="1:5" ht="15.75" thickBot="1" x14ac:dyDescent="0.3">
      <c r="A325">
        <v>18</v>
      </c>
      <c r="B325" s="30" t="s">
        <v>174</v>
      </c>
      <c r="C325" s="4">
        <f>IF(Tabelle18[[#This Row],[binding_level_company]]&gt;=1,1,0)</f>
        <v>0</v>
      </c>
      <c r="D325" s="4">
        <f>_xlfn.MAXIFS(Tabelle5[[#This Row],[binding_level]], Tabelle5[[#This Row],[company_id]],Tabelle18[[#This Row],[company_id]], Tabelle5[[#This Row],[value_id]], Tabelle18[[#This Row],[value_id]], Tabelle5[[#This Row],[value_present]],"1")</f>
        <v>0</v>
      </c>
      <c r="E325" s="4">
        <f>_xlfn.MAXIFS(Tabelle5[[#This Row],[value_points]], Tabelle5[[#This Row],[company_id]],Tabelle18[[#This Row],[company_id]], Tabelle5[[#This Row],[value_id]], Tabelle18[[#This Row],[value_id]], Tabelle5[[#This Row],[value_present]],"1")</f>
        <v>0</v>
      </c>
    </row>
    <row r="326" spans="1:5" x14ac:dyDescent="0.25">
      <c r="A326">
        <v>19</v>
      </c>
      <c r="B326" s="22" t="s">
        <v>53</v>
      </c>
      <c r="C326" s="4">
        <f>IF(Tabelle18[[#This Row],[binding_level_company]]&gt;=1,1,0)</f>
        <v>0</v>
      </c>
      <c r="D326" s="4">
        <f>_xlfn.MAXIFS(Tabelle5[[#This Row],[binding_level]], Tabelle5[[#This Row],[company_id]],Tabelle18[[#This Row],[company_id]], Tabelle5[[#This Row],[value_id]], Tabelle18[[#This Row],[value_id]], Tabelle5[[#This Row],[value_present]],"1")</f>
        <v>0</v>
      </c>
      <c r="E326" s="4">
        <f>_xlfn.MAXIFS(Tabelle5[[#This Row],[value_points]], Tabelle5[[#This Row],[company_id]],Tabelle18[[#This Row],[company_id]], Tabelle5[[#This Row],[value_id]], Tabelle18[[#This Row],[value_id]], Tabelle5[[#This Row],[value_present]],"1")</f>
        <v>0</v>
      </c>
    </row>
    <row r="327" spans="1:5" x14ac:dyDescent="0.25">
      <c r="A327">
        <v>19</v>
      </c>
      <c r="B327" t="s">
        <v>61</v>
      </c>
      <c r="C327" s="4">
        <f>IF(Tabelle18[[#This Row],[binding_level_company]]&gt;=1,1,0)</f>
        <v>0</v>
      </c>
      <c r="D327" s="4">
        <f>_xlfn.MAXIFS(Tabelle5[[#This Row],[binding_level]], Tabelle5[[#This Row],[company_id]],Tabelle18[[#This Row],[company_id]], Tabelle5[[#This Row],[value_id]], Tabelle18[[#This Row],[value_id]], Tabelle5[[#This Row],[value_present]],"1")</f>
        <v>0</v>
      </c>
      <c r="E327" s="4">
        <f>_xlfn.MAXIFS(Tabelle5[[#This Row],[value_points]], Tabelle5[[#This Row],[company_id]],Tabelle18[[#This Row],[company_id]], Tabelle5[[#This Row],[value_id]], Tabelle18[[#This Row],[value_id]], Tabelle5[[#This Row],[value_present]],"1")</f>
        <v>0</v>
      </c>
    </row>
    <row r="328" spans="1:5" x14ac:dyDescent="0.25">
      <c r="A328">
        <v>19</v>
      </c>
      <c r="B328" t="s">
        <v>69</v>
      </c>
      <c r="C328" s="4">
        <f>IF(Tabelle18[[#This Row],[binding_level_company]]&gt;=1,1,0)</f>
        <v>0</v>
      </c>
      <c r="D328" s="4">
        <f>_xlfn.MAXIFS(Tabelle5[[#This Row],[binding_level]], Tabelle5[[#This Row],[company_id]],Tabelle18[[#This Row],[company_id]], Tabelle5[[#This Row],[value_id]], Tabelle18[[#This Row],[value_id]], Tabelle5[[#This Row],[value_present]],"1")</f>
        <v>0</v>
      </c>
      <c r="E328" s="4">
        <f>_xlfn.MAXIFS(Tabelle5[[#This Row],[value_points]], Tabelle5[[#This Row],[company_id]],Tabelle18[[#This Row],[company_id]], Tabelle5[[#This Row],[value_id]], Tabelle18[[#This Row],[value_id]], Tabelle5[[#This Row],[value_present]],"1")</f>
        <v>0</v>
      </c>
    </row>
    <row r="329" spans="1:5" x14ac:dyDescent="0.25">
      <c r="A329">
        <v>19</v>
      </c>
      <c r="B329" t="s">
        <v>76</v>
      </c>
      <c r="C329" s="4">
        <f>IF(Tabelle18[[#This Row],[binding_level_company]]&gt;=1,1,0)</f>
        <v>0</v>
      </c>
      <c r="D329" s="4">
        <f>_xlfn.MAXIFS(Tabelle5[[#This Row],[binding_level]], Tabelle5[[#This Row],[company_id]],Tabelle18[[#This Row],[company_id]], Tabelle5[[#This Row],[value_id]], Tabelle18[[#This Row],[value_id]], Tabelle5[[#This Row],[value_present]],"1")</f>
        <v>0</v>
      </c>
      <c r="E329" s="4">
        <f>_xlfn.MAXIFS(Tabelle5[[#This Row],[value_points]], Tabelle5[[#This Row],[company_id]],Tabelle18[[#This Row],[company_id]], Tabelle5[[#This Row],[value_id]], Tabelle18[[#This Row],[value_id]], Tabelle5[[#This Row],[value_present]],"1")</f>
        <v>0</v>
      </c>
    </row>
    <row r="330" spans="1:5" x14ac:dyDescent="0.25">
      <c r="A330">
        <v>19</v>
      </c>
      <c r="B330" t="s">
        <v>83</v>
      </c>
      <c r="C330" s="4">
        <f>IF(Tabelle18[[#This Row],[binding_level_company]]&gt;=1,1,0)</f>
        <v>0</v>
      </c>
      <c r="D330" s="4">
        <f>_xlfn.MAXIFS(Tabelle5[[#This Row],[binding_level]], Tabelle5[[#This Row],[company_id]],Tabelle18[[#This Row],[company_id]], Tabelle5[[#This Row],[value_id]], Tabelle18[[#This Row],[value_id]], Tabelle5[[#This Row],[value_present]],"1")</f>
        <v>0</v>
      </c>
      <c r="E330" s="4">
        <f>_xlfn.MAXIFS(Tabelle5[[#This Row],[value_points]], Tabelle5[[#This Row],[company_id]],Tabelle18[[#This Row],[company_id]], Tabelle5[[#This Row],[value_id]], Tabelle18[[#This Row],[value_id]], Tabelle5[[#This Row],[value_present]],"1")</f>
        <v>0</v>
      </c>
    </row>
    <row r="331" spans="1:5" x14ac:dyDescent="0.25">
      <c r="A331">
        <v>19</v>
      </c>
      <c r="B331" t="s">
        <v>90</v>
      </c>
      <c r="C331" s="4">
        <f>IF(Tabelle18[[#This Row],[binding_level_company]]&gt;=1,1,0)</f>
        <v>0</v>
      </c>
      <c r="D331" s="4">
        <f>_xlfn.MAXIFS(Tabelle5[[#This Row],[binding_level]], Tabelle5[[#This Row],[company_id]],Tabelle18[[#This Row],[company_id]], Tabelle5[[#This Row],[value_id]], Tabelle18[[#This Row],[value_id]], Tabelle5[[#This Row],[value_present]],"1")</f>
        <v>0</v>
      </c>
      <c r="E331" s="4">
        <f>_xlfn.MAXIFS(Tabelle5[[#This Row],[value_points]], Tabelle5[[#This Row],[company_id]],Tabelle18[[#This Row],[company_id]], Tabelle5[[#This Row],[value_id]], Tabelle18[[#This Row],[value_id]], Tabelle5[[#This Row],[value_present]],"1")</f>
        <v>0</v>
      </c>
    </row>
    <row r="332" spans="1:5" x14ac:dyDescent="0.25">
      <c r="A332">
        <v>19</v>
      </c>
      <c r="B332" t="s">
        <v>98</v>
      </c>
      <c r="C332" s="4">
        <f>IF(Tabelle18[[#This Row],[binding_level_company]]&gt;=1,1,0)</f>
        <v>0</v>
      </c>
      <c r="D332" s="4">
        <f>_xlfn.MAXIFS(Tabelle5[[#This Row],[binding_level]], Tabelle5[[#This Row],[company_id]],Tabelle18[[#This Row],[company_id]], Tabelle5[[#This Row],[value_id]], Tabelle18[[#This Row],[value_id]], Tabelle5[[#This Row],[value_present]],"1")</f>
        <v>0</v>
      </c>
      <c r="E332" s="4">
        <f>_xlfn.MAXIFS(Tabelle5[[#This Row],[value_points]], Tabelle5[[#This Row],[company_id]],Tabelle18[[#This Row],[company_id]], Tabelle5[[#This Row],[value_id]], Tabelle18[[#This Row],[value_id]], Tabelle5[[#This Row],[value_present]],"1")</f>
        <v>0</v>
      </c>
    </row>
    <row r="333" spans="1:5" x14ac:dyDescent="0.25">
      <c r="A333">
        <v>19</v>
      </c>
      <c r="B333" t="s">
        <v>106</v>
      </c>
      <c r="C333" s="4">
        <f>IF(Tabelle18[[#This Row],[binding_level_company]]&gt;=1,1,0)</f>
        <v>0</v>
      </c>
      <c r="D333" s="4">
        <f>_xlfn.MAXIFS(Tabelle5[[#This Row],[binding_level]], Tabelle5[[#This Row],[company_id]],Tabelle18[[#This Row],[company_id]], Tabelle5[[#This Row],[value_id]], Tabelle18[[#This Row],[value_id]], Tabelle5[[#This Row],[value_present]],"1")</f>
        <v>0</v>
      </c>
      <c r="E333" s="4">
        <f>_xlfn.MAXIFS(Tabelle5[[#This Row],[value_points]], Tabelle5[[#This Row],[company_id]],Tabelle18[[#This Row],[company_id]], Tabelle5[[#This Row],[value_id]], Tabelle18[[#This Row],[value_id]], Tabelle5[[#This Row],[value_present]],"1")</f>
        <v>0</v>
      </c>
    </row>
    <row r="334" spans="1:5" x14ac:dyDescent="0.25">
      <c r="A334">
        <v>19</v>
      </c>
      <c r="B334" t="s">
        <v>112</v>
      </c>
      <c r="C334" s="4">
        <f>IF(Tabelle18[[#This Row],[binding_level_company]]&gt;=1,1,0)</f>
        <v>0</v>
      </c>
      <c r="D334" s="4">
        <f>_xlfn.MAXIFS(Tabelle5[[#This Row],[binding_level]], Tabelle5[[#This Row],[company_id]],Tabelle18[[#This Row],[company_id]], Tabelle5[[#This Row],[value_id]], Tabelle18[[#This Row],[value_id]], Tabelle5[[#This Row],[value_present]],"1")</f>
        <v>0</v>
      </c>
      <c r="E334" s="4">
        <f>_xlfn.MAXIFS(Tabelle5[[#This Row],[value_points]], Tabelle5[[#This Row],[company_id]],Tabelle18[[#This Row],[company_id]], Tabelle5[[#This Row],[value_id]], Tabelle18[[#This Row],[value_id]], Tabelle5[[#This Row],[value_present]],"1")</f>
        <v>0</v>
      </c>
    </row>
    <row r="335" spans="1:5" x14ac:dyDescent="0.25">
      <c r="A335">
        <v>19</v>
      </c>
      <c r="B335" t="s">
        <v>118</v>
      </c>
      <c r="C335" s="4">
        <f>IF(Tabelle18[[#This Row],[binding_level_company]]&gt;=1,1,0)</f>
        <v>0</v>
      </c>
      <c r="D335" s="4">
        <f>_xlfn.MAXIFS(Tabelle5[[#This Row],[binding_level]], Tabelle5[[#This Row],[company_id]],Tabelle18[[#This Row],[company_id]], Tabelle5[[#This Row],[value_id]], Tabelle18[[#This Row],[value_id]], Tabelle5[[#This Row],[value_present]],"1")</f>
        <v>0</v>
      </c>
      <c r="E335" s="4">
        <f>_xlfn.MAXIFS(Tabelle5[[#This Row],[value_points]], Tabelle5[[#This Row],[company_id]],Tabelle18[[#This Row],[company_id]], Tabelle5[[#This Row],[value_id]], Tabelle18[[#This Row],[value_id]], Tabelle5[[#This Row],[value_present]],"1")</f>
        <v>0</v>
      </c>
    </row>
    <row r="336" spans="1:5" x14ac:dyDescent="0.25">
      <c r="A336">
        <v>19</v>
      </c>
      <c r="B336" t="s">
        <v>125</v>
      </c>
      <c r="C336" s="4">
        <f>IF(Tabelle18[[#This Row],[binding_level_company]]&gt;=1,1,0)</f>
        <v>0</v>
      </c>
      <c r="D336" s="4">
        <f>_xlfn.MAXIFS(Tabelle5[[#This Row],[binding_level]], Tabelle5[[#This Row],[company_id]],Tabelle18[[#This Row],[company_id]], Tabelle5[[#This Row],[value_id]], Tabelle18[[#This Row],[value_id]], Tabelle5[[#This Row],[value_present]],"1")</f>
        <v>0</v>
      </c>
      <c r="E336" s="4">
        <f>_xlfn.MAXIFS(Tabelle5[[#This Row],[value_points]], Tabelle5[[#This Row],[company_id]],Tabelle18[[#This Row],[company_id]], Tabelle5[[#This Row],[value_id]], Tabelle18[[#This Row],[value_id]], Tabelle5[[#This Row],[value_present]],"1")</f>
        <v>0</v>
      </c>
    </row>
    <row r="337" spans="1:5" x14ac:dyDescent="0.25">
      <c r="A337">
        <v>19</v>
      </c>
      <c r="B337" t="s">
        <v>132</v>
      </c>
      <c r="C337" s="4">
        <f>IF(Tabelle18[[#This Row],[binding_level_company]]&gt;=1,1,0)</f>
        <v>0</v>
      </c>
      <c r="D337" s="4">
        <f>_xlfn.MAXIFS(Tabelle5[[#This Row],[binding_level]], Tabelle5[[#This Row],[company_id]],Tabelle18[[#This Row],[company_id]], Tabelle5[[#This Row],[value_id]], Tabelle18[[#This Row],[value_id]], Tabelle5[[#This Row],[value_present]],"1")</f>
        <v>0</v>
      </c>
      <c r="E337" s="4">
        <f>_xlfn.MAXIFS(Tabelle5[[#This Row],[value_points]], Tabelle5[[#This Row],[company_id]],Tabelle18[[#This Row],[company_id]], Tabelle5[[#This Row],[value_id]], Tabelle18[[#This Row],[value_id]], Tabelle5[[#This Row],[value_present]],"1")</f>
        <v>0</v>
      </c>
    </row>
    <row r="338" spans="1:5" x14ac:dyDescent="0.25">
      <c r="A338">
        <v>19</v>
      </c>
      <c r="B338" t="s">
        <v>140</v>
      </c>
      <c r="C338" s="4">
        <f>IF(Tabelle18[[#This Row],[binding_level_company]]&gt;=1,1,0)</f>
        <v>0</v>
      </c>
      <c r="D338" s="4">
        <f>_xlfn.MAXIFS(Tabelle5[[#This Row],[binding_level]], Tabelle5[[#This Row],[company_id]],Tabelle18[[#This Row],[company_id]], Tabelle5[[#This Row],[value_id]], Tabelle18[[#This Row],[value_id]], Tabelle5[[#This Row],[value_present]],"1")</f>
        <v>0</v>
      </c>
      <c r="E338" s="4">
        <f>_xlfn.MAXIFS(Tabelle5[[#This Row],[value_points]], Tabelle5[[#This Row],[company_id]],Tabelle18[[#This Row],[company_id]], Tabelle5[[#This Row],[value_id]], Tabelle18[[#This Row],[value_id]], Tabelle5[[#This Row],[value_present]],"1")</f>
        <v>0</v>
      </c>
    </row>
    <row r="339" spans="1:5" x14ac:dyDescent="0.25">
      <c r="A339">
        <v>19</v>
      </c>
      <c r="B339" t="s">
        <v>147</v>
      </c>
      <c r="C339" s="4">
        <f>IF(Tabelle18[[#This Row],[binding_level_company]]&gt;=1,1,0)</f>
        <v>0</v>
      </c>
      <c r="D339" s="4">
        <f>_xlfn.MAXIFS(Tabelle5[[#This Row],[binding_level]], Tabelle5[[#This Row],[company_id]],Tabelle18[[#This Row],[company_id]], Tabelle5[[#This Row],[value_id]], Tabelle18[[#This Row],[value_id]], Tabelle5[[#This Row],[value_present]],"1")</f>
        <v>0</v>
      </c>
      <c r="E339" s="4">
        <f>_xlfn.MAXIFS(Tabelle5[[#This Row],[value_points]], Tabelle5[[#This Row],[company_id]],Tabelle18[[#This Row],[company_id]], Tabelle5[[#This Row],[value_id]], Tabelle18[[#This Row],[value_id]], Tabelle5[[#This Row],[value_present]],"1")</f>
        <v>0</v>
      </c>
    </row>
    <row r="340" spans="1:5" x14ac:dyDescent="0.25">
      <c r="A340">
        <v>19</v>
      </c>
      <c r="B340" t="s">
        <v>154</v>
      </c>
      <c r="C340" s="4">
        <f>IF(Tabelle18[[#This Row],[binding_level_company]]&gt;=1,1,0)</f>
        <v>0</v>
      </c>
      <c r="D340" s="4">
        <f>_xlfn.MAXIFS(Tabelle5[[#This Row],[binding_level]], Tabelle5[[#This Row],[company_id]],Tabelle18[[#This Row],[company_id]], Tabelle5[[#This Row],[value_id]], Tabelle18[[#This Row],[value_id]], Tabelle5[[#This Row],[value_present]],"1")</f>
        <v>0</v>
      </c>
      <c r="E340" s="4">
        <f>_xlfn.MAXIFS(Tabelle5[[#This Row],[value_points]], Tabelle5[[#This Row],[company_id]],Tabelle18[[#This Row],[company_id]], Tabelle5[[#This Row],[value_id]], Tabelle18[[#This Row],[value_id]], Tabelle5[[#This Row],[value_present]],"1")</f>
        <v>0</v>
      </c>
    </row>
    <row r="341" spans="1:5" x14ac:dyDescent="0.25">
      <c r="A341">
        <v>19</v>
      </c>
      <c r="B341" t="s">
        <v>161</v>
      </c>
      <c r="C341" s="4">
        <f>IF(Tabelle18[[#This Row],[binding_level_company]]&gt;=1,1,0)</f>
        <v>0</v>
      </c>
      <c r="D341" s="4">
        <f>_xlfn.MAXIFS(Tabelle5[[#This Row],[binding_level]], Tabelle5[[#This Row],[company_id]],Tabelle18[[#This Row],[company_id]], Tabelle5[[#This Row],[value_id]], Tabelle18[[#This Row],[value_id]], Tabelle5[[#This Row],[value_present]],"1")</f>
        <v>0</v>
      </c>
      <c r="E341" s="4">
        <f>_xlfn.MAXIFS(Tabelle5[[#This Row],[value_points]], Tabelle5[[#This Row],[company_id]],Tabelle18[[#This Row],[company_id]], Tabelle5[[#This Row],[value_id]], Tabelle18[[#This Row],[value_id]], Tabelle5[[#This Row],[value_present]],"1")</f>
        <v>0</v>
      </c>
    </row>
    <row r="342" spans="1:5" x14ac:dyDescent="0.25">
      <c r="A342">
        <v>19</v>
      </c>
      <c r="B342" t="s">
        <v>166</v>
      </c>
      <c r="C342" s="4">
        <f>IF(Tabelle18[[#This Row],[binding_level_company]]&gt;=1,1,0)</f>
        <v>0</v>
      </c>
      <c r="D342" s="4">
        <f>_xlfn.MAXIFS(Tabelle5[[#This Row],[binding_level]], Tabelle5[[#This Row],[company_id]],Tabelle18[[#This Row],[company_id]], Tabelle5[[#This Row],[value_id]], Tabelle18[[#This Row],[value_id]], Tabelle5[[#This Row],[value_present]],"1")</f>
        <v>0</v>
      </c>
      <c r="E342" s="4">
        <f>_xlfn.MAXIFS(Tabelle5[[#This Row],[value_points]], Tabelle5[[#This Row],[company_id]],Tabelle18[[#This Row],[company_id]], Tabelle5[[#This Row],[value_id]], Tabelle18[[#This Row],[value_id]], Tabelle5[[#This Row],[value_present]],"1")</f>
        <v>0</v>
      </c>
    </row>
    <row r="343" spans="1:5" ht="15.75" thickBot="1" x14ac:dyDescent="0.3">
      <c r="A343">
        <v>19</v>
      </c>
      <c r="B343" s="30" t="s">
        <v>174</v>
      </c>
      <c r="C343" s="4">
        <f>IF(Tabelle18[[#This Row],[binding_level_company]]&gt;=1,1,0)</f>
        <v>0</v>
      </c>
      <c r="D343" s="4">
        <f>_xlfn.MAXIFS(Tabelle5[[#This Row],[binding_level]], Tabelle5[[#This Row],[company_id]],Tabelle18[[#This Row],[company_id]], Tabelle5[[#This Row],[value_id]], Tabelle18[[#This Row],[value_id]], Tabelle5[[#This Row],[value_present]],"1")</f>
        <v>0</v>
      </c>
      <c r="E343" s="4">
        <f>_xlfn.MAXIFS(Tabelle5[[#This Row],[value_points]], Tabelle5[[#This Row],[company_id]],Tabelle18[[#This Row],[company_id]], Tabelle5[[#This Row],[value_id]], Tabelle18[[#This Row],[value_id]], Tabelle5[[#This Row],[value_present]],"1")</f>
        <v>0</v>
      </c>
    </row>
    <row r="344" spans="1:5" x14ac:dyDescent="0.25">
      <c r="A344">
        <v>20</v>
      </c>
      <c r="B344" s="22" t="s">
        <v>53</v>
      </c>
      <c r="C344" s="4">
        <f>IF(Tabelle18[[#This Row],[binding_level_company]]&gt;=1,1,0)</f>
        <v>0</v>
      </c>
      <c r="D344" s="4">
        <f>_xlfn.MAXIFS(Tabelle5[[#This Row],[binding_level]], Tabelle5[[#This Row],[company_id]],Tabelle18[[#This Row],[company_id]], Tabelle5[[#This Row],[value_id]], Tabelle18[[#This Row],[value_id]], Tabelle5[[#This Row],[value_present]],"1")</f>
        <v>0</v>
      </c>
      <c r="E344" s="4">
        <f>_xlfn.MAXIFS(Tabelle5[[#This Row],[value_points]], Tabelle5[[#This Row],[company_id]],Tabelle18[[#This Row],[company_id]], Tabelle5[[#This Row],[value_id]], Tabelle18[[#This Row],[value_id]], Tabelle5[[#This Row],[value_present]],"1")</f>
        <v>0</v>
      </c>
    </row>
    <row r="345" spans="1:5" x14ac:dyDescent="0.25">
      <c r="A345">
        <v>20</v>
      </c>
      <c r="B345" t="s">
        <v>61</v>
      </c>
      <c r="C345" s="4">
        <f>IF(Tabelle18[[#This Row],[binding_level_company]]&gt;=1,1,0)</f>
        <v>0</v>
      </c>
      <c r="D345" s="4">
        <f>_xlfn.MAXIFS(Tabelle5[[#This Row],[binding_level]], Tabelle5[[#This Row],[company_id]],Tabelle18[[#This Row],[company_id]], Tabelle5[[#This Row],[value_id]], Tabelle18[[#This Row],[value_id]], Tabelle5[[#This Row],[value_present]],"1")</f>
        <v>0</v>
      </c>
      <c r="E345" s="4">
        <f>_xlfn.MAXIFS(Tabelle5[[#This Row],[value_points]], Tabelle5[[#This Row],[company_id]],Tabelle18[[#This Row],[company_id]], Tabelle5[[#This Row],[value_id]], Tabelle18[[#This Row],[value_id]], Tabelle5[[#This Row],[value_present]],"1")</f>
        <v>0</v>
      </c>
    </row>
    <row r="346" spans="1:5" x14ac:dyDescent="0.25">
      <c r="A346">
        <v>20</v>
      </c>
      <c r="B346" t="s">
        <v>69</v>
      </c>
      <c r="C346" s="4">
        <f>IF(Tabelle18[[#This Row],[binding_level_company]]&gt;=1,1,0)</f>
        <v>0</v>
      </c>
      <c r="D346" s="4">
        <f>_xlfn.MAXIFS(Tabelle5[[#This Row],[binding_level]], Tabelle5[[#This Row],[company_id]],Tabelle18[[#This Row],[company_id]], Tabelle5[[#This Row],[value_id]], Tabelle18[[#This Row],[value_id]], Tabelle5[[#This Row],[value_present]],"1")</f>
        <v>0</v>
      </c>
      <c r="E346" s="4">
        <f>_xlfn.MAXIFS(Tabelle5[[#This Row],[value_points]], Tabelle5[[#This Row],[company_id]],Tabelle18[[#This Row],[company_id]], Tabelle5[[#This Row],[value_id]], Tabelle18[[#This Row],[value_id]], Tabelle5[[#This Row],[value_present]],"1")</f>
        <v>0</v>
      </c>
    </row>
    <row r="347" spans="1:5" x14ac:dyDescent="0.25">
      <c r="A347">
        <v>20</v>
      </c>
      <c r="B347" t="s">
        <v>76</v>
      </c>
      <c r="C347" s="4">
        <f>IF(Tabelle18[[#This Row],[binding_level_company]]&gt;=1,1,0)</f>
        <v>0</v>
      </c>
      <c r="D347" s="4">
        <f>_xlfn.MAXIFS(Tabelle5[[#This Row],[binding_level]], Tabelle5[[#This Row],[company_id]],Tabelle18[[#This Row],[company_id]], Tabelle5[[#This Row],[value_id]], Tabelle18[[#This Row],[value_id]], Tabelle5[[#This Row],[value_present]],"1")</f>
        <v>0</v>
      </c>
      <c r="E347" s="4">
        <f>_xlfn.MAXIFS(Tabelle5[[#This Row],[value_points]], Tabelle5[[#This Row],[company_id]],Tabelle18[[#This Row],[company_id]], Tabelle5[[#This Row],[value_id]], Tabelle18[[#This Row],[value_id]], Tabelle5[[#This Row],[value_present]],"1")</f>
        <v>0</v>
      </c>
    </row>
    <row r="348" spans="1:5" x14ac:dyDescent="0.25">
      <c r="A348">
        <v>20</v>
      </c>
      <c r="B348" t="s">
        <v>83</v>
      </c>
      <c r="C348" s="4">
        <f>IF(Tabelle18[[#This Row],[binding_level_company]]&gt;=1,1,0)</f>
        <v>0</v>
      </c>
      <c r="D348" s="4">
        <f>_xlfn.MAXIFS(Tabelle5[[#This Row],[binding_level]], Tabelle5[[#This Row],[company_id]],Tabelle18[[#This Row],[company_id]], Tabelle5[[#This Row],[value_id]], Tabelle18[[#This Row],[value_id]], Tabelle5[[#This Row],[value_present]],"1")</f>
        <v>0</v>
      </c>
      <c r="E348" s="4">
        <f>_xlfn.MAXIFS(Tabelle5[[#This Row],[value_points]], Tabelle5[[#This Row],[company_id]],Tabelle18[[#This Row],[company_id]], Tabelle5[[#This Row],[value_id]], Tabelle18[[#This Row],[value_id]], Tabelle5[[#This Row],[value_present]],"1")</f>
        <v>0</v>
      </c>
    </row>
    <row r="349" spans="1:5" x14ac:dyDescent="0.25">
      <c r="A349">
        <v>20</v>
      </c>
      <c r="B349" t="s">
        <v>90</v>
      </c>
      <c r="C349" s="4">
        <f>IF(Tabelle18[[#This Row],[binding_level_company]]&gt;=1,1,0)</f>
        <v>0</v>
      </c>
      <c r="D349" s="4">
        <f>_xlfn.MAXIFS(Tabelle5[[#This Row],[binding_level]], Tabelle5[[#This Row],[company_id]],Tabelle18[[#This Row],[company_id]], Tabelle5[[#This Row],[value_id]], Tabelle18[[#This Row],[value_id]], Tabelle5[[#This Row],[value_present]],"1")</f>
        <v>0</v>
      </c>
      <c r="E349" s="4">
        <f>_xlfn.MAXIFS(Tabelle5[[#This Row],[value_points]], Tabelle5[[#This Row],[company_id]],Tabelle18[[#This Row],[company_id]], Tabelle5[[#This Row],[value_id]], Tabelle18[[#This Row],[value_id]], Tabelle5[[#This Row],[value_present]],"1")</f>
        <v>0</v>
      </c>
    </row>
    <row r="350" spans="1:5" x14ac:dyDescent="0.25">
      <c r="A350">
        <v>20</v>
      </c>
      <c r="B350" t="s">
        <v>98</v>
      </c>
      <c r="C350" s="4">
        <f>IF(Tabelle18[[#This Row],[binding_level_company]]&gt;=1,1,0)</f>
        <v>0</v>
      </c>
      <c r="D350" s="4">
        <f>_xlfn.MAXIFS(Tabelle5[[#This Row],[binding_level]], Tabelle5[[#This Row],[company_id]],Tabelle18[[#This Row],[company_id]], Tabelle5[[#This Row],[value_id]], Tabelle18[[#This Row],[value_id]], Tabelle5[[#This Row],[value_present]],"1")</f>
        <v>0</v>
      </c>
      <c r="E350" s="4">
        <f>_xlfn.MAXIFS(Tabelle5[[#This Row],[value_points]], Tabelle5[[#This Row],[company_id]],Tabelle18[[#This Row],[company_id]], Tabelle5[[#This Row],[value_id]], Tabelle18[[#This Row],[value_id]], Tabelle5[[#This Row],[value_present]],"1")</f>
        <v>0</v>
      </c>
    </row>
    <row r="351" spans="1:5" x14ac:dyDescent="0.25">
      <c r="A351">
        <v>20</v>
      </c>
      <c r="B351" t="s">
        <v>106</v>
      </c>
      <c r="C351" s="4">
        <f>IF(Tabelle18[[#This Row],[binding_level_company]]&gt;=1,1,0)</f>
        <v>0</v>
      </c>
      <c r="D351" s="4">
        <f>_xlfn.MAXIFS(Tabelle5[[#This Row],[binding_level]], Tabelle5[[#This Row],[company_id]],Tabelle18[[#This Row],[company_id]], Tabelle5[[#This Row],[value_id]], Tabelle18[[#This Row],[value_id]], Tabelle5[[#This Row],[value_present]],"1")</f>
        <v>0</v>
      </c>
      <c r="E351" s="4">
        <f>_xlfn.MAXIFS(Tabelle5[[#This Row],[value_points]], Tabelle5[[#This Row],[company_id]],Tabelle18[[#This Row],[company_id]], Tabelle5[[#This Row],[value_id]], Tabelle18[[#This Row],[value_id]], Tabelle5[[#This Row],[value_present]],"1")</f>
        <v>0</v>
      </c>
    </row>
    <row r="352" spans="1:5" x14ac:dyDescent="0.25">
      <c r="A352">
        <v>20</v>
      </c>
      <c r="B352" t="s">
        <v>112</v>
      </c>
      <c r="C352" s="4">
        <f>IF(Tabelle18[[#This Row],[binding_level_company]]&gt;=1,1,0)</f>
        <v>0</v>
      </c>
      <c r="D352" s="4">
        <f>_xlfn.MAXIFS(Tabelle5[[#This Row],[binding_level]], Tabelle5[[#This Row],[company_id]],Tabelle18[[#This Row],[company_id]], Tabelle5[[#This Row],[value_id]], Tabelle18[[#This Row],[value_id]], Tabelle5[[#This Row],[value_present]],"1")</f>
        <v>0</v>
      </c>
      <c r="E352" s="4">
        <f>_xlfn.MAXIFS(Tabelle5[[#This Row],[value_points]], Tabelle5[[#This Row],[company_id]],Tabelle18[[#This Row],[company_id]], Tabelle5[[#This Row],[value_id]], Tabelle18[[#This Row],[value_id]], Tabelle5[[#This Row],[value_present]],"1")</f>
        <v>0</v>
      </c>
    </row>
    <row r="353" spans="1:5" x14ac:dyDescent="0.25">
      <c r="A353">
        <v>20</v>
      </c>
      <c r="B353" t="s">
        <v>118</v>
      </c>
      <c r="C353" s="4">
        <f>IF(Tabelle18[[#This Row],[binding_level_company]]&gt;=1,1,0)</f>
        <v>0</v>
      </c>
      <c r="D353" s="4">
        <f>_xlfn.MAXIFS(Tabelle5[[#This Row],[binding_level]], Tabelle5[[#This Row],[company_id]],Tabelle18[[#This Row],[company_id]], Tabelle5[[#This Row],[value_id]], Tabelle18[[#This Row],[value_id]], Tabelle5[[#This Row],[value_present]],"1")</f>
        <v>0</v>
      </c>
      <c r="E353" s="4">
        <f>_xlfn.MAXIFS(Tabelle5[[#This Row],[value_points]], Tabelle5[[#This Row],[company_id]],Tabelle18[[#This Row],[company_id]], Tabelle5[[#This Row],[value_id]], Tabelle18[[#This Row],[value_id]], Tabelle5[[#This Row],[value_present]],"1")</f>
        <v>0</v>
      </c>
    </row>
    <row r="354" spans="1:5" x14ac:dyDescent="0.25">
      <c r="A354">
        <v>20</v>
      </c>
      <c r="B354" t="s">
        <v>125</v>
      </c>
      <c r="C354" s="4">
        <f>IF(Tabelle18[[#This Row],[binding_level_company]]&gt;=1,1,0)</f>
        <v>0</v>
      </c>
      <c r="D354" s="4">
        <f>_xlfn.MAXIFS(Tabelle5[[#This Row],[binding_level]], Tabelle5[[#This Row],[company_id]],Tabelle18[[#This Row],[company_id]], Tabelle5[[#This Row],[value_id]], Tabelle18[[#This Row],[value_id]], Tabelle5[[#This Row],[value_present]],"1")</f>
        <v>0</v>
      </c>
      <c r="E354" s="4">
        <f>_xlfn.MAXIFS(Tabelle5[[#This Row],[value_points]], Tabelle5[[#This Row],[company_id]],Tabelle18[[#This Row],[company_id]], Tabelle5[[#This Row],[value_id]], Tabelle18[[#This Row],[value_id]], Tabelle5[[#This Row],[value_present]],"1")</f>
        <v>0</v>
      </c>
    </row>
    <row r="355" spans="1:5" x14ac:dyDescent="0.25">
      <c r="A355">
        <v>20</v>
      </c>
      <c r="B355" t="s">
        <v>132</v>
      </c>
      <c r="C355" s="4">
        <f>IF(Tabelle18[[#This Row],[binding_level_company]]&gt;=1,1,0)</f>
        <v>0</v>
      </c>
      <c r="D355" s="4">
        <f>_xlfn.MAXIFS(Tabelle5[[#This Row],[binding_level]], Tabelle5[[#This Row],[company_id]],Tabelle18[[#This Row],[company_id]], Tabelle5[[#This Row],[value_id]], Tabelle18[[#This Row],[value_id]], Tabelle5[[#This Row],[value_present]],"1")</f>
        <v>0</v>
      </c>
      <c r="E355" s="4">
        <f>_xlfn.MAXIFS(Tabelle5[[#This Row],[value_points]], Tabelle5[[#This Row],[company_id]],Tabelle18[[#This Row],[company_id]], Tabelle5[[#This Row],[value_id]], Tabelle18[[#This Row],[value_id]], Tabelle5[[#This Row],[value_present]],"1")</f>
        <v>0</v>
      </c>
    </row>
    <row r="356" spans="1:5" x14ac:dyDescent="0.25">
      <c r="A356">
        <v>20</v>
      </c>
      <c r="B356" t="s">
        <v>140</v>
      </c>
      <c r="C356" s="4">
        <f>IF(Tabelle18[[#This Row],[binding_level_company]]&gt;=1,1,0)</f>
        <v>0</v>
      </c>
      <c r="D356" s="4">
        <f>_xlfn.MAXIFS(Tabelle5[[#This Row],[binding_level]], Tabelle5[[#This Row],[company_id]],Tabelle18[[#This Row],[company_id]], Tabelle5[[#This Row],[value_id]], Tabelle18[[#This Row],[value_id]], Tabelle5[[#This Row],[value_present]],"1")</f>
        <v>0</v>
      </c>
      <c r="E356" s="4">
        <f>_xlfn.MAXIFS(Tabelle5[[#This Row],[value_points]], Tabelle5[[#This Row],[company_id]],Tabelle18[[#This Row],[company_id]], Tabelle5[[#This Row],[value_id]], Tabelle18[[#This Row],[value_id]], Tabelle5[[#This Row],[value_present]],"1")</f>
        <v>0</v>
      </c>
    </row>
    <row r="357" spans="1:5" x14ac:dyDescent="0.25">
      <c r="A357">
        <v>20</v>
      </c>
      <c r="B357" t="s">
        <v>147</v>
      </c>
      <c r="C357" s="4">
        <f>IF(Tabelle18[[#This Row],[binding_level_company]]&gt;=1,1,0)</f>
        <v>0</v>
      </c>
      <c r="D357" s="4">
        <f>_xlfn.MAXIFS(Tabelle5[[#This Row],[binding_level]], Tabelle5[[#This Row],[company_id]],Tabelle18[[#This Row],[company_id]], Tabelle5[[#This Row],[value_id]], Tabelle18[[#This Row],[value_id]], Tabelle5[[#This Row],[value_present]],"1")</f>
        <v>0</v>
      </c>
      <c r="E357" s="4">
        <f>_xlfn.MAXIFS(Tabelle5[[#This Row],[value_points]], Tabelle5[[#This Row],[company_id]],Tabelle18[[#This Row],[company_id]], Tabelle5[[#This Row],[value_id]], Tabelle18[[#This Row],[value_id]], Tabelle5[[#This Row],[value_present]],"1")</f>
        <v>0</v>
      </c>
    </row>
    <row r="358" spans="1:5" x14ac:dyDescent="0.25">
      <c r="A358">
        <v>20</v>
      </c>
      <c r="B358" t="s">
        <v>154</v>
      </c>
      <c r="C358" s="4">
        <f>IF(Tabelle18[[#This Row],[binding_level_company]]&gt;=1,1,0)</f>
        <v>0</v>
      </c>
      <c r="D358" s="4">
        <f>_xlfn.MAXIFS(Tabelle5[[#This Row],[binding_level]], Tabelle5[[#This Row],[company_id]],Tabelle18[[#This Row],[company_id]], Tabelle5[[#This Row],[value_id]], Tabelle18[[#This Row],[value_id]], Tabelle5[[#This Row],[value_present]],"1")</f>
        <v>0</v>
      </c>
      <c r="E358" s="4">
        <f>_xlfn.MAXIFS(Tabelle5[[#This Row],[value_points]], Tabelle5[[#This Row],[company_id]],Tabelle18[[#This Row],[company_id]], Tabelle5[[#This Row],[value_id]], Tabelle18[[#This Row],[value_id]], Tabelle5[[#This Row],[value_present]],"1")</f>
        <v>0</v>
      </c>
    </row>
    <row r="359" spans="1:5" x14ac:dyDescent="0.25">
      <c r="A359">
        <v>20</v>
      </c>
      <c r="B359" t="s">
        <v>161</v>
      </c>
      <c r="C359" s="4">
        <f>IF(Tabelle18[[#This Row],[binding_level_company]]&gt;=1,1,0)</f>
        <v>0</v>
      </c>
      <c r="D359" s="4">
        <f>_xlfn.MAXIFS(Tabelle5[[#This Row],[binding_level]], Tabelle5[[#This Row],[company_id]],Tabelle18[[#This Row],[company_id]], Tabelle5[[#This Row],[value_id]], Tabelle18[[#This Row],[value_id]], Tabelle5[[#This Row],[value_present]],"1")</f>
        <v>0</v>
      </c>
      <c r="E359" s="4">
        <f>_xlfn.MAXIFS(Tabelle5[[#This Row],[value_points]], Tabelle5[[#This Row],[company_id]],Tabelle18[[#This Row],[company_id]], Tabelle5[[#This Row],[value_id]], Tabelle18[[#This Row],[value_id]], Tabelle5[[#This Row],[value_present]],"1")</f>
        <v>0</v>
      </c>
    </row>
    <row r="360" spans="1:5" x14ac:dyDescent="0.25">
      <c r="A360">
        <v>20</v>
      </c>
      <c r="B360" t="s">
        <v>166</v>
      </c>
      <c r="C360" s="4">
        <f>IF(Tabelle18[[#This Row],[binding_level_company]]&gt;=1,1,0)</f>
        <v>0</v>
      </c>
      <c r="D360" s="4">
        <f>_xlfn.MAXIFS(Tabelle5[[#This Row],[binding_level]], Tabelle5[[#This Row],[company_id]],Tabelle18[[#This Row],[company_id]], Tabelle5[[#This Row],[value_id]], Tabelle18[[#This Row],[value_id]], Tabelle5[[#This Row],[value_present]],"1")</f>
        <v>0</v>
      </c>
      <c r="E360" s="4">
        <f>_xlfn.MAXIFS(Tabelle5[[#This Row],[value_points]], Tabelle5[[#This Row],[company_id]],Tabelle18[[#This Row],[company_id]], Tabelle5[[#This Row],[value_id]], Tabelle18[[#This Row],[value_id]], Tabelle5[[#This Row],[value_present]],"1")</f>
        <v>0</v>
      </c>
    </row>
    <row r="361" spans="1:5" ht="15.75" thickBot="1" x14ac:dyDescent="0.3">
      <c r="A361">
        <v>20</v>
      </c>
      <c r="B361" s="30" t="s">
        <v>174</v>
      </c>
      <c r="C361" s="4">
        <f>IF(Tabelle18[[#This Row],[binding_level_company]]&gt;=1,1,0)</f>
        <v>0</v>
      </c>
      <c r="D361" s="4">
        <f>_xlfn.MAXIFS(Tabelle5[[#This Row],[binding_level]], Tabelle5[[#This Row],[company_id]],Tabelle18[[#This Row],[company_id]], Tabelle5[[#This Row],[value_id]], Tabelle18[[#This Row],[value_id]], Tabelle5[[#This Row],[value_present]],"1")</f>
        <v>0</v>
      </c>
      <c r="E361" s="4">
        <f>_xlfn.MAXIFS(Tabelle5[[#This Row],[value_points]], Tabelle5[[#This Row],[company_id]],Tabelle18[[#This Row],[company_id]], Tabelle5[[#This Row],[value_id]], Tabelle18[[#This Row],[value_id]], Tabelle5[[#This Row],[value_present]],"1")</f>
        <v>0</v>
      </c>
    </row>
    <row r="362" spans="1:5" x14ac:dyDescent="0.25">
      <c r="A362">
        <v>21</v>
      </c>
      <c r="B362" s="22" t="s">
        <v>53</v>
      </c>
      <c r="C362" s="4">
        <f>IF(Tabelle18[[#This Row],[binding_level_company]]&gt;=1,1,0)</f>
        <v>0</v>
      </c>
      <c r="D362" s="4">
        <f>_xlfn.MAXIFS(Tabelle5[[#This Row],[binding_level]], Tabelle5[[#This Row],[company_id]],Tabelle18[[#This Row],[company_id]], Tabelle5[[#This Row],[value_id]], Tabelle18[[#This Row],[value_id]], Tabelle5[[#This Row],[value_present]],"1")</f>
        <v>0</v>
      </c>
      <c r="E362" s="4">
        <f>_xlfn.MAXIFS(Tabelle5[[#This Row],[value_points]], Tabelle5[[#This Row],[company_id]],Tabelle18[[#This Row],[company_id]], Tabelle5[[#This Row],[value_id]], Tabelle18[[#This Row],[value_id]], Tabelle5[[#This Row],[value_present]],"1")</f>
        <v>0</v>
      </c>
    </row>
    <row r="363" spans="1:5" x14ac:dyDescent="0.25">
      <c r="A363">
        <v>21</v>
      </c>
      <c r="B363" t="s">
        <v>61</v>
      </c>
      <c r="C363" s="4">
        <f>IF(Tabelle18[[#This Row],[binding_level_company]]&gt;=1,1,0)</f>
        <v>0</v>
      </c>
      <c r="D363" s="4">
        <f>_xlfn.MAXIFS(Tabelle5[[#This Row],[binding_level]], Tabelle5[[#This Row],[company_id]],Tabelle18[[#This Row],[company_id]], Tabelle5[[#This Row],[value_id]], Tabelle18[[#This Row],[value_id]], Tabelle5[[#This Row],[value_present]],"1")</f>
        <v>0</v>
      </c>
      <c r="E363" s="4">
        <f>_xlfn.MAXIFS(Tabelle5[[#This Row],[value_points]], Tabelle5[[#This Row],[company_id]],Tabelle18[[#This Row],[company_id]], Tabelle5[[#This Row],[value_id]], Tabelle18[[#This Row],[value_id]], Tabelle5[[#This Row],[value_present]],"1")</f>
        <v>0</v>
      </c>
    </row>
    <row r="364" spans="1:5" x14ac:dyDescent="0.25">
      <c r="A364">
        <v>21</v>
      </c>
      <c r="B364" t="s">
        <v>69</v>
      </c>
      <c r="C364" s="4">
        <f>IF(Tabelle18[[#This Row],[binding_level_company]]&gt;=1,1,0)</f>
        <v>0</v>
      </c>
      <c r="D364" s="4">
        <f>_xlfn.MAXIFS(Tabelle5[[#This Row],[binding_level]], Tabelle5[[#This Row],[company_id]],Tabelle18[[#This Row],[company_id]], Tabelle5[[#This Row],[value_id]], Tabelle18[[#This Row],[value_id]], Tabelle5[[#This Row],[value_present]],"1")</f>
        <v>0</v>
      </c>
      <c r="E364" s="4">
        <f>_xlfn.MAXIFS(Tabelle5[[#This Row],[value_points]], Tabelle5[[#This Row],[company_id]],Tabelle18[[#This Row],[company_id]], Tabelle5[[#This Row],[value_id]], Tabelle18[[#This Row],[value_id]], Tabelle5[[#This Row],[value_present]],"1")</f>
        <v>0</v>
      </c>
    </row>
    <row r="365" spans="1:5" x14ac:dyDescent="0.25">
      <c r="A365">
        <v>21</v>
      </c>
      <c r="B365" t="s">
        <v>76</v>
      </c>
      <c r="C365" s="4">
        <f>IF(Tabelle18[[#This Row],[binding_level_company]]&gt;=1,1,0)</f>
        <v>0</v>
      </c>
      <c r="D365" s="4">
        <f>_xlfn.MAXIFS(Tabelle5[[#This Row],[binding_level]], Tabelle5[[#This Row],[company_id]],Tabelle18[[#This Row],[company_id]], Tabelle5[[#This Row],[value_id]], Tabelle18[[#This Row],[value_id]], Tabelle5[[#This Row],[value_present]],"1")</f>
        <v>0</v>
      </c>
      <c r="E365" s="4">
        <f>_xlfn.MAXIFS(Tabelle5[[#This Row],[value_points]], Tabelle5[[#This Row],[company_id]],Tabelle18[[#This Row],[company_id]], Tabelle5[[#This Row],[value_id]], Tabelle18[[#This Row],[value_id]], Tabelle5[[#This Row],[value_present]],"1")</f>
        <v>0</v>
      </c>
    </row>
    <row r="366" spans="1:5" x14ac:dyDescent="0.25">
      <c r="A366">
        <v>21</v>
      </c>
      <c r="B366" t="s">
        <v>83</v>
      </c>
      <c r="C366" s="4">
        <f>IF(Tabelle18[[#This Row],[binding_level_company]]&gt;=1,1,0)</f>
        <v>0</v>
      </c>
      <c r="D366" s="4">
        <f>_xlfn.MAXIFS(Tabelle5[[#This Row],[binding_level]], Tabelle5[[#This Row],[company_id]],Tabelle18[[#This Row],[company_id]], Tabelle5[[#This Row],[value_id]], Tabelle18[[#This Row],[value_id]], Tabelle5[[#This Row],[value_present]],"1")</f>
        <v>0</v>
      </c>
      <c r="E366" s="4">
        <f>_xlfn.MAXIFS(Tabelle5[[#This Row],[value_points]], Tabelle5[[#This Row],[company_id]],Tabelle18[[#This Row],[company_id]], Tabelle5[[#This Row],[value_id]], Tabelle18[[#This Row],[value_id]], Tabelle5[[#This Row],[value_present]],"1")</f>
        <v>0</v>
      </c>
    </row>
    <row r="367" spans="1:5" x14ac:dyDescent="0.25">
      <c r="A367">
        <v>21</v>
      </c>
      <c r="B367" t="s">
        <v>90</v>
      </c>
      <c r="C367" s="4">
        <f>IF(Tabelle18[[#This Row],[binding_level_company]]&gt;=1,1,0)</f>
        <v>0</v>
      </c>
      <c r="D367" s="4">
        <f>_xlfn.MAXIFS(Tabelle5[[#This Row],[binding_level]], Tabelle5[[#This Row],[company_id]],Tabelle18[[#This Row],[company_id]], Tabelle5[[#This Row],[value_id]], Tabelle18[[#This Row],[value_id]], Tabelle5[[#This Row],[value_present]],"1")</f>
        <v>0</v>
      </c>
      <c r="E367" s="4">
        <f>_xlfn.MAXIFS(Tabelle5[[#This Row],[value_points]], Tabelle5[[#This Row],[company_id]],Tabelle18[[#This Row],[company_id]], Tabelle5[[#This Row],[value_id]], Tabelle18[[#This Row],[value_id]], Tabelle5[[#This Row],[value_present]],"1")</f>
        <v>0</v>
      </c>
    </row>
    <row r="368" spans="1:5" x14ac:dyDescent="0.25">
      <c r="A368">
        <v>21</v>
      </c>
      <c r="B368" t="s">
        <v>98</v>
      </c>
      <c r="C368" s="4">
        <f>IF(Tabelle18[[#This Row],[binding_level_company]]&gt;=1,1,0)</f>
        <v>0</v>
      </c>
      <c r="D368" s="4">
        <f>_xlfn.MAXIFS(Tabelle5[[#This Row],[binding_level]], Tabelle5[[#This Row],[company_id]],Tabelle18[[#This Row],[company_id]], Tabelle5[[#This Row],[value_id]], Tabelle18[[#This Row],[value_id]], Tabelle5[[#This Row],[value_present]],"1")</f>
        <v>0</v>
      </c>
      <c r="E368" s="4">
        <f>_xlfn.MAXIFS(Tabelle5[[#This Row],[value_points]], Tabelle5[[#This Row],[company_id]],Tabelle18[[#This Row],[company_id]], Tabelle5[[#This Row],[value_id]], Tabelle18[[#This Row],[value_id]], Tabelle5[[#This Row],[value_present]],"1")</f>
        <v>0</v>
      </c>
    </row>
    <row r="369" spans="1:5" x14ac:dyDescent="0.25">
      <c r="A369">
        <v>21</v>
      </c>
      <c r="B369" t="s">
        <v>106</v>
      </c>
      <c r="C369" s="4">
        <f>IF(Tabelle18[[#This Row],[binding_level_company]]&gt;=1,1,0)</f>
        <v>0</v>
      </c>
      <c r="D369" s="4">
        <f>_xlfn.MAXIFS(Tabelle5[[#This Row],[binding_level]], Tabelle5[[#This Row],[company_id]],Tabelle18[[#This Row],[company_id]], Tabelle5[[#This Row],[value_id]], Tabelle18[[#This Row],[value_id]], Tabelle5[[#This Row],[value_present]],"1")</f>
        <v>0</v>
      </c>
      <c r="E369" s="4">
        <f>_xlfn.MAXIFS(Tabelle5[[#This Row],[value_points]], Tabelle5[[#This Row],[company_id]],Tabelle18[[#This Row],[company_id]], Tabelle5[[#This Row],[value_id]], Tabelle18[[#This Row],[value_id]], Tabelle5[[#This Row],[value_present]],"1")</f>
        <v>0</v>
      </c>
    </row>
    <row r="370" spans="1:5" x14ac:dyDescent="0.25">
      <c r="A370">
        <v>21</v>
      </c>
      <c r="B370" t="s">
        <v>112</v>
      </c>
      <c r="C370" s="4">
        <f>IF(Tabelle18[[#This Row],[binding_level_company]]&gt;=1,1,0)</f>
        <v>0</v>
      </c>
      <c r="D370" s="4">
        <f>_xlfn.MAXIFS(Tabelle5[[#This Row],[binding_level]], Tabelle5[[#This Row],[company_id]],Tabelle18[[#This Row],[company_id]], Tabelle5[[#This Row],[value_id]], Tabelle18[[#This Row],[value_id]], Tabelle5[[#This Row],[value_present]],"1")</f>
        <v>0</v>
      </c>
      <c r="E370" s="4">
        <f>_xlfn.MAXIFS(Tabelle5[[#This Row],[value_points]], Tabelle5[[#This Row],[company_id]],Tabelle18[[#This Row],[company_id]], Tabelle5[[#This Row],[value_id]], Tabelle18[[#This Row],[value_id]], Tabelle5[[#This Row],[value_present]],"1")</f>
        <v>0</v>
      </c>
    </row>
    <row r="371" spans="1:5" x14ac:dyDescent="0.25">
      <c r="A371">
        <v>21</v>
      </c>
      <c r="B371" t="s">
        <v>118</v>
      </c>
      <c r="C371" s="4">
        <f>IF(Tabelle18[[#This Row],[binding_level_company]]&gt;=1,1,0)</f>
        <v>0</v>
      </c>
      <c r="D371" s="4">
        <f>_xlfn.MAXIFS(Tabelle5[[#This Row],[binding_level]], Tabelle5[[#This Row],[company_id]],Tabelle18[[#This Row],[company_id]], Tabelle5[[#This Row],[value_id]], Tabelle18[[#This Row],[value_id]], Tabelle5[[#This Row],[value_present]],"1")</f>
        <v>0</v>
      </c>
      <c r="E371" s="4">
        <f>_xlfn.MAXIFS(Tabelle5[[#This Row],[value_points]], Tabelle5[[#This Row],[company_id]],Tabelle18[[#This Row],[company_id]], Tabelle5[[#This Row],[value_id]], Tabelle18[[#This Row],[value_id]], Tabelle5[[#This Row],[value_present]],"1")</f>
        <v>0</v>
      </c>
    </row>
    <row r="372" spans="1:5" x14ac:dyDescent="0.25">
      <c r="A372">
        <v>21</v>
      </c>
      <c r="B372" t="s">
        <v>125</v>
      </c>
      <c r="C372" s="4">
        <f>IF(Tabelle18[[#This Row],[binding_level_company]]&gt;=1,1,0)</f>
        <v>0</v>
      </c>
      <c r="D372" s="4">
        <f>_xlfn.MAXIFS(Tabelle5[[#This Row],[binding_level]], Tabelle5[[#This Row],[company_id]],Tabelle18[[#This Row],[company_id]], Tabelle5[[#This Row],[value_id]], Tabelle18[[#This Row],[value_id]], Tabelle5[[#This Row],[value_present]],"1")</f>
        <v>0</v>
      </c>
      <c r="E372" s="4">
        <f>_xlfn.MAXIFS(Tabelle5[[#This Row],[value_points]], Tabelle5[[#This Row],[company_id]],Tabelle18[[#This Row],[company_id]], Tabelle5[[#This Row],[value_id]], Tabelle18[[#This Row],[value_id]], Tabelle5[[#This Row],[value_present]],"1")</f>
        <v>0</v>
      </c>
    </row>
    <row r="373" spans="1:5" x14ac:dyDescent="0.25">
      <c r="A373">
        <v>21</v>
      </c>
      <c r="B373" t="s">
        <v>132</v>
      </c>
      <c r="C373" s="4">
        <f>IF(Tabelle18[[#This Row],[binding_level_company]]&gt;=1,1,0)</f>
        <v>0</v>
      </c>
      <c r="D373" s="4">
        <f>_xlfn.MAXIFS(Tabelle5[[#This Row],[binding_level]], Tabelle5[[#This Row],[company_id]],Tabelle18[[#This Row],[company_id]], Tabelle5[[#This Row],[value_id]], Tabelle18[[#This Row],[value_id]], Tabelle5[[#This Row],[value_present]],"1")</f>
        <v>0</v>
      </c>
      <c r="E373" s="4">
        <f>_xlfn.MAXIFS(Tabelle5[[#This Row],[value_points]], Tabelle5[[#This Row],[company_id]],Tabelle18[[#This Row],[company_id]], Tabelle5[[#This Row],[value_id]], Tabelle18[[#This Row],[value_id]], Tabelle5[[#This Row],[value_present]],"1")</f>
        <v>0</v>
      </c>
    </row>
    <row r="374" spans="1:5" x14ac:dyDescent="0.25">
      <c r="A374">
        <v>21</v>
      </c>
      <c r="B374" t="s">
        <v>140</v>
      </c>
      <c r="C374" s="4">
        <f>IF(Tabelle18[[#This Row],[binding_level_company]]&gt;=1,1,0)</f>
        <v>0</v>
      </c>
      <c r="D374" s="4">
        <f>_xlfn.MAXIFS(Tabelle5[[#This Row],[binding_level]], Tabelle5[[#This Row],[company_id]],Tabelle18[[#This Row],[company_id]], Tabelle5[[#This Row],[value_id]], Tabelle18[[#This Row],[value_id]], Tabelle5[[#This Row],[value_present]],"1")</f>
        <v>0</v>
      </c>
      <c r="E374" s="4">
        <f>_xlfn.MAXIFS(Tabelle5[[#This Row],[value_points]], Tabelle5[[#This Row],[company_id]],Tabelle18[[#This Row],[company_id]], Tabelle5[[#This Row],[value_id]], Tabelle18[[#This Row],[value_id]], Tabelle5[[#This Row],[value_present]],"1")</f>
        <v>0</v>
      </c>
    </row>
    <row r="375" spans="1:5" x14ac:dyDescent="0.25">
      <c r="A375">
        <v>21</v>
      </c>
      <c r="B375" t="s">
        <v>147</v>
      </c>
      <c r="C375" s="4">
        <f>IF(Tabelle18[[#This Row],[binding_level_company]]&gt;=1,1,0)</f>
        <v>0</v>
      </c>
      <c r="D375" s="4">
        <f>_xlfn.MAXIFS(Tabelle5[[#This Row],[binding_level]], Tabelle5[[#This Row],[company_id]],Tabelle18[[#This Row],[company_id]], Tabelle5[[#This Row],[value_id]], Tabelle18[[#This Row],[value_id]], Tabelle5[[#This Row],[value_present]],"1")</f>
        <v>0</v>
      </c>
      <c r="E375" s="4">
        <f>_xlfn.MAXIFS(Tabelle5[[#This Row],[value_points]], Tabelle5[[#This Row],[company_id]],Tabelle18[[#This Row],[company_id]], Tabelle5[[#This Row],[value_id]], Tabelle18[[#This Row],[value_id]], Tabelle5[[#This Row],[value_present]],"1")</f>
        <v>0</v>
      </c>
    </row>
    <row r="376" spans="1:5" x14ac:dyDescent="0.25">
      <c r="A376">
        <v>21</v>
      </c>
      <c r="B376" t="s">
        <v>154</v>
      </c>
      <c r="C376" s="4">
        <f>IF(Tabelle18[[#This Row],[binding_level_company]]&gt;=1,1,0)</f>
        <v>0</v>
      </c>
      <c r="D376" s="4">
        <f>_xlfn.MAXIFS(Tabelle5[[#This Row],[binding_level]], Tabelle5[[#This Row],[company_id]],Tabelle18[[#This Row],[company_id]], Tabelle5[[#This Row],[value_id]], Tabelle18[[#This Row],[value_id]], Tabelle5[[#This Row],[value_present]],"1")</f>
        <v>0</v>
      </c>
      <c r="E376" s="4">
        <f>_xlfn.MAXIFS(Tabelle5[[#This Row],[value_points]], Tabelle5[[#This Row],[company_id]],Tabelle18[[#This Row],[company_id]], Tabelle5[[#This Row],[value_id]], Tabelle18[[#This Row],[value_id]], Tabelle5[[#This Row],[value_present]],"1")</f>
        <v>0</v>
      </c>
    </row>
    <row r="377" spans="1:5" x14ac:dyDescent="0.25">
      <c r="A377">
        <v>21</v>
      </c>
      <c r="B377" t="s">
        <v>161</v>
      </c>
      <c r="C377" s="4">
        <f>IF(Tabelle18[[#This Row],[binding_level_company]]&gt;=1,1,0)</f>
        <v>0</v>
      </c>
      <c r="D377" s="4">
        <f>_xlfn.MAXIFS(Tabelle5[[#This Row],[binding_level]], Tabelle5[[#This Row],[company_id]],Tabelle18[[#This Row],[company_id]], Tabelle5[[#This Row],[value_id]], Tabelle18[[#This Row],[value_id]], Tabelle5[[#This Row],[value_present]],"1")</f>
        <v>0</v>
      </c>
      <c r="E377" s="4">
        <f>_xlfn.MAXIFS(Tabelle5[[#This Row],[value_points]], Tabelle5[[#This Row],[company_id]],Tabelle18[[#This Row],[company_id]], Tabelle5[[#This Row],[value_id]], Tabelle18[[#This Row],[value_id]], Tabelle5[[#This Row],[value_present]],"1")</f>
        <v>0</v>
      </c>
    </row>
    <row r="378" spans="1:5" x14ac:dyDescent="0.25">
      <c r="A378">
        <v>21</v>
      </c>
      <c r="B378" t="s">
        <v>166</v>
      </c>
      <c r="C378" s="4">
        <f>IF(Tabelle18[[#This Row],[binding_level_company]]&gt;=1,1,0)</f>
        <v>0</v>
      </c>
      <c r="D378" s="4">
        <f>_xlfn.MAXIFS(Tabelle5[[#This Row],[binding_level]], Tabelle5[[#This Row],[company_id]],Tabelle18[[#This Row],[company_id]], Tabelle5[[#This Row],[value_id]], Tabelle18[[#This Row],[value_id]], Tabelle5[[#This Row],[value_present]],"1")</f>
        <v>0</v>
      </c>
      <c r="E378" s="4">
        <f>_xlfn.MAXIFS(Tabelle5[[#This Row],[value_points]], Tabelle5[[#This Row],[company_id]],Tabelle18[[#This Row],[company_id]], Tabelle5[[#This Row],[value_id]], Tabelle18[[#This Row],[value_id]], Tabelle5[[#This Row],[value_present]],"1")</f>
        <v>0</v>
      </c>
    </row>
    <row r="379" spans="1:5" ht="15.75" thickBot="1" x14ac:dyDescent="0.3">
      <c r="A379">
        <v>21</v>
      </c>
      <c r="B379" s="30" t="s">
        <v>174</v>
      </c>
      <c r="C379" s="4">
        <f>IF(Tabelle18[[#This Row],[binding_level_company]]&gt;=1,1,0)</f>
        <v>0</v>
      </c>
      <c r="D379" s="4">
        <f>_xlfn.MAXIFS(Tabelle5[[#This Row],[binding_level]], Tabelle5[[#This Row],[company_id]],Tabelle18[[#This Row],[company_id]], Tabelle5[[#This Row],[value_id]], Tabelle18[[#This Row],[value_id]], Tabelle5[[#This Row],[value_present]],"1")</f>
        <v>0</v>
      </c>
      <c r="E379" s="4">
        <f>_xlfn.MAXIFS(Tabelle5[[#This Row],[value_points]], Tabelle5[[#This Row],[company_id]],Tabelle18[[#This Row],[company_id]], Tabelle5[[#This Row],[value_id]], Tabelle18[[#This Row],[value_id]], Tabelle5[[#This Row],[value_present]],"1")</f>
        <v>0</v>
      </c>
    </row>
    <row r="380" spans="1:5" x14ac:dyDescent="0.25">
      <c r="A380">
        <v>22</v>
      </c>
      <c r="B380" s="22" t="s">
        <v>53</v>
      </c>
      <c r="C380" s="4">
        <f>IF(Tabelle18[[#This Row],[binding_level_company]]&gt;=1,1,0)</f>
        <v>0</v>
      </c>
      <c r="D380" s="4">
        <f>_xlfn.MAXIFS(Tabelle5[[#This Row],[binding_level]], Tabelle5[[#This Row],[company_id]],Tabelle18[[#This Row],[company_id]], Tabelle5[[#This Row],[value_id]], Tabelle18[[#This Row],[value_id]], Tabelle5[[#This Row],[value_present]],"1")</f>
        <v>0</v>
      </c>
      <c r="E380" s="4">
        <f>_xlfn.MAXIFS(Tabelle5[[#This Row],[value_points]], Tabelle5[[#This Row],[company_id]],Tabelle18[[#This Row],[company_id]], Tabelle5[[#This Row],[value_id]], Tabelle18[[#This Row],[value_id]], Tabelle5[[#This Row],[value_present]],"1")</f>
        <v>0</v>
      </c>
    </row>
    <row r="381" spans="1:5" x14ac:dyDescent="0.25">
      <c r="A381">
        <v>22</v>
      </c>
      <c r="B381" t="s">
        <v>61</v>
      </c>
      <c r="C381" s="4">
        <f>IF(Tabelle18[[#This Row],[binding_level_company]]&gt;=1,1,0)</f>
        <v>0</v>
      </c>
      <c r="D381" s="4">
        <f>_xlfn.MAXIFS(Tabelle5[[#This Row],[binding_level]], Tabelle5[[#This Row],[company_id]],Tabelle18[[#This Row],[company_id]], Tabelle5[[#This Row],[value_id]], Tabelle18[[#This Row],[value_id]], Tabelle5[[#This Row],[value_present]],"1")</f>
        <v>0</v>
      </c>
      <c r="E381" s="4">
        <f>_xlfn.MAXIFS(Tabelle5[[#This Row],[value_points]], Tabelle5[[#This Row],[company_id]],Tabelle18[[#This Row],[company_id]], Tabelle5[[#This Row],[value_id]], Tabelle18[[#This Row],[value_id]], Tabelle5[[#This Row],[value_present]],"1")</f>
        <v>0</v>
      </c>
    </row>
    <row r="382" spans="1:5" x14ac:dyDescent="0.25">
      <c r="A382">
        <v>22</v>
      </c>
      <c r="B382" t="s">
        <v>69</v>
      </c>
      <c r="C382" s="4">
        <f>IF(Tabelle18[[#This Row],[binding_level_company]]&gt;=1,1,0)</f>
        <v>0</v>
      </c>
      <c r="D382" s="4">
        <f>_xlfn.MAXIFS(Tabelle5[[#This Row],[binding_level]], Tabelle5[[#This Row],[company_id]],Tabelle18[[#This Row],[company_id]], Tabelle5[[#This Row],[value_id]], Tabelle18[[#This Row],[value_id]], Tabelle5[[#This Row],[value_present]],"1")</f>
        <v>0</v>
      </c>
      <c r="E382" s="4">
        <f>_xlfn.MAXIFS(Tabelle5[[#This Row],[value_points]], Tabelle5[[#This Row],[company_id]],Tabelle18[[#This Row],[company_id]], Tabelle5[[#This Row],[value_id]], Tabelle18[[#This Row],[value_id]], Tabelle5[[#This Row],[value_present]],"1")</f>
        <v>0</v>
      </c>
    </row>
    <row r="383" spans="1:5" x14ac:dyDescent="0.25">
      <c r="A383">
        <v>22</v>
      </c>
      <c r="B383" t="s">
        <v>76</v>
      </c>
      <c r="C383" s="4">
        <f>IF(Tabelle18[[#This Row],[binding_level_company]]&gt;=1,1,0)</f>
        <v>0</v>
      </c>
      <c r="D383" s="4">
        <f>_xlfn.MAXIFS(Tabelle5[[#This Row],[binding_level]], Tabelle5[[#This Row],[company_id]],Tabelle18[[#This Row],[company_id]], Tabelle5[[#This Row],[value_id]], Tabelle18[[#This Row],[value_id]], Tabelle5[[#This Row],[value_present]],"1")</f>
        <v>0</v>
      </c>
      <c r="E383" s="4">
        <f>_xlfn.MAXIFS(Tabelle5[[#This Row],[value_points]], Tabelle5[[#This Row],[company_id]],Tabelle18[[#This Row],[company_id]], Tabelle5[[#This Row],[value_id]], Tabelle18[[#This Row],[value_id]], Tabelle5[[#This Row],[value_present]],"1")</f>
        <v>0</v>
      </c>
    </row>
    <row r="384" spans="1:5" x14ac:dyDescent="0.25">
      <c r="A384">
        <v>22</v>
      </c>
      <c r="B384" t="s">
        <v>83</v>
      </c>
      <c r="C384" s="4">
        <f>IF(Tabelle18[[#This Row],[binding_level_company]]&gt;=1,1,0)</f>
        <v>0</v>
      </c>
      <c r="D384" s="4">
        <f>_xlfn.MAXIFS(Tabelle5[[#This Row],[binding_level]], Tabelle5[[#This Row],[company_id]],Tabelle18[[#This Row],[company_id]], Tabelle5[[#This Row],[value_id]], Tabelle18[[#This Row],[value_id]], Tabelle5[[#This Row],[value_present]],"1")</f>
        <v>0</v>
      </c>
      <c r="E384" s="4">
        <f>_xlfn.MAXIFS(Tabelle5[[#This Row],[value_points]], Tabelle5[[#This Row],[company_id]],Tabelle18[[#This Row],[company_id]], Tabelle5[[#This Row],[value_id]], Tabelle18[[#This Row],[value_id]], Tabelle5[[#This Row],[value_present]],"1")</f>
        <v>0</v>
      </c>
    </row>
    <row r="385" spans="1:5" x14ac:dyDescent="0.25">
      <c r="A385">
        <v>22</v>
      </c>
      <c r="B385" t="s">
        <v>90</v>
      </c>
      <c r="C385" s="4">
        <f>IF(Tabelle18[[#This Row],[binding_level_company]]&gt;=1,1,0)</f>
        <v>0</v>
      </c>
      <c r="D385" s="4">
        <f>_xlfn.MAXIFS(Tabelle5[[#This Row],[binding_level]], Tabelle5[[#This Row],[company_id]],Tabelle18[[#This Row],[company_id]], Tabelle5[[#This Row],[value_id]], Tabelle18[[#This Row],[value_id]], Tabelle5[[#This Row],[value_present]],"1")</f>
        <v>0</v>
      </c>
      <c r="E385" s="4">
        <f>_xlfn.MAXIFS(Tabelle5[[#This Row],[value_points]], Tabelle5[[#This Row],[company_id]],Tabelle18[[#This Row],[company_id]], Tabelle5[[#This Row],[value_id]], Tabelle18[[#This Row],[value_id]], Tabelle5[[#This Row],[value_present]],"1")</f>
        <v>0</v>
      </c>
    </row>
    <row r="386" spans="1:5" x14ac:dyDescent="0.25">
      <c r="A386">
        <v>22</v>
      </c>
      <c r="B386" t="s">
        <v>98</v>
      </c>
      <c r="C386" s="4">
        <f>IF(Tabelle18[[#This Row],[binding_level_company]]&gt;=1,1,0)</f>
        <v>0</v>
      </c>
      <c r="D386" s="4">
        <f>_xlfn.MAXIFS(Tabelle5[[#This Row],[binding_level]], Tabelle5[[#This Row],[company_id]],Tabelle18[[#This Row],[company_id]], Tabelle5[[#This Row],[value_id]], Tabelle18[[#This Row],[value_id]], Tabelle5[[#This Row],[value_present]],"1")</f>
        <v>0</v>
      </c>
      <c r="E386" s="4">
        <f>_xlfn.MAXIFS(Tabelle5[[#This Row],[value_points]], Tabelle5[[#This Row],[company_id]],Tabelle18[[#This Row],[company_id]], Tabelle5[[#This Row],[value_id]], Tabelle18[[#This Row],[value_id]], Tabelle5[[#This Row],[value_present]],"1")</f>
        <v>0</v>
      </c>
    </row>
    <row r="387" spans="1:5" x14ac:dyDescent="0.25">
      <c r="A387">
        <v>22</v>
      </c>
      <c r="B387" t="s">
        <v>106</v>
      </c>
      <c r="C387" s="4">
        <f>IF(Tabelle18[[#This Row],[binding_level_company]]&gt;=1,1,0)</f>
        <v>0</v>
      </c>
      <c r="D387" s="4">
        <f>_xlfn.MAXIFS(Tabelle5[[#This Row],[binding_level]], Tabelle5[[#This Row],[company_id]],Tabelle18[[#This Row],[company_id]], Tabelle5[[#This Row],[value_id]], Tabelle18[[#This Row],[value_id]], Tabelle5[[#This Row],[value_present]],"1")</f>
        <v>0</v>
      </c>
      <c r="E387" s="4">
        <f>_xlfn.MAXIFS(Tabelle5[[#This Row],[value_points]], Tabelle5[[#This Row],[company_id]],Tabelle18[[#This Row],[company_id]], Tabelle5[[#This Row],[value_id]], Tabelle18[[#This Row],[value_id]], Tabelle5[[#This Row],[value_present]],"1")</f>
        <v>0</v>
      </c>
    </row>
    <row r="388" spans="1:5" x14ac:dyDescent="0.25">
      <c r="A388">
        <v>22</v>
      </c>
      <c r="B388" t="s">
        <v>112</v>
      </c>
      <c r="C388" s="4">
        <f>IF(Tabelle18[[#This Row],[binding_level_company]]&gt;=1,1,0)</f>
        <v>0</v>
      </c>
      <c r="D388" s="4">
        <f>_xlfn.MAXIFS(Tabelle5[[#This Row],[binding_level]], Tabelle5[[#This Row],[company_id]],Tabelle18[[#This Row],[company_id]], Tabelle5[[#This Row],[value_id]], Tabelle18[[#This Row],[value_id]], Tabelle5[[#This Row],[value_present]],"1")</f>
        <v>0</v>
      </c>
      <c r="E388" s="4">
        <f>_xlfn.MAXIFS(Tabelle5[[#This Row],[value_points]], Tabelle5[[#This Row],[company_id]],Tabelle18[[#This Row],[company_id]], Tabelle5[[#This Row],[value_id]], Tabelle18[[#This Row],[value_id]], Tabelle5[[#This Row],[value_present]],"1")</f>
        <v>0</v>
      </c>
    </row>
    <row r="389" spans="1:5" x14ac:dyDescent="0.25">
      <c r="A389">
        <v>22</v>
      </c>
      <c r="B389" t="s">
        <v>118</v>
      </c>
      <c r="C389" s="4">
        <f>IF(Tabelle18[[#This Row],[binding_level_company]]&gt;=1,1,0)</f>
        <v>0</v>
      </c>
      <c r="D389" s="4">
        <f>_xlfn.MAXIFS(Tabelle5[[#This Row],[binding_level]], Tabelle5[[#This Row],[company_id]],Tabelle18[[#This Row],[company_id]], Tabelle5[[#This Row],[value_id]], Tabelle18[[#This Row],[value_id]], Tabelle5[[#This Row],[value_present]],"1")</f>
        <v>0</v>
      </c>
      <c r="E389" s="4">
        <f>_xlfn.MAXIFS(Tabelle5[[#This Row],[value_points]], Tabelle5[[#This Row],[company_id]],Tabelle18[[#This Row],[company_id]], Tabelle5[[#This Row],[value_id]], Tabelle18[[#This Row],[value_id]], Tabelle5[[#This Row],[value_present]],"1")</f>
        <v>0</v>
      </c>
    </row>
    <row r="390" spans="1:5" x14ac:dyDescent="0.25">
      <c r="A390">
        <v>22</v>
      </c>
      <c r="B390" t="s">
        <v>125</v>
      </c>
      <c r="C390" s="4">
        <f>IF(Tabelle18[[#This Row],[binding_level_company]]&gt;=1,1,0)</f>
        <v>0</v>
      </c>
      <c r="D390" s="4">
        <f>_xlfn.MAXIFS(Tabelle5[[#This Row],[binding_level]], Tabelle5[[#This Row],[company_id]],Tabelle18[[#This Row],[company_id]], Tabelle5[[#This Row],[value_id]], Tabelle18[[#This Row],[value_id]], Tabelle5[[#This Row],[value_present]],"1")</f>
        <v>0</v>
      </c>
      <c r="E390" s="4">
        <f>_xlfn.MAXIFS(Tabelle5[[#This Row],[value_points]], Tabelle5[[#This Row],[company_id]],Tabelle18[[#This Row],[company_id]], Tabelle5[[#This Row],[value_id]], Tabelle18[[#This Row],[value_id]], Tabelle5[[#This Row],[value_present]],"1")</f>
        <v>0</v>
      </c>
    </row>
    <row r="391" spans="1:5" x14ac:dyDescent="0.25">
      <c r="A391">
        <v>22</v>
      </c>
      <c r="B391" t="s">
        <v>132</v>
      </c>
      <c r="C391" s="4">
        <f>IF(Tabelle18[[#This Row],[binding_level_company]]&gt;=1,1,0)</f>
        <v>0</v>
      </c>
      <c r="D391" s="4">
        <f>_xlfn.MAXIFS(Tabelle5[[#This Row],[binding_level]], Tabelle5[[#This Row],[company_id]],Tabelle18[[#This Row],[company_id]], Tabelle5[[#This Row],[value_id]], Tabelle18[[#This Row],[value_id]], Tabelle5[[#This Row],[value_present]],"1")</f>
        <v>0</v>
      </c>
      <c r="E391" s="4">
        <f>_xlfn.MAXIFS(Tabelle5[[#This Row],[value_points]], Tabelle5[[#This Row],[company_id]],Tabelle18[[#This Row],[company_id]], Tabelle5[[#This Row],[value_id]], Tabelle18[[#This Row],[value_id]], Tabelle5[[#This Row],[value_present]],"1")</f>
        <v>0</v>
      </c>
    </row>
    <row r="392" spans="1:5" x14ac:dyDescent="0.25">
      <c r="A392">
        <v>22</v>
      </c>
      <c r="B392" t="s">
        <v>140</v>
      </c>
      <c r="C392" s="4">
        <f>IF(Tabelle18[[#This Row],[binding_level_company]]&gt;=1,1,0)</f>
        <v>0</v>
      </c>
      <c r="D392" s="4">
        <f>_xlfn.MAXIFS(Tabelle5[[#This Row],[binding_level]], Tabelle5[[#This Row],[company_id]],Tabelle18[[#This Row],[company_id]], Tabelle5[[#This Row],[value_id]], Tabelle18[[#This Row],[value_id]], Tabelle5[[#This Row],[value_present]],"1")</f>
        <v>0</v>
      </c>
      <c r="E392" s="4">
        <f>_xlfn.MAXIFS(Tabelle5[[#This Row],[value_points]], Tabelle5[[#This Row],[company_id]],Tabelle18[[#This Row],[company_id]], Tabelle5[[#This Row],[value_id]], Tabelle18[[#This Row],[value_id]], Tabelle5[[#This Row],[value_present]],"1")</f>
        <v>0</v>
      </c>
    </row>
    <row r="393" spans="1:5" x14ac:dyDescent="0.25">
      <c r="A393">
        <v>22</v>
      </c>
      <c r="B393" t="s">
        <v>147</v>
      </c>
      <c r="C393" s="4">
        <f>IF(Tabelle18[[#This Row],[binding_level_company]]&gt;=1,1,0)</f>
        <v>0</v>
      </c>
      <c r="D393" s="4">
        <f>_xlfn.MAXIFS(Tabelle5[[#This Row],[binding_level]], Tabelle5[[#This Row],[company_id]],Tabelle18[[#This Row],[company_id]], Tabelle5[[#This Row],[value_id]], Tabelle18[[#This Row],[value_id]], Tabelle5[[#This Row],[value_present]],"1")</f>
        <v>0</v>
      </c>
      <c r="E393" s="4">
        <f>_xlfn.MAXIFS(Tabelle5[[#This Row],[value_points]], Tabelle5[[#This Row],[company_id]],Tabelle18[[#This Row],[company_id]], Tabelle5[[#This Row],[value_id]], Tabelle18[[#This Row],[value_id]], Tabelle5[[#This Row],[value_present]],"1")</f>
        <v>0</v>
      </c>
    </row>
    <row r="394" spans="1:5" x14ac:dyDescent="0.25">
      <c r="A394">
        <v>22</v>
      </c>
      <c r="B394" t="s">
        <v>154</v>
      </c>
      <c r="C394" s="4">
        <f>IF(Tabelle18[[#This Row],[binding_level_company]]&gt;=1,1,0)</f>
        <v>0</v>
      </c>
      <c r="D394" s="4">
        <f>_xlfn.MAXIFS(Tabelle5[[#This Row],[binding_level]], Tabelle5[[#This Row],[company_id]],Tabelle18[[#This Row],[company_id]], Tabelle5[[#This Row],[value_id]], Tabelle18[[#This Row],[value_id]], Tabelle5[[#This Row],[value_present]],"1")</f>
        <v>0</v>
      </c>
      <c r="E394" s="4">
        <f>_xlfn.MAXIFS(Tabelle5[[#This Row],[value_points]], Tabelle5[[#This Row],[company_id]],Tabelle18[[#This Row],[company_id]], Tabelle5[[#This Row],[value_id]], Tabelle18[[#This Row],[value_id]], Tabelle5[[#This Row],[value_present]],"1")</f>
        <v>0</v>
      </c>
    </row>
    <row r="395" spans="1:5" x14ac:dyDescent="0.25">
      <c r="A395">
        <v>22</v>
      </c>
      <c r="B395" t="s">
        <v>161</v>
      </c>
      <c r="C395" s="4">
        <f>IF(Tabelle18[[#This Row],[binding_level_company]]&gt;=1,1,0)</f>
        <v>0</v>
      </c>
      <c r="D395" s="4">
        <f>_xlfn.MAXIFS(Tabelle5[[#This Row],[binding_level]], Tabelle5[[#This Row],[company_id]],Tabelle18[[#This Row],[company_id]], Tabelle5[[#This Row],[value_id]], Tabelle18[[#This Row],[value_id]], Tabelle5[[#This Row],[value_present]],"1")</f>
        <v>0</v>
      </c>
      <c r="E395" s="4">
        <f>_xlfn.MAXIFS(Tabelle5[[#This Row],[value_points]], Tabelle5[[#This Row],[company_id]],Tabelle18[[#This Row],[company_id]], Tabelle5[[#This Row],[value_id]], Tabelle18[[#This Row],[value_id]], Tabelle5[[#This Row],[value_present]],"1")</f>
        <v>0</v>
      </c>
    </row>
    <row r="396" spans="1:5" x14ac:dyDescent="0.25">
      <c r="A396">
        <v>22</v>
      </c>
      <c r="B396" t="s">
        <v>166</v>
      </c>
      <c r="C396" s="4">
        <f>IF(Tabelle18[[#This Row],[binding_level_company]]&gt;=1,1,0)</f>
        <v>0</v>
      </c>
      <c r="D396" s="4">
        <f>_xlfn.MAXIFS(Tabelle5[[#This Row],[binding_level]], Tabelle5[[#This Row],[company_id]],Tabelle18[[#This Row],[company_id]], Tabelle5[[#This Row],[value_id]], Tabelle18[[#This Row],[value_id]], Tabelle5[[#This Row],[value_present]],"1")</f>
        <v>0</v>
      </c>
      <c r="E396" s="4">
        <f>_xlfn.MAXIFS(Tabelle5[[#This Row],[value_points]], Tabelle5[[#This Row],[company_id]],Tabelle18[[#This Row],[company_id]], Tabelle5[[#This Row],[value_id]], Tabelle18[[#This Row],[value_id]], Tabelle5[[#This Row],[value_present]],"1")</f>
        <v>0</v>
      </c>
    </row>
    <row r="397" spans="1:5" ht="15.75" thickBot="1" x14ac:dyDescent="0.3">
      <c r="A397">
        <v>22</v>
      </c>
      <c r="B397" s="30" t="s">
        <v>174</v>
      </c>
      <c r="C397" s="4">
        <f>IF(Tabelle18[[#This Row],[binding_level_company]]&gt;=1,1,0)</f>
        <v>0</v>
      </c>
      <c r="D397" s="4">
        <f>_xlfn.MAXIFS(Tabelle5[[#This Row],[binding_level]], Tabelle5[[#This Row],[company_id]],Tabelle18[[#This Row],[company_id]], Tabelle5[[#This Row],[value_id]], Tabelle18[[#This Row],[value_id]], Tabelle5[[#This Row],[value_present]],"1")</f>
        <v>0</v>
      </c>
      <c r="E397" s="4">
        <f>_xlfn.MAXIFS(Tabelle5[[#This Row],[value_points]], Tabelle5[[#This Row],[company_id]],Tabelle18[[#This Row],[company_id]], Tabelle5[[#This Row],[value_id]], Tabelle18[[#This Row],[value_id]], Tabelle5[[#This Row],[value_present]],"1")</f>
        <v>0</v>
      </c>
    </row>
    <row r="398" spans="1:5" x14ac:dyDescent="0.25">
      <c r="A398">
        <v>23</v>
      </c>
      <c r="B398" s="22" t="s">
        <v>53</v>
      </c>
      <c r="C398" s="4">
        <f>IF(Tabelle18[[#This Row],[binding_level_company]]&gt;=1,1,0)</f>
        <v>0</v>
      </c>
      <c r="D398" s="4">
        <f>_xlfn.MAXIFS(Tabelle5[[#This Row],[binding_level]], Tabelle5[[#This Row],[company_id]],Tabelle18[[#This Row],[company_id]], Tabelle5[[#This Row],[value_id]], Tabelle18[[#This Row],[value_id]], Tabelle5[[#This Row],[value_present]],"1")</f>
        <v>0</v>
      </c>
      <c r="E398" s="4">
        <f>_xlfn.MAXIFS(Tabelle5[[#This Row],[value_points]], Tabelle5[[#This Row],[company_id]],Tabelle18[[#This Row],[company_id]], Tabelle5[[#This Row],[value_id]], Tabelle18[[#This Row],[value_id]], Tabelle5[[#This Row],[value_present]],"1")</f>
        <v>0</v>
      </c>
    </row>
    <row r="399" spans="1:5" x14ac:dyDescent="0.25">
      <c r="A399">
        <v>23</v>
      </c>
      <c r="B399" t="s">
        <v>61</v>
      </c>
      <c r="C399" s="4">
        <f>IF(Tabelle18[[#This Row],[binding_level_company]]&gt;=1,1,0)</f>
        <v>0</v>
      </c>
      <c r="D399" s="4">
        <f>_xlfn.MAXIFS(Tabelle5[[#This Row],[binding_level]], Tabelle5[[#This Row],[company_id]],Tabelle18[[#This Row],[company_id]], Tabelle5[[#This Row],[value_id]], Tabelle18[[#This Row],[value_id]], Tabelle5[[#This Row],[value_present]],"1")</f>
        <v>0</v>
      </c>
      <c r="E399" s="4">
        <f>_xlfn.MAXIFS(Tabelle5[[#This Row],[value_points]], Tabelle5[[#This Row],[company_id]],Tabelle18[[#This Row],[company_id]], Tabelle5[[#This Row],[value_id]], Tabelle18[[#This Row],[value_id]], Tabelle5[[#This Row],[value_present]],"1")</f>
        <v>0</v>
      </c>
    </row>
    <row r="400" spans="1:5" x14ac:dyDescent="0.25">
      <c r="A400">
        <v>23</v>
      </c>
      <c r="B400" t="s">
        <v>69</v>
      </c>
      <c r="C400" s="4">
        <f>IF(Tabelle18[[#This Row],[binding_level_company]]&gt;=1,1,0)</f>
        <v>0</v>
      </c>
      <c r="D400" s="4">
        <f>_xlfn.MAXIFS(Tabelle5[[#This Row],[binding_level]], Tabelle5[[#This Row],[company_id]],Tabelle18[[#This Row],[company_id]], Tabelle5[[#This Row],[value_id]], Tabelle18[[#This Row],[value_id]], Tabelle5[[#This Row],[value_present]],"1")</f>
        <v>0</v>
      </c>
      <c r="E400" s="4">
        <f>_xlfn.MAXIFS(Tabelle5[[#This Row],[value_points]], Tabelle5[[#This Row],[company_id]],Tabelle18[[#This Row],[company_id]], Tabelle5[[#This Row],[value_id]], Tabelle18[[#This Row],[value_id]], Tabelle5[[#This Row],[value_present]],"1")</f>
        <v>0</v>
      </c>
    </row>
    <row r="401" spans="1:5" x14ac:dyDescent="0.25">
      <c r="A401">
        <v>23</v>
      </c>
      <c r="B401" t="s">
        <v>76</v>
      </c>
      <c r="C401" s="4">
        <f>IF(Tabelle18[[#This Row],[binding_level_company]]&gt;=1,1,0)</f>
        <v>0</v>
      </c>
      <c r="D401" s="4">
        <f>_xlfn.MAXIFS(Tabelle5[[#This Row],[binding_level]], Tabelle5[[#This Row],[company_id]],Tabelle18[[#This Row],[company_id]], Tabelle5[[#This Row],[value_id]], Tabelle18[[#This Row],[value_id]], Tabelle5[[#This Row],[value_present]],"1")</f>
        <v>0</v>
      </c>
      <c r="E401" s="4">
        <f>_xlfn.MAXIFS(Tabelle5[[#This Row],[value_points]], Tabelle5[[#This Row],[company_id]],Tabelle18[[#This Row],[company_id]], Tabelle5[[#This Row],[value_id]], Tabelle18[[#This Row],[value_id]], Tabelle5[[#This Row],[value_present]],"1")</f>
        <v>0</v>
      </c>
    </row>
    <row r="402" spans="1:5" x14ac:dyDescent="0.25">
      <c r="A402">
        <v>23</v>
      </c>
      <c r="B402" t="s">
        <v>83</v>
      </c>
      <c r="C402" s="4">
        <f>IF(Tabelle18[[#This Row],[binding_level_company]]&gt;=1,1,0)</f>
        <v>0</v>
      </c>
      <c r="D402" s="4">
        <f>_xlfn.MAXIFS(Tabelle5[[#This Row],[binding_level]], Tabelle5[[#This Row],[company_id]],Tabelle18[[#This Row],[company_id]], Tabelle5[[#This Row],[value_id]], Tabelle18[[#This Row],[value_id]], Tabelle5[[#This Row],[value_present]],"1")</f>
        <v>0</v>
      </c>
      <c r="E402" s="4">
        <f>_xlfn.MAXIFS(Tabelle5[[#This Row],[value_points]], Tabelle5[[#This Row],[company_id]],Tabelle18[[#This Row],[company_id]], Tabelle5[[#This Row],[value_id]], Tabelle18[[#This Row],[value_id]], Tabelle5[[#This Row],[value_present]],"1")</f>
        <v>0</v>
      </c>
    </row>
    <row r="403" spans="1:5" x14ac:dyDescent="0.25">
      <c r="A403">
        <v>23</v>
      </c>
      <c r="B403" t="s">
        <v>90</v>
      </c>
      <c r="C403" s="4">
        <f>IF(Tabelle18[[#This Row],[binding_level_company]]&gt;=1,1,0)</f>
        <v>0</v>
      </c>
      <c r="D403" s="4">
        <f>_xlfn.MAXIFS(Tabelle5[[#This Row],[binding_level]], Tabelle5[[#This Row],[company_id]],Tabelle18[[#This Row],[company_id]], Tabelle5[[#This Row],[value_id]], Tabelle18[[#This Row],[value_id]], Tabelle5[[#This Row],[value_present]],"1")</f>
        <v>0</v>
      </c>
      <c r="E403" s="4">
        <f>_xlfn.MAXIFS(Tabelle5[[#This Row],[value_points]], Tabelle5[[#This Row],[company_id]],Tabelle18[[#This Row],[company_id]], Tabelle5[[#This Row],[value_id]], Tabelle18[[#This Row],[value_id]], Tabelle5[[#This Row],[value_present]],"1")</f>
        <v>0</v>
      </c>
    </row>
    <row r="404" spans="1:5" x14ac:dyDescent="0.25">
      <c r="A404">
        <v>23</v>
      </c>
      <c r="B404" t="s">
        <v>98</v>
      </c>
      <c r="C404" s="4">
        <f>IF(Tabelle18[[#This Row],[binding_level_company]]&gt;=1,1,0)</f>
        <v>0</v>
      </c>
      <c r="D404" s="4">
        <f>_xlfn.MAXIFS(Tabelle5[[#This Row],[binding_level]], Tabelle5[[#This Row],[company_id]],Tabelle18[[#This Row],[company_id]], Tabelle5[[#This Row],[value_id]], Tabelle18[[#This Row],[value_id]], Tabelle5[[#This Row],[value_present]],"1")</f>
        <v>0</v>
      </c>
      <c r="E404" s="4">
        <f>_xlfn.MAXIFS(Tabelle5[[#This Row],[value_points]], Tabelle5[[#This Row],[company_id]],Tabelle18[[#This Row],[company_id]], Tabelle5[[#This Row],[value_id]], Tabelle18[[#This Row],[value_id]], Tabelle5[[#This Row],[value_present]],"1")</f>
        <v>0</v>
      </c>
    </row>
    <row r="405" spans="1:5" x14ac:dyDescent="0.25">
      <c r="A405">
        <v>23</v>
      </c>
      <c r="B405" t="s">
        <v>106</v>
      </c>
      <c r="C405" s="4">
        <f>IF(Tabelle18[[#This Row],[binding_level_company]]&gt;=1,1,0)</f>
        <v>0</v>
      </c>
      <c r="D405" s="4">
        <f>_xlfn.MAXIFS(Tabelle5[[#This Row],[binding_level]], Tabelle5[[#This Row],[company_id]],Tabelle18[[#This Row],[company_id]], Tabelle5[[#This Row],[value_id]], Tabelle18[[#This Row],[value_id]], Tabelle5[[#This Row],[value_present]],"1")</f>
        <v>0</v>
      </c>
      <c r="E405" s="4">
        <f>_xlfn.MAXIFS(Tabelle5[[#This Row],[value_points]], Tabelle5[[#This Row],[company_id]],Tabelle18[[#This Row],[company_id]], Tabelle5[[#This Row],[value_id]], Tabelle18[[#This Row],[value_id]], Tabelle5[[#This Row],[value_present]],"1")</f>
        <v>0</v>
      </c>
    </row>
    <row r="406" spans="1:5" x14ac:dyDescent="0.25">
      <c r="A406">
        <v>23</v>
      </c>
      <c r="B406" t="s">
        <v>112</v>
      </c>
      <c r="C406" s="4">
        <f>IF(Tabelle18[[#This Row],[binding_level_company]]&gt;=1,1,0)</f>
        <v>0</v>
      </c>
      <c r="D406" s="4">
        <f>_xlfn.MAXIFS(Tabelle5[[#This Row],[binding_level]], Tabelle5[[#This Row],[company_id]],Tabelle18[[#This Row],[company_id]], Tabelle5[[#This Row],[value_id]], Tabelle18[[#This Row],[value_id]], Tabelle5[[#This Row],[value_present]],"1")</f>
        <v>0</v>
      </c>
      <c r="E406" s="4">
        <f>_xlfn.MAXIFS(Tabelle5[[#This Row],[value_points]], Tabelle5[[#This Row],[company_id]],Tabelle18[[#This Row],[company_id]], Tabelle5[[#This Row],[value_id]], Tabelle18[[#This Row],[value_id]], Tabelle5[[#This Row],[value_present]],"1")</f>
        <v>0</v>
      </c>
    </row>
    <row r="407" spans="1:5" x14ac:dyDescent="0.25">
      <c r="A407">
        <v>23</v>
      </c>
      <c r="B407" t="s">
        <v>118</v>
      </c>
      <c r="C407" s="4">
        <f>IF(Tabelle18[[#This Row],[binding_level_company]]&gt;=1,1,0)</f>
        <v>0</v>
      </c>
      <c r="D407" s="4">
        <f>_xlfn.MAXIFS(Tabelle5[[#This Row],[binding_level]], Tabelle5[[#This Row],[company_id]],Tabelle18[[#This Row],[company_id]], Tabelle5[[#This Row],[value_id]], Tabelle18[[#This Row],[value_id]], Tabelle5[[#This Row],[value_present]],"1")</f>
        <v>0</v>
      </c>
      <c r="E407" s="4">
        <f>_xlfn.MAXIFS(Tabelle5[[#This Row],[value_points]], Tabelle5[[#This Row],[company_id]],Tabelle18[[#This Row],[company_id]], Tabelle5[[#This Row],[value_id]], Tabelle18[[#This Row],[value_id]], Tabelle5[[#This Row],[value_present]],"1")</f>
        <v>0</v>
      </c>
    </row>
    <row r="408" spans="1:5" x14ac:dyDescent="0.25">
      <c r="A408">
        <v>23</v>
      </c>
      <c r="B408" t="s">
        <v>125</v>
      </c>
      <c r="C408" s="4">
        <f>IF(Tabelle18[[#This Row],[binding_level_company]]&gt;=1,1,0)</f>
        <v>0</v>
      </c>
      <c r="D408" s="4">
        <f>_xlfn.MAXIFS(Tabelle5[[#This Row],[binding_level]], Tabelle5[[#This Row],[company_id]],Tabelle18[[#This Row],[company_id]], Tabelle5[[#This Row],[value_id]], Tabelle18[[#This Row],[value_id]], Tabelle5[[#This Row],[value_present]],"1")</f>
        <v>0</v>
      </c>
      <c r="E408" s="4">
        <f>_xlfn.MAXIFS(Tabelle5[[#This Row],[value_points]], Tabelle5[[#This Row],[company_id]],Tabelle18[[#This Row],[company_id]], Tabelle5[[#This Row],[value_id]], Tabelle18[[#This Row],[value_id]], Tabelle5[[#This Row],[value_present]],"1")</f>
        <v>0</v>
      </c>
    </row>
    <row r="409" spans="1:5" x14ac:dyDescent="0.25">
      <c r="A409">
        <v>23</v>
      </c>
      <c r="B409" t="s">
        <v>132</v>
      </c>
      <c r="C409" s="4">
        <f>IF(Tabelle18[[#This Row],[binding_level_company]]&gt;=1,1,0)</f>
        <v>0</v>
      </c>
      <c r="D409" s="4">
        <f>_xlfn.MAXIFS(Tabelle5[[#This Row],[binding_level]], Tabelle5[[#This Row],[company_id]],Tabelle18[[#This Row],[company_id]], Tabelle5[[#This Row],[value_id]], Tabelle18[[#This Row],[value_id]], Tabelle5[[#This Row],[value_present]],"1")</f>
        <v>0</v>
      </c>
      <c r="E409" s="4">
        <f>_xlfn.MAXIFS(Tabelle5[[#This Row],[value_points]], Tabelle5[[#This Row],[company_id]],Tabelle18[[#This Row],[company_id]], Tabelle5[[#This Row],[value_id]], Tabelle18[[#This Row],[value_id]], Tabelle5[[#This Row],[value_present]],"1")</f>
        <v>0</v>
      </c>
    </row>
    <row r="410" spans="1:5" x14ac:dyDescent="0.25">
      <c r="A410">
        <v>23</v>
      </c>
      <c r="B410" t="s">
        <v>140</v>
      </c>
      <c r="C410" s="4">
        <f>IF(Tabelle18[[#This Row],[binding_level_company]]&gt;=1,1,0)</f>
        <v>0</v>
      </c>
      <c r="D410" s="4">
        <f>_xlfn.MAXIFS(Tabelle5[[#This Row],[binding_level]], Tabelle5[[#This Row],[company_id]],Tabelle18[[#This Row],[company_id]], Tabelle5[[#This Row],[value_id]], Tabelle18[[#This Row],[value_id]], Tabelle5[[#This Row],[value_present]],"1")</f>
        <v>0</v>
      </c>
      <c r="E410" s="4">
        <f>_xlfn.MAXIFS(Tabelle5[[#This Row],[value_points]], Tabelle5[[#This Row],[company_id]],Tabelle18[[#This Row],[company_id]], Tabelle5[[#This Row],[value_id]], Tabelle18[[#This Row],[value_id]], Tabelle5[[#This Row],[value_present]],"1")</f>
        <v>0</v>
      </c>
    </row>
    <row r="411" spans="1:5" x14ac:dyDescent="0.25">
      <c r="A411">
        <v>23</v>
      </c>
      <c r="B411" t="s">
        <v>147</v>
      </c>
      <c r="C411" s="4">
        <f>IF(Tabelle18[[#This Row],[binding_level_company]]&gt;=1,1,0)</f>
        <v>0</v>
      </c>
      <c r="D411" s="4">
        <f>_xlfn.MAXIFS(Tabelle5[[#This Row],[binding_level]], Tabelle5[[#This Row],[company_id]],Tabelle18[[#This Row],[company_id]], Tabelle5[[#This Row],[value_id]], Tabelle18[[#This Row],[value_id]], Tabelle5[[#This Row],[value_present]],"1")</f>
        <v>0</v>
      </c>
      <c r="E411" s="4">
        <f>_xlfn.MAXIFS(Tabelle5[[#This Row],[value_points]], Tabelle5[[#This Row],[company_id]],Tabelle18[[#This Row],[company_id]], Tabelle5[[#This Row],[value_id]], Tabelle18[[#This Row],[value_id]], Tabelle5[[#This Row],[value_present]],"1")</f>
        <v>0</v>
      </c>
    </row>
    <row r="412" spans="1:5" x14ac:dyDescent="0.25">
      <c r="A412">
        <v>23</v>
      </c>
      <c r="B412" t="s">
        <v>154</v>
      </c>
      <c r="C412" s="4">
        <f>IF(Tabelle18[[#This Row],[binding_level_company]]&gt;=1,1,0)</f>
        <v>0</v>
      </c>
      <c r="D412" s="4">
        <f>_xlfn.MAXIFS(Tabelle5[[#This Row],[binding_level]], Tabelle5[[#This Row],[company_id]],Tabelle18[[#This Row],[company_id]], Tabelle5[[#This Row],[value_id]], Tabelle18[[#This Row],[value_id]], Tabelle5[[#This Row],[value_present]],"1")</f>
        <v>0</v>
      </c>
      <c r="E412" s="4">
        <f>_xlfn.MAXIFS(Tabelle5[[#This Row],[value_points]], Tabelle5[[#This Row],[company_id]],Tabelle18[[#This Row],[company_id]], Tabelle5[[#This Row],[value_id]], Tabelle18[[#This Row],[value_id]], Tabelle5[[#This Row],[value_present]],"1")</f>
        <v>0</v>
      </c>
    </row>
    <row r="413" spans="1:5" x14ac:dyDescent="0.25">
      <c r="A413">
        <v>23</v>
      </c>
      <c r="B413" t="s">
        <v>161</v>
      </c>
      <c r="C413" s="4">
        <f>IF(Tabelle18[[#This Row],[binding_level_company]]&gt;=1,1,0)</f>
        <v>0</v>
      </c>
      <c r="D413" s="4">
        <f>_xlfn.MAXIFS(Tabelle5[[#This Row],[binding_level]], Tabelle5[[#This Row],[company_id]],Tabelle18[[#This Row],[company_id]], Tabelle5[[#This Row],[value_id]], Tabelle18[[#This Row],[value_id]], Tabelle5[[#This Row],[value_present]],"1")</f>
        <v>0</v>
      </c>
      <c r="E413" s="4">
        <f>_xlfn.MAXIFS(Tabelle5[[#This Row],[value_points]], Tabelle5[[#This Row],[company_id]],Tabelle18[[#This Row],[company_id]], Tabelle5[[#This Row],[value_id]], Tabelle18[[#This Row],[value_id]], Tabelle5[[#This Row],[value_present]],"1")</f>
        <v>0</v>
      </c>
    </row>
    <row r="414" spans="1:5" x14ac:dyDescent="0.25">
      <c r="A414">
        <v>23</v>
      </c>
      <c r="B414" t="s">
        <v>166</v>
      </c>
      <c r="C414" s="4">
        <f>IF(Tabelle18[[#This Row],[binding_level_company]]&gt;=1,1,0)</f>
        <v>0</v>
      </c>
      <c r="D414" s="4">
        <f>_xlfn.MAXIFS(Tabelle5[[#This Row],[binding_level]], Tabelle5[[#This Row],[company_id]],Tabelle18[[#This Row],[company_id]], Tabelle5[[#This Row],[value_id]], Tabelle18[[#This Row],[value_id]], Tabelle5[[#This Row],[value_present]],"1")</f>
        <v>0</v>
      </c>
      <c r="E414" s="4">
        <f>_xlfn.MAXIFS(Tabelle5[[#This Row],[value_points]], Tabelle5[[#This Row],[company_id]],Tabelle18[[#This Row],[company_id]], Tabelle5[[#This Row],[value_id]], Tabelle18[[#This Row],[value_id]], Tabelle5[[#This Row],[value_present]],"1")</f>
        <v>0</v>
      </c>
    </row>
    <row r="415" spans="1:5" ht="15.75" thickBot="1" x14ac:dyDescent="0.3">
      <c r="A415">
        <v>23</v>
      </c>
      <c r="B415" s="30" t="s">
        <v>174</v>
      </c>
      <c r="C415" s="4">
        <f>IF(Tabelle18[[#This Row],[binding_level_company]]&gt;=1,1,0)</f>
        <v>0</v>
      </c>
      <c r="D415" s="4">
        <f>_xlfn.MAXIFS(Tabelle5[[#This Row],[binding_level]], Tabelle5[[#This Row],[company_id]],Tabelle18[[#This Row],[company_id]], Tabelle5[[#This Row],[value_id]], Tabelle18[[#This Row],[value_id]], Tabelle5[[#This Row],[value_present]],"1")</f>
        <v>0</v>
      </c>
      <c r="E415" s="4">
        <f>_xlfn.MAXIFS(Tabelle5[[#This Row],[value_points]], Tabelle5[[#This Row],[company_id]],Tabelle18[[#This Row],[company_id]], Tabelle5[[#This Row],[value_id]], Tabelle18[[#This Row],[value_id]], Tabelle5[[#This Row],[value_present]],"1")</f>
        <v>0</v>
      </c>
    </row>
    <row r="416" spans="1:5" x14ac:dyDescent="0.25">
      <c r="A416">
        <v>24</v>
      </c>
      <c r="B416" s="22" t="s">
        <v>53</v>
      </c>
      <c r="C416" s="4">
        <f>IF(Tabelle18[[#This Row],[binding_level_company]]&gt;=1,1,0)</f>
        <v>0</v>
      </c>
      <c r="D416" s="4">
        <f>_xlfn.MAXIFS(Tabelle5[[#This Row],[binding_level]], Tabelle5[[#This Row],[company_id]],Tabelle18[[#This Row],[company_id]], Tabelle5[[#This Row],[value_id]], Tabelle18[[#This Row],[value_id]], Tabelle5[[#This Row],[value_present]],"1")</f>
        <v>0</v>
      </c>
      <c r="E416" s="4">
        <f>_xlfn.MAXIFS(Tabelle5[[#This Row],[value_points]], Tabelle5[[#This Row],[company_id]],Tabelle18[[#This Row],[company_id]], Tabelle5[[#This Row],[value_id]], Tabelle18[[#This Row],[value_id]], Tabelle5[[#This Row],[value_present]],"1")</f>
        <v>0</v>
      </c>
    </row>
    <row r="417" spans="1:5" x14ac:dyDescent="0.25">
      <c r="A417">
        <v>24</v>
      </c>
      <c r="B417" t="s">
        <v>61</v>
      </c>
      <c r="C417" s="4">
        <f>IF(Tabelle18[[#This Row],[binding_level_company]]&gt;=1,1,0)</f>
        <v>0</v>
      </c>
      <c r="D417" s="4">
        <f>_xlfn.MAXIFS(Tabelle5[[#This Row],[binding_level]], Tabelle5[[#This Row],[company_id]],Tabelle18[[#This Row],[company_id]], Tabelle5[[#This Row],[value_id]], Tabelle18[[#This Row],[value_id]], Tabelle5[[#This Row],[value_present]],"1")</f>
        <v>0</v>
      </c>
      <c r="E417" s="4">
        <f>_xlfn.MAXIFS(Tabelle5[[#This Row],[value_points]], Tabelle5[[#This Row],[company_id]],Tabelle18[[#This Row],[company_id]], Tabelle5[[#This Row],[value_id]], Tabelle18[[#This Row],[value_id]], Tabelle5[[#This Row],[value_present]],"1")</f>
        <v>0</v>
      </c>
    </row>
    <row r="418" spans="1:5" x14ac:dyDescent="0.25">
      <c r="A418">
        <v>24</v>
      </c>
      <c r="B418" t="s">
        <v>69</v>
      </c>
      <c r="C418" s="4">
        <f>IF(Tabelle18[[#This Row],[binding_level_company]]&gt;=1,1,0)</f>
        <v>0</v>
      </c>
      <c r="D418" s="4">
        <f>_xlfn.MAXIFS(Tabelle5[[#This Row],[binding_level]], Tabelle5[[#This Row],[company_id]],Tabelle18[[#This Row],[company_id]], Tabelle5[[#This Row],[value_id]], Tabelle18[[#This Row],[value_id]], Tabelle5[[#This Row],[value_present]],"1")</f>
        <v>0</v>
      </c>
      <c r="E418" s="4">
        <f>_xlfn.MAXIFS(Tabelle5[[#This Row],[value_points]], Tabelle5[[#This Row],[company_id]],Tabelle18[[#This Row],[company_id]], Tabelle5[[#This Row],[value_id]], Tabelle18[[#This Row],[value_id]], Tabelle5[[#This Row],[value_present]],"1")</f>
        <v>0</v>
      </c>
    </row>
    <row r="419" spans="1:5" x14ac:dyDescent="0.25">
      <c r="A419">
        <v>24</v>
      </c>
      <c r="B419" t="s">
        <v>76</v>
      </c>
      <c r="C419" s="4">
        <f>IF(Tabelle18[[#This Row],[binding_level_company]]&gt;=1,1,0)</f>
        <v>0</v>
      </c>
      <c r="D419" s="4">
        <f>_xlfn.MAXIFS(Tabelle5[[#This Row],[binding_level]], Tabelle5[[#This Row],[company_id]],Tabelle18[[#This Row],[company_id]], Tabelle5[[#This Row],[value_id]], Tabelle18[[#This Row],[value_id]], Tabelle5[[#This Row],[value_present]],"1")</f>
        <v>0</v>
      </c>
      <c r="E419" s="4">
        <f>_xlfn.MAXIFS(Tabelle5[[#This Row],[value_points]], Tabelle5[[#This Row],[company_id]],Tabelle18[[#This Row],[company_id]], Tabelle5[[#This Row],[value_id]], Tabelle18[[#This Row],[value_id]], Tabelle5[[#This Row],[value_present]],"1")</f>
        <v>0</v>
      </c>
    </row>
    <row r="420" spans="1:5" x14ac:dyDescent="0.25">
      <c r="A420">
        <v>24</v>
      </c>
      <c r="B420" t="s">
        <v>83</v>
      </c>
      <c r="C420" s="4">
        <f>IF(Tabelle18[[#This Row],[binding_level_company]]&gt;=1,1,0)</f>
        <v>0</v>
      </c>
      <c r="D420" s="4">
        <f>_xlfn.MAXIFS(Tabelle5[[#This Row],[binding_level]], Tabelle5[[#This Row],[company_id]],Tabelle18[[#This Row],[company_id]], Tabelle5[[#This Row],[value_id]], Tabelle18[[#This Row],[value_id]], Tabelle5[[#This Row],[value_present]],"1")</f>
        <v>0</v>
      </c>
      <c r="E420" s="4">
        <f>_xlfn.MAXIFS(Tabelle5[[#This Row],[value_points]], Tabelle5[[#This Row],[company_id]],Tabelle18[[#This Row],[company_id]], Tabelle5[[#This Row],[value_id]], Tabelle18[[#This Row],[value_id]], Tabelle5[[#This Row],[value_present]],"1")</f>
        <v>0</v>
      </c>
    </row>
    <row r="421" spans="1:5" x14ac:dyDescent="0.25">
      <c r="A421">
        <v>24</v>
      </c>
      <c r="B421" t="s">
        <v>90</v>
      </c>
      <c r="C421" s="4">
        <f>IF(Tabelle18[[#This Row],[binding_level_company]]&gt;=1,1,0)</f>
        <v>0</v>
      </c>
      <c r="D421" s="4">
        <f>_xlfn.MAXIFS(Tabelle5[[#This Row],[binding_level]], Tabelle5[[#This Row],[company_id]],Tabelle18[[#This Row],[company_id]], Tabelle5[[#This Row],[value_id]], Tabelle18[[#This Row],[value_id]], Tabelle5[[#This Row],[value_present]],"1")</f>
        <v>0</v>
      </c>
      <c r="E421" s="4">
        <f>_xlfn.MAXIFS(Tabelle5[[#This Row],[value_points]], Tabelle5[[#This Row],[company_id]],Tabelle18[[#This Row],[company_id]], Tabelle5[[#This Row],[value_id]], Tabelle18[[#This Row],[value_id]], Tabelle5[[#This Row],[value_present]],"1")</f>
        <v>0</v>
      </c>
    </row>
    <row r="422" spans="1:5" x14ac:dyDescent="0.25">
      <c r="A422">
        <v>24</v>
      </c>
      <c r="B422" t="s">
        <v>98</v>
      </c>
      <c r="C422" s="4">
        <f>IF(Tabelle18[[#This Row],[binding_level_company]]&gt;=1,1,0)</f>
        <v>0</v>
      </c>
      <c r="D422" s="4">
        <f>_xlfn.MAXIFS(Tabelle5[[#This Row],[binding_level]], Tabelle5[[#This Row],[company_id]],Tabelle18[[#This Row],[company_id]], Tabelle5[[#This Row],[value_id]], Tabelle18[[#This Row],[value_id]], Tabelle5[[#This Row],[value_present]],"1")</f>
        <v>0</v>
      </c>
      <c r="E422" s="4">
        <f>_xlfn.MAXIFS(Tabelle5[[#This Row],[value_points]], Tabelle5[[#This Row],[company_id]],Tabelle18[[#This Row],[company_id]], Tabelle5[[#This Row],[value_id]], Tabelle18[[#This Row],[value_id]], Tabelle5[[#This Row],[value_present]],"1")</f>
        <v>0</v>
      </c>
    </row>
    <row r="423" spans="1:5" x14ac:dyDescent="0.25">
      <c r="A423">
        <v>24</v>
      </c>
      <c r="B423" t="s">
        <v>106</v>
      </c>
      <c r="C423" s="4">
        <f>IF(Tabelle18[[#This Row],[binding_level_company]]&gt;=1,1,0)</f>
        <v>0</v>
      </c>
      <c r="D423" s="4">
        <f>_xlfn.MAXIFS(Tabelle5[[#This Row],[binding_level]], Tabelle5[[#This Row],[company_id]],Tabelle18[[#This Row],[company_id]], Tabelle5[[#This Row],[value_id]], Tabelle18[[#This Row],[value_id]], Tabelle5[[#This Row],[value_present]],"1")</f>
        <v>0</v>
      </c>
      <c r="E423" s="4">
        <f>_xlfn.MAXIFS(Tabelle5[[#This Row],[value_points]], Tabelle5[[#This Row],[company_id]],Tabelle18[[#This Row],[company_id]], Tabelle5[[#This Row],[value_id]], Tabelle18[[#This Row],[value_id]], Tabelle5[[#This Row],[value_present]],"1")</f>
        <v>0</v>
      </c>
    </row>
    <row r="424" spans="1:5" x14ac:dyDescent="0.25">
      <c r="A424">
        <v>24</v>
      </c>
      <c r="B424" t="s">
        <v>112</v>
      </c>
      <c r="C424" s="4">
        <f>IF(Tabelle18[[#This Row],[binding_level_company]]&gt;=1,1,0)</f>
        <v>0</v>
      </c>
      <c r="D424" s="4">
        <f>_xlfn.MAXIFS(Tabelle5[[#This Row],[binding_level]], Tabelle5[[#This Row],[company_id]],Tabelle18[[#This Row],[company_id]], Tabelle5[[#This Row],[value_id]], Tabelle18[[#This Row],[value_id]], Tabelle5[[#This Row],[value_present]],"1")</f>
        <v>0</v>
      </c>
      <c r="E424" s="4">
        <f>_xlfn.MAXIFS(Tabelle5[[#This Row],[value_points]], Tabelle5[[#This Row],[company_id]],Tabelle18[[#This Row],[company_id]], Tabelle5[[#This Row],[value_id]], Tabelle18[[#This Row],[value_id]], Tabelle5[[#This Row],[value_present]],"1")</f>
        <v>0</v>
      </c>
    </row>
    <row r="425" spans="1:5" x14ac:dyDescent="0.25">
      <c r="A425">
        <v>24</v>
      </c>
      <c r="B425" t="s">
        <v>118</v>
      </c>
      <c r="C425" s="4">
        <f>IF(Tabelle18[[#This Row],[binding_level_company]]&gt;=1,1,0)</f>
        <v>0</v>
      </c>
      <c r="D425" s="4">
        <f>_xlfn.MAXIFS(Tabelle5[[#This Row],[binding_level]], Tabelle5[[#This Row],[company_id]],Tabelle18[[#This Row],[company_id]], Tabelle5[[#This Row],[value_id]], Tabelle18[[#This Row],[value_id]], Tabelle5[[#This Row],[value_present]],"1")</f>
        <v>0</v>
      </c>
      <c r="E425" s="4">
        <f>_xlfn.MAXIFS(Tabelle5[[#This Row],[value_points]], Tabelle5[[#This Row],[company_id]],Tabelle18[[#This Row],[company_id]], Tabelle5[[#This Row],[value_id]], Tabelle18[[#This Row],[value_id]], Tabelle5[[#This Row],[value_present]],"1")</f>
        <v>0</v>
      </c>
    </row>
    <row r="426" spans="1:5" x14ac:dyDescent="0.25">
      <c r="A426">
        <v>24</v>
      </c>
      <c r="B426" t="s">
        <v>125</v>
      </c>
      <c r="C426" s="4">
        <f>IF(Tabelle18[[#This Row],[binding_level_company]]&gt;=1,1,0)</f>
        <v>0</v>
      </c>
      <c r="D426" s="4">
        <f>_xlfn.MAXIFS(Tabelle5[[#This Row],[binding_level]], Tabelle5[[#This Row],[company_id]],Tabelle18[[#This Row],[company_id]], Tabelle5[[#This Row],[value_id]], Tabelle18[[#This Row],[value_id]], Tabelle5[[#This Row],[value_present]],"1")</f>
        <v>0</v>
      </c>
      <c r="E426" s="4">
        <f>_xlfn.MAXIFS(Tabelle5[[#This Row],[value_points]], Tabelle5[[#This Row],[company_id]],Tabelle18[[#This Row],[company_id]], Tabelle5[[#This Row],[value_id]], Tabelle18[[#This Row],[value_id]], Tabelle5[[#This Row],[value_present]],"1")</f>
        <v>0</v>
      </c>
    </row>
    <row r="427" spans="1:5" x14ac:dyDescent="0.25">
      <c r="A427">
        <v>24</v>
      </c>
      <c r="B427" t="s">
        <v>132</v>
      </c>
      <c r="C427" s="4">
        <f>IF(Tabelle18[[#This Row],[binding_level_company]]&gt;=1,1,0)</f>
        <v>0</v>
      </c>
      <c r="D427" s="4">
        <f>_xlfn.MAXIFS(Tabelle5[[#This Row],[binding_level]], Tabelle5[[#This Row],[company_id]],Tabelle18[[#This Row],[company_id]], Tabelle5[[#This Row],[value_id]], Tabelle18[[#This Row],[value_id]], Tabelle5[[#This Row],[value_present]],"1")</f>
        <v>0</v>
      </c>
      <c r="E427" s="4">
        <f>_xlfn.MAXIFS(Tabelle5[[#This Row],[value_points]], Tabelle5[[#This Row],[company_id]],Tabelle18[[#This Row],[company_id]], Tabelle5[[#This Row],[value_id]], Tabelle18[[#This Row],[value_id]], Tabelle5[[#This Row],[value_present]],"1")</f>
        <v>0</v>
      </c>
    </row>
    <row r="428" spans="1:5" x14ac:dyDescent="0.25">
      <c r="A428">
        <v>24</v>
      </c>
      <c r="B428" t="s">
        <v>140</v>
      </c>
      <c r="C428" s="4">
        <f>IF(Tabelle18[[#This Row],[binding_level_company]]&gt;=1,1,0)</f>
        <v>0</v>
      </c>
      <c r="D428" s="4">
        <f>_xlfn.MAXIFS(Tabelle5[[#This Row],[binding_level]], Tabelle5[[#This Row],[company_id]],Tabelle18[[#This Row],[company_id]], Tabelle5[[#This Row],[value_id]], Tabelle18[[#This Row],[value_id]], Tabelle5[[#This Row],[value_present]],"1")</f>
        <v>0</v>
      </c>
      <c r="E428" s="4">
        <f>_xlfn.MAXIFS(Tabelle5[[#This Row],[value_points]], Tabelle5[[#This Row],[company_id]],Tabelle18[[#This Row],[company_id]], Tabelle5[[#This Row],[value_id]], Tabelle18[[#This Row],[value_id]], Tabelle5[[#This Row],[value_present]],"1")</f>
        <v>0</v>
      </c>
    </row>
    <row r="429" spans="1:5" x14ac:dyDescent="0.25">
      <c r="A429">
        <v>24</v>
      </c>
      <c r="B429" t="s">
        <v>147</v>
      </c>
      <c r="C429" s="4">
        <f>IF(Tabelle18[[#This Row],[binding_level_company]]&gt;=1,1,0)</f>
        <v>0</v>
      </c>
      <c r="D429" s="4">
        <f>_xlfn.MAXIFS(Tabelle5[[#This Row],[binding_level]], Tabelle5[[#This Row],[company_id]],Tabelle18[[#This Row],[company_id]], Tabelle5[[#This Row],[value_id]], Tabelle18[[#This Row],[value_id]], Tabelle5[[#This Row],[value_present]],"1")</f>
        <v>0</v>
      </c>
      <c r="E429" s="4">
        <f>_xlfn.MAXIFS(Tabelle5[[#This Row],[value_points]], Tabelle5[[#This Row],[company_id]],Tabelle18[[#This Row],[company_id]], Tabelle5[[#This Row],[value_id]], Tabelle18[[#This Row],[value_id]], Tabelle5[[#This Row],[value_present]],"1")</f>
        <v>0</v>
      </c>
    </row>
    <row r="430" spans="1:5" x14ac:dyDescent="0.25">
      <c r="A430">
        <v>24</v>
      </c>
      <c r="B430" t="s">
        <v>154</v>
      </c>
      <c r="C430" s="4">
        <f>IF(Tabelle18[[#This Row],[binding_level_company]]&gt;=1,1,0)</f>
        <v>0</v>
      </c>
      <c r="D430" s="4">
        <f>_xlfn.MAXIFS(Tabelle5[[#This Row],[binding_level]], Tabelle5[[#This Row],[company_id]],Tabelle18[[#This Row],[company_id]], Tabelle5[[#This Row],[value_id]], Tabelle18[[#This Row],[value_id]], Tabelle5[[#This Row],[value_present]],"1")</f>
        <v>0</v>
      </c>
      <c r="E430" s="4">
        <f>_xlfn.MAXIFS(Tabelle5[[#This Row],[value_points]], Tabelle5[[#This Row],[company_id]],Tabelle18[[#This Row],[company_id]], Tabelle5[[#This Row],[value_id]], Tabelle18[[#This Row],[value_id]], Tabelle5[[#This Row],[value_present]],"1")</f>
        <v>0</v>
      </c>
    </row>
    <row r="431" spans="1:5" x14ac:dyDescent="0.25">
      <c r="A431">
        <v>24</v>
      </c>
      <c r="B431" t="s">
        <v>161</v>
      </c>
      <c r="C431" s="4">
        <f>IF(Tabelle18[[#This Row],[binding_level_company]]&gt;=1,1,0)</f>
        <v>0</v>
      </c>
      <c r="D431" s="4">
        <f>_xlfn.MAXIFS(Tabelle5[[#This Row],[binding_level]], Tabelle5[[#This Row],[company_id]],Tabelle18[[#This Row],[company_id]], Tabelle5[[#This Row],[value_id]], Tabelle18[[#This Row],[value_id]], Tabelle5[[#This Row],[value_present]],"1")</f>
        <v>0</v>
      </c>
      <c r="E431" s="4">
        <f>_xlfn.MAXIFS(Tabelle5[[#This Row],[value_points]], Tabelle5[[#This Row],[company_id]],Tabelle18[[#This Row],[company_id]], Tabelle5[[#This Row],[value_id]], Tabelle18[[#This Row],[value_id]], Tabelle5[[#This Row],[value_present]],"1")</f>
        <v>0</v>
      </c>
    </row>
    <row r="432" spans="1:5" x14ac:dyDescent="0.25">
      <c r="A432">
        <v>24</v>
      </c>
      <c r="B432" t="s">
        <v>166</v>
      </c>
      <c r="C432" s="4">
        <f>IF(Tabelle18[[#This Row],[binding_level_company]]&gt;=1,1,0)</f>
        <v>0</v>
      </c>
      <c r="D432" s="4">
        <f>_xlfn.MAXIFS(Tabelle5[[#This Row],[binding_level]], Tabelle5[[#This Row],[company_id]],Tabelle18[[#This Row],[company_id]], Tabelle5[[#This Row],[value_id]], Tabelle18[[#This Row],[value_id]], Tabelle5[[#This Row],[value_present]],"1")</f>
        <v>0</v>
      </c>
      <c r="E432" s="4">
        <f>_xlfn.MAXIFS(Tabelle5[[#This Row],[value_points]], Tabelle5[[#This Row],[company_id]],Tabelle18[[#This Row],[company_id]], Tabelle5[[#This Row],[value_id]], Tabelle18[[#This Row],[value_id]], Tabelle5[[#This Row],[value_present]],"1")</f>
        <v>0</v>
      </c>
    </row>
    <row r="433" spans="1:5" ht="15.75" thickBot="1" x14ac:dyDescent="0.3">
      <c r="A433">
        <v>24</v>
      </c>
      <c r="B433" s="30" t="s">
        <v>174</v>
      </c>
      <c r="C433" s="4">
        <f>IF(Tabelle18[[#This Row],[binding_level_company]]&gt;=1,1,0)</f>
        <v>0</v>
      </c>
      <c r="D433" s="4">
        <f>_xlfn.MAXIFS(Tabelle5[[#This Row],[binding_level]], Tabelle5[[#This Row],[company_id]],Tabelle18[[#This Row],[company_id]], Tabelle5[[#This Row],[value_id]], Tabelle18[[#This Row],[value_id]], Tabelle5[[#This Row],[value_present]],"1")</f>
        <v>0</v>
      </c>
      <c r="E433" s="4">
        <f>_xlfn.MAXIFS(Tabelle5[[#This Row],[value_points]], Tabelle5[[#This Row],[company_id]],Tabelle18[[#This Row],[company_id]], Tabelle5[[#This Row],[value_id]], Tabelle18[[#This Row],[value_id]], Tabelle5[[#This Row],[value_present]],"1")</f>
        <v>0</v>
      </c>
    </row>
    <row r="434" spans="1:5" x14ac:dyDescent="0.25">
      <c r="A434">
        <v>25</v>
      </c>
      <c r="B434" s="22" t="s">
        <v>53</v>
      </c>
      <c r="C434" s="4">
        <f>IF(Tabelle18[[#This Row],[binding_level_company]]&gt;=1,1,0)</f>
        <v>0</v>
      </c>
      <c r="D434" s="4">
        <f>_xlfn.MAXIFS(Tabelle5[[#This Row],[binding_level]], Tabelle5[[#This Row],[company_id]],Tabelle18[[#This Row],[company_id]], Tabelle5[[#This Row],[value_id]], Tabelle18[[#This Row],[value_id]], Tabelle5[[#This Row],[value_present]],"1")</f>
        <v>0</v>
      </c>
      <c r="E434" s="4">
        <f>_xlfn.MAXIFS(Tabelle5[[#This Row],[value_points]], Tabelle5[[#This Row],[company_id]],Tabelle18[[#This Row],[company_id]], Tabelle5[[#This Row],[value_id]], Tabelle18[[#This Row],[value_id]], Tabelle5[[#This Row],[value_present]],"1")</f>
        <v>0</v>
      </c>
    </row>
    <row r="435" spans="1:5" x14ac:dyDescent="0.25">
      <c r="A435">
        <v>25</v>
      </c>
      <c r="B435" t="s">
        <v>61</v>
      </c>
      <c r="C435" s="4">
        <f>IF(Tabelle18[[#This Row],[binding_level_company]]&gt;=1,1,0)</f>
        <v>0</v>
      </c>
      <c r="D435" s="4">
        <f>_xlfn.MAXIFS(Tabelle5[[#This Row],[binding_level]], Tabelle5[[#This Row],[company_id]],Tabelle18[[#This Row],[company_id]], Tabelle5[[#This Row],[value_id]], Tabelle18[[#This Row],[value_id]], Tabelle5[[#This Row],[value_present]],"1")</f>
        <v>0</v>
      </c>
      <c r="E435" s="4">
        <f>_xlfn.MAXIFS(Tabelle5[[#This Row],[value_points]], Tabelle5[[#This Row],[company_id]],Tabelle18[[#This Row],[company_id]], Tabelle5[[#This Row],[value_id]], Tabelle18[[#This Row],[value_id]], Tabelle5[[#This Row],[value_present]],"1")</f>
        <v>0</v>
      </c>
    </row>
    <row r="436" spans="1:5" x14ac:dyDescent="0.25">
      <c r="A436">
        <v>25</v>
      </c>
      <c r="B436" t="s">
        <v>69</v>
      </c>
      <c r="C436" s="4">
        <f>IF(Tabelle18[[#This Row],[binding_level_company]]&gt;=1,1,0)</f>
        <v>0</v>
      </c>
      <c r="D436" s="4">
        <f>_xlfn.MAXIFS(Tabelle5[[#This Row],[binding_level]], Tabelle5[[#This Row],[company_id]],Tabelle18[[#This Row],[company_id]], Tabelle5[[#This Row],[value_id]], Tabelle18[[#This Row],[value_id]], Tabelle5[[#This Row],[value_present]],"1")</f>
        <v>0</v>
      </c>
      <c r="E436" s="4">
        <f>_xlfn.MAXIFS(Tabelle5[[#This Row],[value_points]], Tabelle5[[#This Row],[company_id]],Tabelle18[[#This Row],[company_id]], Tabelle5[[#This Row],[value_id]], Tabelle18[[#This Row],[value_id]], Tabelle5[[#This Row],[value_present]],"1")</f>
        <v>0</v>
      </c>
    </row>
    <row r="437" spans="1:5" x14ac:dyDescent="0.25">
      <c r="A437">
        <v>25</v>
      </c>
      <c r="B437" t="s">
        <v>76</v>
      </c>
      <c r="C437" s="4">
        <f>IF(Tabelle18[[#This Row],[binding_level_company]]&gt;=1,1,0)</f>
        <v>0</v>
      </c>
      <c r="D437" s="4">
        <f>_xlfn.MAXIFS(Tabelle5[[#This Row],[binding_level]], Tabelle5[[#This Row],[company_id]],Tabelle18[[#This Row],[company_id]], Tabelle5[[#This Row],[value_id]], Tabelle18[[#This Row],[value_id]], Tabelle5[[#This Row],[value_present]],"1")</f>
        <v>0</v>
      </c>
      <c r="E437" s="4">
        <f>_xlfn.MAXIFS(Tabelle5[[#This Row],[value_points]], Tabelle5[[#This Row],[company_id]],Tabelle18[[#This Row],[company_id]], Tabelle5[[#This Row],[value_id]], Tabelle18[[#This Row],[value_id]], Tabelle5[[#This Row],[value_present]],"1")</f>
        <v>0</v>
      </c>
    </row>
    <row r="438" spans="1:5" x14ac:dyDescent="0.25">
      <c r="A438">
        <v>25</v>
      </c>
      <c r="B438" t="s">
        <v>83</v>
      </c>
      <c r="C438" s="4">
        <f>IF(Tabelle18[[#This Row],[binding_level_company]]&gt;=1,1,0)</f>
        <v>0</v>
      </c>
      <c r="D438" s="4">
        <f>_xlfn.MAXIFS(Tabelle5[[#This Row],[binding_level]], Tabelle5[[#This Row],[company_id]],Tabelle18[[#This Row],[company_id]], Tabelle5[[#This Row],[value_id]], Tabelle18[[#This Row],[value_id]], Tabelle5[[#This Row],[value_present]],"1")</f>
        <v>0</v>
      </c>
      <c r="E438" s="4">
        <f>_xlfn.MAXIFS(Tabelle5[[#This Row],[value_points]], Tabelle5[[#This Row],[company_id]],Tabelle18[[#This Row],[company_id]], Tabelle5[[#This Row],[value_id]], Tabelle18[[#This Row],[value_id]], Tabelle5[[#This Row],[value_present]],"1")</f>
        <v>0</v>
      </c>
    </row>
    <row r="439" spans="1:5" x14ac:dyDescent="0.25">
      <c r="A439">
        <v>25</v>
      </c>
      <c r="B439" t="s">
        <v>90</v>
      </c>
      <c r="C439" s="4">
        <f>IF(Tabelle18[[#This Row],[binding_level_company]]&gt;=1,1,0)</f>
        <v>0</v>
      </c>
      <c r="D439" s="4">
        <f>_xlfn.MAXIFS(Tabelle5[[#This Row],[binding_level]], Tabelle5[[#This Row],[company_id]],Tabelle18[[#This Row],[company_id]], Tabelle5[[#This Row],[value_id]], Tabelle18[[#This Row],[value_id]], Tabelle5[[#This Row],[value_present]],"1")</f>
        <v>0</v>
      </c>
      <c r="E439" s="4">
        <f>_xlfn.MAXIFS(Tabelle5[[#This Row],[value_points]], Tabelle5[[#This Row],[company_id]],Tabelle18[[#This Row],[company_id]], Tabelle5[[#This Row],[value_id]], Tabelle18[[#This Row],[value_id]], Tabelle5[[#This Row],[value_present]],"1")</f>
        <v>0</v>
      </c>
    </row>
    <row r="440" spans="1:5" x14ac:dyDescent="0.25">
      <c r="A440">
        <v>25</v>
      </c>
      <c r="B440" t="s">
        <v>98</v>
      </c>
      <c r="C440" s="4">
        <f>IF(Tabelle18[[#This Row],[binding_level_company]]&gt;=1,1,0)</f>
        <v>0</v>
      </c>
      <c r="D440" s="4">
        <f>_xlfn.MAXIFS(Tabelle5[[#This Row],[binding_level]], Tabelle5[[#This Row],[company_id]],Tabelle18[[#This Row],[company_id]], Tabelle5[[#This Row],[value_id]], Tabelle18[[#This Row],[value_id]], Tabelle5[[#This Row],[value_present]],"1")</f>
        <v>0</v>
      </c>
      <c r="E440" s="4">
        <f>_xlfn.MAXIFS(Tabelle5[[#This Row],[value_points]], Tabelle5[[#This Row],[company_id]],Tabelle18[[#This Row],[company_id]], Tabelle5[[#This Row],[value_id]], Tabelle18[[#This Row],[value_id]], Tabelle5[[#This Row],[value_present]],"1")</f>
        <v>0</v>
      </c>
    </row>
    <row r="441" spans="1:5" x14ac:dyDescent="0.25">
      <c r="A441">
        <v>25</v>
      </c>
      <c r="B441" t="s">
        <v>106</v>
      </c>
      <c r="C441" s="4">
        <f>IF(Tabelle18[[#This Row],[binding_level_company]]&gt;=1,1,0)</f>
        <v>0</v>
      </c>
      <c r="D441" s="4">
        <f>_xlfn.MAXIFS(Tabelle5[[#This Row],[binding_level]], Tabelle5[[#This Row],[company_id]],Tabelle18[[#This Row],[company_id]], Tabelle5[[#This Row],[value_id]], Tabelle18[[#This Row],[value_id]], Tabelle5[[#This Row],[value_present]],"1")</f>
        <v>0</v>
      </c>
      <c r="E441" s="4">
        <f>_xlfn.MAXIFS(Tabelle5[[#This Row],[value_points]], Tabelle5[[#This Row],[company_id]],Tabelle18[[#This Row],[company_id]], Tabelle5[[#This Row],[value_id]], Tabelle18[[#This Row],[value_id]], Tabelle5[[#This Row],[value_present]],"1")</f>
        <v>0</v>
      </c>
    </row>
    <row r="442" spans="1:5" x14ac:dyDescent="0.25">
      <c r="A442">
        <v>25</v>
      </c>
      <c r="B442" t="s">
        <v>112</v>
      </c>
      <c r="C442" s="4">
        <f>IF(Tabelle18[[#This Row],[binding_level_company]]&gt;=1,1,0)</f>
        <v>0</v>
      </c>
      <c r="D442" s="4">
        <f>_xlfn.MAXIFS(Tabelle5[[#This Row],[binding_level]], Tabelle5[[#This Row],[company_id]],Tabelle18[[#This Row],[company_id]], Tabelle5[[#This Row],[value_id]], Tabelle18[[#This Row],[value_id]], Tabelle5[[#This Row],[value_present]],"1")</f>
        <v>0</v>
      </c>
      <c r="E442" s="4">
        <f>_xlfn.MAXIFS(Tabelle5[[#This Row],[value_points]], Tabelle5[[#This Row],[company_id]],Tabelle18[[#This Row],[company_id]], Tabelle5[[#This Row],[value_id]], Tabelle18[[#This Row],[value_id]], Tabelle5[[#This Row],[value_present]],"1")</f>
        <v>0</v>
      </c>
    </row>
    <row r="443" spans="1:5" x14ac:dyDescent="0.25">
      <c r="A443">
        <v>25</v>
      </c>
      <c r="B443" t="s">
        <v>118</v>
      </c>
      <c r="C443" s="4">
        <f>IF(Tabelle18[[#This Row],[binding_level_company]]&gt;=1,1,0)</f>
        <v>0</v>
      </c>
      <c r="D443" s="4">
        <f>_xlfn.MAXIFS(Tabelle5[[#This Row],[binding_level]], Tabelle5[[#This Row],[company_id]],Tabelle18[[#This Row],[company_id]], Tabelle5[[#This Row],[value_id]], Tabelle18[[#This Row],[value_id]], Tabelle5[[#This Row],[value_present]],"1")</f>
        <v>0</v>
      </c>
      <c r="E443" s="4">
        <f>_xlfn.MAXIFS(Tabelle5[[#This Row],[value_points]], Tabelle5[[#This Row],[company_id]],Tabelle18[[#This Row],[company_id]], Tabelle5[[#This Row],[value_id]], Tabelle18[[#This Row],[value_id]], Tabelle5[[#This Row],[value_present]],"1")</f>
        <v>0</v>
      </c>
    </row>
    <row r="444" spans="1:5" x14ac:dyDescent="0.25">
      <c r="A444">
        <v>25</v>
      </c>
      <c r="B444" t="s">
        <v>125</v>
      </c>
      <c r="C444" s="4">
        <f>IF(Tabelle18[[#This Row],[binding_level_company]]&gt;=1,1,0)</f>
        <v>0</v>
      </c>
      <c r="D444" s="4">
        <f>_xlfn.MAXIFS(Tabelle5[[#This Row],[binding_level]], Tabelle5[[#This Row],[company_id]],Tabelle18[[#This Row],[company_id]], Tabelle5[[#This Row],[value_id]], Tabelle18[[#This Row],[value_id]], Tabelle5[[#This Row],[value_present]],"1")</f>
        <v>0</v>
      </c>
      <c r="E444" s="4">
        <f>_xlfn.MAXIFS(Tabelle5[[#This Row],[value_points]], Tabelle5[[#This Row],[company_id]],Tabelle18[[#This Row],[company_id]], Tabelle5[[#This Row],[value_id]], Tabelle18[[#This Row],[value_id]], Tabelle5[[#This Row],[value_present]],"1")</f>
        <v>0</v>
      </c>
    </row>
    <row r="445" spans="1:5" x14ac:dyDescent="0.25">
      <c r="A445">
        <v>25</v>
      </c>
      <c r="B445" t="s">
        <v>132</v>
      </c>
      <c r="C445" s="4">
        <f>IF(Tabelle18[[#This Row],[binding_level_company]]&gt;=1,1,0)</f>
        <v>0</v>
      </c>
      <c r="D445" s="4">
        <f>_xlfn.MAXIFS(Tabelle5[[#This Row],[binding_level]], Tabelle5[[#This Row],[company_id]],Tabelle18[[#This Row],[company_id]], Tabelle5[[#This Row],[value_id]], Tabelle18[[#This Row],[value_id]], Tabelle5[[#This Row],[value_present]],"1")</f>
        <v>0</v>
      </c>
      <c r="E445" s="4">
        <f>_xlfn.MAXIFS(Tabelle5[[#This Row],[value_points]], Tabelle5[[#This Row],[company_id]],Tabelle18[[#This Row],[company_id]], Tabelle5[[#This Row],[value_id]], Tabelle18[[#This Row],[value_id]], Tabelle5[[#This Row],[value_present]],"1")</f>
        <v>0</v>
      </c>
    </row>
    <row r="446" spans="1:5" x14ac:dyDescent="0.25">
      <c r="A446">
        <v>25</v>
      </c>
      <c r="B446" t="s">
        <v>140</v>
      </c>
      <c r="C446" s="4">
        <f>IF(Tabelle18[[#This Row],[binding_level_company]]&gt;=1,1,0)</f>
        <v>0</v>
      </c>
      <c r="D446" s="4">
        <f>_xlfn.MAXIFS(Tabelle5[[#This Row],[binding_level]], Tabelle5[[#This Row],[company_id]],Tabelle18[[#This Row],[company_id]], Tabelle5[[#This Row],[value_id]], Tabelle18[[#This Row],[value_id]], Tabelle5[[#This Row],[value_present]],"1")</f>
        <v>0</v>
      </c>
      <c r="E446" s="4">
        <f>_xlfn.MAXIFS(Tabelle5[[#This Row],[value_points]], Tabelle5[[#This Row],[company_id]],Tabelle18[[#This Row],[company_id]], Tabelle5[[#This Row],[value_id]], Tabelle18[[#This Row],[value_id]], Tabelle5[[#This Row],[value_present]],"1")</f>
        <v>0</v>
      </c>
    </row>
    <row r="447" spans="1:5" x14ac:dyDescent="0.25">
      <c r="A447">
        <v>25</v>
      </c>
      <c r="B447" t="s">
        <v>147</v>
      </c>
      <c r="C447" s="4">
        <f>IF(Tabelle18[[#This Row],[binding_level_company]]&gt;=1,1,0)</f>
        <v>0</v>
      </c>
      <c r="D447" s="4">
        <f>_xlfn.MAXIFS(Tabelle5[[#This Row],[binding_level]], Tabelle5[[#This Row],[company_id]],Tabelle18[[#This Row],[company_id]], Tabelle5[[#This Row],[value_id]], Tabelle18[[#This Row],[value_id]], Tabelle5[[#This Row],[value_present]],"1")</f>
        <v>0</v>
      </c>
      <c r="E447" s="4">
        <f>_xlfn.MAXIFS(Tabelle5[[#This Row],[value_points]], Tabelle5[[#This Row],[company_id]],Tabelle18[[#This Row],[company_id]], Tabelle5[[#This Row],[value_id]], Tabelle18[[#This Row],[value_id]], Tabelle5[[#This Row],[value_present]],"1")</f>
        <v>0</v>
      </c>
    </row>
    <row r="448" spans="1:5" x14ac:dyDescent="0.25">
      <c r="A448">
        <v>25</v>
      </c>
      <c r="B448" t="s">
        <v>154</v>
      </c>
      <c r="C448" s="4">
        <f>IF(Tabelle18[[#This Row],[binding_level_company]]&gt;=1,1,0)</f>
        <v>0</v>
      </c>
      <c r="D448" s="4">
        <f>_xlfn.MAXIFS(Tabelle5[[#This Row],[binding_level]], Tabelle5[[#This Row],[company_id]],Tabelle18[[#This Row],[company_id]], Tabelle5[[#This Row],[value_id]], Tabelle18[[#This Row],[value_id]], Tabelle5[[#This Row],[value_present]],"1")</f>
        <v>0</v>
      </c>
      <c r="E448" s="4">
        <f>_xlfn.MAXIFS(Tabelle5[[#This Row],[value_points]], Tabelle5[[#This Row],[company_id]],Tabelle18[[#This Row],[company_id]], Tabelle5[[#This Row],[value_id]], Tabelle18[[#This Row],[value_id]], Tabelle5[[#This Row],[value_present]],"1")</f>
        <v>0</v>
      </c>
    </row>
    <row r="449" spans="1:5" x14ac:dyDescent="0.25">
      <c r="A449">
        <v>25</v>
      </c>
      <c r="B449" t="s">
        <v>161</v>
      </c>
      <c r="C449" s="4">
        <f>IF(Tabelle18[[#This Row],[binding_level_company]]&gt;=1,1,0)</f>
        <v>0</v>
      </c>
      <c r="D449" s="4">
        <f>_xlfn.MAXIFS(Tabelle5[[#This Row],[binding_level]], Tabelle5[[#This Row],[company_id]],Tabelle18[[#This Row],[company_id]], Tabelle5[[#This Row],[value_id]], Tabelle18[[#This Row],[value_id]], Tabelle5[[#This Row],[value_present]],"1")</f>
        <v>0</v>
      </c>
      <c r="E449" s="4">
        <f>_xlfn.MAXIFS(Tabelle5[[#This Row],[value_points]], Tabelle5[[#This Row],[company_id]],Tabelle18[[#This Row],[company_id]], Tabelle5[[#This Row],[value_id]], Tabelle18[[#This Row],[value_id]], Tabelle5[[#This Row],[value_present]],"1")</f>
        <v>0</v>
      </c>
    </row>
    <row r="450" spans="1:5" x14ac:dyDescent="0.25">
      <c r="A450">
        <v>25</v>
      </c>
      <c r="B450" t="s">
        <v>166</v>
      </c>
      <c r="C450" s="4">
        <f>IF(Tabelle18[[#This Row],[binding_level_company]]&gt;=1,1,0)</f>
        <v>0</v>
      </c>
      <c r="D450" s="4">
        <f>_xlfn.MAXIFS(Tabelle5[[#This Row],[binding_level]], Tabelle5[[#This Row],[company_id]],Tabelle18[[#This Row],[company_id]], Tabelle5[[#This Row],[value_id]], Tabelle18[[#This Row],[value_id]], Tabelle5[[#This Row],[value_present]],"1")</f>
        <v>0</v>
      </c>
      <c r="E450" s="4">
        <f>_xlfn.MAXIFS(Tabelle5[[#This Row],[value_points]], Tabelle5[[#This Row],[company_id]],Tabelle18[[#This Row],[company_id]], Tabelle5[[#This Row],[value_id]], Tabelle18[[#This Row],[value_id]], Tabelle5[[#This Row],[value_present]],"1")</f>
        <v>0</v>
      </c>
    </row>
    <row r="451" spans="1:5" ht="15.75" thickBot="1" x14ac:dyDescent="0.3">
      <c r="A451">
        <v>25</v>
      </c>
      <c r="B451" s="30" t="s">
        <v>174</v>
      </c>
      <c r="C451" s="4">
        <f>IF(Tabelle18[[#This Row],[binding_level_company]]&gt;=1,1,0)</f>
        <v>0</v>
      </c>
      <c r="D451" s="4">
        <f>_xlfn.MAXIFS(Tabelle5[[#This Row],[binding_level]], Tabelle5[[#This Row],[company_id]],Tabelle18[[#This Row],[company_id]], Tabelle5[[#This Row],[value_id]], Tabelle18[[#This Row],[value_id]], Tabelle5[[#This Row],[value_present]],"1")</f>
        <v>0</v>
      </c>
      <c r="E451" s="4">
        <f>_xlfn.MAXIFS(Tabelle5[[#This Row],[value_points]], Tabelle5[[#This Row],[company_id]],Tabelle18[[#This Row],[company_id]], Tabelle5[[#This Row],[value_id]], Tabelle18[[#This Row],[value_id]], Tabelle5[[#This Row],[value_present]],"1")</f>
        <v>0</v>
      </c>
    </row>
    <row r="452" spans="1:5" x14ac:dyDescent="0.25">
      <c r="A452">
        <v>26</v>
      </c>
      <c r="B452" s="22" t="s">
        <v>53</v>
      </c>
      <c r="C452" s="4">
        <f>IF(Tabelle18[[#This Row],[binding_level_company]]&gt;=1,1,0)</f>
        <v>0</v>
      </c>
      <c r="D452" s="4">
        <f>_xlfn.MAXIFS(Tabelle5[[#This Row],[binding_level]], Tabelle5[[#This Row],[company_id]],Tabelle18[[#This Row],[company_id]], Tabelle5[[#This Row],[value_id]], Tabelle18[[#This Row],[value_id]], Tabelle5[[#This Row],[value_present]],"1")</f>
        <v>0</v>
      </c>
      <c r="E452" s="4">
        <f>_xlfn.MAXIFS(Tabelle5[[#This Row],[value_points]], Tabelle5[[#This Row],[company_id]],Tabelle18[[#This Row],[company_id]], Tabelle5[[#This Row],[value_id]], Tabelle18[[#This Row],[value_id]], Tabelle5[[#This Row],[value_present]],"1")</f>
        <v>0</v>
      </c>
    </row>
    <row r="453" spans="1:5" x14ac:dyDescent="0.25">
      <c r="A453">
        <v>26</v>
      </c>
      <c r="B453" t="s">
        <v>61</v>
      </c>
      <c r="C453" s="4">
        <f>IF(Tabelle18[[#This Row],[binding_level_company]]&gt;=1,1,0)</f>
        <v>0</v>
      </c>
      <c r="D453" s="4">
        <f>_xlfn.MAXIFS(Tabelle5[[#This Row],[binding_level]], Tabelle5[[#This Row],[company_id]],Tabelle18[[#This Row],[company_id]], Tabelle5[[#This Row],[value_id]], Tabelle18[[#This Row],[value_id]], Tabelle5[[#This Row],[value_present]],"1")</f>
        <v>0</v>
      </c>
      <c r="E453" s="4">
        <f>_xlfn.MAXIFS(Tabelle5[[#This Row],[value_points]], Tabelle5[[#This Row],[company_id]],Tabelle18[[#This Row],[company_id]], Tabelle5[[#This Row],[value_id]], Tabelle18[[#This Row],[value_id]], Tabelle5[[#This Row],[value_present]],"1")</f>
        <v>0</v>
      </c>
    </row>
    <row r="454" spans="1:5" x14ac:dyDescent="0.25">
      <c r="A454">
        <v>26</v>
      </c>
      <c r="B454" t="s">
        <v>69</v>
      </c>
      <c r="C454" s="4">
        <f>IF(Tabelle18[[#This Row],[binding_level_company]]&gt;=1,1,0)</f>
        <v>0</v>
      </c>
      <c r="D454" s="4">
        <f>_xlfn.MAXIFS(Tabelle5[[#This Row],[binding_level]], Tabelle5[[#This Row],[company_id]],Tabelle18[[#This Row],[company_id]], Tabelle5[[#This Row],[value_id]], Tabelle18[[#This Row],[value_id]], Tabelle5[[#This Row],[value_present]],"1")</f>
        <v>0</v>
      </c>
      <c r="E454" s="4">
        <f>_xlfn.MAXIFS(Tabelle5[[#This Row],[value_points]], Tabelle5[[#This Row],[company_id]],Tabelle18[[#This Row],[company_id]], Tabelle5[[#This Row],[value_id]], Tabelle18[[#This Row],[value_id]], Tabelle5[[#This Row],[value_present]],"1")</f>
        <v>0</v>
      </c>
    </row>
    <row r="455" spans="1:5" x14ac:dyDescent="0.25">
      <c r="A455">
        <v>26</v>
      </c>
      <c r="B455" t="s">
        <v>76</v>
      </c>
      <c r="C455" s="4">
        <f>IF(Tabelle18[[#This Row],[binding_level_company]]&gt;=1,1,0)</f>
        <v>0</v>
      </c>
      <c r="D455" s="4">
        <f>_xlfn.MAXIFS(Tabelle5[[#This Row],[binding_level]], Tabelle5[[#This Row],[company_id]],Tabelle18[[#This Row],[company_id]], Tabelle5[[#This Row],[value_id]], Tabelle18[[#This Row],[value_id]], Tabelle5[[#This Row],[value_present]],"1")</f>
        <v>0</v>
      </c>
      <c r="E455" s="4">
        <f>_xlfn.MAXIFS(Tabelle5[[#This Row],[value_points]], Tabelle5[[#This Row],[company_id]],Tabelle18[[#This Row],[company_id]], Tabelle5[[#This Row],[value_id]], Tabelle18[[#This Row],[value_id]], Tabelle5[[#This Row],[value_present]],"1")</f>
        <v>0</v>
      </c>
    </row>
    <row r="456" spans="1:5" x14ac:dyDescent="0.25">
      <c r="A456">
        <v>26</v>
      </c>
      <c r="B456" t="s">
        <v>83</v>
      </c>
      <c r="C456" s="4">
        <f>IF(Tabelle18[[#This Row],[binding_level_company]]&gt;=1,1,0)</f>
        <v>0</v>
      </c>
      <c r="D456" s="4">
        <f>_xlfn.MAXIFS(Tabelle5[[#This Row],[binding_level]], Tabelle5[[#This Row],[company_id]],Tabelle18[[#This Row],[company_id]], Tabelle5[[#This Row],[value_id]], Tabelle18[[#This Row],[value_id]], Tabelle5[[#This Row],[value_present]],"1")</f>
        <v>0</v>
      </c>
      <c r="E456" s="4">
        <f>_xlfn.MAXIFS(Tabelle5[[#This Row],[value_points]], Tabelle5[[#This Row],[company_id]],Tabelle18[[#This Row],[company_id]], Tabelle5[[#This Row],[value_id]], Tabelle18[[#This Row],[value_id]], Tabelle5[[#This Row],[value_present]],"1")</f>
        <v>0</v>
      </c>
    </row>
    <row r="457" spans="1:5" x14ac:dyDescent="0.25">
      <c r="A457">
        <v>26</v>
      </c>
      <c r="B457" t="s">
        <v>90</v>
      </c>
      <c r="C457" s="4">
        <f>IF(Tabelle18[[#This Row],[binding_level_company]]&gt;=1,1,0)</f>
        <v>0</v>
      </c>
      <c r="D457" s="4">
        <f>_xlfn.MAXIFS(Tabelle5[[#This Row],[binding_level]], Tabelle5[[#This Row],[company_id]],Tabelle18[[#This Row],[company_id]], Tabelle5[[#This Row],[value_id]], Tabelle18[[#This Row],[value_id]], Tabelle5[[#This Row],[value_present]],"1")</f>
        <v>0</v>
      </c>
      <c r="E457" s="4">
        <f>_xlfn.MAXIFS(Tabelle5[[#This Row],[value_points]], Tabelle5[[#This Row],[company_id]],Tabelle18[[#This Row],[company_id]], Tabelle5[[#This Row],[value_id]], Tabelle18[[#This Row],[value_id]], Tabelle5[[#This Row],[value_present]],"1")</f>
        <v>0</v>
      </c>
    </row>
    <row r="458" spans="1:5" x14ac:dyDescent="0.25">
      <c r="A458">
        <v>26</v>
      </c>
      <c r="B458" t="s">
        <v>98</v>
      </c>
      <c r="C458" s="4">
        <f>IF(Tabelle18[[#This Row],[binding_level_company]]&gt;=1,1,0)</f>
        <v>0</v>
      </c>
      <c r="D458" s="4">
        <f>_xlfn.MAXIFS(Tabelle5[[#This Row],[binding_level]], Tabelle5[[#This Row],[company_id]],Tabelle18[[#This Row],[company_id]], Tabelle5[[#This Row],[value_id]], Tabelle18[[#This Row],[value_id]], Tabelle5[[#This Row],[value_present]],"1")</f>
        <v>0</v>
      </c>
      <c r="E458" s="4">
        <f>_xlfn.MAXIFS(Tabelle5[[#This Row],[value_points]], Tabelle5[[#This Row],[company_id]],Tabelle18[[#This Row],[company_id]], Tabelle5[[#This Row],[value_id]], Tabelle18[[#This Row],[value_id]], Tabelle5[[#This Row],[value_present]],"1")</f>
        <v>0</v>
      </c>
    </row>
    <row r="459" spans="1:5" x14ac:dyDescent="0.25">
      <c r="A459">
        <v>26</v>
      </c>
      <c r="B459" t="s">
        <v>106</v>
      </c>
      <c r="C459" s="4">
        <f>IF(Tabelle18[[#This Row],[binding_level_company]]&gt;=1,1,0)</f>
        <v>0</v>
      </c>
      <c r="D459" s="4">
        <f>_xlfn.MAXIFS(Tabelle5[[#This Row],[binding_level]], Tabelle5[[#This Row],[company_id]],Tabelle18[[#This Row],[company_id]], Tabelle5[[#This Row],[value_id]], Tabelle18[[#This Row],[value_id]], Tabelle5[[#This Row],[value_present]],"1")</f>
        <v>0</v>
      </c>
      <c r="E459" s="4">
        <f>_xlfn.MAXIFS(Tabelle5[[#This Row],[value_points]], Tabelle5[[#This Row],[company_id]],Tabelle18[[#This Row],[company_id]], Tabelle5[[#This Row],[value_id]], Tabelle18[[#This Row],[value_id]], Tabelle5[[#This Row],[value_present]],"1")</f>
        <v>0</v>
      </c>
    </row>
    <row r="460" spans="1:5" x14ac:dyDescent="0.25">
      <c r="A460">
        <v>26</v>
      </c>
      <c r="B460" t="s">
        <v>112</v>
      </c>
      <c r="C460" s="4">
        <f>IF(Tabelle18[[#This Row],[binding_level_company]]&gt;=1,1,0)</f>
        <v>0</v>
      </c>
      <c r="D460" s="4">
        <f>_xlfn.MAXIFS(Tabelle5[[#This Row],[binding_level]], Tabelle5[[#This Row],[company_id]],Tabelle18[[#This Row],[company_id]], Tabelle5[[#This Row],[value_id]], Tabelle18[[#This Row],[value_id]], Tabelle5[[#This Row],[value_present]],"1")</f>
        <v>0</v>
      </c>
      <c r="E460" s="4">
        <f>_xlfn.MAXIFS(Tabelle5[[#This Row],[value_points]], Tabelle5[[#This Row],[company_id]],Tabelle18[[#This Row],[company_id]], Tabelle5[[#This Row],[value_id]], Tabelle18[[#This Row],[value_id]], Tabelle5[[#This Row],[value_present]],"1")</f>
        <v>0</v>
      </c>
    </row>
    <row r="461" spans="1:5" x14ac:dyDescent="0.25">
      <c r="A461">
        <v>26</v>
      </c>
      <c r="B461" t="s">
        <v>118</v>
      </c>
      <c r="C461" s="4">
        <f>IF(Tabelle18[[#This Row],[binding_level_company]]&gt;=1,1,0)</f>
        <v>0</v>
      </c>
      <c r="D461" s="4">
        <f>_xlfn.MAXIFS(Tabelle5[[#This Row],[binding_level]], Tabelle5[[#This Row],[company_id]],Tabelle18[[#This Row],[company_id]], Tabelle5[[#This Row],[value_id]], Tabelle18[[#This Row],[value_id]], Tabelle5[[#This Row],[value_present]],"1")</f>
        <v>0</v>
      </c>
      <c r="E461" s="4">
        <f>_xlfn.MAXIFS(Tabelle5[[#This Row],[value_points]], Tabelle5[[#This Row],[company_id]],Tabelle18[[#This Row],[company_id]], Tabelle5[[#This Row],[value_id]], Tabelle18[[#This Row],[value_id]], Tabelle5[[#This Row],[value_present]],"1")</f>
        <v>0</v>
      </c>
    </row>
    <row r="462" spans="1:5" x14ac:dyDescent="0.25">
      <c r="A462">
        <v>26</v>
      </c>
      <c r="B462" t="s">
        <v>125</v>
      </c>
      <c r="C462" s="4">
        <f>IF(Tabelle18[[#This Row],[binding_level_company]]&gt;=1,1,0)</f>
        <v>0</v>
      </c>
      <c r="D462" s="4">
        <f>_xlfn.MAXIFS(Tabelle5[[#This Row],[binding_level]], Tabelle5[[#This Row],[company_id]],Tabelle18[[#This Row],[company_id]], Tabelle5[[#This Row],[value_id]], Tabelle18[[#This Row],[value_id]], Tabelle5[[#This Row],[value_present]],"1")</f>
        <v>0</v>
      </c>
      <c r="E462" s="4">
        <f>_xlfn.MAXIFS(Tabelle5[[#This Row],[value_points]], Tabelle5[[#This Row],[company_id]],Tabelle18[[#This Row],[company_id]], Tabelle5[[#This Row],[value_id]], Tabelle18[[#This Row],[value_id]], Tabelle5[[#This Row],[value_present]],"1")</f>
        <v>0</v>
      </c>
    </row>
    <row r="463" spans="1:5" x14ac:dyDescent="0.25">
      <c r="A463">
        <v>26</v>
      </c>
      <c r="B463" t="s">
        <v>132</v>
      </c>
      <c r="C463" s="4">
        <f>IF(Tabelle18[[#This Row],[binding_level_company]]&gt;=1,1,0)</f>
        <v>0</v>
      </c>
      <c r="D463" s="4">
        <f>_xlfn.MAXIFS(Tabelle5[[#This Row],[binding_level]], Tabelle5[[#This Row],[company_id]],Tabelle18[[#This Row],[company_id]], Tabelle5[[#This Row],[value_id]], Tabelle18[[#This Row],[value_id]], Tabelle5[[#This Row],[value_present]],"1")</f>
        <v>0</v>
      </c>
      <c r="E463" s="4">
        <f>_xlfn.MAXIFS(Tabelle5[[#This Row],[value_points]], Tabelle5[[#This Row],[company_id]],Tabelle18[[#This Row],[company_id]], Tabelle5[[#This Row],[value_id]], Tabelle18[[#This Row],[value_id]], Tabelle5[[#This Row],[value_present]],"1")</f>
        <v>0</v>
      </c>
    </row>
    <row r="464" spans="1:5" x14ac:dyDescent="0.25">
      <c r="A464">
        <v>26</v>
      </c>
      <c r="B464" t="s">
        <v>140</v>
      </c>
      <c r="C464" s="4">
        <f>IF(Tabelle18[[#This Row],[binding_level_company]]&gt;=1,1,0)</f>
        <v>0</v>
      </c>
      <c r="D464" s="4">
        <f>_xlfn.MAXIFS(Tabelle5[[#This Row],[binding_level]], Tabelle5[[#This Row],[company_id]],Tabelle18[[#This Row],[company_id]], Tabelle5[[#This Row],[value_id]], Tabelle18[[#This Row],[value_id]], Tabelle5[[#This Row],[value_present]],"1")</f>
        <v>0</v>
      </c>
      <c r="E464" s="4">
        <f>_xlfn.MAXIFS(Tabelle5[[#This Row],[value_points]], Tabelle5[[#This Row],[company_id]],Tabelle18[[#This Row],[company_id]], Tabelle5[[#This Row],[value_id]], Tabelle18[[#This Row],[value_id]], Tabelle5[[#This Row],[value_present]],"1")</f>
        <v>0</v>
      </c>
    </row>
    <row r="465" spans="1:5" x14ac:dyDescent="0.25">
      <c r="A465">
        <v>26</v>
      </c>
      <c r="B465" t="s">
        <v>147</v>
      </c>
      <c r="C465" s="4">
        <f>IF(Tabelle18[[#This Row],[binding_level_company]]&gt;=1,1,0)</f>
        <v>0</v>
      </c>
      <c r="D465" s="4">
        <f>_xlfn.MAXIFS(Tabelle5[[#This Row],[binding_level]], Tabelle5[[#This Row],[company_id]],Tabelle18[[#This Row],[company_id]], Tabelle5[[#This Row],[value_id]], Tabelle18[[#This Row],[value_id]], Tabelle5[[#This Row],[value_present]],"1")</f>
        <v>0</v>
      </c>
      <c r="E465" s="4">
        <f>_xlfn.MAXIFS(Tabelle5[[#This Row],[value_points]], Tabelle5[[#This Row],[company_id]],Tabelle18[[#This Row],[company_id]], Tabelle5[[#This Row],[value_id]], Tabelle18[[#This Row],[value_id]], Tabelle5[[#This Row],[value_present]],"1")</f>
        <v>0</v>
      </c>
    </row>
    <row r="466" spans="1:5" x14ac:dyDescent="0.25">
      <c r="A466">
        <v>26</v>
      </c>
      <c r="B466" t="s">
        <v>154</v>
      </c>
      <c r="C466" s="4">
        <f>IF(Tabelle18[[#This Row],[binding_level_company]]&gt;=1,1,0)</f>
        <v>0</v>
      </c>
      <c r="D466" s="4">
        <f>_xlfn.MAXIFS(Tabelle5[[#This Row],[binding_level]], Tabelle5[[#This Row],[company_id]],Tabelle18[[#This Row],[company_id]], Tabelle5[[#This Row],[value_id]], Tabelle18[[#This Row],[value_id]], Tabelle5[[#This Row],[value_present]],"1")</f>
        <v>0</v>
      </c>
      <c r="E466" s="4">
        <f>_xlfn.MAXIFS(Tabelle5[[#This Row],[value_points]], Tabelle5[[#This Row],[company_id]],Tabelle18[[#This Row],[company_id]], Tabelle5[[#This Row],[value_id]], Tabelle18[[#This Row],[value_id]], Tabelle5[[#This Row],[value_present]],"1")</f>
        <v>0</v>
      </c>
    </row>
    <row r="467" spans="1:5" x14ac:dyDescent="0.25">
      <c r="A467">
        <v>26</v>
      </c>
      <c r="B467" t="s">
        <v>161</v>
      </c>
      <c r="C467" s="4">
        <f>IF(Tabelle18[[#This Row],[binding_level_company]]&gt;=1,1,0)</f>
        <v>0</v>
      </c>
      <c r="D467" s="4">
        <f>_xlfn.MAXIFS(Tabelle5[[#This Row],[binding_level]], Tabelle5[[#This Row],[company_id]],Tabelle18[[#This Row],[company_id]], Tabelle5[[#This Row],[value_id]], Tabelle18[[#This Row],[value_id]], Tabelle5[[#This Row],[value_present]],"1")</f>
        <v>0</v>
      </c>
      <c r="E467" s="4">
        <f>_xlfn.MAXIFS(Tabelle5[[#This Row],[value_points]], Tabelle5[[#This Row],[company_id]],Tabelle18[[#This Row],[company_id]], Tabelle5[[#This Row],[value_id]], Tabelle18[[#This Row],[value_id]], Tabelle5[[#This Row],[value_present]],"1")</f>
        <v>0</v>
      </c>
    </row>
    <row r="468" spans="1:5" x14ac:dyDescent="0.25">
      <c r="A468">
        <v>26</v>
      </c>
      <c r="B468" t="s">
        <v>166</v>
      </c>
      <c r="C468" s="4">
        <f>IF(Tabelle18[[#This Row],[binding_level_company]]&gt;=1,1,0)</f>
        <v>0</v>
      </c>
      <c r="D468" s="4">
        <f>_xlfn.MAXIFS(Tabelle5[[#This Row],[binding_level]], Tabelle5[[#This Row],[company_id]],Tabelle18[[#This Row],[company_id]], Tabelle5[[#This Row],[value_id]], Tabelle18[[#This Row],[value_id]], Tabelle5[[#This Row],[value_present]],"1")</f>
        <v>0</v>
      </c>
      <c r="E468" s="4">
        <f>_xlfn.MAXIFS(Tabelle5[[#This Row],[value_points]], Tabelle5[[#This Row],[company_id]],Tabelle18[[#This Row],[company_id]], Tabelle5[[#This Row],[value_id]], Tabelle18[[#This Row],[value_id]], Tabelle5[[#This Row],[value_present]],"1")</f>
        <v>0</v>
      </c>
    </row>
    <row r="469" spans="1:5" ht="15.75" thickBot="1" x14ac:dyDescent="0.3">
      <c r="A469">
        <v>26</v>
      </c>
      <c r="B469" s="30" t="s">
        <v>174</v>
      </c>
      <c r="C469" s="4">
        <f>IF(Tabelle18[[#This Row],[binding_level_company]]&gt;=1,1,0)</f>
        <v>0</v>
      </c>
      <c r="D469" s="4">
        <f>_xlfn.MAXIFS(Tabelle5[[#This Row],[binding_level]], Tabelle5[[#This Row],[company_id]],Tabelle18[[#This Row],[company_id]], Tabelle5[[#This Row],[value_id]], Tabelle18[[#This Row],[value_id]], Tabelle5[[#This Row],[value_present]],"1")</f>
        <v>0</v>
      </c>
      <c r="E469" s="4">
        <f>_xlfn.MAXIFS(Tabelle5[[#This Row],[value_points]], Tabelle5[[#This Row],[company_id]],Tabelle18[[#This Row],[company_id]], Tabelle5[[#This Row],[value_id]], Tabelle18[[#This Row],[value_id]], Tabelle5[[#This Row],[value_present]],"1")</f>
        <v>0</v>
      </c>
    </row>
    <row r="470" spans="1:5" x14ac:dyDescent="0.25">
      <c r="A470">
        <v>27</v>
      </c>
      <c r="B470" s="22" t="s">
        <v>53</v>
      </c>
      <c r="C470" s="4">
        <f>IF(Tabelle18[[#This Row],[binding_level_company]]&gt;=1,1,0)</f>
        <v>0</v>
      </c>
      <c r="D470" s="4">
        <f>_xlfn.MAXIFS(Tabelle5[[#This Row],[binding_level]], Tabelle5[[#This Row],[company_id]],Tabelle18[[#This Row],[company_id]], Tabelle5[[#This Row],[value_id]], Tabelle18[[#This Row],[value_id]], Tabelle5[[#This Row],[value_present]],"1")</f>
        <v>0</v>
      </c>
      <c r="E470" s="4">
        <f>_xlfn.MAXIFS(Tabelle5[[#This Row],[value_points]], Tabelle5[[#This Row],[company_id]],Tabelle18[[#This Row],[company_id]], Tabelle5[[#This Row],[value_id]], Tabelle18[[#This Row],[value_id]], Tabelle5[[#This Row],[value_present]],"1")</f>
        <v>0</v>
      </c>
    </row>
    <row r="471" spans="1:5" x14ac:dyDescent="0.25">
      <c r="A471">
        <v>27</v>
      </c>
      <c r="B471" t="s">
        <v>61</v>
      </c>
      <c r="C471" s="4">
        <f>IF(Tabelle18[[#This Row],[binding_level_company]]&gt;=1,1,0)</f>
        <v>0</v>
      </c>
      <c r="D471" s="4">
        <f>_xlfn.MAXIFS(Tabelle5[[#This Row],[binding_level]], Tabelle5[[#This Row],[company_id]],Tabelle18[[#This Row],[company_id]], Tabelle5[[#This Row],[value_id]], Tabelle18[[#This Row],[value_id]], Tabelle5[[#This Row],[value_present]],"1")</f>
        <v>0</v>
      </c>
      <c r="E471" s="4">
        <f>_xlfn.MAXIFS(Tabelle5[[#This Row],[value_points]], Tabelle5[[#This Row],[company_id]],Tabelle18[[#This Row],[company_id]], Tabelle5[[#This Row],[value_id]], Tabelle18[[#This Row],[value_id]], Tabelle5[[#This Row],[value_present]],"1")</f>
        <v>0</v>
      </c>
    </row>
    <row r="472" spans="1:5" x14ac:dyDescent="0.25">
      <c r="A472">
        <v>27</v>
      </c>
      <c r="B472" t="s">
        <v>69</v>
      </c>
      <c r="C472" s="4">
        <f>IF(Tabelle18[[#This Row],[binding_level_company]]&gt;=1,1,0)</f>
        <v>0</v>
      </c>
      <c r="D472" s="4">
        <f>_xlfn.MAXIFS(Tabelle5[[#This Row],[binding_level]], Tabelle5[[#This Row],[company_id]],Tabelle18[[#This Row],[company_id]], Tabelle5[[#This Row],[value_id]], Tabelle18[[#This Row],[value_id]], Tabelle5[[#This Row],[value_present]],"1")</f>
        <v>0</v>
      </c>
      <c r="E472" s="4">
        <f>_xlfn.MAXIFS(Tabelle5[[#This Row],[value_points]], Tabelle5[[#This Row],[company_id]],Tabelle18[[#This Row],[company_id]], Tabelle5[[#This Row],[value_id]], Tabelle18[[#This Row],[value_id]], Tabelle5[[#This Row],[value_present]],"1")</f>
        <v>0</v>
      </c>
    </row>
    <row r="473" spans="1:5" x14ac:dyDescent="0.25">
      <c r="A473">
        <v>27</v>
      </c>
      <c r="B473" t="s">
        <v>76</v>
      </c>
      <c r="C473" s="4">
        <f>IF(Tabelle18[[#This Row],[binding_level_company]]&gt;=1,1,0)</f>
        <v>0</v>
      </c>
      <c r="D473" s="4">
        <f>_xlfn.MAXIFS(Tabelle5[[#This Row],[binding_level]], Tabelle5[[#This Row],[company_id]],Tabelle18[[#This Row],[company_id]], Tabelle5[[#This Row],[value_id]], Tabelle18[[#This Row],[value_id]], Tabelle5[[#This Row],[value_present]],"1")</f>
        <v>0</v>
      </c>
      <c r="E473" s="4">
        <f>_xlfn.MAXIFS(Tabelle5[[#This Row],[value_points]], Tabelle5[[#This Row],[company_id]],Tabelle18[[#This Row],[company_id]], Tabelle5[[#This Row],[value_id]], Tabelle18[[#This Row],[value_id]], Tabelle5[[#This Row],[value_present]],"1")</f>
        <v>0</v>
      </c>
    </row>
    <row r="474" spans="1:5" x14ac:dyDescent="0.25">
      <c r="A474">
        <v>27</v>
      </c>
      <c r="B474" t="s">
        <v>83</v>
      </c>
      <c r="C474" s="4">
        <f>IF(Tabelle18[[#This Row],[binding_level_company]]&gt;=1,1,0)</f>
        <v>0</v>
      </c>
      <c r="D474" s="4">
        <f>_xlfn.MAXIFS(Tabelle5[[#This Row],[binding_level]], Tabelle5[[#This Row],[company_id]],Tabelle18[[#This Row],[company_id]], Tabelle5[[#This Row],[value_id]], Tabelle18[[#This Row],[value_id]], Tabelle5[[#This Row],[value_present]],"1")</f>
        <v>0</v>
      </c>
      <c r="E474" s="4">
        <f>_xlfn.MAXIFS(Tabelle5[[#This Row],[value_points]], Tabelle5[[#This Row],[company_id]],Tabelle18[[#This Row],[company_id]], Tabelle5[[#This Row],[value_id]], Tabelle18[[#This Row],[value_id]], Tabelle5[[#This Row],[value_present]],"1")</f>
        <v>0</v>
      </c>
    </row>
    <row r="475" spans="1:5" x14ac:dyDescent="0.25">
      <c r="A475">
        <v>27</v>
      </c>
      <c r="B475" t="s">
        <v>90</v>
      </c>
      <c r="C475" s="4">
        <f>IF(Tabelle18[[#This Row],[binding_level_company]]&gt;=1,1,0)</f>
        <v>0</v>
      </c>
      <c r="D475" s="4">
        <f>_xlfn.MAXIFS(Tabelle5[[#This Row],[binding_level]], Tabelle5[[#This Row],[company_id]],Tabelle18[[#This Row],[company_id]], Tabelle5[[#This Row],[value_id]], Tabelle18[[#This Row],[value_id]], Tabelle5[[#This Row],[value_present]],"1")</f>
        <v>0</v>
      </c>
      <c r="E475" s="4">
        <f>_xlfn.MAXIFS(Tabelle5[[#This Row],[value_points]], Tabelle5[[#This Row],[company_id]],Tabelle18[[#This Row],[company_id]], Tabelle5[[#This Row],[value_id]], Tabelle18[[#This Row],[value_id]], Tabelle5[[#This Row],[value_present]],"1")</f>
        <v>0</v>
      </c>
    </row>
    <row r="476" spans="1:5" x14ac:dyDescent="0.25">
      <c r="A476">
        <v>27</v>
      </c>
      <c r="B476" t="s">
        <v>98</v>
      </c>
      <c r="C476" s="4">
        <f>IF(Tabelle18[[#This Row],[binding_level_company]]&gt;=1,1,0)</f>
        <v>0</v>
      </c>
      <c r="D476" s="4">
        <f>_xlfn.MAXIFS(Tabelle5[[#This Row],[binding_level]], Tabelle5[[#This Row],[company_id]],Tabelle18[[#This Row],[company_id]], Tabelle5[[#This Row],[value_id]], Tabelle18[[#This Row],[value_id]], Tabelle5[[#This Row],[value_present]],"1")</f>
        <v>0</v>
      </c>
      <c r="E476" s="4">
        <f>_xlfn.MAXIFS(Tabelle5[[#This Row],[value_points]], Tabelle5[[#This Row],[company_id]],Tabelle18[[#This Row],[company_id]], Tabelle5[[#This Row],[value_id]], Tabelle18[[#This Row],[value_id]], Tabelle5[[#This Row],[value_present]],"1")</f>
        <v>0</v>
      </c>
    </row>
    <row r="477" spans="1:5" x14ac:dyDescent="0.25">
      <c r="A477">
        <v>27</v>
      </c>
      <c r="B477" t="s">
        <v>106</v>
      </c>
      <c r="C477" s="4">
        <f>IF(Tabelle18[[#This Row],[binding_level_company]]&gt;=1,1,0)</f>
        <v>0</v>
      </c>
      <c r="D477" s="4">
        <f>_xlfn.MAXIFS(Tabelle5[[#This Row],[binding_level]], Tabelle5[[#This Row],[company_id]],Tabelle18[[#This Row],[company_id]], Tabelle5[[#This Row],[value_id]], Tabelle18[[#This Row],[value_id]], Tabelle5[[#This Row],[value_present]],"1")</f>
        <v>0</v>
      </c>
      <c r="E477" s="4">
        <f>_xlfn.MAXIFS(Tabelle5[[#This Row],[value_points]], Tabelle5[[#This Row],[company_id]],Tabelle18[[#This Row],[company_id]], Tabelle5[[#This Row],[value_id]], Tabelle18[[#This Row],[value_id]], Tabelle5[[#This Row],[value_present]],"1")</f>
        <v>0</v>
      </c>
    </row>
    <row r="478" spans="1:5" x14ac:dyDescent="0.25">
      <c r="A478">
        <v>27</v>
      </c>
      <c r="B478" t="s">
        <v>112</v>
      </c>
      <c r="C478" s="4">
        <f>IF(Tabelle18[[#This Row],[binding_level_company]]&gt;=1,1,0)</f>
        <v>0</v>
      </c>
      <c r="D478" s="4">
        <f>_xlfn.MAXIFS(Tabelle5[[#This Row],[binding_level]], Tabelle5[[#This Row],[company_id]],Tabelle18[[#This Row],[company_id]], Tabelle5[[#This Row],[value_id]], Tabelle18[[#This Row],[value_id]], Tabelle5[[#This Row],[value_present]],"1")</f>
        <v>0</v>
      </c>
      <c r="E478" s="4">
        <f>_xlfn.MAXIFS(Tabelle5[[#This Row],[value_points]], Tabelle5[[#This Row],[company_id]],Tabelle18[[#This Row],[company_id]], Tabelle5[[#This Row],[value_id]], Tabelle18[[#This Row],[value_id]], Tabelle5[[#This Row],[value_present]],"1")</f>
        <v>0</v>
      </c>
    </row>
    <row r="479" spans="1:5" x14ac:dyDescent="0.25">
      <c r="A479">
        <v>27</v>
      </c>
      <c r="B479" t="s">
        <v>118</v>
      </c>
      <c r="C479" s="4">
        <f>IF(Tabelle18[[#This Row],[binding_level_company]]&gt;=1,1,0)</f>
        <v>0</v>
      </c>
      <c r="D479" s="4">
        <f>_xlfn.MAXIFS(Tabelle5[[#This Row],[binding_level]], Tabelle5[[#This Row],[company_id]],Tabelle18[[#This Row],[company_id]], Tabelle5[[#This Row],[value_id]], Tabelle18[[#This Row],[value_id]], Tabelle5[[#This Row],[value_present]],"1")</f>
        <v>0</v>
      </c>
      <c r="E479" s="4">
        <f>_xlfn.MAXIFS(Tabelle5[[#This Row],[value_points]], Tabelle5[[#This Row],[company_id]],Tabelle18[[#This Row],[company_id]], Tabelle5[[#This Row],[value_id]], Tabelle18[[#This Row],[value_id]], Tabelle5[[#This Row],[value_present]],"1")</f>
        <v>0</v>
      </c>
    </row>
    <row r="480" spans="1:5" x14ac:dyDescent="0.25">
      <c r="A480">
        <v>27</v>
      </c>
      <c r="B480" t="s">
        <v>125</v>
      </c>
      <c r="C480" s="4">
        <f>IF(Tabelle18[[#This Row],[binding_level_company]]&gt;=1,1,0)</f>
        <v>0</v>
      </c>
      <c r="D480" s="4">
        <f>_xlfn.MAXIFS(Tabelle5[[#This Row],[binding_level]], Tabelle5[[#This Row],[company_id]],Tabelle18[[#This Row],[company_id]], Tabelle5[[#This Row],[value_id]], Tabelle18[[#This Row],[value_id]], Tabelle5[[#This Row],[value_present]],"1")</f>
        <v>0</v>
      </c>
      <c r="E480" s="4">
        <f>_xlfn.MAXIFS(Tabelle5[[#This Row],[value_points]], Tabelle5[[#This Row],[company_id]],Tabelle18[[#This Row],[company_id]], Tabelle5[[#This Row],[value_id]], Tabelle18[[#This Row],[value_id]], Tabelle5[[#This Row],[value_present]],"1")</f>
        <v>0</v>
      </c>
    </row>
    <row r="481" spans="1:5" x14ac:dyDescent="0.25">
      <c r="A481">
        <v>27</v>
      </c>
      <c r="B481" t="s">
        <v>132</v>
      </c>
      <c r="C481" s="4">
        <f>IF(Tabelle18[[#This Row],[binding_level_company]]&gt;=1,1,0)</f>
        <v>0</v>
      </c>
      <c r="D481" s="4">
        <f>_xlfn.MAXIFS(Tabelle5[[#This Row],[binding_level]], Tabelle5[[#This Row],[company_id]],Tabelle18[[#This Row],[company_id]], Tabelle5[[#This Row],[value_id]], Tabelle18[[#This Row],[value_id]], Tabelle5[[#This Row],[value_present]],"1")</f>
        <v>0</v>
      </c>
      <c r="E481" s="4">
        <f>_xlfn.MAXIFS(Tabelle5[[#This Row],[value_points]], Tabelle5[[#This Row],[company_id]],Tabelle18[[#This Row],[company_id]], Tabelle5[[#This Row],[value_id]], Tabelle18[[#This Row],[value_id]], Tabelle5[[#This Row],[value_present]],"1")</f>
        <v>0</v>
      </c>
    </row>
    <row r="482" spans="1:5" x14ac:dyDescent="0.25">
      <c r="A482">
        <v>27</v>
      </c>
      <c r="B482" t="s">
        <v>140</v>
      </c>
      <c r="C482" s="4">
        <f>IF(Tabelle18[[#This Row],[binding_level_company]]&gt;=1,1,0)</f>
        <v>0</v>
      </c>
      <c r="D482" s="4">
        <f>_xlfn.MAXIFS(Tabelle5[[#This Row],[binding_level]], Tabelle5[[#This Row],[company_id]],Tabelle18[[#This Row],[company_id]], Tabelle5[[#This Row],[value_id]], Tabelle18[[#This Row],[value_id]], Tabelle5[[#This Row],[value_present]],"1")</f>
        <v>0</v>
      </c>
      <c r="E482" s="4">
        <f>_xlfn.MAXIFS(Tabelle5[[#This Row],[value_points]], Tabelle5[[#This Row],[company_id]],Tabelle18[[#This Row],[company_id]], Tabelle5[[#This Row],[value_id]], Tabelle18[[#This Row],[value_id]], Tabelle5[[#This Row],[value_present]],"1")</f>
        <v>0</v>
      </c>
    </row>
    <row r="483" spans="1:5" x14ac:dyDescent="0.25">
      <c r="A483">
        <v>27</v>
      </c>
      <c r="B483" t="s">
        <v>147</v>
      </c>
      <c r="C483" s="4">
        <f>IF(Tabelle18[[#This Row],[binding_level_company]]&gt;=1,1,0)</f>
        <v>0</v>
      </c>
      <c r="D483" s="4">
        <f>_xlfn.MAXIFS(Tabelle5[[#This Row],[binding_level]], Tabelle5[[#This Row],[company_id]],Tabelle18[[#This Row],[company_id]], Tabelle5[[#This Row],[value_id]], Tabelle18[[#This Row],[value_id]], Tabelle5[[#This Row],[value_present]],"1")</f>
        <v>0</v>
      </c>
      <c r="E483" s="4">
        <f>_xlfn.MAXIFS(Tabelle5[[#This Row],[value_points]], Tabelle5[[#This Row],[company_id]],Tabelle18[[#This Row],[company_id]], Tabelle5[[#This Row],[value_id]], Tabelle18[[#This Row],[value_id]], Tabelle5[[#This Row],[value_present]],"1")</f>
        <v>0</v>
      </c>
    </row>
    <row r="484" spans="1:5" x14ac:dyDescent="0.25">
      <c r="A484">
        <v>27</v>
      </c>
      <c r="B484" t="s">
        <v>154</v>
      </c>
      <c r="C484" s="4">
        <f>IF(Tabelle18[[#This Row],[binding_level_company]]&gt;=1,1,0)</f>
        <v>0</v>
      </c>
      <c r="D484" s="4">
        <f>_xlfn.MAXIFS(Tabelle5[[#This Row],[binding_level]], Tabelle5[[#This Row],[company_id]],Tabelle18[[#This Row],[company_id]], Tabelle5[[#This Row],[value_id]], Tabelle18[[#This Row],[value_id]], Tabelle5[[#This Row],[value_present]],"1")</f>
        <v>0</v>
      </c>
      <c r="E484" s="4">
        <f>_xlfn.MAXIFS(Tabelle5[[#This Row],[value_points]], Tabelle5[[#This Row],[company_id]],Tabelle18[[#This Row],[company_id]], Tabelle5[[#This Row],[value_id]], Tabelle18[[#This Row],[value_id]], Tabelle5[[#This Row],[value_present]],"1")</f>
        <v>0</v>
      </c>
    </row>
    <row r="485" spans="1:5" x14ac:dyDescent="0.25">
      <c r="A485">
        <v>27</v>
      </c>
      <c r="B485" t="s">
        <v>161</v>
      </c>
      <c r="C485" s="4">
        <f>IF(Tabelle18[[#This Row],[binding_level_company]]&gt;=1,1,0)</f>
        <v>0</v>
      </c>
      <c r="D485" s="4">
        <f>_xlfn.MAXIFS(Tabelle5[[#This Row],[binding_level]], Tabelle5[[#This Row],[company_id]],Tabelle18[[#This Row],[company_id]], Tabelle5[[#This Row],[value_id]], Tabelle18[[#This Row],[value_id]], Tabelle5[[#This Row],[value_present]],"1")</f>
        <v>0</v>
      </c>
      <c r="E485" s="4">
        <f>_xlfn.MAXIFS(Tabelle5[[#This Row],[value_points]], Tabelle5[[#This Row],[company_id]],Tabelle18[[#This Row],[company_id]], Tabelle5[[#This Row],[value_id]], Tabelle18[[#This Row],[value_id]], Tabelle5[[#This Row],[value_present]],"1")</f>
        <v>0</v>
      </c>
    </row>
    <row r="486" spans="1:5" x14ac:dyDescent="0.25">
      <c r="A486">
        <v>27</v>
      </c>
      <c r="B486" t="s">
        <v>166</v>
      </c>
      <c r="C486" s="4">
        <f>IF(Tabelle18[[#This Row],[binding_level_company]]&gt;=1,1,0)</f>
        <v>0</v>
      </c>
      <c r="D486" s="4">
        <f>_xlfn.MAXIFS(Tabelle5[[#This Row],[binding_level]], Tabelle5[[#This Row],[company_id]],Tabelle18[[#This Row],[company_id]], Tabelle5[[#This Row],[value_id]], Tabelle18[[#This Row],[value_id]], Tabelle5[[#This Row],[value_present]],"1")</f>
        <v>0</v>
      </c>
      <c r="E486" s="4">
        <f>_xlfn.MAXIFS(Tabelle5[[#This Row],[value_points]], Tabelle5[[#This Row],[company_id]],Tabelle18[[#This Row],[company_id]], Tabelle5[[#This Row],[value_id]], Tabelle18[[#This Row],[value_id]], Tabelle5[[#This Row],[value_present]],"1")</f>
        <v>0</v>
      </c>
    </row>
    <row r="487" spans="1:5" ht="15.75" thickBot="1" x14ac:dyDescent="0.3">
      <c r="A487">
        <v>27</v>
      </c>
      <c r="B487" s="30" t="s">
        <v>174</v>
      </c>
      <c r="C487" s="4">
        <f>IF(Tabelle18[[#This Row],[binding_level_company]]&gt;=1,1,0)</f>
        <v>0</v>
      </c>
      <c r="D487" s="4">
        <f>_xlfn.MAXIFS(Tabelle5[[#This Row],[binding_level]], Tabelle5[[#This Row],[company_id]],Tabelle18[[#This Row],[company_id]], Tabelle5[[#This Row],[value_id]], Tabelle18[[#This Row],[value_id]], Tabelle5[[#This Row],[value_present]],"1")</f>
        <v>0</v>
      </c>
      <c r="E487" s="4">
        <f>_xlfn.MAXIFS(Tabelle5[[#This Row],[value_points]], Tabelle5[[#This Row],[company_id]],Tabelle18[[#This Row],[company_id]], Tabelle5[[#This Row],[value_id]], Tabelle18[[#This Row],[value_id]], Tabelle5[[#This Row],[value_present]],"1")</f>
        <v>0</v>
      </c>
    </row>
    <row r="488" spans="1:5" x14ac:dyDescent="0.25">
      <c r="A488">
        <v>28</v>
      </c>
      <c r="B488" s="22" t="s">
        <v>53</v>
      </c>
      <c r="C488" s="4">
        <f>IF(Tabelle18[[#This Row],[binding_level_company]]&gt;=1,1,0)</f>
        <v>0</v>
      </c>
      <c r="D488" s="4">
        <f>_xlfn.MAXIFS(Tabelle5[[#This Row],[binding_level]], Tabelle5[[#This Row],[company_id]],Tabelle18[[#This Row],[company_id]], Tabelle5[[#This Row],[value_id]], Tabelle18[[#This Row],[value_id]], Tabelle5[[#This Row],[value_present]],"1")</f>
        <v>0</v>
      </c>
      <c r="E488" s="4">
        <f>_xlfn.MAXIFS(Tabelle5[[#This Row],[value_points]], Tabelle5[[#This Row],[company_id]],Tabelle18[[#This Row],[company_id]], Tabelle5[[#This Row],[value_id]], Tabelle18[[#This Row],[value_id]], Tabelle5[[#This Row],[value_present]],"1")</f>
        <v>0</v>
      </c>
    </row>
    <row r="489" spans="1:5" x14ac:dyDescent="0.25">
      <c r="A489">
        <v>28</v>
      </c>
      <c r="B489" t="s">
        <v>61</v>
      </c>
      <c r="C489" s="4">
        <f>IF(Tabelle18[[#This Row],[binding_level_company]]&gt;=1,1,0)</f>
        <v>0</v>
      </c>
      <c r="D489" s="4">
        <f>_xlfn.MAXIFS(Tabelle5[[#This Row],[binding_level]], Tabelle5[[#This Row],[company_id]],Tabelle18[[#This Row],[company_id]], Tabelle5[[#This Row],[value_id]], Tabelle18[[#This Row],[value_id]], Tabelle5[[#This Row],[value_present]],"1")</f>
        <v>0</v>
      </c>
      <c r="E489" s="4">
        <f>_xlfn.MAXIFS(Tabelle5[[#This Row],[value_points]], Tabelle5[[#This Row],[company_id]],Tabelle18[[#This Row],[company_id]], Tabelle5[[#This Row],[value_id]], Tabelle18[[#This Row],[value_id]], Tabelle5[[#This Row],[value_present]],"1")</f>
        <v>0</v>
      </c>
    </row>
    <row r="490" spans="1:5" x14ac:dyDescent="0.25">
      <c r="A490">
        <v>28</v>
      </c>
      <c r="B490" t="s">
        <v>69</v>
      </c>
      <c r="C490" s="4">
        <f>IF(Tabelle18[[#This Row],[binding_level_company]]&gt;=1,1,0)</f>
        <v>0</v>
      </c>
      <c r="D490" s="4">
        <f>_xlfn.MAXIFS(Tabelle5[[#This Row],[binding_level]], Tabelle5[[#This Row],[company_id]],Tabelle18[[#This Row],[company_id]], Tabelle5[[#This Row],[value_id]], Tabelle18[[#This Row],[value_id]], Tabelle5[[#This Row],[value_present]],"1")</f>
        <v>0</v>
      </c>
      <c r="E490" s="4">
        <f>_xlfn.MAXIFS(Tabelle5[[#This Row],[value_points]], Tabelle5[[#This Row],[company_id]],Tabelle18[[#This Row],[company_id]], Tabelle5[[#This Row],[value_id]], Tabelle18[[#This Row],[value_id]], Tabelle5[[#This Row],[value_present]],"1")</f>
        <v>0</v>
      </c>
    </row>
    <row r="491" spans="1:5" x14ac:dyDescent="0.25">
      <c r="A491">
        <v>28</v>
      </c>
      <c r="B491" t="s">
        <v>76</v>
      </c>
      <c r="C491" s="4">
        <f>IF(Tabelle18[[#This Row],[binding_level_company]]&gt;=1,1,0)</f>
        <v>0</v>
      </c>
      <c r="D491" s="4">
        <f>_xlfn.MAXIFS(Tabelle5[[#This Row],[binding_level]], Tabelle5[[#This Row],[company_id]],Tabelle18[[#This Row],[company_id]], Tabelle5[[#This Row],[value_id]], Tabelle18[[#This Row],[value_id]], Tabelle5[[#This Row],[value_present]],"1")</f>
        <v>0</v>
      </c>
      <c r="E491" s="4">
        <f>_xlfn.MAXIFS(Tabelle5[[#This Row],[value_points]], Tabelle5[[#This Row],[company_id]],Tabelle18[[#This Row],[company_id]], Tabelle5[[#This Row],[value_id]], Tabelle18[[#This Row],[value_id]], Tabelle5[[#This Row],[value_present]],"1")</f>
        <v>0</v>
      </c>
    </row>
    <row r="492" spans="1:5" x14ac:dyDescent="0.25">
      <c r="A492">
        <v>28</v>
      </c>
      <c r="B492" t="s">
        <v>83</v>
      </c>
      <c r="C492" s="4">
        <f>IF(Tabelle18[[#This Row],[binding_level_company]]&gt;=1,1,0)</f>
        <v>0</v>
      </c>
      <c r="D492" s="4">
        <f>_xlfn.MAXIFS(Tabelle5[[#This Row],[binding_level]], Tabelle5[[#This Row],[company_id]],Tabelle18[[#This Row],[company_id]], Tabelle5[[#This Row],[value_id]], Tabelle18[[#This Row],[value_id]], Tabelle5[[#This Row],[value_present]],"1")</f>
        <v>0</v>
      </c>
      <c r="E492" s="4">
        <f>_xlfn.MAXIFS(Tabelle5[[#This Row],[value_points]], Tabelle5[[#This Row],[company_id]],Tabelle18[[#This Row],[company_id]], Tabelle5[[#This Row],[value_id]], Tabelle18[[#This Row],[value_id]], Tabelle5[[#This Row],[value_present]],"1")</f>
        <v>0</v>
      </c>
    </row>
    <row r="493" spans="1:5" x14ac:dyDescent="0.25">
      <c r="A493">
        <v>28</v>
      </c>
      <c r="B493" t="s">
        <v>90</v>
      </c>
      <c r="C493" s="4">
        <f>IF(Tabelle18[[#This Row],[binding_level_company]]&gt;=1,1,0)</f>
        <v>0</v>
      </c>
      <c r="D493" s="4">
        <f>_xlfn.MAXIFS(Tabelle5[[#This Row],[binding_level]], Tabelle5[[#This Row],[company_id]],Tabelle18[[#This Row],[company_id]], Tabelle5[[#This Row],[value_id]], Tabelle18[[#This Row],[value_id]], Tabelle5[[#This Row],[value_present]],"1")</f>
        <v>0</v>
      </c>
      <c r="E493" s="4">
        <f>_xlfn.MAXIFS(Tabelle5[[#This Row],[value_points]], Tabelle5[[#This Row],[company_id]],Tabelle18[[#This Row],[company_id]], Tabelle5[[#This Row],[value_id]], Tabelle18[[#This Row],[value_id]], Tabelle5[[#This Row],[value_present]],"1")</f>
        <v>0</v>
      </c>
    </row>
    <row r="494" spans="1:5" x14ac:dyDescent="0.25">
      <c r="A494">
        <v>28</v>
      </c>
      <c r="B494" t="s">
        <v>98</v>
      </c>
      <c r="C494" s="4">
        <f>IF(Tabelle18[[#This Row],[binding_level_company]]&gt;=1,1,0)</f>
        <v>0</v>
      </c>
      <c r="D494" s="4">
        <f>_xlfn.MAXIFS(Tabelle5[[#This Row],[binding_level]], Tabelle5[[#This Row],[company_id]],Tabelle18[[#This Row],[company_id]], Tabelle5[[#This Row],[value_id]], Tabelle18[[#This Row],[value_id]], Tabelle5[[#This Row],[value_present]],"1")</f>
        <v>0</v>
      </c>
      <c r="E494" s="4">
        <f>_xlfn.MAXIFS(Tabelle5[[#This Row],[value_points]], Tabelle5[[#This Row],[company_id]],Tabelle18[[#This Row],[company_id]], Tabelle5[[#This Row],[value_id]], Tabelle18[[#This Row],[value_id]], Tabelle5[[#This Row],[value_present]],"1")</f>
        <v>0</v>
      </c>
    </row>
    <row r="495" spans="1:5" x14ac:dyDescent="0.25">
      <c r="A495">
        <v>28</v>
      </c>
      <c r="B495" t="s">
        <v>106</v>
      </c>
      <c r="C495" s="4">
        <f>IF(Tabelle18[[#This Row],[binding_level_company]]&gt;=1,1,0)</f>
        <v>0</v>
      </c>
      <c r="D495" s="4">
        <f>_xlfn.MAXIFS(Tabelle5[[#This Row],[binding_level]], Tabelle5[[#This Row],[company_id]],Tabelle18[[#This Row],[company_id]], Tabelle5[[#This Row],[value_id]], Tabelle18[[#This Row],[value_id]], Tabelle5[[#This Row],[value_present]],"1")</f>
        <v>0</v>
      </c>
      <c r="E495" s="4">
        <f>_xlfn.MAXIFS(Tabelle5[[#This Row],[value_points]], Tabelle5[[#This Row],[company_id]],Tabelle18[[#This Row],[company_id]], Tabelle5[[#This Row],[value_id]], Tabelle18[[#This Row],[value_id]], Tabelle5[[#This Row],[value_present]],"1")</f>
        <v>0</v>
      </c>
    </row>
    <row r="496" spans="1:5" x14ac:dyDescent="0.25">
      <c r="A496">
        <v>28</v>
      </c>
      <c r="B496" t="s">
        <v>112</v>
      </c>
      <c r="C496" s="4">
        <f>IF(Tabelle18[[#This Row],[binding_level_company]]&gt;=1,1,0)</f>
        <v>0</v>
      </c>
      <c r="D496" s="4">
        <f>_xlfn.MAXIFS(Tabelle5[[#This Row],[binding_level]], Tabelle5[[#This Row],[company_id]],Tabelle18[[#This Row],[company_id]], Tabelle5[[#This Row],[value_id]], Tabelle18[[#This Row],[value_id]], Tabelle5[[#This Row],[value_present]],"1")</f>
        <v>0</v>
      </c>
      <c r="E496" s="4">
        <f>_xlfn.MAXIFS(Tabelle5[[#This Row],[value_points]], Tabelle5[[#This Row],[company_id]],Tabelle18[[#This Row],[company_id]], Tabelle5[[#This Row],[value_id]], Tabelle18[[#This Row],[value_id]], Tabelle5[[#This Row],[value_present]],"1")</f>
        <v>0</v>
      </c>
    </row>
    <row r="497" spans="1:5" x14ac:dyDescent="0.25">
      <c r="A497">
        <v>28</v>
      </c>
      <c r="B497" t="s">
        <v>118</v>
      </c>
      <c r="C497" s="4">
        <f>IF(Tabelle18[[#This Row],[binding_level_company]]&gt;=1,1,0)</f>
        <v>0</v>
      </c>
      <c r="D497" s="4">
        <f>_xlfn.MAXIFS(Tabelle5[[#This Row],[binding_level]], Tabelle5[[#This Row],[company_id]],Tabelle18[[#This Row],[company_id]], Tabelle5[[#This Row],[value_id]], Tabelle18[[#This Row],[value_id]], Tabelle5[[#This Row],[value_present]],"1")</f>
        <v>0</v>
      </c>
      <c r="E497" s="4">
        <f>_xlfn.MAXIFS(Tabelle5[[#This Row],[value_points]], Tabelle5[[#This Row],[company_id]],Tabelle18[[#This Row],[company_id]], Tabelle5[[#This Row],[value_id]], Tabelle18[[#This Row],[value_id]], Tabelle5[[#This Row],[value_present]],"1")</f>
        <v>0</v>
      </c>
    </row>
    <row r="498" spans="1:5" x14ac:dyDescent="0.25">
      <c r="A498">
        <v>28</v>
      </c>
      <c r="B498" t="s">
        <v>125</v>
      </c>
      <c r="C498" s="4">
        <f>IF(Tabelle18[[#This Row],[binding_level_company]]&gt;=1,1,0)</f>
        <v>0</v>
      </c>
      <c r="D498" s="4">
        <f>_xlfn.MAXIFS(Tabelle5[[#This Row],[binding_level]], Tabelle5[[#This Row],[company_id]],Tabelle18[[#This Row],[company_id]], Tabelle5[[#This Row],[value_id]], Tabelle18[[#This Row],[value_id]], Tabelle5[[#This Row],[value_present]],"1")</f>
        <v>0</v>
      </c>
      <c r="E498" s="4">
        <f>_xlfn.MAXIFS(Tabelle5[[#This Row],[value_points]], Tabelle5[[#This Row],[company_id]],Tabelle18[[#This Row],[company_id]], Tabelle5[[#This Row],[value_id]], Tabelle18[[#This Row],[value_id]], Tabelle5[[#This Row],[value_present]],"1")</f>
        <v>0</v>
      </c>
    </row>
    <row r="499" spans="1:5" x14ac:dyDescent="0.25">
      <c r="A499">
        <v>28</v>
      </c>
      <c r="B499" t="s">
        <v>132</v>
      </c>
      <c r="C499" s="4">
        <f>IF(Tabelle18[[#This Row],[binding_level_company]]&gt;=1,1,0)</f>
        <v>0</v>
      </c>
      <c r="D499" s="4">
        <f>_xlfn.MAXIFS(Tabelle5[[#This Row],[binding_level]], Tabelle5[[#This Row],[company_id]],Tabelle18[[#This Row],[company_id]], Tabelle5[[#This Row],[value_id]], Tabelle18[[#This Row],[value_id]], Tabelle5[[#This Row],[value_present]],"1")</f>
        <v>0</v>
      </c>
      <c r="E499" s="4">
        <f>_xlfn.MAXIFS(Tabelle5[[#This Row],[value_points]], Tabelle5[[#This Row],[company_id]],Tabelle18[[#This Row],[company_id]], Tabelle5[[#This Row],[value_id]], Tabelle18[[#This Row],[value_id]], Tabelle5[[#This Row],[value_present]],"1")</f>
        <v>0</v>
      </c>
    </row>
    <row r="500" spans="1:5" x14ac:dyDescent="0.25">
      <c r="A500">
        <v>28</v>
      </c>
      <c r="B500" t="s">
        <v>140</v>
      </c>
      <c r="C500" s="4">
        <f>IF(Tabelle18[[#This Row],[binding_level_company]]&gt;=1,1,0)</f>
        <v>0</v>
      </c>
      <c r="D500" s="4">
        <f>_xlfn.MAXIFS(Tabelle5[[#This Row],[binding_level]], Tabelle5[[#This Row],[company_id]],Tabelle18[[#This Row],[company_id]], Tabelle5[[#This Row],[value_id]], Tabelle18[[#This Row],[value_id]], Tabelle5[[#This Row],[value_present]],"1")</f>
        <v>0</v>
      </c>
      <c r="E500" s="4">
        <f>_xlfn.MAXIFS(Tabelle5[[#This Row],[value_points]], Tabelle5[[#This Row],[company_id]],Tabelle18[[#This Row],[company_id]], Tabelle5[[#This Row],[value_id]], Tabelle18[[#This Row],[value_id]], Tabelle5[[#This Row],[value_present]],"1")</f>
        <v>0</v>
      </c>
    </row>
    <row r="501" spans="1:5" x14ac:dyDescent="0.25">
      <c r="A501">
        <v>28</v>
      </c>
      <c r="B501" t="s">
        <v>147</v>
      </c>
      <c r="C501" s="4">
        <f>IF(Tabelle18[[#This Row],[binding_level_company]]&gt;=1,1,0)</f>
        <v>0</v>
      </c>
      <c r="D501" s="4">
        <f>_xlfn.MAXIFS(Tabelle5[[#This Row],[binding_level]], Tabelle5[[#This Row],[company_id]],Tabelle18[[#This Row],[company_id]], Tabelle5[[#This Row],[value_id]], Tabelle18[[#This Row],[value_id]], Tabelle5[[#This Row],[value_present]],"1")</f>
        <v>0</v>
      </c>
      <c r="E501" s="4">
        <f>_xlfn.MAXIFS(Tabelle5[[#This Row],[value_points]], Tabelle5[[#This Row],[company_id]],Tabelle18[[#This Row],[company_id]], Tabelle5[[#This Row],[value_id]], Tabelle18[[#This Row],[value_id]], Tabelle5[[#This Row],[value_present]],"1")</f>
        <v>0</v>
      </c>
    </row>
    <row r="502" spans="1:5" x14ac:dyDescent="0.25">
      <c r="A502">
        <v>28</v>
      </c>
      <c r="B502" t="s">
        <v>154</v>
      </c>
      <c r="C502" s="4">
        <f>IF(Tabelle18[[#This Row],[binding_level_company]]&gt;=1,1,0)</f>
        <v>0</v>
      </c>
      <c r="D502" s="4">
        <f>_xlfn.MAXIFS(Tabelle5[[#This Row],[binding_level]], Tabelle5[[#This Row],[company_id]],Tabelle18[[#This Row],[company_id]], Tabelle5[[#This Row],[value_id]], Tabelle18[[#This Row],[value_id]], Tabelle5[[#This Row],[value_present]],"1")</f>
        <v>0</v>
      </c>
      <c r="E502" s="4">
        <f>_xlfn.MAXIFS(Tabelle5[[#This Row],[value_points]], Tabelle5[[#This Row],[company_id]],Tabelle18[[#This Row],[company_id]], Tabelle5[[#This Row],[value_id]], Tabelle18[[#This Row],[value_id]], Tabelle5[[#This Row],[value_present]],"1")</f>
        <v>0</v>
      </c>
    </row>
    <row r="503" spans="1:5" x14ac:dyDescent="0.25">
      <c r="A503">
        <v>28</v>
      </c>
      <c r="B503" t="s">
        <v>161</v>
      </c>
      <c r="C503" s="4">
        <f>IF(Tabelle18[[#This Row],[binding_level_company]]&gt;=1,1,0)</f>
        <v>0</v>
      </c>
      <c r="D503" s="4">
        <f>_xlfn.MAXIFS(Tabelle5[[#This Row],[binding_level]], Tabelle5[[#This Row],[company_id]],Tabelle18[[#This Row],[company_id]], Tabelle5[[#This Row],[value_id]], Tabelle18[[#This Row],[value_id]], Tabelle5[[#This Row],[value_present]],"1")</f>
        <v>0</v>
      </c>
      <c r="E503" s="4">
        <f>_xlfn.MAXIFS(Tabelle5[[#This Row],[value_points]], Tabelle5[[#This Row],[company_id]],Tabelle18[[#This Row],[company_id]], Tabelle5[[#This Row],[value_id]], Tabelle18[[#This Row],[value_id]], Tabelle5[[#This Row],[value_present]],"1")</f>
        <v>0</v>
      </c>
    </row>
    <row r="504" spans="1:5" x14ac:dyDescent="0.25">
      <c r="A504">
        <v>28</v>
      </c>
      <c r="B504" t="s">
        <v>166</v>
      </c>
      <c r="C504" s="4">
        <f>IF(Tabelle18[[#This Row],[binding_level_company]]&gt;=1,1,0)</f>
        <v>0</v>
      </c>
      <c r="D504" s="4">
        <f>_xlfn.MAXIFS(Tabelle5[[#This Row],[binding_level]], Tabelle5[[#This Row],[company_id]],Tabelle18[[#This Row],[company_id]], Tabelle5[[#This Row],[value_id]], Tabelle18[[#This Row],[value_id]], Tabelle5[[#This Row],[value_present]],"1")</f>
        <v>0</v>
      </c>
      <c r="E504" s="4">
        <f>_xlfn.MAXIFS(Tabelle5[[#This Row],[value_points]], Tabelle5[[#This Row],[company_id]],Tabelle18[[#This Row],[company_id]], Tabelle5[[#This Row],[value_id]], Tabelle18[[#This Row],[value_id]], Tabelle5[[#This Row],[value_present]],"1")</f>
        <v>0</v>
      </c>
    </row>
    <row r="505" spans="1:5" ht="15.75" thickBot="1" x14ac:dyDescent="0.3">
      <c r="A505">
        <v>28</v>
      </c>
      <c r="B505" s="30" t="s">
        <v>174</v>
      </c>
      <c r="C505" s="4">
        <f>IF(Tabelle18[[#This Row],[binding_level_company]]&gt;=1,1,0)</f>
        <v>0</v>
      </c>
      <c r="D505" s="4">
        <f>_xlfn.MAXIFS(Tabelle5[[#This Row],[binding_level]], Tabelle5[[#This Row],[company_id]],Tabelle18[[#This Row],[company_id]], Tabelle5[[#This Row],[value_id]], Tabelle18[[#This Row],[value_id]], Tabelle5[[#This Row],[value_present]],"1")</f>
        <v>0</v>
      </c>
      <c r="E505" s="4">
        <f>_xlfn.MAXIFS(Tabelle5[[#This Row],[value_points]], Tabelle5[[#This Row],[company_id]],Tabelle18[[#This Row],[company_id]], Tabelle5[[#This Row],[value_id]], Tabelle18[[#This Row],[value_id]], Tabelle5[[#This Row],[value_present]],"1")</f>
        <v>0</v>
      </c>
    </row>
    <row r="506" spans="1:5" x14ac:dyDescent="0.25">
      <c r="A506">
        <v>29</v>
      </c>
      <c r="B506" s="22" t="s">
        <v>53</v>
      </c>
      <c r="C506" s="4">
        <f>IF(Tabelle18[[#This Row],[binding_level_company]]&gt;=1,1,0)</f>
        <v>0</v>
      </c>
      <c r="D506" s="4">
        <f>_xlfn.MAXIFS(Tabelle5[[#This Row],[binding_level]], Tabelle5[[#This Row],[company_id]],Tabelle18[[#This Row],[company_id]], Tabelle5[[#This Row],[value_id]], Tabelle18[[#This Row],[value_id]], Tabelle5[[#This Row],[value_present]],"1")</f>
        <v>0</v>
      </c>
      <c r="E506" s="4">
        <f>_xlfn.MAXIFS(Tabelle5[[#This Row],[value_points]], Tabelle5[[#This Row],[company_id]],Tabelle18[[#This Row],[company_id]], Tabelle5[[#This Row],[value_id]], Tabelle18[[#This Row],[value_id]], Tabelle5[[#This Row],[value_present]],"1")</f>
        <v>0</v>
      </c>
    </row>
    <row r="507" spans="1:5" x14ac:dyDescent="0.25">
      <c r="A507">
        <v>29</v>
      </c>
      <c r="B507" t="s">
        <v>61</v>
      </c>
      <c r="C507" s="4">
        <f>IF(Tabelle18[[#This Row],[binding_level_company]]&gt;=1,1,0)</f>
        <v>0</v>
      </c>
      <c r="D507" s="4">
        <f>_xlfn.MAXIFS(Tabelle5[[#This Row],[binding_level]], Tabelle5[[#This Row],[company_id]],Tabelle18[[#This Row],[company_id]], Tabelle5[[#This Row],[value_id]], Tabelle18[[#This Row],[value_id]], Tabelle5[[#This Row],[value_present]],"1")</f>
        <v>0</v>
      </c>
      <c r="E507" s="4">
        <f>_xlfn.MAXIFS(Tabelle5[[#This Row],[value_points]], Tabelle5[[#This Row],[company_id]],Tabelle18[[#This Row],[company_id]], Tabelle5[[#This Row],[value_id]], Tabelle18[[#This Row],[value_id]], Tabelle5[[#This Row],[value_present]],"1")</f>
        <v>0</v>
      </c>
    </row>
    <row r="508" spans="1:5" x14ac:dyDescent="0.25">
      <c r="A508">
        <v>29</v>
      </c>
      <c r="B508" t="s">
        <v>69</v>
      </c>
      <c r="C508" s="4">
        <f>IF(Tabelle18[[#This Row],[binding_level_company]]&gt;=1,1,0)</f>
        <v>0</v>
      </c>
      <c r="D508" s="4">
        <f>_xlfn.MAXIFS(Tabelle5[[#This Row],[binding_level]], Tabelle5[[#This Row],[company_id]],Tabelle18[[#This Row],[company_id]], Tabelle5[[#This Row],[value_id]], Tabelle18[[#This Row],[value_id]], Tabelle5[[#This Row],[value_present]],"1")</f>
        <v>0</v>
      </c>
      <c r="E508" s="4">
        <f>_xlfn.MAXIFS(Tabelle5[[#This Row],[value_points]], Tabelle5[[#This Row],[company_id]],Tabelle18[[#This Row],[company_id]], Tabelle5[[#This Row],[value_id]], Tabelle18[[#This Row],[value_id]], Tabelle5[[#This Row],[value_present]],"1")</f>
        <v>0</v>
      </c>
    </row>
    <row r="509" spans="1:5" x14ac:dyDescent="0.25">
      <c r="A509">
        <v>29</v>
      </c>
      <c r="B509" t="s">
        <v>76</v>
      </c>
      <c r="C509" s="4">
        <f>IF(Tabelle18[[#This Row],[binding_level_company]]&gt;=1,1,0)</f>
        <v>0</v>
      </c>
      <c r="D509" s="4">
        <f>_xlfn.MAXIFS(Tabelle5[[#This Row],[binding_level]], Tabelle5[[#This Row],[company_id]],Tabelle18[[#This Row],[company_id]], Tabelle5[[#This Row],[value_id]], Tabelle18[[#This Row],[value_id]], Tabelle5[[#This Row],[value_present]],"1")</f>
        <v>0</v>
      </c>
      <c r="E509" s="4">
        <f>_xlfn.MAXIFS(Tabelle5[[#This Row],[value_points]], Tabelle5[[#This Row],[company_id]],Tabelle18[[#This Row],[company_id]], Tabelle5[[#This Row],[value_id]], Tabelle18[[#This Row],[value_id]], Tabelle5[[#This Row],[value_present]],"1")</f>
        <v>0</v>
      </c>
    </row>
    <row r="510" spans="1:5" x14ac:dyDescent="0.25">
      <c r="A510">
        <v>29</v>
      </c>
      <c r="B510" t="s">
        <v>83</v>
      </c>
      <c r="C510" s="4">
        <f>IF(Tabelle18[[#This Row],[binding_level_company]]&gt;=1,1,0)</f>
        <v>0</v>
      </c>
      <c r="D510" s="4">
        <f>_xlfn.MAXIFS(Tabelle5[[#This Row],[binding_level]], Tabelle5[[#This Row],[company_id]],Tabelle18[[#This Row],[company_id]], Tabelle5[[#This Row],[value_id]], Tabelle18[[#This Row],[value_id]], Tabelle5[[#This Row],[value_present]],"1")</f>
        <v>0</v>
      </c>
      <c r="E510" s="4">
        <f>_xlfn.MAXIFS(Tabelle5[[#This Row],[value_points]], Tabelle5[[#This Row],[company_id]],Tabelle18[[#This Row],[company_id]], Tabelle5[[#This Row],[value_id]], Tabelle18[[#This Row],[value_id]], Tabelle5[[#This Row],[value_present]],"1")</f>
        <v>0</v>
      </c>
    </row>
    <row r="511" spans="1:5" x14ac:dyDescent="0.25">
      <c r="A511">
        <v>29</v>
      </c>
      <c r="B511" t="s">
        <v>90</v>
      </c>
      <c r="C511" s="4">
        <f>IF(Tabelle18[[#This Row],[binding_level_company]]&gt;=1,1,0)</f>
        <v>0</v>
      </c>
      <c r="D511" s="4">
        <f>_xlfn.MAXIFS(Tabelle5[[#This Row],[binding_level]], Tabelle5[[#This Row],[company_id]],Tabelle18[[#This Row],[company_id]], Tabelle5[[#This Row],[value_id]], Tabelle18[[#This Row],[value_id]], Tabelle5[[#This Row],[value_present]],"1")</f>
        <v>0</v>
      </c>
      <c r="E511" s="4">
        <f>_xlfn.MAXIFS(Tabelle5[[#This Row],[value_points]], Tabelle5[[#This Row],[company_id]],Tabelle18[[#This Row],[company_id]], Tabelle5[[#This Row],[value_id]], Tabelle18[[#This Row],[value_id]], Tabelle5[[#This Row],[value_present]],"1")</f>
        <v>0</v>
      </c>
    </row>
    <row r="512" spans="1:5" x14ac:dyDescent="0.25">
      <c r="A512">
        <v>29</v>
      </c>
      <c r="B512" t="s">
        <v>98</v>
      </c>
      <c r="C512" s="4">
        <f>IF(Tabelle18[[#This Row],[binding_level_company]]&gt;=1,1,0)</f>
        <v>0</v>
      </c>
      <c r="D512" s="4">
        <f>_xlfn.MAXIFS(Tabelle5[[#This Row],[binding_level]], Tabelle5[[#This Row],[company_id]],Tabelle18[[#This Row],[company_id]], Tabelle5[[#This Row],[value_id]], Tabelle18[[#This Row],[value_id]], Tabelle5[[#This Row],[value_present]],"1")</f>
        <v>0</v>
      </c>
      <c r="E512" s="4">
        <f>_xlfn.MAXIFS(Tabelle5[[#This Row],[value_points]], Tabelle5[[#This Row],[company_id]],Tabelle18[[#This Row],[company_id]], Tabelle5[[#This Row],[value_id]], Tabelle18[[#This Row],[value_id]], Tabelle5[[#This Row],[value_present]],"1")</f>
        <v>0</v>
      </c>
    </row>
    <row r="513" spans="1:5" x14ac:dyDescent="0.25">
      <c r="A513">
        <v>29</v>
      </c>
      <c r="B513" t="s">
        <v>106</v>
      </c>
      <c r="C513" s="4">
        <f>IF(Tabelle18[[#This Row],[binding_level_company]]&gt;=1,1,0)</f>
        <v>0</v>
      </c>
      <c r="D513" s="4">
        <f>_xlfn.MAXIFS(Tabelle5[[#This Row],[binding_level]], Tabelle5[[#This Row],[company_id]],Tabelle18[[#This Row],[company_id]], Tabelle5[[#This Row],[value_id]], Tabelle18[[#This Row],[value_id]], Tabelle5[[#This Row],[value_present]],"1")</f>
        <v>0</v>
      </c>
      <c r="E513" s="4">
        <f>_xlfn.MAXIFS(Tabelle5[[#This Row],[value_points]], Tabelle5[[#This Row],[company_id]],Tabelle18[[#This Row],[company_id]], Tabelle5[[#This Row],[value_id]], Tabelle18[[#This Row],[value_id]], Tabelle5[[#This Row],[value_present]],"1")</f>
        <v>0</v>
      </c>
    </row>
    <row r="514" spans="1:5" x14ac:dyDescent="0.25">
      <c r="A514">
        <v>29</v>
      </c>
      <c r="B514" t="s">
        <v>112</v>
      </c>
      <c r="C514" s="4">
        <f>IF(Tabelle18[[#This Row],[binding_level_company]]&gt;=1,1,0)</f>
        <v>0</v>
      </c>
      <c r="D514" s="4">
        <f>_xlfn.MAXIFS(Tabelle5[[#This Row],[binding_level]], Tabelle5[[#This Row],[company_id]],Tabelle18[[#This Row],[company_id]], Tabelle5[[#This Row],[value_id]], Tabelle18[[#This Row],[value_id]], Tabelle5[[#This Row],[value_present]],"1")</f>
        <v>0</v>
      </c>
      <c r="E514" s="4">
        <f>_xlfn.MAXIFS(Tabelle5[[#This Row],[value_points]], Tabelle5[[#This Row],[company_id]],Tabelle18[[#This Row],[company_id]], Tabelle5[[#This Row],[value_id]], Tabelle18[[#This Row],[value_id]], Tabelle5[[#This Row],[value_present]],"1")</f>
        <v>0</v>
      </c>
    </row>
    <row r="515" spans="1:5" x14ac:dyDescent="0.25">
      <c r="A515">
        <v>29</v>
      </c>
      <c r="B515" t="s">
        <v>118</v>
      </c>
      <c r="C515" s="4">
        <f>IF(Tabelle18[[#This Row],[binding_level_company]]&gt;=1,1,0)</f>
        <v>0</v>
      </c>
      <c r="D515" s="4">
        <f>_xlfn.MAXIFS(Tabelle5[[#This Row],[binding_level]], Tabelle5[[#This Row],[company_id]],Tabelle18[[#This Row],[company_id]], Tabelle5[[#This Row],[value_id]], Tabelle18[[#This Row],[value_id]], Tabelle5[[#This Row],[value_present]],"1")</f>
        <v>0</v>
      </c>
      <c r="E515" s="4">
        <f>_xlfn.MAXIFS(Tabelle5[[#This Row],[value_points]], Tabelle5[[#This Row],[company_id]],Tabelle18[[#This Row],[company_id]], Tabelle5[[#This Row],[value_id]], Tabelle18[[#This Row],[value_id]], Tabelle5[[#This Row],[value_present]],"1")</f>
        <v>0</v>
      </c>
    </row>
    <row r="516" spans="1:5" x14ac:dyDescent="0.25">
      <c r="A516">
        <v>29</v>
      </c>
      <c r="B516" t="s">
        <v>125</v>
      </c>
      <c r="C516" s="4">
        <f>IF(Tabelle18[[#This Row],[binding_level_company]]&gt;=1,1,0)</f>
        <v>0</v>
      </c>
      <c r="D516" s="4">
        <f>_xlfn.MAXIFS(Tabelle5[[#This Row],[binding_level]], Tabelle5[[#This Row],[company_id]],Tabelle18[[#This Row],[company_id]], Tabelle5[[#This Row],[value_id]], Tabelle18[[#This Row],[value_id]], Tabelle5[[#This Row],[value_present]],"1")</f>
        <v>0</v>
      </c>
      <c r="E516" s="4">
        <f>_xlfn.MAXIFS(Tabelle5[[#This Row],[value_points]], Tabelle5[[#This Row],[company_id]],Tabelle18[[#This Row],[company_id]], Tabelle5[[#This Row],[value_id]], Tabelle18[[#This Row],[value_id]], Tabelle5[[#This Row],[value_present]],"1")</f>
        <v>0</v>
      </c>
    </row>
    <row r="517" spans="1:5" x14ac:dyDescent="0.25">
      <c r="A517">
        <v>29</v>
      </c>
      <c r="B517" t="s">
        <v>132</v>
      </c>
      <c r="C517" s="4">
        <f>IF(Tabelle18[[#This Row],[binding_level_company]]&gt;=1,1,0)</f>
        <v>0</v>
      </c>
      <c r="D517" s="4">
        <f>_xlfn.MAXIFS(Tabelle5[[#This Row],[binding_level]], Tabelle5[[#This Row],[company_id]],Tabelle18[[#This Row],[company_id]], Tabelle5[[#This Row],[value_id]], Tabelle18[[#This Row],[value_id]], Tabelle5[[#This Row],[value_present]],"1")</f>
        <v>0</v>
      </c>
      <c r="E517" s="4">
        <f>_xlfn.MAXIFS(Tabelle5[[#This Row],[value_points]], Tabelle5[[#This Row],[company_id]],Tabelle18[[#This Row],[company_id]], Tabelle5[[#This Row],[value_id]], Tabelle18[[#This Row],[value_id]], Tabelle5[[#This Row],[value_present]],"1")</f>
        <v>0</v>
      </c>
    </row>
    <row r="518" spans="1:5" x14ac:dyDescent="0.25">
      <c r="A518">
        <v>29</v>
      </c>
      <c r="B518" t="s">
        <v>140</v>
      </c>
      <c r="C518" s="4">
        <f>IF(Tabelle18[[#This Row],[binding_level_company]]&gt;=1,1,0)</f>
        <v>0</v>
      </c>
      <c r="D518" s="4">
        <f>_xlfn.MAXIFS(Tabelle5[[#This Row],[binding_level]], Tabelle5[[#This Row],[company_id]],Tabelle18[[#This Row],[company_id]], Tabelle5[[#This Row],[value_id]], Tabelle18[[#This Row],[value_id]], Tabelle5[[#This Row],[value_present]],"1")</f>
        <v>0</v>
      </c>
      <c r="E518" s="4">
        <f>_xlfn.MAXIFS(Tabelle5[[#This Row],[value_points]], Tabelle5[[#This Row],[company_id]],Tabelle18[[#This Row],[company_id]], Tabelle5[[#This Row],[value_id]], Tabelle18[[#This Row],[value_id]], Tabelle5[[#This Row],[value_present]],"1")</f>
        <v>0</v>
      </c>
    </row>
    <row r="519" spans="1:5" x14ac:dyDescent="0.25">
      <c r="A519">
        <v>29</v>
      </c>
      <c r="B519" t="s">
        <v>147</v>
      </c>
      <c r="C519" s="4">
        <f>IF(Tabelle18[[#This Row],[binding_level_company]]&gt;=1,1,0)</f>
        <v>0</v>
      </c>
      <c r="D519" s="4">
        <f>_xlfn.MAXIFS(Tabelle5[[#This Row],[binding_level]], Tabelle5[[#This Row],[company_id]],Tabelle18[[#This Row],[company_id]], Tabelle5[[#This Row],[value_id]], Tabelle18[[#This Row],[value_id]], Tabelle5[[#This Row],[value_present]],"1")</f>
        <v>0</v>
      </c>
      <c r="E519" s="4">
        <f>_xlfn.MAXIFS(Tabelle5[[#This Row],[value_points]], Tabelle5[[#This Row],[company_id]],Tabelle18[[#This Row],[company_id]], Tabelle5[[#This Row],[value_id]], Tabelle18[[#This Row],[value_id]], Tabelle5[[#This Row],[value_present]],"1")</f>
        <v>0</v>
      </c>
    </row>
    <row r="520" spans="1:5" x14ac:dyDescent="0.25">
      <c r="A520">
        <v>29</v>
      </c>
      <c r="B520" t="s">
        <v>154</v>
      </c>
      <c r="C520" s="4">
        <f>IF(Tabelle18[[#This Row],[binding_level_company]]&gt;=1,1,0)</f>
        <v>0</v>
      </c>
      <c r="D520" s="4">
        <f>_xlfn.MAXIFS(Tabelle5[[#This Row],[binding_level]], Tabelle5[[#This Row],[company_id]],Tabelle18[[#This Row],[company_id]], Tabelle5[[#This Row],[value_id]], Tabelle18[[#This Row],[value_id]], Tabelle5[[#This Row],[value_present]],"1")</f>
        <v>0</v>
      </c>
      <c r="E520" s="4">
        <f>_xlfn.MAXIFS(Tabelle5[[#This Row],[value_points]], Tabelle5[[#This Row],[company_id]],Tabelle18[[#This Row],[company_id]], Tabelle5[[#This Row],[value_id]], Tabelle18[[#This Row],[value_id]], Tabelle5[[#This Row],[value_present]],"1")</f>
        <v>0</v>
      </c>
    </row>
    <row r="521" spans="1:5" x14ac:dyDescent="0.25">
      <c r="A521">
        <v>29</v>
      </c>
      <c r="B521" t="s">
        <v>161</v>
      </c>
      <c r="C521" s="4">
        <f>IF(Tabelle18[[#This Row],[binding_level_company]]&gt;=1,1,0)</f>
        <v>0</v>
      </c>
      <c r="D521" s="4">
        <f>_xlfn.MAXIFS(Tabelle5[[#This Row],[binding_level]], Tabelle5[[#This Row],[company_id]],Tabelle18[[#This Row],[company_id]], Tabelle5[[#This Row],[value_id]], Tabelle18[[#This Row],[value_id]], Tabelle5[[#This Row],[value_present]],"1")</f>
        <v>0</v>
      </c>
      <c r="E521" s="4">
        <f>_xlfn.MAXIFS(Tabelle5[[#This Row],[value_points]], Tabelle5[[#This Row],[company_id]],Tabelle18[[#This Row],[company_id]], Tabelle5[[#This Row],[value_id]], Tabelle18[[#This Row],[value_id]], Tabelle5[[#This Row],[value_present]],"1")</f>
        <v>0</v>
      </c>
    </row>
    <row r="522" spans="1:5" x14ac:dyDescent="0.25">
      <c r="A522">
        <v>29</v>
      </c>
      <c r="B522" t="s">
        <v>166</v>
      </c>
      <c r="C522" s="4">
        <f>IF(Tabelle18[[#This Row],[binding_level_company]]&gt;=1,1,0)</f>
        <v>0</v>
      </c>
      <c r="D522" s="4">
        <f>_xlfn.MAXIFS(Tabelle5[[#This Row],[binding_level]], Tabelle5[[#This Row],[company_id]],Tabelle18[[#This Row],[company_id]], Tabelle5[[#This Row],[value_id]], Tabelle18[[#This Row],[value_id]], Tabelle5[[#This Row],[value_present]],"1")</f>
        <v>0</v>
      </c>
      <c r="E522" s="4">
        <f>_xlfn.MAXIFS(Tabelle5[[#This Row],[value_points]], Tabelle5[[#This Row],[company_id]],Tabelle18[[#This Row],[company_id]], Tabelle5[[#This Row],[value_id]], Tabelle18[[#This Row],[value_id]], Tabelle5[[#This Row],[value_present]],"1")</f>
        <v>0</v>
      </c>
    </row>
    <row r="523" spans="1:5" ht="15.75" thickBot="1" x14ac:dyDescent="0.3">
      <c r="A523">
        <v>29</v>
      </c>
      <c r="B523" s="30" t="s">
        <v>174</v>
      </c>
      <c r="C523" s="4">
        <f>IF(Tabelle18[[#This Row],[binding_level_company]]&gt;=1,1,0)</f>
        <v>0</v>
      </c>
      <c r="D523" s="4">
        <f>_xlfn.MAXIFS(Tabelle5[[#This Row],[binding_level]], Tabelle5[[#This Row],[company_id]],Tabelle18[[#This Row],[company_id]], Tabelle5[[#This Row],[value_id]], Tabelle18[[#This Row],[value_id]], Tabelle5[[#This Row],[value_present]],"1")</f>
        <v>0</v>
      </c>
      <c r="E523" s="4">
        <f>_xlfn.MAXIFS(Tabelle5[[#This Row],[value_points]], Tabelle5[[#This Row],[company_id]],Tabelle18[[#This Row],[company_id]], Tabelle5[[#This Row],[value_id]], Tabelle18[[#This Row],[value_id]], Tabelle5[[#This Row],[value_present]],"1")</f>
        <v>0</v>
      </c>
    </row>
    <row r="524" spans="1:5" x14ac:dyDescent="0.25">
      <c r="A524">
        <v>30</v>
      </c>
      <c r="B524" s="22" t="s">
        <v>53</v>
      </c>
      <c r="C524" s="4">
        <f>IF(Tabelle18[[#This Row],[binding_level_company]]&gt;=1,1,0)</f>
        <v>0</v>
      </c>
      <c r="D524" s="4">
        <f>_xlfn.MAXIFS(Tabelle5[[#This Row],[binding_level]], Tabelle5[[#This Row],[company_id]],Tabelle18[[#This Row],[company_id]], Tabelle5[[#This Row],[value_id]], Tabelle18[[#This Row],[value_id]], Tabelle5[[#This Row],[value_present]],"1")</f>
        <v>0</v>
      </c>
      <c r="E524" s="4">
        <f>_xlfn.MAXIFS(Tabelle5[[#This Row],[value_points]], Tabelle5[[#This Row],[company_id]],Tabelle18[[#This Row],[company_id]], Tabelle5[[#This Row],[value_id]], Tabelle18[[#This Row],[value_id]], Tabelle5[[#This Row],[value_present]],"1")</f>
        <v>0</v>
      </c>
    </row>
    <row r="525" spans="1:5" x14ac:dyDescent="0.25">
      <c r="A525">
        <v>30</v>
      </c>
      <c r="B525" t="s">
        <v>61</v>
      </c>
      <c r="C525" s="4">
        <f>IF(Tabelle18[[#This Row],[binding_level_company]]&gt;=1,1,0)</f>
        <v>0</v>
      </c>
      <c r="D525" s="4">
        <f>_xlfn.MAXIFS(Tabelle5[[#This Row],[binding_level]], Tabelle5[[#This Row],[company_id]],Tabelle18[[#This Row],[company_id]], Tabelle5[[#This Row],[value_id]], Tabelle18[[#This Row],[value_id]], Tabelle5[[#This Row],[value_present]],"1")</f>
        <v>0</v>
      </c>
      <c r="E525" s="4">
        <f>_xlfn.MAXIFS(Tabelle5[[#This Row],[value_points]], Tabelle5[[#This Row],[company_id]],Tabelle18[[#This Row],[company_id]], Tabelle5[[#This Row],[value_id]], Tabelle18[[#This Row],[value_id]], Tabelle5[[#This Row],[value_present]],"1")</f>
        <v>0</v>
      </c>
    </row>
    <row r="526" spans="1:5" x14ac:dyDescent="0.25">
      <c r="A526">
        <v>30</v>
      </c>
      <c r="B526" t="s">
        <v>69</v>
      </c>
      <c r="C526" s="4">
        <f>IF(Tabelle18[[#This Row],[binding_level_company]]&gt;=1,1,0)</f>
        <v>0</v>
      </c>
      <c r="D526" s="4">
        <f>_xlfn.MAXIFS(Tabelle5[[#This Row],[binding_level]], Tabelle5[[#This Row],[company_id]],Tabelle18[[#This Row],[company_id]], Tabelle5[[#This Row],[value_id]], Tabelle18[[#This Row],[value_id]], Tabelle5[[#This Row],[value_present]],"1")</f>
        <v>0</v>
      </c>
      <c r="E526" s="4">
        <f>_xlfn.MAXIFS(Tabelle5[[#This Row],[value_points]], Tabelle5[[#This Row],[company_id]],Tabelle18[[#This Row],[company_id]], Tabelle5[[#This Row],[value_id]], Tabelle18[[#This Row],[value_id]], Tabelle5[[#This Row],[value_present]],"1")</f>
        <v>0</v>
      </c>
    </row>
    <row r="527" spans="1:5" x14ac:dyDescent="0.25">
      <c r="A527">
        <v>30</v>
      </c>
      <c r="B527" t="s">
        <v>76</v>
      </c>
      <c r="C527" s="4">
        <f>IF(Tabelle18[[#This Row],[binding_level_company]]&gt;=1,1,0)</f>
        <v>0</v>
      </c>
      <c r="D527" s="4">
        <f>_xlfn.MAXIFS(Tabelle5[[#This Row],[binding_level]], Tabelle5[[#This Row],[company_id]],Tabelle18[[#This Row],[company_id]], Tabelle5[[#This Row],[value_id]], Tabelle18[[#This Row],[value_id]], Tabelle5[[#This Row],[value_present]],"1")</f>
        <v>0</v>
      </c>
      <c r="E527" s="4">
        <f>_xlfn.MAXIFS(Tabelle5[[#This Row],[value_points]], Tabelle5[[#This Row],[company_id]],Tabelle18[[#This Row],[company_id]], Tabelle5[[#This Row],[value_id]], Tabelle18[[#This Row],[value_id]], Tabelle5[[#This Row],[value_present]],"1")</f>
        <v>0</v>
      </c>
    </row>
    <row r="528" spans="1:5" x14ac:dyDescent="0.25">
      <c r="A528">
        <v>30</v>
      </c>
      <c r="B528" t="s">
        <v>83</v>
      </c>
      <c r="C528" s="4">
        <f>IF(Tabelle18[[#This Row],[binding_level_company]]&gt;=1,1,0)</f>
        <v>0</v>
      </c>
      <c r="D528" s="4">
        <f>_xlfn.MAXIFS(Tabelle5[[#This Row],[binding_level]], Tabelle5[[#This Row],[company_id]],Tabelle18[[#This Row],[company_id]], Tabelle5[[#This Row],[value_id]], Tabelle18[[#This Row],[value_id]], Tabelle5[[#This Row],[value_present]],"1")</f>
        <v>0</v>
      </c>
      <c r="E528" s="4">
        <f>_xlfn.MAXIFS(Tabelle5[[#This Row],[value_points]], Tabelle5[[#This Row],[company_id]],Tabelle18[[#This Row],[company_id]], Tabelle5[[#This Row],[value_id]], Tabelle18[[#This Row],[value_id]], Tabelle5[[#This Row],[value_present]],"1")</f>
        <v>0</v>
      </c>
    </row>
    <row r="529" spans="1:5" x14ac:dyDescent="0.25">
      <c r="A529">
        <v>30</v>
      </c>
      <c r="B529" t="s">
        <v>90</v>
      </c>
      <c r="C529" s="4">
        <f>IF(Tabelle18[[#This Row],[binding_level_company]]&gt;=1,1,0)</f>
        <v>0</v>
      </c>
      <c r="D529" s="4">
        <f>_xlfn.MAXIFS(Tabelle5[[#This Row],[binding_level]], Tabelle5[[#This Row],[company_id]],Tabelle18[[#This Row],[company_id]], Tabelle5[[#This Row],[value_id]], Tabelle18[[#This Row],[value_id]], Tabelle5[[#This Row],[value_present]],"1")</f>
        <v>0</v>
      </c>
      <c r="E529" s="4">
        <f>_xlfn.MAXIFS(Tabelle5[[#This Row],[value_points]], Tabelle5[[#This Row],[company_id]],Tabelle18[[#This Row],[company_id]], Tabelle5[[#This Row],[value_id]], Tabelle18[[#This Row],[value_id]], Tabelle5[[#This Row],[value_present]],"1")</f>
        <v>0</v>
      </c>
    </row>
    <row r="530" spans="1:5" x14ac:dyDescent="0.25">
      <c r="A530">
        <v>30</v>
      </c>
      <c r="B530" t="s">
        <v>98</v>
      </c>
      <c r="C530" s="4">
        <f>IF(Tabelle18[[#This Row],[binding_level_company]]&gt;=1,1,0)</f>
        <v>0</v>
      </c>
      <c r="D530" s="4">
        <f>_xlfn.MAXIFS(Tabelle5[[#This Row],[binding_level]], Tabelle5[[#This Row],[company_id]],Tabelle18[[#This Row],[company_id]], Tabelle5[[#This Row],[value_id]], Tabelle18[[#This Row],[value_id]], Tabelle5[[#This Row],[value_present]],"1")</f>
        <v>0</v>
      </c>
      <c r="E530" s="4">
        <f>_xlfn.MAXIFS(Tabelle5[[#This Row],[value_points]], Tabelle5[[#This Row],[company_id]],Tabelle18[[#This Row],[company_id]], Tabelle5[[#This Row],[value_id]], Tabelle18[[#This Row],[value_id]], Tabelle5[[#This Row],[value_present]],"1")</f>
        <v>0</v>
      </c>
    </row>
    <row r="531" spans="1:5" x14ac:dyDescent="0.25">
      <c r="A531">
        <v>30</v>
      </c>
      <c r="B531" t="s">
        <v>106</v>
      </c>
      <c r="C531" s="4">
        <f>IF(Tabelle18[[#This Row],[binding_level_company]]&gt;=1,1,0)</f>
        <v>0</v>
      </c>
      <c r="D531" s="4">
        <f>_xlfn.MAXIFS(Tabelle5[[#This Row],[binding_level]], Tabelle5[[#This Row],[company_id]],Tabelle18[[#This Row],[company_id]], Tabelle5[[#This Row],[value_id]], Tabelle18[[#This Row],[value_id]], Tabelle5[[#This Row],[value_present]],"1")</f>
        <v>0</v>
      </c>
      <c r="E531" s="4">
        <f>_xlfn.MAXIFS(Tabelle5[[#This Row],[value_points]], Tabelle5[[#This Row],[company_id]],Tabelle18[[#This Row],[company_id]], Tabelle5[[#This Row],[value_id]], Tabelle18[[#This Row],[value_id]], Tabelle5[[#This Row],[value_present]],"1")</f>
        <v>0</v>
      </c>
    </row>
    <row r="532" spans="1:5" x14ac:dyDescent="0.25">
      <c r="A532">
        <v>30</v>
      </c>
      <c r="B532" t="s">
        <v>112</v>
      </c>
      <c r="C532" s="4">
        <f>IF(Tabelle18[[#This Row],[binding_level_company]]&gt;=1,1,0)</f>
        <v>0</v>
      </c>
      <c r="D532" s="4">
        <f>_xlfn.MAXIFS(Tabelle5[[#This Row],[binding_level]], Tabelle5[[#This Row],[company_id]],Tabelle18[[#This Row],[company_id]], Tabelle5[[#This Row],[value_id]], Tabelle18[[#This Row],[value_id]], Tabelle5[[#This Row],[value_present]],"1")</f>
        <v>0</v>
      </c>
      <c r="E532" s="4">
        <f>_xlfn.MAXIFS(Tabelle5[[#This Row],[value_points]], Tabelle5[[#This Row],[company_id]],Tabelle18[[#This Row],[company_id]], Tabelle5[[#This Row],[value_id]], Tabelle18[[#This Row],[value_id]], Tabelle5[[#This Row],[value_present]],"1")</f>
        <v>0</v>
      </c>
    </row>
    <row r="533" spans="1:5" x14ac:dyDescent="0.25">
      <c r="A533">
        <v>30</v>
      </c>
      <c r="B533" t="s">
        <v>118</v>
      </c>
      <c r="C533" s="4">
        <f>IF(Tabelle18[[#This Row],[binding_level_company]]&gt;=1,1,0)</f>
        <v>0</v>
      </c>
      <c r="D533" s="4">
        <f>_xlfn.MAXIFS(Tabelle5[[#This Row],[binding_level]], Tabelle5[[#This Row],[company_id]],Tabelle18[[#This Row],[company_id]], Tabelle5[[#This Row],[value_id]], Tabelle18[[#This Row],[value_id]], Tabelle5[[#This Row],[value_present]],"1")</f>
        <v>0</v>
      </c>
      <c r="E533" s="4">
        <f>_xlfn.MAXIFS(Tabelle5[[#This Row],[value_points]], Tabelle5[[#This Row],[company_id]],Tabelle18[[#This Row],[company_id]], Tabelle5[[#This Row],[value_id]], Tabelle18[[#This Row],[value_id]], Tabelle5[[#This Row],[value_present]],"1")</f>
        <v>0</v>
      </c>
    </row>
    <row r="534" spans="1:5" x14ac:dyDescent="0.25">
      <c r="A534">
        <v>30</v>
      </c>
      <c r="B534" t="s">
        <v>125</v>
      </c>
      <c r="C534" s="4">
        <f>IF(Tabelle18[[#This Row],[binding_level_company]]&gt;=1,1,0)</f>
        <v>0</v>
      </c>
      <c r="D534" s="4">
        <f>_xlfn.MAXIFS(Tabelle5[[#This Row],[binding_level]], Tabelle5[[#This Row],[company_id]],Tabelle18[[#This Row],[company_id]], Tabelle5[[#This Row],[value_id]], Tabelle18[[#This Row],[value_id]], Tabelle5[[#This Row],[value_present]],"1")</f>
        <v>0</v>
      </c>
      <c r="E534" s="4">
        <f>_xlfn.MAXIFS(Tabelle5[[#This Row],[value_points]], Tabelle5[[#This Row],[company_id]],Tabelle18[[#This Row],[company_id]], Tabelle5[[#This Row],[value_id]], Tabelle18[[#This Row],[value_id]], Tabelle5[[#This Row],[value_present]],"1")</f>
        <v>0</v>
      </c>
    </row>
    <row r="535" spans="1:5" x14ac:dyDescent="0.25">
      <c r="A535">
        <v>30</v>
      </c>
      <c r="B535" t="s">
        <v>132</v>
      </c>
      <c r="C535" s="4">
        <f>IF(Tabelle18[[#This Row],[binding_level_company]]&gt;=1,1,0)</f>
        <v>0</v>
      </c>
      <c r="D535" s="4">
        <f>_xlfn.MAXIFS(Tabelle5[[#This Row],[binding_level]], Tabelle5[[#This Row],[company_id]],Tabelle18[[#This Row],[company_id]], Tabelle5[[#This Row],[value_id]], Tabelle18[[#This Row],[value_id]], Tabelle5[[#This Row],[value_present]],"1")</f>
        <v>0</v>
      </c>
      <c r="E535" s="4">
        <f>_xlfn.MAXIFS(Tabelle5[[#This Row],[value_points]], Tabelle5[[#This Row],[company_id]],Tabelle18[[#This Row],[company_id]], Tabelle5[[#This Row],[value_id]], Tabelle18[[#This Row],[value_id]], Tabelle5[[#This Row],[value_present]],"1")</f>
        <v>0</v>
      </c>
    </row>
    <row r="536" spans="1:5" x14ac:dyDescent="0.25">
      <c r="A536">
        <v>30</v>
      </c>
      <c r="B536" t="s">
        <v>140</v>
      </c>
      <c r="C536" s="4">
        <f>IF(Tabelle18[[#This Row],[binding_level_company]]&gt;=1,1,0)</f>
        <v>0</v>
      </c>
      <c r="D536" s="4">
        <f>_xlfn.MAXIFS(Tabelle5[[#This Row],[binding_level]], Tabelle5[[#This Row],[company_id]],Tabelle18[[#This Row],[company_id]], Tabelle5[[#This Row],[value_id]], Tabelle18[[#This Row],[value_id]], Tabelle5[[#This Row],[value_present]],"1")</f>
        <v>0</v>
      </c>
      <c r="E536" s="4">
        <f>_xlfn.MAXIFS(Tabelle5[[#This Row],[value_points]], Tabelle5[[#This Row],[company_id]],Tabelle18[[#This Row],[company_id]], Tabelle5[[#This Row],[value_id]], Tabelle18[[#This Row],[value_id]], Tabelle5[[#This Row],[value_present]],"1")</f>
        <v>0</v>
      </c>
    </row>
    <row r="537" spans="1:5" x14ac:dyDescent="0.25">
      <c r="A537">
        <v>30</v>
      </c>
      <c r="B537" t="s">
        <v>147</v>
      </c>
      <c r="C537" s="4">
        <f>IF(Tabelle18[[#This Row],[binding_level_company]]&gt;=1,1,0)</f>
        <v>0</v>
      </c>
      <c r="D537" s="4">
        <f>_xlfn.MAXIFS(Tabelle5[[#This Row],[binding_level]], Tabelle5[[#This Row],[company_id]],Tabelle18[[#This Row],[company_id]], Tabelle5[[#This Row],[value_id]], Tabelle18[[#This Row],[value_id]], Tabelle5[[#This Row],[value_present]],"1")</f>
        <v>0</v>
      </c>
      <c r="E537" s="4">
        <f>_xlfn.MAXIFS(Tabelle5[[#This Row],[value_points]], Tabelle5[[#This Row],[company_id]],Tabelle18[[#This Row],[company_id]], Tabelle5[[#This Row],[value_id]], Tabelle18[[#This Row],[value_id]], Tabelle5[[#This Row],[value_present]],"1")</f>
        <v>0</v>
      </c>
    </row>
    <row r="538" spans="1:5" x14ac:dyDescent="0.25">
      <c r="A538">
        <v>30</v>
      </c>
      <c r="B538" t="s">
        <v>154</v>
      </c>
      <c r="C538" s="4">
        <f>IF(Tabelle18[[#This Row],[binding_level_company]]&gt;=1,1,0)</f>
        <v>0</v>
      </c>
      <c r="D538" s="4">
        <f>_xlfn.MAXIFS(Tabelle5[[#This Row],[binding_level]], Tabelle5[[#This Row],[company_id]],Tabelle18[[#This Row],[company_id]], Tabelle5[[#This Row],[value_id]], Tabelle18[[#This Row],[value_id]], Tabelle5[[#This Row],[value_present]],"1")</f>
        <v>0</v>
      </c>
      <c r="E538" s="4">
        <f>_xlfn.MAXIFS(Tabelle5[[#This Row],[value_points]], Tabelle5[[#This Row],[company_id]],Tabelle18[[#This Row],[company_id]], Tabelle5[[#This Row],[value_id]], Tabelle18[[#This Row],[value_id]], Tabelle5[[#This Row],[value_present]],"1")</f>
        <v>0</v>
      </c>
    </row>
    <row r="539" spans="1:5" x14ac:dyDescent="0.25">
      <c r="A539">
        <v>30</v>
      </c>
      <c r="B539" t="s">
        <v>161</v>
      </c>
      <c r="C539" s="4">
        <f>IF(Tabelle18[[#This Row],[binding_level_company]]&gt;=1,1,0)</f>
        <v>0</v>
      </c>
      <c r="D539" s="4">
        <f>_xlfn.MAXIFS(Tabelle5[[#This Row],[binding_level]], Tabelle5[[#This Row],[company_id]],Tabelle18[[#This Row],[company_id]], Tabelle5[[#This Row],[value_id]], Tabelle18[[#This Row],[value_id]], Tabelle5[[#This Row],[value_present]],"1")</f>
        <v>0</v>
      </c>
      <c r="E539" s="4">
        <f>_xlfn.MAXIFS(Tabelle5[[#This Row],[value_points]], Tabelle5[[#This Row],[company_id]],Tabelle18[[#This Row],[company_id]], Tabelle5[[#This Row],[value_id]], Tabelle18[[#This Row],[value_id]], Tabelle5[[#This Row],[value_present]],"1")</f>
        <v>0</v>
      </c>
    </row>
    <row r="540" spans="1:5" x14ac:dyDescent="0.25">
      <c r="A540">
        <v>30</v>
      </c>
      <c r="B540" t="s">
        <v>166</v>
      </c>
      <c r="C540" s="4">
        <f>IF(Tabelle18[[#This Row],[binding_level_company]]&gt;=1,1,0)</f>
        <v>0</v>
      </c>
      <c r="D540" s="4">
        <f>_xlfn.MAXIFS(Tabelle5[[#This Row],[binding_level]], Tabelle5[[#This Row],[company_id]],Tabelle18[[#This Row],[company_id]], Tabelle5[[#This Row],[value_id]], Tabelle18[[#This Row],[value_id]], Tabelle5[[#This Row],[value_present]],"1")</f>
        <v>0</v>
      </c>
      <c r="E540" s="4">
        <f>_xlfn.MAXIFS(Tabelle5[[#This Row],[value_points]], Tabelle5[[#This Row],[company_id]],Tabelle18[[#This Row],[company_id]], Tabelle5[[#This Row],[value_id]], Tabelle18[[#This Row],[value_id]], Tabelle5[[#This Row],[value_present]],"1")</f>
        <v>0</v>
      </c>
    </row>
    <row r="541" spans="1:5" ht="15.75" thickBot="1" x14ac:dyDescent="0.3">
      <c r="A541">
        <v>30</v>
      </c>
      <c r="B541" s="30" t="s">
        <v>174</v>
      </c>
      <c r="C541" s="4">
        <f>IF(Tabelle18[[#This Row],[binding_level_company]]&gt;=1,1,0)</f>
        <v>0</v>
      </c>
      <c r="D541" s="4">
        <f>_xlfn.MAXIFS(Tabelle5[[#This Row],[binding_level]], Tabelle5[[#This Row],[company_id]],Tabelle18[[#This Row],[company_id]], Tabelle5[[#This Row],[value_id]], Tabelle18[[#This Row],[value_id]], Tabelle5[[#This Row],[value_present]],"1")</f>
        <v>0</v>
      </c>
      <c r="E541" s="4">
        <f>_xlfn.MAXIFS(Tabelle5[[#This Row],[value_points]], Tabelle5[[#This Row],[company_id]],Tabelle18[[#This Row],[company_id]], Tabelle5[[#This Row],[value_id]], Tabelle18[[#This Row],[value_id]], Tabelle5[[#This Row],[value_present]],"1")</f>
        <v>0</v>
      </c>
    </row>
    <row r="542" spans="1:5" x14ac:dyDescent="0.25">
      <c r="A542">
        <v>31</v>
      </c>
      <c r="B542" s="22" t="s">
        <v>53</v>
      </c>
      <c r="C542" s="4">
        <f>IF(Tabelle18[[#This Row],[binding_level_company]]&gt;=1,1,0)</f>
        <v>0</v>
      </c>
      <c r="D542" s="4">
        <f>_xlfn.MAXIFS(Tabelle5[[#This Row],[binding_level]], Tabelle5[[#This Row],[company_id]],Tabelle18[[#This Row],[company_id]], Tabelle5[[#This Row],[value_id]], Tabelle18[[#This Row],[value_id]], Tabelle5[[#This Row],[value_present]],"1")</f>
        <v>0</v>
      </c>
      <c r="E542" s="4">
        <f>_xlfn.MAXIFS(Tabelle5[[#This Row],[value_points]], Tabelle5[[#This Row],[company_id]],Tabelle18[[#This Row],[company_id]], Tabelle5[[#This Row],[value_id]], Tabelle18[[#This Row],[value_id]], Tabelle5[[#This Row],[value_present]],"1")</f>
        <v>0</v>
      </c>
    </row>
    <row r="543" spans="1:5" x14ac:dyDescent="0.25">
      <c r="A543">
        <v>31</v>
      </c>
      <c r="B543" t="s">
        <v>61</v>
      </c>
      <c r="C543" s="4">
        <f>IF(Tabelle18[[#This Row],[binding_level_company]]&gt;=1,1,0)</f>
        <v>0</v>
      </c>
      <c r="D543" s="4">
        <f>_xlfn.MAXIFS(Tabelle5[[#This Row],[binding_level]], Tabelle5[[#This Row],[company_id]],Tabelle18[[#This Row],[company_id]], Tabelle5[[#This Row],[value_id]], Tabelle18[[#This Row],[value_id]], Tabelle5[[#This Row],[value_present]],"1")</f>
        <v>0</v>
      </c>
      <c r="E543" s="4">
        <f>_xlfn.MAXIFS(Tabelle5[[#This Row],[value_points]], Tabelle5[[#This Row],[company_id]],Tabelle18[[#This Row],[company_id]], Tabelle5[[#This Row],[value_id]], Tabelle18[[#This Row],[value_id]], Tabelle5[[#This Row],[value_present]],"1")</f>
        <v>0</v>
      </c>
    </row>
    <row r="544" spans="1:5" x14ac:dyDescent="0.25">
      <c r="A544">
        <v>31</v>
      </c>
      <c r="B544" t="s">
        <v>69</v>
      </c>
      <c r="C544" s="4">
        <f>IF(Tabelle18[[#This Row],[binding_level_company]]&gt;=1,1,0)</f>
        <v>0</v>
      </c>
      <c r="D544" s="4">
        <f>_xlfn.MAXIFS(Tabelle5[[#This Row],[binding_level]], Tabelle5[[#This Row],[company_id]],Tabelle18[[#This Row],[company_id]], Tabelle5[[#This Row],[value_id]], Tabelle18[[#This Row],[value_id]], Tabelle5[[#This Row],[value_present]],"1")</f>
        <v>0</v>
      </c>
      <c r="E544" s="4">
        <f>_xlfn.MAXIFS(Tabelle5[[#This Row],[value_points]], Tabelle5[[#This Row],[company_id]],Tabelle18[[#This Row],[company_id]], Tabelle5[[#This Row],[value_id]], Tabelle18[[#This Row],[value_id]], Tabelle5[[#This Row],[value_present]],"1")</f>
        <v>0</v>
      </c>
    </row>
    <row r="545" spans="1:5" x14ac:dyDescent="0.25">
      <c r="A545">
        <v>31</v>
      </c>
      <c r="B545" t="s">
        <v>76</v>
      </c>
      <c r="C545" s="4">
        <f>IF(Tabelle18[[#This Row],[binding_level_company]]&gt;=1,1,0)</f>
        <v>0</v>
      </c>
      <c r="D545" s="4">
        <f>_xlfn.MAXIFS(Tabelle5[[#This Row],[binding_level]], Tabelle5[[#This Row],[company_id]],Tabelle18[[#This Row],[company_id]], Tabelle5[[#This Row],[value_id]], Tabelle18[[#This Row],[value_id]], Tabelle5[[#This Row],[value_present]],"1")</f>
        <v>0</v>
      </c>
      <c r="E545" s="4">
        <f>_xlfn.MAXIFS(Tabelle5[[#This Row],[value_points]], Tabelle5[[#This Row],[company_id]],Tabelle18[[#This Row],[company_id]], Tabelle5[[#This Row],[value_id]], Tabelle18[[#This Row],[value_id]], Tabelle5[[#This Row],[value_present]],"1")</f>
        <v>0</v>
      </c>
    </row>
    <row r="546" spans="1:5" x14ac:dyDescent="0.25">
      <c r="A546">
        <v>31</v>
      </c>
      <c r="B546" t="s">
        <v>83</v>
      </c>
      <c r="C546" s="4">
        <f>IF(Tabelle18[[#This Row],[binding_level_company]]&gt;=1,1,0)</f>
        <v>0</v>
      </c>
      <c r="D546" s="4">
        <f>_xlfn.MAXIFS(Tabelle5[[#This Row],[binding_level]], Tabelle5[[#This Row],[company_id]],Tabelle18[[#This Row],[company_id]], Tabelle5[[#This Row],[value_id]], Tabelle18[[#This Row],[value_id]], Tabelle5[[#This Row],[value_present]],"1")</f>
        <v>0</v>
      </c>
      <c r="E546" s="4">
        <f>_xlfn.MAXIFS(Tabelle5[[#This Row],[value_points]], Tabelle5[[#This Row],[company_id]],Tabelle18[[#This Row],[company_id]], Tabelle5[[#This Row],[value_id]], Tabelle18[[#This Row],[value_id]], Tabelle5[[#This Row],[value_present]],"1")</f>
        <v>0</v>
      </c>
    </row>
    <row r="547" spans="1:5" x14ac:dyDescent="0.25">
      <c r="A547">
        <v>31</v>
      </c>
      <c r="B547" t="s">
        <v>90</v>
      </c>
      <c r="C547" s="4">
        <f>IF(Tabelle18[[#This Row],[binding_level_company]]&gt;=1,1,0)</f>
        <v>0</v>
      </c>
      <c r="D547" s="4">
        <f>_xlfn.MAXIFS(Tabelle5[[#This Row],[binding_level]], Tabelle5[[#This Row],[company_id]],Tabelle18[[#This Row],[company_id]], Tabelle5[[#This Row],[value_id]], Tabelle18[[#This Row],[value_id]], Tabelle5[[#This Row],[value_present]],"1")</f>
        <v>0</v>
      </c>
      <c r="E547" s="4">
        <f>_xlfn.MAXIFS(Tabelle5[[#This Row],[value_points]], Tabelle5[[#This Row],[company_id]],Tabelle18[[#This Row],[company_id]], Tabelle5[[#This Row],[value_id]], Tabelle18[[#This Row],[value_id]], Tabelle5[[#This Row],[value_present]],"1")</f>
        <v>0</v>
      </c>
    </row>
    <row r="548" spans="1:5" x14ac:dyDescent="0.25">
      <c r="A548">
        <v>31</v>
      </c>
      <c r="B548" t="s">
        <v>98</v>
      </c>
      <c r="C548" s="4">
        <f>IF(Tabelle18[[#This Row],[binding_level_company]]&gt;=1,1,0)</f>
        <v>0</v>
      </c>
      <c r="D548" s="4">
        <f>_xlfn.MAXIFS(Tabelle5[[#This Row],[binding_level]], Tabelle5[[#This Row],[company_id]],Tabelle18[[#This Row],[company_id]], Tabelle5[[#This Row],[value_id]], Tabelle18[[#This Row],[value_id]], Tabelle5[[#This Row],[value_present]],"1")</f>
        <v>0</v>
      </c>
      <c r="E548" s="4">
        <f>_xlfn.MAXIFS(Tabelle5[[#This Row],[value_points]], Tabelle5[[#This Row],[company_id]],Tabelle18[[#This Row],[company_id]], Tabelle5[[#This Row],[value_id]], Tabelle18[[#This Row],[value_id]], Tabelle5[[#This Row],[value_present]],"1")</f>
        <v>0</v>
      </c>
    </row>
    <row r="549" spans="1:5" x14ac:dyDescent="0.25">
      <c r="A549">
        <v>31</v>
      </c>
      <c r="B549" t="s">
        <v>106</v>
      </c>
      <c r="C549" s="4">
        <f>IF(Tabelle18[[#This Row],[binding_level_company]]&gt;=1,1,0)</f>
        <v>0</v>
      </c>
      <c r="D549" s="4">
        <f>_xlfn.MAXIFS(Tabelle5[[#This Row],[binding_level]], Tabelle5[[#This Row],[company_id]],Tabelle18[[#This Row],[company_id]], Tabelle5[[#This Row],[value_id]], Tabelle18[[#This Row],[value_id]], Tabelle5[[#This Row],[value_present]],"1")</f>
        <v>0</v>
      </c>
      <c r="E549" s="4">
        <f>_xlfn.MAXIFS(Tabelle5[[#This Row],[value_points]], Tabelle5[[#This Row],[company_id]],Tabelle18[[#This Row],[company_id]], Tabelle5[[#This Row],[value_id]], Tabelle18[[#This Row],[value_id]], Tabelle5[[#This Row],[value_present]],"1")</f>
        <v>0</v>
      </c>
    </row>
    <row r="550" spans="1:5" x14ac:dyDescent="0.25">
      <c r="A550">
        <v>31</v>
      </c>
      <c r="B550" t="s">
        <v>112</v>
      </c>
      <c r="C550" s="4">
        <f>IF(Tabelle18[[#This Row],[binding_level_company]]&gt;=1,1,0)</f>
        <v>0</v>
      </c>
      <c r="D550" s="4">
        <f>_xlfn.MAXIFS(Tabelle5[[#This Row],[binding_level]], Tabelle5[[#This Row],[company_id]],Tabelle18[[#This Row],[company_id]], Tabelle5[[#This Row],[value_id]], Tabelle18[[#This Row],[value_id]], Tabelle5[[#This Row],[value_present]],"1")</f>
        <v>0</v>
      </c>
      <c r="E550" s="4">
        <f>_xlfn.MAXIFS(Tabelle5[[#This Row],[value_points]], Tabelle5[[#This Row],[company_id]],Tabelle18[[#This Row],[company_id]], Tabelle5[[#This Row],[value_id]], Tabelle18[[#This Row],[value_id]], Tabelle5[[#This Row],[value_present]],"1")</f>
        <v>0</v>
      </c>
    </row>
    <row r="551" spans="1:5" x14ac:dyDescent="0.25">
      <c r="A551">
        <v>31</v>
      </c>
      <c r="B551" t="s">
        <v>118</v>
      </c>
      <c r="C551" s="4">
        <f>IF(Tabelle18[[#This Row],[binding_level_company]]&gt;=1,1,0)</f>
        <v>0</v>
      </c>
      <c r="D551" s="4">
        <f>_xlfn.MAXIFS(Tabelle5[[#This Row],[binding_level]], Tabelle5[[#This Row],[company_id]],Tabelle18[[#This Row],[company_id]], Tabelle5[[#This Row],[value_id]], Tabelle18[[#This Row],[value_id]], Tabelle5[[#This Row],[value_present]],"1")</f>
        <v>0</v>
      </c>
      <c r="E551" s="4">
        <f>_xlfn.MAXIFS(Tabelle5[[#This Row],[value_points]], Tabelle5[[#This Row],[company_id]],Tabelle18[[#This Row],[company_id]], Tabelle5[[#This Row],[value_id]], Tabelle18[[#This Row],[value_id]], Tabelle5[[#This Row],[value_present]],"1")</f>
        <v>0</v>
      </c>
    </row>
    <row r="552" spans="1:5" x14ac:dyDescent="0.25">
      <c r="A552">
        <v>31</v>
      </c>
      <c r="B552" t="s">
        <v>125</v>
      </c>
      <c r="C552" s="4">
        <f>IF(Tabelle18[[#This Row],[binding_level_company]]&gt;=1,1,0)</f>
        <v>0</v>
      </c>
      <c r="D552" s="4">
        <f>_xlfn.MAXIFS(Tabelle5[[#This Row],[binding_level]], Tabelle5[[#This Row],[company_id]],Tabelle18[[#This Row],[company_id]], Tabelle5[[#This Row],[value_id]], Tabelle18[[#This Row],[value_id]], Tabelle5[[#This Row],[value_present]],"1")</f>
        <v>0</v>
      </c>
      <c r="E552" s="4">
        <f>_xlfn.MAXIFS(Tabelle5[[#This Row],[value_points]], Tabelle5[[#This Row],[company_id]],Tabelle18[[#This Row],[company_id]], Tabelle5[[#This Row],[value_id]], Tabelle18[[#This Row],[value_id]], Tabelle5[[#This Row],[value_present]],"1")</f>
        <v>0</v>
      </c>
    </row>
    <row r="553" spans="1:5" x14ac:dyDescent="0.25">
      <c r="A553">
        <v>31</v>
      </c>
      <c r="B553" t="s">
        <v>132</v>
      </c>
      <c r="C553" s="4">
        <f>IF(Tabelle18[[#This Row],[binding_level_company]]&gt;=1,1,0)</f>
        <v>0</v>
      </c>
      <c r="D553" s="4">
        <f>_xlfn.MAXIFS(Tabelle5[[#This Row],[binding_level]], Tabelle5[[#This Row],[company_id]],Tabelle18[[#This Row],[company_id]], Tabelle5[[#This Row],[value_id]], Tabelle18[[#This Row],[value_id]], Tabelle5[[#This Row],[value_present]],"1")</f>
        <v>0</v>
      </c>
      <c r="E553" s="4">
        <f>_xlfn.MAXIFS(Tabelle5[[#This Row],[value_points]], Tabelle5[[#This Row],[company_id]],Tabelle18[[#This Row],[company_id]], Tabelle5[[#This Row],[value_id]], Tabelle18[[#This Row],[value_id]], Tabelle5[[#This Row],[value_present]],"1")</f>
        <v>0</v>
      </c>
    </row>
    <row r="554" spans="1:5" x14ac:dyDescent="0.25">
      <c r="A554">
        <v>31</v>
      </c>
      <c r="B554" t="s">
        <v>140</v>
      </c>
      <c r="C554" s="4">
        <f>IF(Tabelle18[[#This Row],[binding_level_company]]&gt;=1,1,0)</f>
        <v>0</v>
      </c>
      <c r="D554" s="4">
        <f>_xlfn.MAXIFS(Tabelle5[[#This Row],[binding_level]], Tabelle5[[#This Row],[company_id]],Tabelle18[[#This Row],[company_id]], Tabelle5[[#This Row],[value_id]], Tabelle18[[#This Row],[value_id]], Tabelle5[[#This Row],[value_present]],"1")</f>
        <v>0</v>
      </c>
      <c r="E554" s="4">
        <f>_xlfn.MAXIFS(Tabelle5[[#This Row],[value_points]], Tabelle5[[#This Row],[company_id]],Tabelle18[[#This Row],[company_id]], Tabelle5[[#This Row],[value_id]], Tabelle18[[#This Row],[value_id]], Tabelle5[[#This Row],[value_present]],"1")</f>
        <v>0</v>
      </c>
    </row>
    <row r="555" spans="1:5" x14ac:dyDescent="0.25">
      <c r="A555">
        <v>31</v>
      </c>
      <c r="B555" t="s">
        <v>147</v>
      </c>
      <c r="C555" s="4">
        <f>IF(Tabelle18[[#This Row],[binding_level_company]]&gt;=1,1,0)</f>
        <v>0</v>
      </c>
      <c r="D555" s="4">
        <f>_xlfn.MAXIFS(Tabelle5[[#This Row],[binding_level]], Tabelle5[[#This Row],[company_id]],Tabelle18[[#This Row],[company_id]], Tabelle5[[#This Row],[value_id]], Tabelle18[[#This Row],[value_id]], Tabelle5[[#This Row],[value_present]],"1")</f>
        <v>0</v>
      </c>
      <c r="E555" s="4">
        <f>_xlfn.MAXIFS(Tabelle5[[#This Row],[value_points]], Tabelle5[[#This Row],[company_id]],Tabelle18[[#This Row],[company_id]], Tabelle5[[#This Row],[value_id]], Tabelle18[[#This Row],[value_id]], Tabelle5[[#This Row],[value_present]],"1")</f>
        <v>0</v>
      </c>
    </row>
    <row r="556" spans="1:5" x14ac:dyDescent="0.25">
      <c r="A556">
        <v>31</v>
      </c>
      <c r="B556" t="s">
        <v>154</v>
      </c>
      <c r="C556" s="4">
        <f>IF(Tabelle18[[#This Row],[binding_level_company]]&gt;=1,1,0)</f>
        <v>0</v>
      </c>
      <c r="D556" s="4">
        <f>_xlfn.MAXIFS(Tabelle5[[#This Row],[binding_level]], Tabelle5[[#This Row],[company_id]],Tabelle18[[#This Row],[company_id]], Tabelle5[[#This Row],[value_id]], Tabelle18[[#This Row],[value_id]], Tabelle5[[#This Row],[value_present]],"1")</f>
        <v>0</v>
      </c>
      <c r="E556" s="4">
        <f>_xlfn.MAXIFS(Tabelle5[[#This Row],[value_points]], Tabelle5[[#This Row],[company_id]],Tabelle18[[#This Row],[company_id]], Tabelle5[[#This Row],[value_id]], Tabelle18[[#This Row],[value_id]], Tabelle5[[#This Row],[value_present]],"1")</f>
        <v>0</v>
      </c>
    </row>
    <row r="557" spans="1:5" x14ac:dyDescent="0.25">
      <c r="A557">
        <v>31</v>
      </c>
      <c r="B557" t="s">
        <v>161</v>
      </c>
      <c r="C557" s="4">
        <f>IF(Tabelle18[[#This Row],[binding_level_company]]&gt;=1,1,0)</f>
        <v>0</v>
      </c>
      <c r="D557" s="4">
        <f>_xlfn.MAXIFS(Tabelle5[[#This Row],[binding_level]], Tabelle5[[#This Row],[company_id]],Tabelle18[[#This Row],[company_id]], Tabelle5[[#This Row],[value_id]], Tabelle18[[#This Row],[value_id]], Tabelle5[[#This Row],[value_present]],"1")</f>
        <v>0</v>
      </c>
      <c r="E557" s="4">
        <f>_xlfn.MAXIFS(Tabelle5[[#This Row],[value_points]], Tabelle5[[#This Row],[company_id]],Tabelle18[[#This Row],[company_id]], Tabelle5[[#This Row],[value_id]], Tabelle18[[#This Row],[value_id]], Tabelle5[[#This Row],[value_present]],"1")</f>
        <v>0</v>
      </c>
    </row>
    <row r="558" spans="1:5" x14ac:dyDescent="0.25">
      <c r="A558">
        <v>31</v>
      </c>
      <c r="B558" t="s">
        <v>166</v>
      </c>
      <c r="C558" s="4">
        <f>IF(Tabelle18[[#This Row],[binding_level_company]]&gt;=1,1,0)</f>
        <v>0</v>
      </c>
      <c r="D558" s="4">
        <f>_xlfn.MAXIFS(Tabelle5[[#This Row],[binding_level]], Tabelle5[[#This Row],[company_id]],Tabelle18[[#This Row],[company_id]], Tabelle5[[#This Row],[value_id]], Tabelle18[[#This Row],[value_id]], Tabelle5[[#This Row],[value_present]],"1")</f>
        <v>0</v>
      </c>
      <c r="E558" s="4">
        <f>_xlfn.MAXIFS(Tabelle5[[#This Row],[value_points]], Tabelle5[[#This Row],[company_id]],Tabelle18[[#This Row],[company_id]], Tabelle5[[#This Row],[value_id]], Tabelle18[[#This Row],[value_id]], Tabelle5[[#This Row],[value_present]],"1")</f>
        <v>0</v>
      </c>
    </row>
    <row r="559" spans="1:5" ht="15.75" thickBot="1" x14ac:dyDescent="0.3">
      <c r="A559">
        <v>31</v>
      </c>
      <c r="B559" s="30" t="s">
        <v>174</v>
      </c>
      <c r="C559" s="4">
        <f>IF(Tabelle18[[#This Row],[binding_level_company]]&gt;=1,1,0)</f>
        <v>0</v>
      </c>
      <c r="D559" s="4">
        <f>_xlfn.MAXIFS(Tabelle5[[#This Row],[binding_level]], Tabelle5[[#This Row],[company_id]],Tabelle18[[#This Row],[company_id]], Tabelle5[[#This Row],[value_id]], Tabelle18[[#This Row],[value_id]], Tabelle5[[#This Row],[value_present]],"1")</f>
        <v>0</v>
      </c>
      <c r="E559" s="4">
        <f>_xlfn.MAXIFS(Tabelle5[[#This Row],[value_points]], Tabelle5[[#This Row],[company_id]],Tabelle18[[#This Row],[company_id]], Tabelle5[[#This Row],[value_id]], Tabelle18[[#This Row],[value_id]], Tabelle5[[#This Row],[value_present]],"1")</f>
        <v>0</v>
      </c>
    </row>
    <row r="560" spans="1:5" x14ac:dyDescent="0.25">
      <c r="A560">
        <v>32</v>
      </c>
      <c r="B560" s="22" t="s">
        <v>53</v>
      </c>
      <c r="C560" s="4">
        <f>IF(Tabelle18[[#This Row],[binding_level_company]]&gt;=1,1,0)</f>
        <v>0</v>
      </c>
      <c r="D560" s="4">
        <f>_xlfn.MAXIFS(Tabelle5[[#This Row],[binding_level]], Tabelle5[[#This Row],[company_id]],Tabelle18[[#This Row],[company_id]], Tabelle5[[#This Row],[value_id]], Tabelle18[[#This Row],[value_id]], Tabelle5[[#This Row],[value_present]],"1")</f>
        <v>0</v>
      </c>
      <c r="E560" s="4">
        <f>_xlfn.MAXIFS(Tabelle5[[#This Row],[value_points]], Tabelle5[[#This Row],[company_id]],Tabelle18[[#This Row],[company_id]], Tabelle5[[#This Row],[value_id]], Tabelle18[[#This Row],[value_id]], Tabelle5[[#This Row],[value_present]],"1")</f>
        <v>0</v>
      </c>
    </row>
    <row r="561" spans="1:5" x14ac:dyDescent="0.25">
      <c r="A561">
        <v>32</v>
      </c>
      <c r="B561" t="s">
        <v>61</v>
      </c>
      <c r="C561" s="4">
        <f>IF(Tabelle18[[#This Row],[binding_level_company]]&gt;=1,1,0)</f>
        <v>0</v>
      </c>
      <c r="D561" s="4">
        <f>_xlfn.MAXIFS(Tabelle5[[#This Row],[binding_level]], Tabelle5[[#This Row],[company_id]],Tabelle18[[#This Row],[company_id]], Tabelle5[[#This Row],[value_id]], Tabelle18[[#This Row],[value_id]], Tabelle5[[#This Row],[value_present]],"1")</f>
        <v>0</v>
      </c>
      <c r="E561" s="4">
        <f>_xlfn.MAXIFS(Tabelle5[[#This Row],[value_points]], Tabelle5[[#This Row],[company_id]],Tabelle18[[#This Row],[company_id]], Tabelle5[[#This Row],[value_id]], Tabelle18[[#This Row],[value_id]], Tabelle5[[#This Row],[value_present]],"1")</f>
        <v>0</v>
      </c>
    </row>
    <row r="562" spans="1:5" x14ac:dyDescent="0.25">
      <c r="A562">
        <v>32</v>
      </c>
      <c r="B562" t="s">
        <v>69</v>
      </c>
      <c r="C562" s="4">
        <f>IF(Tabelle18[[#This Row],[binding_level_company]]&gt;=1,1,0)</f>
        <v>0</v>
      </c>
      <c r="D562" s="4">
        <f>_xlfn.MAXIFS(Tabelle5[[#This Row],[binding_level]], Tabelle5[[#This Row],[company_id]],Tabelle18[[#This Row],[company_id]], Tabelle5[[#This Row],[value_id]], Tabelle18[[#This Row],[value_id]], Tabelle5[[#This Row],[value_present]],"1")</f>
        <v>0</v>
      </c>
      <c r="E562" s="4">
        <f>_xlfn.MAXIFS(Tabelle5[[#This Row],[value_points]], Tabelle5[[#This Row],[company_id]],Tabelle18[[#This Row],[company_id]], Tabelle5[[#This Row],[value_id]], Tabelle18[[#This Row],[value_id]], Tabelle5[[#This Row],[value_present]],"1")</f>
        <v>0</v>
      </c>
    </row>
    <row r="563" spans="1:5" x14ac:dyDescent="0.25">
      <c r="A563">
        <v>32</v>
      </c>
      <c r="B563" t="s">
        <v>76</v>
      </c>
      <c r="C563" s="4">
        <f>IF(Tabelle18[[#This Row],[binding_level_company]]&gt;=1,1,0)</f>
        <v>0</v>
      </c>
      <c r="D563" s="4">
        <f>_xlfn.MAXIFS(Tabelle5[[#This Row],[binding_level]], Tabelle5[[#This Row],[company_id]],Tabelle18[[#This Row],[company_id]], Tabelle5[[#This Row],[value_id]], Tabelle18[[#This Row],[value_id]], Tabelle5[[#This Row],[value_present]],"1")</f>
        <v>0</v>
      </c>
      <c r="E563" s="4">
        <f>_xlfn.MAXIFS(Tabelle5[[#This Row],[value_points]], Tabelle5[[#This Row],[company_id]],Tabelle18[[#This Row],[company_id]], Tabelle5[[#This Row],[value_id]], Tabelle18[[#This Row],[value_id]], Tabelle5[[#This Row],[value_present]],"1")</f>
        <v>0</v>
      </c>
    </row>
    <row r="564" spans="1:5" x14ac:dyDescent="0.25">
      <c r="A564">
        <v>32</v>
      </c>
      <c r="B564" t="s">
        <v>83</v>
      </c>
      <c r="C564" s="4">
        <f>IF(Tabelle18[[#This Row],[binding_level_company]]&gt;=1,1,0)</f>
        <v>0</v>
      </c>
      <c r="D564" s="4">
        <f>_xlfn.MAXIFS(Tabelle5[[#This Row],[binding_level]], Tabelle5[[#This Row],[company_id]],Tabelle18[[#This Row],[company_id]], Tabelle5[[#This Row],[value_id]], Tabelle18[[#This Row],[value_id]], Tabelle5[[#This Row],[value_present]],"1")</f>
        <v>0</v>
      </c>
      <c r="E564" s="4">
        <f>_xlfn.MAXIFS(Tabelle5[[#This Row],[value_points]], Tabelle5[[#This Row],[company_id]],Tabelle18[[#This Row],[company_id]], Tabelle5[[#This Row],[value_id]], Tabelle18[[#This Row],[value_id]], Tabelle5[[#This Row],[value_present]],"1")</f>
        <v>0</v>
      </c>
    </row>
    <row r="565" spans="1:5" x14ac:dyDescent="0.25">
      <c r="A565">
        <v>32</v>
      </c>
      <c r="B565" t="s">
        <v>90</v>
      </c>
      <c r="C565" s="4">
        <f>IF(Tabelle18[[#This Row],[binding_level_company]]&gt;=1,1,0)</f>
        <v>0</v>
      </c>
      <c r="D565" s="4">
        <f>_xlfn.MAXIFS(Tabelle5[[#This Row],[binding_level]], Tabelle5[[#This Row],[company_id]],Tabelle18[[#This Row],[company_id]], Tabelle5[[#This Row],[value_id]], Tabelle18[[#This Row],[value_id]], Tabelle5[[#This Row],[value_present]],"1")</f>
        <v>0</v>
      </c>
      <c r="E565" s="4">
        <f>_xlfn.MAXIFS(Tabelle5[[#This Row],[value_points]], Tabelle5[[#This Row],[company_id]],Tabelle18[[#This Row],[company_id]], Tabelle5[[#This Row],[value_id]], Tabelle18[[#This Row],[value_id]], Tabelle5[[#This Row],[value_present]],"1")</f>
        <v>0</v>
      </c>
    </row>
    <row r="566" spans="1:5" x14ac:dyDescent="0.25">
      <c r="A566">
        <v>32</v>
      </c>
      <c r="B566" t="s">
        <v>98</v>
      </c>
      <c r="C566" s="4">
        <f>IF(Tabelle18[[#This Row],[binding_level_company]]&gt;=1,1,0)</f>
        <v>0</v>
      </c>
      <c r="D566" s="4">
        <f>_xlfn.MAXIFS(Tabelle5[[#This Row],[binding_level]], Tabelle5[[#This Row],[company_id]],Tabelle18[[#This Row],[company_id]], Tabelle5[[#This Row],[value_id]], Tabelle18[[#This Row],[value_id]], Tabelle5[[#This Row],[value_present]],"1")</f>
        <v>0</v>
      </c>
      <c r="E566" s="4">
        <f>_xlfn.MAXIFS(Tabelle5[[#This Row],[value_points]], Tabelle5[[#This Row],[company_id]],Tabelle18[[#This Row],[company_id]], Tabelle5[[#This Row],[value_id]], Tabelle18[[#This Row],[value_id]], Tabelle5[[#This Row],[value_present]],"1")</f>
        <v>0</v>
      </c>
    </row>
    <row r="567" spans="1:5" x14ac:dyDescent="0.25">
      <c r="A567">
        <v>32</v>
      </c>
      <c r="B567" t="s">
        <v>106</v>
      </c>
      <c r="C567" s="4">
        <f>IF(Tabelle18[[#This Row],[binding_level_company]]&gt;=1,1,0)</f>
        <v>0</v>
      </c>
      <c r="D567" s="4">
        <f>_xlfn.MAXIFS(Tabelle5[[#This Row],[binding_level]], Tabelle5[[#This Row],[company_id]],Tabelle18[[#This Row],[company_id]], Tabelle5[[#This Row],[value_id]], Tabelle18[[#This Row],[value_id]], Tabelle5[[#This Row],[value_present]],"1")</f>
        <v>0</v>
      </c>
      <c r="E567" s="4">
        <f>_xlfn.MAXIFS(Tabelle5[[#This Row],[value_points]], Tabelle5[[#This Row],[company_id]],Tabelle18[[#This Row],[company_id]], Tabelle5[[#This Row],[value_id]], Tabelle18[[#This Row],[value_id]], Tabelle5[[#This Row],[value_present]],"1")</f>
        <v>0</v>
      </c>
    </row>
    <row r="568" spans="1:5" x14ac:dyDescent="0.25">
      <c r="A568">
        <v>32</v>
      </c>
      <c r="B568" t="s">
        <v>112</v>
      </c>
      <c r="C568" s="4">
        <f>IF(Tabelle18[[#This Row],[binding_level_company]]&gt;=1,1,0)</f>
        <v>0</v>
      </c>
      <c r="D568" s="4">
        <f>_xlfn.MAXIFS(Tabelle5[[#This Row],[binding_level]], Tabelle5[[#This Row],[company_id]],Tabelle18[[#This Row],[company_id]], Tabelle5[[#This Row],[value_id]], Tabelle18[[#This Row],[value_id]], Tabelle5[[#This Row],[value_present]],"1")</f>
        <v>0</v>
      </c>
      <c r="E568" s="4">
        <f>_xlfn.MAXIFS(Tabelle5[[#This Row],[value_points]], Tabelle5[[#This Row],[company_id]],Tabelle18[[#This Row],[company_id]], Tabelle5[[#This Row],[value_id]], Tabelle18[[#This Row],[value_id]], Tabelle5[[#This Row],[value_present]],"1")</f>
        <v>0</v>
      </c>
    </row>
    <row r="569" spans="1:5" x14ac:dyDescent="0.25">
      <c r="A569">
        <v>32</v>
      </c>
      <c r="B569" t="s">
        <v>118</v>
      </c>
      <c r="C569" s="4">
        <f>IF(Tabelle18[[#This Row],[binding_level_company]]&gt;=1,1,0)</f>
        <v>0</v>
      </c>
      <c r="D569" s="4">
        <f>_xlfn.MAXIFS(Tabelle5[[#This Row],[binding_level]], Tabelle5[[#This Row],[company_id]],Tabelle18[[#This Row],[company_id]], Tabelle5[[#This Row],[value_id]], Tabelle18[[#This Row],[value_id]], Tabelle5[[#This Row],[value_present]],"1")</f>
        <v>0</v>
      </c>
      <c r="E569" s="4">
        <f>_xlfn.MAXIFS(Tabelle5[[#This Row],[value_points]], Tabelle5[[#This Row],[company_id]],Tabelle18[[#This Row],[company_id]], Tabelle5[[#This Row],[value_id]], Tabelle18[[#This Row],[value_id]], Tabelle5[[#This Row],[value_present]],"1")</f>
        <v>0</v>
      </c>
    </row>
    <row r="570" spans="1:5" x14ac:dyDescent="0.25">
      <c r="A570">
        <v>32</v>
      </c>
      <c r="B570" t="s">
        <v>125</v>
      </c>
      <c r="C570" s="4">
        <f>IF(Tabelle18[[#This Row],[binding_level_company]]&gt;=1,1,0)</f>
        <v>0</v>
      </c>
      <c r="D570" s="4">
        <f>_xlfn.MAXIFS(Tabelle5[[#This Row],[binding_level]], Tabelle5[[#This Row],[company_id]],Tabelle18[[#This Row],[company_id]], Tabelle5[[#This Row],[value_id]], Tabelle18[[#This Row],[value_id]], Tabelle5[[#This Row],[value_present]],"1")</f>
        <v>0</v>
      </c>
      <c r="E570" s="4">
        <f>_xlfn.MAXIFS(Tabelle5[[#This Row],[value_points]], Tabelle5[[#This Row],[company_id]],Tabelle18[[#This Row],[company_id]], Tabelle5[[#This Row],[value_id]], Tabelle18[[#This Row],[value_id]], Tabelle5[[#This Row],[value_present]],"1")</f>
        <v>0</v>
      </c>
    </row>
    <row r="571" spans="1:5" x14ac:dyDescent="0.25">
      <c r="A571">
        <v>32</v>
      </c>
      <c r="B571" t="s">
        <v>132</v>
      </c>
      <c r="C571" s="4">
        <f>IF(Tabelle18[[#This Row],[binding_level_company]]&gt;=1,1,0)</f>
        <v>0</v>
      </c>
      <c r="D571" s="4">
        <f>_xlfn.MAXIFS(Tabelle5[[#This Row],[binding_level]], Tabelle5[[#This Row],[company_id]],Tabelle18[[#This Row],[company_id]], Tabelle5[[#This Row],[value_id]], Tabelle18[[#This Row],[value_id]], Tabelle5[[#This Row],[value_present]],"1")</f>
        <v>0</v>
      </c>
      <c r="E571" s="4">
        <f>_xlfn.MAXIFS(Tabelle5[[#This Row],[value_points]], Tabelle5[[#This Row],[company_id]],Tabelle18[[#This Row],[company_id]], Tabelle5[[#This Row],[value_id]], Tabelle18[[#This Row],[value_id]], Tabelle5[[#This Row],[value_present]],"1")</f>
        <v>0</v>
      </c>
    </row>
    <row r="572" spans="1:5" x14ac:dyDescent="0.25">
      <c r="A572">
        <v>32</v>
      </c>
      <c r="B572" t="s">
        <v>140</v>
      </c>
      <c r="C572" s="4">
        <f>IF(Tabelle18[[#This Row],[binding_level_company]]&gt;=1,1,0)</f>
        <v>0</v>
      </c>
      <c r="D572" s="4">
        <f>_xlfn.MAXIFS(Tabelle5[[#This Row],[binding_level]], Tabelle5[[#This Row],[company_id]],Tabelle18[[#This Row],[company_id]], Tabelle5[[#This Row],[value_id]], Tabelle18[[#This Row],[value_id]], Tabelle5[[#This Row],[value_present]],"1")</f>
        <v>0</v>
      </c>
      <c r="E572" s="4">
        <f>_xlfn.MAXIFS(Tabelle5[[#This Row],[value_points]], Tabelle5[[#This Row],[company_id]],Tabelle18[[#This Row],[company_id]], Tabelle5[[#This Row],[value_id]], Tabelle18[[#This Row],[value_id]], Tabelle5[[#This Row],[value_present]],"1")</f>
        <v>0</v>
      </c>
    </row>
    <row r="573" spans="1:5" x14ac:dyDescent="0.25">
      <c r="A573">
        <v>32</v>
      </c>
      <c r="B573" t="s">
        <v>147</v>
      </c>
      <c r="C573" s="4">
        <f>IF(Tabelle18[[#This Row],[binding_level_company]]&gt;=1,1,0)</f>
        <v>0</v>
      </c>
      <c r="D573" s="4">
        <f>_xlfn.MAXIFS(Tabelle5[[#This Row],[binding_level]], Tabelle5[[#This Row],[company_id]],Tabelle18[[#This Row],[company_id]], Tabelle5[[#This Row],[value_id]], Tabelle18[[#This Row],[value_id]], Tabelle5[[#This Row],[value_present]],"1")</f>
        <v>0</v>
      </c>
      <c r="E573" s="4">
        <f>_xlfn.MAXIFS(Tabelle5[[#This Row],[value_points]], Tabelle5[[#This Row],[company_id]],Tabelle18[[#This Row],[company_id]], Tabelle5[[#This Row],[value_id]], Tabelle18[[#This Row],[value_id]], Tabelle5[[#This Row],[value_present]],"1")</f>
        <v>0</v>
      </c>
    </row>
    <row r="574" spans="1:5" x14ac:dyDescent="0.25">
      <c r="A574">
        <v>32</v>
      </c>
      <c r="B574" t="s">
        <v>154</v>
      </c>
      <c r="C574" s="4">
        <f>IF(Tabelle18[[#This Row],[binding_level_company]]&gt;=1,1,0)</f>
        <v>0</v>
      </c>
      <c r="D574" s="4">
        <f>_xlfn.MAXIFS(Tabelle5[[#This Row],[binding_level]], Tabelle5[[#This Row],[company_id]],Tabelle18[[#This Row],[company_id]], Tabelle5[[#This Row],[value_id]], Tabelle18[[#This Row],[value_id]], Tabelle5[[#This Row],[value_present]],"1")</f>
        <v>0</v>
      </c>
      <c r="E574" s="4">
        <f>_xlfn.MAXIFS(Tabelle5[[#This Row],[value_points]], Tabelle5[[#This Row],[company_id]],Tabelle18[[#This Row],[company_id]], Tabelle5[[#This Row],[value_id]], Tabelle18[[#This Row],[value_id]], Tabelle5[[#This Row],[value_present]],"1")</f>
        <v>0</v>
      </c>
    </row>
    <row r="575" spans="1:5" x14ac:dyDescent="0.25">
      <c r="A575">
        <v>32</v>
      </c>
      <c r="B575" t="s">
        <v>161</v>
      </c>
      <c r="C575" s="4">
        <f>IF(Tabelle18[[#This Row],[binding_level_company]]&gt;=1,1,0)</f>
        <v>0</v>
      </c>
      <c r="D575" s="4">
        <f>_xlfn.MAXIFS(Tabelle5[[#This Row],[binding_level]], Tabelle5[[#This Row],[company_id]],Tabelle18[[#This Row],[company_id]], Tabelle5[[#This Row],[value_id]], Tabelle18[[#This Row],[value_id]], Tabelle5[[#This Row],[value_present]],"1")</f>
        <v>0</v>
      </c>
      <c r="E575" s="4">
        <f>_xlfn.MAXIFS(Tabelle5[[#This Row],[value_points]], Tabelle5[[#This Row],[company_id]],Tabelle18[[#This Row],[company_id]], Tabelle5[[#This Row],[value_id]], Tabelle18[[#This Row],[value_id]], Tabelle5[[#This Row],[value_present]],"1")</f>
        <v>0</v>
      </c>
    </row>
    <row r="576" spans="1:5" x14ac:dyDescent="0.25">
      <c r="A576">
        <v>32</v>
      </c>
      <c r="B576" t="s">
        <v>166</v>
      </c>
      <c r="C576" s="4">
        <f>IF(Tabelle18[[#This Row],[binding_level_company]]&gt;=1,1,0)</f>
        <v>0</v>
      </c>
      <c r="D576" s="4">
        <f>_xlfn.MAXIFS(Tabelle5[[#This Row],[binding_level]], Tabelle5[[#This Row],[company_id]],Tabelle18[[#This Row],[company_id]], Tabelle5[[#This Row],[value_id]], Tabelle18[[#This Row],[value_id]], Tabelle5[[#This Row],[value_present]],"1")</f>
        <v>0</v>
      </c>
      <c r="E576" s="4">
        <f>_xlfn.MAXIFS(Tabelle5[[#This Row],[value_points]], Tabelle5[[#This Row],[company_id]],Tabelle18[[#This Row],[company_id]], Tabelle5[[#This Row],[value_id]], Tabelle18[[#This Row],[value_id]], Tabelle5[[#This Row],[value_present]],"1")</f>
        <v>0</v>
      </c>
    </row>
    <row r="577" spans="1:5" ht="15.75" thickBot="1" x14ac:dyDescent="0.3">
      <c r="A577">
        <v>32</v>
      </c>
      <c r="B577" s="30" t="s">
        <v>174</v>
      </c>
      <c r="C577" s="4">
        <f>IF(Tabelle18[[#This Row],[binding_level_company]]&gt;=1,1,0)</f>
        <v>0</v>
      </c>
      <c r="D577" s="4">
        <f>_xlfn.MAXIFS(Tabelle5[[#This Row],[binding_level]], Tabelle5[[#This Row],[company_id]],Tabelle18[[#This Row],[company_id]], Tabelle5[[#This Row],[value_id]], Tabelle18[[#This Row],[value_id]], Tabelle5[[#This Row],[value_present]],"1")</f>
        <v>0</v>
      </c>
      <c r="E577" s="4">
        <f>_xlfn.MAXIFS(Tabelle5[[#This Row],[value_points]], Tabelle5[[#This Row],[company_id]],Tabelle18[[#This Row],[company_id]], Tabelle5[[#This Row],[value_id]], Tabelle18[[#This Row],[value_id]], Tabelle5[[#This Row],[value_present]],"1")</f>
        <v>0</v>
      </c>
    </row>
    <row r="578" spans="1:5" x14ac:dyDescent="0.25">
      <c r="A578">
        <v>33</v>
      </c>
      <c r="B578" s="22" t="s">
        <v>53</v>
      </c>
      <c r="C578" s="4">
        <f>IF(Tabelle18[[#This Row],[binding_level_company]]&gt;=1,1,0)</f>
        <v>0</v>
      </c>
      <c r="D578" s="4">
        <f>_xlfn.MAXIFS(Tabelle5[[#This Row],[binding_level]], Tabelle5[[#This Row],[company_id]],Tabelle18[[#This Row],[company_id]], Tabelle5[[#This Row],[value_id]], Tabelle18[[#This Row],[value_id]], Tabelle5[[#This Row],[value_present]],"1")</f>
        <v>0</v>
      </c>
      <c r="E578" s="4">
        <f>_xlfn.MAXIFS(Tabelle5[[#This Row],[value_points]], Tabelle5[[#This Row],[company_id]],Tabelle18[[#This Row],[company_id]], Tabelle5[[#This Row],[value_id]], Tabelle18[[#This Row],[value_id]], Tabelle5[[#This Row],[value_present]],"1")</f>
        <v>0</v>
      </c>
    </row>
    <row r="579" spans="1:5" x14ac:dyDescent="0.25">
      <c r="A579">
        <v>33</v>
      </c>
      <c r="B579" t="s">
        <v>61</v>
      </c>
      <c r="C579" s="4">
        <f>IF(Tabelle18[[#This Row],[binding_level_company]]&gt;=1,1,0)</f>
        <v>0</v>
      </c>
      <c r="D579" s="4">
        <f>_xlfn.MAXIFS(Tabelle5[[#This Row],[binding_level]], Tabelle5[[#This Row],[company_id]],Tabelle18[[#This Row],[company_id]], Tabelle5[[#This Row],[value_id]], Tabelle18[[#This Row],[value_id]], Tabelle5[[#This Row],[value_present]],"1")</f>
        <v>0</v>
      </c>
      <c r="E579" s="4">
        <f>_xlfn.MAXIFS(Tabelle5[[#This Row],[value_points]], Tabelle5[[#This Row],[company_id]],Tabelle18[[#This Row],[company_id]], Tabelle5[[#This Row],[value_id]], Tabelle18[[#This Row],[value_id]], Tabelle5[[#This Row],[value_present]],"1")</f>
        <v>0</v>
      </c>
    </row>
    <row r="580" spans="1:5" x14ac:dyDescent="0.25">
      <c r="A580">
        <v>33</v>
      </c>
      <c r="B580" t="s">
        <v>69</v>
      </c>
      <c r="C580" s="4">
        <f>IF(Tabelle18[[#This Row],[binding_level_company]]&gt;=1,1,0)</f>
        <v>0</v>
      </c>
      <c r="D580" s="4">
        <f>_xlfn.MAXIFS(Tabelle5[[#This Row],[binding_level]], Tabelle5[[#This Row],[company_id]],Tabelle18[[#This Row],[company_id]], Tabelle5[[#This Row],[value_id]], Tabelle18[[#This Row],[value_id]], Tabelle5[[#This Row],[value_present]],"1")</f>
        <v>0</v>
      </c>
      <c r="E580" s="4">
        <f>_xlfn.MAXIFS(Tabelle5[[#This Row],[value_points]], Tabelle5[[#This Row],[company_id]],Tabelle18[[#This Row],[company_id]], Tabelle5[[#This Row],[value_id]], Tabelle18[[#This Row],[value_id]], Tabelle5[[#This Row],[value_present]],"1")</f>
        <v>0</v>
      </c>
    </row>
    <row r="581" spans="1:5" x14ac:dyDescent="0.25">
      <c r="A581">
        <v>33</v>
      </c>
      <c r="B581" t="s">
        <v>76</v>
      </c>
      <c r="C581" s="4">
        <f>IF(Tabelle18[[#This Row],[binding_level_company]]&gt;=1,1,0)</f>
        <v>0</v>
      </c>
      <c r="D581" s="4">
        <f>_xlfn.MAXIFS(Tabelle5[[#This Row],[binding_level]], Tabelle5[[#This Row],[company_id]],Tabelle18[[#This Row],[company_id]], Tabelle5[[#This Row],[value_id]], Tabelle18[[#This Row],[value_id]], Tabelle5[[#This Row],[value_present]],"1")</f>
        <v>0</v>
      </c>
      <c r="E581" s="4">
        <f>_xlfn.MAXIFS(Tabelle5[[#This Row],[value_points]], Tabelle5[[#This Row],[company_id]],Tabelle18[[#This Row],[company_id]], Tabelle5[[#This Row],[value_id]], Tabelle18[[#This Row],[value_id]], Tabelle5[[#This Row],[value_present]],"1")</f>
        <v>0</v>
      </c>
    </row>
    <row r="582" spans="1:5" x14ac:dyDescent="0.25">
      <c r="A582">
        <v>33</v>
      </c>
      <c r="B582" t="s">
        <v>83</v>
      </c>
      <c r="C582" s="4">
        <f>IF(Tabelle18[[#This Row],[binding_level_company]]&gt;=1,1,0)</f>
        <v>0</v>
      </c>
      <c r="D582" s="4">
        <f>_xlfn.MAXIFS(Tabelle5[[#This Row],[binding_level]], Tabelle5[[#This Row],[company_id]],Tabelle18[[#This Row],[company_id]], Tabelle5[[#This Row],[value_id]], Tabelle18[[#This Row],[value_id]], Tabelle5[[#This Row],[value_present]],"1")</f>
        <v>0</v>
      </c>
      <c r="E582" s="4">
        <f>_xlfn.MAXIFS(Tabelle5[[#This Row],[value_points]], Tabelle5[[#This Row],[company_id]],Tabelle18[[#This Row],[company_id]], Tabelle5[[#This Row],[value_id]], Tabelle18[[#This Row],[value_id]], Tabelle5[[#This Row],[value_present]],"1")</f>
        <v>0</v>
      </c>
    </row>
    <row r="583" spans="1:5" x14ac:dyDescent="0.25">
      <c r="A583">
        <v>33</v>
      </c>
      <c r="B583" t="s">
        <v>90</v>
      </c>
      <c r="C583" s="4">
        <f>IF(Tabelle18[[#This Row],[binding_level_company]]&gt;=1,1,0)</f>
        <v>0</v>
      </c>
      <c r="D583" s="4">
        <f>_xlfn.MAXIFS(Tabelle5[[#This Row],[binding_level]], Tabelle5[[#This Row],[company_id]],Tabelle18[[#This Row],[company_id]], Tabelle5[[#This Row],[value_id]], Tabelle18[[#This Row],[value_id]], Tabelle5[[#This Row],[value_present]],"1")</f>
        <v>0</v>
      </c>
      <c r="E583" s="4">
        <f>_xlfn.MAXIFS(Tabelle5[[#This Row],[value_points]], Tabelle5[[#This Row],[company_id]],Tabelle18[[#This Row],[company_id]], Tabelle5[[#This Row],[value_id]], Tabelle18[[#This Row],[value_id]], Tabelle5[[#This Row],[value_present]],"1")</f>
        <v>0</v>
      </c>
    </row>
    <row r="584" spans="1:5" x14ac:dyDescent="0.25">
      <c r="A584">
        <v>33</v>
      </c>
      <c r="B584" t="s">
        <v>98</v>
      </c>
      <c r="C584" s="4">
        <f>IF(Tabelle18[[#This Row],[binding_level_company]]&gt;=1,1,0)</f>
        <v>0</v>
      </c>
      <c r="D584" s="4">
        <f>_xlfn.MAXIFS(Tabelle5[[#This Row],[binding_level]], Tabelle5[[#This Row],[company_id]],Tabelle18[[#This Row],[company_id]], Tabelle5[[#This Row],[value_id]], Tabelle18[[#This Row],[value_id]], Tabelle5[[#This Row],[value_present]],"1")</f>
        <v>0</v>
      </c>
      <c r="E584" s="4">
        <f>_xlfn.MAXIFS(Tabelle5[[#This Row],[value_points]], Tabelle5[[#This Row],[company_id]],Tabelle18[[#This Row],[company_id]], Tabelle5[[#This Row],[value_id]], Tabelle18[[#This Row],[value_id]], Tabelle5[[#This Row],[value_present]],"1")</f>
        <v>0</v>
      </c>
    </row>
    <row r="585" spans="1:5" x14ac:dyDescent="0.25">
      <c r="A585">
        <v>33</v>
      </c>
      <c r="B585" t="s">
        <v>106</v>
      </c>
      <c r="C585" s="4">
        <f>IF(Tabelle18[[#This Row],[binding_level_company]]&gt;=1,1,0)</f>
        <v>0</v>
      </c>
      <c r="D585" s="4">
        <f>_xlfn.MAXIFS(Tabelle5[[#This Row],[binding_level]], Tabelle5[[#This Row],[company_id]],Tabelle18[[#This Row],[company_id]], Tabelle5[[#This Row],[value_id]], Tabelle18[[#This Row],[value_id]], Tabelle5[[#This Row],[value_present]],"1")</f>
        <v>0</v>
      </c>
      <c r="E585" s="4">
        <f>_xlfn.MAXIFS(Tabelle5[[#This Row],[value_points]], Tabelle5[[#This Row],[company_id]],Tabelle18[[#This Row],[company_id]], Tabelle5[[#This Row],[value_id]], Tabelle18[[#This Row],[value_id]], Tabelle5[[#This Row],[value_present]],"1")</f>
        <v>0</v>
      </c>
    </row>
    <row r="586" spans="1:5" x14ac:dyDescent="0.25">
      <c r="A586">
        <v>33</v>
      </c>
      <c r="B586" t="s">
        <v>112</v>
      </c>
      <c r="C586" s="4">
        <f>IF(Tabelle18[[#This Row],[binding_level_company]]&gt;=1,1,0)</f>
        <v>0</v>
      </c>
      <c r="D586" s="4">
        <f>_xlfn.MAXIFS(Tabelle5[[#This Row],[binding_level]], Tabelle5[[#This Row],[company_id]],Tabelle18[[#This Row],[company_id]], Tabelle5[[#This Row],[value_id]], Tabelle18[[#This Row],[value_id]], Tabelle5[[#This Row],[value_present]],"1")</f>
        <v>0</v>
      </c>
      <c r="E586" s="4">
        <f>_xlfn.MAXIFS(Tabelle5[[#This Row],[value_points]], Tabelle5[[#This Row],[company_id]],Tabelle18[[#This Row],[company_id]], Tabelle5[[#This Row],[value_id]], Tabelle18[[#This Row],[value_id]], Tabelle5[[#This Row],[value_present]],"1")</f>
        <v>0</v>
      </c>
    </row>
    <row r="587" spans="1:5" x14ac:dyDescent="0.25">
      <c r="A587">
        <v>33</v>
      </c>
      <c r="B587" t="s">
        <v>118</v>
      </c>
      <c r="C587" s="4">
        <f>IF(Tabelle18[[#This Row],[binding_level_company]]&gt;=1,1,0)</f>
        <v>0</v>
      </c>
      <c r="D587" s="4">
        <f>_xlfn.MAXIFS(Tabelle5[[#This Row],[binding_level]], Tabelle5[[#This Row],[company_id]],Tabelle18[[#This Row],[company_id]], Tabelle5[[#This Row],[value_id]], Tabelle18[[#This Row],[value_id]], Tabelle5[[#This Row],[value_present]],"1")</f>
        <v>0</v>
      </c>
      <c r="E587" s="4">
        <f>_xlfn.MAXIFS(Tabelle5[[#This Row],[value_points]], Tabelle5[[#This Row],[company_id]],Tabelle18[[#This Row],[company_id]], Tabelle5[[#This Row],[value_id]], Tabelle18[[#This Row],[value_id]], Tabelle5[[#This Row],[value_present]],"1")</f>
        <v>0</v>
      </c>
    </row>
    <row r="588" spans="1:5" x14ac:dyDescent="0.25">
      <c r="A588">
        <v>33</v>
      </c>
      <c r="B588" t="s">
        <v>125</v>
      </c>
      <c r="C588" s="4">
        <f>IF(Tabelle18[[#This Row],[binding_level_company]]&gt;=1,1,0)</f>
        <v>0</v>
      </c>
      <c r="D588" s="4">
        <f>_xlfn.MAXIFS(Tabelle5[[#This Row],[binding_level]], Tabelle5[[#This Row],[company_id]],Tabelle18[[#This Row],[company_id]], Tabelle5[[#This Row],[value_id]], Tabelle18[[#This Row],[value_id]], Tabelle5[[#This Row],[value_present]],"1")</f>
        <v>0</v>
      </c>
      <c r="E588" s="4">
        <f>_xlfn.MAXIFS(Tabelle5[[#This Row],[value_points]], Tabelle5[[#This Row],[company_id]],Tabelle18[[#This Row],[company_id]], Tabelle5[[#This Row],[value_id]], Tabelle18[[#This Row],[value_id]], Tabelle5[[#This Row],[value_present]],"1")</f>
        <v>0</v>
      </c>
    </row>
    <row r="589" spans="1:5" x14ac:dyDescent="0.25">
      <c r="A589">
        <v>33</v>
      </c>
      <c r="B589" t="s">
        <v>132</v>
      </c>
      <c r="C589" s="4">
        <f>IF(Tabelle18[[#This Row],[binding_level_company]]&gt;=1,1,0)</f>
        <v>0</v>
      </c>
      <c r="D589" s="4">
        <f>_xlfn.MAXIFS(Tabelle5[[#This Row],[binding_level]], Tabelle5[[#This Row],[company_id]],Tabelle18[[#This Row],[company_id]], Tabelle5[[#This Row],[value_id]], Tabelle18[[#This Row],[value_id]], Tabelle5[[#This Row],[value_present]],"1")</f>
        <v>0</v>
      </c>
      <c r="E589" s="4">
        <f>_xlfn.MAXIFS(Tabelle5[[#This Row],[value_points]], Tabelle5[[#This Row],[company_id]],Tabelle18[[#This Row],[company_id]], Tabelle5[[#This Row],[value_id]], Tabelle18[[#This Row],[value_id]], Tabelle5[[#This Row],[value_present]],"1")</f>
        <v>0</v>
      </c>
    </row>
    <row r="590" spans="1:5" x14ac:dyDescent="0.25">
      <c r="A590">
        <v>33</v>
      </c>
      <c r="B590" t="s">
        <v>140</v>
      </c>
      <c r="C590" s="4">
        <f>IF(Tabelle18[[#This Row],[binding_level_company]]&gt;=1,1,0)</f>
        <v>0</v>
      </c>
      <c r="D590" s="4">
        <f>_xlfn.MAXIFS(Tabelle5[[#This Row],[binding_level]], Tabelle5[[#This Row],[company_id]],Tabelle18[[#This Row],[company_id]], Tabelle5[[#This Row],[value_id]], Tabelle18[[#This Row],[value_id]], Tabelle5[[#This Row],[value_present]],"1")</f>
        <v>0</v>
      </c>
      <c r="E590" s="4">
        <f>_xlfn.MAXIFS(Tabelle5[[#This Row],[value_points]], Tabelle5[[#This Row],[company_id]],Tabelle18[[#This Row],[company_id]], Tabelle5[[#This Row],[value_id]], Tabelle18[[#This Row],[value_id]], Tabelle5[[#This Row],[value_present]],"1")</f>
        <v>0</v>
      </c>
    </row>
    <row r="591" spans="1:5" x14ac:dyDescent="0.25">
      <c r="A591">
        <v>33</v>
      </c>
      <c r="B591" t="s">
        <v>147</v>
      </c>
      <c r="C591" s="4">
        <f>IF(Tabelle18[[#This Row],[binding_level_company]]&gt;=1,1,0)</f>
        <v>0</v>
      </c>
      <c r="D591" s="4">
        <f>_xlfn.MAXIFS(Tabelle5[[#This Row],[binding_level]], Tabelle5[[#This Row],[company_id]],Tabelle18[[#This Row],[company_id]], Tabelle5[[#This Row],[value_id]], Tabelle18[[#This Row],[value_id]], Tabelle5[[#This Row],[value_present]],"1")</f>
        <v>0</v>
      </c>
      <c r="E591" s="4">
        <f>_xlfn.MAXIFS(Tabelle5[[#This Row],[value_points]], Tabelle5[[#This Row],[company_id]],Tabelle18[[#This Row],[company_id]], Tabelle5[[#This Row],[value_id]], Tabelle18[[#This Row],[value_id]], Tabelle5[[#This Row],[value_present]],"1")</f>
        <v>0</v>
      </c>
    </row>
    <row r="592" spans="1:5" x14ac:dyDescent="0.25">
      <c r="A592">
        <v>33</v>
      </c>
      <c r="B592" t="s">
        <v>154</v>
      </c>
      <c r="C592" s="4">
        <f>IF(Tabelle18[[#This Row],[binding_level_company]]&gt;=1,1,0)</f>
        <v>0</v>
      </c>
      <c r="D592" s="4">
        <f>_xlfn.MAXIFS(Tabelle5[[#This Row],[binding_level]], Tabelle5[[#This Row],[company_id]],Tabelle18[[#This Row],[company_id]], Tabelle5[[#This Row],[value_id]], Tabelle18[[#This Row],[value_id]], Tabelle5[[#This Row],[value_present]],"1")</f>
        <v>0</v>
      </c>
      <c r="E592" s="4">
        <f>_xlfn.MAXIFS(Tabelle5[[#This Row],[value_points]], Tabelle5[[#This Row],[company_id]],Tabelle18[[#This Row],[company_id]], Tabelle5[[#This Row],[value_id]], Tabelle18[[#This Row],[value_id]], Tabelle5[[#This Row],[value_present]],"1")</f>
        <v>0</v>
      </c>
    </row>
    <row r="593" spans="1:5" x14ac:dyDescent="0.25">
      <c r="A593">
        <v>33</v>
      </c>
      <c r="B593" t="s">
        <v>161</v>
      </c>
      <c r="C593" s="4">
        <f>IF(Tabelle18[[#This Row],[binding_level_company]]&gt;=1,1,0)</f>
        <v>0</v>
      </c>
      <c r="D593" s="4">
        <f>_xlfn.MAXIFS(Tabelle5[[#This Row],[binding_level]], Tabelle5[[#This Row],[company_id]],Tabelle18[[#This Row],[company_id]], Tabelle5[[#This Row],[value_id]], Tabelle18[[#This Row],[value_id]], Tabelle5[[#This Row],[value_present]],"1")</f>
        <v>0</v>
      </c>
      <c r="E593" s="4">
        <f>_xlfn.MAXIFS(Tabelle5[[#This Row],[value_points]], Tabelle5[[#This Row],[company_id]],Tabelle18[[#This Row],[company_id]], Tabelle5[[#This Row],[value_id]], Tabelle18[[#This Row],[value_id]], Tabelle5[[#This Row],[value_present]],"1")</f>
        <v>0</v>
      </c>
    </row>
    <row r="594" spans="1:5" x14ac:dyDescent="0.25">
      <c r="A594">
        <v>33</v>
      </c>
      <c r="B594" t="s">
        <v>166</v>
      </c>
      <c r="C594" s="4">
        <f>IF(Tabelle18[[#This Row],[binding_level_company]]&gt;=1,1,0)</f>
        <v>0</v>
      </c>
      <c r="D594" s="4">
        <f>_xlfn.MAXIFS(Tabelle5[[#This Row],[binding_level]], Tabelle5[[#This Row],[company_id]],Tabelle18[[#This Row],[company_id]], Tabelle5[[#This Row],[value_id]], Tabelle18[[#This Row],[value_id]], Tabelle5[[#This Row],[value_present]],"1")</f>
        <v>0</v>
      </c>
      <c r="E594" s="4">
        <f>_xlfn.MAXIFS(Tabelle5[[#This Row],[value_points]], Tabelle5[[#This Row],[company_id]],Tabelle18[[#This Row],[company_id]], Tabelle5[[#This Row],[value_id]], Tabelle18[[#This Row],[value_id]], Tabelle5[[#This Row],[value_present]],"1")</f>
        <v>0</v>
      </c>
    </row>
    <row r="595" spans="1:5" ht="15.75" thickBot="1" x14ac:dyDescent="0.3">
      <c r="A595">
        <v>33</v>
      </c>
      <c r="B595" s="30" t="s">
        <v>174</v>
      </c>
      <c r="C595" s="4">
        <f>IF(Tabelle18[[#This Row],[binding_level_company]]&gt;=1,1,0)</f>
        <v>0</v>
      </c>
      <c r="D595" s="4">
        <f>_xlfn.MAXIFS(Tabelle5[[#This Row],[binding_level]], Tabelle5[[#This Row],[company_id]],Tabelle18[[#This Row],[company_id]], Tabelle5[[#This Row],[value_id]], Tabelle18[[#This Row],[value_id]], Tabelle5[[#This Row],[value_present]],"1")</f>
        <v>0</v>
      </c>
      <c r="E595" s="4">
        <f>_xlfn.MAXIFS(Tabelle5[[#This Row],[value_points]], Tabelle5[[#This Row],[company_id]],Tabelle18[[#This Row],[company_id]], Tabelle5[[#This Row],[value_id]], Tabelle18[[#This Row],[value_id]], Tabelle5[[#This Row],[value_present]],"1")</f>
        <v>0</v>
      </c>
    </row>
    <row r="596" spans="1:5" x14ac:dyDescent="0.25">
      <c r="A596">
        <v>34</v>
      </c>
      <c r="B596" s="22" t="s">
        <v>53</v>
      </c>
      <c r="C596" s="4">
        <f>IF(Tabelle18[[#This Row],[binding_level_company]]&gt;=1,1,0)</f>
        <v>0</v>
      </c>
      <c r="D596" s="4">
        <f>_xlfn.MAXIFS(Tabelle5[[#This Row],[binding_level]], Tabelle5[[#This Row],[company_id]],Tabelle18[[#This Row],[company_id]], Tabelle5[[#This Row],[value_id]], Tabelle18[[#This Row],[value_id]], Tabelle5[[#This Row],[value_present]],"1")</f>
        <v>0</v>
      </c>
      <c r="E596" s="4">
        <f>_xlfn.MAXIFS(Tabelle5[[#This Row],[value_points]], Tabelle5[[#This Row],[company_id]],Tabelle18[[#This Row],[company_id]], Tabelle5[[#This Row],[value_id]], Tabelle18[[#This Row],[value_id]], Tabelle5[[#This Row],[value_present]],"1")</f>
        <v>0</v>
      </c>
    </row>
    <row r="597" spans="1:5" x14ac:dyDescent="0.25">
      <c r="A597">
        <v>34</v>
      </c>
      <c r="B597" t="s">
        <v>61</v>
      </c>
      <c r="C597" s="4">
        <f>IF(Tabelle18[[#This Row],[binding_level_company]]&gt;=1,1,0)</f>
        <v>0</v>
      </c>
      <c r="D597" s="4">
        <f>_xlfn.MAXIFS(Tabelle5[[#This Row],[binding_level]], Tabelle5[[#This Row],[company_id]],Tabelle18[[#This Row],[company_id]], Tabelle5[[#This Row],[value_id]], Tabelle18[[#This Row],[value_id]], Tabelle5[[#This Row],[value_present]],"1")</f>
        <v>0</v>
      </c>
      <c r="E597" s="4">
        <f>_xlfn.MAXIFS(Tabelle5[[#This Row],[value_points]], Tabelle5[[#This Row],[company_id]],Tabelle18[[#This Row],[company_id]], Tabelle5[[#This Row],[value_id]], Tabelle18[[#This Row],[value_id]], Tabelle5[[#This Row],[value_present]],"1")</f>
        <v>0</v>
      </c>
    </row>
    <row r="598" spans="1:5" x14ac:dyDescent="0.25">
      <c r="A598">
        <v>34</v>
      </c>
      <c r="B598" t="s">
        <v>69</v>
      </c>
      <c r="C598" s="4">
        <f>IF(Tabelle18[[#This Row],[binding_level_company]]&gt;=1,1,0)</f>
        <v>0</v>
      </c>
      <c r="D598" s="4">
        <f>_xlfn.MAXIFS(Tabelle5[[#This Row],[binding_level]], Tabelle5[[#This Row],[company_id]],Tabelle18[[#This Row],[company_id]], Tabelle5[[#This Row],[value_id]], Tabelle18[[#This Row],[value_id]], Tabelle5[[#This Row],[value_present]],"1")</f>
        <v>0</v>
      </c>
      <c r="E598" s="4">
        <f>_xlfn.MAXIFS(Tabelle5[[#This Row],[value_points]], Tabelle5[[#This Row],[company_id]],Tabelle18[[#This Row],[company_id]], Tabelle5[[#This Row],[value_id]], Tabelle18[[#This Row],[value_id]], Tabelle5[[#This Row],[value_present]],"1")</f>
        <v>0</v>
      </c>
    </row>
    <row r="599" spans="1:5" x14ac:dyDescent="0.25">
      <c r="A599">
        <v>34</v>
      </c>
      <c r="B599" t="s">
        <v>76</v>
      </c>
      <c r="C599" s="4">
        <f>IF(Tabelle18[[#This Row],[binding_level_company]]&gt;=1,1,0)</f>
        <v>0</v>
      </c>
      <c r="D599" s="4">
        <f>_xlfn.MAXIFS(Tabelle5[[#This Row],[binding_level]], Tabelle5[[#This Row],[company_id]],Tabelle18[[#This Row],[company_id]], Tabelle5[[#This Row],[value_id]], Tabelle18[[#This Row],[value_id]], Tabelle5[[#This Row],[value_present]],"1")</f>
        <v>0</v>
      </c>
      <c r="E599" s="4">
        <f>_xlfn.MAXIFS(Tabelle5[[#This Row],[value_points]], Tabelle5[[#This Row],[company_id]],Tabelle18[[#This Row],[company_id]], Tabelle5[[#This Row],[value_id]], Tabelle18[[#This Row],[value_id]], Tabelle5[[#This Row],[value_present]],"1")</f>
        <v>0</v>
      </c>
    </row>
    <row r="600" spans="1:5" x14ac:dyDescent="0.25">
      <c r="A600">
        <v>34</v>
      </c>
      <c r="B600" t="s">
        <v>83</v>
      </c>
      <c r="C600" s="4">
        <f>IF(Tabelle18[[#This Row],[binding_level_company]]&gt;=1,1,0)</f>
        <v>0</v>
      </c>
      <c r="D600" s="4">
        <f>_xlfn.MAXIFS(Tabelle5[[#This Row],[binding_level]], Tabelle5[[#This Row],[company_id]],Tabelle18[[#This Row],[company_id]], Tabelle5[[#This Row],[value_id]], Tabelle18[[#This Row],[value_id]], Tabelle5[[#This Row],[value_present]],"1")</f>
        <v>0</v>
      </c>
      <c r="E600" s="4">
        <f>_xlfn.MAXIFS(Tabelle5[[#This Row],[value_points]], Tabelle5[[#This Row],[company_id]],Tabelle18[[#This Row],[company_id]], Tabelle5[[#This Row],[value_id]], Tabelle18[[#This Row],[value_id]], Tabelle5[[#This Row],[value_present]],"1")</f>
        <v>0</v>
      </c>
    </row>
    <row r="601" spans="1:5" x14ac:dyDescent="0.25">
      <c r="A601">
        <v>34</v>
      </c>
      <c r="B601" t="s">
        <v>90</v>
      </c>
      <c r="C601" s="4">
        <f>IF(Tabelle18[[#This Row],[binding_level_company]]&gt;=1,1,0)</f>
        <v>0</v>
      </c>
      <c r="D601" s="4">
        <f>_xlfn.MAXIFS(Tabelle5[[#This Row],[binding_level]], Tabelle5[[#This Row],[company_id]],Tabelle18[[#This Row],[company_id]], Tabelle5[[#This Row],[value_id]], Tabelle18[[#This Row],[value_id]], Tabelle5[[#This Row],[value_present]],"1")</f>
        <v>0</v>
      </c>
      <c r="E601" s="4">
        <f>_xlfn.MAXIFS(Tabelle5[[#This Row],[value_points]], Tabelle5[[#This Row],[company_id]],Tabelle18[[#This Row],[company_id]], Tabelle5[[#This Row],[value_id]], Tabelle18[[#This Row],[value_id]], Tabelle5[[#This Row],[value_present]],"1")</f>
        <v>0</v>
      </c>
    </row>
    <row r="602" spans="1:5" x14ac:dyDescent="0.25">
      <c r="A602">
        <v>34</v>
      </c>
      <c r="B602" t="s">
        <v>98</v>
      </c>
      <c r="C602" s="4">
        <f>IF(Tabelle18[[#This Row],[binding_level_company]]&gt;=1,1,0)</f>
        <v>0</v>
      </c>
      <c r="D602" s="4">
        <f>_xlfn.MAXIFS(Tabelle5[[#This Row],[binding_level]], Tabelle5[[#This Row],[company_id]],Tabelle18[[#This Row],[company_id]], Tabelle5[[#This Row],[value_id]], Tabelle18[[#This Row],[value_id]], Tabelle5[[#This Row],[value_present]],"1")</f>
        <v>0</v>
      </c>
      <c r="E602" s="4">
        <f>_xlfn.MAXIFS(Tabelle5[[#This Row],[value_points]], Tabelle5[[#This Row],[company_id]],Tabelle18[[#This Row],[company_id]], Tabelle5[[#This Row],[value_id]], Tabelle18[[#This Row],[value_id]], Tabelle5[[#This Row],[value_present]],"1")</f>
        <v>0</v>
      </c>
    </row>
    <row r="603" spans="1:5" x14ac:dyDescent="0.25">
      <c r="A603">
        <v>34</v>
      </c>
      <c r="B603" t="s">
        <v>106</v>
      </c>
      <c r="C603" s="4">
        <f>IF(Tabelle18[[#This Row],[binding_level_company]]&gt;=1,1,0)</f>
        <v>0</v>
      </c>
      <c r="D603" s="4">
        <f>_xlfn.MAXIFS(Tabelle5[[#This Row],[binding_level]], Tabelle5[[#This Row],[company_id]],Tabelle18[[#This Row],[company_id]], Tabelle5[[#This Row],[value_id]], Tabelle18[[#This Row],[value_id]], Tabelle5[[#This Row],[value_present]],"1")</f>
        <v>0</v>
      </c>
      <c r="E603" s="4">
        <f>_xlfn.MAXIFS(Tabelle5[[#This Row],[value_points]], Tabelle5[[#This Row],[company_id]],Tabelle18[[#This Row],[company_id]], Tabelle5[[#This Row],[value_id]], Tabelle18[[#This Row],[value_id]], Tabelle5[[#This Row],[value_present]],"1")</f>
        <v>0</v>
      </c>
    </row>
    <row r="604" spans="1:5" x14ac:dyDescent="0.25">
      <c r="A604">
        <v>34</v>
      </c>
      <c r="B604" t="s">
        <v>112</v>
      </c>
      <c r="C604" s="4">
        <f>IF(Tabelle18[[#This Row],[binding_level_company]]&gt;=1,1,0)</f>
        <v>0</v>
      </c>
      <c r="D604" s="4">
        <f>_xlfn.MAXIFS(Tabelle5[[#This Row],[binding_level]], Tabelle5[[#This Row],[company_id]],Tabelle18[[#This Row],[company_id]], Tabelle5[[#This Row],[value_id]], Tabelle18[[#This Row],[value_id]], Tabelle5[[#This Row],[value_present]],"1")</f>
        <v>0</v>
      </c>
      <c r="E604" s="4">
        <f>_xlfn.MAXIFS(Tabelle5[[#This Row],[value_points]], Tabelle5[[#This Row],[company_id]],Tabelle18[[#This Row],[company_id]], Tabelle5[[#This Row],[value_id]], Tabelle18[[#This Row],[value_id]], Tabelle5[[#This Row],[value_present]],"1")</f>
        <v>0</v>
      </c>
    </row>
    <row r="605" spans="1:5" x14ac:dyDescent="0.25">
      <c r="A605">
        <v>34</v>
      </c>
      <c r="B605" t="s">
        <v>118</v>
      </c>
      <c r="C605" s="4">
        <f>IF(Tabelle18[[#This Row],[binding_level_company]]&gt;=1,1,0)</f>
        <v>0</v>
      </c>
      <c r="D605" s="4">
        <f>_xlfn.MAXIFS(Tabelle5[[#This Row],[binding_level]], Tabelle5[[#This Row],[company_id]],Tabelle18[[#This Row],[company_id]], Tabelle5[[#This Row],[value_id]], Tabelle18[[#This Row],[value_id]], Tabelle5[[#This Row],[value_present]],"1")</f>
        <v>0</v>
      </c>
      <c r="E605" s="4">
        <f>_xlfn.MAXIFS(Tabelle5[[#This Row],[value_points]], Tabelle5[[#This Row],[company_id]],Tabelle18[[#This Row],[company_id]], Tabelle5[[#This Row],[value_id]], Tabelle18[[#This Row],[value_id]], Tabelle5[[#This Row],[value_present]],"1")</f>
        <v>0</v>
      </c>
    </row>
    <row r="606" spans="1:5" x14ac:dyDescent="0.25">
      <c r="A606">
        <v>34</v>
      </c>
      <c r="B606" t="s">
        <v>125</v>
      </c>
      <c r="C606" s="4">
        <f>IF(Tabelle18[[#This Row],[binding_level_company]]&gt;=1,1,0)</f>
        <v>0</v>
      </c>
      <c r="D606" s="4">
        <f>_xlfn.MAXIFS(Tabelle5[[#This Row],[binding_level]], Tabelle5[[#This Row],[company_id]],Tabelle18[[#This Row],[company_id]], Tabelle5[[#This Row],[value_id]], Tabelle18[[#This Row],[value_id]], Tabelle5[[#This Row],[value_present]],"1")</f>
        <v>0</v>
      </c>
      <c r="E606" s="4">
        <f>_xlfn.MAXIFS(Tabelle5[[#This Row],[value_points]], Tabelle5[[#This Row],[company_id]],Tabelle18[[#This Row],[company_id]], Tabelle5[[#This Row],[value_id]], Tabelle18[[#This Row],[value_id]], Tabelle5[[#This Row],[value_present]],"1")</f>
        <v>0</v>
      </c>
    </row>
    <row r="607" spans="1:5" x14ac:dyDescent="0.25">
      <c r="A607">
        <v>34</v>
      </c>
      <c r="B607" t="s">
        <v>132</v>
      </c>
      <c r="C607" s="4">
        <f>IF(Tabelle18[[#This Row],[binding_level_company]]&gt;=1,1,0)</f>
        <v>0</v>
      </c>
      <c r="D607" s="4">
        <f>_xlfn.MAXIFS(Tabelle5[[#This Row],[binding_level]], Tabelle5[[#This Row],[company_id]],Tabelle18[[#This Row],[company_id]], Tabelle5[[#This Row],[value_id]], Tabelle18[[#This Row],[value_id]], Tabelle5[[#This Row],[value_present]],"1")</f>
        <v>0</v>
      </c>
      <c r="E607" s="4">
        <f>_xlfn.MAXIFS(Tabelle5[[#This Row],[value_points]], Tabelle5[[#This Row],[company_id]],Tabelle18[[#This Row],[company_id]], Tabelle5[[#This Row],[value_id]], Tabelle18[[#This Row],[value_id]], Tabelle5[[#This Row],[value_present]],"1")</f>
        <v>0</v>
      </c>
    </row>
    <row r="608" spans="1:5" x14ac:dyDescent="0.25">
      <c r="A608">
        <v>34</v>
      </c>
      <c r="B608" t="s">
        <v>140</v>
      </c>
      <c r="C608" s="4">
        <f>IF(Tabelle18[[#This Row],[binding_level_company]]&gt;=1,1,0)</f>
        <v>0</v>
      </c>
      <c r="D608" s="4">
        <f>_xlfn.MAXIFS(Tabelle5[[#This Row],[binding_level]], Tabelle5[[#This Row],[company_id]],Tabelle18[[#This Row],[company_id]], Tabelle5[[#This Row],[value_id]], Tabelle18[[#This Row],[value_id]], Tabelle5[[#This Row],[value_present]],"1")</f>
        <v>0</v>
      </c>
      <c r="E608" s="4">
        <f>_xlfn.MAXIFS(Tabelle5[[#This Row],[value_points]], Tabelle5[[#This Row],[company_id]],Tabelle18[[#This Row],[company_id]], Tabelle5[[#This Row],[value_id]], Tabelle18[[#This Row],[value_id]], Tabelle5[[#This Row],[value_present]],"1")</f>
        <v>0</v>
      </c>
    </row>
    <row r="609" spans="1:5" x14ac:dyDescent="0.25">
      <c r="A609">
        <v>34</v>
      </c>
      <c r="B609" t="s">
        <v>147</v>
      </c>
      <c r="C609" s="4">
        <f>IF(Tabelle18[[#This Row],[binding_level_company]]&gt;=1,1,0)</f>
        <v>0</v>
      </c>
      <c r="D609" s="4">
        <f>_xlfn.MAXIFS(Tabelle5[[#This Row],[binding_level]], Tabelle5[[#This Row],[company_id]],Tabelle18[[#This Row],[company_id]], Tabelle5[[#This Row],[value_id]], Tabelle18[[#This Row],[value_id]], Tabelle5[[#This Row],[value_present]],"1")</f>
        <v>0</v>
      </c>
      <c r="E609" s="4">
        <f>_xlfn.MAXIFS(Tabelle5[[#This Row],[value_points]], Tabelle5[[#This Row],[company_id]],Tabelle18[[#This Row],[company_id]], Tabelle5[[#This Row],[value_id]], Tabelle18[[#This Row],[value_id]], Tabelle5[[#This Row],[value_present]],"1")</f>
        <v>0</v>
      </c>
    </row>
    <row r="610" spans="1:5" x14ac:dyDescent="0.25">
      <c r="A610">
        <v>34</v>
      </c>
      <c r="B610" t="s">
        <v>154</v>
      </c>
      <c r="C610" s="4">
        <f>IF(Tabelle18[[#This Row],[binding_level_company]]&gt;=1,1,0)</f>
        <v>0</v>
      </c>
      <c r="D610" s="4">
        <f>_xlfn.MAXIFS(Tabelle5[[#This Row],[binding_level]], Tabelle5[[#This Row],[company_id]],Tabelle18[[#This Row],[company_id]], Tabelle5[[#This Row],[value_id]], Tabelle18[[#This Row],[value_id]], Tabelle5[[#This Row],[value_present]],"1")</f>
        <v>0</v>
      </c>
      <c r="E610" s="4">
        <f>_xlfn.MAXIFS(Tabelle5[[#This Row],[value_points]], Tabelle5[[#This Row],[company_id]],Tabelle18[[#This Row],[company_id]], Tabelle5[[#This Row],[value_id]], Tabelle18[[#This Row],[value_id]], Tabelle5[[#This Row],[value_present]],"1")</f>
        <v>0</v>
      </c>
    </row>
    <row r="611" spans="1:5" x14ac:dyDescent="0.25">
      <c r="A611">
        <v>34</v>
      </c>
      <c r="B611" t="s">
        <v>161</v>
      </c>
      <c r="C611" s="4">
        <f>IF(Tabelle18[[#This Row],[binding_level_company]]&gt;=1,1,0)</f>
        <v>0</v>
      </c>
      <c r="D611" s="4">
        <f>_xlfn.MAXIFS(Tabelle5[[#This Row],[binding_level]], Tabelle5[[#This Row],[company_id]],Tabelle18[[#This Row],[company_id]], Tabelle5[[#This Row],[value_id]], Tabelle18[[#This Row],[value_id]], Tabelle5[[#This Row],[value_present]],"1")</f>
        <v>0</v>
      </c>
      <c r="E611" s="4">
        <f>_xlfn.MAXIFS(Tabelle5[[#This Row],[value_points]], Tabelle5[[#This Row],[company_id]],Tabelle18[[#This Row],[company_id]], Tabelle5[[#This Row],[value_id]], Tabelle18[[#This Row],[value_id]], Tabelle5[[#This Row],[value_present]],"1")</f>
        <v>0</v>
      </c>
    </row>
    <row r="612" spans="1:5" x14ac:dyDescent="0.25">
      <c r="A612">
        <v>34</v>
      </c>
      <c r="B612" t="s">
        <v>166</v>
      </c>
      <c r="C612" s="4">
        <f>IF(Tabelle18[[#This Row],[binding_level_company]]&gt;=1,1,0)</f>
        <v>0</v>
      </c>
      <c r="D612" s="4">
        <f>_xlfn.MAXIFS(Tabelle5[[#This Row],[binding_level]], Tabelle5[[#This Row],[company_id]],Tabelle18[[#This Row],[company_id]], Tabelle5[[#This Row],[value_id]], Tabelle18[[#This Row],[value_id]], Tabelle5[[#This Row],[value_present]],"1")</f>
        <v>0</v>
      </c>
      <c r="E612" s="4">
        <f>_xlfn.MAXIFS(Tabelle5[[#This Row],[value_points]], Tabelle5[[#This Row],[company_id]],Tabelle18[[#This Row],[company_id]], Tabelle5[[#This Row],[value_id]], Tabelle18[[#This Row],[value_id]], Tabelle5[[#This Row],[value_present]],"1")</f>
        <v>0</v>
      </c>
    </row>
    <row r="613" spans="1:5" ht="15.75" thickBot="1" x14ac:dyDescent="0.3">
      <c r="A613">
        <v>34</v>
      </c>
      <c r="B613" s="30" t="s">
        <v>174</v>
      </c>
      <c r="C613" s="4">
        <f>IF(Tabelle18[[#This Row],[binding_level_company]]&gt;=1,1,0)</f>
        <v>0</v>
      </c>
      <c r="D613" s="4">
        <f>_xlfn.MAXIFS(Tabelle5[[#This Row],[binding_level]], Tabelle5[[#This Row],[company_id]],Tabelle18[[#This Row],[company_id]], Tabelle5[[#This Row],[value_id]], Tabelle18[[#This Row],[value_id]], Tabelle5[[#This Row],[value_present]],"1")</f>
        <v>0</v>
      </c>
      <c r="E613" s="4">
        <f>_xlfn.MAXIFS(Tabelle5[[#This Row],[value_points]], Tabelle5[[#This Row],[company_id]],Tabelle18[[#This Row],[company_id]], Tabelle5[[#This Row],[value_id]], Tabelle18[[#This Row],[value_id]], Tabelle5[[#This Row],[value_present]],"1")</f>
        <v>0</v>
      </c>
    </row>
    <row r="614" spans="1:5" x14ac:dyDescent="0.25">
      <c r="A614">
        <v>35</v>
      </c>
      <c r="B614" s="22" t="s">
        <v>53</v>
      </c>
      <c r="C614" s="4">
        <f>IF(Tabelle18[[#This Row],[binding_level_company]]&gt;=1,1,0)</f>
        <v>0</v>
      </c>
      <c r="D614" s="4">
        <f>_xlfn.MAXIFS(Tabelle5[[#This Row],[binding_level]], Tabelle5[[#This Row],[company_id]],Tabelle18[[#This Row],[company_id]], Tabelle5[[#This Row],[value_id]], Tabelle18[[#This Row],[value_id]], Tabelle5[[#This Row],[value_present]],"1")</f>
        <v>0</v>
      </c>
      <c r="E614" s="4">
        <f>_xlfn.MAXIFS(Tabelle5[[#This Row],[value_points]], Tabelle5[[#This Row],[company_id]],Tabelle18[[#This Row],[company_id]], Tabelle5[[#This Row],[value_id]], Tabelle18[[#This Row],[value_id]], Tabelle5[[#This Row],[value_present]],"1")</f>
        <v>0</v>
      </c>
    </row>
    <row r="615" spans="1:5" x14ac:dyDescent="0.25">
      <c r="A615">
        <v>35</v>
      </c>
      <c r="B615" t="s">
        <v>61</v>
      </c>
      <c r="C615" s="4">
        <f>IF(Tabelle18[[#This Row],[binding_level_company]]&gt;=1,1,0)</f>
        <v>0</v>
      </c>
      <c r="D615" s="4">
        <f>_xlfn.MAXIFS(Tabelle5[[#This Row],[binding_level]], Tabelle5[[#This Row],[company_id]],Tabelle18[[#This Row],[company_id]], Tabelle5[[#This Row],[value_id]], Tabelle18[[#This Row],[value_id]], Tabelle5[[#This Row],[value_present]],"1")</f>
        <v>0</v>
      </c>
      <c r="E615" s="4">
        <f>_xlfn.MAXIFS(Tabelle5[[#This Row],[value_points]], Tabelle5[[#This Row],[company_id]],Tabelle18[[#This Row],[company_id]], Tabelle5[[#This Row],[value_id]], Tabelle18[[#This Row],[value_id]], Tabelle5[[#This Row],[value_present]],"1")</f>
        <v>0</v>
      </c>
    </row>
    <row r="616" spans="1:5" x14ac:dyDescent="0.25">
      <c r="A616">
        <v>35</v>
      </c>
      <c r="B616" t="s">
        <v>69</v>
      </c>
      <c r="C616" s="4">
        <f>IF(Tabelle18[[#This Row],[binding_level_company]]&gt;=1,1,0)</f>
        <v>0</v>
      </c>
      <c r="D616" s="4">
        <f>_xlfn.MAXIFS(Tabelle5[[#This Row],[binding_level]], Tabelle5[[#This Row],[company_id]],Tabelle18[[#This Row],[company_id]], Tabelle5[[#This Row],[value_id]], Tabelle18[[#This Row],[value_id]], Tabelle5[[#This Row],[value_present]],"1")</f>
        <v>0</v>
      </c>
      <c r="E616" s="4">
        <f>_xlfn.MAXIFS(Tabelle5[[#This Row],[value_points]], Tabelle5[[#This Row],[company_id]],Tabelle18[[#This Row],[company_id]], Tabelle5[[#This Row],[value_id]], Tabelle18[[#This Row],[value_id]], Tabelle5[[#This Row],[value_present]],"1")</f>
        <v>0</v>
      </c>
    </row>
    <row r="617" spans="1:5" x14ac:dyDescent="0.25">
      <c r="A617">
        <v>35</v>
      </c>
      <c r="B617" t="s">
        <v>76</v>
      </c>
      <c r="C617" s="4">
        <f>IF(Tabelle18[[#This Row],[binding_level_company]]&gt;=1,1,0)</f>
        <v>0</v>
      </c>
      <c r="D617" s="4">
        <f>_xlfn.MAXIFS(Tabelle5[[#This Row],[binding_level]], Tabelle5[[#This Row],[company_id]],Tabelle18[[#This Row],[company_id]], Tabelle5[[#This Row],[value_id]], Tabelle18[[#This Row],[value_id]], Tabelle5[[#This Row],[value_present]],"1")</f>
        <v>0</v>
      </c>
      <c r="E617" s="4">
        <f>_xlfn.MAXIFS(Tabelle5[[#This Row],[value_points]], Tabelle5[[#This Row],[company_id]],Tabelle18[[#This Row],[company_id]], Tabelle5[[#This Row],[value_id]], Tabelle18[[#This Row],[value_id]], Tabelle5[[#This Row],[value_present]],"1")</f>
        <v>0</v>
      </c>
    </row>
    <row r="618" spans="1:5" x14ac:dyDescent="0.25">
      <c r="A618">
        <v>35</v>
      </c>
      <c r="B618" t="s">
        <v>83</v>
      </c>
      <c r="C618" s="4">
        <f>IF(Tabelle18[[#This Row],[binding_level_company]]&gt;=1,1,0)</f>
        <v>0</v>
      </c>
      <c r="D618" s="4">
        <f>_xlfn.MAXIFS(Tabelle5[[#This Row],[binding_level]], Tabelle5[[#This Row],[company_id]],Tabelle18[[#This Row],[company_id]], Tabelle5[[#This Row],[value_id]], Tabelle18[[#This Row],[value_id]], Tabelle5[[#This Row],[value_present]],"1")</f>
        <v>0</v>
      </c>
      <c r="E618" s="4">
        <f>_xlfn.MAXIFS(Tabelle5[[#This Row],[value_points]], Tabelle5[[#This Row],[company_id]],Tabelle18[[#This Row],[company_id]], Tabelle5[[#This Row],[value_id]], Tabelle18[[#This Row],[value_id]], Tabelle5[[#This Row],[value_present]],"1")</f>
        <v>0</v>
      </c>
    </row>
    <row r="619" spans="1:5" x14ac:dyDescent="0.25">
      <c r="A619">
        <v>35</v>
      </c>
      <c r="B619" t="s">
        <v>90</v>
      </c>
      <c r="C619" s="4">
        <f>IF(Tabelle18[[#This Row],[binding_level_company]]&gt;=1,1,0)</f>
        <v>0</v>
      </c>
      <c r="D619" s="4">
        <f>_xlfn.MAXIFS(Tabelle5[[#This Row],[binding_level]], Tabelle5[[#This Row],[company_id]],Tabelle18[[#This Row],[company_id]], Tabelle5[[#This Row],[value_id]], Tabelle18[[#This Row],[value_id]], Tabelle5[[#This Row],[value_present]],"1")</f>
        <v>0</v>
      </c>
      <c r="E619" s="4">
        <f>_xlfn.MAXIFS(Tabelle5[[#This Row],[value_points]], Tabelle5[[#This Row],[company_id]],Tabelle18[[#This Row],[company_id]], Tabelle5[[#This Row],[value_id]], Tabelle18[[#This Row],[value_id]], Tabelle5[[#This Row],[value_present]],"1")</f>
        <v>0</v>
      </c>
    </row>
    <row r="620" spans="1:5" x14ac:dyDescent="0.25">
      <c r="A620">
        <v>35</v>
      </c>
      <c r="B620" t="s">
        <v>98</v>
      </c>
      <c r="C620" s="4">
        <f>IF(Tabelle18[[#This Row],[binding_level_company]]&gt;=1,1,0)</f>
        <v>0</v>
      </c>
      <c r="D620" s="4">
        <f>_xlfn.MAXIFS(Tabelle5[[#This Row],[binding_level]], Tabelle5[[#This Row],[company_id]],Tabelle18[[#This Row],[company_id]], Tabelle5[[#This Row],[value_id]], Tabelle18[[#This Row],[value_id]], Tabelle5[[#This Row],[value_present]],"1")</f>
        <v>0</v>
      </c>
      <c r="E620" s="4">
        <f>_xlfn.MAXIFS(Tabelle5[[#This Row],[value_points]], Tabelle5[[#This Row],[company_id]],Tabelle18[[#This Row],[company_id]], Tabelle5[[#This Row],[value_id]], Tabelle18[[#This Row],[value_id]], Tabelle5[[#This Row],[value_present]],"1")</f>
        <v>0</v>
      </c>
    </row>
    <row r="621" spans="1:5" x14ac:dyDescent="0.25">
      <c r="A621">
        <v>35</v>
      </c>
      <c r="B621" t="s">
        <v>106</v>
      </c>
      <c r="C621" s="4">
        <f>IF(Tabelle18[[#This Row],[binding_level_company]]&gt;=1,1,0)</f>
        <v>0</v>
      </c>
      <c r="D621" s="4">
        <f>_xlfn.MAXIFS(Tabelle5[[#This Row],[binding_level]], Tabelle5[[#This Row],[company_id]],Tabelle18[[#This Row],[company_id]], Tabelle5[[#This Row],[value_id]], Tabelle18[[#This Row],[value_id]], Tabelle5[[#This Row],[value_present]],"1")</f>
        <v>0</v>
      </c>
      <c r="E621" s="4">
        <f>_xlfn.MAXIFS(Tabelle5[[#This Row],[value_points]], Tabelle5[[#This Row],[company_id]],Tabelle18[[#This Row],[company_id]], Tabelle5[[#This Row],[value_id]], Tabelle18[[#This Row],[value_id]], Tabelle5[[#This Row],[value_present]],"1")</f>
        <v>0</v>
      </c>
    </row>
    <row r="622" spans="1:5" x14ac:dyDescent="0.25">
      <c r="A622">
        <v>35</v>
      </c>
      <c r="B622" t="s">
        <v>112</v>
      </c>
      <c r="C622" s="4">
        <f>IF(Tabelle18[[#This Row],[binding_level_company]]&gt;=1,1,0)</f>
        <v>0</v>
      </c>
      <c r="D622" s="4">
        <f>_xlfn.MAXIFS(Tabelle5[[#This Row],[binding_level]], Tabelle5[[#This Row],[company_id]],Tabelle18[[#This Row],[company_id]], Tabelle5[[#This Row],[value_id]], Tabelle18[[#This Row],[value_id]], Tabelle5[[#This Row],[value_present]],"1")</f>
        <v>0</v>
      </c>
      <c r="E622" s="4">
        <f>_xlfn.MAXIFS(Tabelle5[[#This Row],[value_points]], Tabelle5[[#This Row],[company_id]],Tabelle18[[#This Row],[company_id]], Tabelle5[[#This Row],[value_id]], Tabelle18[[#This Row],[value_id]], Tabelle5[[#This Row],[value_present]],"1")</f>
        <v>0</v>
      </c>
    </row>
    <row r="623" spans="1:5" x14ac:dyDescent="0.25">
      <c r="A623">
        <v>35</v>
      </c>
      <c r="B623" t="s">
        <v>118</v>
      </c>
      <c r="C623" s="4">
        <f>IF(Tabelle18[[#This Row],[binding_level_company]]&gt;=1,1,0)</f>
        <v>0</v>
      </c>
      <c r="D623" s="4">
        <f>_xlfn.MAXIFS(Tabelle5[[#This Row],[binding_level]], Tabelle5[[#This Row],[company_id]],Tabelle18[[#This Row],[company_id]], Tabelle5[[#This Row],[value_id]], Tabelle18[[#This Row],[value_id]], Tabelle5[[#This Row],[value_present]],"1")</f>
        <v>0</v>
      </c>
      <c r="E623" s="4">
        <f>_xlfn.MAXIFS(Tabelle5[[#This Row],[value_points]], Tabelle5[[#This Row],[company_id]],Tabelle18[[#This Row],[company_id]], Tabelle5[[#This Row],[value_id]], Tabelle18[[#This Row],[value_id]], Tabelle5[[#This Row],[value_present]],"1")</f>
        <v>0</v>
      </c>
    </row>
    <row r="624" spans="1:5" x14ac:dyDescent="0.25">
      <c r="A624">
        <v>35</v>
      </c>
      <c r="B624" t="s">
        <v>125</v>
      </c>
      <c r="C624" s="4">
        <f>IF(Tabelle18[[#This Row],[binding_level_company]]&gt;=1,1,0)</f>
        <v>0</v>
      </c>
      <c r="D624" s="4">
        <f>_xlfn.MAXIFS(Tabelle5[[#This Row],[binding_level]], Tabelle5[[#This Row],[company_id]],Tabelle18[[#This Row],[company_id]], Tabelle5[[#This Row],[value_id]], Tabelle18[[#This Row],[value_id]], Tabelle5[[#This Row],[value_present]],"1")</f>
        <v>0</v>
      </c>
      <c r="E624" s="4">
        <f>_xlfn.MAXIFS(Tabelle5[[#This Row],[value_points]], Tabelle5[[#This Row],[company_id]],Tabelle18[[#This Row],[company_id]], Tabelle5[[#This Row],[value_id]], Tabelle18[[#This Row],[value_id]], Tabelle5[[#This Row],[value_present]],"1")</f>
        <v>0</v>
      </c>
    </row>
    <row r="625" spans="1:5" x14ac:dyDescent="0.25">
      <c r="A625">
        <v>35</v>
      </c>
      <c r="B625" t="s">
        <v>132</v>
      </c>
      <c r="C625" s="4">
        <f>IF(Tabelle18[[#This Row],[binding_level_company]]&gt;=1,1,0)</f>
        <v>0</v>
      </c>
      <c r="D625" s="4">
        <f>_xlfn.MAXIFS(Tabelle5[[#This Row],[binding_level]], Tabelle5[[#This Row],[company_id]],Tabelle18[[#This Row],[company_id]], Tabelle5[[#This Row],[value_id]], Tabelle18[[#This Row],[value_id]], Tabelle5[[#This Row],[value_present]],"1")</f>
        <v>0</v>
      </c>
      <c r="E625" s="4">
        <f>_xlfn.MAXIFS(Tabelle5[[#This Row],[value_points]], Tabelle5[[#This Row],[company_id]],Tabelle18[[#This Row],[company_id]], Tabelle5[[#This Row],[value_id]], Tabelle18[[#This Row],[value_id]], Tabelle5[[#This Row],[value_present]],"1")</f>
        <v>0</v>
      </c>
    </row>
    <row r="626" spans="1:5" x14ac:dyDescent="0.25">
      <c r="A626">
        <v>35</v>
      </c>
      <c r="B626" t="s">
        <v>140</v>
      </c>
      <c r="C626" s="4">
        <f>IF(Tabelle18[[#This Row],[binding_level_company]]&gt;=1,1,0)</f>
        <v>0</v>
      </c>
      <c r="D626" s="4">
        <f>_xlfn.MAXIFS(Tabelle5[[#This Row],[binding_level]], Tabelle5[[#This Row],[company_id]],Tabelle18[[#This Row],[company_id]], Tabelle5[[#This Row],[value_id]], Tabelle18[[#This Row],[value_id]], Tabelle5[[#This Row],[value_present]],"1")</f>
        <v>0</v>
      </c>
      <c r="E626" s="4">
        <f>_xlfn.MAXIFS(Tabelle5[[#This Row],[value_points]], Tabelle5[[#This Row],[company_id]],Tabelle18[[#This Row],[company_id]], Tabelle5[[#This Row],[value_id]], Tabelle18[[#This Row],[value_id]], Tabelle5[[#This Row],[value_present]],"1")</f>
        <v>0</v>
      </c>
    </row>
    <row r="627" spans="1:5" x14ac:dyDescent="0.25">
      <c r="A627">
        <v>35</v>
      </c>
      <c r="B627" t="s">
        <v>147</v>
      </c>
      <c r="C627" s="4">
        <f>IF(Tabelle18[[#This Row],[binding_level_company]]&gt;=1,1,0)</f>
        <v>0</v>
      </c>
      <c r="D627" s="4">
        <f>_xlfn.MAXIFS(Tabelle5[[#This Row],[binding_level]], Tabelle5[[#This Row],[company_id]],Tabelle18[[#This Row],[company_id]], Tabelle5[[#This Row],[value_id]], Tabelle18[[#This Row],[value_id]], Tabelle5[[#This Row],[value_present]],"1")</f>
        <v>0</v>
      </c>
      <c r="E627" s="4">
        <f>_xlfn.MAXIFS(Tabelle5[[#This Row],[value_points]], Tabelle5[[#This Row],[company_id]],Tabelle18[[#This Row],[company_id]], Tabelle5[[#This Row],[value_id]], Tabelle18[[#This Row],[value_id]], Tabelle5[[#This Row],[value_present]],"1")</f>
        <v>0</v>
      </c>
    </row>
    <row r="628" spans="1:5" x14ac:dyDescent="0.25">
      <c r="A628">
        <v>35</v>
      </c>
      <c r="B628" t="s">
        <v>154</v>
      </c>
      <c r="C628" s="4">
        <f>IF(Tabelle18[[#This Row],[binding_level_company]]&gt;=1,1,0)</f>
        <v>0</v>
      </c>
      <c r="D628" s="4">
        <f>_xlfn.MAXIFS(Tabelle5[[#This Row],[binding_level]], Tabelle5[[#This Row],[company_id]],Tabelle18[[#This Row],[company_id]], Tabelle5[[#This Row],[value_id]], Tabelle18[[#This Row],[value_id]], Tabelle5[[#This Row],[value_present]],"1")</f>
        <v>0</v>
      </c>
      <c r="E628" s="4">
        <f>_xlfn.MAXIFS(Tabelle5[[#This Row],[value_points]], Tabelle5[[#This Row],[company_id]],Tabelle18[[#This Row],[company_id]], Tabelle5[[#This Row],[value_id]], Tabelle18[[#This Row],[value_id]], Tabelle5[[#This Row],[value_present]],"1")</f>
        <v>0</v>
      </c>
    </row>
    <row r="629" spans="1:5" x14ac:dyDescent="0.25">
      <c r="A629">
        <v>35</v>
      </c>
      <c r="B629" t="s">
        <v>161</v>
      </c>
      <c r="C629" s="4">
        <f>IF(Tabelle18[[#This Row],[binding_level_company]]&gt;=1,1,0)</f>
        <v>0</v>
      </c>
      <c r="D629" s="4">
        <f>_xlfn.MAXIFS(Tabelle5[[#This Row],[binding_level]], Tabelle5[[#This Row],[company_id]],Tabelle18[[#This Row],[company_id]], Tabelle5[[#This Row],[value_id]], Tabelle18[[#This Row],[value_id]], Tabelle5[[#This Row],[value_present]],"1")</f>
        <v>0</v>
      </c>
      <c r="E629" s="4">
        <f>_xlfn.MAXIFS(Tabelle5[[#This Row],[value_points]], Tabelle5[[#This Row],[company_id]],Tabelle18[[#This Row],[company_id]], Tabelle5[[#This Row],[value_id]], Tabelle18[[#This Row],[value_id]], Tabelle5[[#This Row],[value_present]],"1")</f>
        <v>0</v>
      </c>
    </row>
    <row r="630" spans="1:5" x14ac:dyDescent="0.25">
      <c r="A630">
        <v>35</v>
      </c>
      <c r="B630" t="s">
        <v>166</v>
      </c>
      <c r="C630" s="4">
        <f>IF(Tabelle18[[#This Row],[binding_level_company]]&gt;=1,1,0)</f>
        <v>0</v>
      </c>
      <c r="D630" s="4">
        <f>_xlfn.MAXIFS(Tabelle5[[#This Row],[binding_level]], Tabelle5[[#This Row],[company_id]],Tabelle18[[#This Row],[company_id]], Tabelle5[[#This Row],[value_id]], Tabelle18[[#This Row],[value_id]], Tabelle5[[#This Row],[value_present]],"1")</f>
        <v>0</v>
      </c>
      <c r="E630" s="4">
        <f>_xlfn.MAXIFS(Tabelle5[[#This Row],[value_points]], Tabelle5[[#This Row],[company_id]],Tabelle18[[#This Row],[company_id]], Tabelle5[[#This Row],[value_id]], Tabelle18[[#This Row],[value_id]], Tabelle5[[#This Row],[value_present]],"1")</f>
        <v>0</v>
      </c>
    </row>
    <row r="631" spans="1:5" ht="15.75" thickBot="1" x14ac:dyDescent="0.3">
      <c r="A631">
        <v>35</v>
      </c>
      <c r="B631" s="30" t="s">
        <v>174</v>
      </c>
      <c r="C631" s="4">
        <f>IF(Tabelle18[[#This Row],[binding_level_company]]&gt;=1,1,0)</f>
        <v>0</v>
      </c>
      <c r="D631" s="4">
        <f>_xlfn.MAXIFS(Tabelle5[[#This Row],[binding_level]], Tabelle5[[#This Row],[company_id]],Tabelle18[[#This Row],[company_id]], Tabelle5[[#This Row],[value_id]], Tabelle18[[#This Row],[value_id]], Tabelle5[[#This Row],[value_present]],"1")</f>
        <v>0</v>
      </c>
      <c r="E631" s="4">
        <f>_xlfn.MAXIFS(Tabelle5[[#This Row],[value_points]], Tabelle5[[#This Row],[company_id]],Tabelle18[[#This Row],[company_id]], Tabelle5[[#This Row],[value_id]], Tabelle18[[#This Row],[value_id]], Tabelle5[[#This Row],[value_present]],"1")</f>
        <v>0</v>
      </c>
    </row>
    <row r="632" spans="1:5" x14ac:dyDescent="0.25">
      <c r="A632">
        <v>36</v>
      </c>
      <c r="B632" s="22" t="s">
        <v>53</v>
      </c>
      <c r="C632" s="4">
        <f>IF(Tabelle18[[#This Row],[binding_level_company]]&gt;=1,1,0)</f>
        <v>0</v>
      </c>
      <c r="D632" s="4">
        <f>_xlfn.MAXIFS(Tabelle5[[#This Row],[binding_level]], Tabelle5[[#This Row],[company_id]],Tabelle18[[#This Row],[company_id]], Tabelle5[[#This Row],[value_id]], Tabelle18[[#This Row],[value_id]], Tabelle5[[#This Row],[value_present]],"1")</f>
        <v>0</v>
      </c>
      <c r="E632" s="4">
        <f>_xlfn.MAXIFS(Tabelle5[[#This Row],[value_points]], Tabelle5[[#This Row],[company_id]],Tabelle18[[#This Row],[company_id]], Tabelle5[[#This Row],[value_id]], Tabelle18[[#This Row],[value_id]], Tabelle5[[#This Row],[value_present]],"1")</f>
        <v>0</v>
      </c>
    </row>
    <row r="633" spans="1:5" x14ac:dyDescent="0.25">
      <c r="A633">
        <v>36</v>
      </c>
      <c r="B633" t="s">
        <v>61</v>
      </c>
      <c r="C633" s="4">
        <f>IF(Tabelle18[[#This Row],[binding_level_company]]&gt;=1,1,0)</f>
        <v>0</v>
      </c>
      <c r="D633" s="4">
        <f>_xlfn.MAXIFS(Tabelle5[[#This Row],[binding_level]], Tabelle5[[#This Row],[company_id]],Tabelle18[[#This Row],[company_id]], Tabelle5[[#This Row],[value_id]], Tabelle18[[#This Row],[value_id]], Tabelle5[[#This Row],[value_present]],"1")</f>
        <v>0</v>
      </c>
      <c r="E633" s="4">
        <f>_xlfn.MAXIFS(Tabelle5[[#This Row],[value_points]], Tabelle5[[#This Row],[company_id]],Tabelle18[[#This Row],[company_id]], Tabelle5[[#This Row],[value_id]], Tabelle18[[#This Row],[value_id]], Tabelle5[[#This Row],[value_present]],"1")</f>
        <v>0</v>
      </c>
    </row>
    <row r="634" spans="1:5" x14ac:dyDescent="0.25">
      <c r="A634">
        <v>36</v>
      </c>
      <c r="B634" t="s">
        <v>69</v>
      </c>
      <c r="C634" s="4">
        <f>IF(Tabelle18[[#This Row],[binding_level_company]]&gt;=1,1,0)</f>
        <v>0</v>
      </c>
      <c r="D634" s="4">
        <f>_xlfn.MAXIFS(Tabelle5[[#This Row],[binding_level]], Tabelle5[[#This Row],[company_id]],Tabelle18[[#This Row],[company_id]], Tabelle5[[#This Row],[value_id]], Tabelle18[[#This Row],[value_id]], Tabelle5[[#This Row],[value_present]],"1")</f>
        <v>0</v>
      </c>
      <c r="E634" s="4">
        <f>_xlfn.MAXIFS(Tabelle5[[#This Row],[value_points]], Tabelle5[[#This Row],[company_id]],Tabelle18[[#This Row],[company_id]], Tabelle5[[#This Row],[value_id]], Tabelle18[[#This Row],[value_id]], Tabelle5[[#This Row],[value_present]],"1")</f>
        <v>0</v>
      </c>
    </row>
    <row r="635" spans="1:5" x14ac:dyDescent="0.25">
      <c r="A635">
        <v>36</v>
      </c>
      <c r="B635" t="s">
        <v>76</v>
      </c>
      <c r="C635" s="4">
        <f>IF(Tabelle18[[#This Row],[binding_level_company]]&gt;=1,1,0)</f>
        <v>0</v>
      </c>
      <c r="D635" s="4">
        <f>_xlfn.MAXIFS(Tabelle5[[#This Row],[binding_level]], Tabelle5[[#This Row],[company_id]],Tabelle18[[#This Row],[company_id]], Tabelle5[[#This Row],[value_id]], Tabelle18[[#This Row],[value_id]], Tabelle5[[#This Row],[value_present]],"1")</f>
        <v>0</v>
      </c>
      <c r="E635" s="4">
        <f>_xlfn.MAXIFS(Tabelle5[[#This Row],[value_points]], Tabelle5[[#This Row],[company_id]],Tabelle18[[#This Row],[company_id]], Tabelle5[[#This Row],[value_id]], Tabelle18[[#This Row],[value_id]], Tabelle5[[#This Row],[value_present]],"1")</f>
        <v>0</v>
      </c>
    </row>
    <row r="636" spans="1:5" x14ac:dyDescent="0.25">
      <c r="A636">
        <v>36</v>
      </c>
      <c r="B636" t="s">
        <v>83</v>
      </c>
      <c r="C636" s="4">
        <f>IF(Tabelle18[[#This Row],[binding_level_company]]&gt;=1,1,0)</f>
        <v>0</v>
      </c>
      <c r="D636" s="4">
        <f>_xlfn.MAXIFS(Tabelle5[[#This Row],[binding_level]], Tabelle5[[#This Row],[company_id]],Tabelle18[[#This Row],[company_id]], Tabelle5[[#This Row],[value_id]], Tabelle18[[#This Row],[value_id]], Tabelle5[[#This Row],[value_present]],"1")</f>
        <v>0</v>
      </c>
      <c r="E636" s="4">
        <f>_xlfn.MAXIFS(Tabelle5[[#This Row],[value_points]], Tabelle5[[#This Row],[company_id]],Tabelle18[[#This Row],[company_id]], Tabelle5[[#This Row],[value_id]], Tabelle18[[#This Row],[value_id]], Tabelle5[[#This Row],[value_present]],"1")</f>
        <v>0</v>
      </c>
    </row>
    <row r="637" spans="1:5" x14ac:dyDescent="0.25">
      <c r="A637">
        <v>36</v>
      </c>
      <c r="B637" t="s">
        <v>90</v>
      </c>
      <c r="C637" s="4">
        <f>IF(Tabelle18[[#This Row],[binding_level_company]]&gt;=1,1,0)</f>
        <v>0</v>
      </c>
      <c r="D637" s="4">
        <f>_xlfn.MAXIFS(Tabelle5[[#This Row],[binding_level]], Tabelle5[[#This Row],[company_id]],Tabelle18[[#This Row],[company_id]], Tabelle5[[#This Row],[value_id]], Tabelle18[[#This Row],[value_id]], Tabelle5[[#This Row],[value_present]],"1")</f>
        <v>0</v>
      </c>
      <c r="E637" s="4">
        <f>_xlfn.MAXIFS(Tabelle5[[#This Row],[value_points]], Tabelle5[[#This Row],[company_id]],Tabelle18[[#This Row],[company_id]], Tabelle5[[#This Row],[value_id]], Tabelle18[[#This Row],[value_id]], Tabelle5[[#This Row],[value_present]],"1")</f>
        <v>0</v>
      </c>
    </row>
    <row r="638" spans="1:5" x14ac:dyDescent="0.25">
      <c r="A638">
        <v>36</v>
      </c>
      <c r="B638" t="s">
        <v>98</v>
      </c>
      <c r="C638" s="4">
        <f>IF(Tabelle18[[#This Row],[binding_level_company]]&gt;=1,1,0)</f>
        <v>0</v>
      </c>
      <c r="D638" s="4">
        <f>_xlfn.MAXIFS(Tabelle5[[#This Row],[binding_level]], Tabelle5[[#This Row],[company_id]],Tabelle18[[#This Row],[company_id]], Tabelle5[[#This Row],[value_id]], Tabelle18[[#This Row],[value_id]], Tabelle5[[#This Row],[value_present]],"1")</f>
        <v>0</v>
      </c>
      <c r="E638" s="4">
        <f>_xlfn.MAXIFS(Tabelle5[[#This Row],[value_points]], Tabelle5[[#This Row],[company_id]],Tabelle18[[#This Row],[company_id]], Tabelle5[[#This Row],[value_id]], Tabelle18[[#This Row],[value_id]], Tabelle5[[#This Row],[value_present]],"1")</f>
        <v>0</v>
      </c>
    </row>
    <row r="639" spans="1:5" x14ac:dyDescent="0.25">
      <c r="A639">
        <v>36</v>
      </c>
      <c r="B639" t="s">
        <v>106</v>
      </c>
      <c r="C639" s="4">
        <f>IF(Tabelle18[[#This Row],[binding_level_company]]&gt;=1,1,0)</f>
        <v>0</v>
      </c>
      <c r="D639" s="4">
        <f>_xlfn.MAXIFS(Tabelle5[[#This Row],[binding_level]], Tabelle5[[#This Row],[company_id]],Tabelle18[[#This Row],[company_id]], Tabelle5[[#This Row],[value_id]], Tabelle18[[#This Row],[value_id]], Tabelle5[[#This Row],[value_present]],"1")</f>
        <v>0</v>
      </c>
      <c r="E639" s="4">
        <f>_xlfn.MAXIFS(Tabelle5[[#This Row],[value_points]], Tabelle5[[#This Row],[company_id]],Tabelle18[[#This Row],[company_id]], Tabelle5[[#This Row],[value_id]], Tabelle18[[#This Row],[value_id]], Tabelle5[[#This Row],[value_present]],"1")</f>
        <v>0</v>
      </c>
    </row>
    <row r="640" spans="1:5" x14ac:dyDescent="0.25">
      <c r="A640">
        <v>36</v>
      </c>
      <c r="B640" t="s">
        <v>112</v>
      </c>
      <c r="C640" s="4">
        <f>IF(Tabelle18[[#This Row],[binding_level_company]]&gt;=1,1,0)</f>
        <v>0</v>
      </c>
      <c r="D640" s="4">
        <f>_xlfn.MAXIFS(Tabelle5[[#This Row],[binding_level]], Tabelle5[[#This Row],[company_id]],Tabelle18[[#This Row],[company_id]], Tabelle5[[#This Row],[value_id]], Tabelle18[[#This Row],[value_id]], Tabelle5[[#This Row],[value_present]],"1")</f>
        <v>0</v>
      </c>
      <c r="E640" s="4">
        <f>_xlfn.MAXIFS(Tabelle5[[#This Row],[value_points]], Tabelle5[[#This Row],[company_id]],Tabelle18[[#This Row],[company_id]], Tabelle5[[#This Row],[value_id]], Tabelle18[[#This Row],[value_id]], Tabelle5[[#This Row],[value_present]],"1")</f>
        <v>0</v>
      </c>
    </row>
    <row r="641" spans="1:5" x14ac:dyDescent="0.25">
      <c r="A641">
        <v>36</v>
      </c>
      <c r="B641" t="s">
        <v>118</v>
      </c>
      <c r="C641" s="4">
        <f>IF(Tabelle18[[#This Row],[binding_level_company]]&gt;=1,1,0)</f>
        <v>0</v>
      </c>
      <c r="D641" s="4">
        <f>_xlfn.MAXIFS(Tabelle5[[#This Row],[binding_level]], Tabelle5[[#This Row],[company_id]],Tabelle18[[#This Row],[company_id]], Tabelle5[[#This Row],[value_id]], Tabelle18[[#This Row],[value_id]], Tabelle5[[#This Row],[value_present]],"1")</f>
        <v>0</v>
      </c>
      <c r="E641" s="4">
        <f>_xlfn.MAXIFS(Tabelle5[[#This Row],[value_points]], Tabelle5[[#This Row],[company_id]],Tabelle18[[#This Row],[company_id]], Tabelle5[[#This Row],[value_id]], Tabelle18[[#This Row],[value_id]], Tabelle5[[#This Row],[value_present]],"1")</f>
        <v>0</v>
      </c>
    </row>
    <row r="642" spans="1:5" x14ac:dyDescent="0.25">
      <c r="A642">
        <v>36</v>
      </c>
      <c r="B642" t="s">
        <v>125</v>
      </c>
      <c r="C642" s="4">
        <f>IF(Tabelle18[[#This Row],[binding_level_company]]&gt;=1,1,0)</f>
        <v>0</v>
      </c>
      <c r="D642" s="4">
        <f>_xlfn.MAXIFS(Tabelle5[[#This Row],[binding_level]], Tabelle5[[#This Row],[company_id]],Tabelle18[[#This Row],[company_id]], Tabelle5[[#This Row],[value_id]], Tabelle18[[#This Row],[value_id]], Tabelle5[[#This Row],[value_present]],"1")</f>
        <v>0</v>
      </c>
      <c r="E642" s="4">
        <f>_xlfn.MAXIFS(Tabelle5[[#This Row],[value_points]], Tabelle5[[#This Row],[company_id]],Tabelle18[[#This Row],[company_id]], Tabelle5[[#This Row],[value_id]], Tabelle18[[#This Row],[value_id]], Tabelle5[[#This Row],[value_present]],"1")</f>
        <v>0</v>
      </c>
    </row>
    <row r="643" spans="1:5" x14ac:dyDescent="0.25">
      <c r="A643">
        <v>36</v>
      </c>
      <c r="B643" t="s">
        <v>132</v>
      </c>
      <c r="C643" s="4">
        <f>IF(Tabelle18[[#This Row],[binding_level_company]]&gt;=1,1,0)</f>
        <v>0</v>
      </c>
      <c r="D643" s="4">
        <f>_xlfn.MAXIFS(Tabelle5[[#This Row],[binding_level]], Tabelle5[[#This Row],[company_id]],Tabelle18[[#This Row],[company_id]], Tabelle5[[#This Row],[value_id]], Tabelle18[[#This Row],[value_id]], Tabelle5[[#This Row],[value_present]],"1")</f>
        <v>0</v>
      </c>
      <c r="E643" s="4">
        <f>_xlfn.MAXIFS(Tabelle5[[#This Row],[value_points]], Tabelle5[[#This Row],[company_id]],Tabelle18[[#This Row],[company_id]], Tabelle5[[#This Row],[value_id]], Tabelle18[[#This Row],[value_id]], Tabelle5[[#This Row],[value_present]],"1")</f>
        <v>0</v>
      </c>
    </row>
    <row r="644" spans="1:5" x14ac:dyDescent="0.25">
      <c r="A644">
        <v>36</v>
      </c>
      <c r="B644" t="s">
        <v>140</v>
      </c>
      <c r="C644" s="4">
        <f>IF(Tabelle18[[#This Row],[binding_level_company]]&gt;=1,1,0)</f>
        <v>0</v>
      </c>
      <c r="D644" s="4">
        <f>_xlfn.MAXIFS(Tabelle5[[#This Row],[binding_level]], Tabelle5[[#This Row],[company_id]],Tabelle18[[#This Row],[company_id]], Tabelle5[[#This Row],[value_id]], Tabelle18[[#This Row],[value_id]], Tabelle5[[#This Row],[value_present]],"1")</f>
        <v>0</v>
      </c>
      <c r="E644" s="4">
        <f>_xlfn.MAXIFS(Tabelle5[[#This Row],[value_points]], Tabelle5[[#This Row],[company_id]],Tabelle18[[#This Row],[company_id]], Tabelle5[[#This Row],[value_id]], Tabelle18[[#This Row],[value_id]], Tabelle5[[#This Row],[value_present]],"1")</f>
        <v>0</v>
      </c>
    </row>
    <row r="645" spans="1:5" x14ac:dyDescent="0.25">
      <c r="A645">
        <v>36</v>
      </c>
      <c r="B645" t="s">
        <v>147</v>
      </c>
      <c r="C645" s="4">
        <f>IF(Tabelle18[[#This Row],[binding_level_company]]&gt;=1,1,0)</f>
        <v>0</v>
      </c>
      <c r="D645" s="4">
        <f>_xlfn.MAXIFS(Tabelle5[[#This Row],[binding_level]], Tabelle5[[#This Row],[company_id]],Tabelle18[[#This Row],[company_id]], Tabelle5[[#This Row],[value_id]], Tabelle18[[#This Row],[value_id]], Tabelle5[[#This Row],[value_present]],"1")</f>
        <v>0</v>
      </c>
      <c r="E645" s="4">
        <f>_xlfn.MAXIFS(Tabelle5[[#This Row],[value_points]], Tabelle5[[#This Row],[company_id]],Tabelle18[[#This Row],[company_id]], Tabelle5[[#This Row],[value_id]], Tabelle18[[#This Row],[value_id]], Tabelle5[[#This Row],[value_present]],"1")</f>
        <v>0</v>
      </c>
    </row>
    <row r="646" spans="1:5" x14ac:dyDescent="0.25">
      <c r="A646">
        <v>36</v>
      </c>
      <c r="B646" t="s">
        <v>154</v>
      </c>
      <c r="C646" s="4">
        <f>IF(Tabelle18[[#This Row],[binding_level_company]]&gt;=1,1,0)</f>
        <v>0</v>
      </c>
      <c r="D646" s="4">
        <f>_xlfn.MAXIFS(Tabelle5[[#This Row],[binding_level]], Tabelle5[[#This Row],[company_id]],Tabelle18[[#This Row],[company_id]], Tabelle5[[#This Row],[value_id]], Tabelle18[[#This Row],[value_id]], Tabelle5[[#This Row],[value_present]],"1")</f>
        <v>0</v>
      </c>
      <c r="E646" s="4">
        <f>_xlfn.MAXIFS(Tabelle5[[#This Row],[value_points]], Tabelle5[[#This Row],[company_id]],Tabelle18[[#This Row],[company_id]], Tabelle5[[#This Row],[value_id]], Tabelle18[[#This Row],[value_id]], Tabelle5[[#This Row],[value_present]],"1")</f>
        <v>0</v>
      </c>
    </row>
    <row r="647" spans="1:5" x14ac:dyDescent="0.25">
      <c r="A647">
        <v>36</v>
      </c>
      <c r="B647" t="s">
        <v>161</v>
      </c>
      <c r="C647" s="4">
        <f>IF(Tabelle18[[#This Row],[binding_level_company]]&gt;=1,1,0)</f>
        <v>0</v>
      </c>
      <c r="D647" s="4">
        <f>_xlfn.MAXIFS(Tabelle5[[#This Row],[binding_level]], Tabelle5[[#This Row],[company_id]],Tabelle18[[#This Row],[company_id]], Tabelle5[[#This Row],[value_id]], Tabelle18[[#This Row],[value_id]], Tabelle5[[#This Row],[value_present]],"1")</f>
        <v>0</v>
      </c>
      <c r="E647" s="4">
        <f>_xlfn.MAXIFS(Tabelle5[[#This Row],[value_points]], Tabelle5[[#This Row],[company_id]],Tabelle18[[#This Row],[company_id]], Tabelle5[[#This Row],[value_id]], Tabelle18[[#This Row],[value_id]], Tabelle5[[#This Row],[value_present]],"1")</f>
        <v>0</v>
      </c>
    </row>
    <row r="648" spans="1:5" x14ac:dyDescent="0.25">
      <c r="A648">
        <v>36</v>
      </c>
      <c r="B648" t="s">
        <v>166</v>
      </c>
      <c r="C648" s="4">
        <f>IF(Tabelle18[[#This Row],[binding_level_company]]&gt;=1,1,0)</f>
        <v>0</v>
      </c>
      <c r="D648" s="4">
        <f>_xlfn.MAXIFS(Tabelle5[[#This Row],[binding_level]], Tabelle5[[#This Row],[company_id]],Tabelle18[[#This Row],[company_id]], Tabelle5[[#This Row],[value_id]], Tabelle18[[#This Row],[value_id]], Tabelle5[[#This Row],[value_present]],"1")</f>
        <v>0</v>
      </c>
      <c r="E648" s="4">
        <f>_xlfn.MAXIFS(Tabelle5[[#This Row],[value_points]], Tabelle5[[#This Row],[company_id]],Tabelle18[[#This Row],[company_id]], Tabelle5[[#This Row],[value_id]], Tabelle18[[#This Row],[value_id]], Tabelle5[[#This Row],[value_present]],"1")</f>
        <v>0</v>
      </c>
    </row>
    <row r="649" spans="1:5" ht="15.75" thickBot="1" x14ac:dyDescent="0.3">
      <c r="A649">
        <v>36</v>
      </c>
      <c r="B649" s="30" t="s">
        <v>174</v>
      </c>
      <c r="C649" s="4">
        <f>IF(Tabelle18[[#This Row],[binding_level_company]]&gt;=1,1,0)</f>
        <v>0</v>
      </c>
      <c r="D649" s="4">
        <f>_xlfn.MAXIFS(Tabelle5[[#This Row],[binding_level]], Tabelle5[[#This Row],[company_id]],Tabelle18[[#This Row],[company_id]], Tabelle5[[#This Row],[value_id]], Tabelle18[[#This Row],[value_id]], Tabelle5[[#This Row],[value_present]],"1")</f>
        <v>0</v>
      </c>
      <c r="E649" s="4">
        <f>_xlfn.MAXIFS(Tabelle5[[#This Row],[value_points]], Tabelle5[[#This Row],[company_id]],Tabelle18[[#This Row],[company_id]], Tabelle5[[#This Row],[value_id]], Tabelle18[[#This Row],[value_id]], Tabelle5[[#This Row],[value_present]],"1")</f>
        <v>0</v>
      </c>
    </row>
    <row r="650" spans="1:5" x14ac:dyDescent="0.25">
      <c r="A650">
        <v>37</v>
      </c>
      <c r="B650" s="22" t="s">
        <v>53</v>
      </c>
      <c r="C650" s="4">
        <f>IF(Tabelle18[[#This Row],[binding_level_company]]&gt;=1,1,0)</f>
        <v>0</v>
      </c>
      <c r="D650" s="4">
        <f>_xlfn.MAXIFS(Tabelle5[[#This Row],[binding_level]], Tabelle5[[#This Row],[company_id]],Tabelle18[[#This Row],[company_id]], Tabelle5[[#This Row],[value_id]], Tabelle18[[#This Row],[value_id]], Tabelle5[[#This Row],[value_present]],"1")</f>
        <v>0</v>
      </c>
      <c r="E650" s="4">
        <f>_xlfn.MAXIFS(Tabelle5[[#This Row],[value_points]], Tabelle5[[#This Row],[company_id]],Tabelle18[[#This Row],[company_id]], Tabelle5[[#This Row],[value_id]], Tabelle18[[#This Row],[value_id]], Tabelle5[[#This Row],[value_present]],"1")</f>
        <v>0</v>
      </c>
    </row>
    <row r="651" spans="1:5" x14ac:dyDescent="0.25">
      <c r="A651">
        <v>37</v>
      </c>
      <c r="B651" t="s">
        <v>61</v>
      </c>
      <c r="C651" s="4">
        <f>IF(Tabelle18[[#This Row],[binding_level_company]]&gt;=1,1,0)</f>
        <v>0</v>
      </c>
      <c r="D651" s="4">
        <f>_xlfn.MAXIFS(Tabelle5[[#This Row],[binding_level]], Tabelle5[[#This Row],[company_id]],Tabelle18[[#This Row],[company_id]], Tabelle5[[#This Row],[value_id]], Tabelle18[[#This Row],[value_id]], Tabelle5[[#This Row],[value_present]],"1")</f>
        <v>0</v>
      </c>
      <c r="E651" s="4">
        <f>_xlfn.MAXIFS(Tabelle5[[#This Row],[value_points]], Tabelle5[[#This Row],[company_id]],Tabelle18[[#This Row],[company_id]], Tabelle5[[#This Row],[value_id]], Tabelle18[[#This Row],[value_id]], Tabelle5[[#This Row],[value_present]],"1")</f>
        <v>0</v>
      </c>
    </row>
    <row r="652" spans="1:5" x14ac:dyDescent="0.25">
      <c r="A652">
        <v>37</v>
      </c>
      <c r="B652" t="s">
        <v>69</v>
      </c>
      <c r="C652" s="4">
        <f>IF(Tabelle18[[#This Row],[binding_level_company]]&gt;=1,1,0)</f>
        <v>0</v>
      </c>
      <c r="D652" s="4">
        <f>_xlfn.MAXIFS(Tabelle5[[#This Row],[binding_level]], Tabelle5[[#This Row],[company_id]],Tabelle18[[#This Row],[company_id]], Tabelle5[[#This Row],[value_id]], Tabelle18[[#This Row],[value_id]], Tabelle5[[#This Row],[value_present]],"1")</f>
        <v>0</v>
      </c>
      <c r="E652" s="4">
        <f>_xlfn.MAXIFS(Tabelle5[[#This Row],[value_points]], Tabelle5[[#This Row],[company_id]],Tabelle18[[#This Row],[company_id]], Tabelle5[[#This Row],[value_id]], Tabelle18[[#This Row],[value_id]], Tabelle5[[#This Row],[value_present]],"1")</f>
        <v>0</v>
      </c>
    </row>
    <row r="653" spans="1:5" x14ac:dyDescent="0.25">
      <c r="A653">
        <v>37</v>
      </c>
      <c r="B653" t="s">
        <v>76</v>
      </c>
      <c r="C653" s="4">
        <f>IF(Tabelle18[[#This Row],[binding_level_company]]&gt;=1,1,0)</f>
        <v>0</v>
      </c>
      <c r="D653" s="4">
        <f>_xlfn.MAXIFS(Tabelle5[[#This Row],[binding_level]], Tabelle5[[#This Row],[company_id]],Tabelle18[[#This Row],[company_id]], Tabelle5[[#This Row],[value_id]], Tabelle18[[#This Row],[value_id]], Tabelle5[[#This Row],[value_present]],"1")</f>
        <v>0</v>
      </c>
      <c r="E653" s="4">
        <f>_xlfn.MAXIFS(Tabelle5[[#This Row],[value_points]], Tabelle5[[#This Row],[company_id]],Tabelle18[[#This Row],[company_id]], Tabelle5[[#This Row],[value_id]], Tabelle18[[#This Row],[value_id]], Tabelle5[[#This Row],[value_present]],"1")</f>
        <v>0</v>
      </c>
    </row>
    <row r="654" spans="1:5" x14ac:dyDescent="0.25">
      <c r="A654">
        <v>37</v>
      </c>
      <c r="B654" t="s">
        <v>83</v>
      </c>
      <c r="C654" s="4">
        <f>IF(Tabelle18[[#This Row],[binding_level_company]]&gt;=1,1,0)</f>
        <v>0</v>
      </c>
      <c r="D654" s="4">
        <f>_xlfn.MAXIFS(Tabelle5[[#This Row],[binding_level]], Tabelle5[[#This Row],[company_id]],Tabelle18[[#This Row],[company_id]], Tabelle5[[#This Row],[value_id]], Tabelle18[[#This Row],[value_id]], Tabelle5[[#This Row],[value_present]],"1")</f>
        <v>0</v>
      </c>
      <c r="E654" s="4">
        <f>_xlfn.MAXIFS(Tabelle5[[#This Row],[value_points]], Tabelle5[[#This Row],[company_id]],Tabelle18[[#This Row],[company_id]], Tabelle5[[#This Row],[value_id]], Tabelle18[[#This Row],[value_id]], Tabelle5[[#This Row],[value_present]],"1")</f>
        <v>0</v>
      </c>
    </row>
    <row r="655" spans="1:5" x14ac:dyDescent="0.25">
      <c r="A655">
        <v>37</v>
      </c>
      <c r="B655" t="s">
        <v>90</v>
      </c>
      <c r="C655" s="4">
        <f>IF(Tabelle18[[#This Row],[binding_level_company]]&gt;=1,1,0)</f>
        <v>0</v>
      </c>
      <c r="D655" s="4">
        <f>_xlfn.MAXIFS(Tabelle5[[#This Row],[binding_level]], Tabelle5[[#This Row],[company_id]],Tabelle18[[#This Row],[company_id]], Tabelle5[[#This Row],[value_id]], Tabelle18[[#This Row],[value_id]], Tabelle5[[#This Row],[value_present]],"1")</f>
        <v>0</v>
      </c>
      <c r="E655" s="4">
        <f>_xlfn.MAXIFS(Tabelle5[[#This Row],[value_points]], Tabelle5[[#This Row],[company_id]],Tabelle18[[#This Row],[company_id]], Tabelle5[[#This Row],[value_id]], Tabelle18[[#This Row],[value_id]], Tabelle5[[#This Row],[value_present]],"1")</f>
        <v>0</v>
      </c>
    </row>
    <row r="656" spans="1:5" x14ac:dyDescent="0.25">
      <c r="A656">
        <v>37</v>
      </c>
      <c r="B656" t="s">
        <v>98</v>
      </c>
      <c r="C656" s="4">
        <f>IF(Tabelle18[[#This Row],[binding_level_company]]&gt;=1,1,0)</f>
        <v>0</v>
      </c>
      <c r="D656" s="4">
        <f>_xlfn.MAXIFS(Tabelle5[[#This Row],[binding_level]], Tabelle5[[#This Row],[company_id]],Tabelle18[[#This Row],[company_id]], Tabelle5[[#This Row],[value_id]], Tabelle18[[#This Row],[value_id]], Tabelle5[[#This Row],[value_present]],"1")</f>
        <v>0</v>
      </c>
      <c r="E656" s="4">
        <f>_xlfn.MAXIFS(Tabelle5[[#This Row],[value_points]], Tabelle5[[#This Row],[company_id]],Tabelle18[[#This Row],[company_id]], Tabelle5[[#This Row],[value_id]], Tabelle18[[#This Row],[value_id]], Tabelle5[[#This Row],[value_present]],"1")</f>
        <v>0</v>
      </c>
    </row>
    <row r="657" spans="1:5" x14ac:dyDescent="0.25">
      <c r="A657">
        <v>37</v>
      </c>
      <c r="B657" t="s">
        <v>106</v>
      </c>
      <c r="C657" s="4">
        <f>IF(Tabelle18[[#This Row],[binding_level_company]]&gt;=1,1,0)</f>
        <v>0</v>
      </c>
      <c r="D657" s="4">
        <f>_xlfn.MAXIFS(Tabelle5[[#This Row],[binding_level]], Tabelle5[[#This Row],[company_id]],Tabelle18[[#This Row],[company_id]], Tabelle5[[#This Row],[value_id]], Tabelle18[[#This Row],[value_id]], Tabelle5[[#This Row],[value_present]],"1")</f>
        <v>0</v>
      </c>
      <c r="E657" s="4">
        <f>_xlfn.MAXIFS(Tabelle5[[#This Row],[value_points]], Tabelle5[[#This Row],[company_id]],Tabelle18[[#This Row],[company_id]], Tabelle5[[#This Row],[value_id]], Tabelle18[[#This Row],[value_id]], Tabelle5[[#This Row],[value_present]],"1")</f>
        <v>0</v>
      </c>
    </row>
    <row r="658" spans="1:5" x14ac:dyDescent="0.25">
      <c r="A658">
        <v>37</v>
      </c>
      <c r="B658" t="s">
        <v>112</v>
      </c>
      <c r="C658" s="4">
        <f>IF(Tabelle18[[#This Row],[binding_level_company]]&gt;=1,1,0)</f>
        <v>0</v>
      </c>
      <c r="D658" s="4">
        <f>_xlfn.MAXIFS(Tabelle5[[#This Row],[binding_level]], Tabelle5[[#This Row],[company_id]],Tabelle18[[#This Row],[company_id]], Tabelle5[[#This Row],[value_id]], Tabelle18[[#This Row],[value_id]], Tabelle5[[#This Row],[value_present]],"1")</f>
        <v>0</v>
      </c>
      <c r="E658" s="4">
        <f>_xlfn.MAXIFS(Tabelle5[[#This Row],[value_points]], Tabelle5[[#This Row],[company_id]],Tabelle18[[#This Row],[company_id]], Tabelle5[[#This Row],[value_id]], Tabelle18[[#This Row],[value_id]], Tabelle5[[#This Row],[value_present]],"1")</f>
        <v>0</v>
      </c>
    </row>
    <row r="659" spans="1:5" x14ac:dyDescent="0.25">
      <c r="A659">
        <v>37</v>
      </c>
      <c r="B659" t="s">
        <v>118</v>
      </c>
      <c r="C659" s="4">
        <f>IF(Tabelle18[[#This Row],[binding_level_company]]&gt;=1,1,0)</f>
        <v>0</v>
      </c>
      <c r="D659" s="4">
        <f>_xlfn.MAXIFS(Tabelle5[[#This Row],[binding_level]], Tabelle5[[#This Row],[company_id]],Tabelle18[[#This Row],[company_id]], Tabelle5[[#This Row],[value_id]], Tabelle18[[#This Row],[value_id]], Tabelle5[[#This Row],[value_present]],"1")</f>
        <v>0</v>
      </c>
      <c r="E659" s="4">
        <f>_xlfn.MAXIFS(Tabelle5[[#This Row],[value_points]], Tabelle5[[#This Row],[company_id]],Tabelle18[[#This Row],[company_id]], Tabelle5[[#This Row],[value_id]], Tabelle18[[#This Row],[value_id]], Tabelle5[[#This Row],[value_present]],"1")</f>
        <v>0</v>
      </c>
    </row>
    <row r="660" spans="1:5" x14ac:dyDescent="0.25">
      <c r="A660">
        <v>37</v>
      </c>
      <c r="B660" t="s">
        <v>125</v>
      </c>
      <c r="C660" s="4">
        <f>IF(Tabelle18[[#This Row],[binding_level_company]]&gt;=1,1,0)</f>
        <v>0</v>
      </c>
      <c r="D660" s="4">
        <f>_xlfn.MAXIFS(Tabelle5[[#This Row],[binding_level]], Tabelle5[[#This Row],[company_id]],Tabelle18[[#This Row],[company_id]], Tabelle5[[#This Row],[value_id]], Tabelle18[[#This Row],[value_id]], Tabelle5[[#This Row],[value_present]],"1")</f>
        <v>0</v>
      </c>
      <c r="E660" s="4">
        <f>_xlfn.MAXIFS(Tabelle5[[#This Row],[value_points]], Tabelle5[[#This Row],[company_id]],Tabelle18[[#This Row],[company_id]], Tabelle5[[#This Row],[value_id]], Tabelle18[[#This Row],[value_id]], Tabelle5[[#This Row],[value_present]],"1")</f>
        <v>0</v>
      </c>
    </row>
    <row r="661" spans="1:5" x14ac:dyDescent="0.25">
      <c r="A661">
        <v>37</v>
      </c>
      <c r="B661" t="s">
        <v>132</v>
      </c>
      <c r="C661" s="4">
        <f>IF(Tabelle18[[#This Row],[binding_level_company]]&gt;=1,1,0)</f>
        <v>0</v>
      </c>
      <c r="D661" s="4">
        <f>_xlfn.MAXIFS(Tabelle5[[#This Row],[binding_level]], Tabelle5[[#This Row],[company_id]],Tabelle18[[#This Row],[company_id]], Tabelle5[[#This Row],[value_id]], Tabelle18[[#This Row],[value_id]], Tabelle5[[#This Row],[value_present]],"1")</f>
        <v>0</v>
      </c>
      <c r="E661" s="4">
        <f>_xlfn.MAXIFS(Tabelle5[[#This Row],[value_points]], Tabelle5[[#This Row],[company_id]],Tabelle18[[#This Row],[company_id]], Tabelle5[[#This Row],[value_id]], Tabelle18[[#This Row],[value_id]], Tabelle5[[#This Row],[value_present]],"1")</f>
        <v>0</v>
      </c>
    </row>
    <row r="662" spans="1:5" x14ac:dyDescent="0.25">
      <c r="A662">
        <v>37</v>
      </c>
      <c r="B662" t="s">
        <v>140</v>
      </c>
      <c r="C662" s="4">
        <f>IF(Tabelle18[[#This Row],[binding_level_company]]&gt;=1,1,0)</f>
        <v>0</v>
      </c>
      <c r="D662" s="4">
        <f>_xlfn.MAXIFS(Tabelle5[[#This Row],[binding_level]], Tabelle5[[#This Row],[company_id]],Tabelle18[[#This Row],[company_id]], Tabelle5[[#This Row],[value_id]], Tabelle18[[#This Row],[value_id]], Tabelle5[[#This Row],[value_present]],"1")</f>
        <v>0</v>
      </c>
      <c r="E662" s="4">
        <f>_xlfn.MAXIFS(Tabelle5[[#This Row],[value_points]], Tabelle5[[#This Row],[company_id]],Tabelle18[[#This Row],[company_id]], Tabelle5[[#This Row],[value_id]], Tabelle18[[#This Row],[value_id]], Tabelle5[[#This Row],[value_present]],"1")</f>
        <v>0</v>
      </c>
    </row>
    <row r="663" spans="1:5" x14ac:dyDescent="0.25">
      <c r="A663">
        <v>37</v>
      </c>
      <c r="B663" t="s">
        <v>147</v>
      </c>
      <c r="C663" s="4">
        <f>IF(Tabelle18[[#This Row],[binding_level_company]]&gt;=1,1,0)</f>
        <v>0</v>
      </c>
      <c r="D663" s="4">
        <f>_xlfn.MAXIFS(Tabelle5[[#This Row],[binding_level]], Tabelle5[[#This Row],[company_id]],Tabelle18[[#This Row],[company_id]], Tabelle5[[#This Row],[value_id]], Tabelle18[[#This Row],[value_id]], Tabelle5[[#This Row],[value_present]],"1")</f>
        <v>0</v>
      </c>
      <c r="E663" s="4">
        <f>_xlfn.MAXIFS(Tabelle5[[#This Row],[value_points]], Tabelle5[[#This Row],[company_id]],Tabelle18[[#This Row],[company_id]], Tabelle5[[#This Row],[value_id]], Tabelle18[[#This Row],[value_id]], Tabelle5[[#This Row],[value_present]],"1")</f>
        <v>0</v>
      </c>
    </row>
    <row r="664" spans="1:5" x14ac:dyDescent="0.25">
      <c r="A664">
        <v>37</v>
      </c>
      <c r="B664" t="s">
        <v>154</v>
      </c>
      <c r="C664" s="4">
        <f>IF(Tabelle18[[#This Row],[binding_level_company]]&gt;=1,1,0)</f>
        <v>0</v>
      </c>
      <c r="D664" s="4">
        <f>_xlfn.MAXIFS(Tabelle5[[#This Row],[binding_level]], Tabelle5[[#This Row],[company_id]],Tabelle18[[#This Row],[company_id]], Tabelle5[[#This Row],[value_id]], Tabelle18[[#This Row],[value_id]], Tabelle5[[#This Row],[value_present]],"1")</f>
        <v>0</v>
      </c>
      <c r="E664" s="4">
        <f>_xlfn.MAXIFS(Tabelle5[[#This Row],[value_points]], Tabelle5[[#This Row],[company_id]],Tabelle18[[#This Row],[company_id]], Tabelle5[[#This Row],[value_id]], Tabelle18[[#This Row],[value_id]], Tabelle5[[#This Row],[value_present]],"1")</f>
        <v>0</v>
      </c>
    </row>
    <row r="665" spans="1:5" x14ac:dyDescent="0.25">
      <c r="A665">
        <v>37</v>
      </c>
      <c r="B665" t="s">
        <v>161</v>
      </c>
      <c r="C665" s="4">
        <f>IF(Tabelle18[[#This Row],[binding_level_company]]&gt;=1,1,0)</f>
        <v>0</v>
      </c>
      <c r="D665" s="4">
        <f>_xlfn.MAXIFS(Tabelle5[[#This Row],[binding_level]], Tabelle5[[#This Row],[company_id]],Tabelle18[[#This Row],[company_id]], Tabelle5[[#This Row],[value_id]], Tabelle18[[#This Row],[value_id]], Tabelle5[[#This Row],[value_present]],"1")</f>
        <v>0</v>
      </c>
      <c r="E665" s="4">
        <f>_xlfn.MAXIFS(Tabelle5[[#This Row],[value_points]], Tabelle5[[#This Row],[company_id]],Tabelle18[[#This Row],[company_id]], Tabelle5[[#This Row],[value_id]], Tabelle18[[#This Row],[value_id]], Tabelle5[[#This Row],[value_present]],"1")</f>
        <v>0</v>
      </c>
    </row>
    <row r="666" spans="1:5" x14ac:dyDescent="0.25">
      <c r="A666">
        <v>37</v>
      </c>
      <c r="B666" t="s">
        <v>166</v>
      </c>
      <c r="C666" s="4">
        <f>IF(Tabelle18[[#This Row],[binding_level_company]]&gt;=1,1,0)</f>
        <v>0</v>
      </c>
      <c r="D666" s="4">
        <f>_xlfn.MAXIFS(Tabelle5[[#This Row],[binding_level]], Tabelle5[[#This Row],[company_id]],Tabelle18[[#This Row],[company_id]], Tabelle5[[#This Row],[value_id]], Tabelle18[[#This Row],[value_id]], Tabelle5[[#This Row],[value_present]],"1")</f>
        <v>0</v>
      </c>
      <c r="E666" s="4">
        <f>_xlfn.MAXIFS(Tabelle5[[#This Row],[value_points]], Tabelle5[[#This Row],[company_id]],Tabelle18[[#This Row],[company_id]], Tabelle5[[#This Row],[value_id]], Tabelle18[[#This Row],[value_id]], Tabelle5[[#This Row],[value_present]],"1")</f>
        <v>0</v>
      </c>
    </row>
    <row r="667" spans="1:5" ht="15.75" thickBot="1" x14ac:dyDescent="0.3">
      <c r="A667">
        <v>37</v>
      </c>
      <c r="B667" s="30" t="s">
        <v>174</v>
      </c>
      <c r="C667" s="4">
        <f>IF(Tabelle18[[#This Row],[binding_level_company]]&gt;=1,1,0)</f>
        <v>0</v>
      </c>
      <c r="D667" s="4">
        <f>_xlfn.MAXIFS(Tabelle5[[#This Row],[binding_level]], Tabelle5[[#This Row],[company_id]],Tabelle18[[#This Row],[company_id]], Tabelle5[[#This Row],[value_id]], Tabelle18[[#This Row],[value_id]], Tabelle5[[#This Row],[value_present]],"1")</f>
        <v>0</v>
      </c>
      <c r="E667" s="4">
        <f>_xlfn.MAXIFS(Tabelle5[[#This Row],[value_points]], Tabelle5[[#This Row],[company_id]],Tabelle18[[#This Row],[company_id]], Tabelle5[[#This Row],[value_id]], Tabelle18[[#This Row],[value_id]], Tabelle5[[#This Row],[value_present]],"1")</f>
        <v>0</v>
      </c>
    </row>
    <row r="668" spans="1:5" x14ac:dyDescent="0.25">
      <c r="A668">
        <v>38</v>
      </c>
      <c r="B668" s="22" t="s">
        <v>53</v>
      </c>
      <c r="C668" s="4">
        <f>IF(Tabelle18[[#This Row],[binding_level_company]]&gt;=1,1,0)</f>
        <v>0</v>
      </c>
      <c r="D668" s="4">
        <f>_xlfn.MAXIFS(Tabelle5[[#This Row],[binding_level]], Tabelle5[[#This Row],[company_id]],Tabelle18[[#This Row],[company_id]], Tabelle5[[#This Row],[value_id]], Tabelle18[[#This Row],[value_id]], Tabelle5[[#This Row],[value_present]],"1")</f>
        <v>0</v>
      </c>
      <c r="E668" s="4">
        <f>_xlfn.MAXIFS(Tabelle5[[#This Row],[value_points]], Tabelle5[[#This Row],[company_id]],Tabelle18[[#This Row],[company_id]], Tabelle5[[#This Row],[value_id]], Tabelle18[[#This Row],[value_id]], Tabelle5[[#This Row],[value_present]],"1")</f>
        <v>0</v>
      </c>
    </row>
    <row r="669" spans="1:5" x14ac:dyDescent="0.25">
      <c r="A669">
        <v>38</v>
      </c>
      <c r="B669" t="s">
        <v>61</v>
      </c>
      <c r="C669" s="4">
        <f>IF(Tabelle18[[#This Row],[binding_level_company]]&gt;=1,1,0)</f>
        <v>0</v>
      </c>
      <c r="D669" s="4">
        <f>_xlfn.MAXIFS(Tabelle5[[#This Row],[binding_level]], Tabelle5[[#This Row],[company_id]],Tabelle18[[#This Row],[company_id]], Tabelle5[[#This Row],[value_id]], Tabelle18[[#This Row],[value_id]], Tabelle5[[#This Row],[value_present]],"1")</f>
        <v>0</v>
      </c>
      <c r="E669" s="4">
        <f>_xlfn.MAXIFS(Tabelle5[[#This Row],[value_points]], Tabelle5[[#This Row],[company_id]],Tabelle18[[#This Row],[company_id]], Tabelle5[[#This Row],[value_id]], Tabelle18[[#This Row],[value_id]], Tabelle5[[#This Row],[value_present]],"1")</f>
        <v>0</v>
      </c>
    </row>
    <row r="670" spans="1:5" x14ac:dyDescent="0.25">
      <c r="A670">
        <v>38</v>
      </c>
      <c r="B670" t="s">
        <v>69</v>
      </c>
      <c r="C670" s="4">
        <f>IF(Tabelle18[[#This Row],[binding_level_company]]&gt;=1,1,0)</f>
        <v>0</v>
      </c>
      <c r="D670" s="4">
        <f>_xlfn.MAXIFS(Tabelle5[[#This Row],[binding_level]], Tabelle5[[#This Row],[company_id]],Tabelle18[[#This Row],[company_id]], Tabelle5[[#This Row],[value_id]], Tabelle18[[#This Row],[value_id]], Tabelle5[[#This Row],[value_present]],"1")</f>
        <v>0</v>
      </c>
      <c r="E670" s="4">
        <f>_xlfn.MAXIFS(Tabelle5[[#This Row],[value_points]], Tabelle5[[#This Row],[company_id]],Tabelle18[[#This Row],[company_id]], Tabelle5[[#This Row],[value_id]], Tabelle18[[#This Row],[value_id]], Tabelle5[[#This Row],[value_present]],"1")</f>
        <v>0</v>
      </c>
    </row>
    <row r="671" spans="1:5" x14ac:dyDescent="0.25">
      <c r="A671">
        <v>38</v>
      </c>
      <c r="B671" t="s">
        <v>76</v>
      </c>
      <c r="C671" s="4">
        <f>IF(Tabelle18[[#This Row],[binding_level_company]]&gt;=1,1,0)</f>
        <v>0</v>
      </c>
      <c r="D671" s="4">
        <f>_xlfn.MAXIFS(Tabelle5[[#This Row],[binding_level]], Tabelle5[[#This Row],[company_id]],Tabelle18[[#This Row],[company_id]], Tabelle5[[#This Row],[value_id]], Tabelle18[[#This Row],[value_id]], Tabelle5[[#This Row],[value_present]],"1")</f>
        <v>0</v>
      </c>
      <c r="E671" s="4">
        <f>_xlfn.MAXIFS(Tabelle5[[#This Row],[value_points]], Tabelle5[[#This Row],[company_id]],Tabelle18[[#This Row],[company_id]], Tabelle5[[#This Row],[value_id]], Tabelle18[[#This Row],[value_id]], Tabelle5[[#This Row],[value_present]],"1")</f>
        <v>0</v>
      </c>
    </row>
    <row r="672" spans="1:5" x14ac:dyDescent="0.25">
      <c r="A672">
        <v>38</v>
      </c>
      <c r="B672" t="s">
        <v>83</v>
      </c>
      <c r="C672" s="4">
        <f>IF(Tabelle18[[#This Row],[binding_level_company]]&gt;=1,1,0)</f>
        <v>0</v>
      </c>
      <c r="D672" s="4">
        <f>_xlfn.MAXIFS(Tabelle5[[#This Row],[binding_level]], Tabelle5[[#This Row],[company_id]],Tabelle18[[#This Row],[company_id]], Tabelle5[[#This Row],[value_id]], Tabelle18[[#This Row],[value_id]], Tabelle5[[#This Row],[value_present]],"1")</f>
        <v>0</v>
      </c>
      <c r="E672" s="4">
        <f>_xlfn.MAXIFS(Tabelle5[[#This Row],[value_points]], Tabelle5[[#This Row],[company_id]],Tabelle18[[#This Row],[company_id]], Tabelle5[[#This Row],[value_id]], Tabelle18[[#This Row],[value_id]], Tabelle5[[#This Row],[value_present]],"1")</f>
        <v>0</v>
      </c>
    </row>
    <row r="673" spans="1:5" x14ac:dyDescent="0.25">
      <c r="A673">
        <v>38</v>
      </c>
      <c r="B673" t="s">
        <v>90</v>
      </c>
      <c r="C673" s="4">
        <f>IF(Tabelle18[[#This Row],[binding_level_company]]&gt;=1,1,0)</f>
        <v>0</v>
      </c>
      <c r="D673" s="4">
        <f>_xlfn.MAXIFS(Tabelle5[[#This Row],[binding_level]], Tabelle5[[#This Row],[company_id]],Tabelle18[[#This Row],[company_id]], Tabelle5[[#This Row],[value_id]], Tabelle18[[#This Row],[value_id]], Tabelle5[[#This Row],[value_present]],"1")</f>
        <v>0</v>
      </c>
      <c r="E673" s="4">
        <f>_xlfn.MAXIFS(Tabelle5[[#This Row],[value_points]], Tabelle5[[#This Row],[company_id]],Tabelle18[[#This Row],[company_id]], Tabelle5[[#This Row],[value_id]], Tabelle18[[#This Row],[value_id]], Tabelle5[[#This Row],[value_present]],"1")</f>
        <v>0</v>
      </c>
    </row>
    <row r="674" spans="1:5" x14ac:dyDescent="0.25">
      <c r="A674">
        <v>38</v>
      </c>
      <c r="B674" t="s">
        <v>98</v>
      </c>
      <c r="C674" s="4">
        <f>IF(Tabelle18[[#This Row],[binding_level_company]]&gt;=1,1,0)</f>
        <v>0</v>
      </c>
      <c r="D674" s="4">
        <f>_xlfn.MAXIFS(Tabelle5[[#This Row],[binding_level]], Tabelle5[[#This Row],[company_id]],Tabelle18[[#This Row],[company_id]], Tabelle5[[#This Row],[value_id]], Tabelle18[[#This Row],[value_id]], Tabelle5[[#This Row],[value_present]],"1")</f>
        <v>0</v>
      </c>
      <c r="E674" s="4">
        <f>_xlfn.MAXIFS(Tabelle5[[#This Row],[value_points]], Tabelle5[[#This Row],[company_id]],Tabelle18[[#This Row],[company_id]], Tabelle5[[#This Row],[value_id]], Tabelle18[[#This Row],[value_id]], Tabelle5[[#This Row],[value_present]],"1")</f>
        <v>0</v>
      </c>
    </row>
    <row r="675" spans="1:5" x14ac:dyDescent="0.25">
      <c r="A675">
        <v>38</v>
      </c>
      <c r="B675" t="s">
        <v>106</v>
      </c>
      <c r="C675" s="4">
        <f>IF(Tabelle18[[#This Row],[binding_level_company]]&gt;=1,1,0)</f>
        <v>0</v>
      </c>
      <c r="D675" s="4">
        <f>_xlfn.MAXIFS(Tabelle5[[#This Row],[binding_level]], Tabelle5[[#This Row],[company_id]],Tabelle18[[#This Row],[company_id]], Tabelle5[[#This Row],[value_id]], Tabelle18[[#This Row],[value_id]], Tabelle5[[#This Row],[value_present]],"1")</f>
        <v>0</v>
      </c>
      <c r="E675" s="4">
        <f>_xlfn.MAXIFS(Tabelle5[[#This Row],[value_points]], Tabelle5[[#This Row],[company_id]],Tabelle18[[#This Row],[company_id]], Tabelle5[[#This Row],[value_id]], Tabelle18[[#This Row],[value_id]], Tabelle5[[#This Row],[value_present]],"1")</f>
        <v>0</v>
      </c>
    </row>
    <row r="676" spans="1:5" x14ac:dyDescent="0.25">
      <c r="A676">
        <v>38</v>
      </c>
      <c r="B676" t="s">
        <v>112</v>
      </c>
      <c r="C676" s="4">
        <f>IF(Tabelle18[[#This Row],[binding_level_company]]&gt;=1,1,0)</f>
        <v>0</v>
      </c>
      <c r="D676" s="4">
        <f>_xlfn.MAXIFS(Tabelle5[[#This Row],[binding_level]], Tabelle5[[#This Row],[company_id]],Tabelle18[[#This Row],[company_id]], Tabelle5[[#This Row],[value_id]], Tabelle18[[#This Row],[value_id]], Tabelle5[[#This Row],[value_present]],"1")</f>
        <v>0</v>
      </c>
      <c r="E676" s="4">
        <f>_xlfn.MAXIFS(Tabelle5[[#This Row],[value_points]], Tabelle5[[#This Row],[company_id]],Tabelle18[[#This Row],[company_id]], Tabelle5[[#This Row],[value_id]], Tabelle18[[#This Row],[value_id]], Tabelle5[[#This Row],[value_present]],"1")</f>
        <v>0</v>
      </c>
    </row>
    <row r="677" spans="1:5" x14ac:dyDescent="0.25">
      <c r="A677">
        <v>38</v>
      </c>
      <c r="B677" t="s">
        <v>118</v>
      </c>
      <c r="C677" s="4">
        <f>IF(Tabelle18[[#This Row],[binding_level_company]]&gt;=1,1,0)</f>
        <v>0</v>
      </c>
      <c r="D677" s="4">
        <f>_xlfn.MAXIFS(Tabelle5[[#This Row],[binding_level]], Tabelle5[[#This Row],[company_id]],Tabelle18[[#This Row],[company_id]], Tabelle5[[#This Row],[value_id]], Tabelle18[[#This Row],[value_id]], Tabelle5[[#This Row],[value_present]],"1")</f>
        <v>0</v>
      </c>
      <c r="E677" s="4">
        <f>_xlfn.MAXIFS(Tabelle5[[#This Row],[value_points]], Tabelle5[[#This Row],[company_id]],Tabelle18[[#This Row],[company_id]], Tabelle5[[#This Row],[value_id]], Tabelle18[[#This Row],[value_id]], Tabelle5[[#This Row],[value_present]],"1")</f>
        <v>0</v>
      </c>
    </row>
    <row r="678" spans="1:5" x14ac:dyDescent="0.25">
      <c r="A678">
        <v>38</v>
      </c>
      <c r="B678" t="s">
        <v>125</v>
      </c>
      <c r="C678" s="4">
        <f>IF(Tabelle18[[#This Row],[binding_level_company]]&gt;=1,1,0)</f>
        <v>0</v>
      </c>
      <c r="D678" s="4">
        <f>_xlfn.MAXIFS(Tabelle5[[#This Row],[binding_level]], Tabelle5[[#This Row],[company_id]],Tabelle18[[#This Row],[company_id]], Tabelle5[[#This Row],[value_id]], Tabelle18[[#This Row],[value_id]], Tabelle5[[#This Row],[value_present]],"1")</f>
        <v>0</v>
      </c>
      <c r="E678" s="4">
        <f>_xlfn.MAXIFS(Tabelle5[[#This Row],[value_points]], Tabelle5[[#This Row],[company_id]],Tabelle18[[#This Row],[company_id]], Tabelle5[[#This Row],[value_id]], Tabelle18[[#This Row],[value_id]], Tabelle5[[#This Row],[value_present]],"1")</f>
        <v>0</v>
      </c>
    </row>
    <row r="679" spans="1:5" x14ac:dyDescent="0.25">
      <c r="A679">
        <v>38</v>
      </c>
      <c r="B679" t="s">
        <v>132</v>
      </c>
      <c r="C679" s="4">
        <f>IF(Tabelle18[[#This Row],[binding_level_company]]&gt;=1,1,0)</f>
        <v>0</v>
      </c>
      <c r="D679" s="4">
        <f>_xlfn.MAXIFS(Tabelle5[[#This Row],[binding_level]], Tabelle5[[#This Row],[company_id]],Tabelle18[[#This Row],[company_id]], Tabelle5[[#This Row],[value_id]], Tabelle18[[#This Row],[value_id]], Tabelle5[[#This Row],[value_present]],"1")</f>
        <v>0</v>
      </c>
      <c r="E679" s="4">
        <f>_xlfn.MAXIFS(Tabelle5[[#This Row],[value_points]], Tabelle5[[#This Row],[company_id]],Tabelle18[[#This Row],[company_id]], Tabelle5[[#This Row],[value_id]], Tabelle18[[#This Row],[value_id]], Tabelle5[[#This Row],[value_present]],"1")</f>
        <v>0</v>
      </c>
    </row>
    <row r="680" spans="1:5" x14ac:dyDescent="0.25">
      <c r="A680">
        <v>38</v>
      </c>
      <c r="B680" t="s">
        <v>140</v>
      </c>
      <c r="C680" s="4">
        <f>IF(Tabelle18[[#This Row],[binding_level_company]]&gt;=1,1,0)</f>
        <v>0</v>
      </c>
      <c r="D680" s="4">
        <f>_xlfn.MAXIFS(Tabelle5[[#This Row],[binding_level]], Tabelle5[[#This Row],[company_id]],Tabelle18[[#This Row],[company_id]], Tabelle5[[#This Row],[value_id]], Tabelle18[[#This Row],[value_id]], Tabelle5[[#This Row],[value_present]],"1")</f>
        <v>0</v>
      </c>
      <c r="E680" s="4">
        <f>_xlfn.MAXIFS(Tabelle5[[#This Row],[value_points]], Tabelle5[[#This Row],[company_id]],Tabelle18[[#This Row],[company_id]], Tabelle5[[#This Row],[value_id]], Tabelle18[[#This Row],[value_id]], Tabelle5[[#This Row],[value_present]],"1")</f>
        <v>0</v>
      </c>
    </row>
    <row r="681" spans="1:5" x14ac:dyDescent="0.25">
      <c r="A681">
        <v>38</v>
      </c>
      <c r="B681" t="s">
        <v>147</v>
      </c>
      <c r="C681" s="4">
        <f>IF(Tabelle18[[#This Row],[binding_level_company]]&gt;=1,1,0)</f>
        <v>0</v>
      </c>
      <c r="D681" s="4">
        <f>_xlfn.MAXIFS(Tabelle5[[#This Row],[binding_level]], Tabelle5[[#This Row],[company_id]],Tabelle18[[#This Row],[company_id]], Tabelle5[[#This Row],[value_id]], Tabelle18[[#This Row],[value_id]], Tabelle5[[#This Row],[value_present]],"1")</f>
        <v>0</v>
      </c>
      <c r="E681" s="4">
        <f>_xlfn.MAXIFS(Tabelle5[[#This Row],[value_points]], Tabelle5[[#This Row],[company_id]],Tabelle18[[#This Row],[company_id]], Tabelle5[[#This Row],[value_id]], Tabelle18[[#This Row],[value_id]], Tabelle5[[#This Row],[value_present]],"1")</f>
        <v>0</v>
      </c>
    </row>
    <row r="682" spans="1:5" x14ac:dyDescent="0.25">
      <c r="A682">
        <v>38</v>
      </c>
      <c r="B682" t="s">
        <v>154</v>
      </c>
      <c r="C682" s="4">
        <f>IF(Tabelle18[[#This Row],[binding_level_company]]&gt;=1,1,0)</f>
        <v>0</v>
      </c>
      <c r="D682" s="4">
        <f>_xlfn.MAXIFS(Tabelle5[[#This Row],[binding_level]], Tabelle5[[#This Row],[company_id]],Tabelle18[[#This Row],[company_id]], Tabelle5[[#This Row],[value_id]], Tabelle18[[#This Row],[value_id]], Tabelle5[[#This Row],[value_present]],"1")</f>
        <v>0</v>
      </c>
      <c r="E682" s="4">
        <f>_xlfn.MAXIFS(Tabelle5[[#This Row],[value_points]], Tabelle5[[#This Row],[company_id]],Tabelle18[[#This Row],[company_id]], Tabelle5[[#This Row],[value_id]], Tabelle18[[#This Row],[value_id]], Tabelle5[[#This Row],[value_present]],"1")</f>
        <v>0</v>
      </c>
    </row>
    <row r="683" spans="1:5" x14ac:dyDescent="0.25">
      <c r="A683">
        <v>38</v>
      </c>
      <c r="B683" t="s">
        <v>161</v>
      </c>
      <c r="C683" s="4">
        <f>IF(Tabelle18[[#This Row],[binding_level_company]]&gt;=1,1,0)</f>
        <v>0</v>
      </c>
      <c r="D683" s="4">
        <f>_xlfn.MAXIFS(Tabelle5[[#This Row],[binding_level]], Tabelle5[[#This Row],[company_id]],Tabelle18[[#This Row],[company_id]], Tabelle5[[#This Row],[value_id]], Tabelle18[[#This Row],[value_id]], Tabelle5[[#This Row],[value_present]],"1")</f>
        <v>0</v>
      </c>
      <c r="E683" s="4">
        <f>_xlfn.MAXIFS(Tabelle5[[#This Row],[value_points]], Tabelle5[[#This Row],[company_id]],Tabelle18[[#This Row],[company_id]], Tabelle5[[#This Row],[value_id]], Tabelle18[[#This Row],[value_id]], Tabelle5[[#This Row],[value_present]],"1")</f>
        <v>0</v>
      </c>
    </row>
    <row r="684" spans="1:5" x14ac:dyDescent="0.25">
      <c r="A684">
        <v>38</v>
      </c>
      <c r="B684" t="s">
        <v>166</v>
      </c>
      <c r="C684" s="4">
        <f>IF(Tabelle18[[#This Row],[binding_level_company]]&gt;=1,1,0)</f>
        <v>0</v>
      </c>
      <c r="D684" s="4">
        <f>_xlfn.MAXIFS(Tabelle5[[#This Row],[binding_level]], Tabelle5[[#This Row],[company_id]],Tabelle18[[#This Row],[company_id]], Tabelle5[[#This Row],[value_id]], Tabelle18[[#This Row],[value_id]], Tabelle5[[#This Row],[value_present]],"1")</f>
        <v>0</v>
      </c>
      <c r="E684" s="4">
        <f>_xlfn.MAXIFS(Tabelle5[[#This Row],[value_points]], Tabelle5[[#This Row],[company_id]],Tabelle18[[#This Row],[company_id]], Tabelle5[[#This Row],[value_id]], Tabelle18[[#This Row],[value_id]], Tabelle5[[#This Row],[value_present]],"1")</f>
        <v>0</v>
      </c>
    </row>
    <row r="685" spans="1:5" ht="15.75" thickBot="1" x14ac:dyDescent="0.3">
      <c r="A685">
        <v>38</v>
      </c>
      <c r="B685" s="30" t="s">
        <v>174</v>
      </c>
      <c r="C685" s="4">
        <f>IF(Tabelle18[[#This Row],[binding_level_company]]&gt;=1,1,0)</f>
        <v>0</v>
      </c>
      <c r="D685" s="4">
        <f>_xlfn.MAXIFS(Tabelle5[[#This Row],[binding_level]], Tabelle5[[#This Row],[company_id]],Tabelle18[[#This Row],[company_id]], Tabelle5[[#This Row],[value_id]], Tabelle18[[#This Row],[value_id]], Tabelle5[[#This Row],[value_present]],"1")</f>
        <v>0</v>
      </c>
      <c r="E685" s="4">
        <f>_xlfn.MAXIFS(Tabelle5[[#This Row],[value_points]], Tabelle5[[#This Row],[company_id]],Tabelle18[[#This Row],[company_id]], Tabelle5[[#This Row],[value_id]], Tabelle18[[#This Row],[value_id]], Tabelle5[[#This Row],[value_present]],"1")</f>
        <v>0</v>
      </c>
    </row>
    <row r="686" spans="1:5" x14ac:dyDescent="0.25">
      <c r="A686">
        <v>39</v>
      </c>
      <c r="B686" s="22" t="s">
        <v>53</v>
      </c>
      <c r="C686" s="4">
        <f>IF(Tabelle18[[#This Row],[binding_level_company]]&gt;=1,1,0)</f>
        <v>0</v>
      </c>
      <c r="D686" s="4">
        <f>_xlfn.MAXIFS(Tabelle5[[#This Row],[binding_level]], Tabelle5[[#This Row],[company_id]],Tabelle18[[#This Row],[company_id]], Tabelle5[[#This Row],[value_id]], Tabelle18[[#This Row],[value_id]], Tabelle5[[#This Row],[value_present]],"1")</f>
        <v>0</v>
      </c>
      <c r="E686" s="4">
        <f>_xlfn.MAXIFS(Tabelle5[[#This Row],[value_points]], Tabelle5[[#This Row],[company_id]],Tabelle18[[#This Row],[company_id]], Tabelle5[[#This Row],[value_id]], Tabelle18[[#This Row],[value_id]], Tabelle5[[#This Row],[value_present]],"1")</f>
        <v>0</v>
      </c>
    </row>
    <row r="687" spans="1:5" x14ac:dyDescent="0.25">
      <c r="A687">
        <v>39</v>
      </c>
      <c r="B687" t="s">
        <v>61</v>
      </c>
      <c r="C687" s="4">
        <f>IF(Tabelle18[[#This Row],[binding_level_company]]&gt;=1,1,0)</f>
        <v>0</v>
      </c>
      <c r="D687" s="4">
        <f>_xlfn.MAXIFS(Tabelle5[[#This Row],[binding_level]], Tabelle5[[#This Row],[company_id]],Tabelle18[[#This Row],[company_id]], Tabelle5[[#This Row],[value_id]], Tabelle18[[#This Row],[value_id]], Tabelle5[[#This Row],[value_present]],"1")</f>
        <v>0</v>
      </c>
      <c r="E687" s="4">
        <f>_xlfn.MAXIFS(Tabelle5[[#This Row],[value_points]], Tabelle5[[#This Row],[company_id]],Tabelle18[[#This Row],[company_id]], Tabelle5[[#This Row],[value_id]], Tabelle18[[#This Row],[value_id]], Tabelle5[[#This Row],[value_present]],"1")</f>
        <v>0</v>
      </c>
    </row>
    <row r="688" spans="1:5" x14ac:dyDescent="0.25">
      <c r="A688">
        <v>39</v>
      </c>
      <c r="B688" t="s">
        <v>69</v>
      </c>
      <c r="C688" s="4">
        <f>IF(Tabelle18[[#This Row],[binding_level_company]]&gt;=1,1,0)</f>
        <v>0</v>
      </c>
      <c r="D688" s="4">
        <f>_xlfn.MAXIFS(Tabelle5[[#This Row],[binding_level]], Tabelle5[[#This Row],[company_id]],Tabelle18[[#This Row],[company_id]], Tabelle5[[#This Row],[value_id]], Tabelle18[[#This Row],[value_id]], Tabelle5[[#This Row],[value_present]],"1")</f>
        <v>0</v>
      </c>
      <c r="E688" s="4">
        <f>_xlfn.MAXIFS(Tabelle5[[#This Row],[value_points]], Tabelle5[[#This Row],[company_id]],Tabelle18[[#This Row],[company_id]], Tabelle5[[#This Row],[value_id]], Tabelle18[[#This Row],[value_id]], Tabelle5[[#This Row],[value_present]],"1")</f>
        <v>0</v>
      </c>
    </row>
    <row r="689" spans="1:5" x14ac:dyDescent="0.25">
      <c r="A689">
        <v>39</v>
      </c>
      <c r="B689" t="s">
        <v>76</v>
      </c>
      <c r="C689" s="4">
        <f>IF(Tabelle18[[#This Row],[binding_level_company]]&gt;=1,1,0)</f>
        <v>0</v>
      </c>
      <c r="D689" s="4">
        <f>_xlfn.MAXIFS(Tabelle5[[#This Row],[binding_level]], Tabelle5[[#This Row],[company_id]],Tabelle18[[#This Row],[company_id]], Tabelle5[[#This Row],[value_id]], Tabelle18[[#This Row],[value_id]], Tabelle5[[#This Row],[value_present]],"1")</f>
        <v>0</v>
      </c>
      <c r="E689" s="4">
        <f>_xlfn.MAXIFS(Tabelle5[[#This Row],[value_points]], Tabelle5[[#This Row],[company_id]],Tabelle18[[#This Row],[company_id]], Tabelle5[[#This Row],[value_id]], Tabelle18[[#This Row],[value_id]], Tabelle5[[#This Row],[value_present]],"1")</f>
        <v>0</v>
      </c>
    </row>
    <row r="690" spans="1:5" x14ac:dyDescent="0.25">
      <c r="A690">
        <v>39</v>
      </c>
      <c r="B690" t="s">
        <v>83</v>
      </c>
      <c r="C690" s="4">
        <f>IF(Tabelle18[[#This Row],[binding_level_company]]&gt;=1,1,0)</f>
        <v>0</v>
      </c>
      <c r="D690" s="4">
        <f>_xlfn.MAXIFS(Tabelle5[[#This Row],[binding_level]], Tabelle5[[#This Row],[company_id]],Tabelle18[[#This Row],[company_id]], Tabelle5[[#This Row],[value_id]], Tabelle18[[#This Row],[value_id]], Tabelle5[[#This Row],[value_present]],"1")</f>
        <v>0</v>
      </c>
      <c r="E690" s="4">
        <f>_xlfn.MAXIFS(Tabelle5[[#This Row],[value_points]], Tabelle5[[#This Row],[company_id]],Tabelle18[[#This Row],[company_id]], Tabelle5[[#This Row],[value_id]], Tabelle18[[#This Row],[value_id]], Tabelle5[[#This Row],[value_present]],"1")</f>
        <v>0</v>
      </c>
    </row>
    <row r="691" spans="1:5" x14ac:dyDescent="0.25">
      <c r="A691">
        <v>39</v>
      </c>
      <c r="B691" t="s">
        <v>90</v>
      </c>
      <c r="C691" s="4">
        <f>IF(Tabelle18[[#This Row],[binding_level_company]]&gt;=1,1,0)</f>
        <v>0</v>
      </c>
      <c r="D691" s="4">
        <f>_xlfn.MAXIFS(Tabelle5[[#This Row],[binding_level]], Tabelle5[[#This Row],[company_id]],Tabelle18[[#This Row],[company_id]], Tabelle5[[#This Row],[value_id]], Tabelle18[[#This Row],[value_id]], Tabelle5[[#This Row],[value_present]],"1")</f>
        <v>0</v>
      </c>
      <c r="E691" s="4">
        <f>_xlfn.MAXIFS(Tabelle5[[#This Row],[value_points]], Tabelle5[[#This Row],[company_id]],Tabelle18[[#This Row],[company_id]], Tabelle5[[#This Row],[value_id]], Tabelle18[[#This Row],[value_id]], Tabelle5[[#This Row],[value_present]],"1")</f>
        <v>0</v>
      </c>
    </row>
    <row r="692" spans="1:5" x14ac:dyDescent="0.25">
      <c r="A692">
        <v>39</v>
      </c>
      <c r="B692" t="s">
        <v>98</v>
      </c>
      <c r="C692" s="4">
        <f>IF(Tabelle18[[#This Row],[binding_level_company]]&gt;=1,1,0)</f>
        <v>0</v>
      </c>
      <c r="D692" s="4">
        <f>_xlfn.MAXIFS(Tabelle5[[#This Row],[binding_level]], Tabelle5[[#This Row],[company_id]],Tabelle18[[#This Row],[company_id]], Tabelle5[[#This Row],[value_id]], Tabelle18[[#This Row],[value_id]], Tabelle5[[#This Row],[value_present]],"1")</f>
        <v>0</v>
      </c>
      <c r="E692" s="4">
        <f>_xlfn.MAXIFS(Tabelle5[[#This Row],[value_points]], Tabelle5[[#This Row],[company_id]],Tabelle18[[#This Row],[company_id]], Tabelle5[[#This Row],[value_id]], Tabelle18[[#This Row],[value_id]], Tabelle5[[#This Row],[value_present]],"1")</f>
        <v>0</v>
      </c>
    </row>
    <row r="693" spans="1:5" x14ac:dyDescent="0.25">
      <c r="A693">
        <v>39</v>
      </c>
      <c r="B693" t="s">
        <v>106</v>
      </c>
      <c r="C693" s="4">
        <f>IF(Tabelle18[[#This Row],[binding_level_company]]&gt;=1,1,0)</f>
        <v>0</v>
      </c>
      <c r="D693" s="4">
        <f>_xlfn.MAXIFS(Tabelle5[[#This Row],[binding_level]], Tabelle5[[#This Row],[company_id]],Tabelle18[[#This Row],[company_id]], Tabelle5[[#This Row],[value_id]], Tabelle18[[#This Row],[value_id]], Tabelle5[[#This Row],[value_present]],"1")</f>
        <v>0</v>
      </c>
      <c r="E693" s="4">
        <f>_xlfn.MAXIFS(Tabelle5[[#This Row],[value_points]], Tabelle5[[#This Row],[company_id]],Tabelle18[[#This Row],[company_id]], Tabelle5[[#This Row],[value_id]], Tabelle18[[#This Row],[value_id]], Tabelle5[[#This Row],[value_present]],"1")</f>
        <v>0</v>
      </c>
    </row>
    <row r="694" spans="1:5" x14ac:dyDescent="0.25">
      <c r="A694">
        <v>39</v>
      </c>
      <c r="B694" t="s">
        <v>112</v>
      </c>
      <c r="C694" s="4">
        <f>IF(Tabelle18[[#This Row],[binding_level_company]]&gt;=1,1,0)</f>
        <v>0</v>
      </c>
      <c r="D694" s="4">
        <f>_xlfn.MAXIFS(Tabelle5[[#This Row],[binding_level]], Tabelle5[[#This Row],[company_id]],Tabelle18[[#This Row],[company_id]], Tabelle5[[#This Row],[value_id]], Tabelle18[[#This Row],[value_id]], Tabelle5[[#This Row],[value_present]],"1")</f>
        <v>0</v>
      </c>
      <c r="E694" s="4">
        <f>_xlfn.MAXIFS(Tabelle5[[#This Row],[value_points]], Tabelle5[[#This Row],[company_id]],Tabelle18[[#This Row],[company_id]], Tabelle5[[#This Row],[value_id]], Tabelle18[[#This Row],[value_id]], Tabelle5[[#This Row],[value_present]],"1")</f>
        <v>0</v>
      </c>
    </row>
    <row r="695" spans="1:5" x14ac:dyDescent="0.25">
      <c r="A695">
        <v>39</v>
      </c>
      <c r="B695" t="s">
        <v>118</v>
      </c>
      <c r="C695" s="4">
        <f>IF(Tabelle18[[#This Row],[binding_level_company]]&gt;=1,1,0)</f>
        <v>0</v>
      </c>
      <c r="D695" s="4">
        <f>_xlfn.MAXIFS(Tabelle5[[#This Row],[binding_level]], Tabelle5[[#This Row],[company_id]],Tabelle18[[#This Row],[company_id]], Tabelle5[[#This Row],[value_id]], Tabelle18[[#This Row],[value_id]], Tabelle5[[#This Row],[value_present]],"1")</f>
        <v>0</v>
      </c>
      <c r="E695" s="4">
        <f>_xlfn.MAXIFS(Tabelle5[[#This Row],[value_points]], Tabelle5[[#This Row],[company_id]],Tabelle18[[#This Row],[company_id]], Tabelle5[[#This Row],[value_id]], Tabelle18[[#This Row],[value_id]], Tabelle5[[#This Row],[value_present]],"1")</f>
        <v>0</v>
      </c>
    </row>
    <row r="696" spans="1:5" x14ac:dyDescent="0.25">
      <c r="A696">
        <v>39</v>
      </c>
      <c r="B696" t="s">
        <v>125</v>
      </c>
      <c r="C696" s="4">
        <f>IF(Tabelle18[[#This Row],[binding_level_company]]&gt;=1,1,0)</f>
        <v>0</v>
      </c>
      <c r="D696" s="4">
        <f>_xlfn.MAXIFS(Tabelle5[[#This Row],[binding_level]], Tabelle5[[#This Row],[company_id]],Tabelle18[[#This Row],[company_id]], Tabelle5[[#This Row],[value_id]], Tabelle18[[#This Row],[value_id]], Tabelle5[[#This Row],[value_present]],"1")</f>
        <v>0</v>
      </c>
      <c r="E696" s="4">
        <f>_xlfn.MAXIFS(Tabelle5[[#This Row],[value_points]], Tabelle5[[#This Row],[company_id]],Tabelle18[[#This Row],[company_id]], Tabelle5[[#This Row],[value_id]], Tabelle18[[#This Row],[value_id]], Tabelle5[[#This Row],[value_present]],"1")</f>
        <v>0</v>
      </c>
    </row>
    <row r="697" spans="1:5" x14ac:dyDescent="0.25">
      <c r="A697">
        <v>39</v>
      </c>
      <c r="B697" t="s">
        <v>132</v>
      </c>
      <c r="C697" s="4">
        <f>IF(Tabelle18[[#This Row],[binding_level_company]]&gt;=1,1,0)</f>
        <v>0</v>
      </c>
      <c r="D697" s="4">
        <f>_xlfn.MAXIFS(Tabelle5[[#This Row],[binding_level]], Tabelle5[[#This Row],[company_id]],Tabelle18[[#This Row],[company_id]], Tabelle5[[#This Row],[value_id]], Tabelle18[[#This Row],[value_id]], Tabelle5[[#This Row],[value_present]],"1")</f>
        <v>0</v>
      </c>
      <c r="E697" s="4">
        <f>_xlfn.MAXIFS(Tabelle5[[#This Row],[value_points]], Tabelle5[[#This Row],[company_id]],Tabelle18[[#This Row],[company_id]], Tabelle5[[#This Row],[value_id]], Tabelle18[[#This Row],[value_id]], Tabelle5[[#This Row],[value_present]],"1")</f>
        <v>0</v>
      </c>
    </row>
    <row r="698" spans="1:5" x14ac:dyDescent="0.25">
      <c r="A698">
        <v>39</v>
      </c>
      <c r="B698" t="s">
        <v>140</v>
      </c>
      <c r="C698" s="4">
        <f>IF(Tabelle18[[#This Row],[binding_level_company]]&gt;=1,1,0)</f>
        <v>0</v>
      </c>
      <c r="D698" s="4">
        <f>_xlfn.MAXIFS(Tabelle5[[#This Row],[binding_level]], Tabelle5[[#This Row],[company_id]],Tabelle18[[#This Row],[company_id]], Tabelle5[[#This Row],[value_id]], Tabelle18[[#This Row],[value_id]], Tabelle5[[#This Row],[value_present]],"1")</f>
        <v>0</v>
      </c>
      <c r="E698" s="4">
        <f>_xlfn.MAXIFS(Tabelle5[[#This Row],[value_points]], Tabelle5[[#This Row],[company_id]],Tabelle18[[#This Row],[company_id]], Tabelle5[[#This Row],[value_id]], Tabelle18[[#This Row],[value_id]], Tabelle5[[#This Row],[value_present]],"1")</f>
        <v>0</v>
      </c>
    </row>
    <row r="699" spans="1:5" x14ac:dyDescent="0.25">
      <c r="A699">
        <v>39</v>
      </c>
      <c r="B699" t="s">
        <v>147</v>
      </c>
      <c r="C699" s="4">
        <f>IF(Tabelle18[[#This Row],[binding_level_company]]&gt;=1,1,0)</f>
        <v>0</v>
      </c>
      <c r="D699" s="4">
        <f>_xlfn.MAXIFS(Tabelle5[[#This Row],[binding_level]], Tabelle5[[#This Row],[company_id]],Tabelle18[[#This Row],[company_id]], Tabelle5[[#This Row],[value_id]], Tabelle18[[#This Row],[value_id]], Tabelle5[[#This Row],[value_present]],"1")</f>
        <v>0</v>
      </c>
      <c r="E699" s="4">
        <f>_xlfn.MAXIFS(Tabelle5[[#This Row],[value_points]], Tabelle5[[#This Row],[company_id]],Tabelle18[[#This Row],[company_id]], Tabelle5[[#This Row],[value_id]], Tabelle18[[#This Row],[value_id]], Tabelle5[[#This Row],[value_present]],"1")</f>
        <v>0</v>
      </c>
    </row>
    <row r="700" spans="1:5" x14ac:dyDescent="0.25">
      <c r="A700">
        <v>39</v>
      </c>
      <c r="B700" t="s">
        <v>154</v>
      </c>
      <c r="C700" s="4">
        <f>IF(Tabelle18[[#This Row],[binding_level_company]]&gt;=1,1,0)</f>
        <v>0</v>
      </c>
      <c r="D700" s="4">
        <f>_xlfn.MAXIFS(Tabelle5[[#This Row],[binding_level]], Tabelle5[[#This Row],[company_id]],Tabelle18[[#This Row],[company_id]], Tabelle5[[#This Row],[value_id]], Tabelle18[[#This Row],[value_id]], Tabelle5[[#This Row],[value_present]],"1")</f>
        <v>0</v>
      </c>
      <c r="E700" s="4">
        <f>_xlfn.MAXIFS(Tabelle5[[#This Row],[value_points]], Tabelle5[[#This Row],[company_id]],Tabelle18[[#This Row],[company_id]], Tabelle5[[#This Row],[value_id]], Tabelle18[[#This Row],[value_id]], Tabelle5[[#This Row],[value_present]],"1")</f>
        <v>0</v>
      </c>
    </row>
    <row r="701" spans="1:5" x14ac:dyDescent="0.25">
      <c r="A701">
        <v>39</v>
      </c>
      <c r="B701" t="s">
        <v>161</v>
      </c>
      <c r="C701" s="4">
        <f>IF(Tabelle18[[#This Row],[binding_level_company]]&gt;=1,1,0)</f>
        <v>0</v>
      </c>
      <c r="D701" s="4">
        <f>_xlfn.MAXIFS(Tabelle5[[#This Row],[binding_level]], Tabelle5[[#This Row],[company_id]],Tabelle18[[#This Row],[company_id]], Tabelle5[[#This Row],[value_id]], Tabelle18[[#This Row],[value_id]], Tabelle5[[#This Row],[value_present]],"1")</f>
        <v>0</v>
      </c>
      <c r="E701" s="4">
        <f>_xlfn.MAXIFS(Tabelle5[[#This Row],[value_points]], Tabelle5[[#This Row],[company_id]],Tabelle18[[#This Row],[company_id]], Tabelle5[[#This Row],[value_id]], Tabelle18[[#This Row],[value_id]], Tabelle5[[#This Row],[value_present]],"1")</f>
        <v>0</v>
      </c>
    </row>
    <row r="702" spans="1:5" x14ac:dyDescent="0.25">
      <c r="A702">
        <v>39</v>
      </c>
      <c r="B702" t="s">
        <v>166</v>
      </c>
      <c r="C702" s="4">
        <f>IF(Tabelle18[[#This Row],[binding_level_company]]&gt;=1,1,0)</f>
        <v>0</v>
      </c>
      <c r="D702" s="4">
        <f>_xlfn.MAXIFS(Tabelle5[[#This Row],[binding_level]], Tabelle5[[#This Row],[company_id]],Tabelle18[[#This Row],[company_id]], Tabelle5[[#This Row],[value_id]], Tabelle18[[#This Row],[value_id]], Tabelle5[[#This Row],[value_present]],"1")</f>
        <v>0</v>
      </c>
      <c r="E702" s="4">
        <f>_xlfn.MAXIFS(Tabelle5[[#This Row],[value_points]], Tabelle5[[#This Row],[company_id]],Tabelle18[[#This Row],[company_id]], Tabelle5[[#This Row],[value_id]], Tabelle18[[#This Row],[value_id]], Tabelle5[[#This Row],[value_present]],"1")</f>
        <v>0</v>
      </c>
    </row>
    <row r="703" spans="1:5" ht="15.75" thickBot="1" x14ac:dyDescent="0.3">
      <c r="A703">
        <v>39</v>
      </c>
      <c r="B703" s="30" t="s">
        <v>174</v>
      </c>
      <c r="C703" s="4">
        <f>IF(Tabelle18[[#This Row],[binding_level_company]]&gt;=1,1,0)</f>
        <v>0</v>
      </c>
      <c r="D703" s="4">
        <f>_xlfn.MAXIFS(Tabelle5[[#This Row],[binding_level]], Tabelle5[[#This Row],[company_id]],Tabelle18[[#This Row],[company_id]], Tabelle5[[#This Row],[value_id]], Tabelle18[[#This Row],[value_id]], Tabelle5[[#This Row],[value_present]],"1")</f>
        <v>0</v>
      </c>
      <c r="E703" s="4">
        <f>_xlfn.MAXIFS(Tabelle5[[#This Row],[value_points]], Tabelle5[[#This Row],[company_id]],Tabelle18[[#This Row],[company_id]], Tabelle5[[#This Row],[value_id]], Tabelle18[[#This Row],[value_id]], Tabelle5[[#This Row],[value_present]],"1")</f>
        <v>0</v>
      </c>
    </row>
    <row r="704" spans="1:5" x14ac:dyDescent="0.25">
      <c r="A704">
        <v>40</v>
      </c>
      <c r="B704" s="22" t="s">
        <v>53</v>
      </c>
      <c r="C704" s="4">
        <f>IF(Tabelle18[[#This Row],[binding_level_company]]&gt;=1,1,0)</f>
        <v>0</v>
      </c>
      <c r="D704" s="4">
        <f>_xlfn.MAXIFS(Tabelle5[[#This Row],[binding_level]], Tabelle5[[#This Row],[company_id]],Tabelle18[[#This Row],[company_id]], Tabelle5[[#This Row],[value_id]], Tabelle18[[#This Row],[value_id]], Tabelle5[[#This Row],[value_present]],"1")</f>
        <v>0</v>
      </c>
      <c r="E704" s="4">
        <f>_xlfn.MAXIFS(Tabelle5[[#This Row],[value_points]], Tabelle5[[#This Row],[company_id]],Tabelle18[[#This Row],[company_id]], Tabelle5[[#This Row],[value_id]], Tabelle18[[#This Row],[value_id]], Tabelle5[[#This Row],[value_present]],"1")</f>
        <v>0</v>
      </c>
    </row>
    <row r="705" spans="1:5" x14ac:dyDescent="0.25">
      <c r="A705">
        <v>40</v>
      </c>
      <c r="B705" t="s">
        <v>61</v>
      </c>
      <c r="C705" s="4">
        <f>IF(Tabelle18[[#This Row],[binding_level_company]]&gt;=1,1,0)</f>
        <v>0</v>
      </c>
      <c r="D705" s="4">
        <f>_xlfn.MAXIFS(Tabelle5[[#This Row],[binding_level]], Tabelle5[[#This Row],[company_id]],Tabelle18[[#This Row],[company_id]], Tabelle5[[#This Row],[value_id]], Tabelle18[[#This Row],[value_id]], Tabelle5[[#This Row],[value_present]],"1")</f>
        <v>0</v>
      </c>
      <c r="E705" s="4">
        <f>_xlfn.MAXIFS(Tabelle5[[#This Row],[value_points]], Tabelle5[[#This Row],[company_id]],Tabelle18[[#This Row],[company_id]], Tabelle5[[#This Row],[value_id]], Tabelle18[[#This Row],[value_id]], Tabelle5[[#This Row],[value_present]],"1")</f>
        <v>0</v>
      </c>
    </row>
    <row r="706" spans="1:5" x14ac:dyDescent="0.25">
      <c r="A706">
        <v>40</v>
      </c>
      <c r="B706" t="s">
        <v>69</v>
      </c>
      <c r="C706" s="4">
        <f>IF(Tabelle18[[#This Row],[binding_level_company]]&gt;=1,1,0)</f>
        <v>0</v>
      </c>
      <c r="D706" s="4">
        <f>_xlfn.MAXIFS(Tabelle5[[#This Row],[binding_level]], Tabelle5[[#This Row],[company_id]],Tabelle18[[#This Row],[company_id]], Tabelle5[[#This Row],[value_id]], Tabelle18[[#This Row],[value_id]], Tabelle5[[#This Row],[value_present]],"1")</f>
        <v>0</v>
      </c>
      <c r="E706" s="4">
        <f>_xlfn.MAXIFS(Tabelle5[[#This Row],[value_points]], Tabelle5[[#This Row],[company_id]],Tabelle18[[#This Row],[company_id]], Tabelle5[[#This Row],[value_id]], Tabelle18[[#This Row],[value_id]], Tabelle5[[#This Row],[value_present]],"1")</f>
        <v>0</v>
      </c>
    </row>
    <row r="707" spans="1:5" x14ac:dyDescent="0.25">
      <c r="A707">
        <v>40</v>
      </c>
      <c r="B707" t="s">
        <v>76</v>
      </c>
      <c r="C707" s="4">
        <f>IF(Tabelle18[[#This Row],[binding_level_company]]&gt;=1,1,0)</f>
        <v>0</v>
      </c>
      <c r="D707" s="4">
        <f>_xlfn.MAXIFS(Tabelle5[[#This Row],[binding_level]], Tabelle5[[#This Row],[company_id]],Tabelle18[[#This Row],[company_id]], Tabelle5[[#This Row],[value_id]], Tabelle18[[#This Row],[value_id]], Tabelle5[[#This Row],[value_present]],"1")</f>
        <v>0</v>
      </c>
      <c r="E707" s="4">
        <f>_xlfn.MAXIFS(Tabelle5[[#This Row],[value_points]], Tabelle5[[#This Row],[company_id]],Tabelle18[[#This Row],[company_id]], Tabelle5[[#This Row],[value_id]], Tabelle18[[#This Row],[value_id]], Tabelle5[[#This Row],[value_present]],"1")</f>
        <v>0</v>
      </c>
    </row>
    <row r="708" spans="1:5" x14ac:dyDescent="0.25">
      <c r="A708">
        <v>40</v>
      </c>
      <c r="B708" t="s">
        <v>83</v>
      </c>
      <c r="C708" s="4">
        <f>IF(Tabelle18[[#This Row],[binding_level_company]]&gt;=1,1,0)</f>
        <v>0</v>
      </c>
      <c r="D708" s="4">
        <f>_xlfn.MAXIFS(Tabelle5[[#This Row],[binding_level]], Tabelle5[[#This Row],[company_id]],Tabelle18[[#This Row],[company_id]], Tabelle5[[#This Row],[value_id]], Tabelle18[[#This Row],[value_id]], Tabelle5[[#This Row],[value_present]],"1")</f>
        <v>0</v>
      </c>
      <c r="E708" s="4">
        <f>_xlfn.MAXIFS(Tabelle5[[#This Row],[value_points]], Tabelle5[[#This Row],[company_id]],Tabelle18[[#This Row],[company_id]], Tabelle5[[#This Row],[value_id]], Tabelle18[[#This Row],[value_id]], Tabelle5[[#This Row],[value_present]],"1")</f>
        <v>0</v>
      </c>
    </row>
    <row r="709" spans="1:5" x14ac:dyDescent="0.25">
      <c r="A709">
        <v>40</v>
      </c>
      <c r="B709" t="s">
        <v>90</v>
      </c>
      <c r="C709" s="4">
        <f>IF(Tabelle18[[#This Row],[binding_level_company]]&gt;=1,1,0)</f>
        <v>0</v>
      </c>
      <c r="D709" s="4">
        <f>_xlfn.MAXIFS(Tabelle5[[#This Row],[binding_level]], Tabelle5[[#This Row],[company_id]],Tabelle18[[#This Row],[company_id]], Tabelle5[[#This Row],[value_id]], Tabelle18[[#This Row],[value_id]], Tabelle5[[#This Row],[value_present]],"1")</f>
        <v>0</v>
      </c>
      <c r="E709" s="4">
        <f>_xlfn.MAXIFS(Tabelle5[[#This Row],[value_points]], Tabelle5[[#This Row],[company_id]],Tabelle18[[#This Row],[company_id]], Tabelle5[[#This Row],[value_id]], Tabelle18[[#This Row],[value_id]], Tabelle5[[#This Row],[value_present]],"1")</f>
        <v>0</v>
      </c>
    </row>
    <row r="710" spans="1:5" x14ac:dyDescent="0.25">
      <c r="A710">
        <v>40</v>
      </c>
      <c r="B710" t="s">
        <v>98</v>
      </c>
      <c r="C710" s="4">
        <f>IF(Tabelle18[[#This Row],[binding_level_company]]&gt;=1,1,0)</f>
        <v>0</v>
      </c>
      <c r="D710" s="4">
        <f>_xlfn.MAXIFS(Tabelle5[[#This Row],[binding_level]], Tabelle5[[#This Row],[company_id]],Tabelle18[[#This Row],[company_id]], Tabelle5[[#This Row],[value_id]], Tabelle18[[#This Row],[value_id]], Tabelle5[[#This Row],[value_present]],"1")</f>
        <v>0</v>
      </c>
      <c r="E710" s="4">
        <f>_xlfn.MAXIFS(Tabelle5[[#This Row],[value_points]], Tabelle5[[#This Row],[company_id]],Tabelle18[[#This Row],[company_id]], Tabelle5[[#This Row],[value_id]], Tabelle18[[#This Row],[value_id]], Tabelle5[[#This Row],[value_present]],"1")</f>
        <v>0</v>
      </c>
    </row>
    <row r="711" spans="1:5" x14ac:dyDescent="0.25">
      <c r="A711">
        <v>40</v>
      </c>
      <c r="B711" t="s">
        <v>106</v>
      </c>
      <c r="C711" s="4">
        <f>IF(Tabelle18[[#This Row],[binding_level_company]]&gt;=1,1,0)</f>
        <v>0</v>
      </c>
      <c r="D711" s="4">
        <f>_xlfn.MAXIFS(Tabelle5[[#This Row],[binding_level]], Tabelle5[[#This Row],[company_id]],Tabelle18[[#This Row],[company_id]], Tabelle5[[#This Row],[value_id]], Tabelle18[[#This Row],[value_id]], Tabelle5[[#This Row],[value_present]],"1")</f>
        <v>0</v>
      </c>
      <c r="E711" s="4">
        <f>_xlfn.MAXIFS(Tabelle5[[#This Row],[value_points]], Tabelle5[[#This Row],[company_id]],Tabelle18[[#This Row],[company_id]], Tabelle5[[#This Row],[value_id]], Tabelle18[[#This Row],[value_id]], Tabelle5[[#This Row],[value_present]],"1")</f>
        <v>0</v>
      </c>
    </row>
    <row r="712" spans="1:5" x14ac:dyDescent="0.25">
      <c r="A712">
        <v>40</v>
      </c>
      <c r="B712" t="s">
        <v>112</v>
      </c>
      <c r="C712" s="4">
        <f>IF(Tabelle18[[#This Row],[binding_level_company]]&gt;=1,1,0)</f>
        <v>0</v>
      </c>
      <c r="D712" s="4">
        <f>_xlfn.MAXIFS(Tabelle5[[#This Row],[binding_level]], Tabelle5[[#This Row],[company_id]],Tabelle18[[#This Row],[company_id]], Tabelle5[[#This Row],[value_id]], Tabelle18[[#This Row],[value_id]], Tabelle5[[#This Row],[value_present]],"1")</f>
        <v>0</v>
      </c>
      <c r="E712" s="4">
        <f>_xlfn.MAXIFS(Tabelle5[[#This Row],[value_points]], Tabelle5[[#This Row],[company_id]],Tabelle18[[#This Row],[company_id]], Tabelle5[[#This Row],[value_id]], Tabelle18[[#This Row],[value_id]], Tabelle5[[#This Row],[value_present]],"1")</f>
        <v>0</v>
      </c>
    </row>
    <row r="713" spans="1:5" x14ac:dyDescent="0.25">
      <c r="A713">
        <v>40</v>
      </c>
      <c r="B713" t="s">
        <v>118</v>
      </c>
      <c r="C713" s="4">
        <f>IF(Tabelle18[[#This Row],[binding_level_company]]&gt;=1,1,0)</f>
        <v>0</v>
      </c>
      <c r="D713" s="4">
        <f>_xlfn.MAXIFS(Tabelle5[[#This Row],[binding_level]], Tabelle5[[#This Row],[company_id]],Tabelle18[[#This Row],[company_id]], Tabelle5[[#This Row],[value_id]], Tabelle18[[#This Row],[value_id]], Tabelle5[[#This Row],[value_present]],"1")</f>
        <v>0</v>
      </c>
      <c r="E713" s="4">
        <f>_xlfn.MAXIFS(Tabelle5[[#This Row],[value_points]], Tabelle5[[#This Row],[company_id]],Tabelle18[[#This Row],[company_id]], Tabelle5[[#This Row],[value_id]], Tabelle18[[#This Row],[value_id]], Tabelle5[[#This Row],[value_present]],"1")</f>
        <v>0</v>
      </c>
    </row>
    <row r="714" spans="1:5" x14ac:dyDescent="0.25">
      <c r="A714">
        <v>40</v>
      </c>
      <c r="B714" t="s">
        <v>125</v>
      </c>
      <c r="C714" s="4">
        <f>IF(Tabelle18[[#This Row],[binding_level_company]]&gt;=1,1,0)</f>
        <v>0</v>
      </c>
      <c r="D714" s="4">
        <f>_xlfn.MAXIFS(Tabelle5[[#This Row],[binding_level]], Tabelle5[[#This Row],[company_id]],Tabelle18[[#This Row],[company_id]], Tabelle5[[#This Row],[value_id]], Tabelle18[[#This Row],[value_id]], Tabelle5[[#This Row],[value_present]],"1")</f>
        <v>0</v>
      </c>
      <c r="E714" s="4">
        <f>_xlfn.MAXIFS(Tabelle5[[#This Row],[value_points]], Tabelle5[[#This Row],[company_id]],Tabelle18[[#This Row],[company_id]], Tabelle5[[#This Row],[value_id]], Tabelle18[[#This Row],[value_id]], Tabelle5[[#This Row],[value_present]],"1")</f>
        <v>0</v>
      </c>
    </row>
    <row r="715" spans="1:5" x14ac:dyDescent="0.25">
      <c r="A715">
        <v>40</v>
      </c>
      <c r="B715" t="s">
        <v>132</v>
      </c>
      <c r="C715" s="4">
        <f>IF(Tabelle18[[#This Row],[binding_level_company]]&gt;=1,1,0)</f>
        <v>0</v>
      </c>
      <c r="D715" s="4">
        <f>_xlfn.MAXIFS(Tabelle5[[#This Row],[binding_level]], Tabelle5[[#This Row],[company_id]],Tabelle18[[#This Row],[company_id]], Tabelle5[[#This Row],[value_id]], Tabelle18[[#This Row],[value_id]], Tabelle5[[#This Row],[value_present]],"1")</f>
        <v>0</v>
      </c>
      <c r="E715" s="4">
        <f>_xlfn.MAXIFS(Tabelle5[[#This Row],[value_points]], Tabelle5[[#This Row],[company_id]],Tabelle18[[#This Row],[company_id]], Tabelle5[[#This Row],[value_id]], Tabelle18[[#This Row],[value_id]], Tabelle5[[#This Row],[value_present]],"1")</f>
        <v>0</v>
      </c>
    </row>
    <row r="716" spans="1:5" x14ac:dyDescent="0.25">
      <c r="A716">
        <v>40</v>
      </c>
      <c r="B716" t="s">
        <v>140</v>
      </c>
      <c r="C716" s="4">
        <f>IF(Tabelle18[[#This Row],[binding_level_company]]&gt;=1,1,0)</f>
        <v>0</v>
      </c>
      <c r="D716" s="4">
        <f>_xlfn.MAXIFS(Tabelle5[[#This Row],[binding_level]], Tabelle5[[#This Row],[company_id]],Tabelle18[[#This Row],[company_id]], Tabelle5[[#This Row],[value_id]], Tabelle18[[#This Row],[value_id]], Tabelle5[[#This Row],[value_present]],"1")</f>
        <v>0</v>
      </c>
      <c r="E716" s="4">
        <f>_xlfn.MAXIFS(Tabelle5[[#This Row],[value_points]], Tabelle5[[#This Row],[company_id]],Tabelle18[[#This Row],[company_id]], Tabelle5[[#This Row],[value_id]], Tabelle18[[#This Row],[value_id]], Tabelle5[[#This Row],[value_present]],"1")</f>
        <v>0</v>
      </c>
    </row>
    <row r="717" spans="1:5" x14ac:dyDescent="0.25">
      <c r="A717">
        <v>40</v>
      </c>
      <c r="B717" t="s">
        <v>147</v>
      </c>
      <c r="C717" s="4">
        <f>IF(Tabelle18[[#This Row],[binding_level_company]]&gt;=1,1,0)</f>
        <v>0</v>
      </c>
      <c r="D717" s="4">
        <f>_xlfn.MAXIFS(Tabelle5[[#This Row],[binding_level]], Tabelle5[[#This Row],[company_id]],Tabelle18[[#This Row],[company_id]], Tabelle5[[#This Row],[value_id]], Tabelle18[[#This Row],[value_id]], Tabelle5[[#This Row],[value_present]],"1")</f>
        <v>0</v>
      </c>
      <c r="E717" s="4">
        <f>_xlfn.MAXIFS(Tabelle5[[#This Row],[value_points]], Tabelle5[[#This Row],[company_id]],Tabelle18[[#This Row],[company_id]], Tabelle5[[#This Row],[value_id]], Tabelle18[[#This Row],[value_id]], Tabelle5[[#This Row],[value_present]],"1")</f>
        <v>0</v>
      </c>
    </row>
    <row r="718" spans="1:5" x14ac:dyDescent="0.25">
      <c r="A718">
        <v>40</v>
      </c>
      <c r="B718" t="s">
        <v>154</v>
      </c>
      <c r="C718" s="4">
        <f>IF(Tabelle18[[#This Row],[binding_level_company]]&gt;=1,1,0)</f>
        <v>0</v>
      </c>
      <c r="D718" s="4">
        <f>_xlfn.MAXIFS(Tabelle5[[#This Row],[binding_level]], Tabelle5[[#This Row],[company_id]],Tabelle18[[#This Row],[company_id]], Tabelle5[[#This Row],[value_id]], Tabelle18[[#This Row],[value_id]], Tabelle5[[#This Row],[value_present]],"1")</f>
        <v>0</v>
      </c>
      <c r="E718" s="4">
        <f>_xlfn.MAXIFS(Tabelle5[[#This Row],[value_points]], Tabelle5[[#This Row],[company_id]],Tabelle18[[#This Row],[company_id]], Tabelle5[[#This Row],[value_id]], Tabelle18[[#This Row],[value_id]], Tabelle5[[#This Row],[value_present]],"1")</f>
        <v>0</v>
      </c>
    </row>
    <row r="719" spans="1:5" x14ac:dyDescent="0.25">
      <c r="A719">
        <v>40</v>
      </c>
      <c r="B719" t="s">
        <v>161</v>
      </c>
      <c r="C719" s="4">
        <f>IF(Tabelle18[[#This Row],[binding_level_company]]&gt;=1,1,0)</f>
        <v>0</v>
      </c>
      <c r="D719" s="4">
        <f>_xlfn.MAXIFS(Tabelle5[[#This Row],[binding_level]], Tabelle5[[#This Row],[company_id]],Tabelle18[[#This Row],[company_id]], Tabelle5[[#This Row],[value_id]], Tabelle18[[#This Row],[value_id]], Tabelle5[[#This Row],[value_present]],"1")</f>
        <v>0</v>
      </c>
      <c r="E719" s="4">
        <f>_xlfn.MAXIFS(Tabelle5[[#This Row],[value_points]], Tabelle5[[#This Row],[company_id]],Tabelle18[[#This Row],[company_id]], Tabelle5[[#This Row],[value_id]], Tabelle18[[#This Row],[value_id]], Tabelle5[[#This Row],[value_present]],"1")</f>
        <v>0</v>
      </c>
    </row>
    <row r="720" spans="1:5" x14ac:dyDescent="0.25">
      <c r="A720">
        <v>40</v>
      </c>
      <c r="B720" t="s">
        <v>166</v>
      </c>
      <c r="C720" s="4">
        <f>IF(Tabelle18[[#This Row],[binding_level_company]]&gt;=1,1,0)</f>
        <v>0</v>
      </c>
      <c r="D720" s="4">
        <f>_xlfn.MAXIFS(Tabelle5[[#This Row],[binding_level]], Tabelle5[[#This Row],[company_id]],Tabelle18[[#This Row],[company_id]], Tabelle5[[#This Row],[value_id]], Tabelle18[[#This Row],[value_id]], Tabelle5[[#This Row],[value_present]],"1")</f>
        <v>0</v>
      </c>
      <c r="E720" s="4">
        <f>_xlfn.MAXIFS(Tabelle5[[#This Row],[value_points]], Tabelle5[[#This Row],[company_id]],Tabelle18[[#This Row],[company_id]], Tabelle5[[#This Row],[value_id]], Tabelle18[[#This Row],[value_id]], Tabelle5[[#This Row],[value_present]],"1")</f>
        <v>0</v>
      </c>
    </row>
    <row r="721" spans="1:5" ht="15.75" thickBot="1" x14ac:dyDescent="0.3">
      <c r="A721">
        <v>40</v>
      </c>
      <c r="B721" s="30" t="s">
        <v>174</v>
      </c>
      <c r="C721" s="4">
        <f>IF(Tabelle18[[#This Row],[binding_level_company]]&gt;=1,1,0)</f>
        <v>0</v>
      </c>
      <c r="D721" s="4">
        <f>_xlfn.MAXIFS(Tabelle5[[#This Row],[binding_level]], Tabelle5[[#This Row],[company_id]],Tabelle18[[#This Row],[company_id]], Tabelle5[[#This Row],[value_id]], Tabelle18[[#This Row],[value_id]], Tabelle5[[#This Row],[value_present]],"1")</f>
        <v>0</v>
      </c>
      <c r="E721" s="4">
        <f>_xlfn.MAXIFS(Tabelle5[[#This Row],[value_points]], Tabelle5[[#This Row],[company_id]],Tabelle18[[#This Row],[company_id]], Tabelle5[[#This Row],[value_id]], Tabelle18[[#This Row],[value_id]], Tabelle5[[#This Row],[value_present]],"1")</f>
        <v>0</v>
      </c>
    </row>
  </sheetData>
  <phoneticPr fontId="1" type="noConversion"/>
  <pageMargins left="0.7" right="0.7" top="0.78740157499999996" bottom="0.78740157499999996"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D432C-A6A2-414E-984B-A1197E0F3D16}">
  <sheetPr>
    <tabColor theme="4"/>
  </sheetPr>
  <dimension ref="A1:F281"/>
  <sheetViews>
    <sheetView workbookViewId="0">
      <selection activeCell="C282" sqref="C282"/>
    </sheetView>
  </sheetViews>
  <sheetFormatPr baseColWidth="10" defaultRowHeight="15" x14ac:dyDescent="0.25"/>
  <cols>
    <col min="1" max="1" width="14" bestFit="1" customWidth="1"/>
    <col min="2" max="2" width="12.85546875" bestFit="1" customWidth="1"/>
    <col min="3" max="3" width="26.28515625" bestFit="1" customWidth="1"/>
    <col min="4" max="4" width="11.7109375" customWidth="1"/>
    <col min="5" max="5" width="16.7109375" customWidth="1"/>
    <col min="6" max="6" width="19" customWidth="1"/>
  </cols>
  <sheetData>
    <row r="1" spans="1:6" ht="15.75" thickBot="1" x14ac:dyDescent="0.3">
      <c r="A1" t="s">
        <v>0</v>
      </c>
      <c r="B1" t="s">
        <v>37</v>
      </c>
      <c r="C1" t="s">
        <v>45</v>
      </c>
      <c r="D1" t="s">
        <v>46</v>
      </c>
      <c r="E1" t="s">
        <v>32</v>
      </c>
      <c r="F1" t="s">
        <v>33</v>
      </c>
    </row>
    <row r="2" spans="1:6" x14ac:dyDescent="0.25">
      <c r="A2" s="18">
        <v>1</v>
      </c>
      <c r="B2" s="19" t="s">
        <v>186</v>
      </c>
      <c r="C2" s="19">
        <v>8</v>
      </c>
      <c r="D2" s="20"/>
      <c r="E2" s="22"/>
      <c r="F2" s="19"/>
    </row>
    <row r="3" spans="1:6" x14ac:dyDescent="0.25">
      <c r="A3" s="24">
        <v>1</v>
      </c>
      <c r="B3" s="2" t="s">
        <v>192</v>
      </c>
      <c r="C3" s="2"/>
      <c r="D3" s="3"/>
      <c r="F3" s="2"/>
    </row>
    <row r="4" spans="1:6" x14ac:dyDescent="0.25">
      <c r="A4" s="24">
        <v>1</v>
      </c>
      <c r="B4" s="2" t="s">
        <v>198</v>
      </c>
      <c r="C4" s="2"/>
      <c r="D4" s="3"/>
      <c r="F4" s="2"/>
    </row>
    <row r="5" spans="1:6" x14ac:dyDescent="0.25">
      <c r="A5" s="24">
        <v>1</v>
      </c>
      <c r="B5" s="2" t="s">
        <v>204</v>
      </c>
      <c r="C5" s="2"/>
      <c r="D5" s="3"/>
      <c r="F5" s="2"/>
    </row>
    <row r="6" spans="1:6" x14ac:dyDescent="0.25">
      <c r="A6" s="24">
        <v>1</v>
      </c>
      <c r="B6" s="2" t="s">
        <v>210</v>
      </c>
      <c r="C6" s="2"/>
      <c r="D6" s="3"/>
      <c r="F6" s="2"/>
    </row>
    <row r="7" spans="1:6" x14ac:dyDescent="0.25">
      <c r="A7" s="24">
        <v>1</v>
      </c>
      <c r="B7" s="2" t="s">
        <v>215</v>
      </c>
      <c r="C7" s="2"/>
      <c r="D7" s="3"/>
      <c r="F7" s="2"/>
    </row>
    <row r="8" spans="1:6" ht="15.75" thickBot="1" x14ac:dyDescent="0.3">
      <c r="A8" s="26">
        <v>1</v>
      </c>
      <c r="B8" s="27" t="s">
        <v>221</v>
      </c>
      <c r="C8" s="27"/>
      <c r="D8" s="28"/>
      <c r="E8" s="30"/>
      <c r="F8" s="27"/>
    </row>
    <row r="9" spans="1:6" x14ac:dyDescent="0.25">
      <c r="A9" s="2">
        <v>2</v>
      </c>
      <c r="B9" s="19" t="s">
        <v>186</v>
      </c>
      <c r="C9" s="2"/>
      <c r="D9" s="3"/>
      <c r="F9" s="2"/>
    </row>
    <row r="10" spans="1:6" x14ac:dyDescent="0.25">
      <c r="A10" s="2">
        <v>2</v>
      </c>
      <c r="B10" s="2" t="s">
        <v>192</v>
      </c>
      <c r="C10" s="2"/>
      <c r="D10" s="3"/>
      <c r="F10" s="2"/>
    </row>
    <row r="11" spans="1:6" x14ac:dyDescent="0.25">
      <c r="A11" s="2">
        <v>2</v>
      </c>
      <c r="B11" s="2" t="s">
        <v>198</v>
      </c>
      <c r="C11" s="2"/>
      <c r="D11" s="3"/>
      <c r="F11" s="2"/>
    </row>
    <row r="12" spans="1:6" x14ac:dyDescent="0.25">
      <c r="A12" s="2">
        <v>2</v>
      </c>
      <c r="B12" s="2" t="s">
        <v>204</v>
      </c>
      <c r="C12" s="2"/>
      <c r="D12" s="3"/>
      <c r="F12" s="2"/>
    </row>
    <row r="13" spans="1:6" x14ac:dyDescent="0.25">
      <c r="A13" s="2">
        <v>2</v>
      </c>
      <c r="B13" s="2" t="s">
        <v>210</v>
      </c>
      <c r="C13" s="2"/>
      <c r="D13" s="3"/>
      <c r="F13" s="2"/>
    </row>
    <row r="14" spans="1:6" x14ac:dyDescent="0.25">
      <c r="A14" s="2">
        <v>2</v>
      </c>
      <c r="B14" s="2" t="s">
        <v>215</v>
      </c>
      <c r="C14" s="2"/>
      <c r="D14" s="3"/>
      <c r="F14" s="2"/>
    </row>
    <row r="15" spans="1:6" ht="15.75" thickBot="1" x14ac:dyDescent="0.3">
      <c r="A15" s="2">
        <v>2</v>
      </c>
      <c r="B15" s="27" t="s">
        <v>221</v>
      </c>
      <c r="C15" s="2"/>
      <c r="D15" s="3"/>
      <c r="F15" s="2"/>
    </row>
    <row r="16" spans="1:6" x14ac:dyDescent="0.25">
      <c r="A16" s="2">
        <v>3</v>
      </c>
      <c r="B16" s="19" t="s">
        <v>186</v>
      </c>
      <c r="C16" s="2"/>
      <c r="D16" s="3"/>
      <c r="F16" s="2"/>
    </row>
    <row r="17" spans="1:6" x14ac:dyDescent="0.25">
      <c r="A17" s="2">
        <v>3</v>
      </c>
      <c r="B17" s="2" t="s">
        <v>192</v>
      </c>
      <c r="C17" s="2"/>
      <c r="D17" s="3"/>
      <c r="F17" s="2"/>
    </row>
    <row r="18" spans="1:6" x14ac:dyDescent="0.25">
      <c r="A18" s="2">
        <v>3</v>
      </c>
      <c r="B18" s="2" t="s">
        <v>198</v>
      </c>
      <c r="C18" s="2"/>
      <c r="D18" s="3"/>
      <c r="F18" s="2"/>
    </row>
    <row r="19" spans="1:6" x14ac:dyDescent="0.25">
      <c r="A19" s="2">
        <v>3</v>
      </c>
      <c r="B19" s="2" t="s">
        <v>204</v>
      </c>
      <c r="C19" s="2"/>
      <c r="D19" s="3"/>
      <c r="F19" s="2"/>
    </row>
    <row r="20" spans="1:6" x14ac:dyDescent="0.25">
      <c r="A20" s="2">
        <v>3</v>
      </c>
      <c r="B20" s="2" t="s">
        <v>210</v>
      </c>
      <c r="C20" s="2"/>
      <c r="D20" s="3"/>
      <c r="F20" s="2"/>
    </row>
    <row r="21" spans="1:6" x14ac:dyDescent="0.25">
      <c r="A21" s="2">
        <v>3</v>
      </c>
      <c r="B21" s="2" t="s">
        <v>215</v>
      </c>
      <c r="C21" s="2"/>
      <c r="D21" s="3"/>
      <c r="F21" s="2"/>
    </row>
    <row r="22" spans="1:6" ht="15.75" thickBot="1" x14ac:dyDescent="0.3">
      <c r="A22" s="2">
        <v>3</v>
      </c>
      <c r="B22" s="27" t="s">
        <v>221</v>
      </c>
      <c r="C22" s="2"/>
      <c r="D22" s="3"/>
      <c r="F22" s="2"/>
    </row>
    <row r="23" spans="1:6" x14ac:dyDescent="0.25">
      <c r="A23" s="2">
        <v>4</v>
      </c>
      <c r="B23" s="19" t="s">
        <v>186</v>
      </c>
      <c r="C23" s="2"/>
      <c r="D23" s="3"/>
      <c r="F23" s="2"/>
    </row>
    <row r="24" spans="1:6" x14ac:dyDescent="0.25">
      <c r="A24" s="2">
        <v>4</v>
      </c>
      <c r="B24" s="2" t="s">
        <v>192</v>
      </c>
      <c r="C24" s="2"/>
      <c r="D24" s="3"/>
      <c r="F24" s="2"/>
    </row>
    <row r="25" spans="1:6" x14ac:dyDescent="0.25">
      <c r="A25" s="2">
        <v>4</v>
      </c>
      <c r="B25" s="2" t="s">
        <v>198</v>
      </c>
      <c r="C25" s="2"/>
      <c r="D25" s="3"/>
      <c r="F25" s="2"/>
    </row>
    <row r="26" spans="1:6" x14ac:dyDescent="0.25">
      <c r="A26" s="2">
        <v>4</v>
      </c>
      <c r="B26" s="2" t="s">
        <v>204</v>
      </c>
      <c r="C26" s="2"/>
      <c r="D26" s="3"/>
      <c r="F26" s="2"/>
    </row>
    <row r="27" spans="1:6" x14ac:dyDescent="0.25">
      <c r="A27" s="2">
        <v>4</v>
      </c>
      <c r="B27" s="2" t="s">
        <v>210</v>
      </c>
      <c r="C27" s="2"/>
      <c r="D27" s="3"/>
      <c r="F27" s="2"/>
    </row>
    <row r="28" spans="1:6" x14ac:dyDescent="0.25">
      <c r="A28" s="2">
        <v>4</v>
      </c>
      <c r="B28" s="2" t="s">
        <v>215</v>
      </c>
      <c r="C28" s="2"/>
      <c r="D28" s="3"/>
      <c r="F28" s="2"/>
    </row>
    <row r="29" spans="1:6" ht="15.75" thickBot="1" x14ac:dyDescent="0.3">
      <c r="A29" s="2">
        <v>4</v>
      </c>
      <c r="B29" s="27" t="s">
        <v>221</v>
      </c>
      <c r="C29" s="2"/>
      <c r="D29" s="3"/>
      <c r="F29" s="2"/>
    </row>
    <row r="30" spans="1:6" x14ac:dyDescent="0.25">
      <c r="A30" s="2">
        <v>5</v>
      </c>
      <c r="B30" s="19" t="s">
        <v>186</v>
      </c>
      <c r="C30" s="2"/>
      <c r="D30" s="3"/>
      <c r="F30" s="2"/>
    </row>
    <row r="31" spans="1:6" x14ac:dyDescent="0.25">
      <c r="A31" s="2">
        <v>5</v>
      </c>
      <c r="B31" s="2" t="s">
        <v>192</v>
      </c>
      <c r="C31" s="2"/>
      <c r="D31" s="3"/>
      <c r="F31" s="2"/>
    </row>
    <row r="32" spans="1:6" x14ac:dyDescent="0.25">
      <c r="A32" s="2">
        <v>5</v>
      </c>
      <c r="B32" s="2" t="s">
        <v>198</v>
      </c>
      <c r="C32" s="2"/>
      <c r="D32" s="3"/>
      <c r="F32" s="2"/>
    </row>
    <row r="33" spans="1:6" x14ac:dyDescent="0.25">
      <c r="A33" s="2">
        <v>5</v>
      </c>
      <c r="B33" s="2" t="s">
        <v>204</v>
      </c>
      <c r="C33" s="2"/>
      <c r="D33" s="3"/>
      <c r="F33" s="2"/>
    </row>
    <row r="34" spans="1:6" x14ac:dyDescent="0.25">
      <c r="A34" s="2">
        <v>5</v>
      </c>
      <c r="B34" s="2" t="s">
        <v>210</v>
      </c>
      <c r="C34" s="2"/>
      <c r="D34" s="3"/>
      <c r="F34" s="2"/>
    </row>
    <row r="35" spans="1:6" x14ac:dyDescent="0.25">
      <c r="A35" s="2">
        <v>5</v>
      </c>
      <c r="B35" s="2" t="s">
        <v>215</v>
      </c>
      <c r="C35" s="2"/>
      <c r="D35" s="3"/>
      <c r="F35" s="2"/>
    </row>
    <row r="36" spans="1:6" ht="15.75" thickBot="1" x14ac:dyDescent="0.3">
      <c r="A36" s="2">
        <v>5</v>
      </c>
      <c r="B36" s="27" t="s">
        <v>221</v>
      </c>
      <c r="C36" s="2"/>
      <c r="D36" s="3"/>
      <c r="F36" s="2"/>
    </row>
    <row r="37" spans="1:6" x14ac:dyDescent="0.25">
      <c r="A37" s="2">
        <v>6</v>
      </c>
      <c r="B37" s="19" t="s">
        <v>186</v>
      </c>
      <c r="C37" s="2"/>
      <c r="D37" s="3"/>
      <c r="F37" s="2"/>
    </row>
    <row r="38" spans="1:6" x14ac:dyDescent="0.25">
      <c r="A38" s="2">
        <v>6</v>
      </c>
      <c r="B38" s="2" t="s">
        <v>192</v>
      </c>
      <c r="C38" s="2"/>
      <c r="D38" s="3"/>
      <c r="F38" s="2"/>
    </row>
    <row r="39" spans="1:6" x14ac:dyDescent="0.25">
      <c r="A39" s="2">
        <v>6</v>
      </c>
      <c r="B39" s="2" t="s">
        <v>198</v>
      </c>
      <c r="C39" s="2"/>
      <c r="D39" s="3"/>
      <c r="F39" s="2"/>
    </row>
    <row r="40" spans="1:6" x14ac:dyDescent="0.25">
      <c r="A40" s="2">
        <v>6</v>
      </c>
      <c r="B40" s="2" t="s">
        <v>204</v>
      </c>
      <c r="C40" s="2"/>
      <c r="D40" s="3"/>
      <c r="F40" s="2"/>
    </row>
    <row r="41" spans="1:6" x14ac:dyDescent="0.25">
      <c r="A41" s="2">
        <v>6</v>
      </c>
      <c r="B41" s="2" t="s">
        <v>210</v>
      </c>
      <c r="C41" s="2"/>
      <c r="D41" s="3"/>
      <c r="F41" s="2"/>
    </row>
    <row r="42" spans="1:6" x14ac:dyDescent="0.25">
      <c r="A42" s="2">
        <v>6</v>
      </c>
      <c r="B42" s="2" t="s">
        <v>215</v>
      </c>
      <c r="C42" s="2"/>
      <c r="D42" s="3"/>
      <c r="F42" s="2"/>
    </row>
    <row r="43" spans="1:6" ht="15.75" thickBot="1" x14ac:dyDescent="0.3">
      <c r="A43" s="2">
        <v>6</v>
      </c>
      <c r="B43" s="27" t="s">
        <v>221</v>
      </c>
      <c r="C43" s="2"/>
      <c r="D43" s="3"/>
      <c r="F43" s="2"/>
    </row>
    <row r="44" spans="1:6" x14ac:dyDescent="0.25">
      <c r="A44" s="2">
        <v>7</v>
      </c>
      <c r="B44" s="19" t="s">
        <v>186</v>
      </c>
      <c r="C44" s="2"/>
      <c r="D44" s="3"/>
      <c r="F44" s="2"/>
    </row>
    <row r="45" spans="1:6" x14ac:dyDescent="0.25">
      <c r="A45" s="2">
        <v>7</v>
      </c>
      <c r="B45" s="2" t="s">
        <v>192</v>
      </c>
      <c r="C45" s="2"/>
      <c r="D45" s="3"/>
      <c r="F45" s="2"/>
    </row>
    <row r="46" spans="1:6" x14ac:dyDescent="0.25">
      <c r="A46" s="2">
        <v>7</v>
      </c>
      <c r="B46" s="2" t="s">
        <v>198</v>
      </c>
      <c r="C46" s="2"/>
      <c r="D46" s="3"/>
      <c r="F46" s="2"/>
    </row>
    <row r="47" spans="1:6" x14ac:dyDescent="0.25">
      <c r="A47" s="2">
        <v>7</v>
      </c>
      <c r="B47" s="2" t="s">
        <v>204</v>
      </c>
      <c r="C47" s="2"/>
      <c r="D47" s="3"/>
      <c r="F47" s="2"/>
    </row>
    <row r="48" spans="1:6" x14ac:dyDescent="0.25">
      <c r="A48" s="2">
        <v>7</v>
      </c>
      <c r="B48" s="2" t="s">
        <v>210</v>
      </c>
      <c r="C48" s="2"/>
      <c r="D48" s="3"/>
      <c r="F48" s="2"/>
    </row>
    <row r="49" spans="1:6" x14ac:dyDescent="0.25">
      <c r="A49" s="2">
        <v>7</v>
      </c>
      <c r="B49" s="2" t="s">
        <v>215</v>
      </c>
      <c r="C49" s="2"/>
      <c r="D49" s="3"/>
      <c r="F49" s="2"/>
    </row>
    <row r="50" spans="1:6" ht="15.75" thickBot="1" x14ac:dyDescent="0.3">
      <c r="A50" s="2">
        <v>7</v>
      </c>
      <c r="B50" s="27" t="s">
        <v>221</v>
      </c>
      <c r="C50" s="2"/>
      <c r="D50" s="3"/>
      <c r="F50" s="2"/>
    </row>
    <row r="51" spans="1:6" x14ac:dyDescent="0.25">
      <c r="A51" s="2">
        <v>8</v>
      </c>
      <c r="B51" s="19" t="s">
        <v>186</v>
      </c>
      <c r="C51" s="2"/>
      <c r="D51" s="3"/>
      <c r="F51" s="2"/>
    </row>
    <row r="52" spans="1:6" x14ac:dyDescent="0.25">
      <c r="A52" s="2">
        <v>8</v>
      </c>
      <c r="B52" s="2" t="s">
        <v>192</v>
      </c>
      <c r="C52" s="2"/>
      <c r="D52" s="3"/>
      <c r="F52" s="2"/>
    </row>
    <row r="53" spans="1:6" x14ac:dyDescent="0.25">
      <c r="A53" s="2">
        <v>8</v>
      </c>
      <c r="B53" s="2" t="s">
        <v>198</v>
      </c>
      <c r="C53" s="2"/>
      <c r="D53" s="3"/>
      <c r="F53" s="2"/>
    </row>
    <row r="54" spans="1:6" x14ac:dyDescent="0.25">
      <c r="A54" s="2">
        <v>8</v>
      </c>
      <c r="B54" s="2" t="s">
        <v>204</v>
      </c>
      <c r="C54" s="2"/>
      <c r="D54" s="3"/>
      <c r="F54" s="2"/>
    </row>
    <row r="55" spans="1:6" x14ac:dyDescent="0.25">
      <c r="A55" s="2">
        <v>8</v>
      </c>
      <c r="B55" s="2" t="s">
        <v>210</v>
      </c>
      <c r="C55" s="2"/>
      <c r="D55" s="3"/>
      <c r="F55" s="2"/>
    </row>
    <row r="56" spans="1:6" x14ac:dyDescent="0.25">
      <c r="A56" s="2">
        <v>8</v>
      </c>
      <c r="B56" s="2" t="s">
        <v>215</v>
      </c>
      <c r="C56" s="2"/>
      <c r="D56" s="3"/>
      <c r="F56" s="2"/>
    </row>
    <row r="57" spans="1:6" ht="15.75" thickBot="1" x14ac:dyDescent="0.3">
      <c r="A57" s="2">
        <v>8</v>
      </c>
      <c r="B57" s="27" t="s">
        <v>221</v>
      </c>
      <c r="C57" s="2"/>
      <c r="D57" s="3"/>
      <c r="F57" s="2"/>
    </row>
    <row r="58" spans="1:6" x14ac:dyDescent="0.25">
      <c r="A58" s="2">
        <v>9</v>
      </c>
      <c r="B58" s="19" t="s">
        <v>186</v>
      </c>
      <c r="C58" s="2"/>
      <c r="D58" s="3"/>
      <c r="F58" s="2"/>
    </row>
    <row r="59" spans="1:6" x14ac:dyDescent="0.25">
      <c r="A59" s="2">
        <v>9</v>
      </c>
      <c r="B59" s="2" t="s">
        <v>192</v>
      </c>
      <c r="C59" s="2"/>
      <c r="D59" s="3"/>
      <c r="F59" s="2"/>
    </row>
    <row r="60" spans="1:6" x14ac:dyDescent="0.25">
      <c r="A60" s="2">
        <v>9</v>
      </c>
      <c r="B60" s="2" t="s">
        <v>198</v>
      </c>
      <c r="C60" s="2"/>
      <c r="D60" s="3"/>
      <c r="F60" s="2"/>
    </row>
    <row r="61" spans="1:6" x14ac:dyDescent="0.25">
      <c r="A61" s="2">
        <v>9</v>
      </c>
      <c r="B61" s="2" t="s">
        <v>204</v>
      </c>
      <c r="C61" s="2"/>
      <c r="D61" s="3"/>
      <c r="F61" s="2"/>
    </row>
    <row r="62" spans="1:6" x14ac:dyDescent="0.25">
      <c r="A62" s="2">
        <v>9</v>
      </c>
      <c r="B62" s="2" t="s">
        <v>210</v>
      </c>
      <c r="C62" s="2"/>
      <c r="D62" s="3"/>
      <c r="F62" s="2"/>
    </row>
    <row r="63" spans="1:6" x14ac:dyDescent="0.25">
      <c r="A63" s="2">
        <v>9</v>
      </c>
      <c r="B63" s="2" t="s">
        <v>215</v>
      </c>
      <c r="C63" s="2"/>
      <c r="D63" s="3"/>
      <c r="F63" s="2"/>
    </row>
    <row r="64" spans="1:6" ht="15.75" thickBot="1" x14ac:dyDescent="0.3">
      <c r="A64" s="2">
        <v>9</v>
      </c>
      <c r="B64" s="27" t="s">
        <v>221</v>
      </c>
      <c r="C64" s="2"/>
      <c r="D64" s="3"/>
      <c r="F64" s="2"/>
    </row>
    <row r="65" spans="1:6" x14ac:dyDescent="0.25">
      <c r="A65" s="2">
        <v>10</v>
      </c>
      <c r="B65" s="19" t="s">
        <v>186</v>
      </c>
      <c r="C65" s="2"/>
      <c r="D65" s="3"/>
      <c r="F65" s="2"/>
    </row>
    <row r="66" spans="1:6" x14ac:dyDescent="0.25">
      <c r="A66" s="2">
        <v>10</v>
      </c>
      <c r="B66" s="2" t="s">
        <v>192</v>
      </c>
      <c r="C66" s="2"/>
      <c r="D66" s="3"/>
      <c r="F66" s="2"/>
    </row>
    <row r="67" spans="1:6" x14ac:dyDescent="0.25">
      <c r="A67" s="2">
        <v>10</v>
      </c>
      <c r="B67" s="2" t="s">
        <v>198</v>
      </c>
      <c r="C67" s="2"/>
      <c r="D67" s="3"/>
      <c r="F67" s="2"/>
    </row>
    <row r="68" spans="1:6" x14ac:dyDescent="0.25">
      <c r="A68" s="2">
        <v>10</v>
      </c>
      <c r="B68" s="2" t="s">
        <v>204</v>
      </c>
      <c r="C68" s="2"/>
      <c r="D68" s="3"/>
      <c r="F68" s="2"/>
    </row>
    <row r="69" spans="1:6" x14ac:dyDescent="0.25">
      <c r="A69" s="2">
        <v>10</v>
      </c>
      <c r="B69" s="2" t="s">
        <v>210</v>
      </c>
      <c r="C69" s="2"/>
      <c r="D69" s="3"/>
      <c r="F69" s="2"/>
    </row>
    <row r="70" spans="1:6" x14ac:dyDescent="0.25">
      <c r="A70" s="2">
        <v>10</v>
      </c>
      <c r="B70" s="2" t="s">
        <v>215</v>
      </c>
      <c r="C70" s="2"/>
      <c r="D70" s="3"/>
      <c r="F70" s="2"/>
    </row>
    <row r="71" spans="1:6" ht="15.75" thickBot="1" x14ac:dyDescent="0.3">
      <c r="A71" s="2">
        <v>10</v>
      </c>
      <c r="B71" s="27" t="s">
        <v>221</v>
      </c>
      <c r="C71" s="2"/>
      <c r="D71" s="3"/>
      <c r="F71" s="2"/>
    </row>
    <row r="72" spans="1:6" x14ac:dyDescent="0.25">
      <c r="A72" s="2">
        <v>11</v>
      </c>
      <c r="B72" s="19" t="s">
        <v>186</v>
      </c>
      <c r="C72" s="2"/>
      <c r="D72" s="3"/>
      <c r="F72" s="2"/>
    </row>
    <row r="73" spans="1:6" x14ac:dyDescent="0.25">
      <c r="A73" s="2">
        <v>11</v>
      </c>
      <c r="B73" s="2" t="s">
        <v>192</v>
      </c>
      <c r="C73" s="2"/>
      <c r="D73" s="3"/>
      <c r="F73" s="2"/>
    </row>
    <row r="74" spans="1:6" x14ac:dyDescent="0.25">
      <c r="A74" s="2">
        <v>11</v>
      </c>
      <c r="B74" s="2" t="s">
        <v>198</v>
      </c>
      <c r="C74" s="2"/>
      <c r="D74" s="3"/>
      <c r="F74" s="2"/>
    </row>
    <row r="75" spans="1:6" x14ac:dyDescent="0.25">
      <c r="A75" s="2">
        <v>11</v>
      </c>
      <c r="B75" s="2" t="s">
        <v>204</v>
      </c>
      <c r="C75" s="2"/>
      <c r="D75" s="3"/>
      <c r="F75" s="2"/>
    </row>
    <row r="76" spans="1:6" x14ac:dyDescent="0.25">
      <c r="A76" s="2">
        <v>11</v>
      </c>
      <c r="B76" s="2" t="s">
        <v>210</v>
      </c>
      <c r="C76" s="2"/>
      <c r="D76" s="3"/>
      <c r="F76" s="2"/>
    </row>
    <row r="77" spans="1:6" x14ac:dyDescent="0.25">
      <c r="A77" s="2">
        <v>11</v>
      </c>
      <c r="B77" s="2" t="s">
        <v>215</v>
      </c>
      <c r="C77" s="2"/>
      <c r="D77" s="3"/>
      <c r="F77" s="2"/>
    </row>
    <row r="78" spans="1:6" ht="15.75" thickBot="1" x14ac:dyDescent="0.3">
      <c r="A78" s="2">
        <v>11</v>
      </c>
      <c r="B78" s="27" t="s">
        <v>221</v>
      </c>
      <c r="C78" s="2"/>
      <c r="D78" s="3"/>
      <c r="F78" s="2"/>
    </row>
    <row r="79" spans="1:6" x14ac:dyDescent="0.25">
      <c r="A79" s="2">
        <v>12</v>
      </c>
      <c r="B79" s="19" t="s">
        <v>186</v>
      </c>
      <c r="C79" s="2"/>
      <c r="D79" s="3"/>
      <c r="F79" s="2"/>
    </row>
    <row r="80" spans="1:6" x14ac:dyDescent="0.25">
      <c r="A80" s="2">
        <v>12</v>
      </c>
      <c r="B80" s="2" t="s">
        <v>192</v>
      </c>
      <c r="C80" s="2"/>
      <c r="D80" s="3"/>
      <c r="F80" s="2"/>
    </row>
    <row r="81" spans="1:6" x14ac:dyDescent="0.25">
      <c r="A81" s="2">
        <v>12</v>
      </c>
      <c r="B81" s="2" t="s">
        <v>198</v>
      </c>
      <c r="C81" s="2"/>
      <c r="D81" s="3"/>
      <c r="F81" s="2"/>
    </row>
    <row r="82" spans="1:6" x14ac:dyDescent="0.25">
      <c r="A82" s="2">
        <v>12</v>
      </c>
      <c r="B82" s="2" t="s">
        <v>204</v>
      </c>
      <c r="C82" s="2"/>
      <c r="D82" s="3"/>
      <c r="F82" s="2"/>
    </row>
    <row r="83" spans="1:6" x14ac:dyDescent="0.25">
      <c r="A83" s="2">
        <v>12</v>
      </c>
      <c r="B83" s="2" t="s">
        <v>210</v>
      </c>
      <c r="C83" s="2"/>
      <c r="D83" s="3"/>
      <c r="F83" s="2"/>
    </row>
    <row r="84" spans="1:6" x14ac:dyDescent="0.25">
      <c r="A84" s="2">
        <v>12</v>
      </c>
      <c r="B84" s="2" t="s">
        <v>215</v>
      </c>
      <c r="C84" s="2"/>
      <c r="D84" s="3"/>
      <c r="F84" s="2"/>
    </row>
    <row r="85" spans="1:6" ht="15.75" thickBot="1" x14ac:dyDescent="0.3">
      <c r="A85" s="2">
        <v>12</v>
      </c>
      <c r="B85" s="27" t="s">
        <v>221</v>
      </c>
      <c r="C85" s="2"/>
      <c r="D85" s="3"/>
      <c r="F85" s="2"/>
    </row>
    <row r="86" spans="1:6" x14ac:dyDescent="0.25">
      <c r="A86" s="2">
        <v>13</v>
      </c>
      <c r="B86" s="19" t="s">
        <v>186</v>
      </c>
      <c r="C86" s="2"/>
      <c r="D86" s="3"/>
      <c r="F86" s="2"/>
    </row>
    <row r="87" spans="1:6" x14ac:dyDescent="0.25">
      <c r="A87" s="2">
        <v>13</v>
      </c>
      <c r="B87" s="2" t="s">
        <v>192</v>
      </c>
      <c r="C87" s="2"/>
      <c r="D87" s="3"/>
      <c r="F87" s="2"/>
    </row>
    <row r="88" spans="1:6" x14ac:dyDescent="0.25">
      <c r="A88" s="2">
        <v>13</v>
      </c>
      <c r="B88" s="2" t="s">
        <v>198</v>
      </c>
      <c r="C88" s="2"/>
      <c r="D88" s="3"/>
      <c r="F88" s="2"/>
    </row>
    <row r="89" spans="1:6" x14ac:dyDescent="0.25">
      <c r="A89" s="2">
        <v>13</v>
      </c>
      <c r="B89" s="2" t="s">
        <v>204</v>
      </c>
      <c r="C89" s="2"/>
      <c r="D89" s="3"/>
      <c r="F89" s="2"/>
    </row>
    <row r="90" spans="1:6" x14ac:dyDescent="0.25">
      <c r="A90" s="2">
        <v>13</v>
      </c>
      <c r="B90" s="2" t="s">
        <v>210</v>
      </c>
      <c r="C90" s="2"/>
      <c r="D90" s="3"/>
      <c r="F90" s="2"/>
    </row>
    <row r="91" spans="1:6" x14ac:dyDescent="0.25">
      <c r="A91" s="2">
        <v>13</v>
      </c>
      <c r="B91" s="2" t="s">
        <v>215</v>
      </c>
      <c r="C91" s="2"/>
      <c r="D91" s="3"/>
      <c r="F91" s="2"/>
    </row>
    <row r="92" spans="1:6" ht="15.75" thickBot="1" x14ac:dyDescent="0.3">
      <c r="A92" s="2">
        <v>13</v>
      </c>
      <c r="B92" s="27" t="s">
        <v>221</v>
      </c>
      <c r="C92" s="2"/>
      <c r="D92" s="3"/>
      <c r="F92" s="2"/>
    </row>
    <row r="93" spans="1:6" x14ac:dyDescent="0.25">
      <c r="A93" s="2">
        <v>14</v>
      </c>
      <c r="B93" s="19" t="s">
        <v>186</v>
      </c>
      <c r="C93" s="2"/>
      <c r="D93" s="3"/>
      <c r="F93" s="2"/>
    </row>
    <row r="94" spans="1:6" x14ac:dyDescent="0.25">
      <c r="A94" s="2">
        <v>14</v>
      </c>
      <c r="B94" s="2" t="s">
        <v>192</v>
      </c>
      <c r="C94" s="2"/>
      <c r="D94" s="3"/>
      <c r="F94" s="2"/>
    </row>
    <row r="95" spans="1:6" x14ac:dyDescent="0.25">
      <c r="A95" s="2">
        <v>14</v>
      </c>
      <c r="B95" s="2" t="s">
        <v>198</v>
      </c>
      <c r="C95" s="2"/>
      <c r="D95" s="3"/>
      <c r="F95" s="2"/>
    </row>
    <row r="96" spans="1:6" x14ac:dyDescent="0.25">
      <c r="A96" s="2">
        <v>14</v>
      </c>
      <c r="B96" s="2" t="s">
        <v>204</v>
      </c>
      <c r="C96" s="2"/>
      <c r="D96" s="3"/>
      <c r="F96" s="2"/>
    </row>
    <row r="97" spans="1:6" x14ac:dyDescent="0.25">
      <c r="A97" s="2">
        <v>14</v>
      </c>
      <c r="B97" s="2" t="s">
        <v>210</v>
      </c>
      <c r="C97" s="2"/>
      <c r="D97" s="3"/>
      <c r="F97" s="2"/>
    </row>
    <row r="98" spans="1:6" x14ac:dyDescent="0.25">
      <c r="A98" s="2">
        <v>14</v>
      </c>
      <c r="B98" s="2" t="s">
        <v>215</v>
      </c>
      <c r="C98" s="2"/>
      <c r="D98" s="3"/>
      <c r="F98" s="2"/>
    </row>
    <row r="99" spans="1:6" ht="15.75" thickBot="1" x14ac:dyDescent="0.3">
      <c r="A99" s="2">
        <v>14</v>
      </c>
      <c r="B99" s="27" t="s">
        <v>221</v>
      </c>
      <c r="C99" s="2"/>
      <c r="D99" s="3"/>
      <c r="F99" s="2"/>
    </row>
    <row r="100" spans="1:6" x14ac:dyDescent="0.25">
      <c r="A100" s="2">
        <v>15</v>
      </c>
      <c r="B100" s="19" t="s">
        <v>186</v>
      </c>
      <c r="C100" s="2"/>
      <c r="D100" s="3"/>
      <c r="F100" s="2"/>
    </row>
    <row r="101" spans="1:6" x14ac:dyDescent="0.25">
      <c r="A101" s="2">
        <v>15</v>
      </c>
      <c r="B101" s="2" t="s">
        <v>192</v>
      </c>
      <c r="C101" s="2"/>
      <c r="D101" s="3"/>
      <c r="F101" s="2"/>
    </row>
    <row r="102" spans="1:6" x14ac:dyDescent="0.25">
      <c r="A102" s="2">
        <v>15</v>
      </c>
      <c r="B102" s="2" t="s">
        <v>198</v>
      </c>
      <c r="C102" s="2"/>
      <c r="D102" s="3"/>
      <c r="F102" s="2"/>
    </row>
    <row r="103" spans="1:6" x14ac:dyDescent="0.25">
      <c r="A103" s="2">
        <v>15</v>
      </c>
      <c r="B103" s="2" t="s">
        <v>204</v>
      </c>
      <c r="C103" s="2"/>
      <c r="D103" s="3"/>
      <c r="F103" s="2"/>
    </row>
    <row r="104" spans="1:6" x14ac:dyDescent="0.25">
      <c r="A104" s="2">
        <v>15</v>
      </c>
      <c r="B104" s="2" t="s">
        <v>210</v>
      </c>
      <c r="C104" s="2"/>
      <c r="D104" s="3"/>
      <c r="F104" s="2"/>
    </row>
    <row r="105" spans="1:6" x14ac:dyDescent="0.25">
      <c r="A105" s="2">
        <v>15</v>
      </c>
      <c r="B105" s="2" t="s">
        <v>215</v>
      </c>
      <c r="C105" s="2"/>
      <c r="D105" s="3"/>
      <c r="F105" s="2"/>
    </row>
    <row r="106" spans="1:6" ht="15.75" thickBot="1" x14ac:dyDescent="0.3">
      <c r="A106" s="2">
        <v>15</v>
      </c>
      <c r="B106" s="27" t="s">
        <v>221</v>
      </c>
      <c r="C106" s="2"/>
      <c r="D106" s="3"/>
      <c r="F106" s="2"/>
    </row>
    <row r="107" spans="1:6" x14ac:dyDescent="0.25">
      <c r="A107" s="2">
        <v>16</v>
      </c>
      <c r="B107" s="19" t="s">
        <v>186</v>
      </c>
      <c r="C107" s="2"/>
      <c r="D107" s="3"/>
      <c r="F107" s="2"/>
    </row>
    <row r="108" spans="1:6" x14ac:dyDescent="0.25">
      <c r="A108" s="2">
        <v>16</v>
      </c>
      <c r="B108" s="2" t="s">
        <v>192</v>
      </c>
      <c r="C108" s="2"/>
      <c r="D108" s="3"/>
      <c r="F108" s="2"/>
    </row>
    <row r="109" spans="1:6" x14ac:dyDescent="0.25">
      <c r="A109" s="2">
        <v>16</v>
      </c>
      <c r="B109" s="2" t="s">
        <v>198</v>
      </c>
      <c r="C109" s="2"/>
      <c r="D109" s="3"/>
      <c r="F109" s="2"/>
    </row>
    <row r="110" spans="1:6" x14ac:dyDescent="0.25">
      <c r="A110" s="2">
        <v>16</v>
      </c>
      <c r="B110" s="2" t="s">
        <v>204</v>
      </c>
      <c r="C110" s="2"/>
      <c r="D110" s="3"/>
      <c r="F110" s="2"/>
    </row>
    <row r="111" spans="1:6" x14ac:dyDescent="0.25">
      <c r="A111" s="2">
        <v>16</v>
      </c>
      <c r="B111" s="2" t="s">
        <v>210</v>
      </c>
      <c r="C111" s="2"/>
      <c r="D111" s="3"/>
      <c r="F111" s="2"/>
    </row>
    <row r="112" spans="1:6" x14ac:dyDescent="0.25">
      <c r="A112" s="2">
        <v>16</v>
      </c>
      <c r="B112" s="2" t="s">
        <v>215</v>
      </c>
      <c r="C112" s="2"/>
      <c r="D112" s="3"/>
      <c r="F112" s="2"/>
    </row>
    <row r="113" spans="1:6" ht="15.75" thickBot="1" x14ac:dyDescent="0.3">
      <c r="A113" s="2">
        <v>16</v>
      </c>
      <c r="B113" s="27" t="s">
        <v>221</v>
      </c>
      <c r="C113" s="2"/>
      <c r="D113" s="3"/>
      <c r="F113" s="2"/>
    </row>
    <row r="114" spans="1:6" x14ac:dyDescent="0.25">
      <c r="A114" s="2">
        <v>17</v>
      </c>
      <c r="B114" s="19" t="s">
        <v>186</v>
      </c>
      <c r="C114" s="2"/>
      <c r="D114" s="3"/>
      <c r="F114" s="2"/>
    </row>
    <row r="115" spans="1:6" x14ac:dyDescent="0.25">
      <c r="A115" s="2">
        <v>17</v>
      </c>
      <c r="B115" s="2" t="s">
        <v>192</v>
      </c>
      <c r="C115" s="2"/>
      <c r="D115" s="3"/>
      <c r="F115" s="2"/>
    </row>
    <row r="116" spans="1:6" x14ac:dyDescent="0.25">
      <c r="A116" s="2">
        <v>17</v>
      </c>
      <c r="B116" s="2" t="s">
        <v>198</v>
      </c>
      <c r="C116" s="2"/>
      <c r="D116" s="3"/>
      <c r="F116" s="2"/>
    </row>
    <row r="117" spans="1:6" x14ac:dyDescent="0.25">
      <c r="A117" s="2">
        <v>17</v>
      </c>
      <c r="B117" s="2" t="s">
        <v>204</v>
      </c>
      <c r="C117" s="2"/>
      <c r="D117" s="3"/>
      <c r="F117" s="2"/>
    </row>
    <row r="118" spans="1:6" x14ac:dyDescent="0.25">
      <c r="A118" s="2">
        <v>17</v>
      </c>
      <c r="B118" s="2" t="s">
        <v>210</v>
      </c>
      <c r="C118" s="2"/>
      <c r="D118" s="3"/>
      <c r="F118" s="2"/>
    </row>
    <row r="119" spans="1:6" x14ac:dyDescent="0.25">
      <c r="A119" s="2">
        <v>17</v>
      </c>
      <c r="B119" s="2" t="s">
        <v>215</v>
      </c>
      <c r="C119" s="2"/>
      <c r="D119" s="3"/>
      <c r="F119" s="2"/>
    </row>
    <row r="120" spans="1:6" ht="15.75" thickBot="1" x14ac:dyDescent="0.3">
      <c r="A120" s="2">
        <v>17</v>
      </c>
      <c r="B120" s="27" t="s">
        <v>221</v>
      </c>
      <c r="C120" s="2"/>
      <c r="D120" s="3"/>
      <c r="F120" s="2"/>
    </row>
    <row r="121" spans="1:6" x14ac:dyDescent="0.25">
      <c r="A121" s="2">
        <v>18</v>
      </c>
      <c r="B121" s="19" t="s">
        <v>186</v>
      </c>
      <c r="C121" s="2"/>
      <c r="D121" s="3"/>
      <c r="F121" s="2"/>
    </row>
    <row r="122" spans="1:6" x14ac:dyDescent="0.25">
      <c r="A122" s="2">
        <v>18</v>
      </c>
      <c r="B122" s="2" t="s">
        <v>192</v>
      </c>
      <c r="C122" s="2"/>
      <c r="D122" s="3"/>
      <c r="F122" s="2"/>
    </row>
    <row r="123" spans="1:6" x14ac:dyDescent="0.25">
      <c r="A123" s="2">
        <v>18</v>
      </c>
      <c r="B123" s="2" t="s">
        <v>198</v>
      </c>
      <c r="C123" s="2"/>
      <c r="D123" s="3"/>
      <c r="F123" s="2"/>
    </row>
    <row r="124" spans="1:6" x14ac:dyDescent="0.25">
      <c r="A124" s="2">
        <v>18</v>
      </c>
      <c r="B124" s="2" t="s">
        <v>204</v>
      </c>
      <c r="C124" s="2"/>
      <c r="D124" s="3"/>
      <c r="F124" s="2"/>
    </row>
    <row r="125" spans="1:6" x14ac:dyDescent="0.25">
      <c r="A125" s="2">
        <v>18</v>
      </c>
      <c r="B125" s="2" t="s">
        <v>210</v>
      </c>
      <c r="C125" s="2"/>
      <c r="D125" s="3"/>
      <c r="F125" s="2"/>
    </row>
    <row r="126" spans="1:6" x14ac:dyDescent="0.25">
      <c r="A126" s="2">
        <v>18</v>
      </c>
      <c r="B126" s="2" t="s">
        <v>215</v>
      </c>
      <c r="C126" s="2"/>
      <c r="D126" s="3"/>
      <c r="F126" s="2"/>
    </row>
    <row r="127" spans="1:6" ht="15.75" thickBot="1" x14ac:dyDescent="0.3">
      <c r="A127" s="2">
        <v>18</v>
      </c>
      <c r="B127" s="27" t="s">
        <v>221</v>
      </c>
      <c r="C127" s="2"/>
      <c r="D127" s="3"/>
      <c r="F127" s="2"/>
    </row>
    <row r="128" spans="1:6" x14ac:dyDescent="0.25">
      <c r="A128" s="2">
        <v>19</v>
      </c>
      <c r="B128" s="19" t="s">
        <v>186</v>
      </c>
      <c r="C128" s="2"/>
      <c r="D128" s="3"/>
      <c r="F128" s="2"/>
    </row>
    <row r="129" spans="1:6" x14ac:dyDescent="0.25">
      <c r="A129" s="2">
        <v>19</v>
      </c>
      <c r="B129" s="2" t="s">
        <v>192</v>
      </c>
      <c r="C129" s="2"/>
      <c r="D129" s="3"/>
      <c r="F129" s="2"/>
    </row>
    <row r="130" spans="1:6" x14ac:dyDescent="0.25">
      <c r="A130" s="2">
        <v>19</v>
      </c>
      <c r="B130" s="2" t="s">
        <v>198</v>
      </c>
      <c r="C130" s="2"/>
      <c r="D130" s="3"/>
      <c r="F130" s="2"/>
    </row>
    <row r="131" spans="1:6" x14ac:dyDescent="0.25">
      <c r="A131" s="2">
        <v>19</v>
      </c>
      <c r="B131" s="2" t="s">
        <v>204</v>
      </c>
      <c r="C131" s="2"/>
      <c r="D131" s="3"/>
      <c r="F131" s="2"/>
    </row>
    <row r="132" spans="1:6" x14ac:dyDescent="0.25">
      <c r="A132" s="2">
        <v>19</v>
      </c>
      <c r="B132" s="2" t="s">
        <v>210</v>
      </c>
      <c r="C132" s="2"/>
      <c r="D132" s="3"/>
      <c r="F132" s="2"/>
    </row>
    <row r="133" spans="1:6" x14ac:dyDescent="0.25">
      <c r="A133" s="2">
        <v>19</v>
      </c>
      <c r="B133" s="2" t="s">
        <v>215</v>
      </c>
      <c r="C133" s="2"/>
      <c r="D133" s="3"/>
      <c r="F133" s="2"/>
    </row>
    <row r="134" spans="1:6" ht="15.75" thickBot="1" x14ac:dyDescent="0.3">
      <c r="A134" s="2">
        <v>19</v>
      </c>
      <c r="B134" s="27" t="s">
        <v>221</v>
      </c>
      <c r="C134" s="2"/>
      <c r="D134" s="3"/>
      <c r="F134" s="2"/>
    </row>
    <row r="135" spans="1:6" x14ac:dyDescent="0.25">
      <c r="A135" s="2">
        <v>20</v>
      </c>
      <c r="B135" s="19" t="s">
        <v>186</v>
      </c>
      <c r="C135" s="2"/>
      <c r="D135" s="3"/>
      <c r="F135" s="2"/>
    </row>
    <row r="136" spans="1:6" x14ac:dyDescent="0.25">
      <c r="A136" s="2">
        <v>20</v>
      </c>
      <c r="B136" s="2" t="s">
        <v>192</v>
      </c>
      <c r="C136" s="2"/>
      <c r="D136" s="3"/>
      <c r="F136" s="2"/>
    </row>
    <row r="137" spans="1:6" x14ac:dyDescent="0.25">
      <c r="A137" s="2">
        <v>20</v>
      </c>
      <c r="B137" s="2" t="s">
        <v>198</v>
      </c>
      <c r="C137" s="2"/>
      <c r="D137" s="3"/>
      <c r="F137" s="2"/>
    </row>
    <row r="138" spans="1:6" x14ac:dyDescent="0.25">
      <c r="A138" s="2">
        <v>20</v>
      </c>
      <c r="B138" s="2" t="s">
        <v>204</v>
      </c>
      <c r="C138" s="2"/>
      <c r="D138" s="3"/>
      <c r="F138" s="2"/>
    </row>
    <row r="139" spans="1:6" x14ac:dyDescent="0.25">
      <c r="A139" s="2">
        <v>20</v>
      </c>
      <c r="B139" s="2" t="s">
        <v>210</v>
      </c>
      <c r="C139" s="2"/>
      <c r="D139" s="3"/>
      <c r="F139" s="2"/>
    </row>
    <row r="140" spans="1:6" x14ac:dyDescent="0.25">
      <c r="A140" s="2">
        <v>20</v>
      </c>
      <c r="B140" s="2" t="s">
        <v>215</v>
      </c>
      <c r="C140" s="2"/>
      <c r="D140" s="3"/>
      <c r="F140" s="2"/>
    </row>
    <row r="141" spans="1:6" ht="15.75" thickBot="1" x14ac:dyDescent="0.3">
      <c r="A141" s="2">
        <v>20</v>
      </c>
      <c r="B141" s="27" t="s">
        <v>221</v>
      </c>
      <c r="C141" s="2"/>
      <c r="D141" s="3"/>
      <c r="F141" s="2"/>
    </row>
    <row r="142" spans="1:6" x14ac:dyDescent="0.25">
      <c r="A142" s="2">
        <v>21</v>
      </c>
      <c r="B142" s="19" t="s">
        <v>186</v>
      </c>
      <c r="C142" s="2"/>
      <c r="D142" s="3"/>
      <c r="F142" s="2"/>
    </row>
    <row r="143" spans="1:6" x14ac:dyDescent="0.25">
      <c r="A143" s="2">
        <v>21</v>
      </c>
      <c r="B143" s="2" t="s">
        <v>192</v>
      </c>
      <c r="C143" s="2"/>
      <c r="D143" s="3"/>
      <c r="F143" s="2"/>
    </row>
    <row r="144" spans="1:6" x14ac:dyDescent="0.25">
      <c r="A144" s="2">
        <v>21</v>
      </c>
      <c r="B144" s="2" t="s">
        <v>198</v>
      </c>
      <c r="C144" s="2"/>
      <c r="D144" s="3"/>
      <c r="F144" s="2"/>
    </row>
    <row r="145" spans="1:6" x14ac:dyDescent="0.25">
      <c r="A145" s="2">
        <v>21</v>
      </c>
      <c r="B145" s="2" t="s">
        <v>204</v>
      </c>
      <c r="C145" s="2"/>
      <c r="D145" s="3"/>
      <c r="F145" s="2"/>
    </row>
    <row r="146" spans="1:6" x14ac:dyDescent="0.25">
      <c r="A146" s="2">
        <v>21</v>
      </c>
      <c r="B146" s="2" t="s">
        <v>210</v>
      </c>
      <c r="C146" s="2"/>
      <c r="D146" s="3"/>
      <c r="F146" s="2"/>
    </row>
    <row r="147" spans="1:6" x14ac:dyDescent="0.25">
      <c r="A147" s="2">
        <v>21</v>
      </c>
      <c r="B147" s="2" t="s">
        <v>215</v>
      </c>
      <c r="C147" s="2"/>
      <c r="D147" s="3"/>
      <c r="F147" s="2"/>
    </row>
    <row r="148" spans="1:6" ht="15.75" thickBot="1" x14ac:dyDescent="0.3">
      <c r="A148" s="2">
        <v>21</v>
      </c>
      <c r="B148" s="27" t="s">
        <v>221</v>
      </c>
      <c r="C148" s="2"/>
      <c r="D148" s="3"/>
      <c r="F148" s="2"/>
    </row>
    <row r="149" spans="1:6" x14ac:dyDescent="0.25">
      <c r="A149" s="2">
        <v>22</v>
      </c>
      <c r="B149" s="19" t="s">
        <v>186</v>
      </c>
      <c r="C149" s="2"/>
      <c r="D149" s="3"/>
      <c r="F149" s="2"/>
    </row>
    <row r="150" spans="1:6" x14ac:dyDescent="0.25">
      <c r="A150" s="2">
        <v>22</v>
      </c>
      <c r="B150" s="2" t="s">
        <v>192</v>
      </c>
      <c r="C150" s="2"/>
      <c r="D150" s="3"/>
      <c r="F150" s="2"/>
    </row>
    <row r="151" spans="1:6" x14ac:dyDescent="0.25">
      <c r="A151" s="2">
        <v>22</v>
      </c>
      <c r="B151" s="2" t="s">
        <v>198</v>
      </c>
      <c r="C151" s="2"/>
      <c r="D151" s="3"/>
      <c r="F151" s="2"/>
    </row>
    <row r="152" spans="1:6" x14ac:dyDescent="0.25">
      <c r="A152" s="2">
        <v>22</v>
      </c>
      <c r="B152" s="2" t="s">
        <v>204</v>
      </c>
      <c r="C152" s="2"/>
      <c r="D152" s="3"/>
      <c r="F152" s="2"/>
    </row>
    <row r="153" spans="1:6" x14ac:dyDescent="0.25">
      <c r="A153" s="2">
        <v>22</v>
      </c>
      <c r="B153" s="2" t="s">
        <v>210</v>
      </c>
      <c r="C153" s="2"/>
      <c r="D153" s="3"/>
      <c r="F153" s="2"/>
    </row>
    <row r="154" spans="1:6" x14ac:dyDescent="0.25">
      <c r="A154" s="2">
        <v>22</v>
      </c>
      <c r="B154" s="2" t="s">
        <v>215</v>
      </c>
      <c r="C154" s="2"/>
      <c r="D154" s="3"/>
      <c r="F154" s="2"/>
    </row>
    <row r="155" spans="1:6" ht="15.75" thickBot="1" x14ac:dyDescent="0.3">
      <c r="A155" s="2">
        <v>22</v>
      </c>
      <c r="B155" s="27" t="s">
        <v>221</v>
      </c>
      <c r="C155" s="2"/>
      <c r="D155" s="3"/>
      <c r="F155" s="2"/>
    </row>
    <row r="156" spans="1:6" x14ac:dyDescent="0.25">
      <c r="A156" s="2">
        <v>23</v>
      </c>
      <c r="B156" s="19" t="s">
        <v>186</v>
      </c>
      <c r="C156" s="2"/>
      <c r="D156" s="3"/>
      <c r="F156" s="2"/>
    </row>
    <row r="157" spans="1:6" x14ac:dyDescent="0.25">
      <c r="A157" s="2">
        <v>23</v>
      </c>
      <c r="B157" s="2" t="s">
        <v>192</v>
      </c>
      <c r="C157" s="2"/>
      <c r="D157" s="3"/>
      <c r="F157" s="2"/>
    </row>
    <row r="158" spans="1:6" x14ac:dyDescent="0.25">
      <c r="A158" s="2">
        <v>23</v>
      </c>
      <c r="B158" s="2" t="s">
        <v>198</v>
      </c>
      <c r="C158" s="2"/>
      <c r="D158" s="3"/>
      <c r="F158" s="2"/>
    </row>
    <row r="159" spans="1:6" x14ac:dyDescent="0.25">
      <c r="A159" s="2">
        <v>23</v>
      </c>
      <c r="B159" s="2" t="s">
        <v>204</v>
      </c>
      <c r="C159" s="2"/>
      <c r="D159" s="3"/>
      <c r="F159" s="2"/>
    </row>
    <row r="160" spans="1:6" x14ac:dyDescent="0.25">
      <c r="A160" s="2">
        <v>23</v>
      </c>
      <c r="B160" s="2" t="s">
        <v>210</v>
      </c>
      <c r="C160" s="2"/>
      <c r="D160" s="3"/>
      <c r="F160" s="2"/>
    </row>
    <row r="161" spans="1:6" x14ac:dyDescent="0.25">
      <c r="A161" s="2">
        <v>23</v>
      </c>
      <c r="B161" s="2" t="s">
        <v>215</v>
      </c>
      <c r="C161" s="2"/>
      <c r="D161" s="3"/>
      <c r="F161" s="2"/>
    </row>
    <row r="162" spans="1:6" ht="15.75" thickBot="1" x14ac:dyDescent="0.3">
      <c r="A162" s="2">
        <v>23</v>
      </c>
      <c r="B162" s="27" t="s">
        <v>221</v>
      </c>
      <c r="C162" s="2"/>
      <c r="D162" s="3"/>
      <c r="F162" s="2"/>
    </row>
    <row r="163" spans="1:6" x14ac:dyDescent="0.25">
      <c r="A163" s="2">
        <v>24</v>
      </c>
      <c r="B163" s="19" t="s">
        <v>186</v>
      </c>
      <c r="C163" s="2"/>
      <c r="D163" s="3"/>
      <c r="F163" s="2"/>
    </row>
    <row r="164" spans="1:6" x14ac:dyDescent="0.25">
      <c r="A164" s="2">
        <v>24</v>
      </c>
      <c r="B164" s="2" t="s">
        <v>192</v>
      </c>
      <c r="C164" s="2"/>
      <c r="D164" s="3"/>
      <c r="F164" s="2"/>
    </row>
    <row r="165" spans="1:6" x14ac:dyDescent="0.25">
      <c r="A165" s="2">
        <v>24</v>
      </c>
      <c r="B165" s="2" t="s">
        <v>198</v>
      </c>
      <c r="C165" s="2"/>
      <c r="D165" s="3"/>
      <c r="F165" s="2"/>
    </row>
    <row r="166" spans="1:6" x14ac:dyDescent="0.25">
      <c r="A166" s="2">
        <v>24</v>
      </c>
      <c r="B166" s="2" t="s">
        <v>204</v>
      </c>
      <c r="C166" s="2"/>
      <c r="D166" s="3"/>
      <c r="F166" s="2"/>
    </row>
    <row r="167" spans="1:6" x14ac:dyDescent="0.25">
      <c r="A167" s="2">
        <v>24</v>
      </c>
      <c r="B167" s="2" t="s">
        <v>210</v>
      </c>
      <c r="C167" s="2"/>
      <c r="D167" s="3"/>
      <c r="F167" s="2"/>
    </row>
    <row r="168" spans="1:6" x14ac:dyDescent="0.25">
      <c r="A168" s="2">
        <v>24</v>
      </c>
      <c r="B168" s="2" t="s">
        <v>215</v>
      </c>
      <c r="C168" s="2"/>
      <c r="D168" s="3"/>
      <c r="F168" s="2"/>
    </row>
    <row r="169" spans="1:6" ht="15.75" thickBot="1" x14ac:dyDescent="0.3">
      <c r="A169" s="2">
        <v>24</v>
      </c>
      <c r="B169" s="27" t="s">
        <v>221</v>
      </c>
      <c r="C169" s="2"/>
      <c r="D169" s="3"/>
      <c r="F169" s="2"/>
    </row>
    <row r="170" spans="1:6" x14ac:dyDescent="0.25">
      <c r="A170" s="2">
        <v>25</v>
      </c>
      <c r="B170" s="19" t="s">
        <v>186</v>
      </c>
      <c r="C170" s="2"/>
      <c r="D170" s="3"/>
      <c r="F170" s="2"/>
    </row>
    <row r="171" spans="1:6" x14ac:dyDescent="0.25">
      <c r="A171" s="2">
        <v>25</v>
      </c>
      <c r="B171" s="2" t="s">
        <v>192</v>
      </c>
      <c r="C171" s="2"/>
      <c r="D171" s="3"/>
      <c r="F171" s="2"/>
    </row>
    <row r="172" spans="1:6" x14ac:dyDescent="0.25">
      <c r="A172" s="2">
        <v>25</v>
      </c>
      <c r="B172" s="2" t="s">
        <v>198</v>
      </c>
      <c r="C172" s="2"/>
      <c r="D172" s="3"/>
      <c r="F172" s="2"/>
    </row>
    <row r="173" spans="1:6" x14ac:dyDescent="0.25">
      <c r="A173" s="2">
        <v>25</v>
      </c>
      <c r="B173" s="2" t="s">
        <v>204</v>
      </c>
      <c r="C173" s="2"/>
      <c r="D173" s="3"/>
      <c r="F173" s="2"/>
    </row>
    <row r="174" spans="1:6" x14ac:dyDescent="0.25">
      <c r="A174" s="2">
        <v>25</v>
      </c>
      <c r="B174" s="2" t="s">
        <v>210</v>
      </c>
      <c r="C174" s="2"/>
      <c r="D174" s="3"/>
      <c r="F174" s="2"/>
    </row>
    <row r="175" spans="1:6" x14ac:dyDescent="0.25">
      <c r="A175" s="2">
        <v>25</v>
      </c>
      <c r="B175" s="2" t="s">
        <v>215</v>
      </c>
      <c r="C175" s="2"/>
      <c r="D175" s="3"/>
      <c r="F175" s="2"/>
    </row>
    <row r="176" spans="1:6" ht="15.75" thickBot="1" x14ac:dyDescent="0.3">
      <c r="A176" s="2">
        <v>25</v>
      </c>
      <c r="B176" s="27" t="s">
        <v>221</v>
      </c>
      <c r="C176" s="2"/>
      <c r="D176" s="3"/>
      <c r="F176" s="2"/>
    </row>
    <row r="177" spans="1:6" x14ac:dyDescent="0.25">
      <c r="A177" s="2">
        <v>26</v>
      </c>
      <c r="B177" s="19" t="s">
        <v>186</v>
      </c>
      <c r="C177" s="2"/>
      <c r="D177" s="3"/>
      <c r="F177" s="2"/>
    </row>
    <row r="178" spans="1:6" x14ac:dyDescent="0.25">
      <c r="A178" s="2">
        <v>26</v>
      </c>
      <c r="B178" s="2" t="s">
        <v>192</v>
      </c>
      <c r="C178" s="2"/>
      <c r="D178" s="3"/>
      <c r="F178" s="2"/>
    </row>
    <row r="179" spans="1:6" x14ac:dyDescent="0.25">
      <c r="A179" s="2">
        <v>26</v>
      </c>
      <c r="B179" s="2" t="s">
        <v>198</v>
      </c>
      <c r="C179" s="2"/>
      <c r="D179" s="3"/>
      <c r="F179" s="2"/>
    </row>
    <row r="180" spans="1:6" x14ac:dyDescent="0.25">
      <c r="A180" s="2">
        <v>26</v>
      </c>
      <c r="B180" s="2" t="s">
        <v>204</v>
      </c>
      <c r="C180" s="2"/>
      <c r="D180" s="3"/>
      <c r="F180" s="2"/>
    </row>
    <row r="181" spans="1:6" x14ac:dyDescent="0.25">
      <c r="A181" s="2">
        <v>26</v>
      </c>
      <c r="B181" s="2" t="s">
        <v>210</v>
      </c>
      <c r="C181" s="2"/>
      <c r="D181" s="3"/>
      <c r="F181" s="2"/>
    </row>
    <row r="182" spans="1:6" x14ac:dyDescent="0.25">
      <c r="A182" s="2">
        <v>26</v>
      </c>
      <c r="B182" s="2" t="s">
        <v>215</v>
      </c>
      <c r="C182" s="2"/>
      <c r="D182" s="3"/>
      <c r="F182" s="2"/>
    </row>
    <row r="183" spans="1:6" ht="15.75" thickBot="1" x14ac:dyDescent="0.3">
      <c r="A183" s="2">
        <v>26</v>
      </c>
      <c r="B183" s="27" t="s">
        <v>221</v>
      </c>
      <c r="C183" s="2"/>
      <c r="D183" s="3"/>
      <c r="F183" s="2"/>
    </row>
    <row r="184" spans="1:6" x14ac:dyDescent="0.25">
      <c r="A184" s="2">
        <v>27</v>
      </c>
      <c r="B184" s="19" t="s">
        <v>186</v>
      </c>
      <c r="C184" s="2"/>
      <c r="D184" s="3"/>
      <c r="F184" s="2"/>
    </row>
    <row r="185" spans="1:6" x14ac:dyDescent="0.25">
      <c r="A185" s="2">
        <v>27</v>
      </c>
      <c r="B185" s="2" t="s">
        <v>192</v>
      </c>
      <c r="C185" s="2"/>
      <c r="D185" s="3"/>
      <c r="F185" s="2"/>
    </row>
    <row r="186" spans="1:6" x14ac:dyDescent="0.25">
      <c r="A186" s="2">
        <v>27</v>
      </c>
      <c r="B186" s="2" t="s">
        <v>198</v>
      </c>
      <c r="C186" s="2"/>
      <c r="D186" s="3"/>
      <c r="F186" s="2"/>
    </row>
    <row r="187" spans="1:6" x14ac:dyDescent="0.25">
      <c r="A187" s="2">
        <v>27</v>
      </c>
      <c r="B187" s="2" t="s">
        <v>204</v>
      </c>
      <c r="C187" s="2"/>
      <c r="D187" s="3"/>
      <c r="F187" s="2"/>
    </row>
    <row r="188" spans="1:6" x14ac:dyDescent="0.25">
      <c r="A188" s="2">
        <v>27</v>
      </c>
      <c r="B188" s="2" t="s">
        <v>210</v>
      </c>
      <c r="C188" s="2"/>
      <c r="D188" s="3"/>
      <c r="F188" s="2"/>
    </row>
    <row r="189" spans="1:6" x14ac:dyDescent="0.25">
      <c r="A189" s="2">
        <v>27</v>
      </c>
      <c r="B189" s="2" t="s">
        <v>215</v>
      </c>
      <c r="C189" s="2"/>
      <c r="D189" s="3"/>
      <c r="F189" s="2"/>
    </row>
    <row r="190" spans="1:6" ht="15.75" thickBot="1" x14ac:dyDescent="0.3">
      <c r="A190" s="2">
        <v>27</v>
      </c>
      <c r="B190" s="27" t="s">
        <v>221</v>
      </c>
      <c r="C190" s="2"/>
      <c r="D190" s="3"/>
      <c r="F190" s="2"/>
    </row>
    <row r="191" spans="1:6" x14ac:dyDescent="0.25">
      <c r="A191" s="2">
        <v>28</v>
      </c>
      <c r="B191" s="19" t="s">
        <v>186</v>
      </c>
      <c r="C191" s="2"/>
      <c r="D191" s="3"/>
      <c r="F191" s="2"/>
    </row>
    <row r="192" spans="1:6" x14ac:dyDescent="0.25">
      <c r="A192" s="2">
        <v>28</v>
      </c>
      <c r="B192" s="2" t="s">
        <v>192</v>
      </c>
      <c r="C192" s="2"/>
      <c r="D192" s="3"/>
      <c r="F192" s="2"/>
    </row>
    <row r="193" spans="1:6" x14ac:dyDescent="0.25">
      <c r="A193" s="2">
        <v>28</v>
      </c>
      <c r="B193" s="2" t="s">
        <v>198</v>
      </c>
      <c r="C193" s="2"/>
      <c r="D193" s="3"/>
      <c r="F193" s="2"/>
    </row>
    <row r="194" spans="1:6" x14ac:dyDescent="0.25">
      <c r="A194" s="2">
        <v>28</v>
      </c>
      <c r="B194" s="2" t="s">
        <v>204</v>
      </c>
      <c r="C194" s="2"/>
      <c r="D194" s="3"/>
      <c r="F194" s="2"/>
    </row>
    <row r="195" spans="1:6" x14ac:dyDescent="0.25">
      <c r="A195" s="2">
        <v>28</v>
      </c>
      <c r="B195" s="2" t="s">
        <v>210</v>
      </c>
      <c r="C195" s="2"/>
      <c r="D195" s="3"/>
      <c r="F195" s="2"/>
    </row>
    <row r="196" spans="1:6" x14ac:dyDescent="0.25">
      <c r="A196" s="2">
        <v>28</v>
      </c>
      <c r="B196" s="2" t="s">
        <v>215</v>
      </c>
      <c r="C196" s="2"/>
      <c r="D196" s="3"/>
      <c r="F196" s="2"/>
    </row>
    <row r="197" spans="1:6" ht="15.75" thickBot="1" x14ac:dyDescent="0.3">
      <c r="A197" s="2">
        <v>28</v>
      </c>
      <c r="B197" s="27" t="s">
        <v>221</v>
      </c>
      <c r="C197" s="2"/>
      <c r="D197" s="3"/>
      <c r="F197" s="2"/>
    </row>
    <row r="198" spans="1:6" x14ac:dyDescent="0.25">
      <c r="A198" s="2">
        <v>29</v>
      </c>
      <c r="B198" s="19" t="s">
        <v>186</v>
      </c>
      <c r="C198" s="2"/>
      <c r="D198" s="3"/>
      <c r="F198" s="2"/>
    </row>
    <row r="199" spans="1:6" x14ac:dyDescent="0.25">
      <c r="A199" s="2">
        <v>29</v>
      </c>
      <c r="B199" s="2" t="s">
        <v>192</v>
      </c>
      <c r="C199" s="2"/>
      <c r="D199" s="3"/>
      <c r="F199" s="2"/>
    </row>
    <row r="200" spans="1:6" x14ac:dyDescent="0.25">
      <c r="A200" s="2">
        <v>29</v>
      </c>
      <c r="B200" s="2" t="s">
        <v>198</v>
      </c>
      <c r="C200" s="2"/>
      <c r="D200" s="3"/>
      <c r="F200" s="2"/>
    </row>
    <row r="201" spans="1:6" x14ac:dyDescent="0.25">
      <c r="A201" s="2">
        <v>29</v>
      </c>
      <c r="B201" s="2" t="s">
        <v>204</v>
      </c>
      <c r="C201" s="2"/>
      <c r="D201" s="3"/>
      <c r="F201" s="2"/>
    </row>
    <row r="202" spans="1:6" x14ac:dyDescent="0.25">
      <c r="A202" s="2">
        <v>29</v>
      </c>
      <c r="B202" s="2" t="s">
        <v>210</v>
      </c>
      <c r="C202" s="2"/>
      <c r="D202" s="3"/>
      <c r="F202" s="2"/>
    </row>
    <row r="203" spans="1:6" x14ac:dyDescent="0.25">
      <c r="A203" s="2">
        <v>29</v>
      </c>
      <c r="B203" s="2" t="s">
        <v>215</v>
      </c>
      <c r="C203" s="2"/>
      <c r="D203" s="3"/>
      <c r="F203" s="2"/>
    </row>
    <row r="204" spans="1:6" ht="15.75" thickBot="1" x14ac:dyDescent="0.3">
      <c r="A204" s="2">
        <v>29</v>
      </c>
      <c r="B204" s="27" t="s">
        <v>221</v>
      </c>
      <c r="C204" s="2"/>
      <c r="D204" s="3"/>
      <c r="F204" s="2"/>
    </row>
    <row r="205" spans="1:6" x14ac:dyDescent="0.25">
      <c r="A205" s="2">
        <v>30</v>
      </c>
      <c r="B205" s="19" t="s">
        <v>186</v>
      </c>
      <c r="C205" s="2"/>
      <c r="D205" s="3"/>
      <c r="F205" s="2"/>
    </row>
    <row r="206" spans="1:6" x14ac:dyDescent="0.25">
      <c r="A206" s="2">
        <v>30</v>
      </c>
      <c r="B206" s="2" t="s">
        <v>192</v>
      </c>
      <c r="C206" s="2"/>
      <c r="D206" s="3"/>
      <c r="F206" s="2"/>
    </row>
    <row r="207" spans="1:6" x14ac:dyDescent="0.25">
      <c r="A207" s="2">
        <v>30</v>
      </c>
      <c r="B207" s="2" t="s">
        <v>198</v>
      </c>
      <c r="C207" s="2"/>
      <c r="D207" s="3"/>
      <c r="F207" s="2"/>
    </row>
    <row r="208" spans="1:6" x14ac:dyDescent="0.25">
      <c r="A208" s="2">
        <v>30</v>
      </c>
      <c r="B208" s="2" t="s">
        <v>204</v>
      </c>
      <c r="C208" s="2"/>
      <c r="D208" s="3"/>
      <c r="F208" s="2"/>
    </row>
    <row r="209" spans="1:6" x14ac:dyDescent="0.25">
      <c r="A209" s="2">
        <v>30</v>
      </c>
      <c r="B209" s="2" t="s">
        <v>210</v>
      </c>
      <c r="C209" s="2"/>
      <c r="D209" s="3"/>
      <c r="F209" s="2"/>
    </row>
    <row r="210" spans="1:6" x14ac:dyDescent="0.25">
      <c r="A210" s="2">
        <v>30</v>
      </c>
      <c r="B210" s="2" t="s">
        <v>215</v>
      </c>
      <c r="C210" s="2"/>
      <c r="D210" s="3"/>
      <c r="F210" s="2"/>
    </row>
    <row r="211" spans="1:6" ht="15.75" thickBot="1" x14ac:dyDescent="0.3">
      <c r="A211" s="2">
        <v>30</v>
      </c>
      <c r="B211" s="27" t="s">
        <v>221</v>
      </c>
      <c r="C211" s="2"/>
      <c r="D211" s="3"/>
      <c r="F211" s="2"/>
    </row>
    <row r="212" spans="1:6" x14ac:dyDescent="0.25">
      <c r="A212" s="2">
        <v>31</v>
      </c>
      <c r="B212" s="19" t="s">
        <v>186</v>
      </c>
      <c r="C212" s="2"/>
      <c r="D212" s="3"/>
      <c r="F212" s="2"/>
    </row>
    <row r="213" spans="1:6" x14ac:dyDescent="0.25">
      <c r="A213" s="2">
        <v>31</v>
      </c>
      <c r="B213" s="2" t="s">
        <v>192</v>
      </c>
      <c r="C213" s="2"/>
      <c r="D213" s="3"/>
      <c r="F213" s="2"/>
    </row>
    <row r="214" spans="1:6" x14ac:dyDescent="0.25">
      <c r="A214" s="2">
        <v>31</v>
      </c>
      <c r="B214" s="2" t="s">
        <v>198</v>
      </c>
      <c r="C214" s="2"/>
      <c r="D214" s="3"/>
      <c r="F214" s="2"/>
    </row>
    <row r="215" spans="1:6" x14ac:dyDescent="0.25">
      <c r="A215" s="2">
        <v>31</v>
      </c>
      <c r="B215" s="2" t="s">
        <v>204</v>
      </c>
      <c r="C215" s="2"/>
      <c r="D215" s="3"/>
      <c r="F215" s="2"/>
    </row>
    <row r="216" spans="1:6" x14ac:dyDescent="0.25">
      <c r="A216" s="2">
        <v>31</v>
      </c>
      <c r="B216" s="2" t="s">
        <v>210</v>
      </c>
      <c r="C216" s="2"/>
      <c r="D216" s="3"/>
      <c r="F216" s="2"/>
    </row>
    <row r="217" spans="1:6" x14ac:dyDescent="0.25">
      <c r="A217" s="2">
        <v>31</v>
      </c>
      <c r="B217" s="2" t="s">
        <v>215</v>
      </c>
      <c r="C217" s="2"/>
      <c r="D217" s="3"/>
      <c r="F217" s="2"/>
    </row>
    <row r="218" spans="1:6" ht="15.75" thickBot="1" x14ac:dyDescent="0.3">
      <c r="A218" s="2">
        <v>31</v>
      </c>
      <c r="B218" s="27" t="s">
        <v>221</v>
      </c>
      <c r="C218" s="2"/>
      <c r="D218" s="3"/>
      <c r="F218" s="2"/>
    </row>
    <row r="219" spans="1:6" x14ac:dyDescent="0.25">
      <c r="A219" s="2">
        <v>32</v>
      </c>
      <c r="B219" s="19" t="s">
        <v>186</v>
      </c>
      <c r="C219" s="2"/>
      <c r="D219" s="3"/>
      <c r="F219" s="2"/>
    </row>
    <row r="220" spans="1:6" x14ac:dyDescent="0.25">
      <c r="A220" s="2">
        <v>32</v>
      </c>
      <c r="B220" s="2" t="s">
        <v>192</v>
      </c>
      <c r="C220" s="2"/>
      <c r="D220" s="3"/>
      <c r="F220" s="2"/>
    </row>
    <row r="221" spans="1:6" x14ac:dyDescent="0.25">
      <c r="A221" s="2">
        <v>32</v>
      </c>
      <c r="B221" s="2" t="s">
        <v>198</v>
      </c>
      <c r="C221" s="2"/>
      <c r="D221" s="3"/>
      <c r="F221" s="2"/>
    </row>
    <row r="222" spans="1:6" x14ac:dyDescent="0.25">
      <c r="A222" s="2">
        <v>32</v>
      </c>
      <c r="B222" s="2" t="s">
        <v>204</v>
      </c>
      <c r="C222" s="2"/>
      <c r="D222" s="3"/>
      <c r="F222" s="2"/>
    </row>
    <row r="223" spans="1:6" x14ac:dyDescent="0.25">
      <c r="A223" s="2">
        <v>32</v>
      </c>
      <c r="B223" s="2" t="s">
        <v>210</v>
      </c>
      <c r="C223" s="2"/>
      <c r="D223" s="3"/>
      <c r="F223" s="2"/>
    </row>
    <row r="224" spans="1:6" x14ac:dyDescent="0.25">
      <c r="A224" s="2">
        <v>32</v>
      </c>
      <c r="B224" s="2" t="s">
        <v>215</v>
      </c>
      <c r="C224" s="2"/>
      <c r="D224" s="3"/>
      <c r="F224" s="2"/>
    </row>
    <row r="225" spans="1:6" ht="15.75" thickBot="1" x14ac:dyDescent="0.3">
      <c r="A225" s="2">
        <v>32</v>
      </c>
      <c r="B225" s="27" t="s">
        <v>221</v>
      </c>
      <c r="C225" s="2"/>
      <c r="D225" s="3"/>
      <c r="F225" s="2"/>
    </row>
    <row r="226" spans="1:6" x14ac:dyDescent="0.25">
      <c r="A226" s="2">
        <v>33</v>
      </c>
      <c r="B226" s="19" t="s">
        <v>186</v>
      </c>
      <c r="C226" s="2"/>
      <c r="D226" s="3"/>
      <c r="F226" s="2"/>
    </row>
    <row r="227" spans="1:6" x14ac:dyDescent="0.25">
      <c r="A227" s="2">
        <v>33</v>
      </c>
      <c r="B227" s="2" t="s">
        <v>192</v>
      </c>
      <c r="C227" s="2"/>
      <c r="D227" s="3"/>
      <c r="F227" s="2"/>
    </row>
    <row r="228" spans="1:6" x14ac:dyDescent="0.25">
      <c r="A228" s="2">
        <v>33</v>
      </c>
      <c r="B228" s="2" t="s">
        <v>198</v>
      </c>
      <c r="C228" s="2"/>
      <c r="D228" s="3"/>
      <c r="F228" s="2"/>
    </row>
    <row r="229" spans="1:6" x14ac:dyDescent="0.25">
      <c r="A229" s="2">
        <v>33</v>
      </c>
      <c r="B229" s="2" t="s">
        <v>204</v>
      </c>
      <c r="C229" s="2"/>
      <c r="D229" s="3"/>
      <c r="F229" s="2"/>
    </row>
    <row r="230" spans="1:6" x14ac:dyDescent="0.25">
      <c r="A230" s="2">
        <v>33</v>
      </c>
      <c r="B230" s="2" t="s">
        <v>210</v>
      </c>
      <c r="C230" s="2"/>
      <c r="D230" s="3"/>
      <c r="F230" s="2"/>
    </row>
    <row r="231" spans="1:6" x14ac:dyDescent="0.25">
      <c r="A231" s="2">
        <v>33</v>
      </c>
      <c r="B231" s="2" t="s">
        <v>215</v>
      </c>
      <c r="C231" s="2"/>
      <c r="D231" s="3"/>
      <c r="F231" s="2"/>
    </row>
    <row r="232" spans="1:6" ht="15.75" thickBot="1" x14ac:dyDescent="0.3">
      <c r="A232" s="2">
        <v>33</v>
      </c>
      <c r="B232" s="27" t="s">
        <v>221</v>
      </c>
      <c r="C232" s="2"/>
      <c r="D232" s="3"/>
      <c r="F232" s="2"/>
    </row>
    <row r="233" spans="1:6" x14ac:dyDescent="0.25">
      <c r="A233" s="2">
        <v>34</v>
      </c>
      <c r="B233" s="19" t="s">
        <v>186</v>
      </c>
      <c r="C233" s="2"/>
      <c r="D233" s="3"/>
      <c r="F233" s="2"/>
    </row>
    <row r="234" spans="1:6" x14ac:dyDescent="0.25">
      <c r="A234" s="2">
        <v>34</v>
      </c>
      <c r="B234" s="2" t="s">
        <v>192</v>
      </c>
      <c r="C234" s="2"/>
      <c r="D234" s="3"/>
      <c r="F234" s="2"/>
    </row>
    <row r="235" spans="1:6" x14ac:dyDescent="0.25">
      <c r="A235" s="2">
        <v>34</v>
      </c>
      <c r="B235" s="2" t="s">
        <v>198</v>
      </c>
      <c r="C235" s="2"/>
      <c r="D235" s="3"/>
      <c r="F235" s="2"/>
    </row>
    <row r="236" spans="1:6" x14ac:dyDescent="0.25">
      <c r="A236" s="2">
        <v>34</v>
      </c>
      <c r="B236" s="2" t="s">
        <v>204</v>
      </c>
      <c r="C236" s="2"/>
      <c r="D236" s="3"/>
      <c r="F236" s="2"/>
    </row>
    <row r="237" spans="1:6" x14ac:dyDescent="0.25">
      <c r="A237" s="2">
        <v>34</v>
      </c>
      <c r="B237" s="2" t="s">
        <v>210</v>
      </c>
      <c r="C237" s="2"/>
      <c r="D237" s="3"/>
      <c r="F237" s="2"/>
    </row>
    <row r="238" spans="1:6" x14ac:dyDescent="0.25">
      <c r="A238" s="2">
        <v>34</v>
      </c>
      <c r="B238" s="2" t="s">
        <v>215</v>
      </c>
      <c r="C238" s="2"/>
      <c r="D238" s="3"/>
      <c r="F238" s="2"/>
    </row>
    <row r="239" spans="1:6" ht="15.75" thickBot="1" x14ac:dyDescent="0.3">
      <c r="A239" s="2">
        <v>34</v>
      </c>
      <c r="B239" s="27" t="s">
        <v>221</v>
      </c>
      <c r="C239" s="2"/>
      <c r="D239" s="3"/>
      <c r="F239" s="2"/>
    </row>
    <row r="240" spans="1:6" x14ac:dyDescent="0.25">
      <c r="A240" s="2">
        <v>35</v>
      </c>
      <c r="B240" s="19" t="s">
        <v>186</v>
      </c>
      <c r="C240" s="2"/>
      <c r="D240" s="3"/>
      <c r="F240" s="2"/>
    </row>
    <row r="241" spans="1:6" x14ac:dyDescent="0.25">
      <c r="A241" s="2">
        <v>35</v>
      </c>
      <c r="B241" s="2" t="s">
        <v>192</v>
      </c>
      <c r="C241" s="2"/>
      <c r="D241" s="3"/>
      <c r="F241" s="2"/>
    </row>
    <row r="242" spans="1:6" x14ac:dyDescent="0.25">
      <c r="A242" s="2">
        <v>35</v>
      </c>
      <c r="B242" s="2" t="s">
        <v>198</v>
      </c>
      <c r="C242" s="2"/>
      <c r="D242" s="3"/>
      <c r="F242" s="2"/>
    </row>
    <row r="243" spans="1:6" x14ac:dyDescent="0.25">
      <c r="A243" s="2">
        <v>35</v>
      </c>
      <c r="B243" s="2" t="s">
        <v>204</v>
      </c>
      <c r="C243" s="2"/>
      <c r="D243" s="3"/>
      <c r="F243" s="2"/>
    </row>
    <row r="244" spans="1:6" x14ac:dyDescent="0.25">
      <c r="A244" s="2">
        <v>35</v>
      </c>
      <c r="B244" s="2" t="s">
        <v>210</v>
      </c>
      <c r="C244" s="2"/>
      <c r="D244" s="3"/>
      <c r="F244" s="2"/>
    </row>
    <row r="245" spans="1:6" x14ac:dyDescent="0.25">
      <c r="A245" s="2">
        <v>35</v>
      </c>
      <c r="B245" s="2" t="s">
        <v>215</v>
      </c>
      <c r="C245" s="2"/>
      <c r="D245" s="3"/>
      <c r="F245" s="2"/>
    </row>
    <row r="246" spans="1:6" ht="15.75" thickBot="1" x14ac:dyDescent="0.3">
      <c r="A246" s="2">
        <v>35</v>
      </c>
      <c r="B246" s="27" t="s">
        <v>221</v>
      </c>
      <c r="C246" s="2"/>
      <c r="D246" s="3"/>
      <c r="F246" s="2"/>
    </row>
    <row r="247" spans="1:6" x14ac:dyDescent="0.25">
      <c r="A247" s="2">
        <v>36</v>
      </c>
      <c r="B247" s="19" t="s">
        <v>186</v>
      </c>
      <c r="C247" s="2"/>
      <c r="D247" s="3"/>
      <c r="F247" s="2"/>
    </row>
    <row r="248" spans="1:6" x14ac:dyDescent="0.25">
      <c r="A248" s="2">
        <v>36</v>
      </c>
      <c r="B248" s="2" t="s">
        <v>192</v>
      </c>
      <c r="C248" s="2"/>
      <c r="D248" s="3"/>
      <c r="F248" s="2"/>
    </row>
    <row r="249" spans="1:6" x14ac:dyDescent="0.25">
      <c r="A249" s="2">
        <v>36</v>
      </c>
      <c r="B249" s="2" t="s">
        <v>198</v>
      </c>
      <c r="C249" s="2"/>
      <c r="D249" s="3"/>
      <c r="F249" s="2"/>
    </row>
    <row r="250" spans="1:6" x14ac:dyDescent="0.25">
      <c r="A250" s="2">
        <v>36</v>
      </c>
      <c r="B250" s="2" t="s">
        <v>204</v>
      </c>
      <c r="C250" s="2"/>
      <c r="D250" s="3"/>
      <c r="F250" s="2"/>
    </row>
    <row r="251" spans="1:6" x14ac:dyDescent="0.25">
      <c r="A251" s="2">
        <v>36</v>
      </c>
      <c r="B251" s="2" t="s">
        <v>210</v>
      </c>
      <c r="C251" s="2"/>
      <c r="D251" s="3"/>
      <c r="F251" s="2"/>
    </row>
    <row r="252" spans="1:6" x14ac:dyDescent="0.25">
      <c r="A252" s="2">
        <v>36</v>
      </c>
      <c r="B252" s="2" t="s">
        <v>215</v>
      </c>
      <c r="C252" s="2"/>
      <c r="D252" s="3"/>
      <c r="F252" s="2"/>
    </row>
    <row r="253" spans="1:6" ht="15.75" thickBot="1" x14ac:dyDescent="0.3">
      <c r="A253" s="2">
        <v>36</v>
      </c>
      <c r="B253" s="27" t="s">
        <v>221</v>
      </c>
      <c r="C253" s="2"/>
      <c r="D253" s="3"/>
      <c r="F253" s="2"/>
    </row>
    <row r="254" spans="1:6" x14ac:dyDescent="0.25">
      <c r="A254" s="2">
        <v>37</v>
      </c>
      <c r="B254" s="19" t="s">
        <v>186</v>
      </c>
      <c r="C254" s="2"/>
      <c r="D254" s="3"/>
      <c r="F254" s="2"/>
    </row>
    <row r="255" spans="1:6" x14ac:dyDescent="0.25">
      <c r="A255" s="2">
        <v>37</v>
      </c>
      <c r="B255" s="2" t="s">
        <v>192</v>
      </c>
      <c r="C255" s="2"/>
      <c r="D255" s="3"/>
      <c r="F255" s="2"/>
    </row>
    <row r="256" spans="1:6" x14ac:dyDescent="0.25">
      <c r="A256" s="2">
        <v>37</v>
      </c>
      <c r="B256" s="2" t="s">
        <v>198</v>
      </c>
      <c r="C256" s="2"/>
      <c r="D256" s="3"/>
      <c r="F256" s="2"/>
    </row>
    <row r="257" spans="1:6" x14ac:dyDescent="0.25">
      <c r="A257" s="2">
        <v>37</v>
      </c>
      <c r="B257" s="2" t="s">
        <v>204</v>
      </c>
      <c r="C257" s="2"/>
      <c r="D257" s="3"/>
      <c r="F257" s="2"/>
    </row>
    <row r="258" spans="1:6" x14ac:dyDescent="0.25">
      <c r="A258" s="2">
        <v>37</v>
      </c>
      <c r="B258" s="2" t="s">
        <v>210</v>
      </c>
      <c r="C258" s="2"/>
      <c r="D258" s="3"/>
      <c r="F258" s="2"/>
    </row>
    <row r="259" spans="1:6" x14ac:dyDescent="0.25">
      <c r="A259" s="2">
        <v>37</v>
      </c>
      <c r="B259" s="2" t="s">
        <v>215</v>
      </c>
      <c r="C259" s="2"/>
      <c r="D259" s="3"/>
      <c r="F259" s="2"/>
    </row>
    <row r="260" spans="1:6" ht="15.75" thickBot="1" x14ac:dyDescent="0.3">
      <c r="A260" s="2">
        <v>37</v>
      </c>
      <c r="B260" s="27" t="s">
        <v>221</v>
      </c>
      <c r="C260" s="2"/>
      <c r="D260" s="3"/>
      <c r="F260" s="2"/>
    </row>
    <row r="261" spans="1:6" x14ac:dyDescent="0.25">
      <c r="A261" s="2">
        <v>38</v>
      </c>
      <c r="B261" s="19" t="s">
        <v>186</v>
      </c>
      <c r="C261" s="2"/>
      <c r="D261" s="3"/>
      <c r="F261" s="2"/>
    </row>
    <row r="262" spans="1:6" x14ac:dyDescent="0.25">
      <c r="A262" s="2">
        <v>38</v>
      </c>
      <c r="B262" s="2" t="s">
        <v>192</v>
      </c>
      <c r="C262" s="2"/>
      <c r="D262" s="3"/>
      <c r="F262" s="2"/>
    </row>
    <row r="263" spans="1:6" x14ac:dyDescent="0.25">
      <c r="A263" s="2">
        <v>38</v>
      </c>
      <c r="B263" s="2" t="s">
        <v>198</v>
      </c>
      <c r="C263" s="2"/>
      <c r="D263" s="3"/>
      <c r="F263" s="2"/>
    </row>
    <row r="264" spans="1:6" x14ac:dyDescent="0.25">
      <c r="A264" s="2">
        <v>38</v>
      </c>
      <c r="B264" s="2" t="s">
        <v>204</v>
      </c>
      <c r="C264" s="2"/>
      <c r="D264" s="3"/>
      <c r="F264" s="2"/>
    </row>
    <row r="265" spans="1:6" x14ac:dyDescent="0.25">
      <c r="A265" s="2">
        <v>38</v>
      </c>
      <c r="B265" s="2" t="s">
        <v>210</v>
      </c>
      <c r="C265" s="2"/>
      <c r="D265" s="3"/>
      <c r="F265" s="2"/>
    </row>
    <row r="266" spans="1:6" x14ac:dyDescent="0.25">
      <c r="A266" s="2">
        <v>38</v>
      </c>
      <c r="B266" s="2" t="s">
        <v>215</v>
      </c>
      <c r="C266" s="2"/>
      <c r="D266" s="3"/>
      <c r="F266" s="2"/>
    </row>
    <row r="267" spans="1:6" ht="15.75" thickBot="1" x14ac:dyDescent="0.3">
      <c r="A267" s="2">
        <v>38</v>
      </c>
      <c r="B267" s="27" t="s">
        <v>221</v>
      </c>
      <c r="C267" s="2"/>
      <c r="D267" s="3"/>
      <c r="F267" s="2"/>
    </row>
    <row r="268" spans="1:6" x14ac:dyDescent="0.25">
      <c r="A268" s="2">
        <v>39</v>
      </c>
      <c r="B268" s="19" t="s">
        <v>186</v>
      </c>
      <c r="C268" s="2"/>
      <c r="D268" s="3"/>
      <c r="F268" s="2"/>
    </row>
    <row r="269" spans="1:6" x14ac:dyDescent="0.25">
      <c r="A269" s="2">
        <v>39</v>
      </c>
      <c r="B269" s="2" t="s">
        <v>192</v>
      </c>
      <c r="C269" s="2"/>
      <c r="D269" s="3"/>
      <c r="F269" s="2"/>
    </row>
    <row r="270" spans="1:6" x14ac:dyDescent="0.25">
      <c r="A270" s="2">
        <v>39</v>
      </c>
      <c r="B270" s="2" t="s">
        <v>198</v>
      </c>
      <c r="C270" s="2"/>
      <c r="D270" s="3"/>
      <c r="F270" s="2"/>
    </row>
    <row r="271" spans="1:6" x14ac:dyDescent="0.25">
      <c r="A271" s="2">
        <v>39</v>
      </c>
      <c r="B271" s="2" t="s">
        <v>204</v>
      </c>
      <c r="C271" s="2"/>
      <c r="D271" s="3"/>
      <c r="F271" s="2"/>
    </row>
    <row r="272" spans="1:6" x14ac:dyDescent="0.25">
      <c r="A272" s="2">
        <v>39</v>
      </c>
      <c r="B272" s="2" t="s">
        <v>210</v>
      </c>
      <c r="C272" s="2"/>
      <c r="D272" s="3"/>
      <c r="F272" s="2"/>
    </row>
    <row r="273" spans="1:6" x14ac:dyDescent="0.25">
      <c r="A273" s="2">
        <v>39</v>
      </c>
      <c r="B273" s="2" t="s">
        <v>215</v>
      </c>
      <c r="C273" s="2"/>
      <c r="D273" s="3"/>
      <c r="F273" s="2"/>
    </row>
    <row r="274" spans="1:6" ht="15.75" thickBot="1" x14ac:dyDescent="0.3">
      <c r="A274" s="2">
        <v>39</v>
      </c>
      <c r="B274" s="27" t="s">
        <v>221</v>
      </c>
      <c r="C274" s="2"/>
      <c r="D274" s="3"/>
      <c r="F274" s="2"/>
    </row>
    <row r="275" spans="1:6" x14ac:dyDescent="0.25">
      <c r="A275" s="2">
        <v>40</v>
      </c>
      <c r="B275" s="19" t="s">
        <v>186</v>
      </c>
      <c r="C275" s="2"/>
      <c r="D275" s="3"/>
      <c r="F275" s="2"/>
    </row>
    <row r="276" spans="1:6" x14ac:dyDescent="0.25">
      <c r="A276" s="2">
        <v>40</v>
      </c>
      <c r="B276" s="2" t="s">
        <v>192</v>
      </c>
      <c r="C276" s="2"/>
      <c r="D276" s="3"/>
      <c r="F276" s="2"/>
    </row>
    <row r="277" spans="1:6" x14ac:dyDescent="0.25">
      <c r="A277" s="2">
        <v>40</v>
      </c>
      <c r="B277" s="2" t="s">
        <v>198</v>
      </c>
      <c r="C277" s="2"/>
      <c r="D277" s="3"/>
      <c r="F277" s="2"/>
    </row>
    <row r="278" spans="1:6" x14ac:dyDescent="0.25">
      <c r="A278" s="2">
        <v>40</v>
      </c>
      <c r="B278" s="2" t="s">
        <v>204</v>
      </c>
      <c r="C278" s="2"/>
      <c r="D278" s="3"/>
      <c r="F278" s="2"/>
    </row>
    <row r="279" spans="1:6" x14ac:dyDescent="0.25">
      <c r="A279" s="2">
        <v>40</v>
      </c>
      <c r="B279" s="2" t="s">
        <v>210</v>
      </c>
      <c r="C279" s="2"/>
      <c r="D279" s="3"/>
      <c r="F279" s="2"/>
    </row>
    <row r="280" spans="1:6" x14ac:dyDescent="0.25">
      <c r="A280" s="2">
        <v>40</v>
      </c>
      <c r="B280" s="2" t="s">
        <v>215</v>
      </c>
      <c r="C280" s="2"/>
      <c r="D280" s="3"/>
      <c r="F280" s="2"/>
    </row>
    <row r="281" spans="1:6" ht="15.75" thickBot="1" x14ac:dyDescent="0.3">
      <c r="A281" s="2">
        <v>40</v>
      </c>
      <c r="B281" s="27" t="s">
        <v>221</v>
      </c>
      <c r="C281" s="2"/>
      <c r="D281" s="3"/>
      <c r="F281" s="2"/>
    </row>
  </sheetData>
  <phoneticPr fontId="1"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showInputMessage="1" showErrorMessage="1" xr:uid="{98E3AD21-2C6E-40A4-A7F1-35592A013B91}">
          <x14:formula1>
            <xm:f>'99_Lookups'!$Q$2:$Q$5</xm:f>
          </x14:formula1>
          <xm:sqref>D2:D281</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38086-3DE8-4CA0-B49E-AA8E638C5565}">
  <sheetPr>
    <tabColor theme="8"/>
  </sheetPr>
  <dimension ref="A1:G41"/>
  <sheetViews>
    <sheetView workbookViewId="0">
      <selection activeCell="D19" sqref="D19"/>
    </sheetView>
  </sheetViews>
  <sheetFormatPr baseColWidth="10" defaultRowHeight="15" x14ac:dyDescent="0.25"/>
  <cols>
    <col min="1" max="1" width="13.85546875" customWidth="1"/>
    <col min="2" max="2" width="17" customWidth="1"/>
    <col min="3" max="3" width="19.42578125" customWidth="1"/>
    <col min="4" max="4" width="19.85546875" customWidth="1"/>
    <col min="5" max="5" width="24.7109375" bestFit="1" customWidth="1"/>
    <col min="6" max="6" width="17.28515625" customWidth="1"/>
    <col min="7" max="7" width="17.42578125" customWidth="1"/>
    <col min="10" max="10" width="20" customWidth="1"/>
  </cols>
  <sheetData>
    <row r="1" spans="1:7" x14ac:dyDescent="0.25">
      <c r="A1" t="s">
        <v>0</v>
      </c>
      <c r="B1" t="s">
        <v>3</v>
      </c>
      <c r="C1" t="s">
        <v>48</v>
      </c>
      <c r="D1" t="s">
        <v>49</v>
      </c>
      <c r="E1" t="s">
        <v>50</v>
      </c>
      <c r="F1" t="s">
        <v>51</v>
      </c>
      <c r="G1" t="s">
        <v>52</v>
      </c>
    </row>
    <row r="2" spans="1:7" x14ac:dyDescent="0.25">
      <c r="A2">
        <v>1</v>
      </c>
      <c r="B2" t="str">
        <f>_xlfn.XLOOKUP(Tabelle8[[#This Row],[company_id]],'00_DAX_Master'!A:A,'00_DAX_Master'!D:D)</f>
        <v>Consumer</v>
      </c>
      <c r="C2">
        <f ca="1">SUMIF('03b_Values_Company_Level'!E:E,'03b_Values_Company_Level'!A:A,Tabelle8[[#This Row],[company_id]])</f>
        <v>31</v>
      </c>
      <c r="D2">
        <f>(COUNTA('02_Values_Codebook'!A:A)-1)*3</f>
        <v>54</v>
      </c>
      <c r="E2">
        <f ca="1">Tabelle8[[#This Row],[values_raw_points]]/Tabelle8[[#This Row],[values_max_points]]</f>
        <v>0.57407407407407407</v>
      </c>
      <c r="F2">
        <f>SUMIF(Tabelle7[[#This Row],[score_0_3]],Tabelle7[[#This Row],[company_id]],Tabelle8[[#This Row],[company_id]])</f>
        <v>0</v>
      </c>
      <c r="G2">
        <f xml:space="preserve"> (Tabelle8[[#This Row],[gov_points_sum]]/21)*100</f>
        <v>0</v>
      </c>
    </row>
    <row r="3" spans="1:7" x14ac:dyDescent="0.25">
      <c r="A3">
        <v>2</v>
      </c>
      <c r="B3" t="str">
        <f>_xlfn.XLOOKUP(Tabelle8[[#This Row],[company_id]],'00_DAX_Master'!A:A,'00_DAX_Master'!D:D)</f>
        <v>Industrie</v>
      </c>
      <c r="C3">
        <f ca="1">SUMIF('03b_Values_Company_Level'!E:E,'03b_Values_Company_Level'!A:A,Tabelle8[[#This Row],[company_id]])</f>
        <v>32</v>
      </c>
      <c r="D3">
        <f>(COUNTA('02_Values_Codebook'!A:A)-1)*3</f>
        <v>54</v>
      </c>
      <c r="E3">
        <f ca="1">Tabelle8[[#This Row],[values_raw_points]]/Tabelle8[[#This Row],[values_max_points]]</f>
        <v>0.59259259259259256</v>
      </c>
      <c r="F3">
        <f>SUMIF(Tabelle7[[#This Row],[score_0_3]],Tabelle7[[#This Row],[company_id]],Tabelle8[[#This Row],[company_id]])</f>
        <v>0</v>
      </c>
      <c r="G3">
        <f xml:space="preserve"> (Tabelle8[[#This Row],[gov_points_sum]]/21)*100</f>
        <v>0</v>
      </c>
    </row>
    <row r="4" spans="1:7" x14ac:dyDescent="0.25">
      <c r="A4">
        <v>3</v>
      </c>
      <c r="B4" t="str">
        <f>_xlfn.XLOOKUP(Tabelle8[[#This Row],[company_id]],'00_DAX_Master'!A:A,'00_DAX_Master'!D:D)</f>
        <v>Finance</v>
      </c>
      <c r="C4">
        <f ca="1">SUMIF('03b_Values_Company_Level'!E:E,'03b_Values_Company_Level'!A:A,Tabelle8[[#This Row],[company_id]])</f>
        <v>33</v>
      </c>
      <c r="D4">
        <f>(COUNTA('02_Values_Codebook'!A:A)-1)*3</f>
        <v>54</v>
      </c>
      <c r="E4">
        <f ca="1">Tabelle8[[#This Row],[values_raw_points]]/Tabelle8[[#This Row],[values_max_points]]</f>
        <v>0.61111111111111116</v>
      </c>
      <c r="F4">
        <f>SUMIF(Tabelle7[[#This Row],[score_0_3]],Tabelle7[[#This Row],[company_id]],Tabelle8[[#This Row],[company_id]])</f>
        <v>0</v>
      </c>
      <c r="G4">
        <f xml:space="preserve"> (Tabelle8[[#This Row],[gov_points_sum]]/21)*100</f>
        <v>0</v>
      </c>
    </row>
    <row r="5" spans="1:7" x14ac:dyDescent="0.25">
      <c r="A5">
        <v>4</v>
      </c>
      <c r="B5" t="str">
        <f>_xlfn.XLOOKUP(Tabelle8[[#This Row],[company_id]],'00_DAX_Master'!A:A,'00_DAX_Master'!D:D)</f>
        <v>Materials/Chemicals</v>
      </c>
      <c r="C5">
        <f ca="1">SUMIF('03b_Values_Company_Level'!E:E,'03b_Values_Company_Level'!A:A,Tabelle8[[#This Row],[company_id]])</f>
        <v>34</v>
      </c>
      <c r="D5">
        <f>(COUNTA('02_Values_Codebook'!A:A)-1)*3</f>
        <v>54</v>
      </c>
      <c r="E5">
        <f ca="1">Tabelle8[[#This Row],[values_raw_points]]/Tabelle8[[#This Row],[values_max_points]]</f>
        <v>0.62962962962962965</v>
      </c>
      <c r="F5">
        <f>SUMIF(Tabelle7[[#This Row],[score_0_3]],Tabelle7[[#This Row],[company_id]],Tabelle8[[#This Row],[company_id]])</f>
        <v>0</v>
      </c>
      <c r="G5">
        <f xml:space="preserve"> (Tabelle8[[#This Row],[gov_points_sum]]/21)*100</f>
        <v>0</v>
      </c>
    </row>
    <row r="6" spans="1:7" x14ac:dyDescent="0.25">
      <c r="A6">
        <v>5</v>
      </c>
      <c r="B6" t="str">
        <f>_xlfn.XLOOKUP(Tabelle8[[#This Row],[company_id]],'00_DAX_Master'!A:A,'00_DAX_Master'!D:D)</f>
        <v>Materials/Chemicals</v>
      </c>
      <c r="C6">
        <f ca="1">SUMIF('03b_Values_Company_Level'!E:E,'03b_Values_Company_Level'!A:A,Tabelle8[[#This Row],[company_id]])</f>
        <v>35</v>
      </c>
      <c r="D6">
        <f>(COUNTA('02_Values_Codebook'!A:A)-1)*3</f>
        <v>54</v>
      </c>
      <c r="E6">
        <f ca="1">Tabelle8[[#This Row],[values_raw_points]]/Tabelle8[[#This Row],[values_max_points]]</f>
        <v>0.64814814814814814</v>
      </c>
      <c r="F6">
        <f>SUMIF(Tabelle7[[#This Row],[score_0_3]],Tabelle7[[#This Row],[company_id]],Tabelle8[[#This Row],[company_id]])</f>
        <v>0</v>
      </c>
      <c r="G6">
        <f xml:space="preserve"> (Tabelle8[[#This Row],[gov_points_sum]]/21)*100</f>
        <v>0</v>
      </c>
    </row>
    <row r="7" spans="1:7" x14ac:dyDescent="0.25">
      <c r="A7">
        <v>6</v>
      </c>
      <c r="B7" t="str">
        <f>_xlfn.XLOOKUP(Tabelle8[[#This Row],[company_id]],'00_DAX_Master'!A:A,'00_DAX_Master'!D:D)</f>
        <v>Consumer</v>
      </c>
      <c r="C7">
        <f ca="1">SUMIF('03b_Values_Company_Level'!E:E,'03b_Values_Company_Level'!A:A,Tabelle8[[#This Row],[company_id]])</f>
        <v>36</v>
      </c>
      <c r="D7">
        <f>(COUNTA('02_Values_Codebook'!A:A)-1)*3</f>
        <v>54</v>
      </c>
      <c r="E7">
        <f ca="1">Tabelle8[[#This Row],[values_raw_points]]/Tabelle8[[#This Row],[values_max_points]]</f>
        <v>0.66666666666666663</v>
      </c>
      <c r="F7">
        <f>SUMIF(Tabelle7[[#This Row],[score_0_3]],Tabelle7[[#This Row],[company_id]],Tabelle8[[#This Row],[company_id]])</f>
        <v>0</v>
      </c>
      <c r="G7">
        <f xml:space="preserve"> (Tabelle8[[#This Row],[gov_points_sum]]/21)*100</f>
        <v>0</v>
      </c>
    </row>
    <row r="8" spans="1:7" x14ac:dyDescent="0.25">
      <c r="A8">
        <v>7</v>
      </c>
      <c r="B8" t="str">
        <f>_xlfn.XLOOKUP(Tabelle8[[#This Row],[company_id]],'00_DAX_Master'!A:A,'00_DAX_Master'!D:D)</f>
        <v>Industrie</v>
      </c>
      <c r="C8">
        <f ca="1">SUMIF('03b_Values_Company_Level'!E:E,'03b_Values_Company_Level'!A:A,Tabelle8[[#This Row],[company_id]])</f>
        <v>37</v>
      </c>
      <c r="D8">
        <f>(COUNTA('02_Values_Codebook'!A:A)-1)*3</f>
        <v>54</v>
      </c>
      <c r="E8">
        <f ca="1">Tabelle8[[#This Row],[values_raw_points]]/Tabelle8[[#This Row],[values_max_points]]</f>
        <v>0.68518518518518523</v>
      </c>
      <c r="F8">
        <f>SUMIF(Tabelle7[[#This Row],[score_0_3]],Tabelle7[[#This Row],[company_id]],Tabelle8[[#This Row],[company_id]])</f>
        <v>0</v>
      </c>
      <c r="G8">
        <f xml:space="preserve"> (Tabelle8[[#This Row],[gov_points_sum]]/21)*100</f>
        <v>0</v>
      </c>
    </row>
    <row r="9" spans="1:7" x14ac:dyDescent="0.25">
      <c r="A9">
        <v>8</v>
      </c>
      <c r="B9" t="str">
        <f>_xlfn.XLOOKUP(Tabelle8[[#This Row],[company_id]],'00_DAX_Master'!A:A,'00_DAX_Master'!D:D)</f>
        <v>Materials/Chemicals</v>
      </c>
      <c r="C9">
        <f ca="1">SUMIF('03b_Values_Company_Level'!E:E,'03b_Values_Company_Level'!A:A,Tabelle8[[#This Row],[company_id]])</f>
        <v>38</v>
      </c>
      <c r="D9">
        <f>(COUNTA('02_Values_Codebook'!A:A)-1)*3</f>
        <v>54</v>
      </c>
      <c r="E9">
        <f ca="1">Tabelle8[[#This Row],[values_raw_points]]/Tabelle8[[#This Row],[values_max_points]]</f>
        <v>0.70370370370370372</v>
      </c>
      <c r="F9">
        <f>SUMIF(Tabelle7[[#This Row],[score_0_3]],Tabelle7[[#This Row],[company_id]],Tabelle8[[#This Row],[company_id]])</f>
        <v>0</v>
      </c>
      <c r="G9">
        <f xml:space="preserve"> (Tabelle8[[#This Row],[gov_points_sum]]/21)*100</f>
        <v>0</v>
      </c>
    </row>
    <row r="10" spans="1:7" x14ac:dyDescent="0.25">
      <c r="A10">
        <v>9</v>
      </c>
      <c r="B10" t="str">
        <f>_xlfn.XLOOKUP(Tabelle8[[#This Row],[company_id]],'00_DAX_Master'!A:A,'00_DAX_Master'!D:D)</f>
        <v>Finance</v>
      </c>
      <c r="C10">
        <f ca="1">SUMIF('03b_Values_Company_Level'!E:E,'03b_Values_Company_Level'!A:A,Tabelle8[[#This Row],[company_id]])</f>
        <v>39</v>
      </c>
      <c r="D10">
        <f>(COUNTA('02_Values_Codebook'!A:A)-1)*3</f>
        <v>54</v>
      </c>
      <c r="E10">
        <f ca="1">Tabelle8[[#This Row],[values_raw_points]]/Tabelle8[[#This Row],[values_max_points]]</f>
        <v>0.72222222222222221</v>
      </c>
      <c r="F10">
        <f>SUMIF(Tabelle7[[#This Row],[score_0_3]],Tabelle7[[#This Row],[company_id]],Tabelle8[[#This Row],[company_id]])</f>
        <v>9</v>
      </c>
      <c r="G10">
        <f xml:space="preserve"> (Tabelle8[[#This Row],[gov_points_sum]]/21)*100</f>
        <v>42.857142857142854</v>
      </c>
    </row>
    <row r="11" spans="1:7" x14ac:dyDescent="0.25">
      <c r="A11">
        <v>10</v>
      </c>
      <c r="B11" t="str">
        <f>_xlfn.XLOOKUP(Tabelle8[[#This Row],[company_id]],'00_DAX_Master'!A:A,'00_DAX_Master'!D:D)</f>
        <v>Industrie</v>
      </c>
      <c r="C11">
        <f ca="1">SUMIF('03b_Values_Company_Level'!E:E,'03b_Values_Company_Level'!A:A,Tabelle8[[#This Row],[company_id]])</f>
        <v>40</v>
      </c>
      <c r="D11">
        <f>(COUNTA('02_Values_Codebook'!A:A)-1)*3</f>
        <v>54</v>
      </c>
      <c r="E11">
        <f ca="1">Tabelle8[[#This Row],[values_raw_points]]/Tabelle8[[#This Row],[values_max_points]]</f>
        <v>0.7407407407407407</v>
      </c>
      <c r="F11">
        <f>SUMIF(Tabelle7[[#This Row],[score_0_3]],Tabelle7[[#This Row],[company_id]],Tabelle8[[#This Row],[company_id]])</f>
        <v>10</v>
      </c>
      <c r="G11">
        <f xml:space="preserve"> (Tabelle8[[#This Row],[gov_points_sum]]/21)*100</f>
        <v>47.619047619047613</v>
      </c>
    </row>
    <row r="12" spans="1:7" x14ac:dyDescent="0.25">
      <c r="A12">
        <v>11</v>
      </c>
      <c r="B12" t="str">
        <f>_xlfn.XLOOKUP(Tabelle8[[#This Row],[company_id]],'00_DAX_Master'!A:A,'00_DAX_Master'!D:D)</f>
        <v>Industrie</v>
      </c>
      <c r="C12">
        <f ca="1">SUMIF('03b_Values_Company_Level'!E:E,'03b_Values_Company_Level'!A:A,Tabelle8[[#This Row],[company_id]])</f>
        <v>0</v>
      </c>
      <c r="D12">
        <f>(COUNTA('02_Values_Codebook'!A:A)-1)*3</f>
        <v>54</v>
      </c>
      <c r="E12">
        <f ca="1">Tabelle8[[#This Row],[values_raw_points]]/Tabelle8[[#This Row],[values_max_points]]</f>
        <v>0</v>
      </c>
      <c r="F12">
        <f>SUMIF(Tabelle7[[#This Row],[score_0_3]],Tabelle7[[#This Row],[company_id]],Tabelle8[[#This Row],[company_id]])</f>
        <v>0</v>
      </c>
      <c r="G12">
        <f xml:space="preserve"> (Tabelle8[[#This Row],[gov_points_sum]]/21)*100</f>
        <v>0</v>
      </c>
    </row>
    <row r="13" spans="1:7" x14ac:dyDescent="0.25">
      <c r="A13">
        <v>12</v>
      </c>
      <c r="B13" t="str">
        <f>_xlfn.XLOOKUP(Tabelle8[[#This Row],[company_id]],'00_DAX_Master'!A:A,'00_DAX_Master'!D:D)</f>
        <v>Finance</v>
      </c>
      <c r="C13">
        <f ca="1">SUMIF('03b_Values_Company_Level'!E:E,'03b_Values_Company_Level'!A:A,Tabelle8[[#This Row],[company_id]])</f>
        <v>0</v>
      </c>
      <c r="D13">
        <f>(COUNTA('02_Values_Codebook'!A:A)-1)*3</f>
        <v>54</v>
      </c>
      <c r="E13">
        <f ca="1">Tabelle8[[#This Row],[values_raw_points]]/Tabelle8[[#This Row],[values_max_points]]</f>
        <v>0</v>
      </c>
      <c r="F13">
        <f>SUMIF(Tabelle7[[#This Row],[score_0_3]],Tabelle7[[#This Row],[company_id]],Tabelle8[[#This Row],[company_id]])</f>
        <v>0</v>
      </c>
      <c r="G13">
        <f xml:space="preserve"> (Tabelle8[[#This Row],[gov_points_sum]]/21)*100</f>
        <v>0</v>
      </c>
    </row>
    <row r="14" spans="1:7" x14ac:dyDescent="0.25">
      <c r="A14">
        <v>13</v>
      </c>
      <c r="B14" t="str">
        <f>_xlfn.XLOOKUP(Tabelle8[[#This Row],[company_id]],'00_DAX_Master'!A:A,'00_DAX_Master'!D:D)</f>
        <v>Finance</v>
      </c>
      <c r="C14">
        <f ca="1">SUMIF('03b_Values_Company_Level'!E:E,'03b_Values_Company_Level'!A:A,Tabelle8[[#This Row],[company_id]])</f>
        <v>0</v>
      </c>
      <c r="D14">
        <f>(COUNTA('02_Values_Codebook'!A:A)-1)*3</f>
        <v>54</v>
      </c>
      <c r="E14">
        <f ca="1">Tabelle8[[#This Row],[values_raw_points]]/Tabelle8[[#This Row],[values_max_points]]</f>
        <v>0</v>
      </c>
      <c r="F14">
        <f>SUMIF(Tabelle7[[#This Row],[score_0_3]],Tabelle7[[#This Row],[company_id]],Tabelle8[[#This Row],[company_id]])</f>
        <v>0</v>
      </c>
      <c r="G14">
        <f xml:space="preserve"> (Tabelle8[[#This Row],[gov_points_sum]]/21)*100</f>
        <v>0</v>
      </c>
    </row>
    <row r="15" spans="1:7" x14ac:dyDescent="0.25">
      <c r="A15">
        <v>14</v>
      </c>
      <c r="B15" t="str">
        <f>_xlfn.XLOOKUP(Tabelle8[[#This Row],[company_id]],'00_DAX_Master'!A:A,'00_DAX_Master'!D:D)</f>
        <v>Other/Hybrid</v>
      </c>
      <c r="C15">
        <f ca="1">SUMIF('03b_Values_Company_Level'!E:E,'03b_Values_Company_Level'!A:A,Tabelle8[[#This Row],[company_id]])</f>
        <v>0</v>
      </c>
      <c r="D15">
        <f>(COUNTA('02_Values_Codebook'!A:A)-1)*3</f>
        <v>54</v>
      </c>
      <c r="E15">
        <f ca="1">Tabelle8[[#This Row],[values_raw_points]]/Tabelle8[[#This Row],[values_max_points]]</f>
        <v>0</v>
      </c>
      <c r="F15">
        <f>SUMIF(Tabelle7[[#This Row],[score_0_3]],Tabelle7[[#This Row],[company_id]],Tabelle8[[#This Row],[company_id]])</f>
        <v>0</v>
      </c>
      <c r="G15">
        <f xml:space="preserve"> (Tabelle8[[#This Row],[gov_points_sum]]/21)*100</f>
        <v>0</v>
      </c>
    </row>
    <row r="16" spans="1:7" x14ac:dyDescent="0.25">
      <c r="A16">
        <v>15</v>
      </c>
      <c r="B16" t="str">
        <f>_xlfn.XLOOKUP(Tabelle8[[#This Row],[company_id]],'00_DAX_Master'!A:A,'00_DAX_Master'!D:D)</f>
        <v>Utilities</v>
      </c>
      <c r="C16">
        <f ca="1">SUMIF('03b_Values_Company_Level'!E:E,'03b_Values_Company_Level'!A:A,Tabelle8[[#This Row],[company_id]])</f>
        <v>0</v>
      </c>
      <c r="D16">
        <f>(COUNTA('02_Values_Codebook'!A:A)-1)*3</f>
        <v>54</v>
      </c>
      <c r="E16">
        <f ca="1">Tabelle8[[#This Row],[values_raw_points]]/Tabelle8[[#This Row],[values_max_points]]</f>
        <v>0</v>
      </c>
      <c r="F16">
        <f>SUMIF(Tabelle7[[#This Row],[score_0_3]],Tabelle7[[#This Row],[company_id]],Tabelle8[[#This Row],[company_id]])</f>
        <v>0</v>
      </c>
      <c r="G16">
        <f xml:space="preserve"> (Tabelle8[[#This Row],[gov_points_sum]]/21)*100</f>
        <v>0</v>
      </c>
    </row>
    <row r="17" spans="1:7" x14ac:dyDescent="0.25">
      <c r="A17">
        <v>16</v>
      </c>
      <c r="B17" t="str">
        <f>_xlfn.XLOOKUP(Tabelle8[[#This Row],[company_id]],'00_DAX_Master'!A:A,'00_DAX_Master'!D:D)</f>
        <v>Utilities</v>
      </c>
      <c r="C17">
        <f ca="1">SUMIF('03b_Values_Company_Level'!E:E,'03b_Values_Company_Level'!A:A,Tabelle8[[#This Row],[company_id]])</f>
        <v>0</v>
      </c>
      <c r="D17">
        <f>(COUNTA('02_Values_Codebook'!A:A)-1)*3</f>
        <v>54</v>
      </c>
      <c r="E17">
        <f ca="1">Tabelle8[[#This Row],[values_raw_points]]/Tabelle8[[#This Row],[values_max_points]]</f>
        <v>0</v>
      </c>
      <c r="F17">
        <f>SUMIF(Tabelle7[[#This Row],[score_0_3]],Tabelle7[[#This Row],[company_id]],Tabelle8[[#This Row],[company_id]])</f>
        <v>0</v>
      </c>
      <c r="G17">
        <f xml:space="preserve"> (Tabelle8[[#This Row],[gov_points_sum]]/21)*100</f>
        <v>0</v>
      </c>
    </row>
    <row r="18" spans="1:7" x14ac:dyDescent="0.25">
      <c r="A18">
        <v>17</v>
      </c>
      <c r="B18" t="str">
        <f>_xlfn.XLOOKUP(Tabelle8[[#This Row],[company_id]],'00_DAX_Master'!A:A,'00_DAX_Master'!D:D)</f>
        <v>Tech</v>
      </c>
      <c r="C18">
        <f ca="1">SUMIF('03b_Values_Company_Level'!E:E,'03b_Values_Company_Level'!A:A,Tabelle8[[#This Row],[company_id]])</f>
        <v>0</v>
      </c>
      <c r="D18">
        <f>(COUNTA('02_Values_Codebook'!A:A)-1)*3</f>
        <v>54</v>
      </c>
      <c r="E18">
        <f ca="1">Tabelle8[[#This Row],[values_raw_points]]/Tabelle8[[#This Row],[values_max_points]]</f>
        <v>0</v>
      </c>
      <c r="F18">
        <f>SUMIF(Tabelle7[[#This Row],[score_0_3]],Tabelle7[[#This Row],[company_id]],Tabelle8[[#This Row],[company_id]])</f>
        <v>0</v>
      </c>
      <c r="G18">
        <f xml:space="preserve"> (Tabelle8[[#This Row],[gov_points_sum]]/21)*100</f>
        <v>0</v>
      </c>
    </row>
    <row r="19" spans="1:7" x14ac:dyDescent="0.25">
      <c r="A19">
        <v>18</v>
      </c>
      <c r="B19" t="str">
        <f>_xlfn.XLOOKUP(Tabelle8[[#This Row],[company_id]],'00_DAX_Master'!A:A,'00_DAX_Master'!D:D)</f>
        <v>Tech</v>
      </c>
      <c r="C19">
        <f ca="1">SUMIF('03b_Values_Company_Level'!E:E,'03b_Values_Company_Level'!A:A,Tabelle8[[#This Row],[company_id]])</f>
        <v>0</v>
      </c>
      <c r="D19">
        <f>(COUNTA('02_Values_Codebook'!A:A)-1)*3</f>
        <v>54</v>
      </c>
      <c r="E19">
        <f ca="1">Tabelle8[[#This Row],[values_raw_points]]/Tabelle8[[#This Row],[values_max_points]]</f>
        <v>0</v>
      </c>
      <c r="F19">
        <f>SUMIF(Tabelle7[[#This Row],[score_0_3]],Tabelle7[[#This Row],[company_id]],Tabelle8[[#This Row],[company_id]])</f>
        <v>0</v>
      </c>
      <c r="G19">
        <f xml:space="preserve"> (Tabelle8[[#This Row],[gov_points_sum]]/21)*100</f>
        <v>0</v>
      </c>
    </row>
    <row r="20" spans="1:7" x14ac:dyDescent="0.25">
      <c r="A20">
        <v>19</v>
      </c>
      <c r="B20" t="str">
        <f>_xlfn.XLOOKUP(Tabelle8[[#This Row],[company_id]],'00_DAX_Master'!A:A,'00_DAX_Master'!D:D)</f>
        <v>Industrie</v>
      </c>
      <c r="C20">
        <f ca="1">SUMIF('03b_Values_Company_Level'!E:E,'03b_Values_Company_Level'!A:A,Tabelle8[[#This Row],[company_id]])</f>
        <v>78</v>
      </c>
      <c r="D20">
        <f>(COUNTA('02_Values_Codebook'!A:A)-1)*3</f>
        <v>54</v>
      </c>
      <c r="E20">
        <f ca="1">Tabelle8[[#This Row],[values_raw_points]]/Tabelle8[[#This Row],[values_max_points]]</f>
        <v>1.4444444444444444</v>
      </c>
      <c r="F20">
        <f>SUMIF(Tabelle7[[#This Row],[score_0_3]],Tabelle7[[#This Row],[company_id]],Tabelle8[[#This Row],[company_id]])</f>
        <v>0</v>
      </c>
      <c r="G20">
        <f xml:space="preserve"> (Tabelle8[[#This Row],[gov_points_sum]]/21)*100</f>
        <v>0</v>
      </c>
    </row>
    <row r="21" spans="1:7" x14ac:dyDescent="0.25">
      <c r="A21">
        <v>20</v>
      </c>
      <c r="B21" t="str">
        <f>_xlfn.XLOOKUP(Tabelle8[[#This Row],[company_id]],'00_DAX_Master'!A:A,'00_DAX_Master'!D:D)</f>
        <v>Finance</v>
      </c>
      <c r="C21">
        <f ca="1">SUMIF('03b_Values_Company_Level'!E:E,'03b_Values_Company_Level'!A:A,Tabelle8[[#This Row],[company_id]])</f>
        <v>39</v>
      </c>
      <c r="D21">
        <f>(COUNTA('02_Values_Codebook'!A:A)-1)*3</f>
        <v>54</v>
      </c>
      <c r="E21">
        <f ca="1">Tabelle8[[#This Row],[values_raw_points]]/Tabelle8[[#This Row],[values_max_points]]</f>
        <v>0.72222222222222221</v>
      </c>
      <c r="F21">
        <f>SUMIF(Tabelle7[[#This Row],[score_0_3]],Tabelle7[[#This Row],[company_id]],Tabelle8[[#This Row],[company_id]])</f>
        <v>0</v>
      </c>
      <c r="G21">
        <f xml:space="preserve"> (Tabelle8[[#This Row],[gov_points_sum]]/21)*100</f>
        <v>0</v>
      </c>
    </row>
    <row r="22" spans="1:7" x14ac:dyDescent="0.25">
      <c r="A22">
        <v>21</v>
      </c>
      <c r="B22" t="str">
        <f>_xlfn.XLOOKUP(Tabelle8[[#This Row],[company_id]],'00_DAX_Master'!A:A,'00_DAX_Master'!D:D)</f>
        <v>Materials/Chemicals</v>
      </c>
      <c r="C22">
        <f ca="1">SUMIF('03b_Values_Company_Level'!E:E,'03b_Values_Company_Level'!A:A,Tabelle8[[#This Row],[company_id]])</f>
        <v>40</v>
      </c>
      <c r="D22">
        <f>(COUNTA('02_Values_Codebook'!A:A)-1)*3</f>
        <v>54</v>
      </c>
      <c r="E22">
        <f ca="1">Tabelle8[[#This Row],[values_raw_points]]/Tabelle8[[#This Row],[values_max_points]]</f>
        <v>0.7407407407407407</v>
      </c>
      <c r="F22">
        <f>SUMIF(Tabelle7[[#This Row],[score_0_3]],Tabelle7[[#This Row],[company_id]],Tabelle8[[#This Row],[company_id]])</f>
        <v>0</v>
      </c>
      <c r="G22">
        <f xml:space="preserve"> (Tabelle8[[#This Row],[gov_points_sum]]/21)*100</f>
        <v>0</v>
      </c>
    </row>
    <row r="23" spans="1:7" x14ac:dyDescent="0.25">
      <c r="A23">
        <v>22</v>
      </c>
      <c r="B23" t="str">
        <f>_xlfn.XLOOKUP(Tabelle8[[#This Row],[company_id]],'00_DAX_Master'!A:A,'00_DAX_Master'!D:D)</f>
        <v>Materials/Chemicals</v>
      </c>
      <c r="C23">
        <f ca="1">SUMIF('03b_Values_Company_Level'!E:E,'03b_Values_Company_Level'!A:A,Tabelle8[[#This Row],[company_id]])</f>
        <v>0</v>
      </c>
      <c r="D23">
        <f>(COUNTA('02_Values_Codebook'!A:A)-1)*3</f>
        <v>54</v>
      </c>
      <c r="E23">
        <f ca="1">Tabelle8[[#This Row],[values_raw_points]]/Tabelle8[[#This Row],[values_max_points]]</f>
        <v>0</v>
      </c>
      <c r="F23">
        <f>SUMIF(Tabelle7[[#This Row],[score_0_3]],Tabelle7[[#This Row],[company_id]],Tabelle8[[#This Row],[company_id]])</f>
        <v>0</v>
      </c>
      <c r="G23">
        <f xml:space="preserve"> (Tabelle8[[#This Row],[gov_points_sum]]/21)*100</f>
        <v>0</v>
      </c>
    </row>
    <row r="24" spans="1:7" x14ac:dyDescent="0.25">
      <c r="A24">
        <v>23</v>
      </c>
      <c r="B24" t="str">
        <f>_xlfn.XLOOKUP(Tabelle8[[#This Row],[company_id]],'00_DAX_Master'!A:A,'00_DAX_Master'!D:D)</f>
        <v>Tech</v>
      </c>
      <c r="C24">
        <f ca="1">SUMIF('03b_Values_Company_Level'!E:E,'03b_Values_Company_Level'!A:A,Tabelle8[[#This Row],[company_id]])</f>
        <v>0</v>
      </c>
      <c r="D24">
        <f>(COUNTA('02_Values_Codebook'!A:A)-1)*3</f>
        <v>54</v>
      </c>
      <c r="E24">
        <f ca="1">Tabelle8[[#This Row],[values_raw_points]]/Tabelle8[[#This Row],[values_max_points]]</f>
        <v>0</v>
      </c>
      <c r="F24">
        <f>SUMIF(Tabelle7[[#This Row],[score_0_3]],Tabelle7[[#This Row],[company_id]],Tabelle8[[#This Row],[company_id]])</f>
        <v>0</v>
      </c>
      <c r="G24">
        <f xml:space="preserve"> (Tabelle8[[#This Row],[gov_points_sum]]/21)*100</f>
        <v>0</v>
      </c>
    </row>
    <row r="25" spans="1:7" x14ac:dyDescent="0.25">
      <c r="A25">
        <v>24</v>
      </c>
      <c r="B25" t="str">
        <f>_xlfn.XLOOKUP(Tabelle8[[#This Row],[company_id]],'00_DAX_Master'!A:A,'00_DAX_Master'!D:D)</f>
        <v>Industrie</v>
      </c>
      <c r="C25">
        <f ca="1">SUMIF('03b_Values_Company_Level'!E:E,'03b_Values_Company_Level'!A:A,Tabelle8[[#This Row],[company_id]])</f>
        <v>0</v>
      </c>
      <c r="D25">
        <f>(COUNTA('02_Values_Codebook'!A:A)-1)*3</f>
        <v>54</v>
      </c>
      <c r="E25">
        <f ca="1">Tabelle8[[#This Row],[values_raw_points]]/Tabelle8[[#This Row],[values_max_points]]</f>
        <v>0</v>
      </c>
      <c r="F25">
        <f>SUMIF(Tabelle7[[#This Row],[score_0_3]],Tabelle7[[#This Row],[company_id]],Tabelle8[[#This Row],[company_id]])</f>
        <v>0</v>
      </c>
      <c r="G25">
        <f xml:space="preserve"> (Tabelle8[[#This Row],[gov_points_sum]]/21)*100</f>
        <v>0</v>
      </c>
    </row>
    <row r="26" spans="1:7" x14ac:dyDescent="0.25">
      <c r="A26">
        <v>25</v>
      </c>
      <c r="B26" t="str">
        <f>_xlfn.XLOOKUP(Tabelle8[[#This Row],[company_id]],'00_DAX_Master'!A:A,'00_DAX_Master'!D:D)</f>
        <v>Materials/Chemicals</v>
      </c>
      <c r="C26">
        <f ca="1">SUMIF('03b_Values_Company_Level'!E:E,'03b_Values_Company_Level'!A:A,Tabelle8[[#This Row],[company_id]])</f>
        <v>0</v>
      </c>
      <c r="D26">
        <f>(COUNTA('02_Values_Codebook'!A:A)-1)*3</f>
        <v>54</v>
      </c>
      <c r="E26">
        <f ca="1">Tabelle8[[#This Row],[values_raw_points]]/Tabelle8[[#This Row],[values_max_points]]</f>
        <v>0</v>
      </c>
      <c r="F26">
        <f>SUMIF(Tabelle7[[#This Row],[score_0_3]],Tabelle7[[#This Row],[company_id]],Tabelle8[[#This Row],[company_id]])</f>
        <v>0</v>
      </c>
      <c r="G26">
        <f xml:space="preserve"> (Tabelle8[[#This Row],[gov_points_sum]]/21)*100</f>
        <v>0</v>
      </c>
    </row>
    <row r="27" spans="1:7" x14ac:dyDescent="0.25">
      <c r="A27">
        <v>26</v>
      </c>
      <c r="B27" t="str">
        <f>_xlfn.XLOOKUP(Tabelle8[[#This Row],[company_id]],'00_DAX_Master'!A:A,'00_DAX_Master'!D:D)</f>
        <v>Industrie</v>
      </c>
      <c r="C27">
        <f ca="1">SUMIF('03b_Values_Company_Level'!E:E,'03b_Values_Company_Level'!A:A,Tabelle8[[#This Row],[company_id]])</f>
        <v>0</v>
      </c>
      <c r="D27">
        <f>(COUNTA('02_Values_Codebook'!A:A)-1)*3</f>
        <v>54</v>
      </c>
      <c r="E27">
        <f ca="1">Tabelle8[[#This Row],[values_raw_points]]/Tabelle8[[#This Row],[values_max_points]]</f>
        <v>0</v>
      </c>
      <c r="F27">
        <f>SUMIF(Tabelle7[[#This Row],[score_0_3]],Tabelle7[[#This Row],[company_id]],Tabelle8[[#This Row],[company_id]])</f>
        <v>0</v>
      </c>
      <c r="G27">
        <f xml:space="preserve"> (Tabelle8[[#This Row],[gov_points_sum]]/21)*100</f>
        <v>0</v>
      </c>
    </row>
    <row r="28" spans="1:7" x14ac:dyDescent="0.25">
      <c r="A28">
        <v>27</v>
      </c>
      <c r="B28" t="str">
        <f>_xlfn.XLOOKUP(Tabelle8[[#This Row],[company_id]],'00_DAX_Master'!A:A,'00_DAX_Master'!D:D)</f>
        <v>Finance</v>
      </c>
      <c r="C28">
        <f ca="1">SUMIF('03b_Values_Company_Level'!E:E,'03b_Values_Company_Level'!A:A,Tabelle8[[#This Row],[company_id]])</f>
        <v>0</v>
      </c>
      <c r="D28">
        <f>(COUNTA('02_Values_Codebook'!A:A)-1)*3</f>
        <v>54</v>
      </c>
      <c r="E28">
        <f ca="1">Tabelle8[[#This Row],[values_raw_points]]/Tabelle8[[#This Row],[values_max_points]]</f>
        <v>0</v>
      </c>
      <c r="F28">
        <f>SUMIF(Tabelle7[[#This Row],[score_0_3]],Tabelle7[[#This Row],[company_id]],Tabelle8[[#This Row],[company_id]])</f>
        <v>0</v>
      </c>
      <c r="G28">
        <f xml:space="preserve"> (Tabelle8[[#This Row],[gov_points_sum]]/21)*100</f>
        <v>0</v>
      </c>
    </row>
    <row r="29" spans="1:7" x14ac:dyDescent="0.25">
      <c r="A29">
        <v>28</v>
      </c>
      <c r="B29" t="str">
        <f>_xlfn.XLOOKUP(Tabelle8[[#This Row],[company_id]],'00_DAX_Master'!A:A,'00_DAX_Master'!D:D)</f>
        <v>Industrie</v>
      </c>
      <c r="C29">
        <f ca="1">SUMIF('03b_Values_Company_Level'!E:E,'03b_Values_Company_Level'!A:A,Tabelle8[[#This Row],[company_id]])</f>
        <v>0</v>
      </c>
      <c r="D29">
        <f>(COUNTA('02_Values_Codebook'!A:A)-1)*3</f>
        <v>54</v>
      </c>
      <c r="E29">
        <f ca="1">Tabelle8[[#This Row],[values_raw_points]]/Tabelle8[[#This Row],[values_max_points]]</f>
        <v>0</v>
      </c>
      <c r="F29">
        <f>SUMIF(Tabelle7[[#This Row],[score_0_3]],Tabelle7[[#This Row],[company_id]],Tabelle8[[#This Row],[company_id]])</f>
        <v>0</v>
      </c>
      <c r="G29">
        <f xml:space="preserve"> (Tabelle8[[#This Row],[gov_points_sum]]/21)*100</f>
        <v>0</v>
      </c>
    </row>
    <row r="30" spans="1:7" x14ac:dyDescent="0.25">
      <c r="A30">
        <v>29</v>
      </c>
      <c r="B30" t="str">
        <f>_xlfn.XLOOKUP(Tabelle8[[#This Row],[company_id]],'00_DAX_Master'!A:A,'00_DAX_Master'!D:D)</f>
        <v>Tech</v>
      </c>
      <c r="C30">
        <f ca="1">SUMIF('03b_Values_Company_Level'!E:E,'03b_Values_Company_Level'!A:A,Tabelle8[[#This Row],[company_id]])</f>
        <v>0</v>
      </c>
      <c r="D30">
        <f>(COUNTA('02_Values_Codebook'!A:A)-1)*3</f>
        <v>54</v>
      </c>
      <c r="E30">
        <f ca="1">Tabelle8[[#This Row],[values_raw_points]]/Tabelle8[[#This Row],[values_max_points]]</f>
        <v>0</v>
      </c>
      <c r="F30">
        <f>SUMIF(Tabelle7[[#This Row],[score_0_3]],Tabelle7[[#This Row],[company_id]],Tabelle8[[#This Row],[company_id]])</f>
        <v>0</v>
      </c>
      <c r="G30">
        <f xml:space="preserve"> (Tabelle8[[#This Row],[gov_points_sum]]/21)*100</f>
        <v>0</v>
      </c>
    </row>
    <row r="31" spans="1:7" x14ac:dyDescent="0.25">
      <c r="A31">
        <v>30</v>
      </c>
      <c r="B31" t="str">
        <f>_xlfn.XLOOKUP(Tabelle8[[#This Row],[company_id]],'00_DAX_Master'!A:A,'00_DAX_Master'!D:D)</f>
        <v>Industrie</v>
      </c>
      <c r="C31">
        <f ca="1">SUMIF('03b_Values_Company_Level'!E:E,'03b_Values_Company_Level'!A:A,Tabelle8[[#This Row],[company_id]])</f>
        <v>0</v>
      </c>
      <c r="D31">
        <f>(COUNTA('02_Values_Codebook'!A:A)-1)*3</f>
        <v>54</v>
      </c>
      <c r="E31">
        <f ca="1">Tabelle8[[#This Row],[values_raw_points]]/Tabelle8[[#This Row],[values_max_points]]</f>
        <v>0</v>
      </c>
      <c r="F31">
        <f>SUMIF(Tabelle7[[#This Row],[score_0_3]],Tabelle7[[#This Row],[company_id]],Tabelle8[[#This Row],[company_id]])</f>
        <v>0</v>
      </c>
      <c r="G31">
        <f xml:space="preserve"> (Tabelle8[[#This Row],[gov_points_sum]]/21)*100</f>
        <v>0</v>
      </c>
    </row>
    <row r="32" spans="1:7" x14ac:dyDescent="0.25">
      <c r="A32">
        <v>31</v>
      </c>
      <c r="B32" t="str">
        <f>_xlfn.XLOOKUP(Tabelle8[[#This Row],[company_id]],'00_DAX_Master'!A:A,'00_DAX_Master'!D:D)</f>
        <v>Utilities</v>
      </c>
      <c r="C32">
        <f ca="1">SUMIF('03b_Values_Company_Level'!E:E,'03b_Values_Company_Level'!A:A,Tabelle8[[#This Row],[company_id]])</f>
        <v>0</v>
      </c>
      <c r="D32">
        <f>(COUNTA('02_Values_Codebook'!A:A)-1)*3</f>
        <v>54</v>
      </c>
      <c r="E32">
        <f ca="1">Tabelle8[[#This Row],[values_raw_points]]/Tabelle8[[#This Row],[values_max_points]]</f>
        <v>0</v>
      </c>
      <c r="F32">
        <f>SUMIF(Tabelle7[[#This Row],[score_0_3]],Tabelle7[[#This Row],[company_id]],Tabelle8[[#This Row],[company_id]])</f>
        <v>0</v>
      </c>
      <c r="G32">
        <f xml:space="preserve"> (Tabelle8[[#This Row],[gov_points_sum]]/21)*100</f>
        <v>0</v>
      </c>
    </row>
    <row r="33" spans="1:7" x14ac:dyDescent="0.25">
      <c r="A33">
        <v>32</v>
      </c>
      <c r="B33" t="str">
        <f>_xlfn.XLOOKUP(Tabelle8[[#This Row],[company_id]],'00_DAX_Master'!A:A,'00_DAX_Master'!D:D)</f>
        <v>Tech</v>
      </c>
      <c r="C33">
        <f ca="1">SUMIF('03b_Values_Company_Level'!E:E,'03b_Values_Company_Level'!A:A,Tabelle8[[#This Row],[company_id]])</f>
        <v>0</v>
      </c>
      <c r="D33">
        <f>(COUNTA('02_Values_Codebook'!A:A)-1)*3</f>
        <v>54</v>
      </c>
      <c r="E33">
        <f ca="1">Tabelle8[[#This Row],[values_raw_points]]/Tabelle8[[#This Row],[values_max_points]]</f>
        <v>0</v>
      </c>
      <c r="F33">
        <f>SUMIF(Tabelle7[[#This Row],[score_0_3]],Tabelle7[[#This Row],[company_id]],Tabelle8[[#This Row],[company_id]])</f>
        <v>0</v>
      </c>
      <c r="G33">
        <f xml:space="preserve"> (Tabelle8[[#This Row],[gov_points_sum]]/21)*100</f>
        <v>0</v>
      </c>
    </row>
    <row r="34" spans="1:7" x14ac:dyDescent="0.25">
      <c r="A34">
        <v>33</v>
      </c>
      <c r="B34" t="str">
        <f>_xlfn.XLOOKUP(Tabelle8[[#This Row],[company_id]],'00_DAX_Master'!A:A,'00_DAX_Master'!D:D)</f>
        <v>Tech</v>
      </c>
      <c r="C34">
        <f ca="1">SUMIF('03b_Values_Company_Level'!E:E,'03b_Values_Company_Level'!A:A,Tabelle8[[#This Row],[company_id]])</f>
        <v>0</v>
      </c>
      <c r="D34">
        <f>(COUNTA('02_Values_Codebook'!A:A)-1)*3</f>
        <v>54</v>
      </c>
      <c r="E34">
        <f ca="1">Tabelle8[[#This Row],[values_raw_points]]/Tabelle8[[#This Row],[values_max_points]]</f>
        <v>0</v>
      </c>
      <c r="F34">
        <f>SUMIF(Tabelle7[[#This Row],[score_0_3]],Tabelle7[[#This Row],[company_id]],Tabelle8[[#This Row],[company_id]])</f>
        <v>0</v>
      </c>
      <c r="G34">
        <f xml:space="preserve"> (Tabelle8[[#This Row],[gov_points_sum]]/21)*100</f>
        <v>0</v>
      </c>
    </row>
    <row r="35" spans="1:7" x14ac:dyDescent="0.25">
      <c r="A35">
        <v>34</v>
      </c>
      <c r="B35" t="str">
        <f>_xlfn.XLOOKUP(Tabelle8[[#This Row],[company_id]],'00_DAX_Master'!A:A,'00_DAX_Master'!D:D)</f>
        <v>Industrie</v>
      </c>
      <c r="C35">
        <f ca="1">SUMIF('03b_Values_Company_Level'!E:E,'03b_Values_Company_Level'!A:A,Tabelle8[[#This Row],[company_id]])</f>
        <v>0</v>
      </c>
      <c r="D35">
        <f>(COUNTA('02_Values_Codebook'!A:A)-1)*3</f>
        <v>54</v>
      </c>
      <c r="E35">
        <f ca="1">Tabelle8[[#This Row],[values_raw_points]]/Tabelle8[[#This Row],[values_max_points]]</f>
        <v>0</v>
      </c>
      <c r="F35">
        <f>SUMIF(Tabelle7[[#This Row],[score_0_3]],Tabelle7[[#This Row],[company_id]],Tabelle8[[#This Row],[company_id]])</f>
        <v>0</v>
      </c>
      <c r="G35">
        <f xml:space="preserve"> (Tabelle8[[#This Row],[gov_points_sum]]/21)*100</f>
        <v>0</v>
      </c>
    </row>
    <row r="36" spans="1:7" x14ac:dyDescent="0.25">
      <c r="A36">
        <v>35</v>
      </c>
      <c r="B36" t="str">
        <f>_xlfn.XLOOKUP(Tabelle8[[#This Row],[company_id]],'00_DAX_Master'!A:A,'00_DAX_Master'!D:D)</f>
        <v>Industrie</v>
      </c>
      <c r="C36">
        <f ca="1">SUMIF('03b_Values_Company_Level'!E:E,'03b_Values_Company_Level'!A:A,Tabelle8[[#This Row],[company_id]])</f>
        <v>0</v>
      </c>
      <c r="D36">
        <f>(COUNTA('02_Values_Codebook'!A:A)-1)*3</f>
        <v>54</v>
      </c>
      <c r="E36">
        <f ca="1">Tabelle8[[#This Row],[values_raw_points]]/Tabelle8[[#This Row],[values_max_points]]</f>
        <v>0</v>
      </c>
      <c r="F36">
        <f>SUMIF(Tabelle7[[#This Row],[score_0_3]],Tabelle7[[#This Row],[company_id]],Tabelle8[[#This Row],[company_id]])</f>
        <v>0</v>
      </c>
      <c r="G36">
        <f xml:space="preserve"> (Tabelle8[[#This Row],[gov_points_sum]]/21)*100</f>
        <v>0</v>
      </c>
    </row>
    <row r="37" spans="1:7" x14ac:dyDescent="0.25">
      <c r="A37">
        <v>36</v>
      </c>
      <c r="B37" t="str">
        <f>_xlfn.XLOOKUP(Tabelle8[[#This Row],[company_id]],'00_DAX_Master'!A:A,'00_DAX_Master'!D:D)</f>
        <v>Tech</v>
      </c>
      <c r="C37">
        <f ca="1">SUMIF('03b_Values_Company_Level'!E:E,'03b_Values_Company_Level'!A:A,Tabelle8[[#This Row],[company_id]])</f>
        <v>0</v>
      </c>
      <c r="D37">
        <f>(COUNTA('02_Values_Codebook'!A:A)-1)*3</f>
        <v>54</v>
      </c>
      <c r="E37">
        <f ca="1">Tabelle8[[#This Row],[values_raw_points]]/Tabelle8[[#This Row],[values_max_points]]</f>
        <v>0</v>
      </c>
      <c r="F37">
        <f>SUMIF(Tabelle7[[#This Row],[score_0_3]],Tabelle7[[#This Row],[company_id]],Tabelle8[[#This Row],[company_id]])</f>
        <v>0</v>
      </c>
      <c r="G37">
        <f xml:space="preserve"> (Tabelle8[[#This Row],[gov_points_sum]]/21)*100</f>
        <v>0</v>
      </c>
    </row>
    <row r="38" spans="1:7" x14ac:dyDescent="0.25">
      <c r="A38">
        <v>37</v>
      </c>
      <c r="B38" t="str">
        <f>_xlfn.XLOOKUP(Tabelle8[[#This Row],[company_id]],'00_DAX_Master'!A:A,'00_DAX_Master'!D:D)</f>
        <v>Consumer</v>
      </c>
      <c r="C38">
        <f ca="1">SUMIF('03b_Values_Company_Level'!E:E,'03b_Values_Company_Level'!A:A,Tabelle8[[#This Row],[company_id]])</f>
        <v>0</v>
      </c>
      <c r="D38">
        <f>(COUNTA('02_Values_Codebook'!A:A)-1)*3</f>
        <v>54</v>
      </c>
      <c r="E38">
        <f ca="1">Tabelle8[[#This Row],[values_raw_points]]/Tabelle8[[#This Row],[values_max_points]]</f>
        <v>0</v>
      </c>
      <c r="F38">
        <f>SUMIF(Tabelle7[[#This Row],[score_0_3]],Tabelle7[[#This Row],[company_id]],Tabelle8[[#This Row],[company_id]])</f>
        <v>0</v>
      </c>
      <c r="G38">
        <f xml:space="preserve"> (Tabelle8[[#This Row],[gov_points_sum]]/21)*100</f>
        <v>0</v>
      </c>
    </row>
    <row r="39" spans="1:7" x14ac:dyDescent="0.25">
      <c r="A39">
        <v>38</v>
      </c>
      <c r="B39" t="str">
        <f>_xlfn.XLOOKUP(Tabelle8[[#This Row],[company_id]],'00_DAX_Master'!A:A,'00_DAX_Master'!D:D)</f>
        <v>Industrie</v>
      </c>
      <c r="C39">
        <f ca="1">SUMIF('03b_Values_Company_Level'!E:E,'03b_Values_Company_Level'!A:A,Tabelle8[[#This Row],[company_id]])</f>
        <v>0</v>
      </c>
      <c r="D39">
        <f>(COUNTA('02_Values_Codebook'!A:A)-1)*3</f>
        <v>54</v>
      </c>
      <c r="E39">
        <f ca="1">Tabelle8[[#This Row],[values_raw_points]]/Tabelle8[[#This Row],[values_max_points]]</f>
        <v>0</v>
      </c>
      <c r="F39">
        <f>SUMIF(Tabelle7[[#This Row],[score_0_3]],Tabelle7[[#This Row],[company_id]],Tabelle8[[#This Row],[company_id]])</f>
        <v>0</v>
      </c>
      <c r="G39">
        <f xml:space="preserve"> (Tabelle8[[#This Row],[gov_points_sum]]/21)*100</f>
        <v>0</v>
      </c>
    </row>
    <row r="40" spans="1:7" x14ac:dyDescent="0.25">
      <c r="A40">
        <v>39</v>
      </c>
      <c r="B40" t="str">
        <f>_xlfn.XLOOKUP(Tabelle8[[#This Row],[company_id]],'00_DAX_Master'!A:A,'00_DAX_Master'!D:D)</f>
        <v>Consumer</v>
      </c>
      <c r="C40">
        <f ca="1">SUMIF('03b_Values_Company_Level'!E:E,'03b_Values_Company_Level'!A:A,Tabelle8[[#This Row],[company_id]])</f>
        <v>0</v>
      </c>
      <c r="D40">
        <f>(COUNTA('02_Values_Codebook'!A:A)-1)*3</f>
        <v>54</v>
      </c>
      <c r="E40">
        <f ca="1">Tabelle8[[#This Row],[values_raw_points]]/Tabelle8[[#This Row],[values_max_points]]</f>
        <v>0</v>
      </c>
      <c r="F40">
        <f>SUMIF(Tabelle7[[#This Row],[score_0_3]],Tabelle7[[#This Row],[company_id]],Tabelle8[[#This Row],[company_id]])</f>
        <v>0</v>
      </c>
      <c r="G40">
        <f xml:space="preserve"> (Tabelle8[[#This Row],[gov_points_sum]]/21)*100</f>
        <v>0</v>
      </c>
    </row>
    <row r="41" spans="1:7" x14ac:dyDescent="0.25">
      <c r="A41">
        <v>40</v>
      </c>
      <c r="B41" t="str">
        <f>_xlfn.XLOOKUP(Tabelle8[[#This Row],[company_id]],'00_DAX_Master'!A:A,'00_DAX_Master'!D:D)</f>
        <v>Consumer</v>
      </c>
      <c r="C41">
        <f ca="1">SUMIF('03b_Values_Company_Level'!E:E,'03b_Values_Company_Level'!A:A,Tabelle8[[#This Row],[company_id]])</f>
        <v>0</v>
      </c>
      <c r="D41">
        <f>(COUNTA('02_Values_Codebook'!A:A)-1)*3</f>
        <v>54</v>
      </c>
      <c r="E41">
        <f ca="1">Tabelle8[[#This Row],[values_raw_points]]/Tabelle8[[#This Row],[values_max_points]]</f>
        <v>0</v>
      </c>
      <c r="F41">
        <f>SUMIF(Tabelle7[[#This Row],[score_0_3]],Tabelle7[[#This Row],[company_id]],Tabelle8[[#This Row],[company_id]])</f>
        <v>0</v>
      </c>
      <c r="G41">
        <f xml:space="preserve"> (Tabelle8[[#This Row],[gov_points_sum]]/21)*100</f>
        <v>0</v>
      </c>
    </row>
  </sheetData>
  <pageMargins left="0.7" right="0.7" top="0.78740157499999996" bottom="0.78740157499999996"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D5204-B847-4198-9A4C-2AE4C43AE390}">
  <sheetPr>
    <tabColor theme="5"/>
  </sheetPr>
  <dimension ref="A1:G21"/>
  <sheetViews>
    <sheetView workbookViewId="0">
      <selection activeCell="L17" sqref="K17:L17"/>
    </sheetView>
  </sheetViews>
  <sheetFormatPr baseColWidth="10" defaultRowHeight="15" x14ac:dyDescent="0.25"/>
  <cols>
    <col min="1" max="1" width="19.140625" customWidth="1"/>
    <col min="2" max="2" width="14" customWidth="1"/>
    <col min="3" max="3" width="37.42578125" customWidth="1"/>
    <col min="4" max="4" width="33.28515625" customWidth="1"/>
    <col min="5" max="5" width="19.5703125" customWidth="1"/>
    <col min="6" max="6" width="19" customWidth="1"/>
    <col min="7" max="7" width="52.42578125" customWidth="1"/>
  </cols>
  <sheetData>
    <row r="1" spans="1:7" x14ac:dyDescent="0.25">
      <c r="A1" t="s">
        <v>290</v>
      </c>
      <c r="B1" t="s">
        <v>284</v>
      </c>
      <c r="C1" t="s">
        <v>291</v>
      </c>
      <c r="D1" t="s">
        <v>292</v>
      </c>
      <c r="E1" t="s">
        <v>293</v>
      </c>
      <c r="F1" t="s">
        <v>294</v>
      </c>
      <c r="G1" t="s">
        <v>295</v>
      </c>
    </row>
    <row r="2" spans="1:7" x14ac:dyDescent="0.25">
      <c r="A2" s="39" t="s">
        <v>296</v>
      </c>
      <c r="B2" s="39" t="s">
        <v>297</v>
      </c>
      <c r="C2" s="39" t="s">
        <v>298</v>
      </c>
      <c r="D2" s="39"/>
      <c r="E2" s="39"/>
      <c r="F2" s="39"/>
      <c r="G2" s="39"/>
    </row>
    <row r="3" spans="1:7" x14ac:dyDescent="0.25">
      <c r="A3" t="s">
        <v>994</v>
      </c>
      <c r="B3" t="s">
        <v>952</v>
      </c>
      <c r="C3" t="s">
        <v>2042</v>
      </c>
      <c r="E3" t="s">
        <v>995</v>
      </c>
      <c r="F3" t="s">
        <v>996</v>
      </c>
      <c r="G3" t="s">
        <v>1964</v>
      </c>
    </row>
    <row r="4" spans="1:7" x14ac:dyDescent="0.25">
      <c r="A4" t="s">
        <v>1962</v>
      </c>
      <c r="B4" t="s">
        <v>1963</v>
      </c>
      <c r="C4" t="s">
        <v>2043</v>
      </c>
      <c r="D4" t="s">
        <v>69</v>
      </c>
      <c r="E4" t="s">
        <v>2044</v>
      </c>
      <c r="F4" t="s">
        <v>2046</v>
      </c>
      <c r="G4" t="s">
        <v>1964</v>
      </c>
    </row>
    <row r="5" spans="1:7" x14ac:dyDescent="0.25">
      <c r="A5" t="s">
        <v>1962</v>
      </c>
      <c r="B5" t="s">
        <v>1963</v>
      </c>
      <c r="C5" t="s">
        <v>2043</v>
      </c>
      <c r="D5" t="s">
        <v>76</v>
      </c>
      <c r="E5" t="s">
        <v>2047</v>
      </c>
      <c r="F5" t="s">
        <v>2049</v>
      </c>
      <c r="G5" t="s">
        <v>1964</v>
      </c>
    </row>
    <row r="6" spans="1:7" x14ac:dyDescent="0.25">
      <c r="A6" t="s">
        <v>1962</v>
      </c>
      <c r="B6" t="s">
        <v>1963</v>
      </c>
      <c r="C6" t="s">
        <v>2043</v>
      </c>
      <c r="D6" t="s">
        <v>106</v>
      </c>
      <c r="E6" t="s">
        <v>2044</v>
      </c>
      <c r="F6" t="s">
        <v>2051</v>
      </c>
      <c r="G6" t="s">
        <v>1964</v>
      </c>
    </row>
    <row r="7" spans="1:7" x14ac:dyDescent="0.25">
      <c r="A7" t="s">
        <v>1962</v>
      </c>
      <c r="B7" t="s">
        <v>1963</v>
      </c>
      <c r="C7" t="s">
        <v>2043</v>
      </c>
      <c r="D7" t="s">
        <v>112</v>
      </c>
      <c r="E7" t="s">
        <v>2047</v>
      </c>
      <c r="F7" t="s">
        <v>2053</v>
      </c>
      <c r="G7" t="s">
        <v>1964</v>
      </c>
    </row>
    <row r="8" spans="1:7" x14ac:dyDescent="0.25">
      <c r="A8" t="s">
        <v>1962</v>
      </c>
      <c r="B8" t="s">
        <v>1963</v>
      </c>
      <c r="C8" t="s">
        <v>2043</v>
      </c>
      <c r="D8" t="s">
        <v>125</v>
      </c>
      <c r="E8" t="s">
        <v>2054</v>
      </c>
      <c r="F8" t="s">
        <v>2056</v>
      </c>
      <c r="G8" t="s">
        <v>1964</v>
      </c>
    </row>
    <row r="9" spans="1:7" x14ac:dyDescent="0.25">
      <c r="A9" t="s">
        <v>1962</v>
      </c>
      <c r="B9" t="s">
        <v>1963</v>
      </c>
      <c r="C9" t="s">
        <v>2043</v>
      </c>
      <c r="D9" t="s">
        <v>140</v>
      </c>
      <c r="E9" t="s">
        <v>2047</v>
      </c>
      <c r="F9" t="s">
        <v>2058</v>
      </c>
      <c r="G9" t="s">
        <v>1964</v>
      </c>
    </row>
    <row r="10" spans="1:7" x14ac:dyDescent="0.25">
      <c r="A10" t="s">
        <v>1962</v>
      </c>
      <c r="B10" t="s">
        <v>1963</v>
      </c>
      <c r="C10" t="s">
        <v>2043</v>
      </c>
      <c r="D10" t="s">
        <v>147</v>
      </c>
      <c r="E10" t="s">
        <v>2044</v>
      </c>
      <c r="F10" t="s">
        <v>2060</v>
      </c>
      <c r="G10" t="s">
        <v>1964</v>
      </c>
    </row>
    <row r="11" spans="1:7" x14ac:dyDescent="0.25">
      <c r="A11" t="s">
        <v>1962</v>
      </c>
      <c r="B11" t="s">
        <v>1963</v>
      </c>
      <c r="C11" t="s">
        <v>2043</v>
      </c>
      <c r="D11" t="s">
        <v>154</v>
      </c>
      <c r="E11" t="s">
        <v>2054</v>
      </c>
      <c r="F11" t="s">
        <v>2062</v>
      </c>
      <c r="G11" t="s">
        <v>1964</v>
      </c>
    </row>
    <row r="12" spans="1:7" x14ac:dyDescent="0.25">
      <c r="A12" t="s">
        <v>1962</v>
      </c>
      <c r="B12" t="s">
        <v>1963</v>
      </c>
      <c r="C12" t="s">
        <v>2043</v>
      </c>
      <c r="D12" t="s">
        <v>161</v>
      </c>
      <c r="E12" t="s">
        <v>2047</v>
      </c>
      <c r="F12" t="s">
        <v>2064</v>
      </c>
      <c r="G12" t="s">
        <v>1964</v>
      </c>
    </row>
    <row r="13" spans="1:7" x14ac:dyDescent="0.25">
      <c r="A13" t="s">
        <v>1962</v>
      </c>
      <c r="B13" t="s">
        <v>1963</v>
      </c>
      <c r="C13" t="s">
        <v>2043</v>
      </c>
      <c r="D13" t="s">
        <v>161</v>
      </c>
      <c r="E13" t="s">
        <v>2054</v>
      </c>
      <c r="F13" t="s">
        <v>2066</v>
      </c>
      <c r="G13" t="s">
        <v>1964</v>
      </c>
    </row>
    <row r="14" spans="1:7" x14ac:dyDescent="0.25">
      <c r="A14" t="s">
        <v>1962</v>
      </c>
      <c r="B14" t="s">
        <v>1963</v>
      </c>
      <c r="C14" t="s">
        <v>2043</v>
      </c>
      <c r="D14" t="s">
        <v>174</v>
      </c>
      <c r="E14" t="s">
        <v>2047</v>
      </c>
      <c r="F14" t="s">
        <v>2068</v>
      </c>
      <c r="G14" t="s">
        <v>1964</v>
      </c>
    </row>
    <row r="15" spans="1:7" x14ac:dyDescent="0.25">
      <c r="A15" t="s">
        <v>1962</v>
      </c>
      <c r="B15" t="s">
        <v>1963</v>
      </c>
      <c r="C15" t="s">
        <v>2043</v>
      </c>
      <c r="D15" t="s">
        <v>186</v>
      </c>
      <c r="E15" t="s">
        <v>2069</v>
      </c>
      <c r="F15" t="s">
        <v>2071</v>
      </c>
      <c r="G15" t="s">
        <v>1964</v>
      </c>
    </row>
    <row r="16" spans="1:7" x14ac:dyDescent="0.25">
      <c r="A16" t="s">
        <v>1962</v>
      </c>
      <c r="B16" t="s">
        <v>1963</v>
      </c>
      <c r="C16" t="s">
        <v>2043</v>
      </c>
      <c r="D16" t="s">
        <v>198</v>
      </c>
      <c r="E16" t="s">
        <v>2072</v>
      </c>
      <c r="F16" t="s">
        <v>2074</v>
      </c>
      <c r="G16" t="s">
        <v>1964</v>
      </c>
    </row>
    <row r="17" spans="1:7" x14ac:dyDescent="0.25">
      <c r="A17" t="s">
        <v>1962</v>
      </c>
      <c r="B17" t="s">
        <v>1963</v>
      </c>
      <c r="C17" t="s">
        <v>2043</v>
      </c>
      <c r="D17" t="s">
        <v>198</v>
      </c>
      <c r="E17" t="s">
        <v>2075</v>
      </c>
      <c r="F17" t="s">
        <v>2077</v>
      </c>
      <c r="G17" t="s">
        <v>1964</v>
      </c>
    </row>
    <row r="18" spans="1:7" x14ac:dyDescent="0.25">
      <c r="A18" t="s">
        <v>1962</v>
      </c>
      <c r="B18" t="s">
        <v>1963</v>
      </c>
      <c r="C18" t="s">
        <v>2043</v>
      </c>
      <c r="D18" t="s">
        <v>204</v>
      </c>
      <c r="E18" t="s">
        <v>2069</v>
      </c>
      <c r="F18" t="s">
        <v>2079</v>
      </c>
      <c r="G18" t="s">
        <v>2080</v>
      </c>
    </row>
    <row r="19" spans="1:7" x14ac:dyDescent="0.25">
      <c r="A19" t="s">
        <v>1962</v>
      </c>
      <c r="B19" t="s">
        <v>1963</v>
      </c>
      <c r="C19" t="s">
        <v>2043</v>
      </c>
      <c r="D19" t="s">
        <v>210</v>
      </c>
      <c r="E19" t="s">
        <v>2069</v>
      </c>
      <c r="F19" t="s">
        <v>2082</v>
      </c>
      <c r="G19" t="s">
        <v>1964</v>
      </c>
    </row>
    <row r="20" spans="1:7" x14ac:dyDescent="0.25">
      <c r="A20" t="s">
        <v>1962</v>
      </c>
      <c r="B20" t="s">
        <v>1963</v>
      </c>
      <c r="C20" t="s">
        <v>2043</v>
      </c>
      <c r="D20" t="s">
        <v>221</v>
      </c>
      <c r="E20" t="s">
        <v>2069</v>
      </c>
      <c r="F20" t="s">
        <v>2084</v>
      </c>
      <c r="G20" t="s">
        <v>1964</v>
      </c>
    </row>
    <row r="21" spans="1:7" x14ac:dyDescent="0.25">
      <c r="A21" s="39" t="s">
        <v>2149</v>
      </c>
      <c r="B21" s="39" t="s">
        <v>1963</v>
      </c>
      <c r="C21" s="39" t="s">
        <v>2150</v>
      </c>
      <c r="D21" s="39"/>
      <c r="E21" s="39"/>
      <c r="F21" s="39"/>
      <c r="G21" s="39"/>
    </row>
  </sheetData>
  <phoneticPr fontId="1" type="noConversion"/>
  <pageMargins left="0.7" right="0.7" top="0.78740157499999996" bottom="0.78740157499999996"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466F7-EADF-4B4E-8530-CB44C6F1FB3B}">
  <sheetPr>
    <tabColor theme="5"/>
  </sheetPr>
  <dimension ref="A1:E1"/>
  <sheetViews>
    <sheetView workbookViewId="0">
      <selection activeCell="A2" sqref="A2"/>
    </sheetView>
  </sheetViews>
  <sheetFormatPr baseColWidth="10" defaultRowHeight="15" x14ac:dyDescent="0.25"/>
  <cols>
    <col min="1" max="1" width="13.85546875" customWidth="1"/>
    <col min="2" max="2" width="14.85546875" customWidth="1"/>
    <col min="3" max="3" width="21.85546875" customWidth="1"/>
    <col min="4" max="4" width="21.42578125" customWidth="1"/>
    <col min="5" max="5" width="19" customWidth="1"/>
  </cols>
  <sheetData>
    <row r="1" spans="1:5" x14ac:dyDescent="0.25">
      <c r="A1" t="s">
        <v>0</v>
      </c>
      <c r="B1" t="s">
        <v>299</v>
      </c>
      <c r="C1" t="s">
        <v>300</v>
      </c>
      <c r="D1" t="s">
        <v>301</v>
      </c>
      <c r="E1" t="s">
        <v>302</v>
      </c>
    </row>
  </sheetData>
  <pageMargins left="0.7" right="0.7" top="0.78740157499999996" bottom="0.78740157499999996"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98A94-8C2F-460B-BDA8-B13EE75363F6}">
  <sheetPr>
    <tabColor theme="0" tint="-0.499984740745262"/>
  </sheetPr>
  <dimension ref="A1:Q11"/>
  <sheetViews>
    <sheetView workbookViewId="0">
      <selection activeCell="G28" sqref="G28"/>
    </sheetView>
  </sheetViews>
  <sheetFormatPr baseColWidth="10" defaultRowHeight="15" x14ac:dyDescent="0.25"/>
  <cols>
    <col min="1" max="1" width="19.42578125" bestFit="1" customWidth="1"/>
    <col min="3" max="3" width="21" bestFit="1" customWidth="1"/>
    <col min="5" max="5" width="10.5703125" bestFit="1" customWidth="1"/>
    <col min="7" max="7" width="20.7109375" customWidth="1"/>
    <col min="9" max="9" width="29.5703125" bestFit="1" customWidth="1"/>
    <col min="11" max="11" width="21.7109375" customWidth="1"/>
    <col min="13" max="13" width="18.7109375" customWidth="1"/>
    <col min="15" max="15" width="15.5703125" customWidth="1"/>
    <col min="17" max="17" width="11.7109375" customWidth="1"/>
  </cols>
  <sheetData>
    <row r="1" spans="1:17" x14ac:dyDescent="0.25">
      <c r="A1" t="s">
        <v>244</v>
      </c>
      <c r="C1" t="s">
        <v>245</v>
      </c>
      <c r="E1" t="s">
        <v>256</v>
      </c>
      <c r="G1" t="s">
        <v>261</v>
      </c>
      <c r="I1" t="s">
        <v>265</v>
      </c>
      <c r="K1" t="s">
        <v>271</v>
      </c>
      <c r="M1" t="s">
        <v>275</v>
      </c>
      <c r="O1" t="s">
        <v>276</v>
      </c>
      <c r="Q1" t="s">
        <v>277</v>
      </c>
    </row>
    <row r="2" spans="1:17" x14ac:dyDescent="0.25">
      <c r="A2" t="s">
        <v>236</v>
      </c>
      <c r="C2" t="s">
        <v>246</v>
      </c>
      <c r="E2" t="s">
        <v>257</v>
      </c>
      <c r="G2" t="s">
        <v>262</v>
      </c>
      <c r="I2" t="s">
        <v>270</v>
      </c>
      <c r="K2" t="s">
        <v>272</v>
      </c>
      <c r="M2">
        <v>1</v>
      </c>
      <c r="O2">
        <v>0</v>
      </c>
      <c r="Q2">
        <v>0</v>
      </c>
    </row>
    <row r="3" spans="1:17" x14ac:dyDescent="0.25">
      <c r="A3" t="s">
        <v>237</v>
      </c>
      <c r="C3" t="s">
        <v>247</v>
      </c>
      <c r="E3" t="s">
        <v>258</v>
      </c>
      <c r="G3" t="s">
        <v>263</v>
      </c>
      <c r="I3" t="s">
        <v>266</v>
      </c>
      <c r="K3" t="s">
        <v>273</v>
      </c>
      <c r="M3">
        <v>2</v>
      </c>
      <c r="O3">
        <v>1</v>
      </c>
      <c r="Q3">
        <v>1</v>
      </c>
    </row>
    <row r="4" spans="1:17" x14ac:dyDescent="0.25">
      <c r="A4" t="s">
        <v>238</v>
      </c>
      <c r="C4" t="s">
        <v>248</v>
      </c>
      <c r="E4" t="s">
        <v>259</v>
      </c>
      <c r="G4" t="s">
        <v>264</v>
      </c>
      <c r="I4" t="s">
        <v>267</v>
      </c>
      <c r="K4" t="s">
        <v>274</v>
      </c>
      <c r="M4">
        <v>3</v>
      </c>
      <c r="Q4">
        <v>2</v>
      </c>
    </row>
    <row r="5" spans="1:17" x14ac:dyDescent="0.25">
      <c r="A5" t="s">
        <v>239</v>
      </c>
      <c r="C5" t="s">
        <v>249</v>
      </c>
      <c r="E5" t="s">
        <v>260</v>
      </c>
      <c r="I5" t="s">
        <v>268</v>
      </c>
      <c r="Q5">
        <v>3</v>
      </c>
    </row>
    <row r="6" spans="1:17" x14ac:dyDescent="0.25">
      <c r="A6" t="s">
        <v>240</v>
      </c>
      <c r="C6" t="s">
        <v>250</v>
      </c>
      <c r="I6" t="s">
        <v>269</v>
      </c>
    </row>
    <row r="7" spans="1:17" x14ac:dyDescent="0.25">
      <c r="A7" t="s">
        <v>241</v>
      </c>
      <c r="C7" t="s">
        <v>251</v>
      </c>
      <c r="I7" t="s">
        <v>260</v>
      </c>
    </row>
    <row r="8" spans="1:17" x14ac:dyDescent="0.25">
      <c r="A8" t="s">
        <v>242</v>
      </c>
      <c r="C8" t="s">
        <v>252</v>
      </c>
    </row>
    <row r="9" spans="1:17" x14ac:dyDescent="0.25">
      <c r="A9" t="s">
        <v>243</v>
      </c>
      <c r="C9" t="s">
        <v>253</v>
      </c>
    </row>
    <row r="10" spans="1:17" x14ac:dyDescent="0.25">
      <c r="C10" t="s">
        <v>254</v>
      </c>
    </row>
    <row r="11" spans="1:17" x14ac:dyDescent="0.25">
      <c r="C11" t="s">
        <v>255</v>
      </c>
    </row>
  </sheetData>
  <pageMargins left="0.7" right="0.7" top="0.78740157499999996" bottom="0.78740157499999996" header="0.3" footer="0.3"/>
  <pageSetup orientation="portrait" r:id="rId1"/>
  <tableParts count="9">
    <tablePart r:id="rId2"/>
    <tablePart r:id="rId3"/>
    <tablePart r:id="rId4"/>
    <tablePart r:id="rId5"/>
    <tablePart r:id="rId6"/>
    <tablePart r:id="rId7"/>
    <tablePart r:id="rId8"/>
    <tablePart r:id="rId9"/>
    <tablePart r:id="rId10"/>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B2AC9-4E05-482F-806F-3F18D9365E65}">
  <sheetPr>
    <tabColor theme="0" tint="-0.499984740745262"/>
  </sheetPr>
  <dimension ref="A1:K572"/>
  <sheetViews>
    <sheetView topLeftCell="A105" workbookViewId="0">
      <selection activeCell="D118" sqref="D118"/>
    </sheetView>
  </sheetViews>
  <sheetFormatPr baseColWidth="10" defaultRowHeight="15" x14ac:dyDescent="0.25"/>
  <cols>
    <col min="1" max="1" width="13.85546875" customWidth="1"/>
    <col min="4" max="4" width="16.85546875" customWidth="1"/>
    <col min="5" max="5" width="18" customWidth="1"/>
    <col min="6" max="6" width="21.28515625" customWidth="1"/>
    <col min="7" max="7" width="16.7109375" customWidth="1"/>
    <col min="8" max="8" width="19" customWidth="1"/>
    <col min="9" max="9" width="18.7109375" customWidth="1"/>
    <col min="11" max="11" width="14.5703125" customWidth="1"/>
  </cols>
  <sheetData>
    <row r="1" spans="1:11" ht="15.75" thickBot="1" x14ac:dyDescent="0.3">
      <c r="A1" t="s">
        <v>0</v>
      </c>
      <c r="B1" t="s">
        <v>8</v>
      </c>
      <c r="C1" t="s">
        <v>21</v>
      </c>
      <c r="D1" t="s">
        <v>29</v>
      </c>
      <c r="E1" t="s">
        <v>30</v>
      </c>
      <c r="F1" t="s">
        <v>31</v>
      </c>
      <c r="G1" t="s">
        <v>32</v>
      </c>
      <c r="H1" t="s">
        <v>33</v>
      </c>
      <c r="I1" t="s">
        <v>34</v>
      </c>
      <c r="J1" t="s">
        <v>35</v>
      </c>
      <c r="K1" t="s">
        <v>36</v>
      </c>
    </row>
    <row r="2" spans="1:11" x14ac:dyDescent="0.25">
      <c r="A2" s="18">
        <v>3</v>
      </c>
      <c r="B2" s="19">
        <v>16</v>
      </c>
      <c r="C2" s="19" t="s">
        <v>53</v>
      </c>
      <c r="D2" s="20">
        <v>1</v>
      </c>
      <c r="E2" s="21">
        <v>2</v>
      </c>
      <c r="F2" s="22" t="s">
        <v>1364</v>
      </c>
      <c r="G2" s="22" t="s">
        <v>1365</v>
      </c>
      <c r="H2" s="22" t="s">
        <v>1366</v>
      </c>
      <c r="I2" s="21" t="s">
        <v>272</v>
      </c>
      <c r="J2" s="22" t="s">
        <v>1367</v>
      </c>
      <c r="K2" s="23">
        <f>Tabelle52[[#This Row],[value_present]]*Tabelle52[[#This Row],[binding_level]]</f>
        <v>2</v>
      </c>
    </row>
    <row r="3" spans="1:11" x14ac:dyDescent="0.25">
      <c r="A3" s="24">
        <v>3</v>
      </c>
      <c r="B3" s="2">
        <v>16</v>
      </c>
      <c r="C3" s="2" t="s">
        <v>61</v>
      </c>
      <c r="D3" s="3">
        <v>1</v>
      </c>
      <c r="E3" s="1">
        <v>1</v>
      </c>
      <c r="F3" t="s">
        <v>1370</v>
      </c>
      <c r="G3" t="s">
        <v>1371</v>
      </c>
      <c r="H3" t="s">
        <v>1369</v>
      </c>
      <c r="I3" s="1" t="s">
        <v>272</v>
      </c>
      <c r="J3" t="s">
        <v>1372</v>
      </c>
      <c r="K3" s="25">
        <f>Tabelle52[[#This Row],[value_present]]*Tabelle52[[#This Row],[binding_level]]</f>
        <v>1</v>
      </c>
    </row>
    <row r="4" spans="1:11" x14ac:dyDescent="0.25">
      <c r="A4" s="24">
        <v>3</v>
      </c>
      <c r="B4" s="2">
        <v>16</v>
      </c>
      <c r="C4" s="2" t="s">
        <v>69</v>
      </c>
      <c r="D4" s="3">
        <v>1</v>
      </c>
      <c r="E4" s="1">
        <v>1</v>
      </c>
      <c r="F4" t="s">
        <v>1373</v>
      </c>
      <c r="G4" t="s">
        <v>1374</v>
      </c>
      <c r="H4" t="s">
        <v>1369</v>
      </c>
      <c r="I4" s="1" t="s">
        <v>272</v>
      </c>
      <c r="J4" t="s">
        <v>1375</v>
      </c>
      <c r="K4" s="25">
        <f>Tabelle52[[#This Row],[value_present]]*Tabelle52[[#This Row],[binding_level]]</f>
        <v>1</v>
      </c>
    </row>
    <row r="5" spans="1:11" x14ac:dyDescent="0.25">
      <c r="A5" s="24">
        <v>3</v>
      </c>
      <c r="B5" s="2">
        <v>16</v>
      </c>
      <c r="C5" s="2" t="s">
        <v>76</v>
      </c>
      <c r="D5" s="3">
        <v>1</v>
      </c>
      <c r="E5" s="1">
        <v>1</v>
      </c>
      <c r="F5" t="s">
        <v>1376</v>
      </c>
      <c r="G5" t="s">
        <v>1377</v>
      </c>
      <c r="H5" t="s">
        <v>1369</v>
      </c>
      <c r="I5" s="1" t="s">
        <v>272</v>
      </c>
      <c r="J5" t="s">
        <v>1378</v>
      </c>
      <c r="K5" s="25">
        <f>Tabelle52[[#This Row],[value_present]]*Tabelle52[[#This Row],[binding_level]]</f>
        <v>1</v>
      </c>
    </row>
    <row r="6" spans="1:11" x14ac:dyDescent="0.25">
      <c r="A6" s="24">
        <v>3</v>
      </c>
      <c r="B6" s="2">
        <v>16</v>
      </c>
      <c r="C6" s="2" t="s">
        <v>83</v>
      </c>
      <c r="D6" s="3">
        <v>1</v>
      </c>
      <c r="E6" s="1">
        <v>1</v>
      </c>
      <c r="F6" t="s">
        <v>1379</v>
      </c>
      <c r="G6" t="s">
        <v>1380</v>
      </c>
      <c r="H6" t="s">
        <v>1381</v>
      </c>
      <c r="I6" s="1" t="s">
        <v>272</v>
      </c>
      <c r="J6" t="s">
        <v>1382</v>
      </c>
      <c r="K6" s="25">
        <f>Tabelle52[[#This Row],[value_present]]*Tabelle52[[#This Row],[binding_level]]</f>
        <v>1</v>
      </c>
    </row>
    <row r="7" spans="1:11" x14ac:dyDescent="0.25">
      <c r="A7" s="24">
        <v>3</v>
      </c>
      <c r="B7" s="2">
        <v>16</v>
      </c>
      <c r="C7" s="2" t="s">
        <v>90</v>
      </c>
      <c r="D7" s="3">
        <v>1</v>
      </c>
      <c r="E7" s="1">
        <v>3</v>
      </c>
      <c r="F7" t="s">
        <v>1383</v>
      </c>
      <c r="G7" t="s">
        <v>1384</v>
      </c>
      <c r="H7" t="s">
        <v>1385</v>
      </c>
      <c r="I7" s="1" t="s">
        <v>273</v>
      </c>
      <c r="J7" t="s">
        <v>1386</v>
      </c>
      <c r="K7" s="25">
        <f>Tabelle52[[#This Row],[value_present]]*Tabelle52[[#This Row],[binding_level]]</f>
        <v>3</v>
      </c>
    </row>
    <row r="8" spans="1:11" x14ac:dyDescent="0.25">
      <c r="A8" s="24">
        <v>3</v>
      </c>
      <c r="B8" s="2">
        <v>16</v>
      </c>
      <c r="C8" s="2" t="s">
        <v>98</v>
      </c>
      <c r="D8" s="3">
        <v>1</v>
      </c>
      <c r="E8" s="1">
        <v>1</v>
      </c>
      <c r="F8" t="s">
        <v>1388</v>
      </c>
      <c r="G8" t="s">
        <v>1389</v>
      </c>
      <c r="H8" t="s">
        <v>1387</v>
      </c>
      <c r="I8" s="1" t="s">
        <v>272</v>
      </c>
      <c r="K8" s="25">
        <f>Tabelle52[[#This Row],[value_present]]*Tabelle52[[#This Row],[binding_level]]</f>
        <v>1</v>
      </c>
    </row>
    <row r="9" spans="1:11" x14ac:dyDescent="0.25">
      <c r="A9" s="24">
        <v>3</v>
      </c>
      <c r="B9" s="2">
        <v>16</v>
      </c>
      <c r="C9" s="2" t="s">
        <v>106</v>
      </c>
      <c r="D9" s="3">
        <v>0</v>
      </c>
      <c r="E9" s="1"/>
      <c r="I9" s="1" t="s">
        <v>272</v>
      </c>
      <c r="J9" t="s">
        <v>1390</v>
      </c>
      <c r="K9" s="25">
        <f>Tabelle52[[#This Row],[value_present]]*Tabelle52[[#This Row],[binding_level]]</f>
        <v>0</v>
      </c>
    </row>
    <row r="10" spans="1:11" x14ac:dyDescent="0.25">
      <c r="A10" s="24">
        <v>3</v>
      </c>
      <c r="B10" s="2">
        <v>16</v>
      </c>
      <c r="C10" s="2" t="s">
        <v>112</v>
      </c>
      <c r="D10" s="3">
        <v>1</v>
      </c>
      <c r="E10" s="1">
        <v>1</v>
      </c>
      <c r="F10" t="s">
        <v>1391</v>
      </c>
      <c r="G10" t="s">
        <v>1392</v>
      </c>
      <c r="H10" t="s">
        <v>1369</v>
      </c>
      <c r="I10" s="1" t="s">
        <v>273</v>
      </c>
      <c r="J10" t="s">
        <v>1393</v>
      </c>
      <c r="K10" s="25">
        <f>Tabelle52[[#This Row],[value_present]]*Tabelle52[[#This Row],[binding_level]]</f>
        <v>1</v>
      </c>
    </row>
    <row r="11" spans="1:11" x14ac:dyDescent="0.25">
      <c r="A11" s="24">
        <v>3</v>
      </c>
      <c r="B11" s="2">
        <v>16</v>
      </c>
      <c r="C11" s="2" t="s">
        <v>118</v>
      </c>
      <c r="D11" s="3">
        <v>0</v>
      </c>
      <c r="E11" s="1"/>
      <c r="I11" s="1" t="s">
        <v>272</v>
      </c>
      <c r="J11" t="s">
        <v>1390</v>
      </c>
      <c r="K11" s="25">
        <f>Tabelle52[[#This Row],[value_present]]*Tabelle52[[#This Row],[binding_level]]</f>
        <v>0</v>
      </c>
    </row>
    <row r="12" spans="1:11" x14ac:dyDescent="0.25">
      <c r="A12" s="24">
        <v>3</v>
      </c>
      <c r="B12" s="2">
        <v>16</v>
      </c>
      <c r="C12" s="2" t="s">
        <v>125</v>
      </c>
      <c r="D12" s="3">
        <v>0</v>
      </c>
      <c r="E12" s="1"/>
      <c r="I12" s="1" t="s">
        <v>272</v>
      </c>
      <c r="J12" t="s">
        <v>1390</v>
      </c>
      <c r="K12" s="25">
        <f>Tabelle52[[#This Row],[value_present]]*Tabelle52[[#This Row],[binding_level]]</f>
        <v>0</v>
      </c>
    </row>
    <row r="13" spans="1:11" x14ac:dyDescent="0.25">
      <c r="A13" s="24">
        <v>3</v>
      </c>
      <c r="B13" s="2">
        <v>16</v>
      </c>
      <c r="C13" s="2" t="s">
        <v>132</v>
      </c>
      <c r="D13" s="3">
        <v>0</v>
      </c>
      <c r="E13" s="1"/>
      <c r="I13" s="1" t="s">
        <v>272</v>
      </c>
      <c r="J13" t="s">
        <v>1390</v>
      </c>
      <c r="K13" s="25">
        <f>Tabelle52[[#This Row],[value_present]]*Tabelle52[[#This Row],[binding_level]]</f>
        <v>0</v>
      </c>
    </row>
    <row r="14" spans="1:11" ht="14.25" customHeight="1" x14ac:dyDescent="0.25">
      <c r="A14" s="24">
        <v>3</v>
      </c>
      <c r="B14" s="2">
        <v>16</v>
      </c>
      <c r="C14" s="2" t="s">
        <v>140</v>
      </c>
      <c r="D14" s="3">
        <v>0</v>
      </c>
      <c r="E14" s="1"/>
      <c r="I14" s="1" t="s">
        <v>272</v>
      </c>
      <c r="J14" t="s">
        <v>1390</v>
      </c>
      <c r="K14" s="25">
        <f>Tabelle52[[#This Row],[value_present]]*Tabelle52[[#This Row],[binding_level]]</f>
        <v>0</v>
      </c>
    </row>
    <row r="15" spans="1:11" x14ac:dyDescent="0.25">
      <c r="A15" s="24">
        <v>3</v>
      </c>
      <c r="B15" s="2">
        <v>16</v>
      </c>
      <c r="C15" s="2" t="s">
        <v>147</v>
      </c>
      <c r="D15" s="3">
        <v>1</v>
      </c>
      <c r="E15" s="1">
        <v>2</v>
      </c>
      <c r="F15" t="s">
        <v>1394</v>
      </c>
      <c r="G15" t="s">
        <v>1395</v>
      </c>
      <c r="H15" t="s">
        <v>1396</v>
      </c>
      <c r="I15" s="1" t="s">
        <v>272</v>
      </c>
      <c r="J15" t="s">
        <v>1397</v>
      </c>
      <c r="K15" s="25">
        <f>Tabelle52[[#This Row],[value_present]]*Tabelle52[[#This Row],[binding_level]]</f>
        <v>2</v>
      </c>
    </row>
    <row r="16" spans="1:11" x14ac:dyDescent="0.25">
      <c r="A16" s="24">
        <v>3</v>
      </c>
      <c r="B16" s="2">
        <v>16</v>
      </c>
      <c r="C16" s="2" t="s">
        <v>154</v>
      </c>
      <c r="D16" s="3">
        <v>0</v>
      </c>
      <c r="E16" s="1"/>
      <c r="I16" s="1" t="s">
        <v>273</v>
      </c>
      <c r="J16" t="s">
        <v>1402</v>
      </c>
      <c r="K16" s="25">
        <f>Tabelle52[[#This Row],[value_present]]*Tabelle52[[#This Row],[binding_level]]</f>
        <v>0</v>
      </c>
    </row>
    <row r="17" spans="1:11" x14ac:dyDescent="0.25">
      <c r="A17" s="24">
        <v>3</v>
      </c>
      <c r="B17" s="2">
        <v>16</v>
      </c>
      <c r="C17" s="2" t="s">
        <v>161</v>
      </c>
      <c r="D17" s="3">
        <v>1</v>
      </c>
      <c r="E17" s="1">
        <v>2</v>
      </c>
      <c r="F17" t="s">
        <v>1398</v>
      </c>
      <c r="G17" t="s">
        <v>1399</v>
      </c>
      <c r="H17" t="s">
        <v>1400</v>
      </c>
      <c r="I17" s="1" t="s">
        <v>272</v>
      </c>
      <c r="J17" t="s">
        <v>1401</v>
      </c>
      <c r="K17" s="25">
        <f>Tabelle52[[#This Row],[value_present]]*Tabelle52[[#This Row],[binding_level]]</f>
        <v>2</v>
      </c>
    </row>
    <row r="18" spans="1:11" x14ac:dyDescent="0.25">
      <c r="A18" s="24">
        <v>3</v>
      </c>
      <c r="B18" s="2">
        <v>16</v>
      </c>
      <c r="C18" s="2" t="s">
        <v>166</v>
      </c>
      <c r="D18" s="3">
        <v>0</v>
      </c>
      <c r="E18" s="1"/>
      <c r="I18" s="1" t="s">
        <v>272</v>
      </c>
      <c r="J18" t="s">
        <v>1390</v>
      </c>
      <c r="K18" s="25">
        <f>Tabelle52[[#This Row],[value_present]]*Tabelle52[[#This Row],[binding_level]]</f>
        <v>0</v>
      </c>
    </row>
    <row r="19" spans="1:11" ht="15.75" thickBot="1" x14ac:dyDescent="0.3">
      <c r="A19" s="26">
        <v>3</v>
      </c>
      <c r="B19" s="27">
        <v>16</v>
      </c>
      <c r="C19" s="27" t="s">
        <v>174</v>
      </c>
      <c r="D19" s="28">
        <v>0</v>
      </c>
      <c r="E19" s="29"/>
      <c r="F19" s="30"/>
      <c r="G19" s="30"/>
      <c r="H19" s="30"/>
      <c r="I19" s="29" t="s">
        <v>272</v>
      </c>
      <c r="J19" s="30" t="s">
        <v>1390</v>
      </c>
      <c r="K19" s="31">
        <f>Tabelle52[[#This Row],[value_present]]*Tabelle52[[#This Row],[binding_level]]</f>
        <v>0</v>
      </c>
    </row>
    <row r="20" spans="1:11" x14ac:dyDescent="0.25">
      <c r="A20" s="18">
        <v>4</v>
      </c>
      <c r="B20" s="19">
        <v>22</v>
      </c>
      <c r="C20" s="19" t="s">
        <v>53</v>
      </c>
      <c r="D20" s="20">
        <v>1</v>
      </c>
      <c r="E20" s="21">
        <v>1</v>
      </c>
      <c r="F20" t="s">
        <v>1440</v>
      </c>
      <c r="G20" s="22" t="s">
        <v>1441</v>
      </c>
      <c r="H20" s="22" t="s">
        <v>1469</v>
      </c>
      <c r="I20" s="21" t="s">
        <v>1456</v>
      </c>
      <c r="J20" s="22" t="s">
        <v>1442</v>
      </c>
      <c r="K20" s="23">
        <f>Tabelle52[[#This Row],[value_present]]*Tabelle52[[#This Row],[binding_level]]</f>
        <v>1</v>
      </c>
    </row>
    <row r="21" spans="1:11" x14ac:dyDescent="0.25">
      <c r="A21" s="24">
        <v>4</v>
      </c>
      <c r="B21" s="2">
        <v>22</v>
      </c>
      <c r="C21" s="2" t="s">
        <v>61</v>
      </c>
      <c r="D21" s="3">
        <v>1</v>
      </c>
      <c r="E21" s="1">
        <v>1</v>
      </c>
      <c r="F21" t="s">
        <v>1443</v>
      </c>
      <c r="G21" t="s">
        <v>1444</v>
      </c>
      <c r="H21" t="s">
        <v>1469</v>
      </c>
      <c r="I21" s="1" t="s">
        <v>1456</v>
      </c>
      <c r="J21" t="s">
        <v>1445</v>
      </c>
      <c r="K21" s="25">
        <f>Tabelle52[[#This Row],[value_present]]*Tabelle52[[#This Row],[binding_level]]</f>
        <v>1</v>
      </c>
    </row>
    <row r="22" spans="1:11" x14ac:dyDescent="0.25">
      <c r="A22" s="24">
        <v>4</v>
      </c>
      <c r="B22" s="2">
        <v>22</v>
      </c>
      <c r="C22" s="2" t="s">
        <v>69</v>
      </c>
      <c r="D22" s="3">
        <v>1</v>
      </c>
      <c r="E22" s="1">
        <v>1</v>
      </c>
      <c r="F22" t="s">
        <v>1446</v>
      </c>
      <c r="G22" t="s">
        <v>1447</v>
      </c>
      <c r="H22" t="s">
        <v>1470</v>
      </c>
      <c r="I22" s="1" t="s">
        <v>1456</v>
      </c>
      <c r="J22" t="s">
        <v>1448</v>
      </c>
      <c r="K22" s="25">
        <f>Tabelle52[[#This Row],[value_present]]*Tabelle52[[#This Row],[binding_level]]</f>
        <v>1</v>
      </c>
    </row>
    <row r="23" spans="1:11" x14ac:dyDescent="0.25">
      <c r="A23" s="24">
        <v>4</v>
      </c>
      <c r="B23" s="2">
        <v>22</v>
      </c>
      <c r="C23" s="2" t="s">
        <v>76</v>
      </c>
      <c r="D23" s="3">
        <v>1</v>
      </c>
      <c r="E23" s="1">
        <v>1</v>
      </c>
      <c r="F23" t="s">
        <v>1449</v>
      </c>
      <c r="G23" t="s">
        <v>1450</v>
      </c>
      <c r="H23" t="s">
        <v>1470</v>
      </c>
      <c r="I23" s="1" t="s">
        <v>1457</v>
      </c>
      <c r="J23" t="s">
        <v>1458</v>
      </c>
      <c r="K23" s="25">
        <f>Tabelle52[[#This Row],[value_present]]*Tabelle52[[#This Row],[binding_level]]</f>
        <v>1</v>
      </c>
    </row>
    <row r="24" spans="1:11" x14ac:dyDescent="0.25">
      <c r="A24" s="24">
        <v>4</v>
      </c>
      <c r="B24" s="2">
        <v>22</v>
      </c>
      <c r="C24" s="2" t="s">
        <v>83</v>
      </c>
      <c r="D24" s="3">
        <v>1</v>
      </c>
      <c r="E24" s="1">
        <v>1</v>
      </c>
      <c r="F24" t="s">
        <v>1451</v>
      </c>
      <c r="G24" t="s">
        <v>1452</v>
      </c>
      <c r="H24" t="s">
        <v>1471</v>
      </c>
      <c r="I24" s="1" t="s">
        <v>1456</v>
      </c>
      <c r="J24" t="s">
        <v>1459</v>
      </c>
      <c r="K24" s="25">
        <f>Tabelle52[[#This Row],[value_present]]*Tabelle52[[#This Row],[binding_level]]</f>
        <v>1</v>
      </c>
    </row>
    <row r="25" spans="1:11" x14ac:dyDescent="0.25">
      <c r="A25" s="24">
        <v>4</v>
      </c>
      <c r="B25" s="2">
        <v>22</v>
      </c>
      <c r="C25" s="2" t="s">
        <v>90</v>
      </c>
      <c r="D25" s="3">
        <v>1</v>
      </c>
      <c r="E25" s="1">
        <v>1</v>
      </c>
      <c r="F25" t="s">
        <v>1453</v>
      </c>
      <c r="G25" t="s">
        <v>1454</v>
      </c>
      <c r="H25" t="s">
        <v>1472</v>
      </c>
      <c r="I25" s="1" t="s">
        <v>1456</v>
      </c>
      <c r="J25" t="s">
        <v>1455</v>
      </c>
      <c r="K25" s="25">
        <f>Tabelle52[[#This Row],[value_present]]*Tabelle52[[#This Row],[binding_level]]</f>
        <v>1</v>
      </c>
    </row>
    <row r="26" spans="1:11" x14ac:dyDescent="0.25">
      <c r="A26" s="24">
        <v>4</v>
      </c>
      <c r="B26" s="2">
        <v>22</v>
      </c>
      <c r="C26" s="2" t="s">
        <v>98</v>
      </c>
      <c r="D26" s="3">
        <v>1</v>
      </c>
      <c r="E26" s="1">
        <v>1</v>
      </c>
      <c r="F26" t="s">
        <v>1480</v>
      </c>
      <c r="G26" t="s">
        <v>1481</v>
      </c>
      <c r="H26" t="s">
        <v>1473</v>
      </c>
      <c r="I26" s="1" t="s">
        <v>1456</v>
      </c>
      <c r="J26" t="s">
        <v>1460</v>
      </c>
      <c r="K26" s="25">
        <f>Tabelle52[[#This Row],[value_present]]*Tabelle52[[#This Row],[binding_level]]</f>
        <v>1</v>
      </c>
    </row>
    <row r="27" spans="1:11" x14ac:dyDescent="0.25">
      <c r="A27" s="24">
        <v>4</v>
      </c>
      <c r="B27" s="2">
        <v>22</v>
      </c>
      <c r="C27" s="2" t="s">
        <v>106</v>
      </c>
      <c r="D27" s="3">
        <v>1</v>
      </c>
      <c r="E27" s="1">
        <v>1</v>
      </c>
      <c r="F27" t="s">
        <v>1482</v>
      </c>
      <c r="G27" t="s">
        <v>1483</v>
      </c>
      <c r="H27" t="s">
        <v>1474</v>
      </c>
      <c r="I27" s="1" t="s">
        <v>1457</v>
      </c>
      <c r="J27" t="s">
        <v>1461</v>
      </c>
      <c r="K27" s="25">
        <f>Tabelle52[[#This Row],[value_present]]*Tabelle52[[#This Row],[binding_level]]</f>
        <v>1</v>
      </c>
    </row>
    <row r="28" spans="1:11" x14ac:dyDescent="0.25">
      <c r="A28" s="24">
        <v>4</v>
      </c>
      <c r="B28" s="2">
        <v>22</v>
      </c>
      <c r="C28" s="2" t="s">
        <v>112</v>
      </c>
      <c r="D28" s="3">
        <v>1</v>
      </c>
      <c r="E28" s="1">
        <v>1</v>
      </c>
      <c r="F28" t="s">
        <v>1485</v>
      </c>
      <c r="G28" t="s">
        <v>1484</v>
      </c>
      <c r="H28" t="s">
        <v>1475</v>
      </c>
      <c r="I28" s="1" t="s">
        <v>1456</v>
      </c>
      <c r="J28" t="s">
        <v>1462</v>
      </c>
      <c r="K28" s="25">
        <f>Tabelle52[[#This Row],[value_present]]*Tabelle52[[#This Row],[binding_level]]</f>
        <v>1</v>
      </c>
    </row>
    <row r="29" spans="1:11" x14ac:dyDescent="0.25">
      <c r="A29" s="24">
        <v>4</v>
      </c>
      <c r="B29" s="2">
        <v>22</v>
      </c>
      <c r="C29" s="2" t="s">
        <v>118</v>
      </c>
      <c r="D29" s="3">
        <v>0</v>
      </c>
      <c r="E29" s="1"/>
      <c r="I29" s="1" t="s">
        <v>1456</v>
      </c>
      <c r="J29" t="s">
        <v>1390</v>
      </c>
      <c r="K29" s="25">
        <f>Tabelle52[[#This Row],[value_present]]*Tabelle52[[#This Row],[binding_level]]</f>
        <v>0</v>
      </c>
    </row>
    <row r="30" spans="1:11" x14ac:dyDescent="0.25">
      <c r="A30" s="24">
        <v>4</v>
      </c>
      <c r="B30" s="2">
        <v>22</v>
      </c>
      <c r="C30" s="2" t="s">
        <v>125</v>
      </c>
      <c r="D30" s="3">
        <v>0</v>
      </c>
      <c r="E30" s="1"/>
      <c r="I30" s="1" t="s">
        <v>1456</v>
      </c>
      <c r="J30" t="s">
        <v>1390</v>
      </c>
      <c r="K30" s="25">
        <f>Tabelle52[[#This Row],[value_present]]*Tabelle52[[#This Row],[binding_level]]</f>
        <v>0</v>
      </c>
    </row>
    <row r="31" spans="1:11" x14ac:dyDescent="0.25">
      <c r="A31" s="24">
        <v>4</v>
      </c>
      <c r="B31" s="2">
        <v>22</v>
      </c>
      <c r="C31" s="2" t="s">
        <v>132</v>
      </c>
      <c r="D31" s="3">
        <v>0</v>
      </c>
      <c r="E31" s="1"/>
      <c r="I31" s="1" t="s">
        <v>1456</v>
      </c>
      <c r="J31" t="s">
        <v>1390</v>
      </c>
      <c r="K31" s="25">
        <f>Tabelle52[[#This Row],[value_present]]*Tabelle52[[#This Row],[binding_level]]</f>
        <v>0</v>
      </c>
    </row>
    <row r="32" spans="1:11" x14ac:dyDescent="0.25">
      <c r="A32" s="24">
        <v>4</v>
      </c>
      <c r="B32" s="2">
        <v>22</v>
      </c>
      <c r="C32" s="2" t="s">
        <v>140</v>
      </c>
      <c r="D32" s="3">
        <v>0</v>
      </c>
      <c r="E32" s="1"/>
      <c r="I32" s="1" t="s">
        <v>1456</v>
      </c>
      <c r="J32" t="s">
        <v>1463</v>
      </c>
      <c r="K32" s="25">
        <f>Tabelle52[[#This Row],[value_present]]*Tabelle52[[#This Row],[binding_level]]</f>
        <v>0</v>
      </c>
    </row>
    <row r="33" spans="1:11" x14ac:dyDescent="0.25">
      <c r="A33" s="24">
        <v>4</v>
      </c>
      <c r="B33" s="2">
        <v>22</v>
      </c>
      <c r="C33" s="2" t="s">
        <v>147</v>
      </c>
      <c r="D33" s="3">
        <v>1</v>
      </c>
      <c r="E33" s="1">
        <v>2</v>
      </c>
      <c r="F33" t="s">
        <v>1486</v>
      </c>
      <c r="G33" t="s">
        <v>1487</v>
      </c>
      <c r="H33" t="s">
        <v>1476</v>
      </c>
      <c r="I33" s="1" t="s">
        <v>1457</v>
      </c>
      <c r="J33" t="s">
        <v>1464</v>
      </c>
      <c r="K33" s="25">
        <f>Tabelle52[[#This Row],[value_present]]*Tabelle52[[#This Row],[binding_level]]</f>
        <v>2</v>
      </c>
    </row>
    <row r="34" spans="1:11" x14ac:dyDescent="0.25">
      <c r="A34" s="24">
        <v>4</v>
      </c>
      <c r="B34" s="2">
        <v>22</v>
      </c>
      <c r="C34" s="2" t="s">
        <v>154</v>
      </c>
      <c r="D34" s="3">
        <v>1</v>
      </c>
      <c r="E34" s="1">
        <v>1</v>
      </c>
      <c r="F34" t="s">
        <v>1488</v>
      </c>
      <c r="G34" t="s">
        <v>1489</v>
      </c>
      <c r="H34" t="s">
        <v>1477</v>
      </c>
      <c r="I34" s="1" t="s">
        <v>1456</v>
      </c>
      <c r="J34" t="s">
        <v>1465</v>
      </c>
      <c r="K34" s="25">
        <f>Tabelle52[[#This Row],[value_present]]*Tabelle52[[#This Row],[binding_level]]</f>
        <v>1</v>
      </c>
    </row>
    <row r="35" spans="1:11" x14ac:dyDescent="0.25">
      <c r="A35" s="24">
        <v>4</v>
      </c>
      <c r="B35" s="2">
        <v>22</v>
      </c>
      <c r="C35" s="2" t="s">
        <v>161</v>
      </c>
      <c r="D35" s="3">
        <v>1</v>
      </c>
      <c r="E35" s="1">
        <v>1</v>
      </c>
      <c r="F35" t="s">
        <v>1490</v>
      </c>
      <c r="G35" t="s">
        <v>1491</v>
      </c>
      <c r="H35" t="s">
        <v>1478</v>
      </c>
      <c r="I35" s="1" t="s">
        <v>1457</v>
      </c>
      <c r="J35" t="s">
        <v>1466</v>
      </c>
      <c r="K35" s="25">
        <f>Tabelle52[[#This Row],[value_present]]*Tabelle52[[#This Row],[binding_level]]</f>
        <v>1</v>
      </c>
    </row>
    <row r="36" spans="1:11" x14ac:dyDescent="0.25">
      <c r="A36" s="24">
        <v>4</v>
      </c>
      <c r="B36" s="2">
        <v>22</v>
      </c>
      <c r="C36" s="2" t="s">
        <v>166</v>
      </c>
      <c r="D36" s="3">
        <v>0</v>
      </c>
      <c r="E36" s="1"/>
      <c r="I36" s="1" t="s">
        <v>1457</v>
      </c>
      <c r="J36" t="s">
        <v>1467</v>
      </c>
      <c r="K36" s="25">
        <f>Tabelle52[[#This Row],[value_present]]*Tabelle52[[#This Row],[binding_level]]</f>
        <v>0</v>
      </c>
    </row>
    <row r="37" spans="1:11" ht="15.75" thickBot="1" x14ac:dyDescent="0.3">
      <c r="A37" s="26">
        <v>4</v>
      </c>
      <c r="B37" s="27">
        <v>22</v>
      </c>
      <c r="C37" s="27" t="s">
        <v>174</v>
      </c>
      <c r="D37" s="28">
        <v>1</v>
      </c>
      <c r="E37" s="29">
        <v>1</v>
      </c>
      <c r="F37" s="30" t="s">
        <v>1492</v>
      </c>
      <c r="G37" s="30" t="s">
        <v>1493</v>
      </c>
      <c r="H37" s="30" t="s">
        <v>1479</v>
      </c>
      <c r="I37" s="29" t="s">
        <v>1457</v>
      </c>
      <c r="J37" s="30" t="s">
        <v>1468</v>
      </c>
      <c r="K37" s="31">
        <f>Tabelle52[[#This Row],[value_present]]*Tabelle52[[#This Row],[binding_level]]</f>
        <v>1</v>
      </c>
    </row>
    <row r="38" spans="1:11" x14ac:dyDescent="0.25">
      <c r="A38" s="18">
        <v>5</v>
      </c>
      <c r="B38" s="19">
        <v>27</v>
      </c>
      <c r="C38" s="19" t="s">
        <v>53</v>
      </c>
      <c r="D38" s="20">
        <v>1</v>
      </c>
      <c r="E38" s="21">
        <v>1</v>
      </c>
      <c r="F38" s="22" t="s">
        <v>1550</v>
      </c>
      <c r="G38" s="22" t="s">
        <v>1551</v>
      </c>
      <c r="H38" s="22" t="s">
        <v>1549</v>
      </c>
      <c r="I38" s="21" t="s">
        <v>1456</v>
      </c>
      <c r="J38" s="22" t="s">
        <v>1534</v>
      </c>
      <c r="K38" s="23">
        <f>Tabelle52[[#This Row],[value_present]]*Tabelle52[[#This Row],[binding_level]]</f>
        <v>1</v>
      </c>
    </row>
    <row r="39" spans="1:11" x14ac:dyDescent="0.25">
      <c r="A39" s="24">
        <v>5</v>
      </c>
      <c r="B39" s="2">
        <v>27</v>
      </c>
      <c r="C39" s="2" t="s">
        <v>61</v>
      </c>
      <c r="D39" s="3">
        <v>1</v>
      </c>
      <c r="E39" s="1">
        <v>1</v>
      </c>
      <c r="F39" t="s">
        <v>1526</v>
      </c>
      <c r="G39" t="s">
        <v>1527</v>
      </c>
      <c r="H39" t="s">
        <v>1549</v>
      </c>
      <c r="I39" s="1" t="s">
        <v>1457</v>
      </c>
      <c r="J39" t="s">
        <v>1535</v>
      </c>
      <c r="K39" s="25">
        <f>Tabelle52[[#This Row],[value_present]]*Tabelle52[[#This Row],[binding_level]]</f>
        <v>1</v>
      </c>
    </row>
    <row r="40" spans="1:11" x14ac:dyDescent="0.25">
      <c r="A40" s="24">
        <v>5</v>
      </c>
      <c r="B40" s="2">
        <v>27</v>
      </c>
      <c r="C40" s="2" t="s">
        <v>69</v>
      </c>
      <c r="D40" s="3">
        <v>1</v>
      </c>
      <c r="E40" s="1">
        <v>1</v>
      </c>
      <c r="F40" t="s">
        <v>1522</v>
      </c>
      <c r="G40" t="s">
        <v>1523</v>
      </c>
      <c r="H40" t="s">
        <v>1549</v>
      </c>
      <c r="I40" s="1" t="s">
        <v>1456</v>
      </c>
      <c r="J40" t="s">
        <v>1536</v>
      </c>
      <c r="K40" s="25">
        <f>Tabelle52[[#This Row],[value_present]]*Tabelle52[[#This Row],[binding_level]]</f>
        <v>1</v>
      </c>
    </row>
    <row r="41" spans="1:11" x14ac:dyDescent="0.25">
      <c r="A41" s="24">
        <v>5</v>
      </c>
      <c r="B41" s="2">
        <v>27</v>
      </c>
      <c r="C41" s="2" t="s">
        <v>76</v>
      </c>
      <c r="D41" s="3">
        <v>0</v>
      </c>
      <c r="E41" s="1"/>
      <c r="I41" s="1" t="s">
        <v>1456</v>
      </c>
      <c r="J41" t="s">
        <v>1537</v>
      </c>
      <c r="K41" s="25">
        <f>Tabelle52[[#This Row],[value_present]]*Tabelle52[[#This Row],[binding_level]]</f>
        <v>0</v>
      </c>
    </row>
    <row r="42" spans="1:11" x14ac:dyDescent="0.25">
      <c r="A42" s="24">
        <v>5</v>
      </c>
      <c r="B42" s="2">
        <v>27</v>
      </c>
      <c r="C42" s="2" t="s">
        <v>83</v>
      </c>
      <c r="D42" s="3">
        <v>1</v>
      </c>
      <c r="E42" s="1">
        <v>1</v>
      </c>
      <c r="F42" t="s">
        <v>1526</v>
      </c>
      <c r="G42" t="s">
        <v>1527</v>
      </c>
      <c r="H42" t="s">
        <v>1549</v>
      </c>
      <c r="I42" s="1" t="s">
        <v>1457</v>
      </c>
      <c r="J42" t="s">
        <v>1538</v>
      </c>
      <c r="K42" s="25">
        <f>Tabelle52[[#This Row],[value_present]]*Tabelle52[[#This Row],[binding_level]]</f>
        <v>1</v>
      </c>
    </row>
    <row r="43" spans="1:11" x14ac:dyDescent="0.25">
      <c r="A43" s="24">
        <v>5</v>
      </c>
      <c r="B43" s="2">
        <v>27</v>
      </c>
      <c r="C43" s="2" t="s">
        <v>90</v>
      </c>
      <c r="D43" s="3">
        <v>0</v>
      </c>
      <c r="E43" s="1"/>
      <c r="I43" s="1" t="s">
        <v>1456</v>
      </c>
      <c r="J43" t="s">
        <v>1539</v>
      </c>
      <c r="K43" s="25">
        <f>Tabelle52[[#This Row],[value_present]]*Tabelle52[[#This Row],[binding_level]]</f>
        <v>0</v>
      </c>
    </row>
    <row r="44" spans="1:11" x14ac:dyDescent="0.25">
      <c r="A44" s="24">
        <v>5</v>
      </c>
      <c r="B44" s="2">
        <v>27</v>
      </c>
      <c r="C44" s="2" t="s">
        <v>98</v>
      </c>
      <c r="D44" s="3">
        <v>0</v>
      </c>
      <c r="E44" s="1"/>
      <c r="I44" s="1" t="s">
        <v>1456</v>
      </c>
      <c r="J44" t="s">
        <v>1390</v>
      </c>
      <c r="K44" s="25">
        <f>Tabelle52[[#This Row],[value_present]]*Tabelle52[[#This Row],[binding_level]]</f>
        <v>0</v>
      </c>
    </row>
    <row r="45" spans="1:11" x14ac:dyDescent="0.25">
      <c r="A45" s="24">
        <v>5</v>
      </c>
      <c r="B45" s="2">
        <v>27</v>
      </c>
      <c r="C45" s="2" t="s">
        <v>106</v>
      </c>
      <c r="D45" s="3">
        <v>1</v>
      </c>
      <c r="E45" s="1">
        <v>1</v>
      </c>
      <c r="F45" t="s">
        <v>1524</v>
      </c>
      <c r="G45" t="s">
        <v>1525</v>
      </c>
      <c r="H45" t="s">
        <v>1549</v>
      </c>
      <c r="I45" s="1" t="s">
        <v>1456</v>
      </c>
      <c r="J45" t="s">
        <v>1540</v>
      </c>
      <c r="K45" s="25">
        <f>Tabelle52[[#This Row],[value_present]]*Tabelle52[[#This Row],[binding_level]]</f>
        <v>1</v>
      </c>
    </row>
    <row r="46" spans="1:11" x14ac:dyDescent="0.25">
      <c r="A46" s="24">
        <v>5</v>
      </c>
      <c r="B46" s="2">
        <v>27</v>
      </c>
      <c r="C46" s="2" t="s">
        <v>112</v>
      </c>
      <c r="D46" s="3">
        <v>1</v>
      </c>
      <c r="E46" s="1">
        <v>1</v>
      </c>
      <c r="F46" t="s">
        <v>1530</v>
      </c>
      <c r="G46" t="s">
        <v>1531</v>
      </c>
      <c r="H46" t="s">
        <v>1549</v>
      </c>
      <c r="I46" s="1" t="s">
        <v>1541</v>
      </c>
      <c r="J46" t="s">
        <v>1542</v>
      </c>
      <c r="K46" s="25">
        <f>Tabelle52[[#This Row],[value_present]]*Tabelle52[[#This Row],[binding_level]]</f>
        <v>1</v>
      </c>
    </row>
    <row r="47" spans="1:11" x14ac:dyDescent="0.25">
      <c r="A47" s="24">
        <v>5</v>
      </c>
      <c r="B47" s="2">
        <v>27</v>
      </c>
      <c r="C47" s="2" t="s">
        <v>118</v>
      </c>
      <c r="D47" s="3">
        <v>0</v>
      </c>
      <c r="E47" s="1"/>
      <c r="I47" s="1" t="s">
        <v>1456</v>
      </c>
      <c r="J47" t="s">
        <v>1390</v>
      </c>
      <c r="K47" s="25">
        <f>Tabelle52[[#This Row],[value_present]]*Tabelle52[[#This Row],[binding_level]]</f>
        <v>0</v>
      </c>
    </row>
    <row r="48" spans="1:11" x14ac:dyDescent="0.25">
      <c r="A48" s="24">
        <v>5</v>
      </c>
      <c r="B48" s="2">
        <v>27</v>
      </c>
      <c r="C48" s="2" t="s">
        <v>125</v>
      </c>
      <c r="D48" s="3">
        <v>0</v>
      </c>
      <c r="E48" s="1"/>
      <c r="I48" s="1" t="s">
        <v>1457</v>
      </c>
      <c r="J48" t="s">
        <v>1543</v>
      </c>
      <c r="K48" s="25">
        <f>Tabelle52[[#This Row],[value_present]]*Tabelle52[[#This Row],[binding_level]]</f>
        <v>0</v>
      </c>
    </row>
    <row r="49" spans="1:11" x14ac:dyDescent="0.25">
      <c r="A49" s="24">
        <v>5</v>
      </c>
      <c r="B49" s="2">
        <v>27</v>
      </c>
      <c r="C49" s="2" t="s">
        <v>132</v>
      </c>
      <c r="D49" s="3">
        <v>0</v>
      </c>
      <c r="E49" s="1"/>
      <c r="I49" s="1" t="s">
        <v>1456</v>
      </c>
      <c r="J49" t="s">
        <v>1390</v>
      </c>
      <c r="K49" s="25">
        <f>Tabelle52[[#This Row],[value_present]]*Tabelle52[[#This Row],[binding_level]]</f>
        <v>0</v>
      </c>
    </row>
    <row r="50" spans="1:11" x14ac:dyDescent="0.25">
      <c r="A50" s="24">
        <v>5</v>
      </c>
      <c r="B50" s="2">
        <v>27</v>
      </c>
      <c r="C50" s="2" t="s">
        <v>140</v>
      </c>
      <c r="D50" s="3">
        <v>1</v>
      </c>
      <c r="E50" s="1">
        <v>1</v>
      </c>
      <c r="F50" t="s">
        <v>1524</v>
      </c>
      <c r="G50" t="s">
        <v>1525</v>
      </c>
      <c r="H50" t="s">
        <v>1549</v>
      </c>
      <c r="I50" s="1" t="s">
        <v>1456</v>
      </c>
      <c r="J50" t="s">
        <v>1544</v>
      </c>
      <c r="K50" s="25">
        <f>Tabelle52[[#This Row],[value_present]]*Tabelle52[[#This Row],[binding_level]]</f>
        <v>1</v>
      </c>
    </row>
    <row r="51" spans="1:11" x14ac:dyDescent="0.25">
      <c r="A51" s="24">
        <v>5</v>
      </c>
      <c r="B51" s="2">
        <v>27</v>
      </c>
      <c r="C51" s="2" t="s">
        <v>147</v>
      </c>
      <c r="D51" s="3">
        <v>1</v>
      </c>
      <c r="E51" s="1">
        <v>2</v>
      </c>
      <c r="F51" t="s">
        <v>1528</v>
      </c>
      <c r="G51" t="s">
        <v>1529</v>
      </c>
      <c r="H51" t="s">
        <v>1549</v>
      </c>
      <c r="I51" s="1" t="s">
        <v>1456</v>
      </c>
      <c r="J51" t="s">
        <v>1545</v>
      </c>
      <c r="K51" s="25">
        <f>Tabelle52[[#This Row],[value_present]]*Tabelle52[[#This Row],[binding_level]]</f>
        <v>2</v>
      </c>
    </row>
    <row r="52" spans="1:11" x14ac:dyDescent="0.25">
      <c r="A52" s="24">
        <v>5</v>
      </c>
      <c r="B52" s="2">
        <v>27</v>
      </c>
      <c r="C52" s="2" t="s">
        <v>154</v>
      </c>
      <c r="D52" s="3">
        <v>1</v>
      </c>
      <c r="E52" s="1">
        <v>1</v>
      </c>
      <c r="F52" t="s">
        <v>1522</v>
      </c>
      <c r="G52" t="s">
        <v>1523</v>
      </c>
      <c r="H52" t="s">
        <v>1549</v>
      </c>
      <c r="I52" s="1" t="s">
        <v>1457</v>
      </c>
      <c r="J52" t="s">
        <v>1546</v>
      </c>
      <c r="K52" s="25">
        <f>Tabelle52[[#This Row],[value_present]]*Tabelle52[[#This Row],[binding_level]]</f>
        <v>1</v>
      </c>
    </row>
    <row r="53" spans="1:11" x14ac:dyDescent="0.25">
      <c r="A53" s="24">
        <v>5</v>
      </c>
      <c r="B53" s="2">
        <v>27</v>
      </c>
      <c r="C53" s="2" t="s">
        <v>161</v>
      </c>
      <c r="D53" s="3">
        <v>1</v>
      </c>
      <c r="E53" s="1">
        <v>2</v>
      </c>
      <c r="F53" t="s">
        <v>1552</v>
      </c>
      <c r="G53" t="s">
        <v>1553</v>
      </c>
      <c r="H53" t="s">
        <v>1549</v>
      </c>
      <c r="I53" s="1" t="s">
        <v>1456</v>
      </c>
      <c r="J53" t="s">
        <v>1547</v>
      </c>
      <c r="K53" s="25">
        <f>Tabelle52[[#This Row],[value_present]]*Tabelle52[[#This Row],[binding_level]]</f>
        <v>2</v>
      </c>
    </row>
    <row r="54" spans="1:11" x14ac:dyDescent="0.25">
      <c r="A54" s="24">
        <v>5</v>
      </c>
      <c r="B54" s="2">
        <v>27</v>
      </c>
      <c r="C54" s="2" t="s">
        <v>166</v>
      </c>
      <c r="D54" s="3">
        <v>0</v>
      </c>
      <c r="E54" s="1"/>
      <c r="I54" s="1" t="s">
        <v>1456</v>
      </c>
      <c r="J54" t="s">
        <v>1390</v>
      </c>
      <c r="K54" s="25">
        <f>Tabelle52[[#This Row],[value_present]]*Tabelle52[[#This Row],[binding_level]]</f>
        <v>0</v>
      </c>
    </row>
    <row r="55" spans="1:11" ht="15.75" thickBot="1" x14ac:dyDescent="0.3">
      <c r="A55" s="26">
        <v>5</v>
      </c>
      <c r="B55" s="27">
        <v>27</v>
      </c>
      <c r="C55" s="27" t="s">
        <v>174</v>
      </c>
      <c r="D55" s="28">
        <v>0</v>
      </c>
      <c r="E55" s="29"/>
      <c r="F55" s="30"/>
      <c r="G55" s="30"/>
      <c r="H55" s="30"/>
      <c r="I55" s="29" t="s">
        <v>1456</v>
      </c>
      <c r="J55" s="30" t="s">
        <v>1548</v>
      </c>
      <c r="K55" s="31">
        <f>Tabelle52[[#This Row],[value_present]]*Tabelle52[[#This Row],[binding_level]]</f>
        <v>0</v>
      </c>
    </row>
    <row r="56" spans="1:11" x14ac:dyDescent="0.25">
      <c r="A56" s="18">
        <v>6</v>
      </c>
      <c r="B56" s="19">
        <v>32</v>
      </c>
      <c r="C56" s="19" t="s">
        <v>53</v>
      </c>
      <c r="D56" s="20">
        <v>0</v>
      </c>
      <c r="E56" s="21"/>
      <c r="F56" s="22"/>
      <c r="G56" s="22"/>
      <c r="H56" s="22"/>
      <c r="I56" s="21" t="s">
        <v>1456</v>
      </c>
      <c r="J56" s="22" t="s">
        <v>1580</v>
      </c>
      <c r="K56" s="23">
        <f>Tabelle52[[#This Row],[value_present]]*Tabelle52[[#This Row],[binding_level]]</f>
        <v>0</v>
      </c>
    </row>
    <row r="57" spans="1:11" x14ac:dyDescent="0.25">
      <c r="A57" s="24">
        <v>6</v>
      </c>
      <c r="B57" s="2">
        <v>32</v>
      </c>
      <c r="C57" s="2" t="s">
        <v>61</v>
      </c>
      <c r="D57" s="3">
        <v>0</v>
      </c>
      <c r="E57" s="1"/>
      <c r="I57" s="1" t="s">
        <v>1456</v>
      </c>
      <c r="J57" t="s">
        <v>1580</v>
      </c>
      <c r="K57" s="25">
        <f>Tabelle52[[#This Row],[value_present]]*Tabelle52[[#This Row],[binding_level]]</f>
        <v>0</v>
      </c>
    </row>
    <row r="58" spans="1:11" x14ac:dyDescent="0.25">
      <c r="A58" s="24">
        <v>6</v>
      </c>
      <c r="B58" s="2">
        <v>32</v>
      </c>
      <c r="C58" s="2" t="s">
        <v>69</v>
      </c>
      <c r="D58" s="3">
        <v>0</v>
      </c>
      <c r="E58" s="1"/>
      <c r="I58" s="1" t="s">
        <v>1456</v>
      </c>
      <c r="J58" t="s">
        <v>1580</v>
      </c>
      <c r="K58" s="25">
        <f>Tabelle52[[#This Row],[value_present]]*Tabelle52[[#This Row],[binding_level]]</f>
        <v>0</v>
      </c>
    </row>
    <row r="59" spans="1:11" x14ac:dyDescent="0.25">
      <c r="A59" s="24">
        <v>6</v>
      </c>
      <c r="B59" s="2">
        <v>32</v>
      </c>
      <c r="C59" s="2" t="s">
        <v>76</v>
      </c>
      <c r="D59" s="3">
        <v>0</v>
      </c>
      <c r="E59" s="1"/>
      <c r="I59" s="1" t="s">
        <v>1456</v>
      </c>
      <c r="J59" t="s">
        <v>1580</v>
      </c>
      <c r="K59" s="25">
        <f>Tabelle52[[#This Row],[value_present]]*Tabelle52[[#This Row],[binding_level]]</f>
        <v>0</v>
      </c>
    </row>
    <row r="60" spans="1:11" x14ac:dyDescent="0.25">
      <c r="A60" s="24">
        <v>6</v>
      </c>
      <c r="B60" s="2">
        <v>32</v>
      </c>
      <c r="C60" s="2" t="s">
        <v>83</v>
      </c>
      <c r="D60" s="3">
        <v>0</v>
      </c>
      <c r="E60" s="1"/>
      <c r="I60" s="1" t="s">
        <v>1456</v>
      </c>
      <c r="J60" t="s">
        <v>1581</v>
      </c>
      <c r="K60" s="25">
        <f>Tabelle52[[#This Row],[value_present]]*Tabelle52[[#This Row],[binding_level]]</f>
        <v>0</v>
      </c>
    </row>
    <row r="61" spans="1:11" x14ac:dyDescent="0.25">
      <c r="A61" s="24">
        <v>6</v>
      </c>
      <c r="B61" s="2">
        <v>32</v>
      </c>
      <c r="C61" s="2" t="s">
        <v>90</v>
      </c>
      <c r="D61" s="3">
        <v>0</v>
      </c>
      <c r="E61" s="1"/>
      <c r="I61" s="1" t="s">
        <v>1456</v>
      </c>
      <c r="J61" t="s">
        <v>1582</v>
      </c>
      <c r="K61" s="25">
        <f>Tabelle52[[#This Row],[value_present]]*Tabelle52[[#This Row],[binding_level]]</f>
        <v>0</v>
      </c>
    </row>
    <row r="62" spans="1:11" x14ac:dyDescent="0.25">
      <c r="A62" s="24">
        <v>6</v>
      </c>
      <c r="B62" s="2">
        <v>32</v>
      </c>
      <c r="C62" s="2" t="s">
        <v>98</v>
      </c>
      <c r="D62" s="3">
        <v>0</v>
      </c>
      <c r="E62" s="1"/>
      <c r="I62" s="1" t="s">
        <v>1456</v>
      </c>
      <c r="J62" t="s">
        <v>1583</v>
      </c>
      <c r="K62" s="25">
        <f>Tabelle52[[#This Row],[value_present]]*Tabelle52[[#This Row],[binding_level]]</f>
        <v>0</v>
      </c>
    </row>
    <row r="63" spans="1:11" x14ac:dyDescent="0.25">
      <c r="A63" s="24">
        <v>6</v>
      </c>
      <c r="B63" s="2">
        <v>32</v>
      </c>
      <c r="C63" s="2" t="s">
        <v>106</v>
      </c>
      <c r="D63" s="3">
        <v>0</v>
      </c>
      <c r="E63" s="1"/>
      <c r="I63" s="1" t="s">
        <v>1456</v>
      </c>
      <c r="J63" t="s">
        <v>1584</v>
      </c>
      <c r="K63" s="25">
        <f>Tabelle52[[#This Row],[value_present]]*Tabelle52[[#This Row],[binding_level]]</f>
        <v>0</v>
      </c>
    </row>
    <row r="64" spans="1:11" x14ac:dyDescent="0.25">
      <c r="A64" s="24">
        <v>6</v>
      </c>
      <c r="B64" s="2">
        <v>32</v>
      </c>
      <c r="C64" s="2" t="s">
        <v>112</v>
      </c>
      <c r="D64" s="3">
        <v>0</v>
      </c>
      <c r="E64" s="1"/>
      <c r="I64" s="1" t="s">
        <v>1456</v>
      </c>
      <c r="J64" t="s">
        <v>1585</v>
      </c>
      <c r="K64" s="25">
        <f>Tabelle52[[#This Row],[value_present]]*Tabelle52[[#This Row],[binding_level]]</f>
        <v>0</v>
      </c>
    </row>
    <row r="65" spans="1:11" x14ac:dyDescent="0.25">
      <c r="A65" s="24">
        <v>6</v>
      </c>
      <c r="B65" s="2">
        <v>32</v>
      </c>
      <c r="C65" s="2" t="s">
        <v>118</v>
      </c>
      <c r="D65" s="3">
        <v>0</v>
      </c>
      <c r="E65" s="1"/>
      <c r="I65" s="1" t="s">
        <v>1456</v>
      </c>
      <c r="J65" t="s">
        <v>1586</v>
      </c>
      <c r="K65" s="25">
        <f>Tabelle52[[#This Row],[value_present]]*Tabelle52[[#This Row],[binding_level]]</f>
        <v>0</v>
      </c>
    </row>
    <row r="66" spans="1:11" x14ac:dyDescent="0.25">
      <c r="A66" s="24">
        <v>6</v>
      </c>
      <c r="B66" s="2">
        <v>32</v>
      </c>
      <c r="C66" s="2" t="s">
        <v>125</v>
      </c>
      <c r="D66" s="3">
        <v>0</v>
      </c>
      <c r="E66" s="1"/>
      <c r="I66" s="1" t="s">
        <v>1456</v>
      </c>
      <c r="J66" t="s">
        <v>1586</v>
      </c>
      <c r="K66" s="25">
        <f>Tabelle52[[#This Row],[value_present]]*Tabelle52[[#This Row],[binding_level]]</f>
        <v>0</v>
      </c>
    </row>
    <row r="67" spans="1:11" x14ac:dyDescent="0.25">
      <c r="A67" s="24">
        <v>6</v>
      </c>
      <c r="B67" s="2">
        <v>32</v>
      </c>
      <c r="C67" s="2" t="s">
        <v>132</v>
      </c>
      <c r="D67" s="3">
        <v>0</v>
      </c>
      <c r="E67" s="1"/>
      <c r="I67" s="1" t="s">
        <v>1456</v>
      </c>
      <c r="J67" t="s">
        <v>1587</v>
      </c>
      <c r="K67" s="25">
        <f>Tabelle52[[#This Row],[value_present]]*Tabelle52[[#This Row],[binding_level]]</f>
        <v>0</v>
      </c>
    </row>
    <row r="68" spans="1:11" x14ac:dyDescent="0.25">
      <c r="A68" s="24">
        <v>6</v>
      </c>
      <c r="B68" s="2">
        <v>32</v>
      </c>
      <c r="C68" s="2" t="s">
        <v>140</v>
      </c>
      <c r="D68" s="3">
        <v>0</v>
      </c>
      <c r="E68" s="1"/>
      <c r="I68" s="1" t="s">
        <v>1456</v>
      </c>
      <c r="J68" t="s">
        <v>1586</v>
      </c>
      <c r="K68" s="25">
        <f>Tabelle52[[#This Row],[value_present]]*Tabelle52[[#This Row],[binding_level]]</f>
        <v>0</v>
      </c>
    </row>
    <row r="69" spans="1:11" x14ac:dyDescent="0.25">
      <c r="A69" s="24">
        <v>6</v>
      </c>
      <c r="B69" s="2">
        <v>32</v>
      </c>
      <c r="C69" s="2" t="s">
        <v>147</v>
      </c>
      <c r="D69" s="3">
        <v>0</v>
      </c>
      <c r="E69" s="1"/>
      <c r="I69" s="1" t="s">
        <v>1456</v>
      </c>
      <c r="J69" t="s">
        <v>1588</v>
      </c>
      <c r="K69" s="25">
        <f>Tabelle52[[#This Row],[value_present]]*Tabelle52[[#This Row],[binding_level]]</f>
        <v>0</v>
      </c>
    </row>
    <row r="70" spans="1:11" x14ac:dyDescent="0.25">
      <c r="A70" s="24">
        <v>6</v>
      </c>
      <c r="B70" s="2">
        <v>32</v>
      </c>
      <c r="C70" s="2" t="s">
        <v>154</v>
      </c>
      <c r="D70" s="3">
        <v>0</v>
      </c>
      <c r="E70" s="1"/>
      <c r="I70" s="1" t="s">
        <v>1456</v>
      </c>
      <c r="J70" t="s">
        <v>1589</v>
      </c>
      <c r="K70" s="25">
        <f>Tabelle52[[#This Row],[value_present]]*Tabelle52[[#This Row],[binding_level]]</f>
        <v>0</v>
      </c>
    </row>
    <row r="71" spans="1:11" x14ac:dyDescent="0.25">
      <c r="A71" s="24">
        <v>6</v>
      </c>
      <c r="B71" s="2">
        <v>32</v>
      </c>
      <c r="C71" s="2" t="s">
        <v>161</v>
      </c>
      <c r="D71" s="3">
        <v>0</v>
      </c>
      <c r="E71" s="1"/>
      <c r="I71" s="1" t="s">
        <v>1456</v>
      </c>
      <c r="J71" t="s">
        <v>1590</v>
      </c>
      <c r="K71" s="25">
        <f>Tabelle52[[#This Row],[value_present]]*Tabelle52[[#This Row],[binding_level]]</f>
        <v>0</v>
      </c>
    </row>
    <row r="72" spans="1:11" x14ac:dyDescent="0.25">
      <c r="A72" s="24">
        <v>6</v>
      </c>
      <c r="B72" s="2">
        <v>32</v>
      </c>
      <c r="C72" s="2" t="s">
        <v>166</v>
      </c>
      <c r="D72" s="3">
        <v>0</v>
      </c>
      <c r="E72" s="1"/>
      <c r="I72" s="1" t="s">
        <v>1456</v>
      </c>
      <c r="J72" t="s">
        <v>1591</v>
      </c>
      <c r="K72" s="25">
        <f>Tabelle52[[#This Row],[value_present]]*Tabelle52[[#This Row],[binding_level]]</f>
        <v>0</v>
      </c>
    </row>
    <row r="73" spans="1:11" ht="15.75" thickBot="1" x14ac:dyDescent="0.3">
      <c r="A73" s="26">
        <v>6</v>
      </c>
      <c r="B73" s="27">
        <v>32</v>
      </c>
      <c r="C73" s="27" t="s">
        <v>174</v>
      </c>
      <c r="D73" s="28">
        <v>0</v>
      </c>
      <c r="E73" s="29"/>
      <c r="F73" s="30"/>
      <c r="G73" s="30"/>
      <c r="H73" s="30"/>
      <c r="I73" s="29" t="s">
        <v>1456</v>
      </c>
      <c r="J73" s="30" t="s">
        <v>1592</v>
      </c>
      <c r="K73" s="31">
        <f>Tabelle52[[#This Row],[value_present]]*Tabelle52[[#This Row],[binding_level]]</f>
        <v>0</v>
      </c>
    </row>
    <row r="74" spans="1:11" x14ac:dyDescent="0.25">
      <c r="A74" s="18">
        <v>7</v>
      </c>
      <c r="B74" s="19">
        <v>37</v>
      </c>
      <c r="C74" s="19" t="s">
        <v>53</v>
      </c>
      <c r="D74" s="20">
        <v>1</v>
      </c>
      <c r="E74" s="21">
        <v>1</v>
      </c>
      <c r="F74" s="22" t="s">
        <v>1643</v>
      </c>
      <c r="G74" s="22" t="s">
        <v>1644</v>
      </c>
      <c r="H74" s="22" t="s">
        <v>1635</v>
      </c>
      <c r="I74" s="21" t="s">
        <v>1456</v>
      </c>
      <c r="J74" s="22" t="s">
        <v>1620</v>
      </c>
      <c r="K74" s="23">
        <f>Tabelle52[[#This Row],[value_present]]*Tabelle52[[#This Row],[binding_level]]</f>
        <v>1</v>
      </c>
    </row>
    <row r="75" spans="1:11" x14ac:dyDescent="0.25">
      <c r="A75" s="24">
        <v>7</v>
      </c>
      <c r="B75" s="2">
        <v>37</v>
      </c>
      <c r="C75" s="2" t="s">
        <v>61</v>
      </c>
      <c r="D75" s="3">
        <v>1</v>
      </c>
      <c r="E75" s="1">
        <v>1</v>
      </c>
      <c r="F75" t="s">
        <v>1645</v>
      </c>
      <c r="G75" t="s">
        <v>1646</v>
      </c>
      <c r="H75" t="s">
        <v>1636</v>
      </c>
      <c r="I75" s="1" t="s">
        <v>1457</v>
      </c>
      <c r="J75" t="s">
        <v>1621</v>
      </c>
      <c r="K75" s="25">
        <f>Tabelle52[[#This Row],[value_present]]*Tabelle52[[#This Row],[binding_level]]</f>
        <v>1</v>
      </c>
    </row>
    <row r="76" spans="1:11" x14ac:dyDescent="0.25">
      <c r="A76" s="24">
        <v>7</v>
      </c>
      <c r="B76" s="2">
        <v>37</v>
      </c>
      <c r="C76" s="2" t="s">
        <v>69</v>
      </c>
      <c r="D76" s="3">
        <v>1</v>
      </c>
      <c r="E76" s="1">
        <v>1</v>
      </c>
      <c r="F76" t="s">
        <v>1647</v>
      </c>
      <c r="G76" t="s">
        <v>1648</v>
      </c>
      <c r="H76" t="s">
        <v>1637</v>
      </c>
      <c r="I76" s="1" t="s">
        <v>1457</v>
      </c>
      <c r="J76" t="s">
        <v>1622</v>
      </c>
      <c r="K76" s="25">
        <f>Tabelle52[[#This Row],[value_present]]*Tabelle52[[#This Row],[binding_level]]</f>
        <v>1</v>
      </c>
    </row>
    <row r="77" spans="1:11" x14ac:dyDescent="0.25">
      <c r="A77" s="24">
        <v>7</v>
      </c>
      <c r="B77" s="2">
        <v>37</v>
      </c>
      <c r="C77" s="2" t="s">
        <v>76</v>
      </c>
      <c r="D77" s="3">
        <v>1</v>
      </c>
      <c r="E77" s="1">
        <v>1</v>
      </c>
      <c r="F77" t="s">
        <v>1649</v>
      </c>
      <c r="G77" t="s">
        <v>1650</v>
      </c>
      <c r="H77" t="s">
        <v>1637</v>
      </c>
      <c r="I77" s="1" t="s">
        <v>1456</v>
      </c>
      <c r="J77" t="s">
        <v>1623</v>
      </c>
      <c r="K77" s="25">
        <f>Tabelle52[[#This Row],[value_present]]*Tabelle52[[#This Row],[binding_level]]</f>
        <v>1</v>
      </c>
    </row>
    <row r="78" spans="1:11" x14ac:dyDescent="0.25">
      <c r="A78" s="24">
        <v>7</v>
      </c>
      <c r="B78" s="2">
        <v>37</v>
      </c>
      <c r="C78" s="2" t="s">
        <v>83</v>
      </c>
      <c r="D78" s="3">
        <v>1</v>
      </c>
      <c r="E78" s="1">
        <v>1</v>
      </c>
      <c r="F78" t="s">
        <v>1651</v>
      </c>
      <c r="G78" t="s">
        <v>1652</v>
      </c>
      <c r="H78" t="s">
        <v>1638</v>
      </c>
      <c r="I78" s="1" t="s">
        <v>1456</v>
      </c>
      <c r="J78" t="s">
        <v>1624</v>
      </c>
      <c r="K78" s="25">
        <f>Tabelle52[[#This Row],[value_present]]*Tabelle52[[#This Row],[binding_level]]</f>
        <v>1</v>
      </c>
    </row>
    <row r="79" spans="1:11" x14ac:dyDescent="0.25">
      <c r="A79" s="24">
        <v>7</v>
      </c>
      <c r="B79" s="2">
        <v>37</v>
      </c>
      <c r="C79" s="2" t="s">
        <v>90</v>
      </c>
      <c r="D79" s="3">
        <v>1</v>
      </c>
      <c r="E79" s="1">
        <v>1</v>
      </c>
      <c r="F79" t="s">
        <v>1653</v>
      </c>
      <c r="G79" t="s">
        <v>1654</v>
      </c>
      <c r="H79" t="s">
        <v>1639</v>
      </c>
      <c r="I79" s="1" t="s">
        <v>1456</v>
      </c>
      <c r="J79" t="s">
        <v>1625</v>
      </c>
      <c r="K79" s="25">
        <f>Tabelle52[[#This Row],[value_present]]*Tabelle52[[#This Row],[binding_level]]</f>
        <v>1</v>
      </c>
    </row>
    <row r="80" spans="1:11" x14ac:dyDescent="0.25">
      <c r="A80" s="24">
        <v>7</v>
      </c>
      <c r="B80" s="2">
        <v>37</v>
      </c>
      <c r="C80" s="2" t="s">
        <v>98</v>
      </c>
      <c r="D80" s="3">
        <v>1</v>
      </c>
      <c r="E80" s="1">
        <v>1</v>
      </c>
      <c r="F80" t="s">
        <v>1655</v>
      </c>
      <c r="G80" t="s">
        <v>1656</v>
      </c>
      <c r="H80" t="s">
        <v>1639</v>
      </c>
      <c r="I80" s="1" t="s">
        <v>1457</v>
      </c>
      <c r="J80" t="s">
        <v>1626</v>
      </c>
      <c r="K80" s="25">
        <f>Tabelle52[[#This Row],[value_present]]*Tabelle52[[#This Row],[binding_level]]</f>
        <v>1</v>
      </c>
    </row>
    <row r="81" spans="1:11" x14ac:dyDescent="0.25">
      <c r="A81" s="24">
        <v>7</v>
      </c>
      <c r="B81" s="2">
        <v>37</v>
      </c>
      <c r="C81" s="2" t="s">
        <v>106</v>
      </c>
      <c r="D81" s="3">
        <v>1</v>
      </c>
      <c r="E81" s="1">
        <v>1</v>
      </c>
      <c r="F81" t="s">
        <v>1657</v>
      </c>
      <c r="G81" t="s">
        <v>1658</v>
      </c>
      <c r="H81" t="s">
        <v>1640</v>
      </c>
      <c r="I81" s="1" t="s">
        <v>1457</v>
      </c>
      <c r="J81" t="s">
        <v>1627</v>
      </c>
      <c r="K81" s="25">
        <f>Tabelle52[[#This Row],[value_present]]*Tabelle52[[#This Row],[binding_level]]</f>
        <v>1</v>
      </c>
    </row>
    <row r="82" spans="1:11" x14ac:dyDescent="0.25">
      <c r="A82" s="24">
        <v>7</v>
      </c>
      <c r="B82" s="2">
        <v>37</v>
      </c>
      <c r="C82" s="2" t="s">
        <v>112</v>
      </c>
      <c r="D82" s="3">
        <v>1</v>
      </c>
      <c r="E82" s="1">
        <v>1</v>
      </c>
      <c r="F82" t="s">
        <v>1659</v>
      </c>
      <c r="G82" t="s">
        <v>1660</v>
      </c>
      <c r="H82" t="s">
        <v>1640</v>
      </c>
      <c r="I82" s="1" t="s">
        <v>1456</v>
      </c>
      <c r="J82" t="s">
        <v>1628</v>
      </c>
      <c r="K82" s="25">
        <f>Tabelle52[[#This Row],[value_present]]*Tabelle52[[#This Row],[binding_level]]</f>
        <v>1</v>
      </c>
    </row>
    <row r="83" spans="1:11" x14ac:dyDescent="0.25">
      <c r="A83" s="24">
        <v>7</v>
      </c>
      <c r="B83" s="2">
        <v>37</v>
      </c>
      <c r="C83" s="2" t="s">
        <v>118</v>
      </c>
      <c r="D83" s="3">
        <v>0</v>
      </c>
      <c r="E83" s="1"/>
      <c r="I83" s="1" t="s">
        <v>1456</v>
      </c>
      <c r="J83" t="s">
        <v>1390</v>
      </c>
      <c r="K83" s="25">
        <f>Tabelle52[[#This Row],[value_present]]*Tabelle52[[#This Row],[binding_level]]</f>
        <v>0</v>
      </c>
    </row>
    <row r="84" spans="1:11" x14ac:dyDescent="0.25">
      <c r="A84" s="24">
        <v>7</v>
      </c>
      <c r="B84" s="2">
        <v>37</v>
      </c>
      <c r="C84" s="2" t="s">
        <v>125</v>
      </c>
      <c r="D84" s="3">
        <v>0</v>
      </c>
      <c r="E84" s="1"/>
      <c r="I84" s="1" t="s">
        <v>1456</v>
      </c>
      <c r="J84" t="s">
        <v>1390</v>
      </c>
      <c r="K84" s="25">
        <f>Tabelle52[[#This Row],[value_present]]*Tabelle52[[#This Row],[binding_level]]</f>
        <v>0</v>
      </c>
    </row>
    <row r="85" spans="1:11" x14ac:dyDescent="0.25">
      <c r="A85" s="24">
        <v>7</v>
      </c>
      <c r="B85" s="2">
        <v>37</v>
      </c>
      <c r="C85" s="2" t="s">
        <v>132</v>
      </c>
      <c r="D85" s="3">
        <v>1</v>
      </c>
      <c r="E85" s="1">
        <v>1</v>
      </c>
      <c r="F85" t="s">
        <v>1661</v>
      </c>
      <c r="G85" t="s">
        <v>1662</v>
      </c>
      <c r="H85" t="s">
        <v>1641</v>
      </c>
      <c r="I85" s="1" t="s">
        <v>1456</v>
      </c>
      <c r="J85" t="s">
        <v>1629</v>
      </c>
      <c r="K85" s="25">
        <f>Tabelle52[[#This Row],[value_present]]*Tabelle52[[#This Row],[binding_level]]</f>
        <v>1</v>
      </c>
    </row>
    <row r="86" spans="1:11" x14ac:dyDescent="0.25">
      <c r="A86" s="24">
        <v>7</v>
      </c>
      <c r="B86" s="2">
        <v>37</v>
      </c>
      <c r="C86" s="2" t="s">
        <v>140</v>
      </c>
      <c r="D86" s="3">
        <v>1</v>
      </c>
      <c r="E86" s="1">
        <v>1</v>
      </c>
      <c r="F86" t="s">
        <v>1663</v>
      </c>
      <c r="G86" t="s">
        <v>1664</v>
      </c>
      <c r="H86" t="s">
        <v>1641</v>
      </c>
      <c r="I86" s="1" t="s">
        <v>1456</v>
      </c>
      <c r="J86" t="s">
        <v>1630</v>
      </c>
      <c r="K86" s="25">
        <f>Tabelle52[[#This Row],[value_present]]*Tabelle52[[#This Row],[binding_level]]</f>
        <v>1</v>
      </c>
    </row>
    <row r="87" spans="1:11" x14ac:dyDescent="0.25">
      <c r="A87" s="24">
        <v>7</v>
      </c>
      <c r="B87" s="2">
        <v>37</v>
      </c>
      <c r="C87" s="2" t="s">
        <v>147</v>
      </c>
      <c r="D87" s="3">
        <v>1</v>
      </c>
      <c r="E87" s="1">
        <v>1</v>
      </c>
      <c r="F87" t="s">
        <v>1665</v>
      </c>
      <c r="G87" t="s">
        <v>1666</v>
      </c>
      <c r="H87" t="s">
        <v>1640</v>
      </c>
      <c r="I87" s="1" t="s">
        <v>1541</v>
      </c>
      <c r="J87" t="s">
        <v>1631</v>
      </c>
      <c r="K87" s="25">
        <f>Tabelle52[[#This Row],[value_present]]*Tabelle52[[#This Row],[binding_level]]</f>
        <v>1</v>
      </c>
    </row>
    <row r="88" spans="1:11" x14ac:dyDescent="0.25">
      <c r="A88" s="24">
        <v>7</v>
      </c>
      <c r="B88" s="2">
        <v>37</v>
      </c>
      <c r="C88" s="2" t="s">
        <v>154</v>
      </c>
      <c r="D88" s="3">
        <v>1</v>
      </c>
      <c r="E88" s="1">
        <v>1</v>
      </c>
      <c r="F88" t="s">
        <v>1667</v>
      </c>
      <c r="G88" t="s">
        <v>1668</v>
      </c>
      <c r="H88" t="s">
        <v>1642</v>
      </c>
      <c r="I88" s="1" t="s">
        <v>1457</v>
      </c>
      <c r="J88" t="s">
        <v>1632</v>
      </c>
      <c r="K88" s="25">
        <f>Tabelle52[[#This Row],[value_present]]*Tabelle52[[#This Row],[binding_level]]</f>
        <v>1</v>
      </c>
    </row>
    <row r="89" spans="1:11" x14ac:dyDescent="0.25">
      <c r="A89" s="24">
        <v>7</v>
      </c>
      <c r="B89" s="2">
        <v>37</v>
      </c>
      <c r="C89" s="2" t="s">
        <v>161</v>
      </c>
      <c r="D89" s="3">
        <v>0</v>
      </c>
      <c r="E89" s="1"/>
      <c r="I89" s="1" t="s">
        <v>1456</v>
      </c>
      <c r="J89" t="s">
        <v>1633</v>
      </c>
      <c r="K89" s="25">
        <f>Tabelle52[[#This Row],[value_present]]*Tabelle52[[#This Row],[binding_level]]</f>
        <v>0</v>
      </c>
    </row>
    <row r="90" spans="1:11" x14ac:dyDescent="0.25">
      <c r="A90" s="24">
        <v>7</v>
      </c>
      <c r="B90" s="2">
        <v>37</v>
      </c>
      <c r="C90" s="2" t="s">
        <v>166</v>
      </c>
      <c r="D90" s="3">
        <v>0</v>
      </c>
      <c r="E90" s="1"/>
      <c r="I90" s="1" t="s">
        <v>1456</v>
      </c>
      <c r="J90" t="s">
        <v>1390</v>
      </c>
      <c r="K90" s="25">
        <f>Tabelle52[[#This Row],[value_present]]*Tabelle52[[#This Row],[binding_level]]</f>
        <v>0</v>
      </c>
    </row>
    <row r="91" spans="1:11" ht="15.75" thickBot="1" x14ac:dyDescent="0.3">
      <c r="A91" s="26">
        <v>7</v>
      </c>
      <c r="B91" s="27">
        <v>37</v>
      </c>
      <c r="C91" s="27" t="s">
        <v>174</v>
      </c>
      <c r="D91" s="28">
        <v>1</v>
      </c>
      <c r="E91" s="29">
        <v>1</v>
      </c>
      <c r="F91" s="30" t="s">
        <v>1669</v>
      </c>
      <c r="G91" s="30" t="s">
        <v>1670</v>
      </c>
      <c r="H91" s="30" t="s">
        <v>1641</v>
      </c>
      <c r="I91" s="29" t="s">
        <v>1457</v>
      </c>
      <c r="J91" s="30" t="s">
        <v>1634</v>
      </c>
      <c r="K91" s="31">
        <f>Tabelle52[[#This Row],[value_present]]*Tabelle52[[#This Row],[binding_level]]</f>
        <v>1</v>
      </c>
    </row>
    <row r="92" spans="1:11" x14ac:dyDescent="0.25">
      <c r="A92" s="18">
        <v>12</v>
      </c>
      <c r="B92" s="19">
        <v>62</v>
      </c>
      <c r="C92" s="19" t="s">
        <v>53</v>
      </c>
      <c r="D92" s="20">
        <v>1</v>
      </c>
      <c r="E92" s="21">
        <v>1</v>
      </c>
      <c r="F92" s="22" t="s">
        <v>1729</v>
      </c>
      <c r="G92" s="22" t="s">
        <v>1730</v>
      </c>
      <c r="H92" s="22" t="s">
        <v>1721</v>
      </c>
      <c r="I92" s="21" t="s">
        <v>1456</v>
      </c>
      <c r="J92" s="22" t="s">
        <v>1704</v>
      </c>
      <c r="K92" s="23">
        <f>Tabelle52[[#This Row],[value_present]]*Tabelle52[[#This Row],[binding_level]]</f>
        <v>1</v>
      </c>
    </row>
    <row r="93" spans="1:11" x14ac:dyDescent="0.25">
      <c r="A93" s="24">
        <v>12</v>
      </c>
      <c r="B93" s="2">
        <v>62</v>
      </c>
      <c r="C93" s="2" t="s">
        <v>61</v>
      </c>
      <c r="D93" s="3">
        <v>1</v>
      </c>
      <c r="E93" s="1">
        <v>1</v>
      </c>
      <c r="F93" t="s">
        <v>1731</v>
      </c>
      <c r="G93" t="s">
        <v>1732</v>
      </c>
      <c r="H93" t="s">
        <v>1722</v>
      </c>
      <c r="I93" s="1" t="s">
        <v>1456</v>
      </c>
      <c r="J93" t="s">
        <v>1705</v>
      </c>
      <c r="K93" s="25">
        <f>Tabelle52[[#This Row],[value_present]]*Tabelle52[[#This Row],[binding_level]]</f>
        <v>1</v>
      </c>
    </row>
    <row r="94" spans="1:11" x14ac:dyDescent="0.25">
      <c r="A94" s="24">
        <v>12</v>
      </c>
      <c r="B94" s="2">
        <v>62</v>
      </c>
      <c r="C94" s="2" t="s">
        <v>69</v>
      </c>
      <c r="D94" s="3">
        <v>1</v>
      </c>
      <c r="E94" s="1">
        <v>1</v>
      </c>
      <c r="F94" t="s">
        <v>1733</v>
      </c>
      <c r="G94" t="s">
        <v>1734</v>
      </c>
      <c r="H94" t="s">
        <v>1723</v>
      </c>
      <c r="I94" s="1" t="s">
        <v>1456</v>
      </c>
      <c r="J94" t="s">
        <v>1706</v>
      </c>
      <c r="K94" s="25">
        <f>Tabelle52[[#This Row],[value_present]]*Tabelle52[[#This Row],[binding_level]]</f>
        <v>1</v>
      </c>
    </row>
    <row r="95" spans="1:11" x14ac:dyDescent="0.25">
      <c r="A95" s="24">
        <v>12</v>
      </c>
      <c r="B95" s="2">
        <v>62</v>
      </c>
      <c r="C95" s="2" t="s">
        <v>76</v>
      </c>
      <c r="D95" s="3">
        <v>1</v>
      </c>
      <c r="E95" s="1">
        <v>1</v>
      </c>
      <c r="F95" t="s">
        <v>1737</v>
      </c>
      <c r="G95" t="s">
        <v>1738</v>
      </c>
      <c r="H95" t="s">
        <v>1723</v>
      </c>
      <c r="I95" s="1" t="s">
        <v>1456</v>
      </c>
      <c r="J95" t="s">
        <v>1707</v>
      </c>
      <c r="K95" s="25">
        <f>Tabelle52[[#This Row],[value_present]]*Tabelle52[[#This Row],[binding_level]]</f>
        <v>1</v>
      </c>
    </row>
    <row r="96" spans="1:11" x14ac:dyDescent="0.25">
      <c r="A96" s="24">
        <v>12</v>
      </c>
      <c r="B96" s="2">
        <v>62</v>
      </c>
      <c r="C96" s="2" t="s">
        <v>83</v>
      </c>
      <c r="D96" s="3">
        <v>1</v>
      </c>
      <c r="E96" s="1">
        <v>1</v>
      </c>
      <c r="F96" t="s">
        <v>1735</v>
      </c>
      <c r="G96" t="s">
        <v>1736</v>
      </c>
      <c r="H96" t="s">
        <v>1724</v>
      </c>
      <c r="I96" s="1" t="s">
        <v>1456</v>
      </c>
      <c r="J96" t="s">
        <v>1708</v>
      </c>
      <c r="K96" s="25">
        <f>Tabelle52[[#This Row],[value_present]]*Tabelle52[[#This Row],[binding_level]]</f>
        <v>1</v>
      </c>
    </row>
    <row r="97" spans="1:11" x14ac:dyDescent="0.25">
      <c r="A97" s="24">
        <v>12</v>
      </c>
      <c r="B97" s="2">
        <v>62</v>
      </c>
      <c r="C97" s="2" t="s">
        <v>90</v>
      </c>
      <c r="D97" s="3">
        <v>1</v>
      </c>
      <c r="E97" s="1">
        <v>1</v>
      </c>
      <c r="F97" t="s">
        <v>1739</v>
      </c>
      <c r="G97" t="s">
        <v>1740</v>
      </c>
      <c r="H97" t="s">
        <v>1725</v>
      </c>
      <c r="I97" s="1" t="s">
        <v>1456</v>
      </c>
      <c r="J97" t="s">
        <v>1709</v>
      </c>
      <c r="K97" s="25">
        <f>Tabelle52[[#This Row],[value_present]]*Tabelle52[[#This Row],[binding_level]]</f>
        <v>1</v>
      </c>
    </row>
    <row r="98" spans="1:11" x14ac:dyDescent="0.25">
      <c r="A98" s="24">
        <v>12</v>
      </c>
      <c r="B98" s="2">
        <v>62</v>
      </c>
      <c r="C98" s="2" t="s">
        <v>98</v>
      </c>
      <c r="D98" s="3">
        <v>1</v>
      </c>
      <c r="E98" s="1">
        <v>1</v>
      </c>
      <c r="F98" t="s">
        <v>1741</v>
      </c>
      <c r="G98" t="s">
        <v>1742</v>
      </c>
      <c r="H98" t="s">
        <v>1726</v>
      </c>
      <c r="I98" s="1" t="s">
        <v>1456</v>
      </c>
      <c r="J98" t="s">
        <v>1710</v>
      </c>
      <c r="K98" s="25">
        <f>Tabelle52[[#This Row],[value_present]]*Tabelle52[[#This Row],[binding_level]]</f>
        <v>1</v>
      </c>
    </row>
    <row r="99" spans="1:11" x14ac:dyDescent="0.25">
      <c r="A99" s="24">
        <v>12</v>
      </c>
      <c r="B99" s="2">
        <v>62</v>
      </c>
      <c r="C99" s="2" t="s">
        <v>106</v>
      </c>
      <c r="D99" s="3">
        <v>1</v>
      </c>
      <c r="E99" s="1">
        <v>1</v>
      </c>
      <c r="F99" t="s">
        <v>1743</v>
      </c>
      <c r="G99" t="s">
        <v>1744</v>
      </c>
      <c r="H99" t="s">
        <v>1726</v>
      </c>
      <c r="I99" s="1" t="s">
        <v>1457</v>
      </c>
      <c r="J99" t="s">
        <v>1711</v>
      </c>
      <c r="K99" s="25">
        <f>Tabelle52[[#This Row],[value_present]]*Tabelle52[[#This Row],[binding_level]]</f>
        <v>1</v>
      </c>
    </row>
    <row r="100" spans="1:11" x14ac:dyDescent="0.25">
      <c r="A100" s="24">
        <v>12</v>
      </c>
      <c r="B100" s="2">
        <v>62</v>
      </c>
      <c r="C100" s="2" t="s">
        <v>112</v>
      </c>
      <c r="D100" s="3">
        <v>1</v>
      </c>
      <c r="E100" s="1">
        <v>1</v>
      </c>
      <c r="F100" t="s">
        <v>1745</v>
      </c>
      <c r="G100" t="s">
        <v>1746</v>
      </c>
      <c r="H100" t="s">
        <v>1726</v>
      </c>
      <c r="I100" s="1" t="s">
        <v>1456</v>
      </c>
      <c r="J100" t="s">
        <v>1712</v>
      </c>
      <c r="K100" s="25">
        <f>Tabelle52[[#This Row],[value_present]]*Tabelle52[[#This Row],[binding_level]]</f>
        <v>1</v>
      </c>
    </row>
    <row r="101" spans="1:11" x14ac:dyDescent="0.25">
      <c r="A101" s="24">
        <v>12</v>
      </c>
      <c r="B101" s="2">
        <v>62</v>
      </c>
      <c r="C101" s="2" t="s">
        <v>118</v>
      </c>
      <c r="D101" s="3">
        <v>0</v>
      </c>
      <c r="E101" s="1"/>
      <c r="I101" s="1" t="s">
        <v>1456</v>
      </c>
      <c r="J101" t="s">
        <v>1713</v>
      </c>
      <c r="K101" s="25">
        <f>Tabelle52[[#This Row],[value_present]]*Tabelle52[[#This Row],[binding_level]]</f>
        <v>0</v>
      </c>
    </row>
    <row r="102" spans="1:11" x14ac:dyDescent="0.25">
      <c r="A102" s="24">
        <v>12</v>
      </c>
      <c r="B102" s="2">
        <v>62</v>
      </c>
      <c r="C102" s="2" t="s">
        <v>125</v>
      </c>
      <c r="D102" s="3">
        <v>1</v>
      </c>
      <c r="E102" s="1">
        <v>1</v>
      </c>
      <c r="F102" t="s">
        <v>1747</v>
      </c>
      <c r="G102" t="s">
        <v>1748</v>
      </c>
      <c r="H102" t="s">
        <v>1724</v>
      </c>
      <c r="I102" s="1" t="s">
        <v>1457</v>
      </c>
      <c r="J102" t="s">
        <v>1714</v>
      </c>
      <c r="K102" s="25">
        <f>Tabelle52[[#This Row],[value_present]]*Tabelle52[[#This Row],[binding_level]]</f>
        <v>1</v>
      </c>
    </row>
    <row r="103" spans="1:11" x14ac:dyDescent="0.25">
      <c r="A103" s="24">
        <v>12</v>
      </c>
      <c r="B103" s="2">
        <v>62</v>
      </c>
      <c r="C103" s="2" t="s">
        <v>132</v>
      </c>
      <c r="D103" s="3">
        <v>0</v>
      </c>
      <c r="E103" s="1"/>
      <c r="I103" s="1" t="s">
        <v>1456</v>
      </c>
      <c r="J103" t="s">
        <v>1713</v>
      </c>
      <c r="K103" s="25">
        <f>Tabelle52[[#This Row],[value_present]]*Tabelle52[[#This Row],[binding_level]]</f>
        <v>0</v>
      </c>
    </row>
    <row r="104" spans="1:11" x14ac:dyDescent="0.25">
      <c r="A104" s="24">
        <v>12</v>
      </c>
      <c r="B104" s="2">
        <v>62</v>
      </c>
      <c r="C104" s="2" t="s">
        <v>140</v>
      </c>
      <c r="D104" s="3">
        <v>0</v>
      </c>
      <c r="E104" s="1"/>
      <c r="I104" s="1" t="s">
        <v>1457</v>
      </c>
      <c r="J104" t="s">
        <v>1715</v>
      </c>
      <c r="K104" s="25">
        <f>Tabelle52[[#This Row],[value_present]]*Tabelle52[[#This Row],[binding_level]]</f>
        <v>0</v>
      </c>
    </row>
    <row r="105" spans="1:11" x14ac:dyDescent="0.25">
      <c r="A105" s="24">
        <v>12</v>
      </c>
      <c r="B105" s="2">
        <v>62</v>
      </c>
      <c r="C105" s="2" t="s">
        <v>147</v>
      </c>
      <c r="D105" s="3">
        <v>1</v>
      </c>
      <c r="E105" s="1">
        <v>2</v>
      </c>
      <c r="F105" t="s">
        <v>1749</v>
      </c>
      <c r="G105" t="s">
        <v>1750</v>
      </c>
      <c r="H105" t="s">
        <v>1727</v>
      </c>
      <c r="I105" s="1" t="s">
        <v>1456</v>
      </c>
      <c r="J105" t="s">
        <v>1716</v>
      </c>
      <c r="K105" s="25">
        <f>Tabelle52[[#This Row],[value_present]]*Tabelle52[[#This Row],[binding_level]]</f>
        <v>2</v>
      </c>
    </row>
    <row r="106" spans="1:11" x14ac:dyDescent="0.25">
      <c r="A106" s="24">
        <v>12</v>
      </c>
      <c r="B106" s="2">
        <v>62</v>
      </c>
      <c r="C106" s="2" t="s">
        <v>154</v>
      </c>
      <c r="D106" s="3">
        <v>1</v>
      </c>
      <c r="E106" s="1">
        <v>1</v>
      </c>
      <c r="F106" t="s">
        <v>1751</v>
      </c>
      <c r="G106" t="s">
        <v>1752</v>
      </c>
      <c r="H106" t="s">
        <v>1728</v>
      </c>
      <c r="I106" s="1" t="s">
        <v>1456</v>
      </c>
      <c r="J106" t="s">
        <v>1717</v>
      </c>
      <c r="K106" s="25">
        <f>Tabelle52[[#This Row],[value_present]]*Tabelle52[[#This Row],[binding_level]]</f>
        <v>1</v>
      </c>
    </row>
    <row r="107" spans="1:11" x14ac:dyDescent="0.25">
      <c r="A107" s="24">
        <v>12</v>
      </c>
      <c r="B107" s="2">
        <v>62</v>
      </c>
      <c r="C107" s="2" t="s">
        <v>161</v>
      </c>
      <c r="D107" s="3">
        <v>0</v>
      </c>
      <c r="E107" s="1"/>
      <c r="I107" s="1" t="s">
        <v>1456</v>
      </c>
      <c r="J107" t="s">
        <v>1718</v>
      </c>
      <c r="K107" s="25">
        <f>Tabelle52[[#This Row],[value_present]]*Tabelle52[[#This Row],[binding_level]]</f>
        <v>0</v>
      </c>
    </row>
    <row r="108" spans="1:11" x14ac:dyDescent="0.25">
      <c r="A108" s="24">
        <v>12</v>
      </c>
      <c r="B108" s="2">
        <v>62</v>
      </c>
      <c r="C108" s="2" t="s">
        <v>166</v>
      </c>
      <c r="D108" s="3">
        <v>0</v>
      </c>
      <c r="E108" s="1"/>
      <c r="I108" s="1" t="s">
        <v>1456</v>
      </c>
      <c r="J108" t="s">
        <v>1719</v>
      </c>
      <c r="K108" s="25">
        <f>Tabelle52[[#This Row],[value_present]]*Tabelle52[[#This Row],[binding_level]]</f>
        <v>0</v>
      </c>
    </row>
    <row r="109" spans="1:11" ht="15.75" thickBot="1" x14ac:dyDescent="0.3">
      <c r="A109" s="26">
        <v>12</v>
      </c>
      <c r="B109" s="27">
        <v>62</v>
      </c>
      <c r="C109" s="27" t="s">
        <v>174</v>
      </c>
      <c r="D109" s="28">
        <v>0</v>
      </c>
      <c r="E109" s="29"/>
      <c r="F109" s="30"/>
      <c r="G109" s="30"/>
      <c r="H109" s="30"/>
      <c r="I109" s="29" t="s">
        <v>1456</v>
      </c>
      <c r="J109" s="30" t="s">
        <v>1720</v>
      </c>
      <c r="K109" s="31">
        <f>Tabelle52[[#This Row],[value_present]]*Tabelle52[[#This Row],[binding_level]]</f>
        <v>0</v>
      </c>
    </row>
    <row r="110" spans="1:11" x14ac:dyDescent="0.25">
      <c r="A110" s="18">
        <v>15</v>
      </c>
      <c r="B110" s="19">
        <v>86</v>
      </c>
      <c r="C110" s="19" t="s">
        <v>53</v>
      </c>
      <c r="D110" s="20">
        <v>1</v>
      </c>
      <c r="E110" s="21">
        <v>2</v>
      </c>
      <c r="F110" t="s">
        <v>1805</v>
      </c>
      <c r="G110" s="22" t="s">
        <v>1806</v>
      </c>
      <c r="H110" s="22" t="s">
        <v>1792</v>
      </c>
      <c r="I110" s="21" t="s">
        <v>1457</v>
      </c>
      <c r="J110" s="22" t="s">
        <v>1779</v>
      </c>
      <c r="K110" s="23">
        <f>Tabelle52[[#This Row],[value_present]]*Tabelle52[[#This Row],[binding_level]]</f>
        <v>2</v>
      </c>
    </row>
    <row r="111" spans="1:11" x14ac:dyDescent="0.25">
      <c r="A111" s="24">
        <v>15</v>
      </c>
      <c r="B111" s="2">
        <v>86</v>
      </c>
      <c r="C111" s="2" t="s">
        <v>61</v>
      </c>
      <c r="D111" s="3">
        <v>1</v>
      </c>
      <c r="E111" s="1">
        <v>2</v>
      </c>
      <c r="F111" t="s">
        <v>1807</v>
      </c>
      <c r="G111" t="s">
        <v>1808</v>
      </c>
      <c r="H111" t="s">
        <v>1793</v>
      </c>
      <c r="I111" s="1" t="s">
        <v>1456</v>
      </c>
      <c r="J111" t="s">
        <v>1780</v>
      </c>
      <c r="K111" s="25">
        <f>Tabelle52[[#This Row],[value_present]]*Tabelle52[[#This Row],[binding_level]]</f>
        <v>2</v>
      </c>
    </row>
    <row r="112" spans="1:11" x14ac:dyDescent="0.25">
      <c r="A112" s="24">
        <v>15</v>
      </c>
      <c r="B112" s="2">
        <v>86</v>
      </c>
      <c r="C112" s="2" t="s">
        <v>69</v>
      </c>
      <c r="D112" s="3">
        <v>1</v>
      </c>
      <c r="E112" s="1">
        <v>2</v>
      </c>
      <c r="F112" t="s">
        <v>1809</v>
      </c>
      <c r="G112" t="s">
        <v>1810</v>
      </c>
      <c r="H112" t="s">
        <v>1794</v>
      </c>
      <c r="I112" s="1" t="s">
        <v>1456</v>
      </c>
      <c r="J112" t="s">
        <v>1781</v>
      </c>
      <c r="K112" s="25">
        <f>Tabelle52[[#This Row],[value_present]]*Tabelle52[[#This Row],[binding_level]]</f>
        <v>2</v>
      </c>
    </row>
    <row r="113" spans="1:11" x14ac:dyDescent="0.25">
      <c r="A113" s="24">
        <v>15</v>
      </c>
      <c r="B113" s="2">
        <v>86</v>
      </c>
      <c r="C113" s="2" t="s">
        <v>76</v>
      </c>
      <c r="D113" s="3">
        <v>1</v>
      </c>
      <c r="E113" s="1">
        <v>1</v>
      </c>
      <c r="F113" t="s">
        <v>1811</v>
      </c>
      <c r="G113" t="s">
        <v>1812</v>
      </c>
      <c r="H113" t="s">
        <v>1795</v>
      </c>
      <c r="I113" s="1" t="s">
        <v>1457</v>
      </c>
      <c r="J113" t="s">
        <v>1782</v>
      </c>
      <c r="K113" s="25">
        <f>Tabelle52[[#This Row],[value_present]]*Tabelle52[[#This Row],[binding_level]]</f>
        <v>1</v>
      </c>
    </row>
    <row r="114" spans="1:11" x14ac:dyDescent="0.25">
      <c r="A114" s="24">
        <v>15</v>
      </c>
      <c r="B114" s="2">
        <v>86</v>
      </c>
      <c r="C114" s="2" t="s">
        <v>83</v>
      </c>
      <c r="D114" s="3">
        <v>1</v>
      </c>
      <c r="E114" s="1">
        <v>1</v>
      </c>
      <c r="F114" t="s">
        <v>1813</v>
      </c>
      <c r="G114" t="s">
        <v>1815</v>
      </c>
      <c r="H114" t="s">
        <v>1796</v>
      </c>
      <c r="I114" s="1" t="s">
        <v>1457</v>
      </c>
      <c r="J114" t="s">
        <v>1783</v>
      </c>
      <c r="K114" s="25">
        <f>Tabelle52[[#This Row],[value_present]]*Tabelle52[[#This Row],[binding_level]]</f>
        <v>1</v>
      </c>
    </row>
    <row r="115" spans="1:11" x14ac:dyDescent="0.25">
      <c r="A115" s="24">
        <v>15</v>
      </c>
      <c r="B115" s="2">
        <v>86</v>
      </c>
      <c r="C115" s="2" t="s">
        <v>90</v>
      </c>
      <c r="D115" s="3">
        <v>1</v>
      </c>
      <c r="E115" s="1">
        <v>2</v>
      </c>
      <c r="F115" t="s">
        <v>1816</v>
      </c>
      <c r="G115" t="s">
        <v>1817</v>
      </c>
      <c r="H115" t="s">
        <v>1797</v>
      </c>
      <c r="I115" s="1" t="s">
        <v>1456</v>
      </c>
      <c r="J115" t="s">
        <v>1784</v>
      </c>
      <c r="K115" s="25">
        <f>Tabelle52[[#This Row],[value_present]]*Tabelle52[[#This Row],[binding_level]]</f>
        <v>2</v>
      </c>
    </row>
    <row r="116" spans="1:11" x14ac:dyDescent="0.25">
      <c r="A116" s="24">
        <v>15</v>
      </c>
      <c r="B116" s="2">
        <v>86</v>
      </c>
      <c r="C116" s="2" t="s">
        <v>98</v>
      </c>
      <c r="D116" s="3">
        <v>1</v>
      </c>
      <c r="E116" s="1">
        <v>2</v>
      </c>
      <c r="F116" t="s">
        <v>1818</v>
      </c>
      <c r="G116" t="s">
        <v>1819</v>
      </c>
      <c r="H116" t="s">
        <v>1798</v>
      </c>
      <c r="I116" s="1" t="s">
        <v>1456</v>
      </c>
      <c r="J116" t="s">
        <v>1785</v>
      </c>
      <c r="K116" s="25">
        <f>Tabelle52[[#This Row],[value_present]]*Tabelle52[[#This Row],[binding_level]]</f>
        <v>2</v>
      </c>
    </row>
    <row r="117" spans="1:11" x14ac:dyDescent="0.25">
      <c r="A117" s="24">
        <v>15</v>
      </c>
      <c r="B117" s="2">
        <v>86</v>
      </c>
      <c r="C117" s="2" t="s">
        <v>106</v>
      </c>
      <c r="D117" s="3">
        <v>1</v>
      </c>
      <c r="E117" s="1">
        <v>2</v>
      </c>
      <c r="F117" t="s">
        <v>1820</v>
      </c>
      <c r="G117" t="s">
        <v>1821</v>
      </c>
      <c r="H117" t="s">
        <v>1799</v>
      </c>
      <c r="I117" s="1" t="s">
        <v>1457</v>
      </c>
      <c r="J117" t="s">
        <v>1786</v>
      </c>
      <c r="K117" s="25">
        <f>Tabelle52[[#This Row],[value_present]]*Tabelle52[[#This Row],[binding_level]]</f>
        <v>2</v>
      </c>
    </row>
    <row r="118" spans="1:11" x14ac:dyDescent="0.25">
      <c r="A118" s="24">
        <v>15</v>
      </c>
      <c r="B118" s="2">
        <v>86</v>
      </c>
      <c r="C118" s="2" t="s">
        <v>112</v>
      </c>
      <c r="D118" s="3">
        <v>1</v>
      </c>
      <c r="E118" s="1">
        <v>2</v>
      </c>
      <c r="F118" t="s">
        <v>1822</v>
      </c>
      <c r="G118" t="s">
        <v>1823</v>
      </c>
      <c r="H118" t="s">
        <v>1800</v>
      </c>
      <c r="I118" s="1" t="s">
        <v>1457</v>
      </c>
      <c r="J118" t="s">
        <v>1787</v>
      </c>
      <c r="K118" s="25">
        <f>Tabelle52[[#This Row],[value_present]]*Tabelle52[[#This Row],[binding_level]]</f>
        <v>2</v>
      </c>
    </row>
    <row r="119" spans="1:11" x14ac:dyDescent="0.25">
      <c r="A119" s="24">
        <v>15</v>
      </c>
      <c r="B119" s="2">
        <v>86</v>
      </c>
      <c r="C119" s="2" t="s">
        <v>118</v>
      </c>
      <c r="D119" s="3">
        <v>0</v>
      </c>
      <c r="E119" s="1"/>
      <c r="I119" s="1" t="s">
        <v>1456</v>
      </c>
      <c r="J119" t="s">
        <v>1390</v>
      </c>
      <c r="K119" s="25">
        <f>Tabelle52[[#This Row],[value_present]]*Tabelle52[[#This Row],[binding_level]]</f>
        <v>0</v>
      </c>
    </row>
    <row r="120" spans="1:11" x14ac:dyDescent="0.25">
      <c r="A120" s="24">
        <v>15</v>
      </c>
      <c r="B120" s="2">
        <v>86</v>
      </c>
      <c r="C120" s="2" t="s">
        <v>125</v>
      </c>
      <c r="D120" s="3">
        <v>0</v>
      </c>
      <c r="E120" s="1"/>
      <c r="I120" s="1" t="s">
        <v>1456</v>
      </c>
      <c r="J120" t="s">
        <v>1390</v>
      </c>
      <c r="K120" s="25">
        <f>Tabelle52[[#This Row],[value_present]]*Tabelle52[[#This Row],[binding_level]]</f>
        <v>0</v>
      </c>
    </row>
    <row r="121" spans="1:11" x14ac:dyDescent="0.25">
      <c r="A121" s="24">
        <v>15</v>
      </c>
      <c r="B121" s="2">
        <v>86</v>
      </c>
      <c r="C121" s="2" t="s">
        <v>132</v>
      </c>
      <c r="D121" s="3">
        <v>0</v>
      </c>
      <c r="E121" s="1"/>
      <c r="I121" s="1" t="s">
        <v>1456</v>
      </c>
      <c r="J121" t="s">
        <v>1390</v>
      </c>
      <c r="K121" s="25">
        <f>Tabelle52[[#This Row],[value_present]]*Tabelle52[[#This Row],[binding_level]]</f>
        <v>0</v>
      </c>
    </row>
    <row r="122" spans="1:11" x14ac:dyDescent="0.25">
      <c r="A122" s="24">
        <v>15</v>
      </c>
      <c r="B122" s="2">
        <v>86</v>
      </c>
      <c r="C122" s="2" t="s">
        <v>140</v>
      </c>
      <c r="D122" s="3">
        <v>1</v>
      </c>
      <c r="E122" s="1">
        <v>1</v>
      </c>
      <c r="F122" t="s">
        <v>1824</v>
      </c>
      <c r="G122" t="s">
        <v>1825</v>
      </c>
      <c r="H122" t="s">
        <v>1801</v>
      </c>
      <c r="I122" s="1" t="s">
        <v>1457</v>
      </c>
      <c r="J122" t="s">
        <v>1788</v>
      </c>
      <c r="K122" s="25">
        <f>Tabelle52[[#This Row],[value_present]]*Tabelle52[[#This Row],[binding_level]]</f>
        <v>1</v>
      </c>
    </row>
    <row r="123" spans="1:11" x14ac:dyDescent="0.25">
      <c r="A123" s="24">
        <v>15</v>
      </c>
      <c r="B123" s="2">
        <v>86</v>
      </c>
      <c r="C123" s="2" t="s">
        <v>147</v>
      </c>
      <c r="D123" s="3">
        <v>1</v>
      </c>
      <c r="E123" s="1">
        <v>2</v>
      </c>
      <c r="F123" t="s">
        <v>1826</v>
      </c>
      <c r="G123" t="s">
        <v>1827</v>
      </c>
      <c r="H123" t="s">
        <v>1802</v>
      </c>
      <c r="I123" s="1" t="s">
        <v>1456</v>
      </c>
      <c r="J123" t="s">
        <v>1789</v>
      </c>
      <c r="K123" s="25">
        <f>Tabelle52[[#This Row],[value_present]]*Tabelle52[[#This Row],[binding_level]]</f>
        <v>2</v>
      </c>
    </row>
    <row r="124" spans="1:11" x14ac:dyDescent="0.25">
      <c r="A124" s="24">
        <v>15</v>
      </c>
      <c r="B124" s="2">
        <v>86</v>
      </c>
      <c r="C124" s="2" t="s">
        <v>154</v>
      </c>
      <c r="D124" s="3">
        <v>1</v>
      </c>
      <c r="E124" s="1">
        <v>1</v>
      </c>
      <c r="F124" t="s">
        <v>1828</v>
      </c>
      <c r="G124" t="s">
        <v>1829</v>
      </c>
      <c r="H124" t="s">
        <v>1803</v>
      </c>
      <c r="I124" s="1" t="s">
        <v>1456</v>
      </c>
      <c r="J124" t="s">
        <v>1790</v>
      </c>
      <c r="K124" s="25">
        <f>Tabelle52[[#This Row],[value_present]]*Tabelle52[[#This Row],[binding_level]]</f>
        <v>1</v>
      </c>
    </row>
    <row r="125" spans="1:11" x14ac:dyDescent="0.25">
      <c r="A125" s="24">
        <v>15</v>
      </c>
      <c r="B125" s="2">
        <v>86</v>
      </c>
      <c r="C125" s="2" t="s">
        <v>161</v>
      </c>
      <c r="D125" s="3">
        <v>1</v>
      </c>
      <c r="E125" s="1">
        <v>3</v>
      </c>
      <c r="F125" t="s">
        <v>1830</v>
      </c>
      <c r="G125" t="s">
        <v>1831</v>
      </c>
      <c r="H125" t="s">
        <v>1804</v>
      </c>
      <c r="I125" s="1" t="s">
        <v>1457</v>
      </c>
      <c r="J125" t="s">
        <v>1791</v>
      </c>
      <c r="K125" s="25">
        <f>Tabelle52[[#This Row],[value_present]]*Tabelle52[[#This Row],[binding_level]]</f>
        <v>3</v>
      </c>
    </row>
    <row r="126" spans="1:11" x14ac:dyDescent="0.25">
      <c r="A126" s="24">
        <v>15</v>
      </c>
      <c r="B126" s="2">
        <v>86</v>
      </c>
      <c r="C126" s="2" t="s">
        <v>166</v>
      </c>
      <c r="D126" s="3">
        <v>0</v>
      </c>
      <c r="E126" s="1"/>
      <c r="I126" s="1" t="s">
        <v>1456</v>
      </c>
      <c r="J126" t="s">
        <v>1390</v>
      </c>
      <c r="K126" s="25">
        <f>Tabelle52[[#This Row],[value_present]]*Tabelle52[[#This Row],[binding_level]]</f>
        <v>0</v>
      </c>
    </row>
    <row r="127" spans="1:11" ht="15.75" thickBot="1" x14ac:dyDescent="0.3">
      <c r="A127" s="26">
        <v>15</v>
      </c>
      <c r="B127" s="27">
        <v>86</v>
      </c>
      <c r="C127" s="27" t="s">
        <v>174</v>
      </c>
      <c r="D127" s="28">
        <v>0</v>
      </c>
      <c r="E127" s="29"/>
      <c r="F127" s="30"/>
      <c r="G127" s="30"/>
      <c r="H127" s="30"/>
      <c r="I127" s="29" t="s">
        <v>1456</v>
      </c>
      <c r="J127" s="30" t="s">
        <v>1390</v>
      </c>
      <c r="K127" s="31">
        <f>Tabelle52[[#This Row],[value_present]]*Tabelle52[[#This Row],[binding_level]]</f>
        <v>0</v>
      </c>
    </row>
    <row r="128" spans="1:11" x14ac:dyDescent="0.25">
      <c r="A128" s="18">
        <v>32</v>
      </c>
      <c r="B128" s="19">
        <v>188</v>
      </c>
      <c r="C128" s="19" t="s">
        <v>53</v>
      </c>
      <c r="D128" s="20">
        <v>1</v>
      </c>
      <c r="E128" s="21">
        <v>3</v>
      </c>
      <c r="F128" t="s">
        <v>1898</v>
      </c>
      <c r="G128" s="22" t="s">
        <v>1899</v>
      </c>
      <c r="H128" s="22" t="s">
        <v>1882</v>
      </c>
      <c r="I128" s="1" t="s">
        <v>1456</v>
      </c>
      <c r="J128" t="s">
        <v>1866</v>
      </c>
      <c r="K128" s="23">
        <f>Tabelle52[[#This Row],[value_present]]*Tabelle52[[#This Row],[binding_level]]</f>
        <v>3</v>
      </c>
    </row>
    <row r="129" spans="1:11" x14ac:dyDescent="0.25">
      <c r="A129" s="24">
        <v>32</v>
      </c>
      <c r="B129" s="2">
        <v>188</v>
      </c>
      <c r="C129" s="2" t="s">
        <v>61</v>
      </c>
      <c r="D129" s="3">
        <v>1</v>
      </c>
      <c r="E129" s="1">
        <v>2</v>
      </c>
      <c r="F129" t="s">
        <v>1900</v>
      </c>
      <c r="G129" t="s">
        <v>1901</v>
      </c>
      <c r="H129" t="s">
        <v>1883</v>
      </c>
      <c r="I129" s="1" t="s">
        <v>1456</v>
      </c>
      <c r="J129" t="s">
        <v>1867</v>
      </c>
      <c r="K129" s="25">
        <f>Tabelle52[[#This Row],[value_present]]*Tabelle52[[#This Row],[binding_level]]</f>
        <v>2</v>
      </c>
    </row>
    <row r="130" spans="1:11" x14ac:dyDescent="0.25">
      <c r="A130" s="24">
        <v>32</v>
      </c>
      <c r="B130" s="2">
        <v>188</v>
      </c>
      <c r="C130" s="2" t="s">
        <v>69</v>
      </c>
      <c r="D130" s="3">
        <v>1</v>
      </c>
      <c r="E130" s="1">
        <v>3</v>
      </c>
      <c r="F130" t="s">
        <v>1902</v>
      </c>
      <c r="G130" t="s">
        <v>1903</v>
      </c>
      <c r="H130" t="s">
        <v>1884</v>
      </c>
      <c r="I130" s="1" t="s">
        <v>1456</v>
      </c>
      <c r="J130" t="s">
        <v>1868</v>
      </c>
      <c r="K130" s="25">
        <f>Tabelle52[[#This Row],[value_present]]*Tabelle52[[#This Row],[binding_level]]</f>
        <v>3</v>
      </c>
    </row>
    <row r="131" spans="1:11" x14ac:dyDescent="0.25">
      <c r="A131" s="24">
        <v>32</v>
      </c>
      <c r="B131" s="2">
        <v>188</v>
      </c>
      <c r="C131" s="2" t="s">
        <v>76</v>
      </c>
      <c r="D131" s="3">
        <v>1</v>
      </c>
      <c r="E131" s="1">
        <v>2</v>
      </c>
      <c r="F131" t="s">
        <v>1904</v>
      </c>
      <c r="G131" t="s">
        <v>1905</v>
      </c>
      <c r="H131" t="s">
        <v>1885</v>
      </c>
      <c r="I131" s="1" t="s">
        <v>1456</v>
      </c>
      <c r="J131" t="s">
        <v>1869</v>
      </c>
      <c r="K131" s="25">
        <f>Tabelle52[[#This Row],[value_present]]*Tabelle52[[#This Row],[binding_level]]</f>
        <v>2</v>
      </c>
    </row>
    <row r="132" spans="1:11" x14ac:dyDescent="0.25">
      <c r="A132" s="24">
        <v>32</v>
      </c>
      <c r="B132" s="2">
        <v>188</v>
      </c>
      <c r="C132" s="2" t="s">
        <v>83</v>
      </c>
      <c r="D132" s="3">
        <v>1</v>
      </c>
      <c r="E132" s="1">
        <v>3</v>
      </c>
      <c r="F132" t="s">
        <v>1906</v>
      </c>
      <c r="G132" t="s">
        <v>1907</v>
      </c>
      <c r="H132" t="s">
        <v>1886</v>
      </c>
      <c r="I132" s="1" t="s">
        <v>1456</v>
      </c>
      <c r="J132" t="s">
        <v>1870</v>
      </c>
      <c r="K132" s="25">
        <f>Tabelle52[[#This Row],[value_present]]*Tabelle52[[#This Row],[binding_level]]</f>
        <v>3</v>
      </c>
    </row>
    <row r="133" spans="1:11" x14ac:dyDescent="0.25">
      <c r="A133" s="24">
        <v>32</v>
      </c>
      <c r="B133" s="2">
        <v>188</v>
      </c>
      <c r="C133" s="2" t="s">
        <v>90</v>
      </c>
      <c r="D133" s="3">
        <v>1</v>
      </c>
      <c r="E133" s="1">
        <v>2</v>
      </c>
      <c r="F133" t="s">
        <v>1908</v>
      </c>
      <c r="G133" t="s">
        <v>1909</v>
      </c>
      <c r="H133" t="s">
        <v>1887</v>
      </c>
      <c r="I133" s="1" t="s">
        <v>1456</v>
      </c>
      <c r="J133" t="s">
        <v>1871</v>
      </c>
      <c r="K133" s="25">
        <f>Tabelle52[[#This Row],[value_present]]*Tabelle52[[#This Row],[binding_level]]</f>
        <v>2</v>
      </c>
    </row>
    <row r="134" spans="1:11" x14ac:dyDescent="0.25">
      <c r="A134" s="24">
        <v>32</v>
      </c>
      <c r="B134" s="2">
        <v>188</v>
      </c>
      <c r="C134" s="2" t="s">
        <v>98</v>
      </c>
      <c r="D134" s="3">
        <v>1</v>
      </c>
      <c r="E134" s="1">
        <v>2</v>
      </c>
      <c r="F134" t="s">
        <v>1910</v>
      </c>
      <c r="G134" t="s">
        <v>1911</v>
      </c>
      <c r="H134" t="s">
        <v>1888</v>
      </c>
      <c r="I134" s="1" t="s">
        <v>1456</v>
      </c>
      <c r="J134" t="s">
        <v>1872</v>
      </c>
      <c r="K134" s="25">
        <f>Tabelle52[[#This Row],[value_present]]*Tabelle52[[#This Row],[binding_level]]</f>
        <v>2</v>
      </c>
    </row>
    <row r="135" spans="1:11" x14ac:dyDescent="0.25">
      <c r="A135" s="24">
        <v>32</v>
      </c>
      <c r="B135" s="2">
        <v>188</v>
      </c>
      <c r="C135" s="2" t="s">
        <v>106</v>
      </c>
      <c r="D135" s="3">
        <v>1</v>
      </c>
      <c r="E135" s="1">
        <v>3</v>
      </c>
      <c r="F135" t="s">
        <v>1912</v>
      </c>
      <c r="G135" t="s">
        <v>1913</v>
      </c>
      <c r="H135" t="s">
        <v>1889</v>
      </c>
      <c r="I135" s="1" t="s">
        <v>1456</v>
      </c>
      <c r="J135" t="s">
        <v>1873</v>
      </c>
      <c r="K135" s="25">
        <f>Tabelle52[[#This Row],[value_present]]*Tabelle52[[#This Row],[binding_level]]</f>
        <v>3</v>
      </c>
    </row>
    <row r="136" spans="1:11" x14ac:dyDescent="0.25">
      <c r="A136" s="24">
        <v>32</v>
      </c>
      <c r="B136" s="2">
        <v>188</v>
      </c>
      <c r="C136" s="2" t="s">
        <v>112</v>
      </c>
      <c r="D136" s="3">
        <v>1</v>
      </c>
      <c r="E136" s="1">
        <v>3</v>
      </c>
      <c r="F136" t="s">
        <v>1914</v>
      </c>
      <c r="G136" t="s">
        <v>1915</v>
      </c>
      <c r="H136" t="s">
        <v>1890</v>
      </c>
      <c r="I136" s="1" t="s">
        <v>1457</v>
      </c>
      <c r="J136" t="s">
        <v>1874</v>
      </c>
      <c r="K136" s="25">
        <f>Tabelle52[[#This Row],[value_present]]*Tabelle52[[#This Row],[binding_level]]</f>
        <v>3</v>
      </c>
    </row>
    <row r="137" spans="1:11" x14ac:dyDescent="0.25">
      <c r="A137" s="24">
        <v>32</v>
      </c>
      <c r="B137" s="2">
        <v>188</v>
      </c>
      <c r="C137" s="2" t="s">
        <v>118</v>
      </c>
      <c r="D137" s="3">
        <v>1</v>
      </c>
      <c r="E137" s="1">
        <v>3</v>
      </c>
      <c r="F137" t="s">
        <v>1916</v>
      </c>
      <c r="H137" t="s">
        <v>1893</v>
      </c>
      <c r="I137" s="1" t="s">
        <v>1457</v>
      </c>
      <c r="J137" t="s">
        <v>1875</v>
      </c>
      <c r="K137" s="25">
        <f>Tabelle52[[#This Row],[value_present]]*Tabelle52[[#This Row],[binding_level]]</f>
        <v>3</v>
      </c>
    </row>
    <row r="138" spans="1:11" x14ac:dyDescent="0.25">
      <c r="A138" s="24">
        <v>32</v>
      </c>
      <c r="B138" s="2">
        <v>188</v>
      </c>
      <c r="C138" s="2" t="s">
        <v>125</v>
      </c>
      <c r="D138" s="3">
        <v>1</v>
      </c>
      <c r="E138" s="1">
        <v>2</v>
      </c>
      <c r="F138" t="s">
        <v>1917</v>
      </c>
      <c r="G138" t="s">
        <v>1918</v>
      </c>
      <c r="H138" t="s">
        <v>1891</v>
      </c>
      <c r="I138" s="1" t="s">
        <v>1456</v>
      </c>
      <c r="J138" t="s">
        <v>1876</v>
      </c>
      <c r="K138" s="25">
        <f>Tabelle52[[#This Row],[value_present]]*Tabelle52[[#This Row],[binding_level]]</f>
        <v>2</v>
      </c>
    </row>
    <row r="139" spans="1:11" x14ac:dyDescent="0.25">
      <c r="A139" s="24">
        <v>32</v>
      </c>
      <c r="B139" s="2">
        <v>188</v>
      </c>
      <c r="C139" s="2" t="s">
        <v>132</v>
      </c>
      <c r="D139" s="3">
        <v>1</v>
      </c>
      <c r="E139" s="1">
        <v>2</v>
      </c>
      <c r="F139" t="s">
        <v>1919</v>
      </c>
      <c r="G139" t="s">
        <v>1920</v>
      </c>
      <c r="H139" t="s">
        <v>1892</v>
      </c>
      <c r="I139" s="1" t="s">
        <v>1456</v>
      </c>
      <c r="J139" t="s">
        <v>1877</v>
      </c>
      <c r="K139" s="25">
        <f>Tabelle52[[#This Row],[value_present]]*Tabelle52[[#This Row],[binding_level]]</f>
        <v>2</v>
      </c>
    </row>
    <row r="140" spans="1:11" x14ac:dyDescent="0.25">
      <c r="A140" s="24">
        <v>32</v>
      </c>
      <c r="B140" s="2">
        <v>188</v>
      </c>
      <c r="C140" s="2" t="s">
        <v>140</v>
      </c>
      <c r="D140" s="3">
        <v>0</v>
      </c>
      <c r="E140" s="1"/>
      <c r="I140" s="1" t="s">
        <v>1457</v>
      </c>
      <c r="J140" t="s">
        <v>1390</v>
      </c>
      <c r="K140" s="25">
        <f>Tabelle52[[#This Row],[value_present]]*Tabelle52[[#This Row],[binding_level]]</f>
        <v>0</v>
      </c>
    </row>
    <row r="141" spans="1:11" x14ac:dyDescent="0.25">
      <c r="A141" s="24">
        <v>32</v>
      </c>
      <c r="B141" s="2">
        <v>188</v>
      </c>
      <c r="C141" s="2" t="s">
        <v>147</v>
      </c>
      <c r="D141" s="3">
        <v>1</v>
      </c>
      <c r="E141" s="1">
        <v>2</v>
      </c>
      <c r="F141" t="s">
        <v>1921</v>
      </c>
      <c r="G141" t="s">
        <v>1922</v>
      </c>
      <c r="H141" t="s">
        <v>1894</v>
      </c>
      <c r="I141" s="1"/>
      <c r="J141" t="s">
        <v>1878</v>
      </c>
      <c r="K141" s="25">
        <f>Tabelle52[[#This Row],[value_present]]*Tabelle52[[#This Row],[binding_level]]</f>
        <v>2</v>
      </c>
    </row>
    <row r="142" spans="1:11" x14ac:dyDescent="0.25">
      <c r="A142" s="24">
        <v>32</v>
      </c>
      <c r="B142" s="2">
        <v>188</v>
      </c>
      <c r="C142" s="2" t="s">
        <v>154</v>
      </c>
      <c r="D142" s="3">
        <v>1</v>
      </c>
      <c r="E142" s="1">
        <v>1</v>
      </c>
      <c r="F142" t="s">
        <v>1923</v>
      </c>
      <c r="G142" t="s">
        <v>1924</v>
      </c>
      <c r="H142" t="s">
        <v>1895</v>
      </c>
      <c r="I142" s="1" t="s">
        <v>1456</v>
      </c>
      <c r="J142" t="s">
        <v>1879</v>
      </c>
      <c r="K142" s="25">
        <f>Tabelle52[[#This Row],[value_present]]*Tabelle52[[#This Row],[binding_level]]</f>
        <v>1</v>
      </c>
    </row>
    <row r="143" spans="1:11" x14ac:dyDescent="0.25">
      <c r="A143" s="24">
        <v>32</v>
      </c>
      <c r="B143" s="2">
        <v>188</v>
      </c>
      <c r="C143" s="2" t="s">
        <v>161</v>
      </c>
      <c r="D143" s="3">
        <v>1</v>
      </c>
      <c r="E143" s="1">
        <v>3</v>
      </c>
      <c r="F143" t="s">
        <v>1925</v>
      </c>
      <c r="G143" t="s">
        <v>1926</v>
      </c>
      <c r="H143" t="s">
        <v>1896</v>
      </c>
      <c r="I143" s="1" t="s">
        <v>1457</v>
      </c>
      <c r="J143" t="s">
        <v>1880</v>
      </c>
      <c r="K143" s="25">
        <f>Tabelle52[[#This Row],[value_present]]*Tabelle52[[#This Row],[binding_level]]</f>
        <v>3</v>
      </c>
    </row>
    <row r="144" spans="1:11" x14ac:dyDescent="0.25">
      <c r="A144" s="24">
        <v>32</v>
      </c>
      <c r="B144" s="2">
        <v>188</v>
      </c>
      <c r="C144" s="2" t="s">
        <v>166</v>
      </c>
      <c r="D144" s="3">
        <v>0</v>
      </c>
      <c r="E144" s="1"/>
      <c r="I144" s="1" t="s">
        <v>1456</v>
      </c>
      <c r="J144" t="s">
        <v>1390</v>
      </c>
      <c r="K144" s="25">
        <f>Tabelle52[[#This Row],[value_present]]*Tabelle52[[#This Row],[binding_level]]</f>
        <v>0</v>
      </c>
    </row>
    <row r="145" spans="1:11" ht="15.75" thickBot="1" x14ac:dyDescent="0.3">
      <c r="A145" s="26">
        <v>32</v>
      </c>
      <c r="B145" s="27">
        <v>188</v>
      </c>
      <c r="C145" s="27" t="s">
        <v>174</v>
      </c>
      <c r="D145" s="28">
        <v>1</v>
      </c>
      <c r="E145" s="29">
        <v>3</v>
      </c>
      <c r="F145" s="30" t="s">
        <v>1927</v>
      </c>
      <c r="G145" s="30" t="s">
        <v>1928</v>
      </c>
      <c r="H145" s="30" t="s">
        <v>1897</v>
      </c>
      <c r="I145" s="29" t="s">
        <v>1456</v>
      </c>
      <c r="J145" s="30" t="s">
        <v>1881</v>
      </c>
      <c r="K145" s="31">
        <f>Tabelle52[[#This Row],[value_present]]*Tabelle52[[#This Row],[binding_level]]</f>
        <v>3</v>
      </c>
    </row>
    <row r="146" spans="1:11" x14ac:dyDescent="0.25">
      <c r="A146" s="2"/>
      <c r="B146" s="2"/>
      <c r="C146" s="2"/>
      <c r="D146" s="3"/>
      <c r="E146" s="1"/>
      <c r="I146" s="1"/>
      <c r="K146" s="4">
        <f>Tabelle52[[#This Row],[value_present]]*Tabelle52[[#This Row],[binding_level]]</f>
        <v>0</v>
      </c>
    </row>
    <row r="147" spans="1:11" x14ac:dyDescent="0.25">
      <c r="A147" s="2"/>
      <c r="B147" s="2"/>
      <c r="C147" s="2"/>
      <c r="D147" s="3"/>
      <c r="E147" s="1"/>
      <c r="I147" s="1"/>
      <c r="K147" s="4">
        <f>Tabelle52[[#This Row],[value_present]]*Tabelle52[[#This Row],[binding_level]]</f>
        <v>0</v>
      </c>
    </row>
    <row r="148" spans="1:11" x14ac:dyDescent="0.25">
      <c r="A148" s="2"/>
      <c r="B148" s="2"/>
      <c r="C148" s="2"/>
      <c r="D148" s="3"/>
      <c r="E148" s="1"/>
      <c r="I148" s="1"/>
      <c r="K148" s="4">
        <f>Tabelle52[[#This Row],[value_present]]*Tabelle52[[#This Row],[binding_level]]</f>
        <v>0</v>
      </c>
    </row>
    <row r="149" spans="1:11" x14ac:dyDescent="0.25">
      <c r="A149" s="2"/>
      <c r="B149" s="2"/>
      <c r="C149" s="2"/>
      <c r="D149" s="3"/>
      <c r="E149" s="1"/>
      <c r="I149" s="1"/>
      <c r="K149" s="4">
        <f>Tabelle52[[#This Row],[value_present]]*Tabelle52[[#This Row],[binding_level]]</f>
        <v>0</v>
      </c>
    </row>
    <row r="150" spans="1:11" x14ac:dyDescent="0.25">
      <c r="A150" s="2"/>
      <c r="B150" s="2"/>
      <c r="C150" s="2"/>
      <c r="D150" s="3"/>
      <c r="E150" s="1"/>
      <c r="I150" s="1"/>
      <c r="K150" s="4">
        <f>Tabelle52[[#This Row],[value_present]]*Tabelle52[[#This Row],[binding_level]]</f>
        <v>0</v>
      </c>
    </row>
    <row r="151" spans="1:11" x14ac:dyDescent="0.25">
      <c r="A151" s="2"/>
      <c r="B151" s="2"/>
      <c r="C151" s="2"/>
      <c r="D151" s="3"/>
      <c r="E151" s="1"/>
      <c r="I151" s="1"/>
      <c r="K151" s="4">
        <f>Tabelle52[[#This Row],[value_present]]*Tabelle52[[#This Row],[binding_level]]</f>
        <v>0</v>
      </c>
    </row>
    <row r="152" spans="1:11" x14ac:dyDescent="0.25">
      <c r="A152" s="2"/>
      <c r="B152" s="2"/>
      <c r="C152" s="2"/>
      <c r="D152" s="3"/>
      <c r="E152" s="1"/>
      <c r="I152" s="1"/>
      <c r="K152" s="4">
        <f>Tabelle52[[#This Row],[value_present]]*Tabelle52[[#This Row],[binding_level]]</f>
        <v>0</v>
      </c>
    </row>
    <row r="153" spans="1:11" x14ac:dyDescent="0.25">
      <c r="A153" s="2"/>
      <c r="B153" s="2"/>
      <c r="C153" s="2"/>
      <c r="D153" s="3"/>
      <c r="E153" s="1"/>
      <c r="I153" s="1"/>
      <c r="K153" s="4">
        <f>Tabelle52[[#This Row],[value_present]]*Tabelle52[[#This Row],[binding_level]]</f>
        <v>0</v>
      </c>
    </row>
    <row r="154" spans="1:11" x14ac:dyDescent="0.25">
      <c r="A154" s="2"/>
      <c r="B154" s="2"/>
      <c r="C154" s="2"/>
      <c r="D154" s="3"/>
      <c r="E154" s="1"/>
      <c r="I154" s="1"/>
      <c r="K154" s="4">
        <f>Tabelle52[[#This Row],[value_present]]*Tabelle52[[#This Row],[binding_level]]</f>
        <v>0</v>
      </c>
    </row>
    <row r="155" spans="1:11" x14ac:dyDescent="0.25">
      <c r="A155" s="2"/>
      <c r="B155" s="2"/>
      <c r="C155" s="2"/>
      <c r="D155" s="3"/>
      <c r="E155" s="1"/>
      <c r="I155" s="1"/>
      <c r="K155" s="4">
        <f>Tabelle52[[#This Row],[value_present]]*Tabelle52[[#This Row],[binding_level]]</f>
        <v>0</v>
      </c>
    </row>
    <row r="156" spans="1:11" x14ac:dyDescent="0.25">
      <c r="A156" s="2"/>
      <c r="B156" s="2"/>
      <c r="C156" s="2"/>
      <c r="D156" s="3"/>
      <c r="E156" s="1"/>
      <c r="I156" s="1"/>
      <c r="K156" s="4">
        <f>Tabelle52[[#This Row],[value_present]]*Tabelle52[[#This Row],[binding_level]]</f>
        <v>0</v>
      </c>
    </row>
    <row r="157" spans="1:11" x14ac:dyDescent="0.25">
      <c r="A157" s="2"/>
      <c r="B157" s="2"/>
      <c r="C157" s="2"/>
      <c r="D157" s="3"/>
      <c r="E157" s="1"/>
      <c r="I157" s="1"/>
      <c r="K157" s="4">
        <f>Tabelle52[[#This Row],[value_present]]*Tabelle52[[#This Row],[binding_level]]</f>
        <v>0</v>
      </c>
    </row>
    <row r="158" spans="1:11" x14ac:dyDescent="0.25">
      <c r="A158" s="2"/>
      <c r="B158" s="2"/>
      <c r="C158" s="2"/>
      <c r="D158" s="3"/>
      <c r="E158" s="1"/>
      <c r="I158" s="1"/>
      <c r="K158" s="4">
        <f>Tabelle52[[#This Row],[value_present]]*Tabelle52[[#This Row],[binding_level]]</f>
        <v>0</v>
      </c>
    </row>
    <row r="159" spans="1:11" x14ac:dyDescent="0.25">
      <c r="A159" s="2"/>
      <c r="B159" s="2"/>
      <c r="C159" s="2"/>
      <c r="D159" s="3"/>
      <c r="E159" s="1"/>
      <c r="I159" s="1"/>
      <c r="K159" s="4">
        <f>Tabelle52[[#This Row],[value_present]]*Tabelle52[[#This Row],[binding_level]]</f>
        <v>0</v>
      </c>
    </row>
    <row r="160" spans="1:11" x14ac:dyDescent="0.25">
      <c r="A160" s="2"/>
      <c r="B160" s="2"/>
      <c r="C160" s="2"/>
      <c r="D160" s="3"/>
      <c r="E160" s="1"/>
      <c r="I160" s="1"/>
      <c r="K160" s="4">
        <f>Tabelle52[[#This Row],[value_present]]*Tabelle52[[#This Row],[binding_level]]</f>
        <v>0</v>
      </c>
    </row>
    <row r="161" spans="1:11" x14ac:dyDescent="0.25">
      <c r="A161" s="2"/>
      <c r="B161" s="2"/>
      <c r="C161" s="2"/>
      <c r="D161" s="3"/>
      <c r="E161" s="1"/>
      <c r="I161" s="1"/>
      <c r="K161" s="4">
        <f>Tabelle52[[#This Row],[value_present]]*Tabelle52[[#This Row],[binding_level]]</f>
        <v>0</v>
      </c>
    </row>
    <row r="162" spans="1:11" x14ac:dyDescent="0.25">
      <c r="A162" s="2"/>
      <c r="B162" s="2"/>
      <c r="C162" s="2"/>
      <c r="D162" s="3"/>
      <c r="E162" s="1"/>
      <c r="I162" s="1"/>
      <c r="K162" s="4">
        <f>Tabelle52[[#This Row],[value_present]]*Tabelle52[[#This Row],[binding_level]]</f>
        <v>0</v>
      </c>
    </row>
    <row r="163" spans="1:11" x14ac:dyDescent="0.25">
      <c r="A163" s="2"/>
      <c r="B163" s="2"/>
      <c r="C163" s="2"/>
      <c r="D163" s="3"/>
      <c r="E163" s="1"/>
      <c r="I163" s="1"/>
      <c r="K163" s="4">
        <f>Tabelle52[[#This Row],[value_present]]*Tabelle52[[#This Row],[binding_level]]</f>
        <v>0</v>
      </c>
    </row>
    <row r="164" spans="1:11" x14ac:dyDescent="0.25">
      <c r="A164" s="2"/>
      <c r="B164" s="2"/>
      <c r="C164" s="2"/>
      <c r="D164" s="3"/>
      <c r="E164" s="1"/>
      <c r="I164" s="1"/>
      <c r="K164" s="4">
        <f>Tabelle52[[#This Row],[value_present]]*Tabelle52[[#This Row],[binding_level]]</f>
        <v>0</v>
      </c>
    </row>
    <row r="165" spans="1:11" x14ac:dyDescent="0.25">
      <c r="A165" s="2"/>
      <c r="B165" s="2"/>
      <c r="C165" s="2"/>
      <c r="D165" s="3"/>
      <c r="E165" s="1"/>
      <c r="I165" s="1"/>
      <c r="K165" s="4">
        <f>Tabelle52[[#This Row],[value_present]]*Tabelle52[[#This Row],[binding_level]]</f>
        <v>0</v>
      </c>
    </row>
    <row r="166" spans="1:11" x14ac:dyDescent="0.25">
      <c r="A166" s="2"/>
      <c r="B166" s="2"/>
      <c r="C166" s="2"/>
      <c r="D166" s="3"/>
      <c r="E166" s="1"/>
      <c r="I166" s="1"/>
      <c r="K166" s="4">
        <f>Tabelle52[[#This Row],[value_present]]*Tabelle52[[#This Row],[binding_level]]</f>
        <v>0</v>
      </c>
    </row>
    <row r="167" spans="1:11" x14ac:dyDescent="0.25">
      <c r="A167" s="2"/>
      <c r="B167" s="2"/>
      <c r="C167" s="2"/>
      <c r="D167" s="3"/>
      <c r="E167" s="1"/>
      <c r="I167" s="1"/>
      <c r="K167" s="4">
        <f>Tabelle52[[#This Row],[value_present]]*Tabelle52[[#This Row],[binding_level]]</f>
        <v>0</v>
      </c>
    </row>
    <row r="168" spans="1:11" x14ac:dyDescent="0.25">
      <c r="A168" s="2"/>
      <c r="B168" s="2"/>
      <c r="C168" s="2"/>
      <c r="D168" s="3"/>
      <c r="E168" s="1"/>
      <c r="I168" s="1"/>
      <c r="K168" s="4">
        <f>Tabelle52[[#This Row],[value_present]]*Tabelle52[[#This Row],[binding_level]]</f>
        <v>0</v>
      </c>
    </row>
    <row r="169" spans="1:11" x14ac:dyDescent="0.25">
      <c r="A169" s="2"/>
      <c r="B169" s="2"/>
      <c r="C169" s="2"/>
      <c r="D169" s="3"/>
      <c r="E169" s="1"/>
      <c r="I169" s="1"/>
      <c r="K169" s="4">
        <f>Tabelle52[[#This Row],[value_present]]*Tabelle52[[#This Row],[binding_level]]</f>
        <v>0</v>
      </c>
    </row>
    <row r="170" spans="1:11" x14ac:dyDescent="0.25">
      <c r="A170" s="2"/>
      <c r="B170" s="2"/>
      <c r="C170" s="2"/>
      <c r="D170" s="3"/>
      <c r="E170" s="1"/>
      <c r="I170" s="1"/>
      <c r="K170" s="4">
        <f>Tabelle52[[#This Row],[value_present]]*Tabelle52[[#This Row],[binding_level]]</f>
        <v>0</v>
      </c>
    </row>
    <row r="171" spans="1:11" x14ac:dyDescent="0.25">
      <c r="A171" s="2"/>
      <c r="B171" s="2"/>
      <c r="C171" s="2"/>
      <c r="D171" s="3"/>
      <c r="E171" s="1"/>
      <c r="I171" s="1"/>
      <c r="K171" s="4">
        <f>Tabelle52[[#This Row],[value_present]]*Tabelle52[[#This Row],[binding_level]]</f>
        <v>0</v>
      </c>
    </row>
    <row r="172" spans="1:11" x14ac:dyDescent="0.25">
      <c r="A172" s="2"/>
      <c r="B172" s="2"/>
      <c r="C172" s="2"/>
      <c r="D172" s="3"/>
      <c r="E172" s="1"/>
      <c r="I172" s="1"/>
      <c r="K172" s="4">
        <f>Tabelle52[[#This Row],[value_present]]*Tabelle52[[#This Row],[binding_level]]</f>
        <v>0</v>
      </c>
    </row>
    <row r="173" spans="1:11" x14ac:dyDescent="0.25">
      <c r="A173" s="2"/>
      <c r="B173" s="2"/>
      <c r="C173" s="2"/>
      <c r="D173" s="3"/>
      <c r="E173" s="1"/>
      <c r="I173" s="1"/>
      <c r="K173" s="4">
        <f>Tabelle52[[#This Row],[value_present]]*Tabelle52[[#This Row],[binding_level]]</f>
        <v>0</v>
      </c>
    </row>
    <row r="174" spans="1:11" x14ac:dyDescent="0.25">
      <c r="A174" s="2"/>
      <c r="B174" s="2"/>
      <c r="C174" s="2"/>
      <c r="D174" s="3"/>
      <c r="E174" s="1"/>
      <c r="I174" s="1"/>
      <c r="K174" s="4">
        <f>Tabelle52[[#This Row],[value_present]]*Tabelle52[[#This Row],[binding_level]]</f>
        <v>0</v>
      </c>
    </row>
    <row r="175" spans="1:11" x14ac:dyDescent="0.25">
      <c r="A175" s="2"/>
      <c r="B175" s="2"/>
      <c r="C175" s="2"/>
      <c r="D175" s="3"/>
      <c r="E175" s="1"/>
      <c r="I175" s="1"/>
      <c r="K175" s="4">
        <f>Tabelle52[[#This Row],[value_present]]*Tabelle52[[#This Row],[binding_level]]</f>
        <v>0</v>
      </c>
    </row>
    <row r="176" spans="1:11" x14ac:dyDescent="0.25">
      <c r="A176" s="2"/>
      <c r="B176" s="2"/>
      <c r="C176" s="2"/>
      <c r="D176" s="3"/>
      <c r="E176" s="1"/>
      <c r="I176" s="1"/>
      <c r="K176" s="4">
        <f>Tabelle52[[#This Row],[value_present]]*Tabelle52[[#This Row],[binding_level]]</f>
        <v>0</v>
      </c>
    </row>
    <row r="177" spans="1:11" x14ac:dyDescent="0.25">
      <c r="A177" s="2"/>
      <c r="B177" s="2"/>
      <c r="C177" s="2"/>
      <c r="D177" s="3"/>
      <c r="E177" s="1"/>
      <c r="I177" s="1"/>
      <c r="K177" s="4">
        <f>Tabelle52[[#This Row],[value_present]]*Tabelle52[[#This Row],[binding_level]]</f>
        <v>0</v>
      </c>
    </row>
    <row r="178" spans="1:11" x14ac:dyDescent="0.25">
      <c r="A178" s="2"/>
      <c r="B178" s="2"/>
      <c r="C178" s="2"/>
      <c r="D178" s="3"/>
      <c r="E178" s="1"/>
      <c r="I178" s="1"/>
      <c r="K178" s="4">
        <f>Tabelle52[[#This Row],[value_present]]*Tabelle52[[#This Row],[binding_level]]</f>
        <v>0</v>
      </c>
    </row>
    <row r="179" spans="1:11" x14ac:dyDescent="0.25">
      <c r="A179" s="2"/>
      <c r="B179" s="2"/>
      <c r="C179" s="2"/>
      <c r="D179" s="3"/>
      <c r="E179" s="1"/>
      <c r="I179" s="1"/>
      <c r="K179" s="4">
        <f>Tabelle52[[#This Row],[value_present]]*Tabelle52[[#This Row],[binding_level]]</f>
        <v>0</v>
      </c>
    </row>
    <row r="180" spans="1:11" x14ac:dyDescent="0.25">
      <c r="A180" s="2"/>
      <c r="B180" s="2"/>
      <c r="C180" s="2"/>
      <c r="D180" s="3"/>
      <c r="E180" s="1"/>
      <c r="I180" s="1"/>
      <c r="K180" s="4">
        <f>Tabelle52[[#This Row],[value_present]]*Tabelle52[[#This Row],[binding_level]]</f>
        <v>0</v>
      </c>
    </row>
    <row r="181" spans="1:11" x14ac:dyDescent="0.25">
      <c r="A181" s="2"/>
      <c r="B181" s="2"/>
      <c r="C181" s="2"/>
      <c r="D181" s="3"/>
      <c r="E181" s="1"/>
      <c r="I181" s="1"/>
      <c r="K181" s="4">
        <f>Tabelle52[[#This Row],[value_present]]*Tabelle52[[#This Row],[binding_level]]</f>
        <v>0</v>
      </c>
    </row>
    <row r="182" spans="1:11" x14ac:dyDescent="0.25">
      <c r="A182" s="2"/>
      <c r="B182" s="2"/>
      <c r="C182" s="2"/>
      <c r="D182" s="3"/>
      <c r="E182" s="1"/>
      <c r="I182" s="1"/>
      <c r="K182" s="4">
        <f>Tabelle52[[#This Row],[value_present]]*Tabelle52[[#This Row],[binding_level]]</f>
        <v>0</v>
      </c>
    </row>
    <row r="183" spans="1:11" x14ac:dyDescent="0.25">
      <c r="A183" s="2"/>
      <c r="B183" s="2"/>
      <c r="C183" s="2"/>
      <c r="D183" s="3"/>
      <c r="E183" s="1"/>
      <c r="I183" s="1"/>
      <c r="K183" s="4">
        <f>Tabelle52[[#This Row],[value_present]]*Tabelle52[[#This Row],[binding_level]]</f>
        <v>0</v>
      </c>
    </row>
    <row r="184" spans="1:11" x14ac:dyDescent="0.25">
      <c r="A184" s="2"/>
      <c r="B184" s="2"/>
      <c r="C184" s="2"/>
      <c r="D184" s="3"/>
      <c r="E184" s="1"/>
      <c r="I184" s="1"/>
      <c r="K184" s="4">
        <f>Tabelle52[[#This Row],[value_present]]*Tabelle52[[#This Row],[binding_level]]</f>
        <v>0</v>
      </c>
    </row>
    <row r="185" spans="1:11" x14ac:dyDescent="0.25">
      <c r="A185" s="2"/>
      <c r="B185" s="2"/>
      <c r="C185" s="2"/>
      <c r="D185" s="3"/>
      <c r="E185" s="1"/>
      <c r="I185" s="1"/>
      <c r="K185" s="4">
        <f>Tabelle52[[#This Row],[value_present]]*Tabelle52[[#This Row],[binding_level]]</f>
        <v>0</v>
      </c>
    </row>
    <row r="186" spans="1:11" x14ac:dyDescent="0.25">
      <c r="A186" s="2"/>
      <c r="B186" s="2"/>
      <c r="C186" s="2"/>
      <c r="D186" s="3"/>
      <c r="E186" s="1"/>
      <c r="I186" s="1"/>
      <c r="K186" s="4">
        <f>Tabelle52[[#This Row],[value_present]]*Tabelle52[[#This Row],[binding_level]]</f>
        <v>0</v>
      </c>
    </row>
    <row r="187" spans="1:11" x14ac:dyDescent="0.25">
      <c r="A187" s="2"/>
      <c r="B187" s="2"/>
      <c r="C187" s="2"/>
      <c r="D187" s="3"/>
      <c r="E187" s="1"/>
      <c r="I187" s="1"/>
      <c r="K187" s="4">
        <f>Tabelle52[[#This Row],[value_present]]*Tabelle52[[#This Row],[binding_level]]</f>
        <v>0</v>
      </c>
    </row>
    <row r="188" spans="1:11" x14ac:dyDescent="0.25">
      <c r="A188" s="2"/>
      <c r="B188" s="2"/>
      <c r="C188" s="2"/>
      <c r="D188" s="3"/>
      <c r="E188" s="1"/>
      <c r="I188" s="1"/>
      <c r="K188" s="4">
        <f>Tabelle52[[#This Row],[value_present]]*Tabelle52[[#This Row],[binding_level]]</f>
        <v>0</v>
      </c>
    </row>
    <row r="189" spans="1:11" x14ac:dyDescent="0.25">
      <c r="A189" s="2"/>
      <c r="B189" s="2"/>
      <c r="C189" s="2"/>
      <c r="D189" s="3"/>
      <c r="E189" s="1"/>
      <c r="I189" s="1"/>
      <c r="K189" s="4">
        <f>Tabelle52[[#This Row],[value_present]]*Tabelle52[[#This Row],[binding_level]]</f>
        <v>0</v>
      </c>
    </row>
    <row r="190" spans="1:11" x14ac:dyDescent="0.25">
      <c r="A190" s="2"/>
      <c r="B190" s="2"/>
      <c r="C190" s="2"/>
      <c r="D190" s="3"/>
      <c r="E190" s="1"/>
      <c r="I190" s="1"/>
      <c r="K190" s="4">
        <f>Tabelle52[[#This Row],[value_present]]*Tabelle52[[#This Row],[binding_level]]</f>
        <v>0</v>
      </c>
    </row>
    <row r="191" spans="1:11" x14ac:dyDescent="0.25">
      <c r="A191" s="2"/>
      <c r="B191" s="2"/>
      <c r="C191" s="2"/>
      <c r="D191" s="3"/>
      <c r="E191" s="1"/>
      <c r="I191" s="1"/>
      <c r="K191" s="4">
        <f>Tabelle52[[#This Row],[value_present]]*Tabelle52[[#This Row],[binding_level]]</f>
        <v>0</v>
      </c>
    </row>
    <row r="192" spans="1:11" x14ac:dyDescent="0.25">
      <c r="A192" s="2"/>
      <c r="B192" s="2"/>
      <c r="C192" s="2"/>
      <c r="D192" s="3"/>
      <c r="E192" s="1"/>
      <c r="I192" s="1"/>
      <c r="K192" s="4">
        <f>Tabelle52[[#This Row],[value_present]]*Tabelle52[[#This Row],[binding_level]]</f>
        <v>0</v>
      </c>
    </row>
    <row r="193" spans="1:11" x14ac:dyDescent="0.25">
      <c r="A193" s="2"/>
      <c r="B193" s="2"/>
      <c r="C193" s="2"/>
      <c r="D193" s="3"/>
      <c r="E193" s="1"/>
      <c r="I193" s="1"/>
      <c r="K193" s="4">
        <f>Tabelle52[[#This Row],[value_present]]*Tabelle52[[#This Row],[binding_level]]</f>
        <v>0</v>
      </c>
    </row>
    <row r="194" spans="1:11" x14ac:dyDescent="0.25">
      <c r="A194" s="2"/>
      <c r="B194" s="2"/>
      <c r="C194" s="2"/>
      <c r="D194" s="3"/>
      <c r="E194" s="1"/>
      <c r="I194" s="1"/>
      <c r="K194" s="4">
        <f>Tabelle52[[#This Row],[value_present]]*Tabelle52[[#This Row],[binding_level]]</f>
        <v>0</v>
      </c>
    </row>
    <row r="195" spans="1:11" x14ac:dyDescent="0.25">
      <c r="A195" s="2"/>
      <c r="B195" s="2"/>
      <c r="C195" s="2"/>
      <c r="D195" s="3"/>
      <c r="E195" s="1"/>
      <c r="I195" s="1"/>
      <c r="K195" s="4">
        <f>Tabelle52[[#This Row],[value_present]]*Tabelle52[[#This Row],[binding_level]]</f>
        <v>0</v>
      </c>
    </row>
    <row r="196" spans="1:11" x14ac:dyDescent="0.25">
      <c r="A196" s="2"/>
      <c r="B196" s="2"/>
      <c r="C196" s="2"/>
      <c r="D196" s="3"/>
      <c r="E196" s="1"/>
      <c r="I196" s="1"/>
      <c r="K196" s="4">
        <f>Tabelle52[[#This Row],[value_present]]*Tabelle52[[#This Row],[binding_level]]</f>
        <v>0</v>
      </c>
    </row>
    <row r="197" spans="1:11" x14ac:dyDescent="0.25">
      <c r="A197" s="2"/>
      <c r="B197" s="2"/>
      <c r="C197" s="2"/>
      <c r="D197" s="3"/>
      <c r="E197" s="1"/>
      <c r="I197" s="1"/>
      <c r="K197" s="4">
        <f>Tabelle52[[#This Row],[value_present]]*Tabelle52[[#This Row],[binding_level]]</f>
        <v>0</v>
      </c>
    </row>
    <row r="198" spans="1:11" x14ac:dyDescent="0.25">
      <c r="A198" s="2"/>
      <c r="B198" s="2"/>
      <c r="C198" s="2"/>
      <c r="D198" s="3"/>
      <c r="E198" s="1"/>
      <c r="I198" s="1"/>
      <c r="K198" s="4">
        <f>Tabelle52[[#This Row],[value_present]]*Tabelle52[[#This Row],[binding_level]]</f>
        <v>0</v>
      </c>
    </row>
    <row r="199" spans="1:11" x14ac:dyDescent="0.25">
      <c r="A199" s="2"/>
      <c r="B199" s="2"/>
      <c r="C199" s="2"/>
      <c r="D199" s="3"/>
      <c r="E199" s="1"/>
      <c r="I199" s="1"/>
      <c r="K199" s="4">
        <f>Tabelle52[[#This Row],[value_present]]*Tabelle52[[#This Row],[binding_level]]</f>
        <v>0</v>
      </c>
    </row>
    <row r="200" spans="1:11" x14ac:dyDescent="0.25">
      <c r="A200" s="2"/>
      <c r="B200" s="2"/>
      <c r="C200" s="2"/>
      <c r="D200" s="3"/>
      <c r="E200" s="1"/>
      <c r="I200" s="1"/>
      <c r="K200" s="4">
        <f>Tabelle52[[#This Row],[value_present]]*Tabelle52[[#This Row],[binding_level]]</f>
        <v>0</v>
      </c>
    </row>
    <row r="201" spans="1:11" x14ac:dyDescent="0.25">
      <c r="A201" s="2"/>
      <c r="B201" s="2"/>
      <c r="C201" s="2"/>
      <c r="D201" s="3"/>
      <c r="E201" s="1"/>
      <c r="I201" s="1"/>
      <c r="K201" s="4">
        <f>Tabelle52[[#This Row],[value_present]]*Tabelle52[[#This Row],[binding_level]]</f>
        <v>0</v>
      </c>
    </row>
    <row r="202" spans="1:11" x14ac:dyDescent="0.25">
      <c r="A202" s="2"/>
      <c r="B202" s="2"/>
      <c r="C202" s="2"/>
      <c r="D202" s="3"/>
      <c r="E202" s="1"/>
      <c r="I202" s="1"/>
      <c r="K202" s="4">
        <f>Tabelle52[[#This Row],[value_present]]*Tabelle52[[#This Row],[binding_level]]</f>
        <v>0</v>
      </c>
    </row>
    <row r="203" spans="1:11" x14ac:dyDescent="0.25">
      <c r="A203" s="2"/>
      <c r="B203" s="2"/>
      <c r="C203" s="2"/>
      <c r="D203" s="3"/>
      <c r="E203" s="1"/>
      <c r="I203" s="1"/>
      <c r="K203" s="4">
        <f>Tabelle52[[#This Row],[value_present]]*Tabelle52[[#This Row],[binding_level]]</f>
        <v>0</v>
      </c>
    </row>
    <row r="204" spans="1:11" x14ac:dyDescent="0.25">
      <c r="A204" s="2"/>
      <c r="B204" s="2"/>
      <c r="C204" s="2"/>
      <c r="D204" s="3"/>
      <c r="E204" s="1"/>
      <c r="I204" s="1"/>
      <c r="K204" s="4">
        <f>Tabelle52[[#This Row],[value_present]]*Tabelle52[[#This Row],[binding_level]]</f>
        <v>0</v>
      </c>
    </row>
    <row r="205" spans="1:11" x14ac:dyDescent="0.25">
      <c r="A205" s="2"/>
      <c r="B205" s="2"/>
      <c r="C205" s="2"/>
      <c r="D205" s="3"/>
      <c r="E205" s="1"/>
      <c r="I205" s="1"/>
      <c r="K205" s="4">
        <f>Tabelle52[[#This Row],[value_present]]*Tabelle52[[#This Row],[binding_level]]</f>
        <v>0</v>
      </c>
    </row>
    <row r="206" spans="1:11" x14ac:dyDescent="0.25">
      <c r="A206" s="2"/>
      <c r="B206" s="2"/>
      <c r="C206" s="2"/>
      <c r="D206" s="3"/>
      <c r="E206" s="1"/>
      <c r="I206" s="1"/>
      <c r="K206" s="4">
        <f>Tabelle52[[#This Row],[value_present]]*Tabelle52[[#This Row],[binding_level]]</f>
        <v>0</v>
      </c>
    </row>
    <row r="207" spans="1:11" x14ac:dyDescent="0.25">
      <c r="A207" s="2"/>
      <c r="B207" s="2"/>
      <c r="C207" s="2"/>
      <c r="D207" s="3"/>
      <c r="E207" s="1"/>
      <c r="I207" s="1"/>
      <c r="K207" s="4">
        <f>Tabelle52[[#This Row],[value_present]]*Tabelle52[[#This Row],[binding_level]]</f>
        <v>0</v>
      </c>
    </row>
    <row r="208" spans="1:11" x14ac:dyDescent="0.25">
      <c r="A208" s="2"/>
      <c r="B208" s="2"/>
      <c r="C208" s="2"/>
      <c r="D208" s="3"/>
      <c r="E208" s="1"/>
      <c r="I208" s="1"/>
      <c r="K208" s="4">
        <f>Tabelle52[[#This Row],[value_present]]*Tabelle52[[#This Row],[binding_level]]</f>
        <v>0</v>
      </c>
    </row>
    <row r="209" spans="1:11" x14ac:dyDescent="0.25">
      <c r="A209" s="2"/>
      <c r="B209" s="2"/>
      <c r="C209" s="2"/>
      <c r="D209" s="3"/>
      <c r="E209" s="1"/>
      <c r="I209" s="1"/>
      <c r="K209" s="4">
        <f>Tabelle52[[#This Row],[value_present]]*Tabelle52[[#This Row],[binding_level]]</f>
        <v>0</v>
      </c>
    </row>
    <row r="210" spans="1:11" x14ac:dyDescent="0.25">
      <c r="A210" s="2"/>
      <c r="B210" s="2"/>
      <c r="C210" s="2"/>
      <c r="D210" s="3"/>
      <c r="E210" s="1"/>
      <c r="I210" s="1"/>
      <c r="K210" s="4">
        <f>Tabelle52[[#This Row],[value_present]]*Tabelle52[[#This Row],[binding_level]]</f>
        <v>0</v>
      </c>
    </row>
    <row r="211" spans="1:11" x14ac:dyDescent="0.25">
      <c r="A211" s="2"/>
      <c r="B211" s="2"/>
      <c r="C211" s="2"/>
      <c r="D211" s="3"/>
      <c r="E211" s="1"/>
      <c r="I211" s="1"/>
      <c r="K211" s="4">
        <f>Tabelle52[[#This Row],[value_present]]*Tabelle52[[#This Row],[binding_level]]</f>
        <v>0</v>
      </c>
    </row>
    <row r="212" spans="1:11" x14ac:dyDescent="0.25">
      <c r="A212" s="2"/>
      <c r="B212" s="2"/>
      <c r="C212" s="2"/>
      <c r="D212" s="3"/>
      <c r="E212" s="1"/>
      <c r="I212" s="1"/>
      <c r="K212" s="4">
        <f>Tabelle52[[#This Row],[value_present]]*Tabelle52[[#This Row],[binding_level]]</f>
        <v>0</v>
      </c>
    </row>
    <row r="213" spans="1:11" x14ac:dyDescent="0.25">
      <c r="A213" s="2"/>
      <c r="B213" s="2"/>
      <c r="C213" s="2"/>
      <c r="D213" s="3"/>
      <c r="E213" s="1"/>
      <c r="I213" s="1"/>
      <c r="K213" s="4">
        <f>Tabelle52[[#This Row],[value_present]]*Tabelle52[[#This Row],[binding_level]]</f>
        <v>0</v>
      </c>
    </row>
    <row r="214" spans="1:11" x14ac:dyDescent="0.25">
      <c r="A214" s="2"/>
      <c r="B214" s="2"/>
      <c r="C214" s="2"/>
      <c r="D214" s="3"/>
      <c r="E214" s="1"/>
      <c r="I214" s="1"/>
      <c r="K214" s="4">
        <f>Tabelle52[[#This Row],[value_present]]*Tabelle52[[#This Row],[binding_level]]</f>
        <v>0</v>
      </c>
    </row>
    <row r="215" spans="1:11" x14ac:dyDescent="0.25">
      <c r="A215" s="2"/>
      <c r="B215" s="2"/>
      <c r="C215" s="2"/>
      <c r="D215" s="3"/>
      <c r="E215" s="1"/>
      <c r="I215" s="1"/>
      <c r="K215" s="4">
        <f>Tabelle52[[#This Row],[value_present]]*Tabelle52[[#This Row],[binding_level]]</f>
        <v>0</v>
      </c>
    </row>
    <row r="216" spans="1:11" x14ac:dyDescent="0.25">
      <c r="A216" s="2"/>
      <c r="B216" s="2"/>
      <c r="C216" s="2"/>
      <c r="D216" s="3"/>
      <c r="E216" s="1"/>
      <c r="I216" s="1"/>
      <c r="K216" s="4">
        <f>Tabelle52[[#This Row],[value_present]]*Tabelle52[[#This Row],[binding_level]]</f>
        <v>0</v>
      </c>
    </row>
    <row r="217" spans="1:11" x14ac:dyDescent="0.25">
      <c r="A217" s="2"/>
      <c r="B217" s="2"/>
      <c r="C217" s="2"/>
      <c r="D217" s="3"/>
      <c r="E217" s="1"/>
      <c r="I217" s="1"/>
      <c r="K217" s="4">
        <f>Tabelle52[[#This Row],[value_present]]*Tabelle52[[#This Row],[binding_level]]</f>
        <v>0</v>
      </c>
    </row>
    <row r="218" spans="1:11" x14ac:dyDescent="0.25">
      <c r="A218" s="2"/>
      <c r="B218" s="2"/>
      <c r="C218" s="2"/>
      <c r="D218" s="3"/>
      <c r="E218" s="1"/>
      <c r="I218" s="1"/>
      <c r="K218" s="4">
        <f>Tabelle52[[#This Row],[value_present]]*Tabelle52[[#This Row],[binding_level]]</f>
        <v>0</v>
      </c>
    </row>
    <row r="219" spans="1:11" x14ac:dyDescent="0.25">
      <c r="A219" s="2"/>
      <c r="B219" s="2"/>
      <c r="C219" s="2"/>
      <c r="D219" s="3"/>
      <c r="E219" s="1"/>
      <c r="I219" s="1"/>
      <c r="K219" s="4">
        <f>Tabelle52[[#This Row],[value_present]]*Tabelle52[[#This Row],[binding_level]]</f>
        <v>0</v>
      </c>
    </row>
    <row r="220" spans="1:11" x14ac:dyDescent="0.25">
      <c r="A220" s="2"/>
      <c r="B220" s="2"/>
      <c r="C220" s="2"/>
      <c r="D220" s="3"/>
      <c r="E220" s="1"/>
      <c r="I220" s="1"/>
      <c r="K220" s="4">
        <f>Tabelle52[[#This Row],[value_present]]*Tabelle52[[#This Row],[binding_level]]</f>
        <v>0</v>
      </c>
    </row>
    <row r="221" spans="1:11" x14ac:dyDescent="0.25">
      <c r="A221" s="2"/>
      <c r="B221" s="2"/>
      <c r="C221" s="2"/>
      <c r="D221" s="3"/>
      <c r="E221" s="1"/>
      <c r="I221" s="1"/>
      <c r="K221" s="4">
        <f>Tabelle52[[#This Row],[value_present]]*Tabelle52[[#This Row],[binding_level]]</f>
        <v>0</v>
      </c>
    </row>
    <row r="222" spans="1:11" x14ac:dyDescent="0.25">
      <c r="A222" s="2"/>
      <c r="B222" s="2"/>
      <c r="C222" s="2"/>
      <c r="D222" s="3"/>
      <c r="E222" s="1"/>
      <c r="I222" s="1"/>
      <c r="K222" s="4">
        <f>Tabelle52[[#This Row],[value_present]]*Tabelle52[[#This Row],[binding_level]]</f>
        <v>0</v>
      </c>
    </row>
    <row r="223" spans="1:11" x14ac:dyDescent="0.25">
      <c r="A223" s="2"/>
      <c r="B223" s="2"/>
      <c r="C223" s="2"/>
      <c r="D223" s="3"/>
      <c r="E223" s="1"/>
      <c r="I223" s="1"/>
      <c r="K223" s="4">
        <f>Tabelle52[[#This Row],[value_present]]*Tabelle52[[#This Row],[binding_level]]</f>
        <v>0</v>
      </c>
    </row>
    <row r="224" spans="1:11" x14ac:dyDescent="0.25">
      <c r="A224" s="2"/>
      <c r="B224" s="2"/>
      <c r="C224" s="2"/>
      <c r="D224" s="3"/>
      <c r="E224" s="1"/>
      <c r="I224" s="1"/>
      <c r="K224" s="4">
        <f>Tabelle52[[#This Row],[value_present]]*Tabelle52[[#This Row],[binding_level]]</f>
        <v>0</v>
      </c>
    </row>
    <row r="225" spans="1:11" x14ac:dyDescent="0.25">
      <c r="A225" s="2"/>
      <c r="B225" s="2"/>
      <c r="C225" s="2"/>
      <c r="D225" s="3"/>
      <c r="E225" s="1"/>
      <c r="I225" s="1"/>
      <c r="K225" s="4">
        <f>Tabelle52[[#This Row],[value_present]]*Tabelle52[[#This Row],[binding_level]]</f>
        <v>0</v>
      </c>
    </row>
    <row r="226" spans="1:11" x14ac:dyDescent="0.25">
      <c r="A226" s="2"/>
      <c r="B226" s="2"/>
      <c r="C226" s="2"/>
      <c r="D226" s="3"/>
      <c r="E226" s="1"/>
      <c r="I226" s="1"/>
      <c r="K226" s="4">
        <f>Tabelle52[[#This Row],[value_present]]*Tabelle52[[#This Row],[binding_level]]</f>
        <v>0</v>
      </c>
    </row>
    <row r="227" spans="1:11" x14ac:dyDescent="0.25">
      <c r="A227" s="2"/>
      <c r="B227" s="2"/>
      <c r="C227" s="2"/>
      <c r="D227" s="3"/>
      <c r="E227" s="1"/>
      <c r="I227" s="1"/>
      <c r="K227" s="4">
        <f>Tabelle52[[#This Row],[value_present]]*Tabelle52[[#This Row],[binding_level]]</f>
        <v>0</v>
      </c>
    </row>
    <row r="228" spans="1:11" x14ac:dyDescent="0.25">
      <c r="A228" s="2"/>
      <c r="B228" s="2"/>
      <c r="C228" s="2"/>
      <c r="D228" s="3"/>
      <c r="E228" s="1"/>
      <c r="I228" s="1"/>
      <c r="K228" s="4">
        <f>Tabelle52[[#This Row],[value_present]]*Tabelle52[[#This Row],[binding_level]]</f>
        <v>0</v>
      </c>
    </row>
    <row r="229" spans="1:11" x14ac:dyDescent="0.25">
      <c r="A229" s="2"/>
      <c r="B229" s="2"/>
      <c r="C229" s="2"/>
      <c r="D229" s="3"/>
      <c r="E229" s="1"/>
      <c r="I229" s="1"/>
      <c r="K229" s="4">
        <f>Tabelle52[[#This Row],[value_present]]*Tabelle52[[#This Row],[binding_level]]</f>
        <v>0</v>
      </c>
    </row>
    <row r="230" spans="1:11" x14ac:dyDescent="0.25">
      <c r="A230" s="2"/>
      <c r="B230" s="2"/>
      <c r="C230" s="2"/>
      <c r="D230" s="3"/>
      <c r="E230" s="1"/>
      <c r="I230" s="1"/>
      <c r="K230" s="4">
        <f>Tabelle52[[#This Row],[value_present]]*Tabelle52[[#This Row],[binding_level]]</f>
        <v>0</v>
      </c>
    </row>
    <row r="231" spans="1:11" x14ac:dyDescent="0.25">
      <c r="A231" s="2"/>
      <c r="B231" s="2"/>
      <c r="C231" s="2"/>
      <c r="D231" s="3"/>
      <c r="E231" s="1"/>
      <c r="I231" s="1"/>
      <c r="K231" s="4">
        <f>Tabelle52[[#This Row],[value_present]]*Tabelle52[[#This Row],[binding_level]]</f>
        <v>0</v>
      </c>
    </row>
    <row r="232" spans="1:11" x14ac:dyDescent="0.25">
      <c r="A232" s="2"/>
      <c r="B232" s="2"/>
      <c r="C232" s="2"/>
      <c r="D232" s="3"/>
      <c r="E232" s="1"/>
      <c r="I232" s="1"/>
      <c r="K232" s="4">
        <f>Tabelle52[[#This Row],[value_present]]*Tabelle52[[#This Row],[binding_level]]</f>
        <v>0</v>
      </c>
    </row>
    <row r="233" spans="1:11" x14ac:dyDescent="0.25">
      <c r="A233" s="2"/>
      <c r="B233" s="2"/>
      <c r="C233" s="2"/>
      <c r="D233" s="3"/>
      <c r="E233" s="1"/>
      <c r="I233" s="1"/>
      <c r="K233" s="4">
        <f>Tabelle52[[#This Row],[value_present]]*Tabelle52[[#This Row],[binding_level]]</f>
        <v>0</v>
      </c>
    </row>
    <row r="234" spans="1:11" x14ac:dyDescent="0.25">
      <c r="A234" s="2"/>
      <c r="B234" s="2"/>
      <c r="C234" s="2"/>
      <c r="D234" s="3"/>
      <c r="E234" s="1"/>
      <c r="I234" s="1"/>
      <c r="K234" s="4">
        <f>Tabelle52[[#This Row],[value_present]]*Tabelle52[[#This Row],[binding_level]]</f>
        <v>0</v>
      </c>
    </row>
    <row r="235" spans="1:11" x14ac:dyDescent="0.25">
      <c r="A235" s="2"/>
      <c r="B235" s="2"/>
      <c r="C235" s="2"/>
      <c r="D235" s="3"/>
      <c r="E235" s="1"/>
      <c r="I235" s="1"/>
      <c r="K235" s="4">
        <f>Tabelle52[[#This Row],[value_present]]*Tabelle52[[#This Row],[binding_level]]</f>
        <v>0</v>
      </c>
    </row>
    <row r="236" spans="1:11" x14ac:dyDescent="0.25">
      <c r="A236" s="2"/>
      <c r="B236" s="2"/>
      <c r="C236" s="2"/>
      <c r="D236" s="3"/>
      <c r="E236" s="1"/>
      <c r="I236" s="1"/>
      <c r="K236" s="4">
        <f>Tabelle52[[#This Row],[value_present]]*Tabelle52[[#This Row],[binding_level]]</f>
        <v>0</v>
      </c>
    </row>
    <row r="237" spans="1:11" x14ac:dyDescent="0.25">
      <c r="A237" s="2"/>
      <c r="B237" s="2"/>
      <c r="C237" s="2"/>
      <c r="D237" s="3"/>
      <c r="E237" s="1"/>
      <c r="I237" s="1"/>
      <c r="K237" s="4">
        <f>Tabelle52[[#This Row],[value_present]]*Tabelle52[[#This Row],[binding_level]]</f>
        <v>0</v>
      </c>
    </row>
    <row r="238" spans="1:11" x14ac:dyDescent="0.25">
      <c r="A238" s="2"/>
      <c r="B238" s="2"/>
      <c r="C238" s="2"/>
      <c r="D238" s="3"/>
      <c r="E238" s="1"/>
      <c r="I238" s="1"/>
      <c r="K238" s="4">
        <f>Tabelle52[[#This Row],[value_present]]*Tabelle52[[#This Row],[binding_level]]</f>
        <v>0</v>
      </c>
    </row>
    <row r="239" spans="1:11" x14ac:dyDescent="0.25">
      <c r="A239" s="2"/>
      <c r="B239" s="2"/>
      <c r="C239" s="2"/>
      <c r="D239" s="3"/>
      <c r="E239" s="1"/>
      <c r="I239" s="1"/>
      <c r="K239" s="4">
        <f>Tabelle52[[#This Row],[value_present]]*Tabelle52[[#This Row],[binding_level]]</f>
        <v>0</v>
      </c>
    </row>
    <row r="240" spans="1:11" x14ac:dyDescent="0.25">
      <c r="A240" s="2"/>
      <c r="B240" s="2"/>
      <c r="C240" s="2"/>
      <c r="D240" s="3"/>
      <c r="E240" s="1"/>
      <c r="I240" s="1"/>
      <c r="K240" s="4">
        <f>Tabelle52[[#This Row],[value_present]]*Tabelle52[[#This Row],[binding_level]]</f>
        <v>0</v>
      </c>
    </row>
    <row r="241" spans="1:11" x14ac:dyDescent="0.25">
      <c r="A241" s="2"/>
      <c r="B241" s="2"/>
      <c r="C241" s="2"/>
      <c r="D241" s="3"/>
      <c r="E241" s="1"/>
      <c r="I241" s="1"/>
      <c r="K241" s="4">
        <f>Tabelle52[[#This Row],[value_present]]*Tabelle52[[#This Row],[binding_level]]</f>
        <v>0</v>
      </c>
    </row>
    <row r="242" spans="1:11" x14ac:dyDescent="0.25">
      <c r="A242" s="2"/>
      <c r="B242" s="2"/>
      <c r="C242" s="2"/>
      <c r="D242" s="3"/>
      <c r="E242" s="1"/>
      <c r="I242" s="1"/>
      <c r="K242" s="4">
        <f>Tabelle52[[#This Row],[value_present]]*Tabelle52[[#This Row],[binding_level]]</f>
        <v>0</v>
      </c>
    </row>
    <row r="243" spans="1:11" x14ac:dyDescent="0.25">
      <c r="A243" s="2"/>
      <c r="B243" s="2"/>
      <c r="C243" s="2"/>
      <c r="D243" s="3"/>
      <c r="E243" s="1"/>
      <c r="I243" s="1"/>
      <c r="K243" s="4">
        <f>Tabelle52[[#This Row],[value_present]]*Tabelle52[[#This Row],[binding_level]]</f>
        <v>0</v>
      </c>
    </row>
    <row r="244" spans="1:11" x14ac:dyDescent="0.25">
      <c r="A244" s="2"/>
      <c r="B244" s="2"/>
      <c r="C244" s="2"/>
      <c r="D244" s="3"/>
      <c r="E244" s="1"/>
      <c r="I244" s="1"/>
      <c r="K244" s="4">
        <f>Tabelle52[[#This Row],[value_present]]*Tabelle52[[#This Row],[binding_level]]</f>
        <v>0</v>
      </c>
    </row>
    <row r="245" spans="1:11" x14ac:dyDescent="0.25">
      <c r="A245" s="2"/>
      <c r="B245" s="2"/>
      <c r="C245" s="2"/>
      <c r="D245" s="3"/>
      <c r="E245" s="1"/>
      <c r="I245" s="1"/>
      <c r="K245" s="4">
        <f>Tabelle52[[#This Row],[value_present]]*Tabelle52[[#This Row],[binding_level]]</f>
        <v>0</v>
      </c>
    </row>
    <row r="246" spans="1:11" x14ac:dyDescent="0.25">
      <c r="A246" s="2"/>
      <c r="B246" s="2"/>
      <c r="C246" s="2"/>
      <c r="D246" s="3"/>
      <c r="E246" s="1"/>
      <c r="I246" s="1"/>
      <c r="K246" s="4">
        <f>Tabelle52[[#This Row],[value_present]]*Tabelle52[[#This Row],[binding_level]]</f>
        <v>0</v>
      </c>
    </row>
    <row r="247" spans="1:11" x14ac:dyDescent="0.25">
      <c r="A247" s="2"/>
      <c r="B247" s="2"/>
      <c r="C247" s="2"/>
      <c r="D247" s="3"/>
      <c r="E247" s="1"/>
      <c r="I247" s="1"/>
      <c r="K247" s="4">
        <f>Tabelle52[[#This Row],[value_present]]*Tabelle52[[#This Row],[binding_level]]</f>
        <v>0</v>
      </c>
    </row>
    <row r="248" spans="1:11" x14ac:dyDescent="0.25">
      <c r="A248" s="2"/>
      <c r="B248" s="2"/>
      <c r="C248" s="2"/>
      <c r="D248" s="3"/>
      <c r="E248" s="1"/>
      <c r="I248" s="1"/>
      <c r="K248" s="4">
        <f>Tabelle52[[#This Row],[value_present]]*Tabelle52[[#This Row],[binding_level]]</f>
        <v>0</v>
      </c>
    </row>
    <row r="249" spans="1:11" x14ac:dyDescent="0.25">
      <c r="A249" s="2"/>
      <c r="B249" s="2"/>
      <c r="C249" s="2"/>
      <c r="D249" s="3"/>
      <c r="E249" s="1"/>
      <c r="I249" s="1"/>
      <c r="K249" s="4">
        <f>Tabelle52[[#This Row],[value_present]]*Tabelle52[[#This Row],[binding_level]]</f>
        <v>0</v>
      </c>
    </row>
    <row r="250" spans="1:11" x14ac:dyDescent="0.25">
      <c r="A250" s="2"/>
      <c r="B250" s="2"/>
      <c r="C250" s="2"/>
      <c r="D250" s="3"/>
      <c r="E250" s="1"/>
      <c r="I250" s="1"/>
      <c r="K250" s="4">
        <f>Tabelle52[[#This Row],[value_present]]*Tabelle52[[#This Row],[binding_level]]</f>
        <v>0</v>
      </c>
    </row>
    <row r="251" spans="1:11" x14ac:dyDescent="0.25">
      <c r="A251" s="2"/>
      <c r="B251" s="2"/>
      <c r="C251" s="2"/>
      <c r="D251" s="3"/>
      <c r="E251" s="1"/>
      <c r="I251" s="1"/>
      <c r="K251" s="4">
        <f>Tabelle52[[#This Row],[value_present]]*Tabelle52[[#This Row],[binding_level]]</f>
        <v>0</v>
      </c>
    </row>
    <row r="252" spans="1:11" x14ac:dyDescent="0.25">
      <c r="A252" s="2"/>
      <c r="B252" s="2"/>
      <c r="C252" s="2"/>
      <c r="D252" s="3"/>
      <c r="E252" s="1"/>
      <c r="I252" s="1"/>
      <c r="K252" s="4">
        <f>Tabelle52[[#This Row],[value_present]]*Tabelle52[[#This Row],[binding_level]]</f>
        <v>0</v>
      </c>
    </row>
    <row r="253" spans="1:11" x14ac:dyDescent="0.25">
      <c r="A253" s="2"/>
      <c r="B253" s="2"/>
      <c r="C253" s="2"/>
      <c r="D253" s="3"/>
      <c r="E253" s="1"/>
      <c r="I253" s="1"/>
      <c r="K253" s="4">
        <f>Tabelle52[[#This Row],[value_present]]*Tabelle52[[#This Row],[binding_level]]</f>
        <v>0</v>
      </c>
    </row>
    <row r="254" spans="1:11" x14ac:dyDescent="0.25">
      <c r="A254" s="2"/>
      <c r="B254" s="2"/>
      <c r="C254" s="2"/>
      <c r="D254" s="3"/>
      <c r="E254" s="1"/>
      <c r="I254" s="1"/>
      <c r="K254" s="4">
        <f>Tabelle52[[#This Row],[value_present]]*Tabelle52[[#This Row],[binding_level]]</f>
        <v>0</v>
      </c>
    </row>
    <row r="255" spans="1:11" x14ac:dyDescent="0.25">
      <c r="A255" s="2"/>
      <c r="B255" s="2"/>
      <c r="C255" s="2"/>
      <c r="D255" s="3"/>
      <c r="E255" s="1"/>
      <c r="I255" s="1"/>
      <c r="K255" s="4">
        <f>Tabelle52[[#This Row],[value_present]]*Tabelle52[[#This Row],[binding_level]]</f>
        <v>0</v>
      </c>
    </row>
    <row r="256" spans="1:11" x14ac:dyDescent="0.25">
      <c r="A256" s="2"/>
      <c r="B256" s="2"/>
      <c r="C256" s="2"/>
      <c r="D256" s="3"/>
      <c r="E256" s="1"/>
      <c r="I256" s="1"/>
      <c r="K256" s="4">
        <f>Tabelle52[[#This Row],[value_present]]*Tabelle52[[#This Row],[binding_level]]</f>
        <v>0</v>
      </c>
    </row>
    <row r="257" spans="1:11" x14ac:dyDescent="0.25">
      <c r="A257" s="2"/>
      <c r="B257" s="2"/>
      <c r="C257" s="2"/>
      <c r="D257" s="3"/>
      <c r="E257" s="1"/>
      <c r="I257" s="1"/>
      <c r="K257" s="4">
        <f>Tabelle52[[#This Row],[value_present]]*Tabelle52[[#This Row],[binding_level]]</f>
        <v>0</v>
      </c>
    </row>
    <row r="258" spans="1:11" x14ac:dyDescent="0.25">
      <c r="A258" s="2"/>
      <c r="B258" s="2"/>
      <c r="C258" s="2"/>
      <c r="D258" s="3"/>
      <c r="E258" s="1"/>
      <c r="I258" s="1"/>
      <c r="K258" s="4">
        <f>Tabelle52[[#This Row],[value_present]]*Tabelle52[[#This Row],[binding_level]]</f>
        <v>0</v>
      </c>
    </row>
    <row r="259" spans="1:11" x14ac:dyDescent="0.25">
      <c r="A259" s="2"/>
      <c r="B259" s="2"/>
      <c r="C259" s="2"/>
      <c r="D259" s="3"/>
      <c r="E259" s="1"/>
      <c r="I259" s="1"/>
      <c r="K259" s="4">
        <f>Tabelle52[[#This Row],[value_present]]*Tabelle52[[#This Row],[binding_level]]</f>
        <v>0</v>
      </c>
    </row>
    <row r="260" spans="1:11" x14ac:dyDescent="0.25">
      <c r="A260" s="2"/>
      <c r="B260" s="2"/>
      <c r="C260" s="2"/>
      <c r="D260" s="3"/>
      <c r="E260" s="1"/>
      <c r="I260" s="1"/>
      <c r="K260" s="4">
        <f>Tabelle52[[#This Row],[value_present]]*Tabelle52[[#This Row],[binding_level]]</f>
        <v>0</v>
      </c>
    </row>
    <row r="261" spans="1:11" x14ac:dyDescent="0.25">
      <c r="A261" s="2"/>
      <c r="B261" s="2"/>
      <c r="C261" s="2"/>
      <c r="D261" s="3"/>
      <c r="E261" s="1"/>
      <c r="I261" s="1"/>
      <c r="K261" s="4">
        <f>Tabelle52[[#This Row],[value_present]]*Tabelle52[[#This Row],[binding_level]]</f>
        <v>0</v>
      </c>
    </row>
    <row r="262" spans="1:11" x14ac:dyDescent="0.25">
      <c r="A262" s="2"/>
      <c r="B262" s="2"/>
      <c r="C262" s="2"/>
      <c r="D262" s="3"/>
      <c r="E262" s="1"/>
      <c r="I262" s="1"/>
      <c r="K262" s="4">
        <f>Tabelle52[[#This Row],[value_present]]*Tabelle52[[#This Row],[binding_level]]</f>
        <v>0</v>
      </c>
    </row>
    <row r="263" spans="1:11" x14ac:dyDescent="0.25">
      <c r="A263" s="2"/>
      <c r="B263" s="2"/>
      <c r="C263" s="2"/>
      <c r="D263" s="3"/>
      <c r="E263" s="1"/>
      <c r="I263" s="1"/>
      <c r="K263" s="4">
        <f>Tabelle52[[#This Row],[value_present]]*Tabelle52[[#This Row],[binding_level]]</f>
        <v>0</v>
      </c>
    </row>
    <row r="264" spans="1:11" x14ac:dyDescent="0.25">
      <c r="A264" s="2"/>
      <c r="B264" s="2"/>
      <c r="C264" s="2"/>
      <c r="D264" s="3"/>
      <c r="E264" s="1"/>
      <c r="I264" s="1"/>
      <c r="K264" s="4">
        <f>Tabelle52[[#This Row],[value_present]]*Tabelle52[[#This Row],[binding_level]]</f>
        <v>0</v>
      </c>
    </row>
    <row r="265" spans="1:11" x14ac:dyDescent="0.25">
      <c r="A265" s="2"/>
      <c r="B265" s="2"/>
      <c r="C265" s="2"/>
      <c r="D265" s="3"/>
      <c r="E265" s="1"/>
      <c r="I265" s="1"/>
      <c r="K265" s="4">
        <f>Tabelle52[[#This Row],[value_present]]*Tabelle52[[#This Row],[binding_level]]</f>
        <v>0</v>
      </c>
    </row>
    <row r="266" spans="1:11" x14ac:dyDescent="0.25">
      <c r="A266" s="2"/>
      <c r="B266" s="2"/>
      <c r="C266" s="2"/>
      <c r="D266" s="3"/>
      <c r="E266" s="1"/>
      <c r="I266" s="1"/>
      <c r="K266" s="4">
        <f>Tabelle52[[#This Row],[value_present]]*Tabelle52[[#This Row],[binding_level]]</f>
        <v>0</v>
      </c>
    </row>
    <row r="267" spans="1:11" x14ac:dyDescent="0.25">
      <c r="A267" s="2"/>
      <c r="B267" s="2"/>
      <c r="C267" s="2"/>
      <c r="D267" s="3"/>
      <c r="E267" s="1"/>
      <c r="I267" s="1"/>
      <c r="K267" s="4">
        <f>Tabelle52[[#This Row],[value_present]]*Tabelle52[[#This Row],[binding_level]]</f>
        <v>0</v>
      </c>
    </row>
    <row r="268" spans="1:11" x14ac:dyDescent="0.25">
      <c r="A268" s="2"/>
      <c r="B268" s="2"/>
      <c r="C268" s="2"/>
      <c r="D268" s="3"/>
      <c r="E268" s="1"/>
      <c r="I268" s="1"/>
      <c r="K268" s="4">
        <f>Tabelle52[[#This Row],[value_present]]*Tabelle52[[#This Row],[binding_level]]</f>
        <v>0</v>
      </c>
    </row>
    <row r="269" spans="1:11" x14ac:dyDescent="0.25">
      <c r="A269" s="2"/>
      <c r="B269" s="2"/>
      <c r="C269" s="2"/>
      <c r="D269" s="3"/>
      <c r="E269" s="1"/>
      <c r="I269" s="1"/>
      <c r="K269" s="4">
        <f>Tabelle52[[#This Row],[value_present]]*Tabelle52[[#This Row],[binding_level]]</f>
        <v>0</v>
      </c>
    </row>
    <row r="270" spans="1:11" x14ac:dyDescent="0.25">
      <c r="A270" s="2"/>
      <c r="B270" s="2"/>
      <c r="C270" s="2"/>
      <c r="D270" s="3"/>
      <c r="E270" s="1"/>
      <c r="I270" s="1"/>
      <c r="K270" s="4">
        <f>Tabelle52[[#This Row],[value_present]]*Tabelle52[[#This Row],[binding_level]]</f>
        <v>0</v>
      </c>
    </row>
    <row r="271" spans="1:11" x14ac:dyDescent="0.25">
      <c r="A271" s="2"/>
      <c r="B271" s="2"/>
      <c r="C271" s="2"/>
      <c r="D271" s="3"/>
      <c r="E271" s="1"/>
      <c r="I271" s="1"/>
      <c r="K271" s="4">
        <f>Tabelle52[[#This Row],[value_present]]*Tabelle52[[#This Row],[binding_level]]</f>
        <v>0</v>
      </c>
    </row>
    <row r="272" spans="1:11" x14ac:dyDescent="0.25">
      <c r="A272" s="2"/>
      <c r="B272" s="2"/>
      <c r="C272" s="2"/>
      <c r="D272" s="3"/>
      <c r="E272" s="1"/>
      <c r="I272" s="1"/>
      <c r="K272" s="4">
        <f>Tabelle52[[#This Row],[value_present]]*Tabelle52[[#This Row],[binding_level]]</f>
        <v>0</v>
      </c>
    </row>
    <row r="273" spans="1:11" x14ac:dyDescent="0.25">
      <c r="A273" s="2"/>
      <c r="B273" s="2"/>
      <c r="C273" s="2"/>
      <c r="D273" s="3"/>
      <c r="E273" s="1"/>
      <c r="I273" s="1"/>
      <c r="K273" s="4">
        <f>Tabelle52[[#This Row],[value_present]]*Tabelle52[[#This Row],[binding_level]]</f>
        <v>0</v>
      </c>
    </row>
    <row r="274" spans="1:11" x14ac:dyDescent="0.25">
      <c r="A274" s="2"/>
      <c r="B274" s="2"/>
      <c r="C274" s="2"/>
      <c r="D274" s="3"/>
      <c r="E274" s="1"/>
      <c r="I274" s="1"/>
      <c r="K274" s="4">
        <f>Tabelle52[[#This Row],[value_present]]*Tabelle52[[#This Row],[binding_level]]</f>
        <v>0</v>
      </c>
    </row>
    <row r="275" spans="1:11" x14ac:dyDescent="0.25">
      <c r="A275" s="2"/>
      <c r="B275" s="2"/>
      <c r="C275" s="2"/>
      <c r="D275" s="3"/>
      <c r="E275" s="1"/>
      <c r="I275" s="1"/>
      <c r="K275" s="4">
        <f>Tabelle52[[#This Row],[value_present]]*Tabelle52[[#This Row],[binding_level]]</f>
        <v>0</v>
      </c>
    </row>
    <row r="276" spans="1:11" x14ac:dyDescent="0.25">
      <c r="A276" s="2"/>
      <c r="B276" s="2"/>
      <c r="C276" s="2"/>
      <c r="D276" s="3"/>
      <c r="E276" s="1"/>
      <c r="I276" s="1"/>
      <c r="K276" s="4">
        <f>Tabelle52[[#This Row],[value_present]]*Tabelle52[[#This Row],[binding_level]]</f>
        <v>0</v>
      </c>
    </row>
    <row r="277" spans="1:11" x14ac:dyDescent="0.25">
      <c r="A277" s="2"/>
      <c r="B277" s="2"/>
      <c r="C277" s="2"/>
      <c r="D277" s="3"/>
      <c r="E277" s="1"/>
      <c r="I277" s="1"/>
      <c r="K277" s="4">
        <f>Tabelle52[[#This Row],[value_present]]*Tabelle52[[#This Row],[binding_level]]</f>
        <v>0</v>
      </c>
    </row>
    <row r="278" spans="1:11" x14ac:dyDescent="0.25">
      <c r="A278" s="2"/>
      <c r="B278" s="2"/>
      <c r="C278" s="2"/>
      <c r="D278" s="3"/>
      <c r="E278" s="1"/>
      <c r="I278" s="1"/>
      <c r="K278" s="4">
        <f>Tabelle52[[#This Row],[value_present]]*Tabelle52[[#This Row],[binding_level]]</f>
        <v>0</v>
      </c>
    </row>
    <row r="279" spans="1:11" x14ac:dyDescent="0.25">
      <c r="A279" s="2"/>
      <c r="B279" s="2"/>
      <c r="C279" s="2"/>
      <c r="D279" s="3"/>
      <c r="E279" s="1"/>
      <c r="I279" s="1"/>
      <c r="K279" s="4">
        <f>Tabelle52[[#This Row],[value_present]]*Tabelle52[[#This Row],[binding_level]]</f>
        <v>0</v>
      </c>
    </row>
    <row r="280" spans="1:11" x14ac:dyDescent="0.25">
      <c r="A280" s="2"/>
      <c r="B280" s="2"/>
      <c r="C280" s="2"/>
      <c r="D280" s="3"/>
      <c r="E280" s="1"/>
      <c r="I280" s="1"/>
      <c r="K280" s="4">
        <f>Tabelle52[[#This Row],[value_present]]*Tabelle52[[#This Row],[binding_level]]</f>
        <v>0</v>
      </c>
    </row>
    <row r="281" spans="1:11" x14ac:dyDescent="0.25">
      <c r="A281" s="2"/>
      <c r="B281" s="2"/>
      <c r="C281" s="2"/>
      <c r="D281" s="3"/>
      <c r="E281" s="1"/>
      <c r="I281" s="1"/>
      <c r="K281" s="4">
        <f>Tabelle52[[#This Row],[value_present]]*Tabelle52[[#This Row],[binding_level]]</f>
        <v>0</v>
      </c>
    </row>
    <row r="282" spans="1:11" x14ac:dyDescent="0.25">
      <c r="A282" s="2"/>
      <c r="B282" s="2"/>
      <c r="C282" s="2"/>
      <c r="D282" s="3"/>
      <c r="E282" s="1"/>
      <c r="I282" s="1"/>
      <c r="K282" s="4">
        <f>Tabelle52[[#This Row],[value_present]]*Tabelle52[[#This Row],[binding_level]]</f>
        <v>0</v>
      </c>
    </row>
    <row r="283" spans="1:11" x14ac:dyDescent="0.25">
      <c r="A283" s="2"/>
      <c r="B283" s="2"/>
      <c r="C283" s="2"/>
      <c r="D283" s="3"/>
      <c r="E283" s="1"/>
      <c r="I283" s="1"/>
      <c r="K283" s="4">
        <f>Tabelle52[[#This Row],[value_present]]*Tabelle52[[#This Row],[binding_level]]</f>
        <v>0</v>
      </c>
    </row>
    <row r="284" spans="1:11" x14ac:dyDescent="0.25">
      <c r="A284" s="2"/>
      <c r="B284" s="2"/>
      <c r="C284" s="2"/>
      <c r="D284" s="3"/>
      <c r="E284" s="1"/>
      <c r="I284" s="1"/>
      <c r="K284" s="4">
        <f>Tabelle52[[#This Row],[value_present]]*Tabelle52[[#This Row],[binding_level]]</f>
        <v>0</v>
      </c>
    </row>
    <row r="285" spans="1:11" x14ac:dyDescent="0.25">
      <c r="A285" s="2"/>
      <c r="B285" s="2"/>
      <c r="C285" s="2"/>
      <c r="D285" s="3"/>
      <c r="E285" s="1"/>
      <c r="I285" s="1"/>
      <c r="K285" s="4">
        <f>Tabelle52[[#This Row],[value_present]]*Tabelle52[[#This Row],[binding_level]]</f>
        <v>0</v>
      </c>
    </row>
    <row r="286" spans="1:11" x14ac:dyDescent="0.25">
      <c r="A286" s="2"/>
      <c r="B286" s="2"/>
      <c r="C286" s="2"/>
      <c r="D286" s="3"/>
      <c r="E286" s="1"/>
      <c r="I286" s="1"/>
      <c r="K286" s="4">
        <f>Tabelle52[[#This Row],[value_present]]*Tabelle52[[#This Row],[binding_level]]</f>
        <v>0</v>
      </c>
    </row>
    <row r="287" spans="1:11" x14ac:dyDescent="0.25">
      <c r="A287" s="2"/>
      <c r="B287" s="2"/>
      <c r="C287" s="2"/>
      <c r="D287" s="3"/>
      <c r="E287" s="1"/>
      <c r="I287" s="1"/>
      <c r="K287" s="4">
        <f>Tabelle52[[#This Row],[value_present]]*Tabelle52[[#This Row],[binding_level]]</f>
        <v>0</v>
      </c>
    </row>
    <row r="288" spans="1:11" x14ac:dyDescent="0.25">
      <c r="A288" s="2"/>
      <c r="B288" s="2"/>
      <c r="C288" s="2"/>
      <c r="D288" s="3"/>
      <c r="E288" s="1"/>
      <c r="I288" s="1"/>
      <c r="K288" s="4">
        <f>Tabelle52[[#This Row],[value_present]]*Tabelle52[[#This Row],[binding_level]]</f>
        <v>0</v>
      </c>
    </row>
    <row r="289" spans="1:11" x14ac:dyDescent="0.25">
      <c r="A289" s="2"/>
      <c r="B289" s="2"/>
      <c r="C289" s="2"/>
      <c r="D289" s="3"/>
      <c r="E289" s="1"/>
      <c r="I289" s="1"/>
      <c r="K289" s="4">
        <f>Tabelle52[[#This Row],[value_present]]*Tabelle52[[#This Row],[binding_level]]</f>
        <v>0</v>
      </c>
    </row>
    <row r="290" spans="1:11" x14ac:dyDescent="0.25">
      <c r="A290" s="2"/>
      <c r="B290" s="2"/>
      <c r="C290" s="2"/>
      <c r="D290" s="3"/>
      <c r="E290" s="1"/>
      <c r="I290" s="1"/>
      <c r="K290" s="4">
        <f>Tabelle52[[#This Row],[value_present]]*Tabelle52[[#This Row],[binding_level]]</f>
        <v>0</v>
      </c>
    </row>
    <row r="291" spans="1:11" x14ac:dyDescent="0.25">
      <c r="A291" s="2"/>
      <c r="B291" s="2"/>
      <c r="C291" s="2"/>
      <c r="D291" s="3"/>
      <c r="E291" s="1"/>
      <c r="I291" s="1"/>
      <c r="K291" s="4">
        <f>Tabelle52[[#This Row],[value_present]]*Tabelle52[[#This Row],[binding_level]]</f>
        <v>0</v>
      </c>
    </row>
    <row r="292" spans="1:11" x14ac:dyDescent="0.25">
      <c r="A292" s="2"/>
      <c r="B292" s="2"/>
      <c r="C292" s="2"/>
      <c r="D292" s="3"/>
      <c r="E292" s="1"/>
      <c r="I292" s="1"/>
      <c r="K292" s="4">
        <f>Tabelle52[[#This Row],[value_present]]*Tabelle52[[#This Row],[binding_level]]</f>
        <v>0</v>
      </c>
    </row>
    <row r="293" spans="1:11" x14ac:dyDescent="0.25">
      <c r="A293" s="2"/>
      <c r="B293" s="2"/>
      <c r="C293" s="2"/>
      <c r="D293" s="3"/>
      <c r="E293" s="1"/>
      <c r="I293" s="1"/>
      <c r="K293" s="4">
        <f>Tabelle52[[#This Row],[value_present]]*Tabelle52[[#This Row],[binding_level]]</f>
        <v>0</v>
      </c>
    </row>
    <row r="294" spans="1:11" x14ac:dyDescent="0.25">
      <c r="A294" s="2"/>
      <c r="B294" s="2"/>
      <c r="C294" s="2"/>
      <c r="D294" s="3"/>
      <c r="E294" s="1"/>
      <c r="I294" s="1"/>
      <c r="K294" s="4">
        <f>Tabelle52[[#This Row],[value_present]]*Tabelle52[[#This Row],[binding_level]]</f>
        <v>0</v>
      </c>
    </row>
    <row r="295" spans="1:11" x14ac:dyDescent="0.25">
      <c r="A295" s="2"/>
      <c r="B295" s="2"/>
      <c r="C295" s="2"/>
      <c r="D295" s="3"/>
      <c r="E295" s="1"/>
      <c r="I295" s="1"/>
      <c r="K295" s="4">
        <f>Tabelle52[[#This Row],[value_present]]*Tabelle52[[#This Row],[binding_level]]</f>
        <v>0</v>
      </c>
    </row>
    <row r="296" spans="1:11" x14ac:dyDescent="0.25">
      <c r="A296" s="2"/>
      <c r="B296" s="2"/>
      <c r="C296" s="2"/>
      <c r="D296" s="3"/>
      <c r="E296" s="1"/>
      <c r="I296" s="1"/>
      <c r="K296" s="4">
        <f>Tabelle52[[#This Row],[value_present]]*Tabelle52[[#This Row],[binding_level]]</f>
        <v>0</v>
      </c>
    </row>
    <row r="297" spans="1:11" x14ac:dyDescent="0.25">
      <c r="A297" s="2"/>
      <c r="B297" s="2"/>
      <c r="C297" s="2"/>
      <c r="D297" s="3"/>
      <c r="E297" s="1"/>
      <c r="I297" s="1"/>
      <c r="K297" s="4">
        <f>Tabelle52[[#This Row],[value_present]]*Tabelle52[[#This Row],[binding_level]]</f>
        <v>0</v>
      </c>
    </row>
    <row r="298" spans="1:11" x14ac:dyDescent="0.25">
      <c r="A298" s="2"/>
      <c r="B298" s="2"/>
      <c r="C298" s="2"/>
      <c r="D298" s="3"/>
      <c r="E298" s="1"/>
      <c r="I298" s="1"/>
      <c r="K298" s="4">
        <f>Tabelle52[[#This Row],[value_present]]*Tabelle52[[#This Row],[binding_level]]</f>
        <v>0</v>
      </c>
    </row>
    <row r="299" spans="1:11" x14ac:dyDescent="0.25">
      <c r="A299" s="2"/>
      <c r="B299" s="2"/>
      <c r="C299" s="2"/>
      <c r="D299" s="3"/>
      <c r="E299" s="1"/>
      <c r="I299" s="1"/>
      <c r="K299" s="4">
        <f>Tabelle52[[#This Row],[value_present]]*Tabelle52[[#This Row],[binding_level]]</f>
        <v>0</v>
      </c>
    </row>
    <row r="300" spans="1:11" x14ac:dyDescent="0.25">
      <c r="A300" s="2"/>
      <c r="B300" s="2"/>
      <c r="C300" s="2"/>
      <c r="D300" s="3"/>
      <c r="E300" s="1"/>
      <c r="I300" s="1"/>
      <c r="K300" s="4">
        <f>Tabelle52[[#This Row],[value_present]]*Tabelle52[[#This Row],[binding_level]]</f>
        <v>0</v>
      </c>
    </row>
    <row r="301" spans="1:11" x14ac:dyDescent="0.25">
      <c r="A301" s="2"/>
      <c r="B301" s="2"/>
      <c r="C301" s="2"/>
      <c r="D301" s="3"/>
      <c r="E301" s="1"/>
      <c r="I301" s="1"/>
      <c r="K301" s="4">
        <f>Tabelle52[[#This Row],[value_present]]*Tabelle52[[#This Row],[binding_level]]</f>
        <v>0</v>
      </c>
    </row>
    <row r="302" spans="1:11" x14ac:dyDescent="0.25">
      <c r="A302" s="2"/>
      <c r="B302" s="2"/>
      <c r="C302" s="2"/>
      <c r="D302" s="3"/>
      <c r="E302" s="1"/>
      <c r="I302" s="1"/>
      <c r="K302" s="4">
        <f>Tabelle52[[#This Row],[value_present]]*Tabelle52[[#This Row],[binding_level]]</f>
        <v>0</v>
      </c>
    </row>
    <row r="303" spans="1:11" x14ac:dyDescent="0.25">
      <c r="A303" s="2"/>
      <c r="B303" s="2"/>
      <c r="C303" s="2"/>
      <c r="D303" s="3"/>
      <c r="E303" s="1"/>
      <c r="I303" s="1"/>
      <c r="K303" s="4">
        <f>Tabelle52[[#This Row],[value_present]]*Tabelle52[[#This Row],[binding_level]]</f>
        <v>0</v>
      </c>
    </row>
    <row r="304" spans="1:11" x14ac:dyDescent="0.25">
      <c r="A304" s="2"/>
      <c r="B304" s="2"/>
      <c r="C304" s="2"/>
      <c r="D304" s="3"/>
      <c r="E304" s="1"/>
      <c r="I304" s="1"/>
      <c r="K304" s="4">
        <f>Tabelle52[[#This Row],[value_present]]*Tabelle52[[#This Row],[binding_level]]</f>
        <v>0</v>
      </c>
    </row>
    <row r="305" spans="1:11" x14ac:dyDescent="0.25">
      <c r="A305" s="2"/>
      <c r="B305" s="2"/>
      <c r="C305" s="2"/>
      <c r="D305" s="3"/>
      <c r="E305" s="1"/>
      <c r="I305" s="1"/>
      <c r="K305" s="4">
        <f>Tabelle52[[#This Row],[value_present]]*Tabelle52[[#This Row],[binding_level]]</f>
        <v>0</v>
      </c>
    </row>
    <row r="306" spans="1:11" x14ac:dyDescent="0.25">
      <c r="A306" s="2"/>
      <c r="B306" s="2"/>
      <c r="C306" s="2"/>
      <c r="D306" s="3"/>
      <c r="E306" s="1"/>
      <c r="I306" s="1"/>
      <c r="K306" s="4">
        <f>Tabelle52[[#This Row],[value_present]]*Tabelle52[[#This Row],[binding_level]]</f>
        <v>0</v>
      </c>
    </row>
    <row r="307" spans="1:11" x14ac:dyDescent="0.25">
      <c r="A307" s="2"/>
      <c r="B307" s="2"/>
      <c r="C307" s="2"/>
      <c r="D307" s="3"/>
      <c r="E307" s="1"/>
      <c r="I307" s="1"/>
      <c r="K307" s="4">
        <f>Tabelle52[[#This Row],[value_present]]*Tabelle52[[#This Row],[binding_level]]</f>
        <v>0</v>
      </c>
    </row>
    <row r="308" spans="1:11" x14ac:dyDescent="0.25">
      <c r="A308" s="2"/>
      <c r="B308" s="2"/>
      <c r="C308" s="2"/>
      <c r="D308" s="3"/>
      <c r="E308" s="1"/>
      <c r="I308" s="1"/>
      <c r="K308" s="4">
        <f>Tabelle52[[#This Row],[value_present]]*Tabelle52[[#This Row],[binding_level]]</f>
        <v>0</v>
      </c>
    </row>
    <row r="309" spans="1:11" x14ac:dyDescent="0.25">
      <c r="A309" s="2"/>
      <c r="B309" s="2"/>
      <c r="C309" s="2"/>
      <c r="D309" s="3"/>
      <c r="E309" s="1"/>
      <c r="I309" s="1"/>
      <c r="K309" s="4">
        <f>Tabelle52[[#This Row],[value_present]]*Tabelle52[[#This Row],[binding_level]]</f>
        <v>0</v>
      </c>
    </row>
    <row r="310" spans="1:11" x14ac:dyDescent="0.25">
      <c r="A310" s="2"/>
      <c r="B310" s="2"/>
      <c r="C310" s="2"/>
      <c r="D310" s="3"/>
      <c r="E310" s="1"/>
      <c r="I310" s="1"/>
      <c r="K310" s="4">
        <f>Tabelle52[[#This Row],[value_present]]*Tabelle52[[#This Row],[binding_level]]</f>
        <v>0</v>
      </c>
    </row>
    <row r="311" spans="1:11" x14ac:dyDescent="0.25">
      <c r="A311" s="2"/>
      <c r="B311" s="2"/>
      <c r="C311" s="2"/>
      <c r="D311" s="3"/>
      <c r="E311" s="1"/>
      <c r="I311" s="1"/>
      <c r="K311" s="4">
        <f>Tabelle52[[#This Row],[value_present]]*Tabelle52[[#This Row],[binding_level]]</f>
        <v>0</v>
      </c>
    </row>
    <row r="312" spans="1:11" x14ac:dyDescent="0.25">
      <c r="A312" s="2"/>
      <c r="B312" s="2"/>
      <c r="C312" s="2"/>
      <c r="D312" s="3"/>
      <c r="E312" s="1"/>
      <c r="I312" s="1"/>
      <c r="K312" s="4">
        <f>Tabelle52[[#This Row],[value_present]]*Tabelle52[[#This Row],[binding_level]]</f>
        <v>0</v>
      </c>
    </row>
    <row r="313" spans="1:11" x14ac:dyDescent="0.25">
      <c r="A313" s="2"/>
      <c r="B313" s="2"/>
      <c r="C313" s="2"/>
      <c r="D313" s="3"/>
      <c r="E313" s="1"/>
      <c r="I313" s="1"/>
      <c r="K313" s="4">
        <f>Tabelle52[[#This Row],[value_present]]*Tabelle52[[#This Row],[binding_level]]</f>
        <v>0</v>
      </c>
    </row>
    <row r="314" spans="1:11" x14ac:dyDescent="0.25">
      <c r="A314" s="2"/>
      <c r="B314" s="2"/>
      <c r="C314" s="2"/>
      <c r="D314" s="3"/>
      <c r="E314" s="1"/>
      <c r="I314" s="1"/>
      <c r="K314" s="4">
        <f>Tabelle52[[#This Row],[value_present]]*Tabelle52[[#This Row],[binding_level]]</f>
        <v>0</v>
      </c>
    </row>
    <row r="315" spans="1:11" x14ac:dyDescent="0.25">
      <c r="A315" s="2"/>
      <c r="B315" s="2"/>
      <c r="C315" s="2"/>
      <c r="D315" s="3"/>
      <c r="E315" s="1"/>
      <c r="I315" s="1"/>
      <c r="K315" s="4">
        <f>Tabelle52[[#This Row],[value_present]]*Tabelle52[[#This Row],[binding_level]]</f>
        <v>0</v>
      </c>
    </row>
    <row r="316" spans="1:11" x14ac:dyDescent="0.25">
      <c r="A316" s="2"/>
      <c r="B316" s="2"/>
      <c r="C316" s="2"/>
      <c r="D316" s="3"/>
      <c r="E316" s="1"/>
      <c r="I316" s="1"/>
      <c r="K316" s="4">
        <f>Tabelle52[[#This Row],[value_present]]*Tabelle52[[#This Row],[binding_level]]</f>
        <v>0</v>
      </c>
    </row>
    <row r="317" spans="1:11" x14ac:dyDescent="0.25">
      <c r="A317" s="2"/>
      <c r="B317" s="2"/>
      <c r="C317" s="2"/>
      <c r="D317" s="3"/>
      <c r="E317" s="1"/>
      <c r="I317" s="1"/>
      <c r="K317" s="4">
        <f>Tabelle52[[#This Row],[value_present]]*Tabelle52[[#This Row],[binding_level]]</f>
        <v>0</v>
      </c>
    </row>
    <row r="318" spans="1:11" x14ac:dyDescent="0.25">
      <c r="A318" s="2"/>
      <c r="B318" s="2"/>
      <c r="C318" s="2"/>
      <c r="D318" s="3"/>
      <c r="E318" s="1"/>
      <c r="I318" s="1"/>
      <c r="K318" s="4">
        <f>Tabelle52[[#This Row],[value_present]]*Tabelle52[[#This Row],[binding_level]]</f>
        <v>0</v>
      </c>
    </row>
    <row r="319" spans="1:11" x14ac:dyDescent="0.25">
      <c r="A319" s="2"/>
      <c r="B319" s="2"/>
      <c r="C319" s="2"/>
      <c r="D319" s="3"/>
      <c r="E319" s="1"/>
      <c r="I319" s="1"/>
      <c r="K319" s="4">
        <f>Tabelle52[[#This Row],[value_present]]*Tabelle52[[#This Row],[binding_level]]</f>
        <v>0</v>
      </c>
    </row>
    <row r="320" spans="1:11" x14ac:dyDescent="0.25">
      <c r="A320" s="2"/>
      <c r="B320" s="2"/>
      <c r="C320" s="2"/>
      <c r="D320" s="3"/>
      <c r="E320" s="1"/>
      <c r="I320" s="1"/>
      <c r="K320" s="4">
        <f>Tabelle52[[#This Row],[value_present]]*Tabelle52[[#This Row],[binding_level]]</f>
        <v>0</v>
      </c>
    </row>
    <row r="321" spans="1:11" x14ac:dyDescent="0.25">
      <c r="A321" s="2"/>
      <c r="B321" s="2"/>
      <c r="C321" s="2"/>
      <c r="D321" s="3"/>
      <c r="E321" s="1"/>
      <c r="I321" s="1"/>
      <c r="K321" s="4">
        <f>Tabelle52[[#This Row],[value_present]]*Tabelle52[[#This Row],[binding_level]]</f>
        <v>0</v>
      </c>
    </row>
    <row r="322" spans="1:11" x14ac:dyDescent="0.25">
      <c r="A322" s="2"/>
      <c r="B322" s="2"/>
      <c r="C322" s="2"/>
      <c r="D322" s="3"/>
      <c r="E322" s="1"/>
      <c r="I322" s="1"/>
      <c r="K322" s="4">
        <f>Tabelle52[[#This Row],[value_present]]*Tabelle52[[#This Row],[binding_level]]</f>
        <v>0</v>
      </c>
    </row>
    <row r="323" spans="1:11" x14ac:dyDescent="0.25">
      <c r="A323" s="2"/>
      <c r="B323" s="2"/>
      <c r="C323" s="2"/>
      <c r="D323" s="3"/>
      <c r="E323" s="1"/>
      <c r="I323" s="1"/>
      <c r="K323" s="4">
        <f>Tabelle52[[#This Row],[value_present]]*Tabelle52[[#This Row],[binding_level]]</f>
        <v>0</v>
      </c>
    </row>
    <row r="324" spans="1:11" x14ac:dyDescent="0.25">
      <c r="A324" s="2"/>
      <c r="B324" s="2"/>
      <c r="C324" s="2"/>
      <c r="D324" s="3"/>
      <c r="E324" s="1"/>
      <c r="I324" s="1"/>
      <c r="K324" s="4">
        <f>Tabelle52[[#This Row],[value_present]]*Tabelle52[[#This Row],[binding_level]]</f>
        <v>0</v>
      </c>
    </row>
    <row r="325" spans="1:11" x14ac:dyDescent="0.25">
      <c r="A325" s="2"/>
      <c r="B325" s="2"/>
      <c r="C325" s="2"/>
      <c r="D325" s="3"/>
      <c r="E325" s="1"/>
      <c r="I325" s="1"/>
      <c r="K325" s="4">
        <f>Tabelle52[[#This Row],[value_present]]*Tabelle52[[#This Row],[binding_level]]</f>
        <v>0</v>
      </c>
    </row>
    <row r="326" spans="1:11" x14ac:dyDescent="0.25">
      <c r="A326" s="2"/>
      <c r="B326" s="2"/>
      <c r="C326" s="2"/>
      <c r="D326" s="3"/>
      <c r="E326" s="1"/>
      <c r="I326" s="1"/>
      <c r="K326" s="4">
        <f>Tabelle52[[#This Row],[value_present]]*Tabelle52[[#This Row],[binding_level]]</f>
        <v>0</v>
      </c>
    </row>
    <row r="327" spans="1:11" x14ac:dyDescent="0.25">
      <c r="A327" s="2"/>
      <c r="B327" s="2"/>
      <c r="C327" s="2"/>
      <c r="D327" s="3"/>
      <c r="E327" s="1"/>
      <c r="I327" s="1"/>
      <c r="K327" s="4">
        <f>Tabelle52[[#This Row],[value_present]]*Tabelle52[[#This Row],[binding_level]]</f>
        <v>0</v>
      </c>
    </row>
    <row r="328" spans="1:11" x14ac:dyDescent="0.25">
      <c r="A328" s="2"/>
      <c r="B328" s="2"/>
      <c r="C328" s="2"/>
      <c r="D328" s="3"/>
      <c r="E328" s="1"/>
      <c r="I328" s="1"/>
      <c r="K328" s="4">
        <f>Tabelle52[[#This Row],[value_present]]*Tabelle52[[#This Row],[binding_level]]</f>
        <v>0</v>
      </c>
    </row>
    <row r="329" spans="1:11" x14ac:dyDescent="0.25">
      <c r="A329" s="2"/>
      <c r="B329" s="2"/>
      <c r="C329" s="2"/>
      <c r="D329" s="3"/>
      <c r="E329" s="1"/>
      <c r="I329" s="1"/>
      <c r="K329" s="4">
        <f>Tabelle52[[#This Row],[value_present]]*Tabelle52[[#This Row],[binding_level]]</f>
        <v>0</v>
      </c>
    </row>
    <row r="330" spans="1:11" x14ac:dyDescent="0.25">
      <c r="A330" s="2"/>
      <c r="B330" s="2"/>
      <c r="C330" s="2"/>
      <c r="D330" s="3"/>
      <c r="E330" s="1"/>
      <c r="I330" s="1"/>
      <c r="K330" s="4">
        <f>Tabelle52[[#This Row],[value_present]]*Tabelle52[[#This Row],[binding_level]]</f>
        <v>0</v>
      </c>
    </row>
    <row r="331" spans="1:11" x14ac:dyDescent="0.25">
      <c r="A331" s="2"/>
      <c r="B331" s="2"/>
      <c r="C331" s="2"/>
      <c r="D331" s="3"/>
      <c r="E331" s="1"/>
      <c r="I331" s="1"/>
      <c r="K331" s="4">
        <f>Tabelle52[[#This Row],[value_present]]*Tabelle52[[#This Row],[binding_level]]</f>
        <v>0</v>
      </c>
    </row>
    <row r="332" spans="1:11" x14ac:dyDescent="0.25">
      <c r="A332" s="2"/>
      <c r="B332" s="2"/>
      <c r="C332" s="2"/>
      <c r="D332" s="3"/>
      <c r="E332" s="1"/>
      <c r="I332" s="1"/>
      <c r="K332" s="4">
        <f>Tabelle52[[#This Row],[value_present]]*Tabelle52[[#This Row],[binding_level]]</f>
        <v>0</v>
      </c>
    </row>
    <row r="333" spans="1:11" x14ac:dyDescent="0.25">
      <c r="A333" s="2"/>
      <c r="B333" s="2"/>
      <c r="C333" s="2"/>
      <c r="D333" s="3"/>
      <c r="E333" s="1"/>
      <c r="I333" s="1"/>
      <c r="K333" s="4">
        <f>Tabelle52[[#This Row],[value_present]]*Tabelle52[[#This Row],[binding_level]]</f>
        <v>0</v>
      </c>
    </row>
    <row r="334" spans="1:11" x14ac:dyDescent="0.25">
      <c r="A334" s="2"/>
      <c r="B334" s="2"/>
      <c r="C334" s="2"/>
      <c r="D334" s="3"/>
      <c r="E334" s="1"/>
      <c r="I334" s="1"/>
      <c r="K334" s="4">
        <f>Tabelle52[[#This Row],[value_present]]*Tabelle52[[#This Row],[binding_level]]</f>
        <v>0</v>
      </c>
    </row>
    <row r="335" spans="1:11" x14ac:dyDescent="0.25">
      <c r="A335" s="2"/>
      <c r="B335" s="2"/>
      <c r="C335" s="2"/>
      <c r="D335" s="3"/>
      <c r="E335" s="1"/>
      <c r="I335" s="1"/>
      <c r="K335" s="4">
        <f>Tabelle52[[#This Row],[value_present]]*Tabelle52[[#This Row],[binding_level]]</f>
        <v>0</v>
      </c>
    </row>
    <row r="336" spans="1:11" x14ac:dyDescent="0.25">
      <c r="A336" s="2"/>
      <c r="B336" s="2"/>
      <c r="C336" s="2"/>
      <c r="D336" s="3"/>
      <c r="E336" s="1"/>
      <c r="I336" s="1"/>
      <c r="K336" s="4">
        <f>Tabelle52[[#This Row],[value_present]]*Tabelle52[[#This Row],[binding_level]]</f>
        <v>0</v>
      </c>
    </row>
    <row r="337" spans="1:11" x14ac:dyDescent="0.25">
      <c r="A337" s="2"/>
      <c r="B337" s="2"/>
      <c r="C337" s="2"/>
      <c r="D337" s="3"/>
      <c r="E337" s="1"/>
      <c r="I337" s="1"/>
      <c r="K337" s="4">
        <f>Tabelle52[[#This Row],[value_present]]*Tabelle52[[#This Row],[binding_level]]</f>
        <v>0</v>
      </c>
    </row>
    <row r="338" spans="1:11" x14ac:dyDescent="0.25">
      <c r="A338" s="2"/>
      <c r="B338" s="2"/>
      <c r="C338" s="2"/>
      <c r="D338" s="3"/>
      <c r="E338" s="1"/>
      <c r="I338" s="1"/>
      <c r="K338" s="4">
        <f>Tabelle52[[#This Row],[value_present]]*Tabelle52[[#This Row],[binding_level]]</f>
        <v>0</v>
      </c>
    </row>
    <row r="339" spans="1:11" x14ac:dyDescent="0.25">
      <c r="A339" s="2"/>
      <c r="B339" s="2"/>
      <c r="C339" s="2"/>
      <c r="D339" s="3"/>
      <c r="E339" s="1"/>
      <c r="I339" s="1"/>
      <c r="K339" s="4">
        <f>Tabelle52[[#This Row],[value_present]]*Tabelle52[[#This Row],[binding_level]]</f>
        <v>0</v>
      </c>
    </row>
    <row r="340" spans="1:11" x14ac:dyDescent="0.25">
      <c r="A340" s="2"/>
      <c r="B340" s="2"/>
      <c r="C340" s="2"/>
      <c r="D340" s="3"/>
      <c r="E340" s="1"/>
      <c r="I340" s="1"/>
      <c r="K340" s="4">
        <f>Tabelle52[[#This Row],[value_present]]*Tabelle52[[#This Row],[binding_level]]</f>
        <v>0</v>
      </c>
    </row>
    <row r="341" spans="1:11" x14ac:dyDescent="0.25">
      <c r="A341" s="2"/>
      <c r="B341" s="2"/>
      <c r="C341" s="2"/>
      <c r="D341" s="3"/>
      <c r="E341" s="1"/>
      <c r="I341" s="1"/>
      <c r="K341" s="4">
        <f>Tabelle52[[#This Row],[value_present]]*Tabelle52[[#This Row],[binding_level]]</f>
        <v>0</v>
      </c>
    </row>
    <row r="342" spans="1:11" x14ac:dyDescent="0.25">
      <c r="A342" s="2"/>
      <c r="B342" s="2"/>
      <c r="C342" s="2"/>
      <c r="D342" s="3"/>
      <c r="E342" s="1"/>
      <c r="I342" s="1"/>
      <c r="K342" s="4">
        <f>Tabelle52[[#This Row],[value_present]]*Tabelle52[[#This Row],[binding_level]]</f>
        <v>0</v>
      </c>
    </row>
    <row r="343" spans="1:11" x14ac:dyDescent="0.25">
      <c r="A343" s="2"/>
      <c r="B343" s="2"/>
      <c r="C343" s="2"/>
      <c r="D343" s="3"/>
      <c r="E343" s="1"/>
      <c r="I343" s="1"/>
      <c r="K343" s="4">
        <f>Tabelle52[[#This Row],[value_present]]*Tabelle52[[#This Row],[binding_level]]</f>
        <v>0</v>
      </c>
    </row>
    <row r="344" spans="1:11" x14ac:dyDescent="0.25">
      <c r="A344" s="2"/>
      <c r="B344" s="2"/>
      <c r="C344" s="2"/>
      <c r="D344" s="3"/>
      <c r="E344" s="1"/>
      <c r="I344" s="1"/>
      <c r="K344" s="4">
        <f>Tabelle52[[#This Row],[value_present]]*Tabelle52[[#This Row],[binding_level]]</f>
        <v>0</v>
      </c>
    </row>
    <row r="345" spans="1:11" x14ac:dyDescent="0.25">
      <c r="A345" s="2"/>
      <c r="B345" s="2"/>
      <c r="C345" s="2"/>
      <c r="D345" s="3"/>
      <c r="E345" s="1"/>
      <c r="I345" s="1"/>
      <c r="K345" s="4">
        <f>Tabelle52[[#This Row],[value_present]]*Tabelle52[[#This Row],[binding_level]]</f>
        <v>0</v>
      </c>
    </row>
    <row r="346" spans="1:11" x14ac:dyDescent="0.25">
      <c r="A346" s="2"/>
      <c r="B346" s="2"/>
      <c r="C346" s="2"/>
      <c r="D346" s="3"/>
      <c r="E346" s="1"/>
      <c r="I346" s="1"/>
      <c r="K346" s="4">
        <f>Tabelle52[[#This Row],[value_present]]*Tabelle52[[#This Row],[binding_level]]</f>
        <v>0</v>
      </c>
    </row>
    <row r="347" spans="1:11" x14ac:dyDescent="0.25">
      <c r="A347" s="2"/>
      <c r="B347" s="2"/>
      <c r="C347" s="2"/>
      <c r="D347" s="3"/>
      <c r="E347" s="1"/>
      <c r="I347" s="1"/>
      <c r="K347" s="4">
        <f>Tabelle52[[#This Row],[value_present]]*Tabelle52[[#This Row],[binding_level]]</f>
        <v>0</v>
      </c>
    </row>
    <row r="348" spans="1:11" x14ac:dyDescent="0.25">
      <c r="A348" s="2"/>
      <c r="B348" s="2"/>
      <c r="C348" s="2"/>
      <c r="D348" s="3"/>
      <c r="E348" s="1"/>
      <c r="I348" s="1"/>
      <c r="K348" s="4">
        <f>Tabelle52[[#This Row],[value_present]]*Tabelle52[[#This Row],[binding_level]]</f>
        <v>0</v>
      </c>
    </row>
    <row r="349" spans="1:11" x14ac:dyDescent="0.25">
      <c r="A349" s="2"/>
      <c r="B349" s="2"/>
      <c r="C349" s="2"/>
      <c r="D349" s="3"/>
      <c r="E349" s="1"/>
      <c r="I349" s="1"/>
      <c r="K349" s="4">
        <f>Tabelle52[[#This Row],[value_present]]*Tabelle52[[#This Row],[binding_level]]</f>
        <v>0</v>
      </c>
    </row>
    <row r="350" spans="1:11" x14ac:dyDescent="0.25">
      <c r="A350" s="2"/>
      <c r="B350" s="2"/>
      <c r="C350" s="2"/>
      <c r="D350" s="3"/>
      <c r="E350" s="1"/>
      <c r="I350" s="1"/>
      <c r="K350" s="4">
        <f>Tabelle52[[#This Row],[value_present]]*Tabelle52[[#This Row],[binding_level]]</f>
        <v>0</v>
      </c>
    </row>
    <row r="351" spans="1:11" x14ac:dyDescent="0.25">
      <c r="A351" s="2"/>
      <c r="B351" s="2"/>
      <c r="C351" s="2"/>
      <c r="D351" s="3"/>
      <c r="E351" s="1"/>
      <c r="I351" s="1"/>
      <c r="K351" s="4">
        <f>Tabelle52[[#This Row],[value_present]]*Tabelle52[[#This Row],[binding_level]]</f>
        <v>0</v>
      </c>
    </row>
    <row r="352" spans="1:11" x14ac:dyDescent="0.25">
      <c r="A352" s="2"/>
      <c r="B352" s="2"/>
      <c r="C352" s="2"/>
      <c r="D352" s="3"/>
      <c r="E352" s="1"/>
      <c r="I352" s="1"/>
      <c r="K352" s="4">
        <f>Tabelle52[[#This Row],[value_present]]*Tabelle52[[#This Row],[binding_level]]</f>
        <v>0</v>
      </c>
    </row>
    <row r="353" spans="1:11" x14ac:dyDescent="0.25">
      <c r="A353" s="2"/>
      <c r="B353" s="2"/>
      <c r="C353" s="2"/>
      <c r="D353" s="3"/>
      <c r="E353" s="1"/>
      <c r="I353" s="1"/>
      <c r="K353" s="4">
        <f>Tabelle52[[#This Row],[value_present]]*Tabelle52[[#This Row],[binding_level]]</f>
        <v>0</v>
      </c>
    </row>
    <row r="354" spans="1:11" x14ac:dyDescent="0.25">
      <c r="A354" s="2"/>
      <c r="B354" s="2"/>
      <c r="C354" s="2"/>
      <c r="D354" s="3"/>
      <c r="E354" s="1"/>
      <c r="I354" s="1"/>
      <c r="K354" s="4">
        <f>Tabelle52[[#This Row],[value_present]]*Tabelle52[[#This Row],[binding_level]]</f>
        <v>0</v>
      </c>
    </row>
    <row r="355" spans="1:11" x14ac:dyDescent="0.25">
      <c r="A355" s="2"/>
      <c r="B355" s="2"/>
      <c r="C355" s="2"/>
      <c r="D355" s="3"/>
      <c r="E355" s="1"/>
      <c r="I355" s="1"/>
      <c r="K355" s="4">
        <f>Tabelle52[[#This Row],[value_present]]*Tabelle52[[#This Row],[binding_level]]</f>
        <v>0</v>
      </c>
    </row>
    <row r="356" spans="1:11" x14ac:dyDescent="0.25">
      <c r="A356" s="2"/>
      <c r="B356" s="2"/>
      <c r="C356" s="2"/>
      <c r="D356" s="3"/>
      <c r="E356" s="1"/>
      <c r="I356" s="1"/>
      <c r="K356" s="4">
        <f>Tabelle52[[#This Row],[value_present]]*Tabelle52[[#This Row],[binding_level]]</f>
        <v>0</v>
      </c>
    </row>
    <row r="357" spans="1:11" x14ac:dyDescent="0.25">
      <c r="A357" s="2"/>
      <c r="B357" s="2"/>
      <c r="C357" s="2"/>
      <c r="D357" s="3"/>
      <c r="E357" s="1"/>
      <c r="I357" s="1"/>
      <c r="K357" s="4">
        <f>Tabelle52[[#This Row],[value_present]]*Tabelle52[[#This Row],[binding_level]]</f>
        <v>0</v>
      </c>
    </row>
    <row r="358" spans="1:11" x14ac:dyDescent="0.25">
      <c r="A358" s="2"/>
      <c r="B358" s="2"/>
      <c r="C358" s="2"/>
      <c r="D358" s="3"/>
      <c r="E358" s="1"/>
      <c r="I358" s="1"/>
      <c r="K358" s="4">
        <f>Tabelle52[[#This Row],[value_present]]*Tabelle52[[#This Row],[binding_level]]</f>
        <v>0</v>
      </c>
    </row>
    <row r="359" spans="1:11" x14ac:dyDescent="0.25">
      <c r="A359" s="2"/>
      <c r="B359" s="2"/>
      <c r="C359" s="2"/>
      <c r="D359" s="3"/>
      <c r="E359" s="1"/>
      <c r="I359" s="1"/>
      <c r="K359" s="4">
        <f>Tabelle52[[#This Row],[value_present]]*Tabelle52[[#This Row],[binding_level]]</f>
        <v>0</v>
      </c>
    </row>
    <row r="360" spans="1:11" x14ac:dyDescent="0.25">
      <c r="A360" s="2"/>
      <c r="B360" s="2"/>
      <c r="C360" s="2"/>
      <c r="D360" s="3"/>
      <c r="E360" s="1"/>
      <c r="I360" s="1"/>
      <c r="K360" s="4">
        <f>Tabelle52[[#This Row],[value_present]]*Tabelle52[[#This Row],[binding_level]]</f>
        <v>0</v>
      </c>
    </row>
    <row r="361" spans="1:11" x14ac:dyDescent="0.25">
      <c r="A361" s="2"/>
      <c r="B361" s="2"/>
      <c r="C361" s="2"/>
      <c r="D361" s="3"/>
      <c r="E361" s="1"/>
      <c r="I361" s="1"/>
      <c r="K361" s="4">
        <f>Tabelle52[[#This Row],[value_present]]*Tabelle52[[#This Row],[binding_level]]</f>
        <v>0</v>
      </c>
    </row>
    <row r="362" spans="1:11" x14ac:dyDescent="0.25">
      <c r="A362" s="2"/>
      <c r="B362" s="2"/>
      <c r="C362" s="2"/>
      <c r="D362" s="3"/>
      <c r="E362" s="1"/>
      <c r="I362" s="1"/>
      <c r="K362" s="4">
        <f>Tabelle52[[#This Row],[value_present]]*Tabelle52[[#This Row],[binding_level]]</f>
        <v>0</v>
      </c>
    </row>
    <row r="363" spans="1:11" x14ac:dyDescent="0.25">
      <c r="A363" s="2"/>
      <c r="B363" s="2"/>
      <c r="C363" s="2"/>
      <c r="D363" s="3"/>
      <c r="E363" s="1"/>
      <c r="I363" s="1"/>
      <c r="K363" s="4">
        <f>Tabelle52[[#This Row],[value_present]]*Tabelle52[[#This Row],[binding_level]]</f>
        <v>0</v>
      </c>
    </row>
    <row r="364" spans="1:11" x14ac:dyDescent="0.25">
      <c r="A364" s="2"/>
      <c r="B364" s="2"/>
      <c r="C364" s="2"/>
      <c r="D364" s="3"/>
      <c r="E364" s="1"/>
      <c r="I364" s="1"/>
      <c r="K364" s="4">
        <f>Tabelle52[[#This Row],[value_present]]*Tabelle52[[#This Row],[binding_level]]</f>
        <v>0</v>
      </c>
    </row>
    <row r="365" spans="1:11" x14ac:dyDescent="0.25">
      <c r="A365" s="2"/>
      <c r="B365" s="2"/>
      <c r="C365" s="2"/>
      <c r="D365" s="3"/>
      <c r="E365" s="1"/>
      <c r="I365" s="1"/>
      <c r="K365" s="4">
        <f>Tabelle52[[#This Row],[value_present]]*Tabelle52[[#This Row],[binding_level]]</f>
        <v>0</v>
      </c>
    </row>
    <row r="366" spans="1:11" x14ac:dyDescent="0.25">
      <c r="A366" s="2"/>
      <c r="B366" s="2"/>
      <c r="C366" s="2"/>
      <c r="D366" s="3"/>
      <c r="E366" s="1"/>
      <c r="I366" s="1"/>
      <c r="K366" s="4">
        <f>Tabelle52[[#This Row],[value_present]]*Tabelle52[[#This Row],[binding_level]]</f>
        <v>0</v>
      </c>
    </row>
    <row r="367" spans="1:11" x14ac:dyDescent="0.25">
      <c r="A367" s="2"/>
      <c r="B367" s="2"/>
      <c r="C367" s="2"/>
      <c r="D367" s="3"/>
      <c r="E367" s="1"/>
      <c r="I367" s="1"/>
      <c r="K367" s="4">
        <f>Tabelle52[[#This Row],[value_present]]*Tabelle52[[#This Row],[binding_level]]</f>
        <v>0</v>
      </c>
    </row>
    <row r="368" spans="1:11" x14ac:dyDescent="0.25">
      <c r="A368" s="2"/>
      <c r="B368" s="2"/>
      <c r="C368" s="2"/>
      <c r="D368" s="3"/>
      <c r="E368" s="1"/>
      <c r="I368" s="1"/>
      <c r="K368" s="4">
        <f>Tabelle52[[#This Row],[value_present]]*Tabelle52[[#This Row],[binding_level]]</f>
        <v>0</v>
      </c>
    </row>
    <row r="369" spans="1:11" x14ac:dyDescent="0.25">
      <c r="A369" s="2"/>
      <c r="B369" s="2"/>
      <c r="C369" s="2"/>
      <c r="D369" s="3"/>
      <c r="E369" s="1"/>
      <c r="I369" s="1"/>
      <c r="K369" s="4">
        <f>Tabelle52[[#This Row],[value_present]]*Tabelle52[[#This Row],[binding_level]]</f>
        <v>0</v>
      </c>
    </row>
    <row r="370" spans="1:11" x14ac:dyDescent="0.25">
      <c r="A370" s="2"/>
      <c r="B370" s="2"/>
      <c r="C370" s="2"/>
      <c r="D370" s="3"/>
      <c r="E370" s="1"/>
      <c r="I370" s="1"/>
      <c r="K370" s="4">
        <f>Tabelle52[[#This Row],[value_present]]*Tabelle52[[#This Row],[binding_level]]</f>
        <v>0</v>
      </c>
    </row>
    <row r="371" spans="1:11" x14ac:dyDescent="0.25">
      <c r="A371" s="2"/>
      <c r="B371" s="2"/>
      <c r="C371" s="2"/>
      <c r="D371" s="3"/>
      <c r="E371" s="1"/>
      <c r="I371" s="1"/>
      <c r="K371" s="4">
        <f>Tabelle52[[#This Row],[value_present]]*Tabelle52[[#This Row],[binding_level]]</f>
        <v>0</v>
      </c>
    </row>
    <row r="372" spans="1:11" x14ac:dyDescent="0.25">
      <c r="A372" s="2"/>
      <c r="B372" s="2"/>
      <c r="C372" s="2"/>
      <c r="D372" s="3"/>
      <c r="E372" s="1"/>
      <c r="I372" s="1"/>
      <c r="K372" s="4">
        <f>Tabelle52[[#This Row],[value_present]]*Tabelle52[[#This Row],[binding_level]]</f>
        <v>0</v>
      </c>
    </row>
    <row r="373" spans="1:11" x14ac:dyDescent="0.25">
      <c r="A373" s="2"/>
      <c r="B373" s="2"/>
      <c r="C373" s="2"/>
      <c r="D373" s="3"/>
      <c r="E373" s="1"/>
      <c r="I373" s="1"/>
      <c r="K373" s="4">
        <f>Tabelle52[[#This Row],[value_present]]*Tabelle52[[#This Row],[binding_level]]</f>
        <v>0</v>
      </c>
    </row>
    <row r="374" spans="1:11" x14ac:dyDescent="0.25">
      <c r="A374" s="2"/>
      <c r="B374" s="2"/>
      <c r="C374" s="2"/>
      <c r="D374" s="3"/>
      <c r="E374" s="1"/>
      <c r="I374" s="1"/>
      <c r="K374" s="4">
        <f>Tabelle52[[#This Row],[value_present]]*Tabelle52[[#This Row],[binding_level]]</f>
        <v>0</v>
      </c>
    </row>
    <row r="375" spans="1:11" x14ac:dyDescent="0.25">
      <c r="A375" s="2"/>
      <c r="B375" s="2"/>
      <c r="C375" s="2"/>
      <c r="D375" s="3"/>
      <c r="E375" s="1"/>
      <c r="I375" s="1"/>
      <c r="K375" s="4">
        <f>Tabelle52[[#This Row],[value_present]]*Tabelle52[[#This Row],[binding_level]]</f>
        <v>0</v>
      </c>
    </row>
    <row r="376" spans="1:11" x14ac:dyDescent="0.25">
      <c r="A376" s="2"/>
      <c r="B376" s="2"/>
      <c r="C376" s="2"/>
      <c r="D376" s="3"/>
      <c r="E376" s="1"/>
      <c r="I376" s="1"/>
      <c r="K376" s="4">
        <f>Tabelle52[[#This Row],[value_present]]*Tabelle52[[#This Row],[binding_level]]</f>
        <v>0</v>
      </c>
    </row>
    <row r="377" spans="1:11" x14ac:dyDescent="0.25">
      <c r="A377" s="2"/>
      <c r="B377" s="2"/>
      <c r="C377" s="2"/>
      <c r="D377" s="3"/>
      <c r="E377" s="1"/>
      <c r="I377" s="1"/>
      <c r="K377" s="4">
        <f>Tabelle52[[#This Row],[value_present]]*Tabelle52[[#This Row],[binding_level]]</f>
        <v>0</v>
      </c>
    </row>
    <row r="378" spans="1:11" x14ac:dyDescent="0.25">
      <c r="A378" s="2"/>
      <c r="B378" s="2"/>
      <c r="C378" s="2"/>
      <c r="D378" s="3"/>
      <c r="E378" s="1"/>
      <c r="I378" s="1"/>
      <c r="K378" s="4">
        <f>Tabelle52[[#This Row],[value_present]]*Tabelle52[[#This Row],[binding_level]]</f>
        <v>0</v>
      </c>
    </row>
    <row r="379" spans="1:11" x14ac:dyDescent="0.25">
      <c r="A379" s="2"/>
      <c r="B379" s="2"/>
      <c r="C379" s="2"/>
      <c r="D379" s="3"/>
      <c r="E379" s="1"/>
      <c r="I379" s="1"/>
      <c r="K379" s="4">
        <f>Tabelle52[[#This Row],[value_present]]*Tabelle52[[#This Row],[binding_level]]</f>
        <v>0</v>
      </c>
    </row>
    <row r="380" spans="1:11" x14ac:dyDescent="0.25">
      <c r="A380" s="2"/>
      <c r="B380" s="2"/>
      <c r="C380" s="2"/>
      <c r="D380" s="3"/>
      <c r="E380" s="1"/>
      <c r="I380" s="1"/>
      <c r="K380" s="4">
        <f>Tabelle52[[#This Row],[value_present]]*Tabelle52[[#This Row],[binding_level]]</f>
        <v>0</v>
      </c>
    </row>
    <row r="381" spans="1:11" x14ac:dyDescent="0.25">
      <c r="A381" s="2"/>
      <c r="B381" s="2"/>
      <c r="C381" s="2"/>
      <c r="D381" s="3"/>
      <c r="E381" s="1"/>
      <c r="I381" s="1"/>
      <c r="K381" s="4">
        <f>Tabelle52[[#This Row],[value_present]]*Tabelle52[[#This Row],[binding_level]]</f>
        <v>0</v>
      </c>
    </row>
    <row r="382" spans="1:11" x14ac:dyDescent="0.25">
      <c r="A382" s="2"/>
      <c r="B382" s="2"/>
      <c r="C382" s="2"/>
      <c r="D382" s="3"/>
      <c r="E382" s="1"/>
      <c r="I382" s="1"/>
      <c r="K382" s="4">
        <f>Tabelle52[[#This Row],[value_present]]*Tabelle52[[#This Row],[binding_level]]</f>
        <v>0</v>
      </c>
    </row>
    <row r="383" spans="1:11" x14ac:dyDescent="0.25">
      <c r="A383" s="2"/>
      <c r="B383" s="2"/>
      <c r="C383" s="2"/>
      <c r="D383" s="3"/>
      <c r="E383" s="1"/>
      <c r="I383" s="1"/>
      <c r="K383" s="4">
        <f>Tabelle52[[#This Row],[value_present]]*Tabelle52[[#This Row],[binding_level]]</f>
        <v>0</v>
      </c>
    </row>
    <row r="384" spans="1:11" x14ac:dyDescent="0.25">
      <c r="A384" s="2"/>
      <c r="B384" s="2"/>
      <c r="C384" s="2"/>
      <c r="D384" s="3"/>
      <c r="E384" s="1"/>
      <c r="I384" s="1"/>
      <c r="K384" s="4">
        <f>Tabelle52[[#This Row],[value_present]]*Tabelle52[[#This Row],[binding_level]]</f>
        <v>0</v>
      </c>
    </row>
    <row r="385" spans="1:11" x14ac:dyDescent="0.25">
      <c r="A385" s="2"/>
      <c r="B385" s="2"/>
      <c r="C385" s="2"/>
      <c r="D385" s="3"/>
      <c r="E385" s="1"/>
      <c r="I385" s="1"/>
      <c r="K385" s="4">
        <f>Tabelle52[[#This Row],[value_present]]*Tabelle52[[#This Row],[binding_level]]</f>
        <v>0</v>
      </c>
    </row>
    <row r="386" spans="1:11" x14ac:dyDescent="0.25">
      <c r="A386" s="2"/>
      <c r="B386" s="2"/>
      <c r="C386" s="2"/>
      <c r="D386" s="3"/>
      <c r="E386" s="1"/>
      <c r="I386" s="1"/>
      <c r="K386" s="4">
        <f>Tabelle52[[#This Row],[value_present]]*Tabelle52[[#This Row],[binding_level]]</f>
        <v>0</v>
      </c>
    </row>
    <row r="387" spans="1:11" x14ac:dyDescent="0.25">
      <c r="A387" s="2"/>
      <c r="B387" s="2"/>
      <c r="C387" s="2"/>
      <c r="D387" s="3"/>
      <c r="E387" s="1"/>
      <c r="I387" s="1"/>
      <c r="K387" s="4">
        <f>Tabelle52[[#This Row],[value_present]]*Tabelle52[[#This Row],[binding_level]]</f>
        <v>0</v>
      </c>
    </row>
    <row r="388" spans="1:11" x14ac:dyDescent="0.25">
      <c r="A388" s="2"/>
      <c r="B388" s="2"/>
      <c r="C388" s="2"/>
      <c r="D388" s="3"/>
      <c r="E388" s="1"/>
      <c r="I388" s="1"/>
      <c r="K388" s="4">
        <f>Tabelle52[[#This Row],[value_present]]*Tabelle52[[#This Row],[binding_level]]</f>
        <v>0</v>
      </c>
    </row>
    <row r="389" spans="1:11" x14ac:dyDescent="0.25">
      <c r="A389" s="2"/>
      <c r="B389" s="2"/>
      <c r="C389" s="2"/>
      <c r="D389" s="3"/>
      <c r="E389" s="1"/>
      <c r="I389" s="1"/>
      <c r="K389" s="4">
        <f>Tabelle52[[#This Row],[value_present]]*Tabelle52[[#This Row],[binding_level]]</f>
        <v>0</v>
      </c>
    </row>
    <row r="390" spans="1:11" x14ac:dyDescent="0.25">
      <c r="A390" s="2"/>
      <c r="B390" s="2"/>
      <c r="C390" s="2"/>
      <c r="D390" s="3"/>
      <c r="E390" s="1"/>
      <c r="I390" s="1"/>
      <c r="K390" s="4">
        <f>Tabelle52[[#This Row],[value_present]]*Tabelle52[[#This Row],[binding_level]]</f>
        <v>0</v>
      </c>
    </row>
    <row r="391" spans="1:11" x14ac:dyDescent="0.25">
      <c r="A391" s="2"/>
      <c r="B391" s="2"/>
      <c r="C391" s="2"/>
      <c r="D391" s="3"/>
      <c r="E391" s="1"/>
      <c r="I391" s="1"/>
      <c r="K391" s="4">
        <f>Tabelle52[[#This Row],[value_present]]*Tabelle52[[#This Row],[binding_level]]</f>
        <v>0</v>
      </c>
    </row>
    <row r="392" spans="1:11" x14ac:dyDescent="0.25">
      <c r="A392" s="2"/>
      <c r="B392" s="2"/>
      <c r="C392" s="2"/>
      <c r="D392" s="3"/>
      <c r="E392" s="1"/>
      <c r="I392" s="1"/>
      <c r="K392" s="4">
        <f>Tabelle52[[#This Row],[value_present]]*Tabelle52[[#This Row],[binding_level]]</f>
        <v>0</v>
      </c>
    </row>
    <row r="393" spans="1:11" x14ac:dyDescent="0.25">
      <c r="A393" s="2"/>
      <c r="B393" s="2"/>
      <c r="C393" s="2"/>
      <c r="D393" s="3"/>
      <c r="E393" s="1"/>
      <c r="I393" s="1"/>
      <c r="K393" s="4">
        <f>Tabelle52[[#This Row],[value_present]]*Tabelle52[[#This Row],[binding_level]]</f>
        <v>0</v>
      </c>
    </row>
    <row r="394" spans="1:11" x14ac:dyDescent="0.25">
      <c r="A394" s="2"/>
      <c r="B394" s="2"/>
      <c r="C394" s="2"/>
      <c r="D394" s="3"/>
      <c r="E394" s="1"/>
      <c r="I394" s="1"/>
      <c r="K394" s="4">
        <f>Tabelle52[[#This Row],[value_present]]*Tabelle52[[#This Row],[binding_level]]</f>
        <v>0</v>
      </c>
    </row>
    <row r="395" spans="1:11" x14ac:dyDescent="0.25">
      <c r="A395" s="2"/>
      <c r="B395" s="2"/>
      <c r="C395" s="2"/>
      <c r="D395" s="3"/>
      <c r="E395" s="1"/>
      <c r="I395" s="1"/>
      <c r="K395" s="4">
        <f>Tabelle52[[#This Row],[value_present]]*Tabelle52[[#This Row],[binding_level]]</f>
        <v>0</v>
      </c>
    </row>
    <row r="396" spans="1:11" x14ac:dyDescent="0.25">
      <c r="A396" s="2"/>
      <c r="B396" s="2"/>
      <c r="C396" s="2"/>
      <c r="D396" s="3"/>
      <c r="E396" s="1"/>
      <c r="I396" s="1"/>
      <c r="K396" s="4">
        <f>Tabelle52[[#This Row],[value_present]]*Tabelle52[[#This Row],[binding_level]]</f>
        <v>0</v>
      </c>
    </row>
    <row r="397" spans="1:11" x14ac:dyDescent="0.25">
      <c r="A397" s="2"/>
      <c r="B397" s="2"/>
      <c r="C397" s="2"/>
      <c r="D397" s="3"/>
      <c r="E397" s="1"/>
      <c r="I397" s="1"/>
      <c r="K397" s="4">
        <f>Tabelle52[[#This Row],[value_present]]*Tabelle52[[#This Row],[binding_level]]</f>
        <v>0</v>
      </c>
    </row>
    <row r="398" spans="1:11" x14ac:dyDescent="0.25">
      <c r="A398" s="2"/>
      <c r="B398" s="2"/>
      <c r="C398" s="2"/>
      <c r="D398" s="3"/>
      <c r="E398" s="1"/>
      <c r="I398" s="1"/>
      <c r="K398" s="4">
        <f>Tabelle52[[#This Row],[value_present]]*Tabelle52[[#This Row],[binding_level]]</f>
        <v>0</v>
      </c>
    </row>
    <row r="399" spans="1:11" x14ac:dyDescent="0.25">
      <c r="A399" s="2"/>
      <c r="B399" s="2"/>
      <c r="C399" s="2"/>
      <c r="D399" s="3"/>
      <c r="E399" s="1"/>
      <c r="I399" s="1"/>
      <c r="K399" s="4">
        <f>Tabelle52[[#This Row],[value_present]]*Tabelle52[[#This Row],[binding_level]]</f>
        <v>0</v>
      </c>
    </row>
    <row r="400" spans="1:11" x14ac:dyDescent="0.25">
      <c r="A400" s="2"/>
      <c r="B400" s="2"/>
      <c r="C400" s="2"/>
      <c r="D400" s="3"/>
      <c r="E400" s="1"/>
      <c r="I400" s="1"/>
      <c r="K400" s="4">
        <f>Tabelle52[[#This Row],[value_present]]*Tabelle52[[#This Row],[binding_level]]</f>
        <v>0</v>
      </c>
    </row>
    <row r="401" spans="1:11" x14ac:dyDescent="0.25">
      <c r="A401" s="2"/>
      <c r="B401" s="2"/>
      <c r="C401" s="2"/>
      <c r="D401" s="3"/>
      <c r="E401" s="1"/>
      <c r="I401" s="1"/>
      <c r="K401" s="4">
        <f>Tabelle52[[#This Row],[value_present]]*Tabelle52[[#This Row],[binding_level]]</f>
        <v>0</v>
      </c>
    </row>
    <row r="402" spans="1:11" x14ac:dyDescent="0.25">
      <c r="A402" s="2"/>
      <c r="B402" s="2"/>
      <c r="C402" s="2"/>
      <c r="D402" s="3"/>
      <c r="E402" s="1"/>
      <c r="I402" s="1"/>
      <c r="K402" s="4">
        <f>Tabelle52[[#This Row],[value_present]]*Tabelle52[[#This Row],[binding_level]]</f>
        <v>0</v>
      </c>
    </row>
    <row r="403" spans="1:11" x14ac:dyDescent="0.25">
      <c r="A403" s="2"/>
      <c r="B403" s="2"/>
      <c r="C403" s="2"/>
      <c r="D403" s="3"/>
      <c r="E403" s="1"/>
      <c r="I403" s="1"/>
      <c r="K403" s="4">
        <f>Tabelle52[[#This Row],[value_present]]*Tabelle52[[#This Row],[binding_level]]</f>
        <v>0</v>
      </c>
    </row>
    <row r="404" spans="1:11" x14ac:dyDescent="0.25">
      <c r="A404" s="2"/>
      <c r="B404" s="2"/>
      <c r="C404" s="2"/>
      <c r="D404" s="3"/>
      <c r="E404" s="1"/>
      <c r="I404" s="1"/>
      <c r="K404" s="4">
        <f>Tabelle52[[#This Row],[value_present]]*Tabelle52[[#This Row],[binding_level]]</f>
        <v>0</v>
      </c>
    </row>
    <row r="405" spans="1:11" x14ac:dyDescent="0.25">
      <c r="A405" s="2"/>
      <c r="B405" s="2"/>
      <c r="C405" s="2"/>
      <c r="D405" s="3"/>
      <c r="E405" s="1"/>
      <c r="I405" s="1"/>
      <c r="K405" s="4">
        <f>Tabelle52[[#This Row],[value_present]]*Tabelle52[[#This Row],[binding_level]]</f>
        <v>0</v>
      </c>
    </row>
    <row r="406" spans="1:11" x14ac:dyDescent="0.25">
      <c r="A406" s="2"/>
      <c r="B406" s="2"/>
      <c r="C406" s="2"/>
      <c r="D406" s="3"/>
      <c r="E406" s="1"/>
      <c r="I406" s="1"/>
      <c r="K406" s="4">
        <f>Tabelle52[[#This Row],[value_present]]*Tabelle52[[#This Row],[binding_level]]</f>
        <v>0</v>
      </c>
    </row>
    <row r="407" spans="1:11" x14ac:dyDescent="0.25">
      <c r="A407" s="2"/>
      <c r="B407" s="2"/>
      <c r="C407" s="2"/>
      <c r="D407" s="3"/>
      <c r="E407" s="1"/>
      <c r="I407" s="1"/>
      <c r="K407" s="4">
        <f>Tabelle52[[#This Row],[value_present]]*Tabelle52[[#This Row],[binding_level]]</f>
        <v>0</v>
      </c>
    </row>
    <row r="408" spans="1:11" x14ac:dyDescent="0.25">
      <c r="A408" s="2"/>
      <c r="B408" s="2"/>
      <c r="C408" s="2"/>
      <c r="D408" s="3"/>
      <c r="E408" s="1"/>
      <c r="I408" s="1"/>
      <c r="K408" s="4">
        <f>Tabelle52[[#This Row],[value_present]]*Tabelle52[[#This Row],[binding_level]]</f>
        <v>0</v>
      </c>
    </row>
    <row r="409" spans="1:11" x14ac:dyDescent="0.25">
      <c r="A409" s="2"/>
      <c r="B409" s="2"/>
      <c r="C409" s="2"/>
      <c r="D409" s="3"/>
      <c r="E409" s="1"/>
      <c r="I409" s="1"/>
      <c r="K409" s="4">
        <f>Tabelle52[[#This Row],[value_present]]*Tabelle52[[#This Row],[binding_level]]</f>
        <v>0</v>
      </c>
    </row>
    <row r="410" spans="1:11" x14ac:dyDescent="0.25">
      <c r="A410" s="2"/>
      <c r="B410" s="2"/>
      <c r="C410" s="2"/>
      <c r="D410" s="3"/>
      <c r="E410" s="1"/>
      <c r="I410" s="1"/>
      <c r="K410" s="4">
        <f>Tabelle52[[#This Row],[value_present]]*Tabelle52[[#This Row],[binding_level]]</f>
        <v>0</v>
      </c>
    </row>
    <row r="411" spans="1:11" x14ac:dyDescent="0.25">
      <c r="A411" s="2"/>
      <c r="B411" s="2"/>
      <c r="C411" s="2"/>
      <c r="D411" s="3"/>
      <c r="E411" s="1"/>
      <c r="I411" s="1"/>
      <c r="K411" s="4">
        <f>Tabelle52[[#This Row],[value_present]]*Tabelle52[[#This Row],[binding_level]]</f>
        <v>0</v>
      </c>
    </row>
    <row r="412" spans="1:11" x14ac:dyDescent="0.25">
      <c r="A412" s="2"/>
      <c r="B412" s="2"/>
      <c r="C412" s="2"/>
      <c r="D412" s="3"/>
      <c r="E412" s="1"/>
      <c r="I412" s="1"/>
      <c r="K412" s="4">
        <f>Tabelle52[[#This Row],[value_present]]*Tabelle52[[#This Row],[binding_level]]</f>
        <v>0</v>
      </c>
    </row>
    <row r="413" spans="1:11" x14ac:dyDescent="0.25">
      <c r="A413" s="2"/>
      <c r="B413" s="2"/>
      <c r="C413" s="2"/>
      <c r="D413" s="3"/>
      <c r="E413" s="1"/>
      <c r="I413" s="1"/>
      <c r="K413" s="4">
        <f>Tabelle52[[#This Row],[value_present]]*Tabelle52[[#This Row],[binding_level]]</f>
        <v>0</v>
      </c>
    </row>
    <row r="414" spans="1:11" x14ac:dyDescent="0.25">
      <c r="A414" s="2"/>
      <c r="B414" s="2"/>
      <c r="C414" s="2"/>
      <c r="D414" s="3"/>
      <c r="E414" s="1"/>
      <c r="I414" s="1"/>
      <c r="K414" s="4">
        <f>Tabelle52[[#This Row],[value_present]]*Tabelle52[[#This Row],[binding_level]]</f>
        <v>0</v>
      </c>
    </row>
    <row r="415" spans="1:11" x14ac:dyDescent="0.25">
      <c r="A415" s="2"/>
      <c r="B415" s="2"/>
      <c r="C415" s="2"/>
      <c r="D415" s="3"/>
      <c r="E415" s="1"/>
      <c r="I415" s="1"/>
      <c r="K415" s="4">
        <f>Tabelle52[[#This Row],[value_present]]*Tabelle52[[#This Row],[binding_level]]</f>
        <v>0</v>
      </c>
    </row>
    <row r="416" spans="1:11" x14ac:dyDescent="0.25">
      <c r="A416" s="2"/>
      <c r="B416" s="2"/>
      <c r="C416" s="2"/>
      <c r="D416" s="3"/>
      <c r="E416" s="1"/>
      <c r="I416" s="1"/>
      <c r="K416" s="4">
        <f>Tabelle52[[#This Row],[value_present]]*Tabelle52[[#This Row],[binding_level]]</f>
        <v>0</v>
      </c>
    </row>
    <row r="417" spans="1:11" x14ac:dyDescent="0.25">
      <c r="A417" s="2"/>
      <c r="B417" s="2"/>
      <c r="C417" s="2"/>
      <c r="D417" s="3"/>
      <c r="E417" s="1"/>
      <c r="I417" s="1"/>
      <c r="K417" s="4">
        <f>Tabelle52[[#This Row],[value_present]]*Tabelle52[[#This Row],[binding_level]]</f>
        <v>0</v>
      </c>
    </row>
    <row r="418" spans="1:11" x14ac:dyDescent="0.25">
      <c r="A418" s="2"/>
      <c r="B418" s="2"/>
      <c r="C418" s="2"/>
      <c r="D418" s="3"/>
      <c r="E418" s="1"/>
      <c r="I418" s="1"/>
      <c r="K418" s="4">
        <f>Tabelle52[[#This Row],[value_present]]*Tabelle52[[#This Row],[binding_level]]</f>
        <v>0</v>
      </c>
    </row>
    <row r="419" spans="1:11" x14ac:dyDescent="0.25">
      <c r="A419" s="2"/>
      <c r="B419" s="2"/>
      <c r="C419" s="2"/>
      <c r="D419" s="3"/>
      <c r="E419" s="1"/>
      <c r="I419" s="1"/>
      <c r="K419" s="4">
        <f>Tabelle52[[#This Row],[value_present]]*Tabelle52[[#This Row],[binding_level]]</f>
        <v>0</v>
      </c>
    </row>
    <row r="420" spans="1:11" x14ac:dyDescent="0.25">
      <c r="A420" s="2"/>
      <c r="B420" s="2"/>
      <c r="C420" s="2"/>
      <c r="D420" s="3"/>
      <c r="E420" s="1"/>
      <c r="I420" s="1"/>
      <c r="K420" s="4">
        <f>Tabelle52[[#This Row],[value_present]]*Tabelle52[[#This Row],[binding_level]]</f>
        <v>0</v>
      </c>
    </row>
    <row r="421" spans="1:11" x14ac:dyDescent="0.25">
      <c r="A421" s="2"/>
      <c r="B421" s="2"/>
      <c r="C421" s="2"/>
      <c r="D421" s="3"/>
      <c r="E421" s="1"/>
      <c r="I421" s="1"/>
      <c r="K421" s="4">
        <f>Tabelle52[[#This Row],[value_present]]*Tabelle52[[#This Row],[binding_level]]</f>
        <v>0</v>
      </c>
    </row>
    <row r="422" spans="1:11" x14ac:dyDescent="0.25">
      <c r="A422" s="2"/>
      <c r="B422" s="2"/>
      <c r="C422" s="2"/>
      <c r="D422" s="3"/>
      <c r="E422" s="1"/>
      <c r="I422" s="1"/>
      <c r="K422" s="4">
        <f>Tabelle52[[#This Row],[value_present]]*Tabelle52[[#This Row],[binding_level]]</f>
        <v>0</v>
      </c>
    </row>
    <row r="423" spans="1:11" x14ac:dyDescent="0.25">
      <c r="A423" s="2"/>
      <c r="B423" s="2"/>
      <c r="C423" s="2"/>
      <c r="D423" s="3"/>
      <c r="E423" s="1"/>
      <c r="I423" s="1"/>
      <c r="K423" s="4">
        <f>Tabelle52[[#This Row],[value_present]]*Tabelle52[[#This Row],[binding_level]]</f>
        <v>0</v>
      </c>
    </row>
    <row r="424" spans="1:11" x14ac:dyDescent="0.25">
      <c r="A424" s="2"/>
      <c r="B424" s="2"/>
      <c r="C424" s="2"/>
      <c r="D424" s="3"/>
      <c r="E424" s="1"/>
      <c r="I424" s="1"/>
      <c r="K424" s="4">
        <f>Tabelle52[[#This Row],[value_present]]*Tabelle52[[#This Row],[binding_level]]</f>
        <v>0</v>
      </c>
    </row>
    <row r="425" spans="1:11" x14ac:dyDescent="0.25">
      <c r="A425" s="2"/>
      <c r="B425" s="2"/>
      <c r="C425" s="2"/>
      <c r="D425" s="3"/>
      <c r="E425" s="1"/>
      <c r="I425" s="1"/>
      <c r="K425" s="4">
        <f>Tabelle52[[#This Row],[value_present]]*Tabelle52[[#This Row],[binding_level]]</f>
        <v>0</v>
      </c>
    </row>
    <row r="426" spans="1:11" x14ac:dyDescent="0.25">
      <c r="A426" s="2"/>
      <c r="B426" s="2"/>
      <c r="C426" s="2"/>
      <c r="D426" s="3"/>
      <c r="E426" s="1"/>
      <c r="I426" s="1"/>
      <c r="K426" s="4">
        <f>Tabelle52[[#This Row],[value_present]]*Tabelle52[[#This Row],[binding_level]]</f>
        <v>0</v>
      </c>
    </row>
    <row r="427" spans="1:11" x14ac:dyDescent="0.25">
      <c r="A427" s="2"/>
      <c r="B427" s="2"/>
      <c r="C427" s="2"/>
      <c r="D427" s="3"/>
      <c r="E427" s="1"/>
      <c r="I427" s="1"/>
      <c r="K427" s="4">
        <f>Tabelle52[[#This Row],[value_present]]*Tabelle52[[#This Row],[binding_level]]</f>
        <v>0</v>
      </c>
    </row>
    <row r="428" spans="1:11" x14ac:dyDescent="0.25">
      <c r="A428" s="2"/>
      <c r="B428" s="2"/>
      <c r="C428" s="2"/>
      <c r="D428" s="3"/>
      <c r="E428" s="1"/>
      <c r="I428" s="1"/>
      <c r="K428" s="4">
        <f>Tabelle52[[#This Row],[value_present]]*Tabelle52[[#This Row],[binding_level]]</f>
        <v>0</v>
      </c>
    </row>
    <row r="429" spans="1:11" x14ac:dyDescent="0.25">
      <c r="A429" s="2"/>
      <c r="B429" s="2"/>
      <c r="C429" s="2"/>
      <c r="D429" s="3"/>
      <c r="E429" s="1"/>
      <c r="I429" s="1"/>
      <c r="K429" s="4">
        <f>Tabelle52[[#This Row],[value_present]]*Tabelle52[[#This Row],[binding_level]]</f>
        <v>0</v>
      </c>
    </row>
    <row r="430" spans="1:11" x14ac:dyDescent="0.25">
      <c r="A430" s="2"/>
      <c r="B430" s="2"/>
      <c r="C430" s="2"/>
      <c r="D430" s="3"/>
      <c r="E430" s="1"/>
      <c r="I430" s="1"/>
      <c r="K430" s="4">
        <f>Tabelle52[[#This Row],[value_present]]*Tabelle52[[#This Row],[binding_level]]</f>
        <v>0</v>
      </c>
    </row>
    <row r="431" spans="1:11" x14ac:dyDescent="0.25">
      <c r="A431" s="2"/>
      <c r="B431" s="2"/>
      <c r="C431" s="2"/>
      <c r="D431" s="3"/>
      <c r="E431" s="1"/>
      <c r="I431" s="1"/>
      <c r="K431" s="4">
        <f>Tabelle52[[#This Row],[value_present]]*Tabelle52[[#This Row],[binding_level]]</f>
        <v>0</v>
      </c>
    </row>
    <row r="432" spans="1:11" x14ac:dyDescent="0.25">
      <c r="A432" s="2"/>
      <c r="B432" s="2"/>
      <c r="C432" s="2"/>
      <c r="D432" s="3"/>
      <c r="E432" s="1"/>
      <c r="I432" s="1"/>
      <c r="K432" s="4">
        <f>Tabelle52[[#This Row],[value_present]]*Tabelle52[[#This Row],[binding_level]]</f>
        <v>0</v>
      </c>
    </row>
    <row r="433" spans="1:11" x14ac:dyDescent="0.25">
      <c r="A433" s="2"/>
      <c r="B433" s="2"/>
      <c r="C433" s="2"/>
      <c r="D433" s="3"/>
      <c r="E433" s="1"/>
      <c r="I433" s="1"/>
      <c r="K433" s="4">
        <f>Tabelle52[[#This Row],[value_present]]*Tabelle52[[#This Row],[binding_level]]</f>
        <v>0</v>
      </c>
    </row>
    <row r="434" spans="1:11" x14ac:dyDescent="0.25">
      <c r="A434" s="2"/>
      <c r="B434" s="2"/>
      <c r="C434" s="2"/>
      <c r="D434" s="3"/>
      <c r="E434" s="1"/>
      <c r="I434" s="1"/>
      <c r="K434" s="4">
        <f>Tabelle52[[#This Row],[value_present]]*Tabelle52[[#This Row],[binding_level]]</f>
        <v>0</v>
      </c>
    </row>
    <row r="435" spans="1:11" x14ac:dyDescent="0.25">
      <c r="A435" s="2"/>
      <c r="B435" s="2"/>
      <c r="C435" s="2"/>
      <c r="D435" s="3"/>
      <c r="E435" s="1"/>
      <c r="I435" s="1"/>
      <c r="K435" s="4">
        <f>Tabelle52[[#This Row],[value_present]]*Tabelle52[[#This Row],[binding_level]]</f>
        <v>0</v>
      </c>
    </row>
    <row r="436" spans="1:11" x14ac:dyDescent="0.25">
      <c r="A436" s="2"/>
      <c r="B436" s="2"/>
      <c r="C436" s="2"/>
      <c r="D436" s="3"/>
      <c r="E436" s="1"/>
      <c r="I436" s="1"/>
      <c r="K436" s="4">
        <f>Tabelle52[[#This Row],[value_present]]*Tabelle52[[#This Row],[binding_level]]</f>
        <v>0</v>
      </c>
    </row>
    <row r="437" spans="1:11" x14ac:dyDescent="0.25">
      <c r="A437" s="2"/>
      <c r="B437" s="2"/>
      <c r="C437" s="2"/>
      <c r="D437" s="3"/>
      <c r="E437" s="1"/>
      <c r="I437" s="1"/>
      <c r="K437" s="4">
        <f>Tabelle52[[#This Row],[value_present]]*Tabelle52[[#This Row],[binding_level]]</f>
        <v>0</v>
      </c>
    </row>
    <row r="438" spans="1:11" x14ac:dyDescent="0.25">
      <c r="A438" s="2"/>
      <c r="B438" s="2"/>
      <c r="C438" s="2"/>
      <c r="D438" s="3"/>
      <c r="E438" s="1"/>
      <c r="I438" s="1"/>
      <c r="K438" s="4">
        <f>Tabelle52[[#This Row],[value_present]]*Tabelle52[[#This Row],[binding_level]]</f>
        <v>0</v>
      </c>
    </row>
    <row r="439" spans="1:11" x14ac:dyDescent="0.25">
      <c r="A439" s="2"/>
      <c r="B439" s="2"/>
      <c r="C439" s="2"/>
      <c r="D439" s="3"/>
      <c r="E439" s="1"/>
      <c r="I439" s="1"/>
      <c r="K439" s="4">
        <f>Tabelle52[[#This Row],[value_present]]*Tabelle52[[#This Row],[binding_level]]</f>
        <v>0</v>
      </c>
    </row>
    <row r="440" spans="1:11" x14ac:dyDescent="0.25">
      <c r="A440" s="2"/>
      <c r="B440" s="2"/>
      <c r="C440" s="2"/>
      <c r="D440" s="3"/>
      <c r="E440" s="1"/>
      <c r="I440" s="1"/>
      <c r="K440" s="4">
        <f>Tabelle52[[#This Row],[value_present]]*Tabelle52[[#This Row],[binding_level]]</f>
        <v>0</v>
      </c>
    </row>
    <row r="441" spans="1:11" x14ac:dyDescent="0.25">
      <c r="A441" s="2"/>
      <c r="B441" s="2"/>
      <c r="C441" s="2"/>
      <c r="D441" s="3"/>
      <c r="E441" s="1"/>
      <c r="I441" s="1"/>
      <c r="K441" s="4">
        <f>Tabelle52[[#This Row],[value_present]]*Tabelle52[[#This Row],[binding_level]]</f>
        <v>0</v>
      </c>
    </row>
    <row r="442" spans="1:11" x14ac:dyDescent="0.25">
      <c r="A442" s="2"/>
      <c r="B442" s="2"/>
      <c r="C442" s="2"/>
      <c r="D442" s="3"/>
      <c r="E442" s="1"/>
      <c r="I442" s="1"/>
      <c r="K442" s="4">
        <f>Tabelle52[[#This Row],[value_present]]*Tabelle52[[#This Row],[binding_level]]</f>
        <v>0</v>
      </c>
    </row>
    <row r="443" spans="1:11" x14ac:dyDescent="0.25">
      <c r="A443" s="2"/>
      <c r="B443" s="2"/>
      <c r="C443" s="2"/>
      <c r="D443" s="3"/>
      <c r="E443" s="1"/>
      <c r="I443" s="1"/>
      <c r="K443" s="4">
        <f>Tabelle52[[#This Row],[value_present]]*Tabelle52[[#This Row],[binding_level]]</f>
        <v>0</v>
      </c>
    </row>
    <row r="444" spans="1:11" x14ac:dyDescent="0.25">
      <c r="A444" s="2"/>
      <c r="B444" s="2"/>
      <c r="C444" s="2"/>
      <c r="D444" s="3"/>
      <c r="E444" s="1"/>
      <c r="I444" s="1"/>
      <c r="K444" s="4">
        <f>Tabelle52[[#This Row],[value_present]]*Tabelle52[[#This Row],[binding_level]]</f>
        <v>0</v>
      </c>
    </row>
    <row r="445" spans="1:11" x14ac:dyDescent="0.25">
      <c r="A445" s="2"/>
      <c r="B445" s="2"/>
      <c r="C445" s="2"/>
      <c r="D445" s="3"/>
      <c r="E445" s="1"/>
      <c r="I445" s="1"/>
      <c r="K445" s="4">
        <f>Tabelle52[[#This Row],[value_present]]*Tabelle52[[#This Row],[binding_level]]</f>
        <v>0</v>
      </c>
    </row>
    <row r="446" spans="1:11" x14ac:dyDescent="0.25">
      <c r="A446" s="2"/>
      <c r="B446" s="2"/>
      <c r="C446" s="2"/>
      <c r="D446" s="3"/>
      <c r="E446" s="1"/>
      <c r="I446" s="1"/>
      <c r="K446" s="4">
        <f>Tabelle52[[#This Row],[value_present]]*Tabelle52[[#This Row],[binding_level]]</f>
        <v>0</v>
      </c>
    </row>
    <row r="447" spans="1:11" x14ac:dyDescent="0.25">
      <c r="A447" s="2"/>
      <c r="B447" s="2"/>
      <c r="C447" s="2"/>
      <c r="D447" s="3"/>
      <c r="E447" s="1"/>
      <c r="I447" s="1"/>
      <c r="K447" s="4">
        <f>Tabelle52[[#This Row],[value_present]]*Tabelle52[[#This Row],[binding_level]]</f>
        <v>0</v>
      </c>
    </row>
    <row r="448" spans="1:11" x14ac:dyDescent="0.25">
      <c r="A448" s="2"/>
      <c r="B448" s="2"/>
      <c r="C448" s="2"/>
      <c r="D448" s="3"/>
      <c r="E448" s="1"/>
      <c r="I448" s="1"/>
      <c r="K448" s="4">
        <f>Tabelle52[[#This Row],[value_present]]*Tabelle52[[#This Row],[binding_level]]</f>
        <v>0</v>
      </c>
    </row>
    <row r="449" spans="1:11" x14ac:dyDescent="0.25">
      <c r="A449" s="2"/>
      <c r="B449" s="2"/>
      <c r="C449" s="2"/>
      <c r="D449" s="3"/>
      <c r="E449" s="1"/>
      <c r="I449" s="1"/>
      <c r="K449" s="4">
        <f>Tabelle52[[#This Row],[value_present]]*Tabelle52[[#This Row],[binding_level]]</f>
        <v>0</v>
      </c>
    </row>
    <row r="450" spans="1:11" x14ac:dyDescent="0.25">
      <c r="A450" s="2"/>
      <c r="B450" s="2"/>
      <c r="C450" s="2"/>
      <c r="D450" s="3"/>
      <c r="E450" s="1"/>
      <c r="I450" s="1"/>
      <c r="K450" s="4">
        <f>Tabelle52[[#This Row],[value_present]]*Tabelle52[[#This Row],[binding_level]]</f>
        <v>0</v>
      </c>
    </row>
    <row r="451" spans="1:11" x14ac:dyDescent="0.25">
      <c r="A451" s="2"/>
      <c r="B451" s="2"/>
      <c r="C451" s="2"/>
      <c r="D451" s="3"/>
      <c r="E451" s="1"/>
      <c r="I451" s="1"/>
      <c r="K451" s="4">
        <f>Tabelle52[[#This Row],[value_present]]*Tabelle52[[#This Row],[binding_level]]</f>
        <v>0</v>
      </c>
    </row>
    <row r="452" spans="1:11" x14ac:dyDescent="0.25">
      <c r="A452" s="2"/>
      <c r="B452" s="2"/>
      <c r="C452" s="2"/>
      <c r="D452" s="3"/>
      <c r="E452" s="1"/>
      <c r="I452" s="1"/>
      <c r="K452" s="4">
        <f>Tabelle52[[#This Row],[value_present]]*Tabelle52[[#This Row],[binding_level]]</f>
        <v>0</v>
      </c>
    </row>
    <row r="453" spans="1:11" x14ac:dyDescent="0.25">
      <c r="A453" s="2"/>
      <c r="B453" s="2"/>
      <c r="C453" s="2"/>
      <c r="D453" s="3"/>
      <c r="E453" s="1"/>
      <c r="I453" s="1"/>
      <c r="K453" s="4">
        <f>Tabelle52[[#This Row],[value_present]]*Tabelle52[[#This Row],[binding_level]]</f>
        <v>0</v>
      </c>
    </row>
    <row r="454" spans="1:11" x14ac:dyDescent="0.25">
      <c r="A454" s="2"/>
      <c r="B454" s="2"/>
      <c r="C454" s="2"/>
      <c r="D454" s="3"/>
      <c r="E454" s="1"/>
      <c r="I454" s="1"/>
      <c r="K454" s="4">
        <f>Tabelle52[[#This Row],[value_present]]*Tabelle52[[#This Row],[binding_level]]</f>
        <v>0</v>
      </c>
    </row>
    <row r="455" spans="1:11" x14ac:dyDescent="0.25">
      <c r="A455" s="2"/>
      <c r="B455" s="2"/>
      <c r="C455" s="2"/>
      <c r="D455" s="3"/>
      <c r="E455" s="1"/>
      <c r="I455" s="1"/>
      <c r="K455" s="4">
        <f>Tabelle52[[#This Row],[value_present]]*Tabelle52[[#This Row],[binding_level]]</f>
        <v>0</v>
      </c>
    </row>
    <row r="456" spans="1:11" x14ac:dyDescent="0.25">
      <c r="A456" s="2"/>
      <c r="B456" s="2"/>
      <c r="C456" s="2"/>
      <c r="D456" s="3"/>
      <c r="E456" s="1"/>
      <c r="I456" s="1"/>
      <c r="K456" s="4">
        <f>Tabelle52[[#This Row],[value_present]]*Tabelle52[[#This Row],[binding_level]]</f>
        <v>0</v>
      </c>
    </row>
    <row r="457" spans="1:11" x14ac:dyDescent="0.25">
      <c r="A457" s="2"/>
      <c r="B457" s="2"/>
      <c r="C457" s="2"/>
      <c r="D457" s="3"/>
      <c r="E457" s="1"/>
      <c r="I457" s="1"/>
      <c r="K457" s="4">
        <f>Tabelle52[[#This Row],[value_present]]*Tabelle52[[#This Row],[binding_level]]</f>
        <v>0</v>
      </c>
    </row>
    <row r="458" spans="1:11" x14ac:dyDescent="0.25">
      <c r="A458" s="2"/>
      <c r="B458" s="2"/>
      <c r="C458" s="2"/>
      <c r="D458" s="3"/>
      <c r="E458" s="1"/>
      <c r="I458" s="1"/>
      <c r="K458" s="4">
        <f>Tabelle52[[#This Row],[value_present]]*Tabelle52[[#This Row],[binding_level]]</f>
        <v>0</v>
      </c>
    </row>
    <row r="459" spans="1:11" x14ac:dyDescent="0.25">
      <c r="A459" s="2"/>
      <c r="B459" s="2"/>
      <c r="C459" s="2"/>
      <c r="D459" s="3"/>
      <c r="E459" s="1"/>
      <c r="I459" s="1"/>
      <c r="K459" s="4">
        <f>Tabelle52[[#This Row],[value_present]]*Tabelle52[[#This Row],[binding_level]]</f>
        <v>0</v>
      </c>
    </row>
    <row r="460" spans="1:11" x14ac:dyDescent="0.25">
      <c r="A460" s="2"/>
      <c r="B460" s="2"/>
      <c r="C460" s="2"/>
      <c r="D460" s="3"/>
      <c r="E460" s="1"/>
      <c r="I460" s="1"/>
      <c r="K460" s="4">
        <f>Tabelle52[[#This Row],[value_present]]*Tabelle52[[#This Row],[binding_level]]</f>
        <v>0</v>
      </c>
    </row>
    <row r="461" spans="1:11" x14ac:dyDescent="0.25">
      <c r="A461" s="2"/>
      <c r="B461" s="2"/>
      <c r="C461" s="2"/>
      <c r="D461" s="3"/>
      <c r="E461" s="1"/>
      <c r="I461" s="1"/>
      <c r="K461" s="4">
        <f>Tabelle52[[#This Row],[value_present]]*Tabelle52[[#This Row],[binding_level]]</f>
        <v>0</v>
      </c>
    </row>
    <row r="462" spans="1:11" x14ac:dyDescent="0.25">
      <c r="A462" s="2"/>
      <c r="B462" s="2"/>
      <c r="C462" s="2"/>
      <c r="D462" s="3"/>
      <c r="E462" s="1"/>
      <c r="I462" s="1"/>
      <c r="K462" s="4">
        <f>Tabelle52[[#This Row],[value_present]]*Tabelle52[[#This Row],[binding_level]]</f>
        <v>0</v>
      </c>
    </row>
    <row r="463" spans="1:11" x14ac:dyDescent="0.25">
      <c r="A463" s="2"/>
      <c r="B463" s="2"/>
      <c r="C463" s="2"/>
      <c r="D463" s="3"/>
      <c r="E463" s="1"/>
      <c r="I463" s="1"/>
      <c r="K463" s="4">
        <f>Tabelle52[[#This Row],[value_present]]*Tabelle52[[#This Row],[binding_level]]</f>
        <v>0</v>
      </c>
    </row>
    <row r="464" spans="1:11" x14ac:dyDescent="0.25">
      <c r="A464" s="2"/>
      <c r="B464" s="2"/>
      <c r="C464" s="2"/>
      <c r="D464" s="3"/>
      <c r="E464" s="1"/>
      <c r="I464" s="1"/>
      <c r="K464" s="4">
        <f>Tabelle52[[#This Row],[value_present]]*Tabelle52[[#This Row],[binding_level]]</f>
        <v>0</v>
      </c>
    </row>
    <row r="465" spans="1:11" x14ac:dyDescent="0.25">
      <c r="A465" s="2"/>
      <c r="B465" s="2"/>
      <c r="C465" s="2"/>
      <c r="D465" s="3"/>
      <c r="E465" s="1"/>
      <c r="I465" s="1"/>
      <c r="K465" s="4">
        <f>Tabelle52[[#This Row],[value_present]]*Tabelle52[[#This Row],[binding_level]]</f>
        <v>0</v>
      </c>
    </row>
    <row r="466" spans="1:11" x14ac:dyDescent="0.25">
      <c r="A466" s="2"/>
      <c r="B466" s="2"/>
      <c r="C466" s="2"/>
      <c r="D466" s="3"/>
      <c r="E466" s="1"/>
      <c r="I466" s="1"/>
      <c r="K466" s="4">
        <f>Tabelle52[[#This Row],[value_present]]*Tabelle52[[#This Row],[binding_level]]</f>
        <v>0</v>
      </c>
    </row>
    <row r="467" spans="1:11" x14ac:dyDescent="0.25">
      <c r="A467" s="2"/>
      <c r="B467" s="2"/>
      <c r="C467" s="2"/>
      <c r="D467" s="3"/>
      <c r="E467" s="1"/>
      <c r="I467" s="1"/>
      <c r="K467" s="4">
        <f>Tabelle52[[#This Row],[value_present]]*Tabelle52[[#This Row],[binding_level]]</f>
        <v>0</v>
      </c>
    </row>
    <row r="468" spans="1:11" x14ac:dyDescent="0.25">
      <c r="A468" s="2"/>
      <c r="B468" s="2"/>
      <c r="C468" s="2"/>
      <c r="D468" s="3"/>
      <c r="E468" s="1"/>
      <c r="I468" s="1"/>
      <c r="K468" s="4">
        <f>Tabelle52[[#This Row],[value_present]]*Tabelle52[[#This Row],[binding_level]]</f>
        <v>0</v>
      </c>
    </row>
    <row r="469" spans="1:11" x14ac:dyDescent="0.25">
      <c r="A469" s="2"/>
      <c r="B469" s="2"/>
      <c r="C469" s="2"/>
      <c r="D469" s="3"/>
      <c r="E469" s="1"/>
      <c r="I469" s="1"/>
      <c r="K469" s="4">
        <f>Tabelle52[[#This Row],[value_present]]*Tabelle52[[#This Row],[binding_level]]</f>
        <v>0</v>
      </c>
    </row>
    <row r="470" spans="1:11" x14ac:dyDescent="0.25">
      <c r="A470" s="2"/>
      <c r="B470" s="2"/>
      <c r="C470" s="2"/>
      <c r="D470" s="3"/>
      <c r="E470" s="1"/>
      <c r="I470" s="1"/>
      <c r="K470" s="4">
        <f>Tabelle52[[#This Row],[value_present]]*Tabelle52[[#This Row],[binding_level]]</f>
        <v>0</v>
      </c>
    </row>
    <row r="471" spans="1:11" x14ac:dyDescent="0.25">
      <c r="A471" s="2"/>
      <c r="B471" s="2"/>
      <c r="C471" s="2"/>
      <c r="D471" s="3"/>
      <c r="E471" s="1"/>
      <c r="I471" s="1"/>
      <c r="K471" s="4">
        <f>Tabelle52[[#This Row],[value_present]]*Tabelle52[[#This Row],[binding_level]]</f>
        <v>0</v>
      </c>
    </row>
    <row r="472" spans="1:11" x14ac:dyDescent="0.25">
      <c r="A472" s="2"/>
      <c r="B472" s="2"/>
      <c r="C472" s="2"/>
      <c r="D472" s="3"/>
      <c r="E472" s="1"/>
      <c r="I472" s="1"/>
      <c r="K472" s="4">
        <f>Tabelle52[[#This Row],[value_present]]*Tabelle52[[#This Row],[binding_level]]</f>
        <v>0</v>
      </c>
    </row>
    <row r="473" spans="1:11" x14ac:dyDescent="0.25">
      <c r="A473" s="2"/>
      <c r="B473" s="2"/>
      <c r="C473" s="2"/>
      <c r="D473" s="3"/>
      <c r="E473" s="1"/>
      <c r="I473" s="1"/>
      <c r="K473" s="4">
        <f>Tabelle52[[#This Row],[value_present]]*Tabelle52[[#This Row],[binding_level]]</f>
        <v>0</v>
      </c>
    </row>
    <row r="474" spans="1:11" x14ac:dyDescent="0.25">
      <c r="A474" s="2"/>
      <c r="B474" s="2"/>
      <c r="C474" s="2"/>
      <c r="D474" s="3"/>
      <c r="E474" s="1"/>
      <c r="I474" s="1"/>
      <c r="K474" s="4">
        <f>Tabelle52[[#This Row],[value_present]]*Tabelle52[[#This Row],[binding_level]]</f>
        <v>0</v>
      </c>
    </row>
    <row r="475" spans="1:11" x14ac:dyDescent="0.25">
      <c r="A475" s="2"/>
      <c r="B475" s="2"/>
      <c r="C475" s="2"/>
      <c r="D475" s="3"/>
      <c r="E475" s="1"/>
      <c r="I475" s="1"/>
      <c r="K475" s="4">
        <f>Tabelle52[[#This Row],[value_present]]*Tabelle52[[#This Row],[binding_level]]</f>
        <v>0</v>
      </c>
    </row>
    <row r="476" spans="1:11" x14ac:dyDescent="0.25">
      <c r="A476" s="2"/>
      <c r="B476" s="2"/>
      <c r="C476" s="2"/>
      <c r="D476" s="3"/>
      <c r="E476" s="1"/>
      <c r="I476" s="1"/>
      <c r="K476" s="4">
        <f>Tabelle52[[#This Row],[value_present]]*Tabelle52[[#This Row],[binding_level]]</f>
        <v>0</v>
      </c>
    </row>
    <row r="477" spans="1:11" x14ac:dyDescent="0.25">
      <c r="A477" s="2"/>
      <c r="B477" s="2"/>
      <c r="C477" s="2"/>
      <c r="D477" s="3"/>
      <c r="E477" s="1"/>
      <c r="I477" s="1"/>
      <c r="K477" s="4">
        <f>Tabelle52[[#This Row],[value_present]]*Tabelle52[[#This Row],[binding_level]]</f>
        <v>0</v>
      </c>
    </row>
    <row r="478" spans="1:11" x14ac:dyDescent="0.25">
      <c r="A478" s="2"/>
      <c r="B478" s="2"/>
      <c r="C478" s="2"/>
      <c r="D478" s="3"/>
      <c r="E478" s="1"/>
      <c r="I478" s="1"/>
      <c r="K478" s="4">
        <f>Tabelle52[[#This Row],[value_present]]*Tabelle52[[#This Row],[binding_level]]</f>
        <v>0</v>
      </c>
    </row>
    <row r="479" spans="1:11" x14ac:dyDescent="0.25">
      <c r="A479" s="2"/>
      <c r="B479" s="2"/>
      <c r="C479" s="2"/>
      <c r="D479" s="3"/>
      <c r="E479" s="1"/>
      <c r="I479" s="1"/>
      <c r="K479" s="4">
        <f>Tabelle52[[#This Row],[value_present]]*Tabelle52[[#This Row],[binding_level]]</f>
        <v>0</v>
      </c>
    </row>
    <row r="480" spans="1:11" x14ac:dyDescent="0.25">
      <c r="A480" s="2"/>
      <c r="B480" s="2"/>
      <c r="C480" s="2"/>
      <c r="D480" s="3"/>
      <c r="E480" s="1"/>
      <c r="I480" s="1"/>
      <c r="K480" s="4">
        <f>Tabelle52[[#This Row],[value_present]]*Tabelle52[[#This Row],[binding_level]]</f>
        <v>0</v>
      </c>
    </row>
    <row r="481" spans="1:11" x14ac:dyDescent="0.25">
      <c r="A481" s="2"/>
      <c r="B481" s="2"/>
      <c r="C481" s="2"/>
      <c r="D481" s="3"/>
      <c r="E481" s="1"/>
      <c r="I481" s="1"/>
      <c r="K481" s="4">
        <f>Tabelle52[[#This Row],[value_present]]*Tabelle52[[#This Row],[binding_level]]</f>
        <v>0</v>
      </c>
    </row>
    <row r="482" spans="1:11" x14ac:dyDescent="0.25">
      <c r="A482" s="2"/>
      <c r="B482" s="2"/>
      <c r="C482" s="2"/>
      <c r="D482" s="3"/>
      <c r="E482" s="1"/>
      <c r="I482" s="1"/>
      <c r="K482" s="4">
        <f>Tabelle52[[#This Row],[value_present]]*Tabelle52[[#This Row],[binding_level]]</f>
        <v>0</v>
      </c>
    </row>
    <row r="483" spans="1:11" x14ac:dyDescent="0.25">
      <c r="A483" s="2"/>
      <c r="B483" s="2"/>
      <c r="C483" s="2"/>
      <c r="D483" s="3"/>
      <c r="E483" s="1"/>
      <c r="I483" s="1"/>
      <c r="K483" s="4">
        <f>Tabelle52[[#This Row],[value_present]]*Tabelle52[[#This Row],[binding_level]]</f>
        <v>0</v>
      </c>
    </row>
    <row r="484" spans="1:11" x14ac:dyDescent="0.25">
      <c r="A484" s="2"/>
      <c r="B484" s="2"/>
      <c r="C484" s="2"/>
      <c r="D484" s="3"/>
      <c r="E484" s="1"/>
      <c r="I484" s="1"/>
      <c r="K484" s="4">
        <f>Tabelle52[[#This Row],[value_present]]*Tabelle52[[#This Row],[binding_level]]</f>
        <v>0</v>
      </c>
    </row>
    <row r="485" spans="1:11" x14ac:dyDescent="0.25">
      <c r="A485" s="2"/>
      <c r="B485" s="2"/>
      <c r="C485" s="2"/>
      <c r="D485" s="3"/>
      <c r="E485" s="1"/>
      <c r="I485" s="1"/>
      <c r="K485" s="4">
        <f>Tabelle52[[#This Row],[value_present]]*Tabelle52[[#This Row],[binding_level]]</f>
        <v>0</v>
      </c>
    </row>
    <row r="486" spans="1:11" x14ac:dyDescent="0.25">
      <c r="A486" s="2"/>
      <c r="B486" s="2"/>
      <c r="C486" s="2"/>
      <c r="D486" s="3"/>
      <c r="E486" s="1"/>
      <c r="I486" s="1"/>
      <c r="K486" s="4">
        <f>Tabelle52[[#This Row],[value_present]]*Tabelle52[[#This Row],[binding_level]]</f>
        <v>0</v>
      </c>
    </row>
    <row r="487" spans="1:11" x14ac:dyDescent="0.25">
      <c r="A487" s="2"/>
      <c r="B487" s="2"/>
      <c r="C487" s="2"/>
      <c r="D487" s="3"/>
      <c r="E487" s="1"/>
      <c r="I487" s="1"/>
      <c r="K487" s="4">
        <f>Tabelle52[[#This Row],[value_present]]*Tabelle52[[#This Row],[binding_level]]</f>
        <v>0</v>
      </c>
    </row>
    <row r="488" spans="1:11" x14ac:dyDescent="0.25">
      <c r="A488" s="2"/>
      <c r="B488" s="2"/>
      <c r="C488" s="2"/>
      <c r="D488" s="3"/>
      <c r="E488" s="1"/>
      <c r="I488" s="1"/>
      <c r="K488" s="4">
        <f>Tabelle52[[#This Row],[value_present]]*Tabelle52[[#This Row],[binding_level]]</f>
        <v>0</v>
      </c>
    </row>
    <row r="489" spans="1:11" x14ac:dyDescent="0.25">
      <c r="A489" s="2"/>
      <c r="B489" s="2"/>
      <c r="C489" s="2"/>
      <c r="D489" s="3"/>
      <c r="E489" s="1"/>
      <c r="I489" s="1"/>
      <c r="K489" s="4">
        <f>Tabelle52[[#This Row],[value_present]]*Tabelle52[[#This Row],[binding_level]]</f>
        <v>0</v>
      </c>
    </row>
    <row r="490" spans="1:11" x14ac:dyDescent="0.25">
      <c r="A490" s="2"/>
      <c r="B490" s="2"/>
      <c r="C490" s="2"/>
      <c r="D490" s="3"/>
      <c r="E490" s="1"/>
      <c r="I490" s="1"/>
      <c r="K490" s="4">
        <f>Tabelle52[[#This Row],[value_present]]*Tabelle52[[#This Row],[binding_level]]</f>
        <v>0</v>
      </c>
    </row>
    <row r="491" spans="1:11" x14ac:dyDescent="0.25">
      <c r="A491" s="2"/>
      <c r="B491" s="2"/>
      <c r="C491" s="2"/>
      <c r="D491" s="3"/>
      <c r="E491" s="1"/>
      <c r="I491" s="1"/>
      <c r="K491" s="4">
        <f>Tabelle52[[#This Row],[value_present]]*Tabelle52[[#This Row],[binding_level]]</f>
        <v>0</v>
      </c>
    </row>
    <row r="492" spans="1:11" x14ac:dyDescent="0.25">
      <c r="A492" s="2"/>
      <c r="B492" s="2"/>
      <c r="C492" s="2"/>
      <c r="D492" s="3"/>
      <c r="E492" s="1"/>
      <c r="I492" s="1"/>
      <c r="K492" s="4">
        <f>Tabelle52[[#This Row],[value_present]]*Tabelle52[[#This Row],[binding_level]]</f>
        <v>0</v>
      </c>
    </row>
    <row r="493" spans="1:11" x14ac:dyDescent="0.25">
      <c r="A493" s="2"/>
      <c r="B493" s="2"/>
      <c r="C493" s="2"/>
      <c r="D493" s="3"/>
      <c r="E493" s="1"/>
      <c r="I493" s="1"/>
      <c r="K493" s="4">
        <f>Tabelle52[[#This Row],[value_present]]*Tabelle52[[#This Row],[binding_level]]</f>
        <v>0</v>
      </c>
    </row>
    <row r="494" spans="1:11" x14ac:dyDescent="0.25">
      <c r="A494" s="2"/>
      <c r="B494" s="2"/>
      <c r="C494" s="2"/>
      <c r="D494" s="3"/>
      <c r="E494" s="1"/>
      <c r="I494" s="1"/>
      <c r="K494" s="4">
        <f>Tabelle52[[#This Row],[value_present]]*Tabelle52[[#This Row],[binding_level]]</f>
        <v>0</v>
      </c>
    </row>
    <row r="495" spans="1:11" x14ac:dyDescent="0.25">
      <c r="A495" s="2"/>
      <c r="B495" s="2"/>
      <c r="C495" s="2"/>
      <c r="D495" s="3"/>
      <c r="E495" s="1"/>
      <c r="I495" s="1"/>
      <c r="K495" s="4">
        <f>Tabelle52[[#This Row],[value_present]]*Tabelle52[[#This Row],[binding_level]]</f>
        <v>0</v>
      </c>
    </row>
    <row r="496" spans="1:11" x14ac:dyDescent="0.25">
      <c r="A496" s="2"/>
      <c r="B496" s="2"/>
      <c r="C496" s="2"/>
      <c r="D496" s="3"/>
      <c r="E496" s="1"/>
      <c r="I496" s="1"/>
      <c r="K496" s="4">
        <f>Tabelle52[[#This Row],[value_present]]*Tabelle52[[#This Row],[binding_level]]</f>
        <v>0</v>
      </c>
    </row>
    <row r="497" spans="1:11" x14ac:dyDescent="0.25">
      <c r="A497" s="2"/>
      <c r="B497" s="2"/>
      <c r="C497" s="2"/>
      <c r="D497" s="3"/>
      <c r="E497" s="1"/>
      <c r="I497" s="1"/>
      <c r="K497" s="4">
        <f>Tabelle52[[#This Row],[value_present]]*Tabelle52[[#This Row],[binding_level]]</f>
        <v>0</v>
      </c>
    </row>
    <row r="498" spans="1:11" x14ac:dyDescent="0.25">
      <c r="A498" s="2"/>
      <c r="B498" s="2"/>
      <c r="C498" s="2"/>
      <c r="D498" s="3"/>
      <c r="E498" s="1"/>
      <c r="I498" s="1"/>
      <c r="K498" s="4">
        <f>Tabelle52[[#This Row],[value_present]]*Tabelle52[[#This Row],[binding_level]]</f>
        <v>0</v>
      </c>
    </row>
    <row r="499" spans="1:11" x14ac:dyDescent="0.25">
      <c r="A499" s="2"/>
      <c r="B499" s="2"/>
      <c r="C499" s="2"/>
      <c r="D499" s="3"/>
      <c r="E499" s="1"/>
      <c r="I499" s="1"/>
      <c r="K499" s="4">
        <f>Tabelle52[[#This Row],[value_present]]*Tabelle52[[#This Row],[binding_level]]</f>
        <v>0</v>
      </c>
    </row>
    <row r="500" spans="1:11" x14ac:dyDescent="0.25">
      <c r="A500" s="2"/>
      <c r="B500" s="2"/>
      <c r="C500" s="2"/>
      <c r="D500" s="3"/>
      <c r="E500" s="1"/>
      <c r="I500" s="1"/>
      <c r="K500" s="4">
        <f>Tabelle52[[#This Row],[value_present]]*Tabelle52[[#This Row],[binding_level]]</f>
        <v>0</v>
      </c>
    </row>
    <row r="501" spans="1:11" x14ac:dyDescent="0.25">
      <c r="A501" s="2"/>
      <c r="B501" s="2"/>
      <c r="C501" s="2"/>
      <c r="D501" s="3"/>
      <c r="E501" s="1"/>
      <c r="I501" s="1"/>
      <c r="K501" s="4">
        <f>Tabelle52[[#This Row],[value_present]]*Tabelle52[[#This Row],[binding_level]]</f>
        <v>0</v>
      </c>
    </row>
    <row r="502" spans="1:11" x14ac:dyDescent="0.25">
      <c r="A502" s="2"/>
      <c r="B502" s="2"/>
      <c r="C502" s="2"/>
      <c r="D502" s="3"/>
      <c r="E502" s="1"/>
      <c r="I502" s="1"/>
      <c r="K502" s="4">
        <f>Tabelle52[[#This Row],[value_present]]*Tabelle52[[#This Row],[binding_level]]</f>
        <v>0</v>
      </c>
    </row>
    <row r="503" spans="1:11" x14ac:dyDescent="0.25">
      <c r="A503" s="2"/>
      <c r="B503" s="2"/>
      <c r="C503" s="2"/>
      <c r="D503" s="3"/>
      <c r="E503" s="1"/>
      <c r="I503" s="1"/>
      <c r="K503" s="4">
        <f>Tabelle52[[#This Row],[value_present]]*Tabelle52[[#This Row],[binding_level]]</f>
        <v>0</v>
      </c>
    </row>
    <row r="504" spans="1:11" x14ac:dyDescent="0.25">
      <c r="A504" s="2"/>
      <c r="B504" s="2"/>
      <c r="C504" s="2"/>
      <c r="D504" s="3"/>
      <c r="E504" s="1"/>
      <c r="I504" s="1"/>
      <c r="K504" s="4">
        <f>Tabelle52[[#This Row],[value_present]]*Tabelle52[[#This Row],[binding_level]]</f>
        <v>0</v>
      </c>
    </row>
    <row r="505" spans="1:11" x14ac:dyDescent="0.25">
      <c r="A505" s="2"/>
      <c r="B505" s="2"/>
      <c r="C505" s="2"/>
      <c r="D505" s="3"/>
      <c r="E505" s="1"/>
      <c r="I505" s="1"/>
      <c r="K505" s="4">
        <f>Tabelle52[[#This Row],[value_present]]*Tabelle52[[#This Row],[binding_level]]</f>
        <v>0</v>
      </c>
    </row>
    <row r="506" spans="1:11" x14ac:dyDescent="0.25">
      <c r="A506" s="2"/>
      <c r="B506" s="2"/>
      <c r="C506" s="2"/>
      <c r="D506" s="3"/>
      <c r="E506" s="1"/>
      <c r="I506" s="1"/>
      <c r="K506" s="4">
        <f>Tabelle52[[#This Row],[value_present]]*Tabelle52[[#This Row],[binding_level]]</f>
        <v>0</v>
      </c>
    </row>
    <row r="507" spans="1:11" x14ac:dyDescent="0.25">
      <c r="A507" s="2"/>
      <c r="B507" s="2"/>
      <c r="C507" s="2"/>
      <c r="D507" s="3"/>
      <c r="E507" s="1"/>
      <c r="I507" s="1"/>
      <c r="K507" s="4">
        <f>Tabelle52[[#This Row],[value_present]]*Tabelle52[[#This Row],[binding_level]]</f>
        <v>0</v>
      </c>
    </row>
    <row r="508" spans="1:11" x14ac:dyDescent="0.25">
      <c r="A508" s="2"/>
      <c r="B508" s="2"/>
      <c r="C508" s="2"/>
      <c r="D508" s="3"/>
      <c r="E508" s="1"/>
      <c r="I508" s="1"/>
      <c r="K508" s="4">
        <f>Tabelle52[[#This Row],[value_present]]*Tabelle52[[#This Row],[binding_level]]</f>
        <v>0</v>
      </c>
    </row>
    <row r="509" spans="1:11" x14ac:dyDescent="0.25">
      <c r="A509" s="2"/>
      <c r="B509" s="2"/>
      <c r="C509" s="2"/>
      <c r="D509" s="3"/>
      <c r="E509" s="1"/>
      <c r="I509" s="1"/>
      <c r="K509" s="4">
        <f>Tabelle52[[#This Row],[value_present]]*Tabelle52[[#This Row],[binding_level]]</f>
        <v>0</v>
      </c>
    </row>
    <row r="510" spans="1:11" x14ac:dyDescent="0.25">
      <c r="A510" s="2"/>
      <c r="B510" s="2"/>
      <c r="C510" s="2"/>
      <c r="D510" s="3"/>
      <c r="E510" s="1"/>
      <c r="I510" s="1"/>
      <c r="K510" s="4">
        <f>Tabelle52[[#This Row],[value_present]]*Tabelle52[[#This Row],[binding_level]]</f>
        <v>0</v>
      </c>
    </row>
    <row r="511" spans="1:11" x14ac:dyDescent="0.25">
      <c r="A511" s="2"/>
      <c r="B511" s="2"/>
      <c r="C511" s="2"/>
      <c r="D511" s="3"/>
      <c r="E511" s="1"/>
      <c r="I511" s="1"/>
      <c r="K511" s="4">
        <f>Tabelle52[[#This Row],[value_present]]*Tabelle52[[#This Row],[binding_level]]</f>
        <v>0</v>
      </c>
    </row>
    <row r="512" spans="1:11" x14ac:dyDescent="0.25">
      <c r="A512" s="2"/>
      <c r="B512" s="2"/>
      <c r="C512" s="2"/>
      <c r="D512" s="3"/>
      <c r="E512" s="1"/>
      <c r="I512" s="1"/>
      <c r="K512" s="4">
        <f>Tabelle52[[#This Row],[value_present]]*Tabelle52[[#This Row],[binding_level]]</f>
        <v>0</v>
      </c>
    </row>
    <row r="513" spans="1:11" x14ac:dyDescent="0.25">
      <c r="A513" s="2"/>
      <c r="B513" s="2"/>
      <c r="C513" s="2"/>
      <c r="D513" s="3"/>
      <c r="E513" s="1"/>
      <c r="I513" s="1"/>
      <c r="K513" s="4">
        <f>Tabelle52[[#This Row],[value_present]]*Tabelle52[[#This Row],[binding_level]]</f>
        <v>0</v>
      </c>
    </row>
    <row r="514" spans="1:11" x14ac:dyDescent="0.25">
      <c r="A514" s="2"/>
      <c r="B514" s="2"/>
      <c r="C514" s="2"/>
      <c r="D514" s="3"/>
      <c r="E514" s="1"/>
      <c r="I514" s="1"/>
      <c r="K514" s="4">
        <f>Tabelle52[[#This Row],[value_present]]*Tabelle52[[#This Row],[binding_level]]</f>
        <v>0</v>
      </c>
    </row>
    <row r="515" spans="1:11" x14ac:dyDescent="0.25">
      <c r="A515" s="2"/>
      <c r="B515" s="2"/>
      <c r="C515" s="2"/>
      <c r="D515" s="3"/>
      <c r="E515" s="1"/>
      <c r="I515" s="1"/>
      <c r="K515" s="4">
        <f>Tabelle52[[#This Row],[value_present]]*Tabelle52[[#This Row],[binding_level]]</f>
        <v>0</v>
      </c>
    </row>
    <row r="516" spans="1:11" x14ac:dyDescent="0.25">
      <c r="A516" s="2"/>
      <c r="B516" s="2"/>
      <c r="C516" s="2"/>
      <c r="D516" s="3"/>
      <c r="E516" s="1"/>
      <c r="I516" s="1"/>
      <c r="K516" s="4">
        <f>Tabelle52[[#This Row],[value_present]]*Tabelle52[[#This Row],[binding_level]]</f>
        <v>0</v>
      </c>
    </row>
    <row r="517" spans="1:11" x14ac:dyDescent="0.25">
      <c r="A517" s="2"/>
      <c r="B517" s="2"/>
      <c r="C517" s="2"/>
      <c r="D517" s="3"/>
      <c r="E517" s="1"/>
      <c r="I517" s="1"/>
      <c r="K517" s="4">
        <f>Tabelle52[[#This Row],[value_present]]*Tabelle52[[#This Row],[binding_level]]</f>
        <v>0</v>
      </c>
    </row>
    <row r="518" spans="1:11" x14ac:dyDescent="0.25">
      <c r="A518" s="2"/>
      <c r="B518" s="2"/>
      <c r="C518" s="2"/>
      <c r="D518" s="3"/>
      <c r="E518" s="1"/>
      <c r="I518" s="1"/>
      <c r="K518" s="4">
        <f>Tabelle52[[#This Row],[value_present]]*Tabelle52[[#This Row],[binding_level]]</f>
        <v>0</v>
      </c>
    </row>
    <row r="519" spans="1:11" x14ac:dyDescent="0.25">
      <c r="A519" s="2"/>
      <c r="B519" s="2"/>
      <c r="C519" s="2"/>
      <c r="D519" s="3"/>
      <c r="E519" s="1"/>
      <c r="I519" s="1"/>
      <c r="K519" s="4">
        <f>Tabelle52[[#This Row],[value_present]]*Tabelle52[[#This Row],[binding_level]]</f>
        <v>0</v>
      </c>
    </row>
    <row r="520" spans="1:11" x14ac:dyDescent="0.25">
      <c r="A520" s="2"/>
      <c r="B520" s="2"/>
      <c r="C520" s="2"/>
      <c r="D520" s="3"/>
      <c r="E520" s="1"/>
      <c r="I520" s="1"/>
      <c r="K520" s="4">
        <f>Tabelle52[[#This Row],[value_present]]*Tabelle52[[#This Row],[binding_level]]</f>
        <v>0</v>
      </c>
    </row>
    <row r="521" spans="1:11" x14ac:dyDescent="0.25">
      <c r="A521" s="2"/>
      <c r="B521" s="2"/>
      <c r="C521" s="2"/>
      <c r="D521" s="3"/>
      <c r="E521" s="1"/>
      <c r="I521" s="1"/>
      <c r="K521" s="4">
        <f>Tabelle52[[#This Row],[value_present]]*Tabelle52[[#This Row],[binding_level]]</f>
        <v>0</v>
      </c>
    </row>
    <row r="522" spans="1:11" x14ac:dyDescent="0.25">
      <c r="A522" s="2"/>
      <c r="B522" s="2"/>
      <c r="C522" s="2"/>
      <c r="D522" s="3"/>
      <c r="E522" s="1"/>
      <c r="I522" s="1"/>
      <c r="K522" s="4">
        <f>Tabelle52[[#This Row],[value_present]]*Tabelle52[[#This Row],[binding_level]]</f>
        <v>0</v>
      </c>
    </row>
    <row r="523" spans="1:11" x14ac:dyDescent="0.25">
      <c r="A523" s="2"/>
      <c r="B523" s="2"/>
      <c r="C523" s="2"/>
      <c r="D523" s="3"/>
      <c r="E523" s="1"/>
      <c r="I523" s="1"/>
      <c r="K523" s="4">
        <f>Tabelle52[[#This Row],[value_present]]*Tabelle52[[#This Row],[binding_level]]</f>
        <v>0</v>
      </c>
    </row>
    <row r="524" spans="1:11" x14ac:dyDescent="0.25">
      <c r="A524" s="2"/>
      <c r="B524" s="2"/>
      <c r="C524" s="2"/>
      <c r="D524" s="3"/>
      <c r="E524" s="1"/>
      <c r="I524" s="1"/>
      <c r="K524" s="4">
        <f>Tabelle52[[#This Row],[value_present]]*Tabelle52[[#This Row],[binding_level]]</f>
        <v>0</v>
      </c>
    </row>
    <row r="525" spans="1:11" x14ac:dyDescent="0.25">
      <c r="A525" s="2"/>
      <c r="B525" s="2"/>
      <c r="C525" s="2"/>
      <c r="D525" s="3"/>
      <c r="E525" s="1"/>
      <c r="I525" s="1"/>
      <c r="K525" s="4">
        <f>Tabelle52[[#This Row],[value_present]]*Tabelle52[[#This Row],[binding_level]]</f>
        <v>0</v>
      </c>
    </row>
    <row r="526" spans="1:11" x14ac:dyDescent="0.25">
      <c r="A526" s="2"/>
      <c r="B526" s="2"/>
      <c r="C526" s="2"/>
      <c r="D526" s="3"/>
      <c r="E526" s="1"/>
      <c r="I526" s="1"/>
      <c r="K526" s="4">
        <f>Tabelle52[[#This Row],[value_present]]*Tabelle52[[#This Row],[binding_level]]</f>
        <v>0</v>
      </c>
    </row>
    <row r="527" spans="1:11" x14ac:dyDescent="0.25">
      <c r="A527" s="2"/>
      <c r="B527" s="2"/>
      <c r="C527" s="2"/>
      <c r="D527" s="3"/>
      <c r="E527" s="1"/>
      <c r="I527" s="1"/>
      <c r="K527" s="4">
        <f>Tabelle52[[#This Row],[value_present]]*Tabelle52[[#This Row],[binding_level]]</f>
        <v>0</v>
      </c>
    </row>
    <row r="528" spans="1:11" x14ac:dyDescent="0.25">
      <c r="A528" s="2"/>
      <c r="B528" s="2"/>
      <c r="C528" s="2"/>
      <c r="D528" s="3"/>
      <c r="E528" s="1"/>
      <c r="I528" s="1"/>
      <c r="K528" s="4">
        <f>Tabelle52[[#This Row],[value_present]]*Tabelle52[[#This Row],[binding_level]]</f>
        <v>0</v>
      </c>
    </row>
    <row r="529" spans="1:11" x14ac:dyDescent="0.25">
      <c r="A529" s="2"/>
      <c r="B529" s="2"/>
      <c r="C529" s="2"/>
      <c r="D529" s="3"/>
      <c r="E529" s="1"/>
      <c r="I529" s="1"/>
      <c r="K529" s="4">
        <f>Tabelle52[[#This Row],[value_present]]*Tabelle52[[#This Row],[binding_level]]</f>
        <v>0</v>
      </c>
    </row>
    <row r="530" spans="1:11" x14ac:dyDescent="0.25">
      <c r="A530" s="2"/>
      <c r="B530" s="2"/>
      <c r="C530" s="2"/>
      <c r="D530" s="3"/>
      <c r="E530" s="1"/>
      <c r="I530" s="1"/>
      <c r="K530" s="4">
        <f>Tabelle52[[#This Row],[value_present]]*Tabelle52[[#This Row],[binding_level]]</f>
        <v>0</v>
      </c>
    </row>
    <row r="531" spans="1:11" x14ac:dyDescent="0.25">
      <c r="A531" s="2"/>
      <c r="B531" s="2"/>
      <c r="C531" s="2"/>
      <c r="D531" s="3"/>
      <c r="E531" s="1"/>
      <c r="I531" s="1"/>
      <c r="K531" s="4">
        <f>Tabelle52[[#This Row],[value_present]]*Tabelle52[[#This Row],[binding_level]]</f>
        <v>0</v>
      </c>
    </row>
    <row r="532" spans="1:11" x14ac:dyDescent="0.25">
      <c r="A532" s="2"/>
      <c r="B532" s="2"/>
      <c r="C532" s="2"/>
      <c r="D532" s="3"/>
      <c r="E532" s="1"/>
      <c r="I532" s="1"/>
      <c r="K532" s="4">
        <f>Tabelle52[[#This Row],[value_present]]*Tabelle52[[#This Row],[binding_level]]</f>
        <v>0</v>
      </c>
    </row>
    <row r="533" spans="1:11" x14ac:dyDescent="0.25">
      <c r="A533" s="2"/>
      <c r="B533" s="2"/>
      <c r="C533" s="2"/>
      <c r="D533" s="3"/>
      <c r="E533" s="1"/>
      <c r="I533" s="1"/>
      <c r="K533" s="4">
        <f>Tabelle52[[#This Row],[value_present]]*Tabelle52[[#This Row],[binding_level]]</f>
        <v>0</v>
      </c>
    </row>
    <row r="534" spans="1:11" x14ac:dyDescent="0.25">
      <c r="A534" s="2"/>
      <c r="B534" s="2"/>
      <c r="C534" s="2"/>
      <c r="D534" s="3"/>
      <c r="E534" s="1"/>
      <c r="I534" s="1"/>
      <c r="K534" s="4">
        <f>Tabelle52[[#This Row],[value_present]]*Tabelle52[[#This Row],[binding_level]]</f>
        <v>0</v>
      </c>
    </row>
    <row r="535" spans="1:11" x14ac:dyDescent="0.25">
      <c r="A535" s="2"/>
      <c r="B535" s="2"/>
      <c r="C535" s="2"/>
      <c r="D535" s="3"/>
      <c r="E535" s="1"/>
      <c r="I535" s="1"/>
      <c r="K535" s="4">
        <f>Tabelle52[[#This Row],[value_present]]*Tabelle52[[#This Row],[binding_level]]</f>
        <v>0</v>
      </c>
    </row>
    <row r="536" spans="1:11" x14ac:dyDescent="0.25">
      <c r="A536" s="2"/>
      <c r="B536" s="2"/>
      <c r="C536" s="2"/>
      <c r="D536" s="3"/>
      <c r="E536" s="1"/>
      <c r="I536" s="1"/>
      <c r="K536" s="4">
        <f>Tabelle52[[#This Row],[value_present]]*Tabelle52[[#This Row],[binding_level]]</f>
        <v>0</v>
      </c>
    </row>
    <row r="537" spans="1:11" x14ac:dyDescent="0.25">
      <c r="A537" s="2"/>
      <c r="B537" s="2"/>
      <c r="C537" s="2"/>
      <c r="D537" s="3"/>
      <c r="E537" s="1"/>
      <c r="I537" s="1"/>
      <c r="K537" s="4">
        <f>Tabelle52[[#This Row],[value_present]]*Tabelle52[[#This Row],[binding_level]]</f>
        <v>0</v>
      </c>
    </row>
    <row r="538" spans="1:11" x14ac:dyDescent="0.25">
      <c r="A538" s="2"/>
      <c r="B538" s="2"/>
      <c r="C538" s="2"/>
      <c r="D538" s="3"/>
      <c r="E538" s="1"/>
      <c r="I538" s="1"/>
      <c r="K538" s="4">
        <f>Tabelle52[[#This Row],[value_present]]*Tabelle52[[#This Row],[binding_level]]</f>
        <v>0</v>
      </c>
    </row>
    <row r="539" spans="1:11" x14ac:dyDescent="0.25">
      <c r="A539" s="2"/>
      <c r="B539" s="2"/>
      <c r="C539" s="2"/>
      <c r="D539" s="3"/>
      <c r="E539" s="1"/>
      <c r="I539" s="1"/>
      <c r="K539" s="4">
        <f>Tabelle52[[#This Row],[value_present]]*Tabelle52[[#This Row],[binding_level]]</f>
        <v>0</v>
      </c>
    </row>
    <row r="540" spans="1:11" x14ac:dyDescent="0.25">
      <c r="A540" s="2"/>
      <c r="B540" s="2"/>
      <c r="C540" s="2"/>
      <c r="D540" s="3"/>
      <c r="E540" s="1"/>
      <c r="I540" s="1"/>
      <c r="K540" s="4">
        <f>Tabelle52[[#This Row],[value_present]]*Tabelle52[[#This Row],[binding_level]]</f>
        <v>0</v>
      </c>
    </row>
    <row r="541" spans="1:11" x14ac:dyDescent="0.25">
      <c r="A541" s="2"/>
      <c r="B541" s="2"/>
      <c r="C541" s="2"/>
      <c r="D541" s="3"/>
      <c r="E541" s="1"/>
      <c r="I541" s="1"/>
      <c r="K541" s="4">
        <f>Tabelle52[[#This Row],[value_present]]*Tabelle52[[#This Row],[binding_level]]</f>
        <v>0</v>
      </c>
    </row>
    <row r="542" spans="1:11" x14ac:dyDescent="0.25">
      <c r="A542" s="2"/>
      <c r="B542" s="2"/>
      <c r="C542" s="2"/>
      <c r="D542" s="3"/>
      <c r="E542" s="1"/>
      <c r="I542" s="1"/>
      <c r="K542" s="4">
        <f>Tabelle52[[#This Row],[value_present]]*Tabelle52[[#This Row],[binding_level]]</f>
        <v>0</v>
      </c>
    </row>
    <row r="543" spans="1:11" x14ac:dyDescent="0.25">
      <c r="A543" s="2"/>
      <c r="B543" s="2"/>
      <c r="C543" s="2"/>
      <c r="D543" s="3"/>
      <c r="E543" s="1"/>
      <c r="I543" s="1"/>
      <c r="K543" s="4">
        <f>Tabelle52[[#This Row],[value_present]]*Tabelle52[[#This Row],[binding_level]]</f>
        <v>0</v>
      </c>
    </row>
    <row r="544" spans="1:11" x14ac:dyDescent="0.25">
      <c r="A544" s="2"/>
      <c r="B544" s="2"/>
      <c r="C544" s="2"/>
      <c r="D544" s="3"/>
      <c r="E544" s="1"/>
      <c r="I544" s="1"/>
      <c r="K544" s="4">
        <f>Tabelle52[[#This Row],[value_present]]*Tabelle52[[#This Row],[binding_level]]</f>
        <v>0</v>
      </c>
    </row>
    <row r="545" spans="1:11" x14ac:dyDescent="0.25">
      <c r="A545" s="2"/>
      <c r="B545" s="2"/>
      <c r="C545" s="2"/>
      <c r="D545" s="3"/>
      <c r="E545" s="1"/>
      <c r="I545" s="1"/>
      <c r="K545" s="4">
        <f>Tabelle52[[#This Row],[value_present]]*Tabelle52[[#This Row],[binding_level]]</f>
        <v>0</v>
      </c>
    </row>
    <row r="546" spans="1:11" x14ac:dyDescent="0.25">
      <c r="A546" s="2"/>
      <c r="B546" s="2"/>
      <c r="C546" s="2"/>
      <c r="D546" s="3"/>
      <c r="E546" s="1"/>
      <c r="I546" s="1"/>
      <c r="K546" s="4">
        <f>Tabelle52[[#This Row],[value_present]]*Tabelle52[[#This Row],[binding_level]]</f>
        <v>0</v>
      </c>
    </row>
    <row r="547" spans="1:11" x14ac:dyDescent="0.25">
      <c r="A547" s="2"/>
      <c r="B547" s="2"/>
      <c r="C547" s="2"/>
      <c r="D547" s="3"/>
      <c r="E547" s="1"/>
      <c r="I547" s="1"/>
      <c r="K547" s="4">
        <f>Tabelle52[[#This Row],[value_present]]*Tabelle52[[#This Row],[binding_level]]</f>
        <v>0</v>
      </c>
    </row>
    <row r="548" spans="1:11" x14ac:dyDescent="0.25">
      <c r="A548" s="2"/>
      <c r="B548" s="2"/>
      <c r="C548" s="2"/>
      <c r="D548" s="3"/>
      <c r="E548" s="1"/>
      <c r="I548" s="1"/>
      <c r="K548" s="4">
        <f>Tabelle52[[#This Row],[value_present]]*Tabelle52[[#This Row],[binding_level]]</f>
        <v>0</v>
      </c>
    </row>
    <row r="549" spans="1:11" x14ac:dyDescent="0.25">
      <c r="A549" s="2"/>
      <c r="B549" s="2"/>
      <c r="C549" s="2"/>
      <c r="D549" s="3"/>
      <c r="E549" s="1"/>
      <c r="I549" s="1"/>
      <c r="K549" s="4">
        <f>Tabelle52[[#This Row],[value_present]]*Tabelle52[[#This Row],[binding_level]]</f>
        <v>0</v>
      </c>
    </row>
    <row r="550" spans="1:11" x14ac:dyDescent="0.25">
      <c r="A550" s="2"/>
      <c r="B550" s="2"/>
      <c r="C550" s="2"/>
      <c r="D550" s="3"/>
      <c r="E550" s="1"/>
      <c r="I550" s="1"/>
      <c r="K550" s="4">
        <f>Tabelle52[[#This Row],[value_present]]*Tabelle52[[#This Row],[binding_level]]</f>
        <v>0</v>
      </c>
    </row>
    <row r="551" spans="1:11" x14ac:dyDescent="0.25">
      <c r="A551" s="2"/>
      <c r="B551" s="2"/>
      <c r="C551" s="2"/>
      <c r="D551" s="3"/>
      <c r="E551" s="1"/>
      <c r="I551" s="1"/>
      <c r="K551" s="4">
        <f>Tabelle52[[#This Row],[value_present]]*Tabelle52[[#This Row],[binding_level]]</f>
        <v>0</v>
      </c>
    </row>
    <row r="552" spans="1:11" x14ac:dyDescent="0.25">
      <c r="A552" s="2"/>
      <c r="B552" s="2"/>
      <c r="C552" s="2"/>
      <c r="D552" s="3"/>
      <c r="E552" s="1"/>
      <c r="I552" s="1"/>
      <c r="K552" s="4">
        <f>Tabelle52[[#This Row],[value_present]]*Tabelle52[[#This Row],[binding_level]]</f>
        <v>0</v>
      </c>
    </row>
    <row r="553" spans="1:11" x14ac:dyDescent="0.25">
      <c r="A553" s="2"/>
      <c r="B553" s="2"/>
      <c r="C553" s="2"/>
      <c r="D553" s="3"/>
      <c r="E553" s="1"/>
      <c r="I553" s="1"/>
      <c r="K553" s="4">
        <f>Tabelle52[[#This Row],[value_present]]*Tabelle52[[#This Row],[binding_level]]</f>
        <v>0</v>
      </c>
    </row>
    <row r="554" spans="1:11" x14ac:dyDescent="0.25">
      <c r="A554" s="2"/>
      <c r="B554" s="2"/>
      <c r="C554" s="2"/>
      <c r="D554" s="3"/>
      <c r="E554" s="1"/>
      <c r="I554" s="1"/>
      <c r="K554" s="4">
        <f>Tabelle52[[#This Row],[value_present]]*Tabelle52[[#This Row],[binding_level]]</f>
        <v>0</v>
      </c>
    </row>
    <row r="555" spans="1:11" x14ac:dyDescent="0.25">
      <c r="A555" s="2"/>
      <c r="B555" s="2"/>
      <c r="C555" s="2"/>
      <c r="D555" s="3"/>
      <c r="E555" s="1"/>
      <c r="I555" s="1"/>
      <c r="K555" s="4">
        <f>Tabelle52[[#This Row],[value_present]]*Tabelle52[[#This Row],[binding_level]]</f>
        <v>0</v>
      </c>
    </row>
    <row r="556" spans="1:11" x14ac:dyDescent="0.25">
      <c r="A556" s="2"/>
      <c r="B556" s="2"/>
      <c r="C556" s="2"/>
      <c r="D556" s="3"/>
      <c r="E556" s="1"/>
      <c r="I556" s="1"/>
      <c r="K556" s="4">
        <f>Tabelle52[[#This Row],[value_present]]*Tabelle52[[#This Row],[binding_level]]</f>
        <v>0</v>
      </c>
    </row>
    <row r="557" spans="1:11" x14ac:dyDescent="0.25">
      <c r="A557" s="2"/>
      <c r="B557" s="2"/>
      <c r="C557" s="2"/>
      <c r="D557" s="3"/>
      <c r="E557" s="1"/>
      <c r="I557" s="1"/>
      <c r="K557" s="4">
        <f>Tabelle52[[#This Row],[value_present]]*Tabelle52[[#This Row],[binding_level]]</f>
        <v>0</v>
      </c>
    </row>
    <row r="558" spans="1:11" x14ac:dyDescent="0.25">
      <c r="A558" s="2"/>
      <c r="B558" s="2"/>
      <c r="C558" s="2"/>
      <c r="D558" s="3"/>
      <c r="E558" s="1"/>
      <c r="I558" s="1"/>
      <c r="K558" s="4">
        <f>Tabelle52[[#This Row],[value_present]]*Tabelle52[[#This Row],[binding_level]]</f>
        <v>0</v>
      </c>
    </row>
    <row r="559" spans="1:11" x14ac:dyDescent="0.25">
      <c r="A559" s="2"/>
      <c r="B559" s="2"/>
      <c r="C559" s="2"/>
      <c r="D559" s="3"/>
      <c r="E559" s="1"/>
      <c r="I559" s="1"/>
      <c r="K559" s="4">
        <f>Tabelle52[[#This Row],[value_present]]*Tabelle52[[#This Row],[binding_level]]</f>
        <v>0</v>
      </c>
    </row>
    <row r="560" spans="1:11" x14ac:dyDescent="0.25">
      <c r="A560" s="2"/>
      <c r="B560" s="2"/>
      <c r="C560" s="2"/>
      <c r="D560" s="3"/>
      <c r="E560" s="1"/>
      <c r="I560" s="1"/>
      <c r="K560" s="4">
        <f>Tabelle52[[#This Row],[value_present]]*Tabelle52[[#This Row],[binding_level]]</f>
        <v>0</v>
      </c>
    </row>
    <row r="561" spans="1:11" x14ac:dyDescent="0.25">
      <c r="A561" s="2"/>
      <c r="B561" s="2"/>
      <c r="C561" s="2"/>
      <c r="D561" s="3"/>
      <c r="E561" s="1"/>
      <c r="I561" s="1"/>
      <c r="K561" s="4">
        <f>Tabelle52[[#This Row],[value_present]]*Tabelle52[[#This Row],[binding_level]]</f>
        <v>0</v>
      </c>
    </row>
    <row r="562" spans="1:11" x14ac:dyDescent="0.25">
      <c r="A562" s="2"/>
      <c r="B562" s="2"/>
      <c r="C562" s="2"/>
      <c r="D562" s="3"/>
      <c r="E562" s="1"/>
      <c r="I562" s="1"/>
      <c r="K562" s="4">
        <f>Tabelle52[[#This Row],[value_present]]*Tabelle52[[#This Row],[binding_level]]</f>
        <v>0</v>
      </c>
    </row>
    <row r="563" spans="1:11" x14ac:dyDescent="0.25">
      <c r="A563" s="2"/>
      <c r="B563" s="2"/>
      <c r="C563" s="2"/>
      <c r="D563" s="3"/>
      <c r="E563" s="1"/>
      <c r="I563" s="1"/>
      <c r="K563" s="4">
        <f>Tabelle52[[#This Row],[value_present]]*Tabelle52[[#This Row],[binding_level]]</f>
        <v>0</v>
      </c>
    </row>
    <row r="564" spans="1:11" x14ac:dyDescent="0.25">
      <c r="A564" s="2"/>
      <c r="B564" s="2"/>
      <c r="C564" s="2"/>
      <c r="D564" s="3"/>
      <c r="E564" s="1"/>
      <c r="I564" s="1"/>
      <c r="K564" s="4">
        <f>Tabelle52[[#This Row],[value_present]]*Tabelle52[[#This Row],[binding_level]]</f>
        <v>0</v>
      </c>
    </row>
    <row r="565" spans="1:11" x14ac:dyDescent="0.25">
      <c r="A565" s="2"/>
      <c r="B565" s="2"/>
      <c r="C565" s="2"/>
      <c r="D565" s="3"/>
      <c r="E565" s="1"/>
      <c r="I565" s="1"/>
      <c r="K565" s="4">
        <f>Tabelle52[[#This Row],[value_present]]*Tabelle52[[#This Row],[binding_level]]</f>
        <v>0</v>
      </c>
    </row>
    <row r="566" spans="1:11" x14ac:dyDescent="0.25">
      <c r="A566" s="2"/>
      <c r="B566" s="2"/>
      <c r="C566" s="2"/>
      <c r="D566" s="3"/>
      <c r="E566" s="1"/>
      <c r="I566" s="1"/>
      <c r="K566" s="4">
        <f>Tabelle52[[#This Row],[value_present]]*Tabelle52[[#This Row],[binding_level]]</f>
        <v>0</v>
      </c>
    </row>
    <row r="567" spans="1:11" x14ac:dyDescent="0.25">
      <c r="A567" s="2"/>
      <c r="B567" s="2"/>
      <c r="C567" s="2"/>
      <c r="D567" s="3"/>
      <c r="E567" s="1"/>
      <c r="I567" s="1"/>
      <c r="K567" s="4">
        <f>Tabelle52[[#This Row],[value_present]]*Tabelle52[[#This Row],[binding_level]]</f>
        <v>0</v>
      </c>
    </row>
    <row r="568" spans="1:11" x14ac:dyDescent="0.25">
      <c r="A568" s="2"/>
      <c r="B568" s="2"/>
      <c r="C568" s="2"/>
      <c r="D568" s="3"/>
      <c r="E568" s="1"/>
      <c r="I568" s="1"/>
      <c r="K568" s="4">
        <f>Tabelle52[[#This Row],[value_present]]*Tabelle52[[#This Row],[binding_level]]</f>
        <v>0</v>
      </c>
    </row>
    <row r="569" spans="1:11" x14ac:dyDescent="0.25">
      <c r="A569" s="2"/>
      <c r="B569" s="2"/>
      <c r="C569" s="2"/>
      <c r="D569" s="3"/>
      <c r="E569" s="1"/>
      <c r="I569" s="1"/>
      <c r="K569" s="4">
        <f>Tabelle52[[#This Row],[value_present]]*Tabelle52[[#This Row],[binding_level]]</f>
        <v>0</v>
      </c>
    </row>
    <row r="570" spans="1:11" x14ac:dyDescent="0.25">
      <c r="A570" s="2"/>
      <c r="B570" s="2"/>
      <c r="C570" s="2"/>
      <c r="D570" s="3"/>
      <c r="E570" s="1"/>
      <c r="I570" s="1"/>
      <c r="K570" s="4">
        <f>Tabelle52[[#This Row],[value_present]]*Tabelle52[[#This Row],[binding_level]]</f>
        <v>0</v>
      </c>
    </row>
    <row r="571" spans="1:11" x14ac:dyDescent="0.25">
      <c r="A571" s="2"/>
      <c r="B571" s="2"/>
      <c r="C571" s="2"/>
      <c r="D571" s="3"/>
      <c r="E571" s="1"/>
      <c r="I571" s="1"/>
      <c r="K571" s="4">
        <f>Tabelle52[[#This Row],[value_present]]*Tabelle52[[#This Row],[binding_level]]</f>
        <v>0</v>
      </c>
    </row>
    <row r="572" spans="1:11" x14ac:dyDescent="0.25">
      <c r="A572" s="2"/>
      <c r="B572" s="2"/>
      <c r="C572" s="2"/>
      <c r="D572" s="3"/>
      <c r="E572" s="1"/>
      <c r="I572" s="1"/>
      <c r="K572" s="4">
        <f>Tabelle52[[#This Row],[value_present]]*Tabelle52[[#This Row],[binding_level]]</f>
        <v>0</v>
      </c>
    </row>
  </sheetData>
  <phoneticPr fontId="1"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3">
        <x14:dataValidation type="list" showInputMessage="1" showErrorMessage="1" xr:uid="{1390CC95-C4DF-4F8E-AD77-C2C0D552DA64}">
          <x14:formula1>
            <xm:f>'99_Lookups'!$M$2:$M$4</xm:f>
          </x14:formula1>
          <xm:sqref>E2:E572</xm:sqref>
        </x14:dataValidation>
        <x14:dataValidation type="list" showErrorMessage="1" xr:uid="{C0EA140C-20FC-42A9-A1F5-E14CAFE3D4D9}">
          <x14:formula1>
            <xm:f>'99_Lookups'!$O$2:$O$3</xm:f>
          </x14:formula1>
          <xm:sqref>D2:D572</xm:sqref>
        </x14:dataValidation>
        <x14:dataValidation type="list" showErrorMessage="1" xr:uid="{0DA668B5-83D6-4B10-95F2-FE1645EF146E}">
          <x14:formula1>
            <xm:f>'99_Lookups'!$K$2:$K$4</xm:f>
          </x14:formula1>
          <xm:sqref>I2:I127 J128:J139 I140 J141:J143 I144 J145 I146:I572</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1691F-CE04-405F-A754-A868039307F0}">
  <sheetPr>
    <tabColor theme="0" tint="-0.499984740745262"/>
  </sheetPr>
  <dimension ref="A1:V464"/>
  <sheetViews>
    <sheetView topLeftCell="I1" workbookViewId="0">
      <selection activeCell="V33" sqref="V33"/>
    </sheetView>
  </sheetViews>
  <sheetFormatPr baseColWidth="10" defaultRowHeight="15" x14ac:dyDescent="0.25"/>
  <cols>
    <col min="1" max="1" width="13.85546875" customWidth="1"/>
    <col min="4" max="4" width="16.85546875" customWidth="1"/>
    <col min="5" max="5" width="18" customWidth="1"/>
    <col min="6" max="6" width="21.28515625" customWidth="1"/>
    <col min="7" max="7" width="16.7109375" customWidth="1"/>
    <col min="8" max="8" width="19" customWidth="1"/>
    <col min="9" max="9" width="18.7109375" customWidth="1"/>
    <col min="11" max="11" width="14.5703125" customWidth="1"/>
    <col min="14" max="14" width="13.85546875" customWidth="1"/>
    <col min="16" max="16" width="20.140625" customWidth="1"/>
    <col min="17" max="17" width="22.140625" customWidth="1"/>
    <col min="18" max="18" width="19.5703125" customWidth="1"/>
    <col min="19" max="19" width="21.5703125" customWidth="1"/>
    <col min="20" max="20" width="12" customWidth="1"/>
    <col min="21" max="21" width="15.7109375" customWidth="1"/>
    <col min="22" max="22" width="52.28515625" bestFit="1" customWidth="1"/>
  </cols>
  <sheetData>
    <row r="1" spans="1:22" ht="15.75" thickBot="1" x14ac:dyDescent="0.3">
      <c r="A1" t="s">
        <v>0</v>
      </c>
      <c r="B1" t="s">
        <v>8</v>
      </c>
      <c r="C1" t="s">
        <v>21</v>
      </c>
      <c r="D1" t="s">
        <v>29</v>
      </c>
      <c r="E1" t="s">
        <v>30</v>
      </c>
      <c r="F1" t="s">
        <v>31</v>
      </c>
      <c r="G1" t="s">
        <v>32</v>
      </c>
      <c r="H1" t="s">
        <v>33</v>
      </c>
      <c r="I1" t="s">
        <v>34</v>
      </c>
      <c r="J1" t="s">
        <v>35</v>
      </c>
      <c r="K1" t="s">
        <v>36</v>
      </c>
      <c r="N1" t="s">
        <v>2141</v>
      </c>
    </row>
    <row r="2" spans="1:22" x14ac:dyDescent="0.25">
      <c r="A2" s="18">
        <v>7</v>
      </c>
      <c r="B2" s="19">
        <v>37</v>
      </c>
      <c r="C2" s="19" t="s">
        <v>53</v>
      </c>
      <c r="D2" s="20">
        <v>1</v>
      </c>
      <c r="E2" s="21">
        <v>3</v>
      </c>
      <c r="F2" s="22" t="s">
        <v>1643</v>
      </c>
      <c r="G2" s="22" t="s">
        <v>1644</v>
      </c>
      <c r="H2" s="22" t="s">
        <v>1635</v>
      </c>
      <c r="I2" s="21" t="s">
        <v>1456</v>
      </c>
      <c r="J2" s="22" t="s">
        <v>2085</v>
      </c>
      <c r="K2" s="23">
        <f>Tabelle5225[[#This Row],[value_present]]*Tabelle5225[[#This Row],[binding_level]]</f>
        <v>3</v>
      </c>
      <c r="N2" t="s">
        <v>0</v>
      </c>
      <c r="O2" t="s">
        <v>21</v>
      </c>
      <c r="P2" t="s">
        <v>2128</v>
      </c>
      <c r="Q2" t="s">
        <v>2129</v>
      </c>
      <c r="R2" t="s">
        <v>2130</v>
      </c>
      <c r="S2" t="s">
        <v>2131</v>
      </c>
      <c r="T2" t="s">
        <v>2132</v>
      </c>
      <c r="U2" t="s">
        <v>2133</v>
      </c>
      <c r="V2" t="s">
        <v>2134</v>
      </c>
    </row>
    <row r="3" spans="1:22" x14ac:dyDescent="0.25">
      <c r="A3" s="24">
        <v>7</v>
      </c>
      <c r="B3" s="2">
        <v>37</v>
      </c>
      <c r="C3" s="2" t="s">
        <v>61</v>
      </c>
      <c r="D3" s="3">
        <v>1</v>
      </c>
      <c r="E3" s="1">
        <v>1</v>
      </c>
      <c r="F3" t="s">
        <v>1645</v>
      </c>
      <c r="G3" t="s">
        <v>1646</v>
      </c>
      <c r="H3" t="s">
        <v>1636</v>
      </c>
      <c r="I3" s="1" t="s">
        <v>272</v>
      </c>
      <c r="J3" t="s">
        <v>2086</v>
      </c>
      <c r="K3" s="25">
        <f>Tabelle5225[[#This Row],[value_present]]*Tabelle5225[[#This Row],[binding_level]]</f>
        <v>1</v>
      </c>
      <c r="N3">
        <v>7</v>
      </c>
      <c r="O3" t="s">
        <v>53</v>
      </c>
      <c r="P3">
        <v>1</v>
      </c>
      <c r="Q3">
        <v>1</v>
      </c>
      <c r="R3">
        <v>1</v>
      </c>
      <c r="S3">
        <v>3</v>
      </c>
      <c r="T3" t="s">
        <v>2135</v>
      </c>
      <c r="U3" t="s">
        <v>2136</v>
      </c>
      <c r="V3" t="s">
        <v>2142</v>
      </c>
    </row>
    <row r="4" spans="1:22" x14ac:dyDescent="0.25">
      <c r="A4" s="24">
        <v>7</v>
      </c>
      <c r="B4" s="2">
        <v>37</v>
      </c>
      <c r="C4" s="2" t="s">
        <v>69</v>
      </c>
      <c r="D4" s="3">
        <v>1</v>
      </c>
      <c r="E4" s="1">
        <v>1</v>
      </c>
      <c r="F4" t="s">
        <v>1647</v>
      </c>
      <c r="G4" t="s">
        <v>1648</v>
      </c>
      <c r="H4" t="s">
        <v>1637</v>
      </c>
      <c r="I4" s="1" t="s">
        <v>272</v>
      </c>
      <c r="J4" t="s">
        <v>2087</v>
      </c>
      <c r="K4" s="25">
        <f>Tabelle5225[[#This Row],[value_present]]*Tabelle5225[[#This Row],[binding_level]]</f>
        <v>1</v>
      </c>
      <c r="N4">
        <v>7</v>
      </c>
      <c r="O4" t="s">
        <v>147</v>
      </c>
      <c r="P4">
        <v>1</v>
      </c>
      <c r="Q4">
        <v>1</v>
      </c>
      <c r="R4">
        <v>1</v>
      </c>
      <c r="S4">
        <v>2</v>
      </c>
      <c r="T4" t="s">
        <v>2135</v>
      </c>
      <c r="U4" t="s">
        <v>2137</v>
      </c>
      <c r="V4" t="s">
        <v>2143</v>
      </c>
    </row>
    <row r="5" spans="1:22" x14ac:dyDescent="0.25">
      <c r="A5" s="24">
        <v>7</v>
      </c>
      <c r="B5" s="2">
        <v>37</v>
      </c>
      <c r="C5" s="2" t="s">
        <v>76</v>
      </c>
      <c r="D5" s="3">
        <v>1</v>
      </c>
      <c r="E5" s="1">
        <v>1</v>
      </c>
      <c r="F5" t="s">
        <v>1649</v>
      </c>
      <c r="G5" t="s">
        <v>1650</v>
      </c>
      <c r="H5" t="s">
        <v>1637</v>
      </c>
      <c r="I5" s="1" t="s">
        <v>1456</v>
      </c>
      <c r="J5" t="s">
        <v>2088</v>
      </c>
      <c r="K5" s="25">
        <f>Tabelle5225[[#This Row],[value_present]]*Tabelle5225[[#This Row],[binding_level]]</f>
        <v>1</v>
      </c>
      <c r="N5">
        <v>7</v>
      </c>
      <c r="O5" t="s">
        <v>154</v>
      </c>
      <c r="P5">
        <v>1</v>
      </c>
      <c r="Q5">
        <v>0</v>
      </c>
      <c r="R5">
        <v>1</v>
      </c>
      <c r="S5" t="s">
        <v>2094</v>
      </c>
      <c r="T5" t="s">
        <v>2138</v>
      </c>
      <c r="U5" t="s">
        <v>2137</v>
      </c>
      <c r="V5" t="s">
        <v>2139</v>
      </c>
    </row>
    <row r="6" spans="1:22" x14ac:dyDescent="0.25">
      <c r="A6" s="24">
        <v>7</v>
      </c>
      <c r="B6" s="2">
        <v>37</v>
      </c>
      <c r="C6" s="2" t="s">
        <v>83</v>
      </c>
      <c r="D6" s="3">
        <v>1</v>
      </c>
      <c r="E6" s="1">
        <v>1</v>
      </c>
      <c r="F6" t="s">
        <v>1651</v>
      </c>
      <c r="G6" t="s">
        <v>1652</v>
      </c>
      <c r="H6" t="s">
        <v>2104</v>
      </c>
      <c r="I6" s="1" t="s">
        <v>1456</v>
      </c>
      <c r="J6" t="s">
        <v>2089</v>
      </c>
      <c r="K6" s="25">
        <f>Tabelle5225[[#This Row],[value_present]]*Tabelle5225[[#This Row],[binding_level]]</f>
        <v>1</v>
      </c>
      <c r="N6">
        <v>15</v>
      </c>
      <c r="O6" t="s">
        <v>53</v>
      </c>
      <c r="P6">
        <v>1</v>
      </c>
      <c r="Q6">
        <v>1</v>
      </c>
      <c r="R6">
        <v>2</v>
      </c>
      <c r="S6">
        <v>3</v>
      </c>
      <c r="T6" t="s">
        <v>2135</v>
      </c>
      <c r="U6" t="s">
        <v>2136</v>
      </c>
      <c r="V6" t="s">
        <v>2144</v>
      </c>
    </row>
    <row r="7" spans="1:22" x14ac:dyDescent="0.25">
      <c r="A7" s="24">
        <v>7</v>
      </c>
      <c r="B7" s="2">
        <v>37</v>
      </c>
      <c r="C7" s="2" t="s">
        <v>90</v>
      </c>
      <c r="D7" s="3">
        <v>1</v>
      </c>
      <c r="E7" s="1">
        <v>1</v>
      </c>
      <c r="F7" t="s">
        <v>1653</v>
      </c>
      <c r="G7" t="s">
        <v>1654</v>
      </c>
      <c r="H7" t="s">
        <v>1639</v>
      </c>
      <c r="I7" s="1" t="s">
        <v>1456</v>
      </c>
      <c r="J7" t="s">
        <v>2090</v>
      </c>
      <c r="K7" s="25">
        <f>Tabelle5225[[#This Row],[value_present]]*Tabelle5225[[#This Row],[binding_level]]</f>
        <v>1</v>
      </c>
      <c r="N7">
        <v>15</v>
      </c>
      <c r="O7" t="s">
        <v>83</v>
      </c>
      <c r="P7">
        <v>1</v>
      </c>
      <c r="Q7">
        <v>1</v>
      </c>
      <c r="R7">
        <v>1</v>
      </c>
      <c r="S7">
        <v>3</v>
      </c>
      <c r="T7" t="s">
        <v>2135</v>
      </c>
      <c r="U7" t="s">
        <v>2136</v>
      </c>
      <c r="V7" t="s">
        <v>2145</v>
      </c>
    </row>
    <row r="8" spans="1:22" x14ac:dyDescent="0.25">
      <c r="A8" s="24">
        <v>7</v>
      </c>
      <c r="B8" s="2">
        <v>37</v>
      </c>
      <c r="C8" s="2" t="s">
        <v>98</v>
      </c>
      <c r="D8" s="3">
        <v>1</v>
      </c>
      <c r="E8" s="1">
        <v>1</v>
      </c>
      <c r="F8" t="s">
        <v>1655</v>
      </c>
      <c r="G8" t="s">
        <v>1656</v>
      </c>
      <c r="H8" t="s">
        <v>1639</v>
      </c>
      <c r="I8" s="1" t="s">
        <v>272</v>
      </c>
      <c r="J8" t="s">
        <v>2091</v>
      </c>
      <c r="K8" s="25">
        <f>Tabelle5225[[#This Row],[value_present]]*Tabelle5225[[#This Row],[binding_level]]</f>
        <v>1</v>
      </c>
      <c r="N8">
        <v>15</v>
      </c>
      <c r="O8" t="s">
        <v>106</v>
      </c>
      <c r="P8">
        <v>1</v>
      </c>
      <c r="Q8">
        <v>1</v>
      </c>
      <c r="R8">
        <v>2</v>
      </c>
      <c r="S8">
        <v>3</v>
      </c>
      <c r="T8" t="s">
        <v>2135</v>
      </c>
      <c r="U8" t="s">
        <v>2136</v>
      </c>
      <c r="V8" t="s">
        <v>2146</v>
      </c>
    </row>
    <row r="9" spans="1:22" x14ac:dyDescent="0.25">
      <c r="A9" s="24">
        <v>7</v>
      </c>
      <c r="B9" s="2">
        <v>37</v>
      </c>
      <c r="C9" s="2" t="s">
        <v>106</v>
      </c>
      <c r="D9" s="3">
        <v>1</v>
      </c>
      <c r="E9" s="1">
        <v>1</v>
      </c>
      <c r="F9" t="s">
        <v>1657</v>
      </c>
      <c r="G9" t="s">
        <v>1658</v>
      </c>
      <c r="H9" t="s">
        <v>1640</v>
      </c>
      <c r="I9" s="1" t="s">
        <v>272</v>
      </c>
      <c r="J9" t="s">
        <v>2092</v>
      </c>
      <c r="K9" s="25">
        <f>Tabelle5225[[#This Row],[value_present]]*Tabelle5225[[#This Row],[binding_level]]</f>
        <v>1</v>
      </c>
      <c r="N9">
        <v>15</v>
      </c>
      <c r="O9" t="s">
        <v>154</v>
      </c>
      <c r="P9">
        <v>1</v>
      </c>
      <c r="Q9">
        <v>0</v>
      </c>
      <c r="R9">
        <v>1</v>
      </c>
      <c r="S9" t="s">
        <v>2094</v>
      </c>
      <c r="T9" t="s">
        <v>2138</v>
      </c>
      <c r="U9" t="s">
        <v>2137</v>
      </c>
      <c r="V9" t="s">
        <v>2140</v>
      </c>
    </row>
    <row r="10" spans="1:22" x14ac:dyDescent="0.25">
      <c r="A10" s="24">
        <v>7</v>
      </c>
      <c r="B10" s="2">
        <v>37</v>
      </c>
      <c r="C10" s="2" t="s">
        <v>112</v>
      </c>
      <c r="D10" s="3">
        <v>1</v>
      </c>
      <c r="E10" s="1">
        <v>1</v>
      </c>
      <c r="F10" t="s">
        <v>1659</v>
      </c>
      <c r="G10" t="s">
        <v>1660</v>
      </c>
      <c r="H10" t="s">
        <v>1640</v>
      </c>
      <c r="I10" s="1" t="s">
        <v>1456</v>
      </c>
      <c r="J10" t="s">
        <v>2093</v>
      </c>
      <c r="K10" s="25">
        <f>Tabelle5225[[#This Row],[value_present]]*Tabelle5225[[#This Row],[binding_level]]</f>
        <v>1</v>
      </c>
    </row>
    <row r="11" spans="1:22" x14ac:dyDescent="0.25">
      <c r="A11" s="24">
        <v>7</v>
      </c>
      <c r="B11" s="2">
        <v>37</v>
      </c>
      <c r="C11" s="2" t="s">
        <v>118</v>
      </c>
      <c r="D11" s="3">
        <v>0</v>
      </c>
      <c r="E11" s="1"/>
      <c r="H11" t="s">
        <v>2094</v>
      </c>
      <c r="I11" s="1" t="s">
        <v>1456</v>
      </c>
      <c r="J11" t="s">
        <v>2095</v>
      </c>
      <c r="K11" s="25">
        <f>Tabelle5225[[#This Row],[value_present]]*Tabelle5225[[#This Row],[binding_level]]</f>
        <v>0</v>
      </c>
    </row>
    <row r="12" spans="1:22" x14ac:dyDescent="0.25">
      <c r="A12" s="24">
        <v>7</v>
      </c>
      <c r="B12" s="2">
        <v>37</v>
      </c>
      <c r="C12" s="2" t="s">
        <v>125</v>
      </c>
      <c r="D12" s="3">
        <v>0</v>
      </c>
      <c r="E12" s="1"/>
      <c r="H12" t="s">
        <v>2094</v>
      </c>
      <c r="I12" s="1" t="s">
        <v>1456</v>
      </c>
      <c r="J12" t="s">
        <v>2096</v>
      </c>
      <c r="K12" s="25">
        <f>Tabelle5225[[#This Row],[value_present]]*Tabelle5225[[#This Row],[binding_level]]</f>
        <v>0</v>
      </c>
    </row>
    <row r="13" spans="1:22" x14ac:dyDescent="0.25">
      <c r="A13" s="24">
        <v>7</v>
      </c>
      <c r="B13" s="2">
        <v>37</v>
      </c>
      <c r="C13" s="2" t="s">
        <v>132</v>
      </c>
      <c r="D13" s="3">
        <v>1</v>
      </c>
      <c r="E13" s="1">
        <v>1</v>
      </c>
      <c r="F13" t="s">
        <v>1661</v>
      </c>
      <c r="G13" t="s">
        <v>1662</v>
      </c>
      <c r="H13" t="s">
        <v>1641</v>
      </c>
      <c r="I13" s="1" t="s">
        <v>1456</v>
      </c>
      <c r="J13" t="s">
        <v>2097</v>
      </c>
      <c r="K13" s="25">
        <f>Tabelle5225[[#This Row],[value_present]]*Tabelle5225[[#This Row],[binding_level]]</f>
        <v>1</v>
      </c>
    </row>
    <row r="14" spans="1:22" x14ac:dyDescent="0.25">
      <c r="A14" s="24">
        <v>7</v>
      </c>
      <c r="B14" s="2">
        <v>37</v>
      </c>
      <c r="C14" s="2" t="s">
        <v>140</v>
      </c>
      <c r="D14" s="3">
        <v>1</v>
      </c>
      <c r="E14" s="1">
        <v>1</v>
      </c>
      <c r="F14" t="s">
        <v>1663</v>
      </c>
      <c r="G14" t="s">
        <v>1664</v>
      </c>
      <c r="H14" t="s">
        <v>1641</v>
      </c>
      <c r="I14" s="1" t="s">
        <v>1456</v>
      </c>
      <c r="J14" t="s">
        <v>2098</v>
      </c>
      <c r="K14" s="25">
        <f>Tabelle5225[[#This Row],[value_present]]*Tabelle5225[[#This Row],[binding_level]]</f>
        <v>1</v>
      </c>
    </row>
    <row r="15" spans="1:22" x14ac:dyDescent="0.25">
      <c r="A15" s="24">
        <v>7</v>
      </c>
      <c r="B15" s="2">
        <v>37</v>
      </c>
      <c r="C15" s="2" t="s">
        <v>147</v>
      </c>
      <c r="D15" s="3">
        <v>1</v>
      </c>
      <c r="E15" s="1">
        <v>2</v>
      </c>
      <c r="F15" t="s">
        <v>1665</v>
      </c>
      <c r="G15" t="s">
        <v>1666</v>
      </c>
      <c r="H15" t="s">
        <v>1640</v>
      </c>
      <c r="I15" s="1" t="s">
        <v>273</v>
      </c>
      <c r="J15" t="s">
        <v>2099</v>
      </c>
      <c r="K15" s="25">
        <f>Tabelle5225[[#This Row],[value_present]]*Tabelle5225[[#This Row],[binding_level]]</f>
        <v>2</v>
      </c>
    </row>
    <row r="16" spans="1:22" x14ac:dyDescent="0.25">
      <c r="A16" s="24">
        <v>7</v>
      </c>
      <c r="B16" s="2">
        <v>37</v>
      </c>
      <c r="C16" s="2" t="s">
        <v>154</v>
      </c>
      <c r="D16" s="3">
        <v>0</v>
      </c>
      <c r="E16" s="1"/>
      <c r="H16" t="s">
        <v>2094</v>
      </c>
      <c r="I16" s="1" t="s">
        <v>1457</v>
      </c>
      <c r="J16" t="s">
        <v>2100</v>
      </c>
      <c r="K16" s="25">
        <f>Tabelle5225[[#This Row],[value_present]]*Tabelle5225[[#This Row],[binding_level]]</f>
        <v>0</v>
      </c>
    </row>
    <row r="17" spans="1:11" x14ac:dyDescent="0.25">
      <c r="A17" s="24">
        <v>7</v>
      </c>
      <c r="B17" s="2">
        <v>37</v>
      </c>
      <c r="C17" s="2" t="s">
        <v>161</v>
      </c>
      <c r="D17" s="3">
        <v>0</v>
      </c>
      <c r="E17" s="1"/>
      <c r="H17" t="s">
        <v>2094</v>
      </c>
      <c r="I17" s="1" t="s">
        <v>1456</v>
      </c>
      <c r="J17" t="s">
        <v>2101</v>
      </c>
      <c r="K17" s="25">
        <f>Tabelle5225[[#This Row],[value_present]]*Tabelle5225[[#This Row],[binding_level]]</f>
        <v>0</v>
      </c>
    </row>
    <row r="18" spans="1:11" x14ac:dyDescent="0.25">
      <c r="A18" s="24">
        <v>7</v>
      </c>
      <c r="B18" s="2">
        <v>37</v>
      </c>
      <c r="C18" s="2" t="s">
        <v>166</v>
      </c>
      <c r="D18" s="3">
        <v>0</v>
      </c>
      <c r="E18" s="1"/>
      <c r="H18" t="s">
        <v>2094</v>
      </c>
      <c r="I18" s="1" t="s">
        <v>1456</v>
      </c>
      <c r="J18" t="s">
        <v>2102</v>
      </c>
      <c r="K18" s="25">
        <f>Tabelle5225[[#This Row],[value_present]]*Tabelle5225[[#This Row],[binding_level]]</f>
        <v>0</v>
      </c>
    </row>
    <row r="19" spans="1:11" ht="15.75" thickBot="1" x14ac:dyDescent="0.3">
      <c r="A19" s="26">
        <v>7</v>
      </c>
      <c r="B19" s="27">
        <v>37</v>
      </c>
      <c r="C19" s="27" t="s">
        <v>174</v>
      </c>
      <c r="D19" s="28">
        <v>1</v>
      </c>
      <c r="E19" s="29">
        <v>1</v>
      </c>
      <c r="F19" s="30" t="s">
        <v>1669</v>
      </c>
      <c r="G19" s="30" t="s">
        <v>1670</v>
      </c>
      <c r="H19" s="30" t="s">
        <v>1641</v>
      </c>
      <c r="I19" s="29" t="s">
        <v>1457</v>
      </c>
      <c r="J19" s="30" t="s">
        <v>2103</v>
      </c>
      <c r="K19" s="31">
        <f>Tabelle5225[[#This Row],[value_present]]*Tabelle5225[[#This Row],[binding_level]]</f>
        <v>1</v>
      </c>
    </row>
    <row r="20" spans="1:11" x14ac:dyDescent="0.25">
      <c r="A20" s="18">
        <v>15</v>
      </c>
      <c r="B20" s="19">
        <v>86</v>
      </c>
      <c r="C20" s="19" t="s">
        <v>53</v>
      </c>
      <c r="D20" s="20">
        <v>1</v>
      </c>
      <c r="E20" s="21">
        <v>3</v>
      </c>
      <c r="F20" t="s">
        <v>1805</v>
      </c>
      <c r="G20" s="22" t="s">
        <v>1806</v>
      </c>
      <c r="H20" s="22" t="s">
        <v>1792</v>
      </c>
      <c r="I20" s="21" t="s">
        <v>272</v>
      </c>
      <c r="J20" s="22" t="s">
        <v>2110</v>
      </c>
      <c r="K20" s="23">
        <f>Tabelle5225[[#This Row],[value_present]]*Tabelle5225[[#This Row],[binding_level]]</f>
        <v>3</v>
      </c>
    </row>
    <row r="21" spans="1:11" x14ac:dyDescent="0.25">
      <c r="A21" s="24">
        <v>15</v>
      </c>
      <c r="B21" s="2">
        <v>86</v>
      </c>
      <c r="C21" s="2" t="s">
        <v>61</v>
      </c>
      <c r="D21" s="3">
        <v>1</v>
      </c>
      <c r="E21" s="1">
        <v>2</v>
      </c>
      <c r="F21" t="s">
        <v>1807</v>
      </c>
      <c r="G21" t="s">
        <v>1808</v>
      </c>
      <c r="H21" t="s">
        <v>1793</v>
      </c>
      <c r="I21" s="1" t="s">
        <v>1456</v>
      </c>
      <c r="J21" t="s">
        <v>2111</v>
      </c>
      <c r="K21" s="25">
        <f>Tabelle5225[[#This Row],[value_present]]*Tabelle5225[[#This Row],[binding_level]]</f>
        <v>2</v>
      </c>
    </row>
    <row r="22" spans="1:11" x14ac:dyDescent="0.25">
      <c r="A22" s="24">
        <v>15</v>
      </c>
      <c r="B22" s="2">
        <v>86</v>
      </c>
      <c r="C22" s="2" t="s">
        <v>69</v>
      </c>
      <c r="D22" s="3">
        <v>1</v>
      </c>
      <c r="E22" s="1">
        <v>2</v>
      </c>
      <c r="F22" t="s">
        <v>1809</v>
      </c>
      <c r="G22" t="s">
        <v>1810</v>
      </c>
      <c r="H22" t="s">
        <v>1794</v>
      </c>
      <c r="I22" s="1" t="s">
        <v>1456</v>
      </c>
      <c r="J22" t="s">
        <v>2112</v>
      </c>
      <c r="K22" s="25">
        <f>Tabelle5225[[#This Row],[value_present]]*Tabelle5225[[#This Row],[binding_level]]</f>
        <v>2</v>
      </c>
    </row>
    <row r="23" spans="1:11" x14ac:dyDescent="0.25">
      <c r="A23" s="24">
        <v>15</v>
      </c>
      <c r="B23" s="2">
        <v>86</v>
      </c>
      <c r="C23" s="2" t="s">
        <v>76</v>
      </c>
      <c r="D23" s="3">
        <v>1</v>
      </c>
      <c r="E23" s="1">
        <v>1</v>
      </c>
      <c r="F23" t="s">
        <v>1811</v>
      </c>
      <c r="G23" t="s">
        <v>1812</v>
      </c>
      <c r="H23" t="s">
        <v>1795</v>
      </c>
      <c r="I23" s="1" t="s">
        <v>272</v>
      </c>
      <c r="J23" t="s">
        <v>2113</v>
      </c>
      <c r="K23" s="25">
        <f>Tabelle5225[[#This Row],[value_present]]*Tabelle5225[[#This Row],[binding_level]]</f>
        <v>1</v>
      </c>
    </row>
    <row r="24" spans="1:11" x14ac:dyDescent="0.25">
      <c r="A24" s="24">
        <v>15</v>
      </c>
      <c r="B24" s="2">
        <v>86</v>
      </c>
      <c r="C24" s="2" t="s">
        <v>83</v>
      </c>
      <c r="D24" s="3">
        <v>1</v>
      </c>
      <c r="E24" s="1">
        <v>3</v>
      </c>
      <c r="F24" t="s">
        <v>1813</v>
      </c>
      <c r="G24" t="s">
        <v>1815</v>
      </c>
      <c r="H24" t="s">
        <v>1796</v>
      </c>
      <c r="I24" s="1" t="s">
        <v>272</v>
      </c>
      <c r="J24" t="s">
        <v>2114</v>
      </c>
      <c r="K24" s="25">
        <f>Tabelle5225[[#This Row],[value_present]]*Tabelle5225[[#This Row],[binding_level]]</f>
        <v>3</v>
      </c>
    </row>
    <row r="25" spans="1:11" x14ac:dyDescent="0.25">
      <c r="A25" s="24">
        <v>15</v>
      </c>
      <c r="B25" s="2">
        <v>86</v>
      </c>
      <c r="C25" s="2" t="s">
        <v>90</v>
      </c>
      <c r="D25" s="3">
        <v>1</v>
      </c>
      <c r="E25" s="1">
        <v>2</v>
      </c>
      <c r="F25" t="s">
        <v>1816</v>
      </c>
      <c r="G25" t="s">
        <v>1817</v>
      </c>
      <c r="H25" t="s">
        <v>1797</v>
      </c>
      <c r="I25" s="1" t="s">
        <v>1456</v>
      </c>
      <c r="J25" t="s">
        <v>2115</v>
      </c>
      <c r="K25" s="25">
        <f>Tabelle5225[[#This Row],[value_present]]*Tabelle5225[[#This Row],[binding_level]]</f>
        <v>2</v>
      </c>
    </row>
    <row r="26" spans="1:11" x14ac:dyDescent="0.25">
      <c r="A26" s="24">
        <v>15</v>
      </c>
      <c r="B26" s="2">
        <v>86</v>
      </c>
      <c r="C26" s="2" t="s">
        <v>98</v>
      </c>
      <c r="D26" s="3">
        <v>1</v>
      </c>
      <c r="E26" s="1">
        <v>2</v>
      </c>
      <c r="F26" t="s">
        <v>1818</v>
      </c>
      <c r="G26" t="s">
        <v>1819</v>
      </c>
      <c r="H26" t="s">
        <v>1798</v>
      </c>
      <c r="I26" s="1" t="s">
        <v>1456</v>
      </c>
      <c r="J26" t="s">
        <v>2116</v>
      </c>
      <c r="K26" s="25">
        <f>Tabelle5225[[#This Row],[value_present]]*Tabelle5225[[#This Row],[binding_level]]</f>
        <v>2</v>
      </c>
    </row>
    <row r="27" spans="1:11" x14ac:dyDescent="0.25">
      <c r="A27" s="24">
        <v>15</v>
      </c>
      <c r="B27" s="2">
        <v>86</v>
      </c>
      <c r="C27" s="2" t="s">
        <v>106</v>
      </c>
      <c r="D27" s="3">
        <v>1</v>
      </c>
      <c r="E27" s="1">
        <v>3</v>
      </c>
      <c r="F27" t="s">
        <v>1820</v>
      </c>
      <c r="G27" t="s">
        <v>1821</v>
      </c>
      <c r="H27" t="s">
        <v>1799</v>
      </c>
      <c r="I27" s="1" t="s">
        <v>272</v>
      </c>
      <c r="J27" t="s">
        <v>2117</v>
      </c>
      <c r="K27" s="25">
        <f>Tabelle5225[[#This Row],[value_present]]*Tabelle5225[[#This Row],[binding_level]]</f>
        <v>3</v>
      </c>
    </row>
    <row r="28" spans="1:11" x14ac:dyDescent="0.25">
      <c r="A28" s="24">
        <v>15</v>
      </c>
      <c r="B28" s="2">
        <v>86</v>
      </c>
      <c r="C28" s="2" t="s">
        <v>112</v>
      </c>
      <c r="D28" s="3">
        <v>1</v>
      </c>
      <c r="E28" s="1">
        <v>2</v>
      </c>
      <c r="F28" t="s">
        <v>1822</v>
      </c>
      <c r="G28" t="s">
        <v>1823</v>
      </c>
      <c r="H28" t="s">
        <v>1800</v>
      </c>
      <c r="I28" s="1" t="s">
        <v>272</v>
      </c>
      <c r="J28" t="s">
        <v>2118</v>
      </c>
      <c r="K28" s="25">
        <f>Tabelle5225[[#This Row],[value_present]]*Tabelle5225[[#This Row],[binding_level]]</f>
        <v>2</v>
      </c>
    </row>
    <row r="29" spans="1:11" x14ac:dyDescent="0.25">
      <c r="A29" s="24">
        <v>15</v>
      </c>
      <c r="B29" s="2">
        <v>86</v>
      </c>
      <c r="C29" s="2" t="s">
        <v>118</v>
      </c>
      <c r="D29" s="3">
        <v>0</v>
      </c>
      <c r="E29" s="1"/>
      <c r="I29" s="1" t="s">
        <v>1456</v>
      </c>
      <c r="J29" t="s">
        <v>2119</v>
      </c>
      <c r="K29" s="25">
        <f>Tabelle5225[[#This Row],[value_present]]*Tabelle5225[[#This Row],[binding_level]]</f>
        <v>0</v>
      </c>
    </row>
    <row r="30" spans="1:11" x14ac:dyDescent="0.25">
      <c r="A30" s="24">
        <v>15</v>
      </c>
      <c r="B30" s="2">
        <v>86</v>
      </c>
      <c r="C30" s="2" t="s">
        <v>125</v>
      </c>
      <c r="D30" s="3">
        <v>0</v>
      </c>
      <c r="E30" s="1"/>
      <c r="I30" s="1" t="s">
        <v>1456</v>
      </c>
      <c r="J30" t="s">
        <v>2120</v>
      </c>
      <c r="K30" s="25">
        <f>Tabelle5225[[#This Row],[value_present]]*Tabelle5225[[#This Row],[binding_level]]</f>
        <v>0</v>
      </c>
    </row>
    <row r="31" spans="1:11" x14ac:dyDescent="0.25">
      <c r="A31" s="24">
        <v>15</v>
      </c>
      <c r="B31" s="2">
        <v>86</v>
      </c>
      <c r="C31" s="2" t="s">
        <v>132</v>
      </c>
      <c r="D31" s="3">
        <v>0</v>
      </c>
      <c r="E31" s="1"/>
      <c r="I31" s="1" t="s">
        <v>1456</v>
      </c>
      <c r="J31" t="s">
        <v>2121</v>
      </c>
      <c r="K31" s="25">
        <f>Tabelle5225[[#This Row],[value_present]]*Tabelle5225[[#This Row],[binding_level]]</f>
        <v>0</v>
      </c>
    </row>
    <row r="32" spans="1:11" x14ac:dyDescent="0.25">
      <c r="A32" s="24">
        <v>15</v>
      </c>
      <c r="B32" s="2">
        <v>86</v>
      </c>
      <c r="C32" s="2" t="s">
        <v>140</v>
      </c>
      <c r="D32" s="3">
        <v>1</v>
      </c>
      <c r="E32" s="1">
        <v>1</v>
      </c>
      <c r="F32" t="s">
        <v>1824</v>
      </c>
      <c r="G32" t="s">
        <v>1825</v>
      </c>
      <c r="H32" t="s">
        <v>1801</v>
      </c>
      <c r="I32" s="1" t="s">
        <v>272</v>
      </c>
      <c r="J32" t="s">
        <v>2122</v>
      </c>
      <c r="K32" s="25">
        <f>Tabelle5225[[#This Row],[value_present]]*Tabelle5225[[#This Row],[binding_level]]</f>
        <v>1</v>
      </c>
    </row>
    <row r="33" spans="1:11" x14ac:dyDescent="0.25">
      <c r="A33" s="24">
        <v>15</v>
      </c>
      <c r="B33" s="2">
        <v>86</v>
      </c>
      <c r="C33" s="2" t="s">
        <v>147</v>
      </c>
      <c r="D33" s="3">
        <v>1</v>
      </c>
      <c r="E33" s="1">
        <v>2</v>
      </c>
      <c r="F33" t="s">
        <v>1826</v>
      </c>
      <c r="G33" t="s">
        <v>1827</v>
      </c>
      <c r="H33" t="s">
        <v>1802</v>
      </c>
      <c r="I33" s="1" t="s">
        <v>1456</v>
      </c>
      <c r="J33" t="s">
        <v>2123</v>
      </c>
      <c r="K33" s="25">
        <f>Tabelle5225[[#This Row],[value_present]]*Tabelle5225[[#This Row],[binding_level]]</f>
        <v>2</v>
      </c>
    </row>
    <row r="34" spans="1:11" x14ac:dyDescent="0.25">
      <c r="A34" s="24">
        <v>15</v>
      </c>
      <c r="B34" s="2">
        <v>86</v>
      </c>
      <c r="C34" s="2" t="s">
        <v>154</v>
      </c>
      <c r="D34" s="3">
        <v>0</v>
      </c>
      <c r="E34" s="1"/>
      <c r="I34" s="1" t="s">
        <v>1456</v>
      </c>
      <c r="J34" t="s">
        <v>2124</v>
      </c>
      <c r="K34" s="25">
        <f>Tabelle5225[[#This Row],[value_present]]*Tabelle5225[[#This Row],[binding_level]]</f>
        <v>0</v>
      </c>
    </row>
    <row r="35" spans="1:11" x14ac:dyDescent="0.25">
      <c r="A35" s="24">
        <v>15</v>
      </c>
      <c r="B35" s="2">
        <v>86</v>
      </c>
      <c r="C35" s="2" t="s">
        <v>161</v>
      </c>
      <c r="D35" s="3">
        <v>1</v>
      </c>
      <c r="E35" s="1">
        <v>3</v>
      </c>
      <c r="F35" t="s">
        <v>1830</v>
      </c>
      <c r="G35" t="s">
        <v>1831</v>
      </c>
      <c r="H35" t="s">
        <v>1804</v>
      </c>
      <c r="I35" s="1" t="s">
        <v>1457</v>
      </c>
      <c r="J35" t="s">
        <v>2125</v>
      </c>
      <c r="K35" s="25">
        <f>Tabelle5225[[#This Row],[value_present]]*Tabelle5225[[#This Row],[binding_level]]</f>
        <v>3</v>
      </c>
    </row>
    <row r="36" spans="1:11" x14ac:dyDescent="0.25">
      <c r="A36" s="24">
        <v>15</v>
      </c>
      <c r="B36" s="2">
        <v>86</v>
      </c>
      <c r="C36" s="2" t="s">
        <v>166</v>
      </c>
      <c r="D36" s="3">
        <v>0</v>
      </c>
      <c r="E36" s="1"/>
      <c r="I36" s="1" t="s">
        <v>1456</v>
      </c>
      <c r="J36" t="s">
        <v>2126</v>
      </c>
      <c r="K36" s="25">
        <f>Tabelle5225[[#This Row],[value_present]]*Tabelle5225[[#This Row],[binding_level]]</f>
        <v>0</v>
      </c>
    </row>
    <row r="37" spans="1:11" ht="15.75" thickBot="1" x14ac:dyDescent="0.3">
      <c r="A37" s="26">
        <v>15</v>
      </c>
      <c r="B37" s="27">
        <v>86</v>
      </c>
      <c r="C37" s="27" t="s">
        <v>174</v>
      </c>
      <c r="D37" s="28">
        <v>0</v>
      </c>
      <c r="E37" s="29"/>
      <c r="F37" s="30"/>
      <c r="G37" s="30"/>
      <c r="H37" s="30"/>
      <c r="I37" s="29" t="s">
        <v>1456</v>
      </c>
      <c r="J37" s="30" t="s">
        <v>2127</v>
      </c>
      <c r="K37" s="31">
        <f>Tabelle5225[[#This Row],[value_present]]*Tabelle5225[[#This Row],[binding_level]]</f>
        <v>0</v>
      </c>
    </row>
    <row r="38" spans="1:11" x14ac:dyDescent="0.25">
      <c r="A38" s="2"/>
      <c r="B38" s="2"/>
      <c r="C38" s="2"/>
      <c r="D38" s="3"/>
      <c r="E38" s="1"/>
      <c r="I38" s="1"/>
      <c r="K38" s="4">
        <f>Tabelle5225[[#This Row],[value_present]]*Tabelle5225[[#This Row],[binding_level]]</f>
        <v>0</v>
      </c>
    </row>
    <row r="39" spans="1:11" x14ac:dyDescent="0.25">
      <c r="A39" s="2"/>
      <c r="B39" s="2"/>
      <c r="C39" s="2"/>
      <c r="D39" s="3"/>
      <c r="E39" s="1"/>
      <c r="I39" s="1"/>
      <c r="K39" s="4">
        <f>Tabelle5225[[#This Row],[value_present]]*Tabelle5225[[#This Row],[binding_level]]</f>
        <v>0</v>
      </c>
    </row>
    <row r="40" spans="1:11" x14ac:dyDescent="0.25">
      <c r="A40" s="2"/>
      <c r="B40" s="2"/>
      <c r="C40" s="2"/>
      <c r="D40" s="3"/>
      <c r="E40" s="1"/>
      <c r="I40" s="1"/>
      <c r="K40" s="4">
        <f>Tabelle5225[[#This Row],[value_present]]*Tabelle5225[[#This Row],[binding_level]]</f>
        <v>0</v>
      </c>
    </row>
    <row r="41" spans="1:11" x14ac:dyDescent="0.25">
      <c r="A41" s="2"/>
      <c r="B41" s="2"/>
      <c r="C41" s="2"/>
      <c r="D41" s="3"/>
      <c r="E41" s="1"/>
      <c r="I41" s="1"/>
      <c r="K41" s="4">
        <f>Tabelle5225[[#This Row],[value_present]]*Tabelle5225[[#This Row],[binding_level]]</f>
        <v>0</v>
      </c>
    </row>
    <row r="42" spans="1:11" x14ac:dyDescent="0.25">
      <c r="A42" s="2"/>
      <c r="B42" s="2"/>
      <c r="C42" s="2"/>
      <c r="D42" s="3"/>
      <c r="E42" s="1"/>
      <c r="I42" s="1"/>
      <c r="K42" s="4">
        <f>Tabelle5225[[#This Row],[value_present]]*Tabelle5225[[#This Row],[binding_level]]</f>
        <v>0</v>
      </c>
    </row>
    <row r="43" spans="1:11" x14ac:dyDescent="0.25">
      <c r="A43" s="2"/>
      <c r="B43" s="2"/>
      <c r="C43" s="2"/>
      <c r="D43" s="3"/>
      <c r="E43" s="1"/>
      <c r="I43" s="1"/>
      <c r="K43" s="4">
        <f>Tabelle5225[[#This Row],[value_present]]*Tabelle5225[[#This Row],[binding_level]]</f>
        <v>0</v>
      </c>
    </row>
    <row r="44" spans="1:11" x14ac:dyDescent="0.25">
      <c r="A44" s="2"/>
      <c r="B44" s="2"/>
      <c r="C44" s="2"/>
      <c r="D44" s="3"/>
      <c r="E44" s="1"/>
      <c r="I44" s="1"/>
      <c r="K44" s="4">
        <f>Tabelle5225[[#This Row],[value_present]]*Tabelle5225[[#This Row],[binding_level]]</f>
        <v>0</v>
      </c>
    </row>
    <row r="45" spans="1:11" x14ac:dyDescent="0.25">
      <c r="A45" s="2"/>
      <c r="B45" s="2"/>
      <c r="C45" s="2"/>
      <c r="D45" s="3"/>
      <c r="E45" s="1"/>
      <c r="I45" s="1"/>
      <c r="K45" s="4">
        <f>Tabelle5225[[#This Row],[value_present]]*Tabelle5225[[#This Row],[binding_level]]</f>
        <v>0</v>
      </c>
    </row>
    <row r="46" spans="1:11" x14ac:dyDescent="0.25">
      <c r="A46" s="2"/>
      <c r="B46" s="2"/>
      <c r="C46" s="2"/>
      <c r="D46" s="3"/>
      <c r="E46" s="1"/>
      <c r="I46" s="1"/>
      <c r="K46" s="4">
        <f>Tabelle5225[[#This Row],[value_present]]*Tabelle5225[[#This Row],[binding_level]]</f>
        <v>0</v>
      </c>
    </row>
    <row r="47" spans="1:11" x14ac:dyDescent="0.25">
      <c r="A47" s="2"/>
      <c r="B47" s="2"/>
      <c r="C47" s="2"/>
      <c r="D47" s="3"/>
      <c r="E47" s="1"/>
      <c r="I47" s="1"/>
      <c r="K47" s="4">
        <f>Tabelle5225[[#This Row],[value_present]]*Tabelle5225[[#This Row],[binding_level]]</f>
        <v>0</v>
      </c>
    </row>
    <row r="48" spans="1:11" x14ac:dyDescent="0.25">
      <c r="A48" s="2"/>
      <c r="B48" s="2"/>
      <c r="C48" s="2"/>
      <c r="D48" s="3"/>
      <c r="E48" s="1"/>
      <c r="I48" s="1"/>
      <c r="K48" s="4">
        <f>Tabelle5225[[#This Row],[value_present]]*Tabelle5225[[#This Row],[binding_level]]</f>
        <v>0</v>
      </c>
    </row>
    <row r="49" spans="1:11" x14ac:dyDescent="0.25">
      <c r="A49" s="2"/>
      <c r="B49" s="2"/>
      <c r="C49" s="2"/>
      <c r="D49" s="3"/>
      <c r="E49" s="1"/>
      <c r="I49" s="1"/>
      <c r="K49" s="4">
        <f>Tabelle5225[[#This Row],[value_present]]*Tabelle5225[[#This Row],[binding_level]]</f>
        <v>0</v>
      </c>
    </row>
    <row r="50" spans="1:11" x14ac:dyDescent="0.25">
      <c r="A50" s="2"/>
      <c r="B50" s="2"/>
      <c r="C50" s="2"/>
      <c r="D50" s="3"/>
      <c r="E50" s="1"/>
      <c r="I50" s="1"/>
      <c r="K50" s="4">
        <f>Tabelle5225[[#This Row],[value_present]]*Tabelle5225[[#This Row],[binding_level]]</f>
        <v>0</v>
      </c>
    </row>
    <row r="51" spans="1:11" x14ac:dyDescent="0.25">
      <c r="A51" s="2"/>
      <c r="B51" s="2"/>
      <c r="C51" s="2"/>
      <c r="D51" s="3"/>
      <c r="E51" s="1"/>
      <c r="I51" s="1"/>
      <c r="K51" s="4">
        <f>Tabelle5225[[#This Row],[value_present]]*Tabelle5225[[#This Row],[binding_level]]</f>
        <v>0</v>
      </c>
    </row>
    <row r="52" spans="1:11" x14ac:dyDescent="0.25">
      <c r="A52" s="2"/>
      <c r="B52" s="2"/>
      <c r="C52" s="2"/>
      <c r="D52" s="3"/>
      <c r="E52" s="1"/>
      <c r="I52" s="1"/>
      <c r="K52" s="4">
        <f>Tabelle5225[[#This Row],[value_present]]*Tabelle5225[[#This Row],[binding_level]]</f>
        <v>0</v>
      </c>
    </row>
    <row r="53" spans="1:11" x14ac:dyDescent="0.25">
      <c r="A53" s="2"/>
      <c r="B53" s="2"/>
      <c r="C53" s="2"/>
      <c r="D53" s="3"/>
      <c r="E53" s="1"/>
      <c r="I53" s="1"/>
      <c r="K53" s="4">
        <f>Tabelle5225[[#This Row],[value_present]]*Tabelle5225[[#This Row],[binding_level]]</f>
        <v>0</v>
      </c>
    </row>
    <row r="54" spans="1:11" x14ac:dyDescent="0.25">
      <c r="A54" s="2"/>
      <c r="B54" s="2"/>
      <c r="C54" s="2"/>
      <c r="D54" s="3"/>
      <c r="E54" s="1"/>
      <c r="I54" s="1"/>
      <c r="K54" s="4">
        <f>Tabelle5225[[#This Row],[value_present]]*Tabelle5225[[#This Row],[binding_level]]</f>
        <v>0</v>
      </c>
    </row>
    <row r="55" spans="1:11" x14ac:dyDescent="0.25">
      <c r="A55" s="2"/>
      <c r="B55" s="2"/>
      <c r="C55" s="2"/>
      <c r="D55" s="3"/>
      <c r="E55" s="1"/>
      <c r="I55" s="1"/>
      <c r="K55" s="4">
        <f>Tabelle5225[[#This Row],[value_present]]*Tabelle5225[[#This Row],[binding_level]]</f>
        <v>0</v>
      </c>
    </row>
    <row r="56" spans="1:11" x14ac:dyDescent="0.25">
      <c r="A56" s="2"/>
      <c r="B56" s="2"/>
      <c r="C56" s="2"/>
      <c r="D56" s="3"/>
      <c r="E56" s="1"/>
      <c r="I56" s="1"/>
      <c r="K56" s="4">
        <f>Tabelle5225[[#This Row],[value_present]]*Tabelle5225[[#This Row],[binding_level]]</f>
        <v>0</v>
      </c>
    </row>
    <row r="57" spans="1:11" x14ac:dyDescent="0.25">
      <c r="A57" s="2"/>
      <c r="B57" s="2"/>
      <c r="C57" s="2"/>
      <c r="D57" s="3"/>
      <c r="E57" s="1"/>
      <c r="I57" s="1"/>
      <c r="K57" s="4">
        <f>Tabelle5225[[#This Row],[value_present]]*Tabelle5225[[#This Row],[binding_level]]</f>
        <v>0</v>
      </c>
    </row>
    <row r="58" spans="1:11" x14ac:dyDescent="0.25">
      <c r="A58" s="2"/>
      <c r="B58" s="2"/>
      <c r="C58" s="2"/>
      <c r="D58" s="3"/>
      <c r="E58" s="1"/>
      <c r="I58" s="1"/>
      <c r="K58" s="4">
        <f>Tabelle5225[[#This Row],[value_present]]*Tabelle5225[[#This Row],[binding_level]]</f>
        <v>0</v>
      </c>
    </row>
    <row r="59" spans="1:11" x14ac:dyDescent="0.25">
      <c r="A59" s="2"/>
      <c r="B59" s="2"/>
      <c r="C59" s="2"/>
      <c r="D59" s="3"/>
      <c r="E59" s="1"/>
      <c r="I59" s="1"/>
      <c r="K59" s="4">
        <f>Tabelle5225[[#This Row],[value_present]]*Tabelle5225[[#This Row],[binding_level]]</f>
        <v>0</v>
      </c>
    </row>
    <row r="60" spans="1:11" x14ac:dyDescent="0.25">
      <c r="A60" s="2"/>
      <c r="B60" s="2"/>
      <c r="C60" s="2"/>
      <c r="D60" s="3"/>
      <c r="E60" s="1"/>
      <c r="I60" s="1"/>
      <c r="K60" s="4">
        <f>Tabelle5225[[#This Row],[value_present]]*Tabelle5225[[#This Row],[binding_level]]</f>
        <v>0</v>
      </c>
    </row>
    <row r="61" spans="1:11" x14ac:dyDescent="0.25">
      <c r="A61" s="2"/>
      <c r="B61" s="2"/>
      <c r="C61" s="2"/>
      <c r="D61" s="3"/>
      <c r="E61" s="1"/>
      <c r="I61" s="1"/>
      <c r="K61" s="4">
        <f>Tabelle5225[[#This Row],[value_present]]*Tabelle5225[[#This Row],[binding_level]]</f>
        <v>0</v>
      </c>
    </row>
    <row r="62" spans="1:11" x14ac:dyDescent="0.25">
      <c r="A62" s="2"/>
      <c r="B62" s="2"/>
      <c r="C62" s="2"/>
      <c r="D62" s="3"/>
      <c r="E62" s="1"/>
      <c r="I62" s="1"/>
      <c r="K62" s="4">
        <f>Tabelle5225[[#This Row],[value_present]]*Tabelle5225[[#This Row],[binding_level]]</f>
        <v>0</v>
      </c>
    </row>
    <row r="63" spans="1:11" x14ac:dyDescent="0.25">
      <c r="A63" s="2"/>
      <c r="B63" s="2"/>
      <c r="C63" s="2"/>
      <c r="D63" s="3"/>
      <c r="E63" s="1"/>
      <c r="I63" s="1"/>
      <c r="K63" s="4">
        <f>Tabelle5225[[#This Row],[value_present]]*Tabelle5225[[#This Row],[binding_level]]</f>
        <v>0</v>
      </c>
    </row>
    <row r="64" spans="1:11" x14ac:dyDescent="0.25">
      <c r="A64" s="2"/>
      <c r="B64" s="2"/>
      <c r="C64" s="2"/>
      <c r="D64" s="3"/>
      <c r="E64" s="1"/>
      <c r="I64" s="1"/>
      <c r="K64" s="4">
        <f>Tabelle5225[[#This Row],[value_present]]*Tabelle5225[[#This Row],[binding_level]]</f>
        <v>0</v>
      </c>
    </row>
    <row r="65" spans="1:11" x14ac:dyDescent="0.25">
      <c r="A65" s="2"/>
      <c r="B65" s="2"/>
      <c r="C65" s="2"/>
      <c r="D65" s="3"/>
      <c r="E65" s="1"/>
      <c r="I65" s="1"/>
      <c r="K65" s="4">
        <f>Tabelle5225[[#This Row],[value_present]]*Tabelle5225[[#This Row],[binding_level]]</f>
        <v>0</v>
      </c>
    </row>
    <row r="66" spans="1:11" x14ac:dyDescent="0.25">
      <c r="A66" s="2"/>
      <c r="B66" s="2"/>
      <c r="C66" s="2"/>
      <c r="D66" s="3"/>
      <c r="E66" s="1"/>
      <c r="I66" s="1"/>
      <c r="K66" s="4">
        <f>Tabelle5225[[#This Row],[value_present]]*Tabelle5225[[#This Row],[binding_level]]</f>
        <v>0</v>
      </c>
    </row>
    <row r="67" spans="1:11" x14ac:dyDescent="0.25">
      <c r="A67" s="2"/>
      <c r="B67" s="2"/>
      <c r="C67" s="2"/>
      <c r="D67" s="3"/>
      <c r="E67" s="1"/>
      <c r="I67" s="1"/>
      <c r="K67" s="4">
        <f>Tabelle5225[[#This Row],[value_present]]*Tabelle5225[[#This Row],[binding_level]]</f>
        <v>0</v>
      </c>
    </row>
    <row r="68" spans="1:11" x14ac:dyDescent="0.25">
      <c r="A68" s="2"/>
      <c r="B68" s="2"/>
      <c r="C68" s="2"/>
      <c r="D68" s="3"/>
      <c r="E68" s="1"/>
      <c r="I68" s="1"/>
      <c r="K68" s="4">
        <f>Tabelle5225[[#This Row],[value_present]]*Tabelle5225[[#This Row],[binding_level]]</f>
        <v>0</v>
      </c>
    </row>
    <row r="69" spans="1:11" x14ac:dyDescent="0.25">
      <c r="A69" s="2"/>
      <c r="B69" s="2"/>
      <c r="C69" s="2"/>
      <c r="D69" s="3"/>
      <c r="E69" s="1"/>
      <c r="I69" s="1"/>
      <c r="K69" s="4">
        <f>Tabelle5225[[#This Row],[value_present]]*Tabelle5225[[#This Row],[binding_level]]</f>
        <v>0</v>
      </c>
    </row>
    <row r="70" spans="1:11" x14ac:dyDescent="0.25">
      <c r="A70" s="2"/>
      <c r="B70" s="2"/>
      <c r="C70" s="2"/>
      <c r="D70" s="3"/>
      <c r="E70" s="1"/>
      <c r="I70" s="1"/>
      <c r="K70" s="4">
        <f>Tabelle5225[[#This Row],[value_present]]*Tabelle5225[[#This Row],[binding_level]]</f>
        <v>0</v>
      </c>
    </row>
    <row r="71" spans="1:11" x14ac:dyDescent="0.25">
      <c r="A71" s="2"/>
      <c r="B71" s="2"/>
      <c r="C71" s="2"/>
      <c r="D71" s="3"/>
      <c r="E71" s="1"/>
      <c r="I71" s="1"/>
      <c r="K71" s="4">
        <f>Tabelle5225[[#This Row],[value_present]]*Tabelle5225[[#This Row],[binding_level]]</f>
        <v>0</v>
      </c>
    </row>
    <row r="72" spans="1:11" x14ac:dyDescent="0.25">
      <c r="A72" s="2"/>
      <c r="B72" s="2"/>
      <c r="C72" s="2"/>
      <c r="D72" s="3"/>
      <c r="E72" s="1"/>
      <c r="I72" s="1"/>
      <c r="K72" s="4">
        <f>Tabelle5225[[#This Row],[value_present]]*Tabelle5225[[#This Row],[binding_level]]</f>
        <v>0</v>
      </c>
    </row>
    <row r="73" spans="1:11" x14ac:dyDescent="0.25">
      <c r="A73" s="2"/>
      <c r="B73" s="2"/>
      <c r="C73" s="2"/>
      <c r="D73" s="3"/>
      <c r="E73" s="1"/>
      <c r="I73" s="1"/>
      <c r="K73" s="4">
        <f>Tabelle5225[[#This Row],[value_present]]*Tabelle5225[[#This Row],[binding_level]]</f>
        <v>0</v>
      </c>
    </row>
    <row r="74" spans="1:11" x14ac:dyDescent="0.25">
      <c r="A74" s="2"/>
      <c r="B74" s="2"/>
      <c r="C74" s="2"/>
      <c r="D74" s="3"/>
      <c r="E74" s="1"/>
      <c r="I74" s="1"/>
      <c r="K74" s="4">
        <f>Tabelle5225[[#This Row],[value_present]]*Tabelle5225[[#This Row],[binding_level]]</f>
        <v>0</v>
      </c>
    </row>
    <row r="75" spans="1:11" x14ac:dyDescent="0.25">
      <c r="A75" s="2"/>
      <c r="B75" s="2"/>
      <c r="C75" s="2"/>
      <c r="D75" s="3"/>
      <c r="E75" s="1"/>
      <c r="I75" s="1"/>
      <c r="K75" s="4">
        <f>Tabelle5225[[#This Row],[value_present]]*Tabelle5225[[#This Row],[binding_level]]</f>
        <v>0</v>
      </c>
    </row>
    <row r="76" spans="1:11" x14ac:dyDescent="0.25">
      <c r="A76" s="2"/>
      <c r="B76" s="2"/>
      <c r="C76" s="2"/>
      <c r="D76" s="3"/>
      <c r="E76" s="1"/>
      <c r="I76" s="1"/>
      <c r="K76" s="4">
        <f>Tabelle5225[[#This Row],[value_present]]*Tabelle5225[[#This Row],[binding_level]]</f>
        <v>0</v>
      </c>
    </row>
    <row r="77" spans="1:11" x14ac:dyDescent="0.25">
      <c r="A77" s="2"/>
      <c r="B77" s="2"/>
      <c r="C77" s="2"/>
      <c r="D77" s="3"/>
      <c r="E77" s="1"/>
      <c r="I77" s="1"/>
      <c r="K77" s="4">
        <f>Tabelle5225[[#This Row],[value_present]]*Tabelle5225[[#This Row],[binding_level]]</f>
        <v>0</v>
      </c>
    </row>
    <row r="78" spans="1:11" x14ac:dyDescent="0.25">
      <c r="A78" s="2"/>
      <c r="B78" s="2"/>
      <c r="C78" s="2"/>
      <c r="D78" s="3"/>
      <c r="E78" s="1"/>
      <c r="I78" s="1"/>
      <c r="K78" s="4">
        <f>Tabelle5225[[#This Row],[value_present]]*Tabelle5225[[#This Row],[binding_level]]</f>
        <v>0</v>
      </c>
    </row>
    <row r="79" spans="1:11" x14ac:dyDescent="0.25">
      <c r="A79" s="2"/>
      <c r="B79" s="2"/>
      <c r="C79" s="2"/>
      <c r="D79" s="3"/>
      <c r="E79" s="1"/>
      <c r="I79" s="1"/>
      <c r="K79" s="4">
        <f>Tabelle5225[[#This Row],[value_present]]*Tabelle5225[[#This Row],[binding_level]]</f>
        <v>0</v>
      </c>
    </row>
    <row r="80" spans="1:11" x14ac:dyDescent="0.25">
      <c r="A80" s="2"/>
      <c r="B80" s="2"/>
      <c r="C80" s="2"/>
      <c r="D80" s="3"/>
      <c r="E80" s="1"/>
      <c r="I80" s="1"/>
      <c r="K80" s="4">
        <f>Tabelle5225[[#This Row],[value_present]]*Tabelle5225[[#This Row],[binding_level]]</f>
        <v>0</v>
      </c>
    </row>
    <row r="81" spans="1:11" x14ac:dyDescent="0.25">
      <c r="A81" s="2"/>
      <c r="B81" s="2"/>
      <c r="C81" s="2"/>
      <c r="D81" s="3"/>
      <c r="E81" s="1"/>
      <c r="I81" s="1"/>
      <c r="K81" s="4">
        <f>Tabelle5225[[#This Row],[value_present]]*Tabelle5225[[#This Row],[binding_level]]</f>
        <v>0</v>
      </c>
    </row>
    <row r="82" spans="1:11" x14ac:dyDescent="0.25">
      <c r="A82" s="2"/>
      <c r="B82" s="2"/>
      <c r="C82" s="2"/>
      <c r="D82" s="3"/>
      <c r="E82" s="1"/>
      <c r="I82" s="1"/>
      <c r="K82" s="4">
        <f>Tabelle5225[[#This Row],[value_present]]*Tabelle5225[[#This Row],[binding_level]]</f>
        <v>0</v>
      </c>
    </row>
    <row r="83" spans="1:11" x14ac:dyDescent="0.25">
      <c r="A83" s="2"/>
      <c r="B83" s="2"/>
      <c r="C83" s="2"/>
      <c r="D83" s="3"/>
      <c r="E83" s="1"/>
      <c r="I83" s="1"/>
      <c r="K83" s="4">
        <f>Tabelle5225[[#This Row],[value_present]]*Tabelle5225[[#This Row],[binding_level]]</f>
        <v>0</v>
      </c>
    </row>
    <row r="84" spans="1:11" x14ac:dyDescent="0.25">
      <c r="A84" s="2"/>
      <c r="B84" s="2"/>
      <c r="C84" s="2"/>
      <c r="D84" s="3"/>
      <c r="E84" s="1"/>
      <c r="I84" s="1"/>
      <c r="K84" s="4">
        <f>Tabelle5225[[#This Row],[value_present]]*Tabelle5225[[#This Row],[binding_level]]</f>
        <v>0</v>
      </c>
    </row>
    <row r="85" spans="1:11" x14ac:dyDescent="0.25">
      <c r="A85" s="2"/>
      <c r="B85" s="2"/>
      <c r="C85" s="2"/>
      <c r="D85" s="3"/>
      <c r="E85" s="1"/>
      <c r="I85" s="1"/>
      <c r="K85" s="4">
        <f>Tabelle5225[[#This Row],[value_present]]*Tabelle5225[[#This Row],[binding_level]]</f>
        <v>0</v>
      </c>
    </row>
    <row r="86" spans="1:11" x14ac:dyDescent="0.25">
      <c r="A86" s="2"/>
      <c r="B86" s="2"/>
      <c r="C86" s="2"/>
      <c r="D86" s="3"/>
      <c r="E86" s="1"/>
      <c r="I86" s="1"/>
      <c r="K86" s="4">
        <f>Tabelle5225[[#This Row],[value_present]]*Tabelle5225[[#This Row],[binding_level]]</f>
        <v>0</v>
      </c>
    </row>
    <row r="87" spans="1:11" x14ac:dyDescent="0.25">
      <c r="A87" s="2"/>
      <c r="B87" s="2"/>
      <c r="C87" s="2"/>
      <c r="D87" s="3"/>
      <c r="E87" s="1"/>
      <c r="I87" s="1"/>
      <c r="K87" s="4">
        <f>Tabelle5225[[#This Row],[value_present]]*Tabelle5225[[#This Row],[binding_level]]</f>
        <v>0</v>
      </c>
    </row>
    <row r="88" spans="1:11" x14ac:dyDescent="0.25">
      <c r="A88" s="2"/>
      <c r="B88" s="2"/>
      <c r="C88" s="2"/>
      <c r="D88" s="3"/>
      <c r="E88" s="1"/>
      <c r="I88" s="1"/>
      <c r="K88" s="4">
        <f>Tabelle5225[[#This Row],[value_present]]*Tabelle5225[[#This Row],[binding_level]]</f>
        <v>0</v>
      </c>
    </row>
    <row r="89" spans="1:11" x14ac:dyDescent="0.25">
      <c r="A89" s="2"/>
      <c r="B89" s="2"/>
      <c r="C89" s="2"/>
      <c r="D89" s="3"/>
      <c r="E89" s="1"/>
      <c r="I89" s="1"/>
      <c r="K89" s="4">
        <f>Tabelle5225[[#This Row],[value_present]]*Tabelle5225[[#This Row],[binding_level]]</f>
        <v>0</v>
      </c>
    </row>
    <row r="90" spans="1:11" x14ac:dyDescent="0.25">
      <c r="A90" s="2"/>
      <c r="B90" s="2"/>
      <c r="C90" s="2"/>
      <c r="D90" s="3"/>
      <c r="E90" s="1"/>
      <c r="I90" s="1"/>
      <c r="K90" s="4">
        <f>Tabelle5225[[#This Row],[value_present]]*Tabelle5225[[#This Row],[binding_level]]</f>
        <v>0</v>
      </c>
    </row>
    <row r="91" spans="1:11" x14ac:dyDescent="0.25">
      <c r="A91" s="2"/>
      <c r="B91" s="2"/>
      <c r="C91" s="2"/>
      <c r="D91" s="3"/>
      <c r="E91" s="1"/>
      <c r="I91" s="1"/>
      <c r="K91" s="4">
        <f>Tabelle5225[[#This Row],[value_present]]*Tabelle5225[[#This Row],[binding_level]]</f>
        <v>0</v>
      </c>
    </row>
    <row r="92" spans="1:11" x14ac:dyDescent="0.25">
      <c r="A92" s="2"/>
      <c r="B92" s="2"/>
      <c r="C92" s="2"/>
      <c r="D92" s="3"/>
      <c r="E92" s="1"/>
      <c r="I92" s="1"/>
      <c r="K92" s="4">
        <f>Tabelle5225[[#This Row],[value_present]]*Tabelle5225[[#This Row],[binding_level]]</f>
        <v>0</v>
      </c>
    </row>
    <row r="93" spans="1:11" x14ac:dyDescent="0.25">
      <c r="A93" s="2"/>
      <c r="B93" s="2"/>
      <c r="C93" s="2"/>
      <c r="D93" s="3"/>
      <c r="E93" s="1"/>
      <c r="I93" s="1"/>
      <c r="K93" s="4">
        <f>Tabelle5225[[#This Row],[value_present]]*Tabelle5225[[#This Row],[binding_level]]</f>
        <v>0</v>
      </c>
    </row>
    <row r="94" spans="1:11" x14ac:dyDescent="0.25">
      <c r="A94" s="2"/>
      <c r="B94" s="2"/>
      <c r="C94" s="2"/>
      <c r="D94" s="3"/>
      <c r="E94" s="1"/>
      <c r="I94" s="1"/>
      <c r="K94" s="4">
        <f>Tabelle5225[[#This Row],[value_present]]*Tabelle5225[[#This Row],[binding_level]]</f>
        <v>0</v>
      </c>
    </row>
    <row r="95" spans="1:11" x14ac:dyDescent="0.25">
      <c r="A95" s="2"/>
      <c r="B95" s="2"/>
      <c r="C95" s="2"/>
      <c r="D95" s="3"/>
      <c r="E95" s="1"/>
      <c r="I95" s="1"/>
      <c r="K95" s="4">
        <f>Tabelle5225[[#This Row],[value_present]]*Tabelle5225[[#This Row],[binding_level]]</f>
        <v>0</v>
      </c>
    </row>
    <row r="96" spans="1:11" x14ac:dyDescent="0.25">
      <c r="A96" s="2"/>
      <c r="B96" s="2"/>
      <c r="C96" s="2"/>
      <c r="D96" s="3"/>
      <c r="E96" s="1"/>
      <c r="I96" s="1"/>
      <c r="K96" s="4">
        <f>Tabelle5225[[#This Row],[value_present]]*Tabelle5225[[#This Row],[binding_level]]</f>
        <v>0</v>
      </c>
    </row>
    <row r="97" spans="1:11" x14ac:dyDescent="0.25">
      <c r="A97" s="2"/>
      <c r="B97" s="2"/>
      <c r="C97" s="2"/>
      <c r="D97" s="3"/>
      <c r="E97" s="1"/>
      <c r="I97" s="1"/>
      <c r="K97" s="4">
        <f>Tabelle5225[[#This Row],[value_present]]*Tabelle5225[[#This Row],[binding_level]]</f>
        <v>0</v>
      </c>
    </row>
    <row r="98" spans="1:11" x14ac:dyDescent="0.25">
      <c r="A98" s="2"/>
      <c r="B98" s="2"/>
      <c r="C98" s="2"/>
      <c r="D98" s="3"/>
      <c r="E98" s="1"/>
      <c r="I98" s="1"/>
      <c r="K98" s="4">
        <f>Tabelle5225[[#This Row],[value_present]]*Tabelle5225[[#This Row],[binding_level]]</f>
        <v>0</v>
      </c>
    </row>
    <row r="99" spans="1:11" x14ac:dyDescent="0.25">
      <c r="A99" s="2"/>
      <c r="B99" s="2"/>
      <c r="C99" s="2"/>
      <c r="D99" s="3"/>
      <c r="E99" s="1"/>
      <c r="I99" s="1"/>
      <c r="K99" s="4">
        <f>Tabelle5225[[#This Row],[value_present]]*Tabelle5225[[#This Row],[binding_level]]</f>
        <v>0</v>
      </c>
    </row>
    <row r="100" spans="1:11" x14ac:dyDescent="0.25">
      <c r="A100" s="2"/>
      <c r="B100" s="2"/>
      <c r="C100" s="2"/>
      <c r="D100" s="3"/>
      <c r="E100" s="1"/>
      <c r="I100" s="1"/>
      <c r="K100" s="4">
        <f>Tabelle5225[[#This Row],[value_present]]*Tabelle5225[[#This Row],[binding_level]]</f>
        <v>0</v>
      </c>
    </row>
    <row r="101" spans="1:11" x14ac:dyDescent="0.25">
      <c r="A101" s="2"/>
      <c r="B101" s="2"/>
      <c r="C101" s="2"/>
      <c r="D101" s="3"/>
      <c r="E101" s="1"/>
      <c r="I101" s="1"/>
      <c r="K101" s="4">
        <f>Tabelle5225[[#This Row],[value_present]]*Tabelle5225[[#This Row],[binding_level]]</f>
        <v>0</v>
      </c>
    </row>
    <row r="102" spans="1:11" x14ac:dyDescent="0.25">
      <c r="A102" s="2"/>
      <c r="B102" s="2"/>
      <c r="C102" s="2"/>
      <c r="D102" s="3"/>
      <c r="E102" s="1"/>
      <c r="I102" s="1"/>
      <c r="K102" s="4">
        <f>Tabelle5225[[#This Row],[value_present]]*Tabelle5225[[#This Row],[binding_level]]</f>
        <v>0</v>
      </c>
    </row>
    <row r="103" spans="1:11" x14ac:dyDescent="0.25">
      <c r="A103" s="2"/>
      <c r="B103" s="2"/>
      <c r="C103" s="2"/>
      <c r="D103" s="3"/>
      <c r="E103" s="1"/>
      <c r="I103" s="1"/>
      <c r="K103" s="4">
        <f>Tabelle5225[[#This Row],[value_present]]*Tabelle5225[[#This Row],[binding_level]]</f>
        <v>0</v>
      </c>
    </row>
    <row r="104" spans="1:11" x14ac:dyDescent="0.25">
      <c r="A104" s="2"/>
      <c r="B104" s="2"/>
      <c r="C104" s="2"/>
      <c r="D104" s="3"/>
      <c r="E104" s="1"/>
      <c r="I104" s="1"/>
      <c r="K104" s="4">
        <f>Tabelle5225[[#This Row],[value_present]]*Tabelle5225[[#This Row],[binding_level]]</f>
        <v>0</v>
      </c>
    </row>
    <row r="105" spans="1:11" x14ac:dyDescent="0.25">
      <c r="A105" s="2"/>
      <c r="B105" s="2"/>
      <c r="C105" s="2"/>
      <c r="D105" s="3"/>
      <c r="E105" s="1"/>
      <c r="I105" s="1"/>
      <c r="K105" s="4">
        <f>Tabelle5225[[#This Row],[value_present]]*Tabelle5225[[#This Row],[binding_level]]</f>
        <v>0</v>
      </c>
    </row>
    <row r="106" spans="1:11" x14ac:dyDescent="0.25">
      <c r="A106" s="2"/>
      <c r="B106" s="2"/>
      <c r="C106" s="2"/>
      <c r="D106" s="3"/>
      <c r="E106" s="1"/>
      <c r="I106" s="1"/>
      <c r="K106" s="4">
        <f>Tabelle5225[[#This Row],[value_present]]*Tabelle5225[[#This Row],[binding_level]]</f>
        <v>0</v>
      </c>
    </row>
    <row r="107" spans="1:11" x14ac:dyDescent="0.25">
      <c r="A107" s="2"/>
      <c r="B107" s="2"/>
      <c r="C107" s="2"/>
      <c r="D107" s="3"/>
      <c r="E107" s="1"/>
      <c r="I107" s="1"/>
      <c r="K107" s="4">
        <f>Tabelle5225[[#This Row],[value_present]]*Tabelle5225[[#This Row],[binding_level]]</f>
        <v>0</v>
      </c>
    </row>
    <row r="108" spans="1:11" x14ac:dyDescent="0.25">
      <c r="A108" s="2"/>
      <c r="B108" s="2"/>
      <c r="C108" s="2"/>
      <c r="D108" s="3"/>
      <c r="E108" s="1"/>
      <c r="I108" s="1"/>
      <c r="K108" s="4">
        <f>Tabelle5225[[#This Row],[value_present]]*Tabelle5225[[#This Row],[binding_level]]</f>
        <v>0</v>
      </c>
    </row>
    <row r="109" spans="1:11" x14ac:dyDescent="0.25">
      <c r="A109" s="2"/>
      <c r="B109" s="2"/>
      <c r="C109" s="2"/>
      <c r="D109" s="3"/>
      <c r="E109" s="1"/>
      <c r="I109" s="1"/>
      <c r="K109" s="4">
        <f>Tabelle5225[[#This Row],[value_present]]*Tabelle5225[[#This Row],[binding_level]]</f>
        <v>0</v>
      </c>
    </row>
    <row r="110" spans="1:11" x14ac:dyDescent="0.25">
      <c r="A110" s="2"/>
      <c r="B110" s="2"/>
      <c r="C110" s="2"/>
      <c r="D110" s="3"/>
      <c r="E110" s="1"/>
      <c r="I110" s="1"/>
      <c r="K110" s="4">
        <f>Tabelle5225[[#This Row],[value_present]]*Tabelle5225[[#This Row],[binding_level]]</f>
        <v>0</v>
      </c>
    </row>
    <row r="111" spans="1:11" x14ac:dyDescent="0.25">
      <c r="A111" s="2"/>
      <c r="B111" s="2"/>
      <c r="C111" s="2"/>
      <c r="D111" s="3"/>
      <c r="E111" s="1"/>
      <c r="I111" s="1"/>
      <c r="K111" s="4">
        <f>Tabelle5225[[#This Row],[value_present]]*Tabelle5225[[#This Row],[binding_level]]</f>
        <v>0</v>
      </c>
    </row>
    <row r="112" spans="1:11" x14ac:dyDescent="0.25">
      <c r="A112" s="2"/>
      <c r="B112" s="2"/>
      <c r="C112" s="2"/>
      <c r="D112" s="3"/>
      <c r="E112" s="1"/>
      <c r="I112" s="1"/>
      <c r="K112" s="4">
        <f>Tabelle5225[[#This Row],[value_present]]*Tabelle5225[[#This Row],[binding_level]]</f>
        <v>0</v>
      </c>
    </row>
    <row r="113" spans="1:11" x14ac:dyDescent="0.25">
      <c r="A113" s="2"/>
      <c r="B113" s="2"/>
      <c r="C113" s="2"/>
      <c r="D113" s="3"/>
      <c r="E113" s="1"/>
      <c r="I113" s="1"/>
      <c r="K113" s="4">
        <f>Tabelle5225[[#This Row],[value_present]]*Tabelle5225[[#This Row],[binding_level]]</f>
        <v>0</v>
      </c>
    </row>
    <row r="114" spans="1:11" x14ac:dyDescent="0.25">
      <c r="A114" s="2"/>
      <c r="B114" s="2"/>
      <c r="C114" s="2"/>
      <c r="D114" s="3"/>
      <c r="E114" s="1"/>
      <c r="I114" s="1"/>
      <c r="K114" s="4">
        <f>Tabelle5225[[#This Row],[value_present]]*Tabelle5225[[#This Row],[binding_level]]</f>
        <v>0</v>
      </c>
    </row>
    <row r="115" spans="1:11" x14ac:dyDescent="0.25">
      <c r="A115" s="2"/>
      <c r="B115" s="2"/>
      <c r="C115" s="2"/>
      <c r="D115" s="3"/>
      <c r="E115" s="1"/>
      <c r="I115" s="1"/>
      <c r="K115" s="4">
        <f>Tabelle5225[[#This Row],[value_present]]*Tabelle5225[[#This Row],[binding_level]]</f>
        <v>0</v>
      </c>
    </row>
    <row r="116" spans="1:11" x14ac:dyDescent="0.25">
      <c r="A116" s="2"/>
      <c r="B116" s="2"/>
      <c r="C116" s="2"/>
      <c r="D116" s="3"/>
      <c r="E116" s="1"/>
      <c r="I116" s="1"/>
      <c r="K116" s="4">
        <f>Tabelle5225[[#This Row],[value_present]]*Tabelle5225[[#This Row],[binding_level]]</f>
        <v>0</v>
      </c>
    </row>
    <row r="117" spans="1:11" x14ac:dyDescent="0.25">
      <c r="A117" s="2"/>
      <c r="B117" s="2"/>
      <c r="C117" s="2"/>
      <c r="D117" s="3"/>
      <c r="E117" s="1"/>
      <c r="I117" s="1"/>
      <c r="K117" s="4">
        <f>Tabelle5225[[#This Row],[value_present]]*Tabelle5225[[#This Row],[binding_level]]</f>
        <v>0</v>
      </c>
    </row>
    <row r="118" spans="1:11" x14ac:dyDescent="0.25">
      <c r="A118" s="2"/>
      <c r="B118" s="2"/>
      <c r="C118" s="2"/>
      <c r="D118" s="3"/>
      <c r="E118" s="1"/>
      <c r="I118" s="1"/>
      <c r="K118" s="4">
        <f>Tabelle5225[[#This Row],[value_present]]*Tabelle5225[[#This Row],[binding_level]]</f>
        <v>0</v>
      </c>
    </row>
    <row r="119" spans="1:11" x14ac:dyDescent="0.25">
      <c r="A119" s="2"/>
      <c r="B119" s="2"/>
      <c r="C119" s="2"/>
      <c r="D119" s="3"/>
      <c r="E119" s="1"/>
      <c r="I119" s="1"/>
      <c r="K119" s="4">
        <f>Tabelle5225[[#This Row],[value_present]]*Tabelle5225[[#This Row],[binding_level]]</f>
        <v>0</v>
      </c>
    </row>
    <row r="120" spans="1:11" x14ac:dyDescent="0.25">
      <c r="A120" s="2"/>
      <c r="B120" s="2"/>
      <c r="C120" s="2"/>
      <c r="D120" s="3"/>
      <c r="E120" s="1"/>
      <c r="I120" s="1"/>
      <c r="K120" s="4">
        <f>Tabelle5225[[#This Row],[value_present]]*Tabelle5225[[#This Row],[binding_level]]</f>
        <v>0</v>
      </c>
    </row>
    <row r="121" spans="1:11" x14ac:dyDescent="0.25">
      <c r="A121" s="2"/>
      <c r="B121" s="2"/>
      <c r="C121" s="2"/>
      <c r="D121" s="3"/>
      <c r="E121" s="1"/>
      <c r="I121" s="1"/>
      <c r="K121" s="4">
        <f>Tabelle5225[[#This Row],[value_present]]*Tabelle5225[[#This Row],[binding_level]]</f>
        <v>0</v>
      </c>
    </row>
    <row r="122" spans="1:11" x14ac:dyDescent="0.25">
      <c r="A122" s="2"/>
      <c r="B122" s="2"/>
      <c r="C122" s="2"/>
      <c r="D122" s="3"/>
      <c r="E122" s="1"/>
      <c r="I122" s="1"/>
      <c r="K122" s="4">
        <f>Tabelle5225[[#This Row],[value_present]]*Tabelle5225[[#This Row],[binding_level]]</f>
        <v>0</v>
      </c>
    </row>
    <row r="123" spans="1:11" x14ac:dyDescent="0.25">
      <c r="A123" s="2"/>
      <c r="B123" s="2"/>
      <c r="C123" s="2"/>
      <c r="D123" s="3"/>
      <c r="E123" s="1"/>
      <c r="I123" s="1"/>
      <c r="K123" s="4">
        <f>Tabelle5225[[#This Row],[value_present]]*Tabelle5225[[#This Row],[binding_level]]</f>
        <v>0</v>
      </c>
    </row>
    <row r="124" spans="1:11" x14ac:dyDescent="0.25">
      <c r="A124" s="2"/>
      <c r="B124" s="2"/>
      <c r="C124" s="2"/>
      <c r="D124" s="3"/>
      <c r="E124" s="1"/>
      <c r="I124" s="1"/>
      <c r="K124" s="4">
        <f>Tabelle5225[[#This Row],[value_present]]*Tabelle5225[[#This Row],[binding_level]]</f>
        <v>0</v>
      </c>
    </row>
    <row r="125" spans="1:11" x14ac:dyDescent="0.25">
      <c r="A125" s="2"/>
      <c r="B125" s="2"/>
      <c r="C125" s="2"/>
      <c r="D125" s="3"/>
      <c r="E125" s="1"/>
      <c r="I125" s="1"/>
      <c r="K125" s="4">
        <f>Tabelle5225[[#This Row],[value_present]]*Tabelle5225[[#This Row],[binding_level]]</f>
        <v>0</v>
      </c>
    </row>
    <row r="126" spans="1:11" x14ac:dyDescent="0.25">
      <c r="A126" s="2"/>
      <c r="B126" s="2"/>
      <c r="C126" s="2"/>
      <c r="D126" s="3"/>
      <c r="E126" s="1"/>
      <c r="I126" s="1"/>
      <c r="K126" s="4">
        <f>Tabelle5225[[#This Row],[value_present]]*Tabelle5225[[#This Row],[binding_level]]</f>
        <v>0</v>
      </c>
    </row>
    <row r="127" spans="1:11" x14ac:dyDescent="0.25">
      <c r="A127" s="2"/>
      <c r="B127" s="2"/>
      <c r="C127" s="2"/>
      <c r="D127" s="3"/>
      <c r="E127" s="1"/>
      <c r="I127" s="1"/>
      <c r="K127" s="4">
        <f>Tabelle5225[[#This Row],[value_present]]*Tabelle5225[[#This Row],[binding_level]]</f>
        <v>0</v>
      </c>
    </row>
    <row r="128" spans="1:11" x14ac:dyDescent="0.25">
      <c r="A128" s="2"/>
      <c r="B128" s="2"/>
      <c r="C128" s="2"/>
      <c r="D128" s="3"/>
      <c r="E128" s="1"/>
      <c r="I128" s="1"/>
      <c r="K128" s="4">
        <f>Tabelle5225[[#This Row],[value_present]]*Tabelle5225[[#This Row],[binding_level]]</f>
        <v>0</v>
      </c>
    </row>
    <row r="129" spans="1:11" x14ac:dyDescent="0.25">
      <c r="A129" s="2"/>
      <c r="B129" s="2"/>
      <c r="C129" s="2"/>
      <c r="D129" s="3"/>
      <c r="E129" s="1"/>
      <c r="I129" s="1"/>
      <c r="K129" s="4">
        <f>Tabelle5225[[#This Row],[value_present]]*Tabelle5225[[#This Row],[binding_level]]</f>
        <v>0</v>
      </c>
    </row>
    <row r="130" spans="1:11" x14ac:dyDescent="0.25">
      <c r="A130" s="2"/>
      <c r="B130" s="2"/>
      <c r="C130" s="2"/>
      <c r="D130" s="3"/>
      <c r="E130" s="1"/>
      <c r="I130" s="1"/>
      <c r="K130" s="4">
        <f>Tabelle5225[[#This Row],[value_present]]*Tabelle5225[[#This Row],[binding_level]]</f>
        <v>0</v>
      </c>
    </row>
    <row r="131" spans="1:11" x14ac:dyDescent="0.25">
      <c r="A131" s="2"/>
      <c r="B131" s="2"/>
      <c r="C131" s="2"/>
      <c r="D131" s="3"/>
      <c r="E131" s="1"/>
      <c r="I131" s="1"/>
      <c r="K131" s="4">
        <f>Tabelle5225[[#This Row],[value_present]]*Tabelle5225[[#This Row],[binding_level]]</f>
        <v>0</v>
      </c>
    </row>
    <row r="132" spans="1:11" x14ac:dyDescent="0.25">
      <c r="A132" s="2"/>
      <c r="B132" s="2"/>
      <c r="C132" s="2"/>
      <c r="D132" s="3"/>
      <c r="E132" s="1"/>
      <c r="I132" s="1"/>
      <c r="K132" s="4">
        <f>Tabelle5225[[#This Row],[value_present]]*Tabelle5225[[#This Row],[binding_level]]</f>
        <v>0</v>
      </c>
    </row>
    <row r="133" spans="1:11" x14ac:dyDescent="0.25">
      <c r="A133" s="2"/>
      <c r="B133" s="2"/>
      <c r="C133" s="2"/>
      <c r="D133" s="3"/>
      <c r="E133" s="1"/>
      <c r="I133" s="1"/>
      <c r="K133" s="4">
        <f>Tabelle5225[[#This Row],[value_present]]*Tabelle5225[[#This Row],[binding_level]]</f>
        <v>0</v>
      </c>
    </row>
    <row r="134" spans="1:11" x14ac:dyDescent="0.25">
      <c r="A134" s="2"/>
      <c r="B134" s="2"/>
      <c r="C134" s="2"/>
      <c r="D134" s="3"/>
      <c r="E134" s="1"/>
      <c r="I134" s="1"/>
      <c r="K134" s="4">
        <f>Tabelle5225[[#This Row],[value_present]]*Tabelle5225[[#This Row],[binding_level]]</f>
        <v>0</v>
      </c>
    </row>
    <row r="135" spans="1:11" x14ac:dyDescent="0.25">
      <c r="A135" s="2"/>
      <c r="B135" s="2"/>
      <c r="C135" s="2"/>
      <c r="D135" s="3"/>
      <c r="E135" s="1"/>
      <c r="I135" s="1"/>
      <c r="K135" s="4">
        <f>Tabelle5225[[#This Row],[value_present]]*Tabelle5225[[#This Row],[binding_level]]</f>
        <v>0</v>
      </c>
    </row>
    <row r="136" spans="1:11" x14ac:dyDescent="0.25">
      <c r="A136" s="2"/>
      <c r="B136" s="2"/>
      <c r="C136" s="2"/>
      <c r="D136" s="3"/>
      <c r="E136" s="1"/>
      <c r="I136" s="1"/>
      <c r="K136" s="4">
        <f>Tabelle5225[[#This Row],[value_present]]*Tabelle5225[[#This Row],[binding_level]]</f>
        <v>0</v>
      </c>
    </row>
    <row r="137" spans="1:11" x14ac:dyDescent="0.25">
      <c r="A137" s="2"/>
      <c r="B137" s="2"/>
      <c r="C137" s="2"/>
      <c r="D137" s="3"/>
      <c r="E137" s="1"/>
      <c r="I137" s="1"/>
      <c r="K137" s="4">
        <f>Tabelle5225[[#This Row],[value_present]]*Tabelle5225[[#This Row],[binding_level]]</f>
        <v>0</v>
      </c>
    </row>
    <row r="138" spans="1:11" x14ac:dyDescent="0.25">
      <c r="A138" s="2"/>
      <c r="B138" s="2"/>
      <c r="C138" s="2"/>
      <c r="D138" s="3"/>
      <c r="E138" s="1"/>
      <c r="I138" s="1"/>
      <c r="K138" s="4">
        <f>Tabelle5225[[#This Row],[value_present]]*Tabelle5225[[#This Row],[binding_level]]</f>
        <v>0</v>
      </c>
    </row>
    <row r="139" spans="1:11" x14ac:dyDescent="0.25">
      <c r="A139" s="2"/>
      <c r="B139" s="2"/>
      <c r="C139" s="2"/>
      <c r="D139" s="3"/>
      <c r="E139" s="1"/>
      <c r="I139" s="1"/>
      <c r="K139" s="4">
        <f>Tabelle5225[[#This Row],[value_present]]*Tabelle5225[[#This Row],[binding_level]]</f>
        <v>0</v>
      </c>
    </row>
    <row r="140" spans="1:11" x14ac:dyDescent="0.25">
      <c r="A140" s="2"/>
      <c r="B140" s="2"/>
      <c r="C140" s="2"/>
      <c r="D140" s="3"/>
      <c r="E140" s="1"/>
      <c r="I140" s="1"/>
      <c r="K140" s="4">
        <f>Tabelle5225[[#This Row],[value_present]]*Tabelle5225[[#This Row],[binding_level]]</f>
        <v>0</v>
      </c>
    </row>
    <row r="141" spans="1:11" x14ac:dyDescent="0.25">
      <c r="A141" s="2"/>
      <c r="B141" s="2"/>
      <c r="C141" s="2"/>
      <c r="D141" s="3"/>
      <c r="E141" s="1"/>
      <c r="I141" s="1"/>
      <c r="K141" s="4">
        <f>Tabelle5225[[#This Row],[value_present]]*Tabelle5225[[#This Row],[binding_level]]</f>
        <v>0</v>
      </c>
    </row>
    <row r="142" spans="1:11" x14ac:dyDescent="0.25">
      <c r="A142" s="2"/>
      <c r="B142" s="2"/>
      <c r="C142" s="2"/>
      <c r="D142" s="3"/>
      <c r="E142" s="1"/>
      <c r="I142" s="1"/>
      <c r="K142" s="4">
        <f>Tabelle5225[[#This Row],[value_present]]*Tabelle5225[[#This Row],[binding_level]]</f>
        <v>0</v>
      </c>
    </row>
    <row r="143" spans="1:11" x14ac:dyDescent="0.25">
      <c r="A143" s="2"/>
      <c r="B143" s="2"/>
      <c r="C143" s="2"/>
      <c r="D143" s="3"/>
      <c r="E143" s="1"/>
      <c r="I143" s="1"/>
      <c r="K143" s="4">
        <f>Tabelle5225[[#This Row],[value_present]]*Tabelle5225[[#This Row],[binding_level]]</f>
        <v>0</v>
      </c>
    </row>
    <row r="144" spans="1:11" x14ac:dyDescent="0.25">
      <c r="A144" s="2"/>
      <c r="B144" s="2"/>
      <c r="C144" s="2"/>
      <c r="D144" s="3"/>
      <c r="E144" s="1"/>
      <c r="I144" s="1"/>
      <c r="K144" s="4">
        <f>Tabelle5225[[#This Row],[value_present]]*Tabelle5225[[#This Row],[binding_level]]</f>
        <v>0</v>
      </c>
    </row>
    <row r="145" spans="1:11" x14ac:dyDescent="0.25">
      <c r="A145" s="2"/>
      <c r="B145" s="2"/>
      <c r="C145" s="2"/>
      <c r="D145" s="3"/>
      <c r="E145" s="1"/>
      <c r="I145" s="1"/>
      <c r="K145" s="4">
        <f>Tabelle5225[[#This Row],[value_present]]*Tabelle5225[[#This Row],[binding_level]]</f>
        <v>0</v>
      </c>
    </row>
    <row r="146" spans="1:11" x14ac:dyDescent="0.25">
      <c r="A146" s="2"/>
      <c r="B146" s="2"/>
      <c r="C146" s="2"/>
      <c r="D146" s="3"/>
      <c r="E146" s="1"/>
      <c r="I146" s="1"/>
      <c r="K146" s="4">
        <f>Tabelle5225[[#This Row],[value_present]]*Tabelle5225[[#This Row],[binding_level]]</f>
        <v>0</v>
      </c>
    </row>
    <row r="147" spans="1:11" x14ac:dyDescent="0.25">
      <c r="A147" s="2"/>
      <c r="B147" s="2"/>
      <c r="C147" s="2"/>
      <c r="D147" s="3"/>
      <c r="E147" s="1"/>
      <c r="I147" s="1"/>
      <c r="K147" s="4">
        <f>Tabelle5225[[#This Row],[value_present]]*Tabelle5225[[#This Row],[binding_level]]</f>
        <v>0</v>
      </c>
    </row>
    <row r="148" spans="1:11" x14ac:dyDescent="0.25">
      <c r="A148" s="2"/>
      <c r="B148" s="2"/>
      <c r="C148" s="2"/>
      <c r="D148" s="3"/>
      <c r="E148" s="1"/>
      <c r="I148" s="1"/>
      <c r="K148" s="4">
        <f>Tabelle5225[[#This Row],[value_present]]*Tabelle5225[[#This Row],[binding_level]]</f>
        <v>0</v>
      </c>
    </row>
    <row r="149" spans="1:11" x14ac:dyDescent="0.25">
      <c r="A149" s="2"/>
      <c r="B149" s="2"/>
      <c r="C149" s="2"/>
      <c r="D149" s="3"/>
      <c r="E149" s="1"/>
      <c r="I149" s="1"/>
      <c r="K149" s="4">
        <f>Tabelle5225[[#This Row],[value_present]]*Tabelle5225[[#This Row],[binding_level]]</f>
        <v>0</v>
      </c>
    </row>
    <row r="150" spans="1:11" x14ac:dyDescent="0.25">
      <c r="A150" s="2"/>
      <c r="B150" s="2"/>
      <c r="C150" s="2"/>
      <c r="D150" s="3"/>
      <c r="E150" s="1"/>
      <c r="I150" s="1"/>
      <c r="K150" s="4">
        <f>Tabelle5225[[#This Row],[value_present]]*Tabelle5225[[#This Row],[binding_level]]</f>
        <v>0</v>
      </c>
    </row>
    <row r="151" spans="1:11" x14ac:dyDescent="0.25">
      <c r="A151" s="2"/>
      <c r="B151" s="2"/>
      <c r="C151" s="2"/>
      <c r="D151" s="3"/>
      <c r="E151" s="1"/>
      <c r="I151" s="1"/>
      <c r="K151" s="4">
        <f>Tabelle5225[[#This Row],[value_present]]*Tabelle5225[[#This Row],[binding_level]]</f>
        <v>0</v>
      </c>
    </row>
    <row r="152" spans="1:11" x14ac:dyDescent="0.25">
      <c r="A152" s="2"/>
      <c r="B152" s="2"/>
      <c r="C152" s="2"/>
      <c r="D152" s="3"/>
      <c r="E152" s="1"/>
      <c r="I152" s="1"/>
      <c r="K152" s="4">
        <f>Tabelle5225[[#This Row],[value_present]]*Tabelle5225[[#This Row],[binding_level]]</f>
        <v>0</v>
      </c>
    </row>
    <row r="153" spans="1:11" x14ac:dyDescent="0.25">
      <c r="A153" s="2"/>
      <c r="B153" s="2"/>
      <c r="C153" s="2"/>
      <c r="D153" s="3"/>
      <c r="E153" s="1"/>
      <c r="I153" s="1"/>
      <c r="K153" s="4">
        <f>Tabelle5225[[#This Row],[value_present]]*Tabelle5225[[#This Row],[binding_level]]</f>
        <v>0</v>
      </c>
    </row>
    <row r="154" spans="1:11" x14ac:dyDescent="0.25">
      <c r="A154" s="2"/>
      <c r="B154" s="2"/>
      <c r="C154" s="2"/>
      <c r="D154" s="3"/>
      <c r="E154" s="1"/>
      <c r="I154" s="1"/>
      <c r="K154" s="4">
        <f>Tabelle5225[[#This Row],[value_present]]*Tabelle5225[[#This Row],[binding_level]]</f>
        <v>0</v>
      </c>
    </row>
    <row r="155" spans="1:11" x14ac:dyDescent="0.25">
      <c r="A155" s="2"/>
      <c r="B155" s="2"/>
      <c r="C155" s="2"/>
      <c r="D155" s="3"/>
      <c r="E155" s="1"/>
      <c r="I155" s="1"/>
      <c r="K155" s="4">
        <f>Tabelle5225[[#This Row],[value_present]]*Tabelle5225[[#This Row],[binding_level]]</f>
        <v>0</v>
      </c>
    </row>
    <row r="156" spans="1:11" x14ac:dyDescent="0.25">
      <c r="A156" s="2"/>
      <c r="B156" s="2"/>
      <c r="C156" s="2"/>
      <c r="D156" s="3"/>
      <c r="E156" s="1"/>
      <c r="I156" s="1"/>
      <c r="K156" s="4">
        <f>Tabelle5225[[#This Row],[value_present]]*Tabelle5225[[#This Row],[binding_level]]</f>
        <v>0</v>
      </c>
    </row>
    <row r="157" spans="1:11" x14ac:dyDescent="0.25">
      <c r="A157" s="2"/>
      <c r="B157" s="2"/>
      <c r="C157" s="2"/>
      <c r="D157" s="3"/>
      <c r="E157" s="1"/>
      <c r="I157" s="1"/>
      <c r="K157" s="4">
        <f>Tabelle5225[[#This Row],[value_present]]*Tabelle5225[[#This Row],[binding_level]]</f>
        <v>0</v>
      </c>
    </row>
    <row r="158" spans="1:11" x14ac:dyDescent="0.25">
      <c r="A158" s="2"/>
      <c r="B158" s="2"/>
      <c r="C158" s="2"/>
      <c r="D158" s="3"/>
      <c r="E158" s="1"/>
      <c r="I158" s="1"/>
      <c r="K158" s="4">
        <f>Tabelle5225[[#This Row],[value_present]]*Tabelle5225[[#This Row],[binding_level]]</f>
        <v>0</v>
      </c>
    </row>
    <row r="159" spans="1:11" x14ac:dyDescent="0.25">
      <c r="A159" s="2"/>
      <c r="B159" s="2"/>
      <c r="C159" s="2"/>
      <c r="D159" s="3"/>
      <c r="E159" s="1"/>
      <c r="I159" s="1"/>
      <c r="K159" s="4">
        <f>Tabelle5225[[#This Row],[value_present]]*Tabelle5225[[#This Row],[binding_level]]</f>
        <v>0</v>
      </c>
    </row>
    <row r="160" spans="1:11" x14ac:dyDescent="0.25">
      <c r="A160" s="2"/>
      <c r="B160" s="2"/>
      <c r="C160" s="2"/>
      <c r="D160" s="3"/>
      <c r="E160" s="1"/>
      <c r="I160" s="1"/>
      <c r="K160" s="4">
        <f>Tabelle5225[[#This Row],[value_present]]*Tabelle5225[[#This Row],[binding_level]]</f>
        <v>0</v>
      </c>
    </row>
    <row r="161" spans="1:11" x14ac:dyDescent="0.25">
      <c r="A161" s="2"/>
      <c r="B161" s="2"/>
      <c r="C161" s="2"/>
      <c r="D161" s="3"/>
      <c r="E161" s="1"/>
      <c r="I161" s="1"/>
      <c r="K161" s="4">
        <f>Tabelle5225[[#This Row],[value_present]]*Tabelle5225[[#This Row],[binding_level]]</f>
        <v>0</v>
      </c>
    </row>
    <row r="162" spans="1:11" x14ac:dyDescent="0.25">
      <c r="A162" s="2"/>
      <c r="B162" s="2"/>
      <c r="C162" s="2"/>
      <c r="D162" s="3"/>
      <c r="E162" s="1"/>
      <c r="I162" s="1"/>
      <c r="K162" s="4">
        <f>Tabelle5225[[#This Row],[value_present]]*Tabelle5225[[#This Row],[binding_level]]</f>
        <v>0</v>
      </c>
    </row>
    <row r="163" spans="1:11" x14ac:dyDescent="0.25">
      <c r="A163" s="2"/>
      <c r="B163" s="2"/>
      <c r="C163" s="2"/>
      <c r="D163" s="3"/>
      <c r="E163" s="1"/>
      <c r="I163" s="1"/>
      <c r="K163" s="4">
        <f>Tabelle5225[[#This Row],[value_present]]*Tabelle5225[[#This Row],[binding_level]]</f>
        <v>0</v>
      </c>
    </row>
    <row r="164" spans="1:11" x14ac:dyDescent="0.25">
      <c r="A164" s="2"/>
      <c r="B164" s="2"/>
      <c r="C164" s="2"/>
      <c r="D164" s="3"/>
      <c r="E164" s="1"/>
      <c r="I164" s="1"/>
      <c r="K164" s="4">
        <f>Tabelle5225[[#This Row],[value_present]]*Tabelle5225[[#This Row],[binding_level]]</f>
        <v>0</v>
      </c>
    </row>
    <row r="165" spans="1:11" x14ac:dyDescent="0.25">
      <c r="A165" s="2"/>
      <c r="B165" s="2"/>
      <c r="C165" s="2"/>
      <c r="D165" s="3"/>
      <c r="E165" s="1"/>
      <c r="I165" s="1"/>
      <c r="K165" s="4">
        <f>Tabelle5225[[#This Row],[value_present]]*Tabelle5225[[#This Row],[binding_level]]</f>
        <v>0</v>
      </c>
    </row>
    <row r="166" spans="1:11" x14ac:dyDescent="0.25">
      <c r="A166" s="2"/>
      <c r="B166" s="2"/>
      <c r="C166" s="2"/>
      <c r="D166" s="3"/>
      <c r="E166" s="1"/>
      <c r="I166" s="1"/>
      <c r="K166" s="4">
        <f>Tabelle5225[[#This Row],[value_present]]*Tabelle5225[[#This Row],[binding_level]]</f>
        <v>0</v>
      </c>
    </row>
    <row r="167" spans="1:11" x14ac:dyDescent="0.25">
      <c r="A167" s="2"/>
      <c r="B167" s="2"/>
      <c r="C167" s="2"/>
      <c r="D167" s="3"/>
      <c r="E167" s="1"/>
      <c r="I167" s="1"/>
      <c r="K167" s="4">
        <f>Tabelle5225[[#This Row],[value_present]]*Tabelle5225[[#This Row],[binding_level]]</f>
        <v>0</v>
      </c>
    </row>
    <row r="168" spans="1:11" x14ac:dyDescent="0.25">
      <c r="A168" s="2"/>
      <c r="B168" s="2"/>
      <c r="C168" s="2"/>
      <c r="D168" s="3"/>
      <c r="E168" s="1"/>
      <c r="I168" s="1"/>
      <c r="K168" s="4">
        <f>Tabelle5225[[#This Row],[value_present]]*Tabelle5225[[#This Row],[binding_level]]</f>
        <v>0</v>
      </c>
    </row>
    <row r="169" spans="1:11" x14ac:dyDescent="0.25">
      <c r="A169" s="2"/>
      <c r="B169" s="2"/>
      <c r="C169" s="2"/>
      <c r="D169" s="3"/>
      <c r="E169" s="1"/>
      <c r="I169" s="1"/>
      <c r="K169" s="4">
        <f>Tabelle5225[[#This Row],[value_present]]*Tabelle5225[[#This Row],[binding_level]]</f>
        <v>0</v>
      </c>
    </row>
    <row r="170" spans="1:11" x14ac:dyDescent="0.25">
      <c r="A170" s="2"/>
      <c r="B170" s="2"/>
      <c r="C170" s="2"/>
      <c r="D170" s="3"/>
      <c r="E170" s="1"/>
      <c r="I170" s="1"/>
      <c r="K170" s="4">
        <f>Tabelle5225[[#This Row],[value_present]]*Tabelle5225[[#This Row],[binding_level]]</f>
        <v>0</v>
      </c>
    </row>
    <row r="171" spans="1:11" x14ac:dyDescent="0.25">
      <c r="A171" s="2"/>
      <c r="B171" s="2"/>
      <c r="C171" s="2"/>
      <c r="D171" s="3"/>
      <c r="E171" s="1"/>
      <c r="I171" s="1"/>
      <c r="K171" s="4">
        <f>Tabelle5225[[#This Row],[value_present]]*Tabelle5225[[#This Row],[binding_level]]</f>
        <v>0</v>
      </c>
    </row>
    <row r="172" spans="1:11" x14ac:dyDescent="0.25">
      <c r="A172" s="2"/>
      <c r="B172" s="2"/>
      <c r="C172" s="2"/>
      <c r="D172" s="3"/>
      <c r="E172" s="1"/>
      <c r="I172" s="1"/>
      <c r="K172" s="4">
        <f>Tabelle5225[[#This Row],[value_present]]*Tabelle5225[[#This Row],[binding_level]]</f>
        <v>0</v>
      </c>
    </row>
    <row r="173" spans="1:11" x14ac:dyDescent="0.25">
      <c r="A173" s="2"/>
      <c r="B173" s="2"/>
      <c r="C173" s="2"/>
      <c r="D173" s="3"/>
      <c r="E173" s="1"/>
      <c r="I173" s="1"/>
      <c r="K173" s="4">
        <f>Tabelle5225[[#This Row],[value_present]]*Tabelle5225[[#This Row],[binding_level]]</f>
        <v>0</v>
      </c>
    </row>
    <row r="174" spans="1:11" x14ac:dyDescent="0.25">
      <c r="A174" s="2"/>
      <c r="B174" s="2"/>
      <c r="C174" s="2"/>
      <c r="D174" s="3"/>
      <c r="E174" s="1"/>
      <c r="I174" s="1"/>
      <c r="K174" s="4">
        <f>Tabelle5225[[#This Row],[value_present]]*Tabelle5225[[#This Row],[binding_level]]</f>
        <v>0</v>
      </c>
    </row>
    <row r="175" spans="1:11" x14ac:dyDescent="0.25">
      <c r="A175" s="2"/>
      <c r="B175" s="2"/>
      <c r="C175" s="2"/>
      <c r="D175" s="3"/>
      <c r="E175" s="1"/>
      <c r="I175" s="1"/>
      <c r="K175" s="4">
        <f>Tabelle5225[[#This Row],[value_present]]*Tabelle5225[[#This Row],[binding_level]]</f>
        <v>0</v>
      </c>
    </row>
    <row r="176" spans="1:11" x14ac:dyDescent="0.25">
      <c r="A176" s="2"/>
      <c r="B176" s="2"/>
      <c r="C176" s="2"/>
      <c r="D176" s="3"/>
      <c r="E176" s="1"/>
      <c r="I176" s="1"/>
      <c r="K176" s="4">
        <f>Tabelle5225[[#This Row],[value_present]]*Tabelle5225[[#This Row],[binding_level]]</f>
        <v>0</v>
      </c>
    </row>
    <row r="177" spans="1:11" x14ac:dyDescent="0.25">
      <c r="A177" s="2"/>
      <c r="B177" s="2"/>
      <c r="C177" s="2"/>
      <c r="D177" s="3"/>
      <c r="E177" s="1"/>
      <c r="I177" s="1"/>
      <c r="K177" s="4">
        <f>Tabelle5225[[#This Row],[value_present]]*Tabelle5225[[#This Row],[binding_level]]</f>
        <v>0</v>
      </c>
    </row>
    <row r="178" spans="1:11" x14ac:dyDescent="0.25">
      <c r="A178" s="2"/>
      <c r="B178" s="2"/>
      <c r="C178" s="2"/>
      <c r="D178" s="3"/>
      <c r="E178" s="1"/>
      <c r="I178" s="1"/>
      <c r="K178" s="4">
        <f>Tabelle5225[[#This Row],[value_present]]*Tabelle5225[[#This Row],[binding_level]]</f>
        <v>0</v>
      </c>
    </row>
    <row r="179" spans="1:11" x14ac:dyDescent="0.25">
      <c r="A179" s="2"/>
      <c r="B179" s="2"/>
      <c r="C179" s="2"/>
      <c r="D179" s="3"/>
      <c r="E179" s="1"/>
      <c r="I179" s="1"/>
      <c r="K179" s="4">
        <f>Tabelle5225[[#This Row],[value_present]]*Tabelle5225[[#This Row],[binding_level]]</f>
        <v>0</v>
      </c>
    </row>
    <row r="180" spans="1:11" x14ac:dyDescent="0.25">
      <c r="A180" s="2"/>
      <c r="B180" s="2"/>
      <c r="C180" s="2"/>
      <c r="D180" s="3"/>
      <c r="E180" s="1"/>
      <c r="I180" s="1"/>
      <c r="K180" s="4">
        <f>Tabelle5225[[#This Row],[value_present]]*Tabelle5225[[#This Row],[binding_level]]</f>
        <v>0</v>
      </c>
    </row>
    <row r="181" spans="1:11" x14ac:dyDescent="0.25">
      <c r="A181" s="2"/>
      <c r="B181" s="2"/>
      <c r="C181" s="2"/>
      <c r="D181" s="3"/>
      <c r="E181" s="1"/>
      <c r="I181" s="1"/>
      <c r="K181" s="4">
        <f>Tabelle5225[[#This Row],[value_present]]*Tabelle5225[[#This Row],[binding_level]]</f>
        <v>0</v>
      </c>
    </row>
    <row r="182" spans="1:11" x14ac:dyDescent="0.25">
      <c r="A182" s="2"/>
      <c r="B182" s="2"/>
      <c r="C182" s="2"/>
      <c r="D182" s="3"/>
      <c r="E182" s="1"/>
      <c r="I182" s="1"/>
      <c r="K182" s="4">
        <f>Tabelle5225[[#This Row],[value_present]]*Tabelle5225[[#This Row],[binding_level]]</f>
        <v>0</v>
      </c>
    </row>
    <row r="183" spans="1:11" x14ac:dyDescent="0.25">
      <c r="A183" s="2"/>
      <c r="B183" s="2"/>
      <c r="C183" s="2"/>
      <c r="D183" s="3"/>
      <c r="E183" s="1"/>
      <c r="I183" s="1"/>
      <c r="K183" s="4">
        <f>Tabelle5225[[#This Row],[value_present]]*Tabelle5225[[#This Row],[binding_level]]</f>
        <v>0</v>
      </c>
    </row>
    <row r="184" spans="1:11" x14ac:dyDescent="0.25">
      <c r="A184" s="2"/>
      <c r="B184" s="2"/>
      <c r="C184" s="2"/>
      <c r="D184" s="3"/>
      <c r="E184" s="1"/>
      <c r="I184" s="1"/>
      <c r="K184" s="4">
        <f>Tabelle5225[[#This Row],[value_present]]*Tabelle5225[[#This Row],[binding_level]]</f>
        <v>0</v>
      </c>
    </row>
    <row r="185" spans="1:11" x14ac:dyDescent="0.25">
      <c r="A185" s="2"/>
      <c r="B185" s="2"/>
      <c r="C185" s="2"/>
      <c r="D185" s="3"/>
      <c r="E185" s="1"/>
      <c r="I185" s="1"/>
      <c r="K185" s="4">
        <f>Tabelle5225[[#This Row],[value_present]]*Tabelle5225[[#This Row],[binding_level]]</f>
        <v>0</v>
      </c>
    </row>
    <row r="186" spans="1:11" x14ac:dyDescent="0.25">
      <c r="A186" s="2"/>
      <c r="B186" s="2"/>
      <c r="C186" s="2"/>
      <c r="D186" s="3"/>
      <c r="E186" s="1"/>
      <c r="I186" s="1"/>
      <c r="K186" s="4">
        <f>Tabelle5225[[#This Row],[value_present]]*Tabelle5225[[#This Row],[binding_level]]</f>
        <v>0</v>
      </c>
    </row>
    <row r="187" spans="1:11" x14ac:dyDescent="0.25">
      <c r="A187" s="2"/>
      <c r="B187" s="2"/>
      <c r="C187" s="2"/>
      <c r="D187" s="3"/>
      <c r="E187" s="1"/>
      <c r="I187" s="1"/>
      <c r="K187" s="4">
        <f>Tabelle5225[[#This Row],[value_present]]*Tabelle5225[[#This Row],[binding_level]]</f>
        <v>0</v>
      </c>
    </row>
    <row r="188" spans="1:11" x14ac:dyDescent="0.25">
      <c r="A188" s="2"/>
      <c r="B188" s="2"/>
      <c r="C188" s="2"/>
      <c r="D188" s="3"/>
      <c r="E188" s="1"/>
      <c r="I188" s="1"/>
      <c r="K188" s="4">
        <f>Tabelle5225[[#This Row],[value_present]]*Tabelle5225[[#This Row],[binding_level]]</f>
        <v>0</v>
      </c>
    </row>
    <row r="189" spans="1:11" x14ac:dyDescent="0.25">
      <c r="A189" s="2"/>
      <c r="B189" s="2"/>
      <c r="C189" s="2"/>
      <c r="D189" s="3"/>
      <c r="E189" s="1"/>
      <c r="I189" s="1"/>
      <c r="K189" s="4">
        <f>Tabelle5225[[#This Row],[value_present]]*Tabelle5225[[#This Row],[binding_level]]</f>
        <v>0</v>
      </c>
    </row>
    <row r="190" spans="1:11" x14ac:dyDescent="0.25">
      <c r="A190" s="2"/>
      <c r="B190" s="2"/>
      <c r="C190" s="2"/>
      <c r="D190" s="3"/>
      <c r="E190" s="1"/>
      <c r="I190" s="1"/>
      <c r="K190" s="4">
        <f>Tabelle5225[[#This Row],[value_present]]*Tabelle5225[[#This Row],[binding_level]]</f>
        <v>0</v>
      </c>
    </row>
    <row r="191" spans="1:11" x14ac:dyDescent="0.25">
      <c r="A191" s="2"/>
      <c r="B191" s="2"/>
      <c r="C191" s="2"/>
      <c r="D191" s="3"/>
      <c r="E191" s="1"/>
      <c r="I191" s="1"/>
      <c r="K191" s="4">
        <f>Tabelle5225[[#This Row],[value_present]]*Tabelle5225[[#This Row],[binding_level]]</f>
        <v>0</v>
      </c>
    </row>
    <row r="192" spans="1:11" x14ac:dyDescent="0.25">
      <c r="A192" s="2"/>
      <c r="B192" s="2"/>
      <c r="C192" s="2"/>
      <c r="D192" s="3"/>
      <c r="E192" s="1"/>
      <c r="I192" s="1"/>
      <c r="K192" s="4">
        <f>Tabelle5225[[#This Row],[value_present]]*Tabelle5225[[#This Row],[binding_level]]</f>
        <v>0</v>
      </c>
    </row>
    <row r="193" spans="1:11" x14ac:dyDescent="0.25">
      <c r="A193" s="2"/>
      <c r="B193" s="2"/>
      <c r="C193" s="2"/>
      <c r="D193" s="3"/>
      <c r="E193" s="1"/>
      <c r="I193" s="1"/>
      <c r="K193" s="4">
        <f>Tabelle5225[[#This Row],[value_present]]*Tabelle5225[[#This Row],[binding_level]]</f>
        <v>0</v>
      </c>
    </row>
    <row r="194" spans="1:11" x14ac:dyDescent="0.25">
      <c r="A194" s="2"/>
      <c r="B194" s="2"/>
      <c r="C194" s="2"/>
      <c r="D194" s="3"/>
      <c r="E194" s="1"/>
      <c r="I194" s="1"/>
      <c r="K194" s="4">
        <f>Tabelle5225[[#This Row],[value_present]]*Tabelle5225[[#This Row],[binding_level]]</f>
        <v>0</v>
      </c>
    </row>
    <row r="195" spans="1:11" x14ac:dyDescent="0.25">
      <c r="A195" s="2"/>
      <c r="B195" s="2"/>
      <c r="C195" s="2"/>
      <c r="D195" s="3"/>
      <c r="E195" s="1"/>
      <c r="I195" s="1"/>
      <c r="K195" s="4">
        <f>Tabelle5225[[#This Row],[value_present]]*Tabelle5225[[#This Row],[binding_level]]</f>
        <v>0</v>
      </c>
    </row>
    <row r="196" spans="1:11" x14ac:dyDescent="0.25">
      <c r="A196" s="2"/>
      <c r="B196" s="2"/>
      <c r="C196" s="2"/>
      <c r="D196" s="3"/>
      <c r="E196" s="1"/>
      <c r="I196" s="1"/>
      <c r="K196" s="4">
        <f>Tabelle5225[[#This Row],[value_present]]*Tabelle5225[[#This Row],[binding_level]]</f>
        <v>0</v>
      </c>
    </row>
    <row r="197" spans="1:11" x14ac:dyDescent="0.25">
      <c r="A197" s="2"/>
      <c r="B197" s="2"/>
      <c r="C197" s="2"/>
      <c r="D197" s="3"/>
      <c r="E197" s="1"/>
      <c r="I197" s="1"/>
      <c r="K197" s="4">
        <f>Tabelle5225[[#This Row],[value_present]]*Tabelle5225[[#This Row],[binding_level]]</f>
        <v>0</v>
      </c>
    </row>
    <row r="198" spans="1:11" x14ac:dyDescent="0.25">
      <c r="A198" s="2"/>
      <c r="B198" s="2"/>
      <c r="C198" s="2"/>
      <c r="D198" s="3"/>
      <c r="E198" s="1"/>
      <c r="I198" s="1"/>
      <c r="K198" s="4">
        <f>Tabelle5225[[#This Row],[value_present]]*Tabelle5225[[#This Row],[binding_level]]</f>
        <v>0</v>
      </c>
    </row>
    <row r="199" spans="1:11" x14ac:dyDescent="0.25">
      <c r="A199" s="2"/>
      <c r="B199" s="2"/>
      <c r="C199" s="2"/>
      <c r="D199" s="3"/>
      <c r="E199" s="1"/>
      <c r="I199" s="1"/>
      <c r="K199" s="4">
        <f>Tabelle5225[[#This Row],[value_present]]*Tabelle5225[[#This Row],[binding_level]]</f>
        <v>0</v>
      </c>
    </row>
    <row r="200" spans="1:11" x14ac:dyDescent="0.25">
      <c r="A200" s="2"/>
      <c r="B200" s="2"/>
      <c r="C200" s="2"/>
      <c r="D200" s="3"/>
      <c r="E200" s="1"/>
      <c r="I200" s="1"/>
      <c r="K200" s="4">
        <f>Tabelle5225[[#This Row],[value_present]]*Tabelle5225[[#This Row],[binding_level]]</f>
        <v>0</v>
      </c>
    </row>
    <row r="201" spans="1:11" x14ac:dyDescent="0.25">
      <c r="A201" s="2"/>
      <c r="B201" s="2"/>
      <c r="C201" s="2"/>
      <c r="D201" s="3"/>
      <c r="E201" s="1"/>
      <c r="I201" s="1"/>
      <c r="K201" s="4">
        <f>Tabelle5225[[#This Row],[value_present]]*Tabelle5225[[#This Row],[binding_level]]</f>
        <v>0</v>
      </c>
    </row>
    <row r="202" spans="1:11" x14ac:dyDescent="0.25">
      <c r="A202" s="2"/>
      <c r="B202" s="2"/>
      <c r="C202" s="2"/>
      <c r="D202" s="3"/>
      <c r="E202" s="1"/>
      <c r="I202" s="1"/>
      <c r="K202" s="4">
        <f>Tabelle5225[[#This Row],[value_present]]*Tabelle5225[[#This Row],[binding_level]]</f>
        <v>0</v>
      </c>
    </row>
    <row r="203" spans="1:11" x14ac:dyDescent="0.25">
      <c r="A203" s="2"/>
      <c r="B203" s="2"/>
      <c r="C203" s="2"/>
      <c r="D203" s="3"/>
      <c r="E203" s="1"/>
      <c r="I203" s="1"/>
      <c r="K203" s="4">
        <f>Tabelle5225[[#This Row],[value_present]]*Tabelle5225[[#This Row],[binding_level]]</f>
        <v>0</v>
      </c>
    </row>
    <row r="204" spans="1:11" x14ac:dyDescent="0.25">
      <c r="A204" s="2"/>
      <c r="B204" s="2"/>
      <c r="C204" s="2"/>
      <c r="D204" s="3"/>
      <c r="E204" s="1"/>
      <c r="I204" s="1"/>
      <c r="K204" s="4">
        <f>Tabelle5225[[#This Row],[value_present]]*Tabelle5225[[#This Row],[binding_level]]</f>
        <v>0</v>
      </c>
    </row>
    <row r="205" spans="1:11" x14ac:dyDescent="0.25">
      <c r="A205" s="2"/>
      <c r="B205" s="2"/>
      <c r="C205" s="2"/>
      <c r="D205" s="3"/>
      <c r="E205" s="1"/>
      <c r="I205" s="1"/>
      <c r="K205" s="4">
        <f>Tabelle5225[[#This Row],[value_present]]*Tabelle5225[[#This Row],[binding_level]]</f>
        <v>0</v>
      </c>
    </row>
    <row r="206" spans="1:11" x14ac:dyDescent="0.25">
      <c r="A206" s="2"/>
      <c r="B206" s="2"/>
      <c r="C206" s="2"/>
      <c r="D206" s="3"/>
      <c r="E206" s="1"/>
      <c r="I206" s="1"/>
      <c r="K206" s="4">
        <f>Tabelle5225[[#This Row],[value_present]]*Tabelle5225[[#This Row],[binding_level]]</f>
        <v>0</v>
      </c>
    </row>
    <row r="207" spans="1:11" x14ac:dyDescent="0.25">
      <c r="A207" s="2"/>
      <c r="B207" s="2"/>
      <c r="C207" s="2"/>
      <c r="D207" s="3"/>
      <c r="E207" s="1"/>
      <c r="I207" s="1"/>
      <c r="K207" s="4">
        <f>Tabelle5225[[#This Row],[value_present]]*Tabelle5225[[#This Row],[binding_level]]</f>
        <v>0</v>
      </c>
    </row>
    <row r="208" spans="1:11" x14ac:dyDescent="0.25">
      <c r="A208" s="2"/>
      <c r="B208" s="2"/>
      <c r="C208" s="2"/>
      <c r="D208" s="3"/>
      <c r="E208" s="1"/>
      <c r="I208" s="1"/>
      <c r="K208" s="4">
        <f>Tabelle5225[[#This Row],[value_present]]*Tabelle5225[[#This Row],[binding_level]]</f>
        <v>0</v>
      </c>
    </row>
    <row r="209" spans="1:11" x14ac:dyDescent="0.25">
      <c r="A209" s="2"/>
      <c r="B209" s="2"/>
      <c r="C209" s="2"/>
      <c r="D209" s="3"/>
      <c r="E209" s="1"/>
      <c r="I209" s="1"/>
      <c r="K209" s="4">
        <f>Tabelle5225[[#This Row],[value_present]]*Tabelle5225[[#This Row],[binding_level]]</f>
        <v>0</v>
      </c>
    </row>
    <row r="210" spans="1:11" x14ac:dyDescent="0.25">
      <c r="A210" s="2"/>
      <c r="B210" s="2"/>
      <c r="C210" s="2"/>
      <c r="D210" s="3"/>
      <c r="E210" s="1"/>
      <c r="I210" s="1"/>
      <c r="K210" s="4">
        <f>Tabelle5225[[#This Row],[value_present]]*Tabelle5225[[#This Row],[binding_level]]</f>
        <v>0</v>
      </c>
    </row>
    <row r="211" spans="1:11" x14ac:dyDescent="0.25">
      <c r="A211" s="2"/>
      <c r="B211" s="2"/>
      <c r="C211" s="2"/>
      <c r="D211" s="3"/>
      <c r="E211" s="1"/>
      <c r="I211" s="1"/>
      <c r="K211" s="4">
        <f>Tabelle5225[[#This Row],[value_present]]*Tabelle5225[[#This Row],[binding_level]]</f>
        <v>0</v>
      </c>
    </row>
    <row r="212" spans="1:11" x14ac:dyDescent="0.25">
      <c r="A212" s="2"/>
      <c r="B212" s="2"/>
      <c r="C212" s="2"/>
      <c r="D212" s="3"/>
      <c r="E212" s="1"/>
      <c r="I212" s="1"/>
      <c r="K212" s="4">
        <f>Tabelle5225[[#This Row],[value_present]]*Tabelle5225[[#This Row],[binding_level]]</f>
        <v>0</v>
      </c>
    </row>
    <row r="213" spans="1:11" x14ac:dyDescent="0.25">
      <c r="A213" s="2"/>
      <c r="B213" s="2"/>
      <c r="C213" s="2"/>
      <c r="D213" s="3"/>
      <c r="E213" s="1"/>
      <c r="I213" s="1"/>
      <c r="K213" s="4">
        <f>Tabelle5225[[#This Row],[value_present]]*Tabelle5225[[#This Row],[binding_level]]</f>
        <v>0</v>
      </c>
    </row>
    <row r="214" spans="1:11" x14ac:dyDescent="0.25">
      <c r="A214" s="2"/>
      <c r="B214" s="2"/>
      <c r="C214" s="2"/>
      <c r="D214" s="3"/>
      <c r="E214" s="1"/>
      <c r="I214" s="1"/>
      <c r="K214" s="4">
        <f>Tabelle5225[[#This Row],[value_present]]*Tabelle5225[[#This Row],[binding_level]]</f>
        <v>0</v>
      </c>
    </row>
    <row r="215" spans="1:11" x14ac:dyDescent="0.25">
      <c r="A215" s="2"/>
      <c r="B215" s="2"/>
      <c r="C215" s="2"/>
      <c r="D215" s="3"/>
      <c r="E215" s="1"/>
      <c r="I215" s="1"/>
      <c r="K215" s="4">
        <f>Tabelle5225[[#This Row],[value_present]]*Tabelle5225[[#This Row],[binding_level]]</f>
        <v>0</v>
      </c>
    </row>
    <row r="216" spans="1:11" x14ac:dyDescent="0.25">
      <c r="A216" s="2"/>
      <c r="B216" s="2"/>
      <c r="C216" s="2"/>
      <c r="D216" s="3"/>
      <c r="E216" s="1"/>
      <c r="I216" s="1"/>
      <c r="K216" s="4">
        <f>Tabelle5225[[#This Row],[value_present]]*Tabelle5225[[#This Row],[binding_level]]</f>
        <v>0</v>
      </c>
    </row>
    <row r="217" spans="1:11" x14ac:dyDescent="0.25">
      <c r="A217" s="2"/>
      <c r="B217" s="2"/>
      <c r="C217" s="2"/>
      <c r="D217" s="3"/>
      <c r="E217" s="1"/>
      <c r="I217" s="1"/>
      <c r="K217" s="4">
        <f>Tabelle5225[[#This Row],[value_present]]*Tabelle5225[[#This Row],[binding_level]]</f>
        <v>0</v>
      </c>
    </row>
    <row r="218" spans="1:11" x14ac:dyDescent="0.25">
      <c r="A218" s="2"/>
      <c r="B218" s="2"/>
      <c r="C218" s="2"/>
      <c r="D218" s="3"/>
      <c r="E218" s="1"/>
      <c r="I218" s="1"/>
      <c r="K218" s="4">
        <f>Tabelle5225[[#This Row],[value_present]]*Tabelle5225[[#This Row],[binding_level]]</f>
        <v>0</v>
      </c>
    </row>
    <row r="219" spans="1:11" x14ac:dyDescent="0.25">
      <c r="A219" s="2"/>
      <c r="B219" s="2"/>
      <c r="C219" s="2"/>
      <c r="D219" s="3"/>
      <c r="E219" s="1"/>
      <c r="I219" s="1"/>
      <c r="K219" s="4">
        <f>Tabelle5225[[#This Row],[value_present]]*Tabelle5225[[#This Row],[binding_level]]</f>
        <v>0</v>
      </c>
    </row>
    <row r="220" spans="1:11" x14ac:dyDescent="0.25">
      <c r="A220" s="2"/>
      <c r="B220" s="2"/>
      <c r="C220" s="2"/>
      <c r="D220" s="3"/>
      <c r="E220" s="1"/>
      <c r="I220" s="1"/>
      <c r="K220" s="4">
        <f>Tabelle5225[[#This Row],[value_present]]*Tabelle5225[[#This Row],[binding_level]]</f>
        <v>0</v>
      </c>
    </row>
    <row r="221" spans="1:11" x14ac:dyDescent="0.25">
      <c r="A221" s="2"/>
      <c r="B221" s="2"/>
      <c r="C221" s="2"/>
      <c r="D221" s="3"/>
      <c r="E221" s="1"/>
      <c r="I221" s="1"/>
      <c r="K221" s="4">
        <f>Tabelle5225[[#This Row],[value_present]]*Tabelle5225[[#This Row],[binding_level]]</f>
        <v>0</v>
      </c>
    </row>
    <row r="222" spans="1:11" x14ac:dyDescent="0.25">
      <c r="A222" s="2"/>
      <c r="B222" s="2"/>
      <c r="C222" s="2"/>
      <c r="D222" s="3"/>
      <c r="E222" s="1"/>
      <c r="I222" s="1"/>
      <c r="K222" s="4">
        <f>Tabelle5225[[#This Row],[value_present]]*Tabelle5225[[#This Row],[binding_level]]</f>
        <v>0</v>
      </c>
    </row>
    <row r="223" spans="1:11" x14ac:dyDescent="0.25">
      <c r="A223" s="2"/>
      <c r="B223" s="2"/>
      <c r="C223" s="2"/>
      <c r="D223" s="3"/>
      <c r="E223" s="1"/>
      <c r="I223" s="1"/>
      <c r="K223" s="4">
        <f>Tabelle5225[[#This Row],[value_present]]*Tabelle5225[[#This Row],[binding_level]]</f>
        <v>0</v>
      </c>
    </row>
    <row r="224" spans="1:11" x14ac:dyDescent="0.25">
      <c r="A224" s="2"/>
      <c r="B224" s="2"/>
      <c r="C224" s="2"/>
      <c r="D224" s="3"/>
      <c r="E224" s="1"/>
      <c r="I224" s="1"/>
      <c r="K224" s="4">
        <f>Tabelle5225[[#This Row],[value_present]]*Tabelle5225[[#This Row],[binding_level]]</f>
        <v>0</v>
      </c>
    </row>
    <row r="225" spans="1:11" x14ac:dyDescent="0.25">
      <c r="A225" s="2"/>
      <c r="B225" s="2"/>
      <c r="C225" s="2"/>
      <c r="D225" s="3"/>
      <c r="E225" s="1"/>
      <c r="I225" s="1"/>
      <c r="K225" s="4">
        <f>Tabelle5225[[#This Row],[value_present]]*Tabelle5225[[#This Row],[binding_level]]</f>
        <v>0</v>
      </c>
    </row>
    <row r="226" spans="1:11" x14ac:dyDescent="0.25">
      <c r="A226" s="2"/>
      <c r="B226" s="2"/>
      <c r="C226" s="2"/>
      <c r="D226" s="3"/>
      <c r="E226" s="1"/>
      <c r="I226" s="1"/>
      <c r="K226" s="4">
        <f>Tabelle5225[[#This Row],[value_present]]*Tabelle5225[[#This Row],[binding_level]]</f>
        <v>0</v>
      </c>
    </row>
    <row r="227" spans="1:11" x14ac:dyDescent="0.25">
      <c r="A227" s="2"/>
      <c r="B227" s="2"/>
      <c r="C227" s="2"/>
      <c r="D227" s="3"/>
      <c r="E227" s="1"/>
      <c r="I227" s="1"/>
      <c r="K227" s="4">
        <f>Tabelle5225[[#This Row],[value_present]]*Tabelle5225[[#This Row],[binding_level]]</f>
        <v>0</v>
      </c>
    </row>
    <row r="228" spans="1:11" x14ac:dyDescent="0.25">
      <c r="A228" s="2"/>
      <c r="B228" s="2"/>
      <c r="C228" s="2"/>
      <c r="D228" s="3"/>
      <c r="E228" s="1"/>
      <c r="I228" s="1"/>
      <c r="K228" s="4">
        <f>Tabelle5225[[#This Row],[value_present]]*Tabelle5225[[#This Row],[binding_level]]</f>
        <v>0</v>
      </c>
    </row>
    <row r="229" spans="1:11" x14ac:dyDescent="0.25">
      <c r="A229" s="2"/>
      <c r="B229" s="2"/>
      <c r="C229" s="2"/>
      <c r="D229" s="3"/>
      <c r="E229" s="1"/>
      <c r="I229" s="1"/>
      <c r="K229" s="4">
        <f>Tabelle5225[[#This Row],[value_present]]*Tabelle5225[[#This Row],[binding_level]]</f>
        <v>0</v>
      </c>
    </row>
    <row r="230" spans="1:11" x14ac:dyDescent="0.25">
      <c r="A230" s="2"/>
      <c r="B230" s="2"/>
      <c r="C230" s="2"/>
      <c r="D230" s="3"/>
      <c r="E230" s="1"/>
      <c r="I230" s="1"/>
      <c r="K230" s="4">
        <f>Tabelle5225[[#This Row],[value_present]]*Tabelle5225[[#This Row],[binding_level]]</f>
        <v>0</v>
      </c>
    </row>
    <row r="231" spans="1:11" x14ac:dyDescent="0.25">
      <c r="A231" s="2"/>
      <c r="B231" s="2"/>
      <c r="C231" s="2"/>
      <c r="D231" s="3"/>
      <c r="E231" s="1"/>
      <c r="I231" s="1"/>
      <c r="K231" s="4">
        <f>Tabelle5225[[#This Row],[value_present]]*Tabelle5225[[#This Row],[binding_level]]</f>
        <v>0</v>
      </c>
    </row>
    <row r="232" spans="1:11" x14ac:dyDescent="0.25">
      <c r="A232" s="2"/>
      <c r="B232" s="2"/>
      <c r="C232" s="2"/>
      <c r="D232" s="3"/>
      <c r="E232" s="1"/>
      <c r="I232" s="1"/>
      <c r="K232" s="4">
        <f>Tabelle5225[[#This Row],[value_present]]*Tabelle5225[[#This Row],[binding_level]]</f>
        <v>0</v>
      </c>
    </row>
    <row r="233" spans="1:11" x14ac:dyDescent="0.25">
      <c r="A233" s="2"/>
      <c r="B233" s="2"/>
      <c r="C233" s="2"/>
      <c r="D233" s="3"/>
      <c r="E233" s="1"/>
      <c r="I233" s="1"/>
      <c r="K233" s="4">
        <f>Tabelle5225[[#This Row],[value_present]]*Tabelle5225[[#This Row],[binding_level]]</f>
        <v>0</v>
      </c>
    </row>
    <row r="234" spans="1:11" x14ac:dyDescent="0.25">
      <c r="A234" s="2"/>
      <c r="B234" s="2"/>
      <c r="C234" s="2"/>
      <c r="D234" s="3"/>
      <c r="E234" s="1"/>
      <c r="I234" s="1"/>
      <c r="K234" s="4">
        <f>Tabelle5225[[#This Row],[value_present]]*Tabelle5225[[#This Row],[binding_level]]</f>
        <v>0</v>
      </c>
    </row>
    <row r="235" spans="1:11" x14ac:dyDescent="0.25">
      <c r="A235" s="2"/>
      <c r="B235" s="2"/>
      <c r="C235" s="2"/>
      <c r="D235" s="3"/>
      <c r="E235" s="1"/>
      <c r="I235" s="1"/>
      <c r="K235" s="4">
        <f>Tabelle5225[[#This Row],[value_present]]*Tabelle5225[[#This Row],[binding_level]]</f>
        <v>0</v>
      </c>
    </row>
    <row r="236" spans="1:11" x14ac:dyDescent="0.25">
      <c r="A236" s="2"/>
      <c r="B236" s="2"/>
      <c r="C236" s="2"/>
      <c r="D236" s="3"/>
      <c r="E236" s="1"/>
      <c r="I236" s="1"/>
      <c r="K236" s="4">
        <f>Tabelle5225[[#This Row],[value_present]]*Tabelle5225[[#This Row],[binding_level]]</f>
        <v>0</v>
      </c>
    </row>
    <row r="237" spans="1:11" x14ac:dyDescent="0.25">
      <c r="A237" s="2"/>
      <c r="B237" s="2"/>
      <c r="C237" s="2"/>
      <c r="D237" s="3"/>
      <c r="E237" s="1"/>
      <c r="I237" s="1"/>
      <c r="K237" s="4">
        <f>Tabelle5225[[#This Row],[value_present]]*Tabelle5225[[#This Row],[binding_level]]</f>
        <v>0</v>
      </c>
    </row>
    <row r="238" spans="1:11" x14ac:dyDescent="0.25">
      <c r="A238" s="2"/>
      <c r="B238" s="2"/>
      <c r="C238" s="2"/>
      <c r="D238" s="3"/>
      <c r="E238" s="1"/>
      <c r="I238" s="1"/>
      <c r="K238" s="4">
        <f>Tabelle5225[[#This Row],[value_present]]*Tabelle5225[[#This Row],[binding_level]]</f>
        <v>0</v>
      </c>
    </row>
    <row r="239" spans="1:11" x14ac:dyDescent="0.25">
      <c r="A239" s="2"/>
      <c r="B239" s="2"/>
      <c r="C239" s="2"/>
      <c r="D239" s="3"/>
      <c r="E239" s="1"/>
      <c r="I239" s="1"/>
      <c r="K239" s="4">
        <f>Tabelle5225[[#This Row],[value_present]]*Tabelle5225[[#This Row],[binding_level]]</f>
        <v>0</v>
      </c>
    </row>
    <row r="240" spans="1:11" x14ac:dyDescent="0.25">
      <c r="A240" s="2"/>
      <c r="B240" s="2"/>
      <c r="C240" s="2"/>
      <c r="D240" s="3"/>
      <c r="E240" s="1"/>
      <c r="I240" s="1"/>
      <c r="K240" s="4">
        <f>Tabelle5225[[#This Row],[value_present]]*Tabelle5225[[#This Row],[binding_level]]</f>
        <v>0</v>
      </c>
    </row>
    <row r="241" spans="1:11" x14ac:dyDescent="0.25">
      <c r="A241" s="2"/>
      <c r="B241" s="2"/>
      <c r="C241" s="2"/>
      <c r="D241" s="3"/>
      <c r="E241" s="1"/>
      <c r="I241" s="1"/>
      <c r="K241" s="4">
        <f>Tabelle5225[[#This Row],[value_present]]*Tabelle5225[[#This Row],[binding_level]]</f>
        <v>0</v>
      </c>
    </row>
    <row r="242" spans="1:11" x14ac:dyDescent="0.25">
      <c r="A242" s="2"/>
      <c r="B242" s="2"/>
      <c r="C242" s="2"/>
      <c r="D242" s="3"/>
      <c r="E242" s="1"/>
      <c r="I242" s="1"/>
      <c r="K242" s="4">
        <f>Tabelle5225[[#This Row],[value_present]]*Tabelle5225[[#This Row],[binding_level]]</f>
        <v>0</v>
      </c>
    </row>
    <row r="243" spans="1:11" x14ac:dyDescent="0.25">
      <c r="A243" s="2"/>
      <c r="B243" s="2"/>
      <c r="C243" s="2"/>
      <c r="D243" s="3"/>
      <c r="E243" s="1"/>
      <c r="I243" s="1"/>
      <c r="K243" s="4">
        <f>Tabelle5225[[#This Row],[value_present]]*Tabelle5225[[#This Row],[binding_level]]</f>
        <v>0</v>
      </c>
    </row>
    <row r="244" spans="1:11" x14ac:dyDescent="0.25">
      <c r="A244" s="2"/>
      <c r="B244" s="2"/>
      <c r="C244" s="2"/>
      <c r="D244" s="3"/>
      <c r="E244" s="1"/>
      <c r="I244" s="1"/>
      <c r="K244" s="4">
        <f>Tabelle5225[[#This Row],[value_present]]*Tabelle5225[[#This Row],[binding_level]]</f>
        <v>0</v>
      </c>
    </row>
    <row r="245" spans="1:11" x14ac:dyDescent="0.25">
      <c r="A245" s="2"/>
      <c r="B245" s="2"/>
      <c r="C245" s="2"/>
      <c r="D245" s="3"/>
      <c r="E245" s="1"/>
      <c r="I245" s="1"/>
      <c r="K245" s="4">
        <f>Tabelle5225[[#This Row],[value_present]]*Tabelle5225[[#This Row],[binding_level]]</f>
        <v>0</v>
      </c>
    </row>
    <row r="246" spans="1:11" x14ac:dyDescent="0.25">
      <c r="A246" s="2"/>
      <c r="B246" s="2"/>
      <c r="C246" s="2"/>
      <c r="D246" s="3"/>
      <c r="E246" s="1"/>
      <c r="I246" s="1"/>
      <c r="K246" s="4">
        <f>Tabelle5225[[#This Row],[value_present]]*Tabelle5225[[#This Row],[binding_level]]</f>
        <v>0</v>
      </c>
    </row>
    <row r="247" spans="1:11" x14ac:dyDescent="0.25">
      <c r="A247" s="2"/>
      <c r="B247" s="2"/>
      <c r="C247" s="2"/>
      <c r="D247" s="3"/>
      <c r="E247" s="1"/>
      <c r="I247" s="1"/>
      <c r="K247" s="4">
        <f>Tabelle5225[[#This Row],[value_present]]*Tabelle5225[[#This Row],[binding_level]]</f>
        <v>0</v>
      </c>
    </row>
    <row r="248" spans="1:11" x14ac:dyDescent="0.25">
      <c r="A248" s="2"/>
      <c r="B248" s="2"/>
      <c r="C248" s="2"/>
      <c r="D248" s="3"/>
      <c r="E248" s="1"/>
      <c r="I248" s="1"/>
      <c r="K248" s="4">
        <f>Tabelle5225[[#This Row],[value_present]]*Tabelle5225[[#This Row],[binding_level]]</f>
        <v>0</v>
      </c>
    </row>
    <row r="249" spans="1:11" x14ac:dyDescent="0.25">
      <c r="A249" s="2"/>
      <c r="B249" s="2"/>
      <c r="C249" s="2"/>
      <c r="D249" s="3"/>
      <c r="E249" s="1"/>
      <c r="I249" s="1"/>
      <c r="K249" s="4">
        <f>Tabelle5225[[#This Row],[value_present]]*Tabelle5225[[#This Row],[binding_level]]</f>
        <v>0</v>
      </c>
    </row>
    <row r="250" spans="1:11" x14ac:dyDescent="0.25">
      <c r="A250" s="2"/>
      <c r="B250" s="2"/>
      <c r="C250" s="2"/>
      <c r="D250" s="3"/>
      <c r="E250" s="1"/>
      <c r="I250" s="1"/>
      <c r="K250" s="4">
        <f>Tabelle5225[[#This Row],[value_present]]*Tabelle5225[[#This Row],[binding_level]]</f>
        <v>0</v>
      </c>
    </row>
    <row r="251" spans="1:11" x14ac:dyDescent="0.25">
      <c r="A251" s="2"/>
      <c r="B251" s="2"/>
      <c r="C251" s="2"/>
      <c r="D251" s="3"/>
      <c r="E251" s="1"/>
      <c r="I251" s="1"/>
      <c r="K251" s="4">
        <f>Tabelle5225[[#This Row],[value_present]]*Tabelle5225[[#This Row],[binding_level]]</f>
        <v>0</v>
      </c>
    </row>
    <row r="252" spans="1:11" x14ac:dyDescent="0.25">
      <c r="A252" s="2"/>
      <c r="B252" s="2"/>
      <c r="C252" s="2"/>
      <c r="D252" s="3"/>
      <c r="E252" s="1"/>
      <c r="I252" s="1"/>
      <c r="K252" s="4">
        <f>Tabelle5225[[#This Row],[value_present]]*Tabelle5225[[#This Row],[binding_level]]</f>
        <v>0</v>
      </c>
    </row>
    <row r="253" spans="1:11" x14ac:dyDescent="0.25">
      <c r="A253" s="2"/>
      <c r="B253" s="2"/>
      <c r="C253" s="2"/>
      <c r="D253" s="3"/>
      <c r="E253" s="1"/>
      <c r="I253" s="1"/>
      <c r="K253" s="4">
        <f>Tabelle5225[[#This Row],[value_present]]*Tabelle5225[[#This Row],[binding_level]]</f>
        <v>0</v>
      </c>
    </row>
    <row r="254" spans="1:11" x14ac:dyDescent="0.25">
      <c r="A254" s="2"/>
      <c r="B254" s="2"/>
      <c r="C254" s="2"/>
      <c r="D254" s="3"/>
      <c r="E254" s="1"/>
      <c r="I254" s="1"/>
      <c r="K254" s="4">
        <f>Tabelle5225[[#This Row],[value_present]]*Tabelle5225[[#This Row],[binding_level]]</f>
        <v>0</v>
      </c>
    </row>
    <row r="255" spans="1:11" x14ac:dyDescent="0.25">
      <c r="A255" s="2"/>
      <c r="B255" s="2"/>
      <c r="C255" s="2"/>
      <c r="D255" s="3"/>
      <c r="E255" s="1"/>
      <c r="I255" s="1"/>
      <c r="K255" s="4">
        <f>Tabelle5225[[#This Row],[value_present]]*Tabelle5225[[#This Row],[binding_level]]</f>
        <v>0</v>
      </c>
    </row>
    <row r="256" spans="1:11" x14ac:dyDescent="0.25">
      <c r="A256" s="2"/>
      <c r="B256" s="2"/>
      <c r="C256" s="2"/>
      <c r="D256" s="3"/>
      <c r="E256" s="1"/>
      <c r="I256" s="1"/>
      <c r="K256" s="4">
        <f>Tabelle5225[[#This Row],[value_present]]*Tabelle5225[[#This Row],[binding_level]]</f>
        <v>0</v>
      </c>
    </row>
    <row r="257" spans="1:11" x14ac:dyDescent="0.25">
      <c r="A257" s="2"/>
      <c r="B257" s="2"/>
      <c r="C257" s="2"/>
      <c r="D257" s="3"/>
      <c r="E257" s="1"/>
      <c r="I257" s="1"/>
      <c r="K257" s="4">
        <f>Tabelle5225[[#This Row],[value_present]]*Tabelle5225[[#This Row],[binding_level]]</f>
        <v>0</v>
      </c>
    </row>
    <row r="258" spans="1:11" x14ac:dyDescent="0.25">
      <c r="A258" s="2"/>
      <c r="B258" s="2"/>
      <c r="C258" s="2"/>
      <c r="D258" s="3"/>
      <c r="E258" s="1"/>
      <c r="I258" s="1"/>
      <c r="K258" s="4">
        <f>Tabelle5225[[#This Row],[value_present]]*Tabelle5225[[#This Row],[binding_level]]</f>
        <v>0</v>
      </c>
    </row>
    <row r="259" spans="1:11" x14ac:dyDescent="0.25">
      <c r="A259" s="2"/>
      <c r="B259" s="2"/>
      <c r="C259" s="2"/>
      <c r="D259" s="3"/>
      <c r="E259" s="1"/>
      <c r="I259" s="1"/>
      <c r="K259" s="4">
        <f>Tabelle5225[[#This Row],[value_present]]*Tabelle5225[[#This Row],[binding_level]]</f>
        <v>0</v>
      </c>
    </row>
    <row r="260" spans="1:11" x14ac:dyDescent="0.25">
      <c r="A260" s="2"/>
      <c r="B260" s="2"/>
      <c r="C260" s="2"/>
      <c r="D260" s="3"/>
      <c r="E260" s="1"/>
      <c r="I260" s="1"/>
      <c r="K260" s="4">
        <f>Tabelle5225[[#This Row],[value_present]]*Tabelle5225[[#This Row],[binding_level]]</f>
        <v>0</v>
      </c>
    </row>
    <row r="261" spans="1:11" x14ac:dyDescent="0.25">
      <c r="A261" s="2"/>
      <c r="B261" s="2"/>
      <c r="C261" s="2"/>
      <c r="D261" s="3"/>
      <c r="E261" s="1"/>
      <c r="I261" s="1"/>
      <c r="K261" s="4">
        <f>Tabelle5225[[#This Row],[value_present]]*Tabelle5225[[#This Row],[binding_level]]</f>
        <v>0</v>
      </c>
    </row>
    <row r="262" spans="1:11" x14ac:dyDescent="0.25">
      <c r="A262" s="2"/>
      <c r="B262" s="2"/>
      <c r="C262" s="2"/>
      <c r="D262" s="3"/>
      <c r="E262" s="1"/>
      <c r="I262" s="1"/>
      <c r="K262" s="4">
        <f>Tabelle5225[[#This Row],[value_present]]*Tabelle5225[[#This Row],[binding_level]]</f>
        <v>0</v>
      </c>
    </row>
    <row r="263" spans="1:11" x14ac:dyDescent="0.25">
      <c r="A263" s="2"/>
      <c r="B263" s="2"/>
      <c r="C263" s="2"/>
      <c r="D263" s="3"/>
      <c r="E263" s="1"/>
      <c r="I263" s="1"/>
      <c r="K263" s="4">
        <f>Tabelle5225[[#This Row],[value_present]]*Tabelle5225[[#This Row],[binding_level]]</f>
        <v>0</v>
      </c>
    </row>
    <row r="264" spans="1:11" x14ac:dyDescent="0.25">
      <c r="A264" s="2"/>
      <c r="B264" s="2"/>
      <c r="C264" s="2"/>
      <c r="D264" s="3"/>
      <c r="E264" s="1"/>
      <c r="I264" s="1"/>
      <c r="K264" s="4">
        <f>Tabelle5225[[#This Row],[value_present]]*Tabelle5225[[#This Row],[binding_level]]</f>
        <v>0</v>
      </c>
    </row>
    <row r="265" spans="1:11" x14ac:dyDescent="0.25">
      <c r="A265" s="2"/>
      <c r="B265" s="2"/>
      <c r="C265" s="2"/>
      <c r="D265" s="3"/>
      <c r="E265" s="1"/>
      <c r="I265" s="1"/>
      <c r="K265" s="4">
        <f>Tabelle5225[[#This Row],[value_present]]*Tabelle5225[[#This Row],[binding_level]]</f>
        <v>0</v>
      </c>
    </row>
    <row r="266" spans="1:11" x14ac:dyDescent="0.25">
      <c r="A266" s="2"/>
      <c r="B266" s="2"/>
      <c r="C266" s="2"/>
      <c r="D266" s="3"/>
      <c r="E266" s="1"/>
      <c r="I266" s="1"/>
      <c r="K266" s="4">
        <f>Tabelle5225[[#This Row],[value_present]]*Tabelle5225[[#This Row],[binding_level]]</f>
        <v>0</v>
      </c>
    </row>
    <row r="267" spans="1:11" x14ac:dyDescent="0.25">
      <c r="A267" s="2"/>
      <c r="B267" s="2"/>
      <c r="C267" s="2"/>
      <c r="D267" s="3"/>
      <c r="E267" s="1"/>
      <c r="I267" s="1"/>
      <c r="K267" s="4">
        <f>Tabelle5225[[#This Row],[value_present]]*Tabelle5225[[#This Row],[binding_level]]</f>
        <v>0</v>
      </c>
    </row>
    <row r="268" spans="1:11" x14ac:dyDescent="0.25">
      <c r="A268" s="2"/>
      <c r="B268" s="2"/>
      <c r="C268" s="2"/>
      <c r="D268" s="3"/>
      <c r="E268" s="1"/>
      <c r="I268" s="1"/>
      <c r="K268" s="4">
        <f>Tabelle5225[[#This Row],[value_present]]*Tabelle5225[[#This Row],[binding_level]]</f>
        <v>0</v>
      </c>
    </row>
    <row r="269" spans="1:11" x14ac:dyDescent="0.25">
      <c r="A269" s="2"/>
      <c r="B269" s="2"/>
      <c r="C269" s="2"/>
      <c r="D269" s="3"/>
      <c r="E269" s="1"/>
      <c r="I269" s="1"/>
      <c r="K269" s="4">
        <f>Tabelle5225[[#This Row],[value_present]]*Tabelle5225[[#This Row],[binding_level]]</f>
        <v>0</v>
      </c>
    </row>
    <row r="270" spans="1:11" x14ac:dyDescent="0.25">
      <c r="A270" s="2"/>
      <c r="B270" s="2"/>
      <c r="C270" s="2"/>
      <c r="D270" s="3"/>
      <c r="E270" s="1"/>
      <c r="I270" s="1"/>
      <c r="K270" s="4">
        <f>Tabelle5225[[#This Row],[value_present]]*Tabelle5225[[#This Row],[binding_level]]</f>
        <v>0</v>
      </c>
    </row>
    <row r="271" spans="1:11" x14ac:dyDescent="0.25">
      <c r="A271" s="2"/>
      <c r="B271" s="2"/>
      <c r="C271" s="2"/>
      <c r="D271" s="3"/>
      <c r="E271" s="1"/>
      <c r="I271" s="1"/>
      <c r="K271" s="4">
        <f>Tabelle5225[[#This Row],[value_present]]*Tabelle5225[[#This Row],[binding_level]]</f>
        <v>0</v>
      </c>
    </row>
    <row r="272" spans="1:11" x14ac:dyDescent="0.25">
      <c r="A272" s="2"/>
      <c r="B272" s="2"/>
      <c r="C272" s="2"/>
      <c r="D272" s="3"/>
      <c r="E272" s="1"/>
      <c r="I272" s="1"/>
      <c r="K272" s="4">
        <f>Tabelle5225[[#This Row],[value_present]]*Tabelle5225[[#This Row],[binding_level]]</f>
        <v>0</v>
      </c>
    </row>
    <row r="273" spans="1:11" x14ac:dyDescent="0.25">
      <c r="A273" s="2"/>
      <c r="B273" s="2"/>
      <c r="C273" s="2"/>
      <c r="D273" s="3"/>
      <c r="E273" s="1"/>
      <c r="I273" s="1"/>
      <c r="K273" s="4">
        <f>Tabelle5225[[#This Row],[value_present]]*Tabelle5225[[#This Row],[binding_level]]</f>
        <v>0</v>
      </c>
    </row>
    <row r="274" spans="1:11" x14ac:dyDescent="0.25">
      <c r="A274" s="2"/>
      <c r="B274" s="2"/>
      <c r="C274" s="2"/>
      <c r="D274" s="3"/>
      <c r="E274" s="1"/>
      <c r="I274" s="1"/>
      <c r="K274" s="4">
        <f>Tabelle5225[[#This Row],[value_present]]*Tabelle5225[[#This Row],[binding_level]]</f>
        <v>0</v>
      </c>
    </row>
    <row r="275" spans="1:11" x14ac:dyDescent="0.25">
      <c r="A275" s="2"/>
      <c r="B275" s="2"/>
      <c r="C275" s="2"/>
      <c r="D275" s="3"/>
      <c r="E275" s="1"/>
      <c r="I275" s="1"/>
      <c r="K275" s="4">
        <f>Tabelle5225[[#This Row],[value_present]]*Tabelle5225[[#This Row],[binding_level]]</f>
        <v>0</v>
      </c>
    </row>
    <row r="276" spans="1:11" x14ac:dyDescent="0.25">
      <c r="A276" s="2"/>
      <c r="B276" s="2"/>
      <c r="C276" s="2"/>
      <c r="D276" s="3"/>
      <c r="E276" s="1"/>
      <c r="I276" s="1"/>
      <c r="K276" s="4">
        <f>Tabelle5225[[#This Row],[value_present]]*Tabelle5225[[#This Row],[binding_level]]</f>
        <v>0</v>
      </c>
    </row>
    <row r="277" spans="1:11" x14ac:dyDescent="0.25">
      <c r="A277" s="2"/>
      <c r="B277" s="2"/>
      <c r="C277" s="2"/>
      <c r="D277" s="3"/>
      <c r="E277" s="1"/>
      <c r="I277" s="1"/>
      <c r="K277" s="4">
        <f>Tabelle5225[[#This Row],[value_present]]*Tabelle5225[[#This Row],[binding_level]]</f>
        <v>0</v>
      </c>
    </row>
    <row r="278" spans="1:11" x14ac:dyDescent="0.25">
      <c r="A278" s="2"/>
      <c r="B278" s="2"/>
      <c r="C278" s="2"/>
      <c r="D278" s="3"/>
      <c r="E278" s="1"/>
      <c r="I278" s="1"/>
      <c r="K278" s="4">
        <f>Tabelle5225[[#This Row],[value_present]]*Tabelle5225[[#This Row],[binding_level]]</f>
        <v>0</v>
      </c>
    </row>
    <row r="279" spans="1:11" x14ac:dyDescent="0.25">
      <c r="A279" s="2"/>
      <c r="B279" s="2"/>
      <c r="C279" s="2"/>
      <c r="D279" s="3"/>
      <c r="E279" s="1"/>
      <c r="I279" s="1"/>
      <c r="K279" s="4">
        <f>Tabelle5225[[#This Row],[value_present]]*Tabelle5225[[#This Row],[binding_level]]</f>
        <v>0</v>
      </c>
    </row>
    <row r="280" spans="1:11" x14ac:dyDescent="0.25">
      <c r="A280" s="2"/>
      <c r="B280" s="2"/>
      <c r="C280" s="2"/>
      <c r="D280" s="3"/>
      <c r="E280" s="1"/>
      <c r="I280" s="1"/>
      <c r="K280" s="4">
        <f>Tabelle5225[[#This Row],[value_present]]*Tabelle5225[[#This Row],[binding_level]]</f>
        <v>0</v>
      </c>
    </row>
    <row r="281" spans="1:11" x14ac:dyDescent="0.25">
      <c r="A281" s="2"/>
      <c r="B281" s="2"/>
      <c r="C281" s="2"/>
      <c r="D281" s="3"/>
      <c r="E281" s="1"/>
      <c r="I281" s="1"/>
      <c r="K281" s="4">
        <f>Tabelle5225[[#This Row],[value_present]]*Tabelle5225[[#This Row],[binding_level]]</f>
        <v>0</v>
      </c>
    </row>
    <row r="282" spans="1:11" x14ac:dyDescent="0.25">
      <c r="A282" s="2"/>
      <c r="B282" s="2"/>
      <c r="C282" s="2"/>
      <c r="D282" s="3"/>
      <c r="E282" s="1"/>
      <c r="I282" s="1"/>
      <c r="K282" s="4">
        <f>Tabelle5225[[#This Row],[value_present]]*Tabelle5225[[#This Row],[binding_level]]</f>
        <v>0</v>
      </c>
    </row>
    <row r="283" spans="1:11" x14ac:dyDescent="0.25">
      <c r="A283" s="2"/>
      <c r="B283" s="2"/>
      <c r="C283" s="2"/>
      <c r="D283" s="3"/>
      <c r="E283" s="1"/>
      <c r="I283" s="1"/>
      <c r="K283" s="4">
        <f>Tabelle5225[[#This Row],[value_present]]*Tabelle5225[[#This Row],[binding_level]]</f>
        <v>0</v>
      </c>
    </row>
    <row r="284" spans="1:11" x14ac:dyDescent="0.25">
      <c r="A284" s="2"/>
      <c r="B284" s="2"/>
      <c r="C284" s="2"/>
      <c r="D284" s="3"/>
      <c r="E284" s="1"/>
      <c r="I284" s="1"/>
      <c r="K284" s="4">
        <f>Tabelle5225[[#This Row],[value_present]]*Tabelle5225[[#This Row],[binding_level]]</f>
        <v>0</v>
      </c>
    </row>
    <row r="285" spans="1:11" x14ac:dyDescent="0.25">
      <c r="A285" s="2"/>
      <c r="B285" s="2"/>
      <c r="C285" s="2"/>
      <c r="D285" s="3"/>
      <c r="E285" s="1"/>
      <c r="I285" s="1"/>
      <c r="K285" s="4">
        <f>Tabelle5225[[#This Row],[value_present]]*Tabelle5225[[#This Row],[binding_level]]</f>
        <v>0</v>
      </c>
    </row>
    <row r="286" spans="1:11" x14ac:dyDescent="0.25">
      <c r="A286" s="2"/>
      <c r="B286" s="2"/>
      <c r="C286" s="2"/>
      <c r="D286" s="3"/>
      <c r="E286" s="1"/>
      <c r="I286" s="1"/>
      <c r="K286" s="4">
        <f>Tabelle5225[[#This Row],[value_present]]*Tabelle5225[[#This Row],[binding_level]]</f>
        <v>0</v>
      </c>
    </row>
    <row r="287" spans="1:11" x14ac:dyDescent="0.25">
      <c r="A287" s="2"/>
      <c r="B287" s="2"/>
      <c r="C287" s="2"/>
      <c r="D287" s="3"/>
      <c r="E287" s="1"/>
      <c r="I287" s="1"/>
      <c r="K287" s="4">
        <f>Tabelle5225[[#This Row],[value_present]]*Tabelle5225[[#This Row],[binding_level]]</f>
        <v>0</v>
      </c>
    </row>
    <row r="288" spans="1:11" x14ac:dyDescent="0.25">
      <c r="A288" s="2"/>
      <c r="B288" s="2"/>
      <c r="C288" s="2"/>
      <c r="D288" s="3"/>
      <c r="E288" s="1"/>
      <c r="I288" s="1"/>
      <c r="K288" s="4">
        <f>Tabelle5225[[#This Row],[value_present]]*Tabelle5225[[#This Row],[binding_level]]</f>
        <v>0</v>
      </c>
    </row>
    <row r="289" spans="1:11" x14ac:dyDescent="0.25">
      <c r="A289" s="2"/>
      <c r="B289" s="2"/>
      <c r="C289" s="2"/>
      <c r="D289" s="3"/>
      <c r="E289" s="1"/>
      <c r="I289" s="1"/>
      <c r="K289" s="4">
        <f>Tabelle5225[[#This Row],[value_present]]*Tabelle5225[[#This Row],[binding_level]]</f>
        <v>0</v>
      </c>
    </row>
    <row r="290" spans="1:11" x14ac:dyDescent="0.25">
      <c r="A290" s="2"/>
      <c r="B290" s="2"/>
      <c r="C290" s="2"/>
      <c r="D290" s="3"/>
      <c r="E290" s="1"/>
      <c r="I290" s="1"/>
      <c r="K290" s="4">
        <f>Tabelle5225[[#This Row],[value_present]]*Tabelle5225[[#This Row],[binding_level]]</f>
        <v>0</v>
      </c>
    </row>
    <row r="291" spans="1:11" x14ac:dyDescent="0.25">
      <c r="A291" s="2"/>
      <c r="B291" s="2"/>
      <c r="C291" s="2"/>
      <c r="D291" s="3"/>
      <c r="E291" s="1"/>
      <c r="I291" s="1"/>
      <c r="K291" s="4">
        <f>Tabelle5225[[#This Row],[value_present]]*Tabelle5225[[#This Row],[binding_level]]</f>
        <v>0</v>
      </c>
    </row>
    <row r="292" spans="1:11" x14ac:dyDescent="0.25">
      <c r="A292" s="2"/>
      <c r="B292" s="2"/>
      <c r="C292" s="2"/>
      <c r="D292" s="3"/>
      <c r="E292" s="1"/>
      <c r="I292" s="1"/>
      <c r="K292" s="4">
        <f>Tabelle5225[[#This Row],[value_present]]*Tabelle5225[[#This Row],[binding_level]]</f>
        <v>0</v>
      </c>
    </row>
    <row r="293" spans="1:11" x14ac:dyDescent="0.25">
      <c r="A293" s="2"/>
      <c r="B293" s="2"/>
      <c r="C293" s="2"/>
      <c r="D293" s="3"/>
      <c r="E293" s="1"/>
      <c r="I293" s="1"/>
      <c r="K293" s="4">
        <f>Tabelle5225[[#This Row],[value_present]]*Tabelle5225[[#This Row],[binding_level]]</f>
        <v>0</v>
      </c>
    </row>
    <row r="294" spans="1:11" x14ac:dyDescent="0.25">
      <c r="A294" s="2"/>
      <c r="B294" s="2"/>
      <c r="C294" s="2"/>
      <c r="D294" s="3"/>
      <c r="E294" s="1"/>
      <c r="I294" s="1"/>
      <c r="K294" s="4">
        <f>Tabelle5225[[#This Row],[value_present]]*Tabelle5225[[#This Row],[binding_level]]</f>
        <v>0</v>
      </c>
    </row>
    <row r="295" spans="1:11" x14ac:dyDescent="0.25">
      <c r="A295" s="2"/>
      <c r="B295" s="2"/>
      <c r="C295" s="2"/>
      <c r="D295" s="3"/>
      <c r="E295" s="1"/>
      <c r="I295" s="1"/>
      <c r="K295" s="4">
        <f>Tabelle5225[[#This Row],[value_present]]*Tabelle5225[[#This Row],[binding_level]]</f>
        <v>0</v>
      </c>
    </row>
    <row r="296" spans="1:11" x14ac:dyDescent="0.25">
      <c r="A296" s="2"/>
      <c r="B296" s="2"/>
      <c r="C296" s="2"/>
      <c r="D296" s="3"/>
      <c r="E296" s="1"/>
      <c r="I296" s="1"/>
      <c r="K296" s="4">
        <f>Tabelle5225[[#This Row],[value_present]]*Tabelle5225[[#This Row],[binding_level]]</f>
        <v>0</v>
      </c>
    </row>
    <row r="297" spans="1:11" x14ac:dyDescent="0.25">
      <c r="A297" s="2"/>
      <c r="B297" s="2"/>
      <c r="C297" s="2"/>
      <c r="D297" s="3"/>
      <c r="E297" s="1"/>
      <c r="I297" s="1"/>
      <c r="K297" s="4">
        <f>Tabelle5225[[#This Row],[value_present]]*Tabelle5225[[#This Row],[binding_level]]</f>
        <v>0</v>
      </c>
    </row>
    <row r="298" spans="1:11" x14ac:dyDescent="0.25">
      <c r="A298" s="2"/>
      <c r="B298" s="2"/>
      <c r="C298" s="2"/>
      <c r="D298" s="3"/>
      <c r="E298" s="1"/>
      <c r="I298" s="1"/>
      <c r="K298" s="4">
        <f>Tabelle5225[[#This Row],[value_present]]*Tabelle5225[[#This Row],[binding_level]]</f>
        <v>0</v>
      </c>
    </row>
    <row r="299" spans="1:11" x14ac:dyDescent="0.25">
      <c r="A299" s="2"/>
      <c r="B299" s="2"/>
      <c r="C299" s="2"/>
      <c r="D299" s="3"/>
      <c r="E299" s="1"/>
      <c r="I299" s="1"/>
      <c r="K299" s="4">
        <f>Tabelle5225[[#This Row],[value_present]]*Tabelle5225[[#This Row],[binding_level]]</f>
        <v>0</v>
      </c>
    </row>
    <row r="300" spans="1:11" x14ac:dyDescent="0.25">
      <c r="A300" s="2"/>
      <c r="B300" s="2"/>
      <c r="C300" s="2"/>
      <c r="D300" s="3"/>
      <c r="E300" s="1"/>
      <c r="I300" s="1"/>
      <c r="K300" s="4">
        <f>Tabelle5225[[#This Row],[value_present]]*Tabelle5225[[#This Row],[binding_level]]</f>
        <v>0</v>
      </c>
    </row>
    <row r="301" spans="1:11" x14ac:dyDescent="0.25">
      <c r="A301" s="2"/>
      <c r="B301" s="2"/>
      <c r="C301" s="2"/>
      <c r="D301" s="3"/>
      <c r="E301" s="1"/>
      <c r="I301" s="1"/>
      <c r="K301" s="4">
        <f>Tabelle5225[[#This Row],[value_present]]*Tabelle5225[[#This Row],[binding_level]]</f>
        <v>0</v>
      </c>
    </row>
    <row r="302" spans="1:11" x14ac:dyDescent="0.25">
      <c r="A302" s="2"/>
      <c r="B302" s="2"/>
      <c r="C302" s="2"/>
      <c r="D302" s="3"/>
      <c r="E302" s="1"/>
      <c r="I302" s="1"/>
      <c r="K302" s="4">
        <f>Tabelle5225[[#This Row],[value_present]]*Tabelle5225[[#This Row],[binding_level]]</f>
        <v>0</v>
      </c>
    </row>
    <row r="303" spans="1:11" x14ac:dyDescent="0.25">
      <c r="A303" s="2"/>
      <c r="B303" s="2"/>
      <c r="C303" s="2"/>
      <c r="D303" s="3"/>
      <c r="E303" s="1"/>
      <c r="I303" s="1"/>
      <c r="K303" s="4">
        <f>Tabelle5225[[#This Row],[value_present]]*Tabelle5225[[#This Row],[binding_level]]</f>
        <v>0</v>
      </c>
    </row>
    <row r="304" spans="1:11" x14ac:dyDescent="0.25">
      <c r="A304" s="2"/>
      <c r="B304" s="2"/>
      <c r="C304" s="2"/>
      <c r="D304" s="3"/>
      <c r="E304" s="1"/>
      <c r="I304" s="1"/>
      <c r="K304" s="4">
        <f>Tabelle5225[[#This Row],[value_present]]*Tabelle5225[[#This Row],[binding_level]]</f>
        <v>0</v>
      </c>
    </row>
    <row r="305" spans="1:11" x14ac:dyDescent="0.25">
      <c r="A305" s="2"/>
      <c r="B305" s="2"/>
      <c r="C305" s="2"/>
      <c r="D305" s="3"/>
      <c r="E305" s="1"/>
      <c r="I305" s="1"/>
      <c r="K305" s="4">
        <f>Tabelle5225[[#This Row],[value_present]]*Tabelle5225[[#This Row],[binding_level]]</f>
        <v>0</v>
      </c>
    </row>
    <row r="306" spans="1:11" x14ac:dyDescent="0.25">
      <c r="A306" s="2"/>
      <c r="B306" s="2"/>
      <c r="C306" s="2"/>
      <c r="D306" s="3"/>
      <c r="E306" s="1"/>
      <c r="I306" s="1"/>
      <c r="K306" s="4">
        <f>Tabelle5225[[#This Row],[value_present]]*Tabelle5225[[#This Row],[binding_level]]</f>
        <v>0</v>
      </c>
    </row>
    <row r="307" spans="1:11" x14ac:dyDescent="0.25">
      <c r="A307" s="2"/>
      <c r="B307" s="2"/>
      <c r="C307" s="2"/>
      <c r="D307" s="3"/>
      <c r="E307" s="1"/>
      <c r="I307" s="1"/>
      <c r="K307" s="4">
        <f>Tabelle5225[[#This Row],[value_present]]*Tabelle5225[[#This Row],[binding_level]]</f>
        <v>0</v>
      </c>
    </row>
    <row r="308" spans="1:11" x14ac:dyDescent="0.25">
      <c r="A308" s="2"/>
      <c r="B308" s="2"/>
      <c r="C308" s="2"/>
      <c r="D308" s="3"/>
      <c r="E308" s="1"/>
      <c r="I308" s="1"/>
      <c r="K308" s="4">
        <f>Tabelle5225[[#This Row],[value_present]]*Tabelle5225[[#This Row],[binding_level]]</f>
        <v>0</v>
      </c>
    </row>
    <row r="309" spans="1:11" x14ac:dyDescent="0.25">
      <c r="A309" s="2"/>
      <c r="B309" s="2"/>
      <c r="C309" s="2"/>
      <c r="D309" s="3"/>
      <c r="E309" s="1"/>
      <c r="I309" s="1"/>
      <c r="K309" s="4">
        <f>Tabelle5225[[#This Row],[value_present]]*Tabelle5225[[#This Row],[binding_level]]</f>
        <v>0</v>
      </c>
    </row>
    <row r="310" spans="1:11" x14ac:dyDescent="0.25">
      <c r="A310" s="2"/>
      <c r="B310" s="2"/>
      <c r="C310" s="2"/>
      <c r="D310" s="3"/>
      <c r="E310" s="1"/>
      <c r="I310" s="1"/>
      <c r="K310" s="4">
        <f>Tabelle5225[[#This Row],[value_present]]*Tabelle5225[[#This Row],[binding_level]]</f>
        <v>0</v>
      </c>
    </row>
    <row r="311" spans="1:11" x14ac:dyDescent="0.25">
      <c r="A311" s="2"/>
      <c r="B311" s="2"/>
      <c r="C311" s="2"/>
      <c r="D311" s="3"/>
      <c r="E311" s="1"/>
      <c r="I311" s="1"/>
      <c r="K311" s="4">
        <f>Tabelle5225[[#This Row],[value_present]]*Tabelle5225[[#This Row],[binding_level]]</f>
        <v>0</v>
      </c>
    </row>
    <row r="312" spans="1:11" x14ac:dyDescent="0.25">
      <c r="A312" s="2"/>
      <c r="B312" s="2"/>
      <c r="C312" s="2"/>
      <c r="D312" s="3"/>
      <c r="E312" s="1"/>
      <c r="I312" s="1"/>
      <c r="K312" s="4">
        <f>Tabelle5225[[#This Row],[value_present]]*Tabelle5225[[#This Row],[binding_level]]</f>
        <v>0</v>
      </c>
    </row>
    <row r="313" spans="1:11" x14ac:dyDescent="0.25">
      <c r="A313" s="2"/>
      <c r="B313" s="2"/>
      <c r="C313" s="2"/>
      <c r="D313" s="3"/>
      <c r="E313" s="1"/>
      <c r="I313" s="1"/>
      <c r="K313" s="4">
        <f>Tabelle5225[[#This Row],[value_present]]*Tabelle5225[[#This Row],[binding_level]]</f>
        <v>0</v>
      </c>
    </row>
    <row r="314" spans="1:11" x14ac:dyDescent="0.25">
      <c r="A314" s="2"/>
      <c r="B314" s="2"/>
      <c r="C314" s="2"/>
      <c r="D314" s="3"/>
      <c r="E314" s="1"/>
      <c r="I314" s="1"/>
      <c r="K314" s="4">
        <f>Tabelle5225[[#This Row],[value_present]]*Tabelle5225[[#This Row],[binding_level]]</f>
        <v>0</v>
      </c>
    </row>
    <row r="315" spans="1:11" x14ac:dyDescent="0.25">
      <c r="A315" s="2"/>
      <c r="B315" s="2"/>
      <c r="C315" s="2"/>
      <c r="D315" s="3"/>
      <c r="E315" s="1"/>
      <c r="I315" s="1"/>
      <c r="K315" s="4">
        <f>Tabelle5225[[#This Row],[value_present]]*Tabelle5225[[#This Row],[binding_level]]</f>
        <v>0</v>
      </c>
    </row>
    <row r="316" spans="1:11" x14ac:dyDescent="0.25">
      <c r="A316" s="2"/>
      <c r="B316" s="2"/>
      <c r="C316" s="2"/>
      <c r="D316" s="3"/>
      <c r="E316" s="1"/>
      <c r="I316" s="1"/>
      <c r="K316" s="4">
        <f>Tabelle5225[[#This Row],[value_present]]*Tabelle5225[[#This Row],[binding_level]]</f>
        <v>0</v>
      </c>
    </row>
    <row r="317" spans="1:11" x14ac:dyDescent="0.25">
      <c r="A317" s="2"/>
      <c r="B317" s="2"/>
      <c r="C317" s="2"/>
      <c r="D317" s="3"/>
      <c r="E317" s="1"/>
      <c r="I317" s="1"/>
      <c r="K317" s="4">
        <f>Tabelle5225[[#This Row],[value_present]]*Tabelle5225[[#This Row],[binding_level]]</f>
        <v>0</v>
      </c>
    </row>
    <row r="318" spans="1:11" x14ac:dyDescent="0.25">
      <c r="A318" s="2"/>
      <c r="B318" s="2"/>
      <c r="C318" s="2"/>
      <c r="D318" s="3"/>
      <c r="E318" s="1"/>
      <c r="I318" s="1"/>
      <c r="K318" s="4">
        <f>Tabelle5225[[#This Row],[value_present]]*Tabelle5225[[#This Row],[binding_level]]</f>
        <v>0</v>
      </c>
    </row>
    <row r="319" spans="1:11" x14ac:dyDescent="0.25">
      <c r="A319" s="2"/>
      <c r="B319" s="2"/>
      <c r="C319" s="2"/>
      <c r="D319" s="3"/>
      <c r="E319" s="1"/>
      <c r="I319" s="1"/>
      <c r="K319" s="4">
        <f>Tabelle5225[[#This Row],[value_present]]*Tabelle5225[[#This Row],[binding_level]]</f>
        <v>0</v>
      </c>
    </row>
    <row r="320" spans="1:11" x14ac:dyDescent="0.25">
      <c r="A320" s="2"/>
      <c r="B320" s="2"/>
      <c r="C320" s="2"/>
      <c r="D320" s="3"/>
      <c r="E320" s="1"/>
      <c r="I320" s="1"/>
      <c r="K320" s="4">
        <f>Tabelle5225[[#This Row],[value_present]]*Tabelle5225[[#This Row],[binding_level]]</f>
        <v>0</v>
      </c>
    </row>
    <row r="321" spans="1:11" x14ac:dyDescent="0.25">
      <c r="A321" s="2"/>
      <c r="B321" s="2"/>
      <c r="C321" s="2"/>
      <c r="D321" s="3"/>
      <c r="E321" s="1"/>
      <c r="I321" s="1"/>
      <c r="K321" s="4">
        <f>Tabelle5225[[#This Row],[value_present]]*Tabelle5225[[#This Row],[binding_level]]</f>
        <v>0</v>
      </c>
    </row>
    <row r="322" spans="1:11" x14ac:dyDescent="0.25">
      <c r="A322" s="2"/>
      <c r="B322" s="2"/>
      <c r="C322" s="2"/>
      <c r="D322" s="3"/>
      <c r="E322" s="1"/>
      <c r="I322" s="1"/>
      <c r="K322" s="4">
        <f>Tabelle5225[[#This Row],[value_present]]*Tabelle5225[[#This Row],[binding_level]]</f>
        <v>0</v>
      </c>
    </row>
    <row r="323" spans="1:11" x14ac:dyDescent="0.25">
      <c r="A323" s="2"/>
      <c r="B323" s="2"/>
      <c r="C323" s="2"/>
      <c r="D323" s="3"/>
      <c r="E323" s="1"/>
      <c r="I323" s="1"/>
      <c r="K323" s="4">
        <f>Tabelle5225[[#This Row],[value_present]]*Tabelle5225[[#This Row],[binding_level]]</f>
        <v>0</v>
      </c>
    </row>
    <row r="324" spans="1:11" x14ac:dyDescent="0.25">
      <c r="A324" s="2"/>
      <c r="B324" s="2"/>
      <c r="C324" s="2"/>
      <c r="D324" s="3"/>
      <c r="E324" s="1"/>
      <c r="I324" s="1"/>
      <c r="K324" s="4">
        <f>Tabelle5225[[#This Row],[value_present]]*Tabelle5225[[#This Row],[binding_level]]</f>
        <v>0</v>
      </c>
    </row>
    <row r="325" spans="1:11" x14ac:dyDescent="0.25">
      <c r="A325" s="2"/>
      <c r="B325" s="2"/>
      <c r="C325" s="2"/>
      <c r="D325" s="3"/>
      <c r="E325" s="1"/>
      <c r="I325" s="1"/>
      <c r="K325" s="4">
        <f>Tabelle5225[[#This Row],[value_present]]*Tabelle5225[[#This Row],[binding_level]]</f>
        <v>0</v>
      </c>
    </row>
    <row r="326" spans="1:11" x14ac:dyDescent="0.25">
      <c r="A326" s="2"/>
      <c r="B326" s="2"/>
      <c r="C326" s="2"/>
      <c r="D326" s="3"/>
      <c r="E326" s="1"/>
      <c r="I326" s="1"/>
      <c r="K326" s="4">
        <f>Tabelle5225[[#This Row],[value_present]]*Tabelle5225[[#This Row],[binding_level]]</f>
        <v>0</v>
      </c>
    </row>
    <row r="327" spans="1:11" x14ac:dyDescent="0.25">
      <c r="A327" s="2"/>
      <c r="B327" s="2"/>
      <c r="C327" s="2"/>
      <c r="D327" s="3"/>
      <c r="E327" s="1"/>
      <c r="I327" s="1"/>
      <c r="K327" s="4">
        <f>Tabelle5225[[#This Row],[value_present]]*Tabelle5225[[#This Row],[binding_level]]</f>
        <v>0</v>
      </c>
    </row>
    <row r="328" spans="1:11" x14ac:dyDescent="0.25">
      <c r="A328" s="2"/>
      <c r="B328" s="2"/>
      <c r="C328" s="2"/>
      <c r="D328" s="3"/>
      <c r="E328" s="1"/>
      <c r="I328" s="1"/>
      <c r="K328" s="4">
        <f>Tabelle5225[[#This Row],[value_present]]*Tabelle5225[[#This Row],[binding_level]]</f>
        <v>0</v>
      </c>
    </row>
    <row r="329" spans="1:11" x14ac:dyDescent="0.25">
      <c r="A329" s="2"/>
      <c r="B329" s="2"/>
      <c r="C329" s="2"/>
      <c r="D329" s="3"/>
      <c r="E329" s="1"/>
      <c r="I329" s="1"/>
      <c r="K329" s="4">
        <f>Tabelle5225[[#This Row],[value_present]]*Tabelle5225[[#This Row],[binding_level]]</f>
        <v>0</v>
      </c>
    </row>
    <row r="330" spans="1:11" x14ac:dyDescent="0.25">
      <c r="A330" s="2"/>
      <c r="B330" s="2"/>
      <c r="C330" s="2"/>
      <c r="D330" s="3"/>
      <c r="E330" s="1"/>
      <c r="I330" s="1"/>
      <c r="K330" s="4">
        <f>Tabelle5225[[#This Row],[value_present]]*Tabelle5225[[#This Row],[binding_level]]</f>
        <v>0</v>
      </c>
    </row>
    <row r="331" spans="1:11" x14ac:dyDescent="0.25">
      <c r="A331" s="2"/>
      <c r="B331" s="2"/>
      <c r="C331" s="2"/>
      <c r="D331" s="3"/>
      <c r="E331" s="1"/>
      <c r="I331" s="1"/>
      <c r="K331" s="4">
        <f>Tabelle5225[[#This Row],[value_present]]*Tabelle5225[[#This Row],[binding_level]]</f>
        <v>0</v>
      </c>
    </row>
    <row r="332" spans="1:11" x14ac:dyDescent="0.25">
      <c r="A332" s="2"/>
      <c r="B332" s="2"/>
      <c r="C332" s="2"/>
      <c r="D332" s="3"/>
      <c r="E332" s="1"/>
      <c r="I332" s="1"/>
      <c r="K332" s="4">
        <f>Tabelle5225[[#This Row],[value_present]]*Tabelle5225[[#This Row],[binding_level]]</f>
        <v>0</v>
      </c>
    </row>
    <row r="333" spans="1:11" x14ac:dyDescent="0.25">
      <c r="A333" s="2"/>
      <c r="B333" s="2"/>
      <c r="C333" s="2"/>
      <c r="D333" s="3"/>
      <c r="E333" s="1"/>
      <c r="I333" s="1"/>
      <c r="K333" s="4">
        <f>Tabelle5225[[#This Row],[value_present]]*Tabelle5225[[#This Row],[binding_level]]</f>
        <v>0</v>
      </c>
    </row>
    <row r="334" spans="1:11" x14ac:dyDescent="0.25">
      <c r="A334" s="2"/>
      <c r="B334" s="2"/>
      <c r="C334" s="2"/>
      <c r="D334" s="3"/>
      <c r="E334" s="1"/>
      <c r="I334" s="1"/>
      <c r="K334" s="4">
        <f>Tabelle5225[[#This Row],[value_present]]*Tabelle5225[[#This Row],[binding_level]]</f>
        <v>0</v>
      </c>
    </row>
    <row r="335" spans="1:11" x14ac:dyDescent="0.25">
      <c r="A335" s="2"/>
      <c r="B335" s="2"/>
      <c r="C335" s="2"/>
      <c r="D335" s="3"/>
      <c r="E335" s="1"/>
      <c r="I335" s="1"/>
      <c r="K335" s="4">
        <f>Tabelle5225[[#This Row],[value_present]]*Tabelle5225[[#This Row],[binding_level]]</f>
        <v>0</v>
      </c>
    </row>
    <row r="336" spans="1:11" x14ac:dyDescent="0.25">
      <c r="A336" s="2"/>
      <c r="B336" s="2"/>
      <c r="C336" s="2"/>
      <c r="D336" s="3"/>
      <c r="E336" s="1"/>
      <c r="I336" s="1"/>
      <c r="K336" s="4">
        <f>Tabelle5225[[#This Row],[value_present]]*Tabelle5225[[#This Row],[binding_level]]</f>
        <v>0</v>
      </c>
    </row>
    <row r="337" spans="1:11" x14ac:dyDescent="0.25">
      <c r="A337" s="2"/>
      <c r="B337" s="2"/>
      <c r="C337" s="2"/>
      <c r="D337" s="3"/>
      <c r="E337" s="1"/>
      <c r="I337" s="1"/>
      <c r="K337" s="4">
        <f>Tabelle5225[[#This Row],[value_present]]*Tabelle5225[[#This Row],[binding_level]]</f>
        <v>0</v>
      </c>
    </row>
    <row r="338" spans="1:11" x14ac:dyDescent="0.25">
      <c r="A338" s="2"/>
      <c r="B338" s="2"/>
      <c r="C338" s="2"/>
      <c r="D338" s="3"/>
      <c r="E338" s="1"/>
      <c r="I338" s="1"/>
      <c r="K338" s="4">
        <f>Tabelle5225[[#This Row],[value_present]]*Tabelle5225[[#This Row],[binding_level]]</f>
        <v>0</v>
      </c>
    </row>
    <row r="339" spans="1:11" x14ac:dyDescent="0.25">
      <c r="A339" s="2"/>
      <c r="B339" s="2"/>
      <c r="C339" s="2"/>
      <c r="D339" s="3"/>
      <c r="E339" s="1"/>
      <c r="I339" s="1"/>
      <c r="K339" s="4">
        <f>Tabelle5225[[#This Row],[value_present]]*Tabelle5225[[#This Row],[binding_level]]</f>
        <v>0</v>
      </c>
    </row>
    <row r="340" spans="1:11" x14ac:dyDescent="0.25">
      <c r="A340" s="2"/>
      <c r="B340" s="2"/>
      <c r="C340" s="2"/>
      <c r="D340" s="3"/>
      <c r="E340" s="1"/>
      <c r="I340" s="1"/>
      <c r="K340" s="4">
        <f>Tabelle5225[[#This Row],[value_present]]*Tabelle5225[[#This Row],[binding_level]]</f>
        <v>0</v>
      </c>
    </row>
    <row r="341" spans="1:11" x14ac:dyDescent="0.25">
      <c r="A341" s="2"/>
      <c r="B341" s="2"/>
      <c r="C341" s="2"/>
      <c r="D341" s="3"/>
      <c r="E341" s="1"/>
      <c r="I341" s="1"/>
      <c r="K341" s="4">
        <f>Tabelle5225[[#This Row],[value_present]]*Tabelle5225[[#This Row],[binding_level]]</f>
        <v>0</v>
      </c>
    </row>
    <row r="342" spans="1:11" x14ac:dyDescent="0.25">
      <c r="A342" s="2"/>
      <c r="B342" s="2"/>
      <c r="C342" s="2"/>
      <c r="D342" s="3"/>
      <c r="E342" s="1"/>
      <c r="I342" s="1"/>
      <c r="K342" s="4">
        <f>Tabelle5225[[#This Row],[value_present]]*Tabelle5225[[#This Row],[binding_level]]</f>
        <v>0</v>
      </c>
    </row>
    <row r="343" spans="1:11" x14ac:dyDescent="0.25">
      <c r="A343" s="2"/>
      <c r="B343" s="2"/>
      <c r="C343" s="2"/>
      <c r="D343" s="3"/>
      <c r="E343" s="1"/>
      <c r="I343" s="1"/>
      <c r="K343" s="4">
        <f>Tabelle5225[[#This Row],[value_present]]*Tabelle5225[[#This Row],[binding_level]]</f>
        <v>0</v>
      </c>
    </row>
    <row r="344" spans="1:11" x14ac:dyDescent="0.25">
      <c r="A344" s="2"/>
      <c r="B344" s="2"/>
      <c r="C344" s="2"/>
      <c r="D344" s="3"/>
      <c r="E344" s="1"/>
      <c r="I344" s="1"/>
      <c r="K344" s="4">
        <f>Tabelle5225[[#This Row],[value_present]]*Tabelle5225[[#This Row],[binding_level]]</f>
        <v>0</v>
      </c>
    </row>
    <row r="345" spans="1:11" x14ac:dyDescent="0.25">
      <c r="A345" s="2"/>
      <c r="B345" s="2"/>
      <c r="C345" s="2"/>
      <c r="D345" s="3"/>
      <c r="E345" s="1"/>
      <c r="I345" s="1"/>
      <c r="K345" s="4">
        <f>Tabelle5225[[#This Row],[value_present]]*Tabelle5225[[#This Row],[binding_level]]</f>
        <v>0</v>
      </c>
    </row>
    <row r="346" spans="1:11" x14ac:dyDescent="0.25">
      <c r="A346" s="2"/>
      <c r="B346" s="2"/>
      <c r="C346" s="2"/>
      <c r="D346" s="3"/>
      <c r="E346" s="1"/>
      <c r="I346" s="1"/>
      <c r="K346" s="4">
        <f>Tabelle5225[[#This Row],[value_present]]*Tabelle5225[[#This Row],[binding_level]]</f>
        <v>0</v>
      </c>
    </row>
    <row r="347" spans="1:11" x14ac:dyDescent="0.25">
      <c r="A347" s="2"/>
      <c r="B347" s="2"/>
      <c r="C347" s="2"/>
      <c r="D347" s="3"/>
      <c r="E347" s="1"/>
      <c r="I347" s="1"/>
      <c r="K347" s="4">
        <f>Tabelle5225[[#This Row],[value_present]]*Tabelle5225[[#This Row],[binding_level]]</f>
        <v>0</v>
      </c>
    </row>
    <row r="348" spans="1:11" x14ac:dyDescent="0.25">
      <c r="A348" s="2"/>
      <c r="B348" s="2"/>
      <c r="C348" s="2"/>
      <c r="D348" s="3"/>
      <c r="E348" s="1"/>
      <c r="I348" s="1"/>
      <c r="K348" s="4">
        <f>Tabelle5225[[#This Row],[value_present]]*Tabelle5225[[#This Row],[binding_level]]</f>
        <v>0</v>
      </c>
    </row>
    <row r="349" spans="1:11" x14ac:dyDescent="0.25">
      <c r="A349" s="2"/>
      <c r="B349" s="2"/>
      <c r="C349" s="2"/>
      <c r="D349" s="3"/>
      <c r="E349" s="1"/>
      <c r="I349" s="1"/>
      <c r="K349" s="4">
        <f>Tabelle5225[[#This Row],[value_present]]*Tabelle5225[[#This Row],[binding_level]]</f>
        <v>0</v>
      </c>
    </row>
    <row r="350" spans="1:11" x14ac:dyDescent="0.25">
      <c r="A350" s="2"/>
      <c r="B350" s="2"/>
      <c r="C350" s="2"/>
      <c r="D350" s="3"/>
      <c r="E350" s="1"/>
      <c r="I350" s="1"/>
      <c r="K350" s="4">
        <f>Tabelle5225[[#This Row],[value_present]]*Tabelle5225[[#This Row],[binding_level]]</f>
        <v>0</v>
      </c>
    </row>
    <row r="351" spans="1:11" x14ac:dyDescent="0.25">
      <c r="A351" s="2"/>
      <c r="B351" s="2"/>
      <c r="C351" s="2"/>
      <c r="D351" s="3"/>
      <c r="E351" s="1"/>
      <c r="I351" s="1"/>
      <c r="K351" s="4">
        <f>Tabelle5225[[#This Row],[value_present]]*Tabelle5225[[#This Row],[binding_level]]</f>
        <v>0</v>
      </c>
    </row>
    <row r="352" spans="1:11" x14ac:dyDescent="0.25">
      <c r="A352" s="2"/>
      <c r="B352" s="2"/>
      <c r="C352" s="2"/>
      <c r="D352" s="3"/>
      <c r="E352" s="1"/>
      <c r="I352" s="1"/>
      <c r="K352" s="4">
        <f>Tabelle5225[[#This Row],[value_present]]*Tabelle5225[[#This Row],[binding_level]]</f>
        <v>0</v>
      </c>
    </row>
    <row r="353" spans="1:11" x14ac:dyDescent="0.25">
      <c r="A353" s="2"/>
      <c r="B353" s="2"/>
      <c r="C353" s="2"/>
      <c r="D353" s="3"/>
      <c r="E353" s="1"/>
      <c r="I353" s="1"/>
      <c r="K353" s="4">
        <f>Tabelle5225[[#This Row],[value_present]]*Tabelle5225[[#This Row],[binding_level]]</f>
        <v>0</v>
      </c>
    </row>
    <row r="354" spans="1:11" x14ac:dyDescent="0.25">
      <c r="A354" s="2"/>
      <c r="B354" s="2"/>
      <c r="C354" s="2"/>
      <c r="D354" s="3"/>
      <c r="E354" s="1"/>
      <c r="I354" s="1"/>
      <c r="K354" s="4">
        <f>Tabelle5225[[#This Row],[value_present]]*Tabelle5225[[#This Row],[binding_level]]</f>
        <v>0</v>
      </c>
    </row>
    <row r="355" spans="1:11" x14ac:dyDescent="0.25">
      <c r="A355" s="2"/>
      <c r="B355" s="2"/>
      <c r="C355" s="2"/>
      <c r="D355" s="3"/>
      <c r="E355" s="1"/>
      <c r="I355" s="1"/>
      <c r="K355" s="4">
        <f>Tabelle5225[[#This Row],[value_present]]*Tabelle5225[[#This Row],[binding_level]]</f>
        <v>0</v>
      </c>
    </row>
    <row r="356" spans="1:11" x14ac:dyDescent="0.25">
      <c r="A356" s="2"/>
      <c r="B356" s="2"/>
      <c r="C356" s="2"/>
      <c r="D356" s="3"/>
      <c r="E356" s="1"/>
      <c r="I356" s="1"/>
      <c r="K356" s="4">
        <f>Tabelle5225[[#This Row],[value_present]]*Tabelle5225[[#This Row],[binding_level]]</f>
        <v>0</v>
      </c>
    </row>
    <row r="357" spans="1:11" x14ac:dyDescent="0.25">
      <c r="A357" s="2"/>
      <c r="B357" s="2"/>
      <c r="C357" s="2"/>
      <c r="D357" s="3"/>
      <c r="E357" s="1"/>
      <c r="I357" s="1"/>
      <c r="K357" s="4">
        <f>Tabelle5225[[#This Row],[value_present]]*Tabelle5225[[#This Row],[binding_level]]</f>
        <v>0</v>
      </c>
    </row>
    <row r="358" spans="1:11" x14ac:dyDescent="0.25">
      <c r="A358" s="2"/>
      <c r="B358" s="2"/>
      <c r="C358" s="2"/>
      <c r="D358" s="3"/>
      <c r="E358" s="1"/>
      <c r="I358" s="1"/>
      <c r="K358" s="4">
        <f>Tabelle5225[[#This Row],[value_present]]*Tabelle5225[[#This Row],[binding_level]]</f>
        <v>0</v>
      </c>
    </row>
    <row r="359" spans="1:11" x14ac:dyDescent="0.25">
      <c r="A359" s="2"/>
      <c r="B359" s="2"/>
      <c r="C359" s="2"/>
      <c r="D359" s="3"/>
      <c r="E359" s="1"/>
      <c r="I359" s="1"/>
      <c r="K359" s="4">
        <f>Tabelle5225[[#This Row],[value_present]]*Tabelle5225[[#This Row],[binding_level]]</f>
        <v>0</v>
      </c>
    </row>
    <row r="360" spans="1:11" x14ac:dyDescent="0.25">
      <c r="A360" s="2"/>
      <c r="B360" s="2"/>
      <c r="C360" s="2"/>
      <c r="D360" s="3"/>
      <c r="E360" s="1"/>
      <c r="I360" s="1"/>
      <c r="K360" s="4">
        <f>Tabelle5225[[#This Row],[value_present]]*Tabelle5225[[#This Row],[binding_level]]</f>
        <v>0</v>
      </c>
    </row>
    <row r="361" spans="1:11" x14ac:dyDescent="0.25">
      <c r="A361" s="2"/>
      <c r="B361" s="2"/>
      <c r="C361" s="2"/>
      <c r="D361" s="3"/>
      <c r="E361" s="1"/>
      <c r="I361" s="1"/>
      <c r="K361" s="4">
        <f>Tabelle5225[[#This Row],[value_present]]*Tabelle5225[[#This Row],[binding_level]]</f>
        <v>0</v>
      </c>
    </row>
    <row r="362" spans="1:11" x14ac:dyDescent="0.25">
      <c r="A362" s="2"/>
      <c r="B362" s="2"/>
      <c r="C362" s="2"/>
      <c r="D362" s="3"/>
      <c r="E362" s="1"/>
      <c r="I362" s="1"/>
      <c r="K362" s="4">
        <f>Tabelle5225[[#This Row],[value_present]]*Tabelle5225[[#This Row],[binding_level]]</f>
        <v>0</v>
      </c>
    </row>
    <row r="363" spans="1:11" x14ac:dyDescent="0.25">
      <c r="A363" s="2"/>
      <c r="B363" s="2"/>
      <c r="C363" s="2"/>
      <c r="D363" s="3"/>
      <c r="E363" s="1"/>
      <c r="I363" s="1"/>
      <c r="K363" s="4">
        <f>Tabelle5225[[#This Row],[value_present]]*Tabelle5225[[#This Row],[binding_level]]</f>
        <v>0</v>
      </c>
    </row>
    <row r="364" spans="1:11" x14ac:dyDescent="0.25">
      <c r="A364" s="2"/>
      <c r="B364" s="2"/>
      <c r="C364" s="2"/>
      <c r="D364" s="3"/>
      <c r="E364" s="1"/>
      <c r="I364" s="1"/>
      <c r="K364" s="4">
        <f>Tabelle5225[[#This Row],[value_present]]*Tabelle5225[[#This Row],[binding_level]]</f>
        <v>0</v>
      </c>
    </row>
    <row r="365" spans="1:11" x14ac:dyDescent="0.25">
      <c r="A365" s="2"/>
      <c r="B365" s="2"/>
      <c r="C365" s="2"/>
      <c r="D365" s="3"/>
      <c r="E365" s="1"/>
      <c r="I365" s="1"/>
      <c r="K365" s="4">
        <f>Tabelle5225[[#This Row],[value_present]]*Tabelle5225[[#This Row],[binding_level]]</f>
        <v>0</v>
      </c>
    </row>
    <row r="366" spans="1:11" x14ac:dyDescent="0.25">
      <c r="A366" s="2"/>
      <c r="B366" s="2"/>
      <c r="C366" s="2"/>
      <c r="D366" s="3"/>
      <c r="E366" s="1"/>
      <c r="I366" s="1"/>
      <c r="K366" s="4">
        <f>Tabelle5225[[#This Row],[value_present]]*Tabelle5225[[#This Row],[binding_level]]</f>
        <v>0</v>
      </c>
    </row>
    <row r="367" spans="1:11" x14ac:dyDescent="0.25">
      <c r="A367" s="2"/>
      <c r="B367" s="2"/>
      <c r="C367" s="2"/>
      <c r="D367" s="3"/>
      <c r="E367" s="1"/>
      <c r="I367" s="1"/>
      <c r="K367" s="4">
        <f>Tabelle5225[[#This Row],[value_present]]*Tabelle5225[[#This Row],[binding_level]]</f>
        <v>0</v>
      </c>
    </row>
    <row r="368" spans="1:11" x14ac:dyDescent="0.25">
      <c r="A368" s="2"/>
      <c r="B368" s="2"/>
      <c r="C368" s="2"/>
      <c r="D368" s="3"/>
      <c r="E368" s="1"/>
      <c r="I368" s="1"/>
      <c r="K368" s="4">
        <f>Tabelle5225[[#This Row],[value_present]]*Tabelle5225[[#This Row],[binding_level]]</f>
        <v>0</v>
      </c>
    </row>
    <row r="369" spans="1:11" x14ac:dyDescent="0.25">
      <c r="A369" s="2"/>
      <c r="B369" s="2"/>
      <c r="C369" s="2"/>
      <c r="D369" s="3"/>
      <c r="E369" s="1"/>
      <c r="I369" s="1"/>
      <c r="K369" s="4">
        <f>Tabelle5225[[#This Row],[value_present]]*Tabelle5225[[#This Row],[binding_level]]</f>
        <v>0</v>
      </c>
    </row>
    <row r="370" spans="1:11" x14ac:dyDescent="0.25">
      <c r="A370" s="2"/>
      <c r="B370" s="2"/>
      <c r="C370" s="2"/>
      <c r="D370" s="3"/>
      <c r="E370" s="1"/>
      <c r="I370" s="1"/>
      <c r="K370" s="4">
        <f>Tabelle5225[[#This Row],[value_present]]*Tabelle5225[[#This Row],[binding_level]]</f>
        <v>0</v>
      </c>
    </row>
    <row r="371" spans="1:11" x14ac:dyDescent="0.25">
      <c r="A371" s="2"/>
      <c r="B371" s="2"/>
      <c r="C371" s="2"/>
      <c r="D371" s="3"/>
      <c r="E371" s="1"/>
      <c r="I371" s="1"/>
      <c r="K371" s="4">
        <f>Tabelle5225[[#This Row],[value_present]]*Tabelle5225[[#This Row],[binding_level]]</f>
        <v>0</v>
      </c>
    </row>
    <row r="372" spans="1:11" x14ac:dyDescent="0.25">
      <c r="A372" s="2"/>
      <c r="B372" s="2"/>
      <c r="C372" s="2"/>
      <c r="D372" s="3"/>
      <c r="E372" s="1"/>
      <c r="I372" s="1"/>
      <c r="K372" s="4">
        <f>Tabelle5225[[#This Row],[value_present]]*Tabelle5225[[#This Row],[binding_level]]</f>
        <v>0</v>
      </c>
    </row>
    <row r="373" spans="1:11" x14ac:dyDescent="0.25">
      <c r="A373" s="2"/>
      <c r="B373" s="2"/>
      <c r="C373" s="2"/>
      <c r="D373" s="3"/>
      <c r="E373" s="1"/>
      <c r="I373" s="1"/>
      <c r="K373" s="4">
        <f>Tabelle5225[[#This Row],[value_present]]*Tabelle5225[[#This Row],[binding_level]]</f>
        <v>0</v>
      </c>
    </row>
    <row r="374" spans="1:11" x14ac:dyDescent="0.25">
      <c r="A374" s="2"/>
      <c r="B374" s="2"/>
      <c r="C374" s="2"/>
      <c r="D374" s="3"/>
      <c r="E374" s="1"/>
      <c r="I374" s="1"/>
      <c r="K374" s="4">
        <f>Tabelle5225[[#This Row],[value_present]]*Tabelle5225[[#This Row],[binding_level]]</f>
        <v>0</v>
      </c>
    </row>
    <row r="375" spans="1:11" x14ac:dyDescent="0.25">
      <c r="A375" s="2"/>
      <c r="B375" s="2"/>
      <c r="C375" s="2"/>
      <c r="D375" s="3"/>
      <c r="E375" s="1"/>
      <c r="I375" s="1"/>
      <c r="K375" s="4">
        <f>Tabelle5225[[#This Row],[value_present]]*Tabelle5225[[#This Row],[binding_level]]</f>
        <v>0</v>
      </c>
    </row>
    <row r="376" spans="1:11" x14ac:dyDescent="0.25">
      <c r="A376" s="2"/>
      <c r="B376" s="2"/>
      <c r="C376" s="2"/>
      <c r="D376" s="3"/>
      <c r="E376" s="1"/>
      <c r="I376" s="1"/>
      <c r="K376" s="4">
        <f>Tabelle5225[[#This Row],[value_present]]*Tabelle5225[[#This Row],[binding_level]]</f>
        <v>0</v>
      </c>
    </row>
    <row r="377" spans="1:11" x14ac:dyDescent="0.25">
      <c r="A377" s="2"/>
      <c r="B377" s="2"/>
      <c r="C377" s="2"/>
      <c r="D377" s="3"/>
      <c r="E377" s="1"/>
      <c r="I377" s="1"/>
      <c r="K377" s="4">
        <f>Tabelle5225[[#This Row],[value_present]]*Tabelle5225[[#This Row],[binding_level]]</f>
        <v>0</v>
      </c>
    </row>
    <row r="378" spans="1:11" x14ac:dyDescent="0.25">
      <c r="A378" s="2"/>
      <c r="B378" s="2"/>
      <c r="C378" s="2"/>
      <c r="D378" s="3"/>
      <c r="E378" s="1"/>
      <c r="I378" s="1"/>
      <c r="K378" s="4">
        <f>Tabelle5225[[#This Row],[value_present]]*Tabelle5225[[#This Row],[binding_level]]</f>
        <v>0</v>
      </c>
    </row>
    <row r="379" spans="1:11" x14ac:dyDescent="0.25">
      <c r="A379" s="2"/>
      <c r="B379" s="2"/>
      <c r="C379" s="2"/>
      <c r="D379" s="3"/>
      <c r="E379" s="1"/>
      <c r="I379" s="1"/>
      <c r="K379" s="4">
        <f>Tabelle5225[[#This Row],[value_present]]*Tabelle5225[[#This Row],[binding_level]]</f>
        <v>0</v>
      </c>
    </row>
    <row r="380" spans="1:11" x14ac:dyDescent="0.25">
      <c r="A380" s="2"/>
      <c r="B380" s="2"/>
      <c r="C380" s="2"/>
      <c r="D380" s="3"/>
      <c r="E380" s="1"/>
      <c r="I380" s="1"/>
      <c r="K380" s="4">
        <f>Tabelle5225[[#This Row],[value_present]]*Tabelle5225[[#This Row],[binding_level]]</f>
        <v>0</v>
      </c>
    </row>
    <row r="381" spans="1:11" x14ac:dyDescent="0.25">
      <c r="A381" s="2"/>
      <c r="B381" s="2"/>
      <c r="C381" s="2"/>
      <c r="D381" s="3"/>
      <c r="E381" s="1"/>
      <c r="I381" s="1"/>
      <c r="K381" s="4">
        <f>Tabelle5225[[#This Row],[value_present]]*Tabelle5225[[#This Row],[binding_level]]</f>
        <v>0</v>
      </c>
    </row>
    <row r="382" spans="1:11" x14ac:dyDescent="0.25">
      <c r="A382" s="2"/>
      <c r="B382" s="2"/>
      <c r="C382" s="2"/>
      <c r="D382" s="3"/>
      <c r="E382" s="1"/>
      <c r="I382" s="1"/>
      <c r="K382" s="4">
        <f>Tabelle5225[[#This Row],[value_present]]*Tabelle5225[[#This Row],[binding_level]]</f>
        <v>0</v>
      </c>
    </row>
    <row r="383" spans="1:11" x14ac:dyDescent="0.25">
      <c r="A383" s="2"/>
      <c r="B383" s="2"/>
      <c r="C383" s="2"/>
      <c r="D383" s="3"/>
      <c r="E383" s="1"/>
      <c r="I383" s="1"/>
      <c r="K383" s="4">
        <f>Tabelle5225[[#This Row],[value_present]]*Tabelle5225[[#This Row],[binding_level]]</f>
        <v>0</v>
      </c>
    </row>
    <row r="384" spans="1:11" x14ac:dyDescent="0.25">
      <c r="A384" s="2"/>
      <c r="B384" s="2"/>
      <c r="C384" s="2"/>
      <c r="D384" s="3"/>
      <c r="E384" s="1"/>
      <c r="I384" s="1"/>
      <c r="K384" s="4">
        <f>Tabelle5225[[#This Row],[value_present]]*Tabelle5225[[#This Row],[binding_level]]</f>
        <v>0</v>
      </c>
    </row>
    <row r="385" spans="1:11" x14ac:dyDescent="0.25">
      <c r="A385" s="2"/>
      <c r="B385" s="2"/>
      <c r="C385" s="2"/>
      <c r="D385" s="3"/>
      <c r="E385" s="1"/>
      <c r="I385" s="1"/>
      <c r="K385" s="4">
        <f>Tabelle5225[[#This Row],[value_present]]*Tabelle5225[[#This Row],[binding_level]]</f>
        <v>0</v>
      </c>
    </row>
    <row r="386" spans="1:11" x14ac:dyDescent="0.25">
      <c r="A386" s="2"/>
      <c r="B386" s="2"/>
      <c r="C386" s="2"/>
      <c r="D386" s="3"/>
      <c r="E386" s="1"/>
      <c r="I386" s="1"/>
      <c r="K386" s="4">
        <f>Tabelle5225[[#This Row],[value_present]]*Tabelle5225[[#This Row],[binding_level]]</f>
        <v>0</v>
      </c>
    </row>
    <row r="387" spans="1:11" x14ac:dyDescent="0.25">
      <c r="A387" s="2"/>
      <c r="B387" s="2"/>
      <c r="C387" s="2"/>
      <c r="D387" s="3"/>
      <c r="E387" s="1"/>
      <c r="I387" s="1"/>
      <c r="K387" s="4">
        <f>Tabelle5225[[#This Row],[value_present]]*Tabelle5225[[#This Row],[binding_level]]</f>
        <v>0</v>
      </c>
    </row>
    <row r="388" spans="1:11" x14ac:dyDescent="0.25">
      <c r="A388" s="2"/>
      <c r="B388" s="2"/>
      <c r="C388" s="2"/>
      <c r="D388" s="3"/>
      <c r="E388" s="1"/>
      <c r="I388" s="1"/>
      <c r="K388" s="4">
        <f>Tabelle5225[[#This Row],[value_present]]*Tabelle5225[[#This Row],[binding_level]]</f>
        <v>0</v>
      </c>
    </row>
    <row r="389" spans="1:11" x14ac:dyDescent="0.25">
      <c r="A389" s="2"/>
      <c r="B389" s="2"/>
      <c r="C389" s="2"/>
      <c r="D389" s="3"/>
      <c r="E389" s="1"/>
      <c r="I389" s="1"/>
      <c r="K389" s="4">
        <f>Tabelle5225[[#This Row],[value_present]]*Tabelle5225[[#This Row],[binding_level]]</f>
        <v>0</v>
      </c>
    </row>
    <row r="390" spans="1:11" x14ac:dyDescent="0.25">
      <c r="A390" s="2"/>
      <c r="B390" s="2"/>
      <c r="C390" s="2"/>
      <c r="D390" s="3"/>
      <c r="E390" s="1"/>
      <c r="I390" s="1"/>
      <c r="K390" s="4">
        <f>Tabelle5225[[#This Row],[value_present]]*Tabelle5225[[#This Row],[binding_level]]</f>
        <v>0</v>
      </c>
    </row>
    <row r="391" spans="1:11" x14ac:dyDescent="0.25">
      <c r="A391" s="2"/>
      <c r="B391" s="2"/>
      <c r="C391" s="2"/>
      <c r="D391" s="3"/>
      <c r="E391" s="1"/>
      <c r="I391" s="1"/>
      <c r="K391" s="4">
        <f>Tabelle5225[[#This Row],[value_present]]*Tabelle5225[[#This Row],[binding_level]]</f>
        <v>0</v>
      </c>
    </row>
    <row r="392" spans="1:11" x14ac:dyDescent="0.25">
      <c r="A392" s="2"/>
      <c r="B392" s="2"/>
      <c r="C392" s="2"/>
      <c r="D392" s="3"/>
      <c r="E392" s="1"/>
      <c r="I392" s="1"/>
      <c r="K392" s="4">
        <f>Tabelle5225[[#This Row],[value_present]]*Tabelle5225[[#This Row],[binding_level]]</f>
        <v>0</v>
      </c>
    </row>
    <row r="393" spans="1:11" x14ac:dyDescent="0.25">
      <c r="A393" s="2"/>
      <c r="B393" s="2"/>
      <c r="C393" s="2"/>
      <c r="D393" s="3"/>
      <c r="E393" s="1"/>
      <c r="I393" s="1"/>
      <c r="K393" s="4">
        <f>Tabelle5225[[#This Row],[value_present]]*Tabelle5225[[#This Row],[binding_level]]</f>
        <v>0</v>
      </c>
    </row>
    <row r="394" spans="1:11" x14ac:dyDescent="0.25">
      <c r="A394" s="2"/>
      <c r="B394" s="2"/>
      <c r="C394" s="2"/>
      <c r="D394" s="3"/>
      <c r="E394" s="1"/>
      <c r="I394" s="1"/>
      <c r="K394" s="4">
        <f>Tabelle5225[[#This Row],[value_present]]*Tabelle5225[[#This Row],[binding_level]]</f>
        <v>0</v>
      </c>
    </row>
    <row r="395" spans="1:11" x14ac:dyDescent="0.25">
      <c r="A395" s="2"/>
      <c r="B395" s="2"/>
      <c r="C395" s="2"/>
      <c r="D395" s="3"/>
      <c r="E395" s="1"/>
      <c r="I395" s="1"/>
      <c r="K395" s="4">
        <f>Tabelle5225[[#This Row],[value_present]]*Tabelle5225[[#This Row],[binding_level]]</f>
        <v>0</v>
      </c>
    </row>
    <row r="396" spans="1:11" x14ac:dyDescent="0.25">
      <c r="A396" s="2"/>
      <c r="B396" s="2"/>
      <c r="C396" s="2"/>
      <c r="D396" s="3"/>
      <c r="E396" s="1"/>
      <c r="I396" s="1"/>
      <c r="K396" s="4">
        <f>Tabelle5225[[#This Row],[value_present]]*Tabelle5225[[#This Row],[binding_level]]</f>
        <v>0</v>
      </c>
    </row>
    <row r="397" spans="1:11" x14ac:dyDescent="0.25">
      <c r="A397" s="2"/>
      <c r="B397" s="2"/>
      <c r="C397" s="2"/>
      <c r="D397" s="3"/>
      <c r="E397" s="1"/>
      <c r="I397" s="1"/>
      <c r="K397" s="4">
        <f>Tabelle5225[[#This Row],[value_present]]*Tabelle5225[[#This Row],[binding_level]]</f>
        <v>0</v>
      </c>
    </row>
    <row r="398" spans="1:11" x14ac:dyDescent="0.25">
      <c r="A398" s="2"/>
      <c r="B398" s="2"/>
      <c r="C398" s="2"/>
      <c r="D398" s="3"/>
      <c r="E398" s="1"/>
      <c r="I398" s="1"/>
      <c r="K398" s="4">
        <f>Tabelle5225[[#This Row],[value_present]]*Tabelle5225[[#This Row],[binding_level]]</f>
        <v>0</v>
      </c>
    </row>
    <row r="399" spans="1:11" x14ac:dyDescent="0.25">
      <c r="A399" s="2"/>
      <c r="B399" s="2"/>
      <c r="C399" s="2"/>
      <c r="D399" s="3"/>
      <c r="E399" s="1"/>
      <c r="I399" s="1"/>
      <c r="K399" s="4">
        <f>Tabelle5225[[#This Row],[value_present]]*Tabelle5225[[#This Row],[binding_level]]</f>
        <v>0</v>
      </c>
    </row>
    <row r="400" spans="1:11" x14ac:dyDescent="0.25">
      <c r="A400" s="2"/>
      <c r="B400" s="2"/>
      <c r="C400" s="2"/>
      <c r="D400" s="3"/>
      <c r="E400" s="1"/>
      <c r="I400" s="1"/>
      <c r="K400" s="4">
        <f>Tabelle5225[[#This Row],[value_present]]*Tabelle5225[[#This Row],[binding_level]]</f>
        <v>0</v>
      </c>
    </row>
    <row r="401" spans="1:11" x14ac:dyDescent="0.25">
      <c r="A401" s="2"/>
      <c r="B401" s="2"/>
      <c r="C401" s="2"/>
      <c r="D401" s="3"/>
      <c r="E401" s="1"/>
      <c r="I401" s="1"/>
      <c r="K401" s="4">
        <f>Tabelle5225[[#This Row],[value_present]]*Tabelle5225[[#This Row],[binding_level]]</f>
        <v>0</v>
      </c>
    </row>
    <row r="402" spans="1:11" x14ac:dyDescent="0.25">
      <c r="A402" s="2"/>
      <c r="B402" s="2"/>
      <c r="C402" s="2"/>
      <c r="D402" s="3"/>
      <c r="E402" s="1"/>
      <c r="I402" s="1"/>
      <c r="K402" s="4">
        <f>Tabelle5225[[#This Row],[value_present]]*Tabelle5225[[#This Row],[binding_level]]</f>
        <v>0</v>
      </c>
    </row>
    <row r="403" spans="1:11" x14ac:dyDescent="0.25">
      <c r="A403" s="2"/>
      <c r="B403" s="2"/>
      <c r="C403" s="2"/>
      <c r="D403" s="3"/>
      <c r="E403" s="1"/>
      <c r="I403" s="1"/>
      <c r="K403" s="4">
        <f>Tabelle5225[[#This Row],[value_present]]*Tabelle5225[[#This Row],[binding_level]]</f>
        <v>0</v>
      </c>
    </row>
    <row r="404" spans="1:11" x14ac:dyDescent="0.25">
      <c r="A404" s="2"/>
      <c r="B404" s="2"/>
      <c r="C404" s="2"/>
      <c r="D404" s="3"/>
      <c r="E404" s="1"/>
      <c r="I404" s="1"/>
      <c r="K404" s="4">
        <f>Tabelle5225[[#This Row],[value_present]]*Tabelle5225[[#This Row],[binding_level]]</f>
        <v>0</v>
      </c>
    </row>
    <row r="405" spans="1:11" x14ac:dyDescent="0.25">
      <c r="A405" s="2"/>
      <c r="B405" s="2"/>
      <c r="C405" s="2"/>
      <c r="D405" s="3"/>
      <c r="E405" s="1"/>
      <c r="I405" s="1"/>
      <c r="K405" s="4">
        <f>Tabelle5225[[#This Row],[value_present]]*Tabelle5225[[#This Row],[binding_level]]</f>
        <v>0</v>
      </c>
    </row>
    <row r="406" spans="1:11" x14ac:dyDescent="0.25">
      <c r="A406" s="2"/>
      <c r="B406" s="2"/>
      <c r="C406" s="2"/>
      <c r="D406" s="3"/>
      <c r="E406" s="1"/>
      <c r="I406" s="1"/>
      <c r="K406" s="4">
        <f>Tabelle5225[[#This Row],[value_present]]*Tabelle5225[[#This Row],[binding_level]]</f>
        <v>0</v>
      </c>
    </row>
    <row r="407" spans="1:11" x14ac:dyDescent="0.25">
      <c r="A407" s="2"/>
      <c r="B407" s="2"/>
      <c r="C407" s="2"/>
      <c r="D407" s="3"/>
      <c r="E407" s="1"/>
      <c r="I407" s="1"/>
      <c r="K407" s="4">
        <f>Tabelle5225[[#This Row],[value_present]]*Tabelle5225[[#This Row],[binding_level]]</f>
        <v>0</v>
      </c>
    </row>
    <row r="408" spans="1:11" x14ac:dyDescent="0.25">
      <c r="A408" s="2"/>
      <c r="B408" s="2"/>
      <c r="C408" s="2"/>
      <c r="D408" s="3"/>
      <c r="E408" s="1"/>
      <c r="I408" s="1"/>
      <c r="K408" s="4">
        <f>Tabelle5225[[#This Row],[value_present]]*Tabelle5225[[#This Row],[binding_level]]</f>
        <v>0</v>
      </c>
    </row>
    <row r="409" spans="1:11" x14ac:dyDescent="0.25">
      <c r="A409" s="2"/>
      <c r="B409" s="2"/>
      <c r="C409" s="2"/>
      <c r="D409" s="3"/>
      <c r="E409" s="1"/>
      <c r="I409" s="1"/>
      <c r="K409" s="4">
        <f>Tabelle5225[[#This Row],[value_present]]*Tabelle5225[[#This Row],[binding_level]]</f>
        <v>0</v>
      </c>
    </row>
    <row r="410" spans="1:11" x14ac:dyDescent="0.25">
      <c r="A410" s="2"/>
      <c r="B410" s="2"/>
      <c r="C410" s="2"/>
      <c r="D410" s="3"/>
      <c r="E410" s="1"/>
      <c r="I410" s="1"/>
      <c r="K410" s="4">
        <f>Tabelle5225[[#This Row],[value_present]]*Tabelle5225[[#This Row],[binding_level]]</f>
        <v>0</v>
      </c>
    </row>
    <row r="411" spans="1:11" x14ac:dyDescent="0.25">
      <c r="A411" s="2"/>
      <c r="B411" s="2"/>
      <c r="C411" s="2"/>
      <c r="D411" s="3"/>
      <c r="E411" s="1"/>
      <c r="I411" s="1"/>
      <c r="K411" s="4">
        <f>Tabelle5225[[#This Row],[value_present]]*Tabelle5225[[#This Row],[binding_level]]</f>
        <v>0</v>
      </c>
    </row>
    <row r="412" spans="1:11" x14ac:dyDescent="0.25">
      <c r="A412" s="2"/>
      <c r="B412" s="2"/>
      <c r="C412" s="2"/>
      <c r="D412" s="3"/>
      <c r="E412" s="1"/>
      <c r="I412" s="1"/>
      <c r="K412" s="4">
        <f>Tabelle5225[[#This Row],[value_present]]*Tabelle5225[[#This Row],[binding_level]]</f>
        <v>0</v>
      </c>
    </row>
    <row r="413" spans="1:11" x14ac:dyDescent="0.25">
      <c r="A413" s="2"/>
      <c r="B413" s="2"/>
      <c r="C413" s="2"/>
      <c r="D413" s="3"/>
      <c r="E413" s="1"/>
      <c r="I413" s="1"/>
      <c r="K413" s="4">
        <f>Tabelle5225[[#This Row],[value_present]]*Tabelle5225[[#This Row],[binding_level]]</f>
        <v>0</v>
      </c>
    </row>
    <row r="414" spans="1:11" x14ac:dyDescent="0.25">
      <c r="A414" s="2"/>
      <c r="B414" s="2"/>
      <c r="C414" s="2"/>
      <c r="D414" s="3"/>
      <c r="E414" s="1"/>
      <c r="I414" s="1"/>
      <c r="K414" s="4">
        <f>Tabelle5225[[#This Row],[value_present]]*Tabelle5225[[#This Row],[binding_level]]</f>
        <v>0</v>
      </c>
    </row>
    <row r="415" spans="1:11" x14ac:dyDescent="0.25">
      <c r="A415" s="2"/>
      <c r="B415" s="2"/>
      <c r="C415" s="2"/>
      <c r="D415" s="3"/>
      <c r="E415" s="1"/>
      <c r="I415" s="1"/>
      <c r="K415" s="4">
        <f>Tabelle5225[[#This Row],[value_present]]*Tabelle5225[[#This Row],[binding_level]]</f>
        <v>0</v>
      </c>
    </row>
    <row r="416" spans="1:11" x14ac:dyDescent="0.25">
      <c r="A416" s="2"/>
      <c r="B416" s="2"/>
      <c r="C416" s="2"/>
      <c r="D416" s="3"/>
      <c r="E416" s="1"/>
      <c r="I416" s="1"/>
      <c r="K416" s="4">
        <f>Tabelle5225[[#This Row],[value_present]]*Tabelle5225[[#This Row],[binding_level]]</f>
        <v>0</v>
      </c>
    </row>
    <row r="417" spans="1:11" x14ac:dyDescent="0.25">
      <c r="A417" s="2"/>
      <c r="B417" s="2"/>
      <c r="C417" s="2"/>
      <c r="D417" s="3"/>
      <c r="E417" s="1"/>
      <c r="I417" s="1"/>
      <c r="K417" s="4">
        <f>Tabelle5225[[#This Row],[value_present]]*Tabelle5225[[#This Row],[binding_level]]</f>
        <v>0</v>
      </c>
    </row>
    <row r="418" spans="1:11" x14ac:dyDescent="0.25">
      <c r="A418" s="2"/>
      <c r="B418" s="2"/>
      <c r="C418" s="2"/>
      <c r="D418" s="3"/>
      <c r="E418" s="1"/>
      <c r="I418" s="1"/>
      <c r="K418" s="4">
        <f>Tabelle5225[[#This Row],[value_present]]*Tabelle5225[[#This Row],[binding_level]]</f>
        <v>0</v>
      </c>
    </row>
    <row r="419" spans="1:11" x14ac:dyDescent="0.25">
      <c r="A419" s="2"/>
      <c r="B419" s="2"/>
      <c r="C419" s="2"/>
      <c r="D419" s="3"/>
      <c r="E419" s="1"/>
      <c r="I419" s="1"/>
      <c r="K419" s="4">
        <f>Tabelle5225[[#This Row],[value_present]]*Tabelle5225[[#This Row],[binding_level]]</f>
        <v>0</v>
      </c>
    </row>
    <row r="420" spans="1:11" x14ac:dyDescent="0.25">
      <c r="A420" s="2"/>
      <c r="B420" s="2"/>
      <c r="C420" s="2"/>
      <c r="D420" s="3"/>
      <c r="E420" s="1"/>
      <c r="I420" s="1"/>
      <c r="K420" s="4">
        <f>Tabelle5225[[#This Row],[value_present]]*Tabelle5225[[#This Row],[binding_level]]</f>
        <v>0</v>
      </c>
    </row>
    <row r="421" spans="1:11" x14ac:dyDescent="0.25">
      <c r="A421" s="2"/>
      <c r="B421" s="2"/>
      <c r="C421" s="2"/>
      <c r="D421" s="3"/>
      <c r="E421" s="1"/>
      <c r="I421" s="1"/>
      <c r="K421" s="4">
        <f>Tabelle5225[[#This Row],[value_present]]*Tabelle5225[[#This Row],[binding_level]]</f>
        <v>0</v>
      </c>
    </row>
    <row r="422" spans="1:11" x14ac:dyDescent="0.25">
      <c r="A422" s="2"/>
      <c r="B422" s="2"/>
      <c r="C422" s="2"/>
      <c r="D422" s="3"/>
      <c r="E422" s="1"/>
      <c r="I422" s="1"/>
      <c r="K422" s="4">
        <f>Tabelle5225[[#This Row],[value_present]]*Tabelle5225[[#This Row],[binding_level]]</f>
        <v>0</v>
      </c>
    </row>
    <row r="423" spans="1:11" x14ac:dyDescent="0.25">
      <c r="A423" s="2"/>
      <c r="B423" s="2"/>
      <c r="C423" s="2"/>
      <c r="D423" s="3"/>
      <c r="E423" s="1"/>
      <c r="I423" s="1"/>
      <c r="K423" s="4">
        <f>Tabelle5225[[#This Row],[value_present]]*Tabelle5225[[#This Row],[binding_level]]</f>
        <v>0</v>
      </c>
    </row>
    <row r="424" spans="1:11" x14ac:dyDescent="0.25">
      <c r="A424" s="2"/>
      <c r="B424" s="2"/>
      <c r="C424" s="2"/>
      <c r="D424" s="3"/>
      <c r="E424" s="1"/>
      <c r="I424" s="1"/>
      <c r="K424" s="4">
        <f>Tabelle5225[[#This Row],[value_present]]*Tabelle5225[[#This Row],[binding_level]]</f>
        <v>0</v>
      </c>
    </row>
    <row r="425" spans="1:11" x14ac:dyDescent="0.25">
      <c r="A425" s="2"/>
      <c r="B425" s="2"/>
      <c r="C425" s="2"/>
      <c r="D425" s="3"/>
      <c r="E425" s="1"/>
      <c r="I425" s="1"/>
      <c r="K425" s="4">
        <f>Tabelle5225[[#This Row],[value_present]]*Tabelle5225[[#This Row],[binding_level]]</f>
        <v>0</v>
      </c>
    </row>
    <row r="426" spans="1:11" x14ac:dyDescent="0.25">
      <c r="A426" s="2"/>
      <c r="B426" s="2"/>
      <c r="C426" s="2"/>
      <c r="D426" s="3"/>
      <c r="E426" s="1"/>
      <c r="I426" s="1"/>
      <c r="K426" s="4">
        <f>Tabelle5225[[#This Row],[value_present]]*Tabelle5225[[#This Row],[binding_level]]</f>
        <v>0</v>
      </c>
    </row>
    <row r="427" spans="1:11" x14ac:dyDescent="0.25">
      <c r="A427" s="2"/>
      <c r="B427" s="2"/>
      <c r="C427" s="2"/>
      <c r="D427" s="3"/>
      <c r="E427" s="1"/>
      <c r="I427" s="1"/>
      <c r="K427" s="4">
        <f>Tabelle5225[[#This Row],[value_present]]*Tabelle5225[[#This Row],[binding_level]]</f>
        <v>0</v>
      </c>
    </row>
    <row r="428" spans="1:11" x14ac:dyDescent="0.25">
      <c r="A428" s="2"/>
      <c r="B428" s="2"/>
      <c r="C428" s="2"/>
      <c r="D428" s="3"/>
      <c r="E428" s="1"/>
      <c r="I428" s="1"/>
      <c r="K428" s="4">
        <f>Tabelle5225[[#This Row],[value_present]]*Tabelle5225[[#This Row],[binding_level]]</f>
        <v>0</v>
      </c>
    </row>
    <row r="429" spans="1:11" x14ac:dyDescent="0.25">
      <c r="A429" s="2"/>
      <c r="B429" s="2"/>
      <c r="C429" s="2"/>
      <c r="D429" s="3"/>
      <c r="E429" s="1"/>
      <c r="I429" s="1"/>
      <c r="K429" s="4">
        <f>Tabelle5225[[#This Row],[value_present]]*Tabelle5225[[#This Row],[binding_level]]</f>
        <v>0</v>
      </c>
    </row>
    <row r="430" spans="1:11" x14ac:dyDescent="0.25">
      <c r="A430" s="2"/>
      <c r="B430" s="2"/>
      <c r="C430" s="2"/>
      <c r="D430" s="3"/>
      <c r="E430" s="1"/>
      <c r="I430" s="1"/>
      <c r="K430" s="4">
        <f>Tabelle5225[[#This Row],[value_present]]*Tabelle5225[[#This Row],[binding_level]]</f>
        <v>0</v>
      </c>
    </row>
    <row r="431" spans="1:11" x14ac:dyDescent="0.25">
      <c r="A431" s="2"/>
      <c r="B431" s="2"/>
      <c r="C431" s="2"/>
      <c r="D431" s="3"/>
      <c r="E431" s="1"/>
      <c r="I431" s="1"/>
      <c r="K431" s="4">
        <f>Tabelle5225[[#This Row],[value_present]]*Tabelle5225[[#This Row],[binding_level]]</f>
        <v>0</v>
      </c>
    </row>
    <row r="432" spans="1:11" x14ac:dyDescent="0.25">
      <c r="A432" s="2"/>
      <c r="B432" s="2"/>
      <c r="C432" s="2"/>
      <c r="D432" s="3"/>
      <c r="E432" s="1"/>
      <c r="I432" s="1"/>
      <c r="K432" s="4">
        <f>Tabelle5225[[#This Row],[value_present]]*Tabelle5225[[#This Row],[binding_level]]</f>
        <v>0</v>
      </c>
    </row>
    <row r="433" spans="1:11" x14ac:dyDescent="0.25">
      <c r="A433" s="2"/>
      <c r="B433" s="2"/>
      <c r="C433" s="2"/>
      <c r="D433" s="3"/>
      <c r="E433" s="1"/>
      <c r="I433" s="1"/>
      <c r="K433" s="4">
        <f>Tabelle5225[[#This Row],[value_present]]*Tabelle5225[[#This Row],[binding_level]]</f>
        <v>0</v>
      </c>
    </row>
    <row r="434" spans="1:11" x14ac:dyDescent="0.25">
      <c r="A434" s="2"/>
      <c r="B434" s="2"/>
      <c r="C434" s="2"/>
      <c r="D434" s="3"/>
      <c r="E434" s="1"/>
      <c r="I434" s="1"/>
      <c r="K434" s="4">
        <f>Tabelle5225[[#This Row],[value_present]]*Tabelle5225[[#This Row],[binding_level]]</f>
        <v>0</v>
      </c>
    </row>
    <row r="435" spans="1:11" x14ac:dyDescent="0.25">
      <c r="A435" s="2"/>
      <c r="B435" s="2"/>
      <c r="C435" s="2"/>
      <c r="D435" s="3"/>
      <c r="E435" s="1"/>
      <c r="I435" s="1"/>
      <c r="K435" s="4">
        <f>Tabelle5225[[#This Row],[value_present]]*Tabelle5225[[#This Row],[binding_level]]</f>
        <v>0</v>
      </c>
    </row>
    <row r="436" spans="1:11" x14ac:dyDescent="0.25">
      <c r="A436" s="2"/>
      <c r="B436" s="2"/>
      <c r="C436" s="2"/>
      <c r="D436" s="3"/>
      <c r="E436" s="1"/>
      <c r="I436" s="1"/>
      <c r="K436" s="4">
        <f>Tabelle5225[[#This Row],[value_present]]*Tabelle5225[[#This Row],[binding_level]]</f>
        <v>0</v>
      </c>
    </row>
    <row r="437" spans="1:11" x14ac:dyDescent="0.25">
      <c r="A437" s="2"/>
      <c r="B437" s="2"/>
      <c r="C437" s="2"/>
      <c r="D437" s="3"/>
      <c r="E437" s="1"/>
      <c r="I437" s="1"/>
      <c r="K437" s="4">
        <f>Tabelle5225[[#This Row],[value_present]]*Tabelle5225[[#This Row],[binding_level]]</f>
        <v>0</v>
      </c>
    </row>
    <row r="438" spans="1:11" x14ac:dyDescent="0.25">
      <c r="A438" s="2"/>
      <c r="B438" s="2"/>
      <c r="C438" s="2"/>
      <c r="D438" s="3"/>
      <c r="E438" s="1"/>
      <c r="I438" s="1"/>
      <c r="K438" s="4">
        <f>Tabelle5225[[#This Row],[value_present]]*Tabelle5225[[#This Row],[binding_level]]</f>
        <v>0</v>
      </c>
    </row>
    <row r="439" spans="1:11" x14ac:dyDescent="0.25">
      <c r="A439" s="2"/>
      <c r="B439" s="2"/>
      <c r="C439" s="2"/>
      <c r="D439" s="3"/>
      <c r="E439" s="1"/>
      <c r="I439" s="1"/>
      <c r="K439" s="4">
        <f>Tabelle5225[[#This Row],[value_present]]*Tabelle5225[[#This Row],[binding_level]]</f>
        <v>0</v>
      </c>
    </row>
    <row r="440" spans="1:11" x14ac:dyDescent="0.25">
      <c r="A440" s="2"/>
      <c r="B440" s="2"/>
      <c r="C440" s="2"/>
      <c r="D440" s="3"/>
      <c r="E440" s="1"/>
      <c r="I440" s="1"/>
      <c r="K440" s="4">
        <f>Tabelle5225[[#This Row],[value_present]]*Tabelle5225[[#This Row],[binding_level]]</f>
        <v>0</v>
      </c>
    </row>
    <row r="441" spans="1:11" x14ac:dyDescent="0.25">
      <c r="A441" s="2"/>
      <c r="B441" s="2"/>
      <c r="C441" s="2"/>
      <c r="D441" s="3"/>
      <c r="E441" s="1"/>
      <c r="I441" s="1"/>
      <c r="K441" s="4">
        <f>Tabelle5225[[#This Row],[value_present]]*Tabelle5225[[#This Row],[binding_level]]</f>
        <v>0</v>
      </c>
    </row>
    <row r="442" spans="1:11" x14ac:dyDescent="0.25">
      <c r="A442" s="2"/>
      <c r="B442" s="2"/>
      <c r="C442" s="2"/>
      <c r="D442" s="3"/>
      <c r="E442" s="1"/>
      <c r="I442" s="1"/>
      <c r="K442" s="4">
        <f>Tabelle5225[[#This Row],[value_present]]*Tabelle5225[[#This Row],[binding_level]]</f>
        <v>0</v>
      </c>
    </row>
    <row r="443" spans="1:11" x14ac:dyDescent="0.25">
      <c r="A443" s="2"/>
      <c r="B443" s="2"/>
      <c r="C443" s="2"/>
      <c r="D443" s="3"/>
      <c r="E443" s="1"/>
      <c r="I443" s="1"/>
      <c r="K443" s="4">
        <f>Tabelle5225[[#This Row],[value_present]]*Tabelle5225[[#This Row],[binding_level]]</f>
        <v>0</v>
      </c>
    </row>
    <row r="444" spans="1:11" x14ac:dyDescent="0.25">
      <c r="A444" s="2"/>
      <c r="B444" s="2"/>
      <c r="C444" s="2"/>
      <c r="D444" s="3"/>
      <c r="E444" s="1"/>
      <c r="I444" s="1"/>
      <c r="K444" s="4">
        <f>Tabelle5225[[#This Row],[value_present]]*Tabelle5225[[#This Row],[binding_level]]</f>
        <v>0</v>
      </c>
    </row>
    <row r="445" spans="1:11" x14ac:dyDescent="0.25">
      <c r="A445" s="2"/>
      <c r="B445" s="2"/>
      <c r="C445" s="2"/>
      <c r="D445" s="3"/>
      <c r="E445" s="1"/>
      <c r="I445" s="1"/>
      <c r="K445" s="4">
        <f>Tabelle5225[[#This Row],[value_present]]*Tabelle5225[[#This Row],[binding_level]]</f>
        <v>0</v>
      </c>
    </row>
    <row r="446" spans="1:11" x14ac:dyDescent="0.25">
      <c r="A446" s="2"/>
      <c r="B446" s="2"/>
      <c r="C446" s="2"/>
      <c r="D446" s="3"/>
      <c r="E446" s="1"/>
      <c r="I446" s="1"/>
      <c r="K446" s="4">
        <f>Tabelle5225[[#This Row],[value_present]]*Tabelle5225[[#This Row],[binding_level]]</f>
        <v>0</v>
      </c>
    </row>
    <row r="447" spans="1:11" x14ac:dyDescent="0.25">
      <c r="A447" s="2"/>
      <c r="B447" s="2"/>
      <c r="C447" s="2"/>
      <c r="D447" s="3"/>
      <c r="E447" s="1"/>
      <c r="I447" s="1"/>
      <c r="K447" s="4">
        <f>Tabelle5225[[#This Row],[value_present]]*Tabelle5225[[#This Row],[binding_level]]</f>
        <v>0</v>
      </c>
    </row>
    <row r="448" spans="1:11" x14ac:dyDescent="0.25">
      <c r="A448" s="2"/>
      <c r="B448" s="2"/>
      <c r="C448" s="2"/>
      <c r="D448" s="3"/>
      <c r="E448" s="1"/>
      <c r="I448" s="1"/>
      <c r="K448" s="4">
        <f>Tabelle5225[[#This Row],[value_present]]*Tabelle5225[[#This Row],[binding_level]]</f>
        <v>0</v>
      </c>
    </row>
    <row r="449" spans="1:11" x14ac:dyDescent="0.25">
      <c r="A449" s="2"/>
      <c r="B449" s="2"/>
      <c r="C449" s="2"/>
      <c r="D449" s="3"/>
      <c r="E449" s="1"/>
      <c r="I449" s="1"/>
      <c r="K449" s="4">
        <f>Tabelle5225[[#This Row],[value_present]]*Tabelle5225[[#This Row],[binding_level]]</f>
        <v>0</v>
      </c>
    </row>
    <row r="450" spans="1:11" x14ac:dyDescent="0.25">
      <c r="A450" s="2"/>
      <c r="B450" s="2"/>
      <c r="C450" s="2"/>
      <c r="D450" s="3"/>
      <c r="E450" s="1"/>
      <c r="I450" s="1"/>
      <c r="K450" s="4">
        <f>Tabelle5225[[#This Row],[value_present]]*Tabelle5225[[#This Row],[binding_level]]</f>
        <v>0</v>
      </c>
    </row>
    <row r="451" spans="1:11" x14ac:dyDescent="0.25">
      <c r="A451" s="2"/>
      <c r="B451" s="2"/>
      <c r="C451" s="2"/>
      <c r="D451" s="3"/>
      <c r="E451" s="1"/>
      <c r="I451" s="1"/>
      <c r="K451" s="4">
        <f>Tabelle5225[[#This Row],[value_present]]*Tabelle5225[[#This Row],[binding_level]]</f>
        <v>0</v>
      </c>
    </row>
    <row r="452" spans="1:11" x14ac:dyDescent="0.25">
      <c r="A452" s="2"/>
      <c r="B452" s="2"/>
      <c r="C452" s="2"/>
      <c r="D452" s="3"/>
      <c r="E452" s="1"/>
      <c r="I452" s="1"/>
      <c r="K452" s="4">
        <f>Tabelle5225[[#This Row],[value_present]]*Tabelle5225[[#This Row],[binding_level]]</f>
        <v>0</v>
      </c>
    </row>
    <row r="453" spans="1:11" x14ac:dyDescent="0.25">
      <c r="A453" s="2"/>
      <c r="B453" s="2"/>
      <c r="C453" s="2"/>
      <c r="D453" s="3"/>
      <c r="E453" s="1"/>
      <c r="I453" s="1"/>
      <c r="K453" s="4">
        <f>Tabelle5225[[#This Row],[value_present]]*Tabelle5225[[#This Row],[binding_level]]</f>
        <v>0</v>
      </c>
    </row>
    <row r="454" spans="1:11" x14ac:dyDescent="0.25">
      <c r="A454" s="2"/>
      <c r="B454" s="2"/>
      <c r="C454" s="2"/>
      <c r="D454" s="3"/>
      <c r="E454" s="1"/>
      <c r="I454" s="1"/>
      <c r="K454" s="4">
        <f>Tabelle5225[[#This Row],[value_present]]*Tabelle5225[[#This Row],[binding_level]]</f>
        <v>0</v>
      </c>
    </row>
    <row r="455" spans="1:11" x14ac:dyDescent="0.25">
      <c r="A455" s="2"/>
      <c r="B455" s="2"/>
      <c r="C455" s="2"/>
      <c r="D455" s="3"/>
      <c r="E455" s="1"/>
      <c r="I455" s="1"/>
      <c r="K455" s="4">
        <f>Tabelle5225[[#This Row],[value_present]]*Tabelle5225[[#This Row],[binding_level]]</f>
        <v>0</v>
      </c>
    </row>
    <row r="456" spans="1:11" x14ac:dyDescent="0.25">
      <c r="A456" s="2"/>
      <c r="B456" s="2"/>
      <c r="C456" s="2"/>
      <c r="D456" s="3"/>
      <c r="E456" s="1"/>
      <c r="I456" s="1"/>
      <c r="K456" s="4">
        <f>Tabelle5225[[#This Row],[value_present]]*Tabelle5225[[#This Row],[binding_level]]</f>
        <v>0</v>
      </c>
    </row>
    <row r="457" spans="1:11" x14ac:dyDescent="0.25">
      <c r="A457" s="2"/>
      <c r="B457" s="2"/>
      <c r="C457" s="2"/>
      <c r="D457" s="3"/>
      <c r="E457" s="1"/>
      <c r="I457" s="1"/>
      <c r="K457" s="4">
        <f>Tabelle5225[[#This Row],[value_present]]*Tabelle5225[[#This Row],[binding_level]]</f>
        <v>0</v>
      </c>
    </row>
    <row r="458" spans="1:11" x14ac:dyDescent="0.25">
      <c r="A458" s="2"/>
      <c r="B458" s="2"/>
      <c r="C458" s="2"/>
      <c r="D458" s="3"/>
      <c r="E458" s="1"/>
      <c r="I458" s="1"/>
      <c r="K458" s="4">
        <f>Tabelle5225[[#This Row],[value_present]]*Tabelle5225[[#This Row],[binding_level]]</f>
        <v>0</v>
      </c>
    </row>
    <row r="459" spans="1:11" x14ac:dyDescent="0.25">
      <c r="A459" s="2"/>
      <c r="B459" s="2"/>
      <c r="C459" s="2"/>
      <c r="D459" s="3"/>
      <c r="E459" s="1"/>
      <c r="I459" s="1"/>
      <c r="K459" s="4">
        <f>Tabelle5225[[#This Row],[value_present]]*Tabelle5225[[#This Row],[binding_level]]</f>
        <v>0</v>
      </c>
    </row>
    <row r="460" spans="1:11" x14ac:dyDescent="0.25">
      <c r="A460" s="2"/>
      <c r="B460" s="2"/>
      <c r="C460" s="2"/>
      <c r="D460" s="3"/>
      <c r="E460" s="1"/>
      <c r="I460" s="1"/>
      <c r="K460" s="4">
        <f>Tabelle5225[[#This Row],[value_present]]*Tabelle5225[[#This Row],[binding_level]]</f>
        <v>0</v>
      </c>
    </row>
    <row r="461" spans="1:11" x14ac:dyDescent="0.25">
      <c r="A461" s="2"/>
      <c r="B461" s="2"/>
      <c r="C461" s="2"/>
      <c r="D461" s="3"/>
      <c r="E461" s="1"/>
      <c r="I461" s="1"/>
      <c r="K461" s="4">
        <f>Tabelle5225[[#This Row],[value_present]]*Tabelle5225[[#This Row],[binding_level]]</f>
        <v>0</v>
      </c>
    </row>
    <row r="462" spans="1:11" x14ac:dyDescent="0.25">
      <c r="A462" s="2"/>
      <c r="B462" s="2"/>
      <c r="C462" s="2"/>
      <c r="D462" s="3"/>
      <c r="E462" s="1"/>
      <c r="I462" s="1"/>
      <c r="K462" s="4">
        <f>Tabelle5225[[#This Row],[value_present]]*Tabelle5225[[#This Row],[binding_level]]</f>
        <v>0</v>
      </c>
    </row>
    <row r="463" spans="1:11" x14ac:dyDescent="0.25">
      <c r="A463" s="2"/>
      <c r="B463" s="2"/>
      <c r="C463" s="2"/>
      <c r="D463" s="3"/>
      <c r="E463" s="1"/>
      <c r="I463" s="1"/>
      <c r="K463" s="4">
        <f>Tabelle5225[[#This Row],[value_present]]*Tabelle5225[[#This Row],[binding_level]]</f>
        <v>0</v>
      </c>
    </row>
    <row r="464" spans="1:11" x14ac:dyDescent="0.25">
      <c r="A464" s="2"/>
      <c r="B464" s="2"/>
      <c r="C464" s="2"/>
      <c r="D464" s="3"/>
      <c r="E464" s="1"/>
      <c r="I464" s="1"/>
      <c r="K464" s="4">
        <f>Tabelle5225[[#This Row],[value_present]]*Tabelle5225[[#This Row],[binding_level]]</f>
        <v>0</v>
      </c>
    </row>
  </sheetData>
  <pageMargins left="0.7" right="0.7" top="0.78740157499999996" bottom="0.78740157499999996" header="0.3" footer="0.3"/>
  <tableParts count="2">
    <tablePart r:id="rId1"/>
    <tablePart r:id="rId2"/>
  </tableParts>
  <extLst>
    <ext xmlns:x14="http://schemas.microsoft.com/office/spreadsheetml/2009/9/main" uri="{CCE6A557-97BC-4b89-ADB6-D9C93CAAB3DF}">
      <x14:dataValidations xmlns:xm="http://schemas.microsoft.com/office/excel/2006/main" count="3">
        <x14:dataValidation type="list" showErrorMessage="1" xr:uid="{A2EE1F40-697D-41BA-BC9B-A35D207A38F7}">
          <x14:formula1>
            <xm:f>'99_Lookups'!$K$2:$K$4</xm:f>
          </x14:formula1>
          <xm:sqref>I38:I464 I2:I37</xm:sqref>
        </x14:dataValidation>
        <x14:dataValidation type="list" showErrorMessage="1" xr:uid="{C2E192F1-4D87-4192-9A91-D3C006BF269E}">
          <x14:formula1>
            <xm:f>'99_Lookups'!$O$2:$O$3</xm:f>
          </x14:formula1>
          <xm:sqref>D2:D464</xm:sqref>
        </x14:dataValidation>
        <x14:dataValidation type="list" showInputMessage="1" showErrorMessage="1" xr:uid="{09BF46C4-5F56-4CE2-B817-53B2CF72210F}">
          <x14:formula1>
            <xm:f>'99_Lookups'!$M$2:$M$4</xm:f>
          </x14:formula1>
          <xm:sqref>E2:E464</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4C90F-9AEB-4CAC-86B7-45D29A93C6B5}">
  <sheetPr>
    <tabColor theme="0" tint="-0.499984740745262"/>
  </sheetPr>
  <dimension ref="A1:K210"/>
  <sheetViews>
    <sheetView workbookViewId="0">
      <selection activeCell="T66" sqref="T66"/>
    </sheetView>
  </sheetViews>
  <sheetFormatPr baseColWidth="10" defaultRowHeight="15" x14ac:dyDescent="0.25"/>
  <cols>
    <col min="1" max="1" width="14" bestFit="1" customWidth="1"/>
    <col min="2" max="2" width="14" customWidth="1"/>
    <col min="3" max="3" width="12.85546875" bestFit="1" customWidth="1"/>
    <col min="4" max="4" width="26.28515625" hidden="1" customWidth="1"/>
    <col min="5" max="5" width="11.7109375" customWidth="1"/>
    <col min="6" max="6" width="16.7109375" customWidth="1"/>
    <col min="7" max="7" width="19" customWidth="1"/>
    <col min="8" max="8" width="16.7109375" customWidth="1"/>
    <col min="9" max="9" width="18.7109375" customWidth="1"/>
    <col min="10" max="10" width="18.28515625" bestFit="1" customWidth="1"/>
  </cols>
  <sheetData>
    <row r="1" spans="1:10" ht="15.75" thickBot="1" x14ac:dyDescent="0.3">
      <c r="A1" t="s">
        <v>0</v>
      </c>
      <c r="B1" t="s">
        <v>8</v>
      </c>
      <c r="C1" t="s">
        <v>37</v>
      </c>
      <c r="D1" t="s">
        <v>45</v>
      </c>
      <c r="E1" t="s">
        <v>46</v>
      </c>
      <c r="F1" t="s">
        <v>32</v>
      </c>
      <c r="G1" t="s">
        <v>33</v>
      </c>
      <c r="H1" t="s">
        <v>47</v>
      </c>
      <c r="I1" t="s">
        <v>34</v>
      </c>
      <c r="J1" t="s">
        <v>35</v>
      </c>
    </row>
    <row r="2" spans="1:10" x14ac:dyDescent="0.25">
      <c r="A2" s="18">
        <v>3</v>
      </c>
      <c r="B2" s="19">
        <v>16</v>
      </c>
      <c r="C2" s="19" t="s">
        <v>186</v>
      </c>
      <c r="D2" s="19"/>
      <c r="E2" s="20">
        <v>2</v>
      </c>
      <c r="F2" t="s">
        <v>1405</v>
      </c>
      <c r="G2" s="19" t="s">
        <v>1403</v>
      </c>
      <c r="H2" s="22" t="s">
        <v>1406</v>
      </c>
      <c r="I2" s="21" t="s">
        <v>272</v>
      </c>
      <c r="J2" s="32"/>
    </row>
    <row r="3" spans="1:10" x14ac:dyDescent="0.25">
      <c r="A3" s="24">
        <v>3</v>
      </c>
      <c r="B3" s="2">
        <v>16</v>
      </c>
      <c r="C3" s="2" t="s">
        <v>192</v>
      </c>
      <c r="D3" s="2"/>
      <c r="E3" s="3">
        <v>1</v>
      </c>
      <c r="F3" t="s">
        <v>1407</v>
      </c>
      <c r="G3" s="2" t="s">
        <v>1408</v>
      </c>
      <c r="H3" t="s">
        <v>1409</v>
      </c>
      <c r="I3" s="1" t="s">
        <v>273</v>
      </c>
      <c r="J3" s="33"/>
    </row>
    <row r="4" spans="1:10" x14ac:dyDescent="0.25">
      <c r="A4" s="24">
        <v>3</v>
      </c>
      <c r="B4" s="2">
        <v>16</v>
      </c>
      <c r="C4" s="2" t="s">
        <v>198</v>
      </c>
      <c r="D4" s="2"/>
      <c r="E4" s="3">
        <v>2</v>
      </c>
      <c r="F4" t="s">
        <v>1411</v>
      </c>
      <c r="G4" s="2" t="s">
        <v>1387</v>
      </c>
      <c r="H4" t="s">
        <v>1410</v>
      </c>
      <c r="I4" s="1" t="s">
        <v>272</v>
      </c>
      <c r="J4" s="33"/>
    </row>
    <row r="5" spans="1:10" x14ac:dyDescent="0.25">
      <c r="A5" s="24">
        <v>3</v>
      </c>
      <c r="B5" s="2">
        <v>16</v>
      </c>
      <c r="C5" s="2" t="s">
        <v>204</v>
      </c>
      <c r="D5" s="2"/>
      <c r="E5" s="3">
        <v>0</v>
      </c>
      <c r="G5" s="2"/>
      <c r="I5" s="1" t="s">
        <v>272</v>
      </c>
      <c r="J5" s="33"/>
    </row>
    <row r="6" spans="1:10" x14ac:dyDescent="0.25">
      <c r="A6" s="24">
        <v>3</v>
      </c>
      <c r="B6" s="2">
        <v>16</v>
      </c>
      <c r="C6" s="2" t="s">
        <v>210</v>
      </c>
      <c r="D6" s="2"/>
      <c r="E6" s="3">
        <v>1</v>
      </c>
      <c r="F6" t="s">
        <v>1412</v>
      </c>
      <c r="G6" s="2" t="s">
        <v>1404</v>
      </c>
      <c r="H6" t="s">
        <v>1413</v>
      </c>
      <c r="I6" s="1" t="s">
        <v>273</v>
      </c>
      <c r="J6" s="33"/>
    </row>
    <row r="7" spans="1:10" x14ac:dyDescent="0.25">
      <c r="A7" s="24">
        <v>3</v>
      </c>
      <c r="B7" s="2">
        <v>16</v>
      </c>
      <c r="C7" s="2" t="s">
        <v>215</v>
      </c>
      <c r="D7" s="2"/>
      <c r="E7" s="3">
        <v>2</v>
      </c>
      <c r="F7" t="s">
        <v>1415</v>
      </c>
      <c r="G7" s="2" t="s">
        <v>1404</v>
      </c>
      <c r="H7" t="s">
        <v>1414</v>
      </c>
      <c r="I7" s="1" t="s">
        <v>273</v>
      </c>
      <c r="J7" s="33"/>
    </row>
    <row r="8" spans="1:10" ht="15.75" thickBot="1" x14ac:dyDescent="0.3">
      <c r="A8" s="26">
        <v>3</v>
      </c>
      <c r="B8" s="27">
        <v>16</v>
      </c>
      <c r="C8" s="27" t="s">
        <v>221</v>
      </c>
      <c r="D8" s="27"/>
      <c r="E8" s="28">
        <v>0</v>
      </c>
      <c r="F8" s="30"/>
      <c r="G8" s="27"/>
      <c r="H8" s="30"/>
      <c r="I8" s="29" t="s">
        <v>272</v>
      </c>
      <c r="J8" s="34"/>
    </row>
    <row r="9" spans="1:10" x14ac:dyDescent="0.25">
      <c r="A9" s="18">
        <v>4</v>
      </c>
      <c r="B9" s="19">
        <v>22</v>
      </c>
      <c r="C9" s="19" t="s">
        <v>186</v>
      </c>
      <c r="D9" s="19"/>
      <c r="E9" s="20">
        <v>1</v>
      </c>
      <c r="F9" s="22" t="s">
        <v>1499</v>
      </c>
      <c r="G9" s="19" t="s">
        <v>1497</v>
      </c>
      <c r="H9" s="22" t="s">
        <v>1494</v>
      </c>
      <c r="I9" s="21" t="s">
        <v>272</v>
      </c>
      <c r="J9" s="32"/>
    </row>
    <row r="10" spans="1:10" x14ac:dyDescent="0.25">
      <c r="A10" s="24">
        <v>4</v>
      </c>
      <c r="B10" s="2">
        <v>22</v>
      </c>
      <c r="C10" s="2" t="s">
        <v>192</v>
      </c>
      <c r="D10" s="2"/>
      <c r="E10" s="3">
        <v>1</v>
      </c>
      <c r="F10" t="s">
        <v>1500</v>
      </c>
      <c r="G10" s="2" t="s">
        <v>1498</v>
      </c>
      <c r="H10" t="s">
        <v>1495</v>
      </c>
      <c r="I10" s="1" t="s">
        <v>272</v>
      </c>
      <c r="J10" s="33"/>
    </row>
    <row r="11" spans="1:10" x14ac:dyDescent="0.25">
      <c r="A11" s="24">
        <v>4</v>
      </c>
      <c r="B11" s="2">
        <v>22</v>
      </c>
      <c r="C11" s="2" t="s">
        <v>198</v>
      </c>
      <c r="D11" s="2"/>
      <c r="E11" s="3">
        <v>1</v>
      </c>
      <c r="F11" t="s">
        <v>1500</v>
      </c>
      <c r="G11" s="2" t="s">
        <v>1498</v>
      </c>
      <c r="H11" t="s">
        <v>1496</v>
      </c>
      <c r="I11" s="1" t="s">
        <v>272</v>
      </c>
      <c r="J11" s="33"/>
    </row>
    <row r="12" spans="1:10" x14ac:dyDescent="0.25">
      <c r="A12" s="24">
        <v>4</v>
      </c>
      <c r="B12" s="2">
        <v>22</v>
      </c>
      <c r="C12" s="2" t="s">
        <v>204</v>
      </c>
      <c r="D12" s="2"/>
      <c r="E12" s="3">
        <v>0</v>
      </c>
      <c r="G12" s="2"/>
      <c r="I12" s="1" t="s">
        <v>272</v>
      </c>
      <c r="J12" s="33" t="s">
        <v>1390</v>
      </c>
    </row>
    <row r="13" spans="1:10" x14ac:dyDescent="0.25">
      <c r="A13" s="24">
        <v>4</v>
      </c>
      <c r="B13" s="2">
        <v>22</v>
      </c>
      <c r="C13" s="2" t="s">
        <v>210</v>
      </c>
      <c r="D13" s="2"/>
      <c r="E13" s="3">
        <v>0</v>
      </c>
      <c r="G13" s="2"/>
      <c r="I13" s="1" t="s">
        <v>272</v>
      </c>
      <c r="J13" s="33" t="s">
        <v>1390</v>
      </c>
    </row>
    <row r="14" spans="1:10" x14ac:dyDescent="0.25">
      <c r="A14" s="24">
        <v>4</v>
      </c>
      <c r="B14" s="2">
        <v>22</v>
      </c>
      <c r="C14" s="2" t="s">
        <v>215</v>
      </c>
      <c r="D14" s="2"/>
      <c r="E14" s="3">
        <v>0</v>
      </c>
      <c r="G14" s="2"/>
      <c r="I14" s="1" t="s">
        <v>272</v>
      </c>
      <c r="J14" s="33" t="s">
        <v>1390</v>
      </c>
    </row>
    <row r="15" spans="1:10" ht="15.75" thickBot="1" x14ac:dyDescent="0.3">
      <c r="A15" s="26">
        <v>4</v>
      </c>
      <c r="B15" s="27">
        <v>22</v>
      </c>
      <c r="C15" s="27" t="s">
        <v>221</v>
      </c>
      <c r="D15" s="27"/>
      <c r="E15" s="28">
        <v>0</v>
      </c>
      <c r="F15" s="30"/>
      <c r="G15" s="27"/>
      <c r="H15" s="30"/>
      <c r="I15" s="29" t="s">
        <v>272</v>
      </c>
      <c r="J15" s="34" t="s">
        <v>1390</v>
      </c>
    </row>
    <row r="16" spans="1:10" x14ac:dyDescent="0.25">
      <c r="A16" s="18">
        <v>5</v>
      </c>
      <c r="B16" s="19">
        <v>27</v>
      </c>
      <c r="C16" s="19" t="s">
        <v>186</v>
      </c>
      <c r="D16" s="19"/>
      <c r="E16" s="20">
        <v>1</v>
      </c>
      <c r="F16" t="s">
        <v>1533</v>
      </c>
      <c r="G16" s="19" t="s">
        <v>1558</v>
      </c>
      <c r="H16" s="22" t="s">
        <v>1554</v>
      </c>
      <c r="I16" s="21" t="s">
        <v>274</v>
      </c>
      <c r="J16" s="32"/>
    </row>
    <row r="17" spans="1:11" x14ac:dyDescent="0.25">
      <c r="A17" s="24">
        <v>5</v>
      </c>
      <c r="B17" s="2">
        <v>27</v>
      </c>
      <c r="C17" s="2" t="s">
        <v>192</v>
      </c>
      <c r="D17" s="2"/>
      <c r="E17" s="3">
        <v>1</v>
      </c>
      <c r="F17" t="s">
        <v>1559</v>
      </c>
      <c r="G17" s="2" t="s">
        <v>1549</v>
      </c>
      <c r="H17" t="s">
        <v>1555</v>
      </c>
      <c r="I17" s="1" t="s">
        <v>273</v>
      </c>
      <c r="J17" s="33"/>
    </row>
    <row r="18" spans="1:11" x14ac:dyDescent="0.25">
      <c r="A18" s="24">
        <v>5</v>
      </c>
      <c r="B18" s="2">
        <v>27</v>
      </c>
      <c r="C18" s="2" t="s">
        <v>198</v>
      </c>
      <c r="D18" s="2"/>
      <c r="E18" s="3">
        <v>2</v>
      </c>
      <c r="F18" t="s">
        <v>1560</v>
      </c>
      <c r="G18" s="2" t="s">
        <v>1549</v>
      </c>
      <c r="H18" t="s">
        <v>1556</v>
      </c>
      <c r="I18" s="1" t="s">
        <v>273</v>
      </c>
      <c r="J18" s="33"/>
    </row>
    <row r="19" spans="1:11" x14ac:dyDescent="0.25">
      <c r="A19" s="24">
        <v>5</v>
      </c>
      <c r="B19" s="2">
        <v>27</v>
      </c>
      <c r="C19" s="2" t="s">
        <v>204</v>
      </c>
      <c r="D19" s="2"/>
      <c r="E19" s="3">
        <v>1</v>
      </c>
      <c r="F19" t="s">
        <v>1532</v>
      </c>
      <c r="G19" s="2" t="s">
        <v>1549</v>
      </c>
      <c r="H19" t="s">
        <v>1557</v>
      </c>
      <c r="I19" s="1" t="s">
        <v>274</v>
      </c>
      <c r="J19" s="33"/>
    </row>
    <row r="20" spans="1:11" x14ac:dyDescent="0.25">
      <c r="A20" s="24">
        <v>5</v>
      </c>
      <c r="B20" s="2">
        <v>27</v>
      </c>
      <c r="C20" s="2" t="s">
        <v>210</v>
      </c>
      <c r="D20" s="2"/>
      <c r="E20" s="3">
        <v>0</v>
      </c>
      <c r="G20" s="2"/>
      <c r="I20" s="1" t="s">
        <v>272</v>
      </c>
      <c r="J20" s="33" t="s">
        <v>1390</v>
      </c>
    </row>
    <row r="21" spans="1:11" x14ac:dyDescent="0.25">
      <c r="A21" s="24">
        <v>5</v>
      </c>
      <c r="B21" s="2">
        <v>27</v>
      </c>
      <c r="C21" s="2" t="s">
        <v>215</v>
      </c>
      <c r="D21" s="2"/>
      <c r="E21" s="3">
        <v>0</v>
      </c>
      <c r="G21" s="2"/>
      <c r="I21" s="1" t="s">
        <v>272</v>
      </c>
      <c r="J21" s="33" t="s">
        <v>1390</v>
      </c>
    </row>
    <row r="22" spans="1:11" ht="15.75" thickBot="1" x14ac:dyDescent="0.3">
      <c r="A22" s="26">
        <v>5</v>
      </c>
      <c r="B22" s="27">
        <v>27</v>
      </c>
      <c r="C22" s="27" t="s">
        <v>221</v>
      </c>
      <c r="D22" s="27"/>
      <c r="E22" s="28">
        <v>0</v>
      </c>
      <c r="F22" s="30"/>
      <c r="G22" s="27"/>
      <c r="H22" s="30"/>
      <c r="I22" s="29" t="s">
        <v>272</v>
      </c>
      <c r="J22" s="34" t="s">
        <v>1390</v>
      </c>
    </row>
    <row r="23" spans="1:11" x14ac:dyDescent="0.25">
      <c r="A23" s="18">
        <v>6</v>
      </c>
      <c r="B23" s="19">
        <v>32</v>
      </c>
      <c r="C23" s="19" t="s">
        <v>186</v>
      </c>
      <c r="D23" s="19"/>
      <c r="E23" s="20">
        <v>0</v>
      </c>
      <c r="F23" s="22"/>
      <c r="G23" s="19"/>
      <c r="H23" s="22"/>
      <c r="I23" s="21" t="s">
        <v>1456</v>
      </c>
      <c r="J23" s="32" t="s">
        <v>1593</v>
      </c>
      <c r="K23" t="s">
        <v>1368</v>
      </c>
    </row>
    <row r="24" spans="1:11" x14ac:dyDescent="0.25">
      <c r="A24" s="24">
        <v>6</v>
      </c>
      <c r="B24" s="2">
        <v>32</v>
      </c>
      <c r="C24" s="2" t="s">
        <v>192</v>
      </c>
      <c r="D24" s="2"/>
      <c r="E24" s="3">
        <v>0</v>
      </c>
      <c r="G24" s="2"/>
      <c r="I24" s="1" t="s">
        <v>1456</v>
      </c>
      <c r="J24" s="33" t="s">
        <v>1594</v>
      </c>
    </row>
    <row r="25" spans="1:11" x14ac:dyDescent="0.25">
      <c r="A25" s="24">
        <v>6</v>
      </c>
      <c r="B25" s="2">
        <v>32</v>
      </c>
      <c r="C25" s="2" t="s">
        <v>198</v>
      </c>
      <c r="D25" s="2"/>
      <c r="E25" s="3">
        <v>0</v>
      </c>
      <c r="G25" s="2"/>
      <c r="I25" s="1" t="s">
        <v>1456</v>
      </c>
      <c r="J25" s="33" t="s">
        <v>1595</v>
      </c>
    </row>
    <row r="26" spans="1:11" x14ac:dyDescent="0.25">
      <c r="A26" s="24">
        <v>6</v>
      </c>
      <c r="B26" s="2">
        <v>32</v>
      </c>
      <c r="C26" s="2" t="s">
        <v>204</v>
      </c>
      <c r="D26" s="2"/>
      <c r="E26" s="3">
        <v>0</v>
      </c>
      <c r="G26" s="2"/>
      <c r="I26" s="1" t="s">
        <v>1456</v>
      </c>
      <c r="J26" s="33" t="s">
        <v>1596</v>
      </c>
    </row>
    <row r="27" spans="1:11" x14ac:dyDescent="0.25">
      <c r="A27" s="24">
        <v>6</v>
      </c>
      <c r="B27" s="2">
        <v>32</v>
      </c>
      <c r="C27" s="2" t="s">
        <v>210</v>
      </c>
      <c r="D27" s="2"/>
      <c r="E27" s="3">
        <v>0</v>
      </c>
      <c r="G27" s="2"/>
      <c r="I27" s="1" t="s">
        <v>1456</v>
      </c>
      <c r="J27" s="33" t="s">
        <v>1597</v>
      </c>
    </row>
    <row r="28" spans="1:11" x14ac:dyDescent="0.25">
      <c r="A28" s="24">
        <v>6</v>
      </c>
      <c r="B28" s="2">
        <v>32</v>
      </c>
      <c r="C28" s="2" t="s">
        <v>215</v>
      </c>
      <c r="D28" s="2"/>
      <c r="E28" s="3">
        <v>0</v>
      </c>
      <c r="G28" s="2"/>
      <c r="I28" s="1" t="s">
        <v>1456</v>
      </c>
      <c r="J28" s="33" t="s">
        <v>1598</v>
      </c>
    </row>
    <row r="29" spans="1:11" ht="15.75" thickBot="1" x14ac:dyDescent="0.3">
      <c r="A29" s="26">
        <v>6</v>
      </c>
      <c r="B29" s="27">
        <v>32</v>
      </c>
      <c r="C29" s="27" t="s">
        <v>221</v>
      </c>
      <c r="D29" s="27"/>
      <c r="E29" s="28">
        <v>0</v>
      </c>
      <c r="F29" s="30"/>
      <c r="G29" s="27"/>
      <c r="H29" s="30"/>
      <c r="I29" s="29" t="s">
        <v>1456</v>
      </c>
      <c r="J29" s="34" t="s">
        <v>1599</v>
      </c>
    </row>
    <row r="30" spans="1:11" x14ac:dyDescent="0.25">
      <c r="A30" s="18">
        <v>7</v>
      </c>
      <c r="B30" s="19">
        <v>37</v>
      </c>
      <c r="C30" s="19" t="s">
        <v>186</v>
      </c>
      <c r="D30" s="19"/>
      <c r="E30" s="20">
        <v>2</v>
      </c>
      <c r="F30" s="22" t="s">
        <v>1681</v>
      </c>
      <c r="G30" s="19" t="s">
        <v>1676</v>
      </c>
      <c r="H30" s="22" t="s">
        <v>1671</v>
      </c>
      <c r="I30" s="21" t="s">
        <v>1457</v>
      </c>
      <c r="J30" s="32"/>
    </row>
    <row r="31" spans="1:11" x14ac:dyDescent="0.25">
      <c r="A31" s="24">
        <v>7</v>
      </c>
      <c r="B31" s="2">
        <v>37</v>
      </c>
      <c r="C31" s="2" t="s">
        <v>192</v>
      </c>
      <c r="D31" s="2"/>
      <c r="E31" s="3">
        <v>1</v>
      </c>
      <c r="F31" t="s">
        <v>1682</v>
      </c>
      <c r="G31" s="2" t="s">
        <v>1677</v>
      </c>
      <c r="H31" t="s">
        <v>1672</v>
      </c>
      <c r="I31" s="1" t="s">
        <v>1457</v>
      </c>
      <c r="J31" s="33"/>
    </row>
    <row r="32" spans="1:11" x14ac:dyDescent="0.25">
      <c r="A32" s="24">
        <v>7</v>
      </c>
      <c r="B32" s="2">
        <v>37</v>
      </c>
      <c r="C32" s="2" t="s">
        <v>198</v>
      </c>
      <c r="D32" s="2"/>
      <c r="E32" s="3">
        <v>2</v>
      </c>
      <c r="F32" t="s">
        <v>1683</v>
      </c>
      <c r="G32" s="2" t="s">
        <v>1678</v>
      </c>
      <c r="H32" t="s">
        <v>1673</v>
      </c>
      <c r="I32" s="1" t="s">
        <v>1457</v>
      </c>
      <c r="J32" s="33"/>
    </row>
    <row r="33" spans="1:10" x14ac:dyDescent="0.25">
      <c r="A33" s="24">
        <v>7</v>
      </c>
      <c r="B33" s="2">
        <v>37</v>
      </c>
      <c r="C33" s="2" t="s">
        <v>204</v>
      </c>
      <c r="D33" s="2"/>
      <c r="E33" s="3">
        <v>0</v>
      </c>
      <c r="G33" s="2"/>
      <c r="I33" s="1" t="s">
        <v>1456</v>
      </c>
      <c r="J33" s="33" t="s">
        <v>1390</v>
      </c>
    </row>
    <row r="34" spans="1:10" x14ac:dyDescent="0.25">
      <c r="A34" s="24">
        <v>7</v>
      </c>
      <c r="B34" s="2">
        <v>37</v>
      </c>
      <c r="C34" s="2" t="s">
        <v>210</v>
      </c>
      <c r="D34" s="2"/>
      <c r="E34" s="3">
        <v>1</v>
      </c>
      <c r="F34" t="s">
        <v>1684</v>
      </c>
      <c r="G34" s="2" t="s">
        <v>1679</v>
      </c>
      <c r="H34" t="s">
        <v>1674</v>
      </c>
      <c r="I34" s="1" t="s">
        <v>1541</v>
      </c>
      <c r="J34" s="33"/>
    </row>
    <row r="35" spans="1:10" x14ac:dyDescent="0.25">
      <c r="A35" s="24">
        <v>7</v>
      </c>
      <c r="B35" s="2">
        <v>37</v>
      </c>
      <c r="C35" s="2" t="s">
        <v>215</v>
      </c>
      <c r="D35" s="2"/>
      <c r="E35" s="3">
        <v>0</v>
      </c>
      <c r="G35" s="2"/>
      <c r="I35" s="1" t="s">
        <v>1456</v>
      </c>
      <c r="J35" s="33" t="s">
        <v>1390</v>
      </c>
    </row>
    <row r="36" spans="1:10" ht="15.75" thickBot="1" x14ac:dyDescent="0.3">
      <c r="A36" s="26">
        <v>7</v>
      </c>
      <c r="B36" s="27">
        <v>37</v>
      </c>
      <c r="C36" s="27" t="s">
        <v>221</v>
      </c>
      <c r="D36" s="27"/>
      <c r="E36" s="28">
        <v>1</v>
      </c>
      <c r="F36" s="30" t="s">
        <v>1646</v>
      </c>
      <c r="G36" s="27" t="s">
        <v>1680</v>
      </c>
      <c r="H36" s="30" t="s">
        <v>1675</v>
      </c>
      <c r="I36" s="29" t="s">
        <v>1457</v>
      </c>
      <c r="J36" s="33"/>
    </row>
    <row r="37" spans="1:10" x14ac:dyDescent="0.25">
      <c r="A37" s="18">
        <v>12</v>
      </c>
      <c r="B37" s="19">
        <v>62</v>
      </c>
      <c r="C37" s="19" t="s">
        <v>186</v>
      </c>
      <c r="D37" s="19"/>
      <c r="E37" s="20">
        <v>0</v>
      </c>
      <c r="F37" s="22"/>
      <c r="G37" s="19"/>
      <c r="H37" s="22"/>
      <c r="I37" s="21" t="s">
        <v>1456</v>
      </c>
      <c r="J37" s="32" t="s">
        <v>1390</v>
      </c>
    </row>
    <row r="38" spans="1:10" x14ac:dyDescent="0.25">
      <c r="A38" s="24">
        <v>12</v>
      </c>
      <c r="B38" s="2">
        <v>62</v>
      </c>
      <c r="C38" s="2" t="s">
        <v>192</v>
      </c>
      <c r="D38" s="2"/>
      <c r="E38" s="3">
        <v>0</v>
      </c>
      <c r="G38" s="2"/>
      <c r="I38" s="1" t="s">
        <v>1456</v>
      </c>
      <c r="J38" s="33" t="s">
        <v>1390</v>
      </c>
    </row>
    <row r="39" spans="1:10" x14ac:dyDescent="0.25">
      <c r="A39" s="24">
        <v>12</v>
      </c>
      <c r="B39" s="2">
        <v>62</v>
      </c>
      <c r="C39" s="2" t="s">
        <v>198</v>
      </c>
      <c r="D39" s="2"/>
      <c r="E39" s="3">
        <v>1</v>
      </c>
      <c r="F39" t="s">
        <v>1756</v>
      </c>
      <c r="G39" s="2" t="s">
        <v>1721</v>
      </c>
      <c r="H39" t="s">
        <v>1753</v>
      </c>
      <c r="I39" s="1" t="s">
        <v>1457</v>
      </c>
      <c r="J39" s="33"/>
    </row>
    <row r="40" spans="1:10" x14ac:dyDescent="0.25">
      <c r="A40" s="24">
        <v>12</v>
      </c>
      <c r="B40" s="2">
        <v>62</v>
      </c>
      <c r="C40" s="2" t="s">
        <v>204</v>
      </c>
      <c r="D40" s="2"/>
      <c r="E40" s="3">
        <v>0</v>
      </c>
      <c r="G40" s="2"/>
      <c r="I40" s="1" t="s">
        <v>1456</v>
      </c>
      <c r="J40" s="33" t="s">
        <v>1390</v>
      </c>
    </row>
    <row r="41" spans="1:10" x14ac:dyDescent="0.25">
      <c r="A41" s="24">
        <v>12</v>
      </c>
      <c r="B41" s="2">
        <v>62</v>
      </c>
      <c r="C41" s="2" t="s">
        <v>210</v>
      </c>
      <c r="D41" s="2"/>
      <c r="E41" s="3">
        <v>1</v>
      </c>
      <c r="F41" t="s">
        <v>1757</v>
      </c>
      <c r="G41" s="2" t="s">
        <v>1755</v>
      </c>
      <c r="H41" t="s">
        <v>1754</v>
      </c>
      <c r="I41" s="1" t="s">
        <v>1457</v>
      </c>
      <c r="J41" s="33"/>
    </row>
    <row r="42" spans="1:10" x14ac:dyDescent="0.25">
      <c r="A42" s="24">
        <v>12</v>
      </c>
      <c r="B42" s="2">
        <v>62</v>
      </c>
      <c r="C42" s="2" t="s">
        <v>215</v>
      </c>
      <c r="D42" s="2"/>
      <c r="E42" s="3">
        <v>0</v>
      </c>
      <c r="G42" s="2"/>
      <c r="I42" s="1" t="s">
        <v>1456</v>
      </c>
      <c r="J42" s="33" t="s">
        <v>1390</v>
      </c>
    </row>
    <row r="43" spans="1:10" ht="15.75" thickBot="1" x14ac:dyDescent="0.3">
      <c r="A43" s="26">
        <v>12</v>
      </c>
      <c r="B43" s="27">
        <v>62</v>
      </c>
      <c r="C43" s="27" t="s">
        <v>221</v>
      </c>
      <c r="D43" s="27"/>
      <c r="E43" s="28">
        <v>0</v>
      </c>
      <c r="F43" s="30"/>
      <c r="G43" s="27"/>
      <c r="H43" s="30"/>
      <c r="I43" s="29" t="s">
        <v>1456</v>
      </c>
      <c r="J43" s="34" t="s">
        <v>1390</v>
      </c>
    </row>
    <row r="44" spans="1:10" x14ac:dyDescent="0.25">
      <c r="A44" s="18">
        <v>15</v>
      </c>
      <c r="B44" s="19">
        <v>86</v>
      </c>
      <c r="C44" s="19" t="s">
        <v>186</v>
      </c>
      <c r="D44" s="19"/>
      <c r="E44" s="20">
        <v>2</v>
      </c>
      <c r="F44" s="22" t="s">
        <v>1842</v>
      </c>
      <c r="G44" s="19" t="s">
        <v>1837</v>
      </c>
      <c r="H44" s="22" t="s">
        <v>1832</v>
      </c>
      <c r="I44" s="21" t="s">
        <v>1457</v>
      </c>
      <c r="J44" s="32"/>
    </row>
    <row r="45" spans="1:10" x14ac:dyDescent="0.25">
      <c r="A45" s="24">
        <v>15</v>
      </c>
      <c r="B45" s="2">
        <v>86</v>
      </c>
      <c r="C45" s="2" t="s">
        <v>192</v>
      </c>
      <c r="D45" s="2"/>
      <c r="E45" s="3">
        <v>1</v>
      </c>
      <c r="F45" t="s">
        <v>1843</v>
      </c>
      <c r="G45" s="2" t="s">
        <v>1838</v>
      </c>
      <c r="H45" t="s">
        <v>1833</v>
      </c>
      <c r="I45" s="1" t="s">
        <v>1457</v>
      </c>
      <c r="J45" s="33"/>
    </row>
    <row r="46" spans="1:10" x14ac:dyDescent="0.25">
      <c r="A46" s="24">
        <v>15</v>
      </c>
      <c r="B46" s="2">
        <v>86</v>
      </c>
      <c r="C46" s="2" t="s">
        <v>198</v>
      </c>
      <c r="D46" s="2"/>
      <c r="E46" s="3">
        <v>2</v>
      </c>
      <c r="F46" t="s">
        <v>1844</v>
      </c>
      <c r="G46" s="2" t="s">
        <v>1839</v>
      </c>
      <c r="H46" t="s">
        <v>1834</v>
      </c>
      <c r="I46" s="1" t="s">
        <v>1457</v>
      </c>
      <c r="J46" s="33"/>
    </row>
    <row r="47" spans="1:10" x14ac:dyDescent="0.25">
      <c r="A47" s="24">
        <v>15</v>
      </c>
      <c r="B47" s="2">
        <v>86</v>
      </c>
      <c r="C47" s="2" t="s">
        <v>204</v>
      </c>
      <c r="D47" s="2"/>
      <c r="E47" s="3">
        <v>1</v>
      </c>
      <c r="F47" t="s">
        <v>1814</v>
      </c>
      <c r="G47" s="2" t="s">
        <v>1840</v>
      </c>
      <c r="H47" t="s">
        <v>1835</v>
      </c>
      <c r="I47" s="1" t="s">
        <v>1541</v>
      </c>
      <c r="J47" s="33"/>
    </row>
    <row r="48" spans="1:10" x14ac:dyDescent="0.25">
      <c r="A48" s="24">
        <v>15</v>
      </c>
      <c r="B48" s="2">
        <v>86</v>
      </c>
      <c r="C48" s="2" t="s">
        <v>210</v>
      </c>
      <c r="D48" s="2"/>
      <c r="E48" s="3">
        <v>1</v>
      </c>
      <c r="F48" t="s">
        <v>1845</v>
      </c>
      <c r="G48" s="2" t="s">
        <v>1841</v>
      </c>
      <c r="H48" t="s">
        <v>1836</v>
      </c>
      <c r="I48" s="1" t="s">
        <v>1457</v>
      </c>
      <c r="J48" s="33"/>
    </row>
    <row r="49" spans="1:10" x14ac:dyDescent="0.25">
      <c r="A49" s="24">
        <v>15</v>
      </c>
      <c r="B49" s="2">
        <v>86</v>
      </c>
      <c r="C49" s="2" t="s">
        <v>215</v>
      </c>
      <c r="D49" s="2"/>
      <c r="E49" s="3">
        <v>0</v>
      </c>
      <c r="G49" s="2"/>
      <c r="I49" s="1" t="s">
        <v>1456</v>
      </c>
      <c r="J49" s="33" t="s">
        <v>1390</v>
      </c>
    </row>
    <row r="50" spans="1:10" ht="15.75" thickBot="1" x14ac:dyDescent="0.3">
      <c r="A50" s="26">
        <v>15</v>
      </c>
      <c r="B50" s="27">
        <v>86</v>
      </c>
      <c r="C50" s="27" t="s">
        <v>221</v>
      </c>
      <c r="D50" s="27"/>
      <c r="E50" s="28">
        <v>0</v>
      </c>
      <c r="F50" s="30"/>
      <c r="G50" s="27"/>
      <c r="H50" s="30"/>
      <c r="I50" s="29" t="s">
        <v>1456</v>
      </c>
      <c r="J50" s="34" t="s">
        <v>1390</v>
      </c>
    </row>
    <row r="51" spans="1:10" x14ac:dyDescent="0.25">
      <c r="A51" s="18">
        <v>32</v>
      </c>
      <c r="B51" s="19">
        <v>188</v>
      </c>
      <c r="C51" s="19" t="s">
        <v>186</v>
      </c>
      <c r="D51" s="19"/>
      <c r="E51" s="20">
        <v>2</v>
      </c>
      <c r="F51" s="22" t="s">
        <v>1943</v>
      </c>
      <c r="G51" s="19" t="s">
        <v>1936</v>
      </c>
      <c r="H51" s="22" t="s">
        <v>1929</v>
      </c>
      <c r="I51" s="21" t="s">
        <v>272</v>
      </c>
      <c r="J51" s="32"/>
    </row>
    <row r="52" spans="1:10" x14ac:dyDescent="0.25">
      <c r="A52" s="24">
        <v>32</v>
      </c>
      <c r="B52" s="2">
        <v>188</v>
      </c>
      <c r="C52" s="2" t="s">
        <v>192</v>
      </c>
      <c r="D52" s="2"/>
      <c r="E52" s="3">
        <v>2</v>
      </c>
      <c r="F52" t="s">
        <v>1944</v>
      </c>
      <c r="G52" s="2" t="s">
        <v>1937</v>
      </c>
      <c r="H52" t="s">
        <v>1930</v>
      </c>
      <c r="I52" s="1" t="s">
        <v>272</v>
      </c>
      <c r="J52" s="33"/>
    </row>
    <row r="53" spans="1:10" x14ac:dyDescent="0.25">
      <c r="A53" s="24">
        <v>32</v>
      </c>
      <c r="B53" s="2">
        <v>188</v>
      </c>
      <c r="C53" s="2" t="s">
        <v>198</v>
      </c>
      <c r="D53" s="2"/>
      <c r="E53" s="3">
        <v>2</v>
      </c>
      <c r="F53" t="s">
        <v>1945</v>
      </c>
      <c r="G53" s="2" t="s">
        <v>1938</v>
      </c>
      <c r="H53" t="s">
        <v>1931</v>
      </c>
      <c r="I53" s="1" t="s">
        <v>273</v>
      </c>
      <c r="J53" s="33"/>
    </row>
    <row r="54" spans="1:10" x14ac:dyDescent="0.25">
      <c r="A54" s="24">
        <v>32</v>
      </c>
      <c r="B54" s="2">
        <v>188</v>
      </c>
      <c r="C54" s="2" t="s">
        <v>204</v>
      </c>
      <c r="D54" s="2"/>
      <c r="E54" s="3">
        <v>2</v>
      </c>
      <c r="F54" t="s">
        <v>1946</v>
      </c>
      <c r="G54" s="2" t="s">
        <v>1939</v>
      </c>
      <c r="H54" t="s">
        <v>1932</v>
      </c>
      <c r="I54" s="1" t="s">
        <v>273</v>
      </c>
      <c r="J54" s="33"/>
    </row>
    <row r="55" spans="1:10" x14ac:dyDescent="0.25">
      <c r="A55" s="24">
        <v>32</v>
      </c>
      <c r="B55" s="2">
        <v>188</v>
      </c>
      <c r="C55" s="2" t="s">
        <v>210</v>
      </c>
      <c r="D55" s="2"/>
      <c r="E55" s="3">
        <v>2</v>
      </c>
      <c r="F55" t="s">
        <v>1947</v>
      </c>
      <c r="G55" s="2" t="s">
        <v>1940</v>
      </c>
      <c r="H55" t="s">
        <v>1933</v>
      </c>
      <c r="I55" s="1" t="s">
        <v>272</v>
      </c>
      <c r="J55" s="33"/>
    </row>
    <row r="56" spans="1:10" x14ac:dyDescent="0.25">
      <c r="A56" s="24">
        <v>32</v>
      </c>
      <c r="B56" s="2">
        <v>188</v>
      </c>
      <c r="C56" s="2" t="s">
        <v>215</v>
      </c>
      <c r="D56" s="2"/>
      <c r="E56" s="3">
        <v>2</v>
      </c>
      <c r="F56" t="s">
        <v>1948</v>
      </c>
      <c r="G56" s="2" t="s">
        <v>1941</v>
      </c>
      <c r="H56" t="s">
        <v>1934</v>
      </c>
      <c r="I56" s="1" t="s">
        <v>272</v>
      </c>
      <c r="J56" s="33"/>
    </row>
    <row r="57" spans="1:10" ht="15.75" thickBot="1" x14ac:dyDescent="0.3">
      <c r="A57" s="26">
        <v>32</v>
      </c>
      <c r="B57" s="27">
        <v>188</v>
      </c>
      <c r="C57" s="27" t="s">
        <v>221</v>
      </c>
      <c r="D57" s="27"/>
      <c r="E57" s="28">
        <v>1</v>
      </c>
      <c r="F57" t="s">
        <v>1949</v>
      </c>
      <c r="G57" s="27" t="s">
        <v>1942</v>
      </c>
      <c r="H57" s="30" t="s">
        <v>1935</v>
      </c>
      <c r="I57" s="29" t="s">
        <v>272</v>
      </c>
      <c r="J57" s="34"/>
    </row>
    <row r="58" spans="1:10" x14ac:dyDescent="0.25">
      <c r="A58" s="2"/>
      <c r="B58" s="2"/>
      <c r="C58" s="2"/>
      <c r="D58" s="2"/>
      <c r="E58" s="3"/>
      <c r="G58" s="2"/>
      <c r="I58" s="1"/>
    </row>
    <row r="59" spans="1:10" x14ac:dyDescent="0.25">
      <c r="A59" s="2"/>
      <c r="B59" s="2"/>
      <c r="C59" s="2"/>
      <c r="D59" s="2"/>
      <c r="E59" s="3"/>
      <c r="G59" s="2"/>
      <c r="I59" s="1"/>
    </row>
    <row r="60" spans="1:10" x14ac:dyDescent="0.25">
      <c r="A60" s="2"/>
      <c r="B60" s="2"/>
      <c r="C60" s="2"/>
      <c r="D60" s="2"/>
      <c r="E60" s="3"/>
      <c r="G60" s="2"/>
      <c r="I60" s="1"/>
    </row>
    <row r="61" spans="1:10" x14ac:dyDescent="0.25">
      <c r="A61" s="2"/>
      <c r="B61" s="2"/>
      <c r="C61" s="2"/>
      <c r="D61" s="2"/>
      <c r="E61" s="3"/>
      <c r="G61" s="2"/>
      <c r="I61" s="1"/>
    </row>
    <row r="62" spans="1:10" x14ac:dyDescent="0.25">
      <c r="A62" s="2"/>
      <c r="B62" s="2"/>
      <c r="C62" s="2"/>
      <c r="D62" s="2"/>
      <c r="E62" s="3"/>
      <c r="G62" s="2"/>
      <c r="I62" s="1"/>
    </row>
    <row r="63" spans="1:10" x14ac:dyDescent="0.25">
      <c r="A63" s="2"/>
      <c r="B63" s="2"/>
      <c r="C63" s="2"/>
      <c r="D63" s="2"/>
      <c r="E63" s="3"/>
      <c r="G63" s="2"/>
      <c r="I63" s="1"/>
    </row>
    <row r="64" spans="1:10" x14ac:dyDescent="0.25">
      <c r="A64" s="2"/>
      <c r="B64" s="2"/>
      <c r="C64" s="2"/>
      <c r="D64" s="2"/>
      <c r="E64" s="3"/>
      <c r="G64" s="2"/>
      <c r="I64" s="1"/>
    </row>
    <row r="65" spans="1:9" x14ac:dyDescent="0.25">
      <c r="A65" s="2"/>
      <c r="B65" s="2"/>
      <c r="C65" s="2"/>
      <c r="D65" s="2"/>
      <c r="E65" s="3"/>
      <c r="G65" s="2"/>
      <c r="I65" s="1"/>
    </row>
    <row r="66" spans="1:9" x14ac:dyDescent="0.25">
      <c r="A66" s="2"/>
      <c r="B66" s="2"/>
      <c r="C66" s="2"/>
      <c r="D66" s="2"/>
      <c r="E66" s="3"/>
      <c r="G66" s="2"/>
      <c r="I66" s="1"/>
    </row>
    <row r="67" spans="1:9" x14ac:dyDescent="0.25">
      <c r="A67" s="2"/>
      <c r="B67" s="2"/>
      <c r="C67" s="2"/>
      <c r="D67" s="2"/>
      <c r="E67" s="3"/>
      <c r="G67" s="2"/>
      <c r="I67" s="1"/>
    </row>
    <row r="68" spans="1:9" x14ac:dyDescent="0.25">
      <c r="A68" s="2"/>
      <c r="B68" s="2"/>
      <c r="C68" s="2"/>
      <c r="D68" s="2"/>
      <c r="E68" s="3"/>
      <c r="G68" s="2"/>
      <c r="I68" s="1"/>
    </row>
    <row r="69" spans="1:9" x14ac:dyDescent="0.25">
      <c r="A69" s="2"/>
      <c r="B69" s="2"/>
      <c r="C69" s="2"/>
      <c r="D69" s="2"/>
      <c r="E69" s="3"/>
      <c r="G69" s="2"/>
      <c r="I69" s="1"/>
    </row>
    <row r="70" spans="1:9" x14ac:dyDescent="0.25">
      <c r="A70" s="2"/>
      <c r="B70" s="2"/>
      <c r="C70" s="2"/>
      <c r="D70" s="2"/>
      <c r="E70" s="3"/>
      <c r="G70" s="2"/>
      <c r="I70" s="1"/>
    </row>
    <row r="71" spans="1:9" x14ac:dyDescent="0.25">
      <c r="A71" s="2"/>
      <c r="B71" s="2"/>
      <c r="C71" s="2"/>
      <c r="D71" s="2"/>
      <c r="E71" s="3"/>
      <c r="G71" s="2"/>
      <c r="I71" s="1"/>
    </row>
    <row r="72" spans="1:9" x14ac:dyDescent="0.25">
      <c r="A72" s="2"/>
      <c r="B72" s="2"/>
      <c r="C72" s="2"/>
      <c r="D72" s="2"/>
      <c r="E72" s="3"/>
      <c r="G72" s="2"/>
      <c r="I72" s="1"/>
    </row>
    <row r="73" spans="1:9" x14ac:dyDescent="0.25">
      <c r="A73" s="2"/>
      <c r="B73" s="2"/>
      <c r="C73" s="2"/>
      <c r="D73" s="2"/>
      <c r="E73" s="3"/>
      <c r="G73" s="2"/>
      <c r="I73" s="1"/>
    </row>
    <row r="74" spans="1:9" x14ac:dyDescent="0.25">
      <c r="A74" s="2"/>
      <c r="B74" s="2"/>
      <c r="C74" s="2"/>
      <c r="D74" s="2"/>
      <c r="E74" s="3"/>
      <c r="G74" s="2"/>
      <c r="I74" s="1"/>
    </row>
    <row r="75" spans="1:9" x14ac:dyDescent="0.25">
      <c r="A75" s="2"/>
      <c r="B75" s="2"/>
      <c r="C75" s="2"/>
      <c r="D75" s="2"/>
      <c r="E75" s="3"/>
      <c r="G75" s="2"/>
      <c r="I75" s="1"/>
    </row>
    <row r="76" spans="1:9" x14ac:dyDescent="0.25">
      <c r="A76" s="2"/>
      <c r="B76" s="2"/>
      <c r="C76" s="2"/>
      <c r="D76" s="2"/>
      <c r="E76" s="3"/>
      <c r="G76" s="2"/>
      <c r="I76" s="1"/>
    </row>
    <row r="77" spans="1:9" x14ac:dyDescent="0.25">
      <c r="A77" s="2"/>
      <c r="B77" s="2"/>
      <c r="C77" s="2"/>
      <c r="D77" s="2"/>
      <c r="E77" s="3"/>
      <c r="G77" s="2"/>
      <c r="I77" s="1"/>
    </row>
    <row r="78" spans="1:9" x14ac:dyDescent="0.25">
      <c r="A78" s="2"/>
      <c r="B78" s="2"/>
      <c r="C78" s="2"/>
      <c r="D78" s="2"/>
      <c r="E78" s="3"/>
      <c r="G78" s="2"/>
      <c r="I78" s="1"/>
    </row>
    <row r="79" spans="1:9" x14ac:dyDescent="0.25">
      <c r="A79" s="2"/>
      <c r="B79" s="2"/>
      <c r="C79" s="2"/>
      <c r="D79" s="2"/>
      <c r="E79" s="3"/>
      <c r="G79" s="2"/>
      <c r="I79" s="1"/>
    </row>
    <row r="80" spans="1:9" x14ac:dyDescent="0.25">
      <c r="A80" s="2"/>
      <c r="B80" s="2"/>
      <c r="C80" s="2"/>
      <c r="D80" s="2"/>
      <c r="E80" s="3"/>
      <c r="G80" s="2"/>
      <c r="I80" s="1"/>
    </row>
    <row r="81" spans="1:9" x14ac:dyDescent="0.25">
      <c r="A81" s="2"/>
      <c r="B81" s="2"/>
      <c r="C81" s="2"/>
      <c r="D81" s="2"/>
      <c r="E81" s="3"/>
      <c r="G81" s="2"/>
      <c r="I81" s="1"/>
    </row>
    <row r="82" spans="1:9" x14ac:dyDescent="0.25">
      <c r="A82" s="2"/>
      <c r="B82" s="2"/>
      <c r="C82" s="2"/>
      <c r="D82" s="2"/>
      <c r="E82" s="3"/>
      <c r="G82" s="2"/>
      <c r="I82" s="1"/>
    </row>
    <row r="83" spans="1:9" x14ac:dyDescent="0.25">
      <c r="A83" s="2"/>
      <c r="B83" s="2"/>
      <c r="C83" s="2"/>
      <c r="D83" s="2"/>
      <c r="E83" s="3"/>
      <c r="G83" s="2"/>
      <c r="I83" s="1"/>
    </row>
    <row r="84" spans="1:9" x14ac:dyDescent="0.25">
      <c r="A84" s="2"/>
      <c r="B84" s="2"/>
      <c r="C84" s="2"/>
      <c r="D84" s="2"/>
      <c r="E84" s="3"/>
      <c r="G84" s="2"/>
      <c r="I84" s="1"/>
    </row>
    <row r="85" spans="1:9" x14ac:dyDescent="0.25">
      <c r="A85" s="2"/>
      <c r="B85" s="2"/>
      <c r="C85" s="2"/>
      <c r="D85" s="2"/>
      <c r="E85" s="3"/>
      <c r="G85" s="2"/>
      <c r="I85" s="1"/>
    </row>
    <row r="86" spans="1:9" x14ac:dyDescent="0.25">
      <c r="A86" s="2"/>
      <c r="B86" s="2"/>
      <c r="C86" s="2"/>
      <c r="D86" s="2"/>
      <c r="E86" s="3"/>
      <c r="G86" s="2"/>
      <c r="I86" s="1"/>
    </row>
    <row r="87" spans="1:9" x14ac:dyDescent="0.25">
      <c r="A87" s="2"/>
      <c r="B87" s="2"/>
      <c r="C87" s="2"/>
      <c r="D87" s="2"/>
      <c r="E87" s="3"/>
      <c r="G87" s="2"/>
      <c r="I87" s="1"/>
    </row>
    <row r="88" spans="1:9" x14ac:dyDescent="0.25">
      <c r="A88" s="2"/>
      <c r="B88" s="2"/>
      <c r="C88" s="2"/>
      <c r="D88" s="2"/>
      <c r="E88" s="3"/>
      <c r="G88" s="2"/>
      <c r="I88" s="1"/>
    </row>
    <row r="89" spans="1:9" x14ac:dyDescent="0.25">
      <c r="A89" s="2"/>
      <c r="B89" s="2"/>
      <c r="C89" s="2"/>
      <c r="D89" s="2"/>
      <c r="E89" s="3"/>
      <c r="G89" s="2"/>
      <c r="I89" s="1"/>
    </row>
    <row r="90" spans="1:9" x14ac:dyDescent="0.25">
      <c r="A90" s="2"/>
      <c r="B90" s="2"/>
      <c r="C90" s="2"/>
      <c r="D90" s="2"/>
      <c r="E90" s="3"/>
      <c r="G90" s="2"/>
      <c r="I90" s="1"/>
    </row>
    <row r="91" spans="1:9" x14ac:dyDescent="0.25">
      <c r="A91" s="2"/>
      <c r="B91" s="2"/>
      <c r="C91" s="2"/>
      <c r="D91" s="2"/>
      <c r="E91" s="3"/>
      <c r="G91" s="2"/>
      <c r="I91" s="1"/>
    </row>
    <row r="92" spans="1:9" x14ac:dyDescent="0.25">
      <c r="A92" s="2"/>
      <c r="B92" s="2"/>
      <c r="C92" s="2"/>
      <c r="D92" s="2"/>
      <c r="E92" s="3"/>
      <c r="G92" s="2"/>
      <c r="I92" s="1"/>
    </row>
    <row r="93" spans="1:9" x14ac:dyDescent="0.25">
      <c r="A93" s="2"/>
      <c r="B93" s="2"/>
      <c r="C93" s="2"/>
      <c r="D93" s="2"/>
      <c r="E93" s="3"/>
      <c r="G93" s="2"/>
      <c r="I93" s="1"/>
    </row>
    <row r="94" spans="1:9" x14ac:dyDescent="0.25">
      <c r="A94" s="2"/>
      <c r="B94" s="2"/>
      <c r="C94" s="2"/>
      <c r="D94" s="2"/>
      <c r="E94" s="3"/>
      <c r="G94" s="2"/>
      <c r="I94" s="1"/>
    </row>
    <row r="95" spans="1:9" x14ac:dyDescent="0.25">
      <c r="A95" s="2"/>
      <c r="B95" s="2"/>
      <c r="C95" s="2"/>
      <c r="D95" s="2"/>
      <c r="E95" s="3"/>
      <c r="G95" s="2"/>
      <c r="I95" s="1"/>
    </row>
    <row r="96" spans="1:9" x14ac:dyDescent="0.25">
      <c r="A96" s="2"/>
      <c r="B96" s="2"/>
      <c r="C96" s="2"/>
      <c r="D96" s="2"/>
      <c r="E96" s="3"/>
      <c r="G96" s="2"/>
      <c r="I96" s="1"/>
    </row>
    <row r="97" spans="1:9" x14ac:dyDescent="0.25">
      <c r="A97" s="2"/>
      <c r="B97" s="2"/>
      <c r="C97" s="2"/>
      <c r="D97" s="2"/>
      <c r="E97" s="3"/>
      <c r="G97" s="2"/>
      <c r="I97" s="1"/>
    </row>
    <row r="98" spans="1:9" x14ac:dyDescent="0.25">
      <c r="A98" s="2"/>
      <c r="B98" s="2"/>
      <c r="C98" s="2"/>
      <c r="D98" s="2"/>
      <c r="E98" s="3"/>
      <c r="G98" s="2"/>
      <c r="I98" s="1"/>
    </row>
    <row r="99" spans="1:9" x14ac:dyDescent="0.25">
      <c r="A99" s="2"/>
      <c r="B99" s="2"/>
      <c r="C99" s="2"/>
      <c r="D99" s="2"/>
      <c r="E99" s="3"/>
      <c r="G99" s="2"/>
      <c r="I99" s="1"/>
    </row>
    <row r="100" spans="1:9" x14ac:dyDescent="0.25">
      <c r="A100" s="2"/>
      <c r="B100" s="2"/>
      <c r="C100" s="2"/>
      <c r="D100" s="2"/>
      <c r="E100" s="3"/>
      <c r="G100" s="2"/>
      <c r="I100" s="1"/>
    </row>
    <row r="101" spans="1:9" x14ac:dyDescent="0.25">
      <c r="A101" s="2"/>
      <c r="B101" s="2"/>
      <c r="C101" s="2"/>
      <c r="D101" s="2"/>
      <c r="E101" s="3"/>
      <c r="G101" s="2"/>
      <c r="I101" s="1"/>
    </row>
    <row r="102" spans="1:9" x14ac:dyDescent="0.25">
      <c r="A102" s="2"/>
      <c r="B102" s="2"/>
      <c r="C102" s="2"/>
      <c r="D102" s="2"/>
      <c r="E102" s="3"/>
      <c r="G102" s="2"/>
      <c r="I102" s="1"/>
    </row>
    <row r="103" spans="1:9" x14ac:dyDescent="0.25">
      <c r="A103" s="2"/>
      <c r="B103" s="2"/>
      <c r="C103" s="2"/>
      <c r="D103" s="2"/>
      <c r="E103" s="3"/>
      <c r="G103" s="2"/>
      <c r="I103" s="1"/>
    </row>
    <row r="104" spans="1:9" x14ac:dyDescent="0.25">
      <c r="A104" s="2"/>
      <c r="B104" s="2"/>
      <c r="C104" s="2"/>
      <c r="D104" s="2"/>
      <c r="E104" s="3"/>
      <c r="G104" s="2"/>
      <c r="I104" s="1"/>
    </row>
    <row r="105" spans="1:9" x14ac:dyDescent="0.25">
      <c r="A105" s="2"/>
      <c r="B105" s="2"/>
      <c r="C105" s="2"/>
      <c r="D105" s="2"/>
      <c r="E105" s="3"/>
      <c r="G105" s="2"/>
      <c r="I105" s="1"/>
    </row>
    <row r="106" spans="1:9" x14ac:dyDescent="0.25">
      <c r="A106" s="2"/>
      <c r="B106" s="2"/>
      <c r="C106" s="2"/>
      <c r="D106" s="2"/>
      <c r="E106" s="3"/>
      <c r="G106" s="2"/>
      <c r="I106" s="1"/>
    </row>
    <row r="107" spans="1:9" x14ac:dyDescent="0.25">
      <c r="A107" s="2"/>
      <c r="B107" s="2"/>
      <c r="C107" s="2"/>
      <c r="D107" s="2"/>
      <c r="E107" s="3"/>
      <c r="G107" s="2"/>
      <c r="I107" s="1"/>
    </row>
    <row r="108" spans="1:9" x14ac:dyDescent="0.25">
      <c r="A108" s="2"/>
      <c r="B108" s="2"/>
      <c r="C108" s="2"/>
      <c r="D108" s="2"/>
      <c r="E108" s="3"/>
      <c r="G108" s="2"/>
      <c r="I108" s="1"/>
    </row>
    <row r="109" spans="1:9" x14ac:dyDescent="0.25">
      <c r="A109" s="2"/>
      <c r="B109" s="2"/>
      <c r="C109" s="2"/>
      <c r="D109" s="2"/>
      <c r="E109" s="3"/>
      <c r="G109" s="2"/>
      <c r="I109" s="1"/>
    </row>
    <row r="110" spans="1:9" x14ac:dyDescent="0.25">
      <c r="A110" s="2"/>
      <c r="B110" s="2"/>
      <c r="C110" s="2"/>
      <c r="D110" s="2"/>
      <c r="E110" s="3"/>
      <c r="G110" s="2"/>
      <c r="I110" s="1"/>
    </row>
    <row r="111" spans="1:9" x14ac:dyDescent="0.25">
      <c r="A111" s="2"/>
      <c r="B111" s="2"/>
      <c r="C111" s="2"/>
      <c r="D111" s="2"/>
      <c r="E111" s="3"/>
      <c r="G111" s="2"/>
      <c r="I111" s="1"/>
    </row>
    <row r="112" spans="1:9" x14ac:dyDescent="0.25">
      <c r="A112" s="2"/>
      <c r="B112" s="2"/>
      <c r="C112" s="2"/>
      <c r="D112" s="2"/>
      <c r="E112" s="3"/>
      <c r="G112" s="2"/>
      <c r="I112" s="1"/>
    </row>
    <row r="113" spans="1:9" x14ac:dyDescent="0.25">
      <c r="A113" s="2"/>
      <c r="B113" s="2"/>
      <c r="C113" s="2"/>
      <c r="D113" s="2"/>
      <c r="E113" s="3"/>
      <c r="G113" s="2"/>
      <c r="I113" s="1"/>
    </row>
    <row r="114" spans="1:9" x14ac:dyDescent="0.25">
      <c r="A114" s="2"/>
      <c r="B114" s="2"/>
      <c r="C114" s="2"/>
      <c r="D114" s="2"/>
      <c r="E114" s="3"/>
      <c r="G114" s="2"/>
      <c r="I114" s="1"/>
    </row>
    <row r="115" spans="1:9" x14ac:dyDescent="0.25">
      <c r="A115" s="2"/>
      <c r="B115" s="2"/>
      <c r="C115" s="2"/>
      <c r="D115" s="2"/>
      <c r="E115" s="3"/>
      <c r="G115" s="2"/>
      <c r="I115" s="1"/>
    </row>
    <row r="116" spans="1:9" x14ac:dyDescent="0.25">
      <c r="A116" s="2"/>
      <c r="B116" s="2"/>
      <c r="C116" s="2"/>
      <c r="D116" s="2"/>
      <c r="E116" s="3"/>
      <c r="G116" s="2"/>
      <c r="I116" s="1"/>
    </row>
    <row r="117" spans="1:9" x14ac:dyDescent="0.25">
      <c r="A117" s="2"/>
      <c r="B117" s="2"/>
      <c r="C117" s="2"/>
      <c r="D117" s="2"/>
      <c r="E117" s="3"/>
      <c r="G117" s="2"/>
      <c r="I117" s="1"/>
    </row>
    <row r="118" spans="1:9" x14ac:dyDescent="0.25">
      <c r="A118" s="2"/>
      <c r="B118" s="2"/>
      <c r="C118" s="2"/>
      <c r="D118" s="2"/>
      <c r="E118" s="3"/>
      <c r="G118" s="2"/>
      <c r="I118" s="1"/>
    </row>
    <row r="119" spans="1:9" x14ac:dyDescent="0.25">
      <c r="A119" s="2"/>
      <c r="B119" s="2"/>
      <c r="C119" s="2"/>
      <c r="D119" s="2"/>
      <c r="E119" s="3"/>
      <c r="G119" s="2"/>
      <c r="I119" s="1"/>
    </row>
    <row r="120" spans="1:9" x14ac:dyDescent="0.25">
      <c r="A120" s="2"/>
      <c r="B120" s="2"/>
      <c r="C120" s="2"/>
      <c r="D120" s="2"/>
      <c r="E120" s="3"/>
      <c r="G120" s="2"/>
      <c r="I120" s="1"/>
    </row>
    <row r="121" spans="1:9" x14ac:dyDescent="0.25">
      <c r="A121" s="2"/>
      <c r="B121" s="2"/>
      <c r="C121" s="2"/>
      <c r="D121" s="2"/>
      <c r="E121" s="3"/>
      <c r="G121" s="2"/>
      <c r="I121" s="1"/>
    </row>
    <row r="122" spans="1:9" x14ac:dyDescent="0.25">
      <c r="A122" s="2"/>
      <c r="B122" s="2"/>
      <c r="C122" s="2"/>
      <c r="D122" s="2"/>
      <c r="E122" s="3"/>
      <c r="G122" s="2"/>
      <c r="I122" s="1"/>
    </row>
    <row r="123" spans="1:9" x14ac:dyDescent="0.25">
      <c r="A123" s="2"/>
      <c r="B123" s="2"/>
      <c r="C123" s="2"/>
      <c r="D123" s="2"/>
      <c r="E123" s="3"/>
      <c r="G123" s="2"/>
      <c r="I123" s="1"/>
    </row>
    <row r="124" spans="1:9" x14ac:dyDescent="0.25">
      <c r="A124" s="2"/>
      <c r="B124" s="2"/>
      <c r="C124" s="2"/>
      <c r="D124" s="2"/>
      <c r="E124" s="3"/>
      <c r="G124" s="2"/>
      <c r="I124" s="1"/>
    </row>
    <row r="125" spans="1:9" x14ac:dyDescent="0.25">
      <c r="A125" s="2"/>
      <c r="B125" s="2"/>
      <c r="C125" s="2"/>
      <c r="D125" s="2"/>
      <c r="E125" s="3"/>
      <c r="G125" s="2"/>
      <c r="I125" s="1"/>
    </row>
    <row r="126" spans="1:9" x14ac:dyDescent="0.25">
      <c r="A126" s="2"/>
      <c r="B126" s="2"/>
      <c r="C126" s="2"/>
      <c r="D126" s="2"/>
      <c r="E126" s="3"/>
      <c r="G126" s="2"/>
      <c r="I126" s="1"/>
    </row>
    <row r="127" spans="1:9" x14ac:dyDescent="0.25">
      <c r="A127" s="2"/>
      <c r="B127" s="2"/>
      <c r="C127" s="2"/>
      <c r="D127" s="2"/>
      <c r="E127" s="3"/>
      <c r="G127" s="2"/>
      <c r="I127" s="1"/>
    </row>
    <row r="128" spans="1:9" x14ac:dyDescent="0.25">
      <c r="A128" s="2"/>
      <c r="B128" s="2"/>
      <c r="C128" s="2"/>
      <c r="D128" s="2"/>
      <c r="E128" s="3"/>
      <c r="G128" s="2"/>
      <c r="I128" s="1"/>
    </row>
    <row r="129" spans="1:9" x14ac:dyDescent="0.25">
      <c r="A129" s="2"/>
      <c r="B129" s="2"/>
      <c r="C129" s="2"/>
      <c r="D129" s="2"/>
      <c r="E129" s="3"/>
      <c r="G129" s="2"/>
      <c r="I129" s="1"/>
    </row>
    <row r="130" spans="1:9" x14ac:dyDescent="0.25">
      <c r="A130" s="2"/>
      <c r="B130" s="2"/>
      <c r="C130" s="2"/>
      <c r="D130" s="2"/>
      <c r="E130" s="3"/>
      <c r="G130" s="2"/>
      <c r="I130" s="1"/>
    </row>
    <row r="131" spans="1:9" x14ac:dyDescent="0.25">
      <c r="A131" s="2"/>
      <c r="B131" s="2"/>
      <c r="C131" s="2"/>
      <c r="D131" s="2"/>
      <c r="E131" s="3"/>
      <c r="G131" s="2"/>
      <c r="I131" s="1"/>
    </row>
    <row r="132" spans="1:9" x14ac:dyDescent="0.25">
      <c r="A132" s="2"/>
      <c r="B132" s="2"/>
      <c r="C132" s="2"/>
      <c r="D132" s="2"/>
      <c r="E132" s="3"/>
      <c r="G132" s="2"/>
      <c r="I132" s="1"/>
    </row>
    <row r="133" spans="1:9" x14ac:dyDescent="0.25">
      <c r="A133" s="2"/>
      <c r="B133" s="2"/>
      <c r="C133" s="2"/>
      <c r="D133" s="2"/>
      <c r="E133" s="3"/>
      <c r="G133" s="2"/>
      <c r="I133" s="1"/>
    </row>
    <row r="134" spans="1:9" x14ac:dyDescent="0.25">
      <c r="A134" s="2"/>
      <c r="B134" s="2"/>
      <c r="C134" s="2"/>
      <c r="D134" s="2"/>
      <c r="E134" s="3"/>
      <c r="G134" s="2"/>
      <c r="I134" s="1"/>
    </row>
    <row r="135" spans="1:9" x14ac:dyDescent="0.25">
      <c r="A135" s="2"/>
      <c r="B135" s="2"/>
      <c r="C135" s="2"/>
      <c r="D135" s="2"/>
      <c r="E135" s="3"/>
      <c r="G135" s="2"/>
      <c r="I135" s="1"/>
    </row>
    <row r="136" spans="1:9" x14ac:dyDescent="0.25">
      <c r="A136" s="2"/>
      <c r="B136" s="2"/>
      <c r="C136" s="2"/>
      <c r="D136" s="2"/>
      <c r="E136" s="3"/>
      <c r="G136" s="2"/>
      <c r="I136" s="1"/>
    </row>
    <row r="137" spans="1:9" x14ac:dyDescent="0.25">
      <c r="A137" s="2"/>
      <c r="B137" s="2"/>
      <c r="C137" s="2"/>
      <c r="D137" s="2"/>
      <c r="E137" s="3"/>
      <c r="G137" s="2"/>
      <c r="I137" s="1"/>
    </row>
    <row r="138" spans="1:9" x14ac:dyDescent="0.25">
      <c r="A138" s="2"/>
      <c r="B138" s="2"/>
      <c r="C138" s="2"/>
      <c r="D138" s="2"/>
      <c r="E138" s="3"/>
      <c r="G138" s="2"/>
      <c r="I138" s="1"/>
    </row>
    <row r="139" spans="1:9" x14ac:dyDescent="0.25">
      <c r="A139" s="2"/>
      <c r="B139" s="2"/>
      <c r="C139" s="2"/>
      <c r="D139" s="2"/>
      <c r="E139" s="3"/>
      <c r="G139" s="2"/>
      <c r="I139" s="1"/>
    </row>
    <row r="140" spans="1:9" x14ac:dyDescent="0.25">
      <c r="A140" s="2"/>
      <c r="B140" s="2"/>
      <c r="C140" s="2"/>
      <c r="D140" s="2"/>
      <c r="E140" s="3"/>
      <c r="G140" s="2"/>
      <c r="I140" s="1"/>
    </row>
    <row r="141" spans="1:9" x14ac:dyDescent="0.25">
      <c r="A141" s="2"/>
      <c r="B141" s="2"/>
      <c r="C141" s="2"/>
      <c r="D141" s="2"/>
      <c r="E141" s="3"/>
      <c r="G141" s="2"/>
      <c r="I141" s="1"/>
    </row>
    <row r="142" spans="1:9" x14ac:dyDescent="0.25">
      <c r="A142" s="2"/>
      <c r="B142" s="2"/>
      <c r="C142" s="2"/>
      <c r="D142" s="2"/>
      <c r="E142" s="3"/>
      <c r="G142" s="2"/>
      <c r="I142" s="1"/>
    </row>
    <row r="143" spans="1:9" x14ac:dyDescent="0.25">
      <c r="A143" s="2"/>
      <c r="B143" s="2"/>
      <c r="C143" s="2"/>
      <c r="D143" s="2"/>
      <c r="E143" s="3"/>
      <c r="G143" s="2"/>
      <c r="I143" s="1"/>
    </row>
    <row r="144" spans="1:9" x14ac:dyDescent="0.25">
      <c r="A144" s="2"/>
      <c r="B144" s="2"/>
      <c r="C144" s="2"/>
      <c r="D144" s="2"/>
      <c r="E144" s="3"/>
      <c r="G144" s="2"/>
      <c r="I144" s="1"/>
    </row>
    <row r="145" spans="1:9" x14ac:dyDescent="0.25">
      <c r="A145" s="2"/>
      <c r="B145" s="2"/>
      <c r="C145" s="2"/>
      <c r="D145" s="2"/>
      <c r="E145" s="3"/>
      <c r="G145" s="2"/>
      <c r="I145" s="1"/>
    </row>
    <row r="146" spans="1:9" x14ac:dyDescent="0.25">
      <c r="A146" s="2"/>
      <c r="B146" s="2"/>
      <c r="C146" s="2"/>
      <c r="D146" s="2"/>
      <c r="E146" s="3"/>
      <c r="G146" s="2"/>
      <c r="I146" s="1"/>
    </row>
    <row r="147" spans="1:9" x14ac:dyDescent="0.25">
      <c r="A147" s="2"/>
      <c r="B147" s="2"/>
      <c r="C147" s="2"/>
      <c r="D147" s="2"/>
      <c r="E147" s="3"/>
      <c r="G147" s="2"/>
      <c r="I147" s="1"/>
    </row>
    <row r="148" spans="1:9" x14ac:dyDescent="0.25">
      <c r="A148" s="2"/>
      <c r="B148" s="2"/>
      <c r="C148" s="2"/>
      <c r="D148" s="2"/>
      <c r="E148" s="3"/>
      <c r="G148" s="2"/>
      <c r="I148" s="1"/>
    </row>
    <row r="149" spans="1:9" x14ac:dyDescent="0.25">
      <c r="A149" s="2"/>
      <c r="B149" s="2"/>
      <c r="C149" s="2"/>
      <c r="D149" s="2"/>
      <c r="E149" s="3"/>
      <c r="G149" s="2"/>
      <c r="I149" s="1"/>
    </row>
    <row r="150" spans="1:9" x14ac:dyDescent="0.25">
      <c r="A150" s="2"/>
      <c r="B150" s="2"/>
      <c r="C150" s="2"/>
      <c r="D150" s="2"/>
      <c r="E150" s="3"/>
      <c r="G150" s="2"/>
      <c r="I150" s="1"/>
    </row>
    <row r="151" spans="1:9" x14ac:dyDescent="0.25">
      <c r="A151" s="2"/>
      <c r="B151" s="2"/>
      <c r="C151" s="2"/>
      <c r="D151" s="2"/>
      <c r="E151" s="3"/>
      <c r="G151" s="2"/>
      <c r="I151" s="1"/>
    </row>
    <row r="152" spans="1:9" x14ac:dyDescent="0.25">
      <c r="A152" s="2"/>
      <c r="B152" s="2"/>
      <c r="C152" s="2"/>
      <c r="D152" s="2"/>
      <c r="E152" s="3"/>
      <c r="G152" s="2"/>
      <c r="I152" s="1"/>
    </row>
    <row r="153" spans="1:9" x14ac:dyDescent="0.25">
      <c r="A153" s="2"/>
      <c r="B153" s="2"/>
      <c r="C153" s="2"/>
      <c r="D153" s="2"/>
      <c r="E153" s="3"/>
      <c r="G153" s="2"/>
      <c r="I153" s="1"/>
    </row>
    <row r="154" spans="1:9" x14ac:dyDescent="0.25">
      <c r="A154" s="2"/>
      <c r="B154" s="2"/>
      <c r="C154" s="2"/>
      <c r="D154" s="2"/>
      <c r="E154" s="3"/>
      <c r="G154" s="2"/>
      <c r="I154" s="1"/>
    </row>
    <row r="155" spans="1:9" x14ac:dyDescent="0.25">
      <c r="A155" s="2"/>
      <c r="B155" s="2"/>
      <c r="C155" s="2"/>
      <c r="D155" s="2"/>
      <c r="E155" s="3"/>
      <c r="G155" s="2"/>
      <c r="I155" s="1"/>
    </row>
    <row r="156" spans="1:9" x14ac:dyDescent="0.25">
      <c r="A156" s="2"/>
      <c r="B156" s="2"/>
      <c r="C156" s="2"/>
      <c r="D156" s="2"/>
      <c r="E156" s="3"/>
      <c r="G156" s="2"/>
      <c r="I156" s="1"/>
    </row>
    <row r="157" spans="1:9" x14ac:dyDescent="0.25">
      <c r="A157" s="2"/>
      <c r="B157" s="2"/>
      <c r="C157" s="2"/>
      <c r="D157" s="2"/>
      <c r="E157" s="3"/>
      <c r="G157" s="2"/>
      <c r="I157" s="1"/>
    </row>
    <row r="158" spans="1:9" x14ac:dyDescent="0.25">
      <c r="A158" s="2"/>
      <c r="B158" s="2"/>
      <c r="C158" s="2"/>
      <c r="D158" s="2"/>
      <c r="E158" s="3"/>
      <c r="G158" s="2"/>
      <c r="I158" s="1"/>
    </row>
    <row r="159" spans="1:9" x14ac:dyDescent="0.25">
      <c r="A159" s="2"/>
      <c r="B159" s="2"/>
      <c r="C159" s="2"/>
      <c r="D159" s="2"/>
      <c r="E159" s="3"/>
      <c r="G159" s="2"/>
      <c r="I159" s="1"/>
    </row>
    <row r="160" spans="1:9" x14ac:dyDescent="0.25">
      <c r="A160" s="2"/>
      <c r="B160" s="2"/>
      <c r="C160" s="2"/>
      <c r="D160" s="2"/>
      <c r="E160" s="3"/>
      <c r="G160" s="2"/>
      <c r="I160" s="1"/>
    </row>
    <row r="161" spans="1:9" x14ac:dyDescent="0.25">
      <c r="A161" s="2"/>
      <c r="B161" s="2"/>
      <c r="C161" s="2"/>
      <c r="D161" s="2"/>
      <c r="E161" s="3"/>
      <c r="G161" s="2"/>
      <c r="I161" s="1"/>
    </row>
    <row r="162" spans="1:9" x14ac:dyDescent="0.25">
      <c r="A162" s="2"/>
      <c r="B162" s="2"/>
      <c r="C162" s="2"/>
      <c r="D162" s="2"/>
      <c r="E162" s="3"/>
      <c r="G162" s="2"/>
      <c r="I162" s="1"/>
    </row>
    <row r="163" spans="1:9" x14ac:dyDescent="0.25">
      <c r="A163" s="2"/>
      <c r="B163" s="2"/>
      <c r="C163" s="2"/>
      <c r="D163" s="2"/>
      <c r="E163" s="3"/>
      <c r="G163" s="2"/>
      <c r="I163" s="1"/>
    </row>
    <row r="164" spans="1:9" x14ac:dyDescent="0.25">
      <c r="A164" s="2"/>
      <c r="B164" s="2"/>
      <c r="C164" s="2"/>
      <c r="D164" s="2"/>
      <c r="E164" s="3"/>
      <c r="G164" s="2"/>
      <c r="I164" s="1"/>
    </row>
    <row r="165" spans="1:9" x14ac:dyDescent="0.25">
      <c r="A165" s="2"/>
      <c r="B165" s="2"/>
      <c r="C165" s="2"/>
      <c r="D165" s="2"/>
      <c r="E165" s="3"/>
      <c r="G165" s="2"/>
      <c r="I165" s="1"/>
    </row>
    <row r="166" spans="1:9" x14ac:dyDescent="0.25">
      <c r="A166" s="2"/>
      <c r="B166" s="2"/>
      <c r="C166" s="2"/>
      <c r="D166" s="2"/>
      <c r="E166" s="3"/>
      <c r="G166" s="2"/>
      <c r="I166" s="1"/>
    </row>
    <row r="167" spans="1:9" x14ac:dyDescent="0.25">
      <c r="A167" s="2"/>
      <c r="B167" s="2"/>
      <c r="C167" s="2"/>
      <c r="D167" s="2"/>
      <c r="E167" s="3"/>
      <c r="G167" s="2"/>
      <c r="I167" s="1"/>
    </row>
    <row r="168" spans="1:9" x14ac:dyDescent="0.25">
      <c r="A168" s="2"/>
      <c r="B168" s="2"/>
      <c r="C168" s="2"/>
      <c r="D168" s="2"/>
      <c r="E168" s="3"/>
      <c r="G168" s="2"/>
      <c r="I168" s="1"/>
    </row>
    <row r="169" spans="1:9" x14ac:dyDescent="0.25">
      <c r="A169" s="2"/>
      <c r="B169" s="2"/>
      <c r="C169" s="2"/>
      <c r="D169" s="2"/>
      <c r="E169" s="3"/>
      <c r="G169" s="2"/>
      <c r="I169" s="1"/>
    </row>
    <row r="170" spans="1:9" x14ac:dyDescent="0.25">
      <c r="A170" s="2"/>
      <c r="B170" s="2"/>
      <c r="C170" s="2"/>
      <c r="D170" s="2"/>
      <c r="E170" s="3"/>
      <c r="G170" s="2"/>
      <c r="I170" s="1"/>
    </row>
    <row r="171" spans="1:9" x14ac:dyDescent="0.25">
      <c r="A171" s="2"/>
      <c r="B171" s="2"/>
      <c r="C171" s="2"/>
      <c r="D171" s="2"/>
      <c r="E171" s="3"/>
      <c r="G171" s="2"/>
      <c r="I171" s="1"/>
    </row>
    <row r="172" spans="1:9" x14ac:dyDescent="0.25">
      <c r="A172" s="2"/>
      <c r="B172" s="2"/>
      <c r="C172" s="2"/>
      <c r="D172" s="2"/>
      <c r="E172" s="3"/>
      <c r="G172" s="2"/>
      <c r="I172" s="1"/>
    </row>
    <row r="173" spans="1:9" x14ac:dyDescent="0.25">
      <c r="A173" s="2"/>
      <c r="B173" s="2"/>
      <c r="C173" s="2"/>
      <c r="D173" s="2"/>
      <c r="E173" s="3"/>
      <c r="G173" s="2"/>
      <c r="I173" s="1"/>
    </row>
    <row r="174" spans="1:9" x14ac:dyDescent="0.25">
      <c r="A174" s="2"/>
      <c r="B174" s="2"/>
      <c r="C174" s="2"/>
      <c r="D174" s="2"/>
      <c r="E174" s="3"/>
      <c r="G174" s="2"/>
      <c r="I174" s="1"/>
    </row>
    <row r="175" spans="1:9" x14ac:dyDescent="0.25">
      <c r="A175" s="2"/>
      <c r="B175" s="2"/>
      <c r="C175" s="2"/>
      <c r="D175" s="2"/>
      <c r="E175" s="3"/>
      <c r="G175" s="2"/>
      <c r="I175" s="1"/>
    </row>
    <row r="176" spans="1:9" x14ac:dyDescent="0.25">
      <c r="A176" s="2"/>
      <c r="B176" s="2"/>
      <c r="C176" s="2"/>
      <c r="D176" s="2"/>
      <c r="E176" s="3"/>
      <c r="G176" s="2"/>
      <c r="I176" s="1"/>
    </row>
    <row r="177" spans="1:9" x14ac:dyDescent="0.25">
      <c r="A177" s="2"/>
      <c r="B177" s="2"/>
      <c r="C177" s="2"/>
      <c r="D177" s="2"/>
      <c r="E177" s="3"/>
      <c r="G177" s="2"/>
      <c r="I177" s="1"/>
    </row>
    <row r="178" spans="1:9" x14ac:dyDescent="0.25">
      <c r="A178" s="2"/>
      <c r="B178" s="2"/>
      <c r="C178" s="2"/>
      <c r="D178" s="2"/>
      <c r="E178" s="3"/>
      <c r="G178" s="2"/>
      <c r="I178" s="1"/>
    </row>
    <row r="179" spans="1:9" x14ac:dyDescent="0.25">
      <c r="A179" s="2"/>
      <c r="B179" s="2"/>
      <c r="C179" s="2"/>
      <c r="D179" s="2"/>
      <c r="E179" s="3"/>
      <c r="G179" s="2"/>
      <c r="I179" s="1"/>
    </row>
    <row r="180" spans="1:9" x14ac:dyDescent="0.25">
      <c r="A180" s="2"/>
      <c r="B180" s="2"/>
      <c r="C180" s="2"/>
      <c r="D180" s="2"/>
      <c r="E180" s="3"/>
      <c r="G180" s="2"/>
      <c r="I180" s="1"/>
    </row>
    <row r="181" spans="1:9" x14ac:dyDescent="0.25">
      <c r="A181" s="2"/>
      <c r="B181" s="2"/>
      <c r="C181" s="2"/>
      <c r="D181" s="2"/>
      <c r="E181" s="3"/>
      <c r="G181" s="2"/>
      <c r="I181" s="1"/>
    </row>
    <row r="182" spans="1:9" x14ac:dyDescent="0.25">
      <c r="A182" s="2"/>
      <c r="B182" s="2"/>
      <c r="C182" s="2"/>
      <c r="D182" s="2"/>
      <c r="E182" s="3"/>
      <c r="G182" s="2"/>
      <c r="I182" s="1"/>
    </row>
    <row r="183" spans="1:9" x14ac:dyDescent="0.25">
      <c r="A183" s="2"/>
      <c r="B183" s="2"/>
      <c r="C183" s="2"/>
      <c r="D183" s="2"/>
      <c r="E183" s="3"/>
      <c r="G183" s="2"/>
      <c r="I183" s="1"/>
    </row>
    <row r="184" spans="1:9" x14ac:dyDescent="0.25">
      <c r="A184" s="2"/>
      <c r="B184" s="2"/>
      <c r="C184" s="2"/>
      <c r="D184" s="2"/>
      <c r="E184" s="3"/>
      <c r="G184" s="2"/>
      <c r="I184" s="1"/>
    </row>
    <row r="185" spans="1:9" x14ac:dyDescent="0.25">
      <c r="A185" s="2"/>
      <c r="B185" s="2"/>
      <c r="C185" s="2"/>
      <c r="D185" s="2"/>
      <c r="E185" s="3"/>
      <c r="G185" s="2"/>
      <c r="I185" s="1"/>
    </row>
    <row r="186" spans="1:9" x14ac:dyDescent="0.25">
      <c r="A186" s="2"/>
      <c r="B186" s="2"/>
      <c r="C186" s="2"/>
      <c r="D186" s="2"/>
      <c r="E186" s="3"/>
      <c r="G186" s="2"/>
      <c r="I186" s="1"/>
    </row>
    <row r="187" spans="1:9" x14ac:dyDescent="0.25">
      <c r="A187" s="2"/>
      <c r="B187" s="2"/>
      <c r="C187" s="2"/>
      <c r="D187" s="2"/>
      <c r="E187" s="3"/>
      <c r="G187" s="2"/>
      <c r="I187" s="1"/>
    </row>
    <row r="188" spans="1:9" x14ac:dyDescent="0.25">
      <c r="A188" s="2"/>
      <c r="B188" s="2"/>
      <c r="C188" s="2"/>
      <c r="D188" s="2"/>
      <c r="E188" s="3"/>
      <c r="G188" s="2"/>
      <c r="I188" s="1"/>
    </row>
    <row r="189" spans="1:9" x14ac:dyDescent="0.25">
      <c r="A189" s="2"/>
      <c r="B189" s="2"/>
      <c r="C189" s="2"/>
      <c r="D189" s="2"/>
      <c r="E189" s="3"/>
      <c r="G189" s="2"/>
      <c r="I189" s="1"/>
    </row>
    <row r="190" spans="1:9" x14ac:dyDescent="0.25">
      <c r="A190" s="2"/>
      <c r="B190" s="2"/>
      <c r="C190" s="2"/>
      <c r="D190" s="2"/>
      <c r="E190" s="3"/>
      <c r="G190" s="2"/>
      <c r="I190" s="1"/>
    </row>
    <row r="191" spans="1:9" x14ac:dyDescent="0.25">
      <c r="A191" s="2"/>
      <c r="B191" s="2"/>
      <c r="C191" s="2"/>
      <c r="D191" s="2"/>
      <c r="E191" s="3"/>
      <c r="G191" s="2"/>
      <c r="I191" s="1"/>
    </row>
    <row r="192" spans="1:9" x14ac:dyDescent="0.25">
      <c r="A192" s="2"/>
      <c r="B192" s="2"/>
      <c r="C192" s="2"/>
      <c r="D192" s="2"/>
      <c r="E192" s="3"/>
      <c r="G192" s="2"/>
      <c r="I192" s="1"/>
    </row>
    <row r="193" spans="1:9" x14ac:dyDescent="0.25">
      <c r="A193" s="2"/>
      <c r="B193" s="2"/>
      <c r="C193" s="2"/>
      <c r="D193" s="2"/>
      <c r="E193" s="3"/>
      <c r="G193" s="2"/>
      <c r="I193" s="1"/>
    </row>
    <row r="194" spans="1:9" x14ac:dyDescent="0.25">
      <c r="A194" s="2"/>
      <c r="B194" s="2"/>
      <c r="C194" s="2"/>
      <c r="D194" s="2"/>
      <c r="E194" s="3"/>
      <c r="G194" s="2"/>
      <c r="I194" s="1"/>
    </row>
    <row r="195" spans="1:9" x14ac:dyDescent="0.25">
      <c r="A195" s="2"/>
      <c r="B195" s="2"/>
      <c r="C195" s="2"/>
      <c r="D195" s="2"/>
      <c r="E195" s="3"/>
      <c r="G195" s="2"/>
      <c r="I195" s="1"/>
    </row>
    <row r="196" spans="1:9" x14ac:dyDescent="0.25">
      <c r="A196" s="2"/>
      <c r="B196" s="2"/>
      <c r="C196" s="2"/>
      <c r="D196" s="2"/>
      <c r="E196" s="3"/>
      <c r="G196" s="2"/>
      <c r="I196" s="1"/>
    </row>
    <row r="197" spans="1:9" x14ac:dyDescent="0.25">
      <c r="A197" s="2"/>
      <c r="B197" s="2"/>
      <c r="C197" s="2"/>
      <c r="D197" s="2"/>
      <c r="E197" s="3"/>
      <c r="G197" s="2"/>
      <c r="I197" s="1"/>
    </row>
    <row r="198" spans="1:9" x14ac:dyDescent="0.25">
      <c r="A198" s="2"/>
      <c r="B198" s="2"/>
      <c r="C198" s="2"/>
      <c r="D198" s="2"/>
      <c r="E198" s="3"/>
      <c r="G198" s="2"/>
      <c r="I198" s="1"/>
    </row>
    <row r="199" spans="1:9" x14ac:dyDescent="0.25">
      <c r="A199" s="2"/>
      <c r="B199" s="2"/>
      <c r="C199" s="2"/>
      <c r="D199" s="2"/>
      <c r="E199" s="3"/>
      <c r="G199" s="2"/>
      <c r="I199" s="1"/>
    </row>
    <row r="200" spans="1:9" x14ac:dyDescent="0.25">
      <c r="A200" s="2"/>
      <c r="B200" s="2"/>
      <c r="C200" s="2"/>
      <c r="D200" s="2"/>
      <c r="E200" s="3"/>
      <c r="G200" s="2"/>
      <c r="I200" s="1"/>
    </row>
    <row r="201" spans="1:9" x14ac:dyDescent="0.25">
      <c r="A201" s="2"/>
      <c r="B201" s="2"/>
      <c r="C201" s="2"/>
      <c r="D201" s="2"/>
      <c r="E201" s="3"/>
      <c r="G201" s="2"/>
      <c r="I201" s="1"/>
    </row>
    <row r="202" spans="1:9" x14ac:dyDescent="0.25">
      <c r="A202" s="2"/>
      <c r="B202" s="2"/>
      <c r="C202" s="2"/>
      <c r="D202" s="2"/>
      <c r="E202" s="3"/>
      <c r="G202" s="2"/>
      <c r="I202" s="1"/>
    </row>
    <row r="203" spans="1:9" x14ac:dyDescent="0.25">
      <c r="A203" s="2"/>
      <c r="B203" s="2"/>
      <c r="C203" s="2"/>
      <c r="D203" s="2"/>
      <c r="E203" s="3"/>
      <c r="G203" s="2"/>
      <c r="I203" s="1"/>
    </row>
    <row r="204" spans="1:9" x14ac:dyDescent="0.25">
      <c r="A204" s="2"/>
      <c r="B204" s="2"/>
      <c r="C204" s="2"/>
      <c r="D204" s="2"/>
      <c r="E204" s="3"/>
      <c r="G204" s="2"/>
      <c r="I204" s="1"/>
    </row>
    <row r="205" spans="1:9" x14ac:dyDescent="0.25">
      <c r="A205" s="2"/>
      <c r="B205" s="2"/>
      <c r="C205" s="2"/>
      <c r="D205" s="2"/>
      <c r="E205" s="3"/>
      <c r="G205" s="2"/>
      <c r="I205" s="1"/>
    </row>
    <row r="206" spans="1:9" x14ac:dyDescent="0.25">
      <c r="A206" s="2"/>
      <c r="B206" s="2"/>
      <c r="C206" s="2"/>
      <c r="D206" s="2"/>
      <c r="E206" s="3"/>
      <c r="G206" s="2"/>
      <c r="I206" s="1"/>
    </row>
    <row r="207" spans="1:9" x14ac:dyDescent="0.25">
      <c r="A207" s="2"/>
      <c r="B207" s="2"/>
      <c r="C207" s="2"/>
      <c r="D207" s="2"/>
      <c r="E207" s="3"/>
      <c r="G207" s="2"/>
      <c r="I207" s="1"/>
    </row>
    <row r="208" spans="1:9" x14ac:dyDescent="0.25">
      <c r="A208" s="2"/>
      <c r="B208" s="2"/>
      <c r="C208" s="2"/>
      <c r="D208" s="2"/>
      <c r="E208" s="3"/>
      <c r="G208" s="2"/>
      <c r="I208" s="1"/>
    </row>
    <row r="209" spans="1:9" x14ac:dyDescent="0.25">
      <c r="A209" s="2"/>
      <c r="B209" s="2"/>
      <c r="C209" s="2"/>
      <c r="D209" s="2"/>
      <c r="E209" s="3"/>
      <c r="G209" s="2"/>
      <c r="I209" s="1"/>
    </row>
    <row r="210" spans="1:9" x14ac:dyDescent="0.25">
      <c r="A210" s="2"/>
      <c r="B210" s="2"/>
      <c r="C210" s="2"/>
      <c r="D210" s="2"/>
      <c r="E210" s="3"/>
      <c r="G210" s="2"/>
      <c r="I210" s="1"/>
    </row>
  </sheetData>
  <phoneticPr fontId="1"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showErrorMessage="1" xr:uid="{2E67468B-4DD2-4E4A-8EF5-DE8FEA785805}">
          <x14:formula1>
            <xm:f>'99_Lookups'!$K$2:$K$4</xm:f>
          </x14:formula1>
          <xm:sqref>I2:I210</xm:sqref>
        </x14:dataValidation>
        <x14:dataValidation type="list" showInputMessage="1" showErrorMessage="1" xr:uid="{440F9726-A62B-42BC-A39B-41B6A9FD842F}">
          <x14:formula1>
            <xm:f>'99_Lookups'!$Q$2:$Q$5</xm:f>
          </x14:formula1>
          <xm:sqref>E2:E210</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D35BE-7BFE-4C21-B590-ECD26E7BCDE3}">
  <sheetPr>
    <tabColor theme="0" tint="-0.499984740745262"/>
  </sheetPr>
  <dimension ref="A1:M168"/>
  <sheetViews>
    <sheetView workbookViewId="0">
      <selection activeCell="W28" sqref="W28"/>
    </sheetView>
  </sheetViews>
  <sheetFormatPr baseColWidth="10" defaultRowHeight="15" x14ac:dyDescent="0.25"/>
  <cols>
    <col min="1" max="1" width="14" bestFit="1" customWidth="1"/>
    <col min="2" max="2" width="14" customWidth="1"/>
    <col min="3" max="3" width="12.85546875" bestFit="1" customWidth="1"/>
    <col min="4" max="4" width="26.28515625" hidden="1" customWidth="1"/>
    <col min="5" max="5" width="11.7109375" customWidth="1"/>
    <col min="6" max="6" width="16.7109375" customWidth="1"/>
    <col min="7" max="7" width="19" customWidth="1"/>
    <col min="8" max="8" width="16.7109375" customWidth="1"/>
    <col min="9" max="9" width="18.7109375" customWidth="1"/>
    <col min="10" max="10" width="18.28515625" bestFit="1" customWidth="1"/>
  </cols>
  <sheetData>
    <row r="1" spans="1:13" ht="15.75" thickBot="1" x14ac:dyDescent="0.3">
      <c r="A1" t="s">
        <v>0</v>
      </c>
      <c r="B1" t="s">
        <v>8</v>
      </c>
      <c r="C1" t="s">
        <v>37</v>
      </c>
      <c r="D1" t="s">
        <v>45</v>
      </c>
      <c r="E1" t="s">
        <v>46</v>
      </c>
      <c r="F1" t="s">
        <v>32</v>
      </c>
      <c r="G1" t="s">
        <v>33</v>
      </c>
      <c r="H1" t="s">
        <v>47</v>
      </c>
      <c r="I1" t="s">
        <v>34</v>
      </c>
      <c r="J1" t="s">
        <v>35</v>
      </c>
    </row>
    <row r="2" spans="1:13" x14ac:dyDescent="0.25">
      <c r="A2" s="18">
        <v>7</v>
      </c>
      <c r="B2" s="19">
        <v>37</v>
      </c>
      <c r="C2" s="19" t="s">
        <v>186</v>
      </c>
      <c r="D2" s="19"/>
      <c r="E2" s="20">
        <v>2</v>
      </c>
      <c r="F2" s="22" t="s">
        <v>1681</v>
      </c>
      <c r="G2" s="19" t="s">
        <v>1676</v>
      </c>
      <c r="H2" s="22" t="s">
        <v>2105</v>
      </c>
      <c r="I2" s="21" t="s">
        <v>1457</v>
      </c>
      <c r="J2" s="32"/>
    </row>
    <row r="3" spans="1:13" x14ac:dyDescent="0.25">
      <c r="A3" s="24">
        <v>7</v>
      </c>
      <c r="B3" s="2">
        <v>37</v>
      </c>
      <c r="C3" s="2" t="s">
        <v>192</v>
      </c>
      <c r="D3" s="2"/>
      <c r="E3" s="3">
        <v>1</v>
      </c>
      <c r="F3" t="s">
        <v>1682</v>
      </c>
      <c r="G3" s="2" t="s">
        <v>1677</v>
      </c>
      <c r="H3" t="s">
        <v>2106</v>
      </c>
      <c r="I3" s="1" t="s">
        <v>1457</v>
      </c>
      <c r="J3" s="33"/>
      <c r="M3" s="38" t="s">
        <v>2147</v>
      </c>
    </row>
    <row r="4" spans="1:13" x14ac:dyDescent="0.25">
      <c r="A4" s="24">
        <v>7</v>
      </c>
      <c r="B4" s="2">
        <v>37</v>
      </c>
      <c r="C4" s="2" t="s">
        <v>198</v>
      </c>
      <c r="D4" s="2"/>
      <c r="E4" s="3">
        <v>2</v>
      </c>
      <c r="F4" t="s">
        <v>1683</v>
      </c>
      <c r="G4" s="2" t="s">
        <v>1678</v>
      </c>
      <c r="H4" t="s">
        <v>2107</v>
      </c>
      <c r="I4" s="1" t="s">
        <v>1457</v>
      </c>
      <c r="J4" s="33"/>
      <c r="M4" t="s">
        <v>2148</v>
      </c>
    </row>
    <row r="5" spans="1:13" x14ac:dyDescent="0.25">
      <c r="A5" s="24">
        <v>7</v>
      </c>
      <c r="B5" s="2">
        <v>37</v>
      </c>
      <c r="C5" s="2" t="s">
        <v>204</v>
      </c>
      <c r="D5" s="2"/>
      <c r="E5" s="3">
        <v>0</v>
      </c>
      <c r="G5" s="2"/>
      <c r="I5" s="1" t="s">
        <v>1456</v>
      </c>
      <c r="J5" s="33" t="s">
        <v>1390</v>
      </c>
    </row>
    <row r="6" spans="1:13" x14ac:dyDescent="0.25">
      <c r="A6" s="24">
        <v>7</v>
      </c>
      <c r="B6" s="2">
        <v>37</v>
      </c>
      <c r="C6" s="2" t="s">
        <v>210</v>
      </c>
      <c r="D6" s="2"/>
      <c r="E6" s="3">
        <v>1</v>
      </c>
      <c r="F6" t="s">
        <v>1684</v>
      </c>
      <c r="G6" s="2" t="s">
        <v>1679</v>
      </c>
      <c r="H6" t="s">
        <v>2108</v>
      </c>
      <c r="I6" s="1" t="s">
        <v>1541</v>
      </c>
      <c r="J6" s="33"/>
    </row>
    <row r="7" spans="1:13" x14ac:dyDescent="0.25">
      <c r="A7" s="24">
        <v>7</v>
      </c>
      <c r="B7" s="2">
        <v>37</v>
      </c>
      <c r="C7" s="2" t="s">
        <v>215</v>
      </c>
      <c r="D7" s="2"/>
      <c r="E7" s="3">
        <v>0</v>
      </c>
      <c r="G7" s="2"/>
      <c r="I7" s="1" t="s">
        <v>1456</v>
      </c>
      <c r="J7" s="33" t="s">
        <v>1390</v>
      </c>
    </row>
    <row r="8" spans="1:13" ht="15.75" thickBot="1" x14ac:dyDescent="0.3">
      <c r="A8" s="26">
        <v>7</v>
      </c>
      <c r="B8" s="27">
        <v>37</v>
      </c>
      <c r="C8" s="27" t="s">
        <v>221</v>
      </c>
      <c r="D8" s="27"/>
      <c r="E8" s="28">
        <v>1</v>
      </c>
      <c r="F8" s="30" t="s">
        <v>1646</v>
      </c>
      <c r="G8" s="27" t="s">
        <v>1680</v>
      </c>
      <c r="H8" s="30" t="s">
        <v>2109</v>
      </c>
      <c r="I8" s="29" t="s">
        <v>1457</v>
      </c>
      <c r="J8" s="33"/>
    </row>
    <row r="9" spans="1:13" x14ac:dyDescent="0.25">
      <c r="A9" s="18">
        <v>15</v>
      </c>
      <c r="B9" s="19">
        <v>86</v>
      </c>
      <c r="C9" s="19" t="s">
        <v>186</v>
      </c>
      <c r="D9" s="19"/>
      <c r="E9" s="20">
        <v>2</v>
      </c>
      <c r="F9" s="22" t="s">
        <v>1842</v>
      </c>
      <c r="G9" s="19" t="s">
        <v>1837</v>
      </c>
      <c r="H9" s="22" t="s">
        <v>1832</v>
      </c>
      <c r="I9" s="21" t="s">
        <v>1457</v>
      </c>
      <c r="J9" s="32"/>
    </row>
    <row r="10" spans="1:13" x14ac:dyDescent="0.25">
      <c r="A10" s="24">
        <v>15</v>
      </c>
      <c r="B10" s="2">
        <v>86</v>
      </c>
      <c r="C10" s="2" t="s">
        <v>192</v>
      </c>
      <c r="D10" s="2"/>
      <c r="E10" s="3">
        <v>1</v>
      </c>
      <c r="F10" t="s">
        <v>1843</v>
      </c>
      <c r="G10" s="2" t="s">
        <v>1838</v>
      </c>
      <c r="H10" t="s">
        <v>1833</v>
      </c>
      <c r="I10" s="1" t="s">
        <v>1457</v>
      </c>
      <c r="J10" s="33"/>
    </row>
    <row r="11" spans="1:13" x14ac:dyDescent="0.25">
      <c r="A11" s="24">
        <v>15</v>
      </c>
      <c r="B11" s="2">
        <v>86</v>
      </c>
      <c r="C11" s="2" t="s">
        <v>198</v>
      </c>
      <c r="D11" s="2"/>
      <c r="E11" s="3">
        <v>2</v>
      </c>
      <c r="F11" t="s">
        <v>1844</v>
      </c>
      <c r="G11" s="2" t="s">
        <v>1839</v>
      </c>
      <c r="H11" t="s">
        <v>1834</v>
      </c>
      <c r="I11" s="1" t="s">
        <v>1457</v>
      </c>
      <c r="J11" s="33"/>
    </row>
    <row r="12" spans="1:13" x14ac:dyDescent="0.25">
      <c r="A12" s="24">
        <v>15</v>
      </c>
      <c r="B12" s="2">
        <v>86</v>
      </c>
      <c r="C12" s="2" t="s">
        <v>204</v>
      </c>
      <c r="D12" s="2"/>
      <c r="E12" s="3">
        <v>1</v>
      </c>
      <c r="F12" t="s">
        <v>1814</v>
      </c>
      <c r="G12" s="2" t="s">
        <v>1840</v>
      </c>
      <c r="H12" t="s">
        <v>1835</v>
      </c>
      <c r="I12" s="1" t="s">
        <v>1541</v>
      </c>
      <c r="J12" s="33"/>
    </row>
    <row r="13" spans="1:13" x14ac:dyDescent="0.25">
      <c r="A13" s="24">
        <v>15</v>
      </c>
      <c r="B13" s="2">
        <v>86</v>
      </c>
      <c r="C13" s="2" t="s">
        <v>210</v>
      </c>
      <c r="D13" s="2"/>
      <c r="E13" s="3">
        <v>1</v>
      </c>
      <c r="F13" t="s">
        <v>1845</v>
      </c>
      <c r="G13" s="2" t="s">
        <v>1841</v>
      </c>
      <c r="H13" t="s">
        <v>1836</v>
      </c>
      <c r="I13" s="1" t="s">
        <v>1457</v>
      </c>
      <c r="J13" s="33"/>
    </row>
    <row r="14" spans="1:13" x14ac:dyDescent="0.25">
      <c r="A14" s="24">
        <v>15</v>
      </c>
      <c r="B14" s="2">
        <v>86</v>
      </c>
      <c r="C14" s="2" t="s">
        <v>215</v>
      </c>
      <c r="D14" s="2"/>
      <c r="E14" s="3"/>
      <c r="G14" s="2"/>
      <c r="I14" s="1" t="s">
        <v>1456</v>
      </c>
      <c r="J14" s="33" t="s">
        <v>1390</v>
      </c>
    </row>
    <row r="15" spans="1:13" ht="15.75" thickBot="1" x14ac:dyDescent="0.3">
      <c r="A15" s="26">
        <v>15</v>
      </c>
      <c r="B15" s="27">
        <v>86</v>
      </c>
      <c r="C15" s="27" t="s">
        <v>221</v>
      </c>
      <c r="D15" s="27"/>
      <c r="E15" s="28"/>
      <c r="F15" s="30"/>
      <c r="G15" s="27"/>
      <c r="H15" s="30"/>
      <c r="I15" s="29" t="s">
        <v>1456</v>
      </c>
      <c r="J15" s="34" t="s">
        <v>1390</v>
      </c>
    </row>
    <row r="16" spans="1:13" x14ac:dyDescent="0.25">
      <c r="A16" s="2"/>
      <c r="B16" s="2"/>
      <c r="C16" s="2"/>
      <c r="D16" s="2"/>
      <c r="E16" s="3"/>
      <c r="G16" s="2"/>
      <c r="I16" s="1"/>
    </row>
    <row r="17" spans="1:9" x14ac:dyDescent="0.25">
      <c r="A17" s="2"/>
      <c r="B17" s="2"/>
      <c r="C17" s="2"/>
      <c r="D17" s="2"/>
      <c r="E17" s="3"/>
      <c r="G17" s="2"/>
      <c r="I17" s="1"/>
    </row>
    <row r="18" spans="1:9" x14ac:dyDescent="0.25">
      <c r="A18" s="2"/>
      <c r="B18" s="2"/>
      <c r="C18" s="2"/>
      <c r="D18" s="2"/>
      <c r="E18" s="3"/>
      <c r="G18" s="2"/>
      <c r="I18" s="1"/>
    </row>
    <row r="19" spans="1:9" x14ac:dyDescent="0.25">
      <c r="A19" s="2"/>
      <c r="B19" s="2"/>
      <c r="C19" s="2"/>
      <c r="D19" s="2"/>
      <c r="E19" s="3"/>
      <c r="G19" s="2"/>
      <c r="I19" s="1"/>
    </row>
    <row r="20" spans="1:9" x14ac:dyDescent="0.25">
      <c r="A20" s="2"/>
      <c r="B20" s="2"/>
      <c r="C20" s="2"/>
      <c r="D20" s="2"/>
      <c r="E20" s="3"/>
      <c r="G20" s="2"/>
      <c r="I20" s="1"/>
    </row>
    <row r="21" spans="1:9" x14ac:dyDescent="0.25">
      <c r="A21" s="2"/>
      <c r="B21" s="2"/>
      <c r="C21" s="2"/>
      <c r="D21" s="2"/>
      <c r="E21" s="3"/>
      <c r="G21" s="2"/>
      <c r="I21" s="1"/>
    </row>
    <row r="22" spans="1:9" x14ac:dyDescent="0.25">
      <c r="A22" s="2"/>
      <c r="B22" s="2"/>
      <c r="C22" s="2"/>
      <c r="D22" s="2"/>
      <c r="E22" s="3"/>
      <c r="G22" s="2"/>
      <c r="I22" s="1"/>
    </row>
    <row r="23" spans="1:9" x14ac:dyDescent="0.25">
      <c r="A23" s="2"/>
      <c r="B23" s="2"/>
      <c r="C23" s="2"/>
      <c r="D23" s="2"/>
      <c r="E23" s="3"/>
      <c r="G23" s="2"/>
      <c r="I23" s="1"/>
    </row>
    <row r="24" spans="1:9" x14ac:dyDescent="0.25">
      <c r="A24" s="2"/>
      <c r="B24" s="2"/>
      <c r="C24" s="2"/>
      <c r="D24" s="2"/>
      <c r="E24" s="3"/>
      <c r="G24" s="2"/>
      <c r="I24" s="1"/>
    </row>
    <row r="25" spans="1:9" x14ac:dyDescent="0.25">
      <c r="A25" s="2"/>
      <c r="B25" s="2"/>
      <c r="C25" s="2"/>
      <c r="D25" s="2"/>
      <c r="E25" s="3"/>
      <c r="G25" s="2"/>
      <c r="I25" s="1"/>
    </row>
    <row r="26" spans="1:9" x14ac:dyDescent="0.25">
      <c r="A26" s="2"/>
      <c r="B26" s="2"/>
      <c r="C26" s="2"/>
      <c r="D26" s="2"/>
      <c r="E26" s="3"/>
      <c r="G26" s="2"/>
      <c r="I26" s="1"/>
    </row>
    <row r="27" spans="1:9" x14ac:dyDescent="0.25">
      <c r="A27" s="2"/>
      <c r="B27" s="2"/>
      <c r="C27" s="2"/>
      <c r="D27" s="2"/>
      <c r="E27" s="3"/>
      <c r="G27" s="2"/>
      <c r="I27" s="1"/>
    </row>
    <row r="28" spans="1:9" x14ac:dyDescent="0.25">
      <c r="A28" s="2"/>
      <c r="B28" s="2"/>
      <c r="C28" s="2"/>
      <c r="D28" s="2"/>
      <c r="E28" s="3"/>
      <c r="G28" s="2"/>
      <c r="I28" s="1"/>
    </row>
    <row r="29" spans="1:9" x14ac:dyDescent="0.25">
      <c r="A29" s="2"/>
      <c r="B29" s="2"/>
      <c r="C29" s="2"/>
      <c r="D29" s="2"/>
      <c r="E29" s="3"/>
      <c r="G29" s="2"/>
      <c r="I29" s="1"/>
    </row>
    <row r="30" spans="1:9" x14ac:dyDescent="0.25">
      <c r="A30" s="2"/>
      <c r="B30" s="2"/>
      <c r="C30" s="2"/>
      <c r="D30" s="2"/>
      <c r="E30" s="3"/>
      <c r="G30" s="2"/>
      <c r="I30" s="1"/>
    </row>
    <row r="31" spans="1:9" x14ac:dyDescent="0.25">
      <c r="A31" s="2"/>
      <c r="B31" s="2"/>
      <c r="C31" s="2"/>
      <c r="D31" s="2"/>
      <c r="E31" s="3"/>
      <c r="G31" s="2"/>
      <c r="I31" s="1"/>
    </row>
    <row r="32" spans="1:9" x14ac:dyDescent="0.25">
      <c r="A32" s="2"/>
      <c r="B32" s="2"/>
      <c r="C32" s="2"/>
      <c r="D32" s="2"/>
      <c r="E32" s="3"/>
      <c r="G32" s="2"/>
      <c r="I32" s="1"/>
    </row>
    <row r="33" spans="1:9" x14ac:dyDescent="0.25">
      <c r="A33" s="2"/>
      <c r="B33" s="2"/>
      <c r="C33" s="2"/>
      <c r="D33" s="2"/>
      <c r="E33" s="3"/>
      <c r="G33" s="2"/>
      <c r="I33" s="1"/>
    </row>
    <row r="34" spans="1:9" x14ac:dyDescent="0.25">
      <c r="A34" s="2"/>
      <c r="B34" s="2"/>
      <c r="C34" s="2"/>
      <c r="D34" s="2"/>
      <c r="E34" s="3"/>
      <c r="G34" s="2"/>
      <c r="I34" s="1"/>
    </row>
    <row r="35" spans="1:9" x14ac:dyDescent="0.25">
      <c r="A35" s="2"/>
      <c r="B35" s="2"/>
      <c r="C35" s="2"/>
      <c r="D35" s="2"/>
      <c r="E35" s="3"/>
      <c r="G35" s="2"/>
      <c r="I35" s="1"/>
    </row>
    <row r="36" spans="1:9" x14ac:dyDescent="0.25">
      <c r="A36" s="2"/>
      <c r="B36" s="2"/>
      <c r="C36" s="2"/>
      <c r="D36" s="2"/>
      <c r="E36" s="3"/>
      <c r="G36" s="2"/>
      <c r="I36" s="1"/>
    </row>
    <row r="37" spans="1:9" x14ac:dyDescent="0.25">
      <c r="A37" s="2"/>
      <c r="B37" s="2"/>
      <c r="C37" s="2"/>
      <c r="D37" s="2"/>
      <c r="E37" s="3"/>
      <c r="G37" s="2"/>
      <c r="I37" s="1"/>
    </row>
    <row r="38" spans="1:9" x14ac:dyDescent="0.25">
      <c r="A38" s="2"/>
      <c r="B38" s="2"/>
      <c r="C38" s="2"/>
      <c r="D38" s="2"/>
      <c r="E38" s="3"/>
      <c r="G38" s="2"/>
      <c r="I38" s="1"/>
    </row>
    <row r="39" spans="1:9" x14ac:dyDescent="0.25">
      <c r="A39" s="2"/>
      <c r="B39" s="2"/>
      <c r="C39" s="2"/>
      <c r="D39" s="2"/>
      <c r="E39" s="3"/>
      <c r="G39" s="2"/>
      <c r="I39" s="1"/>
    </row>
    <row r="40" spans="1:9" x14ac:dyDescent="0.25">
      <c r="A40" s="2"/>
      <c r="B40" s="2"/>
      <c r="C40" s="2"/>
      <c r="D40" s="2"/>
      <c r="E40" s="3"/>
      <c r="G40" s="2"/>
      <c r="I40" s="1"/>
    </row>
    <row r="41" spans="1:9" x14ac:dyDescent="0.25">
      <c r="A41" s="2"/>
      <c r="B41" s="2"/>
      <c r="C41" s="2"/>
      <c r="D41" s="2"/>
      <c r="E41" s="3"/>
      <c r="G41" s="2"/>
      <c r="I41" s="1"/>
    </row>
    <row r="42" spans="1:9" x14ac:dyDescent="0.25">
      <c r="A42" s="2"/>
      <c r="B42" s="2"/>
      <c r="C42" s="2"/>
      <c r="D42" s="2"/>
      <c r="E42" s="3"/>
      <c r="G42" s="2"/>
      <c r="I42" s="1"/>
    </row>
    <row r="43" spans="1:9" x14ac:dyDescent="0.25">
      <c r="A43" s="2"/>
      <c r="B43" s="2"/>
      <c r="C43" s="2"/>
      <c r="D43" s="2"/>
      <c r="E43" s="3"/>
      <c r="G43" s="2"/>
      <c r="I43" s="1"/>
    </row>
    <row r="44" spans="1:9" x14ac:dyDescent="0.25">
      <c r="A44" s="2"/>
      <c r="B44" s="2"/>
      <c r="C44" s="2"/>
      <c r="D44" s="2"/>
      <c r="E44" s="3"/>
      <c r="G44" s="2"/>
      <c r="I44" s="1"/>
    </row>
    <row r="45" spans="1:9" x14ac:dyDescent="0.25">
      <c r="A45" s="2"/>
      <c r="B45" s="2"/>
      <c r="C45" s="2"/>
      <c r="D45" s="2"/>
      <c r="E45" s="3"/>
      <c r="G45" s="2"/>
      <c r="I45" s="1"/>
    </row>
    <row r="46" spans="1:9" x14ac:dyDescent="0.25">
      <c r="A46" s="2"/>
      <c r="B46" s="2"/>
      <c r="C46" s="2"/>
      <c r="D46" s="2"/>
      <c r="E46" s="3"/>
      <c r="G46" s="2"/>
      <c r="I46" s="1"/>
    </row>
    <row r="47" spans="1:9" x14ac:dyDescent="0.25">
      <c r="A47" s="2"/>
      <c r="B47" s="2"/>
      <c r="C47" s="2"/>
      <c r="D47" s="2"/>
      <c r="E47" s="3"/>
      <c r="G47" s="2"/>
      <c r="I47" s="1"/>
    </row>
    <row r="48" spans="1:9" x14ac:dyDescent="0.25">
      <c r="A48" s="2"/>
      <c r="B48" s="2"/>
      <c r="C48" s="2"/>
      <c r="D48" s="2"/>
      <c r="E48" s="3"/>
      <c r="G48" s="2"/>
      <c r="I48" s="1"/>
    </row>
    <row r="49" spans="1:9" x14ac:dyDescent="0.25">
      <c r="A49" s="2"/>
      <c r="B49" s="2"/>
      <c r="C49" s="2"/>
      <c r="D49" s="2"/>
      <c r="E49" s="3"/>
      <c r="G49" s="2"/>
      <c r="I49" s="1"/>
    </row>
    <row r="50" spans="1:9" x14ac:dyDescent="0.25">
      <c r="A50" s="2"/>
      <c r="B50" s="2"/>
      <c r="C50" s="2"/>
      <c r="D50" s="2"/>
      <c r="E50" s="3"/>
      <c r="G50" s="2"/>
      <c r="I50" s="1"/>
    </row>
    <row r="51" spans="1:9" x14ac:dyDescent="0.25">
      <c r="A51" s="2"/>
      <c r="B51" s="2"/>
      <c r="C51" s="2"/>
      <c r="D51" s="2"/>
      <c r="E51" s="3"/>
      <c r="G51" s="2"/>
      <c r="I51" s="1"/>
    </row>
    <row r="52" spans="1:9" x14ac:dyDescent="0.25">
      <c r="A52" s="2"/>
      <c r="B52" s="2"/>
      <c r="C52" s="2"/>
      <c r="D52" s="2"/>
      <c r="E52" s="3"/>
      <c r="G52" s="2"/>
      <c r="I52" s="1"/>
    </row>
    <row r="53" spans="1:9" x14ac:dyDescent="0.25">
      <c r="A53" s="2"/>
      <c r="B53" s="2"/>
      <c r="C53" s="2"/>
      <c r="D53" s="2"/>
      <c r="E53" s="3"/>
      <c r="G53" s="2"/>
      <c r="I53" s="1"/>
    </row>
    <row r="54" spans="1:9" x14ac:dyDescent="0.25">
      <c r="A54" s="2"/>
      <c r="B54" s="2"/>
      <c r="C54" s="2"/>
      <c r="D54" s="2"/>
      <c r="E54" s="3"/>
      <c r="G54" s="2"/>
      <c r="I54" s="1"/>
    </row>
    <row r="55" spans="1:9" x14ac:dyDescent="0.25">
      <c r="A55" s="2"/>
      <c r="B55" s="2"/>
      <c r="C55" s="2"/>
      <c r="D55" s="2"/>
      <c r="E55" s="3"/>
      <c r="G55" s="2"/>
      <c r="I55" s="1"/>
    </row>
    <row r="56" spans="1:9" x14ac:dyDescent="0.25">
      <c r="A56" s="2"/>
      <c r="B56" s="2"/>
      <c r="C56" s="2"/>
      <c r="D56" s="2"/>
      <c r="E56" s="3"/>
      <c r="G56" s="2"/>
      <c r="I56" s="1"/>
    </row>
    <row r="57" spans="1:9" x14ac:dyDescent="0.25">
      <c r="A57" s="2"/>
      <c r="B57" s="2"/>
      <c r="C57" s="2"/>
      <c r="D57" s="2"/>
      <c r="E57" s="3"/>
      <c r="G57" s="2"/>
      <c r="I57" s="1"/>
    </row>
    <row r="58" spans="1:9" x14ac:dyDescent="0.25">
      <c r="A58" s="2"/>
      <c r="B58" s="2"/>
      <c r="C58" s="2"/>
      <c r="D58" s="2"/>
      <c r="E58" s="3"/>
      <c r="G58" s="2"/>
      <c r="I58" s="1"/>
    </row>
    <row r="59" spans="1:9" x14ac:dyDescent="0.25">
      <c r="A59" s="2"/>
      <c r="B59" s="2"/>
      <c r="C59" s="2"/>
      <c r="D59" s="2"/>
      <c r="E59" s="3"/>
      <c r="G59" s="2"/>
      <c r="I59" s="1"/>
    </row>
    <row r="60" spans="1:9" x14ac:dyDescent="0.25">
      <c r="A60" s="2"/>
      <c r="B60" s="2"/>
      <c r="C60" s="2"/>
      <c r="D60" s="2"/>
      <c r="E60" s="3"/>
      <c r="G60" s="2"/>
      <c r="I60" s="1"/>
    </row>
    <row r="61" spans="1:9" x14ac:dyDescent="0.25">
      <c r="A61" s="2"/>
      <c r="B61" s="2"/>
      <c r="C61" s="2"/>
      <c r="D61" s="2"/>
      <c r="E61" s="3"/>
      <c r="G61" s="2"/>
      <c r="I61" s="1"/>
    </row>
    <row r="62" spans="1:9" x14ac:dyDescent="0.25">
      <c r="A62" s="2"/>
      <c r="B62" s="2"/>
      <c r="C62" s="2"/>
      <c r="D62" s="2"/>
      <c r="E62" s="3"/>
      <c r="G62" s="2"/>
      <c r="I62" s="1"/>
    </row>
    <row r="63" spans="1:9" x14ac:dyDescent="0.25">
      <c r="A63" s="2"/>
      <c r="B63" s="2"/>
      <c r="C63" s="2"/>
      <c r="D63" s="2"/>
      <c r="E63" s="3"/>
      <c r="G63" s="2"/>
      <c r="I63" s="1"/>
    </row>
    <row r="64" spans="1:9" x14ac:dyDescent="0.25">
      <c r="A64" s="2"/>
      <c r="B64" s="2"/>
      <c r="C64" s="2"/>
      <c r="D64" s="2"/>
      <c r="E64" s="3"/>
      <c r="G64" s="2"/>
      <c r="I64" s="1"/>
    </row>
    <row r="65" spans="1:9" x14ac:dyDescent="0.25">
      <c r="A65" s="2"/>
      <c r="B65" s="2"/>
      <c r="C65" s="2"/>
      <c r="D65" s="2"/>
      <c r="E65" s="3"/>
      <c r="G65" s="2"/>
      <c r="I65" s="1"/>
    </row>
    <row r="66" spans="1:9" x14ac:dyDescent="0.25">
      <c r="A66" s="2"/>
      <c r="B66" s="2"/>
      <c r="C66" s="2"/>
      <c r="D66" s="2"/>
      <c r="E66" s="3"/>
      <c r="G66" s="2"/>
      <c r="I66" s="1"/>
    </row>
    <row r="67" spans="1:9" x14ac:dyDescent="0.25">
      <c r="A67" s="2"/>
      <c r="B67" s="2"/>
      <c r="C67" s="2"/>
      <c r="D67" s="2"/>
      <c r="E67" s="3"/>
      <c r="G67" s="2"/>
      <c r="I67" s="1"/>
    </row>
    <row r="68" spans="1:9" x14ac:dyDescent="0.25">
      <c r="A68" s="2"/>
      <c r="B68" s="2"/>
      <c r="C68" s="2"/>
      <c r="D68" s="2"/>
      <c r="E68" s="3"/>
      <c r="G68" s="2"/>
      <c r="I68" s="1"/>
    </row>
    <row r="69" spans="1:9" x14ac:dyDescent="0.25">
      <c r="A69" s="2"/>
      <c r="B69" s="2"/>
      <c r="C69" s="2"/>
      <c r="D69" s="2"/>
      <c r="E69" s="3"/>
      <c r="G69" s="2"/>
      <c r="I69" s="1"/>
    </row>
    <row r="70" spans="1:9" x14ac:dyDescent="0.25">
      <c r="A70" s="2"/>
      <c r="B70" s="2"/>
      <c r="C70" s="2"/>
      <c r="D70" s="2"/>
      <c r="E70" s="3"/>
      <c r="G70" s="2"/>
      <c r="I70" s="1"/>
    </row>
    <row r="71" spans="1:9" x14ac:dyDescent="0.25">
      <c r="A71" s="2"/>
      <c r="B71" s="2"/>
      <c r="C71" s="2"/>
      <c r="D71" s="2"/>
      <c r="E71" s="3"/>
      <c r="G71" s="2"/>
      <c r="I71" s="1"/>
    </row>
    <row r="72" spans="1:9" x14ac:dyDescent="0.25">
      <c r="A72" s="2"/>
      <c r="B72" s="2"/>
      <c r="C72" s="2"/>
      <c r="D72" s="2"/>
      <c r="E72" s="3"/>
      <c r="G72" s="2"/>
      <c r="I72" s="1"/>
    </row>
    <row r="73" spans="1:9" x14ac:dyDescent="0.25">
      <c r="A73" s="2"/>
      <c r="B73" s="2"/>
      <c r="C73" s="2"/>
      <c r="D73" s="2"/>
      <c r="E73" s="3"/>
      <c r="G73" s="2"/>
      <c r="I73" s="1"/>
    </row>
    <row r="74" spans="1:9" x14ac:dyDescent="0.25">
      <c r="A74" s="2"/>
      <c r="B74" s="2"/>
      <c r="C74" s="2"/>
      <c r="D74" s="2"/>
      <c r="E74" s="3"/>
      <c r="G74" s="2"/>
      <c r="I74" s="1"/>
    </row>
    <row r="75" spans="1:9" x14ac:dyDescent="0.25">
      <c r="A75" s="2"/>
      <c r="B75" s="2"/>
      <c r="C75" s="2"/>
      <c r="D75" s="2"/>
      <c r="E75" s="3"/>
      <c r="G75" s="2"/>
      <c r="I75" s="1"/>
    </row>
    <row r="76" spans="1:9" x14ac:dyDescent="0.25">
      <c r="A76" s="2"/>
      <c r="B76" s="2"/>
      <c r="C76" s="2"/>
      <c r="D76" s="2"/>
      <c r="E76" s="3"/>
      <c r="G76" s="2"/>
      <c r="I76" s="1"/>
    </row>
    <row r="77" spans="1:9" x14ac:dyDescent="0.25">
      <c r="A77" s="2"/>
      <c r="B77" s="2"/>
      <c r="C77" s="2"/>
      <c r="D77" s="2"/>
      <c r="E77" s="3"/>
      <c r="G77" s="2"/>
      <c r="I77" s="1"/>
    </row>
    <row r="78" spans="1:9" x14ac:dyDescent="0.25">
      <c r="A78" s="2"/>
      <c r="B78" s="2"/>
      <c r="C78" s="2"/>
      <c r="D78" s="2"/>
      <c r="E78" s="3"/>
      <c r="G78" s="2"/>
      <c r="I78" s="1"/>
    </row>
    <row r="79" spans="1:9" x14ac:dyDescent="0.25">
      <c r="A79" s="2"/>
      <c r="B79" s="2"/>
      <c r="C79" s="2"/>
      <c r="D79" s="2"/>
      <c r="E79" s="3"/>
      <c r="G79" s="2"/>
      <c r="I79" s="1"/>
    </row>
    <row r="80" spans="1:9" x14ac:dyDescent="0.25">
      <c r="A80" s="2"/>
      <c r="B80" s="2"/>
      <c r="C80" s="2"/>
      <c r="D80" s="2"/>
      <c r="E80" s="3"/>
      <c r="G80" s="2"/>
      <c r="I80" s="1"/>
    </row>
    <row r="81" spans="1:9" x14ac:dyDescent="0.25">
      <c r="A81" s="2"/>
      <c r="B81" s="2"/>
      <c r="C81" s="2"/>
      <c r="D81" s="2"/>
      <c r="E81" s="3"/>
      <c r="G81" s="2"/>
      <c r="I81" s="1"/>
    </row>
    <row r="82" spans="1:9" x14ac:dyDescent="0.25">
      <c r="A82" s="2"/>
      <c r="B82" s="2"/>
      <c r="C82" s="2"/>
      <c r="D82" s="2"/>
      <c r="E82" s="3"/>
      <c r="G82" s="2"/>
      <c r="I82" s="1"/>
    </row>
    <row r="83" spans="1:9" x14ac:dyDescent="0.25">
      <c r="A83" s="2"/>
      <c r="B83" s="2"/>
      <c r="C83" s="2"/>
      <c r="D83" s="2"/>
      <c r="E83" s="3"/>
      <c r="G83" s="2"/>
      <c r="I83" s="1"/>
    </row>
    <row r="84" spans="1:9" x14ac:dyDescent="0.25">
      <c r="A84" s="2"/>
      <c r="B84" s="2"/>
      <c r="C84" s="2"/>
      <c r="D84" s="2"/>
      <c r="E84" s="3"/>
      <c r="G84" s="2"/>
      <c r="I84" s="1"/>
    </row>
    <row r="85" spans="1:9" x14ac:dyDescent="0.25">
      <c r="A85" s="2"/>
      <c r="B85" s="2"/>
      <c r="C85" s="2"/>
      <c r="D85" s="2"/>
      <c r="E85" s="3"/>
      <c r="G85" s="2"/>
      <c r="I85" s="1"/>
    </row>
    <row r="86" spans="1:9" x14ac:dyDescent="0.25">
      <c r="A86" s="2"/>
      <c r="B86" s="2"/>
      <c r="C86" s="2"/>
      <c r="D86" s="2"/>
      <c r="E86" s="3"/>
      <c r="G86" s="2"/>
      <c r="I86" s="1"/>
    </row>
    <row r="87" spans="1:9" x14ac:dyDescent="0.25">
      <c r="A87" s="2"/>
      <c r="B87" s="2"/>
      <c r="C87" s="2"/>
      <c r="D87" s="2"/>
      <c r="E87" s="3"/>
      <c r="G87" s="2"/>
      <c r="I87" s="1"/>
    </row>
    <row r="88" spans="1:9" x14ac:dyDescent="0.25">
      <c r="A88" s="2"/>
      <c r="B88" s="2"/>
      <c r="C88" s="2"/>
      <c r="D88" s="2"/>
      <c r="E88" s="3"/>
      <c r="G88" s="2"/>
      <c r="I88" s="1"/>
    </row>
    <row r="89" spans="1:9" x14ac:dyDescent="0.25">
      <c r="A89" s="2"/>
      <c r="B89" s="2"/>
      <c r="C89" s="2"/>
      <c r="D89" s="2"/>
      <c r="E89" s="3"/>
      <c r="G89" s="2"/>
      <c r="I89" s="1"/>
    </row>
    <row r="90" spans="1:9" x14ac:dyDescent="0.25">
      <c r="A90" s="2"/>
      <c r="B90" s="2"/>
      <c r="C90" s="2"/>
      <c r="D90" s="2"/>
      <c r="E90" s="3"/>
      <c r="G90" s="2"/>
      <c r="I90" s="1"/>
    </row>
    <row r="91" spans="1:9" x14ac:dyDescent="0.25">
      <c r="A91" s="2"/>
      <c r="B91" s="2"/>
      <c r="C91" s="2"/>
      <c r="D91" s="2"/>
      <c r="E91" s="3"/>
      <c r="G91" s="2"/>
      <c r="I91" s="1"/>
    </row>
    <row r="92" spans="1:9" x14ac:dyDescent="0.25">
      <c r="A92" s="2"/>
      <c r="B92" s="2"/>
      <c r="C92" s="2"/>
      <c r="D92" s="2"/>
      <c r="E92" s="3"/>
      <c r="G92" s="2"/>
      <c r="I92" s="1"/>
    </row>
    <row r="93" spans="1:9" x14ac:dyDescent="0.25">
      <c r="A93" s="2"/>
      <c r="B93" s="2"/>
      <c r="C93" s="2"/>
      <c r="D93" s="2"/>
      <c r="E93" s="3"/>
      <c r="G93" s="2"/>
      <c r="I93" s="1"/>
    </row>
    <row r="94" spans="1:9" x14ac:dyDescent="0.25">
      <c r="A94" s="2"/>
      <c r="B94" s="2"/>
      <c r="C94" s="2"/>
      <c r="D94" s="2"/>
      <c r="E94" s="3"/>
      <c r="G94" s="2"/>
      <c r="I94" s="1"/>
    </row>
    <row r="95" spans="1:9" x14ac:dyDescent="0.25">
      <c r="A95" s="2"/>
      <c r="B95" s="2"/>
      <c r="C95" s="2"/>
      <c r="D95" s="2"/>
      <c r="E95" s="3"/>
      <c r="G95" s="2"/>
      <c r="I95" s="1"/>
    </row>
    <row r="96" spans="1:9" x14ac:dyDescent="0.25">
      <c r="A96" s="2"/>
      <c r="B96" s="2"/>
      <c r="C96" s="2"/>
      <c r="D96" s="2"/>
      <c r="E96" s="3"/>
      <c r="G96" s="2"/>
      <c r="I96" s="1"/>
    </row>
    <row r="97" spans="1:9" x14ac:dyDescent="0.25">
      <c r="A97" s="2"/>
      <c r="B97" s="2"/>
      <c r="C97" s="2"/>
      <c r="D97" s="2"/>
      <c r="E97" s="3"/>
      <c r="G97" s="2"/>
      <c r="I97" s="1"/>
    </row>
    <row r="98" spans="1:9" x14ac:dyDescent="0.25">
      <c r="A98" s="2"/>
      <c r="B98" s="2"/>
      <c r="C98" s="2"/>
      <c r="D98" s="2"/>
      <c r="E98" s="3"/>
      <c r="G98" s="2"/>
      <c r="I98" s="1"/>
    </row>
    <row r="99" spans="1:9" x14ac:dyDescent="0.25">
      <c r="A99" s="2"/>
      <c r="B99" s="2"/>
      <c r="C99" s="2"/>
      <c r="D99" s="2"/>
      <c r="E99" s="3"/>
      <c r="G99" s="2"/>
      <c r="I99" s="1"/>
    </row>
    <row r="100" spans="1:9" x14ac:dyDescent="0.25">
      <c r="A100" s="2"/>
      <c r="B100" s="2"/>
      <c r="C100" s="2"/>
      <c r="D100" s="2"/>
      <c r="E100" s="3"/>
      <c r="G100" s="2"/>
      <c r="I100" s="1"/>
    </row>
    <row r="101" spans="1:9" x14ac:dyDescent="0.25">
      <c r="A101" s="2"/>
      <c r="B101" s="2"/>
      <c r="C101" s="2"/>
      <c r="D101" s="2"/>
      <c r="E101" s="3"/>
      <c r="G101" s="2"/>
      <c r="I101" s="1"/>
    </row>
    <row r="102" spans="1:9" x14ac:dyDescent="0.25">
      <c r="A102" s="2"/>
      <c r="B102" s="2"/>
      <c r="C102" s="2"/>
      <c r="D102" s="2"/>
      <c r="E102" s="3"/>
      <c r="G102" s="2"/>
      <c r="I102" s="1"/>
    </row>
    <row r="103" spans="1:9" x14ac:dyDescent="0.25">
      <c r="A103" s="2"/>
      <c r="B103" s="2"/>
      <c r="C103" s="2"/>
      <c r="D103" s="2"/>
      <c r="E103" s="3"/>
      <c r="G103" s="2"/>
      <c r="I103" s="1"/>
    </row>
    <row r="104" spans="1:9" x14ac:dyDescent="0.25">
      <c r="A104" s="2"/>
      <c r="B104" s="2"/>
      <c r="C104" s="2"/>
      <c r="D104" s="2"/>
      <c r="E104" s="3"/>
      <c r="G104" s="2"/>
      <c r="I104" s="1"/>
    </row>
    <row r="105" spans="1:9" x14ac:dyDescent="0.25">
      <c r="A105" s="2"/>
      <c r="B105" s="2"/>
      <c r="C105" s="2"/>
      <c r="D105" s="2"/>
      <c r="E105" s="3"/>
      <c r="G105" s="2"/>
      <c r="I105" s="1"/>
    </row>
    <row r="106" spans="1:9" x14ac:dyDescent="0.25">
      <c r="A106" s="2"/>
      <c r="B106" s="2"/>
      <c r="C106" s="2"/>
      <c r="D106" s="2"/>
      <c r="E106" s="3"/>
      <c r="G106" s="2"/>
      <c r="I106" s="1"/>
    </row>
    <row r="107" spans="1:9" x14ac:dyDescent="0.25">
      <c r="A107" s="2"/>
      <c r="B107" s="2"/>
      <c r="C107" s="2"/>
      <c r="D107" s="2"/>
      <c r="E107" s="3"/>
      <c r="G107" s="2"/>
      <c r="I107" s="1"/>
    </row>
    <row r="108" spans="1:9" x14ac:dyDescent="0.25">
      <c r="A108" s="2"/>
      <c r="B108" s="2"/>
      <c r="C108" s="2"/>
      <c r="D108" s="2"/>
      <c r="E108" s="3"/>
      <c r="G108" s="2"/>
      <c r="I108" s="1"/>
    </row>
    <row r="109" spans="1:9" x14ac:dyDescent="0.25">
      <c r="A109" s="2"/>
      <c r="B109" s="2"/>
      <c r="C109" s="2"/>
      <c r="D109" s="2"/>
      <c r="E109" s="3"/>
      <c r="G109" s="2"/>
      <c r="I109" s="1"/>
    </row>
    <row r="110" spans="1:9" x14ac:dyDescent="0.25">
      <c r="A110" s="2"/>
      <c r="B110" s="2"/>
      <c r="C110" s="2"/>
      <c r="D110" s="2"/>
      <c r="E110" s="3"/>
      <c r="G110" s="2"/>
      <c r="I110" s="1"/>
    </row>
    <row r="111" spans="1:9" x14ac:dyDescent="0.25">
      <c r="A111" s="2"/>
      <c r="B111" s="2"/>
      <c r="C111" s="2"/>
      <c r="D111" s="2"/>
      <c r="E111" s="3"/>
      <c r="G111" s="2"/>
      <c r="I111" s="1"/>
    </row>
    <row r="112" spans="1:9" x14ac:dyDescent="0.25">
      <c r="A112" s="2"/>
      <c r="B112" s="2"/>
      <c r="C112" s="2"/>
      <c r="D112" s="2"/>
      <c r="E112" s="3"/>
      <c r="G112" s="2"/>
      <c r="I112" s="1"/>
    </row>
    <row r="113" spans="1:9" x14ac:dyDescent="0.25">
      <c r="A113" s="2"/>
      <c r="B113" s="2"/>
      <c r="C113" s="2"/>
      <c r="D113" s="2"/>
      <c r="E113" s="3"/>
      <c r="G113" s="2"/>
      <c r="I113" s="1"/>
    </row>
    <row r="114" spans="1:9" x14ac:dyDescent="0.25">
      <c r="A114" s="2"/>
      <c r="B114" s="2"/>
      <c r="C114" s="2"/>
      <c r="D114" s="2"/>
      <c r="E114" s="3"/>
      <c r="G114" s="2"/>
      <c r="I114" s="1"/>
    </row>
    <row r="115" spans="1:9" x14ac:dyDescent="0.25">
      <c r="A115" s="2"/>
      <c r="B115" s="2"/>
      <c r="C115" s="2"/>
      <c r="D115" s="2"/>
      <c r="E115" s="3"/>
      <c r="G115" s="2"/>
      <c r="I115" s="1"/>
    </row>
    <row r="116" spans="1:9" x14ac:dyDescent="0.25">
      <c r="A116" s="2"/>
      <c r="B116" s="2"/>
      <c r="C116" s="2"/>
      <c r="D116" s="2"/>
      <c r="E116" s="3"/>
      <c r="G116" s="2"/>
      <c r="I116" s="1"/>
    </row>
    <row r="117" spans="1:9" x14ac:dyDescent="0.25">
      <c r="A117" s="2"/>
      <c r="B117" s="2"/>
      <c r="C117" s="2"/>
      <c r="D117" s="2"/>
      <c r="E117" s="3"/>
      <c r="G117" s="2"/>
      <c r="I117" s="1"/>
    </row>
    <row r="118" spans="1:9" x14ac:dyDescent="0.25">
      <c r="A118" s="2"/>
      <c r="B118" s="2"/>
      <c r="C118" s="2"/>
      <c r="D118" s="2"/>
      <c r="E118" s="3"/>
      <c r="G118" s="2"/>
      <c r="I118" s="1"/>
    </row>
    <row r="119" spans="1:9" x14ac:dyDescent="0.25">
      <c r="A119" s="2"/>
      <c r="B119" s="2"/>
      <c r="C119" s="2"/>
      <c r="D119" s="2"/>
      <c r="E119" s="3"/>
      <c r="G119" s="2"/>
      <c r="I119" s="1"/>
    </row>
    <row r="120" spans="1:9" x14ac:dyDescent="0.25">
      <c r="A120" s="2"/>
      <c r="B120" s="2"/>
      <c r="C120" s="2"/>
      <c r="D120" s="2"/>
      <c r="E120" s="3"/>
      <c r="G120" s="2"/>
      <c r="I120" s="1"/>
    </row>
    <row r="121" spans="1:9" x14ac:dyDescent="0.25">
      <c r="A121" s="2"/>
      <c r="B121" s="2"/>
      <c r="C121" s="2"/>
      <c r="D121" s="2"/>
      <c r="E121" s="3"/>
      <c r="G121" s="2"/>
      <c r="I121" s="1"/>
    </row>
    <row r="122" spans="1:9" x14ac:dyDescent="0.25">
      <c r="A122" s="2"/>
      <c r="B122" s="2"/>
      <c r="C122" s="2"/>
      <c r="D122" s="2"/>
      <c r="E122" s="3"/>
      <c r="G122" s="2"/>
      <c r="I122" s="1"/>
    </row>
    <row r="123" spans="1:9" x14ac:dyDescent="0.25">
      <c r="A123" s="2"/>
      <c r="B123" s="2"/>
      <c r="C123" s="2"/>
      <c r="D123" s="2"/>
      <c r="E123" s="3"/>
      <c r="G123" s="2"/>
      <c r="I123" s="1"/>
    </row>
    <row r="124" spans="1:9" x14ac:dyDescent="0.25">
      <c r="A124" s="2"/>
      <c r="B124" s="2"/>
      <c r="C124" s="2"/>
      <c r="D124" s="2"/>
      <c r="E124" s="3"/>
      <c r="G124" s="2"/>
      <c r="I124" s="1"/>
    </row>
    <row r="125" spans="1:9" x14ac:dyDescent="0.25">
      <c r="A125" s="2"/>
      <c r="B125" s="2"/>
      <c r="C125" s="2"/>
      <c r="D125" s="2"/>
      <c r="E125" s="3"/>
      <c r="G125" s="2"/>
      <c r="I125" s="1"/>
    </row>
    <row r="126" spans="1:9" x14ac:dyDescent="0.25">
      <c r="A126" s="2"/>
      <c r="B126" s="2"/>
      <c r="C126" s="2"/>
      <c r="D126" s="2"/>
      <c r="E126" s="3"/>
      <c r="G126" s="2"/>
      <c r="I126" s="1"/>
    </row>
    <row r="127" spans="1:9" x14ac:dyDescent="0.25">
      <c r="A127" s="2"/>
      <c r="B127" s="2"/>
      <c r="C127" s="2"/>
      <c r="D127" s="2"/>
      <c r="E127" s="3"/>
      <c r="G127" s="2"/>
      <c r="I127" s="1"/>
    </row>
    <row r="128" spans="1:9" x14ac:dyDescent="0.25">
      <c r="A128" s="2"/>
      <c r="B128" s="2"/>
      <c r="C128" s="2"/>
      <c r="D128" s="2"/>
      <c r="E128" s="3"/>
      <c r="G128" s="2"/>
      <c r="I128" s="1"/>
    </row>
    <row r="129" spans="1:9" x14ac:dyDescent="0.25">
      <c r="A129" s="2"/>
      <c r="B129" s="2"/>
      <c r="C129" s="2"/>
      <c r="D129" s="2"/>
      <c r="E129" s="3"/>
      <c r="G129" s="2"/>
      <c r="I129" s="1"/>
    </row>
    <row r="130" spans="1:9" x14ac:dyDescent="0.25">
      <c r="A130" s="2"/>
      <c r="B130" s="2"/>
      <c r="C130" s="2"/>
      <c r="D130" s="2"/>
      <c r="E130" s="3"/>
      <c r="G130" s="2"/>
      <c r="I130" s="1"/>
    </row>
    <row r="131" spans="1:9" x14ac:dyDescent="0.25">
      <c r="A131" s="2"/>
      <c r="B131" s="2"/>
      <c r="C131" s="2"/>
      <c r="D131" s="2"/>
      <c r="E131" s="3"/>
      <c r="G131" s="2"/>
      <c r="I131" s="1"/>
    </row>
    <row r="132" spans="1:9" x14ac:dyDescent="0.25">
      <c r="A132" s="2"/>
      <c r="B132" s="2"/>
      <c r="C132" s="2"/>
      <c r="D132" s="2"/>
      <c r="E132" s="3"/>
      <c r="G132" s="2"/>
      <c r="I132" s="1"/>
    </row>
    <row r="133" spans="1:9" x14ac:dyDescent="0.25">
      <c r="A133" s="2"/>
      <c r="B133" s="2"/>
      <c r="C133" s="2"/>
      <c r="D133" s="2"/>
      <c r="E133" s="3"/>
      <c r="G133" s="2"/>
      <c r="I133" s="1"/>
    </row>
    <row r="134" spans="1:9" x14ac:dyDescent="0.25">
      <c r="A134" s="2"/>
      <c r="B134" s="2"/>
      <c r="C134" s="2"/>
      <c r="D134" s="2"/>
      <c r="E134" s="3"/>
      <c r="G134" s="2"/>
      <c r="I134" s="1"/>
    </row>
    <row r="135" spans="1:9" x14ac:dyDescent="0.25">
      <c r="A135" s="2"/>
      <c r="B135" s="2"/>
      <c r="C135" s="2"/>
      <c r="D135" s="2"/>
      <c r="E135" s="3"/>
      <c r="G135" s="2"/>
      <c r="I135" s="1"/>
    </row>
    <row r="136" spans="1:9" x14ac:dyDescent="0.25">
      <c r="A136" s="2"/>
      <c r="B136" s="2"/>
      <c r="C136" s="2"/>
      <c r="D136" s="2"/>
      <c r="E136" s="3"/>
      <c r="G136" s="2"/>
      <c r="I136" s="1"/>
    </row>
    <row r="137" spans="1:9" x14ac:dyDescent="0.25">
      <c r="A137" s="2"/>
      <c r="B137" s="2"/>
      <c r="C137" s="2"/>
      <c r="D137" s="2"/>
      <c r="E137" s="3"/>
      <c r="G137" s="2"/>
      <c r="I137" s="1"/>
    </row>
    <row r="138" spans="1:9" x14ac:dyDescent="0.25">
      <c r="A138" s="2"/>
      <c r="B138" s="2"/>
      <c r="C138" s="2"/>
      <c r="D138" s="2"/>
      <c r="E138" s="3"/>
      <c r="G138" s="2"/>
      <c r="I138" s="1"/>
    </row>
    <row r="139" spans="1:9" x14ac:dyDescent="0.25">
      <c r="A139" s="2"/>
      <c r="B139" s="2"/>
      <c r="C139" s="2"/>
      <c r="D139" s="2"/>
      <c r="E139" s="3"/>
      <c r="G139" s="2"/>
      <c r="I139" s="1"/>
    </row>
    <row r="140" spans="1:9" x14ac:dyDescent="0.25">
      <c r="A140" s="2"/>
      <c r="B140" s="2"/>
      <c r="C140" s="2"/>
      <c r="D140" s="2"/>
      <c r="E140" s="3"/>
      <c r="G140" s="2"/>
      <c r="I140" s="1"/>
    </row>
    <row r="141" spans="1:9" x14ac:dyDescent="0.25">
      <c r="A141" s="2"/>
      <c r="B141" s="2"/>
      <c r="C141" s="2"/>
      <c r="D141" s="2"/>
      <c r="E141" s="3"/>
      <c r="G141" s="2"/>
      <c r="I141" s="1"/>
    </row>
    <row r="142" spans="1:9" x14ac:dyDescent="0.25">
      <c r="A142" s="2"/>
      <c r="B142" s="2"/>
      <c r="C142" s="2"/>
      <c r="D142" s="2"/>
      <c r="E142" s="3"/>
      <c r="G142" s="2"/>
      <c r="I142" s="1"/>
    </row>
    <row r="143" spans="1:9" x14ac:dyDescent="0.25">
      <c r="A143" s="2"/>
      <c r="B143" s="2"/>
      <c r="C143" s="2"/>
      <c r="D143" s="2"/>
      <c r="E143" s="3"/>
      <c r="G143" s="2"/>
      <c r="I143" s="1"/>
    </row>
    <row r="144" spans="1:9" x14ac:dyDescent="0.25">
      <c r="A144" s="2"/>
      <c r="B144" s="2"/>
      <c r="C144" s="2"/>
      <c r="D144" s="2"/>
      <c r="E144" s="3"/>
      <c r="G144" s="2"/>
      <c r="I144" s="1"/>
    </row>
    <row r="145" spans="1:9" x14ac:dyDescent="0.25">
      <c r="A145" s="2"/>
      <c r="B145" s="2"/>
      <c r="C145" s="2"/>
      <c r="D145" s="2"/>
      <c r="E145" s="3"/>
      <c r="G145" s="2"/>
      <c r="I145" s="1"/>
    </row>
    <row r="146" spans="1:9" x14ac:dyDescent="0.25">
      <c r="A146" s="2"/>
      <c r="B146" s="2"/>
      <c r="C146" s="2"/>
      <c r="D146" s="2"/>
      <c r="E146" s="3"/>
      <c r="G146" s="2"/>
      <c r="I146" s="1"/>
    </row>
    <row r="147" spans="1:9" x14ac:dyDescent="0.25">
      <c r="A147" s="2"/>
      <c r="B147" s="2"/>
      <c r="C147" s="2"/>
      <c r="D147" s="2"/>
      <c r="E147" s="3"/>
      <c r="G147" s="2"/>
      <c r="I147" s="1"/>
    </row>
    <row r="148" spans="1:9" x14ac:dyDescent="0.25">
      <c r="A148" s="2"/>
      <c r="B148" s="2"/>
      <c r="C148" s="2"/>
      <c r="D148" s="2"/>
      <c r="E148" s="3"/>
      <c r="G148" s="2"/>
      <c r="I148" s="1"/>
    </row>
    <row r="149" spans="1:9" x14ac:dyDescent="0.25">
      <c r="A149" s="2"/>
      <c r="B149" s="2"/>
      <c r="C149" s="2"/>
      <c r="D149" s="2"/>
      <c r="E149" s="3"/>
      <c r="G149" s="2"/>
      <c r="I149" s="1"/>
    </row>
    <row r="150" spans="1:9" x14ac:dyDescent="0.25">
      <c r="A150" s="2"/>
      <c r="B150" s="2"/>
      <c r="C150" s="2"/>
      <c r="D150" s="2"/>
      <c r="E150" s="3"/>
      <c r="G150" s="2"/>
      <c r="I150" s="1"/>
    </row>
    <row r="151" spans="1:9" x14ac:dyDescent="0.25">
      <c r="A151" s="2"/>
      <c r="B151" s="2"/>
      <c r="C151" s="2"/>
      <c r="D151" s="2"/>
      <c r="E151" s="3"/>
      <c r="G151" s="2"/>
      <c r="I151" s="1"/>
    </row>
    <row r="152" spans="1:9" x14ac:dyDescent="0.25">
      <c r="A152" s="2"/>
      <c r="B152" s="2"/>
      <c r="C152" s="2"/>
      <c r="D152" s="2"/>
      <c r="E152" s="3"/>
      <c r="G152" s="2"/>
      <c r="I152" s="1"/>
    </row>
    <row r="153" spans="1:9" x14ac:dyDescent="0.25">
      <c r="A153" s="2"/>
      <c r="B153" s="2"/>
      <c r="C153" s="2"/>
      <c r="D153" s="2"/>
      <c r="E153" s="3"/>
      <c r="G153" s="2"/>
      <c r="I153" s="1"/>
    </row>
    <row r="154" spans="1:9" x14ac:dyDescent="0.25">
      <c r="A154" s="2"/>
      <c r="B154" s="2"/>
      <c r="C154" s="2"/>
      <c r="D154" s="2"/>
      <c r="E154" s="3"/>
      <c r="G154" s="2"/>
      <c r="I154" s="1"/>
    </row>
    <row r="155" spans="1:9" x14ac:dyDescent="0.25">
      <c r="A155" s="2"/>
      <c r="B155" s="2"/>
      <c r="C155" s="2"/>
      <c r="D155" s="2"/>
      <c r="E155" s="3"/>
      <c r="G155" s="2"/>
      <c r="I155" s="1"/>
    </row>
    <row r="156" spans="1:9" x14ac:dyDescent="0.25">
      <c r="A156" s="2"/>
      <c r="B156" s="2"/>
      <c r="C156" s="2"/>
      <c r="D156" s="2"/>
      <c r="E156" s="3"/>
      <c r="G156" s="2"/>
      <c r="I156" s="1"/>
    </row>
    <row r="157" spans="1:9" x14ac:dyDescent="0.25">
      <c r="A157" s="2"/>
      <c r="B157" s="2"/>
      <c r="C157" s="2"/>
      <c r="D157" s="2"/>
      <c r="E157" s="3"/>
      <c r="G157" s="2"/>
      <c r="I157" s="1"/>
    </row>
    <row r="158" spans="1:9" x14ac:dyDescent="0.25">
      <c r="A158" s="2"/>
      <c r="B158" s="2"/>
      <c r="C158" s="2"/>
      <c r="D158" s="2"/>
      <c r="E158" s="3"/>
      <c r="G158" s="2"/>
      <c r="I158" s="1"/>
    </row>
    <row r="159" spans="1:9" x14ac:dyDescent="0.25">
      <c r="A159" s="2"/>
      <c r="B159" s="2"/>
      <c r="C159" s="2"/>
      <c r="D159" s="2"/>
      <c r="E159" s="3"/>
      <c r="G159" s="2"/>
      <c r="I159" s="1"/>
    </row>
    <row r="160" spans="1:9" x14ac:dyDescent="0.25">
      <c r="A160" s="2"/>
      <c r="B160" s="2"/>
      <c r="C160" s="2"/>
      <c r="D160" s="2"/>
      <c r="E160" s="3"/>
      <c r="G160" s="2"/>
      <c r="I160" s="1"/>
    </row>
    <row r="161" spans="1:9" x14ac:dyDescent="0.25">
      <c r="A161" s="2"/>
      <c r="B161" s="2"/>
      <c r="C161" s="2"/>
      <c r="D161" s="2"/>
      <c r="E161" s="3"/>
      <c r="G161" s="2"/>
      <c r="I161" s="1"/>
    </row>
    <row r="162" spans="1:9" x14ac:dyDescent="0.25">
      <c r="A162" s="2"/>
      <c r="B162" s="2"/>
      <c r="C162" s="2"/>
      <c r="D162" s="2"/>
      <c r="E162" s="3"/>
      <c r="G162" s="2"/>
      <c r="I162" s="1"/>
    </row>
    <row r="163" spans="1:9" x14ac:dyDescent="0.25">
      <c r="A163" s="2"/>
      <c r="B163" s="2"/>
      <c r="C163" s="2"/>
      <c r="D163" s="2"/>
      <c r="E163" s="3"/>
      <c r="G163" s="2"/>
      <c r="I163" s="1"/>
    </row>
    <row r="164" spans="1:9" x14ac:dyDescent="0.25">
      <c r="A164" s="2"/>
      <c r="B164" s="2"/>
      <c r="C164" s="2"/>
      <c r="D164" s="2"/>
      <c r="E164" s="3"/>
      <c r="G164" s="2"/>
      <c r="I164" s="1"/>
    </row>
    <row r="165" spans="1:9" x14ac:dyDescent="0.25">
      <c r="A165" s="2"/>
      <c r="B165" s="2"/>
      <c r="C165" s="2"/>
      <c r="D165" s="2"/>
      <c r="E165" s="3"/>
      <c r="G165" s="2"/>
      <c r="I165" s="1"/>
    </row>
    <row r="166" spans="1:9" x14ac:dyDescent="0.25">
      <c r="A166" s="2"/>
      <c r="B166" s="2"/>
      <c r="C166" s="2"/>
      <c r="D166" s="2"/>
      <c r="E166" s="3"/>
      <c r="G166" s="2"/>
      <c r="I166" s="1"/>
    </row>
    <row r="167" spans="1:9" x14ac:dyDescent="0.25">
      <c r="A167" s="2"/>
      <c r="B167" s="2"/>
      <c r="C167" s="2"/>
      <c r="D167" s="2"/>
      <c r="E167" s="3"/>
      <c r="G167" s="2"/>
      <c r="I167" s="1"/>
    </row>
    <row r="168" spans="1:9" x14ac:dyDescent="0.25">
      <c r="A168" s="2"/>
      <c r="B168" s="2"/>
      <c r="C168" s="2"/>
      <c r="D168" s="2"/>
      <c r="E168" s="3"/>
      <c r="G168" s="2"/>
      <c r="I168" s="1"/>
    </row>
  </sheetData>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showInputMessage="1" showErrorMessage="1" xr:uid="{72179F03-1067-443D-AA82-4043E2D155AC}">
          <x14:formula1>
            <xm:f>'99_Lookups'!$Q$2:$Q$5</xm:f>
          </x14:formula1>
          <xm:sqref>E2:E168</xm:sqref>
        </x14:dataValidation>
        <x14:dataValidation type="list" showErrorMessage="1" xr:uid="{7F222473-92EF-452D-9314-0130A3FAD6A2}">
          <x14:formula1>
            <xm:f>'99_Lookups'!$K$2:$K$4</xm:f>
          </x14:formula1>
          <xm:sqref>I2:I168</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8ADA3-0F35-43E9-87DA-DA589C27A99B}">
  <sheetPr>
    <tabColor theme="0" tint="-0.499984740745262"/>
  </sheetPr>
  <dimension ref="A1:F15"/>
  <sheetViews>
    <sheetView workbookViewId="0">
      <selection activeCell="C32" sqref="C32"/>
    </sheetView>
  </sheetViews>
  <sheetFormatPr baseColWidth="10" defaultRowHeight="15" x14ac:dyDescent="0.25"/>
  <cols>
    <col min="2" max="2" width="35.85546875" bestFit="1" customWidth="1"/>
    <col min="3" max="3" width="112.85546875" customWidth="1"/>
    <col min="4" max="4" width="29.28515625" bestFit="1" customWidth="1"/>
    <col min="6" max="6" width="84" bestFit="1" customWidth="1"/>
  </cols>
  <sheetData>
    <row r="1" spans="1:6" x14ac:dyDescent="0.25">
      <c r="A1" t="s">
        <v>1965</v>
      </c>
      <c r="B1" t="s">
        <v>1966</v>
      </c>
      <c r="C1" t="s">
        <v>1967</v>
      </c>
      <c r="D1" t="s">
        <v>1968</v>
      </c>
      <c r="E1" t="s">
        <v>1969</v>
      </c>
      <c r="F1" t="s">
        <v>1970</v>
      </c>
    </row>
    <row r="2" spans="1:6" x14ac:dyDescent="0.25">
      <c r="A2" t="s">
        <v>1971</v>
      </c>
      <c r="B2" t="s">
        <v>1972</v>
      </c>
      <c r="C2" t="s">
        <v>1973</v>
      </c>
      <c r="D2" t="s">
        <v>1974</v>
      </c>
      <c r="E2" t="s">
        <v>1975</v>
      </c>
      <c r="F2" t="s">
        <v>1976</v>
      </c>
    </row>
    <row r="3" spans="1:6" x14ac:dyDescent="0.25">
      <c r="A3" t="s">
        <v>1977</v>
      </c>
      <c r="B3" t="s">
        <v>1972</v>
      </c>
      <c r="C3" t="s">
        <v>1978</v>
      </c>
      <c r="D3" t="s">
        <v>1979</v>
      </c>
      <c r="E3" t="s">
        <v>1422</v>
      </c>
      <c r="F3" t="s">
        <v>1980</v>
      </c>
    </row>
    <row r="4" spans="1:6" x14ac:dyDescent="0.25">
      <c r="A4" t="s">
        <v>1981</v>
      </c>
      <c r="B4" t="s">
        <v>1982</v>
      </c>
      <c r="C4" t="s">
        <v>1983</v>
      </c>
      <c r="D4" t="s">
        <v>1979</v>
      </c>
      <c r="E4" t="s">
        <v>1984</v>
      </c>
      <c r="F4" t="s">
        <v>1985</v>
      </c>
    </row>
    <row r="5" spans="1:6" x14ac:dyDescent="0.25">
      <c r="A5" t="s">
        <v>1986</v>
      </c>
      <c r="B5" t="s">
        <v>1987</v>
      </c>
      <c r="C5" t="s">
        <v>1988</v>
      </c>
      <c r="D5" t="s">
        <v>1989</v>
      </c>
      <c r="E5" t="s">
        <v>1990</v>
      </c>
      <c r="F5" t="s">
        <v>1991</v>
      </c>
    </row>
    <row r="6" spans="1:6" x14ac:dyDescent="0.25">
      <c r="A6" t="s">
        <v>1992</v>
      </c>
      <c r="B6" t="s">
        <v>1987</v>
      </c>
      <c r="C6" t="s">
        <v>1993</v>
      </c>
      <c r="D6" t="s">
        <v>1994</v>
      </c>
      <c r="E6" t="s">
        <v>1995</v>
      </c>
      <c r="F6" t="s">
        <v>1996</v>
      </c>
    </row>
    <row r="7" spans="1:6" x14ac:dyDescent="0.25">
      <c r="A7" t="s">
        <v>1997</v>
      </c>
      <c r="B7" t="s">
        <v>1987</v>
      </c>
      <c r="C7" t="s">
        <v>1998</v>
      </c>
      <c r="D7" t="s">
        <v>1999</v>
      </c>
      <c r="E7" t="s">
        <v>1577</v>
      </c>
      <c r="F7" t="s">
        <v>2000</v>
      </c>
    </row>
    <row r="8" spans="1:6" x14ac:dyDescent="0.25">
      <c r="A8" t="s">
        <v>2001</v>
      </c>
      <c r="B8" t="s">
        <v>1987</v>
      </c>
      <c r="C8" t="s">
        <v>2002</v>
      </c>
      <c r="D8" t="s">
        <v>2003</v>
      </c>
      <c r="E8" t="s">
        <v>2004</v>
      </c>
      <c r="F8" t="s">
        <v>2005</v>
      </c>
    </row>
    <row r="9" spans="1:6" x14ac:dyDescent="0.25">
      <c r="A9" t="s">
        <v>2006</v>
      </c>
      <c r="B9" t="s">
        <v>1987</v>
      </c>
      <c r="C9" t="s">
        <v>2007</v>
      </c>
      <c r="D9" t="s">
        <v>2008</v>
      </c>
      <c r="E9" t="s">
        <v>1506</v>
      </c>
      <c r="F9" t="s">
        <v>2009</v>
      </c>
    </row>
    <row r="10" spans="1:6" x14ac:dyDescent="0.25">
      <c r="A10" t="s">
        <v>2010</v>
      </c>
      <c r="B10" t="s">
        <v>1987</v>
      </c>
      <c r="C10" t="s">
        <v>2011</v>
      </c>
      <c r="D10" t="s">
        <v>2012</v>
      </c>
      <c r="E10" t="s">
        <v>1865</v>
      </c>
      <c r="F10" t="s">
        <v>2013</v>
      </c>
    </row>
    <row r="11" spans="1:6" x14ac:dyDescent="0.25">
      <c r="A11" t="s">
        <v>2014</v>
      </c>
      <c r="B11" t="s">
        <v>2015</v>
      </c>
      <c r="C11" t="s">
        <v>2016</v>
      </c>
      <c r="D11" t="s">
        <v>2017</v>
      </c>
      <c r="E11" t="s">
        <v>2018</v>
      </c>
      <c r="F11" t="s">
        <v>2019</v>
      </c>
    </row>
    <row r="12" spans="1:6" x14ac:dyDescent="0.25">
      <c r="A12" t="s">
        <v>2020</v>
      </c>
      <c r="B12" t="s">
        <v>2021</v>
      </c>
      <c r="C12" t="s">
        <v>2022</v>
      </c>
      <c r="D12" t="s">
        <v>2023</v>
      </c>
      <c r="E12" t="s">
        <v>2024</v>
      </c>
      <c r="F12" t="s">
        <v>2025</v>
      </c>
    </row>
    <row r="13" spans="1:6" x14ac:dyDescent="0.25">
      <c r="A13" t="s">
        <v>2026</v>
      </c>
      <c r="B13" t="s">
        <v>2027</v>
      </c>
      <c r="C13" t="s">
        <v>2028</v>
      </c>
      <c r="D13" t="s">
        <v>2029</v>
      </c>
      <c r="E13" t="s">
        <v>2030</v>
      </c>
      <c r="F13" t="s">
        <v>2031</v>
      </c>
    </row>
    <row r="14" spans="1:6" x14ac:dyDescent="0.25">
      <c r="A14" t="s">
        <v>2032</v>
      </c>
      <c r="B14" t="s">
        <v>2027</v>
      </c>
      <c r="C14" t="s">
        <v>2033</v>
      </c>
      <c r="D14" t="s">
        <v>204</v>
      </c>
      <c r="E14" t="s">
        <v>2034</v>
      </c>
      <c r="F14" t="s">
        <v>2035</v>
      </c>
    </row>
    <row r="15" spans="1:6" x14ac:dyDescent="0.25">
      <c r="A15" t="s">
        <v>2036</v>
      </c>
      <c r="B15" t="s">
        <v>2037</v>
      </c>
      <c r="C15" t="s">
        <v>2038</v>
      </c>
      <c r="D15" t="s">
        <v>2039</v>
      </c>
      <c r="E15" t="s">
        <v>2040</v>
      </c>
      <c r="F15" t="s">
        <v>2041</v>
      </c>
    </row>
  </sheetData>
  <pageMargins left="0.7" right="0.7" top="0.78740157499999996" bottom="0.78740157499999996"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18</vt:i4>
      </vt:variant>
    </vt:vector>
  </HeadingPairs>
  <TitlesOfParts>
    <vt:vector size="18" baseType="lpstr">
      <vt:lpstr>00_DAX_Master</vt:lpstr>
      <vt:lpstr>01_Document_Log</vt:lpstr>
      <vt:lpstr>02_Values_Codebook</vt:lpstr>
      <vt:lpstr>04_Governance_Codebook</vt:lpstr>
      <vt:lpstr>03_Values_Coding</vt:lpstr>
      <vt:lpstr>05_Governance_Coding</vt:lpstr>
      <vt:lpstr>07_Boundary_Cases</vt:lpstr>
      <vt:lpstr>03b_Values_Company_Level</vt:lpstr>
      <vt:lpstr>05b_Governance_Company_Level</vt:lpstr>
      <vt:lpstr>06_Derived_Indices</vt:lpstr>
      <vt:lpstr>08_Codebook_Changelog</vt:lpstr>
      <vt:lpstr>09_Coding_Memos</vt:lpstr>
      <vt:lpstr>99_Lookups</vt:lpstr>
      <vt:lpstr>30_Values_Coding_PILOT</vt:lpstr>
      <vt:lpstr>31_Values_Coding_RE</vt:lpstr>
      <vt:lpstr>50_Governance_Coding_PILOT</vt:lpstr>
      <vt:lpstr>51_Governance_Coding_RE</vt:lpstr>
      <vt:lpstr>80_Regelkonsolidierung_Pilot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Florian Klawun</dc:creator>
  <cp:lastModifiedBy>Florian Klawun</cp:lastModifiedBy>
  <dcterms:created xsi:type="dcterms:W3CDTF">2026-01-04T16:10:53Z</dcterms:created>
  <dcterms:modified xsi:type="dcterms:W3CDTF">2026-03-16T19:15:13Z</dcterms:modified>
</cp:coreProperties>
</file>