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7624" documentId="13_ncr:1_{C245E2A3-57C9-4A09-94EC-D2BB2DF34E06}" xr6:coauthVersionLast="47" xr6:coauthVersionMax="47" xr10:uidLastSave="{4B479DF0-DCD8-4E31-82C0-BE466BB15217}"/>
  <bookViews>
    <workbookView xWindow="28695" yWindow="0" windowWidth="29010" windowHeight="15585" firstSheet="1" activeTab="5"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8_Codebook_Changelog" sheetId="11" r:id="rId11"/>
    <sheet name="09_Coding_Memos" sheetId="12" r:id="rId12"/>
    <sheet name="99_Lookups" sheetId="8" r:id="rId13"/>
    <sheet name="30_Values_Coding_PILOT" sheetId="13" r:id="rId14"/>
    <sheet name="31_Values_Coding_RE" sheetId="16" r:id="rId15"/>
    <sheet name="50_Governance_Coding_PILOT" sheetId="14" r:id="rId16"/>
    <sheet name="51_Governance_Coding_RE" sheetId="17" r:id="rId17"/>
    <sheet name="80_Regelkonsolidierung_Pilot"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01" i="4" l="1"/>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D42" i="9"/>
  <c r="C42" i="9" s="1"/>
  <c r="D43" i="9"/>
  <c r="C43" i="9" s="1"/>
  <c r="D44" i="9"/>
  <c r="C44" i="9" s="1"/>
  <c r="D45" i="9"/>
  <c r="C45" i="9" s="1"/>
  <c r="D46" i="9"/>
  <c r="C46" i="9" s="1"/>
  <c r="D47" i="9"/>
  <c r="C47" i="9" s="1"/>
  <c r="D48" i="9"/>
  <c r="C48" i="9" s="1"/>
  <c r="D49" i="9"/>
  <c r="C49" i="9" s="1"/>
  <c r="D50" i="9"/>
  <c r="C50" i="9" s="1"/>
  <c r="D51" i="9"/>
  <c r="C51" i="9" s="1"/>
  <c r="D52" i="9"/>
  <c r="C52" i="9" s="1"/>
  <c r="D53" i="9"/>
  <c r="C53" i="9" s="1"/>
  <c r="D54" i="9"/>
  <c r="C54" i="9" s="1"/>
  <c r="D55" i="9"/>
  <c r="C55" i="9" s="1"/>
  <c r="D56" i="9"/>
  <c r="C56" i="9" s="1"/>
  <c r="D57" i="9"/>
  <c r="C57" i="9" s="1"/>
  <c r="D58" i="9"/>
  <c r="C58" i="9" s="1"/>
  <c r="D59" i="9"/>
  <c r="C59" i="9" s="1"/>
  <c r="D60" i="9"/>
  <c r="C60" i="9" s="1"/>
  <c r="D61" i="9"/>
  <c r="C61" i="9" s="1"/>
  <c r="D62" i="9"/>
  <c r="C62" i="9" s="1"/>
  <c r="D63" i="9"/>
  <c r="C63" i="9" s="1"/>
  <c r="D64" i="9"/>
  <c r="C64" i="9" s="1"/>
  <c r="D65" i="9"/>
  <c r="C65" i="9" s="1"/>
  <c r="D66" i="9"/>
  <c r="C66" i="9" s="1"/>
  <c r="D67" i="9"/>
  <c r="C67" i="9" s="1"/>
  <c r="D68" i="9"/>
  <c r="C68" i="9" s="1"/>
  <c r="D69" i="9"/>
  <c r="C69" i="9" s="1"/>
  <c r="D70" i="9"/>
  <c r="C70" i="9" s="1"/>
  <c r="D71" i="9"/>
  <c r="C71" i="9" s="1"/>
  <c r="D72" i="9"/>
  <c r="C72" i="9" s="1"/>
  <c r="D73" i="9"/>
  <c r="C73" i="9" s="1"/>
  <c r="D74" i="9"/>
  <c r="C74" i="9" s="1"/>
  <c r="D75" i="9"/>
  <c r="C75" i="9" s="1"/>
  <c r="D76" i="9"/>
  <c r="C76" i="9" s="1"/>
  <c r="D77" i="9"/>
  <c r="C77" i="9" s="1"/>
  <c r="D78" i="9"/>
  <c r="C78" i="9" s="1"/>
  <c r="D79" i="9"/>
  <c r="C79" i="9" s="1"/>
  <c r="D80" i="9"/>
  <c r="C80" i="9" s="1"/>
  <c r="D81" i="9"/>
  <c r="C81" i="9" s="1"/>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C97" i="9" s="1"/>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C111" i="9" s="1"/>
  <c r="D112" i="9"/>
  <c r="C112" i="9" s="1"/>
  <c r="D113" i="9"/>
  <c r="C113" i="9" s="1"/>
  <c r="D114" i="9"/>
  <c r="C114" i="9" s="1"/>
  <c r="D115" i="9"/>
  <c r="C115" i="9" s="1"/>
  <c r="D116" i="9"/>
  <c r="C116" i="9" s="1"/>
  <c r="D117" i="9"/>
  <c r="C117" i="9" s="1"/>
  <c r="D118" i="9"/>
  <c r="C118" i="9" s="1"/>
  <c r="D119" i="9"/>
  <c r="C119" i="9" s="1"/>
  <c r="D120" i="9"/>
  <c r="C120" i="9" s="1"/>
  <c r="D121" i="9"/>
  <c r="C121" i="9" s="1"/>
  <c r="D122" i="9"/>
  <c r="C122" i="9" s="1"/>
  <c r="D123" i="9"/>
  <c r="C123" i="9" s="1"/>
  <c r="D124" i="9"/>
  <c r="C124" i="9" s="1"/>
  <c r="D125" i="9"/>
  <c r="C125" i="9" s="1"/>
  <c r="D126" i="9"/>
  <c r="C126" i="9" s="1"/>
  <c r="D127" i="9"/>
  <c r="C127" i="9" s="1"/>
  <c r="D128" i="9"/>
  <c r="C128" i="9" s="1"/>
  <c r="D129" i="9"/>
  <c r="C129" i="9" s="1"/>
  <c r="D130" i="9"/>
  <c r="C130" i="9" s="1"/>
  <c r="D131" i="9"/>
  <c r="C131" i="9" s="1"/>
  <c r="D132" i="9"/>
  <c r="C132" i="9" s="1"/>
  <c r="D133" i="9"/>
  <c r="C133" i="9" s="1"/>
  <c r="D134" i="9"/>
  <c r="C134" i="9" s="1"/>
  <c r="D135" i="9"/>
  <c r="C135" i="9" s="1"/>
  <c r="D136" i="9"/>
  <c r="C136" i="9" s="1"/>
  <c r="D137" i="9"/>
  <c r="C137" i="9" s="1"/>
  <c r="D138" i="9"/>
  <c r="C138" i="9" s="1"/>
  <c r="D139" i="9"/>
  <c r="C139" i="9" s="1"/>
  <c r="D140" i="9"/>
  <c r="C140" i="9" s="1"/>
  <c r="D141" i="9"/>
  <c r="C141" i="9" s="1"/>
  <c r="D142" i="9"/>
  <c r="C142" i="9" s="1"/>
  <c r="D143" i="9"/>
  <c r="C143" i="9" s="1"/>
  <c r="D144" i="9"/>
  <c r="C144" i="9" s="1"/>
  <c r="D145" i="9"/>
  <c r="C145" i="9" s="1"/>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C157" i="9" s="1"/>
  <c r="D158" i="9"/>
  <c r="C158" i="9" s="1"/>
  <c r="D159" i="9"/>
  <c r="C159" i="9" s="1"/>
  <c r="D160" i="9"/>
  <c r="C160" i="9" s="1"/>
  <c r="D161" i="9"/>
  <c r="C161" i="9" s="1"/>
  <c r="D162" i="9"/>
  <c r="C162" i="9" s="1"/>
  <c r="D163" i="9"/>
  <c r="C163" i="9" s="1"/>
  <c r="D164" i="9"/>
  <c r="C164" i="9" s="1"/>
  <c r="D165" i="9"/>
  <c r="C165" i="9" s="1"/>
  <c r="D166" i="9"/>
  <c r="C166" i="9" s="1"/>
  <c r="D167" i="9"/>
  <c r="C167" i="9" s="1"/>
  <c r="D168" i="9"/>
  <c r="C168" i="9" s="1"/>
  <c r="D169" i="9"/>
  <c r="C169" i="9" s="1"/>
  <c r="D170" i="9"/>
  <c r="C170" i="9" s="1"/>
  <c r="D171" i="9"/>
  <c r="C171" i="9" s="1"/>
  <c r="D172" i="9"/>
  <c r="C172" i="9" s="1"/>
  <c r="D173" i="9"/>
  <c r="C173" i="9" s="1"/>
  <c r="D174" i="9"/>
  <c r="C174" i="9" s="1"/>
  <c r="D175" i="9"/>
  <c r="C175" i="9" s="1"/>
  <c r="D176" i="9"/>
  <c r="C176" i="9" s="1"/>
  <c r="D177" i="9"/>
  <c r="C177" i="9" s="1"/>
  <c r="D178" i="9"/>
  <c r="C178" i="9" s="1"/>
  <c r="D179" i="9"/>
  <c r="C179" i="9" s="1"/>
  <c r="D180" i="9"/>
  <c r="C180" i="9" s="1"/>
  <c r="D181" i="9"/>
  <c r="C181" i="9" s="1"/>
  <c r="D182" i="9"/>
  <c r="C182" i="9" s="1"/>
  <c r="D183" i="9"/>
  <c r="C183" i="9" s="1"/>
  <c r="D184" i="9"/>
  <c r="C184" i="9" s="1"/>
  <c r="D185" i="9"/>
  <c r="C185" i="9" s="1"/>
  <c r="D186" i="9"/>
  <c r="C186" i="9" s="1"/>
  <c r="D187" i="9"/>
  <c r="C187" i="9" s="1"/>
  <c r="D188" i="9"/>
  <c r="C188" i="9" s="1"/>
  <c r="D189" i="9"/>
  <c r="C189" i="9" s="1"/>
  <c r="D190" i="9"/>
  <c r="C190" i="9" s="1"/>
  <c r="D191" i="9"/>
  <c r="C191" i="9" s="1"/>
  <c r="D192" i="9"/>
  <c r="C192" i="9" s="1"/>
  <c r="D193" i="9"/>
  <c r="C193" i="9" s="1"/>
  <c r="D194" i="9"/>
  <c r="C194" i="9" s="1"/>
  <c r="D195" i="9"/>
  <c r="C195" i="9" s="1"/>
  <c r="D196" i="9"/>
  <c r="C196" i="9" s="1"/>
  <c r="D197" i="9"/>
  <c r="C197" i="9" s="1"/>
  <c r="D198" i="9"/>
  <c r="C198" i="9" s="1"/>
  <c r="D199" i="9"/>
  <c r="C199" i="9" s="1"/>
  <c r="D200" i="9"/>
  <c r="C200" i="9" s="1"/>
  <c r="D201" i="9"/>
  <c r="C201" i="9" s="1"/>
  <c r="D202" i="9"/>
  <c r="C202" i="9" s="1"/>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C230" i="9" s="1"/>
  <c r="D231" i="9"/>
  <c r="C231" i="9" s="1"/>
  <c r="D232" i="9"/>
  <c r="C232" i="9" s="1"/>
  <c r="D233" i="9"/>
  <c r="C233" i="9" s="1"/>
  <c r="D234" i="9"/>
  <c r="C234" i="9" s="1"/>
  <c r="D235" i="9"/>
  <c r="C235" i="9" s="1"/>
  <c r="D236" i="9"/>
  <c r="C236" i="9" s="1"/>
  <c r="D237" i="9"/>
  <c r="C237" i="9" s="1"/>
  <c r="D238" i="9"/>
  <c r="C238" i="9" s="1"/>
  <c r="D239" i="9"/>
  <c r="C239" i="9" s="1"/>
  <c r="D240" i="9"/>
  <c r="C240" i="9" s="1"/>
  <c r="D241" i="9"/>
  <c r="C241" i="9" s="1"/>
  <c r="D242" i="9"/>
  <c r="C242" i="9" s="1"/>
  <c r="D243" i="9"/>
  <c r="C243" i="9" s="1"/>
  <c r="D244" i="9"/>
  <c r="C244" i="9" s="1"/>
  <c r="D245" i="9"/>
  <c r="C245" i="9" s="1"/>
  <c r="D246" i="9"/>
  <c r="C246" i="9" s="1"/>
  <c r="D247" i="9"/>
  <c r="C247" i="9" s="1"/>
  <c r="D248" i="9"/>
  <c r="C248" i="9" s="1"/>
  <c r="D249" i="9"/>
  <c r="C249" i="9" s="1"/>
  <c r="D250" i="9"/>
  <c r="C250" i="9" s="1"/>
  <c r="D251" i="9"/>
  <c r="C251" i="9" s="1"/>
  <c r="D252" i="9"/>
  <c r="C252" i="9" s="1"/>
  <c r="D253" i="9"/>
  <c r="C253" i="9" s="1"/>
  <c r="D254" i="9"/>
  <c r="C254" i="9" s="1"/>
  <c r="D255" i="9"/>
  <c r="C255" i="9" s="1"/>
  <c r="D256" i="9"/>
  <c r="C256" i="9" s="1"/>
  <c r="D257" i="9"/>
  <c r="C257" i="9" s="1"/>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C289" i="9" s="1"/>
  <c r="D290" i="9"/>
  <c r="C290" i="9" s="1"/>
  <c r="D291" i="9"/>
  <c r="C291" i="9" s="1"/>
  <c r="D292" i="9"/>
  <c r="C292" i="9" s="1"/>
  <c r="D293" i="9"/>
  <c r="C293" i="9" s="1"/>
  <c r="D294" i="9"/>
  <c r="C294" i="9" s="1"/>
  <c r="D295" i="9"/>
  <c r="C295" i="9" s="1"/>
  <c r="D296" i="9"/>
  <c r="C296" i="9" s="1"/>
  <c r="D297" i="9"/>
  <c r="C297" i="9" s="1"/>
  <c r="D298" i="9"/>
  <c r="C298" i="9" s="1"/>
  <c r="D299" i="9"/>
  <c r="C299" i="9" s="1"/>
  <c r="D300" i="9"/>
  <c r="C300" i="9" s="1"/>
  <c r="D301" i="9"/>
  <c r="C301" i="9" s="1"/>
  <c r="D302" i="9"/>
  <c r="C302" i="9" s="1"/>
  <c r="D303" i="9"/>
  <c r="C303" i="9" s="1"/>
  <c r="D304" i="9"/>
  <c r="C304" i="9" s="1"/>
  <c r="D305" i="9"/>
  <c r="C305" i="9" s="1"/>
  <c r="D306" i="9"/>
  <c r="C306" i="9" s="1"/>
  <c r="D307" i="9"/>
  <c r="C307" i="9" s="1"/>
  <c r="D308" i="9"/>
  <c r="C308" i="9" s="1"/>
  <c r="D309" i="9"/>
  <c r="C309" i="9" s="1"/>
  <c r="D310" i="9"/>
  <c r="C310" i="9" s="1"/>
  <c r="D311" i="9"/>
  <c r="C311" i="9" s="1"/>
  <c r="D312" i="9"/>
  <c r="C312" i="9" s="1"/>
  <c r="D313" i="9"/>
  <c r="C313" i="9" s="1"/>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C328" i="9" s="1"/>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C342" i="9" s="1"/>
  <c r="D343" i="9"/>
  <c r="C343" i="9" s="1"/>
  <c r="D344" i="9"/>
  <c r="C344" i="9" s="1"/>
  <c r="D345" i="9"/>
  <c r="C345" i="9" s="1"/>
  <c r="D346" i="9"/>
  <c r="C346" i="9" s="1"/>
  <c r="D347" i="9"/>
  <c r="C347" i="9" s="1"/>
  <c r="D348" i="9"/>
  <c r="C348" i="9" s="1"/>
  <c r="D349" i="9"/>
  <c r="C349" i="9" s="1"/>
  <c r="D350" i="9"/>
  <c r="C350" i="9" s="1"/>
  <c r="D351" i="9"/>
  <c r="C351" i="9" s="1"/>
  <c r="D352" i="9"/>
  <c r="C352" i="9" s="1"/>
  <c r="D353" i="9"/>
  <c r="C353" i="9" s="1"/>
  <c r="D354" i="9"/>
  <c r="C354" i="9" s="1"/>
  <c r="D355" i="9"/>
  <c r="C355" i="9" s="1"/>
  <c r="D356" i="9"/>
  <c r="C356" i="9" s="1"/>
  <c r="D357" i="9"/>
  <c r="C357" i="9" s="1"/>
  <c r="D358" i="9"/>
  <c r="C358" i="9" s="1"/>
  <c r="D359" i="9"/>
  <c r="C359" i="9" s="1"/>
  <c r="D360" i="9"/>
  <c r="C360" i="9" s="1"/>
  <c r="D361" i="9"/>
  <c r="C361" i="9" s="1"/>
  <c r="D362" i="9"/>
  <c r="C362" i="9" s="1"/>
  <c r="D363" i="9"/>
  <c r="C363" i="9" s="1"/>
  <c r="D364" i="9"/>
  <c r="C364" i="9" s="1"/>
  <c r="D365" i="9"/>
  <c r="C365" i="9" s="1"/>
  <c r="D366" i="9"/>
  <c r="C366" i="9" s="1"/>
  <c r="D367" i="9"/>
  <c r="C367" i="9" s="1"/>
  <c r="D368" i="9"/>
  <c r="C368" i="9" s="1"/>
  <c r="D369" i="9"/>
  <c r="C369" i="9" s="1"/>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C416" i="9" s="1"/>
  <c r="D417" i="9"/>
  <c r="C417" i="9" s="1"/>
  <c r="D418" i="9"/>
  <c r="C418" i="9" s="1"/>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C438" i="9" s="1"/>
  <c r="D439" i="9"/>
  <c r="C439" i="9" s="1"/>
  <c r="D440" i="9"/>
  <c r="C440" i="9" s="1"/>
  <c r="D441" i="9"/>
  <c r="C441" i="9" s="1"/>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C473" i="9" s="1"/>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C497" i="9" s="1"/>
  <c r="D498" i="9"/>
  <c r="C498" i="9" s="1"/>
  <c r="D499" i="9"/>
  <c r="C499" i="9" s="1"/>
  <c r="D500" i="9"/>
  <c r="C500" i="9" s="1"/>
  <c r="D501" i="9"/>
  <c r="C501" i="9" s="1"/>
  <c r="D502" i="9"/>
  <c r="C502" i="9" s="1"/>
  <c r="D503" i="9"/>
  <c r="C503" i="9" s="1"/>
  <c r="D504" i="9"/>
  <c r="C504" i="9" s="1"/>
  <c r="D505" i="9"/>
  <c r="C505" i="9" s="1"/>
  <c r="D506" i="9"/>
  <c r="C506" i="9" s="1"/>
  <c r="D507" i="9"/>
  <c r="C507" i="9" s="1"/>
  <c r="D508" i="9"/>
  <c r="C508" i="9" s="1"/>
  <c r="D509" i="9"/>
  <c r="C509" i="9" s="1"/>
  <c r="D510" i="9"/>
  <c r="C510" i="9" s="1"/>
  <c r="D511" i="9"/>
  <c r="C511" i="9" s="1"/>
  <c r="D512" i="9"/>
  <c r="C512" i="9" s="1"/>
  <c r="D513" i="9"/>
  <c r="C513" i="9" s="1"/>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C529" i="9" s="1"/>
  <c r="D530" i="9"/>
  <c r="C530" i="9" s="1"/>
  <c r="D531" i="9"/>
  <c r="C531" i="9" s="1"/>
  <c r="D532" i="9"/>
  <c r="C532" i="9" s="1"/>
  <c r="D533" i="9"/>
  <c r="C533" i="9" s="1"/>
  <c r="D534" i="9"/>
  <c r="C534" i="9" s="1"/>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C569" i="9" s="1"/>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C585" i="9" s="1"/>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C617" i="9" s="1"/>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C646" i="9" s="1"/>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C659" i="9" s="1"/>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C697" i="9" s="1"/>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E47" i="9"/>
  <c r="E48" i="9"/>
  <c r="E49" i="9"/>
  <c r="E50"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C41"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E8" i="9"/>
  <c r="E11" i="9"/>
  <c r="E12" i="9"/>
  <c r="E16" i="9"/>
  <c r="E17" i="9"/>
  <c r="E18" i="9"/>
  <c r="E21" i="9"/>
  <c r="E26" i="9"/>
  <c r="E27" i="9"/>
  <c r="E28" i="9"/>
  <c r="E29" i="9"/>
  <c r="E30" i="9"/>
  <c r="E32" i="9"/>
  <c r="E35" i="9"/>
  <c r="E36" i="9"/>
  <c r="E38" i="9"/>
  <c r="D2" i="9"/>
  <c r="C2" i="9" s="1"/>
  <c r="D3" i="9"/>
  <c r="C3" i="9" s="1"/>
  <c r="D4" i="9"/>
  <c r="C4" i="9" s="1"/>
  <c r="D5" i="9"/>
  <c r="C5" i="9" s="1"/>
  <c r="D6" i="9"/>
  <c r="C6" i="9" s="1"/>
  <c r="D7" i="9"/>
  <c r="C7" i="9" s="1"/>
  <c r="D8" i="9"/>
  <c r="C8" i="9" s="1"/>
  <c r="D9" i="9"/>
  <c r="C9" i="9" s="1"/>
  <c r="D10" i="9"/>
  <c r="C10" i="9" s="1"/>
  <c r="D11" i="9"/>
  <c r="C11" i="9" s="1"/>
  <c r="D12" i="9"/>
  <c r="C12" i="9" s="1"/>
  <c r="D13" i="9"/>
  <c r="C13" i="9" s="1"/>
  <c r="D14" i="9"/>
  <c r="C14" i="9" s="1"/>
  <c r="D15" i="9"/>
  <c r="C15" i="9" s="1"/>
  <c r="D16" i="9"/>
  <c r="C16" i="9" s="1"/>
  <c r="D17" i="9"/>
  <c r="C17" i="9" s="1"/>
  <c r="D18" i="9"/>
  <c r="C18" i="9" s="1"/>
  <c r="D19" i="9"/>
  <c r="C19" i="9" s="1"/>
  <c r="D20" i="9"/>
  <c r="C20" i="9" s="1"/>
  <c r="D21" i="9"/>
  <c r="C21" i="9" s="1"/>
  <c r="D22" i="9"/>
  <c r="C22" i="9" s="1"/>
  <c r="D23" i="9"/>
  <c r="C23" i="9" s="1"/>
  <c r="D24" i="9"/>
  <c r="C24" i="9" s="1"/>
  <c r="D25" i="9"/>
  <c r="C25" i="9" s="1"/>
  <c r="D26" i="9"/>
  <c r="C26" i="9" s="1"/>
  <c r="D27" i="9"/>
  <c r="C27" i="9" s="1"/>
  <c r="D28" i="9"/>
  <c r="C28" i="9" s="1"/>
  <c r="D29" i="9"/>
  <c r="C29" i="9" s="1"/>
  <c r="D30" i="9"/>
  <c r="C30" i="9" s="1"/>
  <c r="D31" i="9"/>
  <c r="C31" i="9" s="1"/>
  <c r="D32" i="9"/>
  <c r="C32" i="9" s="1"/>
  <c r="D33" i="9"/>
  <c r="C33" i="9" s="1"/>
  <c r="D34" i="9"/>
  <c r="C34" i="9" s="1"/>
  <c r="D35" i="9"/>
  <c r="C35" i="9" s="1"/>
  <c r="D36" i="9"/>
  <c r="C36" i="9" s="1"/>
  <c r="D37" i="9"/>
  <c r="C37" i="9" s="1"/>
  <c r="D38" i="9"/>
  <c r="C38" i="9" s="1"/>
  <c r="D39" i="9"/>
  <c r="C39" i="9" s="1"/>
  <c r="D40" i="9"/>
  <c r="C40" i="9" s="1"/>
  <c r="D41" i="9"/>
  <c r="C41" i="9" s="1"/>
  <c r="K42" i="4"/>
  <c r="E42" i="9" s="1"/>
  <c r="K43" i="4"/>
  <c r="E43" i="9" s="1"/>
  <c r="K44" i="4"/>
  <c r="E44" i="9" s="1"/>
  <c r="K45" i="4"/>
  <c r="E45" i="9" s="1"/>
  <c r="K46" i="4"/>
  <c r="E46" i="9" s="1"/>
  <c r="K47" i="4"/>
  <c r="K48" i="4"/>
  <c r="K49" i="4"/>
  <c r="K50" i="4"/>
  <c r="K51" i="4"/>
  <c r="E51" i="9" s="1"/>
  <c r="K52" i="4"/>
  <c r="E52" i="9" s="1"/>
  <c r="K53" i="4"/>
  <c r="E53" i="9" s="1"/>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K2" i="4"/>
  <c r="E2" i="9" s="1"/>
  <c r="K3" i="4"/>
  <c r="E3" i="9" s="1"/>
  <c r="K4" i="4"/>
  <c r="E4" i="9" s="1"/>
  <c r="K5" i="4"/>
  <c r="E5" i="9" s="1"/>
  <c r="K6" i="4"/>
  <c r="E6" i="9" s="1"/>
  <c r="K7" i="4"/>
  <c r="E7" i="9" s="1"/>
  <c r="K8" i="4"/>
  <c r="K9" i="4"/>
  <c r="E9" i="9" s="1"/>
  <c r="K10" i="4"/>
  <c r="E10" i="9" s="1"/>
  <c r="K11" i="4"/>
  <c r="K12" i="4"/>
  <c r="K13" i="4"/>
  <c r="E13" i="9" s="1"/>
  <c r="K14" i="4"/>
  <c r="E14" i="9" s="1"/>
  <c r="K15" i="4"/>
  <c r="E15" i="9" s="1"/>
  <c r="K16" i="4"/>
  <c r="K17" i="4"/>
  <c r="K18" i="4"/>
  <c r="K19" i="4"/>
  <c r="E19" i="9" s="1"/>
  <c r="K20" i="4"/>
  <c r="E20" i="9" s="1"/>
  <c r="K21" i="4"/>
  <c r="K22" i="4"/>
  <c r="E22" i="9" s="1"/>
  <c r="K23" i="4"/>
  <c r="E23" i="9" s="1"/>
  <c r="K24" i="4"/>
  <c r="E24" i="9" s="1"/>
  <c r="K25" i="4"/>
  <c r="E25" i="9" s="1"/>
  <c r="K26" i="4"/>
  <c r="K27" i="4"/>
  <c r="K28" i="4"/>
  <c r="K29" i="4"/>
  <c r="K30" i="4"/>
  <c r="K31" i="4"/>
  <c r="E31" i="9" s="1"/>
  <c r="K32" i="4"/>
  <c r="K33" i="4"/>
  <c r="E33" i="9" s="1"/>
  <c r="K34" i="4"/>
  <c r="E34" i="9" s="1"/>
  <c r="K35" i="4"/>
  <c r="K36" i="4"/>
  <c r="K37" i="4"/>
  <c r="E37" i="9" s="1"/>
  <c r="K38" i="4"/>
  <c r="K39" i="4"/>
  <c r="E39" i="9" s="1"/>
  <c r="K40" i="4"/>
  <c r="E40" i="9" s="1"/>
  <c r="K41" i="4"/>
  <c r="E41" i="9" s="1"/>
  <c r="C5" i="7" l="1"/>
  <c r="E5" i="7" s="1"/>
  <c r="C21" i="7"/>
  <c r="E21" i="7" s="1"/>
  <c r="C37" i="7"/>
  <c r="E37" i="7" s="1"/>
  <c r="C6" i="7"/>
  <c r="E6" i="7" s="1"/>
  <c r="C22" i="7"/>
  <c r="E22" i="7" s="1"/>
  <c r="C38" i="7"/>
  <c r="E38" i="7" s="1"/>
  <c r="C7" i="7"/>
  <c r="E7" i="7" s="1"/>
  <c r="C23" i="7"/>
  <c r="E23" i="7" s="1"/>
  <c r="C39" i="7"/>
  <c r="E39" i="7" s="1"/>
  <c r="C8" i="7"/>
  <c r="E8" i="7" s="1"/>
  <c r="C24" i="7"/>
  <c r="E24" i="7" s="1"/>
  <c r="C40" i="7"/>
  <c r="E40" i="7" s="1"/>
  <c r="C19" i="7"/>
  <c r="E19" i="7" s="1"/>
  <c r="C9" i="7"/>
  <c r="E9" i="7" s="1"/>
  <c r="C25" i="7"/>
  <c r="E25" i="7" s="1"/>
  <c r="C35" i="7"/>
  <c r="E35" i="7" s="1"/>
  <c r="C10" i="7"/>
  <c r="E10" i="7" s="1"/>
  <c r="C26" i="7"/>
  <c r="E26" i="7" s="1"/>
  <c r="C11" i="7"/>
  <c r="E11" i="7" s="1"/>
  <c r="C27" i="7"/>
  <c r="E27" i="7" s="1"/>
  <c r="C12" i="7"/>
  <c r="E12" i="7" s="1"/>
  <c r="C28" i="7"/>
  <c r="E28" i="7" s="1"/>
  <c r="C13" i="7"/>
  <c r="E13" i="7" s="1"/>
  <c r="C29" i="7"/>
  <c r="E29" i="7" s="1"/>
  <c r="C14" i="7"/>
  <c r="E14" i="7" s="1"/>
  <c r="C30" i="7"/>
  <c r="E30" i="7" s="1"/>
  <c r="C15" i="7"/>
  <c r="E15" i="7" s="1"/>
  <c r="C31" i="7"/>
  <c r="E31" i="7" s="1"/>
  <c r="C16" i="7"/>
  <c r="E16" i="7" s="1"/>
  <c r="C32" i="7"/>
  <c r="E32" i="7" s="1"/>
  <c r="C17" i="7"/>
  <c r="E17" i="7" s="1"/>
  <c r="C33" i="7"/>
  <c r="E33" i="7" s="1"/>
  <c r="C18" i="7"/>
  <c r="E18" i="7" s="1"/>
  <c r="C34" i="7"/>
  <c r="E34" i="7" s="1"/>
  <c r="C20" i="7"/>
  <c r="E20" i="7" s="1"/>
  <c r="C36" i="7"/>
  <c r="E36" i="7" s="1"/>
  <c r="C2" i="7"/>
  <c r="E2" i="7" s="1"/>
  <c r="C4" i="7"/>
  <c r="E4" i="7" s="1"/>
  <c r="C3" i="7"/>
  <c r="E3" i="7" s="1"/>
  <c r="E41" i="7"/>
</calcChain>
</file>

<file path=xl/sharedStrings.xml><?xml version="1.0" encoding="utf-8"?>
<sst xmlns="http://schemas.openxmlformats.org/spreadsheetml/2006/main" count="14944" uniqueCount="6359">
  <si>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</si>
  <si>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</si>
  <si>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</si>
  <si>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</si>
  <si>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</si>
  <si>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</si>
  <si>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</si>
  <si>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</si>
  <si>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</si>
  <si>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</si>
  <si>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</si>
  <si>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</si>
  <si>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</si>
  <si>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</si>
  <si>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</si>
  <si>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</si>
  <si>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</si>
  <si>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</si>
  <si>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</si>
  <si>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</si>
  <si>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</si>
  <si>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</si>
  <si>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</si>
  <si>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</si>
  <si>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</si>
  <si>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</si>
  <si>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</si>
  <si>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</si>
  <si>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</si>
  <si>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</si>
  <si>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</si>
  <si>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</si>
  <si>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</si>
  <si>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</si>
  <si>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</si>
  <si>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</si>
  <si>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</si>
  <si>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</si>
  <si>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</si>
  <si>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</si>
  <si>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</si>
  <si>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</si>
  <si>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</si>
  <si>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</si>
  <si>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</si>
  <si>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</si>
  <si>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</si>
  <si>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</si>
  <si>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</si>
  <si>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</si>
  <si>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</si>
  <si>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</si>
  <si>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</si>
  <si>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</si>
  <si>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</si>
  <si>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</si>
  <si>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</si>
  <si>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</si>
  <si>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</si>
  <si>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</si>
  <si>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</si>
  <si>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</si>
  <si>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</si>
  <si>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</si>
  <si>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</si>
  <si>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</si>
  <si>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</si>
  <si>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</si>
  <si>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</si>
  <si>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</si>
  <si>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</si>
  <si>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</si>
  <si>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</si>
  <si>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</si>
  <si>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</si>
  <si>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</si>
  <si>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</si>
  <si>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</si>
  <si>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</si>
  <si>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</si>
  <si>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</si>
  <si>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</si>
  <si>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</si>
  <si>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</si>
  <si>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</si>
  <si>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</si>
  <si>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</si>
  <si>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</si>
  <si>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</si>
  <si>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</si>
  <si>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</si>
  <si>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</si>
  <si>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</si>
  <si>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</si>
  <si>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</si>
  <si>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</si>
  <si>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</si>
  <si>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</si>
  <si>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</si>
  <si>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</si>
  <si>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</si>
  <si>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</si>
  <si>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</si>
  <si>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</si>
  <si>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</si>
  <si>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</si>
  <si>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</si>
  <si>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</si>
  <si>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</si>
  <si>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</si>
  <si>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</si>
  <si>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</si>
  <si>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</si>
  <si>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</si>
  <si>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</si>
  <si>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</si>
  <si>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</si>
  <si>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</si>
  <si>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</si>
  <si>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</si>
  <si>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</si>
  <si>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</si>
  <si>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</si>
  <si>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</si>
  <si>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</si>
  <si>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</si>
  <si>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</si>
  <si>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</si>
  <si>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</si>
  <si>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</si>
  <si>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</si>
  <si>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</si>
  <si>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</si>
  <si>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</si>
  <si>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</si>
  <si>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</si>
  <si>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</si>
  <si>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</si>
  <si>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</si>
  <si>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</si>
  <si>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</si>
  <si>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</si>
  <si>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</si>
  <si>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</si>
  <si>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</si>
  <si>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</si>
  <si>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</si>
  <si>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</si>
  <si>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</si>
  <si>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</si>
  <si>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</si>
  <si>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</si>
  <si>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</si>
  <si>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</si>
  <si>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</si>
  <si>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</si>
  <si>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</si>
  <si>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</si>
  <si>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</si>
  <si>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</si>
  <si>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</si>
  <si>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</si>
  <si>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</si>
  <si>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</si>
  <si>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</si>
  <si>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</si>
  <si>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</si>
  <si>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</si>
  <si>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</si>
  <si>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</si>
  <si>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</si>
  <si>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</si>
  <si>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</si>
  <si>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</si>
  <si>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</si>
  <si>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</si>
  <si>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</si>
  <si>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</si>
  <si>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</si>
  <si>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</si>
  <si>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</si>
  <si>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</si>
  <si>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</si>
  <si>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</si>
  <si>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</si>
  <si>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</si>
  <si>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</si>
  <si>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</si>
  <si>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</si>
  <si>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</si>
  <si>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</si>
  <si>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</si>
  <si>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</si>
  <si>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</si>
  <si>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</si>
  <si>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</si>
  <si>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</si>
  <si>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</si>
  <si>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</si>
  <si>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</si>
  <si>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</si>
  <si>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</si>
  <si>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</si>
  <si>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</si>
  <si>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</si>
  <si>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</si>
  <si>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</si>
  <si>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</si>
  <si>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</si>
  <si>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</si>
  <si>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</si>
  <si>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</si>
  <si>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</si>
  <si>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</si>
  <si>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</si>
  <si>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</si>
  <si>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</si>
  <si>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</si>
  <si>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</si>
  <si>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</si>
  <si>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</si>
  <si>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</si>
  <si>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</si>
  <si>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</si>
  <si>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</si>
  <si>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</si>
  <si>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</si>
  <si>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</si>
  <si>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</si>
  <si>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</si>
  <si>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</si>
  <si>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</si>
  <si>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</si>
  <si>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</si>
  <si>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</si>
  <si>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</si>
  <si>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</si>
  <si>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</si>
  <si>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</si>
  <si>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</si>
  <si>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</si>
  <si>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</si>
  <si>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</si>
  <si>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</si>
  <si>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</si>
  <si>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</si>
  <si>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</si>
  <si>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</si>
  <si>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</si>
  <si>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</si>
  <si>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</si>
  <si>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</si>
  <si>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</si>
  <si>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</si>
  <si>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</si>
  <si>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</si>
  <si>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</si>
  <si>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</si>
  <si>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</si>
  <si>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</si>
  <si>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</si>
  <si>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</si>
  <si>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</si>
  <si>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</si>
  <si>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</si>
  <si>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</si>
  <si>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</si>
  <si>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</si>
  <si>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</si>
  <si>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</si>
  <si>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</si>
  <si>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</si>
  <si>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</si>
  <si>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</si>
  <si>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</si>
  <si>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</si>
  <si>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</si>
  <si>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</si>
  <si>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</si>
  <si>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</si>
  <si>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</si>
  <si>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</si>
  <si>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</si>
  <si>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</si>
  <si>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</si>
  <si>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</si>
  <si>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</si>
  <si>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</si>
  <si>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</si>
  <si>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</si>
  <si>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</si>
  <si>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</si>
  <si>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</si>
  <si>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</si>
  <si>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</si>
  <si>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</si>
  <si>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</si>
  <si>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</si>
  <si>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</si>
  <si>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</si>
  <si>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</si>
  <si>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</si>
  <si>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</si>
  <si>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</si>
  <si>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</si>
  <si>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</si>
  <si>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</si>
  <si>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</si>
  <si>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</si>
  <si>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</si>
  <si>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</si>
  <si>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</si>
  <si>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</si>
  <si>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</si>
  <si>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</si>
  <si>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</si>
  <si>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</si>
  <si>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</si>
  <si>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</si>
  <si>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</si>
  <si>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</si>
  <si>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</si>
  <si>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</si>
  <si>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</si>
  <si>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</si>
  <si>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</si>
  <si>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</si>
  <si>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</si>
  <si>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</si>
  <si>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</si>
  <si>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</si>
  <si>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</si>
  <si>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</si>
  <si>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</si>
  <si>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</si>
  <si>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</si>
  <si>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</si>
  <si>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</si>
  <si>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</si>
  <si>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</si>
  <si>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</si>
  <si>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</si>
  <si>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</si>
  <si>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</si>
  <si>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</si>
  <si>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</si>
  <si>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</si>
  <si>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</si>
  <si>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</si>
  <si>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</si>
  <si>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</si>
  <si>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</si>
  <si>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</si>
  <si>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</si>
  <si>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</si>
  <si>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</si>
  <si>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</si>
  <si>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</si>
  <si>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</si>
  <si>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</si>
  <si>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</si>
  <si>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</si>
  <si>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</si>
  <si>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</si>
  <si>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</si>
  <si>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</si>
  <si>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</si>
  <si>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</si>
  <si>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</si>
  <si>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</si>
  <si>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</si>
  <si>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</si>
  <si>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</si>
  <si>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</si>
  <si>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</si>
  <si>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</si>
  <si>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</si>
  <si>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</si>
  <si>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</si>
  <si>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</si>
  <si>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</si>
  <si>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</si>
  <si>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</si>
  <si>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</si>
  <si>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</si>
  <si>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</si>
  <si>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</si>
  <si>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</si>
  <si>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</si>
  <si>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</si>
  <si>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</si>
  <si>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</si>
  <si>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</si>
  <si>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</si>
  <si>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</si>
  <si>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</si>
  <si>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</si>
  <si>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</si>
  <si>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</si>
  <si>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</si>
  <si>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</si>
  <si>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</si>
  <si>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</si>
  <si>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</si>
  <si>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</si>
  <si>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</si>
  <si>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</si>
  <si>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</si>
  <si>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</si>
  <si>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</si>
  <si>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</si>
  <si>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</si>
  <si>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</si>
  <si>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</si>
  <si>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</si>
  <si>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</si>
  <si>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</si>
  <si>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</si>
  <si>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</si>
  <si>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</si>
  <si>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</si>
  <si>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</si>
  <si>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</si>
  <si>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</si>
  <si>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</si>
  <si>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</si>
  <si>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</si>
  <si>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</si>
  <si>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</si>
  <si>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</si>
  <si>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</si>
  <si>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</si>
  <si>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</si>
  <si>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</si>
  <si>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</si>
  <si>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</si>
  <si>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</si>
  <si>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</si>
  <si>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</si>
  <si>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</si>
  <si>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</si>
  <si>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</si>
  <si>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</si>
  <si>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</si>
  <si>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</si>
  <si>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</si>
  <si>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</si>
  <si>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</si>
  <si>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</si>
  <si>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</si>
  <si>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</si>
  <si>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</si>
  <si>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</si>
  <si>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</si>
  <si>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</si>
  <si>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</si>
  <si>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</si>
  <si>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</si>
  <si>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</si>
  <si>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</si>
  <si>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</si>
  <si>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</si>
  <si>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</si>
  <si>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</si>
  <si>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</si>
  <si>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</si>
  <si>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</si>
  <si>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</si>
  <si>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</si>
  <si>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</si>
  <si>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</si>
  <si>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</si>
  <si>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</si>
  <si>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</si>
  <si>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</si>
  <si>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</si>
  <si>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</si>
  <si>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</si>
  <si>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</si>
  <si>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</si>
  <si>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</si>
  <si>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</si>
  <si>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</si>
  <si>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</si>
  <si>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</si>
  <si>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</si>
  <si>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</si>
  <si>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</si>
  <si>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</si>
  <si>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</si>
  <si>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</si>
  <si>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</si>
  <si>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</si>
  <si>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</si>
  <si>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</si>
  <si>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</si>
  <si>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</si>
  <si>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</si>
  <si>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</si>
  <si>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</si>
  <si>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</si>
  <si>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</si>
  <si>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</si>
  <si>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</si>
  <si>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</si>
  <si>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</si>
  <si>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</si>
  <si>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</si>
  <si>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</si>
  <si>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</si>
  <si>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</si>
  <si>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</si>
  <si>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</si>
  <si>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</si>
  <si>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</si>
  <si>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</si>
  <si>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</si>
  <si>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</si>
  <si>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</si>
  <si>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</si>
  <si>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</si>
  <si>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</si>
  <si>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</si>
  <si>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</si>
  <si>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</si>
  <si>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</si>
  <si>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</si>
  <si>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</si>
  <si>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</si>
  <si>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</si>
  <si>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</si>
  <si>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</si>
  <si>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</si>
  <si>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</si>
  <si>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</si>
  <si>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</si>
  <si>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</si>
  <si>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</si>
  <si>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</si>
  <si>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</si>
  <si>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</si>
  <si>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</si>
  <si>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</si>
  <si>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</si>
  <si>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</si>
  <si>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</si>
  <si>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</si>
  <si>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</si>
  <si>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</si>
  <si>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</si>
  <si>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</si>
  <si>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</si>
  <si>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</si>
  <si>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</si>
  <si>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</si>
  <si>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</si>
  <si>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</si>
  <si>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</si>
  <si>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</si>
  <si>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</si>
  <si>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</si>
  <si>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</si>
  <si>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</si>
  <si>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</si>
  <si>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</si>
  <si>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</si>
  <si>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</si>
  <si>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</si>
  <si>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</si>
  <si>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</si>
  <si>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</si>
  <si>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</si>
  <si>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</si>
  <si>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</si>
  <si>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</si>
  <si>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</si>
  <si>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</si>
  <si>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</si>
  <si>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</si>
  <si>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</si>
  <si>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</si>
  <si>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</si>
  <si>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</si>
  <si>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</si>
  <si>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</si>
  <si>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</si>
  <si>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</si>
  <si>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</si>
  <si>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</si>
  <si>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</si>
  <si>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</si>
  <si>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</si>
  <si>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</si>
  <si>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</si>
  <si>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</si>
  <si>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</si>
  <si>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</si>
  <si>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</si>
  <si>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</si>
  <si>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</si>
  <si>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</si>
  <si>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</si>
  <si>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</si>
  <si>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</si>
  <si>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</si>
  <si>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</si>
  <si>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</si>
  <si>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</si>
  <si>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</si>
  <si>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</si>
  <si>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</si>
  <si>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</si>
  <si>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</si>
  <si>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</si>
  <si>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</si>
  <si>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</si>
  <si>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</si>
  <si>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</si>
  <si>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</si>
  <si>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</si>
  <si>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</si>
  <si>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</si>
  <si>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</si>
  <si>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</si>
  <si>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</si>
  <si>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</si>
  <si>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</si>
  <si>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</si>
  <si>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</si>
  <si>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</si>
  <si>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</si>
  <si>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</si>
  <si>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</si>
  <si>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</si>
  <si>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</si>
  <si>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</si>
  <si>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</si>
  <si>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</si>
  <si>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</si>
  <si>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</si>
  <si>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</si>
  <si>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</si>
  <si>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</si>
  <si>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</si>
  <si>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</si>
  <si>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</si>
  <si>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</si>
  <si>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</si>
  <si>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</si>
  <si>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</si>
  <si>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</si>
  <si>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</si>
  <si>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</si>
  <si>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</si>
  <si>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</si>
  <si>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</si>
  <si>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</si>
  <si>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</si>
  <si>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</si>
  <si>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</si>
  <si>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</si>
  <si>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</si>
  <si>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</si>
  <si>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</si>
  <si>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</si>
  <si>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</si>
  <si>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</si>
  <si>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</si>
  <si>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</si>
  <si>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</si>
  <si>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</si>
  <si>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</si>
  <si>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</si>
  <si>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</si>
  <si>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</si>
  <si>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</si>
  <si>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</si>
  <si>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</si>
  <si>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</si>
  <si>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</si>
  <si>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</si>
  <si>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</si>
  <si>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</si>
  <si>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</si>
  <si>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</si>
  <si>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</si>
  <si>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</si>
  <si>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</si>
  <si>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</si>
  <si>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</si>
  <si>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</si>
  <si>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</si>
  <si>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</si>
  <si>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</si>
  <si>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</si>
  <si>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</si>
  <si>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</si>
  <si>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</si>
  <si>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</si>
  <si>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</si>
  <si>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</si>
  <si>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</si>
  <si>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</si>
  <si>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</si>
  <si>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</si>
  <si>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</si>
  <si>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</si>
  <si>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</si>
  <si>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</si>
  <si>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</si>
  <si>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</si>
  <si>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</si>
  <si>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</si>
  <si>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</si>
  <si>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</si>
  <si>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</si>
  <si>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</si>
  <si>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</si>
  <si>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</si>
  <si>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</si>
  <si>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</si>
  <si>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</si>
  <si>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</si>
  <si>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</si>
  <si>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</si>
  <si>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</si>
  <si>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</si>
  <si>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</si>
  <si>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</si>
  <si>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</si>
  <si>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</si>
  <si>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</si>
  <si>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</si>
  <si>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</si>
  <si>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</si>
  <si>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</si>
  <si>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</si>
  <si>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</si>
  <si>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</si>
  <si>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</si>
  <si>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</si>
  <si>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</si>
  <si>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</si>
  <si>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</si>
  <si>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</si>
  <si>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</si>
  <si>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</si>
  <si>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</si>
  <si>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</si>
  <si>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</si>
  <si>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</si>
  <si>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</si>
  <si>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</si>
  <si>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</si>
  <si>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</si>
  <si>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</si>
  <si>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</si>
  <si>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</si>
  <si>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</si>
  <si>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</si>
  <si>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</si>
  <si>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</si>
  <si>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</si>
  <si>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</si>
  <si>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</si>
  <si>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</si>
  <si>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</si>
  <si>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</si>
  <si>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</si>
  <si>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</si>
  <si>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</si>
  <si>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</si>
  <si>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</si>
  <si>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</si>
  <si>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</si>
  <si>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</si>
  <si>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</si>
  <si>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</si>
  <si>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</si>
  <si>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</si>
  <si>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</si>
  <si>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</si>
  <si>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</si>
  <si>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</si>
  <si>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</si>
  <si>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</si>
  <si>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</si>
  <si>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</si>
  <si>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</si>
  <si>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</si>
  <si>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</si>
  <si>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</si>
  <si>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</si>
  <si>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</si>
  <si>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</si>
  <si>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</si>
  <si>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</si>
  <si>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</si>
  <si>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</si>
  <si>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</si>
  <si>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</si>
  <si>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</si>
  <si>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</si>
  <si>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</si>
  <si>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</si>
  <si>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</si>
  <si>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</si>
  <si>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</si>
  <si>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</si>
  <si>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</si>
  <si>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</si>
  <si>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</si>
  <si>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</si>
  <si>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</si>
  <si>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</si>
  <si>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</si>
  <si>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</si>
  <si>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</si>
  <si>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</si>
  <si>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</si>
  <si>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</si>
  <si>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</si>
  <si>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</si>
  <si>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</si>
  <si>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</si>
  <si>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</si>
  <si>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</si>
  <si>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</si>
  <si>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</si>
  <si>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</si>
  <si>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</si>
  <si>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</si>
  <si>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</si>
  <si>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</si>
  <si>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</si>
  <si>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</si>
  <si>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</si>
  <si>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</si>
  <si>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</si>
  <si>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</si>
  <si>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</si>
  <si>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</si>
  <si>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</si>
  <si>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</si>
  <si>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</si>
  <si>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</si>
  <si>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</si>
  <si>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</si>
  <si>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</si>
  <si>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</si>
  <si>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</si>
  <si>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</si>
  <si>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</si>
  <si>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</si>
  <si>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</si>
  <si>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</si>
  <si>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</si>
  <si>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</si>
  <si>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</si>
  <si>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</si>
  <si>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</si>
  <si>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</si>
  <si>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</si>
  <si>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</si>
  <si>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</si>
  <si>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</si>
  <si>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</si>
  <si>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</si>
  <si>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</si>
  <si>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</si>
  <si>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</si>
  <si>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</si>
  <si>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</si>
  <si>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</si>
  <si>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</si>
  <si>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</si>
  <si>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</si>
  <si>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</si>
  <si>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</si>
  <si>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</si>
  <si>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</si>
  <si>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</si>
  <si>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</si>
  <si>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</si>
  <si>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</si>
  <si>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</si>
  <si>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</si>
  <si>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</si>
  <si>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</si>
  <si>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</si>
  <si>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</si>
  <si>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</si>
  <si>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</si>
  <si>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</si>
  <si>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</si>
  <si>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</si>
  <si>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</si>
  <si>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</si>
  <si>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</si>
  <si>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</si>
  <si>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</si>
  <si>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</si>
  <si>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</si>
  <si>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</si>
  <si>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</si>
  <si>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</si>
  <si>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</si>
  <si>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</si>
  <si>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</si>
  <si>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</si>
  <si>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</si>
  <si>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</si>
  <si>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</si>
  <si>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</si>
  <si>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</si>
  <si>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</si>
  <si>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</si>
  <si>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</si>
  <si>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</si>
  <si>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</si>
  <si>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</si>
  <si>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</si>
  <si>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</si>
  <si>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</si>
  <si>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</si>
  <si>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</si>
  <si>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</si>
  <si>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</si>
  <si>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</si>
  <si>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</si>
  <si>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</si>
  <si>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</si>
  <si>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</si>
  <si>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</si>
  <si>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</si>
  <si>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</si>
  <si>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</si>
  <si>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</si>
  <si>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</si>
  <si>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</si>
  <si>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</si>
  <si>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</si>
  <si>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</si>
  <si>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</si>
  <si>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</si>
  <si>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</si>
  <si>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</si>
  <si>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</si>
  <si>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</si>
  <si>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</si>
  <si>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</si>
  <si>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</si>
  <si>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</si>
  <si>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</si>
  <si>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</si>
  <si>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</si>
  <si>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</si>
  <si>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</si>
  <si>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</si>
  <si>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</si>
  <si>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</si>
  <si>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</si>
  <si>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</si>
  <si>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</si>
  <si>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</si>
  <si>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</si>
  <si>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</si>
  <si>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</si>
  <si>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</si>
  <si>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</si>
  <si>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</si>
  <si>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</si>
  <si>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</si>
  <si>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</si>
  <si>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</si>
  <si>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</si>
  <si>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</si>
  <si>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</si>
  <si>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</si>
  <si>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</si>
  <si>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</si>
  <si>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</si>
  <si>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</si>
  <si>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</si>
  <si>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</si>
  <si>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</si>
  <si>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</si>
  <si>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</si>
  <si>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</si>
  <si>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</si>
  <si>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</si>
  <si>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</si>
  <si>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</si>
  <si>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</si>
  <si>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</si>
  <si>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</si>
  <si>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</si>
  <si>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</si>
  <si>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</si>
  <si>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</si>
  <si>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</si>
  <si>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</si>
  <si>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</si>
  <si>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</si>
  <si>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</si>
  <si>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</si>
  <si>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</si>
  <si>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</si>
  <si>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</si>
  <si>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</si>
  <si>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</si>
  <si>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</si>
  <si>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</si>
  <si>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</si>
  <si>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</si>
  <si>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</si>
  <si>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</si>
  <si>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</si>
  <si>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</si>
  <si>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</si>
  <si>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</si>
  <si>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</si>
  <si>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</si>
  <si>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</si>
  <si>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</si>
  <si>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</si>
  <si>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</si>
  <si>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</si>
  <si>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</si>
  <si>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</si>
  <si>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</si>
  <si>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</si>
  <si>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</si>
  <si>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</si>
  <si>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</si>
  <si>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</si>
  <si>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</si>
  <si>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</si>
  <si>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</si>
  <si>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</si>
  <si>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</si>
  <si>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</si>
  <si>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</si>
  <si>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</si>
  <si>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</si>
  <si>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</si>
  <si>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</si>
  <si>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</si>
  <si>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</si>
  <si>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</si>
  <si>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</si>
  <si>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</si>
  <si>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</si>
  <si>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</si>
  <si>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</si>
  <si>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</si>
  <si>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</si>
  <si>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</si>
  <si>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</si>
  <si>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</si>
  <si>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</si>
  <si>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</si>
  <si>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</si>
  <si>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</si>
  <si>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</si>
  <si>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</si>
  <si>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</si>
  <si>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</si>
  <si>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</si>
  <si>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</si>
  <si>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</si>
  <si>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</si>
  <si>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</si>
  <si>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</si>
  <si>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</si>
  <si>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</si>
  <si>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</si>
  <si>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</si>
  <si>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</si>
  <si>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</si>
  <si>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</si>
  <si>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</si>
  <si>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</si>
  <si>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</si>
  <si>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</si>
  <si>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</si>
  <si>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</si>
  <si>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</si>
  <si>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</si>
  <si>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</si>
  <si>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</si>
  <si>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</si>
  <si>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</si>
  <si>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</si>
  <si>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</si>
  <si>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</si>
  <si>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</si>
  <si>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</si>
  <si>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</si>
  <si>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</si>
  <si>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</si>
  <si>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</si>
  <si>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</si>
  <si>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</si>
  <si>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</si>
  <si>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</si>
  <si>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</si>
  <si>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</si>
  <si>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</si>
  <si>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</si>
  <si>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</si>
  <si>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</si>
  <si>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</si>
  <si>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</si>
  <si>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</si>
  <si>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</si>
  <si>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</si>
  <si>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</si>
  <si>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</si>
  <si>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</si>
  <si>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</si>
  <si>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</si>
  <si>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</si>
  <si>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</si>
  <si>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</si>
  <si>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</si>
  <si>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</si>
  <si>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</si>
  <si>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</si>
  <si>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</si>
  <si>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</si>
  <si>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</si>
  <si>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</si>
  <si>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</si>
  <si>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</si>
  <si>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</si>
  <si>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</si>
  <si>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</si>
  <si>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</si>
  <si>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</si>
  <si>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</si>
  <si>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</si>
  <si>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</si>
  <si>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</si>
  <si>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</si>
  <si>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</si>
  <si>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</si>
  <si>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</si>
  <si>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</si>
  <si>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</si>
  <si>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</si>
  <si>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</si>
  <si>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</si>
  <si>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</si>
  <si>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</si>
  <si>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</si>
  <si>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</si>
  <si>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</si>
  <si>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</si>
  <si>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</si>
  <si>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</si>
  <si>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</si>
  <si>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</si>
  <si>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</si>
  <si>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</si>
  <si>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</si>
  <si>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</si>
  <si>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</si>
  <si>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</si>
  <si>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</si>
  <si>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</si>
  <si>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</si>
  <si>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</si>
  <si>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</si>
  <si>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</si>
  <si>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</si>
  <si>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</si>
  <si>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</si>
  <si>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</si>
  <si>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</si>
  <si>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</si>
  <si>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</si>
  <si>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</si>
  <si>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</si>
  <si>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</si>
  <si>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</si>
  <si>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</si>
  <si>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</si>
  <si>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</si>
  <si>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</si>
  <si>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</si>
  <si>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</si>
  <si>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</si>
  <si>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</si>
  <si>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</si>
  <si>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</si>
  <si>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</si>
  <si>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</si>
  <si>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</si>
  <si>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</si>
  <si>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</si>
  <si>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</si>
  <si>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</si>
  <si>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</si>
  <si>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</si>
  <si>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</si>
  <si>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</si>
  <si>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</si>
  <si>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</si>
  <si>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</si>
  <si>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</si>
  <si>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</si>
  <si>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</si>
  <si>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</si>
  <si>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</si>
  <si>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</si>
  <si>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</si>
  <si>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</si>
  <si>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</si>
  <si>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</si>
  <si>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</si>
  <si>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</si>
  <si>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</si>
  <si>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</si>
  <si>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</si>
  <si>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</si>
  <si>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</si>
  <si>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</si>
  <si>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</si>
  <si>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</si>
  <si>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</si>
  <si>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</si>
  <si>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</si>
  <si>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</si>
  <si>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</si>
  <si>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</si>
  <si>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</si>
  <si>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</si>
  <si>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</si>
  <si>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</si>
  <si>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</si>
  <si>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</si>
  <si>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</si>
  <si>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</si>
  <si>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</si>
  <si>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</si>
  <si>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</si>
  <si>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</si>
  <si>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</si>
  <si>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</si>
  <si>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</si>
  <si>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</si>
  <si>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</si>
  <si>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</si>
  <si>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</si>
  <si>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</si>
  <si>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</si>
  <si>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</si>
  <si>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</si>
  <si>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</si>
  <si>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</si>
  <si>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</si>
  <si>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</si>
  <si>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</si>
  <si>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</si>
  <si>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</si>
  <si>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</si>
  <si>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</si>
  <si>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</si>
  <si>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</si>
  <si>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</si>
  <si>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</si>
  <si>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</si>
  <si>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</si>
  <si>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</si>
  <si>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</si>
  <si>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</si>
  <si>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</si>
  <si>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</si>
  <si>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</si>
  <si>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</si>
  <si>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</si>
  <si>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</si>
  <si>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</si>
  <si>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</si>
  <si>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</si>
  <si>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</si>
  <si>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</si>
  <si>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</si>
  <si>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</si>
  <si>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</si>
  <si>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</si>
  <si>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</si>
  <si>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</si>
  <si>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</si>
  <si>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</si>
  <si>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</si>
  <si>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</si>
  <si>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</si>
  <si>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</si>
  <si>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</si>
  <si>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</si>
  <si>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</si>
  <si>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</si>
  <si>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</si>
  <si>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</si>
  <si>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</si>
  <si>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</si>
  <si>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</si>
  <si>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</si>
  <si>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</si>
  <si>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</si>
  <si>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</si>
  <si>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</si>
  <si>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</si>
  <si>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</si>
  <si>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</si>
  <si>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</si>
  <si>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</si>
  <si>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</si>
  <si>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</si>
  <si>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</si>
  <si>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</si>
  <si>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</si>
  <si>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</si>
  <si>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</si>
  <si>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</si>
  <si>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</si>
  <si>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</si>
  <si>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</si>
  <si>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</si>
  <si>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</si>
  <si>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</si>
  <si>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</si>
  <si>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</si>
  <si>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</si>
  <si>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</si>
  <si>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</si>
  <si>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</si>
  <si>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</si>
  <si>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</si>
  <si>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</si>
  <si>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</si>
  <si>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</si>
  <si>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</si>
  <si>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</si>
  <si>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</si>
  <si>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</si>
  <si>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</si>
  <si>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</si>
  <si>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</si>
  <si>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</si>
  <si>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</si>
  <si>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</si>
  <si>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</si>
  <si>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</si>
  <si>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</si>
  <si>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</si>
  <si>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</si>
  <si>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</si>
  <si>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</si>
  <si>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</si>
  <si>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</si>
  <si>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</si>
  <si>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</si>
  <si>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</si>
  <si>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</si>
  <si>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</si>
  <si>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</si>
  <si>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</si>
  <si>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</si>
  <si>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</si>
  <si>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</si>
  <si>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</si>
  <si>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</si>
  <si>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</si>
  <si>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</si>
  <si>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</si>
  <si>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</si>
  <si>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</si>
  <si>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</si>
  <si>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</si>
  <si>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</si>
  <si>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</si>
  <si>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</si>
  <si>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</si>
  <si>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</si>
  <si>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</si>
  <si>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</si>
  <si>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</si>
  <si>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</si>
  <si>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</si>
  <si>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</si>
  <si>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</si>
  <si>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</si>
  <si>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</si>
  <si>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</si>
  <si>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</si>
  <si>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</si>
  <si>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</si>
  <si>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</si>
  <si>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</si>
  <si>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</si>
  <si>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</si>
  <si>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</si>
  <si>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</si>
  <si>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</si>
  <si>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</si>
  <si>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</si>
  <si>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</si>
  <si>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</si>
  <si>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</si>
  <si>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</si>
  <si>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</si>
  <si>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</si>
  <si>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</si>
  <si>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</si>
  <si>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</si>
  <si>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</si>
  <si>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</si>
  <si>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</si>
  <si>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</si>
  <si>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</si>
  <si>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</si>
  <si>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</si>
  <si>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</si>
  <si>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</si>
  <si>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</si>
  <si>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</si>
  <si>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</si>
  <si>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</si>
  <si>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</si>
  <si>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</si>
  <si>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</si>
  <si>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</si>
  <si>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</si>
  <si>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</si>
  <si>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</si>
  <si>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</si>
  <si>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</si>
  <si>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</si>
  <si>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</si>
  <si>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</si>
  <si>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</si>
  <si>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</si>
  <si>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</si>
  <si>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</si>
  <si>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</si>
  <si>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</si>
  <si>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</si>
  <si>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</si>
  <si>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</si>
  <si>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</si>
  <si>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</si>
  <si>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</si>
  <si>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</si>
  <si>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</si>
  <si>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</si>
  <si>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</si>
  <si>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</si>
  <si>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</si>
  <si>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</si>
  <si>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</si>
  <si>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</si>
  <si>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</si>
  <si>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</si>
  <si>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</si>
  <si>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</si>
  <si>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</si>
  <si>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</si>
  <si>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</si>
  <si>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</si>
  <si>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</si>
  <si>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</si>
  <si>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</si>
  <si>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</si>
  <si>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</si>
  <si>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</si>
  <si>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</si>
  <si>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</si>
  <si>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</si>
  <si>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</si>
  <si>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</si>
  <si>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</si>
  <si>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</si>
  <si>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</si>
  <si>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</si>
  <si>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</si>
  <si>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</si>
  <si>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</si>
  <si>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</si>
  <si>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</si>
  <si>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</si>
  <si>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</si>
  <si>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</si>
  <si>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</si>
  <si>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</si>
  <si>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</si>
  <si>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</si>
  <si>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</si>
  <si>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</si>
  <si>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</si>
  <si>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</si>
  <si>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</si>
  <si>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</si>
  <si>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</si>
  <si>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</si>
  <si>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</si>
  <si>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</si>
  <si>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</si>
  <si>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</si>
  <si>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</si>
  <si>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</si>
  <si>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</si>
  <si>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</si>
  <si>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</si>
  <si>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</si>
  <si>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</si>
  <si>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</si>
  <si>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</si>
  <si>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</si>
  <si>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</si>
  <si>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</si>
  <si>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</si>
  <si>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</si>
  <si>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</si>
  <si>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</si>
  <si>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</si>
  <si>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</si>
  <si>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</si>
  <si>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</si>
  <si>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</si>
  <si>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</si>
  <si>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</si>
  <si>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</si>
  <si>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</si>
  <si>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</si>
  <si>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</si>
  <si>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</si>
  <si>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</si>
  <si>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</si>
  <si>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</si>
  <si>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</si>
  <si>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</si>
  <si>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</si>
  <si>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</si>
  <si>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</si>
  <si>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</si>
  <si>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</si>
  <si>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</si>
  <si>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</si>
  <si>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</si>
  <si>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</si>
  <si>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</si>
  <si>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</si>
  <si>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</si>
  <si>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</si>
  <si>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</si>
  <si>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</si>
  <si>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</si>
  <si>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</si>
  <si>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</si>
  <si>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</si>
  <si>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</si>
  <si>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</si>
  <si>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</si>
  <si>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</si>
  <si>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</si>
  <si>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</si>
  <si>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</si>
  <si>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</si>
  <si>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</si>
  <si>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</si>
  <si>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</si>
  <si>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</si>
  <si>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</si>
  <si>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</si>
  <si>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</si>
  <si>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</si>
  <si>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</si>
  <si>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</si>
  <si>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</si>
  <si>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</si>
  <si>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</si>
  <si>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</si>
  <si>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</si>
  <si>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</si>
  <si>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</si>
  <si>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</si>
  <si>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</si>
  <si>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</si>
  <si>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</si>
  <si>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</si>
  <si>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</si>
  <si>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</si>
  <si>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</si>
  <si>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</si>
  <si>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</si>
  <si>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</si>
  <si>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</si>
  <si>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</si>
  <si>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</si>
  <si>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</si>
  <si>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</si>
  <si>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</si>
  <si>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</si>
  <si>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</si>
  <si>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</si>
  <si>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</si>
  <si>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</si>
  <si>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</si>
  <si>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</si>
  <si>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</si>
  <si>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</si>
  <si>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</si>
  <si>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</si>
  <si>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</si>
  <si>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</si>
  <si>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</si>
  <si>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</si>
  <si>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</si>
  <si>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</si>
  <si>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</si>
  <si>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</si>
  <si>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</si>
  <si>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</si>
  <si>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</si>
  <si>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</si>
  <si>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</si>
  <si>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</si>
  <si>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</si>
  <si>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</si>
  <si>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</si>
  <si>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</si>
  <si>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</si>
  <si>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</si>
  <si>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</si>
  <si>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</si>
  <si>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</si>
  <si>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</si>
  <si>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</si>
  <si>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</si>
  <si>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</si>
  <si>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</si>
  <si>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</si>
  <si>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</si>
  <si>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</si>
  <si>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</si>
  <si>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</si>
  <si>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</si>
  <si>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</si>
  <si>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</si>
  <si>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</si>
  <si>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</si>
  <si>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</si>
  <si>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</si>
  <si>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</si>
  <si>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</si>
  <si>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</si>
  <si>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</si>
  <si>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</si>
  <si>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</si>
  <si>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</si>
  <si>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</si>
  <si>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</si>
  <si>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</si>
  <si>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</si>
  <si>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</si>
  <si>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</si>
  <si>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</si>
  <si>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</si>
  <si>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</si>
  <si>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</si>
  <si>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</si>
  <si>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</si>
  <si>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</si>
  <si>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</si>
  <si>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</si>
  <si>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</si>
  <si>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</si>
  <si>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</si>
  <si>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</si>
  <si>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</si>
  <si>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</si>
  <si>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</si>
  <si>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</si>
  <si>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</si>
  <si>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</si>
  <si>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</si>
  <si>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</si>
  <si>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</si>
  <si>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</si>
  <si>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</si>
  <si>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</si>
  <si>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</si>
  <si>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</si>
  <si>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</si>
  <si>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</si>
  <si>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</si>
  <si>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</si>
  <si>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</si>
  <si>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</si>
  <si>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</si>
  <si>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</si>
  <si>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</si>
  <si>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</si>
  <si>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</si>
  <si>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</si>
  <si>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</si>
  <si>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</si>
  <si>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</si>
  <si>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</si>
  <si>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</si>
  <si>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</si>
  <si>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</si>
  <si>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</si>
  <si>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</si>
  <si>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</si>
  <si>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</si>
  <si>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</si>
  <si>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</si>
  <si>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</si>
  <si>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</si>
  <si>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</si>
  <si>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</si>
  <si>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</si>
  <si>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</si>
  <si>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</si>
  <si>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</si>
  <si>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</si>
  <si>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</si>
  <si>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</si>
  <si>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</si>
  <si>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</si>
  <si>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</si>
  <si>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</si>
  <si>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</si>
  <si>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</si>
  <si>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</si>
  <si>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</si>
  <si>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</si>
  <si>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</si>
  <si>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</si>
  <si>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</si>
  <si>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</si>
  <si>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</si>
  <si>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</si>
  <si>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</si>
  <si>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</si>
  <si>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</si>
  <si>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</si>
  <si>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</si>
  <si>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</si>
  <si>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</si>
  <si>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</si>
  <si>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</si>
  <si>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</si>
  <si>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</si>
  <si>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</si>
  <si>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</si>
  <si>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</si>
  <si>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</si>
  <si>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</si>
  <si>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</si>
  <si>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</si>
  <si>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</si>
  <si>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</si>
  <si>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</si>
  <si>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</si>
  <si>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</si>
  <si>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</si>
  <si>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</si>
  <si>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</si>
  <si>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</si>
  <si>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</si>
  <si>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</si>
  <si>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</si>
  <si>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</si>
  <si>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</si>
  <si>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</si>
  <si>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</si>
  <si>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</si>
  <si>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</si>
  <si>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</si>
  <si>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</si>
  <si>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</si>
  <si>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</si>
  <si>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</si>
  <si>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</si>
  <si>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</si>
  <si>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</si>
  <si>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</si>
  <si>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</si>
  <si>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</si>
  <si>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</si>
  <si>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</si>
  <si>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</si>
  <si>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</si>
  <si>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</si>
  <si>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</si>
  <si>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</si>
  <si>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</si>
  <si>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</si>
  <si>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</si>
  <si>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</si>
  <si>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</si>
  <si>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</si>
  <si>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</si>
  <si>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</si>
  <si>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</si>
  <si>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</si>
  <si>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</si>
  <si>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</si>
  <si>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</si>
  <si>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</si>
  <si>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</si>
  <si>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</si>
  <si>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</si>
  <si>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</si>
  <si>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</si>
  <si>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</si>
  <si>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</si>
  <si>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</si>
  <si>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</si>
  <si>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</si>
  <si>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</si>
  <si>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</si>
  <si>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</si>
  <si>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</si>
  <si>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</si>
  <si>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</si>
  <si>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</si>
  <si>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</si>
  <si>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</si>
  <si>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</si>
  <si>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</si>
  <si>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</si>
  <si>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</si>
  <si>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</si>
  <si>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</si>
  <si>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</si>
  <si>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</si>
  <si>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</si>
  <si>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</si>
  <si>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</si>
  <si>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</si>
  <si>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</si>
  <si>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</si>
  <si>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</si>
  <si>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</si>
  <si>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</si>
  <si>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</si>
  <si>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</si>
  <si>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</si>
  <si>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</si>
  <si>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</si>
  <si>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</si>
  <si>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</si>
  <si>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</si>
  <si>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</si>
  <si>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</si>
  <si>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</si>
  <si>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</si>
  <si>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</si>
  <si>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</si>
  <si>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</si>
  <si>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</si>
  <si>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</si>
  <si>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</si>
  <si>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</si>
  <si>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</si>
  <si>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</si>
  <si>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</si>
  <si>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</si>
  <si>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</si>
  <si>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</si>
  <si>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</si>
  <si>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</si>
  <si>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</si>
  <si>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</si>
  <si>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</si>
  <si>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</si>
  <si>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</si>
  <si>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</si>
  <si>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</si>
  <si>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</si>
  <si>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</si>
  <si>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</si>
  <si>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</si>
  <si>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</si>
  <si>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</si>
  <si>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</si>
  <si>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</si>
  <si>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</si>
  <si>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</si>
  <si>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</si>
  <si>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</si>
  <si>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</si>
  <si>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</si>
  <si>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</si>
  <si>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</si>
  <si>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</si>
  <si>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</si>
  <si>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</si>
  <si>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</si>
  <si>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</si>
  <si>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</si>
  <si>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</si>
  <si>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</si>
  <si>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</si>
  <si>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</si>
  <si>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</si>
  <si>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</si>
  <si>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</si>
  <si>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</si>
  <si>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</si>
  <si>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</si>
  <si>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</si>
  <si>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</si>
  <si>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</si>
  <si>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</si>
  <si>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</si>
  <si>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</si>
  <si>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</si>
  <si>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</si>
  <si>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</si>
  <si>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</si>
  <si>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</si>
  <si>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</si>
  <si>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</si>
  <si>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</si>
  <si>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</si>
  <si>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</si>
  <si>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</si>
  <si>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</si>
  <si>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</si>
  <si>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</si>
  <si>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</si>
  <si>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</si>
  <si>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</si>
  <si>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</si>
  <si>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</si>
  <si>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</si>
  <si>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</si>
  <si>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</si>
  <si>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</si>
  <si>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</si>
  <si>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</si>
  <si>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</si>
  <si>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</si>
  <si>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</si>
  <si>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</si>
  <si>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</si>
  <si>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</si>
  <si>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</si>
  <si>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</si>
  <si>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</si>
  <si>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</si>
  <si>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</si>
  <si>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</si>
  <si>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</si>
  <si>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</si>
  <si>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</si>
  <si>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</si>
  <si>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</si>
  <si>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</si>
  <si>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</si>
  <si>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</si>
  <si>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</si>
  <si>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</si>
  <si>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</si>
  <si>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</si>
  <si>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</si>
  <si>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</si>
  <si>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</si>
  <si>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</si>
  <si>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</si>
  <si>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</si>
  <si>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</si>
  <si>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</si>
  <si>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</si>
  <si>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</si>
  <si>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</si>
  <si>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</si>
  <si>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</si>
  <si>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</si>
  <si>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</si>
  <si>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</si>
  <si>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</si>
  <si>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</si>
  <si>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</si>
  <si>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</si>
  <si>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</si>
  <si>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</si>
  <si>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</si>
  <si>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</si>
  <si>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</si>
  <si>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</si>
  <si>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</si>
  <si>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</si>
  <si>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</si>
  <si>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</si>
  <si>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</si>
  <si>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</si>
  <si>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</si>
  <si>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</si>
  <si>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</si>
  <si>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</si>
  <si>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</si>
  <si>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</si>
  <si>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</si>
  <si>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</si>
  <si>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</si>
  <si>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</si>
  <si>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</si>
  <si>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</si>
  <si>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</si>
  <si>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</si>
  <si>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</si>
  <si>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</si>
  <si>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</si>
  <si>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</si>
  <si>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</si>
  <si>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</si>
  <si>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</si>
  <si>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</si>
  <si>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</si>
  <si>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</si>
  <si>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</si>
  <si>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</si>
  <si>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</si>
  <si>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</si>
  <si>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</si>
  <si>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</si>
  <si>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</si>
  <si>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</si>
  <si>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</si>
  <si>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</si>
  <si>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</si>
  <si>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</si>
  <si>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</si>
  <si>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</si>
  <si>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</si>
  <si>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</si>
  <si>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</si>
  <si>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</si>
  <si>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</si>
  <si>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</si>
  <si>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</si>
  <si>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</si>
  <si>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</si>
  <si>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</si>
  <si>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</si>
  <si>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</si>
  <si>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</si>
  <si>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</si>
  <si>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</si>
  <si>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</si>
  <si>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</si>
  <si>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</si>
  <si>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</si>
  <si>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</si>
  <si>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</si>
  <si>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</si>
  <si>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</si>
  <si>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</si>
  <si>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</si>
  <si>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</si>
  <si>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</si>
  <si>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</si>
  <si>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</si>
  <si>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</si>
  <si>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</si>
  <si>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</si>
  <si>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</si>
  <si>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</si>
  <si>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</si>
  <si>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</si>
  <si>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</si>
  <si>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</si>
  <si>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</si>
  <si>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</si>
  <si>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</si>
  <si>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</si>
  <si>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</si>
  <si>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</si>
  <si>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</si>
  <si>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</si>
  <si>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</si>
  <si>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</si>
  <si>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</si>
  <si>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</si>
  <si>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</si>
  <si>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</si>
  <si>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</si>
  <si>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</si>
  <si>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</si>
  <si>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</si>
  <si>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</si>
  <si>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</si>
  <si>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</si>
  <si>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</si>
  <si>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</si>
  <si>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</si>
  <si>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</si>
  <si>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</si>
  <si>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</si>
  <si>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</si>
  <si>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</si>
  <si>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</si>
  <si>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</si>
  <si>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</si>
  <si>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</si>
  <si>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</si>
  <si>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</si>
  <si>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</si>
  <si>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</si>
  <si>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</si>
  <si>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</si>
  <si>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</si>
  <si>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</si>
  <si>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</si>
  <si>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</si>
  <si>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</si>
  <si>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</si>
  <si>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</si>
  <si>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</si>
  <si>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</si>
  <si>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</si>
  <si>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</si>
  <si>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</si>
  <si>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</si>
  <si>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</si>
  <si>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</si>
  <si>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</si>
  <si>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</si>
  <si>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</si>
  <si>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</si>
  <si>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</si>
  <si>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</si>
  <si>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</si>
  <si>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</si>
  <si>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</si>
  <si>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</si>
  <si>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</si>
  <si>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</si>
  <si>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</si>
  <si>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</si>
  <si>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</si>
  <si>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</si>
  <si>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</si>
  <si>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</si>
  <si>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</si>
  <si>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</si>
  <si>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</si>
  <si>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</si>
  <si>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</si>
  <si>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</si>
  <si>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</si>
  <si>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</si>
  <si>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</si>
  <si>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</si>
  <si>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</si>
  <si>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</si>
  <si>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</si>
  <si>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</si>
  <si>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</si>
  <si>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</si>
  <si>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</si>
  <si>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</si>
  <si>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</si>
  <si>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</si>
  <si>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</si>
  <si>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</si>
  <si>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</si>
  <si>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</si>
  <si>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</si>
  <si>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</si>
  <si>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</si>
  <si>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</si>
  <si>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</si>
  <si>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</si>
  <si>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</si>
  <si>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</si>
  <si>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</si>
  <si>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</si>
  <si>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</si>
  <si>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</si>
  <si>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</si>
  <si>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</si>
  <si>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</si>
  <si>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</si>
  <si>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</si>
  <si>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</si>
  <si>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</si>
  <si>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</si>
  <si>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</si>
  <si>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</si>
  <si>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</si>
  <si>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</si>
  <si>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</si>
  <si>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</si>
  <si>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</si>
  <si>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</si>
  <si>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</si>
  <si>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</si>
  <si>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</si>
  <si>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</si>
  <si>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</si>
  <si>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</si>
  <si>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</si>
  <si>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</si>
  <si>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</si>
  <si>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</si>
  <si>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</si>
  <si>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</si>
  <si>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</si>
  <si>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</si>
  <si>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</si>
  <si>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</si>
  <si>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</si>
  <si>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</si>
  <si>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</si>
  <si>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</si>
  <si>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</si>
  <si>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</si>
  <si>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</si>
  <si>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</si>
  <si>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</si>
  <si>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</si>
  <si>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</si>
  <si>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</si>
  <si>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</si>
  <si>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</si>
  <si>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</si>
  <si>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</si>
  <si>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</si>
  <si>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</si>
  <si>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</si>
  <si>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</si>
  <si>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</si>
  <si>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</si>
  <si>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</si>
  <si>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</si>
  <si>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</si>
  <si>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</si>
  <si>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</si>
  <si>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</si>
  <si>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</si>
  <si>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</si>
  <si>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</si>
  <si>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</si>
  <si>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</si>
  <si>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</si>
  <si>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</si>
  <si>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</si>
  <si>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</si>
  <si>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</si>
  <si>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</si>
  <si>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</si>
  <si>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</si>
  <si>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</si>
  <si>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</si>
  <si>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</si>
  <si>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</si>
  <si>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</si>
  <si>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</si>
  <si>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</si>
  <si>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</si>
  <si>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</si>
  <si>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</si>
  <si>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</si>
  <si>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</si>
  <si>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</si>
  <si>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</si>
  <si>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</si>
  <si>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</si>
  <si>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</si>
  <si>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</si>
  <si>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</si>
  <si>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</si>
  <si>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</si>
  <si>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</si>
  <si>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</si>
  <si>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</si>
  <si>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</si>
  <si>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</si>
  <si>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</si>
  <si>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</si>
  <si>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</si>
  <si>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</si>
  <si>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</si>
  <si>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</si>
  <si>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</si>
  <si>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</si>
  <si>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</si>
  <si>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</si>
  <si>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</si>
  <si>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</si>
  <si>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</si>
  <si>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</si>
  <si>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</si>
  <si>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</si>
  <si>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</si>
  <si>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</si>
  <si>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</si>
  <si>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</si>
  <si>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</si>
  <si>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</si>
  <si>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</si>
  <si>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</si>
  <si>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</si>
  <si>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</si>
  <si>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</si>
  <si>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</si>
  <si>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</si>
  <si>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</si>
  <si>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</si>
  <si>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</si>
  <si>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</si>
  <si>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</si>
  <si>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</si>
  <si>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</si>
  <si>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</si>
  <si>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</si>
  <si>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</si>
  <si>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</si>
  <si>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</si>
  <si>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</si>
  <si>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</si>
  <si>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</si>
  <si>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</si>
  <si>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</si>
  <si>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</si>
  <si>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</si>
  <si>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</si>
  <si>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</si>
  <si>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</si>
  <si>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</si>
  <si>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</si>
  <si>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</si>
  <si>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</si>
  <si>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</si>
  <si>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</si>
  <si>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</si>
  <si>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</si>
  <si>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</si>
  <si>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</si>
  <si>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</si>
  <si>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</si>
  <si>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</si>
  <si>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</si>
  <si>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</si>
  <si>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</si>
  <si>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</si>
  <si>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</si>
  <si>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</si>
  <si>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</si>
  <si>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</si>
  <si>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</si>
  <si>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</si>
  <si>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</si>
  <si>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</si>
  <si>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</si>
  <si>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</si>
  <si>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</si>
  <si>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</si>
  <si>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</si>
  <si>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</si>
  <si>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</si>
  <si>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</si>
  <si>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</si>
  <si>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</si>
  <si>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</si>
  <si>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</si>
  <si>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</si>
  <si>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</si>
  <si>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</si>
  <si>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</si>
  <si>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</si>
  <si>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</si>
  <si>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</si>
  <si>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</si>
  <si>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</si>
  <si>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</si>
  <si>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</si>
  <si>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</si>
  <si>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</si>
  <si>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</si>
  <si>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</si>
  <si>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</si>
  <si>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</si>
  <si>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</si>
  <si>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</si>
  <si>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</si>
  <si>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</si>
  <si>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</si>
  <si>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</si>
  <si>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</si>
  <si>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</si>
  <si>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</si>
  <si>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</si>
  <si>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</si>
  <si>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</si>
  <si>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</si>
  <si>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</si>
  <si>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</si>
  <si>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</si>
  <si>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</si>
  <si>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</si>
  <si>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</si>
  <si>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</si>
  <si>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</si>
  <si>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</si>
  <si>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</si>
  <si>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</si>
  <si>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</si>
  <si>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</si>
  <si>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</si>
  <si>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</si>
  <si>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</si>
  <si>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</si>
  <si>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</si>
  <si>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</si>
  <si>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</si>
  <si>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</si>
  <si>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</si>
  <si>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</si>
  <si>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</si>
  <si>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</si>
  <si>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</si>
  <si>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</si>
  <si>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</si>
  <si>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</si>
  <si>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</si>
  <si>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</si>
  <si>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</si>
  <si>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</si>
  <si>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</si>
  <si>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</si>
  <si>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</si>
  <si>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</si>
  <si>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</si>
  <si>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</si>
  <si>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</si>
  <si>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</si>
  <si>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</si>
  <si>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</si>
  <si>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</si>
  <si>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</si>
  <si>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</si>
  <si>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</si>
  <si>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</si>
  <si>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</si>
  <si>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</si>
  <si>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</si>
  <si>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</si>
  <si>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</si>
  <si>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</si>
  <si>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</si>
  <si>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</si>
  <si>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</si>
  <si>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</si>
  <si>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</si>
  <si>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</si>
  <si>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</si>
  <si>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</si>
  <si>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</si>
  <si>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</si>
  <si>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</si>
  <si>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</si>
  <si>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</si>
  <si>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</si>
  <si>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</si>
  <si>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</si>
  <si>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</si>
  <si>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</si>
  <si>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</si>
  <si>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</si>
  <si>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</si>
  <si>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</si>
  <si>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</si>
  <si>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</si>
  <si>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</si>
  <si>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</si>
  <si>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</si>
  <si>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</si>
  <si>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</si>
  <si>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</si>
  <si>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</si>
  <si>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</si>
  <si>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</si>
  <si>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</si>
  <si>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</si>
  <si>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</si>
  <si>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</si>
  <si>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</si>
  <si>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</si>
  <si>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</si>
  <si>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</si>
  <si>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</si>
  <si>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</si>
  <si>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</si>
  <si>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</si>
  <si>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</si>
  <si>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</si>
  <si>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</si>
  <si>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</si>
  <si>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</si>
  <si>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</si>
  <si>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</si>
  <si>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</si>
  <si>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</si>
  <si>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</si>
  <si>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</si>
  <si>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</si>
  <si>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</si>
  <si>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</si>
  <si>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</si>
  <si>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</si>
  <si>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</si>
  <si>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</si>
  <si>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</si>
  <si>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</si>
  <si>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</si>
  <si>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</si>
  <si>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</si>
  <si>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</si>
  <si>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</si>
  <si>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</si>
  <si>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</si>
  <si>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</si>
  <si>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</si>
  <si>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</si>
  <si>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</si>
  <si>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</si>
  <si>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</si>
  <si>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</si>
  <si>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</si>
  <si>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</si>
  <si>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</si>
  <si>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</si>
  <si>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</si>
  <si>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</si>
  <si>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</si>
  <si>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</si>
  <si>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</si>
  <si>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</si>
  <si>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</si>
  <si>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</si>
  <si>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</si>
  <si>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</si>
  <si>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</si>
  <si>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</si>
  <si>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</si>
  <si>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</si>
  <si>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</si>
  <si>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</si>
  <si>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</si>
  <si>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</si>
  <si>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</si>
  <si>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</si>
  <si>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</si>
  <si>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</si>
  <si>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</si>
  <si>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</si>
  <si>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</si>
  <si>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</si>
  <si>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</si>
  <si>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</si>
  <si>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</si>
  <si>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</si>
  <si>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</si>
  <si>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</si>
  <si>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</si>
  <si>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</si>
  <si>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</si>
  <si>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</si>
  <si>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</si>
  <si>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</si>
  <si>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</si>
  <si>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</si>
  <si>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</si>
  <si>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</si>
  <si>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</si>
  <si>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</si>
  <si>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</si>
  <si>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</si>
  <si>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</si>
  <si>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</si>
  <si>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</si>
  <si>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</si>
  <si>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</si>
  <si>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</si>
  <si>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</si>
  <si>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</si>
  <si>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</si>
  <si>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</si>
  <si>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</si>
  <si>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</si>
  <si>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</si>
  <si>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</si>
  <si>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</si>
  <si>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</si>
  <si>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</si>
  <si>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</si>
  <si>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</si>
  <si>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</si>
  <si>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</si>
  <si>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</si>
  <si>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</si>
  <si>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</si>
  <si>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</si>
  <si>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</si>
  <si>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</si>
  <si>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</si>
  <si>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</si>
  <si>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</si>
  <si>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</si>
  <si>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</si>
  <si>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</si>
  <si>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</si>
  <si>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</si>
  <si>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</si>
  <si>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</si>
  <si>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</si>
  <si>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</si>
  <si>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</si>
  <si>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</si>
  <si>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</si>
  <si>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</si>
  <si>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</si>
  <si>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</si>
  <si>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</si>
  <si>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</si>
  <si>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</si>
  <si>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</si>
  <si>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</si>
  <si>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</si>
  <si>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</si>
  <si>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</si>
  <si>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</si>
  <si>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</si>
  <si>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</si>
  <si>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</si>
  <si>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</si>
  <si>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</si>
  <si>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</si>
  <si>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</si>
  <si>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</si>
  <si>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</si>
  <si>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</si>
  <si>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</si>
  <si>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</si>
  <si>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</si>
  <si>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</si>
  <si>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</si>
  <si>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</si>
  <si>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</si>
  <si>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</si>
  <si>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</si>
  <si>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</si>
  <si>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</si>
  <si>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</si>
  <si>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</si>
  <si>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</si>
  <si>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</si>
  <si>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</si>
  <si>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</si>
  <si>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</si>
  <si>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</si>
  <si>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</si>
  <si>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</si>
  <si>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</si>
  <si>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</si>
  <si>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</si>
  <si>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</si>
  <si>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</si>
  <si>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</si>
  <si>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</si>
  <si>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</si>
  <si>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</si>
  <si>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</si>
  <si>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</si>
  <si>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</si>
  <si>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</si>
  <si>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</si>
  <si>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</si>
  <si>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</si>
  <si>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</si>
  <si>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</si>
  <si>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</si>
  <si>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</si>
  <si>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</si>
  <si>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</si>
  <si>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</si>
  <si>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</si>
  <si>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</si>
  <si>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</si>
  <si>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</si>
  <si>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</si>
  <si>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</si>
  <si>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</si>
  <si>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</si>
  <si>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</si>
  <si>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</si>
  <si>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</si>
  <si>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</si>
  <si>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</si>
  <si>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</si>
  <si>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</si>
  <si>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</si>
  <si>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</si>
  <si>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</si>
  <si>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</si>
  <si>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</si>
  <si>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</si>
  <si>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</si>
  <si>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</si>
  <si>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</si>
  <si>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</si>
  <si>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</si>
  <si>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</si>
  <si>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</si>
  <si>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</si>
  <si>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</si>
  <si>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</si>
  <si>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</si>
  <si>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</si>
  <si>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</si>
  <si>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</si>
  <si>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</si>
  <si>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</si>
  <si>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</si>
  <si>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</si>
  <si>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</si>
  <si>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</si>
  <si>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</si>
  <si>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</si>
  <si>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</si>
  <si>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</si>
  <si>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</si>
  <si>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</si>
  <si>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</si>
  <si>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</si>
  <si>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</si>
  <si>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</si>
  <si>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</si>
  <si>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</si>
  <si>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</si>
  <si>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</si>
  <si>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</si>
  <si>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</si>
  <si>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</si>
  <si>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</si>
  <si>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</si>
  <si>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</si>
  <si>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</si>
  <si>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</si>
  <si>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</si>
  <si>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</si>
  <si>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</si>
  <si>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</si>
  <si>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</si>
  <si>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</si>
  <si>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</si>
  <si>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</si>
  <si>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</si>
  <si>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</si>
  <si>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</si>
  <si>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</si>
  <si>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</si>
  <si>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</si>
  <si>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</si>
  <si>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</si>
  <si>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</si>
  <si>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</si>
  <si>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</si>
  <si>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</si>
  <si>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</si>
  <si>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</si>
  <si>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</si>
  <si>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</si>
  <si>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</si>
  <si>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</si>
  <si>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</si>
  <si>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</si>
  <si>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</si>
  <si>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</si>
  <si>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</si>
  <si>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</si>
  <si>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</si>
  <si>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</si>
  <si>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</si>
  <si>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</si>
  <si>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</si>
  <si>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</si>
  <si>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</si>
  <si>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</si>
  <si>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</si>
  <si>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</si>
  <si>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</si>
  <si>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</si>
  <si>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</si>
  <si>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</si>
  <si>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</si>
  <si>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</si>
  <si>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</si>
  <si>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</si>
  <si>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</si>
  <si>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</si>
  <si>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</si>
  <si>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</si>
  <si>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</si>
  <si>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</si>
  <si>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</si>
  <si>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</si>
  <si>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</si>
  <si>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</si>
  <si>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</si>
  <si>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</si>
  <si>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</si>
  <si>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</si>
  <si>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</si>
  <si>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</si>
  <si>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</si>
  <si>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</si>
  <si>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</si>
  <si>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</si>
  <si>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</si>
  <si>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</si>
  <si>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</si>
  <si>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</si>
  <si>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</si>
  <si>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</si>
  <si>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</si>
  <si>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</si>
  <si>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</si>
  <si>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</si>
  <si>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</si>
  <si>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</si>
  <si>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</si>
  <si>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</si>
  <si>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</si>
  <si>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</si>
  <si>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</si>
  <si>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</si>
  <si>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</si>
  <si>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</si>
  <si>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</si>
  <si>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</si>
  <si>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</si>
  <si>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</si>
  <si>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</si>
  <si>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</si>
  <si>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</si>
  <si>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</si>
  <si>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</si>
  <si>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</si>
  <si>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</si>
  <si>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</si>
  <si>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</si>
  <si>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</si>
  <si>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</si>
  <si>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</si>
  <si>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</si>
  <si>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</si>
  <si>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</si>
  <si>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</si>
  <si>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</si>
  <si>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</si>
  <si>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</si>
  <si>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</si>
  <si>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</si>
  <si>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</si>
  <si>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</si>
  <si>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</si>
  <si>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</si>
  <si>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</si>
  <si>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</si>
  <si>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</si>
  <si>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</si>
  <si>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</si>
  <si>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</si>
  <si>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</si>
  <si>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</si>
  <si>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</si>
  <si>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</si>
  <si>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</si>
  <si>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</si>
  <si>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</si>
  <si>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</si>
  <si>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</si>
  <si>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</si>
  <si>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</si>
  <si>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</si>
  <si>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</si>
  <si>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</si>
  <si>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</si>
  <si>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</si>
  <si>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</si>
  <si>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</si>
  <si>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</si>
  <si>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</si>
  <si>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</si>
  <si>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</si>
  <si>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</si>
  <si>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</si>
  <si>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</si>
  <si>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</si>
  <si>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</si>
  <si>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</si>
  <si>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</si>
  <si>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</si>
  <si>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</si>
  <si>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</si>
  <si>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</si>
  <si>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</si>
  <si>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</si>
  <si>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</si>
  <si>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</si>
  <si>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</si>
  <si>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</si>
  <si>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</si>
  <si>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</si>
  <si>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</si>
  <si>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</si>
  <si>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</si>
  <si>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</si>
  <si>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</si>
  <si>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</si>
  <si>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</si>
  <si>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</si>
  <si>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</si>
  <si>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</si>
  <si>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</si>
  <si>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</si>
  <si>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</si>
  <si>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</si>
  <si>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</si>
  <si>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</si>
  <si>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</si>
  <si>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</si>
  <si>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</si>
  <si>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</si>
  <si>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</si>
  <si>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</si>
  <si>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</si>
  <si>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</si>
  <si>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</si>
  <si>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</si>
  <si>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</si>
  <si>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</si>
  <si>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</si>
  <si>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</si>
  <si>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</si>
  <si>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</si>
  <si>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</si>
  <si>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</si>
  <si>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</si>
  <si>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</si>
  <si>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</si>
  <si>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</si>
  <si>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</si>
  <si>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</si>
  <si>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</si>
  <si>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</si>
  <si>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</si>
  <si>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</si>
  <si>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</si>
  <si>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</si>
  <si>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</si>
  <si>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</si>
  <si>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</si>
  <si>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</si>
  <si>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</si>
  <si>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</si>
  <si>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</si>
  <si>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</si>
  <si>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</si>
  <si>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</si>
  <si>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</si>
  <si>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</si>
  <si>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</si>
  <si>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</si>
  <si>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</si>
  <si>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</si>
  <si>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</si>
  <si>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</si>
  <si>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</si>
  <si>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</si>
  <si>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</si>
  <si>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</si>
  <si>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</si>
  <si>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</si>
  <si>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</si>
  <si>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</si>
  <si>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</si>
  <si>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</si>
  <si>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</si>
  <si>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</si>
  <si>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</si>
  <si>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</si>
  <si>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</si>
  <si>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</si>
  <si>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</si>
  <si>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</si>
  <si>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</si>
  <si>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</si>
  <si>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</si>
  <si>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</si>
  <si>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</si>
  <si>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</si>
  <si>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</si>
  <si>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</si>
  <si>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</si>
  <si>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</si>
  <si>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</si>
  <si>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</si>
  <si>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</si>
  <si>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</si>
  <si>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</si>
  <si>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</si>
  <si>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</si>
  <si>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</si>
  <si>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</si>
  <si>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</si>
  <si>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</si>
  <si>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</si>
  <si>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</si>
  <si>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</si>
  <si>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</si>
  <si>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</si>
  <si>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</si>
  <si>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</si>
  <si>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</si>
  <si>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</si>
  <si>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</si>
  <si>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</si>
  <si>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</si>
  <si>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</si>
  <si>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</si>
  <si>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</si>
  <si>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</si>
  <si>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</si>
  <si>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</si>
  <si>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</si>
  <si>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</si>
  <si>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</si>
  <si>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</si>
  <si>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</si>
  <si>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</si>
  <si>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</si>
  <si>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</si>
  <si>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</si>
  <si>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</si>
  <si>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</si>
  <si>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</si>
  <si>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</si>
  <si>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</si>
  <si>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</si>
  <si>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</si>
  <si>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</si>
  <si>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</si>
  <si>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</si>
  <si>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</si>
  <si>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</si>
  <si>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</si>
  <si>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</si>
  <si>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</si>
  <si>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</si>
  <si>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</si>
  <si>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</si>
  <si>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</si>
  <si>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</si>
  <si>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</si>
  <si>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</si>
  <si>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</si>
  <si>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</si>
  <si>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</si>
  <si>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</si>
  <si>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</si>
  <si>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</si>
  <si>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</si>
  <si>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</si>
  <si>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</si>
  <si>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</si>
  <si>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</si>
  <si>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</si>
  <si>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</si>
  <si>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</si>
  <si>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</si>
  <si>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</si>
  <si>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</si>
  <si>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</si>
  <si>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</si>
  <si>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</si>
  <si>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</si>
  <si>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</si>
  <si>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</si>
  <si>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</si>
  <si>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</si>
  <si>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</si>
  <si>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</si>
  <si>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</si>
  <si>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</si>
  <si>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</si>
  <si>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</si>
  <si>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</si>
  <si>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</si>
  <si>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</si>
  <si>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</si>
  <si>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</si>
  <si>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</si>
  <si>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</si>
  <si>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</si>
  <si>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</si>
  <si>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</si>
  <si>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</si>
  <si>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</si>
  <si>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</si>
  <si>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</si>
  <si>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</si>
  <si>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</si>
  <si>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</si>
  <si>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</si>
  <si>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</si>
  <si>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</si>
  <si>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</si>
  <si>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</si>
  <si>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</si>
  <si>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</si>
  <si>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</si>
  <si>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</si>
  <si>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</si>
  <si>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</si>
  <si>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</si>
  <si>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</si>
  <si>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</si>
  <si>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</si>
  <si>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</si>
  <si>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</si>
  <si>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</si>
  <si>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</si>
  <si>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</si>
  <si>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</si>
  <si>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</si>
  <si>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</si>
  <si>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</si>
  <si>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</si>
  <si>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</si>
  <si>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</si>
  <si>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</si>
  <si>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</si>
  <si>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</si>
  <si>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</si>
  <si>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</si>
  <si>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</si>
  <si>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</si>
  <si>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</si>
  <si>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</si>
  <si>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</si>
  <si>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</si>
  <si>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</si>
  <si>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</si>
  <si>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</si>
  <si>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</si>
  <si>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</si>
  <si>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</si>
  <si>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</si>
  <si>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</si>
  <si>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</si>
  <si>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</si>
  <si>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</si>
  <si>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</si>
  <si>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</si>
  <si>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</si>
  <si>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</si>
  <si>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</si>
  <si>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</si>
  <si>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</si>
  <si>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</si>
  <si>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</si>
  <si>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</si>
  <si>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</si>
  <si>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</si>
  <si>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</si>
  <si>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</si>
  <si>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</si>
  <si>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</si>
  <si>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</si>
  <si>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</si>
  <si>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</si>
  <si>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</si>
  <si>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</si>
  <si>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</si>
  <si>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</si>
  <si>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</si>
  <si>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</si>
  <si>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</si>
  <si>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</si>
  <si>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</si>
  <si>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</si>
  <si>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</si>
  <si>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</si>
  <si>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</si>
  <si>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</si>
  <si>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</si>
  <si>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</si>
  <si>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</si>
  <si>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</si>
  <si>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</si>
  <si>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</si>
  <si>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</si>
  <si>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</si>
  <si>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</si>
  <si>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</si>
  <si>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</si>
  <si>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</si>
  <si>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</si>
  <si>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</si>
  <si>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</si>
  <si>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</si>
  <si>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</si>
  <si>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</si>
  <si>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</si>
  <si>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</si>
  <si>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</si>
  <si>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</si>
  <si>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</si>
  <si>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</si>
  <si>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</si>
  <si>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</si>
  <si>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</si>
  <si>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</si>
  <si>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</si>
  <si>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</si>
  <si>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</si>
  <si>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</si>
  <si>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</si>
  <si>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</si>
  <si>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</si>
  <si>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</si>
  <si>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</si>
  <si>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</si>
  <si>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</si>
  <si>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</si>
  <si>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</si>
  <si>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</si>
  <si>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</si>
  <si>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</si>
  <si>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</si>
  <si>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</si>
  <si>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</si>
  <si>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</si>
  <si>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</si>
  <si>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</si>
  <si>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</si>
  <si>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</si>
  <si>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</si>
  <si>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</si>
  <si>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</si>
  <si>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</si>
  <si>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</si>
  <si>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</si>
  <si>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</si>
  <si>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</si>
  <si>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</si>
  <si>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</si>
  <si>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</si>
  <si>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</si>
  <si>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</si>
  <si>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</si>
  <si>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</si>
  <si>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</si>
  <si>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</si>
  <si>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</si>
  <si>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</si>
  <si>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</si>
  <si>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</si>
  <si>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</si>
  <si>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</si>
  <si>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</si>
  <si>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</si>
  <si>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</si>
  <si>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</si>
  <si>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</si>
  <si>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</si>
  <si>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</si>
  <si>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</si>
  <si>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</si>
  <si>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</si>
  <si>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</si>
  <si>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</si>
  <si>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</si>
  <si>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</si>
  <si>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</si>
  <si>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</si>
  <si>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</si>
  <si>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</si>
  <si>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</si>
  <si>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</si>
  <si>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</si>
  <si>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</si>
  <si>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</si>
  <si>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</si>
  <si>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</si>
  <si>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</si>
  <si>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</si>
  <si>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</si>
  <si>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</si>
  <si>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</si>
  <si>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</si>
  <si>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</si>
  <si>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</si>
  <si>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</si>
  <si>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</si>
  <si>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</si>
  <si>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</si>
  <si>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</si>
  <si>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</si>
  <si>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</si>
  <si>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</si>
  <si>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</si>
  <si>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</si>
  <si>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</si>
  <si>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z</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</si>
  <si>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</si>
  <si>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</si>
  <si>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</si>
  <si>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</si>
  <si>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</si>
  <si>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</si>
  <si>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</si>
  <si>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</si>
  <si>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</si>
  <si>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</si>
  <si>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</si>
  <si>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</si>
  <si>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</si>
  <si>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</si>
  <si>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</si>
  <si>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</si>
  <si>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</si>
  <si>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</si>
  <si>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</si>
  <si>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</si>
  <si>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</si>
  <si>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</si>
  <si>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</si>
  <si>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</si>
  <si>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</si>
  <si>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</si>
  <si>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</si>
  <si>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</si>
  <si>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</si>
  <si>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</si>
  <si>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</si>
  <si>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</si>
  <si>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</si>
  <si>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</si>
  <si>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</si>
  <si>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</si>
  <si>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</si>
  <si>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</si>
  <si>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</si>
  <si>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</si>
  <si>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</si>
  <si>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</si>
  <si>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</si>
  <si>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</si>
  <si>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</si>
  <si>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</si>
  <si>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</si>
  <si>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</si>
  <si>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</si>
  <si>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</si>
  <si>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</si>
  <si>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</si>
  <si>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</si>
  <si>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</si>
  <si>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</si>
  <si>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</si>
  <si>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</si>
  <si>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</si>
  <si>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</si>
  <si>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</si>
  <si>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</si>
  <si>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</si>
  <si>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</si>
  <si>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</si>
  <si>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</si>
  <si>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</si>
  <si>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</si>
  <si>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</si>
  <si>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</si>
  <si>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</si>
  <si>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</si>
  <si>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</si>
  <si>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</si>
  <si>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</si>
  <si>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</si>
  <si>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</si>
  <si>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</si>
  <si>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</si>
  <si>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</si>
  <si>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</si>
  <si>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</si>
  <si>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</si>
  <si>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</si>
  <si>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</si>
  <si>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</si>
  <si>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</si>
  <si>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</si>
  <si>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</si>
  <si>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</si>
  <si>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</si>
  <si>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</si>
  <si>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</si>
  <si>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</si>
  <si>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</si>
  <si>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</si>
  <si>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</si>
  <si>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</si>
  <si>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</si>
  <si>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</si>
  <si>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</si>
  <si>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</si>
  <si>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</si>
  <si>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</si>
  <si>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</si>
  <si>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</si>
  <si>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</si>
  <si>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</si>
  <si>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</si>
  <si>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</si>
  <si>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</si>
  <si>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</si>
  <si>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</si>
  <si>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</si>
  <si>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</si>
  <si>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</si>
  <si>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</si>
  <si>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</si>
  <si>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</si>
  <si>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</si>
  <si>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</si>
  <si>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</si>
  <si>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</si>
  <si>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</si>
  <si>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</si>
  <si>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</si>
  <si>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</si>
  <si>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</si>
  <si>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</si>
  <si>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</si>
  <si>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</si>
  <si>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</si>
  <si>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</si>
  <si>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</si>
  <si>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</si>
  <si>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</si>
  <si>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</si>
  <si>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</si>
  <si>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</si>
  <si>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</si>
  <si>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</si>
  <si>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</si>
  <si>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</si>
  <si>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</si>
  <si>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</si>
  <si>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</si>
  <si>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</si>
  <si>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</si>
  <si>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</si>
  <si>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</si>
  <si>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</si>
  <si>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</si>
  <si>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</si>
  <si>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</si>
  <si>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</si>
  <si>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</si>
  <si>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</si>
  <si>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</si>
  <si>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</si>
  <si>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</si>
  <si>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</si>
  <si>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</si>
  <si>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</si>
  <si>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</si>
  <si>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</si>
  <si>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</si>
  <si>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</si>
  <si>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</si>
  <si>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</si>
  <si>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</si>
  <si>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</si>
  <si>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</si>
  <si>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</si>
  <si>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</si>
  <si>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</si>
  <si>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</si>
  <si>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</si>
  <si>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</si>
  <si>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</si>
  <si>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</si>
  <si>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</si>
  <si>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</si>
  <si>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</si>
  <si>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</si>
  <si>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</si>
  <si>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</si>
  <si>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</si>
  <si>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</si>
  <si>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</si>
  <si>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</si>
  <si>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</si>
  <si>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</si>
  <si>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</si>
  <si>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</si>
  <si>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</si>
  <si>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</si>
  <si>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</si>
  <si>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</si>
  <si>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</si>
  <si>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</si>
  <si>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</si>
  <si>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</si>
  <si>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</si>
  <si>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</si>
  <si>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</si>
  <si>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</si>
  <si>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</si>
  <si>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</si>
  <si>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</si>
  <si>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</si>
  <si>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</si>
  <si>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</si>
  <si>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</si>
  <si>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</si>
  <si>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</si>
  <si>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</si>
  <si>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</si>
  <si>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</si>
  <si>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</si>
  <si>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</si>
  <si>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</si>
  <si>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</si>
  <si>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</si>
  <si>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</si>
  <si>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</si>
  <si>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</si>
  <si>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</si>
  <si>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</si>
  <si>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</si>
  <si>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</si>
  <si>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</si>
  <si>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</si>
  <si>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</si>
  <si>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</si>
  <si>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</si>
  <si>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</si>
  <si>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</si>
  <si>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</si>
  <si>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</si>
  <si>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</si>
  <si>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</si>
  <si>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</si>
  <si>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</si>
  <si>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</si>
  <si>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</si>
  <si>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</si>
  <si>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</si>
  <si>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</si>
  <si>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</si>
  <si>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</si>
  <si>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</si>
  <si>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</si>
  <si>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</si>
  <si>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</si>
  <si>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</si>
  <si>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</si>
  <si>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</si>
  <si>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</si>
  <si>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</si>
  <si>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</si>
  <si>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</si>
  <si>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</si>
  <si>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</si>
  <si>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</si>
  <si>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</si>
  <si>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</si>
  <si>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</si>
  <si>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</si>
  <si>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</si>
  <si>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</si>
  <si>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</si>
  <si>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</si>
  <si>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</si>
  <si>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</si>
  <si>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</si>
  <si>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</si>
  <si>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</si>
  <si>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</si>
  <si>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</si>
  <si>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</si>
  <si>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</si>
  <si>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</si>
  <si>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</si>
  <si>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</si>
  <si>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</si>
  <si>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</si>
  <si>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</si>
  <si>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</si>
  <si>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</si>
  <si>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</si>
  <si>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</si>
  <si>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</si>
  <si>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</si>
  <si>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</si>
  <si>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</si>
  <si>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</si>
  <si>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</si>
  <si>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</si>
  <si>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</si>
  <si>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</si>
  <si>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</si>
  <si>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</si>
  <si>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</si>
  <si>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</si>
  <si>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</si>
  <si>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</si>
  <si>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</si>
  <si>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</si>
  <si>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</si>
  <si>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</si>
  <si>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</si>
  <si>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</si>
  <si>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</si>
  <si>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</si>
  <si>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</si>
  <si>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</si>
  <si>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</si>
  <si>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</si>
  <si>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</si>
  <si>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</si>
  <si>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</si>
  <si>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</si>
  <si>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</si>
  <si>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</si>
  <si>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</si>
  <si>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</si>
  <si>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</si>
  <si>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</si>
  <si>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</si>
  <si>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</si>
  <si>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</si>
  <si>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</si>
  <si>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</si>
  <si>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</si>
  <si>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</si>
  <si>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</si>
  <si>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</si>
  <si>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</si>
  <si>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</si>
  <si>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</si>
  <si>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</si>
  <si>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</si>
  <si>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</si>
  <si>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</si>
  <si>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</si>
  <si>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</si>
  <si>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</si>
  <si>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</si>
  <si>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</si>
  <si>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</si>
  <si>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</si>
  <si>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</si>
  <si>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</si>
  <si>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</si>
  <si>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</si>
  <si>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</si>
  <si>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</si>
  <si>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</si>
  <si>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</si>
  <si>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</si>
  <si>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</si>
  <si>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</si>
  <si>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</si>
  <si>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</si>
  <si>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</si>
  <si>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</si>
  <si>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</si>
  <si>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</si>
  <si>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</si>
  <si>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</si>
  <si>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</si>
  <si>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</si>
  <si>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</si>
  <si>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</si>
  <si>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</si>
  <si>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</si>
  <si>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</si>
  <si>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</si>
  <si>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</si>
  <si>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</si>
  <si>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</si>
  <si>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</si>
  <si>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</si>
  <si>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</si>
  <si>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</si>
  <si>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</si>
  <si>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</si>
  <si>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</si>
  <si>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</si>
  <si>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</si>
  <si>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</si>
  <si>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</si>
  <si>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</si>
  <si>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</si>
  <si>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</si>
  <si>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</si>
  <si>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</si>
  <si>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</si>
  <si>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</si>
  <si>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</si>
  <si>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</si>
  <si>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</si>
  <si>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</si>
  <si>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</si>
  <si>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</si>
  <si>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</si>
  <si>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</si>
  <si>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</si>
  <si>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</si>
  <si>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</si>
  <si>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</si>
  <si>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</si>
  <si>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</si>
  <si>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</si>
  <si>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</si>
  <si>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</si>
  <si>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</si>
  <si>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</si>
  <si>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</si>
  <si>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</si>
  <si>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</si>
  <si>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</si>
  <si>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</si>
  <si>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</si>
  <si>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</si>
  <si>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</si>
  <si>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</si>
  <si>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</si>
  <si>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</si>
  <si>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</si>
  <si>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</si>
  <si>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</si>
  <si>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</si>
  <si>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</si>
  <si>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</si>
  <si>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</si>
  <si>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</si>
  <si>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</si>
  <si>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</si>
  <si>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</si>
  <si>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</si>
  <si>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</si>
  <si>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</si>
  <si>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</si>
  <si>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</si>
  <si>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</si>
  <si>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</si>
  <si>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</si>
  <si>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</si>
  <si>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</si>
  <si>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</si>
  <si>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</si>
  <si>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</si>
  <si>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</si>
  <si>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</si>
  <si>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</si>
  <si>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</si>
  <si>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</si>
  <si>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</si>
  <si>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</si>
  <si>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</si>
  <si>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</si>
  <si>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</si>
  <si>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</si>
  <si>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</si>
  <si>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</si>
  <si>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</si>
  <si>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</si>
  <si>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</si>
  <si>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</si>
  <si>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</si>
  <si>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</si>
  <si>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</si>
  <si>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</si>
  <si>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</si>
  <si>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</si>
  <si>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</si>
  <si>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</si>
  <si>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</si>
  <si>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</si>
  <si>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</si>
  <si>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</si>
  <si>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</si>
  <si>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</si>
  <si>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</si>
  <si>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</si>
  <si>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</si>
  <si>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</si>
  <si>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</si>
  <si>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</si>
  <si>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</si>
  <si>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</si>
  <si>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</si>
  <si>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</si>
  <si>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</si>
  <si>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</si>
  <si>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</si>
  <si>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</si>
  <si>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</si>
  <si>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</si>
  <si>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</si>
  <si>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</si>
  <si>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</si>
  <si>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</si>
  <si>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</si>
  <si>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</si>
  <si>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</si>
  <si>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</si>
  <si>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</si>
  <si>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</si>
  <si>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</si>
  <si>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</si>
  <si>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</si>
  <si>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</si>
  <si>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</si>
  <si>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</si>
  <si>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</si>
  <si>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</si>
  <si>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</si>
  <si>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</si>
  <si>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</si>
  <si>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</si>
  <si>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</si>
  <si>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</si>
  <si>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</si>
  <si>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</si>
  <si>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</si>
  <si>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</si>
  <si>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</si>
  <si>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</si>
  <si>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</si>
  <si>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</si>
  <si>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</si>
  <si>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</si>
  <si>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</si>
  <si>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</si>
  <si>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</si>
  <si>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</si>
  <si>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</si>
  <si>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</si>
  <si>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</si>
  <si>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</si>
  <si>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</si>
  <si>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</si>
  <si>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</si>
  <si>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</si>
  <si>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</si>
  <si>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</si>
  <si>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</si>
  <si>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</si>
  <si>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</si>
  <si>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</si>
  <si>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</si>
  <si>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</si>
  <si>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</si>
  <si>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</si>
  <si>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</si>
  <si>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</si>
  <si>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</si>
  <si>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</si>
  <si>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</si>
  <si>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</si>
  <si>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</si>
  <si>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</si>
  <si>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</si>
  <si>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</si>
  <si>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</si>
  <si>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</si>
  <si>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</si>
  <si>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</si>
  <si>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</si>
  <si>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</si>
  <si>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</si>
  <si>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</si>
  <si>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</si>
  <si>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</si>
  <si>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</si>
  <si>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</si>
  <si>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</si>
  <si>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</si>
  <si>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</si>
  <si>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</si>
  <si>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</si>
  <si>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</si>
  <si>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</si>
  <si>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</si>
  <si>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</si>
  <si>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</si>
  <si>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</si>
  <si>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</si>
  <si>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</si>
  <si>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</si>
  <si>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</si>
  <si>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</si>
  <si>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</si>
  <si>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</si>
  <si>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</si>
  <si>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</si>
  <si>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</si>
  <si>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</si>
  <si>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</si>
  <si>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</si>
  <si>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</si>
  <si>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</si>
  <si>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</si>
  <si>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</si>
  <si>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</si>
  <si>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</si>
  <si>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</si>
  <si>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</si>
  <si>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</si>
  <si>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</si>
  <si>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</si>
  <si>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</si>
  <si>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</si>
  <si>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</si>
  <si>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</si>
  <si>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</si>
  <si>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</si>
  <si>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</si>
  <si>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</si>
  <si>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</si>
  <si>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</si>
  <si>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</si>
  <si>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</si>
  <si>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</si>
  <si>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</si>
  <si>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</si>
  <si>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</si>
  <si>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</si>
  <si>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</si>
  <si>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</si>
  <si>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</si>
  <si>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</si>
  <si>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</si>
  <si>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</si>
  <si>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</si>
  <si>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</si>
  <si>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</si>
  <si>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</si>
  <si>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</si>
  <si>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</si>
  <si>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</si>
  <si>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</si>
  <si>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</si>
  <si>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</si>
  <si>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</si>
  <si>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</si>
  <si>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</si>
  <si>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</si>
  <si>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</si>
  <si>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</si>
  <si>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</si>
  <si>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</si>
  <si>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</si>
  <si>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</si>
  <si>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</si>
  <si>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</si>
  <si>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</si>
  <si>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</si>
  <si>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</si>
  <si>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</si>
  <si>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</si>
  <si>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</si>
  <si>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</si>
  <si>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</si>
  <si>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</si>
  <si>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</si>
  <si>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</si>
  <si>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</si>
  <si>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</si>
  <si>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</si>
  <si>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</si>
  <si>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</si>
  <si>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</si>
  <si>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</si>
  <si>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</si>
  <si>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</si>
  <si>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</si>
  <si>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</si>
  <si>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</si>
  <si>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</si>
  <si>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</si>
  <si>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</si>
  <si>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</si>
  <si>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</si>
  <si>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</si>
  <si>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</si>
  <si>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</si>
  <si>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</si>
  <si>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</si>
  <si>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</si>
  <si>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</si>
  <si>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</si>
  <si>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</si>
  <si>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</si>
  <si>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</si>
  <si>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</si>
  <si>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</si>
  <si>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</si>
  <si>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</si>
  <si>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</si>
  <si>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</si>
  <si>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</si>
  <si>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</si>
  <si>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</si>
  <si>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</si>
  <si>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</si>
  <si>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</si>
  <si>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</si>
  <si>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</si>
  <si>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</si>
  <si>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</si>
  <si>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</si>
  <si>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</si>
  <si>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</si>
  <si>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</si>
  <si>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</si>
  <si>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</si>
  <si>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</si>
  <si>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</si>
  <si>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</si>
  <si>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</si>
  <si>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</si>
  <si>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</si>
  <si>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</si>
  <si>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</si>
  <si>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</si>
  <si>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</si>
  <si>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</si>
  <si>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</si>
  <si>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</si>
  <si>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</si>
  <si>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</si>
  <si>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</si>
  <si>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</si>
  <si>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</si>
  <si>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</si>
  <si>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</si>
  <si>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</si>
  <si>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</si>
  <si>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</si>
  <si>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</si>
  <si>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</si>
  <si>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</si>
  <si>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</si>
  <si>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</si>
  <si>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</si>
  <si>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</si>
  <si>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</si>
  <si>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</si>
  <si>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</si>
  <si>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</si>
  <si>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</si>
  <si>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</si>
  <si>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</si>
  <si>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</si>
  <si>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</si>
  <si>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</si>
  <si>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</si>
  <si>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</si>
  <si>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</si>
  <si>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</si>
  <si>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</si>
  <si>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</si>
  <si>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</si>
  <si>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</si>
  <si>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</si>
  <si>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</si>
  <si>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</si>
  <si>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</si>
  <si>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</si>
  <si>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</si>
  <si>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</si>
  <si>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</si>
  <si>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</si>
  <si>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</si>
  <si>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</si>
  <si>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</si>
  <si>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</si>
  <si>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</si>
  <si>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</si>
  <si>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</si>
  <si>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</si>
  <si>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</si>
  <si>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</si>
  <si>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</si>
  <si>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</si>
  <si>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</si>
  <si>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</si>
  <si>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</si>
  <si>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</si>
  <si>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</si>
  <si>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</si>
  <si>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</si>
  <si>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</si>
  <si>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</si>
  <si>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</si>
  <si>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</si>
  <si>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</si>
  <si>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</si>
  <si>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</si>
  <si>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</si>
  <si>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</si>
  <si>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</si>
  <si>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</si>
  <si>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</si>
  <si>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</si>
  <si>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</si>
  <si>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</si>
  <si>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</si>
  <si>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</si>
  <si>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</si>
  <si>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</si>
  <si>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</si>
  <si>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</si>
  <si>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</si>
  <si>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</si>
  <si>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</si>
  <si>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</si>
  <si>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</si>
  <si>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</si>
  <si>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</si>
  <si>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</si>
  <si>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</si>
  <si>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</si>
  <si>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</si>
  <si>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</si>
  <si>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</si>
  <si>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</si>
  <si>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</si>
  <si>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</si>
  <si>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</si>
  <si>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</si>
  <si>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</si>
  <si>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</si>
  <si>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</si>
  <si>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</si>
  <si>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</si>
  <si>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</si>
  <si>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</si>
  <si>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</si>
  <si>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</si>
  <si>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</si>
  <si>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</si>
  <si>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</si>
  <si>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</si>
  <si>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</si>
  <si>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</si>
  <si>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</si>
  <si>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</si>
  <si>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</si>
  <si>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</si>
  <si>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</si>
  <si>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</si>
  <si>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</si>
  <si>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</si>
  <si>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</si>
  <si>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</si>
  <si>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</si>
  <si>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</si>
  <si>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</si>
  <si>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</si>
  <si>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</si>
  <si>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</si>
  <si>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</si>
  <si>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</si>
  <si>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</si>
  <si>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</si>
  <si>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</si>
  <si>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</si>
  <si>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</si>
  <si>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</si>
  <si>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</si>
  <si>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</si>
  <si>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</si>
  <si>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</si>
  <si>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</si>
  <si>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</si>
  <si>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</si>
  <si>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</si>
  <si>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</si>
  <si>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</si>
  <si>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</si>
  <si>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</si>
  <si>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</si>
  <si>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</si>
  <si>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</si>
  <si>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</si>
  <si>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</si>
  <si>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</si>
  <si>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</si>
  <si>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</si>
  <si>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</si>
  <si>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</si>
  <si>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</si>
  <si>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</si>
  <si>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</si>
  <si>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</si>
  <si>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</si>
  <si>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</si>
  <si>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</si>
  <si>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</si>
  <si>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</si>
  <si>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</si>
  <si>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</si>
  <si>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</si>
  <si>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</si>
  <si>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</si>
  <si>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</si>
  <si>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</si>
  <si>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</si>
  <si>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</si>
  <si>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</si>
  <si>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</si>
  <si>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</si>
  <si>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</si>
  <si>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</si>
  <si>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</si>
  <si>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</si>
  <si>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</si>
  <si>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</si>
  <si>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</si>
  <si>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</si>
  <si>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</si>
  <si>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</si>
  <si>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</si>
  <si>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</si>
  <si>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</si>
  <si>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</si>
  <si>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</si>
  <si>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</si>
  <si>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</si>
  <si>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</si>
  <si>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</si>
  <si>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</si>
  <si>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</si>
  <si>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</si>
  <si>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</si>
  <si>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</si>
  <si>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</si>
  <si>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</si>
  <si>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</si>
  <si>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</si>
  <si>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</si>
  <si>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</si>
  <si>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</si>
  <si>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</si>
  <si>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</si>
  <si>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</si>
  <si>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</si>
  <si>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</si>
  <si>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</si>
  <si>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</si>
  <si>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</si>
  <si>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</si>
  <si>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</si>
  <si>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</si>
  <si>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</si>
  <si>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</si>
  <si>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</si>
  <si>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</si>
  <si>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</si>
  <si>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</si>
  <si>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</si>
  <si>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</si>
  <si>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</si>
  <si>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</si>
  <si>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</si>
  <si>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</si>
  <si>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</si>
  <si>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</si>
  <si>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</si>
  <si>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</si>
  <si>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</si>
  <si>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</si>
  <si>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</si>
  <si>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</si>
  <si>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</si>
  <si>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</si>
  <si>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</si>
  <si>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</si>
  <si>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</si>
  <si>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</si>
  <si>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</si>
  <si>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</si>
  <si>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</si>
  <si>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</si>
  <si>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</si>
  <si>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</si>
  <si>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</si>
  <si>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</si>
  <si>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</si>
  <si>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</si>
  <si>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</si>
  <si>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</si>
  <si>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</si>
  <si>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</si>
  <si>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</si>
  <si>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</si>
  <si>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</si>
  <si>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</si>
  <si>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</si>
  <si>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</si>
  <si>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</si>
  <si>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</si>
  <si>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</si>
  <si>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</si>
  <si>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</si>
  <si>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</si>
  <si>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</si>
  <si>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</si>
  <si>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</si>
  <si>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</si>
  <si>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</si>
  <si>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</si>
  <si>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</si>
  <si>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</si>
  <si>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</si>
  <si>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</si>
  <si>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</si>
  <si>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</si>
  <si>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</si>
  <si>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</si>
  <si>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</si>
  <si>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</si>
  <si>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</si>
  <si>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</si>
  <si>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</si>
  <si>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</si>
  <si>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</si>
  <si>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</si>
  <si>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</si>
  <si>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</si>
  <si>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</si>
  <si>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</si>
  <si>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</si>
  <si>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</si>
  <si>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</si>
  <si>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</si>
  <si>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</si>
  <si>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</si>
  <si>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</si>
  <si>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</si>
  <si>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</si>
  <si>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</si>
  <si>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</si>
  <si>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</si>
  <si>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</si>
  <si>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</si>
  <si>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</si>
  <si>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</si>
  <si>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</si>
  <si>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</si>
  <si>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</si>
  <si>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</si>
  <si>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</si>
  <si>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</si>
  <si>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</si>
  <si>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</si>
  <si>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</si>
  <si>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</si>
  <si>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</si>
  <si>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</si>
  <si>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</si>
  <si>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</si>
  <si>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</si>
  <si>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</si>
  <si>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</si>
  <si>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</si>
  <si>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</si>
  <si>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</si>
  <si>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</si>
  <si>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</si>
  <si>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</si>
  <si>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</si>
  <si>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</si>
  <si>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</si>
  <si>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</si>
  <si>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</si>
  <si>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</si>
  <si>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</si>
  <si>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</si>
  <si>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</si>
  <si>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</si>
  <si>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</si>
  <si>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</si>
  <si>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</si>
  <si>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</si>
  <si>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</si>
  <si>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</si>
  <si>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</si>
  <si>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</si>
  <si>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</si>
  <si>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</si>
  <si>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</si>
  <si>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</si>
  <si>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</si>
  <si>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</si>
  <si>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</si>
  <si>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</si>
  <si>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</si>
  <si>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</si>
  <si>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</si>
  <si>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</si>
  <si>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</si>
  <si>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</si>
  <si>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</si>
  <si>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</si>
  <si>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</si>
  <si>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</si>
  <si>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</si>
  <si>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</si>
  <si>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</si>
  <si>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</si>
  <si>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</si>
  <si>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</si>
  <si>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</si>
  <si>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</si>
  <si>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</si>
  <si>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</si>
  <si>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</si>
  <si>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</si>
  <si>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</si>
  <si>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</si>
  <si>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</si>
  <si>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</si>
  <si>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</si>
  <si>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</si>
  <si>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</si>
  <si>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</si>
  <si>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</si>
  <si>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</si>
  <si>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</si>
  <si>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</si>
  <si>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</si>
  <si>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</si>
  <si>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</si>
  <si>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</si>
  <si>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</si>
  <si>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</si>
  <si>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</si>
  <si>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</si>
  <si>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</si>
  <si>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</si>
  <si>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</si>
  <si>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</si>
  <si>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</si>
  <si>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</si>
  <si>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</si>
  <si>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</si>
  <si>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</si>
  <si>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</si>
  <si>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</si>
  <si>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</si>
  <si>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</si>
  <si>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</si>
  <si>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</si>
  <si>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</si>
  <si>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</si>
  <si>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</si>
  <si>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</si>
  <si>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</si>
  <si>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</si>
  <si>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</si>
  <si>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</si>
  <si>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</si>
  <si>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</si>
  <si>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</si>
  <si>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</si>
  <si>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</si>
  <si>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</si>
  <si>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</si>
  <si>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</si>
  <si>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</si>
  <si>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</si>
  <si>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</si>
  <si>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</si>
  <si>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</si>
  <si>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</si>
  <si>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</si>
  <si>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</si>
  <si>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</si>
  <si>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</si>
  <si>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</si>
  <si>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</si>
  <si>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</si>
  <si>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</si>
  <si>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</si>
  <si>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</si>
  <si>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</si>
  <si>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</si>
  <si>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</si>
  <si>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</si>
  <si>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</si>
  <si>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</si>
  <si>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</si>
  <si>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</si>
  <si>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</si>
  <si>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</si>
  <si>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</si>
  <si>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</si>
  <si>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</si>
  <si>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</si>
  <si>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</si>
  <si>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</si>
  <si>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</si>
  <si>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</si>
  <si>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</si>
  <si>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</si>
  <si>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</si>
  <si>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</si>
  <si>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</si>
  <si>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</si>
  <si>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</si>
  <si>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</si>
  <si>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</si>
  <si>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</si>
  <si>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</si>
  <si>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</si>
  <si>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</si>
  <si>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</si>
  <si>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</si>
  <si>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</si>
  <si>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</si>
  <si>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</si>
  <si>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</si>
  <si>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</si>
  <si>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</si>
  <si>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</si>
  <si>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</si>
  <si>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</si>
  <si>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</si>
  <si>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</si>
  <si>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</si>
  <si>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</si>
  <si>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</si>
  <si>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</si>
  <si>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</si>
  <si>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</si>
  <si>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</si>
  <si>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</si>
  <si>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</si>
  <si>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</si>
  <si>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</si>
  <si>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</si>
  <si>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</si>
  <si>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</si>
  <si>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</si>
  <si>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</si>
  <si>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</si>
  <si>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</si>
  <si>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</si>
  <si>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</si>
  <si>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</si>
  <si>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</si>
  <si>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</si>
  <si>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</si>
  <si>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</si>
  <si>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</si>
  <si>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</si>
  <si>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</si>
  <si>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</si>
  <si>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</si>
  <si>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</si>
  <si>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</si>
  <si>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</si>
  <si>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</si>
  <si>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</si>
  <si>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</si>
  <si>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</si>
  <si>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</si>
  <si>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</si>
  <si>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</si>
  <si>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</si>
  <si>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</si>
  <si>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</si>
  <si>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</si>
  <si>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</si>
  <si>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</si>
  <si>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</si>
  <si>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</si>
  <si>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</si>
  <si>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</si>
  <si>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</si>
  <si>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</si>
  <si>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</si>
  <si>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</si>
  <si>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</si>
  <si>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</si>
  <si>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</si>
  <si>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</si>
  <si>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</si>
  <si>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</si>
  <si>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</si>
  <si>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</si>
  <si>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</si>
  <si>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</si>
  <si>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</si>
  <si>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</si>
  <si>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</si>
  <si>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</si>
  <si>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</si>
  <si>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</si>
  <si>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</si>
  <si>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</si>
  <si>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</si>
  <si>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</si>
  <si>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</si>
  <si>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</si>
  <si>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</si>
  <si>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</si>
  <si>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</si>
  <si>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</si>
  <si>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</si>
  <si>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</si>
  <si>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</si>
  <si>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</si>
  <si>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</si>
  <si>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</si>
  <si>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</si>
  <si>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</si>
  <si>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</si>
  <si>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</si>
  <si>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</si>
  <si>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</si>
  <si>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</si>
  <si>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</si>
  <si>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</si>
  <si>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</si>
  <si>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</si>
  <si>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</si>
  <si>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</si>
  <si>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</si>
  <si>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</si>
  <si>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</si>
  <si>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</si>
  <si>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</si>
  <si>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</si>
  <si>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</si>
  <si>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</si>
  <si>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</si>
  <si>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</si>
  <si>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</si>
  <si>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</si>
  <si>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</si>
  <si>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</si>
  <si>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</si>
  <si>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</si>
  <si>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</si>
  <si>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</si>
  <si>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</si>
  <si>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</si>
  <si>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</si>
  <si>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</si>
  <si>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</si>
  <si>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</si>
  <si>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</si>
  <si>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</si>
  <si>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</si>
  <si>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</si>
  <si>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</si>
  <si>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</si>
  <si>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</si>
  <si>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</si>
  <si>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</si>
  <si>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</si>
  <si>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</si>
  <si>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</si>
  <si>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</si>
  <si>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</si>
  <si>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</si>
  <si>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</si>
  <si>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</si>
  <si>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</si>
  <si>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</si>
  <si>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</si>
  <si>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</si>
  <si>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</si>
  <si>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</si>
  <si>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</si>
  <si>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</si>
  <si>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</si>
  <si>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</si>
  <si>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</si>
  <si>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</si>
  <si>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</si>
  <si>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</si>
  <si>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</si>
  <si>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</si>
  <si>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</si>
  <si>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</si>
  <si>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</si>
  <si>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</si>
  <si>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</si>
  <si>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</si>
  <si>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</si>
  <si>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</si>
  <si>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</si>
  <si>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</si>
  <si>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</si>
  <si>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</si>
  <si>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</si>
  <si>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</si>
  <si>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</si>
  <si>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</si>
  <si>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</si>
  <si>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</si>
  <si>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</si>
  <si>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</si>
  <si>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</si>
  <si>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</si>
  <si>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</si>
  <si>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</si>
  <si>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</si>
  <si>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</si>
  <si>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</si>
  <si>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</si>
  <si>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</si>
  <si>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</si>
  <si>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</si>
  <si>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</si>
  <si>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</si>
  <si>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</si>
  <si>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</si>
  <si>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</si>
  <si>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</si>
  <si>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</si>
  <si>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</si>
  <si>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</si>
  <si>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</si>
  <si>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</si>
  <si>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</si>
  <si>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</si>
  <si>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</si>
  <si>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</si>
  <si>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</si>
  <si>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</si>
  <si>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</si>
  <si>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</si>
  <si>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</si>
  <si>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</si>
  <si>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</si>
  <si>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</si>
  <si>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</si>
  <si>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</si>
  <si>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</si>
  <si>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</si>
  <si>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</si>
  <si>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</si>
  <si>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</si>
  <si>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</si>
  <si>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</si>
  <si>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</si>
  <si>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</si>
  <si>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</si>
  <si>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</si>
  <si>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</si>
  <si>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</si>
  <si>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</si>
  <si>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</si>
  <si>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</si>
  <si>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</si>
  <si>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</si>
  <si>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</si>
  <si>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</si>
  <si>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</si>
  <si>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</si>
  <si>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</si>
  <si>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</si>
  <si>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</si>
  <si>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</si>
  <si>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</si>
  <si>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</si>
  <si>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</si>
  <si>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</si>
  <si>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</si>
  <si>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</si>
  <si>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</si>
  <si>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</si>
  <si>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</si>
  <si>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</si>
  <si>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</si>
  <si>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</si>
  <si>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</si>
  <si>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</si>
  <si>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</si>
  <si>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</si>
  <si>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</si>
  <si>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</si>
  <si>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</si>
  <si>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</si>
  <si>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</si>
  <si>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</si>
  <si>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</si>
  <si>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</si>
  <si>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</si>
  <si>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</si>
  <si>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</si>
  <si>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</si>
  <si>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</si>
  <si>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</si>
  <si>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</si>
  <si>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</si>
  <si>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</si>
  <si>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</si>
  <si>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</si>
  <si>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</si>
  <si>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</si>
  <si>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</si>
  <si>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</si>
  <si>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</si>
  <si>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</si>
  <si>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</si>
  <si>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</si>
  <si>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</si>
  <si>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</si>
  <si>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</si>
  <si>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</si>
  <si>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</si>
  <si>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</si>
  <si>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</si>
  <si>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</si>
  <si>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</si>
  <si>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</si>
  <si>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</si>
  <si>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</si>
  <si>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</si>
  <si>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</si>
  <si>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</si>
  <si>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</si>
  <si>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</si>
  <si>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</si>
  <si>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</si>
  <si>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</si>
  <si>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</si>
  <si>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</si>
  <si>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</si>
  <si>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</si>
  <si>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</si>
  <si>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</si>
  <si>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</si>
  <si>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</si>
  <si>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</si>
  <si>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</si>
  <si>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</si>
  <si>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</si>
  <si>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</si>
  <si>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</si>
  <si>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</si>
  <si>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</si>
  <si>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</si>
  <si>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</si>
  <si>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</si>
  <si>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</si>
  <si>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</si>
  <si>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</si>
  <si>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</si>
  <si>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</si>
  <si>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</si>
  <si>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</si>
  <si>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</si>
  <si>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</si>
  <si>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</si>
  <si>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</si>
  <si>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</si>
  <si>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</si>
  <si>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</si>
  <si>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</si>
  <si>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</si>
  <si>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</si>
  <si>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</si>
  <si>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</si>
  <si>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</si>
  <si>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</si>
  <si>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</si>
  <si>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</si>
  <si>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</si>
  <si>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</si>
  <si>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</si>
  <si>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</si>
  <si>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</si>
  <si>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</si>
  <si>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</si>
  <si>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</si>
  <si>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</si>
  <si>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</si>
  <si>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</si>
  <si>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</si>
  <si>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</si>
  <si>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</si>
  <si>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</si>
  <si>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</si>
  <si>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</si>
  <si>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</si>
  <si>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</si>
  <si>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</si>
  <si>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</si>
  <si>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</si>
  <si>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</si>
  <si>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</si>
  <si>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</si>
  <si>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</si>
  <si>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</si>
  <si>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</si>
  <si>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</si>
  <si>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</si>
  <si>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</si>
  <si>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</si>
  <si>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</si>
  <si>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</si>
  <si>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</si>
  <si>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</si>
  <si>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</si>
  <si>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</si>
  <si>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</si>
  <si>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</si>
  <si>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</si>
  <si>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</si>
  <si>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</si>
  <si>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</si>
  <si>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</si>
  <si>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</si>
  <si>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</si>
  <si>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</si>
  <si>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</si>
  <si>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</si>
  <si>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</si>
  <si>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</si>
  <si>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</si>
  <si>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</si>
  <si>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</si>
  <si>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</si>
  <si>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</si>
  <si>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</si>
  <si>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</si>
  <si>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</si>
  <si>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</si>
  <si>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</si>
  <si>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</si>
  <si>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</si>
  <si>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</si>
  <si>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</si>
  <si>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</si>
  <si>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</si>
  <si>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</si>
  <si>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</si>
  <si>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</si>
  <si>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</si>
  <si>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</si>
  <si>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</si>
  <si>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</si>
  <si>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</si>
  <si>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</si>
  <si>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</si>
  <si>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</si>
  <si>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</si>
  <si>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</si>
  <si>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</si>
  <si>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</si>
  <si>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</si>
  <si>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</si>
  <si>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</si>
  <si>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</si>
  <si>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</si>
  <si>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</si>
  <si>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</si>
  <si>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</si>
  <si>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</si>
  <si>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</si>
  <si>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</si>
  <si>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</si>
  <si>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</si>
  <si>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</si>
  <si>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</si>
  <si>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</si>
  <si>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</si>
  <si>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</si>
  <si>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</si>
  <si>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</si>
  <si>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</si>
  <si>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</si>
  <si>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</si>
  <si>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</si>
  <si>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</si>
  <si>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</si>
  <si>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</si>
  <si>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</si>
  <si>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</si>
  <si>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</si>
  <si>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</si>
  <si>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</si>
  <si>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</si>
  <si>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</si>
  <si>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</si>
  <si>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</si>
  <si>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</si>
  <si>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</si>
  <si>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</si>
  <si>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</si>
  <si>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</si>
  <si>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</si>
  <si>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</si>
  <si>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</si>
  <si>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</si>
  <si>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</si>
  <si>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</si>
  <si>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</si>
  <si>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</si>
  <si>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</si>
  <si>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</si>
  <si>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</si>
  <si>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</si>
  <si>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</si>
  <si>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</si>
  <si>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</si>
  <si>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</si>
  <si>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</si>
  <si>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</si>
  <si>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</si>
  <si>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</si>
  <si>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</si>
  <si>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</si>
  <si>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</si>
  <si>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</si>
  <si>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</si>
  <si>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</si>
  <si>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</si>
  <si>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</si>
  <si>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</si>
  <si>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</si>
  <si>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</si>
  <si>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</si>
  <si>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</si>
  <si>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</si>
  <si>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</si>
  <si>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</si>
  <si>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</si>
  <si>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</si>
  <si>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</si>
  <si>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</si>
  <si>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</si>
  <si>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</si>
  <si>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</si>
  <si>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</si>
  <si>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</si>
  <si>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</si>
  <si>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</si>
  <si>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</si>
  <si>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</si>
  <si>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</si>
  <si>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</si>
  <si>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</si>
  <si>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</si>
  <si>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</si>
  <si>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</si>
  <si>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</si>
  <si>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</si>
  <si>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</si>
  <si>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</si>
  <si>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</si>
  <si>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</si>
  <si>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</si>
  <si>
    <t>17.03.2026</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</si>
  <si>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</si>
  <si>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</si>
  <si>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</si>
  <si>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</si>
  <si>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</si>
  <si>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</si>
  <si>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</si>
  <si>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</si>
  <si>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</si>
  <si>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</si>
  <si>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</si>
  <si>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</si>
  <si>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</si>
  <si>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</si>
  <si>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</si>
  <si>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</si>
  <si>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</si>
  <si>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</si>
  <si>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</si>
  <si>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</si>
  <si>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</si>
  <si>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</si>
  <si>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</si>
  <si>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</si>
  <si>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</si>
  <si>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</si>
  <si>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</si>
  <si>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</si>
  <si>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</si>
  <si>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</si>
  <si>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</si>
  <si>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</si>
  <si>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</si>
  <si>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</si>
  <si>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</si>
  <si>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</si>
  <si>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</si>
  <si>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</si>
  <si>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</si>
  <si>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</si>
  <si>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</si>
  <si>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</si>
  <si>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</si>
  <si>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</si>
  <si>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</si>
  <si>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</si>
  <si>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</si>
  <si>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</si>
  <si>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</si>
  <si>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</si>
  <si>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</si>
  <si>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</si>
  <si>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</si>
  <si>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</si>
  <si>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</si>
  <si>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</si>
  <si>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</si>
  <si>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</si>
  <si>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</si>
  <si>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</si>
  <si>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</si>
  <si>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</si>
  <si>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</si>
  <si>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</si>
  <si>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</si>
  <si>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</si>
  <si>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</si>
  <si>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</si>
  <si>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</si>
  <si>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</si>
  <si>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</si>
  <si>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S. 3, „Human-centric AI“; S. 4, „Executing human oversight“</t>
  </si>
  <si>
    <t>Autonomieprinzip plus konkreter Oversight-/Eskalationsmechanismus belegt.</t>
  </si>
  <si>
    <t>S. 2, „Responsible and transparent use of AI“; S. 4, „Executing human oversight“</t>
  </si>
  <si>
    <t>Accountability explizit benannt; Rollen- und Fallklärung operationalisieren Verantwortlichkeit.</t>
  </si>
  <si>
    <t>S. 2, „Responsible and transparent use of AI“</t>
  </si>
  <si>
    <t>Offenlegung des KI-Einsatzes ausdrücklich genannt; keine stärkere Prozessvorgabe belegt.</t>
  </si>
  <si>
    <t>S. 2, „Responsible and transparent use of AI“; S. 4, „Upskilling“</t>
  </si>
  <si>
    <t>Erklärbarkeit/Verstehbarkeit explizit und durch Toolkits/Tutorials operationalisiert.</t>
  </si>
  <si>
    <t>S. 2, „Responsible and transparent use of AI“; S. 3, „Inclusion“</t>
  </si>
  <si>
    <t>Bias-Vermeidung plus nicht-diskriminierende Praxis im KI-Kontext belegt.</t>
  </si>
  <si>
    <t>S. 2, „AI for privacy and data protection“</t>
  </si>
  <si>
    <t>Datenschutz/Netzwerkverbleib sensibler Daten im KI-Kontext beschrieben.</t>
  </si>
  <si>
    <t>S. 3, „Safety and security“</t>
  </si>
  <si>
    <t>Security für AI solutions ausdrücklich adressiert; keine deontische Regel/Checks belegt.</t>
  </si>
  <si>
    <t>Safety-Bezug explizit; keine weitergehende Operationalisierung belegt.</t>
  </si>
  <si>
    <t>Qualitäts-/Peer-Review-Hinweise reichen hier nicht als klarer Robustheits-/Reliability-Wertanker.</t>
  </si>
  <si>
    <t>Keine KI-spezifischen Einspruchs-, Beschwerde- oder Redress-Rechte für Betroffene dokumentiert.</t>
  </si>
  <si>
    <t>„Inclusion“ belegt hier Fairness/Diversity, nicht Accessibility/Teilhabe.</t>
  </si>
  <si>
    <t>S. 3, „Sustainability“</t>
  </si>
  <si>
    <t>AI-Nutzung wird ausdrücklich an Ressourcen-/Energiekriterien gebunden.</t>
  </si>
  <si>
    <t>S. 2, „Responsible AI – what we aim at“; S. 3, „Human-centric AI“</t>
  </si>
  <si>
    <t>Nutzen-/Well-being-Orientierung für Menschen ist klar formuliert.</t>
  </si>
  <si>
    <t>S. 3, „Inclusion“</t>
  </si>
  <si>
    <t>Rule-of-law-Bezug mit explizitem AI-Anschluss vorhanden, aber ohne formale Compliance-Mechanik.</t>
  </si>
  <si>
    <t>S. 4, „Responsible AI by design“</t>
  </si>
  <si>
    <t>Ethische Grenzen werden ausdrücklich genannt und mit eingebetteten Prozessen verknüpft.</t>
  </si>
  <si>
    <t>Keine expliziten Anforderungen zu Datenqualität, Lineage, Repräsentativität oder Data Stewardship.</t>
  </si>
  <si>
    <t>Kein KI-spezifischer IP-/Vertraulichkeitsanker im Dokument.</t>
  </si>
  <si>
    <t>Menschenrechte werden ausdrücklich als Leitprinzip auch für AI genannt.</t>
  </si>
  <si>
    <t>Der KI-Einsatz soll offengelegt/identifizierbar sein.</t>
  </si>
  <si>
    <t>“indicate where AI is actually being used”</t>
  </si>
  <si>
    <t>Datenschutz wird über lokale Datenverarbeitung adressiert.</t>
  </si>
  <si>
    <t>“data can be processed locally in devices”</t>
  </si>
  <si>
    <t>Sichere AI-Lösungen werden hervorgehoben.</t>
  </si>
  <si>
    <t>“hardware-based security solutions will be crucial”</t>
  </si>
  <si>
    <t>Safety-Bezug für Kundenprodukte ist ausdrücklich genannt.</t>
  </si>
  <si>
    <t>“ensure the safety of our customers’ products”</t>
  </si>
  <si>
    <t>AI-Nutzung wird an Ressourcen-/Energiekriterien gebunden.</t>
  </si>
  <si>
    <t>“The use of AI must also be measured against this”</t>
  </si>
  <si>
    <t>Rule of law und human rights werden auch für AI herangezogen.</t>
  </si>
  <si>
    <t>“committed to the rule of law, respects human rights”</t>
  </si>
  <si>
    <t>“preserve people’s autonomy”; “Technology should always adapt to people”; “employees can turn if they want to receive guidance”</t>
  </si>
  <si>
    <t>AI soll menschliche Autonomie erhalten.; Belegt ersten Eskalations-/Prozessschritt.; Stützt Human-centric/Human Agency</t>
  </si>
  <si>
    <t>“provide accountability”; “Digital Council will inspect and resolve the case”; “team works in a tandem formation with two employees from the tech and compliance side</t>
  </si>
  <si>
    <t>Accountability wird ausdrücklich gefordert.; Unklare Fälle werden an den Digital Council eskaliert.; Die Klärungsfunktion ist als Tech/Compliance-Tandem besetzt.</t>
  </si>
  <si>
    <t>“how AI-based solutions arrive at their results”; “toolkits with tutorials and code samples to make AI explainable”</t>
  </si>
  <si>
    <t>Die Entscheidungslogik von AI soll verstanden werden.; Explainability wird über Toolkits/Tutorials operationalisiert.</t>
  </si>
  <si>
    <t>“avoid unintended bias”; “Non-discriminatory practices are the standard we embrace”</t>
  </si>
  <si>
    <t>Bias-Vermeidung wird als Ziel der AI-Nutzung genannt.; Belegt Fairness im AI-Kontext.</t>
  </si>
  <si>
    <t>“make our lives easier, safer and greener”; “preserve people’s autonomy”</t>
  </si>
  <si>
    <t>AI soll menschlichen Nutzen stiften.; Belegt Human Agency.</t>
  </si>
  <si>
    <t>“We implement the boundaries for responsible AI in our operations”; “embedded processes which help to identify risks throughout the AI project life cycle”</t>
  </si>
  <si>
    <t>Responsible-AI-Grenzen werden ausdrücklich implementiert.; Risikoorientierte Prozesse laufen über den gesamten AI-Lebenszyklus.</t>
  </si>
  <si>
    <t>S. 4, „Executing human oversight“</t>
  </si>
  <si>
    <t>S. 4, „Responsible AI by design“; S. 4, „Executing human oversight“</t>
  </si>
  <si>
    <t>S. 4, „Upskilling“; S. 4, „Responsible AI by design“</t>
  </si>
  <si>
    <t>S. 4, „Upskilling“</t>
  </si>
  <si>
    <t>Keine explizite AI-spezifische Reporting-Struktur, KPI-Logik oder Disclosure-Frequenz dokumentiert.</t>
  </si>
  <si>
    <t>Rollen und Aufgaben (Clearing Function, Tech/Compliance-Tandem, Digital Council) beschrieben</t>
  </si>
  <si>
    <t>keine Reporting-/Regeltermine belegt.</t>
  </si>
  <si>
    <t>Lifecycle-/Eskalationsschritte beschrieben</t>
  </si>
  <si>
    <t>keine KPIs oder dokumentierten Review-Zyklen belegt.</t>
  </si>
  <si>
    <t>Toolkits und risikoorientierte Checks über den AI lifecycle sind dokumentiert</t>
  </si>
  <si>
    <t>kein Betriebsnachweis/Protokoll.</t>
  </si>
  <si>
    <t>Peer review standards deuten Review-/Assessment-Aktivität an</t>
  </si>
  <si>
    <t>Audit-Mechanik, Frequenz und Verantwortliche fehlen.</t>
  </si>
  <si>
    <t>Trainings/Awareness klar erwähnt</t>
  </si>
  <si>
    <t>Zielgruppe/Programmstruktur/Pflichtgrad bleiben unvollständig.</t>
  </si>
  <si>
    <t>Mehrstufige Eskalationslogik beschrieben</t>
  </si>
  <si>
    <t>keine geübten Fälle oder Reporting-Nachweise.</t>
  </si>
  <si>
    <t>“highest quality and peer review standards”</t>
  </si>
  <si>
    <t>“Digital Council will inspect and resolve the case”;“team works in a tandem formation with two employees from the tech and compliance side”</t>
  </si>
  <si>
    <t>“embedded processes which help to identify risks throughout the AI project life cycle”; “employees can turn if they want to receive guidance”; “Digital Council will inspect and resolve the case”</t>
  </si>
  <si>
    <t>“toolkits with tutorials and code samples to make AI explainable”; “embedded processes which help to identify risks throughout the AI project life cycle”</t>
  </si>
  <si>
    <t>“toolkits with tutorials and code samples to make AI explainable”; “systematically include ethical questions in Infineon’s internal AI communication efforts”</t>
  </si>
  <si>
    <t>“employees can turn if they want to receive guidance”; “Digital Council will inspect and resolve the case”</t>
  </si>
  <si>
    <t>Die Formulierung zur Nachvollziehbarkeit von AI-Ergebnissen kann als Transparenz oder Explainability gelesen werden.</t>
  </si>
  <si>
    <t>A: nur VAL_03. B: VAL_04 zusätzlich; VAL_03 separat nur für Offenlegung. Gewählt: B, weil das Codebook Offenlegung (VAL_03) und Erklärbarkeit/Interpretation (VAL_04) trennt.</t>
  </si>
  <si>
    <t>VAL_05 / VAL_11</t>
  </si>
  <si>
    <t>Die Überschrift „Inclusion“ legt VAL_11 nahe, der Text selbst spricht aber über Non-Discrimination/Diversity statt Accessibility/Teilhabe.</t>
  </si>
  <si>
    <t>A: VAL_11=1 wegen Abschnittsüberschrift. B: nur VAL_05=1, VAL_11=0. Gewählt: B, weil das Codebook Accessibility/Teilhabe verlangt und DEI-/Bias-Fälle primär VAL_05 zuordnet.</t>
  </si>
  <si>
    <t>„peer review standards“ kann als Review/Audit-Aktivität oder als bloße Qualitätsrhetorik gelesen werden.</t>
  </si>
  <si>
    <t>A: GOV_04=0. B: GOV_04=1. Gewählt: B, konservativ auf Score 1, weil zumindest eine Review-/Assessment-Aktivität anklingt; Mechanik/Frequenz fehlen klar.</t>
  </si>
  <si>
    <t>VAL_02 (BIND)</t>
  </si>
  <si>
    <t>Die Rollen- und Eskalationsbeschreibung operationalisiert Verantwortlichkeit, nennt aber kein separates Ownership-Schema/RACI.</t>
  </si>
  <si>
    <t>A: BIND=1/2 nur Wertstatement. B: BIND=3 wegen konkreter Rollen/Fallklärung. Gewählt: B, da das Codebook für BIND=3 eine konkrete Prozess-/Operationalisierung zulässt.</t>
  </si>
  <si>
    <t>S. 2, „1st principle: responsible use“</t>
  </si>
  <si>
    <t>Menschliche Kontrolle ist explizit benannt; keine weitergehende Oversight-Mechanik im Dokument.</t>
  </si>
  <si>
    <t>„Responsible use“ allein reicht hier konservativ nicht als Accountability-/Ownership-Anker.</t>
  </si>
  <si>
    <t>S. 2, „2nd principle: explainability“ / „1st principle: responsible use“</t>
  </si>
  <si>
    <t>Transparenz ist ausdrücklich Prinzip; keine separate Disclosure-Regel oder Pflichtdokumentation belegt.</t>
  </si>
  <si>
    <t>S. 2, „2nd principle: explainability“</t>
  </si>
  <si>
    <t>Explainability ist explizit genannt; keine weiter operationalisierten Erklärverfahren im Dokument.</t>
  </si>
  <si>
    <t>Bias wird explizit adressiert; Fairness wird zusätzlich über Datenrepräsentativität angesprochen.</t>
  </si>
  <si>
    <t>S. 3, „3rd principle: protection of privacy“</t>
  </si>
  <si>
    <t>Privacy by design plus konkrete Praxis zu künstlichen/anonymisierten Datensätzen beim Testen/Trainieren.</t>
  </si>
  <si>
    <t>Security wird nur allgemein als KI-Risikofeld erwähnt; keine eigenständige KI-Sicherheitsnorm oder Mechanik belegt.</t>
  </si>
  <si>
    <t>S. 3, „4th principle: safety and reliability“</t>
  </si>
  <si>
    <t>Sichere KI wird mit Maßnahmen und Entwicklungs-/Testbezug verbunden.</t>
  </si>
  <si>
    <t>Entwicklung, Testing und validierte Algorithmen belegen konkrete Robustheits-/Reliability-Operationalisierung.</t>
  </si>
  <si>
    <t>Keine Einspruchs-, Beschwerde- oder Redress-Mechanik für KI-Entscheidungen dokumentiert.</t>
  </si>
  <si>
    <t>„Inclusion“ erscheint nur indirekt über Fairness-/Datensatzrepräsentativität, nicht über Accessibility/Teilhabe.</t>
  </si>
  <si>
    <t>Kein belastbarer KI-spezifischer Umwelt-/Green-AI-Anker im Text der Prinzipien.</t>
  </si>
  <si>
    <t>KI soll „genuine added value“ liefern; dies genügt konservativ als Nutzenanker.</t>
  </si>
  <si>
    <t>S. 1, Schlussabsatz; S. 3, „3rd principle: protection of privacy“</t>
  </si>
  <si>
    <t>Rechtliche Anforderungen sind ausdrücklich verpflichtend; keine weitergehende Compliance-Prozessarchitektur belegt.</t>
  </si>
  <si>
    <t>Verweise auf ethische Standards/Corporate Values bleiben konservativ zu allgemein für explizite ethische Grenzen.</t>
  </si>
  <si>
    <t>Repräsentativität und Datenqualität sind explizite Prüffragen innerhalb eines Bewertungsprozesses.</t>
  </si>
  <si>
    <t>Kein KI-spezifischer IP-/Vertraulichkeitsanker.</t>
  </si>
  <si>
    <t>Kein expliziter Menschenrechtsrahmen für KI benannt.</t>
  </si>
  <si>
    <t>Menschliche Kontrolle über KI bleibt bestehen.</t>
  </si>
  <si>
    <t>“Humans remain in control”</t>
  </si>
  <si>
    <t>Explainable AI wird ausdrücklich unterstützt.</t>
  </si>
  <si>
    <t>“we support explainable Artificial Intelligence”</t>
  </si>
  <si>
    <t>Es sollen angemessene Maßnahmen für sichere KI getroffen werden.</t>
  </si>
  <si>
    <t>“develop safe and reliable Artificial Intelligence”</t>
  </si>
  <si>
    <t>KI soll echten Mehrwert stiften.</t>
  </si>
  <si>
    <t>“it should deliver genuine added value”</t>
  </si>
  <si>
    <t>“a high level of transparency”; “preceded by a transparent evaluation process”</t>
  </si>
  <si>
    <t>Mercedes-Benz bekennt sich zu hoher Transparenz bei KI.; Vor KI-Nutzung ist ein transparenter Bewertungsprozess vorgesehen.</t>
  </si>
  <si>
    <t>“explain any possible unintended bias – and eliminate it”; “data set representative and of high enough quality”</t>
  </si>
  <si>
    <t>Unbeabsichtigter Bias soll erklärt und beseitigt werden.; Belegt Data Quality / Dataset Governance.</t>
  </si>
  <si>
    <t>“privacy protection from the design phase onwards”; “we use artificial or anonymized data sets”</t>
  </si>
  <si>
    <t>Privacy wird bereits ab der Designphase berücksichtigt.; Beim Testen und Trainieren werden künstliche oder anonymisierte Datensätze genutzt.</t>
  </si>
  <si>
    <t>“We develop and test our AI technologies”; “scientifically validated and accepted algorithms”; “reliable AI is safety-relevant”</t>
  </si>
  <si>
    <t>KI wird entwickelt und getestet.; Die Robustheit stützt sich auf validierte Algorithmen.; Zuverlässige KI wird als sicherheitsrelevant beschrieben.</t>
  </si>
  <si>
    <t>“ensure compliance with legal requirements and ethical standards”; “Legal requirements are always mandatory”</t>
  </si>
  <si>
    <t>Governance-Ansatz soll rechtliche und ethische Standards sichern.; Rechtliche Anforderungen gelten verbindlich.</t>
  </si>
  <si>
    <t>“data set representative and of high enough quality”; “preceded by a transparent evaluation process”</t>
  </si>
  <si>
    <t>Datensätze sollen repräsentativ und qualitativ geeignet sein.; Vor KI-Nutzung ist ein transparenter Bewertungsprozess vorgesehen.</t>
  </si>
  <si>
    <t>Keine AI-spezifischen Rollen, Owner, Gremien oder Freigabezuständigkeiten benannt.</t>
  </si>
  <si>
    <t>S. 3, „3rd principle: protection of privacy“ / „4th principle: safety and reliability“</t>
  </si>
  <si>
    <t>Keine Audit-, Assessment- oder Assurance-Mechanik mit Audit-Charakter.</t>
  </si>
  <si>
    <t>Keine Awareness- oder Trainingsmaßnahmen genannt.</t>
  </si>
  <si>
    <t>Keine Kontaktstelle oder Eskalationslogik dokumentiert.</t>
  </si>
  <si>
    <t>Kein AI-spezifisches Reporting, keine KPIs, keine Disclosure-Struktur.</t>
  </si>
  <si>
    <t>S. 1, Abs. 3-4; S. 2, „1st principle: responsible use“</t>
  </si>
  <si>
    <t>Risikobasierter Governance-Ansatz und vorgelagerter Bewertungsprozess mit Prüffragen dokumentiert</t>
  </si>
  <si>
    <t>nicht höher, da keine Rollen/Frequenzen/KPIs.</t>
  </si>
  <si>
    <t>Konkrete Checks/Mechanismen dokumentiert: anonymisierte/künstliche Datensätze, Testing, validierte Algorithmen</t>
  </si>
  <si>
    <t>nicht höher, da keine Betriebsnachweise/Protokolle.</t>
  </si>
  <si>
    <t>“risk-based AI Governance approach”; “anchored them company-wide in our integrity code”; “preceded by a transparent evaluation process”</t>
  </si>
  <si>
    <t>“we use artificial or anonymized data sets”; “We develop and test our AI technologies”; “scientifically validated and accepted algorithms”</t>
  </si>
  <si>
    <t>„ethical and legal standards“ kann als Ethical Use oder primär als Compliance gelesen werden.</t>
  </si>
  <si>
    <t>A: VAL_14=1 und VAL_15=1. B: nur VAL_14=1. Gewählt: B, weil das Codebook reine Responsible-AI-/Ethik-Rhetorik ohne klare Grenze bei VAL_15 ausschließt.</t>
  </si>
  <si>
    <t>Der Text nennt einen risikobasierten Ansatz und Prüffragen, aber keine Rollen/Frequenzen.</t>
  </si>
  <si>
    <t>A: GOV_02=1. B: GOV_02=2. Gewählt: B, weil konkrete Prozessschritte/Prüffragen vor dem AI-Einsatz beschrieben sind; nicht höher wegen fehlender Verantwortlicher und Nachweise.</t>
  </si>
  <si>
    <t>„inclusion“ könnte als Inclusiveness &amp; Accessibility oder als Fairness-/Bias-Kontext gelesen werden.</t>
  </si>
  <si>
    <t>A: VAL_11=1. B: nur VAL_05=1. Gewählt: B, weil das Codebook Accessibility/Teilhabe verlangt und Datensatzrepräsentativität primär VAL_05/VAL_16 zuordnet.</t>
  </si>
  <si>
    <t>VAL_08 / VAL_09</t>
  </si>
  <si>
    <t>Die Passage bündelt Safety und Reliability in einem Prinzip.</t>
  </si>
  <si>
    <t>A: nur VAL_09=1. B: VAL_08=1 und VAL_09=1. Gewählt: B, weil Safety explizit benannt ist und Reliability zusätzlich durch Testing/validierte Algorithmen operationalisiert wird.</t>
  </si>
  <si>
    <t>„security“ erscheint als KI-Risikofeld, aber ohne eigene Prinzipienausführung.</t>
  </si>
  <si>
    <t>A: VAL_07=1. B: VAL_07=0. Gewählt: B, konservativ, da kein substanzieller Security-Standard oder KI-spezifischer Schutzmechanismus beschrieben wird.</t>
  </si>
  <si>
    <t>Keine explizite menschliche Kontrolle/Override/Oversight für KI benannt.</t>
  </si>
  <si>
    <t>Keine KI-spezifischen Verantwortlichen, Ownership- oder Accountability-Rollen belegt.</t>
  </si>
  <si>
    <t>Im KI-Abschnitt dieses Dokuments keine explizite AI-Transparenz-/Disclosure-Formulierung belegt.</t>
  </si>
  <si>
    <t>S. 52, „04.5.2 Artificial Intelligence“</t>
  </si>
  <si>
    <t>Explainability ist ausdrücklich als KI-Prinzip genannt, ohne weitere Operationalisierung.</t>
  </si>
  <si>
    <t>Keine explizite Bias-/Fairness-Aussage im KI-Abschnitt des Dokuments.</t>
  </si>
  <si>
    <t>Protection of Privacy ist ausdrücklich als KI-Prinzip benannt.</t>
  </si>
  <si>
    <t>Security ist explizit genannt; konkrete KI-Sicherheitsmechaniken fehlen.</t>
  </si>
  <si>
    <t>Im KI-Abschnitt keine explizite Safety-/Harm-Prevention-Formulierung.</t>
  </si>
  <si>
    <t>Reliability ist explizit als KI-Prinzip benannt; keine Tests/Validierungsdetails im Dokument.</t>
  </si>
  <si>
    <t>Keine KI-spezifischen Einspruchs-, Beschwerde- oder Redress-Rechte dokumentiert.</t>
  </si>
  <si>
    <t>Keine KI-spezifische Aussage zu Accessibility/Teilhabe.</t>
  </si>
  <si>
    <t>Allgemeine Nachhaltigkeitsbezüge vorhanden, aber keine belastbare ökologische KI-Norm im AI-Abschnitt.</t>
  </si>
  <si>
    <t>Kein expliziter KI-spezifischer Well-being-/Societal-Benefit-Anker im codierten AI-Abschnitt.</t>
  </si>
  <si>
    <t>Rechtliche Prinzipien für Entwicklung und Nutzung von KI werden ausdrücklich genannt, aber nicht deontisch ausformuliert.</t>
  </si>
  <si>
    <t>Responsible AI use sowie verantwortliche Entwicklung/Nutzung sind explizit formuliert.</t>
  </si>
  <si>
    <t>Datenqualitätsprinzipien erscheinen im Daten-Teil, aber ohne hinreichend expliziten KI-Anker im codierten Evidenzsatz.</t>
  </si>
  <si>
    <t>Kein expliziter Menschenrechtsrahmen für KI im AI-Abschnitt dokumentiert.</t>
  </si>
  <si>
    <t>Explainability ist als eigener Fokus der KI-Prinzipien genannt.</t>
  </si>
  <si>
    <t>“we focus on the Responsible Use of AI, Explainability”</t>
  </si>
  <si>
    <t>Privacy ist als eigener Fokus der KI-Prinzipien genannt.</t>
  </si>
  <si>
    <t>“Protection of Privacy”</t>
  </si>
  <si>
    <t>Security ist als eigener Fokus der KI-Prinzipien genannt.</t>
  </si>
  <si>
    <t>“Security”</t>
  </si>
  <si>
    <t>Reliability ist als eigener Fokus der KI-Prinzipien genannt.</t>
  </si>
  <si>
    <t>“Reliability”</t>
  </si>
  <si>
    <t>Für KI werden ausdrücklich rechtliche und ethische Prinzipien benannt.</t>
  </si>
  <si>
    <t>“defined stringent ethical and legal principles”</t>
  </si>
  <si>
    <t>“What matters is how we responsibly manage AI use.”; “responsible development and use of Artificial Intelligence”</t>
  </si>
  <si>
    <t>Das Dokument fordert einen verantwortlichen Umgang mit KI.; Die KI-Prinzipien beziehen sich auf Entwicklung und Nutzung von KI.</t>
  </si>
  <si>
    <t>Keine AI-spezifischen Rollen, Committees, Owner oder Approver genannt.</t>
  </si>
  <si>
    <t>Es werden KI-Prinzipien genannt, aber keine belastbaren AI-Prozessschritte, Gates oder Freigabelogiken beschrieben.</t>
  </si>
  <si>
    <t>Keine AI-spezifischen Checks, Assessments, Toolnamen oder Prüfmechanismen dokumentiert.</t>
  </si>
  <si>
    <t>Keine AI-bezogenen Audits, Assessments oder Reviews mit Audit-Charakter belegt.</t>
  </si>
  <si>
    <t>Keine AI-spezifischen Trainings, Awareness- oder Qualifizierungsmaßnahmen genannt.</t>
  </si>
  <si>
    <t>Keine AI-spezifische Kontaktstelle oder Eskalationslogik belegt.</t>
  </si>
  <si>
    <t>Kein AI-spezifisches Reporting, keine KPIs und keine Disclosure-Struktur dokumentiert.</t>
  </si>
  <si>
    <t>VAL_03, VAL_06, VAL_07, VAL_16</t>
  </si>
  <si>
    <t>Der Daten-Abschnitt nennt Transparenz, Data Quality, Data Security etc., aber ohne expliziten KI-Bezug im codierten Satz.</t>
  </si>
  <si>
    <t>A: Mitcodieren, weil der Oberabschnitt „Responsible Usage of Data and AI“ heißt. B: Nicht mitcodieren, weil der explizite KI-Anker im Satz/Unterabschnitt fehlt. Gewählt: B, gemäß R1 KI-Anker-Regel.</t>
  </si>
  <si>
    <t>BIND mehrerer VAL, GOV_02</t>
  </si>
  <si>
    <t>Die AI-Principles stehen im Kapitel „Behavior Guidelines“, das allgemein als bindend beschrieben wird. Reicht das für BIND=2 oder GOV_02&gt;0?</t>
  </si>
  <si>
    <t>A: BIND=2 bzw. GOV_02=1, weil eingebettet in bindende Guidelines. B: BIND=1 und GOV_02=0, weil im AI-Abschnitt selbst weder deontische Formulierung noch Prozessschritt genannt wird. Gewählt: B, konservativ nach R11/R12.</t>
  </si>
  <si>
    <t>„stringent ethical and legal principles“ kann als Policy-Regel oder bloß als Prinzipienaussage gelesen werden.</t>
  </si>
  <si>
    <t>A: BIND=2, weil rechtliche Prinzipien genannt werden. B: BIND=1, weil kein „must/shall/always“ und kein Vollzugsschritt vorliegt. Gewählt: B, konservativ nach BIND-Regel.</t>
  </si>
  <si>
    <t>VAL_07, VAL_08, VAL_09</t>
  </si>
  <si>
    <t>Die Formulierung nennt „Security and Reliability“, aber nicht „Safety“.</t>
  </si>
  <si>
    <t>A: VAL_08 zusätzlich codieren, weil bei KI Security/Reliability oft sicherheitsnah sind. B: Nur VAL_07 und VAL_09 codieren. Gewählt: B, da das Codebook für VAL_08 einen expliziten Safety/Harm-Anker verlangt.</t>
  </si>
  <si>
    <t>S. 12 „The Code“; S. 13 „The Code“</t>
  </si>
  <si>
    <t>„People at the center“ und „autonomy“ stützen Human-centric/Autonomy; keine explizite KI-Override-Mechanik.</t>
  </si>
  <si>
    <t>Verantwortung wird allgemein erwähnt, aber kein klarer KI-/Algorithmic-Accountability-Wertanker als eigener Prinzipieneintrag.</t>
  </si>
  <si>
    <t>S. 13 „The Code“; S. 16 „Handling Patient Data“</t>
  </si>
  <si>
    <t>Transparenz ist Kernprinzip und wird im Fallbeispiel praktisch adressiert.</t>
  </si>
  <si>
    <t>Keine explizite Erklärbarkeits-/Explainability-Formulierung im Textkörper dieses Dokuments.</t>
  </si>
  <si>
    <t>S. 13 „The Code“</t>
  </si>
  <si>
    <t>„Justice“ wird konservativ als Fairness-/Gerechtigkeitsanker codiert; keine Bias-/Diskriminierungsdetails.</t>
  </si>
  <si>
    <t>S. 16 „Handling Patient Data“</t>
  </si>
  <si>
    <t>Consent-Standards und Schutz sensibler Daten sind belegt; keine ausführliche Privacy-by-Design-Norm im Dokumenttext.</t>
  </si>
  <si>
    <t>Kein expliziter Security-/Cybersecurity-Wertanker im Textkörper dieses Dokuments.</t>
  </si>
  <si>
    <t>„Non-maleficence“ stützt konservativ Schadensvermeidung; keine Safety-Operationalisierung als Wertsatz.</t>
  </si>
  <si>
    <t>Tools/Scoring vorhanden, aber kein expliziter Reliability-/Robustness-Wertsatz im Text.</t>
  </si>
  <si>
    <t>Kontakt- und Einreichungswege sind vorhanden, aber kein ausdrückliches Redress-/Appeal-Recht für Betroffene.</t>
  </si>
  <si>
    <t>Customer literacy/Patientenvertretungen reichen hier konservativ nicht für Accessibility/Inclusiveness als eigener Wert.</t>
  </si>
  <si>
    <t>Kein belastbarer KI-/algorithmikbezogener Umweltwert im Textkörper.</t>
  </si>
  <si>
    <t>Positive impact und beneficence belegen Nutzen-/Wohlfahrtsorientierung.</t>
  </si>
  <si>
    <t>S. 12 „The Code“</t>
  </si>
  <si>
    <t>Gesetze/Regulierungen werden ausdrücklich adressiert; keine deontische Policy-Formulierung.</t>
  </si>
  <si>
    <t>S. 1 Intro; S. 2 „Why Digital Ethics Matter“; S. 12 „The Code“</t>
  </si>
  <si>
    <t>Ethischer Umgang, moral compass und Leitfunktion ethischer Standards sind klar belegt.</t>
  </si>
  <si>
    <t>Data governance erscheint bei Panel-Expertise, aber nicht als expliziter normativer Wertsatz.</t>
  </si>
  <si>
    <t>Kein KI-/Algorithmik-spezifischer IP-/Confidentiality-Anker.</t>
  </si>
  <si>
    <t>Kein expliziter Menschenrechtsrahmen im vorliegenden Dokumenttext.</t>
  </si>
  <si>
    <t>“five core principles: autonomy, justice, beneficence, non-maleficence, and transparency”</t>
  </si>
  <si>
    <t>Justice ist Kernprinzip des CoDE.</t>
  </si>
  <si>
    <t>Im Fallbeispiel wird die Entwicklung neuer Consent-Standards empfohlen.</t>
  </si>
  <si>
    <t>“develop new consent standards”</t>
  </si>
  <si>
    <t>Non-maleficence ist Kernprinzip des CoDE.</t>
  </si>
  <si>
    <t>Der Code überschreitet geltende Gesetze und Regulierungen.</t>
  </si>
  <si>
    <t>“goes beyond applicable laws and regulations”</t>
  </si>
  <si>
    <t>“people are at the center of everything we do”; “five core principles: autonomy, justice, beneficence, non-maleficence, and transparency”</t>
  </si>
  <si>
    <t>Menschen stehen im Zentrum digitaler Innovationen.; Autonomie ist explizit benannt.</t>
  </si>
  <si>
    <t>“five core principles: autonomy, justice, beneficence, non-maleficence, and transparency”; “drive transparency and customer literacy</t>
  </si>
  <si>
    <t>Transparenz ist Kernprinzip des CoDE.; Belegt Transparenz im Anwendungsfall.</t>
  </si>
  <si>
    <t>“create digital innovations that have a positive impact”; “five core principles: autonomy, justice, beneficence, non-maleficence, and transparency”</t>
  </si>
  <si>
    <t>Digitale Innovation soll positiven Nutzen erzeugen.; Belegt Nutzen-/Wohlfahrtsorientierung.</t>
  </si>
  <si>
    <t>“digital ethics, or the ethical handling of data and algorithms”; “ethical standards should guide our daily business in the digital age”; “serves as a moral compass”</t>
  </si>
  <si>
    <t>Digitale Ethik wird als ethischer Umgang mit Daten und Algorithmen definiert.; Belegt Ethical Use/Integrity im KI-/Digital-Kontext.; Belegt Ethical Use/Integrity im KI-/Digital-Kontext.</t>
  </si>
  <si>
    <t>S. 2 „Why Digital Ethics Matter“; S. 2 „Digital Ethics at our company“; S. 3 „DEAP“</t>
  </si>
  <si>
    <t>S. 13 „The Code“; S. 15 „PaRA“; S. 16 „Handling Patient Data“</t>
  </si>
  <si>
    <t>Formaler Bewertungsprozess ist beschrieben, dokumentiert und an realem Fallbeispiel nachweisbar genutzt.</t>
  </si>
  <si>
    <t>S. 15 „PaRA“; S. 17 „Automated Risk Assessment“</t>
  </si>
  <si>
    <t>Formales Review-Tool plus rule-based scoring system mit Risk Score und Mitigationsvorschlägen sind implementiert belegt.</t>
  </si>
  <si>
    <t>S. 3 „DEAP“; S. 13 „The Code“; S. 15 „PaRA“</t>
  </si>
  <si>
    <t>S. 18 „Training“</t>
  </si>
  <si>
    <t>Mandatory Training ist entwickelt und in individuelle Trainingspläne eingebettet; damit Implementierungsnachweis vorhanden.</t>
  </si>
  <si>
    <t>S. 3 „DEAP“; S. 16 „Handling Patient Data“; S. 22 „Questions or Inputs?“</t>
  </si>
  <si>
    <t>Einreichungsweg für alle Mitarbeitenden, reales Eskalationsbeispiel und Kontaktkanal sind belegt.</t>
  </si>
  <si>
    <t>Keine AI-/Digital-Ethics-spezifischen Reporting-Strukturen, KPIs oder regelmäßigen Berichte im Dokument nachweisbar.</t>
  </si>
  <si>
    <t>Digital Ethics Group, DEAP und Executive-Board-Ernennung sind klar beschrieben</t>
  </si>
  <si>
    <t>keine KPI-/Reporting-Evidenz.</t>
  </si>
  <si>
    <t>Unabhängige Review-/Assessment-Funktion des DEAP ist dokumentiert</t>
  </si>
  <si>
    <t>keine Audit-Frequenzen, Reports oder Assurance-Nachweise.</t>
  </si>
  <si>
    <t>“created a dedicated Digital Ethics Group, our Digital Ethics Advisory Panel and our Code of Digital Ethics”; “Since 2020, we have embedded a dedicated digital ethics group”; “The DEAP is appointed by the Executive Board”</t>
  </si>
  <si>
    <t>“assess the ethical aspects of data use and algorithms”; “used to analyze … new products in an early development phase”; “used to analyze … new products in an early development phase”</t>
  </si>
  <si>
    <t>“PaRA is a formal ethics review tool”; “rule-based in-process scoring system”,“rule-based in-process scoring system”</t>
  </si>
  <si>
    <t>“assess complex ethical challenges related to data and AI”; “forms the basis for the Digital Ethics Advisory Panel evaluation”; “The tool’s assessment is reviewed by the DEAP”</t>
  </si>
  <si>
    <t>“developed a mandatory training”; “anchored within the individual training plans”</t>
  </si>
  <si>
    <t>“All employees may submit topics to the DEAP”; “Our business approached the Digital Ethics Advisory Panel”; “Have any questions or feedback … Contact us at ethics@merckgroup.com"</t>
  </si>
  <si>
    <t>Das Dokument nennt „justice“, aber nicht explizit „fairness“ oder „non-discrimination“.</t>
  </si>
  <si>
    <t>A: VAL_05=1, weil justice im Digital-Ethics-Kontext konservativ als Fairness/Gerechtigkeit gelesen werden kann. B: VAL_05=0, weil Bias/Diskriminierung nicht ausdrücklich genannt sind. Gewählt: A, aber mit niedriger Confidence, weil der Prinzipienbegriff explizit ist, die Untersetzung jedoch fehlt.</t>
  </si>
  <si>
    <t>„Non-maleficence“ ist ein klassischer Ethikbegriff, aber nicht als „safety“ formuliert.</t>
  </si>
  <si>
    <t>A: VAL_08=1, weil Nicht-Schaden konservativ auf Harm Prevention verweist. B: VAL_08=0, weil Safety nicht wörtlich genannt wird. Gewählt: A, da der Wertbezug explizit ist, jedoch nur auf Prinzipienebene.</t>
  </si>
  <si>
    <t>„Autonomy“ und „people are at the center“ können als Human Agency gelesen werden, ohne explizite Oversight-Mechanik.</t>
  </si>
  <si>
    <t>A: VAL_01=1. B: VAL_01=0. Gewählt: A, weil der Wertbezug klar ist; BIND bleibt konservativ bei 1, da kein konkreter Human-in-the-loop-Prozess beschrieben wird.</t>
  </si>
  <si>
    <t>DEAP-Review ist ein formales Assessment, aber nicht eindeutig ein Audit im engeren Sinn.</t>
  </si>
  <si>
    <t>A: GOV_04=2. B: GOV_04=1 oder 0. Gewählt: A, weil unabhängige Bewertung und Review explizit dokumentiert sind; nicht höher, da Auditzyklen/Reports fehlen.</t>
  </si>
  <si>
    <t>Das Training ist mandatory und in Pläne eingebettet, aber ohne Abschlussquoten oder KPIs.</t>
  </si>
  <si>
    <t>A: GOV_05=3. B: GOV_05=2. Gewählt: A, weil Implementierung ausdrücklich belegt ist; nicht höher möglich als 3, aber Evidenz für tatsächliche Verankerung liegt vor.</t>
  </si>
  <si>
    <t>GOV_06 / VAL_10</t>
  </si>
  <si>
    <t>Kontakt- und Einreichungswege könnten als Eskalation oder als Redress gewertet werden.</t>
  </si>
  <si>
    <t>A: GOV_06&gt;0 und VAL_10=1. B: GOV_06&gt;0 und VAL_10=0. Gewählt: B, weil interne Einreichung/Kontakt klar belegt ist, ein ausdrückliches Betroffenen-Redress jedoch nicht.</t>
  </si>
  <si>
    <t>S. 5/S. 8 „Autonomy“; S. 10/S. 20 „Controllability“</t>
  </si>
  <si>
    <t>Autonomie explizit; menschliche Intervention muss möglich bleiben.</t>
  </si>
  <si>
    <t>S. 9/S. 18 „Responsibility“; S. 10 „Accountability“</t>
  </si>
  <si>
    <t>Verantwortung und klare Zuständigkeiten werden ausdrücklich verlangt.</t>
  </si>
  <si>
    <t>S. 11 „Transparency“; S. 21–22 „Traceability/Interactivity/Comprehensibility“</t>
  </si>
  <si>
    <t>Transparenz wird über Verständlichkeit, Interaktivität und Dokumentation konkretisiert.</t>
  </si>
  <si>
    <t>S. 8 „Explainability“</t>
  </si>
  <si>
    <t>Erklärbarkeit ist explizit und an automatisierte Entscheidungen gekoppelt.</t>
  </si>
  <si>
    <t>S. 7 „Justice – Impartiality“</t>
  </si>
  <si>
    <t>Bias-/Präjudizienvermeidung ist klar benannt; keine belastbare Implementierung im Dokument selbst.</t>
  </si>
  <si>
    <t>S. 8 „Privacy“</t>
  </si>
  <si>
    <t>Privacy ist explizites Prinzip; konkrete Maßnahmen im CoDE selbst nur exemplarisch erläutert.</t>
  </si>
  <si>
    <t>S. 9 „Security“</t>
  </si>
  <si>
    <t>Technische Schutzmaßnahmen werden explizit gefordert.</t>
  </si>
  <si>
    <t>S. 10 „Non-Maleficence“</t>
  </si>
  <si>
    <t>Schadensvermeidung ist klar benannt; keine operativen Safety-Nachweise im Dokument selbst.</t>
  </si>
  <si>
    <t>S. 19 „Reliability“</t>
  </si>
  <si>
    <t>Reliability wird über regelmäßige Checks konkretisiert.</t>
  </si>
  <si>
    <t>Kontakt-/Interaktionsmöglichkeiten sind vorhanden, aber kein ausdrückliches Appeal-/Redress-Recht.</t>
  </si>
  <si>
    <t>S. 14 „Equality“</t>
  </si>
  <si>
    <t>Accessibility wird explizit genannt; konkrete Umsetzung bleibt beispielhaft.</t>
  </si>
  <si>
    <t>S. 9 „Sustainability“; S. 17 Appendix „Sustainability“</t>
  </si>
  <si>
    <t>Nachhaltigkeit ist explizites Prinzip mit Review-Bezug, aber ohne belastbare Implementierungsnachweise.</t>
  </si>
  <si>
    <t>S. 9 „Beneficence“</t>
  </si>
  <si>
    <t>Wohlbefinden von Individuen und Gesellschaft ist Kernprinzip.</t>
  </si>
  <si>
    <t>S. 4 „Preamble – Terms of Use“</t>
  </si>
  <si>
    <t>Anwendbares Recht wird ausdrücklich als Bindungsrahmen genannt.</t>
  </si>
  <si>
    <t>S. 3–4 „Preamble“</t>
  </si>
  <si>
    <t>Der gesamte CoDE fungiert als formaler ethischer Rahmen für digitale Entwicklung.</t>
  </si>
  <si>
    <t>S. 7 „Proportionality“; S. 21 „Traceability“</t>
  </si>
  <si>
    <t>Datenminimierung, qualifizierte Quellen und Dokumentation sind konkret benannt.</t>
  </si>
  <si>
    <t>Kein expliziter KI-/algorithmikbezogener IP-/Vertraulichkeitsanker.</t>
  </si>
  <si>
    <t>Menschenrechte werden ausdrücklich als verbindlicher Rahmen benannt.</t>
  </si>
  <si>
    <t>Vorurteile sollen aktiv bekämpft werden.</t>
  </si>
  <si>
    <t>“We actively combat prejudice in our digital offerings.”</t>
  </si>
  <si>
    <t>Schutz der Privatsphäre ist explizites Prinzip.</t>
  </si>
  <si>
    <t>“We protect the privacy of those who provide data.”</t>
  </si>
  <si>
    <t>Technische Schutzmaßnahmen werden gefordert.</t>
  </si>
  <si>
    <t>“implement technical protection measures”</t>
  </si>
  <si>
    <t>Schadensvermeidung ist Kernprinzip.</t>
  </si>
  <si>
    <t>“We avoid doing harm through our digital offerings.”</t>
  </si>
  <si>
    <t>Zuverlässigkeit wird durch regelmäßige Checks beschrieben.</t>
  </si>
  <si>
    <t>“regularly check the constancy within their data chain and algorithmic systems”</t>
  </si>
  <si>
    <t>Accessibility wird im Dokument ausdrücklich angesprochen.</t>
  </si>
  <si>
    <t>“high-contrast presentations or read aloud elements”</t>
  </si>
  <si>
    <t>Digitale Angebote sollen Wohlbefinden fördern.</t>
  </si>
  <si>
    <t>“promote the well-being of individuals and society”</t>
  </si>
  <si>
    <t>Das Dokument verknüpft digitale Prinzipien ausdrücklich mit Menschenrechten.</t>
  </si>
  <si>
    <t>“an irrevocable commitment to human rights”</t>
  </si>
  <si>
    <t>“We respect the autonomy of every single human”; “human intervention is always possible"</t>
  </si>
  <si>
    <t>Autonomie ist eines der fünf Kernprinzipien.; Expliziter Oversight-Anker.</t>
  </si>
  <si>
    <t>“Responsibility can neither be delegated to the algorithmic system”; “We assign clear responsibilities for our digital offerings.”;“We assign clear responsibilities for our digital offerings.”</t>
  </si>
  <si>
    <t>Verantwortung darf nicht an Systeme delegiert werden.; Expliziter Accountability-Anker.; Expliziter Accountability-Anker.</t>
  </si>
  <si>
    <t>“We strive for the greatest possible transparency”; “users of our digital services can contact us directly”;“users of our digital services can contact us directly”</t>
  </si>
  <si>
    <t>Transparenz ist Kernprinzip des Codes.; Belegt Data Quality/Traceability.; Belegt Data Quality/Traceability.</t>
  </si>
  <si>
    <t>“We explain our algorithmic systems.”; “understand how the results of algorithm-based processes are achieved”</t>
  </si>
  <si>
    <t>Algorithmische Systeme sollen erklärt werden.; Stützt Explainability vertiefend.</t>
  </si>
  <si>
    <t>“design them to be sustainable”; “regularly review the potential impact”</t>
  </si>
  <si>
    <t>Nachhaltigkeit ist eigenes Prinzip.; Wirkung digitaler Systeme soll regelmäßig überprüft werden.</t>
  </si>
  <si>
    <t>“linked to applicable law”; “apply to the development, commercialization, or utilization of all our digital products and processes”</t>
  </si>
  <si>
    <t>“developed 20 digital-ethical principles”; “apply to the development, commercialization, or utilization of all our digital products and processes”</t>
  </si>
  <si>
    <t>Die Prinzipien sind an Recht gebunden.; Belegt dokumentierten Geltungs- und Prozessrahmen.</t>
  </si>
  <si>
    <t>Merck rahmt digitale Entwicklung explizit ethisch.; Belegt dokumentierten Geltungs- und Prozessrahmen.</t>
  </si>
  <si>
    <t>“only necessary data is collected”; “qualified and verified sources”; “qualified and verified sources”</t>
  </si>
  <si>
    <t>Daten sollen minimiert und zweckgebunden erhoben werden.; Belegt Data Quality/Traceability.; Belegt Data Quality/Traceability.</t>
  </si>
  <si>
    <t>S. 4 „Preamble“; S. 10 „Accountability“</t>
  </si>
  <si>
    <t>S. 4 „Terms of Use“; S. 7 „Proportionality“</t>
  </si>
  <si>
    <t>S. 9 „Security“; S. 19 „Reliability“; S. 21 „Traceability“</t>
  </si>
  <si>
    <t>S. 17 Appendix „Sustainability“</t>
  </si>
  <si>
    <t>S. 8 „Literacy“</t>
  </si>
  <si>
    <t>S. 4 „Preamble“; S. 11/S. 22 „Interactivity“</t>
  </si>
  <si>
    <t>Keine AI-/Digital-Ethics-spezifischen Reporting-Strukturen, KPIs oder periodischen Veröffentlichungen im Dokument.</t>
  </si>
  <si>
    <t>DEAP und klare organisatorische Verantwortlichkeiten sind beschrieben</t>
  </si>
  <si>
    <t>nicht höher, da keine Nachweise zu gelebter Governance im Dokument selbst.</t>
  </si>
  <si>
    <t>Geltungsbereich und Prozesslogik sind dokumentiert</t>
  </si>
  <si>
    <t>nicht höher, da keine realen Prozessnachweise/KPIs.</t>
  </si>
  <si>
    <t>Technische Schutzmaßnahmen, regelmäßige Checks und Dokumentation sind beschrieben</t>
  </si>
  <si>
    <t>kein Implementierungsnachweis auf Tool-Ebene.</t>
  </si>
  <si>
    <t>Review-Aktivität ist erwähnt</t>
  </si>
  <si>
    <t>kein formales Audit-/Assurance-Setup, keine Frequenzen, keine Reports.</t>
  </si>
  <si>
    <t>Kompetenzförderung ist explizit genannt</t>
  </si>
  <si>
    <t>kein konkretes Trainingsprogramm in diesem Dokument.</t>
  </si>
  <si>
    <t>DEAP-Guidance und direkte Kontaktwege sind dokumentiert</t>
  </si>
  <si>
    <t>nicht höher, da keine geübten Fälle im CoDE selbst.</t>
  </si>
  <si>
    <t>“may approach our Digital Ethics Advisory Panel”; “We assign clear responsibilities for our digital offerings.”; “clear organisational structures”</t>
  </si>
  <si>
    <t>“apply to the development, commercialization, or utilization of all our digital products and processes”; “only necessary data is collected”</t>
  </si>
  <si>
    <t>“implement technical protection measures”; “regularly check the constancy within their data chain and algorithmic systems”; “regularly check the constancy within their data chain and algorithmic systems”</t>
  </si>
  <si>
    <t>“regularly review the potential impact”; “regularly review the potential impact”</t>
  </si>
  <si>
    <t>“We promote digital literacy.”; “We promote digital literacy.”</t>
  </si>
  <si>
    <t>“may approach our Digital Ethics Advisory Panel”; “users of our digital services can contact us directly”</t>
  </si>
  <si>
    <t>VAL_10 / GOV_06</t>
  </si>
  <si>
    <t>Die Passage erlaubt Kontakt und das Äußern von Problemen, aber kein ausdrückliches Einspruchs- oder Redress-Verfahren.</t>
  </si>
  <si>
    <t>A: VAL_10=1, weil concerns geäußert werden können. B: GOV_06&gt;0, VAL_10=0. Gewählt: B, da ein Kontakt-/Eskalationsweg klar belegt ist, ein formales Redress-Recht jedoch nicht.</t>
  </si>
  <si>
    <t>Accessibility erscheint nur als Beispiel innerhalb der Equality-Definition.</t>
  </si>
  <si>
    <t>A: VAL_11=1. B: VAL_11=0. Gewählt: A, weil „high-contrast presentations or read aloud elements“ ein expliziter Accessibility-Anker ist; BIND konservativ nur 2.</t>
  </si>
  <si>
    <t>BIND mehrerer VAL / GOV_03 / GOV_04</t>
  </si>
  <si>
    <t>Die Appendix formuliert teils generisch „Organisations committed…“, also definitorisch und nicht stets als direkter Implementierungsnachweis.</t>
  </si>
  <si>
    <t>A: Appendix voll als Implementierungsnachweis lesen. B: Appendix nur als dokumentierte Standard-/Check-Logik, nicht als Beleg gelebter Implementierung. Gewählt: B, daher meist BIND 2–3, aber GOV selten &gt;2.</t>
  </si>
  <si>
    <t>Der Satz zur Geltung des Codes könnte als bloßes Framing oder als formale Policy-Regel gelesen werden.</t>
  </si>
  <si>
    <t>A: BIND=1. B: BIND=2. Gewählt: B, weil das Dokument ausdrücklich sagt, die Prinzipien gelten ab Mai 2021 für alle digitalen Produkte und Prozesse.</t>
  </si>
  <si>
    <t>GOV_04 / GOV_03</t>
  </si>
  <si>
    <t>Regelmäßige Queries und Reviews können als Tool-/Check-Logik oder als Audit-Vorform gelesen werden.</t>
  </si>
  <si>
    <t>A: nur GOV_03=2. B: zusätzlich GOV_04=1. Gewählt: B, aber konservativ nur 1 bei GOV_04, weil Review erwähnt ist, Audit-Architektur jedoch fehlt.</t>
  </si>
  <si>
    <t>Die Passage kann als dokumentierter Prozess oder nur als benannter Check-/Standard gelesen werden.</t>
  </si>
  <si>
    <t>A: GOV_02=1 und/oder GOV_03=2. B: nur GOV_03=1. Gewählt: B, weil ein Bewertungsstandard erwähnt wird, aber weder Prozessschritte noch Tool- oder Rollendetails beschrieben sind.</t>
  </si>
  <si>
    <t>VAL_05 / VAL_18</t>
  </si>
  <si>
    <t>Das Verbot diskriminierender AI-Entwicklung könnte als Fairness oder als impliziter Human-Rights-Anker codiert werden.</t>
  </si>
  <si>
    <t>A: VAL_05=1 und VAL_18=1. B: nur VAL_05=1. Gewählt: B, weil kein expliziter Menschenrechtsbezug genannt wird; der Text spricht klarer über Diskriminierungsvermeidung.</t>
  </si>
  <si>
    <t>VAL_06 / VAL_14</t>
  </si>
  <si>
    <t>Die Passage kann als Privacy-Wert, als Compliance-Wert oder als beides gelesen werden.</t>
  </si>
  <si>
    <t>A: nur VAL_06=1. B: VAL_06=1 und VAL_14=1. Gewählt: B, weil sowohl Datenschutz als Wert als auch expliziter Rechtsbezug (“data protection law”) vorliegen.</t>
  </si>
  <si>
    <t>GOV_01–GOV_07 / VAL_06 / VAL_14</t>
  </si>
  <si>
    <t>Die späteren Data-Protection-Management-Passagen sind sehr konkret, beziehen sich aber allgemein auf Datenverarbeitung, nicht ausdrücklich auf KI.</t>
  </si>
  <si>
    <t>A: KI-Governance daraus mitcodieren. B: nicht mitcodieren. Gewählt: B, gemäß KI-Anker-Regel R1, da der explizite KI-/Algorithmus-Bezug in diesen Passagen fehlt.</t>
  </si>
  <si>
    <t>Der Satz spricht von „new digital technologies“, nicht ausschließlich von AI.</t>
  </si>
  <si>
    <t>A: nicht codieren, weil zu breit. B: VAL_15=1, weil der direkt anschließende Satz Responsible AI und Algorithmen explizit nennt. Gewählt: B, da der KI-Anker im unmittelbaren Kontext klar hergestellt wird.</t>
  </si>
  <si>
    <t>Keine explizite menschliche Kontroll-, Override- oder Oversight-Mechanik im KI-Abschnitt.</t>
  </si>
  <si>
    <t>„Responsible AI“ bleibt hier auf Prinzipienebene; klare Zuständigkeiten/Ownership für KI fehlen im KI-Ankertext.</t>
  </si>
  <si>
    <t>Keine explizite Transparenz-/Offenlegungsanforderung für KI im codierten Abschnitt.</t>
  </si>
  <si>
    <t>Keine Erklärbarkeits-/Explainability-Formulierung im KI-Abschnitt.</t>
  </si>
  <si>
    <t>S. 3 „Corporate responsibility strategy and governance“</t>
  </si>
  <si>
    <t>Diskriminierungsvermeidung ist explizit genannt; „must be prevented“ und „may not“ stützen Policy-Regel-Niveau.</t>
  </si>
  <si>
    <t>Datenschutz ist im KI-Kontext ausdrücklich gefordert; keine weitergehenden Prozessdetails im KI-Abschnitt.</t>
  </si>
  <si>
    <t>Keine KI-spezifische Security-/Cybersecurity-Norm im relevanten Abschnitt.</t>
  </si>
  <si>
    <t>Benachteiligungsvermeidung wurde konservativ unter Fairness codiert, nicht als Safety/Harm Prevention.</t>
  </si>
  <si>
    <t>Bewertungsstandards für Algorithmen reichen hier nicht als expliziter Robustheits-/Reliability-Wertsatz.</t>
  </si>
  <si>
    <t>Keine Accessibility-/Teilhabeanforderung im KI-Abschnitt.</t>
  </si>
  <si>
    <t>Nachhaltigkeits- und Klimapassagen sind vorhanden, aber nicht als KI-spezifische Wertepassagen verankert.</t>
  </si>
  <si>
    <t>Kundenorientierter Nutzen der KI wird ausdrücklich beschrieben; bleibt auf Ziel-/Prinzipienebene.</t>
  </si>
  <si>
    <t>KI-gestützte Verarbeitung personenbezogener Daten wird ausdrücklich an Datenschutzrecht gebunden.</t>
  </si>
  <si>
    <t>Responsible AI / verantwortungsvoller Einsatz digitaler Technologien ist explizit benannt, aber ohne konkrete Vollzugsmechanik.</t>
  </si>
  <si>
    <t>Keine expliziten Aussagen zu Datenqualität, Repräsentativität, Lineage oder Data Governance im KI-Abschnitt.</t>
  </si>
  <si>
    <t>Kein KI-spezifischer IP-/Vertraulichkeitsanker dokumentiert.</t>
  </si>
  <si>
    <t>Diskriminierungsverbot ist belegt, aber kein expliziter Menschenrechtsrahmen für KI genannt.</t>
  </si>
  <si>
    <t>Bei KI-gestützter Verarbeitung personenbezogener Daten ist Datenschutz zentral.</t>
  </si>
  <si>
    <t>“Complying with data protection law is also of utmost importance”</t>
  </si>
  <si>
    <t>“We aim to avoid discrimination”; “Discrimination based on age, sex, nationality or ethnic background must be prevented”; “Discrimination based on age, sex, nationality or ethnic background must be prevented”</t>
  </si>
  <si>
    <t>Bei der Entwicklung von KI-Algorithmen soll Diskriminierung vermieden werden.; Deutlicher normativer Fairness-Anker.; Zusätzlicher Nicht-Diskriminierungsanker.</t>
  </si>
  <si>
    <t>“offer insurance solutions that are tailored to our customers’ needs”; “easier and quicker for us to assess risks, settle claims”</t>
  </si>
  <si>
    <t>KI soll kundenorientierten Nutzen im Versicherungsgeschäft stiften.; Konkretisiert den Nutzen im KI-Kontext.</t>
  </si>
  <si>
    <t>“Complying with data protection law is also of utmost importance”; “when using artificial intelligence to process personal data”</t>
  </si>
  <si>
    <t>Bei KI-gestützter Verarbeitung personenbezogener Daten ist Datenschutz zentral.; KI-Nutzung wird ausdrücklich an Datenschutzrecht gebunden.</t>
  </si>
  <si>
    <t>“Munich Re aims to apply new digital technologies responsibly”; “guided by the principle of ‘responsible artificial intelligence’”</t>
  </si>
  <si>
    <t>Neue digitale Technologien sollen verantwortungsvoll eingesetzt werden.; Die Arbeit in diesem Feld orientiert sich an Responsible AI.</t>
  </si>
  <si>
    <t>Keine KI-spezifischen Rollen, Owner, Committees oder Verantwortlichen im relevanten KI-Abschnitt benannt.</t>
  </si>
  <si>
    <t>Es gibt Responsible-AI-Prinzipien und Zielaussagen, aber keine dokumentierten KI-Prozessschritte, Gates oder Freigabelogiken.</t>
  </si>
  <si>
    <t>Keine KI-spezifischen Audits, Reviews oder Assurance-Mechaniken dokumentiert.</t>
  </si>
  <si>
    <t>Ausbau digitalen Know-hows wird allgemein erwähnt, aber keine KI-spezifische Schulung mit KI-Anker belegt.</t>
  </si>
  <si>
    <t>Keine KI-spezifische Kontaktstelle oder Eskalationslogik dokumentiert.</t>
  </si>
  <si>
    <t>Kein KI-spezifisches Reporting, keine KPIs und keine Disclosure-Struktur nachweisbar.</t>
  </si>
  <si>
    <t>Bewertungsstandards für Algorithmen werden erwähnt</t>
  </si>
  <si>
    <t>Standard/Check bleibt unbeschrieben und ohne Implementierungsnachweis.</t>
  </si>
  <si>
    <t>“developing standards to evaluate our algorithms”</t>
  </si>
  <si>
    <t>VAL_06 / GOV_02 / GOV_03 / GOV_07</t>
  </si>
  <si>
    <t>Viele Datenschutz- und Informationssicherheitsprozesse stehen im gleichen Abschnitt wie AI, sind aber nicht immer AI-spezifisch formuliert.</t>
  </si>
  <si>
    <t>A: umfassend als KI-Governance mitcodieren. B: nur dort codieren, wo AI im unmittelbaren Satz- oder Absatzkontext mitgetragen wird. Gewählt: B, gemäß KI-Anker-Regel R1.</t>
  </si>
  <si>
    <t>Die Review-Prozesse betreffen IT-gestützte Verarbeitung personenbezogener Daten allgemein, nicht ausdrücklich nur AI.</t>
  </si>
  <si>
    <t>A: GOV_02=0/GOV_03=0. B: GOV_02/GOV_03 &gt; 0, weil die Passage im Responsible-AI-Abschnitt steht und eng an AI-Trainings/Fairness angeschlossen ist. Gewählt: B, aber konservativ nur Score 2.</t>
  </si>
  <si>
    <t>Das dokumentierte Reporting ist datenbezogen; AI-spezifische KPIs oder AI-Berichte werden nicht genannt.</t>
  </si>
  <si>
    <t>A: GOV_07=0. B: GOV_07=1. Gewählt: B, da zumindest eine formale Berichtslinie im AI-/Data-Governance-Kontext sichtbar ist; nicht höher wegen fehlender AI-Spezifik.</t>
  </si>
  <si>
    <t>VAL_18 / VAL_08</t>
  </si>
  <si>
    <t>Die Passage umfasst „unintended consequences“ und „intentional abuse“, was auch als Harm-Prevention gelesen werden könnte.</t>
  </si>
  <si>
    <t>A: VAL_18=1 und VAL_08=1. B: nur VAL_18=1. Gewählt: B, weil der Primärrahmen ausdrücklich menschenrechtsbasiert ist und kein eigener Safety-Wertsatz formuliert wird.</t>
  </si>
  <si>
    <t>Die Passage kann als Transparenz oder als Explainability gelesen werden.</t>
  </si>
  <si>
    <t>A: nur VAL_03=1. B: zusätzlich VAL_04=1. Gewählt: B, da das Illustrieren des AI-Verhaltens über bloße Transparenz hinaus in Richtung Erklärbarkeit weist.</t>
  </si>
  <si>
    <t>GOV_01 / GOV_06</t>
  </si>
  <si>
    <t>Der Kontaktweg ist eher Guidance als formaler Eskalationsprozess.</t>
  </si>
  <si>
    <t>A: GOV_06=2. B: GOV_06=1. Gewählt: B, da ein klarer Kontaktpunkt belegt ist, aber keine mehrstufige Eskalationsarchitektur oder Fallanwendung.</t>
  </si>
  <si>
    <t>Keine explizite Human-in-the-loop-, Override- oder Oversight-Mechanik für AI.</t>
  </si>
  <si>
    <t>Zuständigkeiten für Guidance sind beschrieben, aber kein klarer KI-spezifischer Accountability-Wertsatz.</t>
  </si>
  <si>
    <t>S. 60 „Measures“</t>
  </si>
  <si>
    <t>Algorithmische Transparenz ist explizit benannt, bleibt jedoch sprachlich auf Ziel-/Absichtsniveau.</t>
  </si>
  <si>
    <t>AI-Verhalten soll mit Techniken illustriert werden; dies geht über reine Prinzipienrhetorik hinaus.</t>
  </si>
  <si>
    <t>Diskriminierungsvermeidung ist explizit und durch Prüfungen auf demografische Abdeckung operationalisiert.</t>
  </si>
  <si>
    <t>Datenschutz ist stark präsent, aber die belastbaren Prozessstellen bleiben überwiegend allgemein datenbezogen und nicht eindeutig AI-spezifisch.</t>
  </si>
  <si>
    <t>Information Security ist im Dokument ausführlich, aber nicht hinreichend als eigener AI-Wert mit explizitem KI-Anker formuliert.</t>
  </si>
  <si>
    <t>„Unintended consequences“ erscheint nur im Human-Rights-Kontext; kein klarer Safety-/Harm-Prevention-Wertsatz für AI.</t>
  </si>
  <si>
    <t>Kein expliziter Robustheits-/Reliability-Wertanker für AI-Systeme.</t>
  </si>
  <si>
    <t>Kein Einspruchs-, Beschwerde- oder Redress-Mechanismus für KI-Entscheidungen dokumentiert.</t>
  </si>
  <si>
    <t>Keine Accessibility-/Teilhabeanforderung für AI dokumentiert.</t>
  </si>
  <si>
    <t>Keine AI-spezifische Nachhaltigkeitsnorm im relevanten KI-Abschnitt.</t>
  </si>
  <si>
    <t>S. 58 „Responsible digital transformation…“</t>
  </si>
  <si>
    <t>KI-Nutzung wird über kunden- und prozessbezogenen Nutzen beschrieben; bleibt auf Zielniveau.</t>
  </si>
  <si>
    <t>Responsible AI wird ausdrücklich als Basis für Compliance mit regulatorischen Anforderungen, inkl. EU AI Act, beschrieben.</t>
  </si>
  <si>
    <t>Responsible AI ist Grundprinzip der KI-Arbeit, ohne deontische Prozesssprache.</t>
  </si>
  <si>
    <t>Die Prüfung auf Abdeckung relevanter demografischer Gruppen ist eine konkrete Data-Governance-/Repräsentativitätsprüfung.</t>
  </si>
  <si>
    <t>S. 49 „Human rights“</t>
  </si>
  <si>
    <t>Eine menschenrechtsbasierte AI-Strategie ist ausdrücklich benannt und inhaltlich konkretisiert.</t>
  </si>
  <si>
    <t>Hohe algorithmische Transparenz wird angestrebt.</t>
  </si>
  <si>
    <t>“making our algorithms as transparent as possible”</t>
  </si>
  <si>
    <t>Für KI-Systeme werden Techniken zur Verhaltensdarstellung genutzt.</t>
  </si>
  <si>
    <t>“techniques for illustrating the behaviour of AI systems”</t>
  </si>
  <si>
    <t>Responsible AI ist das Grundprinzip der KI-Arbeit.</t>
  </si>
  <si>
    <t>“The idea of ‘responsible artificial intelligence’ is the foundation”</t>
  </si>
  <si>
    <t>Relevante demografische Gruppen werden geprüft.</t>
  </si>
  <si>
    <t>“we check that our data resources cover all relevant demographic groups”</t>
  </si>
  <si>
    <t>“avoid any type of discrimination through AI”; “age, sex, nationality or ethnic background”; “we check that our data resources cover all relevant demographic groups”</t>
  </si>
  <si>
    <t>KI soll keine Diskriminierung erzeugen.; Konkretisiert Fairness-/Bias-Prüfung.; Belegt Datenrepräsentativität/Data Governance.</t>
  </si>
  <si>
    <t>“offer solutions that are tailored to our clients’ needs”; “easier and quicker for us to assess risks, settle claims”</t>
  </si>
  <si>
    <t>KI soll kundenspezifische Lösungen ermöglichen.; KI soll Risiko- und Schadenprozesse erleichtern.</t>
  </si>
  <si>
    <t>“basis for complying with international regulatory requirements”; “in particular the EU AI Act”</t>
  </si>
  <si>
    <t>Responsible AI wird an regulatorische Anforderungen geknüpft.; Der EU AI Act wird ausdrücklich genannt.</t>
  </si>
  <si>
    <t>“human-rights-based strategy for using artificial intelligence”; “covers data protection, monitoring, discrimination, bias”</t>
  </si>
  <si>
    <t>Es gibt eine menschenrechtsbasierte KI-Strategie.; Stützt Human-Rights-/Safeguards-Bezug.</t>
  </si>
  <si>
    <t>Data Strategy and Governance department als benannte, organisatorisch verankerte Stelle mit AI-Bezug dokumentiert.</t>
  </si>
  <si>
    <t>Privacy impact assessment, GRC-Plattform, Datenabdeckungsprüfung und Explainability-Techniken sind dokumentierte Checks/Tools.</t>
  </si>
  <si>
    <t>Keine AI-spezifischen Audits, Review-Zyklen oder Assurance-Nachweise mit Audit-Charakter dokumentiert.</t>
  </si>
  <si>
    <t>Regelmäßige Trainings, Pflichtbestandteile im Onboarding, zusätzliche AI-Formate und Ausbau des Trustworthy-AI-Trainings sind implementiert belegt.</t>
  </si>
  <si>
    <t>Ein definierter Review-Prozess ist beschrieben</t>
  </si>
  <si>
    <t>nicht höher, da der Prozess primär datenverarbeitungsbezogen und nicht als vollständiger AI-Lifecycle-Prozess ausgeführt ist.</t>
  </si>
  <si>
    <t>Ein klarer interner Kontakt-/Guidance-Weg für AI-Fragen ist benannt</t>
  </si>
  <si>
    <t>keine mehrstufige Eskalationslogik oder Fallbeispiele.</t>
  </si>
  <si>
    <t>AI-bezogene Guidance-Stelle ist dokumentiert</t>
  </si>
  <si>
    <t>explizites AI-Reporting fehlt, daher nur niedrige Stufe.</t>
  </si>
  <si>
    <t>“reviewed using a defined process”</t>
  </si>
  <si>
    <t>“All Munich Re staff can contact this department”</t>
  </si>
  <si>
    <t>“handled by the Data Strategy and Governance department”; “All Munich Re staff can contact this department”</t>
  </si>
  <si>
    <t>“handled by the Data Strategy and Governance department”; “All Munich Re staff can contact this department”; “overseen by the Compliance and Legal division”</t>
  </si>
  <si>
    <t>“identified and monitored through a privacy impact assessment”; “introduced an overarching governance, risk and compliance platform”; “we check that our data resources cover all relevant demographic groups”</t>
  </si>
  <si>
    <t>“staff receive regular training via e-learning programs”; “All new staff are also required to complete”; “online presentations outlining the handling of data, analytics and AI”</t>
  </si>
  <si>
    <t>Die Passage ist eine Überschrift und keine ausformulierte Policy-Regel.</t>
  </si>
  <si>
    <t>A: VAL_15=1, weil „integrity“ explizit im AI-Guidelines-Kontext genannt wird. B: VAL_15=0, weil nur Überschrift ohne Substanz. Gewählt: A, aber konservativ mit BIND=1, da ein expliziter Integrity-Anker vorliegt, jedoch ohne Operationalisierung.</t>
  </si>
  <si>
    <t>DEI kann als Fairness oder als Inclusiveness/Accessibility gelesen werden.</t>
  </si>
  <si>
    <t>A: VAL_05=1 und VAL_11=1. B: nur VAL_05=1. Gewählt: B, weil Diskriminierungsvermeidung und Fairness explizit sind, Accessibility jedoch nicht.</t>
  </si>
  <si>
    <t>VAL_08 / VAL_09 / GOV_03</t>
  </si>
  <si>
    <t>Testing, high-quality data und continuous monitoring können als Reliability, Safety und Check-Logik zugleich gelesen werden.</t>
  </si>
  <si>
    <t>A: nur VAL_09=1. B: VAL_08=1, VAL_09=1 und GOV_03&gt;0. Gewählt: B, weil die Passage zugleich Wert- und Operationalisierungsbezug hat; Score konservativ nur bis 2 bei GOV_03.</t>
  </si>
  <si>
    <t>„risk-based“ kann als bloße Prinzipienrhetorik oder als dokumentierte Prozesslogik gelesen werden.</t>
  </si>
  <si>
    <t>A: GOV_02=1. B: GOV_02=2. Gewählt: B, weil ein konkreter risikobasierter Ansatz explizit benannt ist; nicht höher wegen fehlender Prozessschritte und Rollen.</t>
  </si>
  <si>
    <t>Die Aussage kann als Enablement/Training oder bloß als allgemeiner Innovationssatz gelesen werden.</t>
  </si>
  <si>
    <t>A: GOV_05=1. B: GOV_05=0. Gewählt: B, weil keine expliziten Trainings, Schulungen oder Lernformate genannt werden.</t>
  </si>
  <si>
    <t>S. 2 „Human-Centricity“ / Einleitung</t>
  </si>
  <si>
    <t>Menschenzentrierung und permanente Kontrolle/Supervision sind explizit benannt.</t>
  </si>
  <si>
    <t>Keine klaren Verantwortlichkeits- oder Ownership-Aussagen für KI als eigener Wert.</t>
  </si>
  <si>
    <t>S. 2 „Transparency &amp; Explainability“</t>
  </si>
  <si>
    <t>Transparenz ist ausdrücklich formuliert und auf Zweck, Einsatz und Ergebnisse bezogen.</t>
  </si>
  <si>
    <t>Verständlichkeit/Erklärbarkeit ist explizit adressiert.</t>
  </si>
  <si>
    <t>S. 2 „Diversity, Equity &amp; Inclusion“</t>
  </si>
  <si>
    <t>Diskriminierungsvermeidung wird ausdrücklich genannt.</t>
  </si>
  <si>
    <t>S. 2 „Data Protection &amp; Cybersecurity“</t>
  </si>
  <si>
    <t>Privacy by Design ist konkrete Standard-/Gestaltungsvorgabe.</t>
  </si>
  <si>
    <t>S. 2 „Reliability, Safety &amp; Quality“ / „Data Protection &amp; Cybersecurity“</t>
  </si>
  <si>
    <t>Sichere AI-Infrastruktur plus security by design belegen operative Ausrichtung.</t>
  </si>
  <si>
    <t>S. 2 „Reliability, Safety &amp; Quality“</t>
  </si>
  <si>
    <t>Ongoing testing und continuous monitoring stützen konservativ Safety/Harm-Prevention mit Operationalisierung.</t>
  </si>
  <si>
    <t>Testing, hochwertige Daten und kontinuierliches Monitoring belegen Reliability/Robustness.</t>
  </si>
  <si>
    <t>Keine Einspruchs-, Beschwerde- oder Redress-Mechanik dokumentiert.</t>
  </si>
  <si>
    <t>DEI ist belegt, aber keine explizite Accessibility-/Barrierefreiheitsdimension.</t>
  </si>
  <si>
    <t>S. 2 Einleitung / Schlussabsatz</t>
  </si>
  <si>
    <t>Nachhaltigkeits- und Klimaneutralitätsbezug sind klar, bleiben aber auf Ziel-/Nutzenebene.</t>
  </si>
  <si>
    <t>S. 2 „Human-Centricity“ / Schlussabsatz</t>
  </si>
  <si>
    <t>Stakeholder-Well-being und zuverlässige Energieversorgung belegen gesellschaftlichen Nutzen.</t>
  </si>
  <si>
    <t>Gesetzeskonformität wird explizit gefordert.</t>
  </si>
  <si>
    <t>S. 2 Zwischenüberschrift „Where integrity meets innovation“</t>
  </si>
  <si>
    <t>Integrity wird explizit im AI-Guidelines-Kontext genannt, aber ohne weitere Ausformulierung.</t>
  </si>
  <si>
    <t>Hochwertige Daten werden als konstitutiver Bestandteil der KI-Qualität benannt.</t>
  </si>
  <si>
    <t>S. 2 „Human-Centricity“</t>
  </si>
  <si>
    <t>Menschenrechte werden ausdrücklich als Grundlage genannt.</t>
  </si>
  <si>
    <t>Zweck, Einsatz und Ergebnisse von KI sollen offen und verständlich kommuniziert werden.</t>
  </si>
  <si>
    <t>“purpose, application, and results of our AI are comprehensible”</t>
  </si>
  <si>
    <t>KI soll erklärbar und verstehbar sein.</t>
  </si>
  <si>
    <t>“understandable, and communicated openly”</t>
  </si>
  <si>
    <t>RWE will Diskriminierung aktiv verhindern.</t>
  </si>
  <si>
    <t>“actively prevents discrimination”</t>
  </si>
  <si>
    <t>KI-Prozesse folgen Privacy/Security by Design.</t>
  </si>
  <si>
    <t>“follow a ‘privacy/security by design’ approach”</t>
  </si>
  <si>
    <t>RWE nennt Testing, hochwertige Daten und Monitoring als Qualitätsbasis.</t>
  </si>
  <si>
    <t>“ongoing testing, high-quality data, and continuous monitoring”</t>
  </si>
  <si>
    <t>KI-Prozesse sollen gesetzlichen Anforderungen entsprechen.</t>
  </si>
  <si>
    <t>“comply with legal requirements”</t>
  </si>
  <si>
    <t>Die Richtlinien rahmen KI als Integritätsfrage.</t>
  </si>
  <si>
    <t>“Where integrity meets innovation”</t>
  </si>
  <si>
    <t>KI-Nutzung wird an Menschenrechte gebunden.</t>
  </si>
  <si>
    <t>“based on fundamental values, human rights”</t>
  </si>
  <si>
    <t>“our AI standards place people firmly at the heart of the process”; “AI systems are always controlled and supervised”</t>
  </si>
  <si>
    <t>Die KI-Standards stellen Menschen in den Mittelpunkt.; Expliziter Oversight-Anker</t>
  </si>
  <si>
    <t>“secure AI infrastructure”; “follow a ‘privacy/security by design’ approach”</t>
  </si>
  <si>
    <t>Die KI-Infrastruktur soll sicher sein.; KI-Prozesse folgen Privacy/Security by Design.</t>
  </si>
  <si>
    <t>“towards a more sustainable energy future”; “AI supports our efforts to become climate neutral by 2040”</t>
  </si>
  <si>
    <t>KI wird mit Nachhaltigkeitszielen verknüpft.; KI unterstützt das Klimaneutralitätsziel.</t>
  </si>
  <si>
    <t>“the well-being of all stakeholders”; “ensure a reliable and efficient energy supply”</t>
  </si>
  <si>
    <t>KI-Nutzung wird am Wohlbefinden der Stakeholder ausgerichtet.; KI soll zuverlässige und effiziente Energieversorgung unterstützen.</t>
  </si>
  <si>
    <t>“ongoing testing, high-quality data, and continuous monitoring”; “high-quality data”</t>
  </si>
  <si>
    <t>RWE nennt Testing, hochwertige Daten und Monitoring als Qualitätsbasis.; “ongoing testing, high-quality data, and continuous monitoring”</t>
  </si>
  <si>
    <t>Keine AI-spezifischen Rollen, Owner, Committees oder Verantwortlichen benannt.</t>
  </si>
  <si>
    <t>S. 2 „Data Protection &amp; Cybersecurity“ / „Proportionality“</t>
  </si>
  <si>
    <t>Ongoing testing, continuous monitoring und by-design-Ansatz sind dokumentierte Checks/Standards.</t>
  </si>
  <si>
    <t>Keine Audits, Reviews mit Audit-Charakter oder Assurance-Nachweise dokumentiert.</t>
  </si>
  <si>
    <t>Ressourcen für Teams werden erwähnt, aber kein explizites Training oder E-Learning belegt.</t>
  </si>
  <si>
    <t>Keine Kontaktstelle oder Eskalationslogik für KI-Fragen dokumentiert.</t>
  </si>
  <si>
    <t>Risk-based approach und privacy/security by design dokumentieren Prozesslogik</t>
  </si>
  <si>
    <t>keine Rollen/Frequenzen/KPIs.</t>
  </si>
  <si>
    <t>“ongoing testing, high-quality data, and continuous monitoring”; “follow a ‘privacy/security by design’ approach”</t>
  </si>
  <si>
    <t>“follow a ‘privacy/security by design’ approach”; “Our AI approach is risk-based”</t>
  </si>
  <si>
    <t>VAL_08 / VAL_18</t>
  </si>
  <si>
    <t>Der Abschnitt verbindet Harm Prevention eng mit Menschenrechten und Grundfreiheiten.</t>
  </si>
  <si>
    <t>A: nur VAL_08=1. B: VAL_08=1 und VAL_18=1. Gewählt: B, weil der Text ausdrücklich sowohl „do not harm“ als auch „human rights and fundamental freedoms“ nennt.</t>
  </si>
  <si>
    <t>Die Challenge- und Feedbackmechanik kann als Wert der Contestability oder als Governance-Eskalationsweg gelesen werden.</t>
  </si>
  <si>
    <t>A: nur GOV_06&gt;0. B: VAL_10=1 und GOV_06&gt;0. Gewählt: B, weil ein ausdrückliches Recht zu challengen sowie ein Meldekanal dokumentiert sind.</t>
  </si>
  <si>
    <t>GOV_04 / GOV_07</t>
  </si>
  <si>
    <t>Dokumentierte Evaluationen und das Teilen von Abweichungen können als Audit oder Reporting verstanden werden.</t>
  </si>
  <si>
    <t>A: nur GOV_04=2. B: GOV_04=2 und GOV_07=2. Gewählt: B, weil sowohl Review-/Evaluation als auch interne Dokumentations-/Weitergabepflichten beschrieben sind.</t>
  </si>
  <si>
    <t>VAL_11 / VAL_05</t>
  </si>
  <si>
    <t>Accessibility steht im Fairness-Kapitel und könnte nur als Teil von Fairness interpretiert werden.</t>
  </si>
  <si>
    <t>A: nur VAL_05=1. B: VAL_11=1 zusätzlich. Gewählt: B, weil Accessibility ausdrücklich und eigenständig benannt wird.</t>
  </si>
  <si>
    <t>Die Passage deutet gesellschaftlichen Nutzen an, bleibt aber eher allgemein-programmatisch.</t>
  </si>
  <si>
    <t>A: VAL_13=1. B: VAL_13=0. Gewählt: B, konservativ, weil kein klarer, eigenständiger Well-being-/Benefit-Standard wie in anderen Dokumenten formuliert wird.</t>
  </si>
  <si>
    <t>VAL_16 / GOV_03</t>
  </si>
  <si>
    <t>Repräsentative Datensätze und Dokumentation können als Wert oder als Check-/Governance-Mechanik gelesen werden.</t>
  </si>
  <si>
    <t>A: nur VAL_16=1. B: VAL_16=1 und GOV_03&gt;0. Gewählt: B, weil sowohl ein normativer Datenqualitätsanspruch als auch konkrete Prüf-/Dokumentationsmechaniken vorliegen.</t>
  </si>
  <si>
    <t>SAP verpflichtet sich ausdrücklich zu ethischer KI-Entwicklung und -Nutzung.</t>
  </si>
  <si>
    <t>“ethical development, deployment, use, and sale of AI systems”</t>
  </si>
  <si>
    <t>KI muss die Accessibility Standards einhalten.</t>
  </si>
  <si>
    <t>“must comply with the SAP Accessibility Standards”</t>
  </si>
  <si>
    <t>KI soll Nachhaltigkeit fördern und Schäden vermeiden.</t>
  </si>
  <si>
    <t>“AI systems should foster environmental, economic, and social sustainability”</t>
  </si>
  <si>
    <t>KI muss Datenschutzgesetze respektieren.</t>
  </si>
  <si>
    <t>“respecting privacy and data protection laws”</t>
  </si>
  <si>
    <t>Für jede KI ist menschliche Aufsicht vorzusehen.</t>
  </si>
  <si>
    <t>“Human oversight shall be achieved”</t>
  </si>
  <si>
    <t>Auf Anfrage ist eine Erklärung bereitzustellen.</t>
  </si>
  <si>
    <t>“explanation of how a decision was made”</t>
  </si>
  <si>
    <t>S. 10 „Principle 6“</t>
  </si>
  <si>
    <t>Human oversight ist explizit vorgeschrieben und mit HITL/HOTL/HIC konkretisiert.</t>
  </si>
  <si>
    <t>S. 11 „Principle 8“; S. 6 „Roles and Responsibilities“</t>
  </si>
  <si>
    <t>Verantwortung wird Menschen zugerechnet und über Rollen/Gremien operationalisiert.</t>
  </si>
  <si>
    <t>Transparenz umfasst Disclosure, klare Kommunikation und Dokumentation.</t>
  </si>
  <si>
    <t>S. 11 „Principle 7.3 Explainability“</t>
  </si>
  <si>
    <t>Erklärungen zu KI-Entscheidungen sind auf Anfrage bereitzustellen.</t>
  </si>
  <si>
    <t>S. 8–9 „Principle 3“</t>
  </si>
  <si>
    <t>Bias-Vermeidung, Challenge-Möglichkeit und Corrective Measures sind dokumentiert.</t>
  </si>
  <si>
    <t>S. 9 „Principle 5“</t>
  </si>
  <si>
    <t>Datenschutz ist klar verpflichtend, aber im Dokument selbst weniger prozessual ausbuchstabiert als andere Prinzipien.</t>
  </si>
  <si>
    <t>S. 8 „Principle 2“</t>
  </si>
  <si>
    <t>Safety/Security werden über Testing, Risk Identification und Lifecycle-Absicherung operationalisiert.</t>
  </si>
  <si>
    <t>Harm-Prevention wird durch Impact Classification, Red Lines und Verbotslogik konkretisiert.</t>
  </si>
  <si>
    <t>Extensive Tests und kontinuierliches Monitoring belegen konkrete Robustheitsanforderungen.</t>
  </si>
  <si>
    <t>S. 9 „Principle 3.2“; S. 12 „Governance“</t>
  </si>
  <si>
    <t>Betroffene können Outputs anfechten; zusätzlich existiert ein Meldekanal und Folgemechanik.</t>
  </si>
  <si>
    <t>S. 9 „Principle 3.2 Fairness“</t>
  </si>
  <si>
    <t>Accessibility ist explizit vorgeschrieben, jedoch ohne weitergehende Umsetzungsdetails im Dokument.</t>
  </si>
  <si>
    <t>S. 9 „Principle 4“</t>
  </si>
  <si>
    <t>Nachhaltigkeit ist klarer Grundsatz, bleibt aber auf Policy-/Rahmenebene.</t>
  </si>
  <si>
    <t>Chancen für Gesellschaft werden erwähnt, aber kein hinreichend klarer, eigenständiger Well-being-/Benefit-Wertsatz im Codebook-Sinn belegt.</t>
  </si>
  <si>
    <t>S. 4 „Scope“; S. 9 „Principle 5“</t>
  </si>
  <si>
    <t>Rechtstreue wird ausdrücklich gefordert; konkrete Compliance-Prozesse werden ergänzend, aber nicht vollumfänglich ausbuchstabiert.</t>
  </si>
  <si>
    <t>S. 3 „Introduction“</t>
  </si>
  <si>
    <t>Ethische Entwicklung, Nutzung und Verkauf von KI sind expliziter Policy-Rahmen.</t>
  </si>
  <si>
    <t>S. 9 „Principle 3.1 Data“; S. 10–11 „Documentation“</t>
  </si>
  <si>
    <t>Repräsentative Daten und Dokumentationspflichten konkretisieren Data Governance.</t>
  </si>
  <si>
    <t>Kein expliziter KI-spezifischer IP-/Vertraulichkeitsanker.</t>
  </si>
  <si>
    <t>S. 3 „Introduction“; S. 7 „Principle 1“</t>
  </si>
  <si>
    <t>Menschenrechte sind Grundfundament und über Safeguards/Red Lines operationalisiert.</t>
  </si>
  <si>
    <t>S. 10-11 „Principle 7“</t>
  </si>
  <si>
    <t>S. 7-8 „Principle 1–2“</t>
  </si>
  <si>
    <t>“responsibility must always be attributable to actors”; “Accountable for approving high-risk use cases”; “first point of contact for any AI Ethics related queries”</t>
  </si>
  <si>
    <t>Verantwortung bleibt immer bei Menschen/juristischen Personen.; Belegt formale Zuständigkeit.; Das AI Ethics Office ist zentrale Kontakt- und Koordinationsstelle.</t>
  </si>
  <si>
    <t>“must be communicated clearly”; “End-users must always be aware”;  “promptly documented … and shared with other actors”</t>
  </si>
  <si>
    <t>Fähigkeiten, Grenzen und Zweck der KI sind klar zu kommunizieren.; Belegt interne Reporting-/Dokumentationslogik.; Belegt AI disclosure/identifiability.</t>
  </si>
  <si>
    <t>“avoid discriminatory or biased outcomes”; “enable the affected individuals to evaluate the outputs and object”; “SAP will implement corrective measures”</t>
  </si>
  <si>
    <t>KI soll diskriminierende oder verzerrte Outputs vermeiden.; Belegt Contestability.; Bei berechtigten Einwänden sind Korrekturmaßnahmen vorgesehen.</t>
  </si>
  <si>
    <t>“Safety and security measures must be guaranteed”; “AI systems must be tested extensively”</t>
  </si>
  <si>
    <t>Sicherheitsmaßnahmen müssen über den Lebenszyklus gewährleistet sein.; “AI systems must be tested extensively”</t>
  </si>
  <si>
    <t>“Impact classification mechanisms and measures to prevent harm shall be defined”; “prohibits continuation of the design and development”; “Safety and security measures must be guaranteed”</t>
  </si>
  <si>
    <t>Für Harm-Prevention sind Impact-Mechanismen vorgeschrieben.; Belegt Harm-Prevention/Verbotslogik.; Sicherheitsmaßnahmen müssen über den Lebenszyklus gewährleistet sein.</t>
  </si>
  <si>
    <t>“AI systems must be tested extensively”; “AI system should be monitored continuously”</t>
  </si>
  <si>
    <t>High-risk-KI muss umfassend getestet werden.; Belegt Monitoring/Robustness.</t>
  </si>
  <si>
    <t>“enable the affected individuals to evaluate the outputs and object”; “have a right to challenge”; “they can use the Speak Out tool”</t>
  </si>
  <si>
    <t>Betroffene sollen Outputs prüfen und anfechten können.; Expliziter Melde-/Eskalationsweg.; Betroffene haben ein Recht, Nichtkonformität anzufechten.</t>
  </si>
  <si>
    <t>“must comply with all laws and regulations”; “respecting privacy and data protection laws”</t>
  </si>
  <si>
    <t>Kunden müssen KI im Einklang mit geltendem Recht nutzen.; Expliziter Privacy-/Data-Protection-Anker.</t>
  </si>
  <si>
    <t>“representative, relevant, accurate, and generalizable”; “promptly documented … and shared with other actors”</t>
  </si>
  <si>
    <t>Datensätze sollen repräsentativ und akkurat sein.; Abweichungen müssen dokumentiert und geteilt werden.</t>
  </si>
  <si>
    <t>“uphold and support the Universal Declaration of Human Rights”; “Human rights and fundamental freedoms must be respected”; “prohibits continuation of the design and development”</t>
  </si>
  <si>
    <t>SAP verankert KI-Ethik in einem Menschenrechtsrahmen.; Bestimmte KI-Nutzungen sind über Red Lines verboten.; Starker Human-Rights-Anker.</t>
  </si>
  <si>
    <t>S. 12 „Governance – Use case evaluation“</t>
  </si>
  <si>
    <t>S. 6 „Advisory Panel“; S. 12 „Governance“</t>
  </si>
  <si>
    <t>S. 7 „Trustworthy AI Workstream“; S. 11 „Principle 9“</t>
  </si>
  <si>
    <t>S. 6 „AI Ethics Office“; S. 9 „Principle 3.2“; S. 12 „Governance“</t>
  </si>
  <si>
    <t>S. 6-7 „Roles and Responsibilities“</t>
  </si>
  <si>
    <t>S. 7-9 „Principles 1–3“</t>
  </si>
  <si>
    <t>S. 10-12 „Documentation/Governance“</t>
  </si>
  <si>
    <t>Mehrere AI-Ethics-Gremien und Funktionen mit klaren Zuständigkeiten sind dokumentiert</t>
  </si>
  <si>
    <t>keine KPI-/Reporting-Nachweise.</t>
  </si>
  <si>
    <t>Use-case-Analyse, Kategorisierung und ethische Bewertung sind als Governance-Prozess dokumentiert</t>
  </si>
  <si>
    <t>keine Implementierungsnachweise über Einzelfälle hinaus.</t>
  </si>
  <si>
    <t>Impact Classification, extensive testing, monitoring und Dataset-Anforderungen sind dokumentierte Check-Mechaniken</t>
  </si>
  <si>
    <t>keine Tool- oder KPI-Nachweise.</t>
  </si>
  <si>
    <t>Unabhängiges Panel und periodische dokumentierte Evaluationen sind beschrieben</t>
  </si>
  <si>
    <t>keine Auditberichte oder Assurance-Nachweise.</t>
  </si>
  <si>
    <t>Training, Lernmaterialien, Community und Events sind dokumentiert</t>
  </si>
  <si>
    <t>keine Nachweise zu Teilnahmequoten oder Pflichtabschlüssen.</t>
  </si>
  <si>
    <t>First point of contact, corrective measures und Speak Out sind klar dokumentiert</t>
  </si>
  <si>
    <t>keine geübten Fallbeispiele.</t>
  </si>
  <si>
    <t>Dokumentation, Teilen von Abweichungen und dokumentierte periodische Evaluationen belegen interne Reporting-Logik</t>
  </si>
  <si>
    <t>keine regelmäßigen KPI-/Managementberichte.</t>
  </si>
  <si>
    <t>“Accountable for approving high-risk use cases”; “independent and unbiased feedback and recommendations”; “independent and unbiased feedback and recommendations”; “Providing education and training material”</t>
  </si>
  <si>
    <t>“Each use case is carefully analyzed”; “undergoes an ethical assessment”</t>
  </si>
  <si>
    <t>“Impact classification mechanisms and measures to prevent harm shall be defined”; “AI systems must be tested extensively”; “AI system should be monitored continuously”</t>
  </si>
  <si>
    <t>“independent and unbiased feedback and recommendations”; “must be performed and documented”</t>
  </si>
  <si>
    <t>“Providing education and training material”; “Free courses and learning materials”</t>
  </si>
  <si>
    <t>“first point of contact for any AI Ethics related queries”; “SAP will implement corrective measures”; “SAP will implement corrective measures”</t>
  </si>
  <si>
    <t>“must be performed and documented”; “promptly documented … and shared with other actors”</t>
  </si>
  <si>
    <t>18.02.2026</t>
  </si>
  <si>
    <t>S. 6; S. 13</t>
  </si>
  <si>
    <t>Mehrere deontische Vorgaben zu Human Intervention/Override; lifecycle-bezogen dokumentiert.</t>
  </si>
  <si>
    <t>S. 6; S. 12</t>
  </si>
  <si>
    <t>Verantwortung/Ownership ist benannt und rollenbezogen beschrieben; keine eigenständige Accountability-Standardlogik → nicht 3.</t>
  </si>
  <si>
    <t>S. 14; S. 19</t>
  </si>
  <si>
    <t>Identifizierbarkeit von KI und Dokumentationspflichten sind verbindlich formuliert.</t>
  </si>
  <si>
    <t>S. 15; S. 19</t>
  </si>
  <si>
    <t>Erklärungen für Entscheidungen und Challenge-Fähigkeit sind konkret gefordert.</t>
  </si>
  <si>
    <t>S. 16; S. 22</t>
  </si>
  <si>
    <t>Bias-Erkennung, repräsentative Daten und operative Bias-Prüfung sind dokumentiert.</t>
  </si>
  <si>
    <t>S. 6; S. 16</t>
  </si>
  <si>
    <t>Safeguards und Rechtskonformität für personenbezogene KI-Daten sind verbindlich.</t>
  </si>
  <si>
    <t>Kein expliziter AI-security/cybersecurity/adversarial Schutzanker gefunden; Privacy-Safeguards nicht gleich Security.</t>
  </si>
  <si>
    <t>Schadens- und Missbrauchsvermeidung ist normativ adressiert; kein eigener Prozess-/Kontrollstandard belegt → nicht 3.</t>
  </si>
  <si>
    <t>S. 18; S. 22</t>
  </si>
  <si>
    <t>Extensives Testing und operative Checks stützen Robustheit/Reliability.</t>
  </si>
  <si>
    <t>Anfechtbarkeit wird ausdrücklich über challenge-fähige Erklärungen abgesichert.</t>
  </si>
  <si>
    <t>S. 16</t>
  </si>
  <si>
    <t>Accessibility-Standards sind verbindlich adressiert; als Standardanforderung formuliert.</t>
  </si>
  <si>
    <t>Umweltschaden ist als Red Line normativ ausgeschlossen; keine breitere Nachhaltigkeitsprozessik belegt.</t>
  </si>
  <si>
    <t>S. 11</t>
  </si>
  <si>
    <t>Nutzen für users and society wird als Zielbild beschrieben; keine deontische Pflicht-/Prozessform belegt.</t>
  </si>
  <si>
    <t>Policy-Obligationen plus explizite Pflicht zur Einhaltung anwendbarer Datenschutzgesetze.</t>
  </si>
  <si>
    <t>Ethische Red Lines sind klar verboten; als Policy-Grenze, aber ohne separaten Implementierungsstandard.</t>
  </si>
  <si>
    <t>S. 16; S. 19</t>
  </si>
  <si>
    <t>Repräsentative Datensätze und Dokumentationspflichten für Daten/Prozesse sind konkret vorgeschrieben.</t>
  </si>
  <si>
    <t>Kein expliziter KI-bezogener IP-/Confidentiality-Wert gefunden.</t>
  </si>
  <si>
    <t>Human-Rights-Rahmen wird ausdrücklich pledgemäßig verankert; keine eigene Prozessvorgabe belegt.</t>
  </si>
  <si>
    <t>KI-Entwicklung soll Schaden und Missbrauch vorbeugen.</t>
  </si>
  <si>
    <t>“no harm or misuse is likely to occur”</t>
  </si>
  <si>
    <t>Entscheidungen sollen anfechtbar sein.</t>
  </si>
  <si>
    <t>“grounds to challenge the decision”</t>
  </si>
  <si>
    <t>KI soll barrierearm und für breite Nutzergruppen gestaltet werden.</t>
  </si>
  <si>
    <t>“following relevant accessibility standards”</t>
  </si>
  <si>
    <t>Umweltschaden wird als Red Line adressiert.</t>
  </si>
  <si>
    <t>“shall be conducted with minimum to no explicit damage to the environment.”</t>
  </si>
  <si>
    <t>KI wird als Nutzenversprechen für Menschen und Gesellschaft beschrieben.</t>
  </si>
  <si>
    <t>“strengthen the benefits of users and society in business”</t>
  </si>
  <si>
    <t>Red-Line-Fälle sind sofort zu stoppen.</t>
  </si>
  <si>
    <t>“required to immediately stop developing, deploying, and selling that use case.”</t>
  </si>
  <si>
    <t>Menschenrechtsrahmen wird als Fundament des KI-Ansatzes benannt.</t>
  </si>
  <si>
    <t>“uphold and support the Universal Declaration of Human Rights”</t>
  </si>
  <si>
    <t>“Allow human intervention for all automated decision processes.”; “Decisions by an AI system may always be overruled by a human.”</t>
  </si>
  <si>
    <t>Menschliche Intervention wird für automatisierte Entscheidungen vorgeschrieben.; Konkrete Oversight-Regel</t>
  </si>
  <si>
    <t>“defines intent, expectations and obligations for employees”; “Responsible for the coordination ... end to end across all phases"</t>
  </si>
  <si>
    <t>Die Policy definiert Erwartungen und Pflichten für beteiligte Mitarbeitende.; End-to-End-Verantwortung einer KI-Rolle ist definiert.</t>
  </si>
  <si>
    <t>“AI systems shall be made identifiable as such”; “the data sets and the processes ... shall be documented”</t>
  </si>
  <si>
    <t>Direkt interagierende KI muss erkennbar sein.; Datensätze und Entscheidungsprozesse müssen dokumentiert werden.</t>
  </si>
  <si>
    <t>“Measures to detect bias must be realized.”; “representative, relevant, accurate, and generalizable datasets”; “regularly checks for undesired bias during execution.”</t>
  </si>
  <si>
    <t>Bias-Erkennung ist ausdrücklich gefordert.; Trainings- und Testdaten müssen repräsentativ und generalisierbar sein.; Operativer Check</t>
  </si>
  <si>
    <t>“a clear and simple explanation shall be provided”; “grounds to challenge the decision”</t>
  </si>
  <si>
    <t>Für automatisierte Entscheidungen sind verständliche Erklärungen vorgesehen.; Entscheidungen sollen anfechtbar sein.</t>
  </si>
  <si>
    <t>“Implement safeguards to protect personal data used to train AI models.”; “shall comply with applicable data protection, and privacy laws.”</t>
  </si>
  <si>
    <t>Schutz personenbezogener Trainingsdaten wird verbindlich gefordert.; KI-bezogene Datennutzung muss rechtlichen Vorgaben entsprechen.</t>
  </si>
  <si>
    <t>“tested extensively to avoid unintended behaviour.”; “regularly checks for undesired bias during execution.”</t>
  </si>
  <si>
    <t>Automatisierende KI-Systeme sind umfassend zu testen.; Im Betrieb werden Bias-Prüfungen regelmäßig durchgeführt.</t>
  </si>
  <si>
    <t>“defines intent, expectations and obligations for employees”; “shall comply with applicable data protection, and privacy laws.”</t>
  </si>
  <si>
    <t>Die Policy definiert Erwartungen und Pflichten für beteiligte Mitarbeitende.; Legal compliance</t>
  </si>
  <si>
    <t>“representative, relevant, accurate, and generalizable datasets”; “the data sets and the processes ... shall be documented”</t>
  </si>
  <si>
    <t>Trainings- und Testdaten müssen repräsentativ und generalisierbar sein.; Dokumentation / Traceability</t>
  </si>
  <si>
    <t>S. 8; S. 10</t>
  </si>
  <si>
    <t>S. 9; S. 22</t>
  </si>
  <si>
    <t>Kein explizites AI-Training, Pflichttraining oder Awareness-Programm belegt.</t>
  </si>
  <si>
    <t>Kein explizites Reporting-Setup zu AI-Risiken, Kontrollen oder Vorfällen belegt.</t>
  </si>
  <si>
    <t>Mehrere KI-Rollen mit Aufgaben beschrieben</t>
  </si>
  <si>
    <t>Assessment- und Lifecycle-Logik beschrieben</t>
  </si>
  <si>
    <t>Formulare, Assessments und operative Checks dokumentiert</t>
  </si>
  <si>
    <t>Assessment/Review durch Steering Committee erwähnt</t>
  </si>
  <si>
    <t xml:space="preserve">Auditmechanik/Frequenz fehlen </t>
  </si>
  <si>
    <t>keine berichteten Tool-Ergebnisse/KPIs</t>
  </si>
  <si>
    <t xml:space="preserve">keine KPI-/Review-Nachweise </t>
  </si>
  <si>
    <t>keine Reporting-/Regeltermin-Nachweise</t>
  </si>
  <si>
    <t>Zweistufiger Eskalationsweg beschrieben</t>
  </si>
  <si>
    <t xml:space="preserve">keine Fristen/Case-Reporting/Nachweise </t>
  </si>
  <si>
    <t>“Responsible for the coordination ... end to end across all phases”</t>
  </si>
  <si>
    <t>“must first go through an assessment process”</t>
  </si>
  <si>
    <t>“must first go through an assessment process”; “01. Ideation ... 05. Operations”</t>
  </si>
  <si>
    <t>“Complete the Risk Classification form”; “regularly checks for undesired bias during execution.”</t>
  </si>
  <si>
    <t>“raise any issues ... by their immediate L1 unit”; “inform the AI Ethics Office via an e-mail”</t>
  </si>
  <si>
    <t>Verantwortung erscheint stark über Rollen/Obligationen, aber nicht als eigenständiges Prinzip wie „accountability principle“.</t>
  </si>
  <si>
    <t>A: VAL_02=1, BIND=3 wegen klarer Rollen- und Aufgabenlogik. B: VAL_02=1, BIND=2 wegen benannter Verantwortung ohne eigenen Accountability-Standard. Gewählt: B, konservativ, da Verantwortlichkeit dokumentiert, aber nicht als eigenständige Prozessnorm ausformuliert.</t>
  </si>
  <si>
    <t>Umweltbezug erscheint als Verbots-/Red-Line-Formulierung, nicht als breiter Sustainability-Ansatz.</t>
  </si>
  <si>
    <t>A: VAL_12=1, BIND=2 wegen expliziter normativer Umweltgrenze. B: VAL_12=0, weil keine breitere Sustainability-Governance vorliegt. Gewählt: A, da KI-bezogener Umweltanker explizit vorhanden ist.</t>
  </si>
  <si>
    <t>„Assessment process“ kann als auditähnliche Review gelesen werden, aber Frequenz/Mechanik fehlen.</t>
  </si>
  <si>
    <t>A: GOV_04=2 wegen benannter Review-Instanz (Steering Committee). B: GOV_04=1, da Assessment erwähnt, aber keine Auditmechanik/Frequenz. Gewählt: B, konservativ nach Rubrik.</t>
  </si>
  <si>
    <t>Das Handbook „guides employees“, aber Training/Awareness wird nicht ausdrücklich als Programm beschrieben.</t>
  </si>
  <si>
    <t>A: GOV_05=1 als implizite Awareness-Maßnahme. B: GOV_05=0 mangels explizitem Training/Zielgruppe/Pflichtgrad. Gewählt: B, evidenzkonservativ.</t>
  </si>
  <si>
    <t>Feedback und Weitergabe von Nutzeranfragen könnten als Reporting gelesen werden, aber Reportgegenstand/Frequenz/Empfänger fehlen.</t>
  </si>
  <si>
    <t>A: GOV_07=1 wegen interner Rückmeldung/Weitergabe. B: GOV_07=0, da keine explizite Reporting-Struktur zu Risiken/Kontrollen/Vorfällen vorliegt. Gewählt: B, konservativ nach Codebook.</t>
  </si>
  <si>
    <t>VAL_07, VAL_06</t>
  </si>
  <si>
    <t>„Safeguards“ zum Schutz personenbezogener Daten könnten als Security mitgelesen werden, sind aber primär privacybezogen.</t>
  </si>
  <si>
    <t>A: VAL_07=1 wegen Schutzmaßnahme. B: VAL_07=0 und nur VAL_06=1, weil kein expliziter Cybersecurity-/AI-security-Anker vorliegt. Gewählt: B, konservativ.</t>
  </si>
  <si>
    <t>Kein expliziter KI-bezogener Hinweis auf Human-in-the-loop, Override oder menschliche Übersteuerung.</t>
  </si>
  <si>
    <t>S. 24.</t>
  </si>
  <si>
    <t>Responsibility ist im KI-Kontext genannt, aber nur referenziell über die Global AI Policy beschrieben.</t>
  </si>
  <si>
    <t>Keine explizite Transparenzpflicht zu KI im Dokumenttext; bloße Verweise auf andere Dokumente genügen hier nicht.</t>
  </si>
  <si>
    <t>Keine ausdrückliche Erklärbarkeitsanforderung zu KI im Dokument selbst.</t>
  </si>
  <si>
    <t>Allgemeine Diversity-/Anti-Discrimination-Passagen ohne KI-Anker werden nicht codiert.</t>
  </si>
  <si>
    <t>Datenschutz ist vorhanden, aber im Dokument nicht explizit KI-spezifisch verankert.</t>
  </si>
  <si>
    <t>Keine explizite KI-bezogene Security-/Cybersecurity-Aussage.</t>
  </si>
  <si>
    <t>Risiken/Challenges werden erwähnt, aber keine klare Harm-Prevention-Norm formuliert.</t>
  </si>
  <si>
    <t>Keine ausdrückliche Aussage zu Robustheit, Stabilität, Testing oder Reliability von KI.</t>
  </si>
  <si>
    <t>Kein KI-spezifischer Beschwerde-, Anfechtungs- oder Redress-Mechanismus.</t>
  </si>
  <si>
    <t>Keine KI-spezifische Aussage zu Accessibility oder inklusivem Design.</t>
  </si>
  <si>
    <t>Nachhaltigkeit wird allgemein behandelt, aber nicht KI-bezogen.</t>
  </si>
  <si>
    <t>Klarer KI-Kontext mit gesellschaftlichem Nutzenversprechen; eher Prinzip/Statement als Regel.</t>
  </si>
  <si>
    <t>Expliziter KI-bezogener Legal-Compliance-Satz; keine deontische Detailregel.</t>
  </si>
  <si>
    <t>Ethische KI-Entwicklung/-Bereitstellung wird ausdrücklich genannt, aber nicht operationalisiert.</t>
  </si>
  <si>
    <t>Keine KI-spezifische Aussage zu Datenqualität, Herkunft, Stewardship oder Dokumentation.</t>
  </si>
  <si>
    <t>IP/Confidentiality wird allgemein behandelt, aber ohne KI-Anker.</t>
  </si>
  <si>
    <t>Im AI-Abschnitt nur Verweis auf separates Human-Rights-Dokument, keine inhaltliche KI-bezogene Menschenrechtsaussage im Text.</t>
  </si>
  <si>
    <t>Die KI-Policy wird als zuständigkeitsbezogen beschrieben.</t>
  </si>
  <si>
    <t>“including assignment of clear responsibilities within SAP”</t>
  </si>
  <si>
    <t>KI wird als potenziell gesellschaftlich nützlich beschrieben.</t>
  </si>
  <si>
    <t>“AI has the potential to unlock boundless potential for businesses, governments, and society.”</t>
  </si>
  <si>
    <t>SAP erklärt die Einhaltung relevanter Gesetzgebung für KI.</t>
  </si>
  <si>
    <t>“SAP is committed to complying with all relevant legislation”</t>
  </si>
  <si>
    <t>Ethische Entwicklung, Bereitstellung und Vermarktung von KI wird zugesichert.</t>
  </si>
  <si>
    <t>“the ethical development, deployment, and sale of SAP-developed AI systems”</t>
  </si>
  <si>
    <t>Kommentar (kurz)</t>
  </si>
  <si>
    <t>Responsibilities werden nur referenziell erwähnt; keine Rolle/Einheit/Aufgabenlogik im Dokument selbst.</t>
  </si>
  <si>
    <t>„Minimum standard“ über Lifecycle-Phasen wird genannt, aber kein konkreter Prozessschritt, Trigger oder Verantwortlicher.</t>
  </si>
  <si>
    <t>Keine KI-spezifischen Checks, Assessments oder Tools dokumentiert.</t>
  </si>
  <si>
    <t>Keine Audit-, Assessment- oder Review-Mechanik zu KI im Dokumenttext.</t>
  </si>
  <si>
    <t>Allgemeine Compliance-Trainings im Code sind nicht KI-spezifisch.</t>
  </si>
  <si>
    <t>Reporting Channels sind allgemein vorhanden, aber nicht KI-spezifisch beschrieben.</t>
  </si>
  <si>
    <t>Kein KI-bezogenes Reporting-Setup, keine KPIs, Reports oder Berichtspflichten.</t>
  </si>
  <si>
    <t>„clear responsibilities within SAP“ deutet Verantwortlichkeit an, nennt aber keine konkrete Rolle oder Einheit.</t>
  </si>
  <si>
    <t>A: VAL_02=1 und GOV_01=1. B: VAL_02=1 und GOV_01=0. Gewählt: B für GOV_01, da nur Value-Ebene klar erkennbar ist; Evidence-Minimum für Governance-Rollen nicht erfüllt.</t>
  </si>
  <si>
    <t>„groupwide minimum standard for development, deployment, sale, and use“ könnte als Prozessbezug gelesen werden.</t>
  </si>
  <si>
    <t>A: GOV_02=1, weil ein prozessartiger Lifecycle-Bezug anklingt. B: GOV_02=0, weil keine Prozessschritte, Trigger oder Verantwortlichen beschrieben sind. Gewählt: B, konservativ nach Rubrik.</t>
  </si>
  <si>
    <t>„committed to complying“ ist normativ, aber nicht deontisch im Sinne von must/shall formuliert.</t>
  </si>
  <si>
    <t>A: BIND=2 wegen klarer Normorientierung. B: BIND=1 wegen Statement-/Commitment-Charakter. Gewählt: B, da die Formulierung eher Absicht/Prinzip als Policy-Regel im engeren Sinn ist.</t>
  </si>
  <si>
    <t>Risiken und gesellschaftliche Challenges von KI werden erwähnt, aber nicht explizit als Schadensvermeidungsregel ausbuchstabiert.</t>
  </si>
  <si>
    <t>A: VAL_08=1 wegen expliziter Risikobenennung. B: VAL_08=0, weil kein klarer Harm-Prevention-Standard genannt wird. Gewählt: B, konservativ evidence-first.</t>
  </si>
  <si>
    <t>Privacy/Confidentiality stehen direkt nach dem AI-Abschnitt, aber ohne expliziten KI-Bezug.</t>
  </si>
  <si>
    <t>A: VAL_06/17=1 wegen unmittelbarer thematischer Nähe. B: VAL_06/17=0 wegen fehlendem KI-Anker. Gewählt: B, gemäß KI-Anker-Regel.</t>
  </si>
  <si>
    <t>Der Verweis auf den „SAP Global Human Rights Commitment Statement“ steht im AI-Abschnitt, enthält aber selbst keine inhaltliche Human-Rights-Aussage zu KI.</t>
  </si>
  <si>
    <t>A: VAL_18=1 wegen explizitem Human-Rights-Referenzpunkt im AI-Kontext. B: VAL_18=0, weil nur ein Dokumenttitel genannt wird. Gewählt: B, konservativ, da keine substanzielle Textaussage vorliegt.</t>
  </si>
  <si>
    <t>Menschliche Intervention/Kontrolle wird explizit über Governance-Mechanismen entlang des Lifecycles abgesichert.</t>
  </si>
  <si>
    <t>S. 4; S. 12</t>
  </si>
  <si>
    <t>Verantwortung ist als Prinzip benannt und durch Accountability-Zuweisung/Assessments konkretisiert.</t>
  </si>
  <si>
    <t>Offenlegung von KI-Interaktion sowie Kommunikation von Zweck/Fähigkeiten/Grenzen; kein eigener Vollzugsschritt dokumentiert.</t>
  </si>
  <si>
    <t>Erklärbarkeit ist ausdrücklich genannt, aber nur in weicher „we strive“-Form ohne konkrete Prozessik.</t>
  </si>
  <si>
    <t>Fairness wird mit konkreten Assess-/Monitor-Maßnahmen über den Lifecycle operationalisiert.</t>
  </si>
  <si>
    <t>Privacy ist als corporate requirement und regulatorisch gerahmt; kein spezifischer KI-Check beschrieben.</t>
  </si>
  <si>
    <t>Security ist explizit KI-bezogen und mit Qualitätssicherungsprozess/Testing verknüpft.</t>
  </si>
  <si>
    <t>S. 5; S. 6</t>
  </si>
  <si>
    <t>Schadens-/Missbrauchsvermeidung plus Testing unter Realbedingungen stützen eine konkrete Operationalisierung.</t>
  </si>
  <si>
    <t>Qualitätssicherung und Real-World-Testing adressieren Robustheit/Reliability klar.</t>
  </si>
  <si>
    <t>Kein explizites Einspruchs-, Beschwerde- oder Redress-Mechanismus für KI-Entscheidungen.</t>
  </si>
  <si>
    <t>Keine explizite KI-bezogene Aussage zu Accessibility oder inklusivem Design.</t>
  </si>
  <si>
    <t>Nachhaltigkeit wird KI-bezogen adressiert; keine konkrete Sustainability-Assessment- oder Kontrollmechanik dokumentiert.</t>
  </si>
  <si>
    <t>Gesellschaftlicher Nutzen/Verbesserung von Leben wird als Zielbild beschrieben.</t>
  </si>
  <si>
    <t>S. 9; S. 5</t>
  </si>
  <si>
    <t>Regulatorische Anforderungen und Rechts-/Normbezug sind klar, aber ohne ausdifferenzierte Rechts-Compliance-Prozesslogik.</t>
  </si>
  <si>
    <t>S. 2; S. 5</t>
  </si>
  <si>
    <t>Ethische Leitplanken und Vermeidung unangemessener Nutzung sind vorhanden; keine expliziten Red-Line-Prozesse.</t>
  </si>
  <si>
    <t>Keine explizite KI-bezogene Evidenz zu Datenqualität, Repräsentativität oder Data-Governance-Mechanik.</t>
  </si>
  <si>
    <t>Kein expliziter KI-bezogener IP-/Confidentiality-Anker.</t>
  </si>
  <si>
    <t>Menschenrechtsbezug wird ausdrücklich KI-lifecycle-bezogen mit Maßnahmen verknüpft.</t>
  </si>
  <si>
    <t>Es sollen Mechanismen für menschliche Intervention und Kontrolle bestehen.</t>
  </si>
  <si>
    <t>“governance mechanism to achieve human intervention and control”</t>
  </si>
  <si>
    <t>Entscheidungen und Empfehlungen der KI sollen verständlich erklärt werden.</t>
  </si>
  <si>
    <t>“clear and understandable explanations of recommendations and decisions”</t>
  </si>
  <si>
    <t>Fairness soll entlang des Lifecycles aktiv geprüft und überwacht werden.</t>
  </si>
  <si>
    <t>“put measures in place to assess and monitor fairness”</t>
  </si>
  <si>
    <t>Nachhaltigkeitspolitiken sollen in jeder KI-Lifecycle-Phase beachtet werden.</t>
  </si>
  <si>
    <t>“ensure that SAP’s sustainability policies are being followed”</t>
  </si>
  <si>
    <t>KI soll positiven Nutzen für Menschen entfalten.</t>
  </si>
  <si>
    <t>“help the world run better and improve people’s lives”</t>
  </si>
  <si>
    <t>Über den gesamten KI-Lifecycle sollen Maßnahmen an den Menschenrechtsrahmen gebunden sein.</t>
  </si>
  <si>
    <t>“remain true to our human rights commitment statement”</t>
  </si>
  <si>
    <t>“ultimate accountability for high-risk use cases”; “not meant to completely replace human responsibility and accountability”; “impact and policy compliance assessments”</t>
  </si>
  <si>
    <t>Für Hochrisikofälle ist finale Verantwortlichkeit auf Board-Ebene benannt.; Es gibt explizite Impact- und Policy-Compliance-Assessments.; KI soll menschliche Verantwortung nicht ersetzen.</t>
  </si>
  <si>
    <t>“end users are made aware about their interaction with an AI System”; “input, capabilities, intended purpose, and limitations will be communicated clearly”</t>
  </si>
  <si>
    <t>Nutzer sollen erkennen können, dass sie mit KI interagieren.; Transparenz über Einsatz/Zweck</t>
  </si>
  <si>
    <t>“Data protection and privacy are a corporate requirement”; “commitment to all applicable regulatory requirements”</t>
  </si>
  <si>
    <t>Datenschutz und Privacy werden als verbindliche Unternehmensanforderung beschrieben.; Lawfulness/Compliance</t>
  </si>
  <si>
    <t>“quality, safety, reliability, and security”; “subject to our quality assurance process”</t>
  </si>
  <si>
    <t>Sicherheit wird als Standard für KI-Systeme hervorgehoben.; KI-Systeme unterliegen einem Qualitätssicherungsprozess.</t>
  </si>
  <si>
    <t>“prevent any inappropriate use”; “undergo thorough testing under real world scenarios”</t>
  </si>
  <si>
    <t>Unangemessene Nutzung der Technologie soll verhindert werden.; Testing/Robustheit</t>
  </si>
  <si>
    <t>“undergo thorough testing under real world scenarios”; “subject to our quality assurance process”</t>
  </si>
  <si>
    <t>KI-Systeme werden unter realen Bedingungen getestet.; Check-/Kontrollmechanik</t>
  </si>
  <si>
    <t>“commitment to all applicable regulatory requirements”; “remain true to our human rights commitment statement”</t>
  </si>
  <si>
    <t>Privacy/Datenschutz werden mit regulatorischen Anforderungen verknüpft.; Expliziter Human-Rights-Anker</t>
  </si>
  <si>
    <t>“deep and continuous engagement with the wider ethical and socioeconomic challenges of AI”; “prevent any inappropriate use”</t>
  </si>
  <si>
    <t>SAP rahmt KI als ethische Daueraufgabe jenseits bloßer Rechtserfüllung.; Unangemessene Nutzung der Technologie soll verhindert werden.</t>
  </si>
  <si>
    <t>S. 4; S. 10</t>
  </si>
  <si>
    <t>S. 12; S. 6; S. 7</t>
  </si>
  <si>
    <t>S. 13</t>
  </si>
  <si>
    <t>Kein KI-spezifischer Kontakt-, Stufen- oder Eskalationsprozess dokumentiert.</t>
  </si>
  <si>
    <t>Kein expliziter KI-Reportgegenstand, keine Frequenz und keine Berichtsempfängerstruktur dokumentiert.</t>
  </si>
  <si>
    <t>Mehrere KI-Governance-Rollen mit Aufgaben/Freigabebezug beschrieben</t>
  </si>
  <si>
    <t>Hochrisiko-Freigabe und lifecycle-bezogene Oversight-Logik dokumentiert</t>
  </si>
  <si>
    <t>Assessments, Qualitätssicherungsprozess und Fairness-Monitoring sind konkrete Checks</t>
  </si>
  <si>
    <t>Assessments werden erwähnt</t>
  </si>
  <si>
    <t>keine Auditmechanik, Frequenz oder Verantwortlichkeitsroutine</t>
  </si>
  <si>
    <t>Kurse/Lernmaterialien werden bereitgestellt</t>
  </si>
  <si>
    <t>Zielgruppe/Pflichtgrad/Programmstruktur fehlen</t>
  </si>
  <si>
    <t>keine berichteten Ergebnisse/Protokolle</t>
  </si>
  <si>
    <t>keine KPI-/Reviewzyklen</t>
  </si>
  <si>
    <t>“impact and policy compliance assessments”</t>
  </si>
  <si>
    <t>“provide courses and learning materials accessible for everyone”</t>
  </si>
  <si>
    <t>“ultimate accountability for high-risk use cases”; “Orchestrate governance process”</t>
  </si>
  <si>
    <t>“Approves high-risk use cases”; “governance mechanism to achieve human intervention and control”</t>
  </si>
  <si>
    <t>“impact and policy compliance assessments”; “subject to our quality assurance process”; “put measures in place to assess and monitor fairness”</t>
  </si>
  <si>
    <t>VAL_02 / GOV_03 / GOV_04</t>
  </si>
  <si>
    <t>„impact and policy compliance assessments“ kann zugleich als konkreter Check und als allgemeine Audit-/Assessment-Aktivität gelesen werden.</t>
  </si>
  <si>
    <t>A: nur GOV_04=1. B: GOV_03=2 und GOV_04=1. Gewählt: B, da der Checktyp konkret genug für GOV_03 ist; als Audit bleibt mangels Mechanik/Frequenz nur Score 1.</t>
  </si>
  <si>
    <t>Verantwortung kann als Wertprinzip oder als organisatorische Zuständigkeitslogik codiert werden.</t>
  </si>
  <si>
    <t>A: nur VAL_02=1. B: VAL_02=1 und GOV_01=2. Gewählt: B, gemäß Regel Value↔Governance: Prinzip = VAL_02, benannte Rollen/Gremien = GOV_01.</t>
  </si>
  <si>
    <t>Die Seite bündelt Transparenz und Explainability; Abgrenzung zwischen Offenlegung und Erklärbarkeit ist nötig.</t>
  </si>
  <si>
    <t>A: nur VAL_03=1. B: VAL_03=1 und VAL_04=1. Gewählt: B, da Disclosure („made aware“) und Erklärungen von Entscheidungen zwei eigenständige normative Kerne darstellen.</t>
  </si>
  <si>
    <t>„ensure that ... policies are being followed“ klingt operational, benennt aber keinen konkreten Sustainability-Check.</t>
  </si>
  <si>
    <t>A: BIND=3 wegen lifecycle-bezogener Sicherung. B: BIND=2 wegen normativer Vorgabe ohne expliziten Vollzugsschritt. Gewählt: B, konservativ nach BIND-Regel.</t>
  </si>
  <si>
    <t>Das Dokument spricht stark von „ethical AI“, aber Codebook schließt reine Responsible-AI-Rhetorik aus.</t>
  </si>
  <si>
    <t>A: VAL_15=0 wegen bloßer Ethikrhetorik. B: VAL_15=1, weil „prevent any inappropriate use“ eine normative Grenze markiert. Gewählt: B, aber konservativ nur mit BIND=2.</t>
  </si>
  <si>
    <t>Kurse und Lernmaterialien sind genannt, aber Pflichtgrad und Programmstruktur fehlen.</t>
  </si>
  <si>
    <t>A: GOV_05=1. B: GOV_05=2. Gewählt: A, da Score 2 laut Rubrik Zielgruppe plus Pflicht/Struktur erfordert.</t>
  </si>
  <si>
    <t>S. 42; S. 43</t>
  </si>
  <si>
    <t>Human control ist explizit als Prinzip benannt; zusätzliche Prozessintegration in Produkt-/Risikoprozesse belegt höhere Bindigkeit als reine Rhetorik.</t>
  </si>
  <si>
    <t>Verantwortung wird ausdrücklich adressiert; Operationalisierung bleibt auf Anforderungs-/Prozessintegrationsebene.</t>
  </si>
  <si>
    <t>Transparenz ist Prinzip und Teil der integrierten Responsible-AI-Kontrollen; keine konkrete Offenlegungsroutine im Dokument selbst.</t>
  </si>
  <si>
    <t>S. 42</t>
  </si>
  <si>
    <t>Explainability ist explizit genannt, aber ohne konkretisierten Prozess, Tool oder Pflichtcheck.</t>
  </si>
  <si>
    <t>Fairness ist klar als Prinzip enthalten; darüber hinaus keine spezifische Fairness-Prüflogik im Dokument.</t>
  </si>
  <si>
    <t>S. 42; S. 49</t>
  </si>
  <si>
    <t>KI-bezogener Privacy-Wert ist nicht nur prinzipiell, sondern über AI-Fragebogen und verpflichtenden PLM-Meilenstein operationalisiert.</t>
  </si>
  <si>
    <t>Security ist expliziter Responsible-AI-Wert; zentrale kontrollierte GenAI-Plattformen stützen eine anforderungsbezogene Bindigkeit.</t>
  </si>
  <si>
    <t>Risikofrüherkennung und Gegensteuerung werden benannt; kein eigenständiger Safety-Prozess im Dokument ausgewiesen.</t>
  </si>
  <si>
    <t>Robustheit/Reliability ist explizit Prinzip; zusätzlich werden Anforderungen integriert und AI-Use-Cases auditbezogen geprüft.</t>
  </si>
  <si>
    <t>Kein expliziter KI-bezogener Einspruchs-, Beschwerde- oder Redress-Mechanismus nachweisbar.</t>
  </si>
  <si>
    <t>Inklusion ist ausdrücklich genannt; Accessibility im engeren Sinn bleibt jedoch unbelegt.</t>
  </si>
  <si>
    <t>Umweltwirkung von KI wird positiv gerahmt; keine Green-AI-Prozess- oder Ressourcenlogik im Dokument.</t>
  </si>
  <si>
    <t>S. 41–42</t>
  </si>
  <si>
    <t>Positive gesellschaftliche Wirkung wird direkt als Ziel von Responsible AI beschrieben.</t>
  </si>
  <si>
    <t>S. 41; S. 43; S. 49</t>
  </si>
  <si>
    <t>Rechtsbezug (EU AI Act) ist explizit; zusätzliche Prozess-/PLM-Anbindung stützt eine bindigere Einordnung, aber ohne voll ausdifferenzierte Compliance-Mechanik.</t>
  </si>
  <si>
    <t>Ethischer KI-Einsatz ist eindeutig benannt; spezifische „do-not“-Grenzen oder Verbotskataloge fehlen.</t>
  </si>
  <si>
    <t>Datenqualität/-kontrolle ist im KI-Prinzip enthalten; konkrete Data-Stewardship- oder Lineage-Prozesse werden nicht nachgewiesen.</t>
  </si>
  <si>
    <t>Kein expliziter KI-bezogener IP-/Confidentiality-Wert im Dokumenttext.</t>
  </si>
  <si>
    <t>Kein ausdrücklicher Menschenrechtsrahmen für KI im AI-Abschnitt nachweisbar.</t>
  </si>
  <si>
    <t>Erklärungen der KI-Rationale werden gefordert.</t>
  </si>
  <si>
    <t>“explaining the rationale of AI solutions”</t>
  </si>
  <si>
    <t>Fairness wird explizit in den Responsible-AI-Prinzipien genannt.</t>
  </si>
  <si>
    <t>“Ensure diversity, fairness, and inclusion”</t>
  </si>
  <si>
    <t>Risiken und unerwünschte Effekte sollen früh adressiert werden.</t>
  </si>
  <si>
    <t>“address these risks at an early stage”</t>
  </si>
  <si>
    <t>Inklusion wird als eigenes Responsible-AI-Ziel benannt.</t>
  </si>
  <si>
    <t>“foster inclusiveness and shared benefit”</t>
  </si>
  <si>
    <t>KI soll positive ökologische Wirkung entfalten.</t>
  </si>
  <si>
    <t>“positive economic, societal, and environmental impact”</t>
  </si>
  <si>
    <t>Ethischer KI-Einsatz wird ausdrücklich verlangt.</t>
  </si>
  <si>
    <t>“Promote the ethical use of AI technologies”</t>
  </si>
  <si>
    <t>Datenqualität/-kontrolle wird ausdrücklich gefordert.</t>
  </si>
  <si>
    <t>“(quality) control, and accountability of their data”</t>
  </si>
  <si>
    <t>“enable effective human control and decision-making”; “integrate our Responsible AI Principles and controls into our product and solutions development, procurement, and risk management processes”</t>
  </si>
  <si>
    <t>Menschliche Kontrolle soll technisch ermöglicht werden.; Responsible-AI-Kontrollen werden in Kernprozesse integriert.</t>
  </si>
  <si>
    <t>Verantwortungsübernahme soll über klare Policies/Prozesse gestützt werden.; Responsible-AI-Kontrollen werden in Kernprozesse integriert.</t>
  </si>
  <si>
    <t>Transparenz wird als Responsible-AI-Prinzip benannt.; Responsible-AI-Kontrollen werden in Kernprozesse integriert.</t>
  </si>
  <si>
    <t>“Make policies and processes clear and accessible”; “integrate our Responsible AI Principles and controls into our product and solutions development, procurement, and risk management processes”</t>
  </si>
  <si>
    <t>“Endorse transparency and explainable AI”; “integrate our Responsible AI Principles and controls into our product and solutions development, procurement, and risk management processes”</t>
  </si>
  <si>
    <t>“Promote comprehensive data governance and privacy”; “introduced an AI developer questionnaire”;“adding an AI questionnaire”</t>
  </si>
  <si>
    <t>Datenschutz ist Teil der Responsible-AI-Prinzipien.; Ein KI-spezifischer Prüfbaustein wurde eingeführt.; Lieferanten-/Partnerprüfung wurde KI-spezifisch ergänzt.</t>
  </si>
  <si>
    <t>“standards for security and safety”; “central internal Generative AI platform solutions”</t>
  </si>
  <si>
    <t>Sicherheitsanforderungen werden für KI ausdrücklich formuliert.; GenAI-Nutzung wird über zentrale Plattformlösungen gesteuert.</t>
  </si>
  <si>
    <t>“accuracy, reliability, and robustness”; “integrate our Responsible AI Principles and controls into our product and solutions development, procurement, and risk management processes”; “mandated and conducted an audit on Trustworthy AI”</t>
  </si>
  <si>
    <t>Robustheit und Verlässlichkeit werden als Ziel genannt.; Prozessintegration; Ein AI-spezifisches Audit wurde tatsächlich durchgeführt.</t>
  </si>
  <si>
    <t>“achieve positive sustainability impacts”; “positive economic, societal, and environmental impact”</t>
  </si>
  <si>
    <t>KI wird als Hebel für positive Nachhaltigkeitswirkungen beschrieben.; KI soll positive ökologische Wirkung entfalten.</t>
  </si>
  <si>
    <t>“legal requirements, like the EU AI Act”; “integrate our Responsible AI Principles and controls into our product and solutions development, procurement, and risk management processes”; “mandatory milestone in the global Siemens Product Lifecycle Management (PLM) process”</t>
  </si>
  <si>
    <t>Responsible-AI-Prinzipien werden mit Regulierung verknüpft.; Prozessintegration; Privacy-by-design ist als verpflichtender PLM-Meilenstein verankert.</t>
  </si>
  <si>
    <t>Zentrale GenAI-Plattformen sowie AI-Questionnaires für Entwickler und Partner sind konkrete AI-Checks/Mechanismen.</t>
  </si>
  <si>
    <t>S. 43</t>
  </si>
  <si>
    <t>Kein AI-spezifischer Eskalations-, Incident- oder Hotline-Prozess nachweisbar.</t>
  </si>
  <si>
    <t>Kein AI-spezifischer Reportgegenstand, keine Frequenz und keine Empfängerstruktur belegt.</t>
  </si>
  <si>
    <t>“offer tailored trainings focused on (Generative) AI”</t>
  </si>
  <si>
    <t>“cross-functional Generative AI Governance task force”; “oversees the evaluation, development, and implementation”</t>
  </si>
  <si>
    <t>“oversees the evaluation, development, and implementation”; “integrate our Responsible AI Principles and controls into our product and solutions development, procurement, and risk management processes”; “mandatory milestone in the global Siemens Product Lifecycle Management (PLM) process”</t>
  </si>
  <si>
    <t>“central internal Generative AI platform solutions”; “introduced an AI developer questionnaire”; “adding an AI questionnaire”</t>
  </si>
  <si>
    <t>“mandated and conducted an audit on Trustworthy AI”; “evaluating the governance for AI at Siemens”</t>
  </si>
  <si>
    <t>AI-Governance-Task-Force ist mit AI-bezogenem Aufgabenprofil benannt</t>
  </si>
  <si>
    <t>Reporting-/Routinebelege fehlen.</t>
  </si>
  <si>
    <t>Evaluations-, Integrations- und PLM-Meilensteinlogik sind dokumentiert</t>
  </si>
  <si>
    <t>keine regelmäßigen KPI-/Reviewzyklen belegt.</t>
  </si>
  <si>
    <t>Ein AI-spezifisches Audit ist explizit belegt</t>
  </si>
  <si>
    <t>Frequenz, Auditverantwortliche und Zyklus bleiben offen.</t>
  </si>
  <si>
    <t>KI-Trainings werden ausdrücklich angeboten</t>
  </si>
  <si>
    <t>Pflichtgrad, Zielgruppenstruktur und Completion-Nachweise fehlen.</t>
  </si>
  <si>
    <t>„Transparency and explainable AI“ steht in einer gemeinsamen Formulierung.</t>
  </si>
  <si>
    <t>A: nur VAL_03=1. B: VAL_03=1 und VAL_04=1. Gewählt: B, weil der Codebook-Unterschied zwischen Offenlegung/Identifizierbarkeit (VAL_03) und Erklärbarkeit/Rationale (VAL_04) im Text beides trägt.</t>
  </si>
  <si>
    <t>Die Passage koppelt fairness und inclusion; Accessibility im engeren Sinn fehlt.</t>
  </si>
  <si>
    <t>A: nur VAL_05=1. B: VAL_05=1 und VAL_11=1. Gewählt: B, da „inclusiveness“ explizit genannt wird; BIND bleibt konservativ bei 1, weil Accessibility/Designmechanik fehlt.</t>
  </si>
  <si>
    <t>BIND bei VAL_01/02/03/07/09/14</t>
  </si>
  <si>
    <t>Reicht die Existenz von „Responsible Generative AI Requirements“ schon für BIND=3?</t>
  </si>
  <si>
    <t>A: BIND=3 wegen „Requirements“. B: BIND=2, weil zwar Anforderungen/Integration benannt sind, aber keine konkreten Schrittfolgen pro Wert dokumentiert werden. Gewählt: B, konservativ nach BIND-Regel.</t>
  </si>
  <si>
    <t>VAL_06 / GOV_03 / GOV_02</t>
  </si>
  <si>
    <t>Der AI developer questionnaire ist zugleich Privacy-Wert, Tool/Check und Prozesselement.</t>
  </si>
  <si>
    <t>A: nur GOV_03=2. B: VAL_06=1 plus GOV_03=2 plus GOV_02=2. Gewählt: B, da der Fragebogen sowohl inhaltlich Privacy-Risiken adressiert als auch als konkreter Check in einem Pflichtprozess verankert ist.</t>
  </si>
  <si>
    <t>GOV_03 / GOV_04 / VAL_09</t>
  </si>
  <si>
    <t>Das Audit ist ein Check, aber auch Auditaktivität; zudem stützt es Robustheit/Trustworthiness.</t>
  </si>
  <si>
    <t>A: nur GOV_04=1. B: GOV_04=1 und zusätzlich VAL_09 stützen; GOV_03 nur über andere Mechanismen. Gewählt: B, weil das Audit Robustheits-/Trustworthiness-Bezug hat, aber für GOV_03 bereits stärkere Tool-Evidenz über Fragebögen/Plattformen vorliegt.</t>
  </si>
  <si>
    <t>Die Formulierungen verbinden Umwelt-, Sozial- und Wirtschaftsbezug.</t>
  </si>
  <si>
    <t>A: nur VAL_13=1. B: VAL_12=1 und VAL_13=1. Gewählt: B, da der Text explizit „environmental“ und „societal“ im KI-Kontext benennt; BIND bleibt jeweils nur 1.</t>
  </si>
  <si>
    <t>Mensch-KI-Team und begrenzte Autonomie werden benannt; keine explizite Override-/Interventionslogik.</t>
  </si>
  <si>
    <t>Policy- und Pflichtbezug sind vorhanden; konkrete Rollen-/Owner-Zuweisung fehlt.</t>
  </si>
  <si>
    <t>Transparenz und ehrliche Kommunikation über KI-Fähigkeiten sind ausdrücklich formuliert.</t>
  </si>
  <si>
    <t>Keine explizite Evidenz zu Erklärbarkeit von Entscheidungen/Empfehlungen.</t>
  </si>
  <si>
    <t>Keine klare KI-bezogene Fairness-/Bias-Aussage; Partnerschafts-Fairness reicht konservativ nicht aus.</t>
  </si>
  <si>
    <t>Anonymisierung, verbindliche GDPR-Prinzipien, Consent-Rechte und privacy by design/default sind konkret belegt.</t>
  </si>
  <si>
    <t>Standardisierte Sicherheitsprozedur, ISO-zertifiziertes Cybersecurity-Management und SDL sprechen für konkrete Operationalisierung.</t>
  </si>
  <si>
    <t>Regulierter Test- und Zulassungsprozess sowie Sicherheitsnachweis im Patientenkontext sind klar dokumentiert.</t>
  </si>
  <si>
    <t>S. 3; S. 6; S. 8</t>
  </si>
  <si>
    <t>Hohe wissenschaftliche Standards, Datenqualitätsarbeit und laufendes Performance-Monitoring stützen robuste KI.</t>
  </si>
  <si>
    <t>Consent-Rechte beziehen sich auf Datennutzung, nicht auf Anfechtung von KI-Entscheidungen.</t>
  </si>
  <si>
    <t>Zugänglichkeit „für Patienten überall“ ist benannt; keine Accessibility-Standards oder inklusiven Designprozesse.</t>
  </si>
  <si>
    <t>Nachhaltige Infrastruktur (100 % erneuerbarer Strom) ist deskriptiv, aber nicht als KI-Ethikprinzip operationalisiert.</t>
  </si>
  <si>
    <t>Patientennutzen, Public Health und medizinischer Fortschritt sind explizit als Zweckbild beschrieben.</t>
  </si>
  <si>
    <t>S. 6; S. 9</t>
  </si>
  <si>
    <t>Regulierter Zulassungsprozess plus weltweit verbindliche interne GDPR-Direktiven belegen starke Normbindung.</t>
  </si>
  <si>
    <t>Ethische Erwartungen, menschliche Werte und zweckgebundene Datennutzung sind klar formuliert; keine Red-Line-Logik.</t>
  </si>
  <si>
    <t>Datenprüfung, Annotation, standardisierte Prozeduren und Lifecycle-Kontrollpunkte sind konkret beschrieben.</t>
  </si>
  <si>
    <t>Vertraulichkeit erscheint als Datenschutz-/Security-Aspekt, nicht als eigenständiger KI-IP-/Confidentiality-Wert.</t>
  </si>
  <si>
    <t>Rechte- und Souveränitätsbezug vorhanden, aber kein expliziter Menschenrechtsrahmen für KI.</t>
  </si>
  <si>
    <t>S. 3; S. 9-10</t>
  </si>
  <si>
    <t>S. 4; S. 9-10</t>
  </si>
  <si>
    <t>S. 8-9</t>
  </si>
  <si>
    <t>S. 3-5</t>
  </si>
  <si>
    <t>Mensch und KI werden als gemeinsames Team gerahmt.</t>
  </si>
  <si>
    <t>“healthcare professionals together with AI solutions are a strong team.”</t>
  </si>
  <si>
    <t>Algorithmen werden reguliert getestet und zugelassen.</t>
  </si>
  <si>
    <t>“government-regulated testing and approval process”</t>
  </si>
  <si>
    <t>KI soll für Patient:innen breit zugänglich sein.</t>
  </si>
  <si>
    <t>“make AI solutions accessible to patients everywhere.”</t>
  </si>
  <si>
    <t>“Our AI factory is run by a strict corporate policy”; “are mandatory for Siemens Healthineers worldwide”</t>
  </si>
  <si>
    <t>Die KI-Fabrik sei an eine strikte Unternehmenspolicy gebunden.; Rechtlich-normativer Standard</t>
  </si>
  <si>
    <t>“AI development needs to be transparent.”; “speak honestly about the capabilities of our AI solutions.”</t>
  </si>
  <si>
    <t>KI-Entwicklung soll transparent sein.; Über Fähigkeiten der KI soll offen kommuniziert werden.</t>
  </si>
  <si>
    <t>“rigorous anonymization process”; “are mandatory for Siemens Healthineers worldwide”; “right to grant or revoke consent”</t>
  </si>
  <si>
    <t>Vor Forschungseinsatz werden Daten anonymisiert.; GDPR-Prinzipien sind weltweit intern verpflichtend.; Individuen sollen Transparenz und Kontrolle über Gesundheitsdaten haben.</t>
  </si>
  <si>
    <t>“rigorous, standardized procedure”; “ISO-certified cybersecurity management system”; “secure development lifecycle (SDL)”</t>
  </si>
  <si>
    <t>Vor Nutzung greift ein standardisiertes Integritäts-/Sicherheitsverfahren.; Security-/Cybersecurity-Anker; Entwicklungspraktiken umfassen SDL sowie privacy by design/default.</t>
  </si>
  <si>
    <t>“highest scientific standards.”; “thoroughly examine each data point”</t>
  </si>
  <si>
    <t>Wissenschaftliche Standards werden als Maßstab benannt.; Data quality / governance</t>
  </si>
  <si>
    <t>“support patients’ desires for more personalized medicine”; “serves the public interest and our public health.”</t>
  </si>
  <si>
    <t>KI soll personalisierte Medizin und Patientennutzen fördern.; KI-Entwicklung wird mit öffentlichem Interesse und Public Health verknüpft.</t>
  </si>
  <si>
    <t>“government-regulated testing and approval process”; “Our AI factory is run by a strict corporate policy”; “are mandatory for Siemens Healthineers worldwide”</t>
  </si>
  <si>
    <t>Algorithmen werden reguliert getestet und zugelassen.; Compliance-/Policy-Anker; Rechtlich-normativer Standard</t>
  </si>
  <si>
    <t>“balanced with ethical expectations and human values.”; “We only use data in a purpose-bound manner”</t>
  </si>
  <si>
    <t>KI-Autonomie soll an Ethik und menschliche Werte gebunden bleiben.; Ethical-use-/Integrity-Anker</t>
  </si>
  <si>
    <t>“thoroughly examine each data point”; “rigorous, standardized procedure”; “Validate data”</t>
  </si>
  <si>
    <t>Daten werden qualitätsgesichert und annotiert.; Vor Nutzung greift ein standardisiertes Integritäts-/Sicherheitsverfahren.; Prozessschritte inkl. Register, Curate, KPIs, Control access</t>
  </si>
  <si>
    <t>Teams/Expert:innen werden erwähnt, aber keine klaren AI-Rollen mit Zuständigkeitsprofilen.</t>
  </si>
  <si>
    <t>S. 5; S. 6; S. 10</t>
  </si>
  <si>
    <t>Training zu Cybersecurity/Datenschutz ist belegt, aber nicht explizit als KI-spezifisches Schulungsprogramm.</t>
  </si>
  <si>
    <t>Kein KI-spezifischer Eskalations- oder Incident-Prozess nachweisbar.</t>
  </si>
  <si>
    <t>Keine KI-spezifische Reporting-Struktur, keine Reports, KPIs oder Berichtsempfänger benannt.</t>
  </si>
  <si>
    <t>Data-Lifecycle, 7-Step-Algorithmusprozess und SDL sind dokumentiert</t>
  </si>
  <si>
    <t>keine regelmäßigen Review-/KPI-Nachweise, daher nicht 3.</t>
  </si>
  <si>
    <t>Standardisierte Prozeduren, Datenvalidierung/KPIs/Kontrollpunkte sowie SDL sind konkrete Checks</t>
  </si>
  <si>
    <t>keine Nachweisberichte, daher nicht 3.</t>
  </si>
  <si>
    <t>Regulierter Test-/Zulassungsprozess ist assessment-nah erwähnt</t>
  </si>
  <si>
    <t>keine Auditfrequenz oder Auditarchitektur, daher nicht 2/3.</t>
  </si>
  <si>
    <t>S. 4-5; S. 10</t>
  </si>
  <si>
    <t>“Validate data”; “seven key steps”; “secure development lifecycle (SDL)”</t>
  </si>
  <si>
    <t>“rigorous, standardized procedure”; “Validate data”; “secure development lifecycle (SDL)”</t>
  </si>
  <si>
    <t>„strong team“ und begrenzte Autonomie deuten auf menschliche Einbindung, nennen aber keine explizite Intervention/Override.</t>
  </si>
  <si>
    <t>A: VAL_01=1, BIND=1. B: VAL_01=0. Gewählt: A, da der Human-AI-Teamgedanke und Autonomiebegrenzung einen klaren Oversight-Kern tragen, aber nur auf Statement-Niveau.</t>
  </si>
  <si>
    <t>„fair access“ und „foundation of fairness and transparency“ betreffen Partnerschaften, nicht eindeutig algorithmische Fairness/Bias.</t>
  </si>
  <si>
    <t>A: VAL_05=1. B: VAL_05=0. Gewählt: B, konservativ nach KI-Wertdefinition; Fairnessbezug ist nicht klar modell-/entscheidungsbezogen.</t>
  </si>
  <si>
    <t>„100 % Renewable electricity“ beschreibt nachhaltige AI-Infrastruktur, aber kein explizites Ethikprinzip oder Governance-Standard.</t>
  </si>
  <si>
    <t>A: VAL_12=1, BIND=1. B: VAL_12=0. Gewählt: B, da deskriptive Infrastrukturangabe ohne normativen KI-Prinzipienbezug.</t>
  </si>
  <si>
    <t>VAL_10 / VAL_06</t>
  </si>
  <si>
    <t>Das Recht, Einwilligung zu erteilen oder zu widerrufen, ist datenschutzrechtlich stark, aber keine Anfechtung von KI-Ergebnissen.</t>
  </si>
  <si>
    <t>A: VAL_10=1. B: VAL_06=1 und VAL_10=0. Gewählt: B, da der Fokus auf Datenverarbeitung/Consent liegt, nicht auf contestability von AI outputs.</t>
  </si>
  <si>
    <t>Training ist vorhanden, aber nicht eindeutig AI-spezifisch.</t>
  </si>
  <si>
    <t>A: GOV_05=1. B: GOV_05=0. Gewählt: B, konservativ nach KI-Anker-Regel; das Training bezieht sich auf Cybersecurity/Data Protection allgemein.</t>
  </si>
  <si>
    <t>Regulierter Test-/Zulassungsprozess ist review-nah, aber kein Audit im engeren Sinn.</t>
  </si>
  <si>
    <t>A: GOV_04=1. B: GOV_04=0. Gewählt: A, da eine formale Prüf-/Approval-Logik ausdrücklich genannt ist; für Score 2/3 fehlen Auditmechanik und Nachweisroutine.</t>
  </si>
  <si>
    <t>Vertraulichkeit erscheint im Kontext von Datenschutz/Security, aber nicht als eigenständiger IP-/Confidentiality-Wert.</t>
  </si>
  <si>
    <t>A: VAL_17=1. B: VAL_17=0. Gewählt: B, da der Text primär Privacy/Security operationalisiert.</t>
  </si>
  <si>
    <t>S. 2.</t>
  </si>
  <si>
    <t>Human oversight ist explizit genannt, aber ohne Prozess- oder Interventionsmechanik.</t>
  </si>
  <si>
    <t>Accountability wird ausdrücklich genannt, aber ohne Rollen-/Owner-Zuweisung.</t>
  </si>
  <si>
    <t>Nutzung und Zweck von KI sollen transparent sein; reine Prinzipienformulierung.</t>
  </si>
  <si>
    <t>Keine explizite Aussage zur Erklärbarkeit von Outputs, Entscheidungen oder Modelllogik.</t>
  </si>
  <si>
    <t>Fairness ist ausdrücklich benannt; keine konkrete Bias-/Prüfmechanik.</t>
  </si>
  <si>
    <t>Datenschutz in KI-Systemen wird klar genannt, aber ohne operative Ausgestaltung.</t>
  </si>
  <si>
    <t>Keine explizite Aussage zu Cybersecurity, Angriffsschutz oder Manipulationsschutz von KI-Systemen.</t>
  </si>
  <si>
    <t>Safety wird ausdrücklich genannt; Formulierung bleibt auf Ziel-/Prinzipienebene.</t>
  </si>
  <si>
    <t>Technische Robustheit ist explizit genannt; „clear and measurable criteria“ reicht hier nicht für höhere Bindigkeit.</t>
  </si>
  <si>
    <t>Kein Einspruchs-, Beschwerde- oder Redress-Mechanismus erkennbar.</t>
  </si>
  <si>
    <t>Keine explizite Accessibility-/Teilhabe-Aussage zu KI-Systemen.</t>
  </si>
  <si>
    <t>Umwelt- und Nachhaltigkeitsbezug ist im KI-Kontext ausdrücklich formuliert.</t>
  </si>
  <si>
    <t>„Society“ und „human labor“ sind vorhanden, aber kein klarer Nutzen-/Well-being-Satz im engeren Codebook-Sinn.</t>
  </si>
  <si>
    <t>Compliance-Kontakt allein belegt keine KI-spezifische Rechts-/Regelkonformitätsnorm.</t>
  </si>
  <si>
    <t>Der respektvolle, komplementäre Einsatz von KI markiert eine ethische Leitplanke jenseits bloßer Responsible-AI-Rhetorik.</t>
  </si>
  <si>
    <t>Keine Aussage zu Datenqualität, Herkunft, Repräsentativität oder Dataset-Governance.</t>
  </si>
  <si>
    <t>Kein expliziter KI-bezogener IP-/Confidentiality-Bezug.</t>
  </si>
  <si>
    <t>Menschenrechte werden ausdrücklich als für KI anwendbar benannt.</t>
  </si>
  <si>
    <t>Human Oversight und Accountability werden explizit genannt.</t>
  </si>
  <si>
    <t>“We enable human oversight and accountability”</t>
  </si>
  <si>
    <t>Zweck und Nutzung von KI sollen transparent sein.</t>
  </si>
  <si>
    <t>“make the usage and purpose of AI transparent”</t>
  </si>
  <si>
    <t>Fairness und Diversity werden als Maßstab für KI genannt.</t>
  </si>
  <si>
    <t>“Our AI systems are in line with our values in diversity and fairness”</t>
  </si>
  <si>
    <t>Datenschutz wird ausdrücklich auf KI-Systeme bezogen.</t>
  </si>
  <si>
    <t>“We respect and enable the protection of data within AI systems”</t>
  </si>
  <si>
    <t>Safety und technische Robustheit werden mit Kriterien verknüpft.</t>
  </si>
  <si>
    <t>“ensure safety and technical robustness through clear and measurable criteria”</t>
  </si>
  <si>
    <t>KI wird mit Nachhaltigkeit und Umweltbezug verknüpft.</t>
  </si>
  <si>
    <t>“Our AI systems are in line with our efforts for sustainability and the environment”</t>
  </si>
  <si>
    <t>KI soll menschliche Arbeit ergänzen und vorsichtig eingeführt werden.</t>
  </si>
  <si>
    <t>“We respect human labor with careful and complementary introduction of AI systems”</t>
  </si>
  <si>
    <t>Menschenrechte werden ausdrücklich auf KI-Systeme bezogen.</t>
  </si>
  <si>
    <t>“Our commitments to society and human rights apply”</t>
  </si>
  <si>
    <t>Keine AI-bezogene Rolle, Einheit oder Ownership benannt.</t>
  </si>
  <si>
    <t>Keine Prozessschritte, Freigaben, Lifecycle-Logik oder Trigger dokumentiert.</t>
  </si>
  <si>
    <t>„clear and measurable criteria“ deutet Anforderungen an, benennt aber keinen Checktyp, Einsatzzeitpunkt oder Mechanismus.</t>
  </si>
  <si>
    <t>Keine Audit-, Assessment- oder Review-Mechanik genannt.</t>
  </si>
  <si>
    <t>Kein Training, keine Awareness-Maßnahme und kein Schulungsprogramm erwähnt.</t>
  </si>
  <si>
    <t>Allgemeine Compliance-Kontaktadresse vorhanden, aber kein expliziter AI-spezifischer Eskalationsweg.</t>
  </si>
  <si>
    <t>Kein Reporting, keine KPIs und keine Disclosure-Struktur zu KI benannt.</t>
  </si>
  <si>
    <t>VAL_09 / GOV_03</t>
  </si>
  <si>
    <t>„clear and measurable criteria“ kann als reine Wertkonkretisierung oder als allgemeiner Checkhinweis gelesen werden.</t>
  </si>
  <si>
    <t>A: VAL_09=1, BIND=1 und GOV_03=1. B: VAL_09=1, BIND=1 und GOV_03=0. Gewählt: B, da kein klar benannter Checktyp, Einsatzzeitpunkt oder Mechanismus vorliegt.</t>
  </si>
  <si>
    <t>VAL_18 / VAL_13</t>
  </si>
  <si>
    <t>Die Passage nennt sowohl society als auch human rights. Unklar ist, ob daraus zusätzlich Social Benefit folgt.</t>
  </si>
  <si>
    <t>A: VAL_18=1 und VAL_13=1. B: nur VAL_18=1. Gewählt: B, da kein konkreter Nutzen-/Well-being-Satz formuliert ist; „society“ allein reicht konservativ nicht.</t>
  </si>
  <si>
    <t>VAL_15 / VAL_13 / VAL_11</t>
  </si>
  <si>
    <t>Die Passage kann als ethische Leitplanke, sozialer Nutzen oder Teilhabe/Inklusion gelesen werden.</t>
  </si>
  <si>
    <t>A: VAL_15=1. B: VAL_13=1 oder VAL_11=1. Gewählt: A, da der Satz primär eine normative Grenze für den KI-Einsatz markiert, nicht Accessibility oder expliziten Well-being-Nutzen.</t>
  </si>
  <si>
    <t>Transparenz über Nutzung/Zweck kann nah an Explainability liegen.</t>
  </si>
  <si>
    <t>A: VAL_03=1 und VAL_04=1. B: nur VAL_03=1. Gewählt: B, da keine Erklärung von Outputs, Entscheidungslogik oder Modellverhalten verlangt wird.</t>
  </si>
  <si>
    <t>GOV_06 / VAL_14</t>
  </si>
  <si>
    <t>Die allgemeine Compliance-Mailadresse könnte als Eskalations- oder Compliance-Anker gelesen werden.</t>
  </si>
  <si>
    <t>A: GOV_06=1 und/oder VAL_14=1. B: GOV_06=0 und VAL_14=0. Gewählt: B, da weder AI-spezifischer Eskalationsprozess noch KI-bezogene Compliance-Norm erkennbar sind.</t>
  </si>
  <si>
    <t>VAL_01 / VAL_02 / GOV_01</t>
  </si>
  <si>
    <t>Accountability ist explizit genannt, aber ohne organisatorische Zuständigkeitslogik.</t>
  </si>
  <si>
    <t>A: VAL_01=1, VAL_02=1 und GOV_01=1. B: VAL_01=1 und VAL_02=1, GOV_01=0. Gewählt: B, da Werte klar benannt sind, aber keine Rolle/Einheit/Ownership im Governance-Sinn.</t>
  </si>
  <si>
    <t>Menschliche Kontrolle und Eingriffsmöglichkeit werden in MLOps-/Ops-Prozessen konkret abgesichert.</t>
  </si>
  <si>
    <t>S. 11; S. 14</t>
  </si>
  <si>
    <t>Verantwortliche für ML-Modelle und ein zentrales Fairness-Team sind explizit benannt.</t>
  </si>
  <si>
    <t>S. 11; S. 21</t>
  </si>
  <si>
    <t>Transparenz wird intern über Dokumentation/ML-Plattform und extern über Erklärhinweise im Kaufprozess operationalisiert.</t>
  </si>
  <si>
    <t>S. 21; S. 56</t>
  </si>
  <si>
    <t>Erklärungen zu datenbasierten Empfehlungen sind direkt in den Produktfluss eingebettet.</t>
  </si>
  <si>
    <t>S. 10–14; S. 31; S. 43</t>
  </si>
  <si>
    <t>Bias wird erhoben, analysiert, gemessen, korrigiert und über Metriken/Assessments überwacht.</t>
  </si>
  <si>
    <t>S. 17; S. 31; S. 43</t>
  </si>
  <si>
    <t>KI-/ML-bezogene Privacy-Pipelines, Vulnerability-Tests und AIaaS-Kontrollen sind konkret dokumentiert.</t>
  </si>
  <si>
    <t>Allgemeine Security-Passagen sind vorhanden, aber kein hinreichend klarer KI-/ML-spezifischer Security-Anker.</t>
  </si>
  <si>
    <t>S. 12; S. 40; S. 43</t>
  </si>
  <si>
    <t>Potenzielle Schäden, Präventionsmaßnahmen, Harm-Sources und unethisches Nutzerverhalten werden systematisch adressiert.</t>
  </si>
  <si>
    <t>S. 13; S. 31; S. 39</t>
  </si>
  <si>
    <t>Kontinuierliches Monitoring, Metriken und regelmäßige Prüfungen komplexer Modelle stützen Robustheit/Reliability.</t>
  </si>
  <si>
    <t>Keine explizite Anfechtungs-, Beschwerde- oder Redress-Struktur für KI-/ML-Entscheidungen.</t>
  </si>
  <si>
    <t>Inklusions- und Accessibility-Passagen im Bericht sind überwiegend nicht KI-/ML-spezifisch.</t>
  </si>
  <si>
    <t>Kein klarer KI-/ML-bezogener Nachhaltigkeits- oder Umweltwert nachweisbar.</t>
  </si>
  <si>
    <t>Kund*innennutzen erscheint punktuell, aber nicht hinreichend klar als eigenständiger KI-/ML-Wertanker.</t>
  </si>
  <si>
    <t>S. 15; S. 23; S. 43; S. 44</t>
  </si>
  <si>
    <t>AI-Act-Bezug, interne Privacy Principles und zusätzliche AI-Governance-Maßnahmen zeigen konkrete Compliance-Operationalisierung.</t>
  </si>
  <si>
    <t>S. 43; S. 44; S. 56</t>
  </si>
  <si>
    <t>Responsible/ethical AI wird explizit adressiert; konkrete Verbots- oder Red-Line-Struktur bleibt unbelegt.</t>
  </si>
  <si>
    <t>S. 11; S. 17; S. 31</t>
  </si>
  <si>
    <t>Dataset-Dokumentation, Bewertungs-Pipelines und Metrik-/Monitoringlogiken belegen starke Operationalisierung.</t>
  </si>
  <si>
    <t>Kein expliziter KI-/ML-bezogener IP- oder Confidentiality-Wert.</t>
  </si>
  <si>
    <t>Kein ausdrücklicher menschenrechtlicher KI-/ML-Rahmen in den relevanten Passagen.</t>
  </si>
  <si>
    <t>MLOps gewährleistet Monitoring und frühes Eingreifen durch verantwortliche Teams.</t>
  </si>
  <si>
    <t>“kontinuierliches Monitoring und frühzeitiges Eingreifen”</t>
  </si>
  <si>
    <t>“Informationen und Verantwortliche für unsere Machine-Learning-Modelle”; “zentrale Team ‘Algorithmic Privacy &amp; Fairness’”</t>
  </si>
  <si>
    <t>Die ML-Plattform weist Modellinformationen und Verantwortliche aus.; Explizite AI/ML-Zuständigkeit</t>
  </si>
  <si>
    <t>“mögliche Bias, dokumentieren die Ergebnisse intern transparent”; “Informationen und Verantwortliche für unsere Machine-Learning-Modelle”; “erklären innerhalb des Kaufprozesses, welche Daten wir verwendet haben”</t>
  </si>
  <si>
    <t>Algorithmische Bias werden analysiert, intern dokumentiert und auf Akzeptierbarkeit bewertet.; Explainability-/Erklärungsanker; Responsibility + Transparency + Tool</t>
  </si>
  <si>
    <t>“erklären innerhalb des Kaufprozesses, welche Daten wir verwendet haben”; “Weiterbildung ‘Verantwortungsvolle KI’”</t>
  </si>
  <si>
    <t>Kund*innen wird im Kaufprozess erklärt, welche Daten für Empfehlungen genutzt wurden.; Es gibt Responsible-AI-Trainings und Onboarding für Applied Science.</t>
  </si>
  <si>
    <t>“jährlich eine Befragung zum Bewusstsein für die ethischen Risiken des maschinellen Lernens”; “mögliche Bias, dokumentieren die Ergebnisse intern transparent”; “potenzieller Schäden und der Sensibilität von Daten priorisieren”; “identifiziert, misst und korrigiert”</t>
  </si>
  <si>
    <t>Zalando erhebt jährlich Awareness zu ethischen Risiken von ML und leitet Trainings daraus ab.; Fairness + Dokumentation + Check; Für ML-Datensätze werden Dokumentationsmethoden getestet.; Starker Fairness-/Check-/Training-Anker</t>
  </si>
  <si>
    <t>“Pipeline zur Bewertung von Fairness und Datenschutz”; “Datenschutz-Schwachstellen von Machine-Learning-Modellen zu testen”; “kontinuierliche Überwachung ... Datenschutz-Schwachstellen und Fairness-Metriken”</t>
  </si>
  <si>
    <t>Es gibt eine Fairness- und Datenschutz-Bewertungspipeline für ein konkretes Projekt.; KI-spezifischer Privacy-Check; Konkreter Monitoring-/Metrikanker</t>
  </si>
  <si>
    <t>“potenzieller Schäden und der Sensibilität von Daten priorisieren”; “Schadensquellen und Quellen von Verzerrungen”; “Schadensquellen und Quellen von Verzerrungen”</t>
  </si>
  <si>
    <t>Systeme werden nach potenziellen Schäden und Datensensibilität priorisiert; Präventionsmaßnahmen werden durchgeführt.; Verantwortungsvolles ML wird geschult; behandelt werden Schadensquellen, Bias, Fairness, Vertrauen und ML-Privacy-Risiken.; Ethical-use-/Fairness-Anker</t>
  </si>
  <si>
    <t>“kontinuierliches Monitoring und frühzeitiges Eingreifen”; “kontinuierliche Überwachung ... Datenschutz-Schwachstellen und Fairness-Metriken”; “interne und externe Auditoren, die regelmäßig”</t>
  </si>
  <si>
    <t>MLOps gewährleistet Monitoring und frühes Eingreifen durch verantwortliche Teams.; Konkreter Monitoring-/Metrikanker; Konkreter Monitoring-/Metrikanker</t>
  </si>
  <si>
    <t>“Rechtssicherheit im Kontext der EU-Verordnung über Künstliche Intelligenz”; “abstrakte rechtliche Bestimmungen zum Datenschutz”; “zusätzliche AI-Governance-Maßnahmen”</t>
  </si>
  <si>
    <t>Standards sollen Rechtssicherheit im Kontext des EU AI Act erhöhen.; Data Privacy Principles übersetzen abstrakte rechtliche Bestimmungen in interne Leitlinien.; Konkreter AI-Governance-/Compliance-Anker</t>
  </si>
  <si>
    <t>“zusätzliche AI-Governance-Maßnahmen”; “wie Fairness und Voreingenommenheit (Bias)”; “DIN-Normung für verantwortungsvolle ML-Entwicklung”</t>
  </si>
  <si>
    <t>Für AIaaS/LLMs gelten zusätzliche AI-Governance-Maßnahmen aus dem AI-Act-Programm.; Ethical-use-/Fairness-Anker; Zalando engagiert sich in ETAMI und DIN für verantwortungsvolle ML-Entwicklung.</t>
  </si>
  <si>
    <t>“Dokumentationsmethoden für Datensätze”; “Pipeline zur Bewertung von Fairness und Datenschutz”; “kontinuierliche Überwachung ... Datenschutz-Schwachstellen und Fairness-Metriken”</t>
  </si>
  <si>
    <t>Für ML-Datensätze werden Dokumentationsmethoden getestet.; Es gibt eine Fairness- und Datenschutz-Bewertungspipeline für ein konkretes Projekt.; Ein internes Toolkit überwacht Privacy-Schwachstellen und Fairness-Metriken kontinuierlich.</t>
  </si>
  <si>
    <t>S. 11; S. 14; S. 22</t>
  </si>
  <si>
    <t>Zentrales Algorithmic Privacy &amp; Fairness Team, Modellverantwortliche und eingebettete Koordinator*innen sind benannt; keine Nachweislogik für Regeltermine/Reports.</t>
  </si>
  <si>
    <t>Produktentwicklungszyklus, Priorisierungslogik, MLOps und AIaaS-Governance sind dokumentiert; keine KPI-/Reviewberichte → nicht 3.</t>
  </si>
  <si>
    <t>S. 11; S. 14; S. 17; S. 31</t>
  </si>
  <si>
    <t>ML-Plattform, Assessments, Bewertungspipeline, Privacy-Vulnerability-Tool und Fairness-Metriken sind konkrete Checks; keine Ergebnis-/Reportnachweise → nicht 3.</t>
  </si>
  <si>
    <t>S. 39</t>
  </si>
  <si>
    <t>Regelmäßige interne und externe Audits/Prüfungen komplexer Modelle/Use Cases sind dokumentiert; keine Auditberichte/KPI-Outputs → nicht 3.</t>
  </si>
  <si>
    <t>S. 10; S. 14; S. 40; S. 56</t>
  </si>
  <si>
    <t>Mehrere KI-/ML-spezifische Trainingsformate, teils regelmäßig und teils zielgruppenspezifisch; keine Completion-/Reportnachweise → nicht 3.</t>
  </si>
  <si>
    <t>Frühes Eingreifen ist beschrieben, aber kein expliziter KI-/ML-spezifischer Eskalationspfad mit Stufen/Anlaufstellen.</t>
  </si>
  <si>
    <t>Kein implementiertes KI-/ML-Reporting, keine AI-Reports oder KPI-Disclosure-Struktur.</t>
  </si>
  <si>
    <t>S. 11113; S. 43</t>
  </si>
  <si>
    <t>Zentrales Algorithmic Privacy &amp; Fairness Team, Modellverantwortliche und eingebettete Koordinator*innen sind benannt</t>
  </si>
  <si>
    <t>keine Nachweislogik für Regeltermine/Reports.</t>
  </si>
  <si>
    <t>Produktentwicklungszyklus, Priorisierungslogik, MLOps und AIaaS-Governance sind dokumentiert</t>
  </si>
  <si>
    <t xml:space="preserve">keine KPI-/Reviewberichte </t>
  </si>
  <si>
    <t>ML-Plattform, Assessments, Bewertungspipeline, Privacy-Vulnerability-Tool und Fairness-Metriken sind konkrete Checks</t>
  </si>
  <si>
    <t xml:space="preserve">keine Ergebnis-/Reportnachweise </t>
  </si>
  <si>
    <t>Regelmäßige interne und externe Audits/Prüfungen komplexer Modelle/Use Cases sind dokumentiert</t>
  </si>
  <si>
    <t xml:space="preserve">keine Auditberichte/KPI-Outputs </t>
  </si>
  <si>
    <t>Mehrere KI-/ML-spezifische Trainingsformate, teils regelmäßig und teils zielgruppenspezifisch</t>
  </si>
  <si>
    <t>keine Completion-/Reportnachweise</t>
  </si>
  <si>
    <t>“interne und externe Auditoren, die regelmäßig”</t>
  </si>
  <si>
    <t>“während des gesamten Produktentwicklungszyklus”; “Informationen und Verantwortliche für unsere Machine-Learning-Modelle”; “zentrale Team ‘Algorithmic Privacy &amp; Fairness’”; “eingebettete Datenschutzkoordinator*innen”</t>
  </si>
  <si>
    <t>“während des gesamten Produktentwicklungszyklus”; “potenzieller Schäden und der Sensibilität von Daten priorisieren”; “kontinuierliches Monitoring und frühzeitiges Eingreifen”; “zusätzliche AI-Governance-Maßnahmen”</t>
  </si>
  <si>
    <t>“mögliche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t>
  </si>
  <si>
    <t>“jährlich eine Befragung zum Bewusstsein für die ethischen Risiken des maschinellen Lernens”; “identifiziert, misst und korrigiert”; “Schadensquellen und Quellen von Verzerrungen”; “Weiterbildung ‘Verantwortungsvolle 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</si>
</sst>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0" xfId="0" applyFill="1" applyBorder="1"/>
    <xf numFmtId="0" fontId="0" fillId="4" borderId="0" xfId="0" applyFill="1" applyBorder="1"/>
    <xf numFmtId="0" fontId="0" fillId="2" borderId="0" xfId="0" applyFill="1" applyBorder="1"/>
    <xf numFmtId="0" fontId="0" fillId="0" borderId="0" xfId="0" applyBorder="1"/>
  </cellXfs>
  <cellStyles count="1">
    <cellStyle name="Standard" xfId="0" builtinId="0"/>
  </cellStyles>
  <dxfs count="40">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rgb="FFDAF2D0"/>
          <bgColor rgb="FF000000"/>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9"/>
    <tableColumn id="5" xr3:uid="{1B3C9A2D-DF88-4E06-B0EF-3525113D0681}" name="industry_detail" dataDxfId="38"/>
    <tableColumn id="6" xr3:uid="{967B7F66-7E83-4117-AF93-D44A5214E26B}" name="hq_country" dataDxfId="37"/>
    <tableColumn id="7" xr3:uid="{93FC8DC6-D939-4F19-8CD1-78BFAC7BF713}" name="dax_member_as_of_date"/>
    <tableColumn id="9" xr3:uid="{1AE89A45-B6BF-407A-BFE3-8B1D0FF7087C}" name="Marktkapitalisierung in Mio. € (Stand: 04.01.2026)" dataDxfId="36"/>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colorFilter dxfId="35"/>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4"/>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3"/>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2"/>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1045" totalsRowShown="0">
  <autoFilter ref="A1:K1045" xr:uid="{794649AF-DA1E-48ED-8099-0B33A67C2B55}"/>
  <tableColumns count="11">
    <tableColumn id="1" xr3:uid="{B25DAA88-1496-4A1D-9CDC-F3F7FC263E6B}" name="company_id" dataDxfId="31"/>
    <tableColumn id="2" xr3:uid="{C403EEEA-311E-4936-9681-331B844B0893}" name="doc_id" dataDxfId="30"/>
    <tableColumn id="3" xr3:uid="{06C75828-DC84-408A-817F-C1DB23B8E593}" name="value_id" dataDxfId="29"/>
    <tableColumn id="4" xr3:uid="{F51FA92F-A9DB-48FF-894C-B05D1F7CB091}" name="value_present" dataDxfId="28"/>
    <tableColumn id="5" xr3:uid="{EDEB478B-823A-4414-9B33-6C8500F4A064}" name="binding_level" dataDxfId="27"/>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6"/>
    <tableColumn id="10" xr3:uid="{852F73B7-B49E-466F-B2C5-1DD6216E5DEF}" name="notes"/>
    <tableColumn id="11" xr3:uid="{804E6649-063F-44AA-B9CC-713F2123053D}" name="value_points" dataDxfId="25">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407" totalsRowShown="0">
  <autoFilter ref="A1:I407"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369" totalsRowShown="0">
  <autoFilter ref="A1:J369"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721" totalsRowShown="0">
  <autoFilter ref="A1:G72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4">
      <calculatedColumnFormula>IF(Tabelle18[[#This Row],[binding_level_company]]&gt;=1,1,0)</calculatedColumnFormula>
    </tableColumn>
    <tableColumn id="4" xr3:uid="{57C3D191-F2E8-43DB-A883-B6EFD2FD0A34}" name="binding_level_company" dataDxfId="23">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2">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tableColumn id="2" xr3:uid="{E59C8DC0-5747-4272-B0BB-E2DF629DF822}" name="gov_crit_id"/>
    <tableColumn id="3" xr3:uid="{E0FAAC11-A54F-432E-A9F0-E764DEC324B2}" name="doc_id_primary_evidence"/>
    <tableColumn id="4" xr3:uid="{0C7ED326-FAB0-431F-8875-6C92C5249661}" name="score_0_3"/>
    <tableColumn id="5" xr3:uid="{66962E15-31F9-43EB-BAAE-38FEA4A1F93F}" name="evidence_quote"/>
    <tableColumn id="6" xr3:uid="{FBA737C0-187C-4155-9768-1DD21D5C7BB2}" name="evidence_loc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dataDxfId="21">
      <calculatedColumnFormula>_xlfn.XLOOKUP(Tabelle8[[#This Row],[company_id]],'00_DAX_Master'!A:A,'00_DAX_Master'!D:D)</calculatedColumnFormula>
    </tableColumn>
    <tableColumn id="3" xr3:uid="{00B38A82-5FE2-4A9D-BD2C-75C7C716FA37}" name="values_raw_points" dataDxfId="20">
      <calculatedColumnFormula>SUMIF('03b_Values_Company_Level'!E:E,'03b_Values_Company_Level'!A:A,Tabelle8[[#This Row],[company_id]])</calculatedColumnFormula>
    </tableColumn>
    <tableColumn id="4" xr3:uid="{07D74540-FCE8-45CD-81E0-9EBDC51759F0}" name="values_max_points" dataDxfId="19">
      <calculatedColumnFormula>(COUNTA('02_Values_Codebook'!A:A)-1)*3</calculatedColumnFormula>
    </tableColumn>
    <tableColumn id="5" xr3:uid="{5D9B4697-9784-4EF7-9C63-C3CE63563C3C}" name="convergence_index_0_1" dataDxfId="18">
      <calculatedColumnFormula>Tabelle8[[#This Row],[values_raw_points]]/Tabelle8[[#This Row],[values_max_points]]</calculatedColumnFormula>
    </tableColumn>
    <tableColumn id="6" xr3:uid="{606FD58E-B2AB-401F-B1F0-BA796F03FD52}" name="gov_points_sum" dataDxfId="17">
      <calculatedColumnFormula>SUMIF(Tabelle7[[#This Row],[score_0_3]],Tabelle7[[#This Row],[company_id]],Tabelle8[[#This Row],[company_id]])</calculatedColumnFormula>
    </tableColumn>
    <tableColumn id="7" xr3:uid="{F0AC04B4-A92E-4E8F-9B76-9B19CD8BC4DA}" name="gov_index_0_100" dataDxfId="16">
      <calculatedColumnFormula xml:space="preserve"> (Tabelle8[[#This Row],[gov_points_sum]]/21)*100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5"/>
    <tableColumn id="2" xr3:uid="{88EA2C3D-FF7D-45DE-B6F7-BB1229554F82}" name="doc_id" dataDxfId="14"/>
    <tableColumn id="3" xr3:uid="{E23EAC11-3FE3-46C2-A886-9966BC003CDA}" name="value_id" dataDxfId="13"/>
    <tableColumn id="4" xr3:uid="{77D00F30-A9A5-47C3-B3BB-BFF34AC97B9C}" name="value_present" dataDxfId="12"/>
    <tableColumn id="5" xr3:uid="{E434E720-1C6A-4241-8ECE-D9040CCDAA2B}" name="binding_level" dataDxfId="1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0"/>
    <tableColumn id="10" xr3:uid="{7F3AA6F7-EE79-4770-860B-817A57FFE071}" name="notes"/>
    <tableColumn id="11" xr3:uid="{26B53E04-6A5F-4A1D-9E7B-B4A2316116E1}" name="value_points" dataDxfId="9">
      <calculatedColumnFormula>Tabelle52[[#This Row],[value_present]]*Tabelle52[[#This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8"/>
    <tableColumn id="2" xr3:uid="{28144327-D237-4B65-948E-9055C5BCCA4B}" name="doc_id" dataDxfId="7"/>
    <tableColumn id="3" xr3:uid="{7356C4A2-D4E8-4678-B63A-A2F57CF7A60F}" name="value_id" dataDxfId="6"/>
    <tableColumn id="4" xr3:uid="{DBC3A27D-F748-40F1-9045-6F4A050BD2E3}" name="value_present" dataDxfId="5"/>
    <tableColumn id="5" xr3:uid="{C3681E92-2973-41CD-A350-4DB5D313885C}" name="binding_level" dataDxfId="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3"/>
    <tableColumn id="10" xr3:uid="{26B78528-5CF0-490F-B3B8-7A22E5217B5F}" name="notes"/>
    <tableColumn id="11" xr3:uid="{BD49E03A-F982-49D3-A92C-C4CCC90D083D}" name="value_points" dataDxfId="2">
      <calculatedColumnFormula>Tabelle5225[[#This Row],[value_present]]*Tabelle5225[[#This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topLeftCell="A10" workbookViewId="0">
      <selection activeCell="B23" sqref="B23"/>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topLeftCell="A37" workbookViewId="0">
      <selection activeCell="A39" sqref="A39:XFD3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1361</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1363</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1363</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1363</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1363</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1363</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1363</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4333</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837</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833</v>
      </c>
      <c r="L122" s="4" t="s">
        <v>262</v>
      </c>
      <c r="M122" s="4"/>
      <c r="N122" s="4"/>
      <c r="O122" t="s">
        <v>1363</v>
      </c>
    </row>
    <row r="123" spans="1:15" x14ac:dyDescent="0.25">
      <c r="A123" s="4">
        <v>95</v>
      </c>
      <c r="B123" s="4">
        <v>15</v>
      </c>
      <c r="C123" s="4" t="s">
        <v>815</v>
      </c>
      <c r="D123" s="4" t="s">
        <v>247</v>
      </c>
      <c r="E123" s="4" t="s">
        <v>793</v>
      </c>
      <c r="F123" s="4" t="s">
        <v>449</v>
      </c>
      <c r="G123" s="4" t="s">
        <v>449</v>
      </c>
      <c r="H123" s="4" t="s">
        <v>258</v>
      </c>
      <c r="I123" s="4" t="s">
        <v>816</v>
      </c>
      <c r="J123" s="4" t="s">
        <v>768</v>
      </c>
      <c r="K123" s="4" t="s">
        <v>832</v>
      </c>
      <c r="L123" s="4" t="s">
        <v>263</v>
      </c>
      <c r="M123" s="4" t="s">
        <v>266</v>
      </c>
      <c r="N123" s="4" t="s">
        <v>4713</v>
      </c>
    </row>
    <row r="124" spans="1:15" x14ac:dyDescent="0.25">
      <c r="A124" s="4">
        <v>96</v>
      </c>
      <c r="B124" s="4">
        <v>15</v>
      </c>
      <c r="C124" s="4" t="s">
        <v>817</v>
      </c>
      <c r="D124" s="4" t="s">
        <v>250</v>
      </c>
      <c r="E124" s="4" t="s">
        <v>793</v>
      </c>
      <c r="F124" s="4">
        <v>2024</v>
      </c>
      <c r="G124" s="4" t="s">
        <v>819</v>
      </c>
      <c r="H124" s="4" t="s">
        <v>258</v>
      </c>
      <c r="I124" s="4" t="s">
        <v>818</v>
      </c>
      <c r="J124" s="4" t="s">
        <v>768</v>
      </c>
      <c r="K124" s="4" t="s">
        <v>838</v>
      </c>
      <c r="L124" s="4" t="s">
        <v>262</v>
      </c>
      <c r="M124" s="4"/>
      <c r="N124" s="4"/>
    </row>
    <row r="125" spans="1:15" x14ac:dyDescent="0.25">
      <c r="A125" s="4">
        <v>97</v>
      </c>
      <c r="B125" s="4">
        <v>15</v>
      </c>
      <c r="C125" s="4" t="s">
        <v>834</v>
      </c>
      <c r="D125" s="4" t="s">
        <v>253</v>
      </c>
      <c r="E125" s="4" t="s">
        <v>793</v>
      </c>
      <c r="F125" s="10">
        <v>45324</v>
      </c>
      <c r="G125" s="4" t="s">
        <v>449</v>
      </c>
      <c r="H125" s="4" t="s">
        <v>258</v>
      </c>
      <c r="I125" s="4" t="s">
        <v>836</v>
      </c>
      <c r="J125" s="4" t="s">
        <v>768</v>
      </c>
      <c r="K125" s="4" t="s">
        <v>835</v>
      </c>
      <c r="L125" s="4" t="s">
        <v>262</v>
      </c>
      <c r="M125" s="4"/>
      <c r="N125" s="4"/>
    </row>
    <row r="126" spans="1:15" hidden="1" x14ac:dyDescent="0.25">
      <c r="A126">
        <v>98</v>
      </c>
      <c r="B126">
        <v>16</v>
      </c>
      <c r="C126" t="s">
        <v>848</v>
      </c>
      <c r="D126" s="1" t="s">
        <v>254</v>
      </c>
      <c r="E126" t="s">
        <v>845</v>
      </c>
      <c r="F126" t="s">
        <v>847</v>
      </c>
      <c r="G126" t="s">
        <v>449</v>
      </c>
      <c r="H126" s="1" t="s">
        <v>258</v>
      </c>
      <c r="I126" t="s">
        <v>846</v>
      </c>
      <c r="J126" t="s">
        <v>843</v>
      </c>
      <c r="K126" t="s">
        <v>849</v>
      </c>
      <c r="L126" s="1" t="s">
        <v>263</v>
      </c>
      <c r="M126" s="1" t="s">
        <v>270</v>
      </c>
      <c r="N126" t="s">
        <v>850</v>
      </c>
    </row>
    <row r="127" spans="1:15" hidden="1" x14ac:dyDescent="0.25">
      <c r="A127">
        <v>99</v>
      </c>
      <c r="B127">
        <v>16</v>
      </c>
      <c r="C127" t="s">
        <v>840</v>
      </c>
      <c r="D127" s="1" t="s">
        <v>249</v>
      </c>
      <c r="E127" t="s">
        <v>845</v>
      </c>
      <c r="F127" t="s">
        <v>449</v>
      </c>
      <c r="G127" t="s">
        <v>449</v>
      </c>
      <c r="H127" s="1" t="s">
        <v>258</v>
      </c>
      <c r="I127" t="s">
        <v>851</v>
      </c>
      <c r="J127" t="s">
        <v>843</v>
      </c>
      <c r="K127" t="s">
        <v>852</v>
      </c>
      <c r="L127" s="1" t="s">
        <v>263</v>
      </c>
      <c r="M127" s="1" t="s">
        <v>266</v>
      </c>
    </row>
    <row r="128" spans="1:15" hidden="1" x14ac:dyDescent="0.25">
      <c r="A128">
        <v>100</v>
      </c>
      <c r="B128">
        <v>16</v>
      </c>
      <c r="C128" t="s">
        <v>841</v>
      </c>
      <c r="D128" s="1" t="s">
        <v>249</v>
      </c>
      <c r="E128" t="s">
        <v>845</v>
      </c>
      <c r="F128">
        <v>2023</v>
      </c>
      <c r="G128" t="s">
        <v>449</v>
      </c>
      <c r="H128" s="1" t="s">
        <v>258</v>
      </c>
      <c r="I128" t="s">
        <v>853</v>
      </c>
      <c r="J128" t="s">
        <v>843</v>
      </c>
      <c r="K128" t="s">
        <v>854</v>
      </c>
      <c r="L128" s="1" t="s">
        <v>263</v>
      </c>
      <c r="M128" s="1" t="s">
        <v>266</v>
      </c>
    </row>
    <row r="129" spans="1:14" hidden="1" x14ac:dyDescent="0.25">
      <c r="A129">
        <v>101</v>
      </c>
      <c r="B129">
        <v>16</v>
      </c>
      <c r="C129" t="s">
        <v>842</v>
      </c>
      <c r="D129" s="1" t="s">
        <v>252</v>
      </c>
      <c r="E129" t="s">
        <v>845</v>
      </c>
      <c r="F129">
        <v>2024</v>
      </c>
      <c r="G129" t="s">
        <v>449</v>
      </c>
      <c r="H129" s="1" t="s">
        <v>258</v>
      </c>
      <c r="I129" t="s">
        <v>856</v>
      </c>
      <c r="J129" t="s">
        <v>843</v>
      </c>
      <c r="K129" t="s">
        <v>855</v>
      </c>
      <c r="L129" s="1" t="s">
        <v>263</v>
      </c>
      <c r="M129" s="1" t="s">
        <v>266</v>
      </c>
    </row>
    <row r="130" spans="1:14" hidden="1" x14ac:dyDescent="0.25">
      <c r="A130" s="7"/>
      <c r="B130" s="7">
        <v>16</v>
      </c>
      <c r="C130" s="7"/>
      <c r="D130" s="7" t="s">
        <v>246</v>
      </c>
      <c r="E130" s="7" t="s">
        <v>845</v>
      </c>
      <c r="F130" s="7"/>
      <c r="G130" s="7"/>
      <c r="H130" s="7"/>
      <c r="I130" s="7"/>
      <c r="J130" s="7"/>
      <c r="K130" s="7"/>
      <c r="L130" s="7" t="s">
        <v>264</v>
      </c>
      <c r="M130" s="7"/>
      <c r="N130" s="7" t="s">
        <v>844</v>
      </c>
    </row>
    <row r="131" spans="1:14" hidden="1" x14ac:dyDescent="0.25">
      <c r="A131" s="7"/>
      <c r="B131" s="7">
        <v>16</v>
      </c>
      <c r="C131" s="7"/>
      <c r="D131" s="7" t="s">
        <v>247</v>
      </c>
      <c r="E131" s="7" t="s">
        <v>845</v>
      </c>
      <c r="F131" s="7"/>
      <c r="G131" s="7"/>
      <c r="H131" s="7"/>
      <c r="I131" s="7"/>
      <c r="J131" s="7"/>
      <c r="K131" s="7"/>
      <c r="L131" s="7" t="s">
        <v>264</v>
      </c>
      <c r="M131" s="7"/>
      <c r="N131" s="7" t="s">
        <v>844</v>
      </c>
    </row>
    <row r="132" spans="1:14" hidden="1" x14ac:dyDescent="0.25">
      <c r="A132" s="7"/>
      <c r="B132" s="7">
        <v>16</v>
      </c>
      <c r="C132" s="7"/>
      <c r="D132" s="7" t="s">
        <v>248</v>
      </c>
      <c r="E132" s="7" t="s">
        <v>845</v>
      </c>
      <c r="F132" s="7"/>
      <c r="G132" s="7"/>
      <c r="H132" s="7"/>
      <c r="I132" s="7"/>
      <c r="J132" s="7"/>
      <c r="K132" s="7"/>
      <c r="L132" s="7" t="s">
        <v>264</v>
      </c>
      <c r="M132" s="7"/>
      <c r="N132" s="7" t="s">
        <v>844</v>
      </c>
    </row>
    <row r="133" spans="1:14" x14ac:dyDescent="0.25">
      <c r="A133" s="4">
        <v>102</v>
      </c>
      <c r="B133" s="4">
        <v>17</v>
      </c>
      <c r="C133" s="4" t="s">
        <v>858</v>
      </c>
      <c r="D133" s="4" t="s">
        <v>247</v>
      </c>
      <c r="E133" s="4" t="s">
        <v>359</v>
      </c>
      <c r="F133" s="4" t="s">
        <v>870</v>
      </c>
      <c r="G133" s="4" t="s">
        <v>736</v>
      </c>
      <c r="H133" s="4" t="s">
        <v>258</v>
      </c>
      <c r="I133" s="4" t="s">
        <v>864</v>
      </c>
      <c r="J133" s="4" t="s">
        <v>843</v>
      </c>
      <c r="K133" s="4" t="s">
        <v>871</v>
      </c>
      <c r="L133" s="4" t="s">
        <v>262</v>
      </c>
      <c r="M133" s="4"/>
      <c r="N133" s="4" t="s">
        <v>863</v>
      </c>
    </row>
    <row r="134" spans="1:14" hidden="1" x14ac:dyDescent="0.25">
      <c r="A134">
        <v>103</v>
      </c>
      <c r="B134">
        <v>17</v>
      </c>
      <c r="C134" t="s">
        <v>859</v>
      </c>
      <c r="D134" s="1" t="s">
        <v>249</v>
      </c>
      <c r="E134" t="s">
        <v>359</v>
      </c>
      <c r="F134">
        <v>2025</v>
      </c>
      <c r="G134" t="s">
        <v>449</v>
      </c>
      <c r="H134" s="1" t="s">
        <v>258</v>
      </c>
      <c r="I134" t="s">
        <v>865</v>
      </c>
      <c r="J134" t="s">
        <v>843</v>
      </c>
      <c r="K134" t="s">
        <v>873</v>
      </c>
      <c r="L134" s="1" t="s">
        <v>263</v>
      </c>
      <c r="M134" s="1" t="s">
        <v>267</v>
      </c>
      <c r="N134" t="s">
        <v>872</v>
      </c>
    </row>
    <row r="135" spans="1:14" hidden="1" x14ac:dyDescent="0.25">
      <c r="A135">
        <v>104</v>
      </c>
      <c r="B135">
        <v>17</v>
      </c>
      <c r="C135" t="s">
        <v>860</v>
      </c>
      <c r="D135" s="1" t="s">
        <v>252</v>
      </c>
      <c r="E135" t="s">
        <v>359</v>
      </c>
      <c r="F135" t="s">
        <v>449</v>
      </c>
      <c r="G135" t="s">
        <v>449</v>
      </c>
      <c r="H135" s="1" t="s">
        <v>258</v>
      </c>
      <c r="I135" t="s">
        <v>866</v>
      </c>
      <c r="J135" t="s">
        <v>843</v>
      </c>
      <c r="K135" t="s">
        <v>874</v>
      </c>
      <c r="L135" s="1" t="s">
        <v>263</v>
      </c>
      <c r="M135" s="1" t="s">
        <v>267</v>
      </c>
      <c r="N135" t="s">
        <v>875</v>
      </c>
    </row>
    <row r="136" spans="1:14" hidden="1" x14ac:dyDescent="0.25">
      <c r="A136">
        <v>105</v>
      </c>
      <c r="B136">
        <v>17</v>
      </c>
      <c r="C136" t="s">
        <v>861</v>
      </c>
      <c r="D136" s="1" t="s">
        <v>253</v>
      </c>
      <c r="E136" t="s">
        <v>359</v>
      </c>
      <c r="F136" t="s">
        <v>449</v>
      </c>
      <c r="G136" t="s">
        <v>449</v>
      </c>
      <c r="H136" s="1" t="s">
        <v>258</v>
      </c>
      <c r="I136" t="s">
        <v>867</v>
      </c>
      <c r="J136" t="s">
        <v>843</v>
      </c>
      <c r="K136" t="s">
        <v>876</v>
      </c>
      <c r="L136" s="1" t="s">
        <v>263</v>
      </c>
      <c r="M136" s="1" t="s">
        <v>266</v>
      </c>
    </row>
    <row r="137" spans="1:14" hidden="1" x14ac:dyDescent="0.25">
      <c r="A137">
        <v>106</v>
      </c>
      <c r="B137">
        <v>17</v>
      </c>
      <c r="C137" t="s">
        <v>862</v>
      </c>
      <c r="D137" s="1" t="s">
        <v>254</v>
      </c>
      <c r="E137" t="s">
        <v>359</v>
      </c>
      <c r="F137" t="s">
        <v>764</v>
      </c>
      <c r="G137" t="s">
        <v>449</v>
      </c>
      <c r="H137" s="1" t="s">
        <v>258</v>
      </c>
      <c r="I137" t="s">
        <v>868</v>
      </c>
      <c r="J137" t="s">
        <v>843</v>
      </c>
      <c r="K137" t="s">
        <v>877</v>
      </c>
      <c r="L137" s="1" t="s">
        <v>263</v>
      </c>
      <c r="M137" s="1" t="s">
        <v>270</v>
      </c>
    </row>
    <row r="138" spans="1:14" hidden="1" x14ac:dyDescent="0.25">
      <c r="A138">
        <v>107</v>
      </c>
      <c r="B138">
        <v>18</v>
      </c>
      <c r="C138" t="s">
        <v>879</v>
      </c>
      <c r="D138" s="1" t="s">
        <v>249</v>
      </c>
      <c r="E138" t="s">
        <v>363</v>
      </c>
      <c r="F138" t="s">
        <v>449</v>
      </c>
      <c r="G138" t="s">
        <v>449</v>
      </c>
      <c r="H138" s="1" t="s">
        <v>258</v>
      </c>
      <c r="I138" t="s">
        <v>869</v>
      </c>
      <c r="J138" t="s">
        <v>843</v>
      </c>
      <c r="K138" t="s">
        <v>889</v>
      </c>
      <c r="L138" s="1" t="s">
        <v>263</v>
      </c>
      <c r="M138" s="1" t="s">
        <v>266</v>
      </c>
    </row>
    <row r="139" spans="1:14" hidden="1" x14ac:dyDescent="0.25">
      <c r="A139">
        <v>108</v>
      </c>
      <c r="B139">
        <v>18</v>
      </c>
      <c r="C139" t="s">
        <v>880</v>
      </c>
      <c r="D139" s="1" t="s">
        <v>253</v>
      </c>
      <c r="E139" t="s">
        <v>363</v>
      </c>
      <c r="F139" t="s">
        <v>449</v>
      </c>
      <c r="G139" t="s">
        <v>449</v>
      </c>
      <c r="H139" s="1" t="s">
        <v>258</v>
      </c>
      <c r="I139" t="s">
        <v>869</v>
      </c>
      <c r="J139" t="s">
        <v>843</v>
      </c>
      <c r="K139" t="s">
        <v>890</v>
      </c>
      <c r="L139" s="1" t="s">
        <v>263</v>
      </c>
      <c r="M139" s="1" t="s">
        <v>266</v>
      </c>
    </row>
    <row r="140" spans="1:14" hidden="1" x14ac:dyDescent="0.25">
      <c r="A140">
        <v>109</v>
      </c>
      <c r="B140">
        <v>18</v>
      </c>
      <c r="C140" t="s">
        <v>881</v>
      </c>
      <c r="D140" s="1" t="s">
        <v>249</v>
      </c>
      <c r="E140" t="s">
        <v>363</v>
      </c>
      <c r="F140" t="s">
        <v>449</v>
      </c>
      <c r="G140" t="s">
        <v>449</v>
      </c>
      <c r="H140" s="1" t="s">
        <v>258</v>
      </c>
      <c r="I140" t="s">
        <v>885</v>
      </c>
      <c r="J140" t="s">
        <v>843</v>
      </c>
      <c r="K140" t="s">
        <v>891</v>
      </c>
      <c r="L140" s="1" t="s">
        <v>263</v>
      </c>
      <c r="M140" s="1" t="s">
        <v>266</v>
      </c>
    </row>
    <row r="141" spans="1:14" hidden="1" x14ac:dyDescent="0.25">
      <c r="A141">
        <v>110</v>
      </c>
      <c r="B141">
        <v>18</v>
      </c>
      <c r="C141" t="s">
        <v>882</v>
      </c>
      <c r="D141" s="1" t="s">
        <v>254</v>
      </c>
      <c r="E141" t="s">
        <v>363</v>
      </c>
      <c r="F141" t="s">
        <v>449</v>
      </c>
      <c r="G141" t="s">
        <v>449</v>
      </c>
      <c r="H141" s="1" t="s">
        <v>258</v>
      </c>
      <c r="I141" t="s">
        <v>888</v>
      </c>
      <c r="J141" t="s">
        <v>843</v>
      </c>
      <c r="K141" t="s">
        <v>892</v>
      </c>
      <c r="L141" s="1" t="s">
        <v>263</v>
      </c>
      <c r="M141" s="1" t="s">
        <v>270</v>
      </c>
    </row>
    <row r="142" spans="1:14" hidden="1" x14ac:dyDescent="0.25">
      <c r="A142">
        <v>111</v>
      </c>
      <c r="B142">
        <v>18</v>
      </c>
      <c r="C142" t="s">
        <v>883</v>
      </c>
      <c r="D142" s="1" t="s">
        <v>254</v>
      </c>
      <c r="E142" t="s">
        <v>363</v>
      </c>
      <c r="F142" t="s">
        <v>449</v>
      </c>
      <c r="G142" t="s">
        <v>449</v>
      </c>
      <c r="H142" s="1" t="s">
        <v>258</v>
      </c>
      <c r="I142" t="s">
        <v>887</v>
      </c>
      <c r="J142" t="s">
        <v>843</v>
      </c>
      <c r="K142" t="s">
        <v>893</v>
      </c>
      <c r="L142" s="1" t="s">
        <v>263</v>
      </c>
      <c r="M142" s="1" t="s">
        <v>270</v>
      </c>
    </row>
    <row r="143" spans="1:14" hidden="1" x14ac:dyDescent="0.25">
      <c r="A143">
        <v>112</v>
      </c>
      <c r="B143">
        <v>18</v>
      </c>
      <c r="C143" t="s">
        <v>884</v>
      </c>
      <c r="D143" s="1" t="s">
        <v>254</v>
      </c>
      <c r="E143" t="s">
        <v>363</v>
      </c>
      <c r="F143" t="s">
        <v>894</v>
      </c>
      <c r="G143" t="s">
        <v>449</v>
      </c>
      <c r="H143" s="1" t="s">
        <v>258</v>
      </c>
      <c r="I143" t="s">
        <v>886</v>
      </c>
      <c r="J143" t="s">
        <v>843</v>
      </c>
      <c r="K143" t="s">
        <v>895</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844</v>
      </c>
    </row>
    <row r="145" spans="1:14" hidden="1" x14ac:dyDescent="0.25">
      <c r="A145" s="7"/>
      <c r="B145" s="7">
        <v>18</v>
      </c>
      <c r="C145" s="7"/>
      <c r="D145" s="7" t="s">
        <v>247</v>
      </c>
      <c r="E145" s="7" t="s">
        <v>363</v>
      </c>
      <c r="F145" s="7"/>
      <c r="G145" s="7"/>
      <c r="H145" s="7"/>
      <c r="I145" s="7"/>
      <c r="J145" s="7"/>
      <c r="K145" s="7"/>
      <c r="L145" s="7" t="s">
        <v>264</v>
      </c>
      <c r="M145" s="7"/>
      <c r="N145" s="7" t="s">
        <v>844</v>
      </c>
    </row>
    <row r="146" spans="1:14" hidden="1" x14ac:dyDescent="0.25">
      <c r="A146" s="7"/>
      <c r="B146" s="7">
        <v>18</v>
      </c>
      <c r="C146" s="7"/>
      <c r="D146" s="7" t="s">
        <v>248</v>
      </c>
      <c r="E146" s="7" t="s">
        <v>363</v>
      </c>
      <c r="F146" s="7"/>
      <c r="G146" s="7"/>
      <c r="H146" s="7"/>
      <c r="I146" s="7"/>
      <c r="J146" s="7"/>
      <c r="K146" s="7"/>
      <c r="L146" s="7" t="s">
        <v>264</v>
      </c>
      <c r="M146" s="7"/>
      <c r="N146" s="7" t="s">
        <v>844</v>
      </c>
    </row>
    <row r="147" spans="1:14" x14ac:dyDescent="0.25">
      <c r="A147" s="4">
        <v>113</v>
      </c>
      <c r="B147" s="4">
        <v>19</v>
      </c>
      <c r="C147" s="4" t="s">
        <v>897</v>
      </c>
      <c r="D147" s="4" t="s">
        <v>247</v>
      </c>
      <c r="E147" s="4" t="s">
        <v>367</v>
      </c>
      <c r="F147" s="4" t="s">
        <v>449</v>
      </c>
      <c r="G147" s="4" t="s">
        <v>449</v>
      </c>
      <c r="H147" s="4" t="s">
        <v>258</v>
      </c>
      <c r="I147" s="4" t="s">
        <v>908</v>
      </c>
      <c r="J147" s="4" t="s">
        <v>843</v>
      </c>
      <c r="K147" s="4" t="s">
        <v>915</v>
      </c>
      <c r="L147" s="4" t="s">
        <v>262</v>
      </c>
      <c r="M147" s="4"/>
      <c r="N147" s="4"/>
    </row>
    <row r="148" spans="1:14" hidden="1" x14ac:dyDescent="0.25">
      <c r="A148">
        <v>114</v>
      </c>
      <c r="B148">
        <v>19</v>
      </c>
      <c r="C148" t="s">
        <v>898</v>
      </c>
      <c r="D148" s="1" t="s">
        <v>255</v>
      </c>
      <c r="E148" t="s">
        <v>367</v>
      </c>
      <c r="F148" t="s">
        <v>916</v>
      </c>
      <c r="G148">
        <v>4</v>
      </c>
      <c r="H148" s="1" t="s">
        <v>258</v>
      </c>
      <c r="I148" t="s">
        <v>909</v>
      </c>
      <c r="J148" t="s">
        <v>843</v>
      </c>
      <c r="K148" t="s">
        <v>917</v>
      </c>
      <c r="L148" s="1" t="s">
        <v>263</v>
      </c>
      <c r="M148" s="1" t="s">
        <v>266</v>
      </c>
    </row>
    <row r="149" spans="1:14" hidden="1" x14ac:dyDescent="0.25">
      <c r="A149">
        <v>115</v>
      </c>
      <c r="B149">
        <v>19</v>
      </c>
      <c r="C149" t="s">
        <v>899</v>
      </c>
      <c r="D149" s="1" t="s">
        <v>255</v>
      </c>
      <c r="E149" t="s">
        <v>367</v>
      </c>
      <c r="F149" t="s">
        <v>918</v>
      </c>
      <c r="G149">
        <v>1</v>
      </c>
      <c r="H149" s="1" t="s">
        <v>258</v>
      </c>
      <c r="I149" t="s">
        <v>910</v>
      </c>
      <c r="J149" t="s">
        <v>843</v>
      </c>
      <c r="K149" t="s">
        <v>919</v>
      </c>
      <c r="L149" s="1" t="s">
        <v>263</v>
      </c>
      <c r="M149" s="1" t="s">
        <v>266</v>
      </c>
    </row>
    <row r="150" spans="1:14" hidden="1" x14ac:dyDescent="0.25">
      <c r="A150">
        <v>116</v>
      </c>
      <c r="B150">
        <v>19</v>
      </c>
      <c r="C150" t="s">
        <v>900</v>
      </c>
      <c r="D150" s="1" t="s">
        <v>255</v>
      </c>
      <c r="E150" t="s">
        <v>367</v>
      </c>
      <c r="F150" t="s">
        <v>920</v>
      </c>
      <c r="G150">
        <v>4</v>
      </c>
      <c r="H150" s="1" t="s">
        <v>258</v>
      </c>
      <c r="I150" t="s">
        <v>911</v>
      </c>
      <c r="J150" t="s">
        <v>843</v>
      </c>
      <c r="K150" t="s">
        <v>921</v>
      </c>
      <c r="L150" s="1" t="s">
        <v>263</v>
      </c>
      <c r="M150" s="1" t="s">
        <v>266</v>
      </c>
    </row>
    <row r="151" spans="1:14" hidden="1" x14ac:dyDescent="0.25">
      <c r="A151">
        <v>117</v>
      </c>
      <c r="B151">
        <v>19</v>
      </c>
      <c r="C151" t="s">
        <v>901</v>
      </c>
      <c r="D151" s="1" t="s">
        <v>249</v>
      </c>
      <c r="E151" t="s">
        <v>367</v>
      </c>
      <c r="F151" s="8">
        <v>45717</v>
      </c>
      <c r="G151" t="s">
        <v>902</v>
      </c>
      <c r="H151" s="1" t="s">
        <v>258</v>
      </c>
      <c r="I151" t="s">
        <v>912</v>
      </c>
      <c r="J151" t="s">
        <v>843</v>
      </c>
      <c r="K151" t="s">
        <v>922</v>
      </c>
      <c r="L151" s="1" t="s">
        <v>263</v>
      </c>
      <c r="M151" s="1" t="s">
        <v>266</v>
      </c>
    </row>
    <row r="152" spans="1:14" hidden="1" x14ac:dyDescent="0.25">
      <c r="A152">
        <v>118</v>
      </c>
      <c r="B152">
        <v>19</v>
      </c>
      <c r="C152" t="s">
        <v>903</v>
      </c>
      <c r="D152" s="1" t="s">
        <v>254</v>
      </c>
      <c r="E152" t="s">
        <v>367</v>
      </c>
      <c r="F152" t="s">
        <v>904</v>
      </c>
      <c r="G152" t="s">
        <v>449</v>
      </c>
      <c r="H152" s="1" t="s">
        <v>258</v>
      </c>
      <c r="I152" t="s">
        <v>913</v>
      </c>
      <c r="J152" t="s">
        <v>843</v>
      </c>
      <c r="K152" t="s">
        <v>923</v>
      </c>
      <c r="L152" s="1" t="s">
        <v>263</v>
      </c>
      <c r="M152" s="1" t="s">
        <v>266</v>
      </c>
    </row>
    <row r="153" spans="1:14" hidden="1" x14ac:dyDescent="0.25">
      <c r="A153">
        <v>119</v>
      </c>
      <c r="B153">
        <v>19</v>
      </c>
      <c r="C153" t="s">
        <v>905</v>
      </c>
      <c r="D153" s="1" t="s">
        <v>254</v>
      </c>
      <c r="E153" t="s">
        <v>367</v>
      </c>
      <c r="F153" t="s">
        <v>906</v>
      </c>
      <c r="G153" t="s">
        <v>449</v>
      </c>
      <c r="H153" s="1" t="s">
        <v>258</v>
      </c>
      <c r="I153" t="s">
        <v>914</v>
      </c>
      <c r="J153" t="s">
        <v>843</v>
      </c>
      <c r="K153" t="s">
        <v>924</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907</v>
      </c>
    </row>
    <row r="155" spans="1:14" hidden="1" x14ac:dyDescent="0.25">
      <c r="A155" s="7"/>
      <c r="B155" s="7">
        <v>19</v>
      </c>
      <c r="C155" s="7"/>
      <c r="D155" s="7" t="s">
        <v>248</v>
      </c>
      <c r="E155" s="7" t="s">
        <v>367</v>
      </c>
      <c r="F155" s="7"/>
      <c r="G155" s="7"/>
      <c r="H155" s="7"/>
      <c r="I155" s="7"/>
      <c r="J155" s="7"/>
      <c r="K155" s="7"/>
      <c r="L155" s="7" t="s">
        <v>264</v>
      </c>
      <c r="M155" s="7"/>
      <c r="N155" s="7" t="s">
        <v>907</v>
      </c>
    </row>
    <row r="156" spans="1:14" hidden="1" x14ac:dyDescent="0.25">
      <c r="A156">
        <v>120</v>
      </c>
      <c r="B156">
        <v>20</v>
      </c>
      <c r="C156" t="s">
        <v>928</v>
      </c>
      <c r="D156" s="1" t="s">
        <v>249</v>
      </c>
      <c r="E156" t="s">
        <v>925</v>
      </c>
      <c r="F156" t="s">
        <v>449</v>
      </c>
      <c r="G156" t="s">
        <v>449</v>
      </c>
      <c r="H156" s="1" t="s">
        <v>258</v>
      </c>
      <c r="I156" t="s">
        <v>936</v>
      </c>
      <c r="J156" t="s">
        <v>843</v>
      </c>
      <c r="K156" t="s">
        <v>944</v>
      </c>
      <c r="L156" s="1" t="s">
        <v>263</v>
      </c>
      <c r="M156" s="1" t="s">
        <v>266</v>
      </c>
    </row>
    <row r="157" spans="1:14" hidden="1" x14ac:dyDescent="0.25">
      <c r="A157">
        <v>121</v>
      </c>
      <c r="B157">
        <v>20</v>
      </c>
      <c r="C157" t="s">
        <v>929</v>
      </c>
      <c r="D157" s="1" t="s">
        <v>249</v>
      </c>
      <c r="E157" t="s">
        <v>925</v>
      </c>
      <c r="F157" t="s">
        <v>449</v>
      </c>
      <c r="G157" t="s">
        <v>449</v>
      </c>
      <c r="H157" s="1" t="s">
        <v>258</v>
      </c>
      <c r="I157" t="s">
        <v>937</v>
      </c>
      <c r="J157" t="s">
        <v>843</v>
      </c>
      <c r="K157" t="s">
        <v>945</v>
      </c>
      <c r="L157" s="1" t="s">
        <v>263</v>
      </c>
      <c r="M157" s="1" t="s">
        <v>266</v>
      </c>
    </row>
    <row r="158" spans="1:14" x14ac:dyDescent="0.25">
      <c r="A158" s="4">
        <v>122</v>
      </c>
      <c r="B158" s="4">
        <v>20</v>
      </c>
      <c r="C158" s="4" t="s">
        <v>930</v>
      </c>
      <c r="D158" s="4" t="s">
        <v>255</v>
      </c>
      <c r="E158" s="4" t="s">
        <v>925</v>
      </c>
      <c r="F158" s="4" t="s">
        <v>449</v>
      </c>
      <c r="G158" s="4" t="s">
        <v>449</v>
      </c>
      <c r="H158" s="4" t="s">
        <v>258</v>
      </c>
      <c r="I158" s="4" t="s">
        <v>938</v>
      </c>
      <c r="J158" s="4" t="s">
        <v>843</v>
      </c>
      <c r="K158" s="4" t="s">
        <v>946</v>
      </c>
      <c r="L158" s="4" t="s">
        <v>262</v>
      </c>
      <c r="M158" s="4"/>
      <c r="N158" s="4" t="s">
        <v>927</v>
      </c>
    </row>
    <row r="159" spans="1:14" hidden="1" x14ac:dyDescent="0.25">
      <c r="A159">
        <v>123</v>
      </c>
      <c r="B159">
        <v>20</v>
      </c>
      <c r="C159" t="s">
        <v>931</v>
      </c>
      <c r="D159" s="1" t="s">
        <v>252</v>
      </c>
      <c r="E159" t="s">
        <v>925</v>
      </c>
      <c r="F159">
        <v>2023</v>
      </c>
      <c r="G159" t="s">
        <v>449</v>
      </c>
      <c r="H159" s="1" t="s">
        <v>258</v>
      </c>
      <c r="I159" t="s">
        <v>939</v>
      </c>
      <c r="J159" t="s">
        <v>843</v>
      </c>
      <c r="K159" t="s">
        <v>947</v>
      </c>
      <c r="L159" s="1" t="s">
        <v>263</v>
      </c>
      <c r="M159" s="1" t="s">
        <v>266</v>
      </c>
    </row>
    <row r="160" spans="1:14" hidden="1" x14ac:dyDescent="0.25">
      <c r="A160">
        <v>124</v>
      </c>
      <c r="B160">
        <v>20</v>
      </c>
      <c r="C160" t="s">
        <v>932</v>
      </c>
      <c r="D160" s="1" t="s">
        <v>251</v>
      </c>
      <c r="E160" t="s">
        <v>925</v>
      </c>
      <c r="F160" t="s">
        <v>449</v>
      </c>
      <c r="G160" t="s">
        <v>449</v>
      </c>
      <c r="H160" s="1" t="s">
        <v>258</v>
      </c>
      <c r="I160" t="s">
        <v>940</v>
      </c>
      <c r="J160" t="s">
        <v>843</v>
      </c>
      <c r="K160" t="s">
        <v>948</v>
      </c>
      <c r="L160" s="1" t="s">
        <v>263</v>
      </c>
      <c r="M160" s="1" t="s">
        <v>266</v>
      </c>
    </row>
    <row r="161" spans="1:14" hidden="1" x14ac:dyDescent="0.25">
      <c r="A161">
        <v>125</v>
      </c>
      <c r="B161">
        <v>20</v>
      </c>
      <c r="C161" t="s">
        <v>933</v>
      </c>
      <c r="D161" s="1" t="s">
        <v>250</v>
      </c>
      <c r="E161" t="s">
        <v>925</v>
      </c>
      <c r="F161" t="s">
        <v>449</v>
      </c>
      <c r="G161" t="s">
        <v>449</v>
      </c>
      <c r="H161" s="1" t="s">
        <v>258</v>
      </c>
      <c r="I161" t="s">
        <v>941</v>
      </c>
      <c r="J161" t="s">
        <v>843</v>
      </c>
      <c r="K161" t="s">
        <v>949</v>
      </c>
      <c r="L161" s="1" t="s">
        <v>263</v>
      </c>
      <c r="M161" s="1" t="s">
        <v>266</v>
      </c>
    </row>
    <row r="162" spans="1:14" hidden="1" x14ac:dyDescent="0.25">
      <c r="A162">
        <v>126</v>
      </c>
      <c r="B162">
        <v>20</v>
      </c>
      <c r="C162" t="s">
        <v>934</v>
      </c>
      <c r="D162" s="1" t="s">
        <v>253</v>
      </c>
      <c r="E162" t="s">
        <v>925</v>
      </c>
      <c r="F162" t="s">
        <v>449</v>
      </c>
      <c r="G162" t="s">
        <v>449</v>
      </c>
      <c r="H162" s="1" t="s">
        <v>258</v>
      </c>
      <c r="I162" t="s">
        <v>942</v>
      </c>
      <c r="J162" t="s">
        <v>843</v>
      </c>
      <c r="K162" t="s">
        <v>950</v>
      </c>
      <c r="L162" s="1" t="s">
        <v>263</v>
      </c>
      <c r="M162" s="1" t="s">
        <v>269</v>
      </c>
    </row>
    <row r="163" spans="1:14" hidden="1" x14ac:dyDescent="0.25">
      <c r="A163">
        <v>127</v>
      </c>
      <c r="B163">
        <v>20</v>
      </c>
      <c r="C163" t="s">
        <v>935</v>
      </c>
      <c r="D163" s="1" t="s">
        <v>254</v>
      </c>
      <c r="E163" t="s">
        <v>925</v>
      </c>
      <c r="F163" s="8">
        <v>43952</v>
      </c>
      <c r="G163" t="s">
        <v>449</v>
      </c>
      <c r="H163" s="1" t="s">
        <v>258</v>
      </c>
      <c r="I163" t="s">
        <v>943</v>
      </c>
      <c r="J163" t="s">
        <v>843</v>
      </c>
      <c r="K163" t="s">
        <v>951</v>
      </c>
      <c r="L163" s="1" t="s">
        <v>263</v>
      </c>
      <c r="M163" s="1" t="s">
        <v>270</v>
      </c>
    </row>
    <row r="164" spans="1:14" hidden="1" x14ac:dyDescent="0.25">
      <c r="A164" s="7"/>
      <c r="B164" s="7">
        <v>20</v>
      </c>
      <c r="C164" s="7"/>
      <c r="D164" s="7" t="s">
        <v>246</v>
      </c>
      <c r="E164" s="7" t="s">
        <v>925</v>
      </c>
      <c r="F164" s="7"/>
      <c r="G164" s="7"/>
      <c r="H164" s="7"/>
      <c r="I164" s="7"/>
      <c r="J164" s="7"/>
      <c r="K164" s="7"/>
      <c r="L164" s="7" t="s">
        <v>264</v>
      </c>
      <c r="M164" s="7"/>
      <c r="N164" s="7" t="s">
        <v>844</v>
      </c>
    </row>
    <row r="165" spans="1:14" hidden="1" x14ac:dyDescent="0.25">
      <c r="A165" s="7"/>
      <c r="B165" s="7">
        <v>20</v>
      </c>
      <c r="C165" s="7"/>
      <c r="D165" s="7" t="s">
        <v>247</v>
      </c>
      <c r="E165" s="7" t="s">
        <v>925</v>
      </c>
      <c r="F165" s="7"/>
      <c r="G165" s="7"/>
      <c r="H165" s="7"/>
      <c r="I165" s="7"/>
      <c r="J165" s="7"/>
      <c r="K165" s="7"/>
      <c r="L165" s="7" t="s">
        <v>264</v>
      </c>
      <c r="M165" s="7"/>
      <c r="N165" s="7" t="s">
        <v>844</v>
      </c>
    </row>
    <row r="166" spans="1:14" hidden="1" x14ac:dyDescent="0.25">
      <c r="A166" s="7"/>
      <c r="B166" s="7">
        <v>20</v>
      </c>
      <c r="C166" s="7"/>
      <c r="D166" s="7" t="s">
        <v>248</v>
      </c>
      <c r="E166" s="7" t="s">
        <v>925</v>
      </c>
      <c r="F166" s="7"/>
      <c r="G166" s="7"/>
      <c r="H166" s="7"/>
      <c r="I166" s="7"/>
      <c r="J166" s="7"/>
      <c r="K166" s="7"/>
      <c r="L166" s="7" t="s">
        <v>264</v>
      </c>
      <c r="M166" s="7"/>
      <c r="N166" s="7" t="s">
        <v>844</v>
      </c>
    </row>
    <row r="167" spans="1:14" hidden="1" x14ac:dyDescent="0.25">
      <c r="A167">
        <v>128</v>
      </c>
      <c r="B167">
        <v>21</v>
      </c>
      <c r="C167" t="s">
        <v>956</v>
      </c>
      <c r="D167" s="1" t="s">
        <v>249</v>
      </c>
      <c r="E167" t="s">
        <v>954</v>
      </c>
      <c r="F167" t="s">
        <v>449</v>
      </c>
      <c r="G167">
        <v>2023</v>
      </c>
      <c r="H167" s="1" t="s">
        <v>258</v>
      </c>
      <c r="I167" t="s">
        <v>963</v>
      </c>
      <c r="J167" s="11" t="s">
        <v>952</v>
      </c>
      <c r="K167" t="s">
        <v>966</v>
      </c>
      <c r="L167" s="1" t="s">
        <v>263</v>
      </c>
      <c r="M167" s="1" t="s">
        <v>266</v>
      </c>
    </row>
    <row r="168" spans="1:14" hidden="1" x14ac:dyDescent="0.25">
      <c r="A168">
        <v>129</v>
      </c>
      <c r="B168">
        <v>21</v>
      </c>
      <c r="C168" t="s">
        <v>957</v>
      </c>
      <c r="D168" s="1" t="s">
        <v>255</v>
      </c>
      <c r="E168" t="s">
        <v>954</v>
      </c>
      <c r="F168" t="s">
        <v>449</v>
      </c>
      <c r="G168" t="s">
        <v>449</v>
      </c>
      <c r="H168" s="1" t="s">
        <v>258</v>
      </c>
      <c r="I168" t="s">
        <v>964</v>
      </c>
      <c r="J168" s="11" t="s">
        <v>952</v>
      </c>
      <c r="K168" t="s">
        <v>967</v>
      </c>
      <c r="L168" s="1" t="s">
        <v>263</v>
      </c>
      <c r="M168" s="1" t="s">
        <v>266</v>
      </c>
    </row>
    <row r="169" spans="1:14" hidden="1" x14ac:dyDescent="0.25">
      <c r="A169">
        <v>130</v>
      </c>
      <c r="B169">
        <v>21</v>
      </c>
      <c r="C169" t="s">
        <v>958</v>
      </c>
      <c r="D169" s="1" t="s">
        <v>255</v>
      </c>
      <c r="E169" t="s">
        <v>954</v>
      </c>
      <c r="F169" t="s">
        <v>449</v>
      </c>
      <c r="G169" t="s">
        <v>449</v>
      </c>
      <c r="H169" s="1" t="s">
        <v>258</v>
      </c>
      <c r="I169" t="s">
        <v>965</v>
      </c>
      <c r="J169" s="11" t="s">
        <v>952</v>
      </c>
      <c r="K169" t="s">
        <v>968</v>
      </c>
      <c r="L169" s="1" t="s">
        <v>263</v>
      </c>
      <c r="M169" s="1" t="s">
        <v>270</v>
      </c>
    </row>
    <row r="170" spans="1:14" hidden="1" x14ac:dyDescent="0.25">
      <c r="A170">
        <v>131</v>
      </c>
      <c r="B170">
        <v>21</v>
      </c>
      <c r="C170" t="s">
        <v>960</v>
      </c>
      <c r="D170" s="1" t="s">
        <v>254</v>
      </c>
      <c r="E170" t="s">
        <v>954</v>
      </c>
      <c r="F170" t="s">
        <v>959</v>
      </c>
      <c r="G170" t="s">
        <v>449</v>
      </c>
      <c r="H170" s="1" t="s">
        <v>257</v>
      </c>
      <c r="I170" t="s">
        <v>962</v>
      </c>
      <c r="J170" s="11" t="s">
        <v>952</v>
      </c>
      <c r="K170" t="s">
        <v>961</v>
      </c>
      <c r="L170" s="1" t="s">
        <v>263</v>
      </c>
      <c r="M170" s="1" t="s">
        <v>270</v>
      </c>
    </row>
    <row r="171" spans="1:14" hidden="1" x14ac:dyDescent="0.25">
      <c r="A171" s="7"/>
      <c r="B171" s="7">
        <v>21</v>
      </c>
      <c r="C171" s="7"/>
      <c r="D171" s="7" t="s">
        <v>246</v>
      </c>
      <c r="E171" s="7" t="s">
        <v>954</v>
      </c>
      <c r="F171" s="7"/>
      <c r="G171" s="7"/>
      <c r="H171" s="7"/>
      <c r="I171" s="7"/>
      <c r="J171" s="7"/>
      <c r="K171" s="7"/>
      <c r="L171" s="7" t="s">
        <v>264</v>
      </c>
      <c r="M171" s="7"/>
      <c r="N171" s="7" t="s">
        <v>955</v>
      </c>
    </row>
    <row r="172" spans="1:14" hidden="1" x14ac:dyDescent="0.25">
      <c r="A172" s="7"/>
      <c r="B172" s="7">
        <v>21</v>
      </c>
      <c r="C172" s="7"/>
      <c r="D172" s="7" t="s">
        <v>247</v>
      </c>
      <c r="E172" s="7" t="s">
        <v>954</v>
      </c>
      <c r="F172" s="7"/>
      <c r="G172" s="7"/>
      <c r="H172" s="7"/>
      <c r="I172" s="7"/>
      <c r="J172" s="7"/>
      <c r="K172" s="7"/>
      <c r="L172" s="7" t="s">
        <v>264</v>
      </c>
      <c r="M172" s="7"/>
      <c r="N172" s="7" t="s">
        <v>955</v>
      </c>
    </row>
    <row r="173" spans="1:14" hidden="1" x14ac:dyDescent="0.25">
      <c r="A173" s="7"/>
      <c r="B173" s="7">
        <v>21</v>
      </c>
      <c r="C173" s="7"/>
      <c r="D173" s="7" t="s">
        <v>248</v>
      </c>
      <c r="E173" s="7" t="s">
        <v>954</v>
      </c>
      <c r="F173" s="7"/>
      <c r="G173" s="7"/>
      <c r="H173" s="7"/>
      <c r="I173" s="7"/>
      <c r="J173" s="7"/>
      <c r="K173" s="7"/>
      <c r="L173" s="7" t="s">
        <v>264</v>
      </c>
      <c r="M173" s="7"/>
      <c r="N173" s="7" t="s">
        <v>955</v>
      </c>
    </row>
    <row r="174" spans="1:14" x14ac:dyDescent="0.25">
      <c r="A174" s="4">
        <v>132</v>
      </c>
      <c r="B174" s="4">
        <v>22</v>
      </c>
      <c r="C174" s="4" t="s">
        <v>971</v>
      </c>
      <c r="D174" s="4" t="s">
        <v>249</v>
      </c>
      <c r="E174" s="4" t="s">
        <v>969</v>
      </c>
      <c r="F174" s="4" t="s">
        <v>449</v>
      </c>
      <c r="G174" s="4" t="s">
        <v>449</v>
      </c>
      <c r="H174" s="4" t="s">
        <v>258</v>
      </c>
      <c r="I174" s="4" t="s">
        <v>981</v>
      </c>
      <c r="J174" s="10" t="s">
        <v>952</v>
      </c>
      <c r="K174" s="4" t="s">
        <v>991</v>
      </c>
      <c r="L174" s="4" t="s">
        <v>262</v>
      </c>
      <c r="M174" s="4"/>
      <c r="N174" s="4"/>
    </row>
    <row r="175" spans="1:14" hidden="1" x14ac:dyDescent="0.25">
      <c r="A175">
        <v>133</v>
      </c>
      <c r="B175">
        <v>22</v>
      </c>
      <c r="C175" t="s">
        <v>972</v>
      </c>
      <c r="D175" s="1" t="s">
        <v>255</v>
      </c>
      <c r="E175" t="s">
        <v>969</v>
      </c>
      <c r="F175" t="s">
        <v>449</v>
      </c>
      <c r="G175" t="s">
        <v>449</v>
      </c>
      <c r="H175" s="1" t="s">
        <v>258</v>
      </c>
      <c r="I175" t="s">
        <v>982</v>
      </c>
      <c r="J175" s="11" t="s">
        <v>952</v>
      </c>
      <c r="K175" t="s">
        <v>992</v>
      </c>
      <c r="L175" s="1" t="s">
        <v>263</v>
      </c>
      <c r="M175" s="1" t="s">
        <v>266</v>
      </c>
    </row>
    <row r="176" spans="1:14" hidden="1" x14ac:dyDescent="0.25">
      <c r="A176">
        <v>134</v>
      </c>
      <c r="B176">
        <v>22</v>
      </c>
      <c r="C176" t="s">
        <v>973</v>
      </c>
      <c r="D176" s="1" t="s">
        <v>250</v>
      </c>
      <c r="E176" t="s">
        <v>969</v>
      </c>
      <c r="F176" t="s">
        <v>449</v>
      </c>
      <c r="G176" t="s">
        <v>449</v>
      </c>
      <c r="H176" s="1" t="s">
        <v>258</v>
      </c>
      <c r="I176" t="s">
        <v>983</v>
      </c>
      <c r="J176" s="11" t="s">
        <v>952</v>
      </c>
      <c r="K176" t="s">
        <v>993</v>
      </c>
      <c r="L176" s="1" t="s">
        <v>263</v>
      </c>
      <c r="M176" s="1" t="s">
        <v>266</v>
      </c>
    </row>
    <row r="177" spans="1:14" hidden="1" x14ac:dyDescent="0.25">
      <c r="A177">
        <v>135</v>
      </c>
      <c r="B177">
        <v>22</v>
      </c>
      <c r="C177" t="s">
        <v>974</v>
      </c>
      <c r="D177" s="1" t="s">
        <v>251</v>
      </c>
      <c r="E177" t="s">
        <v>969</v>
      </c>
      <c r="F177" t="s">
        <v>449</v>
      </c>
      <c r="G177" t="s">
        <v>449</v>
      </c>
      <c r="H177" s="1" t="s">
        <v>258</v>
      </c>
      <c r="I177" t="s">
        <v>984</v>
      </c>
      <c r="J177" s="11" t="s">
        <v>952</v>
      </c>
      <c r="K177" t="s">
        <v>997</v>
      </c>
      <c r="L177" s="1" t="s">
        <v>263</v>
      </c>
      <c r="M177" s="1" t="s">
        <v>266</v>
      </c>
    </row>
    <row r="178" spans="1:14" hidden="1" x14ac:dyDescent="0.25">
      <c r="A178">
        <v>136</v>
      </c>
      <c r="B178">
        <v>22</v>
      </c>
      <c r="C178" t="s">
        <v>975</v>
      </c>
      <c r="D178" s="1" t="s">
        <v>250</v>
      </c>
      <c r="E178" t="s">
        <v>969</v>
      </c>
      <c r="F178" t="s">
        <v>449</v>
      </c>
      <c r="G178" t="s">
        <v>449</v>
      </c>
      <c r="H178" s="1" t="s">
        <v>258</v>
      </c>
      <c r="I178" t="s">
        <v>985</v>
      </c>
      <c r="J178" s="11" t="s">
        <v>952</v>
      </c>
      <c r="K178" t="s">
        <v>998</v>
      </c>
      <c r="L178" s="1" t="s">
        <v>263</v>
      </c>
      <c r="M178" s="1" t="s">
        <v>266</v>
      </c>
    </row>
    <row r="179" spans="1:14" hidden="1" x14ac:dyDescent="0.25">
      <c r="A179">
        <v>137</v>
      </c>
      <c r="B179">
        <v>22</v>
      </c>
      <c r="C179" t="s">
        <v>976</v>
      </c>
      <c r="D179" s="1" t="s">
        <v>255</v>
      </c>
      <c r="E179" t="s">
        <v>969</v>
      </c>
      <c r="F179" t="s">
        <v>449</v>
      </c>
      <c r="G179" t="s">
        <v>449</v>
      </c>
      <c r="H179" s="1" t="s">
        <v>258</v>
      </c>
      <c r="I179" t="s">
        <v>986</v>
      </c>
      <c r="J179" s="11" t="s">
        <v>952</v>
      </c>
      <c r="K179" t="s">
        <v>999</v>
      </c>
      <c r="L179" s="1" t="s">
        <v>263</v>
      </c>
      <c r="M179" s="1" t="s">
        <v>266</v>
      </c>
    </row>
    <row r="180" spans="1:14" hidden="1" x14ac:dyDescent="0.25">
      <c r="A180">
        <v>138</v>
      </c>
      <c r="B180">
        <v>22</v>
      </c>
      <c r="C180" t="s">
        <v>977</v>
      </c>
      <c r="D180" s="1" t="s">
        <v>255</v>
      </c>
      <c r="E180" t="s">
        <v>969</v>
      </c>
      <c r="F180" t="s">
        <v>449</v>
      </c>
      <c r="G180" t="s">
        <v>449</v>
      </c>
      <c r="H180" s="1" t="s">
        <v>258</v>
      </c>
      <c r="I180" t="s">
        <v>987</v>
      </c>
      <c r="J180" s="11" t="s">
        <v>952</v>
      </c>
      <c r="K180" t="s">
        <v>1000</v>
      </c>
      <c r="L180" s="1" t="s">
        <v>263</v>
      </c>
      <c r="M180" s="1" t="s">
        <v>266</v>
      </c>
    </row>
    <row r="181" spans="1:14" hidden="1" x14ac:dyDescent="0.25">
      <c r="A181">
        <v>139</v>
      </c>
      <c r="B181">
        <v>22</v>
      </c>
      <c r="C181" t="s">
        <v>978</v>
      </c>
      <c r="D181" s="1" t="s">
        <v>253</v>
      </c>
      <c r="E181" t="s">
        <v>969</v>
      </c>
      <c r="F181" t="s">
        <v>449</v>
      </c>
      <c r="G181" t="s">
        <v>449</v>
      </c>
      <c r="H181" s="1" t="s">
        <v>258</v>
      </c>
      <c r="I181" t="s">
        <v>988</v>
      </c>
      <c r="J181" s="11" t="s">
        <v>952</v>
      </c>
      <c r="K181" t="s">
        <v>1001</v>
      </c>
      <c r="L181" s="1" t="s">
        <v>263</v>
      </c>
      <c r="M181" s="1" t="s">
        <v>266</v>
      </c>
    </row>
    <row r="182" spans="1:14" hidden="1" x14ac:dyDescent="0.25">
      <c r="A182">
        <v>140</v>
      </c>
      <c r="B182">
        <v>22</v>
      </c>
      <c r="C182" t="s">
        <v>979</v>
      </c>
      <c r="D182" s="1" t="s">
        <v>253</v>
      </c>
      <c r="E182" t="s">
        <v>969</v>
      </c>
      <c r="F182" t="s">
        <v>449</v>
      </c>
      <c r="G182" t="s">
        <v>449</v>
      </c>
      <c r="H182" s="1" t="s">
        <v>258</v>
      </c>
      <c r="I182" t="s">
        <v>989</v>
      </c>
      <c r="J182" s="11" t="s">
        <v>952</v>
      </c>
      <c r="K182" t="s">
        <v>1002</v>
      </c>
      <c r="L182" s="1" t="s">
        <v>263</v>
      </c>
      <c r="M182" s="1" t="s">
        <v>266</v>
      </c>
    </row>
    <row r="183" spans="1:14" hidden="1" x14ac:dyDescent="0.25">
      <c r="A183">
        <v>141</v>
      </c>
      <c r="B183">
        <v>22</v>
      </c>
      <c r="C183" t="s">
        <v>980</v>
      </c>
      <c r="D183" s="1" t="s">
        <v>254</v>
      </c>
      <c r="E183" t="s">
        <v>969</v>
      </c>
      <c r="F183" t="s">
        <v>449</v>
      </c>
      <c r="G183" t="s">
        <v>449</v>
      </c>
      <c r="H183" s="1" t="s">
        <v>258</v>
      </c>
      <c r="I183" t="s">
        <v>990</v>
      </c>
      <c r="J183" s="11" t="s">
        <v>952</v>
      </c>
      <c r="K183" t="s">
        <v>1003</v>
      </c>
      <c r="L183" s="1" t="s">
        <v>263</v>
      </c>
      <c r="M183" s="1" t="s">
        <v>270</v>
      </c>
    </row>
    <row r="184" spans="1:14" hidden="1" x14ac:dyDescent="0.25">
      <c r="A184" s="7"/>
      <c r="B184" s="7">
        <v>22</v>
      </c>
      <c r="C184" s="7"/>
      <c r="D184" s="7" t="s">
        <v>246</v>
      </c>
      <c r="E184" s="7" t="s">
        <v>969</v>
      </c>
      <c r="F184" s="7"/>
      <c r="G184" s="7"/>
      <c r="H184" s="7"/>
      <c r="I184" s="7"/>
      <c r="J184" s="7"/>
      <c r="K184" s="7"/>
      <c r="L184" s="7" t="s">
        <v>264</v>
      </c>
      <c r="M184" s="7"/>
      <c r="N184" s="7" t="s">
        <v>955</v>
      </c>
    </row>
    <row r="185" spans="1:14" hidden="1" x14ac:dyDescent="0.25">
      <c r="A185" s="7"/>
      <c r="B185" s="7">
        <v>22</v>
      </c>
      <c r="C185" s="7"/>
      <c r="D185" s="7" t="s">
        <v>247</v>
      </c>
      <c r="E185" s="7" t="s">
        <v>969</v>
      </c>
      <c r="F185" s="7"/>
      <c r="G185" s="7"/>
      <c r="H185" s="7"/>
      <c r="I185" s="7"/>
      <c r="J185" s="7"/>
      <c r="K185" s="7"/>
      <c r="L185" s="7" t="s">
        <v>264</v>
      </c>
      <c r="M185" s="7"/>
      <c r="N185" s="7" t="s">
        <v>955</v>
      </c>
    </row>
    <row r="186" spans="1:14" hidden="1" x14ac:dyDescent="0.25">
      <c r="A186" s="7"/>
      <c r="B186" s="7">
        <v>22</v>
      </c>
      <c r="C186" s="7"/>
      <c r="D186" s="7" t="s">
        <v>248</v>
      </c>
      <c r="E186" s="7" t="s">
        <v>969</v>
      </c>
      <c r="F186" s="7"/>
      <c r="G186" s="7"/>
      <c r="H186" s="7"/>
      <c r="I186" s="7"/>
      <c r="J186" s="7"/>
      <c r="K186" s="7"/>
      <c r="L186" s="7" t="s">
        <v>264</v>
      </c>
      <c r="M186" s="7"/>
      <c r="N186" s="7" t="s">
        <v>955</v>
      </c>
    </row>
    <row r="187" spans="1:14" x14ac:dyDescent="0.25">
      <c r="A187" s="4">
        <v>142</v>
      </c>
      <c r="B187" s="4">
        <v>23</v>
      </c>
      <c r="C187" s="4" t="s">
        <v>1004</v>
      </c>
      <c r="D187" s="4" t="s">
        <v>248</v>
      </c>
      <c r="E187" s="4" t="s">
        <v>1005</v>
      </c>
      <c r="F187" s="4"/>
      <c r="G187" s="4"/>
      <c r="H187" s="4" t="s">
        <v>258</v>
      </c>
      <c r="I187" s="4" t="s">
        <v>1011</v>
      </c>
      <c r="J187" s="10" t="s">
        <v>952</v>
      </c>
      <c r="K187" s="4" t="s">
        <v>1018</v>
      </c>
      <c r="L187" s="4" t="s">
        <v>262</v>
      </c>
      <c r="M187" s="4"/>
      <c r="N187" s="4" t="s">
        <v>1017</v>
      </c>
    </row>
    <row r="188" spans="1:14" hidden="1" x14ac:dyDescent="0.25">
      <c r="A188">
        <v>143</v>
      </c>
      <c r="B188">
        <v>23</v>
      </c>
      <c r="C188" t="s">
        <v>1006</v>
      </c>
      <c r="D188" s="1" t="s">
        <v>250</v>
      </c>
      <c r="E188" t="s">
        <v>1005</v>
      </c>
      <c r="H188" s="1" t="s">
        <v>258</v>
      </c>
      <c r="I188" t="s">
        <v>1012</v>
      </c>
      <c r="J188" s="11" t="s">
        <v>952</v>
      </c>
      <c r="K188" t="s">
        <v>1019</v>
      </c>
      <c r="L188" s="1" t="s">
        <v>263</v>
      </c>
      <c r="M188" s="1" t="s">
        <v>267</v>
      </c>
      <c r="N188" t="s">
        <v>1020</v>
      </c>
    </row>
    <row r="189" spans="1:14" hidden="1" x14ac:dyDescent="0.25">
      <c r="A189">
        <v>144</v>
      </c>
      <c r="B189">
        <v>23</v>
      </c>
      <c r="C189" t="s">
        <v>1007</v>
      </c>
      <c r="D189" s="1" t="s">
        <v>255</v>
      </c>
      <c r="E189" t="s">
        <v>1005</v>
      </c>
      <c r="H189" s="1" t="s">
        <v>258</v>
      </c>
      <c r="I189" t="s">
        <v>1013</v>
      </c>
      <c r="J189" s="11" t="s">
        <v>952</v>
      </c>
      <c r="K189" t="s">
        <v>1021</v>
      </c>
      <c r="L189" s="1" t="s">
        <v>263</v>
      </c>
      <c r="M189" s="1" t="s">
        <v>266</v>
      </c>
    </row>
    <row r="190" spans="1:14" hidden="1" x14ac:dyDescent="0.25">
      <c r="A190">
        <v>145</v>
      </c>
      <c r="B190">
        <v>23</v>
      </c>
      <c r="C190" t="s">
        <v>1008</v>
      </c>
      <c r="D190" s="1" t="s">
        <v>249</v>
      </c>
      <c r="E190" t="s">
        <v>1005</v>
      </c>
      <c r="H190" s="1" t="s">
        <v>258</v>
      </c>
      <c r="I190" t="s">
        <v>1014</v>
      </c>
      <c r="J190" s="11" t="s">
        <v>952</v>
      </c>
      <c r="K190" t="s">
        <v>1022</v>
      </c>
      <c r="L190" s="1" t="s">
        <v>263</v>
      </c>
      <c r="M190" s="1" t="s">
        <v>266</v>
      </c>
    </row>
    <row r="191" spans="1:14" hidden="1" x14ac:dyDescent="0.25">
      <c r="A191">
        <v>146</v>
      </c>
      <c r="B191">
        <v>23</v>
      </c>
      <c r="C191" t="s">
        <v>1009</v>
      </c>
      <c r="D191" s="1" t="s">
        <v>249</v>
      </c>
      <c r="E191" t="s">
        <v>1005</v>
      </c>
      <c r="H191" s="1" t="s">
        <v>258</v>
      </c>
      <c r="I191" t="s">
        <v>1015</v>
      </c>
      <c r="J191" s="11" t="s">
        <v>952</v>
      </c>
      <c r="K191" t="s">
        <v>1023</v>
      </c>
      <c r="L191" s="1" t="s">
        <v>263</v>
      </c>
      <c r="M191" s="1" t="s">
        <v>266</v>
      </c>
    </row>
    <row r="192" spans="1:14" hidden="1" x14ac:dyDescent="0.25">
      <c r="A192">
        <v>147</v>
      </c>
      <c r="B192">
        <v>23</v>
      </c>
      <c r="C192" t="s">
        <v>1010</v>
      </c>
      <c r="D192" s="1" t="s">
        <v>255</v>
      </c>
      <c r="E192" t="s">
        <v>1005</v>
      </c>
      <c r="H192" s="1" t="s">
        <v>258</v>
      </c>
      <c r="I192" t="s">
        <v>1016</v>
      </c>
      <c r="J192" s="11" t="s">
        <v>952</v>
      </c>
      <c r="K192" t="s">
        <v>1024</v>
      </c>
      <c r="L192" s="1" t="s">
        <v>263</v>
      </c>
      <c r="M192" s="1" t="s">
        <v>266</v>
      </c>
    </row>
    <row r="193" spans="1:14" x14ac:dyDescent="0.25">
      <c r="A193" s="4">
        <v>148</v>
      </c>
      <c r="B193" s="4">
        <v>24</v>
      </c>
      <c r="C193" s="4" t="s">
        <v>1027</v>
      </c>
      <c r="D193" s="4" t="s">
        <v>246</v>
      </c>
      <c r="E193" s="4" t="s">
        <v>1026</v>
      </c>
      <c r="F193" s="4"/>
      <c r="G193" s="4"/>
      <c r="H193" s="4" t="s">
        <v>258</v>
      </c>
      <c r="I193" s="4" t="s">
        <v>1032</v>
      </c>
      <c r="J193" s="10" t="s">
        <v>952</v>
      </c>
      <c r="K193" s="4" t="s">
        <v>1037</v>
      </c>
      <c r="L193" s="4" t="s">
        <v>262</v>
      </c>
      <c r="M193" s="4"/>
      <c r="N193" s="4" t="s">
        <v>1041</v>
      </c>
    </row>
    <row r="194" spans="1:14" x14ac:dyDescent="0.25">
      <c r="A194" s="4">
        <v>149</v>
      </c>
      <c r="B194" s="4">
        <v>24</v>
      </c>
      <c r="C194" s="4" t="s">
        <v>1028</v>
      </c>
      <c r="D194" s="4" t="s">
        <v>249</v>
      </c>
      <c r="E194" s="4" t="s">
        <v>1026</v>
      </c>
      <c r="F194" s="4"/>
      <c r="G194" s="4"/>
      <c r="H194" s="4" t="s">
        <v>258</v>
      </c>
      <c r="I194" s="4" t="s">
        <v>1033</v>
      </c>
      <c r="J194" s="10" t="s">
        <v>952</v>
      </c>
      <c r="K194" s="4" t="s">
        <v>1038</v>
      </c>
      <c r="L194" s="4" t="s">
        <v>262</v>
      </c>
      <c r="M194" s="4"/>
      <c r="N194" s="4"/>
    </row>
    <row r="195" spans="1:14" hidden="1" x14ac:dyDescent="0.25">
      <c r="A195">
        <v>150</v>
      </c>
      <c r="B195">
        <v>24</v>
      </c>
      <c r="C195" t="s">
        <v>1029</v>
      </c>
      <c r="D195" s="1" t="s">
        <v>248</v>
      </c>
      <c r="E195" t="s">
        <v>1026</v>
      </c>
      <c r="H195" s="1" t="s">
        <v>258</v>
      </c>
      <c r="I195" t="s">
        <v>1034</v>
      </c>
      <c r="J195" s="11" t="s">
        <v>952</v>
      </c>
      <c r="K195" t="s">
        <v>1039</v>
      </c>
      <c r="L195" s="1" t="s">
        <v>263</v>
      </c>
      <c r="M195" s="1" t="s">
        <v>267</v>
      </c>
      <c r="N195" t="s">
        <v>1040</v>
      </c>
    </row>
    <row r="196" spans="1:14" hidden="1" x14ac:dyDescent="0.25">
      <c r="A196">
        <v>151</v>
      </c>
      <c r="B196">
        <v>24</v>
      </c>
      <c r="C196" t="s">
        <v>1030</v>
      </c>
      <c r="D196" s="1" t="s">
        <v>255</v>
      </c>
      <c r="E196" t="s">
        <v>1026</v>
      </c>
      <c r="H196" s="1" t="s">
        <v>258</v>
      </c>
      <c r="I196" t="s">
        <v>1035</v>
      </c>
      <c r="J196" s="11" t="s">
        <v>952</v>
      </c>
      <c r="K196" t="s">
        <v>1042</v>
      </c>
      <c r="L196" s="1" t="s">
        <v>263</v>
      </c>
      <c r="M196" s="1" t="s">
        <v>266</v>
      </c>
    </row>
    <row r="197" spans="1:14" hidden="1" x14ac:dyDescent="0.25">
      <c r="A197">
        <v>152</v>
      </c>
      <c r="B197">
        <v>24</v>
      </c>
      <c r="C197" t="s">
        <v>1031</v>
      </c>
      <c r="D197" s="1" t="s">
        <v>250</v>
      </c>
      <c r="E197" t="s">
        <v>1026</v>
      </c>
      <c r="H197" s="1" t="s">
        <v>258</v>
      </c>
      <c r="I197" t="s">
        <v>1036</v>
      </c>
      <c r="J197" s="11" t="s">
        <v>952</v>
      </c>
      <c r="K197" t="s">
        <v>1043</v>
      </c>
      <c r="L197" s="1" t="s">
        <v>263</v>
      </c>
      <c r="M197" s="1" t="s">
        <v>267</v>
      </c>
      <c r="N197" t="s">
        <v>1040</v>
      </c>
    </row>
    <row r="198" spans="1:14" x14ac:dyDescent="0.25">
      <c r="A198" s="4">
        <v>153</v>
      </c>
      <c r="B198" s="4">
        <v>25</v>
      </c>
      <c r="C198" s="4" t="s">
        <v>1045</v>
      </c>
      <c r="D198" s="4" t="s">
        <v>246</v>
      </c>
      <c r="E198" s="4" t="s">
        <v>1057</v>
      </c>
      <c r="F198" s="4"/>
      <c r="G198" s="4"/>
      <c r="H198" s="4" t="s">
        <v>258</v>
      </c>
      <c r="I198" s="4" t="s">
        <v>1051</v>
      </c>
      <c r="J198" s="10" t="s">
        <v>952</v>
      </c>
      <c r="K198" s="4" t="s">
        <v>1059</v>
      </c>
      <c r="L198" s="4" t="s">
        <v>262</v>
      </c>
      <c r="M198" s="4"/>
      <c r="N198" s="4" t="s">
        <v>1058</v>
      </c>
    </row>
    <row r="199" spans="1:14" x14ac:dyDescent="0.25">
      <c r="A199" s="4">
        <v>154</v>
      </c>
      <c r="B199" s="4">
        <v>25</v>
      </c>
      <c r="C199" s="4" t="s">
        <v>1046</v>
      </c>
      <c r="D199" s="4" t="s">
        <v>248</v>
      </c>
      <c r="E199" s="4" t="s">
        <v>1057</v>
      </c>
      <c r="F199" s="4"/>
      <c r="G199" s="4"/>
      <c r="H199" s="4" t="s">
        <v>258</v>
      </c>
      <c r="I199" s="4" t="s">
        <v>1052</v>
      </c>
      <c r="J199" s="10" t="s">
        <v>952</v>
      </c>
      <c r="K199" s="4" t="s">
        <v>1061</v>
      </c>
      <c r="L199" s="4" t="s">
        <v>262</v>
      </c>
      <c r="M199" s="4"/>
      <c r="N199" s="4" t="s">
        <v>1060</v>
      </c>
    </row>
    <row r="200" spans="1:14" hidden="1" x14ac:dyDescent="0.25">
      <c r="A200">
        <v>155</v>
      </c>
      <c r="B200">
        <v>25</v>
      </c>
      <c r="C200" t="s">
        <v>1047</v>
      </c>
      <c r="D200" s="1" t="s">
        <v>248</v>
      </c>
      <c r="E200" t="s">
        <v>1057</v>
      </c>
      <c r="H200" s="1" t="s">
        <v>258</v>
      </c>
      <c r="I200" t="s">
        <v>1053</v>
      </c>
      <c r="J200" s="11" t="s">
        <v>952</v>
      </c>
      <c r="K200" t="s">
        <v>1063</v>
      </c>
      <c r="L200" s="1" t="s">
        <v>263</v>
      </c>
      <c r="M200" s="1" t="s">
        <v>267</v>
      </c>
      <c r="N200" t="s">
        <v>1062</v>
      </c>
    </row>
    <row r="201" spans="1:14" hidden="1" x14ac:dyDescent="0.25">
      <c r="A201">
        <v>156</v>
      </c>
      <c r="B201">
        <v>25</v>
      </c>
      <c r="C201" t="s">
        <v>1048</v>
      </c>
      <c r="D201" s="1" t="s">
        <v>251</v>
      </c>
      <c r="E201" t="s">
        <v>1057</v>
      </c>
      <c r="H201" s="1" t="s">
        <v>258</v>
      </c>
      <c r="I201" t="s">
        <v>1054</v>
      </c>
      <c r="J201" s="11" t="s">
        <v>952</v>
      </c>
      <c r="K201" t="s">
        <v>1064</v>
      </c>
      <c r="L201" s="1" t="s">
        <v>263</v>
      </c>
      <c r="M201" s="1" t="s">
        <v>267</v>
      </c>
      <c r="N201" t="s">
        <v>1062</v>
      </c>
    </row>
    <row r="202" spans="1:14" hidden="1" x14ac:dyDescent="0.25">
      <c r="A202">
        <v>157</v>
      </c>
      <c r="B202">
        <v>25</v>
      </c>
      <c r="C202" t="s">
        <v>1049</v>
      </c>
      <c r="D202" s="1" t="s">
        <v>249</v>
      </c>
      <c r="E202" t="s">
        <v>1057</v>
      </c>
      <c r="H202" s="1" t="s">
        <v>258</v>
      </c>
      <c r="I202" t="s">
        <v>1055</v>
      </c>
      <c r="J202" s="11" t="s">
        <v>952</v>
      </c>
      <c r="K202" t="s">
        <v>1065</v>
      </c>
      <c r="L202" s="1" t="s">
        <v>263</v>
      </c>
      <c r="M202" s="1" t="s">
        <v>266</v>
      </c>
    </row>
    <row r="203" spans="1:14" hidden="1" x14ac:dyDescent="0.25">
      <c r="A203">
        <v>158</v>
      </c>
      <c r="B203">
        <v>25</v>
      </c>
      <c r="C203" t="s">
        <v>1050</v>
      </c>
      <c r="D203" s="1" t="s">
        <v>255</v>
      </c>
      <c r="E203" t="s">
        <v>1057</v>
      </c>
      <c r="H203" s="1" t="s">
        <v>258</v>
      </c>
      <c r="I203" t="s">
        <v>1056</v>
      </c>
      <c r="J203" s="11" t="s">
        <v>952</v>
      </c>
      <c r="K203" t="s">
        <v>1066</v>
      </c>
      <c r="L203" s="1" t="s">
        <v>263</v>
      </c>
      <c r="M203" s="1" t="s">
        <v>267</v>
      </c>
      <c r="N203" t="s">
        <v>1062</v>
      </c>
    </row>
    <row r="204" spans="1:14" hidden="1" x14ac:dyDescent="0.25">
      <c r="A204">
        <v>159</v>
      </c>
      <c r="B204">
        <v>26</v>
      </c>
      <c r="C204" t="s">
        <v>1068</v>
      </c>
      <c r="D204" s="1" t="s">
        <v>249</v>
      </c>
      <c r="E204" t="s">
        <v>1071</v>
      </c>
      <c r="H204" s="1" t="s">
        <v>258</v>
      </c>
      <c r="I204" t="s">
        <v>1072</v>
      </c>
      <c r="J204" s="11" t="s">
        <v>952</v>
      </c>
      <c r="K204" t="s">
        <v>1075</v>
      </c>
      <c r="L204" s="1" t="s">
        <v>263</v>
      </c>
      <c r="M204" s="1" t="s">
        <v>266</v>
      </c>
    </row>
    <row r="205" spans="1:14" hidden="1" x14ac:dyDescent="0.25">
      <c r="A205">
        <v>160</v>
      </c>
      <c r="B205">
        <v>26</v>
      </c>
      <c r="C205" t="s">
        <v>1069</v>
      </c>
      <c r="D205" s="1" t="s">
        <v>250</v>
      </c>
      <c r="E205" t="s">
        <v>1071</v>
      </c>
      <c r="H205" s="1" t="s">
        <v>258</v>
      </c>
      <c r="I205" t="s">
        <v>1073</v>
      </c>
      <c r="J205" s="11" t="s">
        <v>952</v>
      </c>
      <c r="K205" t="s">
        <v>1076</v>
      </c>
      <c r="L205" s="1" t="s">
        <v>263</v>
      </c>
      <c r="M205" s="1" t="s">
        <v>266</v>
      </c>
    </row>
    <row r="206" spans="1:14" hidden="1" x14ac:dyDescent="0.25">
      <c r="A206">
        <v>161</v>
      </c>
      <c r="B206">
        <v>26</v>
      </c>
      <c r="C206" t="s">
        <v>1070</v>
      </c>
      <c r="D206" s="1" t="s">
        <v>249</v>
      </c>
      <c r="E206" t="s">
        <v>1071</v>
      </c>
      <c r="H206" s="1" t="s">
        <v>258</v>
      </c>
      <c r="I206" t="s">
        <v>1074</v>
      </c>
      <c r="J206" s="11" t="s">
        <v>952</v>
      </c>
      <c r="K206" t="s">
        <v>1077</v>
      </c>
      <c r="L206" s="1" t="s">
        <v>263</v>
      </c>
      <c r="M206" s="1" t="s">
        <v>266</v>
      </c>
    </row>
    <row r="207" spans="1:14" hidden="1" x14ac:dyDescent="0.25">
      <c r="A207" s="7"/>
      <c r="B207" s="7">
        <v>26</v>
      </c>
      <c r="C207" s="7"/>
      <c r="D207" s="7" t="s">
        <v>246</v>
      </c>
      <c r="E207" s="7" t="s">
        <v>1071</v>
      </c>
      <c r="F207" s="7"/>
      <c r="G207" s="7"/>
      <c r="H207" s="7"/>
      <c r="I207" s="7"/>
      <c r="J207" s="7"/>
      <c r="K207" s="7"/>
      <c r="L207" s="7" t="s">
        <v>264</v>
      </c>
      <c r="M207" s="7"/>
      <c r="N207" s="7" t="s">
        <v>955</v>
      </c>
    </row>
    <row r="208" spans="1:14" hidden="1" x14ac:dyDescent="0.25">
      <c r="A208" s="7"/>
      <c r="B208" s="7">
        <v>26</v>
      </c>
      <c r="C208" s="7"/>
      <c r="D208" s="7" t="s">
        <v>247</v>
      </c>
      <c r="E208" s="7" t="s">
        <v>1071</v>
      </c>
      <c r="F208" s="7"/>
      <c r="G208" s="7"/>
      <c r="H208" s="7"/>
      <c r="I208" s="7"/>
      <c r="J208" s="7"/>
      <c r="K208" s="7"/>
      <c r="L208" s="7" t="s">
        <v>264</v>
      </c>
      <c r="M208" s="7"/>
      <c r="N208" s="7" t="s">
        <v>955</v>
      </c>
    </row>
    <row r="209" spans="1:14" hidden="1" x14ac:dyDescent="0.25">
      <c r="A209" s="7"/>
      <c r="B209" s="7">
        <v>26</v>
      </c>
      <c r="C209" s="7"/>
      <c r="D209" s="7" t="s">
        <v>248</v>
      </c>
      <c r="E209" s="7" t="s">
        <v>1071</v>
      </c>
      <c r="F209" s="7"/>
      <c r="G209" s="7"/>
      <c r="H209" s="7"/>
      <c r="I209" s="7"/>
      <c r="J209" s="7"/>
      <c r="K209" s="7"/>
      <c r="L209" s="7" t="s">
        <v>264</v>
      </c>
      <c r="M209" s="7"/>
      <c r="N209" s="7" t="s">
        <v>955</v>
      </c>
    </row>
    <row r="210" spans="1:14" x14ac:dyDescent="0.25">
      <c r="A210" s="4">
        <v>162</v>
      </c>
      <c r="B210" s="4">
        <v>27</v>
      </c>
      <c r="C210" s="4" t="s">
        <v>1080</v>
      </c>
      <c r="D210" s="4" t="s">
        <v>250</v>
      </c>
      <c r="E210" s="4" t="s">
        <v>1078</v>
      </c>
      <c r="F210" s="4"/>
      <c r="G210" s="4"/>
      <c r="H210" s="4" t="s">
        <v>258</v>
      </c>
      <c r="I210" s="4" t="s">
        <v>1087</v>
      </c>
      <c r="J210" s="10" t="s">
        <v>952</v>
      </c>
      <c r="K210" s="4" t="s">
        <v>1096</v>
      </c>
      <c r="L210" s="4" t="s">
        <v>262</v>
      </c>
      <c r="M210" s="4"/>
      <c r="N210" s="4"/>
    </row>
    <row r="211" spans="1:14" x14ac:dyDescent="0.25">
      <c r="A211" s="4">
        <v>163</v>
      </c>
      <c r="B211" s="4">
        <v>27</v>
      </c>
      <c r="C211" s="4" t="s">
        <v>1081</v>
      </c>
      <c r="D211" s="4" t="s">
        <v>252</v>
      </c>
      <c r="E211" s="4" t="s">
        <v>1078</v>
      </c>
      <c r="F211" s="4"/>
      <c r="G211" s="4"/>
      <c r="H211" s="4" t="s">
        <v>258</v>
      </c>
      <c r="I211" s="4" t="s">
        <v>1089</v>
      </c>
      <c r="J211" s="10" t="s">
        <v>952</v>
      </c>
      <c r="K211" s="4" t="s">
        <v>1098</v>
      </c>
      <c r="L211" s="4" t="s">
        <v>262</v>
      </c>
      <c r="M211" s="4"/>
      <c r="N211" s="4"/>
    </row>
    <row r="212" spans="1:14" hidden="1" x14ac:dyDescent="0.25">
      <c r="A212">
        <v>164</v>
      </c>
      <c r="B212">
        <v>27</v>
      </c>
      <c r="C212" t="s">
        <v>1082</v>
      </c>
      <c r="D212" s="1" t="s">
        <v>249</v>
      </c>
      <c r="E212" t="s">
        <v>1078</v>
      </c>
      <c r="H212" s="1" t="s">
        <v>258</v>
      </c>
      <c r="I212" t="s">
        <v>1090</v>
      </c>
      <c r="J212" s="11" t="s">
        <v>952</v>
      </c>
      <c r="K212" t="s">
        <v>1095</v>
      </c>
      <c r="L212" s="1" t="s">
        <v>263</v>
      </c>
      <c r="M212" s="1" t="s">
        <v>266</v>
      </c>
    </row>
    <row r="213" spans="1:14" hidden="1" x14ac:dyDescent="0.25">
      <c r="A213">
        <v>165</v>
      </c>
      <c r="B213">
        <v>27</v>
      </c>
      <c r="C213" t="s">
        <v>1083</v>
      </c>
      <c r="D213" s="1" t="s">
        <v>253</v>
      </c>
      <c r="E213" t="s">
        <v>1078</v>
      </c>
      <c r="H213" s="1" t="s">
        <v>258</v>
      </c>
      <c r="I213" t="s">
        <v>1091</v>
      </c>
      <c r="J213" s="11" t="s">
        <v>952</v>
      </c>
      <c r="K213" t="s">
        <v>1094</v>
      </c>
      <c r="L213" s="1" t="s">
        <v>263</v>
      </c>
      <c r="M213" s="1" t="s">
        <v>269</v>
      </c>
    </row>
    <row r="214" spans="1:14" hidden="1" x14ac:dyDescent="0.25">
      <c r="A214">
        <v>166</v>
      </c>
      <c r="B214">
        <v>27</v>
      </c>
      <c r="C214" t="s">
        <v>1084</v>
      </c>
      <c r="D214" s="1" t="s">
        <v>255</v>
      </c>
      <c r="E214" t="s">
        <v>1078</v>
      </c>
      <c r="H214" s="1" t="s">
        <v>258</v>
      </c>
      <c r="I214" t="s">
        <v>1092</v>
      </c>
      <c r="J214" s="11" t="s">
        <v>952</v>
      </c>
      <c r="K214" t="s">
        <v>1093</v>
      </c>
      <c r="L214" s="1" t="s">
        <v>263</v>
      </c>
      <c r="M214" s="1" t="s">
        <v>270</v>
      </c>
    </row>
    <row r="215" spans="1:14" hidden="1" x14ac:dyDescent="0.25">
      <c r="A215">
        <v>167</v>
      </c>
      <c r="B215">
        <v>27</v>
      </c>
      <c r="C215" t="s">
        <v>1085</v>
      </c>
      <c r="D215" s="1" t="s">
        <v>252</v>
      </c>
      <c r="E215" t="s">
        <v>1078</v>
      </c>
      <c r="H215" s="1" t="s">
        <v>258</v>
      </c>
      <c r="I215" t="s">
        <v>1088</v>
      </c>
      <c r="J215" s="11" t="s">
        <v>952</v>
      </c>
      <c r="K215" t="s">
        <v>1097</v>
      </c>
      <c r="L215" s="1" t="s">
        <v>263</v>
      </c>
      <c r="M215" s="1" t="s">
        <v>267</v>
      </c>
      <c r="N215" t="s">
        <v>1086</v>
      </c>
    </row>
    <row r="216" spans="1:14" hidden="1" x14ac:dyDescent="0.25">
      <c r="A216" s="7"/>
      <c r="B216" s="7">
        <v>27</v>
      </c>
      <c r="C216" s="7"/>
      <c r="D216" s="7" t="s">
        <v>246</v>
      </c>
      <c r="E216" s="7" t="s">
        <v>1078</v>
      </c>
      <c r="F216" s="7"/>
      <c r="G216" s="7"/>
      <c r="H216" s="7"/>
      <c r="I216" s="7"/>
      <c r="J216" s="7"/>
      <c r="K216" s="7"/>
      <c r="L216" s="7" t="s">
        <v>264</v>
      </c>
      <c r="M216" s="7"/>
      <c r="N216" s="7" t="s">
        <v>955</v>
      </c>
    </row>
    <row r="217" spans="1:14" hidden="1" x14ac:dyDescent="0.25">
      <c r="A217" s="7"/>
      <c r="B217" s="7">
        <v>27</v>
      </c>
      <c r="C217" s="7"/>
      <c r="D217" s="7" t="s">
        <v>247</v>
      </c>
      <c r="E217" s="7" t="s">
        <v>1078</v>
      </c>
      <c r="F217" s="7"/>
      <c r="G217" s="7"/>
      <c r="H217" s="7"/>
      <c r="I217" s="7"/>
      <c r="J217" s="7"/>
      <c r="K217" s="7"/>
      <c r="L217" s="7" t="s">
        <v>264</v>
      </c>
      <c r="M217" s="7"/>
      <c r="N217" s="7" t="s">
        <v>955</v>
      </c>
    </row>
    <row r="218" spans="1:14" hidden="1" x14ac:dyDescent="0.25">
      <c r="A218" s="7"/>
      <c r="B218" s="7">
        <v>27</v>
      </c>
      <c r="C218" s="7"/>
      <c r="D218" s="7" t="s">
        <v>248</v>
      </c>
      <c r="E218" s="7" t="s">
        <v>1078</v>
      </c>
      <c r="F218" s="7"/>
      <c r="G218" s="7"/>
      <c r="H218" s="7"/>
      <c r="I218" s="7"/>
      <c r="J218" s="7"/>
      <c r="K218" s="7"/>
      <c r="L218" s="7" t="s">
        <v>264</v>
      </c>
      <c r="M218" s="7"/>
      <c r="N218" s="7" t="s">
        <v>955</v>
      </c>
    </row>
    <row r="219" spans="1:14" hidden="1" x14ac:dyDescent="0.25">
      <c r="A219">
        <v>168</v>
      </c>
      <c r="B219">
        <v>28</v>
      </c>
      <c r="C219" t="s">
        <v>1105</v>
      </c>
      <c r="D219" s="1" t="s">
        <v>252</v>
      </c>
      <c r="E219" t="s">
        <v>1111</v>
      </c>
      <c r="H219" s="1" t="s">
        <v>258</v>
      </c>
      <c r="I219" t="s">
        <v>1101</v>
      </c>
      <c r="J219" s="11" t="s">
        <v>952</v>
      </c>
      <c r="K219" t="s">
        <v>1106</v>
      </c>
      <c r="L219" s="1" t="s">
        <v>263</v>
      </c>
      <c r="M219" s="1" t="s">
        <v>266</v>
      </c>
    </row>
    <row r="220" spans="1:14" hidden="1" x14ac:dyDescent="0.25">
      <c r="A220">
        <v>169</v>
      </c>
      <c r="B220">
        <v>28</v>
      </c>
      <c r="C220" t="s">
        <v>1099</v>
      </c>
      <c r="D220" s="1" t="s">
        <v>253</v>
      </c>
      <c r="E220" t="s">
        <v>1111</v>
      </c>
      <c r="H220" s="1" t="s">
        <v>258</v>
      </c>
      <c r="I220" t="s">
        <v>1102</v>
      </c>
      <c r="J220" s="11" t="s">
        <v>952</v>
      </c>
      <c r="K220" t="s">
        <v>1107</v>
      </c>
      <c r="L220" s="1" t="s">
        <v>263</v>
      </c>
      <c r="M220" s="1" t="s">
        <v>269</v>
      </c>
      <c r="N220" t="s">
        <v>1108</v>
      </c>
    </row>
    <row r="221" spans="1:14" hidden="1" x14ac:dyDescent="0.25">
      <c r="A221">
        <v>170</v>
      </c>
      <c r="B221">
        <v>28</v>
      </c>
      <c r="C221" t="s">
        <v>249</v>
      </c>
      <c r="D221" s="1" t="s">
        <v>249</v>
      </c>
      <c r="E221" t="s">
        <v>1111</v>
      </c>
      <c r="H221" s="1" t="s">
        <v>258</v>
      </c>
      <c r="I221" t="s">
        <v>1103</v>
      </c>
      <c r="J221" s="11" t="s">
        <v>952</v>
      </c>
      <c r="K221" t="s">
        <v>1109</v>
      </c>
      <c r="L221" s="1" t="s">
        <v>263</v>
      </c>
      <c r="M221" s="1" t="s">
        <v>266</v>
      </c>
    </row>
    <row r="222" spans="1:14" hidden="1" x14ac:dyDescent="0.25">
      <c r="A222">
        <v>171</v>
      </c>
      <c r="B222">
        <v>28</v>
      </c>
      <c r="C222" t="s">
        <v>1100</v>
      </c>
      <c r="D222" s="1" t="s">
        <v>250</v>
      </c>
      <c r="E222" t="s">
        <v>1111</v>
      </c>
      <c r="H222" s="1" t="s">
        <v>258</v>
      </c>
      <c r="I222" t="s">
        <v>1104</v>
      </c>
      <c r="J222" s="11" t="s">
        <v>952</v>
      </c>
      <c r="K222" t="s">
        <v>1110</v>
      </c>
      <c r="L222" s="1" t="s">
        <v>263</v>
      </c>
      <c r="M222" s="1" t="s">
        <v>266</v>
      </c>
    </row>
    <row r="223" spans="1:14" hidden="1" x14ac:dyDescent="0.25">
      <c r="A223" s="7"/>
      <c r="B223" s="7">
        <v>28</v>
      </c>
      <c r="C223" s="7"/>
      <c r="D223" s="7" t="s">
        <v>246</v>
      </c>
      <c r="E223" s="7" t="s">
        <v>1111</v>
      </c>
      <c r="F223" s="7"/>
      <c r="G223" s="7"/>
      <c r="H223" s="7"/>
      <c r="I223" s="7"/>
      <c r="J223" s="7"/>
      <c r="K223" s="7"/>
      <c r="L223" s="7" t="s">
        <v>264</v>
      </c>
      <c r="M223" s="7"/>
      <c r="N223" s="7" t="s">
        <v>955</v>
      </c>
    </row>
    <row r="224" spans="1:14" hidden="1" x14ac:dyDescent="0.25">
      <c r="A224" s="7"/>
      <c r="B224" s="7">
        <v>28</v>
      </c>
      <c r="C224" s="7"/>
      <c r="D224" s="7" t="s">
        <v>247</v>
      </c>
      <c r="E224" s="7" t="s">
        <v>1111</v>
      </c>
      <c r="F224" s="7"/>
      <c r="G224" s="7"/>
      <c r="H224" s="7"/>
      <c r="I224" s="7"/>
      <c r="J224" s="7"/>
      <c r="K224" s="7"/>
      <c r="L224" s="7" t="s">
        <v>264</v>
      </c>
      <c r="M224" s="7"/>
      <c r="N224" s="7" t="s">
        <v>955</v>
      </c>
    </row>
    <row r="225" spans="1:14" hidden="1" x14ac:dyDescent="0.25">
      <c r="A225" s="7"/>
      <c r="B225" s="7">
        <v>28</v>
      </c>
      <c r="C225" s="7"/>
      <c r="D225" s="7" t="s">
        <v>248</v>
      </c>
      <c r="E225" s="7" t="s">
        <v>1111</v>
      </c>
      <c r="F225" s="7"/>
      <c r="G225" s="7"/>
      <c r="H225" s="7"/>
      <c r="I225" s="7"/>
      <c r="J225" s="7"/>
      <c r="K225" s="7"/>
      <c r="L225" s="7" t="s">
        <v>264</v>
      </c>
      <c r="M225" s="7"/>
      <c r="N225" s="7" t="s">
        <v>955</v>
      </c>
    </row>
    <row r="226" spans="1:14" hidden="1" x14ac:dyDescent="0.25">
      <c r="A226">
        <v>172</v>
      </c>
      <c r="B226">
        <v>29</v>
      </c>
      <c r="C226" t="s">
        <v>1122</v>
      </c>
      <c r="D226" s="1" t="s">
        <v>247</v>
      </c>
      <c r="E226" t="s">
        <v>1129</v>
      </c>
      <c r="H226" s="1" t="s">
        <v>258</v>
      </c>
      <c r="I226" t="s">
        <v>1130</v>
      </c>
      <c r="J226" s="11" t="s">
        <v>952</v>
      </c>
      <c r="K226" t="s">
        <v>1133</v>
      </c>
      <c r="L226" s="1" t="s">
        <v>263</v>
      </c>
      <c r="M226" s="1" t="s">
        <v>269</v>
      </c>
    </row>
    <row r="227" spans="1:14" hidden="1" x14ac:dyDescent="0.25">
      <c r="A227">
        <v>173</v>
      </c>
      <c r="B227">
        <v>29</v>
      </c>
      <c r="C227" t="s">
        <v>1123</v>
      </c>
      <c r="D227" s="1" t="s">
        <v>255</v>
      </c>
      <c r="E227" t="s">
        <v>1129</v>
      </c>
      <c r="H227" s="1" t="s">
        <v>258</v>
      </c>
      <c r="I227" t="s">
        <v>1131</v>
      </c>
      <c r="J227" s="11" t="s">
        <v>952</v>
      </c>
      <c r="K227" t="s">
        <v>1134</v>
      </c>
      <c r="L227" s="1" t="s">
        <v>263</v>
      </c>
      <c r="M227" s="1" t="s">
        <v>269</v>
      </c>
    </row>
    <row r="228" spans="1:14" hidden="1" x14ac:dyDescent="0.25">
      <c r="A228">
        <v>174</v>
      </c>
      <c r="B228">
        <v>29</v>
      </c>
      <c r="C228" t="s">
        <v>1124</v>
      </c>
      <c r="D228" s="1" t="s">
        <v>249</v>
      </c>
      <c r="E228" t="s">
        <v>1129</v>
      </c>
      <c r="H228" s="1" t="s">
        <v>258</v>
      </c>
      <c r="I228" t="s">
        <v>1135</v>
      </c>
      <c r="J228" s="11" t="s">
        <v>952</v>
      </c>
      <c r="K228" t="s">
        <v>1136</v>
      </c>
      <c r="L228" s="1" t="s">
        <v>263</v>
      </c>
      <c r="M228" s="1" t="s">
        <v>266</v>
      </c>
    </row>
    <row r="229" spans="1:14" hidden="1" x14ac:dyDescent="0.25">
      <c r="A229">
        <v>175</v>
      </c>
      <c r="B229">
        <v>29</v>
      </c>
      <c r="C229" t="s">
        <v>1125</v>
      </c>
      <c r="D229" s="1" t="s">
        <v>253</v>
      </c>
      <c r="E229" t="s">
        <v>1129</v>
      </c>
      <c r="H229" s="1" t="s">
        <v>258</v>
      </c>
      <c r="I229" t="s">
        <v>1132</v>
      </c>
      <c r="J229" s="11" t="s">
        <v>952</v>
      </c>
      <c r="K229" t="s">
        <v>1137</v>
      </c>
      <c r="L229" s="1" t="s">
        <v>263</v>
      </c>
      <c r="M229" s="1" t="s">
        <v>266</v>
      </c>
    </row>
    <row r="230" spans="1:14" hidden="1" x14ac:dyDescent="0.25">
      <c r="A230">
        <v>176</v>
      </c>
      <c r="B230">
        <v>29</v>
      </c>
      <c r="C230" t="s">
        <v>1126</v>
      </c>
      <c r="D230" s="1" t="s">
        <v>252</v>
      </c>
      <c r="E230" t="s">
        <v>1129</v>
      </c>
      <c r="H230" s="1" t="s">
        <v>258</v>
      </c>
      <c r="I230" t="s">
        <v>1138</v>
      </c>
      <c r="J230" s="11" t="s">
        <v>952</v>
      </c>
      <c r="K230" t="s">
        <v>1139</v>
      </c>
      <c r="L230" s="1" t="s">
        <v>263</v>
      </c>
      <c r="M230" s="1" t="s">
        <v>269</v>
      </c>
      <c r="N230" t="s">
        <v>1140</v>
      </c>
    </row>
    <row r="231" spans="1:14" hidden="1" x14ac:dyDescent="0.25">
      <c r="A231">
        <v>177</v>
      </c>
      <c r="B231">
        <v>29</v>
      </c>
      <c r="C231" t="s">
        <v>1127</v>
      </c>
      <c r="D231" s="1" t="s">
        <v>251</v>
      </c>
      <c r="E231" t="s">
        <v>1129</v>
      </c>
      <c r="H231" s="1" t="s">
        <v>258</v>
      </c>
      <c r="I231" t="s">
        <v>1141</v>
      </c>
      <c r="J231" s="11" t="s">
        <v>952</v>
      </c>
      <c r="K231" t="s">
        <v>1142</v>
      </c>
      <c r="L231" s="1" t="s">
        <v>263</v>
      </c>
      <c r="M231" s="1" t="s">
        <v>266</v>
      </c>
    </row>
    <row r="232" spans="1:14" hidden="1" x14ac:dyDescent="0.25">
      <c r="A232">
        <v>178</v>
      </c>
      <c r="B232">
        <v>29</v>
      </c>
      <c r="C232" t="s">
        <v>1128</v>
      </c>
      <c r="D232" s="1" t="s">
        <v>250</v>
      </c>
      <c r="E232" t="s">
        <v>1129</v>
      </c>
      <c r="H232" s="1" t="s">
        <v>258</v>
      </c>
      <c r="I232" t="s">
        <v>1143</v>
      </c>
      <c r="J232" s="11" t="s">
        <v>952</v>
      </c>
      <c r="K232" t="s">
        <v>1144</v>
      </c>
      <c r="L232" s="1" t="s">
        <v>263</v>
      </c>
      <c r="M232" s="1" t="s">
        <v>266</v>
      </c>
    </row>
    <row r="233" spans="1:14" hidden="1" x14ac:dyDescent="0.25">
      <c r="A233" s="7"/>
      <c r="B233" s="7">
        <v>29</v>
      </c>
      <c r="C233" s="7"/>
      <c r="D233" s="7" t="s">
        <v>246</v>
      </c>
      <c r="E233" s="7" t="s">
        <v>1129</v>
      </c>
      <c r="F233" s="7"/>
      <c r="G233" s="7"/>
      <c r="H233" s="7"/>
      <c r="I233" s="7"/>
      <c r="J233" s="7"/>
      <c r="K233" s="7"/>
      <c r="L233" s="7" t="s">
        <v>264</v>
      </c>
      <c r="M233" s="7"/>
      <c r="N233" s="7" t="s">
        <v>955</v>
      </c>
    </row>
    <row r="234" spans="1:14" hidden="1" x14ac:dyDescent="0.25">
      <c r="A234" s="7"/>
      <c r="B234" s="7">
        <v>29</v>
      </c>
      <c r="C234" s="7"/>
      <c r="D234" s="7" t="s">
        <v>247</v>
      </c>
      <c r="E234" s="7" t="s">
        <v>1129</v>
      </c>
      <c r="F234" s="7"/>
      <c r="G234" s="7"/>
      <c r="H234" s="7"/>
      <c r="I234" s="7"/>
      <c r="J234" s="7"/>
      <c r="K234" s="7"/>
      <c r="L234" s="7" t="s">
        <v>264</v>
      </c>
      <c r="M234" s="7"/>
      <c r="N234" s="7" t="s">
        <v>955</v>
      </c>
    </row>
    <row r="235" spans="1:14" hidden="1" x14ac:dyDescent="0.25">
      <c r="A235" s="7"/>
      <c r="B235" s="7">
        <v>29</v>
      </c>
      <c r="C235" s="7"/>
      <c r="D235" s="7" t="s">
        <v>248</v>
      </c>
      <c r="E235" s="7" t="s">
        <v>1129</v>
      </c>
      <c r="F235" s="7"/>
      <c r="G235" s="7"/>
      <c r="H235" s="7"/>
      <c r="I235" s="7"/>
      <c r="J235" s="7"/>
      <c r="K235" s="7"/>
      <c r="L235" s="7" t="s">
        <v>264</v>
      </c>
      <c r="M235" s="7"/>
      <c r="N235" s="7" t="s">
        <v>955</v>
      </c>
    </row>
    <row r="236" spans="1:14" hidden="1" x14ac:dyDescent="0.25">
      <c r="A236">
        <v>179</v>
      </c>
      <c r="B236">
        <v>30</v>
      </c>
      <c r="C236" t="s">
        <v>1112</v>
      </c>
      <c r="D236" s="1" t="s">
        <v>249</v>
      </c>
      <c r="E236" t="s">
        <v>1116</v>
      </c>
      <c r="H236" s="1" t="s">
        <v>258</v>
      </c>
      <c r="I236" t="s">
        <v>1117</v>
      </c>
      <c r="J236" s="11" t="s">
        <v>952</v>
      </c>
      <c r="K236" t="s">
        <v>1145</v>
      </c>
      <c r="L236" s="1" t="s">
        <v>263</v>
      </c>
      <c r="M236" s="1" t="s">
        <v>266</v>
      </c>
    </row>
    <row r="237" spans="1:14" hidden="1" x14ac:dyDescent="0.25">
      <c r="A237">
        <v>180</v>
      </c>
      <c r="B237">
        <v>30</v>
      </c>
      <c r="C237" t="s">
        <v>610</v>
      </c>
      <c r="D237" s="1" t="s">
        <v>249</v>
      </c>
      <c r="E237" t="s">
        <v>1116</v>
      </c>
      <c r="H237" s="1" t="s">
        <v>258</v>
      </c>
      <c r="I237" t="s">
        <v>1118</v>
      </c>
      <c r="J237" s="11" t="s">
        <v>952</v>
      </c>
      <c r="K237" t="s">
        <v>1146</v>
      </c>
      <c r="L237" s="1" t="s">
        <v>263</v>
      </c>
      <c r="M237" s="1" t="s">
        <v>266</v>
      </c>
    </row>
    <row r="238" spans="1:14" hidden="1" x14ac:dyDescent="0.25">
      <c r="A238">
        <v>181</v>
      </c>
      <c r="B238">
        <v>30</v>
      </c>
      <c r="C238" t="s">
        <v>1113</v>
      </c>
      <c r="D238" s="1" t="s">
        <v>249</v>
      </c>
      <c r="E238" t="s">
        <v>1116</v>
      </c>
      <c r="H238" s="1" t="s">
        <v>258</v>
      </c>
      <c r="I238" t="s">
        <v>1119</v>
      </c>
      <c r="J238" s="11" t="s">
        <v>952</v>
      </c>
      <c r="K238" t="s">
        <v>1147</v>
      </c>
      <c r="L238" s="1" t="s">
        <v>263</v>
      </c>
      <c r="M238" s="1" t="s">
        <v>266</v>
      </c>
    </row>
    <row r="239" spans="1:14" hidden="1" x14ac:dyDescent="0.25">
      <c r="A239">
        <v>182</v>
      </c>
      <c r="B239">
        <v>30</v>
      </c>
      <c r="C239" t="s">
        <v>1114</v>
      </c>
      <c r="D239" s="1" t="s">
        <v>250</v>
      </c>
      <c r="E239" t="s">
        <v>1116</v>
      </c>
      <c r="H239" s="1" t="s">
        <v>258</v>
      </c>
      <c r="I239" t="s">
        <v>1120</v>
      </c>
      <c r="J239" s="11" t="s">
        <v>952</v>
      </c>
      <c r="K239" t="s">
        <v>1148</v>
      </c>
      <c r="L239" s="1" t="s">
        <v>263</v>
      </c>
      <c r="M239" s="1" t="s">
        <v>266</v>
      </c>
    </row>
    <row r="240" spans="1:14" hidden="1" x14ac:dyDescent="0.25">
      <c r="A240">
        <v>183</v>
      </c>
      <c r="B240">
        <v>30</v>
      </c>
      <c r="C240" t="s">
        <v>1115</v>
      </c>
      <c r="D240" s="1" t="s">
        <v>253</v>
      </c>
      <c r="E240" t="s">
        <v>1116</v>
      </c>
      <c r="H240" s="1" t="s">
        <v>258</v>
      </c>
      <c r="I240" t="s">
        <v>1121</v>
      </c>
      <c r="J240" s="11" t="s">
        <v>952</v>
      </c>
      <c r="K240" t="s">
        <v>1149</v>
      </c>
      <c r="L240" s="1" t="s">
        <v>263</v>
      </c>
      <c r="M240" s="1" t="s">
        <v>266</v>
      </c>
    </row>
    <row r="241" spans="1:15" hidden="1" x14ac:dyDescent="0.25">
      <c r="A241" s="7"/>
      <c r="B241" s="7">
        <v>30</v>
      </c>
      <c r="C241" s="7"/>
      <c r="D241" s="7" t="s">
        <v>246</v>
      </c>
      <c r="E241" s="7" t="s">
        <v>1116</v>
      </c>
      <c r="F241" s="7"/>
      <c r="G241" s="7"/>
      <c r="H241" s="7"/>
      <c r="I241" s="7"/>
      <c r="J241" s="7"/>
      <c r="K241" s="7"/>
      <c r="L241" s="7" t="s">
        <v>264</v>
      </c>
      <c r="M241" s="7"/>
      <c r="N241" s="7" t="s">
        <v>955</v>
      </c>
    </row>
    <row r="242" spans="1:15" hidden="1" x14ac:dyDescent="0.25">
      <c r="A242" s="7"/>
      <c r="B242" s="7">
        <v>30</v>
      </c>
      <c r="C242" s="7"/>
      <c r="D242" s="7" t="s">
        <v>247</v>
      </c>
      <c r="E242" s="7" t="s">
        <v>1116</v>
      </c>
      <c r="F242" s="7"/>
      <c r="G242" s="7"/>
      <c r="H242" s="7"/>
      <c r="I242" s="7"/>
      <c r="J242" s="7"/>
      <c r="K242" s="7"/>
      <c r="L242" s="7" t="s">
        <v>264</v>
      </c>
      <c r="M242" s="7"/>
      <c r="N242" s="7" t="s">
        <v>955</v>
      </c>
    </row>
    <row r="243" spans="1:15" hidden="1" x14ac:dyDescent="0.25">
      <c r="A243" s="7"/>
      <c r="B243" s="7">
        <v>30</v>
      </c>
      <c r="C243" s="7"/>
      <c r="D243" s="7" t="s">
        <v>248</v>
      </c>
      <c r="E243" s="7" t="s">
        <v>1116</v>
      </c>
      <c r="F243" s="7"/>
      <c r="G243" s="7"/>
      <c r="H243" s="7"/>
      <c r="I243" s="7"/>
      <c r="J243" s="7"/>
      <c r="K243" s="7"/>
      <c r="L243" s="7" t="s">
        <v>264</v>
      </c>
      <c r="M243" s="7"/>
      <c r="N243" s="7" t="s">
        <v>955</v>
      </c>
    </row>
    <row r="244" spans="1:15" x14ac:dyDescent="0.25">
      <c r="A244" s="4">
        <v>184</v>
      </c>
      <c r="B244" s="4">
        <v>31</v>
      </c>
      <c r="C244" s="4" t="s">
        <v>1169</v>
      </c>
      <c r="D244" s="4" t="s">
        <v>248</v>
      </c>
      <c r="E244" s="4" t="s">
        <v>1150</v>
      </c>
      <c r="F244" s="4"/>
      <c r="G244" s="4"/>
      <c r="H244" s="4" t="s">
        <v>258</v>
      </c>
      <c r="I244" s="4" t="s">
        <v>1173</v>
      </c>
      <c r="J244" s="10" t="s">
        <v>952</v>
      </c>
      <c r="K244" s="4" t="s">
        <v>1177</v>
      </c>
      <c r="L244" s="4" t="s">
        <v>262</v>
      </c>
      <c r="M244" s="4"/>
      <c r="N244" s="4"/>
    </row>
    <row r="245" spans="1:15" hidden="1" x14ac:dyDescent="0.25">
      <c r="A245">
        <v>185</v>
      </c>
      <c r="B245">
        <v>31</v>
      </c>
      <c r="C245" t="s">
        <v>1170</v>
      </c>
      <c r="D245" s="1" t="s">
        <v>249</v>
      </c>
      <c r="E245" t="s">
        <v>1150</v>
      </c>
      <c r="H245" s="1" t="s">
        <v>258</v>
      </c>
      <c r="I245" t="s">
        <v>1174</v>
      </c>
      <c r="J245" s="11" t="s">
        <v>952</v>
      </c>
      <c r="K245" t="s">
        <v>1178</v>
      </c>
      <c r="L245" s="1" t="s">
        <v>263</v>
      </c>
      <c r="M245" s="1" t="s">
        <v>266</v>
      </c>
    </row>
    <row r="246" spans="1:15" hidden="1" x14ac:dyDescent="0.25">
      <c r="A246">
        <v>186</v>
      </c>
      <c r="B246">
        <v>31</v>
      </c>
      <c r="C246" t="s">
        <v>1171</v>
      </c>
      <c r="D246" s="1" t="s">
        <v>253</v>
      </c>
      <c r="E246" t="s">
        <v>1150</v>
      </c>
      <c r="H246" s="1" t="s">
        <v>258</v>
      </c>
      <c r="I246" t="s">
        <v>1175</v>
      </c>
      <c r="J246" s="11" t="s">
        <v>952</v>
      </c>
      <c r="K246" t="s">
        <v>1179</v>
      </c>
      <c r="L246" s="1" t="s">
        <v>263</v>
      </c>
      <c r="M246" s="1" t="s">
        <v>269</v>
      </c>
    </row>
    <row r="247" spans="1:15" hidden="1" x14ac:dyDescent="0.25">
      <c r="A247">
        <v>187</v>
      </c>
      <c r="B247">
        <v>31</v>
      </c>
      <c r="C247" t="s">
        <v>1172</v>
      </c>
      <c r="D247" s="1" t="s">
        <v>252</v>
      </c>
      <c r="E247" t="s">
        <v>1150</v>
      </c>
      <c r="H247" s="1" t="s">
        <v>258</v>
      </c>
      <c r="I247" t="s">
        <v>1176</v>
      </c>
      <c r="J247" s="11" t="s">
        <v>952</v>
      </c>
      <c r="K247" t="s">
        <v>1180</v>
      </c>
      <c r="L247" s="1" t="s">
        <v>263</v>
      </c>
      <c r="M247" s="1" t="s">
        <v>269</v>
      </c>
    </row>
    <row r="248" spans="1:15" hidden="1" x14ac:dyDescent="0.25">
      <c r="A248" s="7"/>
      <c r="B248" s="7">
        <v>31</v>
      </c>
      <c r="C248" s="7"/>
      <c r="D248" s="7" t="s">
        <v>246</v>
      </c>
      <c r="E248" s="7" t="s">
        <v>1150</v>
      </c>
      <c r="F248" s="7"/>
      <c r="G248" s="7"/>
      <c r="H248" s="7"/>
      <c r="I248" s="7"/>
      <c r="J248" s="7"/>
      <c r="K248" s="7"/>
      <c r="L248" s="7" t="s">
        <v>264</v>
      </c>
      <c r="M248" s="7"/>
      <c r="N248" s="7" t="s">
        <v>955</v>
      </c>
    </row>
    <row r="249" spans="1:15" hidden="1" x14ac:dyDescent="0.25">
      <c r="A249" s="7"/>
      <c r="B249" s="7">
        <v>31</v>
      </c>
      <c r="C249" s="7"/>
      <c r="D249" s="7" t="s">
        <v>247</v>
      </c>
      <c r="E249" s="7" t="s">
        <v>1150</v>
      </c>
      <c r="F249" s="7"/>
      <c r="G249" s="7"/>
      <c r="H249" s="7"/>
      <c r="I249" s="7"/>
      <c r="J249" s="7"/>
      <c r="K249" s="7"/>
      <c r="L249" s="7" t="s">
        <v>264</v>
      </c>
      <c r="M249" s="7"/>
      <c r="N249" s="7" t="s">
        <v>955</v>
      </c>
    </row>
    <row r="250" spans="1:15" x14ac:dyDescent="0.25">
      <c r="A250" s="4">
        <v>188</v>
      </c>
      <c r="B250" s="4">
        <v>32</v>
      </c>
      <c r="C250" s="4" t="s">
        <v>1152</v>
      </c>
      <c r="D250" s="4" t="s">
        <v>247</v>
      </c>
      <c r="E250" s="4" t="s">
        <v>1151</v>
      </c>
      <c r="F250" s="4"/>
      <c r="G250" s="4"/>
      <c r="H250" s="4" t="s">
        <v>258</v>
      </c>
      <c r="I250" s="4" t="s">
        <v>1159</v>
      </c>
      <c r="J250" s="10" t="s">
        <v>952</v>
      </c>
      <c r="K250" s="4" t="s">
        <v>1181</v>
      </c>
      <c r="L250" s="4" t="s">
        <v>262</v>
      </c>
      <c r="M250" s="4"/>
      <c r="N250" s="4"/>
      <c r="O250" t="s">
        <v>1363</v>
      </c>
    </row>
    <row r="251" spans="1:15" x14ac:dyDescent="0.25">
      <c r="A251" s="4">
        <v>189</v>
      </c>
      <c r="B251" s="4">
        <v>32</v>
      </c>
      <c r="C251" s="4" t="s">
        <v>1158</v>
      </c>
      <c r="D251" s="4" t="s">
        <v>246</v>
      </c>
      <c r="E251" s="4" t="s">
        <v>1151</v>
      </c>
      <c r="F251" s="4"/>
      <c r="G251" s="4"/>
      <c r="H251" s="4" t="s">
        <v>258</v>
      </c>
      <c r="I251" s="4" t="s">
        <v>1160</v>
      </c>
      <c r="J251" s="10" t="s">
        <v>952</v>
      </c>
      <c r="K251" s="4" t="s">
        <v>1182</v>
      </c>
      <c r="L251" s="4" t="s">
        <v>262</v>
      </c>
      <c r="M251" s="4"/>
      <c r="N251" s="4"/>
      <c r="O251" t="s">
        <v>1363</v>
      </c>
    </row>
    <row r="252" spans="1:15" x14ac:dyDescent="0.25">
      <c r="A252" s="4">
        <v>190</v>
      </c>
      <c r="B252" s="4">
        <v>32</v>
      </c>
      <c r="C252" s="4" t="s">
        <v>1153</v>
      </c>
      <c r="D252" s="4" t="s">
        <v>248</v>
      </c>
      <c r="E252" s="4" t="s">
        <v>1151</v>
      </c>
      <c r="F252" s="4"/>
      <c r="G252" s="4"/>
      <c r="H252" s="4" t="s">
        <v>258</v>
      </c>
      <c r="I252" s="4" t="s">
        <v>1161</v>
      </c>
      <c r="J252" s="10" t="s">
        <v>952</v>
      </c>
      <c r="K252" s="4" t="s">
        <v>1183</v>
      </c>
      <c r="L252" s="4" t="s">
        <v>262</v>
      </c>
      <c r="M252" s="4"/>
      <c r="N252" s="4"/>
    </row>
    <row r="253" spans="1:15" hidden="1" x14ac:dyDescent="0.25">
      <c r="A253">
        <v>191</v>
      </c>
      <c r="B253">
        <v>32</v>
      </c>
      <c r="C253" t="s">
        <v>1154</v>
      </c>
      <c r="D253" s="1" t="s">
        <v>250</v>
      </c>
      <c r="E253" t="s">
        <v>1151</v>
      </c>
      <c r="H253" s="1" t="s">
        <v>258</v>
      </c>
      <c r="I253" t="s">
        <v>1162</v>
      </c>
      <c r="J253" s="11" t="s">
        <v>952</v>
      </c>
      <c r="K253" t="s">
        <v>1184</v>
      </c>
      <c r="L253" s="1" t="s">
        <v>263</v>
      </c>
      <c r="M253" s="1" t="s">
        <v>267</v>
      </c>
      <c r="N253" t="s">
        <v>1167</v>
      </c>
    </row>
    <row r="254" spans="1:15" hidden="1" x14ac:dyDescent="0.25">
      <c r="A254">
        <v>192</v>
      </c>
      <c r="B254">
        <v>32</v>
      </c>
      <c r="C254" t="s">
        <v>610</v>
      </c>
      <c r="D254" s="1" t="s">
        <v>249</v>
      </c>
      <c r="E254" t="s">
        <v>1151</v>
      </c>
      <c r="H254" s="1" t="s">
        <v>258</v>
      </c>
      <c r="I254" t="s">
        <v>1163</v>
      </c>
      <c r="J254" s="11" t="s">
        <v>952</v>
      </c>
      <c r="K254" t="s">
        <v>1185</v>
      </c>
      <c r="L254" s="1" t="s">
        <v>263</v>
      </c>
      <c r="M254" s="1" t="s">
        <v>267</v>
      </c>
      <c r="N254" t="s">
        <v>1167</v>
      </c>
    </row>
    <row r="255" spans="1:15" hidden="1" x14ac:dyDescent="0.25">
      <c r="A255">
        <v>193</v>
      </c>
      <c r="B255">
        <v>32</v>
      </c>
      <c r="C255" t="s">
        <v>1155</v>
      </c>
      <c r="D255" s="1" t="s">
        <v>249</v>
      </c>
      <c r="E255" t="s">
        <v>1151</v>
      </c>
      <c r="H255" s="1" t="s">
        <v>258</v>
      </c>
      <c r="I255" t="s">
        <v>1164</v>
      </c>
      <c r="J255" s="11" t="s">
        <v>952</v>
      </c>
      <c r="K255" t="s">
        <v>1186</v>
      </c>
      <c r="L255" s="1" t="s">
        <v>263</v>
      </c>
      <c r="M255" s="1" t="s">
        <v>267</v>
      </c>
      <c r="N255" t="s">
        <v>1167</v>
      </c>
    </row>
    <row r="256" spans="1:15" x14ac:dyDescent="0.25">
      <c r="A256" s="4">
        <v>194</v>
      </c>
      <c r="B256" s="4">
        <v>32</v>
      </c>
      <c r="C256" s="4" t="s">
        <v>1156</v>
      </c>
      <c r="D256" s="4" t="s">
        <v>246</v>
      </c>
      <c r="E256" s="4" t="s">
        <v>1151</v>
      </c>
      <c r="F256" s="4"/>
      <c r="G256" s="4"/>
      <c r="H256" s="4" t="s">
        <v>258</v>
      </c>
      <c r="I256" s="4" t="s">
        <v>1165</v>
      </c>
      <c r="J256" s="10" t="s">
        <v>952</v>
      </c>
      <c r="K256" s="4" t="s">
        <v>1187</v>
      </c>
      <c r="L256" s="4" t="s">
        <v>262</v>
      </c>
      <c r="M256" s="4"/>
      <c r="N256" s="4"/>
      <c r="O256" t="s">
        <v>1363</v>
      </c>
    </row>
    <row r="257" spans="1:14" hidden="1" x14ac:dyDescent="0.25">
      <c r="A257">
        <v>195</v>
      </c>
      <c r="B257">
        <v>32</v>
      </c>
      <c r="C257" t="s">
        <v>1157</v>
      </c>
      <c r="D257" s="1" t="s">
        <v>253</v>
      </c>
      <c r="E257" t="s">
        <v>1151</v>
      </c>
      <c r="H257" s="1" t="s">
        <v>258</v>
      </c>
      <c r="I257" t="s">
        <v>1166</v>
      </c>
      <c r="J257" s="11" t="s">
        <v>952</v>
      </c>
      <c r="K257" t="s">
        <v>1188</v>
      </c>
      <c r="L257" s="1" t="s">
        <v>263</v>
      </c>
      <c r="M257" s="1" t="s">
        <v>267</v>
      </c>
      <c r="N257" t="s">
        <v>1167</v>
      </c>
    </row>
    <row r="258" spans="1:14" hidden="1" x14ac:dyDescent="0.25">
      <c r="A258">
        <v>196</v>
      </c>
      <c r="B258">
        <v>33</v>
      </c>
      <c r="C258" t="s">
        <v>1191</v>
      </c>
      <c r="D258" s="1" t="s">
        <v>249</v>
      </c>
      <c r="E258" t="s">
        <v>1201</v>
      </c>
      <c r="H258" s="1" t="s">
        <v>258</v>
      </c>
      <c r="I258" t="s">
        <v>1192</v>
      </c>
      <c r="J258" t="s">
        <v>1189</v>
      </c>
      <c r="K258" t="s">
        <v>1203</v>
      </c>
      <c r="L258" s="1" t="s">
        <v>263</v>
      </c>
      <c r="M258" s="1" t="s">
        <v>266</v>
      </c>
    </row>
    <row r="259" spans="1:14" hidden="1" x14ac:dyDescent="0.25">
      <c r="A259">
        <v>197</v>
      </c>
      <c r="B259">
        <v>33</v>
      </c>
      <c r="C259" t="s">
        <v>1193</v>
      </c>
      <c r="D259" s="1" t="s">
        <v>249</v>
      </c>
      <c r="E259" t="s">
        <v>1201</v>
      </c>
      <c r="H259" s="1" t="s">
        <v>258</v>
      </c>
      <c r="I259" t="s">
        <v>1194</v>
      </c>
      <c r="J259" t="s">
        <v>1189</v>
      </c>
      <c r="K259" t="s">
        <v>1204</v>
      </c>
      <c r="L259" s="1" t="s">
        <v>263</v>
      </c>
      <c r="M259" s="1" t="s">
        <v>266</v>
      </c>
    </row>
    <row r="260" spans="1:14" hidden="1" x14ac:dyDescent="0.25">
      <c r="A260">
        <v>198</v>
      </c>
      <c r="B260">
        <v>33</v>
      </c>
      <c r="C260" t="s">
        <v>1195</v>
      </c>
      <c r="D260" s="1" t="s">
        <v>250</v>
      </c>
      <c r="E260" t="s">
        <v>1201</v>
      </c>
      <c r="H260" s="1" t="s">
        <v>258</v>
      </c>
      <c r="I260" t="s">
        <v>1196</v>
      </c>
      <c r="J260" t="s">
        <v>1189</v>
      </c>
      <c r="K260" t="s">
        <v>1205</v>
      </c>
      <c r="L260" s="1" t="s">
        <v>263</v>
      </c>
      <c r="M260" s="1" t="s">
        <v>266</v>
      </c>
    </row>
    <row r="261" spans="1:14" hidden="1" x14ac:dyDescent="0.25">
      <c r="A261">
        <v>199</v>
      </c>
      <c r="B261">
        <v>33</v>
      </c>
      <c r="C261" t="s">
        <v>1197</v>
      </c>
      <c r="D261" s="1" t="s">
        <v>250</v>
      </c>
      <c r="E261" t="s">
        <v>1201</v>
      </c>
      <c r="H261" s="1" t="s">
        <v>258</v>
      </c>
      <c r="I261" t="s">
        <v>1198</v>
      </c>
      <c r="J261" t="s">
        <v>1189</v>
      </c>
      <c r="K261" t="s">
        <v>1206</v>
      </c>
      <c r="L261" s="1" t="s">
        <v>263</v>
      </c>
      <c r="M261" s="1" t="s">
        <v>266</v>
      </c>
    </row>
    <row r="262" spans="1:14" hidden="1" x14ac:dyDescent="0.25">
      <c r="A262">
        <v>200</v>
      </c>
      <c r="B262">
        <v>33</v>
      </c>
      <c r="C262" t="s">
        <v>1199</v>
      </c>
      <c r="D262" s="1" t="s">
        <v>252</v>
      </c>
      <c r="E262" t="s">
        <v>1201</v>
      </c>
      <c r="H262" s="1" t="s">
        <v>258</v>
      </c>
      <c r="I262" t="s">
        <v>1200</v>
      </c>
      <c r="J262" t="s">
        <v>1189</v>
      </c>
      <c r="K262" t="s">
        <v>1207</v>
      </c>
      <c r="L262" s="1" t="s">
        <v>263</v>
      </c>
      <c r="M262" s="1" t="s">
        <v>266</v>
      </c>
    </row>
    <row r="263" spans="1:14" hidden="1" x14ac:dyDescent="0.25">
      <c r="A263" s="7"/>
      <c r="B263" s="7">
        <v>33</v>
      </c>
      <c r="C263" s="7"/>
      <c r="D263" s="7" t="s">
        <v>246</v>
      </c>
      <c r="E263" s="7" t="s">
        <v>1201</v>
      </c>
      <c r="F263" s="7"/>
      <c r="G263" s="7"/>
      <c r="H263" s="7"/>
      <c r="I263" s="7"/>
      <c r="J263" s="7"/>
      <c r="K263" s="7"/>
      <c r="L263" s="7" t="s">
        <v>264</v>
      </c>
      <c r="M263" s="7"/>
      <c r="N263" s="7" t="s">
        <v>1202</v>
      </c>
    </row>
    <row r="264" spans="1:14" hidden="1" x14ac:dyDescent="0.25">
      <c r="A264" s="7"/>
      <c r="B264" s="7">
        <v>33</v>
      </c>
      <c r="C264" s="7"/>
      <c r="D264" s="7" t="s">
        <v>247</v>
      </c>
      <c r="E264" s="7" t="s">
        <v>1201</v>
      </c>
      <c r="F264" s="7"/>
      <c r="G264" s="7"/>
      <c r="H264" s="7"/>
      <c r="I264" s="7"/>
      <c r="J264" s="7"/>
      <c r="K264" s="7"/>
      <c r="L264" s="7" t="s">
        <v>264</v>
      </c>
      <c r="M264" s="7"/>
      <c r="N264" s="7" t="s">
        <v>1202</v>
      </c>
    </row>
    <row r="265" spans="1:14" hidden="1" x14ac:dyDescent="0.25">
      <c r="A265" s="7"/>
      <c r="B265" s="7">
        <v>33</v>
      </c>
      <c r="C265" s="7"/>
      <c r="D265" s="7" t="s">
        <v>248</v>
      </c>
      <c r="E265" s="7" t="s">
        <v>1201</v>
      </c>
      <c r="F265" s="7"/>
      <c r="G265" s="7"/>
      <c r="H265" s="7"/>
      <c r="I265" s="7"/>
      <c r="J265" s="7"/>
      <c r="K265" s="7"/>
      <c r="L265" s="7" t="s">
        <v>264</v>
      </c>
      <c r="M265" s="7"/>
      <c r="N265" s="7" t="s">
        <v>1202</v>
      </c>
    </row>
    <row r="266" spans="1:14" x14ac:dyDescent="0.25">
      <c r="A266" s="4">
        <v>201</v>
      </c>
      <c r="B266" s="4">
        <v>34</v>
      </c>
      <c r="C266" s="4" t="s">
        <v>1210</v>
      </c>
      <c r="D266" s="4" t="s">
        <v>248</v>
      </c>
      <c r="E266" s="4" t="s">
        <v>1209</v>
      </c>
      <c r="F266" s="4"/>
      <c r="G266" s="4"/>
      <c r="H266" s="4" t="s">
        <v>258</v>
      </c>
      <c r="I266" s="4" t="s">
        <v>1217</v>
      </c>
      <c r="J266" s="4" t="s">
        <v>1189</v>
      </c>
      <c r="K266" s="4" t="s">
        <v>1218</v>
      </c>
      <c r="L266" s="4" t="s">
        <v>262</v>
      </c>
      <c r="M266" s="4"/>
      <c r="N266" s="4"/>
    </row>
    <row r="267" spans="1:14" hidden="1" x14ac:dyDescent="0.25">
      <c r="A267">
        <v>202</v>
      </c>
      <c r="B267">
        <v>34</v>
      </c>
      <c r="C267" t="s">
        <v>1211</v>
      </c>
      <c r="D267" s="1" t="s">
        <v>251</v>
      </c>
      <c r="E267" t="s">
        <v>1209</v>
      </c>
      <c r="H267" s="1" t="s">
        <v>258</v>
      </c>
      <c r="I267" t="s">
        <v>1219</v>
      </c>
      <c r="J267" t="s">
        <v>1189</v>
      </c>
      <c r="K267" t="s">
        <v>1221</v>
      </c>
      <c r="L267" s="1" t="s">
        <v>263</v>
      </c>
      <c r="M267" s="1" t="s">
        <v>267</v>
      </c>
      <c r="N267" t="s">
        <v>1220</v>
      </c>
    </row>
    <row r="268" spans="1:14" hidden="1" x14ac:dyDescent="0.25">
      <c r="A268">
        <v>203</v>
      </c>
      <c r="B268">
        <v>34</v>
      </c>
      <c r="C268" t="s">
        <v>1212</v>
      </c>
      <c r="D268" s="1" t="s">
        <v>249</v>
      </c>
      <c r="E268" t="s">
        <v>1209</v>
      </c>
      <c r="H268" s="1" t="s">
        <v>258</v>
      </c>
      <c r="I268" t="s">
        <v>1222</v>
      </c>
      <c r="J268" t="s">
        <v>1189</v>
      </c>
      <c r="K268" t="s">
        <v>1223</v>
      </c>
      <c r="L268" s="1" t="s">
        <v>263</v>
      </c>
      <c r="M268" s="1" t="s">
        <v>266</v>
      </c>
    </row>
    <row r="269" spans="1:14" hidden="1" x14ac:dyDescent="0.25">
      <c r="A269">
        <v>204</v>
      </c>
      <c r="B269">
        <v>34</v>
      </c>
      <c r="C269" t="s">
        <v>1213</v>
      </c>
      <c r="D269" s="1" t="s">
        <v>249</v>
      </c>
      <c r="E269" t="s">
        <v>1209</v>
      </c>
      <c r="H269" s="1" t="s">
        <v>258</v>
      </c>
      <c r="I269" t="s">
        <v>1224</v>
      </c>
      <c r="J269" t="s">
        <v>1189</v>
      </c>
      <c r="K269" t="s">
        <v>1225</v>
      </c>
      <c r="L269" s="1" t="s">
        <v>263</v>
      </c>
      <c r="M269" s="1" t="s">
        <v>266</v>
      </c>
    </row>
    <row r="270" spans="1:14" hidden="1" x14ac:dyDescent="0.25">
      <c r="A270">
        <v>205</v>
      </c>
      <c r="B270">
        <v>34</v>
      </c>
      <c r="C270" t="s">
        <v>1214</v>
      </c>
      <c r="D270" s="1" t="s">
        <v>250</v>
      </c>
      <c r="E270" t="s">
        <v>1209</v>
      </c>
      <c r="H270" s="1" t="s">
        <v>258</v>
      </c>
      <c r="I270" t="s">
        <v>1226</v>
      </c>
      <c r="J270" t="s">
        <v>1189</v>
      </c>
      <c r="K270" t="s">
        <v>1227</v>
      </c>
      <c r="L270" s="1" t="s">
        <v>263</v>
      </c>
      <c r="M270" s="1" t="s">
        <v>266</v>
      </c>
    </row>
    <row r="271" spans="1:14" hidden="1" x14ac:dyDescent="0.25">
      <c r="A271">
        <v>206</v>
      </c>
      <c r="B271">
        <v>34</v>
      </c>
      <c r="C271" t="s">
        <v>1229</v>
      </c>
      <c r="D271" s="1" t="s">
        <v>253</v>
      </c>
      <c r="E271" t="s">
        <v>1209</v>
      </c>
      <c r="H271" s="1" t="s">
        <v>258</v>
      </c>
      <c r="I271" t="s">
        <v>1228</v>
      </c>
      <c r="J271" t="s">
        <v>1189</v>
      </c>
      <c r="K271" t="s">
        <v>1230</v>
      </c>
      <c r="L271" s="1" t="s">
        <v>263</v>
      </c>
      <c r="M271" s="1" t="s">
        <v>269</v>
      </c>
    </row>
    <row r="272" spans="1:14" hidden="1" x14ac:dyDescent="0.25">
      <c r="A272">
        <v>207</v>
      </c>
      <c r="B272">
        <v>34</v>
      </c>
      <c r="C272" t="s">
        <v>1215</v>
      </c>
      <c r="D272" s="1" t="s">
        <v>251</v>
      </c>
      <c r="E272" t="s">
        <v>1209</v>
      </c>
      <c r="H272" s="1" t="s">
        <v>258</v>
      </c>
      <c r="I272" t="s">
        <v>1235</v>
      </c>
      <c r="J272" t="s">
        <v>1189</v>
      </c>
      <c r="K272" t="s">
        <v>1236</v>
      </c>
      <c r="L272" s="1" t="s">
        <v>263</v>
      </c>
      <c r="M272" s="1" t="s">
        <v>267</v>
      </c>
      <c r="N272" t="s">
        <v>1220</v>
      </c>
    </row>
    <row r="273" spans="1:14" hidden="1" x14ac:dyDescent="0.25">
      <c r="A273">
        <v>208</v>
      </c>
      <c r="B273">
        <v>34</v>
      </c>
      <c r="C273" t="s">
        <v>1238</v>
      </c>
      <c r="D273" s="1" t="s">
        <v>254</v>
      </c>
      <c r="E273" t="s">
        <v>1209</v>
      </c>
      <c r="H273" s="1" t="s">
        <v>258</v>
      </c>
      <c r="I273" t="s">
        <v>1237</v>
      </c>
      <c r="J273" t="s">
        <v>1189</v>
      </c>
      <c r="K273" t="s">
        <v>1239</v>
      </c>
      <c r="L273" s="1" t="s">
        <v>263</v>
      </c>
      <c r="M273" s="1" t="s">
        <v>270</v>
      </c>
    </row>
    <row r="274" spans="1:14" hidden="1" x14ac:dyDescent="0.25">
      <c r="A274">
        <v>209</v>
      </c>
      <c r="B274">
        <v>34</v>
      </c>
      <c r="C274" t="s">
        <v>1216</v>
      </c>
      <c r="D274" s="1" t="s">
        <v>253</v>
      </c>
      <c r="E274" t="s">
        <v>1209</v>
      </c>
      <c r="H274" s="1" t="s">
        <v>258</v>
      </c>
      <c r="I274" t="s">
        <v>1240</v>
      </c>
      <c r="J274" t="s">
        <v>1189</v>
      </c>
      <c r="K274" t="s">
        <v>1241</v>
      </c>
      <c r="L274" s="1" t="s">
        <v>263</v>
      </c>
      <c r="M274" s="1" t="s">
        <v>269</v>
      </c>
    </row>
    <row r="275" spans="1:14" hidden="1" x14ac:dyDescent="0.25">
      <c r="A275">
        <v>209</v>
      </c>
      <c r="B275">
        <v>34</v>
      </c>
      <c r="C275" t="s">
        <v>1231</v>
      </c>
      <c r="D275" s="1" t="s">
        <v>255</v>
      </c>
      <c r="E275" t="s">
        <v>1209</v>
      </c>
      <c r="H275" s="1" t="s">
        <v>258</v>
      </c>
      <c r="I275" t="s">
        <v>1233</v>
      </c>
      <c r="J275" t="s">
        <v>1189</v>
      </c>
      <c r="K275" t="s">
        <v>1232</v>
      </c>
      <c r="L275" s="1" t="s">
        <v>263</v>
      </c>
      <c r="M275" s="1" t="s">
        <v>269</v>
      </c>
    </row>
    <row r="276" spans="1:14" hidden="1" x14ac:dyDescent="0.25">
      <c r="A276" s="7"/>
      <c r="B276" s="7">
        <v>34</v>
      </c>
      <c r="C276" s="7"/>
      <c r="D276" s="7" t="s">
        <v>246</v>
      </c>
      <c r="E276" s="7" t="s">
        <v>1209</v>
      </c>
      <c r="F276" s="7"/>
      <c r="G276" s="7"/>
      <c r="H276" s="7"/>
      <c r="I276" s="7"/>
      <c r="J276" s="7"/>
      <c r="K276" s="7"/>
      <c r="L276" s="7" t="s">
        <v>264</v>
      </c>
      <c r="M276" s="7"/>
      <c r="N276" s="7" t="s">
        <v>1234</v>
      </c>
    </row>
    <row r="277" spans="1:14" hidden="1" x14ac:dyDescent="0.25">
      <c r="A277" s="7"/>
      <c r="B277" s="7">
        <v>34</v>
      </c>
      <c r="C277" s="7"/>
      <c r="D277" s="7" t="s">
        <v>247</v>
      </c>
      <c r="E277" s="7" t="s">
        <v>1209</v>
      </c>
      <c r="F277" s="7"/>
      <c r="G277" s="7"/>
      <c r="H277" s="7"/>
      <c r="I277" s="7"/>
      <c r="J277" s="7"/>
      <c r="K277" s="7"/>
      <c r="L277" s="7" t="s">
        <v>264</v>
      </c>
      <c r="M277" s="7"/>
      <c r="N277" s="7" t="s">
        <v>1234</v>
      </c>
    </row>
    <row r="278" spans="1:14" hidden="1" x14ac:dyDescent="0.25">
      <c r="A278">
        <v>210</v>
      </c>
      <c r="B278">
        <v>35</v>
      </c>
      <c r="C278" t="s">
        <v>1243</v>
      </c>
      <c r="D278" s="1" t="s">
        <v>249</v>
      </c>
      <c r="E278" t="s">
        <v>1249</v>
      </c>
      <c r="H278" s="1" t="s">
        <v>258</v>
      </c>
      <c r="I278" t="s">
        <v>1250</v>
      </c>
      <c r="J278" t="s">
        <v>1189</v>
      </c>
      <c r="K278" t="s">
        <v>1251</v>
      </c>
      <c r="L278" s="1" t="s">
        <v>263</v>
      </c>
      <c r="M278" s="1" t="s">
        <v>266</v>
      </c>
    </row>
    <row r="279" spans="1:14" hidden="1" x14ac:dyDescent="0.25">
      <c r="A279">
        <v>211</v>
      </c>
      <c r="B279">
        <v>35</v>
      </c>
      <c r="C279" t="s">
        <v>1244</v>
      </c>
      <c r="D279" s="1" t="s">
        <v>249</v>
      </c>
      <c r="E279" t="s">
        <v>1249</v>
      </c>
      <c r="H279" s="1" t="s">
        <v>258</v>
      </c>
      <c r="I279" t="s">
        <v>1252</v>
      </c>
      <c r="J279" t="s">
        <v>1189</v>
      </c>
      <c r="K279" t="s">
        <v>1255</v>
      </c>
      <c r="L279" s="1" t="s">
        <v>263</v>
      </c>
      <c r="M279" s="1" t="s">
        <v>266</v>
      </c>
    </row>
    <row r="280" spans="1:14" hidden="1" x14ac:dyDescent="0.25">
      <c r="A280">
        <v>212</v>
      </c>
      <c r="B280">
        <v>35</v>
      </c>
      <c r="C280" t="s">
        <v>1245</v>
      </c>
      <c r="D280" s="1" t="s">
        <v>250</v>
      </c>
      <c r="E280" t="s">
        <v>1249</v>
      </c>
      <c r="H280" s="1" t="s">
        <v>258</v>
      </c>
      <c r="I280" t="s">
        <v>1253</v>
      </c>
      <c r="J280" t="s">
        <v>1189</v>
      </c>
      <c r="K280" t="s">
        <v>1254</v>
      </c>
      <c r="L280" s="1" t="s">
        <v>263</v>
      </c>
      <c r="M280" s="1" t="s">
        <v>266</v>
      </c>
    </row>
    <row r="281" spans="1:14" hidden="1" x14ac:dyDescent="0.25">
      <c r="A281">
        <v>213</v>
      </c>
      <c r="B281">
        <v>35</v>
      </c>
      <c r="C281" t="s">
        <v>1246</v>
      </c>
      <c r="D281" s="1" t="s">
        <v>251</v>
      </c>
      <c r="E281" t="s">
        <v>1249</v>
      </c>
      <c r="H281" s="1" t="s">
        <v>258</v>
      </c>
      <c r="I281" t="s">
        <v>1256</v>
      </c>
      <c r="J281" t="s">
        <v>1189</v>
      </c>
      <c r="K281" t="s">
        <v>1257</v>
      </c>
      <c r="L281" s="1" t="s">
        <v>263</v>
      </c>
      <c r="M281" s="1" t="s">
        <v>266</v>
      </c>
    </row>
    <row r="282" spans="1:14" hidden="1" x14ac:dyDescent="0.25">
      <c r="A282">
        <v>214</v>
      </c>
      <c r="B282">
        <v>35</v>
      </c>
      <c r="C282" t="s">
        <v>1247</v>
      </c>
      <c r="D282" s="1" t="s">
        <v>253</v>
      </c>
      <c r="E282" t="s">
        <v>1249</v>
      </c>
      <c r="H282" s="1" t="s">
        <v>258</v>
      </c>
      <c r="I282" t="s">
        <v>1248</v>
      </c>
      <c r="J282" t="s">
        <v>1189</v>
      </c>
      <c r="K282" t="s">
        <v>1258</v>
      </c>
      <c r="L282" s="1" t="s">
        <v>263</v>
      </c>
      <c r="M282" s="1" t="s">
        <v>269</v>
      </c>
    </row>
    <row r="283" spans="1:14" hidden="1" x14ac:dyDescent="0.25">
      <c r="A283" s="7"/>
      <c r="B283" s="7">
        <v>35</v>
      </c>
      <c r="C283" s="7"/>
      <c r="D283" s="7" t="s">
        <v>246</v>
      </c>
      <c r="E283" s="7" t="s">
        <v>1249</v>
      </c>
      <c r="F283" s="7"/>
      <c r="G283" s="7"/>
      <c r="H283" s="7"/>
      <c r="I283" s="7"/>
      <c r="J283" s="7"/>
      <c r="K283" s="7"/>
      <c r="L283" s="7" t="s">
        <v>264</v>
      </c>
      <c r="M283" s="7"/>
      <c r="N283" s="7" t="s">
        <v>1202</v>
      </c>
    </row>
    <row r="284" spans="1:14" hidden="1" x14ac:dyDescent="0.25">
      <c r="A284" s="7"/>
      <c r="B284" s="7">
        <v>35</v>
      </c>
      <c r="C284" s="7"/>
      <c r="D284" s="7" t="s">
        <v>247</v>
      </c>
      <c r="E284" s="7" t="s">
        <v>1249</v>
      </c>
      <c r="F284" s="7"/>
      <c r="G284" s="7"/>
      <c r="H284" s="7"/>
      <c r="I284" s="7"/>
      <c r="J284" s="7"/>
      <c r="K284" s="7"/>
      <c r="L284" s="7" t="s">
        <v>264</v>
      </c>
      <c r="M284" s="7"/>
      <c r="N284" s="7" t="s">
        <v>1202</v>
      </c>
    </row>
    <row r="285" spans="1:14" hidden="1" x14ac:dyDescent="0.25">
      <c r="A285" s="7"/>
      <c r="B285" s="7">
        <v>35</v>
      </c>
      <c r="C285" s="7"/>
      <c r="D285" s="7" t="s">
        <v>248</v>
      </c>
      <c r="E285" s="7" t="s">
        <v>1249</v>
      </c>
      <c r="F285" s="7"/>
      <c r="G285" s="7"/>
      <c r="H285" s="7"/>
      <c r="I285" s="7"/>
      <c r="J285" s="7"/>
      <c r="K285" s="7"/>
      <c r="L285" s="7" t="s">
        <v>264</v>
      </c>
      <c r="M285" s="7"/>
      <c r="N285" s="7" t="s">
        <v>1202</v>
      </c>
    </row>
    <row r="286" spans="1:14" hidden="1" x14ac:dyDescent="0.25">
      <c r="A286">
        <v>215</v>
      </c>
      <c r="B286">
        <v>36</v>
      </c>
      <c r="C286" t="s">
        <v>1261</v>
      </c>
      <c r="D286" s="1" t="s">
        <v>253</v>
      </c>
      <c r="E286" t="s">
        <v>1259</v>
      </c>
      <c r="H286" s="1" t="s">
        <v>258</v>
      </c>
      <c r="I286" t="s">
        <v>1269</v>
      </c>
      <c r="J286" t="s">
        <v>1189</v>
      </c>
      <c r="K286" t="s">
        <v>1270</v>
      </c>
      <c r="L286" s="1" t="s">
        <v>263</v>
      </c>
      <c r="M286" s="1" t="s">
        <v>260</v>
      </c>
      <c r="N286" t="s">
        <v>1271</v>
      </c>
    </row>
    <row r="287" spans="1:14" hidden="1" x14ac:dyDescent="0.25">
      <c r="A287">
        <v>216</v>
      </c>
      <c r="B287">
        <v>36</v>
      </c>
      <c r="C287" t="s">
        <v>1262</v>
      </c>
      <c r="D287" s="1" t="s">
        <v>249</v>
      </c>
      <c r="E287" t="s">
        <v>1259</v>
      </c>
      <c r="H287" s="1" t="s">
        <v>258</v>
      </c>
      <c r="I287" t="s">
        <v>1272</v>
      </c>
      <c r="J287" t="s">
        <v>1189</v>
      </c>
      <c r="K287" t="s">
        <v>1278</v>
      </c>
      <c r="L287" s="1" t="s">
        <v>263</v>
      </c>
      <c r="M287" s="1" t="s">
        <v>266</v>
      </c>
    </row>
    <row r="288" spans="1:14" hidden="1" x14ac:dyDescent="0.25">
      <c r="A288">
        <v>217</v>
      </c>
      <c r="B288">
        <v>36</v>
      </c>
      <c r="C288" t="s">
        <v>1263</v>
      </c>
      <c r="D288" s="1" t="s">
        <v>255</v>
      </c>
      <c r="E288" t="s">
        <v>1259</v>
      </c>
      <c r="H288" s="1" t="s">
        <v>258</v>
      </c>
      <c r="I288" t="s">
        <v>1273</v>
      </c>
      <c r="J288" t="s">
        <v>1189</v>
      </c>
      <c r="K288" t="s">
        <v>1279</v>
      </c>
      <c r="L288" s="1" t="s">
        <v>263</v>
      </c>
      <c r="M288" s="1" t="s">
        <v>266</v>
      </c>
    </row>
    <row r="289" spans="1:14" hidden="1" x14ac:dyDescent="0.25">
      <c r="A289">
        <v>218</v>
      </c>
      <c r="B289">
        <v>36</v>
      </c>
      <c r="C289" t="s">
        <v>1264</v>
      </c>
      <c r="D289" s="1" t="s">
        <v>250</v>
      </c>
      <c r="E289" t="s">
        <v>1259</v>
      </c>
      <c r="H289" s="1" t="s">
        <v>258</v>
      </c>
      <c r="I289" t="s">
        <v>1274</v>
      </c>
      <c r="J289" t="s">
        <v>1189</v>
      </c>
      <c r="K289" t="s">
        <v>1280</v>
      </c>
      <c r="L289" s="1" t="s">
        <v>263</v>
      </c>
      <c r="M289" s="1" t="s">
        <v>266</v>
      </c>
    </row>
    <row r="290" spans="1:14" hidden="1" x14ac:dyDescent="0.25">
      <c r="A290">
        <v>219</v>
      </c>
      <c r="B290">
        <v>36</v>
      </c>
      <c r="C290" t="s">
        <v>1265</v>
      </c>
      <c r="D290" s="1" t="s">
        <v>250</v>
      </c>
      <c r="E290" t="s">
        <v>1259</v>
      </c>
      <c r="H290" s="1" t="s">
        <v>258</v>
      </c>
      <c r="I290" t="s">
        <v>1275</v>
      </c>
      <c r="J290" t="s">
        <v>1189</v>
      </c>
      <c r="K290" t="s">
        <v>1281</v>
      </c>
      <c r="L290" s="1" t="s">
        <v>263</v>
      </c>
      <c r="M290" s="1" t="s">
        <v>266</v>
      </c>
    </row>
    <row r="291" spans="1:14" hidden="1" x14ac:dyDescent="0.25">
      <c r="A291">
        <v>220</v>
      </c>
      <c r="B291">
        <v>36</v>
      </c>
      <c r="C291" t="s">
        <v>1266</v>
      </c>
      <c r="D291" s="1" t="s">
        <v>252</v>
      </c>
      <c r="E291" t="s">
        <v>1259</v>
      </c>
      <c r="H291" s="1" t="s">
        <v>258</v>
      </c>
      <c r="I291" t="s">
        <v>1276</v>
      </c>
      <c r="J291" t="s">
        <v>1189</v>
      </c>
      <c r="K291" t="s">
        <v>1277</v>
      </c>
      <c r="L291" s="1" t="s">
        <v>263</v>
      </c>
      <c r="M291" s="1" t="s">
        <v>269</v>
      </c>
    </row>
    <row r="292" spans="1:14" x14ac:dyDescent="0.25">
      <c r="A292" s="4">
        <v>221</v>
      </c>
      <c r="B292" s="4">
        <v>36</v>
      </c>
      <c r="C292" s="4" t="s">
        <v>1267</v>
      </c>
      <c r="D292" s="4" t="s">
        <v>248</v>
      </c>
      <c r="E292" s="4" t="s">
        <v>1259</v>
      </c>
      <c r="F292" s="4"/>
      <c r="G292" s="4"/>
      <c r="H292" s="4" t="s">
        <v>258</v>
      </c>
      <c r="I292" s="4" t="s">
        <v>1282</v>
      </c>
      <c r="J292" s="4" t="s">
        <v>1189</v>
      </c>
      <c r="K292" s="4" t="s">
        <v>1283</v>
      </c>
      <c r="L292" s="4" t="s">
        <v>262</v>
      </c>
      <c r="M292" s="4"/>
      <c r="N292" s="4"/>
    </row>
    <row r="293" spans="1:14" hidden="1" x14ac:dyDescent="0.25">
      <c r="A293" s="7"/>
      <c r="B293" s="7">
        <v>36</v>
      </c>
      <c r="C293" s="7"/>
      <c r="D293" s="7" t="s">
        <v>247</v>
      </c>
      <c r="E293" s="7" t="s">
        <v>1259</v>
      </c>
      <c r="F293" s="7"/>
      <c r="G293" s="7"/>
      <c r="H293" s="7"/>
      <c r="I293" s="7"/>
      <c r="J293" s="7"/>
      <c r="K293" s="7"/>
      <c r="L293" s="7" t="s">
        <v>264</v>
      </c>
      <c r="M293" s="7"/>
      <c r="N293" s="7" t="s">
        <v>1268</v>
      </c>
    </row>
    <row r="294" spans="1:14" hidden="1" x14ac:dyDescent="0.25">
      <c r="A294" s="7"/>
      <c r="B294" s="7">
        <v>36</v>
      </c>
      <c r="C294" s="7"/>
      <c r="D294" s="7" t="s">
        <v>248</v>
      </c>
      <c r="E294" s="7" t="s">
        <v>1259</v>
      </c>
      <c r="F294" s="7"/>
      <c r="G294" s="7"/>
      <c r="H294" s="7"/>
      <c r="I294" s="7"/>
      <c r="J294" s="7"/>
      <c r="K294" s="7"/>
      <c r="L294" s="7" t="s">
        <v>264</v>
      </c>
      <c r="M294" s="7"/>
      <c r="N294" s="7" t="s">
        <v>1268</v>
      </c>
    </row>
    <row r="295" spans="1:14" hidden="1" x14ac:dyDescent="0.25">
      <c r="A295">
        <v>222</v>
      </c>
      <c r="B295">
        <v>37</v>
      </c>
      <c r="C295" t="s">
        <v>1284</v>
      </c>
      <c r="D295" s="1" t="s">
        <v>249</v>
      </c>
      <c r="E295" t="s">
        <v>1289</v>
      </c>
      <c r="H295" s="1" t="s">
        <v>258</v>
      </c>
      <c r="I295" t="s">
        <v>1290</v>
      </c>
      <c r="J295" t="s">
        <v>1189</v>
      </c>
      <c r="K295" t="s">
        <v>1299</v>
      </c>
      <c r="L295" s="1" t="s">
        <v>263</v>
      </c>
      <c r="M295" s="1" t="s">
        <v>266</v>
      </c>
    </row>
    <row r="296" spans="1:14" hidden="1" x14ac:dyDescent="0.25">
      <c r="A296">
        <v>223</v>
      </c>
      <c r="B296">
        <v>37</v>
      </c>
      <c r="C296" t="s">
        <v>1285</v>
      </c>
      <c r="D296" s="1" t="s">
        <v>255</v>
      </c>
      <c r="E296" t="s">
        <v>1289</v>
      </c>
      <c r="H296" s="1" t="s">
        <v>258</v>
      </c>
      <c r="I296" t="s">
        <v>1291</v>
      </c>
      <c r="J296" t="s">
        <v>1189</v>
      </c>
      <c r="K296" t="s">
        <v>1292</v>
      </c>
      <c r="L296" s="1" t="s">
        <v>263</v>
      </c>
      <c r="M296" s="1" t="s">
        <v>266</v>
      </c>
    </row>
    <row r="297" spans="1:14" hidden="1" x14ac:dyDescent="0.25">
      <c r="A297">
        <v>224</v>
      </c>
      <c r="B297">
        <v>37</v>
      </c>
      <c r="C297" t="s">
        <v>1286</v>
      </c>
      <c r="D297" s="1" t="s">
        <v>255</v>
      </c>
      <c r="E297" t="s">
        <v>1289</v>
      </c>
      <c r="H297" s="1" t="s">
        <v>258</v>
      </c>
      <c r="I297" t="s">
        <v>1293</v>
      </c>
      <c r="J297" t="s">
        <v>1189</v>
      </c>
      <c r="K297" t="s">
        <v>1294</v>
      </c>
      <c r="L297" s="1" t="s">
        <v>263</v>
      </c>
      <c r="M297" s="1" t="s">
        <v>266</v>
      </c>
    </row>
    <row r="298" spans="1:14" hidden="1" x14ac:dyDescent="0.25">
      <c r="A298">
        <v>225</v>
      </c>
      <c r="B298">
        <v>37</v>
      </c>
      <c r="C298" t="s">
        <v>1287</v>
      </c>
      <c r="D298" s="1" t="s">
        <v>252</v>
      </c>
      <c r="E298" t="s">
        <v>1289</v>
      </c>
      <c r="H298" s="1" t="s">
        <v>258</v>
      </c>
      <c r="I298" t="s">
        <v>1295</v>
      </c>
      <c r="J298" t="s">
        <v>1189</v>
      </c>
      <c r="K298" t="s">
        <v>1296</v>
      </c>
      <c r="L298" s="1" t="s">
        <v>263</v>
      </c>
      <c r="M298" s="1" t="s">
        <v>266</v>
      </c>
    </row>
    <row r="299" spans="1:14" hidden="1" x14ac:dyDescent="0.25">
      <c r="A299">
        <v>226</v>
      </c>
      <c r="B299">
        <v>37</v>
      </c>
      <c r="C299" t="s">
        <v>1288</v>
      </c>
      <c r="D299" s="1" t="s">
        <v>254</v>
      </c>
      <c r="E299" t="s">
        <v>1289</v>
      </c>
      <c r="H299" s="1" t="s">
        <v>258</v>
      </c>
      <c r="I299" t="s">
        <v>1297</v>
      </c>
      <c r="J299" t="s">
        <v>1189</v>
      </c>
      <c r="K299" t="s">
        <v>1298</v>
      </c>
      <c r="L299" s="1" t="s">
        <v>263</v>
      </c>
      <c r="M299" s="1" t="s">
        <v>270</v>
      </c>
    </row>
    <row r="300" spans="1:14" hidden="1" x14ac:dyDescent="0.25">
      <c r="A300" s="7"/>
      <c r="B300" s="7">
        <v>37</v>
      </c>
      <c r="C300" s="7"/>
      <c r="D300" s="7" t="s">
        <v>246</v>
      </c>
      <c r="E300" s="7" t="s">
        <v>1289</v>
      </c>
      <c r="F300" s="7"/>
      <c r="G300" s="7"/>
      <c r="H300" s="7"/>
      <c r="I300" s="7"/>
      <c r="J300" s="7"/>
      <c r="K300" s="7"/>
      <c r="L300" s="7" t="s">
        <v>264</v>
      </c>
      <c r="M300" s="7"/>
      <c r="N300" s="7" t="s">
        <v>1202</v>
      </c>
    </row>
    <row r="301" spans="1:14" hidden="1" x14ac:dyDescent="0.25">
      <c r="A301" s="7"/>
      <c r="B301" s="7">
        <v>37</v>
      </c>
      <c r="C301" s="7"/>
      <c r="D301" s="7" t="s">
        <v>247</v>
      </c>
      <c r="E301" s="7" t="s">
        <v>1289</v>
      </c>
      <c r="F301" s="7"/>
      <c r="G301" s="7"/>
      <c r="H301" s="7"/>
      <c r="I301" s="7"/>
      <c r="J301" s="7"/>
      <c r="K301" s="7"/>
      <c r="L301" s="7" t="s">
        <v>264</v>
      </c>
      <c r="M301" s="7"/>
      <c r="N301" s="7" t="s">
        <v>1202</v>
      </c>
    </row>
    <row r="302" spans="1:14" hidden="1" x14ac:dyDescent="0.25">
      <c r="A302" s="7"/>
      <c r="B302" s="7">
        <v>37</v>
      </c>
      <c r="C302" s="7"/>
      <c r="D302" s="7" t="s">
        <v>248</v>
      </c>
      <c r="E302" s="7" t="s">
        <v>1289</v>
      </c>
      <c r="F302" s="7"/>
      <c r="G302" s="7"/>
      <c r="H302" s="7"/>
      <c r="I302" s="7"/>
      <c r="J302" s="7"/>
      <c r="K302" s="7"/>
      <c r="L302" s="7" t="s">
        <v>264</v>
      </c>
      <c r="M302" s="7"/>
      <c r="N302" s="7" t="s">
        <v>1202</v>
      </c>
    </row>
    <row r="303" spans="1:14" x14ac:dyDescent="0.25">
      <c r="A303" s="4">
        <v>227</v>
      </c>
      <c r="B303" s="4">
        <v>38</v>
      </c>
      <c r="C303" s="4" t="s">
        <v>1300</v>
      </c>
      <c r="D303" s="4" t="s">
        <v>246</v>
      </c>
      <c r="E303" s="4" t="s">
        <v>1304</v>
      </c>
      <c r="F303" s="4"/>
      <c r="G303" s="4"/>
      <c r="H303" s="4" t="s">
        <v>258</v>
      </c>
      <c r="I303" s="4" t="s">
        <v>1305</v>
      </c>
      <c r="J303" s="4" t="s">
        <v>1189</v>
      </c>
      <c r="K303" s="4" t="s">
        <v>1310</v>
      </c>
      <c r="L303" s="4" t="s">
        <v>262</v>
      </c>
      <c r="M303" s="4"/>
      <c r="N303" s="4"/>
    </row>
    <row r="304" spans="1:14" hidden="1" x14ac:dyDescent="0.25">
      <c r="A304">
        <v>228</v>
      </c>
      <c r="B304">
        <v>38</v>
      </c>
      <c r="C304" t="s">
        <v>1301</v>
      </c>
      <c r="D304" s="1" t="s">
        <v>249</v>
      </c>
      <c r="E304" t="s">
        <v>1304</v>
      </c>
      <c r="H304" s="1" t="s">
        <v>258</v>
      </c>
      <c r="I304" t="s">
        <v>1306</v>
      </c>
      <c r="J304" t="s">
        <v>1189</v>
      </c>
      <c r="K304" t="s">
        <v>1311</v>
      </c>
      <c r="L304" s="1" t="s">
        <v>263</v>
      </c>
      <c r="M304" s="1" t="s">
        <v>266</v>
      </c>
    </row>
    <row r="305" spans="1:14" hidden="1" x14ac:dyDescent="0.25">
      <c r="A305">
        <v>229</v>
      </c>
      <c r="B305">
        <v>38</v>
      </c>
      <c r="C305" t="s">
        <v>1302</v>
      </c>
      <c r="D305" s="1" t="s">
        <v>251</v>
      </c>
      <c r="E305" t="s">
        <v>1304</v>
      </c>
      <c r="H305" s="1" t="s">
        <v>258</v>
      </c>
      <c r="I305" t="s">
        <v>1308</v>
      </c>
      <c r="J305" t="s">
        <v>1189</v>
      </c>
      <c r="K305" t="s">
        <v>1312</v>
      </c>
      <c r="L305" s="1" t="s">
        <v>263</v>
      </c>
      <c r="M305" s="1" t="s">
        <v>266</v>
      </c>
    </row>
    <row r="306" spans="1:14" hidden="1" x14ac:dyDescent="0.25">
      <c r="A306">
        <v>230</v>
      </c>
      <c r="B306">
        <v>38</v>
      </c>
      <c r="C306" t="s">
        <v>1303</v>
      </c>
      <c r="D306" s="1" t="s">
        <v>253</v>
      </c>
      <c r="E306" t="s">
        <v>1304</v>
      </c>
      <c r="H306" s="1" t="s">
        <v>258</v>
      </c>
      <c r="I306" t="s">
        <v>1307</v>
      </c>
      <c r="J306" t="s">
        <v>1189</v>
      </c>
      <c r="K306" t="s">
        <v>1309</v>
      </c>
      <c r="L306" s="1" t="s">
        <v>263</v>
      </c>
      <c r="M306" s="1" t="s">
        <v>269</v>
      </c>
    </row>
    <row r="307" spans="1:14" hidden="1" x14ac:dyDescent="0.25">
      <c r="A307" s="7"/>
      <c r="B307" s="7">
        <v>38</v>
      </c>
      <c r="C307" s="7"/>
      <c r="D307" s="7" t="s">
        <v>247</v>
      </c>
      <c r="E307" s="7" t="s">
        <v>1304</v>
      </c>
      <c r="F307" s="7"/>
      <c r="G307" s="7"/>
      <c r="H307" s="7"/>
      <c r="I307" s="7"/>
      <c r="J307" s="7"/>
      <c r="K307" s="7"/>
      <c r="L307" s="7" t="s">
        <v>264</v>
      </c>
      <c r="M307" s="7"/>
      <c r="N307" s="7" t="s">
        <v>1268</v>
      </c>
    </row>
    <row r="308" spans="1:14" hidden="1" x14ac:dyDescent="0.25">
      <c r="A308" s="7"/>
      <c r="B308" s="7">
        <v>38</v>
      </c>
      <c r="C308" s="7"/>
      <c r="D308" s="7" t="s">
        <v>248</v>
      </c>
      <c r="E308" s="7" t="s">
        <v>1304</v>
      </c>
      <c r="F308" s="7"/>
      <c r="G308" s="7"/>
      <c r="H308" s="7"/>
      <c r="I308" s="7"/>
      <c r="J308" s="7"/>
      <c r="K308" s="7"/>
      <c r="L308" s="7" t="s">
        <v>264</v>
      </c>
      <c r="M308" s="7"/>
      <c r="N308" s="7" t="s">
        <v>1268</v>
      </c>
    </row>
    <row r="309" spans="1:14" hidden="1" x14ac:dyDescent="0.25">
      <c r="A309">
        <v>231</v>
      </c>
      <c r="B309">
        <v>39</v>
      </c>
      <c r="C309" t="s">
        <v>249</v>
      </c>
      <c r="D309" s="1" t="s">
        <v>249</v>
      </c>
      <c r="E309" t="s">
        <v>1318</v>
      </c>
      <c r="H309" s="1" t="s">
        <v>258</v>
      </c>
      <c r="I309" t="s">
        <v>1319</v>
      </c>
      <c r="J309" t="s">
        <v>1189</v>
      </c>
      <c r="K309" t="s">
        <v>1329</v>
      </c>
      <c r="L309" s="1" t="s">
        <v>263</v>
      </c>
      <c r="M309" s="1" t="s">
        <v>266</v>
      </c>
    </row>
    <row r="310" spans="1:14" hidden="1" x14ac:dyDescent="0.25">
      <c r="A310">
        <v>232</v>
      </c>
      <c r="B310">
        <v>39</v>
      </c>
      <c r="C310" t="s">
        <v>1313</v>
      </c>
      <c r="D310" s="1" t="s">
        <v>251</v>
      </c>
      <c r="E310" t="s">
        <v>1318</v>
      </c>
      <c r="H310" s="1" t="s">
        <v>258</v>
      </c>
      <c r="I310" t="s">
        <v>1320</v>
      </c>
      <c r="J310" t="s">
        <v>1189</v>
      </c>
      <c r="K310" t="s">
        <v>1324</v>
      </c>
      <c r="L310" s="1" t="s">
        <v>263</v>
      </c>
      <c r="M310" s="1" t="s">
        <v>269</v>
      </c>
      <c r="N310" t="s">
        <v>1325</v>
      </c>
    </row>
    <row r="311" spans="1:14" hidden="1" x14ac:dyDescent="0.25">
      <c r="A311">
        <v>233</v>
      </c>
      <c r="B311">
        <v>39</v>
      </c>
      <c r="C311" t="s">
        <v>1314</v>
      </c>
      <c r="D311" s="1" t="s">
        <v>246</v>
      </c>
      <c r="E311" t="s">
        <v>1318</v>
      </c>
      <c r="H311" s="1" t="s">
        <v>258</v>
      </c>
      <c r="I311" t="s">
        <v>1321</v>
      </c>
      <c r="J311" t="s">
        <v>1189</v>
      </c>
      <c r="K311" t="s">
        <v>1330</v>
      </c>
      <c r="L311" s="1" t="s">
        <v>263</v>
      </c>
      <c r="M311" s="1" t="s">
        <v>266</v>
      </c>
    </row>
    <row r="312" spans="1:14" hidden="1" x14ac:dyDescent="0.25">
      <c r="A312">
        <v>234</v>
      </c>
      <c r="B312">
        <v>39</v>
      </c>
      <c r="C312" t="s">
        <v>1315</v>
      </c>
      <c r="D312" s="1" t="s">
        <v>250</v>
      </c>
      <c r="E312" t="s">
        <v>1318</v>
      </c>
      <c r="H312" s="1" t="s">
        <v>258</v>
      </c>
      <c r="I312" t="s">
        <v>1322</v>
      </c>
      <c r="J312" t="s">
        <v>1189</v>
      </c>
      <c r="K312" t="s">
        <v>1326</v>
      </c>
      <c r="L312" s="1" t="s">
        <v>263</v>
      </c>
      <c r="M312" s="1" t="s">
        <v>266</v>
      </c>
    </row>
    <row r="313" spans="1:14" hidden="1" x14ac:dyDescent="0.25">
      <c r="A313">
        <v>235</v>
      </c>
      <c r="B313">
        <v>39</v>
      </c>
      <c r="C313" t="s">
        <v>1316</v>
      </c>
      <c r="D313" s="1" t="s">
        <v>250</v>
      </c>
      <c r="E313" t="s">
        <v>1318</v>
      </c>
      <c r="H313" s="1" t="s">
        <v>258</v>
      </c>
      <c r="I313" t="s">
        <v>1327</v>
      </c>
      <c r="J313" t="s">
        <v>1189</v>
      </c>
      <c r="K313" t="s">
        <v>1331</v>
      </c>
      <c r="L313" s="1" t="s">
        <v>263</v>
      </c>
      <c r="M313" s="1" t="s">
        <v>266</v>
      </c>
    </row>
    <row r="314" spans="1:14" hidden="1" x14ac:dyDescent="0.25">
      <c r="A314">
        <v>236</v>
      </c>
      <c r="B314">
        <v>39</v>
      </c>
      <c r="C314" t="s">
        <v>1317</v>
      </c>
      <c r="D314" s="1" t="s">
        <v>253</v>
      </c>
      <c r="E314" t="s">
        <v>1318</v>
      </c>
      <c r="H314" s="1" t="s">
        <v>257</v>
      </c>
      <c r="I314" t="s">
        <v>1323</v>
      </c>
      <c r="J314" t="s">
        <v>1189</v>
      </c>
      <c r="K314" t="s">
        <v>1328</v>
      </c>
      <c r="L314" s="1" t="s">
        <v>263</v>
      </c>
      <c r="M314" s="1" t="s">
        <v>266</v>
      </c>
    </row>
    <row r="315" spans="1:14" hidden="1" x14ac:dyDescent="0.25">
      <c r="A315" s="7"/>
      <c r="B315" s="7">
        <v>39</v>
      </c>
      <c r="C315" s="7"/>
      <c r="D315" s="7" t="s">
        <v>246</v>
      </c>
      <c r="E315" s="7" t="s">
        <v>1318</v>
      </c>
      <c r="F315" s="7"/>
      <c r="G315" s="7"/>
      <c r="H315" s="7"/>
      <c r="I315" s="7"/>
      <c r="J315" s="7"/>
      <c r="K315" s="7"/>
      <c r="L315" s="7" t="s">
        <v>264</v>
      </c>
      <c r="M315" s="7"/>
      <c r="N315" s="7" t="s">
        <v>1202</v>
      </c>
    </row>
    <row r="316" spans="1:14" hidden="1" x14ac:dyDescent="0.25">
      <c r="A316" s="7"/>
      <c r="B316" s="7">
        <v>39</v>
      </c>
      <c r="C316" s="7"/>
      <c r="D316" s="7" t="s">
        <v>247</v>
      </c>
      <c r="E316" s="7" t="s">
        <v>1318</v>
      </c>
      <c r="F316" s="7"/>
      <c r="G316" s="7"/>
      <c r="H316" s="7"/>
      <c r="I316" s="7"/>
      <c r="J316" s="7"/>
      <c r="K316" s="7"/>
      <c r="L316" s="7" t="s">
        <v>264</v>
      </c>
      <c r="M316" s="7"/>
      <c r="N316" s="7" t="s">
        <v>1202</v>
      </c>
    </row>
    <row r="317" spans="1:14" hidden="1" x14ac:dyDescent="0.25">
      <c r="A317" s="7"/>
      <c r="B317" s="7">
        <v>39</v>
      </c>
      <c r="C317" s="7"/>
      <c r="D317" s="7" t="s">
        <v>248</v>
      </c>
      <c r="E317" s="7" t="s">
        <v>1318</v>
      </c>
      <c r="F317" s="7"/>
      <c r="G317" s="7"/>
      <c r="H317" s="7"/>
      <c r="I317" s="7"/>
      <c r="J317" s="7"/>
      <c r="K317" s="7"/>
      <c r="L317" s="7" t="s">
        <v>264</v>
      </c>
      <c r="M317" s="7"/>
      <c r="N317" s="7" t="s">
        <v>1202</v>
      </c>
    </row>
    <row r="318" spans="1:14" hidden="1" x14ac:dyDescent="0.25">
      <c r="A318">
        <v>237</v>
      </c>
      <c r="B318">
        <v>40</v>
      </c>
      <c r="C318" t="s">
        <v>1334</v>
      </c>
      <c r="D318" s="1" t="s">
        <v>255</v>
      </c>
      <c r="E318" s="15" t="s">
        <v>1332</v>
      </c>
      <c r="H318" s="1" t="s">
        <v>258</v>
      </c>
      <c r="I318" t="s">
        <v>1335</v>
      </c>
      <c r="J318" t="s">
        <v>1189</v>
      </c>
      <c r="K318" t="s">
        <v>1356</v>
      </c>
      <c r="L318" s="1" t="s">
        <v>263</v>
      </c>
      <c r="M318" s="1" t="s">
        <v>266</v>
      </c>
    </row>
    <row r="319" spans="1:14" hidden="1" x14ac:dyDescent="0.25">
      <c r="A319">
        <v>238</v>
      </c>
      <c r="B319">
        <v>40</v>
      </c>
      <c r="C319" t="s">
        <v>1336</v>
      </c>
      <c r="D319" s="1" t="s">
        <v>249</v>
      </c>
      <c r="E319" s="15" t="s">
        <v>1332</v>
      </c>
      <c r="H319" s="1" t="s">
        <v>258</v>
      </c>
      <c r="I319" t="s">
        <v>1337</v>
      </c>
      <c r="J319" t="s">
        <v>1189</v>
      </c>
      <c r="K319" t="s">
        <v>1352</v>
      </c>
      <c r="L319" s="1" t="s">
        <v>263</v>
      </c>
      <c r="M319" s="1" t="s">
        <v>266</v>
      </c>
    </row>
    <row r="320" spans="1:14" x14ac:dyDescent="0.25">
      <c r="A320" s="4">
        <v>239</v>
      </c>
      <c r="B320" s="4">
        <v>40</v>
      </c>
      <c r="C320" s="4" t="s">
        <v>1338</v>
      </c>
      <c r="D320" s="4" t="s">
        <v>246</v>
      </c>
      <c r="E320" s="17" t="s">
        <v>1332</v>
      </c>
      <c r="F320" s="4"/>
      <c r="G320" s="4"/>
      <c r="H320" s="4" t="s">
        <v>257</v>
      </c>
      <c r="I320" s="4" t="s">
        <v>1339</v>
      </c>
      <c r="J320" s="4" t="s">
        <v>1189</v>
      </c>
      <c r="K320" s="4" t="s">
        <v>1353</v>
      </c>
      <c r="L320" s="4" t="s">
        <v>262</v>
      </c>
      <c r="M320" s="4"/>
      <c r="N320" s="4"/>
    </row>
    <row r="321" spans="1:14" hidden="1" x14ac:dyDescent="0.25">
      <c r="A321">
        <v>240</v>
      </c>
      <c r="B321">
        <v>40</v>
      </c>
      <c r="C321" t="s">
        <v>1340</v>
      </c>
      <c r="D321" s="1" t="s">
        <v>251</v>
      </c>
      <c r="E321" s="15" t="s">
        <v>1332</v>
      </c>
      <c r="H321" s="1" t="s">
        <v>258</v>
      </c>
      <c r="I321" t="s">
        <v>1341</v>
      </c>
      <c r="J321" t="s">
        <v>1189</v>
      </c>
      <c r="K321" t="s">
        <v>1360</v>
      </c>
      <c r="L321" s="1" t="s">
        <v>263</v>
      </c>
      <c r="M321" s="1" t="s">
        <v>266</v>
      </c>
    </row>
    <row r="322" spans="1:14" ht="16.5" hidden="1" x14ac:dyDescent="0.3">
      <c r="A322">
        <v>241</v>
      </c>
      <c r="B322">
        <v>40</v>
      </c>
      <c r="C322" s="16" t="s">
        <v>1342</v>
      </c>
      <c r="D322" s="1" t="s">
        <v>251</v>
      </c>
      <c r="E322" s="15" t="s">
        <v>1332</v>
      </c>
      <c r="H322" s="1" t="s">
        <v>258</v>
      </c>
      <c r="I322" t="s">
        <v>1343</v>
      </c>
      <c r="J322" t="s">
        <v>1189</v>
      </c>
      <c r="K322" t="s">
        <v>1357</v>
      </c>
      <c r="L322" s="1" t="s">
        <v>263</v>
      </c>
      <c r="M322" s="1" t="s">
        <v>266</v>
      </c>
    </row>
    <row r="323" spans="1:14" hidden="1" x14ac:dyDescent="0.25">
      <c r="A323">
        <v>242</v>
      </c>
      <c r="B323">
        <v>40</v>
      </c>
      <c r="C323" t="s">
        <v>1344</v>
      </c>
      <c r="D323" s="1" t="s">
        <v>250</v>
      </c>
      <c r="E323" s="15" t="s">
        <v>1332</v>
      </c>
      <c r="H323" s="1"/>
      <c r="I323" t="s">
        <v>1345</v>
      </c>
      <c r="J323" t="s">
        <v>1189</v>
      </c>
      <c r="K323" t="s">
        <v>1359</v>
      </c>
      <c r="L323" s="1" t="s">
        <v>263</v>
      </c>
      <c r="M323" s="1" t="s">
        <v>266</v>
      </c>
    </row>
    <row r="324" spans="1:14" hidden="1" x14ac:dyDescent="0.25">
      <c r="A324">
        <v>243</v>
      </c>
      <c r="B324">
        <v>40</v>
      </c>
      <c r="C324" t="s">
        <v>1346</v>
      </c>
      <c r="D324" s="1" t="s">
        <v>250</v>
      </c>
      <c r="E324" s="15" t="s">
        <v>1332</v>
      </c>
      <c r="H324" s="1"/>
      <c r="I324" t="s">
        <v>1347</v>
      </c>
      <c r="J324" t="s">
        <v>1189</v>
      </c>
      <c r="K324" t="s">
        <v>1358</v>
      </c>
      <c r="L324" s="1" t="s">
        <v>263</v>
      </c>
      <c r="M324" s="1" t="s">
        <v>266</v>
      </c>
    </row>
    <row r="325" spans="1:14" hidden="1" x14ac:dyDescent="0.25">
      <c r="A325">
        <v>244</v>
      </c>
      <c r="B325">
        <v>40</v>
      </c>
      <c r="C325" t="s">
        <v>1348</v>
      </c>
      <c r="D325" s="1" t="s">
        <v>254</v>
      </c>
      <c r="E325" s="15" t="s">
        <v>1332</v>
      </c>
      <c r="H325" s="1"/>
      <c r="I325" t="s">
        <v>1349</v>
      </c>
      <c r="J325" t="s">
        <v>1189</v>
      </c>
      <c r="K325" t="s">
        <v>1354</v>
      </c>
      <c r="L325" s="1" t="s">
        <v>263</v>
      </c>
      <c r="M325" s="1" t="s">
        <v>269</v>
      </c>
    </row>
    <row r="326" spans="1:14" hidden="1" x14ac:dyDescent="0.25">
      <c r="A326">
        <v>245</v>
      </c>
      <c r="B326">
        <v>40</v>
      </c>
      <c r="C326" t="s">
        <v>1350</v>
      </c>
      <c r="D326" s="1" t="s">
        <v>254</v>
      </c>
      <c r="E326" s="15" t="s">
        <v>1332</v>
      </c>
      <c r="H326" s="1"/>
      <c r="I326" t="s">
        <v>1351</v>
      </c>
      <c r="J326" t="s">
        <v>1189</v>
      </c>
      <c r="K326" t="s">
        <v>1355</v>
      </c>
      <c r="L326" s="1" t="s">
        <v>263</v>
      </c>
      <c r="M326" s="1" t="s">
        <v>269</v>
      </c>
    </row>
    <row r="327" spans="1:14" hidden="1" x14ac:dyDescent="0.25">
      <c r="A327" s="7"/>
      <c r="B327" s="7">
        <v>40</v>
      </c>
      <c r="C327" s="7"/>
      <c r="D327" s="7" t="s">
        <v>247</v>
      </c>
      <c r="E327" s="7" t="s">
        <v>1332</v>
      </c>
      <c r="F327" s="7"/>
      <c r="G327" s="7"/>
      <c r="H327" s="7"/>
      <c r="I327" s="7"/>
      <c r="J327" s="7"/>
      <c r="K327" s="7"/>
      <c r="L327" s="7" t="s">
        <v>264</v>
      </c>
      <c r="M327" s="7"/>
      <c r="N327" s="7" t="s">
        <v>1268</v>
      </c>
    </row>
    <row r="328" spans="1:14" hidden="1" x14ac:dyDescent="0.25">
      <c r="A328" s="7"/>
      <c r="B328" s="7">
        <v>40</v>
      </c>
      <c r="C328" s="7"/>
      <c r="D328" s="7" t="s">
        <v>248</v>
      </c>
      <c r="E328" s="7" t="s">
        <v>1332</v>
      </c>
      <c r="F328" s="7"/>
      <c r="G328" s="7"/>
      <c r="H328" s="7"/>
      <c r="I328" s="7"/>
      <c r="J328" s="7"/>
      <c r="K328" s="7"/>
      <c r="L328" s="7" t="s">
        <v>264</v>
      </c>
      <c r="M328" s="7"/>
      <c r="N328" s="7" t="s">
        <v>1268</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1045"/>
  <sheetViews>
    <sheetView topLeftCell="C1013" workbookViewId="0">
      <selection activeCell="H1047" sqref="H1047"/>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3345</v>
      </c>
      <c r="G290" s="22" t="s">
        <v>3344</v>
      </c>
      <c r="H290" s="22" t="s">
        <v>3293</v>
      </c>
      <c r="I290" s="21" t="s">
        <v>1456</v>
      </c>
      <c r="J290" s="22" t="s">
        <v>3327</v>
      </c>
      <c r="K290" s="23">
        <f>Tabelle5[[#This Row],[value_present]]*Tabelle5[[#This Row],[binding_level]]</f>
        <v>2</v>
      </c>
    </row>
    <row r="291" spans="1:11" x14ac:dyDescent="0.25">
      <c r="A291" s="24">
        <v>7</v>
      </c>
      <c r="B291" s="2">
        <v>38</v>
      </c>
      <c r="C291" s="2" t="s">
        <v>61</v>
      </c>
      <c r="D291" s="3">
        <v>0</v>
      </c>
      <c r="E291" s="1"/>
      <c r="I291" s="1" t="s">
        <v>1456</v>
      </c>
      <c r="J291" t="s">
        <v>3328</v>
      </c>
      <c r="K291" s="25">
        <f>Tabelle5[[#This Row],[value_present]]*Tabelle5[[#This Row],[binding_level]]</f>
        <v>0</v>
      </c>
    </row>
    <row r="292" spans="1:11" x14ac:dyDescent="0.25">
      <c r="A292" s="24">
        <v>7</v>
      </c>
      <c r="B292" s="2">
        <v>38</v>
      </c>
      <c r="C292" s="2" t="s">
        <v>69</v>
      </c>
      <c r="D292" s="3">
        <v>1</v>
      </c>
      <c r="E292" s="1">
        <v>1</v>
      </c>
      <c r="F292" t="s">
        <v>3347</v>
      </c>
      <c r="G292" t="s">
        <v>3346</v>
      </c>
      <c r="H292" t="s">
        <v>3193</v>
      </c>
      <c r="I292" s="1" t="s">
        <v>1457</v>
      </c>
      <c r="J292" t="s">
        <v>3329</v>
      </c>
      <c r="K292" s="25">
        <f>Tabelle5[[#This Row],[value_present]]*Tabelle5[[#This Row],[binding_level]]</f>
        <v>1</v>
      </c>
    </row>
    <row r="293" spans="1:11" x14ac:dyDescent="0.25">
      <c r="A293" s="24">
        <v>7</v>
      </c>
      <c r="B293" s="2">
        <v>38</v>
      </c>
      <c r="C293" s="2" t="s">
        <v>76</v>
      </c>
      <c r="D293" s="3">
        <v>1</v>
      </c>
      <c r="E293" s="1">
        <v>1</v>
      </c>
      <c r="F293" t="s">
        <v>3349</v>
      </c>
      <c r="G293" t="s">
        <v>3348</v>
      </c>
      <c r="H293" t="s">
        <v>3293</v>
      </c>
      <c r="I293" s="1" t="s">
        <v>1457</v>
      </c>
      <c r="J293" t="s">
        <v>3330</v>
      </c>
      <c r="K293" s="25">
        <f>Tabelle5[[#This Row],[value_present]]*Tabelle5[[#This Row],[binding_level]]</f>
        <v>1</v>
      </c>
    </row>
    <row r="294" spans="1:11" x14ac:dyDescent="0.25">
      <c r="A294" s="24">
        <v>7</v>
      </c>
      <c r="B294" s="2">
        <v>38</v>
      </c>
      <c r="C294" s="2" t="s">
        <v>83</v>
      </c>
      <c r="D294" s="3">
        <v>0</v>
      </c>
      <c r="E294" s="1"/>
      <c r="I294" s="1" t="s">
        <v>1456</v>
      </c>
      <c r="J294" t="s">
        <v>3331</v>
      </c>
      <c r="K294" s="25">
        <f>Tabelle5[[#This Row],[value_present]]*Tabelle5[[#This Row],[binding_level]]</f>
        <v>0</v>
      </c>
    </row>
    <row r="295" spans="1:11" x14ac:dyDescent="0.25">
      <c r="A295" s="24">
        <v>7</v>
      </c>
      <c r="B295" s="2">
        <v>38</v>
      </c>
      <c r="C295" s="2" t="s">
        <v>90</v>
      </c>
      <c r="D295" s="3">
        <v>0</v>
      </c>
      <c r="E295" s="1"/>
      <c r="I295" s="1" t="s">
        <v>1457</v>
      </c>
      <c r="J295" t="s">
        <v>3332</v>
      </c>
      <c r="K295" s="25">
        <f>Tabelle5[[#This Row],[value_present]]*Tabelle5[[#This Row],[binding_level]]</f>
        <v>0</v>
      </c>
    </row>
    <row r="296" spans="1:11" x14ac:dyDescent="0.25">
      <c r="A296" s="24">
        <v>7</v>
      </c>
      <c r="B296" s="2">
        <v>38</v>
      </c>
      <c r="C296" s="2" t="s">
        <v>98</v>
      </c>
      <c r="D296" s="3">
        <v>0</v>
      </c>
      <c r="E296" s="1"/>
      <c r="I296" s="1" t="s">
        <v>1457</v>
      </c>
      <c r="J296" t="s">
        <v>3333</v>
      </c>
      <c r="K296" s="25">
        <f>Tabelle5[[#This Row],[value_present]]*Tabelle5[[#This Row],[binding_level]]</f>
        <v>0</v>
      </c>
    </row>
    <row r="297" spans="1:11" x14ac:dyDescent="0.25">
      <c r="A297" s="24">
        <v>7</v>
      </c>
      <c r="B297" s="2">
        <v>38</v>
      </c>
      <c r="C297" s="2" t="s">
        <v>106</v>
      </c>
      <c r="D297" s="3">
        <v>0</v>
      </c>
      <c r="E297" s="1"/>
      <c r="I297" s="1" t="s">
        <v>1457</v>
      </c>
      <c r="J297" t="s">
        <v>3334</v>
      </c>
      <c r="K297" s="25">
        <f>Tabelle5[[#This Row],[value_present]]*Tabelle5[[#This Row],[binding_level]]</f>
        <v>0</v>
      </c>
    </row>
    <row r="298" spans="1:11" x14ac:dyDescent="0.25">
      <c r="A298" s="24">
        <v>7</v>
      </c>
      <c r="B298" s="2">
        <v>38</v>
      </c>
      <c r="C298" s="2" t="s">
        <v>112</v>
      </c>
      <c r="D298" s="3">
        <v>0</v>
      </c>
      <c r="E298" s="1"/>
      <c r="I298" s="1" t="s">
        <v>1457</v>
      </c>
      <c r="J298" t="s">
        <v>3335</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3336</v>
      </c>
      <c r="K300" s="25">
        <f>Tabelle5[[#This Row],[value_present]]*Tabelle5[[#This Row],[binding_level]]</f>
        <v>0</v>
      </c>
    </row>
    <row r="301" spans="1:11" x14ac:dyDescent="0.25">
      <c r="A301" s="24">
        <v>7</v>
      </c>
      <c r="B301" s="2">
        <v>38</v>
      </c>
      <c r="C301" s="2" t="s">
        <v>132</v>
      </c>
      <c r="D301" s="3">
        <v>0</v>
      </c>
      <c r="E301" s="1"/>
      <c r="I301" s="1" t="s">
        <v>1456</v>
      </c>
      <c r="J301" t="s">
        <v>3337</v>
      </c>
      <c r="K301" s="25">
        <f>Tabelle5[[#This Row],[value_present]]*Tabelle5[[#This Row],[binding_level]]</f>
        <v>0</v>
      </c>
    </row>
    <row r="302" spans="1:11" x14ac:dyDescent="0.25">
      <c r="A302" s="24">
        <v>7</v>
      </c>
      <c r="B302" s="2">
        <v>38</v>
      </c>
      <c r="C302" s="2" t="s">
        <v>140</v>
      </c>
      <c r="D302" s="3">
        <v>0</v>
      </c>
      <c r="E302" s="1"/>
      <c r="I302" s="1" t="s">
        <v>1457</v>
      </c>
      <c r="J302" t="s">
        <v>3338</v>
      </c>
      <c r="K302" s="25">
        <f>Tabelle5[[#This Row],[value_present]]*Tabelle5[[#This Row],[binding_level]]</f>
        <v>0</v>
      </c>
    </row>
    <row r="303" spans="1:11" x14ac:dyDescent="0.25">
      <c r="A303" s="24">
        <v>7</v>
      </c>
      <c r="B303" s="2">
        <v>38</v>
      </c>
      <c r="C303" s="2" t="s">
        <v>147</v>
      </c>
      <c r="D303" s="3">
        <v>0</v>
      </c>
      <c r="E303" s="1"/>
      <c r="I303" s="1" t="s">
        <v>1457</v>
      </c>
      <c r="J303" t="s">
        <v>3339</v>
      </c>
      <c r="K303" s="25">
        <f>Tabelle5[[#This Row],[value_present]]*Tabelle5[[#This Row],[binding_level]]</f>
        <v>0</v>
      </c>
    </row>
    <row r="304" spans="1:11" x14ac:dyDescent="0.25">
      <c r="A304" s="24">
        <v>7</v>
      </c>
      <c r="B304" s="2">
        <v>38</v>
      </c>
      <c r="C304" s="2" t="s">
        <v>154</v>
      </c>
      <c r="D304" s="3">
        <v>0</v>
      </c>
      <c r="E304" s="1"/>
      <c r="I304" s="1" t="s">
        <v>1456</v>
      </c>
      <c r="J304" t="s">
        <v>3340</v>
      </c>
      <c r="K304" s="25">
        <f>Tabelle5[[#This Row],[value_present]]*Tabelle5[[#This Row],[binding_level]]</f>
        <v>0</v>
      </c>
    </row>
    <row r="305" spans="1:11" x14ac:dyDescent="0.25">
      <c r="A305" s="24">
        <v>7</v>
      </c>
      <c r="B305" s="2">
        <v>38</v>
      </c>
      <c r="C305" s="2" t="s">
        <v>161</v>
      </c>
      <c r="D305" s="3">
        <v>0</v>
      </c>
      <c r="E305" s="1"/>
      <c r="I305" s="1" t="s">
        <v>1457</v>
      </c>
      <c r="J305" t="s">
        <v>3341</v>
      </c>
      <c r="K305" s="25">
        <f>Tabelle5[[#This Row],[value_present]]*Tabelle5[[#This Row],[binding_level]]</f>
        <v>0</v>
      </c>
    </row>
    <row r="306" spans="1:11" x14ac:dyDescent="0.25">
      <c r="A306" s="24">
        <v>7</v>
      </c>
      <c r="B306" s="2">
        <v>38</v>
      </c>
      <c r="C306" s="2" t="s">
        <v>166</v>
      </c>
      <c r="D306" s="3">
        <v>0</v>
      </c>
      <c r="E306" s="1"/>
      <c r="I306" s="1" t="s">
        <v>1456</v>
      </c>
      <c r="J306" t="s">
        <v>3342</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3343</v>
      </c>
      <c r="K307" s="31">
        <f>Tabelle5[[#This Row],[value_present]]*Tabelle5[[#This Row],[binding_level]]</f>
        <v>0</v>
      </c>
    </row>
    <row r="308" spans="1:11" x14ac:dyDescent="0.25">
      <c r="A308" s="18">
        <v>9</v>
      </c>
      <c r="B308" s="19">
        <v>46</v>
      </c>
      <c r="C308" s="19" t="s">
        <v>53</v>
      </c>
      <c r="D308" s="20">
        <v>1</v>
      </c>
      <c r="E308" s="21">
        <v>3</v>
      </c>
      <c r="F308" t="s">
        <v>3389</v>
      </c>
      <c r="G308" s="22" t="s">
        <v>3388</v>
      </c>
      <c r="H308" s="22" t="s">
        <v>3193</v>
      </c>
      <c r="I308" s="21" t="s">
        <v>1456</v>
      </c>
      <c r="J308" s="22" t="s">
        <v>3371</v>
      </c>
      <c r="K308" s="23">
        <f>Tabelle5[[#This Row],[value_present]]*Tabelle5[[#This Row],[binding_level]]</f>
        <v>3</v>
      </c>
    </row>
    <row r="309" spans="1:11" x14ac:dyDescent="0.25">
      <c r="A309" s="24">
        <v>9</v>
      </c>
      <c r="B309" s="2">
        <v>46</v>
      </c>
      <c r="C309" s="2" t="s">
        <v>61</v>
      </c>
      <c r="D309" s="3">
        <v>0</v>
      </c>
      <c r="E309" s="1"/>
      <c r="I309" s="1" t="s">
        <v>1457</v>
      </c>
      <c r="J309" t="s">
        <v>3372</v>
      </c>
      <c r="K309" s="25">
        <f>Tabelle5[[#This Row],[value_present]]*Tabelle5[[#This Row],[binding_level]]</f>
        <v>0</v>
      </c>
    </row>
    <row r="310" spans="1:11" x14ac:dyDescent="0.25">
      <c r="A310" s="24">
        <v>9</v>
      </c>
      <c r="B310" s="2">
        <v>46</v>
      </c>
      <c r="C310" s="2" t="s">
        <v>69</v>
      </c>
      <c r="D310" s="3">
        <v>1</v>
      </c>
      <c r="E310" s="1">
        <v>3</v>
      </c>
      <c r="F310" t="s">
        <v>3391</v>
      </c>
      <c r="G310" t="s">
        <v>3390</v>
      </c>
      <c r="H310" t="s">
        <v>2698</v>
      </c>
      <c r="I310" s="1" t="s">
        <v>1456</v>
      </c>
      <c r="J310" t="s">
        <v>3373</v>
      </c>
      <c r="K310" s="25">
        <f>Tabelle5[[#This Row],[value_present]]*Tabelle5[[#This Row],[binding_level]]</f>
        <v>3</v>
      </c>
    </row>
    <row r="311" spans="1:11" x14ac:dyDescent="0.25">
      <c r="A311" s="24">
        <v>9</v>
      </c>
      <c r="B311" s="2">
        <v>46</v>
      </c>
      <c r="C311" s="2" t="s">
        <v>76</v>
      </c>
      <c r="D311" s="3">
        <v>1</v>
      </c>
      <c r="E311" s="1">
        <v>2</v>
      </c>
      <c r="F311" t="s">
        <v>3393</v>
      </c>
      <c r="G311" t="s">
        <v>3392</v>
      </c>
      <c r="H311" t="s">
        <v>2602</v>
      </c>
      <c r="I311" s="1" t="s">
        <v>1456</v>
      </c>
      <c r="J311" t="s">
        <v>3374</v>
      </c>
      <c r="K311" s="25">
        <f>Tabelle5[[#This Row],[value_present]]*Tabelle5[[#This Row],[binding_level]]</f>
        <v>2</v>
      </c>
    </row>
    <row r="312" spans="1:11" x14ac:dyDescent="0.25">
      <c r="A312" s="24">
        <v>9</v>
      </c>
      <c r="B312" s="2">
        <v>46</v>
      </c>
      <c r="C312" s="2" t="s">
        <v>83</v>
      </c>
      <c r="D312" s="3">
        <v>1</v>
      </c>
      <c r="E312" s="1">
        <v>2</v>
      </c>
      <c r="F312" t="s">
        <v>3395</v>
      </c>
      <c r="G312" t="s">
        <v>3394</v>
      </c>
      <c r="H312" t="s">
        <v>3193</v>
      </c>
      <c r="I312" s="1" t="s">
        <v>1456</v>
      </c>
      <c r="J312" t="s">
        <v>3375</v>
      </c>
      <c r="K312" s="25">
        <f>Tabelle5[[#This Row],[value_present]]*Tabelle5[[#This Row],[binding_level]]</f>
        <v>2</v>
      </c>
    </row>
    <row r="313" spans="1:11" x14ac:dyDescent="0.25">
      <c r="A313" s="24">
        <v>9</v>
      </c>
      <c r="B313" s="2">
        <v>46</v>
      </c>
      <c r="C313" s="2" t="s">
        <v>90</v>
      </c>
      <c r="D313" s="3">
        <v>1</v>
      </c>
      <c r="E313" s="1">
        <v>2</v>
      </c>
      <c r="F313" t="s">
        <v>3397</v>
      </c>
      <c r="G313" t="s">
        <v>3396</v>
      </c>
      <c r="H313" t="s">
        <v>2698</v>
      </c>
      <c r="I313" s="1" t="s">
        <v>1456</v>
      </c>
      <c r="J313" t="s">
        <v>3376</v>
      </c>
      <c r="K313" s="25">
        <f>Tabelle5[[#This Row],[value_present]]*Tabelle5[[#This Row],[binding_level]]</f>
        <v>2</v>
      </c>
    </row>
    <row r="314" spans="1:11" x14ac:dyDescent="0.25">
      <c r="A314" s="24">
        <v>9</v>
      </c>
      <c r="B314" s="2">
        <v>46</v>
      </c>
      <c r="C314" s="2" t="s">
        <v>98</v>
      </c>
      <c r="D314" s="3">
        <v>1</v>
      </c>
      <c r="E314" s="1">
        <v>2</v>
      </c>
      <c r="F314" t="s">
        <v>3399</v>
      </c>
      <c r="G314" t="s">
        <v>3398</v>
      </c>
      <c r="H314" t="s">
        <v>3193</v>
      </c>
      <c r="I314" s="1" t="s">
        <v>1456</v>
      </c>
      <c r="J314" t="s">
        <v>3377</v>
      </c>
      <c r="K314" s="25">
        <f>Tabelle5[[#This Row],[value_present]]*Tabelle5[[#This Row],[binding_level]]</f>
        <v>2</v>
      </c>
    </row>
    <row r="315" spans="1:11" x14ac:dyDescent="0.25">
      <c r="A315" s="24">
        <v>9</v>
      </c>
      <c r="B315" s="2">
        <v>46</v>
      </c>
      <c r="C315" s="2" t="s">
        <v>106</v>
      </c>
      <c r="D315" s="3">
        <v>1</v>
      </c>
      <c r="E315" s="1">
        <v>2</v>
      </c>
      <c r="F315" t="s">
        <v>3401</v>
      </c>
      <c r="G315" t="s">
        <v>3400</v>
      </c>
      <c r="H315" t="s">
        <v>2698</v>
      </c>
      <c r="I315" s="1" t="s">
        <v>1456</v>
      </c>
      <c r="J315" t="s">
        <v>3378</v>
      </c>
      <c r="K315" s="25">
        <f>Tabelle5[[#This Row],[value_present]]*Tabelle5[[#This Row],[binding_level]]</f>
        <v>2</v>
      </c>
    </row>
    <row r="316" spans="1:11" x14ac:dyDescent="0.25">
      <c r="A316" s="24">
        <v>9</v>
      </c>
      <c r="B316" s="2">
        <v>46</v>
      </c>
      <c r="C316" s="2" t="s">
        <v>112</v>
      </c>
      <c r="D316" s="3">
        <v>1</v>
      </c>
      <c r="E316" s="1">
        <v>2</v>
      </c>
      <c r="F316" t="s">
        <v>3403</v>
      </c>
      <c r="G316" t="s">
        <v>3402</v>
      </c>
      <c r="H316" t="s">
        <v>3193</v>
      </c>
      <c r="I316" s="1" t="s">
        <v>1457</v>
      </c>
      <c r="J316" t="s">
        <v>3379</v>
      </c>
      <c r="K316" s="25">
        <f>Tabelle5[[#This Row],[value_present]]*Tabelle5[[#This Row],[binding_level]]</f>
        <v>2</v>
      </c>
    </row>
    <row r="317" spans="1:11" x14ac:dyDescent="0.25">
      <c r="A317" s="24">
        <v>9</v>
      </c>
      <c r="B317" s="2">
        <v>46</v>
      </c>
      <c r="C317" s="2" t="s">
        <v>118</v>
      </c>
      <c r="D317" s="3">
        <v>0</v>
      </c>
      <c r="E317" s="1"/>
      <c r="I317" s="1" t="s">
        <v>1456</v>
      </c>
      <c r="J317" t="s">
        <v>3380</v>
      </c>
      <c r="K317" s="25">
        <f>Tabelle5[[#This Row],[value_present]]*Tabelle5[[#This Row],[binding_level]]</f>
        <v>0</v>
      </c>
    </row>
    <row r="318" spans="1:11" x14ac:dyDescent="0.25">
      <c r="A318" s="24">
        <v>9</v>
      </c>
      <c r="B318" s="2">
        <v>46</v>
      </c>
      <c r="C318" s="2" t="s">
        <v>125</v>
      </c>
      <c r="D318" s="3">
        <v>0</v>
      </c>
      <c r="E318" s="1"/>
      <c r="I318" s="1" t="s">
        <v>1456</v>
      </c>
      <c r="J318" t="s">
        <v>3381</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3382</v>
      </c>
      <c r="K320" s="25">
        <f>Tabelle5[[#This Row],[value_present]]*Tabelle5[[#This Row],[binding_level]]</f>
        <v>0</v>
      </c>
    </row>
    <row r="321" spans="1:11" x14ac:dyDescent="0.25">
      <c r="A321" s="24">
        <v>9</v>
      </c>
      <c r="B321" s="2">
        <v>46</v>
      </c>
      <c r="C321" s="2" t="s">
        <v>147</v>
      </c>
      <c r="D321" s="3">
        <v>1</v>
      </c>
      <c r="E321" s="1">
        <v>2</v>
      </c>
      <c r="F321" t="s">
        <v>3405</v>
      </c>
      <c r="G321" t="s">
        <v>3404</v>
      </c>
      <c r="H321" t="s">
        <v>3293</v>
      </c>
      <c r="I321" s="1" t="s">
        <v>1456</v>
      </c>
      <c r="J321" t="s">
        <v>3383</v>
      </c>
      <c r="K321" s="25">
        <f>Tabelle5[[#This Row],[value_present]]*Tabelle5[[#This Row],[binding_level]]</f>
        <v>2</v>
      </c>
    </row>
    <row r="322" spans="1:11" x14ac:dyDescent="0.25">
      <c r="A322" s="24">
        <v>9</v>
      </c>
      <c r="B322" s="2">
        <v>46</v>
      </c>
      <c r="C322" s="2" t="s">
        <v>154</v>
      </c>
      <c r="D322" s="3">
        <v>1</v>
      </c>
      <c r="E322" s="1">
        <v>2</v>
      </c>
      <c r="F322" t="s">
        <v>3407</v>
      </c>
      <c r="G322" t="s">
        <v>3406</v>
      </c>
      <c r="H322" t="s">
        <v>3193</v>
      </c>
      <c r="I322" s="1" t="s">
        <v>1456</v>
      </c>
      <c r="J322" t="s">
        <v>3384</v>
      </c>
      <c r="K322" s="25">
        <f>Tabelle5[[#This Row],[value_present]]*Tabelle5[[#This Row],[binding_level]]</f>
        <v>2</v>
      </c>
    </row>
    <row r="323" spans="1:11" x14ac:dyDescent="0.25">
      <c r="A323" s="24">
        <v>9</v>
      </c>
      <c r="B323" s="2">
        <v>46</v>
      </c>
      <c r="C323" s="2" t="s">
        <v>161</v>
      </c>
      <c r="D323" s="3">
        <v>0</v>
      </c>
      <c r="E323" s="1"/>
      <c r="I323" s="1" t="s">
        <v>1457</v>
      </c>
      <c r="J323" t="s">
        <v>3385</v>
      </c>
      <c r="K323" s="25">
        <f>Tabelle5[[#This Row],[value_present]]*Tabelle5[[#This Row],[binding_level]]</f>
        <v>0</v>
      </c>
    </row>
    <row r="324" spans="1:11" x14ac:dyDescent="0.25">
      <c r="A324" s="24">
        <v>9</v>
      </c>
      <c r="B324" s="2">
        <v>46</v>
      </c>
      <c r="C324" s="2" t="s">
        <v>166</v>
      </c>
      <c r="D324" s="3">
        <v>1</v>
      </c>
      <c r="E324" s="1">
        <v>1</v>
      </c>
      <c r="F324" t="s">
        <v>3409</v>
      </c>
      <c r="G324" t="s">
        <v>3408</v>
      </c>
      <c r="H324" t="s">
        <v>1387</v>
      </c>
      <c r="I324" s="1" t="s">
        <v>1457</v>
      </c>
      <c r="J324" t="s">
        <v>3386</v>
      </c>
      <c r="K324" s="25">
        <f>Tabelle5[[#This Row],[value_present]]*Tabelle5[[#This Row],[binding_level]]</f>
        <v>1</v>
      </c>
    </row>
    <row r="325" spans="1:11" ht="15.75" thickBot="1" x14ac:dyDescent="0.3">
      <c r="A325" s="24">
        <v>9</v>
      </c>
      <c r="B325" s="2">
        <v>46</v>
      </c>
      <c r="C325" s="2" t="s">
        <v>174</v>
      </c>
      <c r="D325" s="3">
        <v>1</v>
      </c>
      <c r="E325" s="1">
        <v>2</v>
      </c>
      <c r="F325" s="30" t="s">
        <v>3411</v>
      </c>
      <c r="G325" s="30" t="s">
        <v>3410</v>
      </c>
      <c r="H325" t="s">
        <v>3293</v>
      </c>
      <c r="I325" s="1" t="s">
        <v>1456</v>
      </c>
      <c r="J325" t="s">
        <v>3387</v>
      </c>
      <c r="K325" s="25">
        <f>Tabelle5[[#This Row],[value_present]]*Tabelle5[[#This Row],[binding_level]]</f>
        <v>2</v>
      </c>
    </row>
    <row r="326" spans="1:11" x14ac:dyDescent="0.25">
      <c r="A326" s="18">
        <v>9</v>
      </c>
      <c r="B326" s="19">
        <v>48</v>
      </c>
      <c r="C326" s="19" t="s">
        <v>53</v>
      </c>
      <c r="D326" s="20">
        <v>1</v>
      </c>
      <c r="E326" s="21">
        <v>1</v>
      </c>
      <c r="F326" t="s">
        <v>3459</v>
      </c>
      <c r="G326" t="s">
        <v>3458</v>
      </c>
      <c r="H326" s="22" t="s">
        <v>3256</v>
      </c>
      <c r="I326" s="21" t="s">
        <v>1457</v>
      </c>
      <c r="J326" s="22" t="s">
        <v>3440</v>
      </c>
      <c r="K326" s="23">
        <f>Tabelle5[[#This Row],[value_present]]*Tabelle5[[#This Row],[binding_level]]</f>
        <v>1</v>
      </c>
    </row>
    <row r="327" spans="1:11" x14ac:dyDescent="0.25">
      <c r="A327" s="24">
        <v>9</v>
      </c>
      <c r="B327" s="2">
        <v>48</v>
      </c>
      <c r="C327" s="2" t="s">
        <v>61</v>
      </c>
      <c r="D327" s="3">
        <v>1</v>
      </c>
      <c r="E327" s="1">
        <v>2</v>
      </c>
      <c r="F327" t="s">
        <v>3461</v>
      </c>
      <c r="G327" t="s">
        <v>3460</v>
      </c>
      <c r="H327" t="s">
        <v>1404</v>
      </c>
      <c r="I327" s="1" t="s">
        <v>1456</v>
      </c>
      <c r="J327" t="s">
        <v>3441</v>
      </c>
      <c r="K327" s="25">
        <f>Tabelle5[[#This Row],[value_present]]*Tabelle5[[#This Row],[binding_level]]</f>
        <v>2</v>
      </c>
    </row>
    <row r="328" spans="1:11" x14ac:dyDescent="0.25">
      <c r="A328" s="24">
        <v>9</v>
      </c>
      <c r="B328" s="2">
        <v>48</v>
      </c>
      <c r="C328" s="2" t="s">
        <v>69</v>
      </c>
      <c r="D328" s="3">
        <v>1</v>
      </c>
      <c r="E328" s="1">
        <v>1</v>
      </c>
      <c r="F328" t="s">
        <v>3463</v>
      </c>
      <c r="G328" t="s">
        <v>3462</v>
      </c>
      <c r="H328" t="s">
        <v>1387</v>
      </c>
      <c r="I328" s="1" t="s">
        <v>1456</v>
      </c>
      <c r="J328" t="s">
        <v>3442</v>
      </c>
      <c r="K328" s="25">
        <f>Tabelle5[[#This Row],[value_present]]*Tabelle5[[#This Row],[binding_level]]</f>
        <v>1</v>
      </c>
    </row>
    <row r="329" spans="1:11" x14ac:dyDescent="0.25">
      <c r="A329" s="24">
        <v>9</v>
      </c>
      <c r="B329" s="2">
        <v>48</v>
      </c>
      <c r="C329" s="2" t="s">
        <v>76</v>
      </c>
      <c r="D329" s="3">
        <v>1</v>
      </c>
      <c r="E329" s="1">
        <v>1</v>
      </c>
      <c r="F329" t="s">
        <v>3465</v>
      </c>
      <c r="G329" t="s">
        <v>3464</v>
      </c>
      <c r="H329" t="s">
        <v>3443</v>
      </c>
      <c r="I329" s="1" t="s">
        <v>1456</v>
      </c>
      <c r="J329" t="s">
        <v>3444</v>
      </c>
      <c r="K329" s="25">
        <f>Tabelle5[[#This Row],[value_present]]*Tabelle5[[#This Row],[binding_level]]</f>
        <v>1</v>
      </c>
    </row>
    <row r="330" spans="1:11" x14ac:dyDescent="0.25">
      <c r="A330" s="24">
        <v>9</v>
      </c>
      <c r="B330" s="2">
        <v>48</v>
      </c>
      <c r="C330" s="2" t="s">
        <v>83</v>
      </c>
      <c r="D330" s="3">
        <v>1</v>
      </c>
      <c r="E330" s="1">
        <v>2</v>
      </c>
      <c r="F330" t="s">
        <v>3466</v>
      </c>
      <c r="G330" t="s">
        <v>3467</v>
      </c>
      <c r="H330" t="s">
        <v>3443</v>
      </c>
      <c r="I330" s="1" t="s">
        <v>1456</v>
      </c>
      <c r="J330" t="s">
        <v>3445</v>
      </c>
      <c r="K330" s="25">
        <f>Tabelle5[[#This Row],[value_present]]*Tabelle5[[#This Row],[binding_level]]</f>
        <v>2</v>
      </c>
    </row>
    <row r="331" spans="1:11" x14ac:dyDescent="0.25">
      <c r="A331" s="24">
        <v>9</v>
      </c>
      <c r="B331" s="2">
        <v>48</v>
      </c>
      <c r="C331" s="2" t="s">
        <v>90</v>
      </c>
      <c r="D331" s="3">
        <v>1</v>
      </c>
      <c r="E331" s="1">
        <v>1</v>
      </c>
      <c r="F331" t="s">
        <v>3468</v>
      </c>
      <c r="G331" t="s">
        <v>3469</v>
      </c>
      <c r="H331" t="s">
        <v>1404</v>
      </c>
      <c r="I331" s="1" t="s">
        <v>1457</v>
      </c>
      <c r="J331" t="s">
        <v>3446</v>
      </c>
      <c r="K331" s="25">
        <f>Tabelle5[[#This Row],[value_present]]*Tabelle5[[#This Row],[binding_level]]</f>
        <v>1</v>
      </c>
    </row>
    <row r="332" spans="1:11" x14ac:dyDescent="0.25">
      <c r="A332" s="24">
        <v>9</v>
      </c>
      <c r="B332" s="2">
        <v>48</v>
      </c>
      <c r="C332" s="2" t="s">
        <v>98</v>
      </c>
      <c r="D332" s="3">
        <v>1</v>
      </c>
      <c r="E332" s="1">
        <v>1</v>
      </c>
      <c r="F332" t="s">
        <v>3470</v>
      </c>
      <c r="G332" t="s">
        <v>3471</v>
      </c>
      <c r="H332" t="s">
        <v>1387</v>
      </c>
      <c r="I332" s="1" t="s">
        <v>1457</v>
      </c>
      <c r="J332" t="s">
        <v>3447</v>
      </c>
      <c r="K332" s="25">
        <f>Tabelle5[[#This Row],[value_present]]*Tabelle5[[#This Row],[binding_level]]</f>
        <v>1</v>
      </c>
    </row>
    <row r="333" spans="1:11" x14ac:dyDescent="0.25">
      <c r="A333" s="24">
        <v>9</v>
      </c>
      <c r="B333" s="2">
        <v>48</v>
      </c>
      <c r="C333" s="2" t="s">
        <v>106</v>
      </c>
      <c r="D333" s="3">
        <v>0</v>
      </c>
      <c r="E333" s="1"/>
      <c r="I333" s="1" t="s">
        <v>1457</v>
      </c>
      <c r="J333" t="s">
        <v>3448</v>
      </c>
      <c r="K333" s="25">
        <f>Tabelle5[[#This Row],[value_present]]*Tabelle5[[#This Row],[binding_level]]</f>
        <v>0</v>
      </c>
    </row>
    <row r="334" spans="1:11" x14ac:dyDescent="0.25">
      <c r="A334" s="24">
        <v>9</v>
      </c>
      <c r="B334" s="2">
        <v>48</v>
      </c>
      <c r="C334" s="2" t="s">
        <v>112</v>
      </c>
      <c r="D334" s="3">
        <v>1</v>
      </c>
      <c r="E334" s="1">
        <v>1</v>
      </c>
      <c r="F334" t="s">
        <v>3472</v>
      </c>
      <c r="G334" t="s">
        <v>3473</v>
      </c>
      <c r="H334" t="s">
        <v>1387</v>
      </c>
      <c r="I334" s="1" t="s">
        <v>1456</v>
      </c>
      <c r="J334" t="s">
        <v>3449</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3450</v>
      </c>
      <c r="K336" s="25">
        <f>Tabelle5[[#This Row],[value_present]]*Tabelle5[[#This Row],[binding_level]]</f>
        <v>0</v>
      </c>
    </row>
    <row r="337" spans="1:11" x14ac:dyDescent="0.25">
      <c r="A337" s="24">
        <v>9</v>
      </c>
      <c r="B337" s="2">
        <v>48</v>
      </c>
      <c r="C337" s="2" t="s">
        <v>132</v>
      </c>
      <c r="D337" s="3">
        <v>0</v>
      </c>
      <c r="E337" s="1"/>
      <c r="I337" s="1" t="s">
        <v>1456</v>
      </c>
      <c r="J337" t="s">
        <v>3451</v>
      </c>
      <c r="K337" s="25">
        <f>Tabelle5[[#This Row],[value_present]]*Tabelle5[[#This Row],[binding_level]]</f>
        <v>0</v>
      </c>
    </row>
    <row r="338" spans="1:11" x14ac:dyDescent="0.25">
      <c r="A338" s="24">
        <v>9</v>
      </c>
      <c r="B338" s="2">
        <v>48</v>
      </c>
      <c r="C338" s="2" t="s">
        <v>140</v>
      </c>
      <c r="D338" s="3">
        <v>0</v>
      </c>
      <c r="E338" s="1"/>
      <c r="I338" s="1" t="s">
        <v>1457</v>
      </c>
      <c r="J338" t="s">
        <v>3452</v>
      </c>
      <c r="K338" s="25">
        <f>Tabelle5[[#This Row],[value_present]]*Tabelle5[[#This Row],[binding_level]]</f>
        <v>0</v>
      </c>
    </row>
    <row r="339" spans="1:11" x14ac:dyDescent="0.25">
      <c r="A339" s="24">
        <v>9</v>
      </c>
      <c r="B339" s="2">
        <v>48</v>
      </c>
      <c r="C339" s="2" t="s">
        <v>147</v>
      </c>
      <c r="D339" s="3">
        <v>1</v>
      </c>
      <c r="E339" s="1">
        <v>2</v>
      </c>
      <c r="F339" t="s">
        <v>3474</v>
      </c>
      <c r="G339" t="s">
        <v>3475</v>
      </c>
      <c r="H339" t="s">
        <v>2833</v>
      </c>
      <c r="I339" s="1" t="s">
        <v>1456</v>
      </c>
      <c r="J339" t="s">
        <v>3453</v>
      </c>
      <c r="K339" s="25">
        <f>Tabelle5[[#This Row],[value_present]]*Tabelle5[[#This Row],[binding_level]]</f>
        <v>2</v>
      </c>
    </row>
    <row r="340" spans="1:11" x14ac:dyDescent="0.25">
      <c r="A340" s="24">
        <v>9</v>
      </c>
      <c r="B340" s="2">
        <v>48</v>
      </c>
      <c r="C340" s="2" t="s">
        <v>154</v>
      </c>
      <c r="D340" s="3">
        <v>1</v>
      </c>
      <c r="E340" s="1">
        <v>1</v>
      </c>
      <c r="F340" t="s">
        <v>3476</v>
      </c>
      <c r="G340" t="s">
        <v>3477</v>
      </c>
      <c r="H340" t="s">
        <v>3193</v>
      </c>
      <c r="I340" s="1" t="s">
        <v>1457</v>
      </c>
      <c r="J340" t="s">
        <v>3454</v>
      </c>
      <c r="K340" s="25">
        <f>Tabelle5[[#This Row],[value_present]]*Tabelle5[[#This Row],[binding_level]]</f>
        <v>1</v>
      </c>
    </row>
    <row r="341" spans="1:11" x14ac:dyDescent="0.25">
      <c r="A341" s="24">
        <v>9</v>
      </c>
      <c r="B341" s="2">
        <v>48</v>
      </c>
      <c r="C341" s="2" t="s">
        <v>161</v>
      </c>
      <c r="D341" s="3">
        <v>1</v>
      </c>
      <c r="E341" s="1">
        <v>1</v>
      </c>
      <c r="F341" t="s">
        <v>3478</v>
      </c>
      <c r="G341" t="s">
        <v>3479</v>
      </c>
      <c r="H341" t="s">
        <v>1387</v>
      </c>
      <c r="I341" s="1" t="s">
        <v>1456</v>
      </c>
      <c r="J341" t="s">
        <v>3455</v>
      </c>
      <c r="K341" s="25">
        <f>Tabelle5[[#This Row],[value_present]]*Tabelle5[[#This Row],[binding_level]]</f>
        <v>1</v>
      </c>
    </row>
    <row r="342" spans="1:11" x14ac:dyDescent="0.25">
      <c r="A342" s="24">
        <v>9</v>
      </c>
      <c r="B342" s="2">
        <v>48</v>
      </c>
      <c r="C342" s="2" t="s">
        <v>166</v>
      </c>
      <c r="D342" s="3">
        <v>1</v>
      </c>
      <c r="E342" s="1">
        <v>1</v>
      </c>
      <c r="F342" t="s">
        <v>3480</v>
      </c>
      <c r="G342" t="s">
        <v>3481</v>
      </c>
      <c r="H342" t="s">
        <v>3443</v>
      </c>
      <c r="I342" s="1" t="s">
        <v>1456</v>
      </c>
      <c r="J342" t="s">
        <v>3456</v>
      </c>
      <c r="K342" s="25">
        <f>Tabelle5[[#This Row],[value_present]]*Tabelle5[[#This Row],[binding_level]]</f>
        <v>1</v>
      </c>
    </row>
    <row r="343" spans="1:11" ht="15.75" thickBot="1" x14ac:dyDescent="0.3">
      <c r="A343" s="24">
        <v>9</v>
      </c>
      <c r="B343" s="2">
        <v>48</v>
      </c>
      <c r="C343" s="2" t="s">
        <v>174</v>
      </c>
      <c r="D343" s="3">
        <v>1</v>
      </c>
      <c r="E343" s="1">
        <v>1</v>
      </c>
      <c r="F343" t="s">
        <v>3482</v>
      </c>
      <c r="G343" t="s">
        <v>3483</v>
      </c>
      <c r="H343" t="s">
        <v>1387</v>
      </c>
      <c r="I343" s="1" t="s">
        <v>1457</v>
      </c>
      <c r="J343" t="s">
        <v>3457</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3513</v>
      </c>
      <c r="K344" s="23">
        <f>Tabelle5[[#This Row],[value_present]]*Tabelle5[[#This Row],[binding_level]]</f>
        <v>0</v>
      </c>
    </row>
    <row r="345" spans="1:11" x14ac:dyDescent="0.25">
      <c r="A345" s="24">
        <v>10</v>
      </c>
      <c r="B345" s="2">
        <v>52</v>
      </c>
      <c r="C345" s="2" t="s">
        <v>61</v>
      </c>
      <c r="D345" s="3">
        <v>0</v>
      </c>
      <c r="E345" s="1"/>
      <c r="I345" s="1" t="s">
        <v>1457</v>
      </c>
      <c r="J345" t="s">
        <v>3514</v>
      </c>
      <c r="K345" s="25">
        <f>Tabelle5[[#This Row],[value_present]]*Tabelle5[[#This Row],[binding_level]]</f>
        <v>0</v>
      </c>
    </row>
    <row r="346" spans="1:11" x14ac:dyDescent="0.25">
      <c r="A346" s="24">
        <v>10</v>
      </c>
      <c r="B346" s="2">
        <v>52</v>
      </c>
      <c r="C346" s="2" t="s">
        <v>69</v>
      </c>
      <c r="D346" s="3">
        <v>1</v>
      </c>
      <c r="E346" s="1">
        <v>1</v>
      </c>
      <c r="F346" t="s">
        <v>3529</v>
      </c>
      <c r="G346" t="s">
        <v>3530</v>
      </c>
      <c r="H346" t="s">
        <v>3515</v>
      </c>
      <c r="I346" s="1" t="s">
        <v>1456</v>
      </c>
      <c r="J346" t="s">
        <v>3516</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3534</v>
      </c>
      <c r="G348" t="s">
        <v>3533</v>
      </c>
      <c r="H348" t="s">
        <v>3515</v>
      </c>
      <c r="I348" s="1" t="s">
        <v>1456</v>
      </c>
      <c r="J348" t="s">
        <v>3517</v>
      </c>
      <c r="K348" s="25">
        <f>Tabelle5[[#This Row],[value_present]]*Tabelle5[[#This Row],[binding_level]]</f>
        <v>1</v>
      </c>
    </row>
    <row r="349" spans="1:11" x14ac:dyDescent="0.25">
      <c r="A349" s="24">
        <v>10</v>
      </c>
      <c r="B349" s="2">
        <v>52</v>
      </c>
      <c r="C349" s="2" t="s">
        <v>90</v>
      </c>
      <c r="D349" s="3">
        <v>0</v>
      </c>
      <c r="E349" s="1"/>
      <c r="I349" s="1" t="s">
        <v>1457</v>
      </c>
      <c r="J349" t="s">
        <v>3518</v>
      </c>
      <c r="K349" s="25">
        <f>Tabelle5[[#This Row],[value_present]]*Tabelle5[[#This Row],[binding_level]]</f>
        <v>0</v>
      </c>
    </row>
    <row r="350" spans="1:11" x14ac:dyDescent="0.25">
      <c r="A350" s="24">
        <v>10</v>
      </c>
      <c r="B350" s="2">
        <v>52</v>
      </c>
      <c r="C350" s="2" t="s">
        <v>98</v>
      </c>
      <c r="D350" s="3">
        <v>0</v>
      </c>
      <c r="E350" s="1"/>
      <c r="I350" s="1" t="s">
        <v>1457</v>
      </c>
      <c r="J350" t="s">
        <v>3519</v>
      </c>
      <c r="K350" s="25">
        <f>Tabelle5[[#This Row],[value_present]]*Tabelle5[[#This Row],[binding_level]]</f>
        <v>0</v>
      </c>
    </row>
    <row r="351" spans="1:11" x14ac:dyDescent="0.25">
      <c r="A351" s="24">
        <v>10</v>
      </c>
      <c r="B351" s="2">
        <v>52</v>
      </c>
      <c r="C351" s="2" t="s">
        <v>106</v>
      </c>
      <c r="D351" s="3">
        <v>1</v>
      </c>
      <c r="E351" s="1">
        <v>1</v>
      </c>
      <c r="F351" t="s">
        <v>3531</v>
      </c>
      <c r="G351" t="s">
        <v>3532</v>
      </c>
      <c r="H351" t="s">
        <v>3515</v>
      </c>
      <c r="I351" s="1" t="s">
        <v>1456</v>
      </c>
      <c r="J351" t="s">
        <v>3520</v>
      </c>
      <c r="K351" s="25">
        <f>Tabelle5[[#This Row],[value_present]]*Tabelle5[[#This Row],[binding_level]]</f>
        <v>1</v>
      </c>
    </row>
    <row r="352" spans="1:11" x14ac:dyDescent="0.25">
      <c r="A352" s="24">
        <v>10</v>
      </c>
      <c r="B352" s="2">
        <v>52</v>
      </c>
      <c r="C352" s="2" t="s">
        <v>112</v>
      </c>
      <c r="D352" s="3">
        <v>0</v>
      </c>
      <c r="E352" s="1"/>
      <c r="I352" s="1" t="s">
        <v>1457</v>
      </c>
      <c r="J352" t="s">
        <v>3521</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3450</v>
      </c>
      <c r="K354" s="25">
        <f>Tabelle5[[#This Row],[value_present]]*Tabelle5[[#This Row],[binding_level]]</f>
        <v>0</v>
      </c>
    </row>
    <row r="355" spans="1:11" x14ac:dyDescent="0.25">
      <c r="A355" s="24">
        <v>10</v>
      </c>
      <c r="B355" s="2">
        <v>52</v>
      </c>
      <c r="C355" s="2" t="s">
        <v>132</v>
      </c>
      <c r="D355" s="3">
        <v>0</v>
      </c>
      <c r="E355" s="1"/>
      <c r="I355" s="1" t="s">
        <v>1457</v>
      </c>
      <c r="J355" t="s">
        <v>3522</v>
      </c>
      <c r="K355" s="25">
        <f>Tabelle5[[#This Row],[value_present]]*Tabelle5[[#This Row],[binding_level]]</f>
        <v>0</v>
      </c>
    </row>
    <row r="356" spans="1:11" x14ac:dyDescent="0.25">
      <c r="A356" s="24">
        <v>10</v>
      </c>
      <c r="B356" s="2">
        <v>52</v>
      </c>
      <c r="C356" s="2" t="s">
        <v>140</v>
      </c>
      <c r="D356" s="3">
        <v>1</v>
      </c>
      <c r="E356" s="1">
        <v>1</v>
      </c>
      <c r="F356" t="s">
        <v>3536</v>
      </c>
      <c r="G356" t="s">
        <v>3535</v>
      </c>
      <c r="H356" t="s">
        <v>3515</v>
      </c>
      <c r="I356" s="1" t="s">
        <v>1456</v>
      </c>
      <c r="J356" t="s">
        <v>3523</v>
      </c>
      <c r="K356" s="25">
        <f>Tabelle5[[#This Row],[value_present]]*Tabelle5[[#This Row],[binding_level]]</f>
        <v>1</v>
      </c>
    </row>
    <row r="357" spans="1:11" x14ac:dyDescent="0.25">
      <c r="A357" s="24">
        <v>10</v>
      </c>
      <c r="B357" s="2">
        <v>52</v>
      </c>
      <c r="C357" s="2" t="s">
        <v>147</v>
      </c>
      <c r="D357" s="3">
        <v>0</v>
      </c>
      <c r="E357" s="1"/>
      <c r="I357" s="1" t="s">
        <v>1457</v>
      </c>
      <c r="J357" t="s">
        <v>3524</v>
      </c>
      <c r="K357" s="25">
        <f>Tabelle5[[#This Row],[value_present]]*Tabelle5[[#This Row],[binding_level]]</f>
        <v>0</v>
      </c>
    </row>
    <row r="358" spans="1:11" x14ac:dyDescent="0.25">
      <c r="A358" s="24">
        <v>10</v>
      </c>
      <c r="B358" s="2">
        <v>52</v>
      </c>
      <c r="C358" s="2" t="s">
        <v>154</v>
      </c>
      <c r="D358" s="3">
        <v>1</v>
      </c>
      <c r="E358" s="1">
        <v>1</v>
      </c>
      <c r="F358" t="s">
        <v>3538</v>
      </c>
      <c r="G358" t="s">
        <v>3537</v>
      </c>
      <c r="H358" t="s">
        <v>3515</v>
      </c>
      <c r="I358" s="1" t="s">
        <v>1456</v>
      </c>
      <c r="J358" t="s">
        <v>3525</v>
      </c>
      <c r="K358" s="25">
        <f>Tabelle5[[#This Row],[value_present]]*Tabelle5[[#This Row],[binding_level]]</f>
        <v>1</v>
      </c>
    </row>
    <row r="359" spans="1:11" x14ac:dyDescent="0.25">
      <c r="A359" s="24">
        <v>10</v>
      </c>
      <c r="B359" s="2">
        <v>52</v>
      </c>
      <c r="C359" s="2" t="s">
        <v>161</v>
      </c>
      <c r="D359" s="3">
        <v>0</v>
      </c>
      <c r="E359" s="1"/>
      <c r="I359" s="1" t="s">
        <v>1456</v>
      </c>
      <c r="J359" t="s">
        <v>3526</v>
      </c>
      <c r="K359" s="25">
        <f>Tabelle5[[#This Row],[value_present]]*Tabelle5[[#This Row],[binding_level]]</f>
        <v>0</v>
      </c>
    </row>
    <row r="360" spans="1:11" x14ac:dyDescent="0.25">
      <c r="A360" s="24">
        <v>10</v>
      </c>
      <c r="B360" s="2">
        <v>52</v>
      </c>
      <c r="C360" s="2" t="s">
        <v>166</v>
      </c>
      <c r="D360" s="3">
        <v>0</v>
      </c>
      <c r="E360" s="1"/>
      <c r="I360" s="1" t="s">
        <v>1457</v>
      </c>
      <c r="J360" t="s">
        <v>3527</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3528</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3567</v>
      </c>
      <c r="K362" s="23">
        <f>Tabelle5[[#This Row],[value_present]]*Tabelle5[[#This Row],[binding_level]]</f>
        <v>0</v>
      </c>
    </row>
    <row r="363" spans="1:11" x14ac:dyDescent="0.25">
      <c r="A363" s="24">
        <v>10</v>
      </c>
      <c r="B363" s="2">
        <v>53</v>
      </c>
      <c r="C363" s="2" t="s">
        <v>61</v>
      </c>
      <c r="D363" s="3">
        <v>1</v>
      </c>
      <c r="E363" s="1">
        <v>2</v>
      </c>
      <c r="F363" t="s">
        <v>3582</v>
      </c>
      <c r="G363" t="s">
        <v>3583</v>
      </c>
      <c r="H363" t="s">
        <v>3216</v>
      </c>
      <c r="I363" s="1" t="s">
        <v>1456</v>
      </c>
      <c r="J363" t="s">
        <v>3568</v>
      </c>
      <c r="K363" s="25">
        <f>Tabelle5[[#This Row],[value_present]]*Tabelle5[[#This Row],[binding_level]]</f>
        <v>2</v>
      </c>
    </row>
    <row r="364" spans="1:11" x14ac:dyDescent="0.25">
      <c r="A364" s="24">
        <v>10</v>
      </c>
      <c r="B364" s="2">
        <v>53</v>
      </c>
      <c r="C364" s="2" t="s">
        <v>69</v>
      </c>
      <c r="D364" s="3">
        <v>0</v>
      </c>
      <c r="E364" s="1"/>
      <c r="I364" s="1" t="s">
        <v>1456</v>
      </c>
      <c r="J364" t="s">
        <v>3569</v>
      </c>
      <c r="K364" s="25">
        <f>Tabelle5[[#This Row],[value_present]]*Tabelle5[[#This Row],[binding_level]]</f>
        <v>0</v>
      </c>
    </row>
    <row r="365" spans="1:11" x14ac:dyDescent="0.25">
      <c r="A365" s="24">
        <v>10</v>
      </c>
      <c r="B365" s="2">
        <v>53</v>
      </c>
      <c r="C365" s="2" t="s">
        <v>76</v>
      </c>
      <c r="D365" s="3">
        <v>1</v>
      </c>
      <c r="E365" s="1">
        <v>2</v>
      </c>
      <c r="F365" t="s">
        <v>3586</v>
      </c>
      <c r="G365" t="s">
        <v>3587</v>
      </c>
      <c r="H365" t="s">
        <v>3216</v>
      </c>
      <c r="I365" s="1" t="s">
        <v>1456</v>
      </c>
      <c r="J365" t="s">
        <v>3570</v>
      </c>
      <c r="K365" s="25">
        <f>Tabelle5[[#This Row],[value_present]]*Tabelle5[[#This Row],[binding_level]]</f>
        <v>2</v>
      </c>
    </row>
    <row r="366" spans="1:11" x14ac:dyDescent="0.25">
      <c r="A366" s="24">
        <v>10</v>
      </c>
      <c r="B366" s="2">
        <v>53</v>
      </c>
      <c r="C366" s="2" t="s">
        <v>83</v>
      </c>
      <c r="D366" s="3">
        <v>1</v>
      </c>
      <c r="E366" s="1">
        <v>2</v>
      </c>
      <c r="F366" t="s">
        <v>3584</v>
      </c>
      <c r="G366" t="s">
        <v>3585</v>
      </c>
      <c r="H366" t="s">
        <v>3216</v>
      </c>
      <c r="I366" s="1" t="s">
        <v>1456</v>
      </c>
      <c r="J366" t="s">
        <v>3571</v>
      </c>
      <c r="K366" s="25">
        <f>Tabelle5[[#This Row],[value_present]]*Tabelle5[[#This Row],[binding_level]]</f>
        <v>2</v>
      </c>
    </row>
    <row r="367" spans="1:11" x14ac:dyDescent="0.25">
      <c r="A367" s="24">
        <v>10</v>
      </c>
      <c r="B367" s="2">
        <v>53</v>
      </c>
      <c r="C367" s="2" t="s">
        <v>90</v>
      </c>
      <c r="D367" s="3">
        <v>0</v>
      </c>
      <c r="E367" s="1"/>
      <c r="I367" s="1" t="s">
        <v>1457</v>
      </c>
      <c r="J367" t="s">
        <v>3572</v>
      </c>
      <c r="K367" s="25">
        <f>Tabelle5[[#This Row],[value_present]]*Tabelle5[[#This Row],[binding_level]]</f>
        <v>0</v>
      </c>
    </row>
    <row r="368" spans="1:11" x14ac:dyDescent="0.25">
      <c r="A368" s="24">
        <v>10</v>
      </c>
      <c r="B368" s="2">
        <v>53</v>
      </c>
      <c r="C368" s="2" t="s">
        <v>98</v>
      </c>
      <c r="D368" s="3">
        <v>0</v>
      </c>
      <c r="E368" s="1"/>
      <c r="I368" s="1" t="s">
        <v>1457</v>
      </c>
      <c r="J368" t="s">
        <v>3573</v>
      </c>
      <c r="K368" s="25">
        <f>Tabelle5[[#This Row],[value_present]]*Tabelle5[[#This Row],[binding_level]]</f>
        <v>0</v>
      </c>
    </row>
    <row r="369" spans="1:11" x14ac:dyDescent="0.25">
      <c r="A369" s="24">
        <v>10</v>
      </c>
      <c r="B369" s="2">
        <v>53</v>
      </c>
      <c r="C369" s="2" t="s">
        <v>106</v>
      </c>
      <c r="D369" s="3">
        <v>0</v>
      </c>
      <c r="E369" s="1"/>
      <c r="I369" s="1" t="s">
        <v>1457</v>
      </c>
      <c r="J369" t="s">
        <v>3574</v>
      </c>
      <c r="K369" s="25">
        <f>Tabelle5[[#This Row],[value_present]]*Tabelle5[[#This Row],[binding_level]]</f>
        <v>0</v>
      </c>
    </row>
    <row r="370" spans="1:11" x14ac:dyDescent="0.25">
      <c r="A370" s="24">
        <v>10</v>
      </c>
      <c r="B370" s="2">
        <v>53</v>
      </c>
      <c r="C370" s="2" t="s">
        <v>112</v>
      </c>
      <c r="D370" s="3">
        <v>0</v>
      </c>
      <c r="E370" s="1"/>
      <c r="I370" s="1" t="s">
        <v>1456</v>
      </c>
      <c r="J370" t="s">
        <v>3575</v>
      </c>
      <c r="K370" s="25">
        <f>Tabelle5[[#This Row],[value_present]]*Tabelle5[[#This Row],[binding_level]]</f>
        <v>0</v>
      </c>
    </row>
    <row r="371" spans="1:11" x14ac:dyDescent="0.25">
      <c r="A371" s="24">
        <v>10</v>
      </c>
      <c r="B371" s="2">
        <v>53</v>
      </c>
      <c r="C371" s="2" t="s">
        <v>118</v>
      </c>
      <c r="D371" s="3">
        <v>0</v>
      </c>
      <c r="E371" s="1"/>
      <c r="I371" s="1" t="s">
        <v>1456</v>
      </c>
      <c r="J371" t="s">
        <v>3576</v>
      </c>
      <c r="K371" s="25">
        <f>Tabelle5[[#This Row],[value_present]]*Tabelle5[[#This Row],[binding_level]]</f>
        <v>0</v>
      </c>
    </row>
    <row r="372" spans="1:11" x14ac:dyDescent="0.25">
      <c r="A372" s="24">
        <v>10</v>
      </c>
      <c r="B372" s="2">
        <v>53</v>
      </c>
      <c r="C372" s="2" t="s">
        <v>125</v>
      </c>
      <c r="D372" s="3">
        <v>0</v>
      </c>
      <c r="E372" s="1"/>
      <c r="I372" s="1" t="s">
        <v>1456</v>
      </c>
      <c r="J372" t="s">
        <v>3450</v>
      </c>
      <c r="K372" s="25">
        <f>Tabelle5[[#This Row],[value_present]]*Tabelle5[[#This Row],[binding_level]]</f>
        <v>0</v>
      </c>
    </row>
    <row r="373" spans="1:11" x14ac:dyDescent="0.25">
      <c r="A373" s="24">
        <v>10</v>
      </c>
      <c r="B373" s="2">
        <v>53</v>
      </c>
      <c r="C373" s="2" t="s">
        <v>132</v>
      </c>
      <c r="D373" s="3">
        <v>0</v>
      </c>
      <c r="E373" s="1"/>
      <c r="I373" s="1" t="s">
        <v>1456</v>
      </c>
      <c r="J373" t="s">
        <v>3577</v>
      </c>
      <c r="K373" s="25">
        <f>Tabelle5[[#This Row],[value_present]]*Tabelle5[[#This Row],[binding_level]]</f>
        <v>0</v>
      </c>
    </row>
    <row r="374" spans="1:11" x14ac:dyDescent="0.25">
      <c r="A374" s="24">
        <v>10</v>
      </c>
      <c r="B374" s="2">
        <v>53</v>
      </c>
      <c r="C374" s="2" t="s">
        <v>140</v>
      </c>
      <c r="D374" s="3">
        <v>0</v>
      </c>
      <c r="E374" s="1"/>
      <c r="I374" s="1" t="s">
        <v>1456</v>
      </c>
      <c r="J374" t="s">
        <v>3578</v>
      </c>
      <c r="K374" s="25">
        <f>Tabelle5[[#This Row],[value_present]]*Tabelle5[[#This Row],[binding_level]]</f>
        <v>0</v>
      </c>
    </row>
    <row r="375" spans="1:11" x14ac:dyDescent="0.25">
      <c r="A375" s="24">
        <v>10</v>
      </c>
      <c r="B375" s="2">
        <v>53</v>
      </c>
      <c r="C375" s="2" t="s">
        <v>147</v>
      </c>
      <c r="D375" s="3">
        <v>1</v>
      </c>
      <c r="E375" s="1">
        <v>2</v>
      </c>
      <c r="F375" t="s">
        <v>3588</v>
      </c>
      <c r="G375" t="s">
        <v>3589</v>
      </c>
      <c r="H375" t="s">
        <v>3216</v>
      </c>
      <c r="I375" s="1" t="s">
        <v>1456</v>
      </c>
      <c r="J375" t="s">
        <v>3579</v>
      </c>
      <c r="K375" s="25">
        <f>Tabelle5[[#This Row],[value_present]]*Tabelle5[[#This Row],[binding_level]]</f>
        <v>2</v>
      </c>
    </row>
    <row r="376" spans="1:11" x14ac:dyDescent="0.25">
      <c r="A376" s="24">
        <v>10</v>
      </c>
      <c r="B376" s="2">
        <v>53</v>
      </c>
      <c r="C376" s="2" t="s">
        <v>154</v>
      </c>
      <c r="D376" s="3">
        <v>1</v>
      </c>
      <c r="E376" s="1">
        <v>2</v>
      </c>
      <c r="F376" t="s">
        <v>3590</v>
      </c>
      <c r="G376" t="s">
        <v>3591</v>
      </c>
      <c r="H376" t="s">
        <v>3216</v>
      </c>
      <c r="I376" s="1" t="s">
        <v>1456</v>
      </c>
      <c r="J376" t="s">
        <v>3580</v>
      </c>
      <c r="K376" s="25">
        <f>Tabelle5[[#This Row],[value_present]]*Tabelle5[[#This Row],[binding_level]]</f>
        <v>2</v>
      </c>
    </row>
    <row r="377" spans="1:11" x14ac:dyDescent="0.25">
      <c r="A377" s="24">
        <v>10</v>
      </c>
      <c r="B377" s="2">
        <v>53</v>
      </c>
      <c r="C377" s="2" t="s">
        <v>161</v>
      </c>
      <c r="D377" s="3">
        <v>0</v>
      </c>
      <c r="E377" s="1"/>
      <c r="I377" s="1" t="s">
        <v>1456</v>
      </c>
      <c r="J377" t="s">
        <v>3581</v>
      </c>
      <c r="K377" s="25">
        <f>Tabelle5[[#This Row],[value_present]]*Tabelle5[[#This Row],[binding_level]]</f>
        <v>0</v>
      </c>
    </row>
    <row r="378" spans="1:11" x14ac:dyDescent="0.25">
      <c r="A378" s="24">
        <v>10</v>
      </c>
      <c r="B378" s="2">
        <v>53</v>
      </c>
      <c r="C378" s="2" t="s">
        <v>166</v>
      </c>
      <c r="D378" s="3">
        <v>0</v>
      </c>
      <c r="E378" s="1"/>
      <c r="I378" s="1" t="s">
        <v>1457</v>
      </c>
      <c r="J378" t="s">
        <v>3527</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3528</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3625</v>
      </c>
      <c r="K380" s="23">
        <f>Tabelle5[[#This Row],[value_present]]*Tabelle5[[#This Row],[binding_level]]</f>
        <v>0</v>
      </c>
    </row>
    <row r="381" spans="1:11" x14ac:dyDescent="0.25">
      <c r="A381" s="24">
        <v>11</v>
      </c>
      <c r="B381" s="2">
        <v>56</v>
      </c>
      <c r="C381" s="2" t="s">
        <v>61</v>
      </c>
      <c r="D381" s="3">
        <v>0</v>
      </c>
      <c r="E381" s="1"/>
      <c r="I381" s="1" t="s">
        <v>1457</v>
      </c>
      <c r="J381" t="s">
        <v>3626</v>
      </c>
      <c r="K381" s="25">
        <f>Tabelle5[[#This Row],[value_present]]*Tabelle5[[#This Row],[binding_level]]</f>
        <v>0</v>
      </c>
    </row>
    <row r="382" spans="1:11" x14ac:dyDescent="0.25">
      <c r="A382" s="24">
        <v>11</v>
      </c>
      <c r="B382" s="2">
        <v>56</v>
      </c>
      <c r="C382" s="2" t="s">
        <v>69</v>
      </c>
      <c r="D382" s="3">
        <v>0</v>
      </c>
      <c r="E382" s="1"/>
      <c r="I382" s="1" t="s">
        <v>1457</v>
      </c>
      <c r="J382" t="s">
        <v>3627</v>
      </c>
      <c r="K382" s="25">
        <f>Tabelle5[[#This Row],[value_present]]*Tabelle5[[#This Row],[binding_level]]</f>
        <v>0</v>
      </c>
    </row>
    <row r="383" spans="1:11" x14ac:dyDescent="0.25">
      <c r="A383" s="24">
        <v>11</v>
      </c>
      <c r="B383" s="2">
        <v>56</v>
      </c>
      <c r="C383" s="2" t="s">
        <v>76</v>
      </c>
      <c r="D383" s="3">
        <v>1</v>
      </c>
      <c r="E383" s="1">
        <v>1</v>
      </c>
      <c r="F383" t="s">
        <v>3615</v>
      </c>
      <c r="G383" t="s">
        <v>3616</v>
      </c>
      <c r="H383" t="s">
        <v>3614</v>
      </c>
      <c r="I383" s="1" t="s">
        <v>1456</v>
      </c>
      <c r="J383" t="s">
        <v>3628</v>
      </c>
      <c r="K383" s="25">
        <f>Tabelle5[[#This Row],[value_present]]*Tabelle5[[#This Row],[binding_level]]</f>
        <v>1</v>
      </c>
    </row>
    <row r="384" spans="1:11" x14ac:dyDescent="0.25">
      <c r="A384" s="24">
        <v>11</v>
      </c>
      <c r="B384" s="2">
        <v>56</v>
      </c>
      <c r="C384" s="2" t="s">
        <v>83</v>
      </c>
      <c r="D384" s="3">
        <v>1</v>
      </c>
      <c r="E384" s="1">
        <v>1</v>
      </c>
      <c r="F384" t="s">
        <v>3623</v>
      </c>
      <c r="G384" t="s">
        <v>3624</v>
      </c>
      <c r="H384" t="s">
        <v>3614</v>
      </c>
      <c r="I384" s="1" t="s">
        <v>1457</v>
      </c>
      <c r="J384" t="s">
        <v>3629</v>
      </c>
      <c r="K384" s="25">
        <f>Tabelle5[[#This Row],[value_present]]*Tabelle5[[#This Row],[binding_level]]</f>
        <v>1</v>
      </c>
    </row>
    <row r="385" spans="1:11" x14ac:dyDescent="0.25">
      <c r="A385" s="24">
        <v>11</v>
      </c>
      <c r="B385" s="2">
        <v>56</v>
      </c>
      <c r="C385" s="2" t="s">
        <v>90</v>
      </c>
      <c r="D385" s="3">
        <v>1</v>
      </c>
      <c r="E385" s="1">
        <v>1</v>
      </c>
      <c r="F385" t="s">
        <v>3617</v>
      </c>
      <c r="G385" t="s">
        <v>3618</v>
      </c>
      <c r="H385" t="s">
        <v>3614</v>
      </c>
      <c r="I385" s="1" t="s">
        <v>1456</v>
      </c>
      <c r="J385" t="s">
        <v>3630</v>
      </c>
      <c r="K385" s="25">
        <f>Tabelle5[[#This Row],[value_present]]*Tabelle5[[#This Row],[binding_level]]</f>
        <v>1</v>
      </c>
    </row>
    <row r="386" spans="1:11" x14ac:dyDescent="0.25">
      <c r="A386" s="24">
        <v>11</v>
      </c>
      <c r="B386" s="2">
        <v>56</v>
      </c>
      <c r="C386" s="2" t="s">
        <v>98</v>
      </c>
      <c r="D386" s="3">
        <v>1</v>
      </c>
      <c r="E386" s="1">
        <v>1</v>
      </c>
      <c r="F386" t="s">
        <v>3619</v>
      </c>
      <c r="G386" t="s">
        <v>3620</v>
      </c>
      <c r="H386" t="s">
        <v>3614</v>
      </c>
      <c r="I386" s="1" t="s">
        <v>1456</v>
      </c>
      <c r="J386" t="s">
        <v>3631</v>
      </c>
      <c r="K386" s="25">
        <f>Tabelle5[[#This Row],[value_present]]*Tabelle5[[#This Row],[binding_level]]</f>
        <v>1</v>
      </c>
    </row>
    <row r="387" spans="1:11" x14ac:dyDescent="0.25">
      <c r="A387" s="24">
        <v>11</v>
      </c>
      <c r="B387" s="2">
        <v>56</v>
      </c>
      <c r="C387" s="2" t="s">
        <v>106</v>
      </c>
      <c r="D387" s="3">
        <v>0</v>
      </c>
      <c r="E387" s="1"/>
      <c r="I387" s="1" t="s">
        <v>1457</v>
      </c>
      <c r="J387" t="s">
        <v>3632</v>
      </c>
      <c r="K387" s="25">
        <f>Tabelle5[[#This Row],[value_present]]*Tabelle5[[#This Row],[binding_level]]</f>
        <v>0</v>
      </c>
    </row>
    <row r="388" spans="1:11" x14ac:dyDescent="0.25">
      <c r="A388" s="24">
        <v>11</v>
      </c>
      <c r="B388" s="2">
        <v>56</v>
      </c>
      <c r="C388" s="2" t="s">
        <v>112</v>
      </c>
      <c r="D388" s="3">
        <v>1</v>
      </c>
      <c r="E388" s="1">
        <v>1</v>
      </c>
      <c r="F388" t="s">
        <v>3621</v>
      </c>
      <c r="G388" t="s">
        <v>3622</v>
      </c>
      <c r="H388" t="s">
        <v>3614</v>
      </c>
      <c r="I388" s="1" t="s">
        <v>1456</v>
      </c>
      <c r="J388" t="s">
        <v>3633</v>
      </c>
      <c r="K388" s="25">
        <f>Tabelle5[[#This Row],[value_present]]*Tabelle5[[#This Row],[binding_level]]</f>
        <v>1</v>
      </c>
    </row>
    <row r="389" spans="1:11" x14ac:dyDescent="0.25">
      <c r="A389" s="24">
        <v>11</v>
      </c>
      <c r="B389" s="2">
        <v>56</v>
      </c>
      <c r="C389" s="2" t="s">
        <v>118</v>
      </c>
      <c r="D389" s="3">
        <v>0</v>
      </c>
      <c r="E389" s="1"/>
      <c r="I389" s="1" t="s">
        <v>1456</v>
      </c>
      <c r="J389" t="s">
        <v>3634</v>
      </c>
      <c r="K389" s="25">
        <f>Tabelle5[[#This Row],[value_present]]*Tabelle5[[#This Row],[binding_level]]</f>
        <v>0</v>
      </c>
    </row>
    <row r="390" spans="1:11" x14ac:dyDescent="0.25">
      <c r="A390" s="24">
        <v>11</v>
      </c>
      <c r="B390" s="2">
        <v>56</v>
      </c>
      <c r="C390" s="2" t="s">
        <v>125</v>
      </c>
      <c r="D390" s="3">
        <v>0</v>
      </c>
      <c r="E390" s="1"/>
      <c r="I390" s="1" t="s">
        <v>1457</v>
      </c>
      <c r="J390" t="s">
        <v>3635</v>
      </c>
      <c r="K390" s="25">
        <f>Tabelle5[[#This Row],[value_present]]*Tabelle5[[#This Row],[binding_level]]</f>
        <v>0</v>
      </c>
    </row>
    <row r="391" spans="1:11" x14ac:dyDescent="0.25">
      <c r="A391" s="24">
        <v>11</v>
      </c>
      <c r="B391" s="2">
        <v>56</v>
      </c>
      <c r="C391" s="2" t="s">
        <v>132</v>
      </c>
      <c r="D391" s="3">
        <v>0</v>
      </c>
      <c r="E391" s="1"/>
      <c r="I391" s="1" t="s">
        <v>1456</v>
      </c>
      <c r="J391" t="s">
        <v>3636</v>
      </c>
      <c r="K391" s="25">
        <f>Tabelle5[[#This Row],[value_present]]*Tabelle5[[#This Row],[binding_level]]</f>
        <v>0</v>
      </c>
    </row>
    <row r="392" spans="1:11" x14ac:dyDescent="0.25">
      <c r="A392" s="24">
        <v>11</v>
      </c>
      <c r="B392" s="2">
        <v>56</v>
      </c>
      <c r="C392" s="2" t="s">
        <v>140</v>
      </c>
      <c r="D392" s="3">
        <v>0</v>
      </c>
      <c r="E392" s="1"/>
      <c r="I392" s="1" t="s">
        <v>1457</v>
      </c>
      <c r="J392" t="s">
        <v>3637</v>
      </c>
      <c r="K392" s="25">
        <f>Tabelle5[[#This Row],[value_present]]*Tabelle5[[#This Row],[binding_level]]</f>
        <v>0</v>
      </c>
    </row>
    <row r="393" spans="1:11" x14ac:dyDescent="0.25">
      <c r="A393" s="24">
        <v>11</v>
      </c>
      <c r="B393" s="2">
        <v>56</v>
      </c>
      <c r="C393" s="2" t="s">
        <v>147</v>
      </c>
      <c r="D393" s="3">
        <v>0</v>
      </c>
      <c r="E393" s="1"/>
      <c r="I393" s="1" t="s">
        <v>1457</v>
      </c>
      <c r="J393" t="s">
        <v>3638</v>
      </c>
      <c r="K393" s="25">
        <f>Tabelle5[[#This Row],[value_present]]*Tabelle5[[#This Row],[binding_level]]</f>
        <v>0</v>
      </c>
    </row>
    <row r="394" spans="1:11" x14ac:dyDescent="0.25">
      <c r="A394" s="24">
        <v>11</v>
      </c>
      <c r="B394" s="2">
        <v>56</v>
      </c>
      <c r="C394" s="2" t="s">
        <v>154</v>
      </c>
      <c r="D394" s="3">
        <v>1</v>
      </c>
      <c r="E394" s="1">
        <v>1</v>
      </c>
      <c r="F394" t="s">
        <v>3612</v>
      </c>
      <c r="G394" t="s">
        <v>3613</v>
      </c>
      <c r="H394" t="s">
        <v>3614</v>
      </c>
      <c r="I394" s="1" t="s">
        <v>1456</v>
      </c>
      <c r="J394" t="s">
        <v>3639</v>
      </c>
      <c r="K394" s="25">
        <f>Tabelle5[[#This Row],[value_present]]*Tabelle5[[#This Row],[binding_level]]</f>
        <v>1</v>
      </c>
    </row>
    <row r="395" spans="1:11" x14ac:dyDescent="0.25">
      <c r="A395" s="24">
        <v>11</v>
      </c>
      <c r="B395" s="2">
        <v>56</v>
      </c>
      <c r="C395" s="2" t="s">
        <v>161</v>
      </c>
      <c r="D395" s="3">
        <v>0</v>
      </c>
      <c r="E395" s="1"/>
      <c r="I395" s="1" t="s">
        <v>1457</v>
      </c>
      <c r="J395" t="s">
        <v>3640</v>
      </c>
      <c r="K395" s="25">
        <f>Tabelle5[[#This Row],[value_present]]*Tabelle5[[#This Row],[binding_level]]</f>
        <v>0</v>
      </c>
    </row>
    <row r="396" spans="1:11" x14ac:dyDescent="0.25">
      <c r="A396" s="24">
        <v>11</v>
      </c>
      <c r="B396" s="2">
        <v>56</v>
      </c>
      <c r="C396" s="2" t="s">
        <v>166</v>
      </c>
      <c r="D396" s="3">
        <v>0</v>
      </c>
      <c r="E396" s="1"/>
      <c r="I396" s="1" t="s">
        <v>1457</v>
      </c>
      <c r="J396" t="s">
        <v>3641</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3642</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3671</v>
      </c>
      <c r="K398" s="23">
        <f>Tabelle5[[#This Row],[value_present]]*Tabelle5[[#This Row],[binding_level]]</f>
        <v>0</v>
      </c>
    </row>
    <row r="399" spans="1:11" x14ac:dyDescent="0.25">
      <c r="A399" s="24">
        <v>11</v>
      </c>
      <c r="B399" s="2">
        <v>57</v>
      </c>
      <c r="C399" s="2" t="s">
        <v>61</v>
      </c>
      <c r="D399" s="3">
        <v>0</v>
      </c>
      <c r="E399" s="1"/>
      <c r="I399" s="1" t="s">
        <v>1457</v>
      </c>
      <c r="J399" t="s">
        <v>3672</v>
      </c>
      <c r="K399" s="25">
        <f>Tabelle5[[#This Row],[value_present]]*Tabelle5[[#This Row],[binding_level]]</f>
        <v>0</v>
      </c>
    </row>
    <row r="400" spans="1:11" x14ac:dyDescent="0.25">
      <c r="A400" s="24">
        <v>11</v>
      </c>
      <c r="B400" s="2">
        <v>57</v>
      </c>
      <c r="C400" s="2" t="s">
        <v>69</v>
      </c>
      <c r="D400" s="3">
        <v>0</v>
      </c>
      <c r="E400" s="1"/>
      <c r="I400" s="1" t="s">
        <v>1457</v>
      </c>
      <c r="J400" t="s">
        <v>3673</v>
      </c>
      <c r="K400" s="25">
        <f>Tabelle5[[#This Row],[value_present]]*Tabelle5[[#This Row],[binding_level]]</f>
        <v>0</v>
      </c>
    </row>
    <row r="401" spans="1:11" x14ac:dyDescent="0.25">
      <c r="A401" s="24">
        <v>11</v>
      </c>
      <c r="B401" s="2">
        <v>57</v>
      </c>
      <c r="C401" s="2" t="s">
        <v>76</v>
      </c>
      <c r="D401" s="3">
        <v>1</v>
      </c>
      <c r="E401" s="1">
        <v>1</v>
      </c>
      <c r="F401" t="s">
        <v>3664</v>
      </c>
      <c r="G401" t="s">
        <v>3616</v>
      </c>
      <c r="H401" t="s">
        <v>3674</v>
      </c>
      <c r="I401" s="1" t="s">
        <v>1456</v>
      </c>
      <c r="J401" t="s">
        <v>3675</v>
      </c>
      <c r="K401" s="25">
        <f>Tabelle5[[#This Row],[value_present]]*Tabelle5[[#This Row],[binding_level]]</f>
        <v>1</v>
      </c>
    </row>
    <row r="402" spans="1:11" x14ac:dyDescent="0.25">
      <c r="A402" s="24">
        <v>11</v>
      </c>
      <c r="B402" s="2">
        <v>57</v>
      </c>
      <c r="C402" s="2" t="s">
        <v>83</v>
      </c>
      <c r="D402" s="3">
        <v>0</v>
      </c>
      <c r="E402" s="1"/>
      <c r="I402" s="1" t="s">
        <v>1456</v>
      </c>
      <c r="J402" t="s">
        <v>3676</v>
      </c>
      <c r="K402" s="25">
        <f>Tabelle5[[#This Row],[value_present]]*Tabelle5[[#This Row],[binding_level]]</f>
        <v>0</v>
      </c>
    </row>
    <row r="403" spans="1:11" x14ac:dyDescent="0.25">
      <c r="A403" s="24">
        <v>11</v>
      </c>
      <c r="B403" s="2">
        <v>57</v>
      </c>
      <c r="C403" s="2" t="s">
        <v>90</v>
      </c>
      <c r="D403" s="3">
        <v>1</v>
      </c>
      <c r="E403" s="1">
        <v>1</v>
      </c>
      <c r="F403" t="s">
        <v>3665</v>
      </c>
      <c r="G403" t="s">
        <v>3666</v>
      </c>
      <c r="H403" t="s">
        <v>3674</v>
      </c>
      <c r="I403" s="1" t="s">
        <v>1456</v>
      </c>
      <c r="J403" t="s">
        <v>3677</v>
      </c>
      <c r="K403" s="25">
        <f>Tabelle5[[#This Row],[value_present]]*Tabelle5[[#This Row],[binding_level]]</f>
        <v>1</v>
      </c>
    </row>
    <row r="404" spans="1:11" x14ac:dyDescent="0.25">
      <c r="A404" s="24">
        <v>11</v>
      </c>
      <c r="B404" s="2">
        <v>57</v>
      </c>
      <c r="C404" s="2" t="s">
        <v>98</v>
      </c>
      <c r="D404" s="3">
        <v>1</v>
      </c>
      <c r="E404" s="1">
        <v>1</v>
      </c>
      <c r="F404" t="s">
        <v>3667</v>
      </c>
      <c r="G404" t="s">
        <v>3620</v>
      </c>
      <c r="H404" t="s">
        <v>3674</v>
      </c>
      <c r="I404" s="1" t="s">
        <v>1456</v>
      </c>
      <c r="J404" t="s">
        <v>3678</v>
      </c>
      <c r="K404" s="25">
        <f>Tabelle5[[#This Row],[value_present]]*Tabelle5[[#This Row],[binding_level]]</f>
        <v>1</v>
      </c>
    </row>
    <row r="405" spans="1:11" x14ac:dyDescent="0.25">
      <c r="A405" s="24">
        <v>11</v>
      </c>
      <c r="B405" s="2">
        <v>57</v>
      </c>
      <c r="C405" s="2" t="s">
        <v>106</v>
      </c>
      <c r="D405" s="3">
        <v>0</v>
      </c>
      <c r="E405" s="1"/>
      <c r="I405" s="1" t="s">
        <v>1457</v>
      </c>
      <c r="J405" t="s">
        <v>3574</v>
      </c>
      <c r="K405" s="25">
        <f>Tabelle5[[#This Row],[value_present]]*Tabelle5[[#This Row],[binding_level]]</f>
        <v>0</v>
      </c>
    </row>
    <row r="406" spans="1:11" x14ac:dyDescent="0.25">
      <c r="A406" s="24">
        <v>11</v>
      </c>
      <c r="B406" s="2">
        <v>57</v>
      </c>
      <c r="C406" s="2" t="s">
        <v>112</v>
      </c>
      <c r="D406" s="3">
        <v>1</v>
      </c>
      <c r="E406" s="1">
        <v>1</v>
      </c>
      <c r="F406" t="s">
        <v>3668</v>
      </c>
      <c r="G406" t="s">
        <v>3622</v>
      </c>
      <c r="H406" t="s">
        <v>3674</v>
      </c>
      <c r="I406" s="1" t="s">
        <v>1456</v>
      </c>
      <c r="J406" t="s">
        <v>3679</v>
      </c>
      <c r="K406" s="25">
        <f>Tabelle5[[#This Row],[value_present]]*Tabelle5[[#This Row],[binding_level]]</f>
        <v>1</v>
      </c>
    </row>
    <row r="407" spans="1:11" x14ac:dyDescent="0.25">
      <c r="A407" s="24">
        <v>11</v>
      </c>
      <c r="B407" s="2">
        <v>57</v>
      </c>
      <c r="C407" s="2" t="s">
        <v>118</v>
      </c>
      <c r="D407" s="3">
        <v>0</v>
      </c>
      <c r="E407" s="1"/>
      <c r="I407" s="1" t="s">
        <v>1456</v>
      </c>
      <c r="J407" t="s">
        <v>3576</v>
      </c>
      <c r="K407" s="25">
        <f>Tabelle5[[#This Row],[value_present]]*Tabelle5[[#This Row],[binding_level]]</f>
        <v>0</v>
      </c>
    </row>
    <row r="408" spans="1:11" x14ac:dyDescent="0.25">
      <c r="A408" s="24">
        <v>11</v>
      </c>
      <c r="B408" s="2">
        <v>57</v>
      </c>
      <c r="C408" s="2" t="s">
        <v>125</v>
      </c>
      <c r="D408" s="3">
        <v>0</v>
      </c>
      <c r="E408" s="1"/>
      <c r="I408" s="1" t="s">
        <v>1456</v>
      </c>
      <c r="J408" t="s">
        <v>3450</v>
      </c>
      <c r="K408" s="25">
        <f>Tabelle5[[#This Row],[value_present]]*Tabelle5[[#This Row],[binding_level]]</f>
        <v>0</v>
      </c>
    </row>
    <row r="409" spans="1:11" x14ac:dyDescent="0.25">
      <c r="A409" s="24">
        <v>11</v>
      </c>
      <c r="B409" s="2">
        <v>57</v>
      </c>
      <c r="C409" s="2" t="s">
        <v>132</v>
      </c>
      <c r="D409" s="3">
        <v>0</v>
      </c>
      <c r="E409" s="1"/>
      <c r="I409" s="1" t="s">
        <v>1456</v>
      </c>
      <c r="J409" t="s">
        <v>3577</v>
      </c>
      <c r="K409" s="25">
        <f>Tabelle5[[#This Row],[value_present]]*Tabelle5[[#This Row],[binding_level]]</f>
        <v>0</v>
      </c>
    </row>
    <row r="410" spans="1:11" x14ac:dyDescent="0.25">
      <c r="A410" s="24">
        <v>11</v>
      </c>
      <c r="B410" s="2">
        <v>57</v>
      </c>
      <c r="C410" s="2" t="s">
        <v>140</v>
      </c>
      <c r="D410" s="3">
        <v>0</v>
      </c>
      <c r="E410" s="1"/>
      <c r="I410" s="1" t="s">
        <v>1457</v>
      </c>
      <c r="J410" t="s">
        <v>3680</v>
      </c>
      <c r="K410" s="25">
        <f>Tabelle5[[#This Row],[value_present]]*Tabelle5[[#This Row],[binding_level]]</f>
        <v>0</v>
      </c>
    </row>
    <row r="411" spans="1:11" x14ac:dyDescent="0.25">
      <c r="A411" s="24">
        <v>11</v>
      </c>
      <c r="B411" s="2">
        <v>57</v>
      </c>
      <c r="C411" s="2" t="s">
        <v>147</v>
      </c>
      <c r="D411" s="3">
        <v>0</v>
      </c>
      <c r="E411" s="1"/>
      <c r="I411" s="1" t="s">
        <v>1457</v>
      </c>
      <c r="J411" t="s">
        <v>3681</v>
      </c>
      <c r="K411" s="25">
        <f>Tabelle5[[#This Row],[value_present]]*Tabelle5[[#This Row],[binding_level]]</f>
        <v>0</v>
      </c>
    </row>
    <row r="412" spans="1:11" x14ac:dyDescent="0.25">
      <c r="A412" s="24">
        <v>11</v>
      </c>
      <c r="B412" s="2">
        <v>57</v>
      </c>
      <c r="C412" s="2" t="s">
        <v>154</v>
      </c>
      <c r="D412" s="3">
        <v>1</v>
      </c>
      <c r="E412" s="1">
        <v>1</v>
      </c>
      <c r="F412" t="s">
        <v>3662</v>
      </c>
      <c r="G412" t="s">
        <v>3663</v>
      </c>
      <c r="H412" t="s">
        <v>3674</v>
      </c>
      <c r="I412" s="1" t="s">
        <v>1456</v>
      </c>
      <c r="J412" t="s">
        <v>3682</v>
      </c>
      <c r="K412" s="25">
        <f>Tabelle5[[#This Row],[value_present]]*Tabelle5[[#This Row],[binding_level]]</f>
        <v>1</v>
      </c>
    </row>
    <row r="413" spans="1:11" x14ac:dyDescent="0.25">
      <c r="A413" s="24">
        <v>11</v>
      </c>
      <c r="B413" s="2">
        <v>57</v>
      </c>
      <c r="C413" s="2" t="s">
        <v>161</v>
      </c>
      <c r="D413" s="3">
        <v>0</v>
      </c>
      <c r="E413" s="1"/>
      <c r="I413" s="1" t="s">
        <v>1457</v>
      </c>
      <c r="J413" t="s">
        <v>3669</v>
      </c>
      <c r="K413" s="25">
        <f>Tabelle5[[#This Row],[value_present]]*Tabelle5[[#This Row],[binding_level]]</f>
        <v>0</v>
      </c>
    </row>
    <row r="414" spans="1:11" x14ac:dyDescent="0.25">
      <c r="A414" s="24">
        <v>11</v>
      </c>
      <c r="B414" s="2">
        <v>57</v>
      </c>
      <c r="C414" s="2" t="s">
        <v>166</v>
      </c>
      <c r="D414" s="3">
        <v>0</v>
      </c>
      <c r="E414" s="1"/>
      <c r="I414" s="1" t="s">
        <v>1457</v>
      </c>
      <c r="J414" t="s">
        <v>3670</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3683</v>
      </c>
      <c r="K415" s="31">
        <f>Tabelle5[[#This Row],[value_present]]*Tabelle5[[#This Row],[binding_level]]</f>
        <v>0</v>
      </c>
    </row>
    <row r="416" spans="1:11" x14ac:dyDescent="0.25">
      <c r="A416" s="18">
        <v>12</v>
      </c>
      <c r="B416" s="19">
        <v>62</v>
      </c>
      <c r="C416" s="19" t="s">
        <v>53</v>
      </c>
      <c r="D416" s="20">
        <v>1</v>
      </c>
      <c r="E416" s="21">
        <v>1</v>
      </c>
      <c r="F416" s="22" t="s">
        <v>3827</v>
      </c>
      <c r="G416" s="22" t="s">
        <v>3828</v>
      </c>
      <c r="H416" s="22" t="s">
        <v>3807</v>
      </c>
      <c r="I416" s="21" t="s">
        <v>1456</v>
      </c>
      <c r="J416" s="22" t="s">
        <v>3808</v>
      </c>
      <c r="K416" s="23">
        <f>Tabelle5[[#This Row],[value_present]]*Tabelle5[[#This Row],[binding_level]]</f>
        <v>1</v>
      </c>
    </row>
    <row r="417" spans="1:11" x14ac:dyDescent="0.25">
      <c r="A417" s="24">
        <v>12</v>
      </c>
      <c r="B417" s="2">
        <v>62</v>
      </c>
      <c r="C417" s="2" t="s">
        <v>61</v>
      </c>
      <c r="D417" s="3">
        <v>1</v>
      </c>
      <c r="E417" s="1">
        <v>1</v>
      </c>
      <c r="F417" t="s">
        <v>3829</v>
      </c>
      <c r="G417" t="s">
        <v>3830</v>
      </c>
      <c r="H417" t="s">
        <v>3809</v>
      </c>
      <c r="I417" s="1" t="s">
        <v>1457</v>
      </c>
      <c r="J417" t="s">
        <v>3810</v>
      </c>
      <c r="K417" s="25">
        <f>Tabelle5[[#This Row],[value_present]]*Tabelle5[[#This Row],[binding_level]]</f>
        <v>1</v>
      </c>
    </row>
    <row r="418" spans="1:11" x14ac:dyDescent="0.25">
      <c r="A418" s="24">
        <v>12</v>
      </c>
      <c r="B418" s="2">
        <v>62</v>
      </c>
      <c r="C418" s="2" t="s">
        <v>69</v>
      </c>
      <c r="D418" s="3">
        <v>1</v>
      </c>
      <c r="E418" s="1">
        <v>1</v>
      </c>
      <c r="F418" t="s">
        <v>3831</v>
      </c>
      <c r="G418" t="s">
        <v>3832</v>
      </c>
      <c r="H418" t="s">
        <v>3807</v>
      </c>
      <c r="I418" s="1" t="s">
        <v>1456</v>
      </c>
      <c r="J418" t="s">
        <v>3811</v>
      </c>
      <c r="K418" s="25">
        <f>Tabelle5[[#This Row],[value_present]]*Tabelle5[[#This Row],[binding_level]]</f>
        <v>1</v>
      </c>
    </row>
    <row r="419" spans="1:11" x14ac:dyDescent="0.25">
      <c r="A419" s="24">
        <v>12</v>
      </c>
      <c r="B419" s="2">
        <v>62</v>
      </c>
      <c r="C419" s="2" t="s">
        <v>76</v>
      </c>
      <c r="D419" s="3">
        <v>1</v>
      </c>
      <c r="E419" s="1">
        <v>1</v>
      </c>
      <c r="F419" t="s">
        <v>3833</v>
      </c>
      <c r="G419" t="s">
        <v>3832</v>
      </c>
      <c r="H419" t="s">
        <v>3807</v>
      </c>
      <c r="I419" s="1" t="s">
        <v>1456</v>
      </c>
      <c r="J419" t="s">
        <v>3812</v>
      </c>
      <c r="K419" s="25">
        <f>Tabelle5[[#This Row],[value_present]]*Tabelle5[[#This Row],[binding_level]]</f>
        <v>1</v>
      </c>
    </row>
    <row r="420" spans="1:11" x14ac:dyDescent="0.25">
      <c r="A420" s="24">
        <v>12</v>
      </c>
      <c r="B420" s="2">
        <v>62</v>
      </c>
      <c r="C420" s="2" t="s">
        <v>83</v>
      </c>
      <c r="D420" s="3">
        <v>1</v>
      </c>
      <c r="E420" s="1">
        <v>1</v>
      </c>
      <c r="F420" t="s">
        <v>3834</v>
      </c>
      <c r="G420" t="s">
        <v>3835</v>
      </c>
      <c r="H420" t="s">
        <v>3809</v>
      </c>
      <c r="I420" s="1" t="s">
        <v>1456</v>
      </c>
      <c r="J420" t="s">
        <v>3813</v>
      </c>
      <c r="K420" s="25">
        <f>Tabelle5[[#This Row],[value_present]]*Tabelle5[[#This Row],[binding_level]]</f>
        <v>1</v>
      </c>
    </row>
    <row r="421" spans="1:11" x14ac:dyDescent="0.25">
      <c r="A421" s="24">
        <v>12</v>
      </c>
      <c r="B421" s="2">
        <v>62</v>
      </c>
      <c r="C421" s="2" t="s">
        <v>90</v>
      </c>
      <c r="D421" s="3">
        <v>1</v>
      </c>
      <c r="E421" s="1">
        <v>1</v>
      </c>
      <c r="F421" t="s">
        <v>3836</v>
      </c>
      <c r="G421" t="s">
        <v>3837</v>
      </c>
      <c r="H421" t="s">
        <v>3807</v>
      </c>
      <c r="I421" s="1" t="s">
        <v>1456</v>
      </c>
      <c r="J421" t="s">
        <v>3814</v>
      </c>
      <c r="K421" s="25">
        <f>Tabelle5[[#This Row],[value_present]]*Tabelle5[[#This Row],[binding_level]]</f>
        <v>1</v>
      </c>
    </row>
    <row r="422" spans="1:11" x14ac:dyDescent="0.25">
      <c r="A422" s="24">
        <v>12</v>
      </c>
      <c r="B422" s="2">
        <v>62</v>
      </c>
      <c r="C422" s="2" t="s">
        <v>98</v>
      </c>
      <c r="D422" s="3">
        <v>1</v>
      </c>
      <c r="E422" s="1">
        <v>1</v>
      </c>
      <c r="F422" t="s">
        <v>3838</v>
      </c>
      <c r="G422" t="s">
        <v>3839</v>
      </c>
      <c r="H422" t="s">
        <v>3809</v>
      </c>
      <c r="I422" s="1" t="s">
        <v>1456</v>
      </c>
      <c r="J422" t="s">
        <v>3815</v>
      </c>
      <c r="K422" s="25">
        <f>Tabelle5[[#This Row],[value_present]]*Tabelle5[[#This Row],[binding_level]]</f>
        <v>1</v>
      </c>
    </row>
    <row r="423" spans="1:11" x14ac:dyDescent="0.25">
      <c r="A423" s="24">
        <v>12</v>
      </c>
      <c r="B423" s="2">
        <v>62</v>
      </c>
      <c r="C423" s="2" t="s">
        <v>106</v>
      </c>
      <c r="D423" s="3">
        <v>1</v>
      </c>
      <c r="E423" s="1">
        <v>1</v>
      </c>
      <c r="F423" t="s">
        <v>3840</v>
      </c>
      <c r="G423" t="s">
        <v>3841</v>
      </c>
      <c r="H423" t="s">
        <v>3809</v>
      </c>
      <c r="I423" s="1" t="s">
        <v>1457</v>
      </c>
      <c r="J423" t="s">
        <v>3816</v>
      </c>
      <c r="K423" s="25">
        <f>Tabelle5[[#This Row],[value_present]]*Tabelle5[[#This Row],[binding_level]]</f>
        <v>1</v>
      </c>
    </row>
    <row r="424" spans="1:11" x14ac:dyDescent="0.25">
      <c r="A424" s="24">
        <v>12</v>
      </c>
      <c r="B424" s="2">
        <v>62</v>
      </c>
      <c r="C424" s="2" t="s">
        <v>112</v>
      </c>
      <c r="D424" s="3">
        <v>1</v>
      </c>
      <c r="E424" s="1">
        <v>1</v>
      </c>
      <c r="F424" t="s">
        <v>3842</v>
      </c>
      <c r="G424" t="s">
        <v>3843</v>
      </c>
      <c r="H424" t="s">
        <v>3809</v>
      </c>
      <c r="I424" s="1" t="s">
        <v>1456</v>
      </c>
      <c r="J424" t="s">
        <v>3817</v>
      </c>
      <c r="K424" s="25">
        <f>Tabelle5[[#This Row],[value_present]]*Tabelle5[[#This Row],[binding_level]]</f>
        <v>1</v>
      </c>
    </row>
    <row r="425" spans="1:11" x14ac:dyDescent="0.25">
      <c r="A425" s="24">
        <v>12</v>
      </c>
      <c r="B425" s="2">
        <v>62</v>
      </c>
      <c r="C425" s="2" t="s">
        <v>118</v>
      </c>
      <c r="D425" s="3">
        <v>0</v>
      </c>
      <c r="E425" s="1"/>
      <c r="I425" s="1" t="s">
        <v>1456</v>
      </c>
      <c r="J425" t="s">
        <v>3818</v>
      </c>
      <c r="K425" s="25">
        <f>Tabelle5[[#This Row],[value_present]]*Tabelle5[[#This Row],[binding_level]]</f>
        <v>0</v>
      </c>
    </row>
    <row r="426" spans="1:11" x14ac:dyDescent="0.25">
      <c r="A426" s="24">
        <v>12</v>
      </c>
      <c r="B426" s="2">
        <v>62</v>
      </c>
      <c r="C426" s="2" t="s">
        <v>125</v>
      </c>
      <c r="D426" s="3">
        <v>1</v>
      </c>
      <c r="E426" s="1">
        <v>1</v>
      </c>
      <c r="F426" t="s">
        <v>3844</v>
      </c>
      <c r="G426" t="s">
        <v>3845</v>
      </c>
      <c r="H426" t="s">
        <v>3809</v>
      </c>
      <c r="I426" s="1" t="s">
        <v>1457</v>
      </c>
      <c r="J426" t="s">
        <v>3819</v>
      </c>
      <c r="K426" s="25">
        <f>Tabelle5[[#This Row],[value_present]]*Tabelle5[[#This Row],[binding_level]]</f>
        <v>1</v>
      </c>
    </row>
    <row r="427" spans="1:11" x14ac:dyDescent="0.25">
      <c r="A427" s="24">
        <v>12</v>
      </c>
      <c r="B427" s="2">
        <v>62</v>
      </c>
      <c r="C427" s="2" t="s">
        <v>132</v>
      </c>
      <c r="D427" s="3">
        <v>0</v>
      </c>
      <c r="E427" s="1"/>
      <c r="I427" s="1" t="s">
        <v>1456</v>
      </c>
      <c r="J427" t="s">
        <v>3820</v>
      </c>
      <c r="K427" s="25">
        <f>Tabelle5[[#This Row],[value_present]]*Tabelle5[[#This Row],[binding_level]]</f>
        <v>0</v>
      </c>
    </row>
    <row r="428" spans="1:11" x14ac:dyDescent="0.25">
      <c r="A428" s="24">
        <v>12</v>
      </c>
      <c r="B428" s="2">
        <v>62</v>
      </c>
      <c r="C428" s="2" t="s">
        <v>140</v>
      </c>
      <c r="D428" s="3">
        <v>0</v>
      </c>
      <c r="E428" s="1"/>
      <c r="I428" s="1" t="s">
        <v>1457</v>
      </c>
      <c r="J428" t="s">
        <v>3821</v>
      </c>
      <c r="K428" s="25">
        <f>Tabelle5[[#This Row],[value_present]]*Tabelle5[[#This Row],[binding_level]]</f>
        <v>0</v>
      </c>
    </row>
    <row r="429" spans="1:11" x14ac:dyDescent="0.25">
      <c r="A429" s="24">
        <v>12</v>
      </c>
      <c r="B429" s="2">
        <v>62</v>
      </c>
      <c r="C429" s="2" t="s">
        <v>147</v>
      </c>
      <c r="D429" s="3">
        <v>1</v>
      </c>
      <c r="E429" s="1">
        <v>1</v>
      </c>
      <c r="F429" t="s">
        <v>3846</v>
      </c>
      <c r="G429" t="s">
        <v>3847</v>
      </c>
      <c r="H429" t="s">
        <v>3809</v>
      </c>
      <c r="I429" s="1" t="s">
        <v>1457</v>
      </c>
      <c r="J429" t="s">
        <v>3822</v>
      </c>
      <c r="K429" s="25">
        <f>Tabelle5[[#This Row],[value_present]]*Tabelle5[[#This Row],[binding_level]]</f>
        <v>1</v>
      </c>
    </row>
    <row r="430" spans="1:11" x14ac:dyDescent="0.25">
      <c r="A430" s="24">
        <v>12</v>
      </c>
      <c r="B430" s="2">
        <v>62</v>
      </c>
      <c r="C430" s="2" t="s">
        <v>154</v>
      </c>
      <c r="D430" s="3">
        <v>1</v>
      </c>
      <c r="E430" s="1">
        <v>1</v>
      </c>
      <c r="F430" t="s">
        <v>3848</v>
      </c>
      <c r="G430" t="s">
        <v>3849</v>
      </c>
      <c r="H430" t="s">
        <v>3807</v>
      </c>
      <c r="I430" s="1" t="s">
        <v>1457</v>
      </c>
      <c r="J430" t="s">
        <v>3823</v>
      </c>
      <c r="K430" s="25">
        <f>Tabelle5[[#This Row],[value_present]]*Tabelle5[[#This Row],[binding_level]]</f>
        <v>1</v>
      </c>
    </row>
    <row r="431" spans="1:11" x14ac:dyDescent="0.25">
      <c r="A431" s="24">
        <v>12</v>
      </c>
      <c r="B431" s="2">
        <v>62</v>
      </c>
      <c r="C431" s="2" t="s">
        <v>161</v>
      </c>
      <c r="D431" s="3">
        <v>0</v>
      </c>
      <c r="E431" s="1"/>
      <c r="I431" s="1" t="s">
        <v>1457</v>
      </c>
      <c r="J431" t="s">
        <v>3824</v>
      </c>
      <c r="K431" s="25">
        <f>Tabelle5[[#This Row],[value_present]]*Tabelle5[[#This Row],[binding_level]]</f>
        <v>0</v>
      </c>
    </row>
    <row r="432" spans="1:11" x14ac:dyDescent="0.25">
      <c r="A432" s="24">
        <v>12</v>
      </c>
      <c r="B432" s="2">
        <v>62</v>
      </c>
      <c r="C432" s="2" t="s">
        <v>166</v>
      </c>
      <c r="D432" s="3">
        <v>0</v>
      </c>
      <c r="E432" s="1"/>
      <c r="I432" s="1" t="s">
        <v>1456</v>
      </c>
      <c r="J432" t="s">
        <v>3825</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3826</v>
      </c>
      <c r="K433" s="31">
        <f>Tabelle5[[#This Row],[value_present]]*Tabelle5[[#This Row],[binding_level]]</f>
        <v>0</v>
      </c>
    </row>
    <row r="434" spans="1:11" x14ac:dyDescent="0.25">
      <c r="A434" s="18">
        <v>12</v>
      </c>
      <c r="B434" s="19">
        <v>64</v>
      </c>
      <c r="C434" s="19" t="s">
        <v>53</v>
      </c>
      <c r="D434" s="20">
        <v>1</v>
      </c>
      <c r="E434" s="21">
        <v>3</v>
      </c>
      <c r="F434" s="22" t="s">
        <v>3901</v>
      </c>
      <c r="G434" s="22" t="s">
        <v>3902</v>
      </c>
      <c r="H434" s="22" t="s">
        <v>3881</v>
      </c>
      <c r="I434" s="21" t="s">
        <v>1457</v>
      </c>
      <c r="J434" s="22" t="s">
        <v>3882</v>
      </c>
      <c r="K434" s="23">
        <f>Tabelle5[[#This Row],[value_present]]*Tabelle5[[#This Row],[binding_level]]</f>
        <v>3</v>
      </c>
    </row>
    <row r="435" spans="1:11" x14ac:dyDescent="0.25">
      <c r="A435" s="24">
        <v>12</v>
      </c>
      <c r="B435" s="2">
        <v>64</v>
      </c>
      <c r="C435" s="2" t="s">
        <v>61</v>
      </c>
      <c r="D435" s="3">
        <v>0</v>
      </c>
      <c r="E435" s="1"/>
      <c r="I435" s="1" t="s">
        <v>1457</v>
      </c>
      <c r="J435" t="s">
        <v>3883</v>
      </c>
      <c r="K435" s="25">
        <f>Tabelle5[[#This Row],[value_present]]*Tabelle5[[#This Row],[binding_level]]</f>
        <v>0</v>
      </c>
    </row>
    <row r="436" spans="1:11" x14ac:dyDescent="0.25">
      <c r="A436" s="24">
        <v>12</v>
      </c>
      <c r="B436" s="2">
        <v>64</v>
      </c>
      <c r="C436" s="2" t="s">
        <v>69</v>
      </c>
      <c r="D436" s="3">
        <v>0</v>
      </c>
      <c r="E436" s="1"/>
      <c r="I436" s="1" t="s">
        <v>1456</v>
      </c>
      <c r="J436" t="s">
        <v>3884</v>
      </c>
      <c r="K436" s="25">
        <f>Tabelle5[[#This Row],[value_present]]*Tabelle5[[#This Row],[binding_level]]</f>
        <v>0</v>
      </c>
    </row>
    <row r="437" spans="1:11" x14ac:dyDescent="0.25">
      <c r="A437" s="24">
        <v>12</v>
      </c>
      <c r="B437" s="2">
        <v>64</v>
      </c>
      <c r="C437" s="2" t="s">
        <v>76</v>
      </c>
      <c r="D437" s="3">
        <v>0</v>
      </c>
      <c r="E437" s="1"/>
      <c r="I437" s="1" t="s">
        <v>1456</v>
      </c>
      <c r="J437" t="s">
        <v>3885</v>
      </c>
      <c r="K437" s="25">
        <f>Tabelle5[[#This Row],[value_present]]*Tabelle5[[#This Row],[binding_level]]</f>
        <v>0</v>
      </c>
    </row>
    <row r="438" spans="1:11" x14ac:dyDescent="0.25">
      <c r="A438" s="24">
        <v>12</v>
      </c>
      <c r="B438" s="2">
        <v>64</v>
      </c>
      <c r="C438" s="2" t="s">
        <v>83</v>
      </c>
      <c r="D438" s="3">
        <v>0</v>
      </c>
      <c r="E438" s="1"/>
      <c r="I438" s="1" t="s">
        <v>1456</v>
      </c>
      <c r="J438" t="s">
        <v>3886</v>
      </c>
      <c r="K438" s="25">
        <f>Tabelle5[[#This Row],[value_present]]*Tabelle5[[#This Row],[binding_level]]</f>
        <v>0</v>
      </c>
    </row>
    <row r="439" spans="1:11" x14ac:dyDescent="0.25">
      <c r="A439" s="24">
        <v>12</v>
      </c>
      <c r="B439" s="2">
        <v>64</v>
      </c>
      <c r="C439" s="2" t="s">
        <v>90</v>
      </c>
      <c r="D439" s="3">
        <v>0</v>
      </c>
      <c r="E439" s="1"/>
      <c r="I439" s="1" t="s">
        <v>1457</v>
      </c>
      <c r="J439" t="s">
        <v>3887</v>
      </c>
      <c r="K439" s="25">
        <f>Tabelle5[[#This Row],[value_present]]*Tabelle5[[#This Row],[binding_level]]</f>
        <v>0</v>
      </c>
    </row>
    <row r="440" spans="1:11" x14ac:dyDescent="0.25">
      <c r="A440" s="24">
        <v>12</v>
      </c>
      <c r="B440" s="2">
        <v>64</v>
      </c>
      <c r="C440" s="2" t="s">
        <v>98</v>
      </c>
      <c r="D440" s="3">
        <v>1</v>
      </c>
      <c r="E440" s="1">
        <v>1</v>
      </c>
      <c r="F440" t="s">
        <v>3903</v>
      </c>
      <c r="G440" t="s">
        <v>3904</v>
      </c>
      <c r="H440" t="s">
        <v>3888</v>
      </c>
      <c r="I440" s="1" t="s">
        <v>1456</v>
      </c>
      <c r="J440" t="s">
        <v>3889</v>
      </c>
      <c r="K440" s="25">
        <f>Tabelle5[[#This Row],[value_present]]*Tabelle5[[#This Row],[binding_level]]</f>
        <v>1</v>
      </c>
    </row>
    <row r="441" spans="1:11" x14ac:dyDescent="0.25">
      <c r="A441" s="24">
        <v>12</v>
      </c>
      <c r="B441" s="2">
        <v>64</v>
      </c>
      <c r="C441" s="2" t="s">
        <v>106</v>
      </c>
      <c r="D441" s="3">
        <v>0</v>
      </c>
      <c r="E441" s="1"/>
      <c r="I441" s="1" t="s">
        <v>1457</v>
      </c>
      <c r="J441" t="s">
        <v>3890</v>
      </c>
      <c r="K441" s="25">
        <f>Tabelle5[[#This Row],[value_present]]*Tabelle5[[#This Row],[binding_level]]</f>
        <v>0</v>
      </c>
    </row>
    <row r="442" spans="1:11" x14ac:dyDescent="0.25">
      <c r="A442" s="24">
        <v>12</v>
      </c>
      <c r="B442" s="2">
        <v>64</v>
      </c>
      <c r="C442" s="2" t="s">
        <v>112</v>
      </c>
      <c r="D442" s="3">
        <v>0</v>
      </c>
      <c r="E442" s="1"/>
      <c r="I442" s="1" t="s">
        <v>1457</v>
      </c>
      <c r="J442" t="s">
        <v>3891</v>
      </c>
      <c r="K442" s="25">
        <f>Tabelle5[[#This Row],[value_present]]*Tabelle5[[#This Row],[binding_level]]</f>
        <v>0</v>
      </c>
    </row>
    <row r="443" spans="1:11" x14ac:dyDescent="0.25">
      <c r="A443" s="24">
        <v>12</v>
      </c>
      <c r="B443" s="2">
        <v>64</v>
      </c>
      <c r="C443" s="2" t="s">
        <v>118</v>
      </c>
      <c r="D443" s="3">
        <v>0</v>
      </c>
      <c r="E443" s="1"/>
      <c r="I443" s="1" t="s">
        <v>1456</v>
      </c>
      <c r="J443" t="s">
        <v>3892</v>
      </c>
      <c r="K443" s="25">
        <f>Tabelle5[[#This Row],[value_present]]*Tabelle5[[#This Row],[binding_level]]</f>
        <v>0</v>
      </c>
    </row>
    <row r="444" spans="1:11" x14ac:dyDescent="0.25">
      <c r="A444" s="24">
        <v>12</v>
      </c>
      <c r="B444" s="2">
        <v>64</v>
      </c>
      <c r="C444" s="2" t="s">
        <v>125</v>
      </c>
      <c r="D444" s="3">
        <v>0</v>
      </c>
      <c r="E444" s="1"/>
      <c r="I444" s="1" t="s">
        <v>1456</v>
      </c>
      <c r="J444" t="s">
        <v>3893</v>
      </c>
      <c r="K444" s="25">
        <f>Tabelle5[[#This Row],[value_present]]*Tabelle5[[#This Row],[binding_level]]</f>
        <v>0</v>
      </c>
    </row>
    <row r="445" spans="1:11" x14ac:dyDescent="0.25">
      <c r="A445" s="24">
        <v>12</v>
      </c>
      <c r="B445" s="2">
        <v>64</v>
      </c>
      <c r="C445" s="2" t="s">
        <v>132</v>
      </c>
      <c r="D445" s="3">
        <v>0</v>
      </c>
      <c r="E445" s="1"/>
      <c r="I445" s="1" t="s">
        <v>1456</v>
      </c>
      <c r="J445" t="s">
        <v>3894</v>
      </c>
      <c r="K445" s="25">
        <f>Tabelle5[[#This Row],[value_present]]*Tabelle5[[#This Row],[binding_level]]</f>
        <v>0</v>
      </c>
    </row>
    <row r="446" spans="1:11" x14ac:dyDescent="0.25">
      <c r="A446" s="24">
        <v>12</v>
      </c>
      <c r="B446" s="2">
        <v>64</v>
      </c>
      <c r="C446" s="2" t="s">
        <v>140</v>
      </c>
      <c r="D446" s="3">
        <v>0</v>
      </c>
      <c r="E446" s="1"/>
      <c r="I446" s="1" t="s">
        <v>1457</v>
      </c>
      <c r="J446" t="s">
        <v>3895</v>
      </c>
      <c r="K446" s="25">
        <f>Tabelle5[[#This Row],[value_present]]*Tabelle5[[#This Row],[binding_level]]</f>
        <v>0</v>
      </c>
    </row>
    <row r="447" spans="1:11" x14ac:dyDescent="0.25">
      <c r="A447" s="24">
        <v>12</v>
      </c>
      <c r="B447" s="2">
        <v>64</v>
      </c>
      <c r="C447" s="2" t="s">
        <v>147</v>
      </c>
      <c r="D447" s="3">
        <v>0</v>
      </c>
      <c r="E447" s="1"/>
      <c r="I447" s="1" t="s">
        <v>1457</v>
      </c>
      <c r="J447" t="s">
        <v>3896</v>
      </c>
      <c r="K447" s="25">
        <f>Tabelle5[[#This Row],[value_present]]*Tabelle5[[#This Row],[binding_level]]</f>
        <v>0</v>
      </c>
    </row>
    <row r="448" spans="1:11" x14ac:dyDescent="0.25">
      <c r="A448" s="24">
        <v>12</v>
      </c>
      <c r="B448" s="2">
        <v>64</v>
      </c>
      <c r="C448" s="2" t="s">
        <v>154</v>
      </c>
      <c r="D448" s="3">
        <v>0</v>
      </c>
      <c r="E448" s="1"/>
      <c r="I448" s="1" t="s">
        <v>1456</v>
      </c>
      <c r="J448" t="s">
        <v>3897</v>
      </c>
      <c r="K448" s="25">
        <f>Tabelle5[[#This Row],[value_present]]*Tabelle5[[#This Row],[binding_level]]</f>
        <v>0</v>
      </c>
    </row>
    <row r="449" spans="1:11" x14ac:dyDescent="0.25">
      <c r="A449" s="24">
        <v>12</v>
      </c>
      <c r="B449" s="2">
        <v>64</v>
      </c>
      <c r="C449" s="2" t="s">
        <v>161</v>
      </c>
      <c r="D449" s="3">
        <v>0</v>
      </c>
      <c r="E449" s="1"/>
      <c r="I449" s="1" t="s">
        <v>1457</v>
      </c>
      <c r="J449" t="s">
        <v>3898</v>
      </c>
      <c r="K449" s="25">
        <f>Tabelle5[[#This Row],[value_present]]*Tabelle5[[#This Row],[binding_level]]</f>
        <v>0</v>
      </c>
    </row>
    <row r="450" spans="1:11" x14ac:dyDescent="0.25">
      <c r="A450" s="24">
        <v>12</v>
      </c>
      <c r="B450" s="2">
        <v>64</v>
      </c>
      <c r="C450" s="2" t="s">
        <v>166</v>
      </c>
      <c r="D450" s="3">
        <v>0</v>
      </c>
      <c r="E450" s="1"/>
      <c r="I450" s="1" t="s">
        <v>1457</v>
      </c>
      <c r="J450" t="s">
        <v>3899</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3900</v>
      </c>
      <c r="K451" s="31">
        <f>Tabelle5[[#This Row],[value_present]]*Tabelle5[[#This Row],[binding_level]]</f>
        <v>0</v>
      </c>
    </row>
    <row r="452" spans="1:11" x14ac:dyDescent="0.25">
      <c r="A452" s="18">
        <v>12</v>
      </c>
      <c r="B452" s="19">
        <v>69</v>
      </c>
      <c r="C452" s="19" t="s">
        <v>53</v>
      </c>
      <c r="D452" s="20">
        <v>1</v>
      </c>
      <c r="E452" s="21">
        <v>1</v>
      </c>
      <c r="F452" t="s">
        <v>3962</v>
      </c>
      <c r="G452" t="s">
        <v>3963</v>
      </c>
      <c r="H452" s="22" t="s">
        <v>3934</v>
      </c>
      <c r="I452" s="21" t="s">
        <v>3935</v>
      </c>
      <c r="J452" s="22"/>
      <c r="K452" s="23">
        <f>Tabelle5[[#This Row],[value_present]]*Tabelle5[[#This Row],[binding_level]]</f>
        <v>1</v>
      </c>
    </row>
    <row r="453" spans="1:11" x14ac:dyDescent="0.25">
      <c r="A453" s="24">
        <v>12</v>
      </c>
      <c r="B453" s="2">
        <v>69</v>
      </c>
      <c r="C453" s="2" t="s">
        <v>61</v>
      </c>
      <c r="D453" s="3">
        <v>1</v>
      </c>
      <c r="E453" s="1">
        <v>1</v>
      </c>
      <c r="F453" t="s">
        <v>3979</v>
      </c>
      <c r="G453" t="s">
        <v>3978</v>
      </c>
      <c r="H453" t="s">
        <v>3936</v>
      </c>
      <c r="I453" s="1" t="s">
        <v>1457</v>
      </c>
      <c r="J453" t="s">
        <v>3937</v>
      </c>
      <c r="K453" s="25">
        <f>Tabelle5[[#This Row],[value_present]]*Tabelle5[[#This Row],[binding_level]]</f>
        <v>1</v>
      </c>
    </row>
    <row r="454" spans="1:11" x14ac:dyDescent="0.25">
      <c r="A454" s="24">
        <v>12</v>
      </c>
      <c r="B454" s="2">
        <v>69</v>
      </c>
      <c r="C454" s="2" t="s">
        <v>69</v>
      </c>
      <c r="D454" s="3">
        <v>1</v>
      </c>
      <c r="E454" s="1">
        <v>1</v>
      </c>
      <c r="F454" t="s">
        <v>3981</v>
      </c>
      <c r="G454" t="s">
        <v>3980</v>
      </c>
      <c r="H454" t="s">
        <v>3938</v>
      </c>
      <c r="I454" s="1" t="s">
        <v>1456</v>
      </c>
      <c r="J454" t="s">
        <v>3939</v>
      </c>
      <c r="K454" s="25">
        <f>Tabelle5[[#This Row],[value_present]]*Tabelle5[[#This Row],[binding_level]]</f>
        <v>1</v>
      </c>
    </row>
    <row r="455" spans="1:11" x14ac:dyDescent="0.25">
      <c r="A455" s="24">
        <v>12</v>
      </c>
      <c r="B455" s="2">
        <v>69</v>
      </c>
      <c r="C455" s="2" t="s">
        <v>76</v>
      </c>
      <c r="D455" s="3">
        <v>1</v>
      </c>
      <c r="E455" s="1">
        <v>1</v>
      </c>
      <c r="F455" t="s">
        <v>3964</v>
      </c>
      <c r="G455" t="s">
        <v>3965</v>
      </c>
      <c r="H455" t="s">
        <v>3940</v>
      </c>
      <c r="I455" s="1" t="s">
        <v>1456</v>
      </c>
      <c r="J455" t="s">
        <v>3941</v>
      </c>
      <c r="K455" s="25">
        <f>Tabelle5[[#This Row],[value_present]]*Tabelle5[[#This Row],[binding_level]]</f>
        <v>1</v>
      </c>
    </row>
    <row r="456" spans="1:11" x14ac:dyDescent="0.25">
      <c r="A456" s="24">
        <v>12</v>
      </c>
      <c r="B456" s="2">
        <v>69</v>
      </c>
      <c r="C456" s="2" t="s">
        <v>83</v>
      </c>
      <c r="D456" s="3">
        <v>1</v>
      </c>
      <c r="E456" s="1">
        <v>1</v>
      </c>
      <c r="F456" t="s">
        <v>3966</v>
      </c>
      <c r="G456" t="s">
        <v>3967</v>
      </c>
      <c r="H456" t="s">
        <v>3942</v>
      </c>
      <c r="I456" s="1" t="s">
        <v>1456</v>
      </c>
      <c r="J456" t="s">
        <v>3943</v>
      </c>
      <c r="K456" s="25">
        <f>Tabelle5[[#This Row],[value_present]]*Tabelle5[[#This Row],[binding_level]]</f>
        <v>1</v>
      </c>
    </row>
    <row r="457" spans="1:11" x14ac:dyDescent="0.25">
      <c r="A457" s="24">
        <v>12</v>
      </c>
      <c r="B457" s="2">
        <v>69</v>
      </c>
      <c r="C457" s="2" t="s">
        <v>90</v>
      </c>
      <c r="D457" s="3">
        <v>1</v>
      </c>
      <c r="E457" s="1">
        <v>1</v>
      </c>
      <c r="F457" t="s">
        <v>3983</v>
      </c>
      <c r="G457" t="s">
        <v>3982</v>
      </c>
      <c r="H457" t="s">
        <v>3944</v>
      </c>
      <c r="I457" s="1" t="s">
        <v>1457</v>
      </c>
      <c r="J457" t="s">
        <v>3945</v>
      </c>
      <c r="K457" s="25">
        <f>Tabelle5[[#This Row],[value_present]]*Tabelle5[[#This Row],[binding_level]]</f>
        <v>1</v>
      </c>
    </row>
    <row r="458" spans="1:11" x14ac:dyDescent="0.25">
      <c r="A458" s="24">
        <v>12</v>
      </c>
      <c r="B458" s="2">
        <v>69</v>
      </c>
      <c r="C458" s="2" t="s">
        <v>98</v>
      </c>
      <c r="D458" s="3">
        <v>1</v>
      </c>
      <c r="E458" s="1">
        <v>1</v>
      </c>
      <c r="F458" t="s">
        <v>3968</v>
      </c>
      <c r="G458" t="s">
        <v>3969</v>
      </c>
      <c r="H458" t="s">
        <v>3940</v>
      </c>
      <c r="I458" s="1" t="s">
        <v>1457</v>
      </c>
      <c r="J458" t="s">
        <v>3946</v>
      </c>
      <c r="K458" s="25">
        <f>Tabelle5[[#This Row],[value_present]]*Tabelle5[[#This Row],[binding_level]]</f>
        <v>1</v>
      </c>
    </row>
    <row r="459" spans="1:11" x14ac:dyDescent="0.25">
      <c r="A459" s="24">
        <v>12</v>
      </c>
      <c r="B459" s="2">
        <v>69</v>
      </c>
      <c r="C459" s="2" t="s">
        <v>106</v>
      </c>
      <c r="D459" s="3">
        <v>0</v>
      </c>
      <c r="E459" s="1"/>
      <c r="I459" s="1" t="s">
        <v>1457</v>
      </c>
      <c r="J459" t="s">
        <v>3947</v>
      </c>
      <c r="K459" s="25">
        <f>Tabelle5[[#This Row],[value_present]]*Tabelle5[[#This Row],[binding_level]]</f>
        <v>0</v>
      </c>
    </row>
    <row r="460" spans="1:11" x14ac:dyDescent="0.25">
      <c r="A460" s="24">
        <v>12</v>
      </c>
      <c r="B460" s="2">
        <v>69</v>
      </c>
      <c r="C460" s="2" t="s">
        <v>112</v>
      </c>
      <c r="D460" s="3">
        <v>1</v>
      </c>
      <c r="E460" s="1">
        <v>1</v>
      </c>
      <c r="F460" t="s">
        <v>3970</v>
      </c>
      <c r="G460" t="s">
        <v>3971</v>
      </c>
      <c r="H460" t="s">
        <v>3948</v>
      </c>
      <c r="I460" s="1" t="s">
        <v>1456</v>
      </c>
      <c r="J460" t="s">
        <v>3949</v>
      </c>
      <c r="K460" s="25">
        <f>Tabelle5[[#This Row],[value_present]]*Tabelle5[[#This Row],[binding_level]]</f>
        <v>1</v>
      </c>
    </row>
    <row r="461" spans="1:11" x14ac:dyDescent="0.25">
      <c r="A461" s="24">
        <v>12</v>
      </c>
      <c r="B461" s="2">
        <v>69</v>
      </c>
      <c r="C461" s="2" t="s">
        <v>118</v>
      </c>
      <c r="D461" s="3">
        <v>0</v>
      </c>
      <c r="E461" s="1"/>
      <c r="I461" s="1" t="s">
        <v>1456</v>
      </c>
      <c r="J461" t="s">
        <v>3950</v>
      </c>
      <c r="K461" s="25">
        <f>Tabelle5[[#This Row],[value_present]]*Tabelle5[[#This Row],[binding_level]]</f>
        <v>0</v>
      </c>
    </row>
    <row r="462" spans="1:11" x14ac:dyDescent="0.25">
      <c r="A462" s="24">
        <v>12</v>
      </c>
      <c r="B462" s="2">
        <v>69</v>
      </c>
      <c r="C462" s="2" t="s">
        <v>125</v>
      </c>
      <c r="D462" s="3">
        <v>0</v>
      </c>
      <c r="E462" s="1"/>
      <c r="I462" s="1" t="s">
        <v>1456</v>
      </c>
      <c r="J462" t="s">
        <v>3893</v>
      </c>
      <c r="K462" s="25">
        <f>Tabelle5[[#This Row],[value_present]]*Tabelle5[[#This Row],[binding_level]]</f>
        <v>0</v>
      </c>
    </row>
    <row r="463" spans="1:11" x14ac:dyDescent="0.25">
      <c r="A463" s="24">
        <v>12</v>
      </c>
      <c r="B463" s="2">
        <v>69</v>
      </c>
      <c r="C463" s="2" t="s">
        <v>132</v>
      </c>
      <c r="D463" s="3">
        <v>0</v>
      </c>
      <c r="E463" s="1"/>
      <c r="I463" s="1" t="s">
        <v>1456</v>
      </c>
      <c r="J463" t="s">
        <v>3951</v>
      </c>
      <c r="K463" s="25">
        <f>Tabelle5[[#This Row],[value_present]]*Tabelle5[[#This Row],[binding_level]]</f>
        <v>0</v>
      </c>
    </row>
    <row r="464" spans="1:11" x14ac:dyDescent="0.25">
      <c r="A464" s="24">
        <v>12</v>
      </c>
      <c r="B464" s="2">
        <v>69</v>
      </c>
      <c r="C464" s="2" t="s">
        <v>140</v>
      </c>
      <c r="D464" s="3">
        <v>0</v>
      </c>
      <c r="E464" s="1"/>
      <c r="I464" s="1" t="s">
        <v>1457</v>
      </c>
      <c r="J464" t="s">
        <v>3952</v>
      </c>
      <c r="K464" s="25">
        <f>Tabelle5[[#This Row],[value_present]]*Tabelle5[[#This Row],[binding_level]]</f>
        <v>0</v>
      </c>
    </row>
    <row r="465" spans="1:11" x14ac:dyDescent="0.25">
      <c r="A465" s="24">
        <v>12</v>
      </c>
      <c r="B465" s="2">
        <v>69</v>
      </c>
      <c r="C465" s="2" t="s">
        <v>147</v>
      </c>
      <c r="D465" s="3">
        <v>1</v>
      </c>
      <c r="E465" s="1">
        <v>1</v>
      </c>
      <c r="F465" t="s">
        <v>3972</v>
      </c>
      <c r="G465" t="s">
        <v>3973</v>
      </c>
      <c r="H465" t="s">
        <v>3953</v>
      </c>
      <c r="I465" s="1" t="s">
        <v>1457</v>
      </c>
      <c r="J465" t="s">
        <v>3954</v>
      </c>
      <c r="K465" s="25">
        <f>Tabelle5[[#This Row],[value_present]]*Tabelle5[[#This Row],[binding_level]]</f>
        <v>1</v>
      </c>
    </row>
    <row r="466" spans="1:11" x14ac:dyDescent="0.25">
      <c r="A466" s="24">
        <v>12</v>
      </c>
      <c r="B466" s="2">
        <v>69</v>
      </c>
      <c r="C466" s="2" t="s">
        <v>154</v>
      </c>
      <c r="D466" s="3">
        <v>1</v>
      </c>
      <c r="E466" s="1">
        <v>1</v>
      </c>
      <c r="F466" t="s">
        <v>3985</v>
      </c>
      <c r="G466" t="s">
        <v>3984</v>
      </c>
      <c r="H466" t="s">
        <v>3955</v>
      </c>
      <c r="I466" s="1" t="s">
        <v>1456</v>
      </c>
      <c r="J466" t="s">
        <v>3956</v>
      </c>
      <c r="K466" s="25">
        <f>Tabelle5[[#This Row],[value_present]]*Tabelle5[[#This Row],[binding_level]]</f>
        <v>1</v>
      </c>
    </row>
    <row r="467" spans="1:11" x14ac:dyDescent="0.25">
      <c r="A467" s="24">
        <v>12</v>
      </c>
      <c r="B467" s="2">
        <v>69</v>
      </c>
      <c r="C467" s="2" t="s">
        <v>161</v>
      </c>
      <c r="D467" s="3">
        <v>1</v>
      </c>
      <c r="E467" s="1">
        <v>1</v>
      </c>
      <c r="F467" t="s">
        <v>3974</v>
      </c>
      <c r="G467" t="s">
        <v>3975</v>
      </c>
      <c r="H467" t="s">
        <v>3957</v>
      </c>
      <c r="I467" s="1" t="s">
        <v>1456</v>
      </c>
      <c r="J467" t="s">
        <v>3958</v>
      </c>
      <c r="K467" s="25">
        <f>Tabelle5[[#This Row],[value_present]]*Tabelle5[[#This Row],[binding_level]]</f>
        <v>1</v>
      </c>
    </row>
    <row r="468" spans="1:11" x14ac:dyDescent="0.25">
      <c r="A468" s="24">
        <v>12</v>
      </c>
      <c r="B468" s="2">
        <v>69</v>
      </c>
      <c r="C468" s="2" t="s">
        <v>166</v>
      </c>
      <c r="D468" s="3">
        <v>1</v>
      </c>
      <c r="E468" s="1">
        <v>1</v>
      </c>
      <c r="F468" t="s">
        <v>3976</v>
      </c>
      <c r="G468" t="s">
        <v>3977</v>
      </c>
      <c r="H468" t="s">
        <v>3959</v>
      </c>
      <c r="I468" s="1" t="s">
        <v>1457</v>
      </c>
      <c r="J468" t="s">
        <v>3960</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3961</v>
      </c>
      <c r="K469" s="31">
        <f>Tabelle5[[#This Row],[value_present]]*Tabelle5[[#This Row],[binding_level]]</f>
        <v>0</v>
      </c>
    </row>
    <row r="470" spans="1:11" x14ac:dyDescent="0.25">
      <c r="A470" s="18">
        <v>12</v>
      </c>
      <c r="B470" s="19">
        <v>70</v>
      </c>
      <c r="C470" s="19" t="s">
        <v>53</v>
      </c>
      <c r="D470" s="20">
        <v>1</v>
      </c>
      <c r="E470" s="21">
        <v>1</v>
      </c>
      <c r="F470" s="22" t="s">
        <v>4060</v>
      </c>
      <c r="G470" s="22" t="s">
        <v>4059</v>
      </c>
      <c r="H470" s="22" t="s">
        <v>4021</v>
      </c>
      <c r="I470" s="21" t="s">
        <v>1456</v>
      </c>
      <c r="J470" s="22" t="s">
        <v>4022</v>
      </c>
      <c r="K470" s="23">
        <f>Tabelle5[[#This Row],[value_present]]*Tabelle5[[#This Row],[binding_level]]</f>
        <v>1</v>
      </c>
    </row>
    <row r="471" spans="1:11" x14ac:dyDescent="0.25">
      <c r="A471" s="24">
        <v>12</v>
      </c>
      <c r="B471" s="2">
        <v>70</v>
      </c>
      <c r="C471" s="2" t="s">
        <v>61</v>
      </c>
      <c r="D471" s="3">
        <v>1</v>
      </c>
      <c r="E471" s="1">
        <v>1</v>
      </c>
      <c r="F471" t="s">
        <v>4047</v>
      </c>
      <c r="G471" t="s">
        <v>4048</v>
      </c>
      <c r="H471" t="s">
        <v>4023</v>
      </c>
      <c r="I471" s="1" t="s">
        <v>1457</v>
      </c>
      <c r="J471" t="s">
        <v>4024</v>
      </c>
      <c r="K471" s="25">
        <f>Tabelle5[[#This Row],[value_present]]*Tabelle5[[#This Row],[binding_level]]</f>
        <v>1</v>
      </c>
    </row>
    <row r="472" spans="1:11" x14ac:dyDescent="0.25">
      <c r="A472" s="24">
        <v>12</v>
      </c>
      <c r="B472" s="2">
        <v>70</v>
      </c>
      <c r="C472" s="2" t="s">
        <v>69</v>
      </c>
      <c r="D472" s="3">
        <v>1</v>
      </c>
      <c r="E472" s="1">
        <v>1</v>
      </c>
      <c r="F472" t="s">
        <v>4062</v>
      </c>
      <c r="G472" t="s">
        <v>4061</v>
      </c>
      <c r="H472" t="s">
        <v>4023</v>
      </c>
      <c r="I472" s="1" t="s">
        <v>1456</v>
      </c>
      <c r="J472" t="s">
        <v>4025</v>
      </c>
      <c r="K472" s="25">
        <f>Tabelle5[[#This Row],[value_present]]*Tabelle5[[#This Row],[binding_level]]</f>
        <v>1</v>
      </c>
    </row>
    <row r="473" spans="1:11" x14ac:dyDescent="0.25">
      <c r="A473" s="24">
        <v>12</v>
      </c>
      <c r="B473" s="2">
        <v>70</v>
      </c>
      <c r="C473" s="2" t="s">
        <v>76</v>
      </c>
      <c r="D473" s="3">
        <v>1</v>
      </c>
      <c r="E473" s="1">
        <v>1</v>
      </c>
      <c r="F473" t="s">
        <v>4064</v>
      </c>
      <c r="G473" t="s">
        <v>4063</v>
      </c>
      <c r="H473" t="s">
        <v>4023</v>
      </c>
      <c r="I473" s="1" t="s">
        <v>1456</v>
      </c>
      <c r="J473" t="s">
        <v>4026</v>
      </c>
      <c r="K473" s="25">
        <f>Tabelle5[[#This Row],[value_present]]*Tabelle5[[#This Row],[binding_level]]</f>
        <v>1</v>
      </c>
    </row>
    <row r="474" spans="1:11" x14ac:dyDescent="0.25">
      <c r="A474" s="24">
        <v>12</v>
      </c>
      <c r="B474" s="2">
        <v>70</v>
      </c>
      <c r="C474" s="2" t="s">
        <v>83</v>
      </c>
      <c r="D474" s="3">
        <v>1</v>
      </c>
      <c r="E474" s="1">
        <v>1</v>
      </c>
      <c r="F474" t="s">
        <v>4049</v>
      </c>
      <c r="G474" t="s">
        <v>4050</v>
      </c>
      <c r="H474" t="s">
        <v>4023</v>
      </c>
      <c r="I474" s="1" t="s">
        <v>1456</v>
      </c>
      <c r="J474" t="s">
        <v>4027</v>
      </c>
      <c r="K474" s="25">
        <f>Tabelle5[[#This Row],[value_present]]*Tabelle5[[#This Row],[binding_level]]</f>
        <v>1</v>
      </c>
    </row>
    <row r="475" spans="1:11" x14ac:dyDescent="0.25">
      <c r="A475" s="24">
        <v>12</v>
      </c>
      <c r="B475" s="2">
        <v>70</v>
      </c>
      <c r="C475" s="2" t="s">
        <v>90</v>
      </c>
      <c r="D475" s="3">
        <v>1</v>
      </c>
      <c r="E475" s="1">
        <v>1</v>
      </c>
      <c r="F475" t="s">
        <v>4051</v>
      </c>
      <c r="G475" t="s">
        <v>4052</v>
      </c>
      <c r="H475" t="s">
        <v>4028</v>
      </c>
      <c r="I475" s="1" t="s">
        <v>1456</v>
      </c>
      <c r="J475" t="s">
        <v>4029</v>
      </c>
      <c r="K475" s="25">
        <f>Tabelle5[[#This Row],[value_present]]*Tabelle5[[#This Row],[binding_level]]</f>
        <v>1</v>
      </c>
    </row>
    <row r="476" spans="1:11" x14ac:dyDescent="0.25">
      <c r="A476" s="24">
        <v>12</v>
      </c>
      <c r="B476" s="2">
        <v>70</v>
      </c>
      <c r="C476" s="2" t="s">
        <v>98</v>
      </c>
      <c r="D476" s="3">
        <v>1</v>
      </c>
      <c r="E476" s="1">
        <v>1</v>
      </c>
      <c r="F476" t="s">
        <v>4053</v>
      </c>
      <c r="G476" t="s">
        <v>4054</v>
      </c>
      <c r="H476" t="s">
        <v>4030</v>
      </c>
      <c r="I476" s="1" t="s">
        <v>1456</v>
      </c>
      <c r="J476" t="s">
        <v>4031</v>
      </c>
      <c r="K476" s="25">
        <f>Tabelle5[[#This Row],[value_present]]*Tabelle5[[#This Row],[binding_level]]</f>
        <v>1</v>
      </c>
    </row>
    <row r="477" spans="1:11" x14ac:dyDescent="0.25">
      <c r="A477" s="24">
        <v>12</v>
      </c>
      <c r="B477" s="2">
        <v>70</v>
      </c>
      <c r="C477" s="2" t="s">
        <v>106</v>
      </c>
      <c r="D477" s="3">
        <v>1</v>
      </c>
      <c r="E477" s="1">
        <v>1</v>
      </c>
      <c r="F477" t="s">
        <v>4066</v>
      </c>
      <c r="G477" t="s">
        <v>4065</v>
      </c>
      <c r="H477" t="s">
        <v>4032</v>
      </c>
      <c r="I477" s="1" t="s">
        <v>1456</v>
      </c>
      <c r="J477" t="s">
        <v>4033</v>
      </c>
      <c r="K477" s="25">
        <f>Tabelle5[[#This Row],[value_present]]*Tabelle5[[#This Row],[binding_level]]</f>
        <v>1</v>
      </c>
    </row>
    <row r="478" spans="1:11" x14ac:dyDescent="0.25">
      <c r="A478" s="24">
        <v>12</v>
      </c>
      <c r="B478" s="2">
        <v>70</v>
      </c>
      <c r="C478" s="2" t="s">
        <v>112</v>
      </c>
      <c r="D478" s="3">
        <v>1</v>
      </c>
      <c r="E478" s="1">
        <v>1</v>
      </c>
      <c r="F478" t="s">
        <v>4068</v>
      </c>
      <c r="G478" t="s">
        <v>4067</v>
      </c>
      <c r="H478" t="s">
        <v>4034</v>
      </c>
      <c r="I478" s="1" t="s">
        <v>1457</v>
      </c>
      <c r="J478" t="s">
        <v>4035</v>
      </c>
      <c r="K478" s="25">
        <f>Tabelle5[[#This Row],[value_present]]*Tabelle5[[#This Row],[binding_level]]</f>
        <v>1</v>
      </c>
    </row>
    <row r="479" spans="1:11" x14ac:dyDescent="0.25">
      <c r="A479" s="24">
        <v>12</v>
      </c>
      <c r="B479" s="2">
        <v>70</v>
      </c>
      <c r="C479" s="2" t="s">
        <v>118</v>
      </c>
      <c r="D479" s="3">
        <v>0</v>
      </c>
      <c r="E479" s="1"/>
      <c r="I479" s="1" t="s">
        <v>1456</v>
      </c>
      <c r="J479" t="s">
        <v>4036</v>
      </c>
      <c r="K479" s="25">
        <f>Tabelle5[[#This Row],[value_present]]*Tabelle5[[#This Row],[binding_level]]</f>
        <v>0</v>
      </c>
    </row>
    <row r="480" spans="1:11" x14ac:dyDescent="0.25">
      <c r="A480" s="24">
        <v>12</v>
      </c>
      <c r="B480" s="2">
        <v>70</v>
      </c>
      <c r="C480" s="2" t="s">
        <v>125</v>
      </c>
      <c r="D480" s="3">
        <v>0</v>
      </c>
      <c r="E480" s="1"/>
      <c r="I480" s="1" t="s">
        <v>1457</v>
      </c>
      <c r="J480" t="s">
        <v>4037</v>
      </c>
      <c r="K480" s="25">
        <f>Tabelle5[[#This Row],[value_present]]*Tabelle5[[#This Row],[binding_level]]</f>
        <v>0</v>
      </c>
    </row>
    <row r="481" spans="1:11" x14ac:dyDescent="0.25">
      <c r="A481" s="24">
        <v>12</v>
      </c>
      <c r="B481" s="2">
        <v>70</v>
      </c>
      <c r="C481" s="2" t="s">
        <v>132</v>
      </c>
      <c r="D481" s="3">
        <v>0</v>
      </c>
      <c r="E481" s="1"/>
      <c r="I481" s="1" t="s">
        <v>1457</v>
      </c>
      <c r="J481" t="s">
        <v>4038</v>
      </c>
      <c r="K481" s="25">
        <f>Tabelle5[[#This Row],[value_present]]*Tabelle5[[#This Row],[binding_level]]</f>
        <v>0</v>
      </c>
    </row>
    <row r="482" spans="1:11" x14ac:dyDescent="0.25">
      <c r="A482" s="24">
        <v>12</v>
      </c>
      <c r="B482" s="2">
        <v>70</v>
      </c>
      <c r="C482" s="2" t="s">
        <v>140</v>
      </c>
      <c r="D482" s="3">
        <v>0</v>
      </c>
      <c r="E482" s="1"/>
      <c r="I482" s="1" t="s">
        <v>1457</v>
      </c>
      <c r="J482" t="s">
        <v>4039</v>
      </c>
      <c r="K482" s="25">
        <f>Tabelle5[[#This Row],[value_present]]*Tabelle5[[#This Row],[binding_level]]</f>
        <v>0</v>
      </c>
    </row>
    <row r="483" spans="1:11" x14ac:dyDescent="0.25">
      <c r="A483" s="24">
        <v>12</v>
      </c>
      <c r="B483" s="2">
        <v>70</v>
      </c>
      <c r="C483" s="2" t="s">
        <v>147</v>
      </c>
      <c r="D483" s="3">
        <v>1</v>
      </c>
      <c r="E483" s="1">
        <v>1</v>
      </c>
      <c r="F483" t="s">
        <v>4055</v>
      </c>
      <c r="G483" t="s">
        <v>4056</v>
      </c>
      <c r="H483" t="s">
        <v>4023</v>
      </c>
      <c r="I483" s="1" t="s">
        <v>1457</v>
      </c>
      <c r="J483" t="s">
        <v>4040</v>
      </c>
      <c r="K483" s="25">
        <f>Tabelle5[[#This Row],[value_present]]*Tabelle5[[#This Row],[binding_level]]</f>
        <v>1</v>
      </c>
    </row>
    <row r="484" spans="1:11" x14ac:dyDescent="0.25">
      <c r="A484" s="24">
        <v>12</v>
      </c>
      <c r="B484" s="2">
        <v>70</v>
      </c>
      <c r="C484" s="2" t="s">
        <v>154</v>
      </c>
      <c r="D484" s="3">
        <v>1</v>
      </c>
      <c r="E484" s="1">
        <v>1</v>
      </c>
      <c r="F484" t="s">
        <v>4057</v>
      </c>
      <c r="G484" t="s">
        <v>4058</v>
      </c>
      <c r="H484" t="s">
        <v>4023</v>
      </c>
      <c r="I484" s="1" t="s">
        <v>1457</v>
      </c>
      <c r="J484" t="s">
        <v>4041</v>
      </c>
      <c r="K484" s="25">
        <f>Tabelle5[[#This Row],[value_present]]*Tabelle5[[#This Row],[binding_level]]</f>
        <v>1</v>
      </c>
    </row>
    <row r="485" spans="1:11" x14ac:dyDescent="0.25">
      <c r="A485" s="24">
        <v>12</v>
      </c>
      <c r="B485" s="2">
        <v>70</v>
      </c>
      <c r="C485" s="2" t="s">
        <v>161</v>
      </c>
      <c r="D485" s="3">
        <v>1</v>
      </c>
      <c r="E485" s="1">
        <v>1</v>
      </c>
      <c r="F485" t="s">
        <v>4070</v>
      </c>
      <c r="G485" t="s">
        <v>4069</v>
      </c>
      <c r="H485" t="s">
        <v>4042</v>
      </c>
      <c r="I485" s="1" t="s">
        <v>1456</v>
      </c>
      <c r="J485" t="s">
        <v>4043</v>
      </c>
      <c r="K485" s="25">
        <f>Tabelle5[[#This Row],[value_present]]*Tabelle5[[#This Row],[binding_level]]</f>
        <v>1</v>
      </c>
    </row>
    <row r="486" spans="1:11" x14ac:dyDescent="0.25">
      <c r="A486" s="24">
        <v>12</v>
      </c>
      <c r="B486" s="2">
        <v>70</v>
      </c>
      <c r="C486" s="2" t="s">
        <v>166</v>
      </c>
      <c r="D486" s="3">
        <v>1</v>
      </c>
      <c r="E486" s="1">
        <v>1</v>
      </c>
      <c r="F486" t="s">
        <v>4072</v>
      </c>
      <c r="G486" t="s">
        <v>4071</v>
      </c>
      <c r="H486" t="s">
        <v>4044</v>
      </c>
      <c r="I486" s="1" t="s">
        <v>1457</v>
      </c>
      <c r="J486" t="s">
        <v>4045</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4046</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4105</v>
      </c>
      <c r="K488" s="23">
        <f>Tabelle5[[#This Row],[value_present]]*Tabelle5[[#This Row],[binding_level]]</f>
        <v>0</v>
      </c>
    </row>
    <row r="489" spans="1:11" x14ac:dyDescent="0.25">
      <c r="A489" s="24">
        <v>13</v>
      </c>
      <c r="B489" s="2">
        <v>73</v>
      </c>
      <c r="C489" s="2" t="s">
        <v>61</v>
      </c>
      <c r="D489" s="3">
        <v>0</v>
      </c>
      <c r="E489" s="1"/>
      <c r="I489" s="1" t="s">
        <v>1457</v>
      </c>
      <c r="J489" t="s">
        <v>4106</v>
      </c>
      <c r="K489" s="25">
        <f>Tabelle5[[#This Row],[value_present]]*Tabelle5[[#This Row],[binding_level]]</f>
        <v>0</v>
      </c>
    </row>
    <row r="490" spans="1:11" x14ac:dyDescent="0.25">
      <c r="A490" s="24">
        <v>13</v>
      </c>
      <c r="B490" s="2">
        <v>73</v>
      </c>
      <c r="C490" s="2" t="s">
        <v>69</v>
      </c>
      <c r="D490" s="3">
        <v>1</v>
      </c>
      <c r="E490" s="1">
        <v>1</v>
      </c>
      <c r="F490" t="s">
        <v>4128</v>
      </c>
      <c r="G490" t="s">
        <v>4135</v>
      </c>
      <c r="H490" t="s">
        <v>4107</v>
      </c>
      <c r="I490" s="1" t="s">
        <v>1456</v>
      </c>
      <c r="J490" t="s">
        <v>4108</v>
      </c>
      <c r="K490" s="25">
        <f>Tabelle5[[#This Row],[value_present]]*Tabelle5[[#This Row],[binding_level]]</f>
        <v>1</v>
      </c>
    </row>
    <row r="491" spans="1:11" x14ac:dyDescent="0.25">
      <c r="A491" s="24">
        <v>13</v>
      </c>
      <c r="B491" s="2">
        <v>73</v>
      </c>
      <c r="C491" s="2" t="s">
        <v>76</v>
      </c>
      <c r="D491" s="3">
        <v>1</v>
      </c>
      <c r="E491" s="1">
        <v>1</v>
      </c>
      <c r="F491" t="s">
        <v>4129</v>
      </c>
      <c r="G491" t="s">
        <v>4130</v>
      </c>
      <c r="H491" t="s">
        <v>4109</v>
      </c>
      <c r="I491" s="1" t="s">
        <v>1456</v>
      </c>
      <c r="J491" t="s">
        <v>4110</v>
      </c>
      <c r="K491" s="25">
        <f>Tabelle5[[#This Row],[value_present]]*Tabelle5[[#This Row],[binding_level]]</f>
        <v>1</v>
      </c>
    </row>
    <row r="492" spans="1:11" x14ac:dyDescent="0.25">
      <c r="A492" s="24">
        <v>13</v>
      </c>
      <c r="B492" s="2">
        <v>73</v>
      </c>
      <c r="C492" s="2" t="s">
        <v>83</v>
      </c>
      <c r="D492" s="3">
        <v>1</v>
      </c>
      <c r="E492" s="1">
        <v>1</v>
      </c>
      <c r="F492" t="s">
        <v>4131</v>
      </c>
      <c r="G492" t="s">
        <v>4132</v>
      </c>
      <c r="H492" t="s">
        <v>4109</v>
      </c>
      <c r="I492" s="1" t="s">
        <v>1456</v>
      </c>
      <c r="J492" t="s">
        <v>4111</v>
      </c>
      <c r="K492" s="25">
        <f>Tabelle5[[#This Row],[value_present]]*Tabelle5[[#This Row],[binding_level]]</f>
        <v>1</v>
      </c>
    </row>
    <row r="493" spans="1:11" x14ac:dyDescent="0.25">
      <c r="A493" s="24">
        <v>13</v>
      </c>
      <c r="B493" s="2">
        <v>73</v>
      </c>
      <c r="C493" s="2" t="s">
        <v>90</v>
      </c>
      <c r="D493" s="3">
        <v>0</v>
      </c>
      <c r="E493" s="1"/>
      <c r="I493" s="1" t="s">
        <v>1457</v>
      </c>
      <c r="J493" t="s">
        <v>4112</v>
      </c>
      <c r="K493" s="25">
        <f>Tabelle5[[#This Row],[value_present]]*Tabelle5[[#This Row],[binding_level]]</f>
        <v>0</v>
      </c>
    </row>
    <row r="494" spans="1:11" x14ac:dyDescent="0.25">
      <c r="A494" s="24">
        <v>13</v>
      </c>
      <c r="B494" s="2">
        <v>73</v>
      </c>
      <c r="C494" s="2" t="s">
        <v>98</v>
      </c>
      <c r="D494" s="3">
        <v>0</v>
      </c>
      <c r="E494" s="1"/>
      <c r="I494" s="1" t="s">
        <v>1457</v>
      </c>
      <c r="J494" t="s">
        <v>4113</v>
      </c>
      <c r="K494" s="25">
        <f>Tabelle5[[#This Row],[value_present]]*Tabelle5[[#This Row],[binding_level]]</f>
        <v>0</v>
      </c>
    </row>
    <row r="495" spans="1:11" x14ac:dyDescent="0.25">
      <c r="A495" s="24">
        <v>13</v>
      </c>
      <c r="B495" s="2">
        <v>73</v>
      </c>
      <c r="C495" s="2" t="s">
        <v>106</v>
      </c>
      <c r="D495" s="3">
        <v>0</v>
      </c>
      <c r="E495" s="1"/>
      <c r="I495" s="1" t="s">
        <v>1457</v>
      </c>
      <c r="J495" t="s">
        <v>4114</v>
      </c>
      <c r="K495" s="25">
        <f>Tabelle5[[#This Row],[value_present]]*Tabelle5[[#This Row],[binding_level]]</f>
        <v>0</v>
      </c>
    </row>
    <row r="496" spans="1:11" x14ac:dyDescent="0.25">
      <c r="A496" s="24">
        <v>13</v>
      </c>
      <c r="B496" s="2">
        <v>73</v>
      </c>
      <c r="C496" s="2" t="s">
        <v>112</v>
      </c>
      <c r="D496" s="3">
        <v>1</v>
      </c>
      <c r="E496" s="1">
        <v>1</v>
      </c>
      <c r="F496" t="s">
        <v>4137</v>
      </c>
      <c r="G496" t="s">
        <v>4136</v>
      </c>
      <c r="H496" t="s">
        <v>4115</v>
      </c>
      <c r="I496" s="1" t="s">
        <v>1456</v>
      </c>
      <c r="J496" t="s">
        <v>4116</v>
      </c>
      <c r="K496" s="25">
        <f>Tabelle5[[#This Row],[value_present]]*Tabelle5[[#This Row],[binding_level]]</f>
        <v>1</v>
      </c>
    </row>
    <row r="497" spans="1:11" x14ac:dyDescent="0.25">
      <c r="A497" s="24">
        <v>13</v>
      </c>
      <c r="B497" s="2">
        <v>73</v>
      </c>
      <c r="C497" s="2" t="s">
        <v>118</v>
      </c>
      <c r="D497" s="3">
        <v>0</v>
      </c>
      <c r="E497" s="1"/>
      <c r="I497" s="1" t="s">
        <v>1456</v>
      </c>
      <c r="J497" t="s">
        <v>4117</v>
      </c>
      <c r="K497" s="25">
        <f>Tabelle5[[#This Row],[value_present]]*Tabelle5[[#This Row],[binding_level]]</f>
        <v>0</v>
      </c>
    </row>
    <row r="498" spans="1:11" x14ac:dyDescent="0.25">
      <c r="A498" s="24">
        <v>13</v>
      </c>
      <c r="B498" s="2">
        <v>73</v>
      </c>
      <c r="C498" s="2" t="s">
        <v>125</v>
      </c>
      <c r="D498" s="3">
        <v>0</v>
      </c>
      <c r="E498" s="1"/>
      <c r="I498" s="1" t="s">
        <v>1456</v>
      </c>
      <c r="J498" t="s">
        <v>4118</v>
      </c>
      <c r="K498" s="25">
        <f>Tabelle5[[#This Row],[value_present]]*Tabelle5[[#This Row],[binding_level]]</f>
        <v>0</v>
      </c>
    </row>
    <row r="499" spans="1:11" x14ac:dyDescent="0.25">
      <c r="A499" s="24">
        <v>13</v>
      </c>
      <c r="B499" s="2">
        <v>73</v>
      </c>
      <c r="C499" s="2" t="s">
        <v>132</v>
      </c>
      <c r="D499" s="3">
        <v>0</v>
      </c>
      <c r="E499" s="1"/>
      <c r="I499" s="1" t="s">
        <v>1456</v>
      </c>
      <c r="J499" t="s">
        <v>4119</v>
      </c>
      <c r="K499" s="25">
        <f>Tabelle5[[#This Row],[value_present]]*Tabelle5[[#This Row],[binding_level]]</f>
        <v>0</v>
      </c>
    </row>
    <row r="500" spans="1:11" x14ac:dyDescent="0.25">
      <c r="A500" s="24">
        <v>13</v>
      </c>
      <c r="B500" s="2">
        <v>73</v>
      </c>
      <c r="C500" s="2" t="s">
        <v>140</v>
      </c>
      <c r="D500" s="3">
        <v>0</v>
      </c>
      <c r="E500" s="1"/>
      <c r="I500" s="1" t="s">
        <v>1457</v>
      </c>
      <c r="J500" t="s">
        <v>4120</v>
      </c>
      <c r="K500" s="25">
        <f>Tabelle5[[#This Row],[value_present]]*Tabelle5[[#This Row],[binding_level]]</f>
        <v>0</v>
      </c>
    </row>
    <row r="501" spans="1:11" x14ac:dyDescent="0.25">
      <c r="A501" s="24">
        <v>13</v>
      </c>
      <c r="B501" s="2">
        <v>73</v>
      </c>
      <c r="C501" s="2" t="s">
        <v>147</v>
      </c>
      <c r="D501" s="3">
        <v>1</v>
      </c>
      <c r="E501" s="1">
        <v>1</v>
      </c>
      <c r="F501" t="s">
        <v>4134</v>
      </c>
      <c r="G501" t="s">
        <v>4133</v>
      </c>
      <c r="H501" t="s">
        <v>4121</v>
      </c>
      <c r="I501" s="1" t="s">
        <v>1457</v>
      </c>
      <c r="J501" t="s">
        <v>4122</v>
      </c>
      <c r="K501" s="25">
        <f>Tabelle5[[#This Row],[value_present]]*Tabelle5[[#This Row],[binding_level]]</f>
        <v>1</v>
      </c>
    </row>
    <row r="502" spans="1:11" x14ac:dyDescent="0.25">
      <c r="A502" s="24">
        <v>13</v>
      </c>
      <c r="B502" s="2">
        <v>73</v>
      </c>
      <c r="C502" s="2" t="s">
        <v>154</v>
      </c>
      <c r="D502" s="3">
        <v>0</v>
      </c>
      <c r="E502" s="1"/>
      <c r="I502" s="1" t="s">
        <v>1457</v>
      </c>
      <c r="J502" t="s">
        <v>4123</v>
      </c>
      <c r="K502" s="25">
        <f>Tabelle5[[#This Row],[value_present]]*Tabelle5[[#This Row],[binding_level]]</f>
        <v>0</v>
      </c>
    </row>
    <row r="503" spans="1:11" x14ac:dyDescent="0.25">
      <c r="A503" s="24">
        <v>13</v>
      </c>
      <c r="B503" s="2">
        <v>73</v>
      </c>
      <c r="C503" s="2" t="s">
        <v>161</v>
      </c>
      <c r="D503" s="3">
        <v>1</v>
      </c>
      <c r="E503" s="1">
        <v>1</v>
      </c>
      <c r="F503" t="s">
        <v>4139</v>
      </c>
      <c r="G503" t="s">
        <v>4138</v>
      </c>
      <c r="H503" t="s">
        <v>4124</v>
      </c>
      <c r="I503" s="1" t="s">
        <v>1456</v>
      </c>
      <c r="J503" t="s">
        <v>4125</v>
      </c>
      <c r="K503" s="25">
        <f>Tabelle5[[#This Row],[value_present]]*Tabelle5[[#This Row],[binding_level]]</f>
        <v>1</v>
      </c>
    </row>
    <row r="504" spans="1:11" x14ac:dyDescent="0.25">
      <c r="A504" s="24">
        <v>13</v>
      </c>
      <c r="B504" s="2">
        <v>73</v>
      </c>
      <c r="C504" s="2" t="s">
        <v>166</v>
      </c>
      <c r="D504" s="3">
        <v>0</v>
      </c>
      <c r="E504" s="1"/>
      <c r="I504" s="1" t="s">
        <v>1457</v>
      </c>
      <c r="J504" t="s">
        <v>4126</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4127</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4167</v>
      </c>
      <c r="K506" s="23">
        <f>Tabelle5[[#This Row],[value_present]]*Tabelle5[[#This Row],[binding_level]]</f>
        <v>0</v>
      </c>
    </row>
    <row r="507" spans="1:11" x14ac:dyDescent="0.25">
      <c r="A507" s="24">
        <v>13</v>
      </c>
      <c r="B507" s="2">
        <v>74</v>
      </c>
      <c r="C507" s="2" t="s">
        <v>61</v>
      </c>
      <c r="D507" s="3">
        <v>0</v>
      </c>
      <c r="E507" s="1"/>
      <c r="I507" s="1" t="s">
        <v>1457</v>
      </c>
      <c r="J507" t="s">
        <v>4168</v>
      </c>
      <c r="K507" s="25">
        <f>Tabelle5[[#This Row],[value_present]]*Tabelle5[[#This Row],[binding_level]]</f>
        <v>0</v>
      </c>
    </row>
    <row r="508" spans="1:11" x14ac:dyDescent="0.25">
      <c r="A508" s="24">
        <v>13</v>
      </c>
      <c r="B508" s="2">
        <v>74</v>
      </c>
      <c r="C508" s="2" t="s">
        <v>69</v>
      </c>
      <c r="D508" s="3">
        <v>0</v>
      </c>
      <c r="E508" s="1"/>
      <c r="I508" s="1" t="s">
        <v>1456</v>
      </c>
      <c r="J508" t="s">
        <v>4169</v>
      </c>
      <c r="K508" s="25">
        <f>Tabelle5[[#This Row],[value_present]]*Tabelle5[[#This Row],[binding_level]]</f>
        <v>0</v>
      </c>
    </row>
    <row r="509" spans="1:11" x14ac:dyDescent="0.25">
      <c r="A509" s="24">
        <v>13</v>
      </c>
      <c r="B509" s="2">
        <v>74</v>
      </c>
      <c r="C509" s="2" t="s">
        <v>76</v>
      </c>
      <c r="D509" s="3">
        <v>0</v>
      </c>
      <c r="E509" s="1"/>
      <c r="I509" s="1" t="s">
        <v>1456</v>
      </c>
      <c r="J509" t="s">
        <v>4170</v>
      </c>
      <c r="K509" s="25">
        <f>Tabelle5[[#This Row],[value_present]]*Tabelle5[[#This Row],[binding_level]]</f>
        <v>0</v>
      </c>
    </row>
    <row r="510" spans="1:11" x14ac:dyDescent="0.25">
      <c r="A510" s="24">
        <v>13</v>
      </c>
      <c r="B510" s="2">
        <v>74</v>
      </c>
      <c r="C510" s="2" t="s">
        <v>83</v>
      </c>
      <c r="D510" s="3">
        <v>0</v>
      </c>
      <c r="E510" s="1"/>
      <c r="I510" s="1" t="s">
        <v>1456</v>
      </c>
      <c r="J510" t="s">
        <v>4171</v>
      </c>
      <c r="K510" s="25">
        <f>Tabelle5[[#This Row],[value_present]]*Tabelle5[[#This Row],[binding_level]]</f>
        <v>0</v>
      </c>
    </row>
    <row r="511" spans="1:11" x14ac:dyDescent="0.25">
      <c r="A511" s="24">
        <v>13</v>
      </c>
      <c r="B511" s="2">
        <v>74</v>
      </c>
      <c r="C511" s="2" t="s">
        <v>90</v>
      </c>
      <c r="D511" s="3">
        <v>0</v>
      </c>
      <c r="E511" s="1"/>
      <c r="I511" s="1" t="s">
        <v>1457</v>
      </c>
      <c r="J511" t="s">
        <v>4172</v>
      </c>
      <c r="K511" s="25">
        <f>Tabelle5[[#This Row],[value_present]]*Tabelle5[[#This Row],[binding_level]]</f>
        <v>0</v>
      </c>
    </row>
    <row r="512" spans="1:11" x14ac:dyDescent="0.25">
      <c r="A512" s="24">
        <v>13</v>
      </c>
      <c r="B512" s="2">
        <v>74</v>
      </c>
      <c r="C512" s="2" t="s">
        <v>98</v>
      </c>
      <c r="D512" s="3">
        <v>0</v>
      </c>
      <c r="E512" s="1"/>
      <c r="I512" s="1" t="s">
        <v>1457</v>
      </c>
      <c r="J512" t="s">
        <v>4173</v>
      </c>
      <c r="K512" s="25">
        <f>Tabelle5[[#This Row],[value_present]]*Tabelle5[[#This Row],[binding_level]]</f>
        <v>0</v>
      </c>
    </row>
    <row r="513" spans="1:11" x14ac:dyDescent="0.25">
      <c r="A513" s="24">
        <v>13</v>
      </c>
      <c r="B513" s="2">
        <v>74</v>
      </c>
      <c r="C513" s="2" t="s">
        <v>106</v>
      </c>
      <c r="D513" s="3">
        <v>0</v>
      </c>
      <c r="E513" s="1"/>
      <c r="I513" s="1" t="s">
        <v>1456</v>
      </c>
      <c r="J513" t="s">
        <v>4174</v>
      </c>
      <c r="K513" s="25">
        <f>Tabelle5[[#This Row],[value_present]]*Tabelle5[[#This Row],[binding_level]]</f>
        <v>0</v>
      </c>
    </row>
    <row r="514" spans="1:11" x14ac:dyDescent="0.25">
      <c r="A514" s="24">
        <v>13</v>
      </c>
      <c r="B514" s="2">
        <v>74</v>
      </c>
      <c r="C514" s="2" t="s">
        <v>112</v>
      </c>
      <c r="D514" s="3">
        <v>0</v>
      </c>
      <c r="E514" s="1"/>
      <c r="I514" s="1" t="s">
        <v>1456</v>
      </c>
      <c r="J514" t="s">
        <v>4175</v>
      </c>
      <c r="K514" s="25">
        <f>Tabelle5[[#This Row],[value_present]]*Tabelle5[[#This Row],[binding_level]]</f>
        <v>0</v>
      </c>
    </row>
    <row r="515" spans="1:11" x14ac:dyDescent="0.25">
      <c r="A515" s="24">
        <v>13</v>
      </c>
      <c r="B515" s="2">
        <v>74</v>
      </c>
      <c r="C515" s="2" t="s">
        <v>118</v>
      </c>
      <c r="D515" s="3">
        <v>0</v>
      </c>
      <c r="E515" s="1"/>
      <c r="I515" s="1" t="s">
        <v>1456</v>
      </c>
      <c r="J515" t="s">
        <v>4176</v>
      </c>
      <c r="K515" s="25">
        <f>Tabelle5[[#This Row],[value_present]]*Tabelle5[[#This Row],[binding_level]]</f>
        <v>0</v>
      </c>
    </row>
    <row r="516" spans="1:11" x14ac:dyDescent="0.25">
      <c r="A516" s="24">
        <v>13</v>
      </c>
      <c r="B516" s="2">
        <v>74</v>
      </c>
      <c r="C516" s="2" t="s">
        <v>125</v>
      </c>
      <c r="D516" s="3">
        <v>0</v>
      </c>
      <c r="E516" s="1"/>
      <c r="I516" s="1" t="s">
        <v>1456</v>
      </c>
      <c r="J516" t="s">
        <v>3893</v>
      </c>
      <c r="K516" s="25">
        <f>Tabelle5[[#This Row],[value_present]]*Tabelle5[[#This Row],[binding_level]]</f>
        <v>0</v>
      </c>
    </row>
    <row r="517" spans="1:11" x14ac:dyDescent="0.25">
      <c r="A517" s="24">
        <v>13</v>
      </c>
      <c r="B517" s="2">
        <v>74</v>
      </c>
      <c r="C517" s="2" t="s">
        <v>132</v>
      </c>
      <c r="D517" s="3">
        <v>0</v>
      </c>
      <c r="E517" s="1"/>
      <c r="I517" s="1" t="s">
        <v>1456</v>
      </c>
      <c r="J517" t="s">
        <v>4177</v>
      </c>
      <c r="K517" s="25">
        <f>Tabelle5[[#This Row],[value_present]]*Tabelle5[[#This Row],[binding_level]]</f>
        <v>0</v>
      </c>
    </row>
    <row r="518" spans="1:11" x14ac:dyDescent="0.25">
      <c r="A518" s="24">
        <v>13</v>
      </c>
      <c r="B518" s="2">
        <v>74</v>
      </c>
      <c r="C518" s="2" t="s">
        <v>140</v>
      </c>
      <c r="D518" s="3">
        <v>0</v>
      </c>
      <c r="E518" s="1"/>
      <c r="I518" s="1" t="s">
        <v>1456</v>
      </c>
      <c r="J518" t="s">
        <v>4178</v>
      </c>
      <c r="K518" s="25">
        <f>Tabelle5[[#This Row],[value_present]]*Tabelle5[[#This Row],[binding_level]]</f>
        <v>0</v>
      </c>
    </row>
    <row r="519" spans="1:11" x14ac:dyDescent="0.25">
      <c r="A519" s="24">
        <v>13</v>
      </c>
      <c r="B519" s="2">
        <v>74</v>
      </c>
      <c r="C519" s="2" t="s">
        <v>147</v>
      </c>
      <c r="D519" s="3">
        <v>1</v>
      </c>
      <c r="E519" s="1">
        <v>2</v>
      </c>
      <c r="F519" t="s">
        <v>4185</v>
      </c>
      <c r="G519" t="s">
        <v>4184</v>
      </c>
      <c r="H519" t="s">
        <v>4179</v>
      </c>
      <c r="I519" s="1" t="s">
        <v>1456</v>
      </c>
      <c r="J519" t="s">
        <v>4180</v>
      </c>
      <c r="K519" s="25">
        <f>Tabelle5[[#This Row],[value_present]]*Tabelle5[[#This Row],[binding_level]]</f>
        <v>2</v>
      </c>
    </row>
    <row r="520" spans="1:11" x14ac:dyDescent="0.25">
      <c r="A520" s="24">
        <v>13</v>
      </c>
      <c r="B520" s="2">
        <v>74</v>
      </c>
      <c r="C520" s="2" t="s">
        <v>154</v>
      </c>
      <c r="D520" s="3">
        <v>0</v>
      </c>
      <c r="E520" s="1"/>
      <c r="I520" s="1" t="s">
        <v>1457</v>
      </c>
      <c r="J520" t="s">
        <v>4181</v>
      </c>
      <c r="K520" s="25">
        <f>Tabelle5[[#This Row],[value_present]]*Tabelle5[[#This Row],[binding_level]]</f>
        <v>0</v>
      </c>
    </row>
    <row r="521" spans="1:11" x14ac:dyDescent="0.25">
      <c r="A521" s="24">
        <v>13</v>
      </c>
      <c r="B521" s="2">
        <v>74</v>
      </c>
      <c r="C521" s="2" t="s">
        <v>161</v>
      </c>
      <c r="D521" s="3">
        <v>0</v>
      </c>
      <c r="E521" s="1"/>
      <c r="I521" s="1" t="s">
        <v>1457</v>
      </c>
      <c r="J521" t="s">
        <v>4182</v>
      </c>
      <c r="K521" s="25">
        <f>Tabelle5[[#This Row],[value_present]]*Tabelle5[[#This Row],[binding_level]]</f>
        <v>0</v>
      </c>
    </row>
    <row r="522" spans="1:11" x14ac:dyDescent="0.25">
      <c r="A522" s="24">
        <v>13</v>
      </c>
      <c r="B522" s="2">
        <v>74</v>
      </c>
      <c r="C522" s="2" t="s">
        <v>166</v>
      </c>
      <c r="D522" s="3">
        <v>0</v>
      </c>
      <c r="E522" s="1"/>
      <c r="I522" s="1" t="s">
        <v>1457</v>
      </c>
      <c r="J522" t="s">
        <v>4183</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3900</v>
      </c>
      <c r="K523" s="31">
        <f>Tabelle5[[#This Row],[value_present]]*Tabelle5[[#This Row],[binding_level]]</f>
        <v>0</v>
      </c>
    </row>
    <row r="524" spans="1:11" x14ac:dyDescent="0.25">
      <c r="A524" s="18">
        <v>15</v>
      </c>
      <c r="B524" s="19">
        <v>86</v>
      </c>
      <c r="C524" s="19" t="s">
        <v>53</v>
      </c>
      <c r="D524" s="20">
        <v>1</v>
      </c>
      <c r="E524" s="21">
        <v>3</v>
      </c>
      <c r="F524" t="s">
        <v>4235</v>
      </c>
      <c r="G524" t="s">
        <v>4236</v>
      </c>
      <c r="H524" s="22" t="s">
        <v>4208</v>
      </c>
      <c r="I524" s="1" t="s">
        <v>1457</v>
      </c>
      <c r="J524" s="22" t="s">
        <v>4209</v>
      </c>
      <c r="K524" s="23">
        <f>Tabelle5[[#This Row],[value_present]]*Tabelle5[[#This Row],[binding_level]]</f>
        <v>3</v>
      </c>
    </row>
    <row r="525" spans="1:11" x14ac:dyDescent="0.25">
      <c r="A525" s="24">
        <v>15</v>
      </c>
      <c r="B525" s="2">
        <v>86</v>
      </c>
      <c r="C525" s="2" t="s">
        <v>61</v>
      </c>
      <c r="D525" s="3">
        <v>1</v>
      </c>
      <c r="E525" s="1">
        <v>3</v>
      </c>
      <c r="F525" t="s">
        <v>4233</v>
      </c>
      <c r="G525" t="s">
        <v>4234</v>
      </c>
      <c r="H525" t="s">
        <v>4210</v>
      </c>
      <c r="I525" s="1" t="s">
        <v>1456</v>
      </c>
      <c r="J525" t="s">
        <v>4211</v>
      </c>
      <c r="K525" s="25">
        <f>Tabelle5[[#This Row],[value_present]]*Tabelle5[[#This Row],[binding_level]]</f>
        <v>3</v>
      </c>
    </row>
    <row r="526" spans="1:11" x14ac:dyDescent="0.25">
      <c r="A526" s="24">
        <v>15</v>
      </c>
      <c r="B526" s="2">
        <v>86</v>
      </c>
      <c r="C526" s="2" t="s">
        <v>69</v>
      </c>
      <c r="D526" s="3">
        <v>1</v>
      </c>
      <c r="E526" s="1">
        <v>3</v>
      </c>
      <c r="F526" t="s">
        <v>4239</v>
      </c>
      <c r="G526" t="s">
        <v>4238</v>
      </c>
      <c r="H526" t="s">
        <v>4212</v>
      </c>
      <c r="I526" s="1" t="s">
        <v>1457</v>
      </c>
      <c r="J526" t="s">
        <v>4213</v>
      </c>
      <c r="K526" s="25">
        <f>Tabelle5[[#This Row],[value_present]]*Tabelle5[[#This Row],[binding_level]]</f>
        <v>3</v>
      </c>
    </row>
    <row r="527" spans="1:11" x14ac:dyDescent="0.25">
      <c r="A527" s="24">
        <v>15</v>
      </c>
      <c r="B527" s="2">
        <v>86</v>
      </c>
      <c r="C527" s="2" t="s">
        <v>76</v>
      </c>
      <c r="D527" s="3">
        <v>1</v>
      </c>
      <c r="E527" s="1">
        <v>3</v>
      </c>
      <c r="F527" t="s">
        <v>4237</v>
      </c>
      <c r="G527" t="s">
        <v>1812</v>
      </c>
      <c r="H527" t="s">
        <v>4214</v>
      </c>
      <c r="I527" s="1" t="s">
        <v>1457</v>
      </c>
      <c r="J527" t="s">
        <v>4215</v>
      </c>
      <c r="K527" s="25">
        <f>Tabelle5[[#This Row],[value_present]]*Tabelle5[[#This Row],[binding_level]]</f>
        <v>3</v>
      </c>
    </row>
    <row r="528" spans="1:11" x14ac:dyDescent="0.25">
      <c r="A528" s="24">
        <v>15</v>
      </c>
      <c r="B528" s="2">
        <v>86</v>
      </c>
      <c r="C528" s="2" t="s">
        <v>83</v>
      </c>
      <c r="D528" s="3">
        <v>1</v>
      </c>
      <c r="E528" s="1">
        <v>3</v>
      </c>
      <c r="F528" t="s">
        <v>4241</v>
      </c>
      <c r="G528" t="s">
        <v>4240</v>
      </c>
      <c r="H528" t="s">
        <v>4216</v>
      </c>
      <c r="I528" s="1"/>
      <c r="J528" t="s">
        <v>4217</v>
      </c>
      <c r="K528" s="25">
        <f>Tabelle5[[#This Row],[value_present]]*Tabelle5[[#This Row],[binding_level]]</f>
        <v>3</v>
      </c>
    </row>
    <row r="529" spans="1:11" x14ac:dyDescent="0.25">
      <c r="A529" s="24">
        <v>15</v>
      </c>
      <c r="B529" s="2">
        <v>86</v>
      </c>
      <c r="C529" s="2" t="s">
        <v>90</v>
      </c>
      <c r="D529" s="3">
        <v>1</v>
      </c>
      <c r="E529" s="1">
        <v>3</v>
      </c>
      <c r="F529" t="s">
        <v>4243</v>
      </c>
      <c r="G529" t="s">
        <v>4242</v>
      </c>
      <c r="H529" t="s">
        <v>4218</v>
      </c>
      <c r="I529" s="1" t="s">
        <v>1456</v>
      </c>
      <c r="J529" t="s">
        <v>4219</v>
      </c>
      <c r="K529" s="25">
        <f>Tabelle5[[#This Row],[value_present]]*Tabelle5[[#This Row],[binding_level]]</f>
        <v>3</v>
      </c>
    </row>
    <row r="530" spans="1:11" x14ac:dyDescent="0.25">
      <c r="A530" s="24">
        <v>15</v>
      </c>
      <c r="B530" s="2">
        <v>86</v>
      </c>
      <c r="C530" s="2" t="s">
        <v>98</v>
      </c>
      <c r="D530" s="3">
        <v>1</v>
      </c>
      <c r="E530" s="1">
        <v>3</v>
      </c>
      <c r="F530" t="s">
        <v>4245</v>
      </c>
      <c r="G530" t="s">
        <v>4244</v>
      </c>
      <c r="H530" t="s">
        <v>4220</v>
      </c>
      <c r="I530" s="1" t="s">
        <v>1456</v>
      </c>
      <c r="J530" t="s">
        <v>4221</v>
      </c>
      <c r="K530" s="25">
        <f>Tabelle5[[#This Row],[value_present]]*Tabelle5[[#This Row],[binding_level]]</f>
        <v>3</v>
      </c>
    </row>
    <row r="531" spans="1:11" x14ac:dyDescent="0.25">
      <c r="A531" s="24">
        <v>15</v>
      </c>
      <c r="B531" s="2">
        <v>86</v>
      </c>
      <c r="C531" s="2" t="s">
        <v>106</v>
      </c>
      <c r="D531" s="3">
        <v>1</v>
      </c>
      <c r="E531" s="1">
        <v>3</v>
      </c>
      <c r="F531" t="s">
        <v>4247</v>
      </c>
      <c r="G531" t="s">
        <v>4246</v>
      </c>
      <c r="H531" t="s">
        <v>4216</v>
      </c>
      <c r="I531" s="1" t="s">
        <v>1456</v>
      </c>
      <c r="J531" t="s">
        <v>4222</v>
      </c>
      <c r="K531" s="25">
        <f>Tabelle5[[#This Row],[value_present]]*Tabelle5[[#This Row],[binding_level]]</f>
        <v>3</v>
      </c>
    </row>
    <row r="532" spans="1:11" x14ac:dyDescent="0.25">
      <c r="A532" s="24">
        <v>15</v>
      </c>
      <c r="B532" s="2">
        <v>86</v>
      </c>
      <c r="C532" s="2" t="s">
        <v>112</v>
      </c>
      <c r="D532" s="3">
        <v>1</v>
      </c>
      <c r="E532" s="1">
        <v>3</v>
      </c>
      <c r="F532" t="s">
        <v>4249</v>
      </c>
      <c r="G532" t="s">
        <v>4248</v>
      </c>
      <c r="H532" t="s">
        <v>4223</v>
      </c>
      <c r="I532" s="1" t="s">
        <v>1456</v>
      </c>
      <c r="J532" t="s">
        <v>4224</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4251</v>
      </c>
      <c r="G536" t="s">
        <v>4250</v>
      </c>
      <c r="H536" t="s">
        <v>4225</v>
      </c>
      <c r="I536" s="1" t="s">
        <v>1457</v>
      </c>
      <c r="J536" t="s">
        <v>4226</v>
      </c>
      <c r="K536" s="25">
        <f>Tabelle5[[#This Row],[value_present]]*Tabelle5[[#This Row],[binding_level]]</f>
        <v>2</v>
      </c>
    </row>
    <row r="537" spans="1:11" x14ac:dyDescent="0.25">
      <c r="A537" s="24">
        <v>15</v>
      </c>
      <c r="B537" s="2">
        <v>86</v>
      </c>
      <c r="C537" s="2" t="s">
        <v>147</v>
      </c>
      <c r="D537" s="3">
        <v>1</v>
      </c>
      <c r="E537" s="1">
        <v>2</v>
      </c>
      <c r="F537" t="s">
        <v>4253</v>
      </c>
      <c r="G537" t="s">
        <v>4252</v>
      </c>
      <c r="H537" t="s">
        <v>4227</v>
      </c>
      <c r="I537" s="1" t="s">
        <v>1456</v>
      </c>
      <c r="J537" t="s">
        <v>4228</v>
      </c>
      <c r="K537" s="25">
        <f>Tabelle5[[#This Row],[value_present]]*Tabelle5[[#This Row],[binding_level]]</f>
        <v>2</v>
      </c>
    </row>
    <row r="538" spans="1:11" x14ac:dyDescent="0.25">
      <c r="A538" s="24">
        <v>15</v>
      </c>
      <c r="B538" s="2">
        <v>86</v>
      </c>
      <c r="C538" s="2" t="s">
        <v>154</v>
      </c>
      <c r="D538" s="3">
        <v>1</v>
      </c>
      <c r="E538" s="1">
        <v>2</v>
      </c>
      <c r="F538" t="s">
        <v>4254</v>
      </c>
      <c r="G538" t="s">
        <v>4255</v>
      </c>
      <c r="H538" t="s">
        <v>4229</v>
      </c>
      <c r="I538" s="1" t="s">
        <v>1456</v>
      </c>
      <c r="J538" t="s">
        <v>4230</v>
      </c>
      <c r="K538" s="25">
        <f>Tabelle5[[#This Row],[value_present]]*Tabelle5[[#This Row],[binding_level]]</f>
        <v>2</v>
      </c>
    </row>
    <row r="539" spans="1:11" x14ac:dyDescent="0.25">
      <c r="A539" s="24">
        <v>15</v>
      </c>
      <c r="B539" s="2">
        <v>86</v>
      </c>
      <c r="C539" s="2" t="s">
        <v>161</v>
      </c>
      <c r="D539" s="3">
        <v>1</v>
      </c>
      <c r="E539" s="1">
        <v>3</v>
      </c>
      <c r="F539" t="s">
        <v>4257</v>
      </c>
      <c r="G539" t="s">
        <v>4256</v>
      </c>
      <c r="H539" t="s">
        <v>4231</v>
      </c>
      <c r="I539" s="1" t="s">
        <v>1456</v>
      </c>
      <c r="J539" t="s">
        <v>4232</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4167</v>
      </c>
      <c r="K542" s="23">
        <f>Tabelle5[[#This Row],[value_present]]*Tabelle5[[#This Row],[binding_level]]</f>
        <v>0</v>
      </c>
    </row>
    <row r="543" spans="1:11" x14ac:dyDescent="0.25">
      <c r="A543" s="24">
        <v>15</v>
      </c>
      <c r="B543" s="2">
        <v>88</v>
      </c>
      <c r="C543" s="2" t="s">
        <v>61</v>
      </c>
      <c r="D543" s="3">
        <v>1</v>
      </c>
      <c r="E543" s="1">
        <v>1</v>
      </c>
      <c r="F543" t="s">
        <v>4303</v>
      </c>
      <c r="G543" t="s">
        <v>4304</v>
      </c>
      <c r="H543" t="s">
        <v>4288</v>
      </c>
      <c r="I543" s="1" t="s">
        <v>1457</v>
      </c>
      <c r="J543" t="s">
        <v>4289</v>
      </c>
      <c r="K543" s="25">
        <f>Tabelle5[[#This Row],[value_present]]*Tabelle5[[#This Row],[binding_level]]</f>
        <v>1</v>
      </c>
    </row>
    <row r="544" spans="1:11" x14ac:dyDescent="0.25">
      <c r="A544" s="24">
        <v>15</v>
      </c>
      <c r="B544" s="2">
        <v>88</v>
      </c>
      <c r="C544" s="2" t="s">
        <v>69</v>
      </c>
      <c r="D544" s="3">
        <v>0</v>
      </c>
      <c r="E544" s="1"/>
      <c r="I544" s="1" t="s">
        <v>1457</v>
      </c>
      <c r="J544" t="s">
        <v>4290</v>
      </c>
      <c r="K544" s="25">
        <f>Tabelle5[[#This Row],[value_present]]*Tabelle5[[#This Row],[binding_level]]</f>
        <v>0</v>
      </c>
    </row>
    <row r="545" spans="1:11" x14ac:dyDescent="0.25">
      <c r="A545" s="24">
        <v>15</v>
      </c>
      <c r="B545" s="2">
        <v>88</v>
      </c>
      <c r="C545" s="2" t="s">
        <v>76</v>
      </c>
      <c r="D545" s="3">
        <v>0</v>
      </c>
      <c r="E545" s="1"/>
      <c r="I545" s="1" t="s">
        <v>1456</v>
      </c>
      <c r="J545" t="s">
        <v>4291</v>
      </c>
      <c r="K545" s="25">
        <f>Tabelle5[[#This Row],[value_present]]*Tabelle5[[#This Row],[binding_level]]</f>
        <v>0</v>
      </c>
    </row>
    <row r="546" spans="1:11" x14ac:dyDescent="0.25">
      <c r="A546" s="24">
        <v>15</v>
      </c>
      <c r="B546" s="2">
        <v>88</v>
      </c>
      <c r="C546" s="2" t="s">
        <v>83</v>
      </c>
      <c r="D546" s="3">
        <v>0</v>
      </c>
      <c r="E546" s="1"/>
      <c r="I546" s="1" t="s">
        <v>1456</v>
      </c>
      <c r="J546" t="s">
        <v>4292</v>
      </c>
      <c r="K546" s="25">
        <f>Tabelle5[[#This Row],[value_present]]*Tabelle5[[#This Row],[binding_level]]</f>
        <v>0</v>
      </c>
    </row>
    <row r="547" spans="1:11" x14ac:dyDescent="0.25">
      <c r="A547" s="24">
        <v>15</v>
      </c>
      <c r="B547" s="2">
        <v>88</v>
      </c>
      <c r="C547" s="2" t="s">
        <v>90</v>
      </c>
      <c r="D547" s="3">
        <v>0</v>
      </c>
      <c r="E547" s="1"/>
      <c r="I547" s="1" t="s">
        <v>1456</v>
      </c>
      <c r="J547" t="s">
        <v>4293</v>
      </c>
      <c r="K547" s="25">
        <f>Tabelle5[[#This Row],[value_present]]*Tabelle5[[#This Row],[binding_level]]</f>
        <v>0</v>
      </c>
    </row>
    <row r="548" spans="1:11" x14ac:dyDescent="0.25">
      <c r="A548" s="24">
        <v>15</v>
      </c>
      <c r="B548" s="2">
        <v>88</v>
      </c>
      <c r="C548" s="2" t="s">
        <v>98</v>
      </c>
      <c r="D548" s="3">
        <v>0</v>
      </c>
      <c r="E548" s="1"/>
      <c r="I548" s="1" t="s">
        <v>1456</v>
      </c>
      <c r="J548" t="s">
        <v>4294</v>
      </c>
      <c r="K548" s="25">
        <f>Tabelle5[[#This Row],[value_present]]*Tabelle5[[#This Row],[binding_level]]</f>
        <v>0</v>
      </c>
    </row>
    <row r="549" spans="1:11" x14ac:dyDescent="0.25">
      <c r="A549" s="24">
        <v>15</v>
      </c>
      <c r="B549" s="2">
        <v>88</v>
      </c>
      <c r="C549" s="2" t="s">
        <v>106</v>
      </c>
      <c r="D549" s="3">
        <v>0</v>
      </c>
      <c r="E549" s="1"/>
      <c r="I549" s="1" t="s">
        <v>1457</v>
      </c>
      <c r="J549" t="s">
        <v>4295</v>
      </c>
      <c r="K549" s="25">
        <f>Tabelle5[[#This Row],[value_present]]*Tabelle5[[#This Row],[binding_level]]</f>
        <v>0</v>
      </c>
    </row>
    <row r="550" spans="1:11" x14ac:dyDescent="0.25">
      <c r="A550" s="24">
        <v>15</v>
      </c>
      <c r="B550" s="2">
        <v>88</v>
      </c>
      <c r="C550" s="2" t="s">
        <v>112</v>
      </c>
      <c r="D550" s="3">
        <v>0</v>
      </c>
      <c r="E550" s="1"/>
      <c r="I550" s="1" t="s">
        <v>1457</v>
      </c>
      <c r="J550" t="s">
        <v>4296</v>
      </c>
      <c r="K550" s="25">
        <f>Tabelle5[[#This Row],[value_present]]*Tabelle5[[#This Row],[binding_level]]</f>
        <v>0</v>
      </c>
    </row>
    <row r="551" spans="1:11" x14ac:dyDescent="0.25">
      <c r="A551" s="24">
        <v>15</v>
      </c>
      <c r="B551" s="2">
        <v>88</v>
      </c>
      <c r="C551" s="2" t="s">
        <v>118</v>
      </c>
      <c r="D551" s="3">
        <v>0</v>
      </c>
      <c r="E551" s="1"/>
      <c r="I551" s="1" t="s">
        <v>1456</v>
      </c>
      <c r="J551" t="s">
        <v>4176</v>
      </c>
      <c r="K551" s="25">
        <f>Tabelle5[[#This Row],[value_present]]*Tabelle5[[#This Row],[binding_level]]</f>
        <v>0</v>
      </c>
    </row>
    <row r="552" spans="1:11" x14ac:dyDescent="0.25">
      <c r="A552" s="24">
        <v>15</v>
      </c>
      <c r="B552" s="2">
        <v>88</v>
      </c>
      <c r="C552" s="2" t="s">
        <v>125</v>
      </c>
      <c r="D552" s="3">
        <v>0</v>
      </c>
      <c r="E552" s="1"/>
      <c r="I552" s="1" t="s">
        <v>1456</v>
      </c>
      <c r="J552" t="s">
        <v>4118</v>
      </c>
      <c r="K552" s="25">
        <f>Tabelle5[[#This Row],[value_present]]*Tabelle5[[#This Row],[binding_level]]</f>
        <v>0</v>
      </c>
    </row>
    <row r="553" spans="1:11" x14ac:dyDescent="0.25">
      <c r="A553" s="24">
        <v>15</v>
      </c>
      <c r="B553" s="2">
        <v>88</v>
      </c>
      <c r="C553" s="2" t="s">
        <v>132</v>
      </c>
      <c r="D553" s="3">
        <v>1</v>
      </c>
      <c r="E553" s="1">
        <v>1</v>
      </c>
      <c r="F553" t="s">
        <v>4306</v>
      </c>
      <c r="G553" t="s">
        <v>4305</v>
      </c>
      <c r="H553" t="s">
        <v>2700</v>
      </c>
      <c r="I553" s="1" t="s">
        <v>1456</v>
      </c>
      <c r="J553" t="s">
        <v>4297</v>
      </c>
      <c r="K553" s="25">
        <f>Tabelle5[[#This Row],[value_present]]*Tabelle5[[#This Row],[binding_level]]</f>
        <v>1</v>
      </c>
    </row>
    <row r="554" spans="1:11" x14ac:dyDescent="0.25">
      <c r="A554" s="24">
        <v>15</v>
      </c>
      <c r="B554" s="2">
        <v>88</v>
      </c>
      <c r="C554" s="2" t="s">
        <v>140</v>
      </c>
      <c r="D554" s="3">
        <v>0</v>
      </c>
      <c r="E554" s="1"/>
      <c r="I554" s="1" t="s">
        <v>1457</v>
      </c>
      <c r="J554" t="s">
        <v>4298</v>
      </c>
      <c r="K554" s="25">
        <f>Tabelle5[[#This Row],[value_present]]*Tabelle5[[#This Row],[binding_level]]</f>
        <v>0</v>
      </c>
    </row>
    <row r="555" spans="1:11" x14ac:dyDescent="0.25">
      <c r="A555" s="24">
        <v>15</v>
      </c>
      <c r="B555" s="2">
        <v>88</v>
      </c>
      <c r="C555" s="2" t="s">
        <v>147</v>
      </c>
      <c r="D555" s="3">
        <v>0</v>
      </c>
      <c r="E555" s="1"/>
      <c r="I555" s="1" t="s">
        <v>1456</v>
      </c>
      <c r="J555" t="s">
        <v>4299</v>
      </c>
      <c r="K555" s="25">
        <f>Tabelle5[[#This Row],[value_present]]*Tabelle5[[#This Row],[binding_level]]</f>
        <v>0</v>
      </c>
    </row>
    <row r="556" spans="1:11" x14ac:dyDescent="0.25">
      <c r="A556" s="24">
        <v>15</v>
      </c>
      <c r="B556" s="2">
        <v>88</v>
      </c>
      <c r="C556" s="2" t="s">
        <v>154</v>
      </c>
      <c r="D556" s="3">
        <v>0</v>
      </c>
      <c r="E556" s="1"/>
      <c r="I556" s="1" t="s">
        <v>1457</v>
      </c>
      <c r="J556" t="s">
        <v>4300</v>
      </c>
      <c r="K556" s="25">
        <f>Tabelle5[[#This Row],[value_present]]*Tabelle5[[#This Row],[binding_level]]</f>
        <v>0</v>
      </c>
    </row>
    <row r="557" spans="1:11" x14ac:dyDescent="0.25">
      <c r="A557" s="24">
        <v>15</v>
      </c>
      <c r="B557" s="2">
        <v>88</v>
      </c>
      <c r="C557" s="2" t="s">
        <v>161</v>
      </c>
      <c r="D557" s="3">
        <v>0</v>
      </c>
      <c r="E557" s="1"/>
      <c r="I557" s="1" t="s">
        <v>1456</v>
      </c>
      <c r="J557" t="s">
        <v>4301</v>
      </c>
      <c r="K557" s="25">
        <f>Tabelle5[[#This Row],[value_present]]*Tabelle5[[#This Row],[binding_level]]</f>
        <v>0</v>
      </c>
    </row>
    <row r="558" spans="1:11" x14ac:dyDescent="0.25">
      <c r="A558" s="24">
        <v>15</v>
      </c>
      <c r="B558" s="2">
        <v>88</v>
      </c>
      <c r="C558" s="2" t="s">
        <v>166</v>
      </c>
      <c r="D558" s="3">
        <v>0</v>
      </c>
      <c r="E558" s="1"/>
      <c r="I558" s="1" t="s">
        <v>1456</v>
      </c>
      <c r="J558" t="s">
        <v>4302</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4127</v>
      </c>
      <c r="K559" s="31">
        <f>Tabelle5[[#This Row],[value_present]]*Tabelle5[[#This Row],[binding_level]]</f>
        <v>0</v>
      </c>
    </row>
    <row r="560" spans="1:11" x14ac:dyDescent="0.25">
      <c r="A560" s="18">
        <v>15</v>
      </c>
      <c r="B560" s="19">
        <v>90</v>
      </c>
      <c r="C560" s="19" t="s">
        <v>53</v>
      </c>
      <c r="D560" s="20">
        <v>1</v>
      </c>
      <c r="E560" s="21">
        <v>3</v>
      </c>
      <c r="F560" t="s">
        <v>4353</v>
      </c>
      <c r="G560" t="s">
        <v>4354</v>
      </c>
      <c r="H560" s="22" t="s">
        <v>4334</v>
      </c>
      <c r="I560" s="21" t="s">
        <v>1456</v>
      </c>
      <c r="J560" s="22" t="s">
        <v>4335</v>
      </c>
      <c r="K560" s="23">
        <f>Tabelle5[[#This Row],[value_present]]*Tabelle5[[#This Row],[binding_level]]</f>
        <v>3</v>
      </c>
    </row>
    <row r="561" spans="1:11" x14ac:dyDescent="0.25">
      <c r="A561" s="24">
        <v>15</v>
      </c>
      <c r="B561" s="2">
        <v>90</v>
      </c>
      <c r="C561" s="2" t="s">
        <v>61</v>
      </c>
      <c r="D561" s="3">
        <v>1</v>
      </c>
      <c r="E561" s="1">
        <v>3</v>
      </c>
      <c r="F561" t="s">
        <v>4355</v>
      </c>
      <c r="G561" t="s">
        <v>4356</v>
      </c>
      <c r="H561" t="s">
        <v>4334</v>
      </c>
      <c r="I561" s="1" t="s">
        <v>1456</v>
      </c>
      <c r="J561" t="s">
        <v>4336</v>
      </c>
      <c r="K561" s="25">
        <f>Tabelle5[[#This Row],[value_present]]*Tabelle5[[#This Row],[binding_level]]</f>
        <v>3</v>
      </c>
    </row>
    <row r="562" spans="1:11" x14ac:dyDescent="0.25">
      <c r="A562" s="24">
        <v>15</v>
      </c>
      <c r="B562" s="2">
        <v>90</v>
      </c>
      <c r="C562" s="2" t="s">
        <v>69</v>
      </c>
      <c r="D562" s="3">
        <v>1</v>
      </c>
      <c r="E562" s="1">
        <v>3</v>
      </c>
      <c r="F562" t="s">
        <v>4370</v>
      </c>
      <c r="G562" t="s">
        <v>4369</v>
      </c>
      <c r="H562" t="s">
        <v>4334</v>
      </c>
      <c r="I562" s="1" t="s">
        <v>1456</v>
      </c>
      <c r="J562" t="s">
        <v>4337</v>
      </c>
      <c r="K562" s="25">
        <f>Tabelle5[[#This Row],[value_present]]*Tabelle5[[#This Row],[binding_level]]</f>
        <v>3</v>
      </c>
    </row>
    <row r="563" spans="1:11" x14ac:dyDescent="0.25">
      <c r="A563" s="24">
        <v>15</v>
      </c>
      <c r="B563" s="2">
        <v>90</v>
      </c>
      <c r="C563" s="2" t="s">
        <v>76</v>
      </c>
      <c r="D563" s="3">
        <v>1</v>
      </c>
      <c r="E563" s="1">
        <v>3</v>
      </c>
      <c r="F563" t="s">
        <v>4357</v>
      </c>
      <c r="G563" t="s">
        <v>4368</v>
      </c>
      <c r="H563" t="s">
        <v>4334</v>
      </c>
      <c r="I563" s="1" t="s">
        <v>1456</v>
      </c>
      <c r="J563" t="s">
        <v>4338</v>
      </c>
      <c r="K563" s="25">
        <f>Tabelle5[[#This Row],[value_present]]*Tabelle5[[#This Row],[binding_level]]</f>
        <v>3</v>
      </c>
    </row>
    <row r="564" spans="1:11" x14ac:dyDescent="0.25">
      <c r="A564" s="24">
        <v>15</v>
      </c>
      <c r="B564" s="2">
        <v>90</v>
      </c>
      <c r="C564" s="2" t="s">
        <v>83</v>
      </c>
      <c r="D564" s="3">
        <v>1</v>
      </c>
      <c r="E564" s="1">
        <v>2</v>
      </c>
      <c r="F564" t="s">
        <v>4358</v>
      </c>
      <c r="G564" t="s">
        <v>4359</v>
      </c>
      <c r="H564" t="s">
        <v>4334</v>
      </c>
      <c r="I564" s="1" t="s">
        <v>1456</v>
      </c>
      <c r="J564" t="s">
        <v>4339</v>
      </c>
      <c r="K564" s="25">
        <f>Tabelle5[[#This Row],[value_present]]*Tabelle5[[#This Row],[binding_level]]</f>
        <v>2</v>
      </c>
    </row>
    <row r="565" spans="1:11" x14ac:dyDescent="0.25">
      <c r="A565" s="24">
        <v>15</v>
      </c>
      <c r="B565" s="2">
        <v>90</v>
      </c>
      <c r="C565" s="2" t="s">
        <v>90</v>
      </c>
      <c r="D565" s="3">
        <v>1</v>
      </c>
      <c r="E565" s="1">
        <v>3</v>
      </c>
      <c r="F565" t="s">
        <v>4372</v>
      </c>
      <c r="G565" t="s">
        <v>4371</v>
      </c>
      <c r="H565" t="s">
        <v>4334</v>
      </c>
      <c r="I565" s="1" t="s">
        <v>1456</v>
      </c>
      <c r="J565" t="s">
        <v>4340</v>
      </c>
      <c r="K565" s="25">
        <f>Tabelle5[[#This Row],[value_present]]*Tabelle5[[#This Row],[binding_level]]</f>
        <v>3</v>
      </c>
    </row>
    <row r="566" spans="1:11" x14ac:dyDescent="0.25">
      <c r="A566" s="24">
        <v>15</v>
      </c>
      <c r="B566" s="2">
        <v>90</v>
      </c>
      <c r="C566" s="2" t="s">
        <v>98</v>
      </c>
      <c r="D566" s="3">
        <v>1</v>
      </c>
      <c r="E566" s="1">
        <v>2</v>
      </c>
      <c r="F566" t="s">
        <v>4360</v>
      </c>
      <c r="G566" t="s">
        <v>4361</v>
      </c>
      <c r="H566" t="s">
        <v>4334</v>
      </c>
      <c r="I566" s="1" t="s">
        <v>1457</v>
      </c>
      <c r="J566" t="s">
        <v>4341</v>
      </c>
      <c r="K566" s="25">
        <f>Tabelle5[[#This Row],[value_present]]*Tabelle5[[#This Row],[binding_level]]</f>
        <v>2</v>
      </c>
    </row>
    <row r="567" spans="1:11" x14ac:dyDescent="0.25">
      <c r="A567" s="24">
        <v>15</v>
      </c>
      <c r="B567" s="2">
        <v>90</v>
      </c>
      <c r="C567" s="2" t="s">
        <v>106</v>
      </c>
      <c r="D567" s="3">
        <v>0</v>
      </c>
      <c r="E567" s="1"/>
      <c r="I567" s="1" t="s">
        <v>1456</v>
      </c>
      <c r="J567" t="s">
        <v>4342</v>
      </c>
      <c r="K567" s="25">
        <f>Tabelle5[[#This Row],[value_present]]*Tabelle5[[#This Row],[binding_level]]</f>
        <v>0</v>
      </c>
    </row>
    <row r="568" spans="1:11" x14ac:dyDescent="0.25">
      <c r="A568" s="24">
        <v>15</v>
      </c>
      <c r="B568" s="2">
        <v>90</v>
      </c>
      <c r="C568" s="2" t="s">
        <v>112</v>
      </c>
      <c r="D568" s="3">
        <v>0</v>
      </c>
      <c r="E568" s="1"/>
      <c r="I568" s="1" t="s">
        <v>1456</v>
      </c>
      <c r="J568" t="s">
        <v>4343</v>
      </c>
      <c r="K568" s="25">
        <f>Tabelle5[[#This Row],[value_present]]*Tabelle5[[#This Row],[binding_level]]</f>
        <v>0</v>
      </c>
    </row>
    <row r="569" spans="1:11" x14ac:dyDescent="0.25">
      <c r="A569" s="24">
        <v>15</v>
      </c>
      <c r="B569" s="2">
        <v>90</v>
      </c>
      <c r="C569" s="2" t="s">
        <v>118</v>
      </c>
      <c r="D569" s="3">
        <v>0</v>
      </c>
      <c r="E569" s="1"/>
      <c r="I569" s="1" t="s">
        <v>1456</v>
      </c>
      <c r="J569" t="s">
        <v>4344</v>
      </c>
      <c r="K569" s="25">
        <f>Tabelle5[[#This Row],[value_present]]*Tabelle5[[#This Row],[binding_level]]</f>
        <v>0</v>
      </c>
    </row>
    <row r="570" spans="1:11" x14ac:dyDescent="0.25">
      <c r="A570" s="24">
        <v>15</v>
      </c>
      <c r="B570" s="2">
        <v>90</v>
      </c>
      <c r="C570" s="2" t="s">
        <v>125</v>
      </c>
      <c r="D570" s="3">
        <v>1</v>
      </c>
      <c r="E570" s="1">
        <v>2</v>
      </c>
      <c r="F570" t="s">
        <v>4362</v>
      </c>
      <c r="G570" t="s">
        <v>4363</v>
      </c>
      <c r="H570" t="s">
        <v>4334</v>
      </c>
      <c r="I570" s="1" t="s">
        <v>1456</v>
      </c>
      <c r="J570" t="s">
        <v>4345</v>
      </c>
      <c r="K570" s="25">
        <f>Tabelle5[[#This Row],[value_present]]*Tabelle5[[#This Row],[binding_level]]</f>
        <v>2</v>
      </c>
    </row>
    <row r="571" spans="1:11" x14ac:dyDescent="0.25">
      <c r="A571" s="24">
        <v>15</v>
      </c>
      <c r="B571" s="2">
        <v>90</v>
      </c>
      <c r="C571" s="2" t="s">
        <v>132</v>
      </c>
      <c r="D571" s="3">
        <v>0</v>
      </c>
      <c r="E571" s="1"/>
      <c r="I571" s="1" t="s">
        <v>1456</v>
      </c>
      <c r="J571" t="s">
        <v>4346</v>
      </c>
      <c r="K571" s="25">
        <f>Tabelle5[[#This Row],[value_present]]*Tabelle5[[#This Row],[binding_level]]</f>
        <v>0</v>
      </c>
    </row>
    <row r="572" spans="1:11" x14ac:dyDescent="0.25">
      <c r="A572" s="24">
        <v>15</v>
      </c>
      <c r="B572" s="2">
        <v>90</v>
      </c>
      <c r="C572" s="2" t="s">
        <v>140</v>
      </c>
      <c r="D572" s="3">
        <v>0</v>
      </c>
      <c r="E572" s="1"/>
      <c r="I572" s="1" t="s">
        <v>1456</v>
      </c>
      <c r="J572" t="s">
        <v>4347</v>
      </c>
      <c r="K572" s="25">
        <f>Tabelle5[[#This Row],[value_present]]*Tabelle5[[#This Row],[binding_level]]</f>
        <v>0</v>
      </c>
    </row>
    <row r="573" spans="1:11" x14ac:dyDescent="0.25">
      <c r="A573" s="24">
        <v>15</v>
      </c>
      <c r="B573" s="2">
        <v>90</v>
      </c>
      <c r="C573" s="2" t="s">
        <v>147</v>
      </c>
      <c r="D573" s="3">
        <v>1</v>
      </c>
      <c r="E573" s="1">
        <v>2</v>
      </c>
      <c r="F573" t="s">
        <v>4364</v>
      </c>
      <c r="G573" t="s">
        <v>4365</v>
      </c>
      <c r="H573" t="s">
        <v>4334</v>
      </c>
      <c r="I573" s="1" t="s">
        <v>1456</v>
      </c>
      <c r="J573" t="s">
        <v>4348</v>
      </c>
      <c r="K573" s="25">
        <f>Tabelle5[[#This Row],[value_present]]*Tabelle5[[#This Row],[binding_level]]</f>
        <v>2</v>
      </c>
    </row>
    <row r="574" spans="1:11" x14ac:dyDescent="0.25">
      <c r="A574" s="24">
        <v>15</v>
      </c>
      <c r="B574" s="2">
        <v>90</v>
      </c>
      <c r="C574" s="2" t="s">
        <v>154</v>
      </c>
      <c r="D574" s="3">
        <v>1</v>
      </c>
      <c r="E574" s="1">
        <v>2</v>
      </c>
      <c r="F574" t="s">
        <v>4366</v>
      </c>
      <c r="G574" t="s">
        <v>4367</v>
      </c>
      <c r="H574" t="s">
        <v>4334</v>
      </c>
      <c r="I574" s="1" t="s">
        <v>1457</v>
      </c>
      <c r="J574" t="s">
        <v>4349</v>
      </c>
      <c r="K574" s="25">
        <f>Tabelle5[[#This Row],[value_present]]*Tabelle5[[#This Row],[binding_level]]</f>
        <v>2</v>
      </c>
    </row>
    <row r="575" spans="1:11" x14ac:dyDescent="0.25">
      <c r="A575" s="24">
        <v>15</v>
      </c>
      <c r="B575" s="2">
        <v>90</v>
      </c>
      <c r="C575" s="2" t="s">
        <v>161</v>
      </c>
      <c r="D575" s="3">
        <v>0</v>
      </c>
      <c r="E575" s="1"/>
      <c r="I575" s="1" t="s">
        <v>1457</v>
      </c>
      <c r="J575" t="s">
        <v>4350</v>
      </c>
      <c r="K575" s="25">
        <f>Tabelle5[[#This Row],[value_present]]*Tabelle5[[#This Row],[binding_level]]</f>
        <v>0</v>
      </c>
    </row>
    <row r="576" spans="1:11" x14ac:dyDescent="0.25">
      <c r="A576" s="24">
        <v>15</v>
      </c>
      <c r="B576" s="2">
        <v>90</v>
      </c>
      <c r="C576" s="2" t="s">
        <v>166</v>
      </c>
      <c r="D576" s="3">
        <v>0</v>
      </c>
      <c r="E576" s="1"/>
      <c r="I576" s="1" t="s">
        <v>1456</v>
      </c>
      <c r="J576" t="s">
        <v>4351</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4352</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4416</v>
      </c>
      <c r="K578" s="23">
        <f>Tabelle5[[#This Row],[value_present]]*Tabelle5[[#This Row],[binding_level]]</f>
        <v>0</v>
      </c>
    </row>
    <row r="579" spans="1:11" x14ac:dyDescent="0.25">
      <c r="A579" s="24">
        <v>15</v>
      </c>
      <c r="B579" s="2">
        <v>91</v>
      </c>
      <c r="C579" s="2" t="s">
        <v>61</v>
      </c>
      <c r="D579" s="3">
        <v>0</v>
      </c>
      <c r="E579" s="1"/>
      <c r="I579" s="1" t="s">
        <v>1457</v>
      </c>
      <c r="J579" t="s">
        <v>4417</v>
      </c>
      <c r="K579" s="25">
        <f>Tabelle5[[#This Row],[value_present]]*Tabelle5[[#This Row],[binding_level]]</f>
        <v>0</v>
      </c>
    </row>
    <row r="580" spans="1:11" x14ac:dyDescent="0.25">
      <c r="A580" s="24">
        <v>15</v>
      </c>
      <c r="B580" s="2">
        <v>91</v>
      </c>
      <c r="C580" s="2" t="s">
        <v>69</v>
      </c>
      <c r="D580" s="3">
        <v>0</v>
      </c>
      <c r="E580" s="1"/>
      <c r="I580" s="1" t="s">
        <v>1456</v>
      </c>
      <c r="J580" t="s">
        <v>4418</v>
      </c>
      <c r="K580" s="25">
        <f>Tabelle5[[#This Row],[value_present]]*Tabelle5[[#This Row],[binding_level]]</f>
        <v>0</v>
      </c>
    </row>
    <row r="581" spans="1:11" x14ac:dyDescent="0.25">
      <c r="A581" s="24">
        <v>15</v>
      </c>
      <c r="B581" s="2">
        <v>91</v>
      </c>
      <c r="C581" s="2" t="s">
        <v>76</v>
      </c>
      <c r="D581" s="3">
        <v>0</v>
      </c>
      <c r="E581" s="1"/>
      <c r="I581" s="1" t="s">
        <v>1456</v>
      </c>
      <c r="J581" t="s">
        <v>4419</v>
      </c>
      <c r="K581" s="25">
        <f>Tabelle5[[#This Row],[value_present]]*Tabelle5[[#This Row],[binding_level]]</f>
        <v>0</v>
      </c>
    </row>
    <row r="582" spans="1:11" x14ac:dyDescent="0.25">
      <c r="A582" s="24">
        <v>15</v>
      </c>
      <c r="B582" s="2">
        <v>91</v>
      </c>
      <c r="C582" s="2" t="s">
        <v>83</v>
      </c>
      <c r="D582" s="3">
        <v>0</v>
      </c>
      <c r="E582" s="1"/>
      <c r="I582" s="1" t="s">
        <v>1456</v>
      </c>
      <c r="J582" t="s">
        <v>4420</v>
      </c>
      <c r="K582" s="25">
        <f>Tabelle5[[#This Row],[value_present]]*Tabelle5[[#This Row],[binding_level]]</f>
        <v>0</v>
      </c>
    </row>
    <row r="583" spans="1:11" x14ac:dyDescent="0.25">
      <c r="A583" s="24">
        <v>15</v>
      </c>
      <c r="B583" s="2">
        <v>91</v>
      </c>
      <c r="C583" s="2" t="s">
        <v>90</v>
      </c>
      <c r="D583" s="3">
        <v>1</v>
      </c>
      <c r="E583" s="1">
        <v>3</v>
      </c>
      <c r="F583" t="s">
        <v>4437</v>
      </c>
      <c r="G583" t="s">
        <v>4436</v>
      </c>
      <c r="H583" t="s">
        <v>4421</v>
      </c>
      <c r="I583" s="1" t="s">
        <v>1456</v>
      </c>
      <c r="J583" t="s">
        <v>4422</v>
      </c>
      <c r="K583" s="25">
        <f>Tabelle5[[#This Row],[value_present]]*Tabelle5[[#This Row],[binding_level]]</f>
        <v>3</v>
      </c>
    </row>
    <row r="584" spans="1:11" x14ac:dyDescent="0.25">
      <c r="A584" s="24">
        <v>15</v>
      </c>
      <c r="B584" s="2">
        <v>91</v>
      </c>
      <c r="C584" s="2" t="s">
        <v>98</v>
      </c>
      <c r="D584" s="3">
        <v>0</v>
      </c>
      <c r="E584" s="1"/>
      <c r="I584" s="1" t="s">
        <v>1457</v>
      </c>
      <c r="J584" t="s">
        <v>4423</v>
      </c>
      <c r="K584" s="25">
        <f>Tabelle5[[#This Row],[value_present]]*Tabelle5[[#This Row],[binding_level]]</f>
        <v>0</v>
      </c>
    </row>
    <row r="585" spans="1:11" x14ac:dyDescent="0.25">
      <c r="A585" s="24">
        <v>15</v>
      </c>
      <c r="B585" s="2">
        <v>91</v>
      </c>
      <c r="C585" s="2" t="s">
        <v>106</v>
      </c>
      <c r="D585" s="3">
        <v>0</v>
      </c>
      <c r="E585" s="1"/>
      <c r="I585" s="1" t="s">
        <v>1456</v>
      </c>
      <c r="J585" t="s">
        <v>4424</v>
      </c>
      <c r="K585" s="25">
        <f>Tabelle5[[#This Row],[value_present]]*Tabelle5[[#This Row],[binding_level]]</f>
        <v>0</v>
      </c>
    </row>
    <row r="586" spans="1:11" x14ac:dyDescent="0.25">
      <c r="A586" s="24">
        <v>15</v>
      </c>
      <c r="B586" s="2">
        <v>91</v>
      </c>
      <c r="C586" s="2" t="s">
        <v>112</v>
      </c>
      <c r="D586" s="3">
        <v>0</v>
      </c>
      <c r="E586" s="1"/>
      <c r="I586" s="1" t="s">
        <v>1456</v>
      </c>
      <c r="J586" t="s">
        <v>4425</v>
      </c>
      <c r="K586" s="25">
        <f>Tabelle5[[#This Row],[value_present]]*Tabelle5[[#This Row],[binding_level]]</f>
        <v>0</v>
      </c>
    </row>
    <row r="587" spans="1:11" x14ac:dyDescent="0.25">
      <c r="A587" s="24">
        <v>15</v>
      </c>
      <c r="B587" s="2">
        <v>91</v>
      </c>
      <c r="C587" s="2" t="s">
        <v>118</v>
      </c>
      <c r="D587" s="3">
        <v>0</v>
      </c>
      <c r="E587" s="1"/>
      <c r="I587" s="1" t="s">
        <v>1456</v>
      </c>
      <c r="J587" t="s">
        <v>4344</v>
      </c>
      <c r="K587" s="25">
        <f>Tabelle5[[#This Row],[value_present]]*Tabelle5[[#This Row],[binding_level]]</f>
        <v>0</v>
      </c>
    </row>
    <row r="588" spans="1:11" x14ac:dyDescent="0.25">
      <c r="A588" s="24">
        <v>15</v>
      </c>
      <c r="B588" s="2">
        <v>91</v>
      </c>
      <c r="C588" s="2" t="s">
        <v>125</v>
      </c>
      <c r="D588" s="3">
        <v>0</v>
      </c>
      <c r="E588" s="1"/>
      <c r="I588" s="1" t="s">
        <v>1456</v>
      </c>
      <c r="J588" t="s">
        <v>4426</v>
      </c>
      <c r="K588" s="25">
        <f>Tabelle5[[#This Row],[value_present]]*Tabelle5[[#This Row],[binding_level]]</f>
        <v>0</v>
      </c>
    </row>
    <row r="589" spans="1:11" x14ac:dyDescent="0.25">
      <c r="A589" s="24">
        <v>15</v>
      </c>
      <c r="B589" s="2">
        <v>91</v>
      </c>
      <c r="C589" s="2" t="s">
        <v>132</v>
      </c>
      <c r="D589" s="3">
        <v>0</v>
      </c>
      <c r="E589" s="1"/>
      <c r="I589" s="1" t="s">
        <v>1456</v>
      </c>
      <c r="J589" t="s">
        <v>4427</v>
      </c>
      <c r="K589" s="25">
        <f>Tabelle5[[#This Row],[value_present]]*Tabelle5[[#This Row],[binding_level]]</f>
        <v>0</v>
      </c>
    </row>
    <row r="590" spans="1:11" x14ac:dyDescent="0.25">
      <c r="A590" s="24">
        <v>15</v>
      </c>
      <c r="B590" s="2">
        <v>91</v>
      </c>
      <c r="C590" s="2" t="s">
        <v>140</v>
      </c>
      <c r="D590" s="3">
        <v>0</v>
      </c>
      <c r="E590" s="1"/>
      <c r="I590" s="1" t="s">
        <v>1457</v>
      </c>
      <c r="J590" t="s">
        <v>4428</v>
      </c>
      <c r="K590" s="25">
        <f>Tabelle5[[#This Row],[value_present]]*Tabelle5[[#This Row],[binding_level]]</f>
        <v>0</v>
      </c>
    </row>
    <row r="591" spans="1:11" x14ac:dyDescent="0.25">
      <c r="A591" s="24">
        <v>15</v>
      </c>
      <c r="B591" s="2">
        <v>91</v>
      </c>
      <c r="C591" s="2" t="s">
        <v>147</v>
      </c>
      <c r="D591" s="3">
        <v>1</v>
      </c>
      <c r="E591" s="1">
        <v>3</v>
      </c>
      <c r="F591" t="s">
        <v>4439</v>
      </c>
      <c r="G591" t="s">
        <v>4438</v>
      </c>
      <c r="H591" t="s">
        <v>4429</v>
      </c>
      <c r="I591" s="1" t="s">
        <v>1456</v>
      </c>
      <c r="J591" t="s">
        <v>4430</v>
      </c>
      <c r="K591" s="25">
        <f>Tabelle5[[#This Row],[value_present]]*Tabelle5[[#This Row],[binding_level]]</f>
        <v>3</v>
      </c>
    </row>
    <row r="592" spans="1:11" x14ac:dyDescent="0.25">
      <c r="A592" s="24">
        <v>15</v>
      </c>
      <c r="B592" s="2">
        <v>91</v>
      </c>
      <c r="C592" s="2" t="s">
        <v>154</v>
      </c>
      <c r="D592" s="3">
        <v>1</v>
      </c>
      <c r="E592" s="1">
        <v>3</v>
      </c>
      <c r="F592" t="s">
        <v>4441</v>
      </c>
      <c r="G592" t="s">
        <v>4440</v>
      </c>
      <c r="H592" t="s">
        <v>4431</v>
      </c>
      <c r="I592" s="1" t="s">
        <v>1456</v>
      </c>
      <c r="J592" t="s">
        <v>4432</v>
      </c>
      <c r="K592" s="25">
        <f>Tabelle5[[#This Row],[value_present]]*Tabelle5[[#This Row],[binding_level]]</f>
        <v>3</v>
      </c>
    </row>
    <row r="593" spans="1:11" x14ac:dyDescent="0.25">
      <c r="A593" s="24">
        <v>15</v>
      </c>
      <c r="B593" s="2">
        <v>91</v>
      </c>
      <c r="C593" s="2" t="s">
        <v>161</v>
      </c>
      <c r="D593" s="3">
        <v>0</v>
      </c>
      <c r="E593" s="1"/>
      <c r="I593" s="1" t="s">
        <v>1457</v>
      </c>
      <c r="J593" t="s">
        <v>4433</v>
      </c>
      <c r="K593" s="25">
        <f>Tabelle5[[#This Row],[value_present]]*Tabelle5[[#This Row],[binding_level]]</f>
        <v>0</v>
      </c>
    </row>
    <row r="594" spans="1:11" x14ac:dyDescent="0.25">
      <c r="A594" s="24">
        <v>15</v>
      </c>
      <c r="B594" s="2">
        <v>91</v>
      </c>
      <c r="C594" s="2" t="s">
        <v>166</v>
      </c>
      <c r="D594" s="3">
        <v>0</v>
      </c>
      <c r="E594" s="1"/>
      <c r="I594" s="1" t="s">
        <v>1456</v>
      </c>
      <c r="J594" t="s">
        <v>4434</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4435</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4473</v>
      </c>
      <c r="K596" s="23">
        <f>Tabelle5[[#This Row],[value_present]]*Tabelle5[[#This Row],[binding_level]]</f>
        <v>0</v>
      </c>
    </row>
    <row r="597" spans="1:11" x14ac:dyDescent="0.25">
      <c r="A597" s="24">
        <v>15</v>
      </c>
      <c r="B597" s="2">
        <v>92</v>
      </c>
      <c r="C597" s="2" t="s">
        <v>61</v>
      </c>
      <c r="D597" s="3">
        <v>0</v>
      </c>
      <c r="E597" s="1"/>
      <c r="I597" s="1" t="s">
        <v>1457</v>
      </c>
      <c r="J597" t="s">
        <v>4474</v>
      </c>
      <c r="K597" s="25">
        <f>Tabelle5[[#This Row],[value_present]]*Tabelle5[[#This Row],[binding_level]]</f>
        <v>0</v>
      </c>
    </row>
    <row r="598" spans="1:11" x14ac:dyDescent="0.25">
      <c r="A598" s="24">
        <v>15</v>
      </c>
      <c r="B598" s="2">
        <v>92</v>
      </c>
      <c r="C598" s="2" t="s">
        <v>69</v>
      </c>
      <c r="D598" s="3">
        <v>1</v>
      </c>
      <c r="E598" s="1">
        <v>1</v>
      </c>
      <c r="F598" t="s">
        <v>4490</v>
      </c>
      <c r="G598" t="s">
        <v>4491</v>
      </c>
      <c r="H598" t="s">
        <v>2700</v>
      </c>
      <c r="I598" s="1" t="s">
        <v>1457</v>
      </c>
      <c r="J598" t="s">
        <v>4475</v>
      </c>
      <c r="K598" s="25">
        <f>Tabelle5[[#This Row],[value_present]]*Tabelle5[[#This Row],[binding_level]]</f>
        <v>1</v>
      </c>
    </row>
    <row r="599" spans="1:11" x14ac:dyDescent="0.25">
      <c r="A599" s="24">
        <v>15</v>
      </c>
      <c r="B599" s="2">
        <v>92</v>
      </c>
      <c r="C599" s="2" t="s">
        <v>76</v>
      </c>
      <c r="D599" s="3">
        <v>0</v>
      </c>
      <c r="E599" s="1"/>
      <c r="I599" s="1" t="s">
        <v>1456</v>
      </c>
      <c r="J599" t="s">
        <v>4419</v>
      </c>
      <c r="K599" s="25">
        <f>Tabelle5[[#This Row],[value_present]]*Tabelle5[[#This Row],[binding_level]]</f>
        <v>0</v>
      </c>
    </row>
    <row r="600" spans="1:11" x14ac:dyDescent="0.25">
      <c r="A600" s="24">
        <v>15</v>
      </c>
      <c r="B600" s="2">
        <v>92</v>
      </c>
      <c r="C600" s="2" t="s">
        <v>83</v>
      </c>
      <c r="D600" s="3">
        <v>0</v>
      </c>
      <c r="E600" s="1"/>
      <c r="I600" s="1" t="s">
        <v>1456</v>
      </c>
      <c r="J600" t="s">
        <v>4292</v>
      </c>
      <c r="K600" s="25">
        <f>Tabelle5[[#This Row],[value_present]]*Tabelle5[[#This Row],[binding_level]]</f>
        <v>0</v>
      </c>
    </row>
    <row r="601" spans="1:11" x14ac:dyDescent="0.25">
      <c r="A601" s="24">
        <v>15</v>
      </c>
      <c r="B601" s="2">
        <v>92</v>
      </c>
      <c r="C601" s="2" t="s">
        <v>90</v>
      </c>
      <c r="D601" s="3">
        <v>1</v>
      </c>
      <c r="E601" s="1">
        <v>3</v>
      </c>
      <c r="F601" t="s">
        <v>4492</v>
      </c>
      <c r="G601" t="s">
        <v>4493</v>
      </c>
      <c r="H601" t="s">
        <v>4476</v>
      </c>
      <c r="I601" s="1" t="s">
        <v>1456</v>
      </c>
      <c r="J601" t="s">
        <v>4477</v>
      </c>
      <c r="K601" s="25">
        <f>Tabelle5[[#This Row],[value_present]]*Tabelle5[[#This Row],[binding_level]]</f>
        <v>3</v>
      </c>
    </row>
    <row r="602" spans="1:11" x14ac:dyDescent="0.25">
      <c r="A602" s="24">
        <v>15</v>
      </c>
      <c r="B602" s="2">
        <v>92</v>
      </c>
      <c r="C602" s="2" t="s">
        <v>98</v>
      </c>
      <c r="D602" s="3">
        <v>1</v>
      </c>
      <c r="E602" s="1">
        <v>3</v>
      </c>
      <c r="F602" t="s">
        <v>4494</v>
      </c>
      <c r="G602" t="s">
        <v>4493</v>
      </c>
      <c r="H602" t="s">
        <v>4476</v>
      </c>
      <c r="I602" s="1" t="s">
        <v>1456</v>
      </c>
      <c r="J602" t="s">
        <v>4478</v>
      </c>
      <c r="K602" s="25">
        <f>Tabelle5[[#This Row],[value_present]]*Tabelle5[[#This Row],[binding_level]]</f>
        <v>3</v>
      </c>
    </row>
    <row r="603" spans="1:11" x14ac:dyDescent="0.25">
      <c r="A603" s="24">
        <v>15</v>
      </c>
      <c r="B603" s="2">
        <v>92</v>
      </c>
      <c r="C603" s="2" t="s">
        <v>106</v>
      </c>
      <c r="D603" s="3">
        <v>1</v>
      </c>
      <c r="E603" s="1">
        <v>1</v>
      </c>
      <c r="F603" t="s">
        <v>4495</v>
      </c>
      <c r="G603" t="s">
        <v>4491</v>
      </c>
      <c r="H603" t="s">
        <v>2700</v>
      </c>
      <c r="I603" s="1" t="s">
        <v>1457</v>
      </c>
      <c r="J603" t="s">
        <v>4479</v>
      </c>
      <c r="K603" s="25">
        <f>Tabelle5[[#This Row],[value_present]]*Tabelle5[[#This Row],[binding_level]]</f>
        <v>1</v>
      </c>
    </row>
    <row r="604" spans="1:11" x14ac:dyDescent="0.25">
      <c r="A604" s="24">
        <v>15</v>
      </c>
      <c r="B604" s="2">
        <v>92</v>
      </c>
      <c r="C604" s="2" t="s">
        <v>112</v>
      </c>
      <c r="D604" s="3">
        <v>0</v>
      </c>
      <c r="E604" s="1"/>
      <c r="I604" s="1" t="s">
        <v>1456</v>
      </c>
      <c r="J604" t="s">
        <v>4425</v>
      </c>
      <c r="K604" s="25">
        <f>Tabelle5[[#This Row],[value_present]]*Tabelle5[[#This Row],[binding_level]]</f>
        <v>0</v>
      </c>
    </row>
    <row r="605" spans="1:11" x14ac:dyDescent="0.25">
      <c r="A605" s="24">
        <v>15</v>
      </c>
      <c r="B605" s="2">
        <v>92</v>
      </c>
      <c r="C605" s="2" t="s">
        <v>118</v>
      </c>
      <c r="D605" s="3">
        <v>0</v>
      </c>
      <c r="E605" s="1"/>
      <c r="I605" s="1" t="s">
        <v>1456</v>
      </c>
      <c r="J605" t="s">
        <v>4480</v>
      </c>
      <c r="K605" s="25">
        <f>Tabelle5[[#This Row],[value_present]]*Tabelle5[[#This Row],[binding_level]]</f>
        <v>0</v>
      </c>
    </row>
    <row r="606" spans="1:11" x14ac:dyDescent="0.25">
      <c r="A606" s="24">
        <v>15</v>
      </c>
      <c r="B606" s="2">
        <v>92</v>
      </c>
      <c r="C606" s="2" t="s">
        <v>125</v>
      </c>
      <c r="D606" s="3">
        <v>0</v>
      </c>
      <c r="E606" s="1"/>
      <c r="I606" s="1" t="s">
        <v>1456</v>
      </c>
      <c r="J606" t="s">
        <v>4118</v>
      </c>
      <c r="K606" s="25">
        <f>Tabelle5[[#This Row],[value_present]]*Tabelle5[[#This Row],[binding_level]]</f>
        <v>0</v>
      </c>
    </row>
    <row r="607" spans="1:11" x14ac:dyDescent="0.25">
      <c r="A607" s="24">
        <v>15</v>
      </c>
      <c r="B607" s="2">
        <v>92</v>
      </c>
      <c r="C607" s="2" t="s">
        <v>132</v>
      </c>
      <c r="D607" s="3">
        <v>0</v>
      </c>
      <c r="E607" s="1"/>
      <c r="I607" s="1" t="s">
        <v>1456</v>
      </c>
      <c r="J607" t="s">
        <v>4481</v>
      </c>
      <c r="K607" s="25">
        <f>Tabelle5[[#This Row],[value_present]]*Tabelle5[[#This Row],[binding_level]]</f>
        <v>0</v>
      </c>
    </row>
    <row r="608" spans="1:11" x14ac:dyDescent="0.25">
      <c r="A608" s="24">
        <v>15</v>
      </c>
      <c r="B608" s="2">
        <v>92</v>
      </c>
      <c r="C608" s="2" t="s">
        <v>140</v>
      </c>
      <c r="D608" s="3">
        <v>0</v>
      </c>
      <c r="E608" s="1"/>
      <c r="I608" s="1" t="s">
        <v>1457</v>
      </c>
      <c r="J608" t="s">
        <v>4482</v>
      </c>
      <c r="K608" s="25">
        <f>Tabelle5[[#This Row],[value_present]]*Tabelle5[[#This Row],[binding_level]]</f>
        <v>0</v>
      </c>
    </row>
    <row r="609" spans="1:11" x14ac:dyDescent="0.25">
      <c r="A609" s="24">
        <v>15</v>
      </c>
      <c r="B609" s="2">
        <v>92</v>
      </c>
      <c r="C609" s="2" t="s">
        <v>147</v>
      </c>
      <c r="D609" s="3">
        <v>1</v>
      </c>
      <c r="E609" s="1">
        <v>3</v>
      </c>
      <c r="F609" t="s">
        <v>4497</v>
      </c>
      <c r="G609" t="s">
        <v>4496</v>
      </c>
      <c r="H609" t="s">
        <v>4483</v>
      </c>
      <c r="I609" s="1" t="s">
        <v>1456</v>
      </c>
      <c r="J609" t="s">
        <v>4484</v>
      </c>
      <c r="K609" s="25">
        <f>Tabelle5[[#This Row],[value_present]]*Tabelle5[[#This Row],[binding_level]]</f>
        <v>3</v>
      </c>
    </row>
    <row r="610" spans="1:11" x14ac:dyDescent="0.25">
      <c r="A610" s="24">
        <v>15</v>
      </c>
      <c r="B610" s="2">
        <v>92</v>
      </c>
      <c r="C610" s="2" t="s">
        <v>154</v>
      </c>
      <c r="D610" s="3">
        <v>1</v>
      </c>
      <c r="E610" s="1">
        <v>3</v>
      </c>
      <c r="F610" t="s">
        <v>4499</v>
      </c>
      <c r="G610" t="s">
        <v>4498</v>
      </c>
      <c r="H610" t="s">
        <v>4485</v>
      </c>
      <c r="I610" s="1" t="s">
        <v>1456</v>
      </c>
      <c r="J610" t="s">
        <v>4486</v>
      </c>
      <c r="K610" s="25">
        <f>Tabelle5[[#This Row],[value_present]]*Tabelle5[[#This Row],[binding_level]]</f>
        <v>3</v>
      </c>
    </row>
    <row r="611" spans="1:11" x14ac:dyDescent="0.25">
      <c r="A611" s="24">
        <v>15</v>
      </c>
      <c r="B611" s="2">
        <v>92</v>
      </c>
      <c r="C611" s="2" t="s">
        <v>161</v>
      </c>
      <c r="D611" s="3">
        <v>0</v>
      </c>
      <c r="E611" s="1"/>
      <c r="I611" s="1" t="s">
        <v>1457</v>
      </c>
      <c r="J611" t="s">
        <v>4487</v>
      </c>
      <c r="K611" s="25">
        <f>Tabelle5[[#This Row],[value_present]]*Tabelle5[[#This Row],[binding_level]]</f>
        <v>0</v>
      </c>
    </row>
    <row r="612" spans="1:11" x14ac:dyDescent="0.25">
      <c r="A612" s="24">
        <v>15</v>
      </c>
      <c r="B612" s="2">
        <v>92</v>
      </c>
      <c r="C612" s="2" t="s">
        <v>166</v>
      </c>
      <c r="D612" s="3">
        <v>0</v>
      </c>
      <c r="E612" s="1"/>
      <c r="I612" s="1" t="s">
        <v>1456</v>
      </c>
      <c r="J612" t="s">
        <v>4488</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4489</v>
      </c>
      <c r="K613" s="31">
        <f>Tabelle5[[#This Row],[value_present]]*Tabelle5[[#This Row],[binding_level]]</f>
        <v>0</v>
      </c>
    </row>
    <row r="614" spans="1:11" x14ac:dyDescent="0.25">
      <c r="A614" s="18">
        <v>15</v>
      </c>
      <c r="B614" s="19">
        <v>93</v>
      </c>
      <c r="C614" s="19" t="s">
        <v>53</v>
      </c>
      <c r="D614" s="20">
        <v>1</v>
      </c>
      <c r="E614" s="21">
        <v>2</v>
      </c>
      <c r="F614" t="s">
        <v>4554</v>
      </c>
      <c r="G614" t="s">
        <v>4553</v>
      </c>
      <c r="H614" s="22" t="s">
        <v>4518</v>
      </c>
      <c r="I614" s="21" t="s">
        <v>1456</v>
      </c>
      <c r="J614" s="22" t="s">
        <v>4519</v>
      </c>
      <c r="K614" s="23">
        <f>Tabelle5[[#This Row],[value_present]]*Tabelle5[[#This Row],[binding_level]]</f>
        <v>2</v>
      </c>
    </row>
    <row r="615" spans="1:11" x14ac:dyDescent="0.25">
      <c r="A615" s="24">
        <v>15</v>
      </c>
      <c r="B615" s="2">
        <v>93</v>
      </c>
      <c r="C615" s="2" t="s">
        <v>61</v>
      </c>
      <c r="D615" s="3">
        <v>1</v>
      </c>
      <c r="E615" s="1">
        <v>2</v>
      </c>
      <c r="F615" t="s">
        <v>4556</v>
      </c>
      <c r="G615" t="s">
        <v>4555</v>
      </c>
      <c r="H615" t="s">
        <v>4520</v>
      </c>
      <c r="I615" s="1" t="s">
        <v>1456</v>
      </c>
      <c r="J615" t="s">
        <v>4521</v>
      </c>
      <c r="K615" s="25">
        <f>Tabelle5[[#This Row],[value_present]]*Tabelle5[[#This Row],[binding_level]]</f>
        <v>2</v>
      </c>
    </row>
    <row r="616" spans="1:11" x14ac:dyDescent="0.25">
      <c r="A616" s="24">
        <v>15</v>
      </c>
      <c r="B616" s="2">
        <v>93</v>
      </c>
      <c r="C616" s="2" t="s">
        <v>69</v>
      </c>
      <c r="D616" s="3">
        <v>1</v>
      </c>
      <c r="E616" s="1">
        <v>2</v>
      </c>
      <c r="F616" t="s">
        <v>4557</v>
      </c>
      <c r="G616" t="s">
        <v>4558</v>
      </c>
      <c r="H616" t="s">
        <v>4522</v>
      </c>
      <c r="I616" s="1" t="s">
        <v>1456</v>
      </c>
      <c r="J616" t="s">
        <v>4523</v>
      </c>
      <c r="K616" s="25">
        <f>Tabelle5[[#This Row],[value_present]]*Tabelle5[[#This Row],[binding_level]]</f>
        <v>2</v>
      </c>
    </row>
    <row r="617" spans="1:11" x14ac:dyDescent="0.25">
      <c r="A617" s="24">
        <v>15</v>
      </c>
      <c r="B617" s="2">
        <v>93</v>
      </c>
      <c r="C617" s="2" t="s">
        <v>76</v>
      </c>
      <c r="D617" s="3">
        <v>1</v>
      </c>
      <c r="E617" s="1">
        <v>1</v>
      </c>
      <c r="F617" t="s">
        <v>4545</v>
      </c>
      <c r="G617" t="s">
        <v>4546</v>
      </c>
      <c r="H617" t="s">
        <v>4524</v>
      </c>
      <c r="I617" s="1" t="s">
        <v>1457</v>
      </c>
      <c r="J617" t="s">
        <v>4525</v>
      </c>
      <c r="K617" s="25">
        <f>Tabelle5[[#This Row],[value_present]]*Tabelle5[[#This Row],[binding_level]]</f>
        <v>1</v>
      </c>
    </row>
    <row r="618" spans="1:11" x14ac:dyDescent="0.25">
      <c r="A618" s="24">
        <v>15</v>
      </c>
      <c r="B618" s="2">
        <v>93</v>
      </c>
      <c r="C618" s="2" t="s">
        <v>83</v>
      </c>
      <c r="D618" s="3">
        <v>0</v>
      </c>
      <c r="E618" s="1"/>
      <c r="I618" s="1" t="s">
        <v>1541</v>
      </c>
      <c r="J618" t="s">
        <v>4526</v>
      </c>
      <c r="K618" s="25">
        <f>Tabelle5[[#This Row],[value_present]]*Tabelle5[[#This Row],[binding_level]]</f>
        <v>0</v>
      </c>
    </row>
    <row r="619" spans="1:11" x14ac:dyDescent="0.25">
      <c r="A619" s="24">
        <v>15</v>
      </c>
      <c r="B619" s="2">
        <v>93</v>
      </c>
      <c r="C619" s="2" t="s">
        <v>90</v>
      </c>
      <c r="D619" s="3">
        <v>1</v>
      </c>
      <c r="E619" s="1">
        <v>3</v>
      </c>
      <c r="F619" t="s">
        <v>4560</v>
      </c>
      <c r="G619" t="s">
        <v>4559</v>
      </c>
      <c r="H619" t="s">
        <v>4520</v>
      </c>
      <c r="I619" s="1" t="s">
        <v>1456</v>
      </c>
      <c r="J619" t="s">
        <v>4527</v>
      </c>
      <c r="K619" s="25">
        <f>Tabelle5[[#This Row],[value_present]]*Tabelle5[[#This Row],[binding_level]]</f>
        <v>3</v>
      </c>
    </row>
    <row r="620" spans="1:11" x14ac:dyDescent="0.25">
      <c r="A620" s="24">
        <v>15</v>
      </c>
      <c r="B620" s="2">
        <v>93</v>
      </c>
      <c r="C620" s="2" t="s">
        <v>98</v>
      </c>
      <c r="D620" s="3">
        <v>0</v>
      </c>
      <c r="E620" s="1"/>
      <c r="I620" s="1" t="s">
        <v>1457</v>
      </c>
      <c r="J620" t="s">
        <v>4528</v>
      </c>
      <c r="K620" s="25">
        <f>Tabelle5[[#This Row],[value_present]]*Tabelle5[[#This Row],[binding_level]]</f>
        <v>0</v>
      </c>
    </row>
    <row r="621" spans="1:11" x14ac:dyDescent="0.25">
      <c r="A621" s="24">
        <v>15</v>
      </c>
      <c r="B621" s="2">
        <v>93</v>
      </c>
      <c r="C621" s="2" t="s">
        <v>106</v>
      </c>
      <c r="D621" s="3">
        <v>1</v>
      </c>
      <c r="E621" s="1">
        <v>1</v>
      </c>
      <c r="F621" t="s">
        <v>4547</v>
      </c>
      <c r="G621" t="s">
        <v>4548</v>
      </c>
      <c r="H621" t="s">
        <v>4529</v>
      </c>
      <c r="I621" s="1" t="s">
        <v>1457</v>
      </c>
      <c r="J621" t="s">
        <v>4530</v>
      </c>
      <c r="K621" s="25">
        <f>Tabelle5[[#This Row],[value_present]]*Tabelle5[[#This Row],[binding_level]]</f>
        <v>1</v>
      </c>
    </row>
    <row r="622" spans="1:11" x14ac:dyDescent="0.25">
      <c r="A622" s="24">
        <v>15</v>
      </c>
      <c r="B622" s="2">
        <v>93</v>
      </c>
      <c r="C622" s="2" t="s">
        <v>112</v>
      </c>
      <c r="D622" s="3">
        <v>1</v>
      </c>
      <c r="E622" s="1">
        <v>1</v>
      </c>
      <c r="F622" t="s">
        <v>4549</v>
      </c>
      <c r="G622" t="s">
        <v>4550</v>
      </c>
      <c r="H622" t="s">
        <v>4531</v>
      </c>
      <c r="I622" s="1" t="s">
        <v>1541</v>
      </c>
      <c r="J622" t="s">
        <v>4532</v>
      </c>
      <c r="K622" s="25">
        <f>Tabelle5[[#This Row],[value_present]]*Tabelle5[[#This Row],[binding_level]]</f>
        <v>1</v>
      </c>
    </row>
    <row r="623" spans="1:11" x14ac:dyDescent="0.25">
      <c r="A623" s="24">
        <v>15</v>
      </c>
      <c r="B623" s="2">
        <v>93</v>
      </c>
      <c r="C623" s="2" t="s">
        <v>118</v>
      </c>
      <c r="D623" s="3">
        <v>0</v>
      </c>
      <c r="E623" s="1"/>
      <c r="I623" s="1" t="s">
        <v>1456</v>
      </c>
      <c r="J623" t="s">
        <v>4533</v>
      </c>
      <c r="K623" s="25">
        <f>Tabelle5[[#This Row],[value_present]]*Tabelle5[[#This Row],[binding_level]]</f>
        <v>0</v>
      </c>
    </row>
    <row r="624" spans="1:11" x14ac:dyDescent="0.25">
      <c r="A624" s="24">
        <v>15</v>
      </c>
      <c r="B624" s="2">
        <v>93</v>
      </c>
      <c r="C624" s="2" t="s">
        <v>125</v>
      </c>
      <c r="D624" s="3">
        <v>0</v>
      </c>
      <c r="E624" s="1"/>
      <c r="I624" s="1" t="s">
        <v>1456</v>
      </c>
      <c r="J624" t="s">
        <v>4534</v>
      </c>
      <c r="K624" s="25">
        <f>Tabelle5[[#This Row],[value_present]]*Tabelle5[[#This Row],[binding_level]]</f>
        <v>0</v>
      </c>
    </row>
    <row r="625" spans="1:11" x14ac:dyDescent="0.25">
      <c r="A625" s="24">
        <v>15</v>
      </c>
      <c r="B625" s="2">
        <v>93</v>
      </c>
      <c r="C625" s="2" t="s">
        <v>132</v>
      </c>
      <c r="D625" s="3">
        <v>0</v>
      </c>
      <c r="E625" s="1"/>
      <c r="I625" s="1" t="s">
        <v>1456</v>
      </c>
      <c r="J625" t="s">
        <v>4535</v>
      </c>
      <c r="K625" s="25">
        <f>Tabelle5[[#This Row],[value_present]]*Tabelle5[[#This Row],[binding_level]]</f>
        <v>0</v>
      </c>
    </row>
    <row r="626" spans="1:11" x14ac:dyDescent="0.25">
      <c r="A626" s="24">
        <v>15</v>
      </c>
      <c r="B626" s="2">
        <v>93</v>
      </c>
      <c r="C626" s="2" t="s">
        <v>140</v>
      </c>
      <c r="D626" s="3">
        <v>1</v>
      </c>
      <c r="E626" s="1">
        <v>1</v>
      </c>
      <c r="F626" t="s">
        <v>4562</v>
      </c>
      <c r="G626" t="s">
        <v>4561</v>
      </c>
      <c r="H626" t="s">
        <v>4536</v>
      </c>
      <c r="I626" s="1" t="s">
        <v>1457</v>
      </c>
      <c r="J626" t="s">
        <v>4537</v>
      </c>
      <c r="K626" s="25">
        <f>Tabelle5[[#This Row],[value_present]]*Tabelle5[[#This Row],[binding_level]]</f>
        <v>1</v>
      </c>
    </row>
    <row r="627" spans="1:11" x14ac:dyDescent="0.25">
      <c r="A627" s="24">
        <v>15</v>
      </c>
      <c r="B627" s="2">
        <v>93</v>
      </c>
      <c r="C627" s="2" t="s">
        <v>147</v>
      </c>
      <c r="D627" s="3">
        <v>1</v>
      </c>
      <c r="E627" s="1">
        <v>2</v>
      </c>
      <c r="F627" t="s">
        <v>4564</v>
      </c>
      <c r="G627" t="s">
        <v>4563</v>
      </c>
      <c r="H627" t="s">
        <v>4518</v>
      </c>
      <c r="I627" s="1" t="s">
        <v>1456</v>
      </c>
      <c r="J627" t="s">
        <v>4538</v>
      </c>
      <c r="K627" s="25">
        <f>Tabelle5[[#This Row],[value_present]]*Tabelle5[[#This Row],[binding_level]]</f>
        <v>2</v>
      </c>
    </row>
    <row r="628" spans="1:11" x14ac:dyDescent="0.25">
      <c r="A628" s="24">
        <v>15</v>
      </c>
      <c r="B628" s="2">
        <v>93</v>
      </c>
      <c r="C628" s="2" t="s">
        <v>154</v>
      </c>
      <c r="D628" s="3">
        <v>1</v>
      </c>
      <c r="E628" s="1">
        <v>2</v>
      </c>
      <c r="F628" t="s">
        <v>4566</v>
      </c>
      <c r="G628" t="s">
        <v>4565</v>
      </c>
      <c r="H628" t="s">
        <v>4539</v>
      </c>
      <c r="I628" s="1" t="s">
        <v>1457</v>
      </c>
      <c r="J628" t="s">
        <v>4540</v>
      </c>
      <c r="K628" s="25">
        <f>Tabelle5[[#This Row],[value_present]]*Tabelle5[[#This Row],[binding_level]]</f>
        <v>2</v>
      </c>
    </row>
    <row r="629" spans="1:11" x14ac:dyDescent="0.25">
      <c r="A629" s="24">
        <v>15</v>
      </c>
      <c r="B629" s="2">
        <v>93</v>
      </c>
      <c r="C629" s="2" t="s">
        <v>161</v>
      </c>
      <c r="D629" s="3">
        <v>0</v>
      </c>
      <c r="E629" s="1"/>
      <c r="I629" s="1" t="s">
        <v>1457</v>
      </c>
      <c r="J629" t="s">
        <v>4541</v>
      </c>
      <c r="K629" s="25">
        <f>Tabelle5[[#This Row],[value_present]]*Tabelle5[[#This Row],[binding_level]]</f>
        <v>0</v>
      </c>
    </row>
    <row r="630" spans="1:11" x14ac:dyDescent="0.25">
      <c r="A630" s="24">
        <v>15</v>
      </c>
      <c r="B630" s="2">
        <v>93</v>
      </c>
      <c r="C630" s="2" t="s">
        <v>166</v>
      </c>
      <c r="D630" s="3">
        <v>1</v>
      </c>
      <c r="E630" s="1">
        <v>2</v>
      </c>
      <c r="F630" t="s">
        <v>4551</v>
      </c>
      <c r="G630" t="s">
        <v>4552</v>
      </c>
      <c r="H630" t="s">
        <v>4542</v>
      </c>
      <c r="I630" s="1" t="s">
        <v>1456</v>
      </c>
      <c r="J630" t="s">
        <v>4543</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4544</v>
      </c>
      <c r="K631" s="31">
        <f>Tabelle5[[#This Row],[value_present]]*Tabelle5[[#This Row],[binding_level]]</f>
        <v>0</v>
      </c>
    </row>
    <row r="632" spans="1:11" x14ac:dyDescent="0.25">
      <c r="A632" s="18">
        <v>15</v>
      </c>
      <c r="B632" s="19">
        <v>94</v>
      </c>
      <c r="C632" s="19" t="s">
        <v>53</v>
      </c>
      <c r="D632" s="20">
        <v>1</v>
      </c>
      <c r="E632" s="21">
        <v>3</v>
      </c>
      <c r="F632" t="s">
        <v>4641</v>
      </c>
      <c r="G632" t="s">
        <v>4640</v>
      </c>
      <c r="H632" s="22" t="s">
        <v>4620</v>
      </c>
      <c r="I632" s="21" t="s">
        <v>1456</v>
      </c>
      <c r="J632" s="22" t="s">
        <v>4597</v>
      </c>
      <c r="K632" s="23">
        <f>Tabelle5[[#This Row],[value_present]]*Tabelle5[[#This Row],[binding_level]]</f>
        <v>3</v>
      </c>
    </row>
    <row r="633" spans="1:11" x14ac:dyDescent="0.25">
      <c r="A633" s="24">
        <v>15</v>
      </c>
      <c r="B633" s="2">
        <v>94</v>
      </c>
      <c r="C633" s="2" t="s">
        <v>61</v>
      </c>
      <c r="D633" s="3">
        <v>1</v>
      </c>
      <c r="E633" s="1">
        <v>3</v>
      </c>
      <c r="F633" t="s">
        <v>4643</v>
      </c>
      <c r="G633" t="s">
        <v>4642</v>
      </c>
      <c r="H633" t="s">
        <v>4619</v>
      </c>
      <c r="I633" s="1" t="s">
        <v>1456</v>
      </c>
      <c r="J633" t="s">
        <v>4598</v>
      </c>
      <c r="K633" s="25">
        <f>Tabelle5[[#This Row],[value_present]]*Tabelle5[[#This Row],[binding_level]]</f>
        <v>3</v>
      </c>
    </row>
    <row r="634" spans="1:11" x14ac:dyDescent="0.25">
      <c r="A634" s="24">
        <v>15</v>
      </c>
      <c r="B634" s="2">
        <v>94</v>
      </c>
      <c r="C634" s="2" t="s">
        <v>69</v>
      </c>
      <c r="D634" s="3">
        <v>1</v>
      </c>
      <c r="E634" s="1">
        <v>3</v>
      </c>
      <c r="F634" t="s">
        <v>4645</v>
      </c>
      <c r="G634" t="s">
        <v>4644</v>
      </c>
      <c r="H634" t="s">
        <v>4621</v>
      </c>
      <c r="I634" s="1" t="s">
        <v>1456</v>
      </c>
      <c r="J634" t="s">
        <v>4599</v>
      </c>
      <c r="K634" s="25">
        <f>Tabelle5[[#This Row],[value_present]]*Tabelle5[[#This Row],[binding_level]]</f>
        <v>3</v>
      </c>
    </row>
    <row r="635" spans="1:11" x14ac:dyDescent="0.25">
      <c r="A635" s="24">
        <v>15</v>
      </c>
      <c r="B635" s="2">
        <v>94</v>
      </c>
      <c r="C635" s="2" t="s">
        <v>76</v>
      </c>
      <c r="D635" s="3">
        <v>1</v>
      </c>
      <c r="E635" s="1">
        <v>3</v>
      </c>
      <c r="F635" t="s">
        <v>4647</v>
      </c>
      <c r="G635" t="s">
        <v>4646</v>
      </c>
      <c r="H635" t="s">
        <v>4622</v>
      </c>
      <c r="I635" s="1" t="s">
        <v>1456</v>
      </c>
      <c r="J635" t="s">
        <v>4600</v>
      </c>
      <c r="K635" s="25">
        <f>Tabelle5[[#This Row],[value_present]]*Tabelle5[[#This Row],[binding_level]]</f>
        <v>3</v>
      </c>
    </row>
    <row r="636" spans="1:11" x14ac:dyDescent="0.25">
      <c r="A636" s="24">
        <v>15</v>
      </c>
      <c r="B636" s="2">
        <v>94</v>
      </c>
      <c r="C636" s="2" t="s">
        <v>83</v>
      </c>
      <c r="D636" s="3">
        <v>1</v>
      </c>
      <c r="E636" s="1">
        <v>3</v>
      </c>
      <c r="F636" t="s">
        <v>4649</v>
      </c>
      <c r="G636" t="s">
        <v>4648</v>
      </c>
      <c r="H636" t="s">
        <v>4623</v>
      </c>
      <c r="I636" s="1" t="s">
        <v>1456</v>
      </c>
      <c r="J636" t="s">
        <v>4601</v>
      </c>
      <c r="K636" s="25">
        <f>Tabelle5[[#This Row],[value_present]]*Tabelle5[[#This Row],[binding_level]]</f>
        <v>3</v>
      </c>
    </row>
    <row r="637" spans="1:11" x14ac:dyDescent="0.25">
      <c r="A637" s="24">
        <v>15</v>
      </c>
      <c r="B637" s="2">
        <v>94</v>
      </c>
      <c r="C637" s="2" t="s">
        <v>90</v>
      </c>
      <c r="D637" s="3">
        <v>1</v>
      </c>
      <c r="E637" s="1">
        <v>3</v>
      </c>
      <c r="F637" t="s">
        <v>4651</v>
      </c>
      <c r="G637" t="s">
        <v>4650</v>
      </c>
      <c r="H637" t="s">
        <v>4624</v>
      </c>
      <c r="I637" s="1" t="s">
        <v>1456</v>
      </c>
      <c r="J637" t="s">
        <v>4602</v>
      </c>
      <c r="K637" s="25">
        <f>Tabelle5[[#This Row],[value_present]]*Tabelle5[[#This Row],[binding_level]]</f>
        <v>3</v>
      </c>
    </row>
    <row r="638" spans="1:11" x14ac:dyDescent="0.25">
      <c r="A638" s="24">
        <v>15</v>
      </c>
      <c r="B638" s="2">
        <v>94</v>
      </c>
      <c r="C638" s="2" t="s">
        <v>98</v>
      </c>
      <c r="D638" s="3">
        <v>1</v>
      </c>
      <c r="E638" s="1">
        <v>3</v>
      </c>
      <c r="F638" t="s">
        <v>4653</v>
      </c>
      <c r="G638" t="s">
        <v>4652</v>
      </c>
      <c r="H638" t="s">
        <v>4625</v>
      </c>
      <c r="I638" s="1" t="s">
        <v>1456</v>
      </c>
      <c r="J638" t="s">
        <v>4603</v>
      </c>
      <c r="K638" s="25">
        <f>Tabelle5[[#This Row],[value_present]]*Tabelle5[[#This Row],[binding_level]]</f>
        <v>3</v>
      </c>
    </row>
    <row r="639" spans="1:11" x14ac:dyDescent="0.25">
      <c r="A639" s="24">
        <v>15</v>
      </c>
      <c r="B639" s="2">
        <v>94</v>
      </c>
      <c r="C639" s="2" t="s">
        <v>106</v>
      </c>
      <c r="D639" s="3">
        <v>1</v>
      </c>
      <c r="E639" s="1">
        <v>3</v>
      </c>
      <c r="F639" t="s">
        <v>4655</v>
      </c>
      <c r="G639" t="s">
        <v>4654</v>
      </c>
      <c r="H639" t="s">
        <v>4626</v>
      </c>
      <c r="I639" s="1" t="s">
        <v>1456</v>
      </c>
      <c r="J639" t="s">
        <v>4604</v>
      </c>
      <c r="K639" s="25">
        <f>Tabelle5[[#This Row],[value_present]]*Tabelle5[[#This Row],[binding_level]]</f>
        <v>3</v>
      </c>
    </row>
    <row r="640" spans="1:11" x14ac:dyDescent="0.25">
      <c r="A640" s="24">
        <v>15</v>
      </c>
      <c r="B640" s="2">
        <v>94</v>
      </c>
      <c r="C640" s="2" t="s">
        <v>112</v>
      </c>
      <c r="D640" s="3">
        <v>1</v>
      </c>
      <c r="E640" s="1">
        <v>3</v>
      </c>
      <c r="F640" t="s">
        <v>4657</v>
      </c>
      <c r="G640" t="s">
        <v>4656</v>
      </c>
      <c r="H640" t="s">
        <v>4627</v>
      </c>
      <c r="I640" s="1" t="s">
        <v>1456</v>
      </c>
      <c r="J640" t="s">
        <v>4605</v>
      </c>
      <c r="K640" s="25">
        <f>Tabelle5[[#This Row],[value_present]]*Tabelle5[[#This Row],[binding_level]]</f>
        <v>3</v>
      </c>
    </row>
    <row r="641" spans="1:11" x14ac:dyDescent="0.25">
      <c r="A641" s="24">
        <v>15</v>
      </c>
      <c r="B641" s="2">
        <v>94</v>
      </c>
      <c r="C641" s="2" t="s">
        <v>118</v>
      </c>
      <c r="D641" s="3">
        <v>1</v>
      </c>
      <c r="E641" s="1">
        <v>3</v>
      </c>
      <c r="F641" t="s">
        <v>4634</v>
      </c>
      <c r="G641" t="s">
        <v>4635</v>
      </c>
      <c r="H641" t="s">
        <v>4615</v>
      </c>
      <c r="I641" s="1" t="s">
        <v>1457</v>
      </c>
      <c r="J641" t="s">
        <v>4606</v>
      </c>
      <c r="K641" s="25">
        <f>Tabelle5[[#This Row],[value_present]]*Tabelle5[[#This Row],[binding_level]]</f>
        <v>3</v>
      </c>
    </row>
    <row r="642" spans="1:11" x14ac:dyDescent="0.25">
      <c r="A642" s="24">
        <v>15</v>
      </c>
      <c r="B642" s="2">
        <v>94</v>
      </c>
      <c r="C642" s="2" t="s">
        <v>125</v>
      </c>
      <c r="D642" s="3">
        <v>1</v>
      </c>
      <c r="E642" s="1">
        <v>3</v>
      </c>
      <c r="F642" t="s">
        <v>4636</v>
      </c>
      <c r="G642" t="s">
        <v>4637</v>
      </c>
      <c r="H642" t="s">
        <v>4628</v>
      </c>
      <c r="I642" s="1" t="s">
        <v>1456</v>
      </c>
      <c r="J642" t="s">
        <v>4607</v>
      </c>
      <c r="K642" s="25">
        <f>Tabelle5[[#This Row],[value_present]]*Tabelle5[[#This Row],[binding_level]]</f>
        <v>3</v>
      </c>
    </row>
    <row r="643" spans="1:11" x14ac:dyDescent="0.25">
      <c r="A643" s="24">
        <v>15</v>
      </c>
      <c r="B643" s="2">
        <v>94</v>
      </c>
      <c r="C643" s="2" t="s">
        <v>132</v>
      </c>
      <c r="D643" s="3">
        <v>1</v>
      </c>
      <c r="E643" s="1">
        <v>2</v>
      </c>
      <c r="F643" t="s">
        <v>4638</v>
      </c>
      <c r="G643" t="s">
        <v>4639</v>
      </c>
      <c r="H643" t="s">
        <v>4616</v>
      </c>
      <c r="I643" s="1" t="s">
        <v>1457</v>
      </c>
      <c r="J643" t="s">
        <v>4608</v>
      </c>
      <c r="K643" s="25">
        <f>Tabelle5[[#This Row],[value_present]]*Tabelle5[[#This Row],[binding_level]]</f>
        <v>2</v>
      </c>
    </row>
    <row r="644" spans="1:11" x14ac:dyDescent="0.25">
      <c r="A644" s="24">
        <v>15</v>
      </c>
      <c r="B644" s="2">
        <v>94</v>
      </c>
      <c r="C644" s="2" t="s">
        <v>140</v>
      </c>
      <c r="D644" s="3">
        <v>1</v>
      </c>
      <c r="E644" s="1">
        <v>2</v>
      </c>
      <c r="F644" t="s">
        <v>4659</v>
      </c>
      <c r="G644" t="s">
        <v>4658</v>
      </c>
      <c r="H644" t="s">
        <v>4629</v>
      </c>
      <c r="I644" s="1" t="s">
        <v>1457</v>
      </c>
      <c r="J644" t="s">
        <v>4609</v>
      </c>
      <c r="K644" s="25">
        <f>Tabelle5[[#This Row],[value_present]]*Tabelle5[[#This Row],[binding_level]]</f>
        <v>2</v>
      </c>
    </row>
    <row r="645" spans="1:11" x14ac:dyDescent="0.25">
      <c r="A645" s="24">
        <v>15</v>
      </c>
      <c r="B645" s="2">
        <v>94</v>
      </c>
      <c r="C645" s="2" t="s">
        <v>147</v>
      </c>
      <c r="D645" s="3">
        <v>1</v>
      </c>
      <c r="E645" s="1">
        <v>3</v>
      </c>
      <c r="F645" t="s">
        <v>4651</v>
      </c>
      <c r="G645" t="s">
        <v>4650</v>
      </c>
      <c r="H645" t="s">
        <v>4630</v>
      </c>
      <c r="I645" s="1" t="s">
        <v>1456</v>
      </c>
      <c r="J645" t="s">
        <v>4610</v>
      </c>
      <c r="K645" s="25">
        <f>Tabelle5[[#This Row],[value_present]]*Tabelle5[[#This Row],[binding_level]]</f>
        <v>3</v>
      </c>
    </row>
    <row r="646" spans="1:11" x14ac:dyDescent="0.25">
      <c r="A646" s="24">
        <v>15</v>
      </c>
      <c r="B646" s="2">
        <v>94</v>
      </c>
      <c r="C646" s="2" t="s">
        <v>154</v>
      </c>
      <c r="D646" s="3">
        <v>1</v>
      </c>
      <c r="E646" s="1">
        <v>2</v>
      </c>
      <c r="F646" t="s">
        <v>4661</v>
      </c>
      <c r="G646" t="s">
        <v>4660</v>
      </c>
      <c r="H646" t="s">
        <v>4617</v>
      </c>
      <c r="I646" s="1" t="s">
        <v>1456</v>
      </c>
      <c r="J646" t="s">
        <v>4611</v>
      </c>
      <c r="K646" s="25">
        <f>Tabelle5[[#This Row],[value_present]]*Tabelle5[[#This Row],[binding_level]]</f>
        <v>2</v>
      </c>
    </row>
    <row r="647" spans="1:11" x14ac:dyDescent="0.25">
      <c r="A647" s="24">
        <v>15</v>
      </c>
      <c r="B647" s="2">
        <v>94</v>
      </c>
      <c r="C647" s="2" t="s">
        <v>161</v>
      </c>
      <c r="D647" s="3">
        <v>1</v>
      </c>
      <c r="E647" s="1">
        <v>3</v>
      </c>
      <c r="F647" t="s">
        <v>4663</v>
      </c>
      <c r="G647" t="s">
        <v>4662</v>
      </c>
      <c r="H647" t="s">
        <v>4631</v>
      </c>
      <c r="I647" s="1" t="s">
        <v>1456</v>
      </c>
      <c r="J647" t="s">
        <v>4612</v>
      </c>
      <c r="K647" s="25">
        <f>Tabelle5[[#This Row],[value_present]]*Tabelle5[[#This Row],[binding_level]]</f>
        <v>3</v>
      </c>
    </row>
    <row r="648" spans="1:11" x14ac:dyDescent="0.25">
      <c r="A648" s="24">
        <v>15</v>
      </c>
      <c r="B648" s="2">
        <v>94</v>
      </c>
      <c r="C648" s="2" t="s">
        <v>166</v>
      </c>
      <c r="D648" s="3">
        <v>1</v>
      </c>
      <c r="E648" s="1">
        <v>2</v>
      </c>
      <c r="F648" t="s">
        <v>4632</v>
      </c>
      <c r="G648" t="s">
        <v>4633</v>
      </c>
      <c r="H648" t="s">
        <v>4618</v>
      </c>
      <c r="I648" s="1" t="s">
        <v>1457</v>
      </c>
      <c r="J648" t="s">
        <v>4613</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4614</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4728</v>
      </c>
      <c r="K650" s="23">
        <f>Tabelle5[[#This Row],[value_present]]*Tabelle5[[#This Row],[binding_level]]</f>
        <v>0</v>
      </c>
    </row>
    <row r="651" spans="1:11" x14ac:dyDescent="0.25">
      <c r="A651" s="24">
        <v>15</v>
      </c>
      <c r="B651" s="2">
        <v>96</v>
      </c>
      <c r="C651" s="2" t="s">
        <v>61</v>
      </c>
      <c r="D651" s="3">
        <v>1</v>
      </c>
      <c r="E651" s="1">
        <v>1</v>
      </c>
      <c r="F651" t="s">
        <v>4745</v>
      </c>
      <c r="G651" t="s">
        <v>4746</v>
      </c>
      <c r="H651" t="s">
        <v>4729</v>
      </c>
      <c r="I651" s="1" t="s">
        <v>1457</v>
      </c>
      <c r="J651" t="s">
        <v>4730</v>
      </c>
      <c r="K651" s="25">
        <f>Tabelle5[[#This Row],[value_present]]*Tabelle5[[#This Row],[binding_level]]</f>
        <v>1</v>
      </c>
    </row>
    <row r="652" spans="1:11" x14ac:dyDescent="0.25">
      <c r="A652" s="24">
        <v>15</v>
      </c>
      <c r="B652" s="2">
        <v>96</v>
      </c>
      <c r="C652" s="2" t="s">
        <v>69</v>
      </c>
      <c r="D652" s="3">
        <v>0</v>
      </c>
      <c r="E652" s="1"/>
      <c r="I652" s="1" t="s">
        <v>1457</v>
      </c>
      <c r="J652" t="s">
        <v>4731</v>
      </c>
      <c r="K652" s="25">
        <f>Tabelle5[[#This Row],[value_present]]*Tabelle5[[#This Row],[binding_level]]</f>
        <v>0</v>
      </c>
    </row>
    <row r="653" spans="1:11" x14ac:dyDescent="0.25">
      <c r="A653" s="24">
        <v>15</v>
      </c>
      <c r="B653" s="2">
        <v>96</v>
      </c>
      <c r="C653" s="2" t="s">
        <v>76</v>
      </c>
      <c r="D653" s="3">
        <v>0</v>
      </c>
      <c r="E653" s="1"/>
      <c r="I653" s="1" t="s">
        <v>1456</v>
      </c>
      <c r="J653" t="s">
        <v>4711</v>
      </c>
      <c r="K653" s="25">
        <f>Tabelle5[[#This Row],[value_present]]*Tabelle5[[#This Row],[binding_level]]</f>
        <v>0</v>
      </c>
    </row>
    <row r="654" spans="1:11" x14ac:dyDescent="0.25">
      <c r="A654" s="24">
        <v>15</v>
      </c>
      <c r="B654" s="2">
        <v>96</v>
      </c>
      <c r="C654" s="2" t="s">
        <v>83</v>
      </c>
      <c r="D654" s="3">
        <v>0</v>
      </c>
      <c r="E654" s="1"/>
      <c r="I654" s="1" t="s">
        <v>1456</v>
      </c>
      <c r="J654" t="s">
        <v>4712</v>
      </c>
      <c r="K654" s="25">
        <f>Tabelle5[[#This Row],[value_present]]*Tabelle5[[#This Row],[binding_level]]</f>
        <v>0</v>
      </c>
    </row>
    <row r="655" spans="1:11" x14ac:dyDescent="0.25">
      <c r="A655" s="24">
        <v>15</v>
      </c>
      <c r="B655" s="2">
        <v>96</v>
      </c>
      <c r="C655" s="2" t="s">
        <v>90</v>
      </c>
      <c r="D655" s="3">
        <v>0</v>
      </c>
      <c r="E655" s="1"/>
      <c r="I655" s="1" t="s">
        <v>1457</v>
      </c>
      <c r="J655" t="s">
        <v>4732</v>
      </c>
      <c r="K655" s="25">
        <f>Tabelle5[[#This Row],[value_present]]*Tabelle5[[#This Row],[binding_level]]</f>
        <v>0</v>
      </c>
    </row>
    <row r="656" spans="1:11" x14ac:dyDescent="0.25">
      <c r="A656" s="24">
        <v>15</v>
      </c>
      <c r="B656" s="2">
        <v>96</v>
      </c>
      <c r="C656" s="2" t="s">
        <v>98</v>
      </c>
      <c r="D656" s="3">
        <v>0</v>
      </c>
      <c r="E656" s="1"/>
      <c r="I656" s="1" t="s">
        <v>1456</v>
      </c>
      <c r="J656" t="s">
        <v>4733</v>
      </c>
      <c r="K656" s="25">
        <f>Tabelle5[[#This Row],[value_present]]*Tabelle5[[#This Row],[binding_level]]</f>
        <v>0</v>
      </c>
    </row>
    <row r="657" spans="1:11" x14ac:dyDescent="0.25">
      <c r="A657" s="24">
        <v>15</v>
      </c>
      <c r="B657" s="2">
        <v>96</v>
      </c>
      <c r="C657" s="2" t="s">
        <v>106</v>
      </c>
      <c r="D657" s="3">
        <v>0</v>
      </c>
      <c r="E657" s="1"/>
      <c r="I657" s="1" t="s">
        <v>1457</v>
      </c>
      <c r="J657" t="s">
        <v>4734</v>
      </c>
      <c r="K657" s="25">
        <f>Tabelle5[[#This Row],[value_present]]*Tabelle5[[#This Row],[binding_level]]</f>
        <v>0</v>
      </c>
    </row>
    <row r="658" spans="1:11" x14ac:dyDescent="0.25">
      <c r="A658" s="24">
        <v>15</v>
      </c>
      <c r="B658" s="2">
        <v>96</v>
      </c>
      <c r="C658" s="2" t="s">
        <v>112</v>
      </c>
      <c r="D658" s="3">
        <v>0</v>
      </c>
      <c r="E658" s="1"/>
      <c r="I658" s="1" t="s">
        <v>1456</v>
      </c>
      <c r="J658" t="s">
        <v>4711</v>
      </c>
      <c r="K658" s="25">
        <f>Tabelle5[[#This Row],[value_present]]*Tabelle5[[#This Row],[binding_level]]</f>
        <v>0</v>
      </c>
    </row>
    <row r="659" spans="1:11" x14ac:dyDescent="0.25">
      <c r="A659" s="24">
        <v>15</v>
      </c>
      <c r="B659" s="2">
        <v>96</v>
      </c>
      <c r="C659" s="2" t="s">
        <v>118</v>
      </c>
      <c r="D659" s="3">
        <v>0</v>
      </c>
      <c r="E659" s="1"/>
      <c r="I659" s="1" t="s">
        <v>1456</v>
      </c>
      <c r="J659" t="s">
        <v>4711</v>
      </c>
      <c r="K659" s="25">
        <f>Tabelle5[[#This Row],[value_present]]*Tabelle5[[#This Row],[binding_level]]</f>
        <v>0</v>
      </c>
    </row>
    <row r="660" spans="1:11" x14ac:dyDescent="0.25">
      <c r="A660" s="24">
        <v>15</v>
      </c>
      <c r="B660" s="2">
        <v>96</v>
      </c>
      <c r="C660" s="2" t="s">
        <v>125</v>
      </c>
      <c r="D660" s="3">
        <v>0</v>
      </c>
      <c r="E660" s="1"/>
      <c r="I660" s="1" t="s">
        <v>1456</v>
      </c>
      <c r="J660" t="s">
        <v>4712</v>
      </c>
      <c r="K660" s="25">
        <f>Tabelle5[[#This Row],[value_present]]*Tabelle5[[#This Row],[binding_level]]</f>
        <v>0</v>
      </c>
    </row>
    <row r="661" spans="1:11" x14ac:dyDescent="0.25">
      <c r="A661" s="24">
        <v>15</v>
      </c>
      <c r="B661" s="2">
        <v>96</v>
      </c>
      <c r="C661" s="2" t="s">
        <v>132</v>
      </c>
      <c r="D661" s="3">
        <v>1</v>
      </c>
      <c r="E661" s="1">
        <v>2</v>
      </c>
      <c r="F661" t="s">
        <v>4750</v>
      </c>
      <c r="G661" t="s">
        <v>4749</v>
      </c>
      <c r="H661" t="s">
        <v>4735</v>
      </c>
      <c r="I661" s="1" t="s">
        <v>1456</v>
      </c>
      <c r="J661" t="s">
        <v>4736</v>
      </c>
      <c r="K661" s="25">
        <f>Tabelle5[[#This Row],[value_present]]*Tabelle5[[#This Row],[binding_level]]</f>
        <v>2</v>
      </c>
    </row>
    <row r="662" spans="1:11" x14ac:dyDescent="0.25">
      <c r="A662" s="24">
        <v>15</v>
      </c>
      <c r="B662" s="2">
        <v>96</v>
      </c>
      <c r="C662" s="2" t="s">
        <v>140</v>
      </c>
      <c r="D662" s="3">
        <v>1</v>
      </c>
      <c r="E662" s="1">
        <v>1</v>
      </c>
      <c r="F662" t="s">
        <v>4747</v>
      </c>
      <c r="G662" t="s">
        <v>4748</v>
      </c>
      <c r="H662" t="s">
        <v>4737</v>
      </c>
      <c r="I662" s="1" t="s">
        <v>1457</v>
      </c>
      <c r="J662" t="s">
        <v>4738</v>
      </c>
      <c r="K662" s="25">
        <f>Tabelle5[[#This Row],[value_present]]*Tabelle5[[#This Row],[binding_level]]</f>
        <v>1</v>
      </c>
    </row>
    <row r="663" spans="1:11" x14ac:dyDescent="0.25">
      <c r="A663" s="24">
        <v>15</v>
      </c>
      <c r="B663" s="2">
        <v>96</v>
      </c>
      <c r="C663" s="2" t="s">
        <v>147</v>
      </c>
      <c r="D663" s="3">
        <v>1</v>
      </c>
      <c r="E663" s="1">
        <v>2</v>
      </c>
      <c r="F663" t="s">
        <v>4752</v>
      </c>
      <c r="G663" t="s">
        <v>4751</v>
      </c>
      <c r="H663" t="s">
        <v>4739</v>
      </c>
      <c r="I663" s="1" t="s">
        <v>1456</v>
      </c>
      <c r="J663" t="s">
        <v>4740</v>
      </c>
      <c r="K663" s="25">
        <f>Tabelle5[[#This Row],[value_present]]*Tabelle5[[#This Row],[binding_level]]</f>
        <v>2</v>
      </c>
    </row>
    <row r="664" spans="1:11" x14ac:dyDescent="0.25">
      <c r="A664" s="24">
        <v>15</v>
      </c>
      <c r="B664" s="2">
        <v>96</v>
      </c>
      <c r="C664" s="2" t="s">
        <v>154</v>
      </c>
      <c r="D664" s="3">
        <v>1</v>
      </c>
      <c r="E664" s="1">
        <v>3</v>
      </c>
      <c r="F664" t="s">
        <v>4754</v>
      </c>
      <c r="G664" t="s">
        <v>4753</v>
      </c>
      <c r="H664" t="s">
        <v>4741</v>
      </c>
      <c r="I664" s="1" t="s">
        <v>1457</v>
      </c>
      <c r="J664" t="s">
        <v>4742</v>
      </c>
      <c r="K664" s="25">
        <f>Tabelle5[[#This Row],[value_present]]*Tabelle5[[#This Row],[binding_level]]</f>
        <v>3</v>
      </c>
    </row>
    <row r="665" spans="1:11" x14ac:dyDescent="0.25">
      <c r="A665" s="24">
        <v>15</v>
      </c>
      <c r="B665" s="2">
        <v>96</v>
      </c>
      <c r="C665" s="2" t="s">
        <v>161</v>
      </c>
      <c r="D665" s="3">
        <v>0</v>
      </c>
      <c r="E665" s="1"/>
      <c r="I665" s="1" t="s">
        <v>1456</v>
      </c>
      <c r="J665" t="s">
        <v>4711</v>
      </c>
      <c r="K665" s="25">
        <f>Tabelle5[[#This Row],[value_present]]*Tabelle5[[#This Row],[binding_level]]</f>
        <v>0</v>
      </c>
    </row>
    <row r="666" spans="1:11" x14ac:dyDescent="0.25">
      <c r="A666" s="24">
        <v>15</v>
      </c>
      <c r="B666" s="2">
        <v>96</v>
      </c>
      <c r="C666" s="2" t="s">
        <v>166</v>
      </c>
      <c r="D666" s="3">
        <v>0</v>
      </c>
      <c r="E666" s="1"/>
      <c r="I666" s="1" t="s">
        <v>1456</v>
      </c>
      <c r="J666" t="s">
        <v>4711</v>
      </c>
      <c r="K666" s="25">
        <f>Tabelle5[[#This Row],[value_present]]*Tabelle5[[#This Row],[binding_level]]</f>
        <v>0</v>
      </c>
    </row>
    <row r="667" spans="1:11" ht="15.75" thickBot="1" x14ac:dyDescent="0.3">
      <c r="A667" s="24">
        <v>15</v>
      </c>
      <c r="B667" s="2">
        <v>96</v>
      </c>
      <c r="C667" s="2" t="s">
        <v>174</v>
      </c>
      <c r="D667" s="3">
        <v>1</v>
      </c>
      <c r="E667" s="1">
        <v>1</v>
      </c>
      <c r="F667" t="s">
        <v>4756</v>
      </c>
      <c r="G667" t="s">
        <v>4755</v>
      </c>
      <c r="H667" t="s">
        <v>4743</v>
      </c>
      <c r="I667" s="1" t="s">
        <v>1456</v>
      </c>
      <c r="J667" t="s">
        <v>4744</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4785</v>
      </c>
      <c r="K668" s="23">
        <f>Tabelle5[[#This Row],[value_present]]*Tabelle5[[#This Row],[binding_level]]</f>
        <v>0</v>
      </c>
    </row>
    <row r="669" spans="1:11" x14ac:dyDescent="0.25">
      <c r="A669" s="24">
        <v>15</v>
      </c>
      <c r="B669" s="2">
        <v>97</v>
      </c>
      <c r="C669" s="2" t="s">
        <v>61</v>
      </c>
      <c r="D669" s="3">
        <v>1</v>
      </c>
      <c r="E669" s="1">
        <v>1</v>
      </c>
      <c r="F669" t="s">
        <v>4800</v>
      </c>
      <c r="G669" t="s">
        <v>4799</v>
      </c>
      <c r="H669" t="s">
        <v>4786</v>
      </c>
      <c r="I669" s="1" t="s">
        <v>1457</v>
      </c>
      <c r="J669" t="s">
        <v>4787</v>
      </c>
      <c r="K669" s="25">
        <f>Tabelle5[[#This Row],[value_present]]*Tabelle5[[#This Row],[binding_level]]</f>
        <v>1</v>
      </c>
    </row>
    <row r="670" spans="1:11" x14ac:dyDescent="0.25">
      <c r="A670" s="24">
        <v>15</v>
      </c>
      <c r="B670" s="2">
        <v>97</v>
      </c>
      <c r="C670" s="2" t="s">
        <v>69</v>
      </c>
      <c r="D670" s="3">
        <v>0</v>
      </c>
      <c r="E670" s="1"/>
      <c r="I670" s="1" t="s">
        <v>1457</v>
      </c>
      <c r="J670" t="s">
        <v>4788</v>
      </c>
      <c r="K670" s="25">
        <f>Tabelle5[[#This Row],[value_present]]*Tabelle5[[#This Row],[binding_level]]</f>
        <v>0</v>
      </c>
    </row>
    <row r="671" spans="1:11" x14ac:dyDescent="0.25">
      <c r="A671" s="24">
        <v>15</v>
      </c>
      <c r="B671" s="2">
        <v>97</v>
      </c>
      <c r="C671" s="2" t="s">
        <v>76</v>
      </c>
      <c r="D671" s="3">
        <v>0</v>
      </c>
      <c r="E671" s="1"/>
      <c r="I671" s="1" t="s">
        <v>1456</v>
      </c>
      <c r="J671" t="s">
        <v>4711</v>
      </c>
      <c r="K671" s="25">
        <f>Tabelle5[[#This Row],[value_present]]*Tabelle5[[#This Row],[binding_level]]</f>
        <v>0</v>
      </c>
    </row>
    <row r="672" spans="1:11" x14ac:dyDescent="0.25">
      <c r="A672" s="24">
        <v>15</v>
      </c>
      <c r="B672" s="2">
        <v>97</v>
      </c>
      <c r="C672" s="2" t="s">
        <v>83</v>
      </c>
      <c r="D672" s="3">
        <v>0</v>
      </c>
      <c r="E672" s="1"/>
      <c r="I672" s="1" t="s">
        <v>1456</v>
      </c>
      <c r="J672" t="s">
        <v>4711</v>
      </c>
      <c r="K672" s="25">
        <f>Tabelle5[[#This Row],[value_present]]*Tabelle5[[#This Row],[binding_level]]</f>
        <v>0</v>
      </c>
    </row>
    <row r="673" spans="1:11" x14ac:dyDescent="0.25">
      <c r="A673" s="24">
        <v>15</v>
      </c>
      <c r="B673" s="2">
        <v>97</v>
      </c>
      <c r="C673" s="2" t="s">
        <v>90</v>
      </c>
      <c r="D673" s="3">
        <v>1</v>
      </c>
      <c r="E673" s="1">
        <v>3</v>
      </c>
      <c r="F673" t="s">
        <v>4802</v>
      </c>
      <c r="G673" t="s">
        <v>4801</v>
      </c>
      <c r="H673" t="s">
        <v>4789</v>
      </c>
      <c r="I673" s="1" t="s">
        <v>1456</v>
      </c>
      <c r="J673" t="s">
        <v>4790</v>
      </c>
      <c r="K673" s="25">
        <f>Tabelle5[[#This Row],[value_present]]*Tabelle5[[#This Row],[binding_level]]</f>
        <v>3</v>
      </c>
    </row>
    <row r="674" spans="1:11" x14ac:dyDescent="0.25">
      <c r="A674" s="24">
        <v>15</v>
      </c>
      <c r="B674" s="2">
        <v>97</v>
      </c>
      <c r="C674" s="2" t="s">
        <v>98</v>
      </c>
      <c r="D674" s="3">
        <v>0</v>
      </c>
      <c r="E674" s="1"/>
      <c r="I674" s="1" t="s">
        <v>1456</v>
      </c>
      <c r="J674" t="s">
        <v>4791</v>
      </c>
      <c r="K674" s="25">
        <f>Tabelle5[[#This Row],[value_present]]*Tabelle5[[#This Row],[binding_level]]</f>
        <v>0</v>
      </c>
    </row>
    <row r="675" spans="1:11" x14ac:dyDescent="0.25">
      <c r="A675" s="24">
        <v>15</v>
      </c>
      <c r="B675" s="2">
        <v>97</v>
      </c>
      <c r="C675" s="2" t="s">
        <v>106</v>
      </c>
      <c r="D675" s="3">
        <v>0</v>
      </c>
      <c r="E675" s="1"/>
      <c r="I675" s="1" t="s">
        <v>1457</v>
      </c>
      <c r="J675" t="s">
        <v>4792</v>
      </c>
      <c r="K675" s="25">
        <f>Tabelle5[[#This Row],[value_present]]*Tabelle5[[#This Row],[binding_level]]</f>
        <v>0</v>
      </c>
    </row>
    <row r="676" spans="1:11" x14ac:dyDescent="0.25">
      <c r="A676" s="24">
        <v>15</v>
      </c>
      <c r="B676" s="2">
        <v>97</v>
      </c>
      <c r="C676" s="2" t="s">
        <v>112</v>
      </c>
      <c r="D676" s="3">
        <v>0</v>
      </c>
      <c r="E676" s="1"/>
      <c r="I676" s="1" t="s">
        <v>1456</v>
      </c>
      <c r="J676" t="s">
        <v>4711</v>
      </c>
      <c r="K676" s="25">
        <f>Tabelle5[[#This Row],[value_present]]*Tabelle5[[#This Row],[binding_level]]</f>
        <v>0</v>
      </c>
    </row>
    <row r="677" spans="1:11" x14ac:dyDescent="0.25">
      <c r="A677" s="24">
        <v>15</v>
      </c>
      <c r="B677" s="2">
        <v>97</v>
      </c>
      <c r="C677" s="2" t="s">
        <v>118</v>
      </c>
      <c r="D677" s="3">
        <v>0</v>
      </c>
      <c r="E677" s="1"/>
      <c r="I677" s="1" t="s">
        <v>1456</v>
      </c>
      <c r="J677" t="s">
        <v>4711</v>
      </c>
      <c r="K677" s="25">
        <f>Tabelle5[[#This Row],[value_present]]*Tabelle5[[#This Row],[binding_level]]</f>
        <v>0</v>
      </c>
    </row>
    <row r="678" spans="1:11" x14ac:dyDescent="0.25">
      <c r="A678" s="24">
        <v>15</v>
      </c>
      <c r="B678" s="2">
        <v>97</v>
      </c>
      <c r="C678" s="2" t="s">
        <v>125</v>
      </c>
      <c r="D678" s="3">
        <v>0</v>
      </c>
      <c r="E678" s="1"/>
      <c r="I678" s="1" t="s">
        <v>1456</v>
      </c>
      <c r="J678" t="s">
        <v>4711</v>
      </c>
      <c r="K678" s="25">
        <f>Tabelle5[[#This Row],[value_present]]*Tabelle5[[#This Row],[binding_level]]</f>
        <v>0</v>
      </c>
    </row>
    <row r="679" spans="1:11" x14ac:dyDescent="0.25">
      <c r="A679" s="24">
        <v>15</v>
      </c>
      <c r="B679" s="2">
        <v>97</v>
      </c>
      <c r="C679" s="2" t="s">
        <v>132</v>
      </c>
      <c r="D679" s="3">
        <v>0</v>
      </c>
      <c r="E679" s="1"/>
      <c r="I679" s="1" t="s">
        <v>1456</v>
      </c>
      <c r="J679" t="s">
        <v>4711</v>
      </c>
      <c r="K679" s="25">
        <f>Tabelle5[[#This Row],[value_present]]*Tabelle5[[#This Row],[binding_level]]</f>
        <v>0</v>
      </c>
    </row>
    <row r="680" spans="1:11" x14ac:dyDescent="0.25">
      <c r="A680" s="24">
        <v>15</v>
      </c>
      <c r="B680" s="2">
        <v>97</v>
      </c>
      <c r="C680" s="2" t="s">
        <v>140</v>
      </c>
      <c r="D680" s="3">
        <v>1</v>
      </c>
      <c r="E680" s="1">
        <v>1</v>
      </c>
      <c r="F680" t="s">
        <v>4783</v>
      </c>
      <c r="G680" t="s">
        <v>4784</v>
      </c>
      <c r="H680" t="s">
        <v>4793</v>
      </c>
      <c r="I680" s="1" t="s">
        <v>1457</v>
      </c>
      <c r="J680" t="s">
        <v>4794</v>
      </c>
      <c r="K680" s="25">
        <f>Tabelle5[[#This Row],[value_present]]*Tabelle5[[#This Row],[binding_level]]</f>
        <v>1</v>
      </c>
    </row>
    <row r="681" spans="1:11" x14ac:dyDescent="0.25">
      <c r="A681" s="24">
        <v>15</v>
      </c>
      <c r="B681" s="2">
        <v>97</v>
      </c>
      <c r="C681" s="2" t="s">
        <v>147</v>
      </c>
      <c r="D681" s="3">
        <v>1</v>
      </c>
      <c r="E681" s="1">
        <v>3</v>
      </c>
      <c r="F681" t="s">
        <v>4804</v>
      </c>
      <c r="G681" t="s">
        <v>4803</v>
      </c>
      <c r="H681" t="s">
        <v>4795</v>
      </c>
      <c r="I681" s="1" t="s">
        <v>1456</v>
      </c>
      <c r="J681" t="s">
        <v>4796</v>
      </c>
      <c r="K681" s="25">
        <f>Tabelle5[[#This Row],[value_present]]*Tabelle5[[#This Row],[binding_level]]</f>
        <v>3</v>
      </c>
    </row>
    <row r="682" spans="1:11" x14ac:dyDescent="0.25">
      <c r="A682" s="24">
        <v>15</v>
      </c>
      <c r="B682" s="2">
        <v>97</v>
      </c>
      <c r="C682" s="2" t="s">
        <v>154</v>
      </c>
      <c r="D682" s="3">
        <v>0</v>
      </c>
      <c r="E682" s="1"/>
      <c r="I682" s="1" t="s">
        <v>1457</v>
      </c>
      <c r="J682" t="s">
        <v>4797</v>
      </c>
      <c r="K682" s="25">
        <f>Tabelle5[[#This Row],[value_present]]*Tabelle5[[#This Row],[binding_level]]</f>
        <v>0</v>
      </c>
    </row>
    <row r="683" spans="1:11" x14ac:dyDescent="0.25">
      <c r="A683" s="24">
        <v>15</v>
      </c>
      <c r="B683" s="2">
        <v>97</v>
      </c>
      <c r="C683" s="2" t="s">
        <v>161</v>
      </c>
      <c r="D683" s="3">
        <v>0</v>
      </c>
      <c r="E683" s="1"/>
      <c r="I683" s="1" t="s">
        <v>1457</v>
      </c>
      <c r="J683" t="s">
        <v>4798</v>
      </c>
      <c r="K683" s="25">
        <f>Tabelle5[[#This Row],[value_present]]*Tabelle5[[#This Row],[binding_level]]</f>
        <v>0</v>
      </c>
    </row>
    <row r="684" spans="1:11" x14ac:dyDescent="0.25">
      <c r="A684" s="24">
        <v>15</v>
      </c>
      <c r="B684" s="2">
        <v>97</v>
      </c>
      <c r="C684" s="2" t="s">
        <v>166</v>
      </c>
      <c r="D684" s="3">
        <v>0</v>
      </c>
      <c r="E684" s="1"/>
      <c r="I684" s="1" t="s">
        <v>1456</v>
      </c>
      <c r="J684" t="s">
        <v>4711</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4711</v>
      </c>
      <c r="K685" s="31">
        <f>Tabelle5[[#This Row],[value_present]]*Tabelle5[[#This Row],[binding_level]]</f>
        <v>0</v>
      </c>
    </row>
    <row r="686" spans="1:11" x14ac:dyDescent="0.25">
      <c r="A686" s="18">
        <v>17</v>
      </c>
      <c r="B686" s="19">
        <v>102</v>
      </c>
      <c r="C686" s="19" t="s">
        <v>53</v>
      </c>
      <c r="D686" s="20">
        <v>1</v>
      </c>
      <c r="E686" s="21">
        <v>3</v>
      </c>
      <c r="F686" t="s">
        <v>4888</v>
      </c>
      <c r="G686" t="s">
        <v>4887</v>
      </c>
      <c r="H686" s="22" t="s">
        <v>4841</v>
      </c>
      <c r="I686" s="21" t="s">
        <v>1456</v>
      </c>
      <c r="J686" s="22" t="s">
        <v>4842</v>
      </c>
      <c r="K686" s="23">
        <f>Tabelle5[[#This Row],[value_present]]*Tabelle5[[#This Row],[binding_level]]</f>
        <v>3</v>
      </c>
    </row>
    <row r="687" spans="1:11" x14ac:dyDescent="0.25">
      <c r="A687" s="24">
        <v>17</v>
      </c>
      <c r="B687" s="2">
        <v>102</v>
      </c>
      <c r="C687" s="2" t="s">
        <v>61</v>
      </c>
      <c r="D687" s="3">
        <v>1</v>
      </c>
      <c r="E687" s="1">
        <v>2</v>
      </c>
      <c r="F687" t="s">
        <v>4889</v>
      </c>
      <c r="G687" t="s">
        <v>4890</v>
      </c>
      <c r="H687" t="s">
        <v>4843</v>
      </c>
      <c r="I687" s="1" t="s">
        <v>1456</v>
      </c>
      <c r="J687" t="s">
        <v>4844</v>
      </c>
      <c r="K687" s="25">
        <f>Tabelle5[[#This Row],[value_present]]*Tabelle5[[#This Row],[binding_level]]</f>
        <v>2</v>
      </c>
    </row>
    <row r="688" spans="1:11" x14ac:dyDescent="0.25">
      <c r="A688" s="24">
        <v>17</v>
      </c>
      <c r="B688" s="2">
        <v>102</v>
      </c>
      <c r="C688" s="2" t="s">
        <v>69</v>
      </c>
      <c r="D688" s="3">
        <v>1</v>
      </c>
      <c r="E688" s="1">
        <v>3</v>
      </c>
      <c r="F688" t="s">
        <v>4891</v>
      </c>
      <c r="G688" t="s">
        <v>4892</v>
      </c>
      <c r="H688" t="s">
        <v>4845</v>
      </c>
      <c r="I688" s="1" t="s">
        <v>1456</v>
      </c>
      <c r="J688" t="s">
        <v>4846</v>
      </c>
      <c r="K688" s="25">
        <f>Tabelle5[[#This Row],[value_present]]*Tabelle5[[#This Row],[binding_level]]</f>
        <v>3</v>
      </c>
    </row>
    <row r="689" spans="1:11" x14ac:dyDescent="0.25">
      <c r="A689" s="24">
        <v>17</v>
      </c>
      <c r="B689" s="2">
        <v>102</v>
      </c>
      <c r="C689" s="2" t="s">
        <v>76</v>
      </c>
      <c r="D689" s="3">
        <v>1</v>
      </c>
      <c r="E689" s="1">
        <v>3</v>
      </c>
      <c r="F689" t="s">
        <v>4871</v>
      </c>
      <c r="G689" t="s">
        <v>4872</v>
      </c>
      <c r="H689" t="s">
        <v>4826</v>
      </c>
      <c r="I689" s="1" t="s">
        <v>1456</v>
      </c>
      <c r="J689" t="s">
        <v>4847</v>
      </c>
      <c r="K689" s="25">
        <f>Tabelle5[[#This Row],[value_present]]*Tabelle5[[#This Row],[binding_level]]</f>
        <v>3</v>
      </c>
    </row>
    <row r="690" spans="1:11" x14ac:dyDescent="0.25">
      <c r="A690" s="24">
        <v>17</v>
      </c>
      <c r="B690" s="2">
        <v>102</v>
      </c>
      <c r="C690" s="2" t="s">
        <v>83</v>
      </c>
      <c r="D690" s="3">
        <v>1</v>
      </c>
      <c r="E690" s="1">
        <v>3</v>
      </c>
      <c r="F690" t="s">
        <v>4894</v>
      </c>
      <c r="G690" t="s">
        <v>4893</v>
      </c>
      <c r="H690" t="s">
        <v>4848</v>
      </c>
      <c r="I690" s="1" t="s">
        <v>1456</v>
      </c>
      <c r="J690" t="s">
        <v>4849</v>
      </c>
      <c r="K690" s="25">
        <f>Tabelle5[[#This Row],[value_present]]*Tabelle5[[#This Row],[binding_level]]</f>
        <v>3</v>
      </c>
    </row>
    <row r="691" spans="1:11" x14ac:dyDescent="0.25">
      <c r="A691" s="24">
        <v>17</v>
      </c>
      <c r="B691" s="2">
        <v>102</v>
      </c>
      <c r="C691" s="2" t="s">
        <v>90</v>
      </c>
      <c r="D691" s="3">
        <v>1</v>
      </c>
      <c r="E691" s="1">
        <v>3</v>
      </c>
      <c r="F691" t="s">
        <v>4896</v>
      </c>
      <c r="G691" t="s">
        <v>4895</v>
      </c>
      <c r="H691" t="s">
        <v>4850</v>
      </c>
      <c r="I691" s="1" t="s">
        <v>1456</v>
      </c>
      <c r="J691" t="s">
        <v>4851</v>
      </c>
      <c r="K691" s="25">
        <f>Tabelle5[[#This Row],[value_present]]*Tabelle5[[#This Row],[binding_level]]</f>
        <v>3</v>
      </c>
    </row>
    <row r="692" spans="1:11" x14ac:dyDescent="0.25">
      <c r="A692" s="24">
        <v>17</v>
      </c>
      <c r="B692" s="2">
        <v>102</v>
      </c>
      <c r="C692" s="2" t="s">
        <v>98</v>
      </c>
      <c r="D692" s="3">
        <v>1</v>
      </c>
      <c r="E692" s="1">
        <v>3</v>
      </c>
      <c r="F692" t="s">
        <v>4898</v>
      </c>
      <c r="G692" t="s">
        <v>4897</v>
      </c>
      <c r="H692" t="s">
        <v>4852</v>
      </c>
      <c r="I692" s="1" t="s">
        <v>1456</v>
      </c>
      <c r="J692" t="s">
        <v>4853</v>
      </c>
      <c r="K692" s="25">
        <f>Tabelle5[[#This Row],[value_present]]*Tabelle5[[#This Row],[binding_level]]</f>
        <v>3</v>
      </c>
    </row>
    <row r="693" spans="1:11" x14ac:dyDescent="0.25">
      <c r="A693" s="24">
        <v>17</v>
      </c>
      <c r="B693" s="2">
        <v>102</v>
      </c>
      <c r="C693" s="2" t="s">
        <v>106</v>
      </c>
      <c r="D693" s="3">
        <v>1</v>
      </c>
      <c r="E693" s="1">
        <v>3</v>
      </c>
      <c r="F693" t="s">
        <v>4900</v>
      </c>
      <c r="G693" t="s">
        <v>4899</v>
      </c>
      <c r="H693" t="s">
        <v>4854</v>
      </c>
      <c r="I693" s="1" t="s">
        <v>1456</v>
      </c>
      <c r="J693" t="s">
        <v>4855</v>
      </c>
      <c r="K693" s="25">
        <f>Tabelle5[[#This Row],[value_present]]*Tabelle5[[#This Row],[binding_level]]</f>
        <v>3</v>
      </c>
    </row>
    <row r="694" spans="1:11" x14ac:dyDescent="0.25">
      <c r="A694" s="24">
        <v>17</v>
      </c>
      <c r="B694" s="2">
        <v>102</v>
      </c>
      <c r="C694" s="2" t="s">
        <v>112</v>
      </c>
      <c r="D694" s="3">
        <v>1</v>
      </c>
      <c r="E694" s="1">
        <v>3</v>
      </c>
      <c r="F694" t="s">
        <v>4875</v>
      </c>
      <c r="G694" t="s">
        <v>4876</v>
      </c>
      <c r="H694" t="s">
        <v>4856</v>
      </c>
      <c r="I694" s="1" t="s">
        <v>1456</v>
      </c>
      <c r="J694" t="s">
        <v>4857</v>
      </c>
      <c r="K694" s="25">
        <f>Tabelle5[[#This Row],[value_present]]*Tabelle5[[#This Row],[binding_level]]</f>
        <v>3</v>
      </c>
    </row>
    <row r="695" spans="1:11" x14ac:dyDescent="0.25">
      <c r="A695" s="24">
        <v>17</v>
      </c>
      <c r="B695" s="2">
        <v>102</v>
      </c>
      <c r="C695" s="2" t="s">
        <v>118</v>
      </c>
      <c r="D695" s="3">
        <v>1</v>
      </c>
      <c r="E695" s="1">
        <v>2</v>
      </c>
      <c r="F695" t="s">
        <v>4877</v>
      </c>
      <c r="G695" t="s">
        <v>4878</v>
      </c>
      <c r="H695" t="s">
        <v>4832</v>
      </c>
      <c r="I695" s="1" t="s">
        <v>1457</v>
      </c>
      <c r="J695" t="s">
        <v>4858</v>
      </c>
      <c r="K695" s="25">
        <f>Tabelle5[[#This Row],[value_present]]*Tabelle5[[#This Row],[binding_level]]</f>
        <v>2</v>
      </c>
    </row>
    <row r="696" spans="1:11" x14ac:dyDescent="0.25">
      <c r="A696" s="24">
        <v>17</v>
      </c>
      <c r="B696" s="2">
        <v>102</v>
      </c>
      <c r="C696" s="2" t="s">
        <v>125</v>
      </c>
      <c r="D696" s="3">
        <v>1</v>
      </c>
      <c r="E696" s="1">
        <v>3</v>
      </c>
      <c r="F696" t="s">
        <v>4879</v>
      </c>
      <c r="G696" t="s">
        <v>4880</v>
      </c>
      <c r="H696" t="s">
        <v>4826</v>
      </c>
      <c r="I696" s="1" t="s">
        <v>1457</v>
      </c>
      <c r="J696" t="s">
        <v>4859</v>
      </c>
      <c r="K696" s="25">
        <f>Tabelle5[[#This Row],[value_present]]*Tabelle5[[#This Row],[binding_level]]</f>
        <v>3</v>
      </c>
    </row>
    <row r="697" spans="1:11" x14ac:dyDescent="0.25">
      <c r="A697" s="24">
        <v>17</v>
      </c>
      <c r="B697" s="2">
        <v>102</v>
      </c>
      <c r="C697" s="2" t="s">
        <v>132</v>
      </c>
      <c r="D697" s="3">
        <v>0</v>
      </c>
      <c r="E697" s="1"/>
      <c r="I697" s="1" t="s">
        <v>1456</v>
      </c>
      <c r="J697" t="s">
        <v>4860</v>
      </c>
      <c r="K697" s="25">
        <f>Tabelle5[[#This Row],[value_present]]*Tabelle5[[#This Row],[binding_level]]</f>
        <v>0</v>
      </c>
    </row>
    <row r="698" spans="1:11" x14ac:dyDescent="0.25">
      <c r="A698" s="24">
        <v>17</v>
      </c>
      <c r="B698" s="2">
        <v>102</v>
      </c>
      <c r="C698" s="2" t="s">
        <v>140</v>
      </c>
      <c r="D698" s="3">
        <v>1</v>
      </c>
      <c r="E698" s="1">
        <v>1</v>
      </c>
      <c r="F698" t="s">
        <v>4881</v>
      </c>
      <c r="G698" t="s">
        <v>4882</v>
      </c>
      <c r="H698" t="s">
        <v>4861</v>
      </c>
      <c r="I698" s="1" t="s">
        <v>1457</v>
      </c>
      <c r="J698" t="s">
        <v>4862</v>
      </c>
      <c r="K698" s="25">
        <f>Tabelle5[[#This Row],[value_present]]*Tabelle5[[#This Row],[binding_level]]</f>
        <v>1</v>
      </c>
    </row>
    <row r="699" spans="1:11" x14ac:dyDescent="0.25">
      <c r="A699" s="24">
        <v>17</v>
      </c>
      <c r="B699" s="2">
        <v>102</v>
      </c>
      <c r="C699" s="2" t="s">
        <v>147</v>
      </c>
      <c r="D699" s="3">
        <v>1</v>
      </c>
      <c r="E699" s="1">
        <v>3</v>
      </c>
      <c r="F699" t="s">
        <v>4902</v>
      </c>
      <c r="G699" t="s">
        <v>4901</v>
      </c>
      <c r="H699" t="s">
        <v>4863</v>
      </c>
      <c r="I699" s="1" t="s">
        <v>1456</v>
      </c>
      <c r="J699" t="s">
        <v>4864</v>
      </c>
      <c r="K699" s="25">
        <f>Tabelle5[[#This Row],[value_present]]*Tabelle5[[#This Row],[binding_level]]</f>
        <v>3</v>
      </c>
    </row>
    <row r="700" spans="1:11" x14ac:dyDescent="0.25">
      <c r="A700" s="24">
        <v>17</v>
      </c>
      <c r="B700" s="2">
        <v>102</v>
      </c>
      <c r="C700" s="2" t="s">
        <v>154</v>
      </c>
      <c r="D700" s="3">
        <v>1</v>
      </c>
      <c r="E700" s="1">
        <v>2</v>
      </c>
      <c r="F700" t="s">
        <v>4883</v>
      </c>
      <c r="G700" t="s">
        <v>4884</v>
      </c>
      <c r="H700" t="s">
        <v>4822</v>
      </c>
      <c r="I700" s="1" t="s">
        <v>1456</v>
      </c>
      <c r="J700" t="s">
        <v>4865</v>
      </c>
      <c r="K700" s="25">
        <f>Tabelle5[[#This Row],[value_present]]*Tabelle5[[#This Row],[binding_level]]</f>
        <v>2</v>
      </c>
    </row>
    <row r="701" spans="1:11" x14ac:dyDescent="0.25">
      <c r="A701" s="24">
        <v>17</v>
      </c>
      <c r="B701" s="2">
        <v>102</v>
      </c>
      <c r="C701" s="2" t="s">
        <v>161</v>
      </c>
      <c r="D701" s="3">
        <v>1</v>
      </c>
      <c r="E701" s="1">
        <v>3</v>
      </c>
      <c r="F701" t="s">
        <v>4904</v>
      </c>
      <c r="G701" t="s">
        <v>4903</v>
      </c>
      <c r="H701" t="s">
        <v>4866</v>
      </c>
      <c r="I701" s="1" t="s">
        <v>1456</v>
      </c>
      <c r="J701" t="s">
        <v>4867</v>
      </c>
      <c r="K701" s="25">
        <f>Tabelle5[[#This Row],[value_present]]*Tabelle5[[#This Row],[binding_level]]</f>
        <v>3</v>
      </c>
    </row>
    <row r="702" spans="1:11" x14ac:dyDescent="0.25">
      <c r="A702" s="24">
        <v>17</v>
      </c>
      <c r="B702" s="2">
        <v>102</v>
      </c>
      <c r="C702" s="2" t="s">
        <v>166</v>
      </c>
      <c r="D702" s="3">
        <v>1</v>
      </c>
      <c r="E702" s="1">
        <v>3</v>
      </c>
      <c r="F702" t="s">
        <v>4873</v>
      </c>
      <c r="G702" t="s">
        <v>4874</v>
      </c>
      <c r="H702" t="s">
        <v>4868</v>
      </c>
      <c r="I702" s="1" t="s">
        <v>1456</v>
      </c>
      <c r="J702" t="s">
        <v>4869</v>
      </c>
      <c r="K702" s="25">
        <f>Tabelle5[[#This Row],[value_present]]*Tabelle5[[#This Row],[binding_level]]</f>
        <v>3</v>
      </c>
    </row>
    <row r="703" spans="1:11" ht="15.75" thickBot="1" x14ac:dyDescent="0.3">
      <c r="A703" s="24">
        <v>17</v>
      </c>
      <c r="B703" s="2">
        <v>102</v>
      </c>
      <c r="C703" s="2" t="s">
        <v>174</v>
      </c>
      <c r="D703" s="3">
        <v>1</v>
      </c>
      <c r="E703" s="1">
        <v>3</v>
      </c>
      <c r="F703" s="30" t="s">
        <v>4885</v>
      </c>
      <c r="G703" s="30" t="s">
        <v>4886</v>
      </c>
      <c r="H703" t="s">
        <v>4836</v>
      </c>
      <c r="I703" s="1" t="s">
        <v>1457</v>
      </c>
      <c r="J703" t="s">
        <v>4870</v>
      </c>
      <c r="K703" s="25">
        <f>Tabelle5[[#This Row],[value_present]]*Tabelle5[[#This Row],[binding_level]]</f>
        <v>3</v>
      </c>
    </row>
    <row r="704" spans="1:11" x14ac:dyDescent="0.25">
      <c r="A704" s="18">
        <v>19</v>
      </c>
      <c r="B704" s="19">
        <v>113</v>
      </c>
      <c r="C704" s="19" t="s">
        <v>53</v>
      </c>
      <c r="D704" s="20">
        <v>1</v>
      </c>
      <c r="E704" s="21">
        <v>3</v>
      </c>
      <c r="F704" t="s">
        <v>4964</v>
      </c>
      <c r="G704" t="s">
        <v>4963</v>
      </c>
      <c r="H704" s="22" t="s">
        <v>4940</v>
      </c>
      <c r="I704" s="21" t="s">
        <v>1456</v>
      </c>
      <c r="J704" s="22" t="s">
        <v>4924</v>
      </c>
      <c r="K704" s="23">
        <f>Tabelle5[[#This Row],[value_present]]*Tabelle5[[#This Row],[binding_level]]</f>
        <v>3</v>
      </c>
    </row>
    <row r="705" spans="1:11" x14ac:dyDescent="0.25">
      <c r="A705" s="24">
        <v>19</v>
      </c>
      <c r="B705" s="2">
        <v>113</v>
      </c>
      <c r="C705" s="2" t="s">
        <v>61</v>
      </c>
      <c r="D705" s="3">
        <v>1</v>
      </c>
      <c r="E705" s="1">
        <v>3</v>
      </c>
      <c r="F705" t="s">
        <v>4949</v>
      </c>
      <c r="G705" t="s">
        <v>4950</v>
      </c>
      <c r="H705" t="s">
        <v>4941</v>
      </c>
      <c r="I705" s="1" t="s">
        <v>1456</v>
      </c>
      <c r="J705" t="s">
        <v>4925</v>
      </c>
      <c r="K705" s="25">
        <f>Tabelle5[[#This Row],[value_present]]*Tabelle5[[#This Row],[binding_level]]</f>
        <v>3</v>
      </c>
    </row>
    <row r="706" spans="1:11" x14ac:dyDescent="0.25">
      <c r="A706" s="24">
        <v>19</v>
      </c>
      <c r="B706" s="2">
        <v>113</v>
      </c>
      <c r="C706" s="2" t="s">
        <v>69</v>
      </c>
      <c r="D706" s="3">
        <v>1</v>
      </c>
      <c r="E706" s="1">
        <v>2</v>
      </c>
      <c r="F706" t="s">
        <v>4951</v>
      </c>
      <c r="G706" t="s">
        <v>4952</v>
      </c>
      <c r="H706" t="s">
        <v>4942</v>
      </c>
      <c r="I706" s="1" t="s">
        <v>1456</v>
      </c>
      <c r="J706" t="s">
        <v>4926</v>
      </c>
      <c r="K706" s="25">
        <f>Tabelle5[[#This Row],[value_present]]*Tabelle5[[#This Row],[binding_level]]</f>
        <v>2</v>
      </c>
    </row>
    <row r="707" spans="1:11" x14ac:dyDescent="0.25">
      <c r="A707" s="24">
        <v>19</v>
      </c>
      <c r="B707" s="2">
        <v>113</v>
      </c>
      <c r="C707" s="2" t="s">
        <v>76</v>
      </c>
      <c r="D707" s="3">
        <v>0</v>
      </c>
      <c r="E707" s="1"/>
      <c r="I707" s="1" t="s">
        <v>1456</v>
      </c>
      <c r="J707" t="s">
        <v>4711</v>
      </c>
      <c r="K707" s="25">
        <f>Tabelle5[[#This Row],[value_present]]*Tabelle5[[#This Row],[binding_level]]</f>
        <v>0</v>
      </c>
    </row>
    <row r="708" spans="1:11" x14ac:dyDescent="0.25">
      <c r="A708" s="24">
        <v>19</v>
      </c>
      <c r="B708" s="2">
        <v>113</v>
      </c>
      <c r="C708" s="2" t="s">
        <v>83</v>
      </c>
      <c r="D708" s="3">
        <v>1</v>
      </c>
      <c r="E708" s="1">
        <v>2</v>
      </c>
      <c r="F708" t="s">
        <v>4953</v>
      </c>
      <c r="G708" t="s">
        <v>4954</v>
      </c>
      <c r="H708" t="s">
        <v>4942</v>
      </c>
      <c r="I708" s="1" t="s">
        <v>1456</v>
      </c>
      <c r="J708" t="s">
        <v>4927</v>
      </c>
      <c r="K708" s="25">
        <f>Tabelle5[[#This Row],[value_present]]*Tabelle5[[#This Row],[binding_level]]</f>
        <v>2</v>
      </c>
    </row>
    <row r="709" spans="1:11" x14ac:dyDescent="0.25">
      <c r="A709" s="24">
        <v>19</v>
      </c>
      <c r="B709" s="2">
        <v>113</v>
      </c>
      <c r="C709" s="2" t="s">
        <v>90</v>
      </c>
      <c r="D709" s="3">
        <v>1</v>
      </c>
      <c r="E709" s="1">
        <v>3</v>
      </c>
      <c r="F709" t="s">
        <v>4966</v>
      </c>
      <c r="G709" t="s">
        <v>4965</v>
      </c>
      <c r="H709" t="s">
        <v>4943</v>
      </c>
      <c r="I709" s="1" t="s">
        <v>1456</v>
      </c>
      <c r="J709" t="s">
        <v>4928</v>
      </c>
      <c r="K709" s="25">
        <f>Tabelle5[[#This Row],[value_present]]*Tabelle5[[#This Row],[binding_level]]</f>
        <v>3</v>
      </c>
    </row>
    <row r="710" spans="1:11" x14ac:dyDescent="0.25">
      <c r="A710" s="24">
        <v>19</v>
      </c>
      <c r="B710" s="2">
        <v>113</v>
      </c>
      <c r="C710" s="2" t="s">
        <v>98</v>
      </c>
      <c r="D710" s="3">
        <v>1</v>
      </c>
      <c r="E710" s="1">
        <v>3</v>
      </c>
      <c r="F710" t="s">
        <v>4968</v>
      </c>
      <c r="G710" t="s">
        <v>4967</v>
      </c>
      <c r="H710" t="s">
        <v>4943</v>
      </c>
      <c r="I710" s="1" t="s">
        <v>1456</v>
      </c>
      <c r="J710" t="s">
        <v>4929</v>
      </c>
      <c r="K710" s="25">
        <f>Tabelle5[[#This Row],[value_present]]*Tabelle5[[#This Row],[binding_level]]</f>
        <v>3</v>
      </c>
    </row>
    <row r="711" spans="1:11" x14ac:dyDescent="0.25">
      <c r="A711" s="24">
        <v>19</v>
      </c>
      <c r="B711" s="2">
        <v>113</v>
      </c>
      <c r="C711" s="2" t="s">
        <v>106</v>
      </c>
      <c r="D711" s="3">
        <v>1</v>
      </c>
      <c r="E711" s="1">
        <v>2</v>
      </c>
      <c r="F711" t="s">
        <v>4957</v>
      </c>
      <c r="G711" t="s">
        <v>4958</v>
      </c>
      <c r="H711" t="s">
        <v>4944</v>
      </c>
      <c r="I711" s="1" t="s">
        <v>1457</v>
      </c>
      <c r="J711" t="s">
        <v>4930</v>
      </c>
      <c r="K711" s="25">
        <f>Tabelle5[[#This Row],[value_present]]*Tabelle5[[#This Row],[binding_level]]</f>
        <v>2</v>
      </c>
    </row>
    <row r="712" spans="1:11" x14ac:dyDescent="0.25">
      <c r="A712" s="24">
        <v>19</v>
      </c>
      <c r="B712" s="2">
        <v>113</v>
      </c>
      <c r="C712" s="2" t="s">
        <v>112</v>
      </c>
      <c r="D712" s="3">
        <v>0</v>
      </c>
      <c r="E712" s="1"/>
      <c r="I712" s="1" t="s">
        <v>1457</v>
      </c>
      <c r="J712" t="s">
        <v>4931</v>
      </c>
      <c r="K712" s="25">
        <f>Tabelle5[[#This Row],[value_present]]*Tabelle5[[#This Row],[binding_level]]</f>
        <v>0</v>
      </c>
    </row>
    <row r="713" spans="1:11" x14ac:dyDescent="0.25">
      <c r="A713" s="24">
        <v>19</v>
      </c>
      <c r="B713" s="2">
        <v>113</v>
      </c>
      <c r="C713" s="2" t="s">
        <v>118</v>
      </c>
      <c r="D713" s="3">
        <v>0</v>
      </c>
      <c r="E713" s="1"/>
      <c r="I713" s="1" t="s">
        <v>1456</v>
      </c>
      <c r="J713" t="s">
        <v>4711</v>
      </c>
      <c r="K713" s="25">
        <f>Tabelle5[[#This Row],[value_present]]*Tabelle5[[#This Row],[binding_level]]</f>
        <v>0</v>
      </c>
    </row>
    <row r="714" spans="1:11" x14ac:dyDescent="0.25">
      <c r="A714" s="24">
        <v>19</v>
      </c>
      <c r="B714" s="2">
        <v>113</v>
      </c>
      <c r="C714" s="2" t="s">
        <v>125</v>
      </c>
      <c r="D714" s="3">
        <v>1</v>
      </c>
      <c r="E714" s="1">
        <v>1</v>
      </c>
      <c r="F714" t="s">
        <v>4959</v>
      </c>
      <c r="G714" t="s">
        <v>4960</v>
      </c>
      <c r="H714" t="s">
        <v>4944</v>
      </c>
      <c r="I714" s="1" t="s">
        <v>1457</v>
      </c>
      <c r="J714" t="s">
        <v>4932</v>
      </c>
      <c r="K714" s="25">
        <f>Tabelle5[[#This Row],[value_present]]*Tabelle5[[#This Row],[binding_level]]</f>
        <v>1</v>
      </c>
    </row>
    <row r="715" spans="1:11" x14ac:dyDescent="0.25">
      <c r="A715" s="24">
        <v>19</v>
      </c>
      <c r="B715" s="2">
        <v>113</v>
      </c>
      <c r="C715" s="2" t="s">
        <v>132</v>
      </c>
      <c r="D715" s="3">
        <v>1</v>
      </c>
      <c r="E715" s="1">
        <v>3</v>
      </c>
      <c r="F715" t="s">
        <v>4970</v>
      </c>
      <c r="G715" t="s">
        <v>4969</v>
      </c>
      <c r="H715" t="s">
        <v>4945</v>
      </c>
      <c r="I715" s="1" t="s">
        <v>1456</v>
      </c>
      <c r="J715" t="s">
        <v>4933</v>
      </c>
      <c r="K715" s="25">
        <f>Tabelle5[[#This Row],[value_present]]*Tabelle5[[#This Row],[binding_level]]</f>
        <v>3</v>
      </c>
    </row>
    <row r="716" spans="1:11" x14ac:dyDescent="0.25">
      <c r="A716" s="24">
        <v>19</v>
      </c>
      <c r="B716" s="2">
        <v>113</v>
      </c>
      <c r="C716" s="2" t="s">
        <v>140</v>
      </c>
      <c r="D716" s="3">
        <v>1</v>
      </c>
      <c r="E716" s="1">
        <v>1</v>
      </c>
      <c r="F716" t="s">
        <v>4961</v>
      </c>
      <c r="G716" t="s">
        <v>4962</v>
      </c>
      <c r="H716" t="s">
        <v>4946</v>
      </c>
      <c r="I716" s="1" t="s">
        <v>1457</v>
      </c>
      <c r="J716" t="s">
        <v>4934</v>
      </c>
      <c r="K716" s="25">
        <f>Tabelle5[[#This Row],[value_present]]*Tabelle5[[#This Row],[binding_level]]</f>
        <v>1</v>
      </c>
    </row>
    <row r="717" spans="1:11" x14ac:dyDescent="0.25">
      <c r="A717" s="24">
        <v>19</v>
      </c>
      <c r="B717" s="2">
        <v>113</v>
      </c>
      <c r="C717" s="2" t="s">
        <v>147</v>
      </c>
      <c r="D717" s="3">
        <v>1</v>
      </c>
      <c r="E717" s="1">
        <v>3</v>
      </c>
      <c r="F717" t="s">
        <v>4974</v>
      </c>
      <c r="G717" t="s">
        <v>4971</v>
      </c>
      <c r="H717" t="s">
        <v>4947</v>
      </c>
      <c r="I717" s="1" t="s">
        <v>1456</v>
      </c>
      <c r="J717" t="s">
        <v>4935</v>
      </c>
      <c r="K717" s="25">
        <f>Tabelle5[[#This Row],[value_present]]*Tabelle5[[#This Row],[binding_level]]</f>
        <v>3</v>
      </c>
    </row>
    <row r="718" spans="1:11" x14ac:dyDescent="0.25">
      <c r="A718" s="24">
        <v>19</v>
      </c>
      <c r="B718" s="2">
        <v>113</v>
      </c>
      <c r="C718" s="2" t="s">
        <v>154</v>
      </c>
      <c r="D718" s="3">
        <v>1</v>
      </c>
      <c r="E718" s="1">
        <v>2</v>
      </c>
      <c r="F718" t="s">
        <v>4973</v>
      </c>
      <c r="G718" t="s">
        <v>4972</v>
      </c>
      <c r="H718" t="s">
        <v>4948</v>
      </c>
      <c r="I718" s="1" t="s">
        <v>1456</v>
      </c>
      <c r="J718" t="s">
        <v>4936</v>
      </c>
      <c r="K718" s="25">
        <f>Tabelle5[[#This Row],[value_present]]*Tabelle5[[#This Row],[binding_level]]</f>
        <v>2</v>
      </c>
    </row>
    <row r="719" spans="1:11" x14ac:dyDescent="0.25">
      <c r="A719" s="24">
        <v>19</v>
      </c>
      <c r="B719" s="2">
        <v>113</v>
      </c>
      <c r="C719" s="2" t="s">
        <v>161</v>
      </c>
      <c r="D719" s="3">
        <v>0</v>
      </c>
      <c r="E719" s="1"/>
      <c r="I719" s="1" t="s">
        <v>1457</v>
      </c>
      <c r="J719" t="s">
        <v>4937</v>
      </c>
      <c r="K719" s="25">
        <f>Tabelle5[[#This Row],[value_present]]*Tabelle5[[#This Row],[binding_level]]</f>
        <v>0</v>
      </c>
    </row>
    <row r="720" spans="1:11" x14ac:dyDescent="0.25">
      <c r="A720" s="24">
        <v>19</v>
      </c>
      <c r="B720" s="2">
        <v>113</v>
      </c>
      <c r="C720" s="2" t="s">
        <v>166</v>
      </c>
      <c r="D720" s="3">
        <v>1</v>
      </c>
      <c r="E720" s="1">
        <v>2</v>
      </c>
      <c r="F720" t="s">
        <v>4955</v>
      </c>
      <c r="G720" t="s">
        <v>4956</v>
      </c>
      <c r="H720" t="s">
        <v>4943</v>
      </c>
      <c r="I720" s="1" t="s">
        <v>1457</v>
      </c>
      <c r="J720" t="s">
        <v>4938</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4939</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5002</v>
      </c>
      <c r="K722" s="23">
        <f>Tabelle5[[#This Row],[value_present]]*Tabelle5[[#This Row],[binding_level]]</f>
        <v>0</v>
      </c>
    </row>
    <row r="723" spans="1:11" x14ac:dyDescent="0.25">
      <c r="A723" s="24">
        <v>20</v>
      </c>
      <c r="B723" s="2">
        <v>122</v>
      </c>
      <c r="C723" s="2" t="s">
        <v>61</v>
      </c>
      <c r="D723" s="3">
        <v>0</v>
      </c>
      <c r="E723" s="1"/>
      <c r="I723" s="1" t="s">
        <v>1457</v>
      </c>
      <c r="J723" t="s">
        <v>5003</v>
      </c>
      <c r="K723" s="25">
        <f>Tabelle5[[#This Row],[value_present]]*Tabelle5[[#This Row],[binding_level]]</f>
        <v>0</v>
      </c>
    </row>
    <row r="724" spans="1:11" x14ac:dyDescent="0.25">
      <c r="A724" s="24">
        <v>20</v>
      </c>
      <c r="B724" s="2">
        <v>122</v>
      </c>
      <c r="C724" s="2" t="s">
        <v>69</v>
      </c>
      <c r="D724" s="3">
        <v>1</v>
      </c>
      <c r="E724" s="1">
        <v>1</v>
      </c>
      <c r="F724" t="s">
        <v>5012</v>
      </c>
      <c r="G724" t="s">
        <v>5013</v>
      </c>
      <c r="H724" t="s">
        <v>5004</v>
      </c>
      <c r="I724" s="1" t="s">
        <v>1457</v>
      </c>
      <c r="J724" t="s">
        <v>5005</v>
      </c>
      <c r="K724" s="25">
        <f>Tabelle5[[#This Row],[value_present]]*Tabelle5[[#This Row],[binding_level]]</f>
        <v>1</v>
      </c>
    </row>
    <row r="725" spans="1:11" x14ac:dyDescent="0.25">
      <c r="A725" s="24">
        <v>20</v>
      </c>
      <c r="B725" s="2">
        <v>122</v>
      </c>
      <c r="C725" s="2" t="s">
        <v>76</v>
      </c>
      <c r="D725" s="3">
        <v>0</v>
      </c>
      <c r="E725" s="1"/>
      <c r="I725" s="1" t="s">
        <v>1456</v>
      </c>
      <c r="J725" t="s">
        <v>4711</v>
      </c>
      <c r="K725" s="25">
        <f>Tabelle5[[#This Row],[value_present]]*Tabelle5[[#This Row],[binding_level]]</f>
        <v>0</v>
      </c>
    </row>
    <row r="726" spans="1:11" x14ac:dyDescent="0.25">
      <c r="A726" s="24">
        <v>20</v>
      </c>
      <c r="B726" s="2">
        <v>122</v>
      </c>
      <c r="C726" s="2" t="s">
        <v>83</v>
      </c>
      <c r="D726" s="3">
        <v>0</v>
      </c>
      <c r="E726" s="1"/>
      <c r="I726" s="1" t="s">
        <v>1456</v>
      </c>
      <c r="J726" t="s">
        <v>4711</v>
      </c>
      <c r="K726" s="25">
        <f>Tabelle5[[#This Row],[value_present]]*Tabelle5[[#This Row],[binding_level]]</f>
        <v>0</v>
      </c>
    </row>
    <row r="727" spans="1:11" x14ac:dyDescent="0.25">
      <c r="A727" s="24">
        <v>20</v>
      </c>
      <c r="B727" s="2">
        <v>122</v>
      </c>
      <c r="C727" s="2" t="s">
        <v>90</v>
      </c>
      <c r="D727" s="3">
        <v>1</v>
      </c>
      <c r="E727" s="1">
        <v>1</v>
      </c>
      <c r="F727" t="s">
        <v>5019</v>
      </c>
      <c r="G727" t="s">
        <v>5018</v>
      </c>
      <c r="H727" t="s">
        <v>5004</v>
      </c>
      <c r="I727" s="1" t="s">
        <v>1456</v>
      </c>
      <c r="J727" t="s">
        <v>5006</v>
      </c>
      <c r="K727" s="25">
        <f>Tabelle5[[#This Row],[value_present]]*Tabelle5[[#This Row],[binding_level]]</f>
        <v>1</v>
      </c>
    </row>
    <row r="728" spans="1:11" x14ac:dyDescent="0.25">
      <c r="A728" s="24">
        <v>20</v>
      </c>
      <c r="B728" s="2">
        <v>122</v>
      </c>
      <c r="C728" s="2" t="s">
        <v>98</v>
      </c>
      <c r="D728" s="3">
        <v>1</v>
      </c>
      <c r="E728" s="1">
        <v>1</v>
      </c>
      <c r="F728" t="s">
        <v>5012</v>
      </c>
      <c r="G728" t="s">
        <v>5013</v>
      </c>
      <c r="H728" t="s">
        <v>5004</v>
      </c>
      <c r="I728" s="1" t="s">
        <v>1457</v>
      </c>
      <c r="J728" t="s">
        <v>5007</v>
      </c>
      <c r="K728" s="25">
        <f>Tabelle5[[#This Row],[value_present]]*Tabelle5[[#This Row],[binding_level]]</f>
        <v>1</v>
      </c>
    </row>
    <row r="729" spans="1:11" x14ac:dyDescent="0.25">
      <c r="A729" s="24">
        <v>20</v>
      </c>
      <c r="B729" s="2">
        <v>122</v>
      </c>
      <c r="C729" s="2" t="s">
        <v>106</v>
      </c>
      <c r="D729" s="3">
        <v>0</v>
      </c>
      <c r="E729" s="1"/>
      <c r="I729" s="1" t="s">
        <v>1456</v>
      </c>
      <c r="J729" t="s">
        <v>4711</v>
      </c>
      <c r="K729" s="25">
        <f>Tabelle5[[#This Row],[value_present]]*Tabelle5[[#This Row],[binding_level]]</f>
        <v>0</v>
      </c>
    </row>
    <row r="730" spans="1:11" x14ac:dyDescent="0.25">
      <c r="A730" s="24">
        <v>20</v>
      </c>
      <c r="B730" s="2">
        <v>122</v>
      </c>
      <c r="C730" s="2" t="s">
        <v>112</v>
      </c>
      <c r="D730" s="3">
        <v>0</v>
      </c>
      <c r="E730" s="1"/>
      <c r="I730" s="1" t="s">
        <v>1456</v>
      </c>
      <c r="J730" t="s">
        <v>4711</v>
      </c>
      <c r="K730" s="25">
        <f>Tabelle5[[#This Row],[value_present]]*Tabelle5[[#This Row],[binding_level]]</f>
        <v>0</v>
      </c>
    </row>
    <row r="731" spans="1:11" x14ac:dyDescent="0.25">
      <c r="A731" s="24">
        <v>20</v>
      </c>
      <c r="B731" s="2">
        <v>122</v>
      </c>
      <c r="C731" s="2" t="s">
        <v>118</v>
      </c>
      <c r="D731" s="3">
        <v>0</v>
      </c>
      <c r="E731" s="1"/>
      <c r="I731" s="1" t="s">
        <v>1457</v>
      </c>
      <c r="J731" t="s">
        <v>5008</v>
      </c>
      <c r="K731" s="25">
        <f>Tabelle5[[#This Row],[value_present]]*Tabelle5[[#This Row],[binding_level]]</f>
        <v>0</v>
      </c>
    </row>
    <row r="732" spans="1:11" x14ac:dyDescent="0.25">
      <c r="A732" s="24">
        <v>20</v>
      </c>
      <c r="B732" s="2">
        <v>122</v>
      </c>
      <c r="C732" s="2" t="s">
        <v>125</v>
      </c>
      <c r="D732" s="3">
        <v>0</v>
      </c>
      <c r="E732" s="1"/>
      <c r="I732" s="1" t="s">
        <v>1456</v>
      </c>
      <c r="J732" t="s">
        <v>4711</v>
      </c>
      <c r="K732" s="25">
        <f>Tabelle5[[#This Row],[value_present]]*Tabelle5[[#This Row],[binding_level]]</f>
        <v>0</v>
      </c>
    </row>
    <row r="733" spans="1:11" x14ac:dyDescent="0.25">
      <c r="A733" s="24">
        <v>20</v>
      </c>
      <c r="B733" s="2">
        <v>122</v>
      </c>
      <c r="C733" s="2" t="s">
        <v>132</v>
      </c>
      <c r="D733" s="3">
        <v>0</v>
      </c>
      <c r="E733" s="1"/>
      <c r="I733" s="1" t="s">
        <v>1456</v>
      </c>
      <c r="J733" t="s">
        <v>4711</v>
      </c>
      <c r="K733" s="25">
        <f>Tabelle5[[#This Row],[value_present]]*Tabelle5[[#This Row],[binding_level]]</f>
        <v>0</v>
      </c>
    </row>
    <row r="734" spans="1:11" x14ac:dyDescent="0.25">
      <c r="A734" s="24">
        <v>20</v>
      </c>
      <c r="B734" s="2">
        <v>122</v>
      </c>
      <c r="C734" s="2" t="s">
        <v>140</v>
      </c>
      <c r="D734" s="3">
        <v>0</v>
      </c>
      <c r="E734" s="1"/>
      <c r="I734" s="1" t="s">
        <v>1457</v>
      </c>
      <c r="J734" t="s">
        <v>5009</v>
      </c>
      <c r="K734" s="25">
        <f>Tabelle5[[#This Row],[value_present]]*Tabelle5[[#This Row],[binding_level]]</f>
        <v>0</v>
      </c>
    </row>
    <row r="735" spans="1:11" x14ac:dyDescent="0.25">
      <c r="A735" s="24">
        <v>20</v>
      </c>
      <c r="B735" s="2">
        <v>122</v>
      </c>
      <c r="C735" s="2" t="s">
        <v>147</v>
      </c>
      <c r="D735" s="3">
        <v>1</v>
      </c>
      <c r="E735" s="1">
        <v>1</v>
      </c>
      <c r="F735" t="s">
        <v>5014</v>
      </c>
      <c r="G735" t="s">
        <v>5015</v>
      </c>
      <c r="H735" t="s">
        <v>5004</v>
      </c>
      <c r="I735" s="1" t="s">
        <v>1456</v>
      </c>
      <c r="J735" t="s">
        <v>5010</v>
      </c>
      <c r="K735" s="25">
        <f>Tabelle5[[#This Row],[value_present]]*Tabelle5[[#This Row],[binding_level]]</f>
        <v>1</v>
      </c>
    </row>
    <row r="736" spans="1:11" x14ac:dyDescent="0.25">
      <c r="A736" s="24">
        <v>20</v>
      </c>
      <c r="B736" s="2">
        <v>122</v>
      </c>
      <c r="C736" s="2" t="s">
        <v>154</v>
      </c>
      <c r="D736" s="3">
        <v>1</v>
      </c>
      <c r="E736" s="1">
        <v>1</v>
      </c>
      <c r="F736" t="s">
        <v>5016</v>
      </c>
      <c r="G736" t="s">
        <v>5017</v>
      </c>
      <c r="H736" t="s">
        <v>5004</v>
      </c>
      <c r="I736" s="1" t="s">
        <v>1456</v>
      </c>
      <c r="J736" t="s">
        <v>5011</v>
      </c>
      <c r="K736" s="25">
        <f>Tabelle5[[#This Row],[value_present]]*Tabelle5[[#This Row],[binding_level]]</f>
        <v>1</v>
      </c>
    </row>
    <row r="737" spans="1:11" x14ac:dyDescent="0.25">
      <c r="A737" s="24">
        <v>20</v>
      </c>
      <c r="B737" s="2">
        <v>122</v>
      </c>
      <c r="C737" s="2" t="s">
        <v>161</v>
      </c>
      <c r="D737" s="3">
        <v>0</v>
      </c>
      <c r="E737" s="1"/>
      <c r="I737" s="1" t="s">
        <v>1456</v>
      </c>
      <c r="J737" t="s">
        <v>4711</v>
      </c>
      <c r="K737" s="25">
        <f>Tabelle5[[#This Row],[value_present]]*Tabelle5[[#This Row],[binding_level]]</f>
        <v>0</v>
      </c>
    </row>
    <row r="738" spans="1:11" x14ac:dyDescent="0.25">
      <c r="A738" s="24">
        <v>20</v>
      </c>
      <c r="B738" s="2">
        <v>122</v>
      </c>
      <c r="C738" s="2" t="s">
        <v>166</v>
      </c>
      <c r="D738" s="3">
        <v>0</v>
      </c>
      <c r="E738" s="1"/>
      <c r="I738" s="1" t="s">
        <v>1456</v>
      </c>
      <c r="J738" t="s">
        <v>4711</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4711</v>
      </c>
      <c r="K739" s="31">
        <f>Tabelle5[[#This Row],[value_present]]*Tabelle5[[#This Row],[binding_level]]</f>
        <v>0</v>
      </c>
    </row>
    <row r="740" spans="1:11" x14ac:dyDescent="0.25">
      <c r="A740" s="18">
        <v>22</v>
      </c>
      <c r="B740" s="19">
        <v>132</v>
      </c>
      <c r="C740" s="19" t="s">
        <v>53</v>
      </c>
      <c r="D740" s="20">
        <v>1</v>
      </c>
      <c r="E740" s="21">
        <v>2</v>
      </c>
      <c r="F740" t="s">
        <v>5073</v>
      </c>
      <c r="G740" t="s">
        <v>5074</v>
      </c>
      <c r="H740" s="22" t="s">
        <v>5072</v>
      </c>
      <c r="I740" s="21" t="s">
        <v>1456</v>
      </c>
      <c r="J740" s="22" t="s">
        <v>5057</v>
      </c>
      <c r="K740" s="23">
        <f>Tabelle5[[#This Row],[value_present]]*Tabelle5[[#This Row],[binding_level]]</f>
        <v>2</v>
      </c>
    </row>
    <row r="741" spans="1:11" x14ac:dyDescent="0.25">
      <c r="A741" s="24">
        <v>22</v>
      </c>
      <c r="B741" s="2">
        <v>132</v>
      </c>
      <c r="C741" s="2" t="s">
        <v>61</v>
      </c>
      <c r="D741" s="3">
        <v>1</v>
      </c>
      <c r="E741" s="1">
        <v>2</v>
      </c>
      <c r="F741" t="s">
        <v>5075</v>
      </c>
      <c r="G741" t="s">
        <v>2854</v>
      </c>
      <c r="H741" t="s">
        <v>5072</v>
      </c>
      <c r="I741" s="1" t="s">
        <v>1456</v>
      </c>
      <c r="J741" t="s">
        <v>5058</v>
      </c>
      <c r="K741" s="25">
        <f>Tabelle5[[#This Row],[value_present]]*Tabelle5[[#This Row],[binding_level]]</f>
        <v>2</v>
      </c>
    </row>
    <row r="742" spans="1:11" x14ac:dyDescent="0.25">
      <c r="A742" s="24">
        <v>22</v>
      </c>
      <c r="B742" s="2">
        <v>132</v>
      </c>
      <c r="C742" s="2" t="s">
        <v>69</v>
      </c>
      <c r="D742" s="3">
        <v>1</v>
      </c>
      <c r="E742" s="1">
        <v>2</v>
      </c>
      <c r="F742" t="s">
        <v>5076</v>
      </c>
      <c r="G742" t="s">
        <v>5077</v>
      </c>
      <c r="H742" t="s">
        <v>5072</v>
      </c>
      <c r="I742" s="1" t="s">
        <v>1456</v>
      </c>
      <c r="J742" t="s">
        <v>5059</v>
      </c>
      <c r="K742" s="25">
        <f>Tabelle5[[#This Row],[value_present]]*Tabelle5[[#This Row],[binding_level]]</f>
        <v>2</v>
      </c>
    </row>
    <row r="743" spans="1:11" x14ac:dyDescent="0.25">
      <c r="A743" s="24">
        <v>22</v>
      </c>
      <c r="B743" s="2">
        <v>132</v>
      </c>
      <c r="C743" s="2" t="s">
        <v>76</v>
      </c>
      <c r="D743" s="3">
        <v>0</v>
      </c>
      <c r="E743" s="1"/>
      <c r="I743" s="1" t="s">
        <v>1456</v>
      </c>
      <c r="J743" t="s">
        <v>5060</v>
      </c>
      <c r="K743" s="25">
        <f>Tabelle5[[#This Row],[value_present]]*Tabelle5[[#This Row],[binding_level]]</f>
        <v>0</v>
      </c>
    </row>
    <row r="744" spans="1:11" x14ac:dyDescent="0.25">
      <c r="A744" s="24">
        <v>22</v>
      </c>
      <c r="B744" s="2">
        <v>132</v>
      </c>
      <c r="C744" s="2" t="s">
        <v>83</v>
      </c>
      <c r="D744" s="3">
        <v>0</v>
      </c>
      <c r="E744" s="1"/>
      <c r="I744" s="1" t="s">
        <v>1456</v>
      </c>
      <c r="J744" t="s">
        <v>5061</v>
      </c>
      <c r="K744" s="25">
        <f>Tabelle5[[#This Row],[value_present]]*Tabelle5[[#This Row],[binding_level]]</f>
        <v>0</v>
      </c>
    </row>
    <row r="745" spans="1:11" x14ac:dyDescent="0.25">
      <c r="A745" s="24">
        <v>22</v>
      </c>
      <c r="B745" s="2">
        <v>132</v>
      </c>
      <c r="C745" s="2" t="s">
        <v>90</v>
      </c>
      <c r="D745" s="3">
        <v>0</v>
      </c>
      <c r="E745" s="1"/>
      <c r="I745" s="1" t="s">
        <v>1457</v>
      </c>
      <c r="J745" t="s">
        <v>5062</v>
      </c>
      <c r="K745" s="25">
        <f>Tabelle5[[#This Row],[value_present]]*Tabelle5[[#This Row],[binding_level]]</f>
        <v>0</v>
      </c>
    </row>
    <row r="746" spans="1:11" x14ac:dyDescent="0.25">
      <c r="A746" s="24">
        <v>22</v>
      </c>
      <c r="B746" s="2">
        <v>132</v>
      </c>
      <c r="C746" s="2" t="s">
        <v>98</v>
      </c>
      <c r="D746" s="3">
        <v>0</v>
      </c>
      <c r="E746" s="1"/>
      <c r="I746" s="1" t="s">
        <v>1457</v>
      </c>
      <c r="J746" t="s">
        <v>5063</v>
      </c>
      <c r="K746" s="25">
        <f>Tabelle5[[#This Row],[value_present]]*Tabelle5[[#This Row],[binding_level]]</f>
        <v>0</v>
      </c>
    </row>
    <row r="747" spans="1:11" x14ac:dyDescent="0.25">
      <c r="A747" s="24">
        <v>22</v>
      </c>
      <c r="B747" s="2">
        <v>132</v>
      </c>
      <c r="C747" s="2" t="s">
        <v>106</v>
      </c>
      <c r="D747" s="3">
        <v>1</v>
      </c>
      <c r="E747" s="1">
        <v>2</v>
      </c>
      <c r="F747" t="s">
        <v>5078</v>
      </c>
      <c r="G747" t="s">
        <v>5079</v>
      </c>
      <c r="H747" t="s">
        <v>5072</v>
      </c>
      <c r="I747" s="1" t="s">
        <v>1457</v>
      </c>
      <c r="J747" t="s">
        <v>5064</v>
      </c>
      <c r="K747" s="25">
        <f>Tabelle5[[#This Row],[value_present]]*Tabelle5[[#This Row],[binding_level]]</f>
        <v>2</v>
      </c>
    </row>
    <row r="748" spans="1:11" x14ac:dyDescent="0.25">
      <c r="A748" s="24">
        <v>22</v>
      </c>
      <c r="B748" s="2">
        <v>132</v>
      </c>
      <c r="C748" s="2" t="s">
        <v>112</v>
      </c>
      <c r="D748" s="3">
        <v>1</v>
      </c>
      <c r="E748" s="1">
        <v>2</v>
      </c>
      <c r="F748" t="s">
        <v>5080</v>
      </c>
      <c r="G748" t="s">
        <v>5081</v>
      </c>
      <c r="H748" t="s">
        <v>5072</v>
      </c>
      <c r="I748" s="1" t="s">
        <v>1457</v>
      </c>
      <c r="J748" t="s">
        <v>5065</v>
      </c>
      <c r="K748" s="25">
        <f>Tabelle5[[#This Row],[value_present]]*Tabelle5[[#This Row],[binding_level]]</f>
        <v>2</v>
      </c>
    </row>
    <row r="749" spans="1:11" x14ac:dyDescent="0.25">
      <c r="A749" s="24">
        <v>22</v>
      </c>
      <c r="B749" s="2">
        <v>132</v>
      </c>
      <c r="C749" s="2" t="s">
        <v>118</v>
      </c>
      <c r="D749" s="3">
        <v>0</v>
      </c>
      <c r="E749" s="1"/>
      <c r="I749" s="1" t="s">
        <v>1457</v>
      </c>
      <c r="J749" t="s">
        <v>5066</v>
      </c>
      <c r="K749" s="25">
        <f>Tabelle5[[#This Row],[value_present]]*Tabelle5[[#This Row],[binding_level]]</f>
        <v>0</v>
      </c>
    </row>
    <row r="750" spans="1:11" x14ac:dyDescent="0.25">
      <c r="A750" s="24">
        <v>22</v>
      </c>
      <c r="B750" s="2">
        <v>132</v>
      </c>
      <c r="C750" s="2" t="s">
        <v>125</v>
      </c>
      <c r="D750" s="3">
        <v>0</v>
      </c>
      <c r="E750" s="1"/>
      <c r="I750" s="1" t="s">
        <v>1456</v>
      </c>
      <c r="J750" t="s">
        <v>4711</v>
      </c>
      <c r="K750" s="25">
        <f>Tabelle5[[#This Row],[value_present]]*Tabelle5[[#This Row],[binding_level]]</f>
        <v>0</v>
      </c>
    </row>
    <row r="751" spans="1:11" x14ac:dyDescent="0.25">
      <c r="A751" s="24">
        <v>22</v>
      </c>
      <c r="B751" s="2">
        <v>132</v>
      </c>
      <c r="C751" s="2" t="s">
        <v>132</v>
      </c>
      <c r="D751" s="3">
        <v>0</v>
      </c>
      <c r="E751" s="1"/>
      <c r="I751" s="1" t="s">
        <v>1456</v>
      </c>
      <c r="J751" t="s">
        <v>4711</v>
      </c>
      <c r="K751" s="25">
        <f>Tabelle5[[#This Row],[value_present]]*Tabelle5[[#This Row],[binding_level]]</f>
        <v>0</v>
      </c>
    </row>
    <row r="752" spans="1:11" x14ac:dyDescent="0.25">
      <c r="A752" s="24">
        <v>22</v>
      </c>
      <c r="B752" s="2">
        <v>132</v>
      </c>
      <c r="C752" s="2" t="s">
        <v>140</v>
      </c>
      <c r="D752" s="3">
        <v>0</v>
      </c>
      <c r="E752" s="1"/>
      <c r="I752" s="1" t="s">
        <v>1456</v>
      </c>
      <c r="J752" t="s">
        <v>4711</v>
      </c>
      <c r="K752" s="25">
        <f>Tabelle5[[#This Row],[value_present]]*Tabelle5[[#This Row],[binding_level]]</f>
        <v>0</v>
      </c>
    </row>
    <row r="753" spans="1:11" x14ac:dyDescent="0.25">
      <c r="A753" s="24">
        <v>22</v>
      </c>
      <c r="B753" s="2">
        <v>132</v>
      </c>
      <c r="C753" s="2" t="s">
        <v>147</v>
      </c>
      <c r="D753" s="3">
        <v>0</v>
      </c>
      <c r="E753" s="1"/>
      <c r="I753" s="1" t="s">
        <v>1457</v>
      </c>
      <c r="J753" t="s">
        <v>5067</v>
      </c>
      <c r="K753" s="25">
        <f>Tabelle5[[#This Row],[value_present]]*Tabelle5[[#This Row],[binding_level]]</f>
        <v>0</v>
      </c>
    </row>
    <row r="754" spans="1:11" x14ac:dyDescent="0.25">
      <c r="A754" s="24">
        <v>22</v>
      </c>
      <c r="B754" s="2">
        <v>132</v>
      </c>
      <c r="C754" s="2" t="s">
        <v>154</v>
      </c>
      <c r="D754" s="3">
        <v>1</v>
      </c>
      <c r="E754" s="1">
        <v>1</v>
      </c>
      <c r="F754" t="s">
        <v>5082</v>
      </c>
      <c r="G754" t="s">
        <v>5083</v>
      </c>
      <c r="H754" t="s">
        <v>5072</v>
      </c>
      <c r="I754" s="1" t="s">
        <v>1457</v>
      </c>
      <c r="J754" t="s">
        <v>5068</v>
      </c>
      <c r="K754" s="25">
        <f>Tabelle5[[#This Row],[value_present]]*Tabelle5[[#This Row],[binding_level]]</f>
        <v>1</v>
      </c>
    </row>
    <row r="755" spans="1:11" x14ac:dyDescent="0.25">
      <c r="A755" s="24">
        <v>22</v>
      </c>
      <c r="B755" s="2">
        <v>132</v>
      </c>
      <c r="C755" s="2" t="s">
        <v>161</v>
      </c>
      <c r="D755" s="3">
        <v>0</v>
      </c>
      <c r="E755" s="1"/>
      <c r="I755" s="1" t="s">
        <v>1457</v>
      </c>
      <c r="J755" t="s">
        <v>5069</v>
      </c>
      <c r="K755" s="25">
        <f>Tabelle5[[#This Row],[value_present]]*Tabelle5[[#This Row],[binding_level]]</f>
        <v>0</v>
      </c>
    </row>
    <row r="756" spans="1:11" x14ac:dyDescent="0.25">
      <c r="A756" s="24">
        <v>22</v>
      </c>
      <c r="B756" s="2">
        <v>132</v>
      </c>
      <c r="C756" s="2" t="s">
        <v>166</v>
      </c>
      <c r="D756" s="3">
        <v>0</v>
      </c>
      <c r="E756" s="1"/>
      <c r="I756" s="1" t="s">
        <v>1457</v>
      </c>
      <c r="J756" t="s">
        <v>5070</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5071</v>
      </c>
      <c r="K757" s="31">
        <f>Tabelle5[[#This Row],[value_present]]*Tabelle5[[#This Row],[binding_level]]</f>
        <v>0</v>
      </c>
    </row>
    <row r="758" spans="1:11" x14ac:dyDescent="0.25">
      <c r="A758" s="18">
        <v>23</v>
      </c>
      <c r="B758" s="19">
        <v>142</v>
      </c>
      <c r="C758" s="19" t="s">
        <v>53</v>
      </c>
      <c r="D758" s="20">
        <v>1</v>
      </c>
      <c r="E758" s="21">
        <v>3</v>
      </c>
      <c r="F758" s="22" t="s">
        <v>5203</v>
      </c>
      <c r="G758" s="22" t="s">
        <v>5202</v>
      </c>
      <c r="H758" s="22" t="s">
        <v>5161</v>
      </c>
      <c r="I758" s="21" t="s">
        <v>1456</v>
      </c>
      <c r="J758" s="22" t="s">
        <v>5162</v>
      </c>
      <c r="K758" s="23">
        <f>Tabelle5[[#This Row],[value_present]]*Tabelle5[[#This Row],[binding_level]]</f>
        <v>3</v>
      </c>
    </row>
    <row r="759" spans="1:11" x14ac:dyDescent="0.25">
      <c r="A759" s="24">
        <v>23</v>
      </c>
      <c r="B759" s="2">
        <v>142</v>
      </c>
      <c r="C759" s="2" t="s">
        <v>61</v>
      </c>
      <c r="D759" s="3">
        <v>1</v>
      </c>
      <c r="E759" s="1">
        <v>3</v>
      </c>
      <c r="F759" t="s">
        <v>5205</v>
      </c>
      <c r="G759" t="s">
        <v>5204</v>
      </c>
      <c r="H759" t="s">
        <v>5163</v>
      </c>
      <c r="I759" s="1" t="s">
        <v>1457</v>
      </c>
      <c r="J759" t="s">
        <v>5164</v>
      </c>
      <c r="K759" s="25">
        <f>Tabelle5[[#This Row],[value_present]]*Tabelle5[[#This Row],[binding_level]]</f>
        <v>3</v>
      </c>
    </row>
    <row r="760" spans="1:11" x14ac:dyDescent="0.25">
      <c r="A760" s="24">
        <v>23</v>
      </c>
      <c r="B760" s="2">
        <v>142</v>
      </c>
      <c r="C760" s="2" t="s">
        <v>69</v>
      </c>
      <c r="D760" s="3">
        <v>1</v>
      </c>
      <c r="E760" s="1">
        <v>1</v>
      </c>
      <c r="F760" t="s">
        <v>5190</v>
      </c>
      <c r="G760" t="s">
        <v>5191</v>
      </c>
      <c r="H760" t="s">
        <v>5165</v>
      </c>
      <c r="I760" s="1" t="s">
        <v>1456</v>
      </c>
      <c r="J760" t="s">
        <v>5166</v>
      </c>
      <c r="K760" s="25">
        <f>Tabelle5[[#This Row],[value_present]]*Tabelle5[[#This Row],[binding_level]]</f>
        <v>1</v>
      </c>
    </row>
    <row r="761" spans="1:11" x14ac:dyDescent="0.25">
      <c r="A761" s="24">
        <v>23</v>
      </c>
      <c r="B761" s="2">
        <v>142</v>
      </c>
      <c r="C761" s="2" t="s">
        <v>76</v>
      </c>
      <c r="D761" s="3">
        <v>1</v>
      </c>
      <c r="E761" s="1">
        <v>3</v>
      </c>
      <c r="F761" t="s">
        <v>5207</v>
      </c>
      <c r="G761" t="s">
        <v>5206</v>
      </c>
      <c r="H761" t="s">
        <v>5167</v>
      </c>
      <c r="I761" s="1" t="s">
        <v>1456</v>
      </c>
      <c r="J761" t="s">
        <v>5168</v>
      </c>
      <c r="K761" s="25">
        <f>Tabelle5[[#This Row],[value_present]]*Tabelle5[[#This Row],[binding_level]]</f>
        <v>3</v>
      </c>
    </row>
    <row r="762" spans="1:11" x14ac:dyDescent="0.25">
      <c r="A762" s="24">
        <v>23</v>
      </c>
      <c r="B762" s="2">
        <v>142</v>
      </c>
      <c r="C762" s="2" t="s">
        <v>83</v>
      </c>
      <c r="D762" s="3">
        <v>1</v>
      </c>
      <c r="E762" s="1">
        <v>2</v>
      </c>
      <c r="F762" t="s">
        <v>5209</v>
      </c>
      <c r="G762" t="s">
        <v>5208</v>
      </c>
      <c r="H762" t="s">
        <v>5169</v>
      </c>
      <c r="I762" s="1" t="s">
        <v>1456</v>
      </c>
      <c r="J762" t="s">
        <v>5170</v>
      </c>
      <c r="K762" s="25">
        <f>Tabelle5[[#This Row],[value_present]]*Tabelle5[[#This Row],[binding_level]]</f>
        <v>2</v>
      </c>
    </row>
    <row r="763" spans="1:11" x14ac:dyDescent="0.25">
      <c r="A763" s="24">
        <v>23</v>
      </c>
      <c r="B763" s="2">
        <v>142</v>
      </c>
      <c r="C763" s="2" t="s">
        <v>90</v>
      </c>
      <c r="D763" s="3">
        <v>1</v>
      </c>
      <c r="E763" s="1">
        <v>1</v>
      </c>
      <c r="F763" t="s">
        <v>5192</v>
      </c>
      <c r="G763" t="s">
        <v>5193</v>
      </c>
      <c r="H763" t="s">
        <v>5171</v>
      </c>
      <c r="I763" s="1" t="s">
        <v>1456</v>
      </c>
      <c r="J763" t="s">
        <v>5172</v>
      </c>
      <c r="K763" s="25">
        <f>Tabelle5[[#This Row],[value_present]]*Tabelle5[[#This Row],[binding_level]]</f>
        <v>1</v>
      </c>
    </row>
    <row r="764" spans="1:11" x14ac:dyDescent="0.25">
      <c r="A764" s="24">
        <v>23</v>
      </c>
      <c r="B764" s="2">
        <v>142</v>
      </c>
      <c r="C764" s="2" t="s">
        <v>98</v>
      </c>
      <c r="D764" s="3">
        <v>1</v>
      </c>
      <c r="E764" s="1">
        <v>1</v>
      </c>
      <c r="F764" t="s">
        <v>5194</v>
      </c>
      <c r="G764" t="s">
        <v>5195</v>
      </c>
      <c r="H764" t="s">
        <v>5173</v>
      </c>
      <c r="I764" s="1" t="s">
        <v>1456</v>
      </c>
      <c r="J764" t="s">
        <v>5174</v>
      </c>
      <c r="K764" s="25">
        <f>Tabelle5[[#This Row],[value_present]]*Tabelle5[[#This Row],[binding_level]]</f>
        <v>1</v>
      </c>
    </row>
    <row r="765" spans="1:11" x14ac:dyDescent="0.25">
      <c r="A765" s="24">
        <v>23</v>
      </c>
      <c r="B765" s="2">
        <v>142</v>
      </c>
      <c r="C765" s="2" t="s">
        <v>106</v>
      </c>
      <c r="D765" s="3">
        <v>1</v>
      </c>
      <c r="E765" s="1">
        <v>1</v>
      </c>
      <c r="F765" t="s">
        <v>5196</v>
      </c>
      <c r="G765" t="s">
        <v>5197</v>
      </c>
      <c r="H765" t="s">
        <v>5173</v>
      </c>
      <c r="I765" s="1" t="s">
        <v>1456</v>
      </c>
      <c r="J765" t="s">
        <v>5175</v>
      </c>
      <c r="K765" s="25">
        <f>Tabelle5[[#This Row],[value_present]]*Tabelle5[[#This Row],[binding_level]]</f>
        <v>1</v>
      </c>
    </row>
    <row r="766" spans="1:11" x14ac:dyDescent="0.25">
      <c r="A766" s="24">
        <v>23</v>
      </c>
      <c r="B766" s="2">
        <v>142</v>
      </c>
      <c r="C766" s="2" t="s">
        <v>112</v>
      </c>
      <c r="D766" s="3">
        <v>0</v>
      </c>
      <c r="E766" s="1"/>
      <c r="I766" s="1" t="s">
        <v>1457</v>
      </c>
      <c r="J766" t="s">
        <v>5176</v>
      </c>
      <c r="K766" s="25">
        <f>Tabelle5[[#This Row],[value_present]]*Tabelle5[[#This Row],[binding_level]]</f>
        <v>0</v>
      </c>
    </row>
    <row r="767" spans="1:11" x14ac:dyDescent="0.25">
      <c r="A767" s="24">
        <v>23</v>
      </c>
      <c r="B767" s="2">
        <v>142</v>
      </c>
      <c r="C767" s="2" t="s">
        <v>118</v>
      </c>
      <c r="D767" s="3">
        <v>0</v>
      </c>
      <c r="E767" s="1"/>
      <c r="I767" s="1" t="s">
        <v>1456</v>
      </c>
      <c r="J767" t="s">
        <v>5177</v>
      </c>
      <c r="K767" s="25">
        <f>Tabelle5[[#This Row],[value_present]]*Tabelle5[[#This Row],[binding_level]]</f>
        <v>0</v>
      </c>
    </row>
    <row r="768" spans="1:11" x14ac:dyDescent="0.25">
      <c r="A768" s="24">
        <v>23</v>
      </c>
      <c r="B768" s="2">
        <v>142</v>
      </c>
      <c r="C768" s="2" t="s">
        <v>125</v>
      </c>
      <c r="D768" s="3">
        <v>0</v>
      </c>
      <c r="E768" s="1"/>
      <c r="I768" s="1" t="s">
        <v>1457</v>
      </c>
      <c r="J768" t="s">
        <v>5178</v>
      </c>
      <c r="K768" s="25">
        <f>Tabelle5[[#This Row],[value_present]]*Tabelle5[[#This Row],[binding_level]]</f>
        <v>0</v>
      </c>
    </row>
    <row r="769" spans="1:11" x14ac:dyDescent="0.25">
      <c r="A769" s="24">
        <v>23</v>
      </c>
      <c r="B769" s="2">
        <v>142</v>
      </c>
      <c r="C769" s="2" t="s">
        <v>132</v>
      </c>
      <c r="D769" s="3">
        <v>1</v>
      </c>
      <c r="E769" s="1">
        <v>2</v>
      </c>
      <c r="F769" t="s">
        <v>5198</v>
      </c>
      <c r="G769" t="s">
        <v>5199</v>
      </c>
      <c r="H769" t="s">
        <v>5179</v>
      </c>
      <c r="I769" s="1" t="s">
        <v>1456</v>
      </c>
      <c r="J769" t="s">
        <v>5180</v>
      </c>
      <c r="K769" s="25">
        <f>Tabelle5[[#This Row],[value_present]]*Tabelle5[[#This Row],[binding_level]]</f>
        <v>2</v>
      </c>
    </row>
    <row r="770" spans="1:11" x14ac:dyDescent="0.25">
      <c r="A770" s="24">
        <v>23</v>
      </c>
      <c r="B770" s="2">
        <v>142</v>
      </c>
      <c r="C770" s="2" t="s">
        <v>140</v>
      </c>
      <c r="D770" s="3">
        <v>1</v>
      </c>
      <c r="E770" s="1">
        <v>1</v>
      </c>
      <c r="F770" t="s">
        <v>5211</v>
      </c>
      <c r="G770" t="s">
        <v>5210</v>
      </c>
      <c r="H770" t="s">
        <v>5181</v>
      </c>
      <c r="I770" s="1" t="s">
        <v>1456</v>
      </c>
      <c r="J770" t="s">
        <v>5182</v>
      </c>
      <c r="K770" s="25">
        <f>Tabelle5[[#This Row],[value_present]]*Tabelle5[[#This Row],[binding_level]]</f>
        <v>1</v>
      </c>
    </row>
    <row r="771" spans="1:11" x14ac:dyDescent="0.25">
      <c r="A771" s="24">
        <v>23</v>
      </c>
      <c r="B771" s="2">
        <v>142</v>
      </c>
      <c r="C771" s="2" t="s">
        <v>147</v>
      </c>
      <c r="D771" s="3">
        <v>1</v>
      </c>
      <c r="E771" s="1">
        <v>1</v>
      </c>
      <c r="F771" t="s">
        <v>5200</v>
      </c>
      <c r="G771" t="s">
        <v>5201</v>
      </c>
      <c r="H771" t="s">
        <v>5183</v>
      </c>
      <c r="I771" s="1" t="s">
        <v>1456</v>
      </c>
      <c r="J771" t="s">
        <v>5184</v>
      </c>
      <c r="K771" s="25">
        <f>Tabelle5[[#This Row],[value_present]]*Tabelle5[[#This Row],[binding_level]]</f>
        <v>1</v>
      </c>
    </row>
    <row r="772" spans="1:11" x14ac:dyDescent="0.25">
      <c r="A772" s="24">
        <v>23</v>
      </c>
      <c r="B772" s="2">
        <v>142</v>
      </c>
      <c r="C772" s="2" t="s">
        <v>154</v>
      </c>
      <c r="D772" s="3">
        <v>1</v>
      </c>
      <c r="E772" s="1">
        <v>3</v>
      </c>
      <c r="F772" t="s">
        <v>5213</v>
      </c>
      <c r="G772" t="s">
        <v>5212</v>
      </c>
      <c r="H772" t="s">
        <v>5185</v>
      </c>
      <c r="I772" s="1" t="s">
        <v>1456</v>
      </c>
      <c r="J772" t="s">
        <v>5186</v>
      </c>
      <c r="K772" s="25">
        <f>Tabelle5[[#This Row],[value_present]]*Tabelle5[[#This Row],[binding_level]]</f>
        <v>3</v>
      </c>
    </row>
    <row r="773" spans="1:11" x14ac:dyDescent="0.25">
      <c r="A773" s="24">
        <v>23</v>
      </c>
      <c r="B773" s="2">
        <v>142</v>
      </c>
      <c r="C773" s="2" t="s">
        <v>161</v>
      </c>
      <c r="D773" s="3">
        <v>0</v>
      </c>
      <c r="E773" s="1"/>
      <c r="I773" s="1" t="s">
        <v>1457</v>
      </c>
      <c r="J773" t="s">
        <v>5187</v>
      </c>
      <c r="K773" s="25">
        <f>Tabelle5[[#This Row],[value_present]]*Tabelle5[[#This Row],[binding_level]]</f>
        <v>0</v>
      </c>
    </row>
    <row r="774" spans="1:11" x14ac:dyDescent="0.25">
      <c r="A774" s="24">
        <v>23</v>
      </c>
      <c r="B774" s="2">
        <v>142</v>
      </c>
      <c r="C774" s="2" t="s">
        <v>166</v>
      </c>
      <c r="D774" s="3">
        <v>0</v>
      </c>
      <c r="E774" s="1"/>
      <c r="I774" s="1" t="s">
        <v>1456</v>
      </c>
      <c r="J774" t="s">
        <v>5188</v>
      </c>
      <c r="K774" s="25">
        <f>Tabelle5[[#This Row],[value_present]]*Tabelle5[[#This Row],[binding_level]]</f>
        <v>0</v>
      </c>
    </row>
    <row r="775" spans="1:11" ht="15.75" thickBot="1" x14ac:dyDescent="0.3">
      <c r="A775" s="26">
        <v>23</v>
      </c>
      <c r="B775" s="27">
        <v>142</v>
      </c>
      <c r="C775" s="27" t="s">
        <v>174</v>
      </c>
      <c r="D775" s="28">
        <v>1</v>
      </c>
      <c r="E775" s="29">
        <v>1</v>
      </c>
      <c r="F775" s="30" t="s">
        <v>5200</v>
      </c>
      <c r="G775" s="30" t="s">
        <v>5201</v>
      </c>
      <c r="H775" s="30" t="s">
        <v>5183</v>
      </c>
      <c r="I775" s="29" t="s">
        <v>1456</v>
      </c>
      <c r="J775" s="30" t="s">
        <v>5189</v>
      </c>
      <c r="K775" s="31">
        <f>Tabelle5[[#This Row],[value_present]]*Tabelle5[[#This Row],[binding_level]]</f>
        <v>1</v>
      </c>
    </row>
    <row r="776" spans="1:11" x14ac:dyDescent="0.25">
      <c r="A776" s="18">
        <v>24</v>
      </c>
      <c r="B776" s="19">
        <v>148</v>
      </c>
      <c r="C776" s="19" t="s">
        <v>53</v>
      </c>
      <c r="D776" s="20">
        <v>1</v>
      </c>
      <c r="E776" s="21">
        <v>1</v>
      </c>
      <c r="F776" t="s">
        <v>5271</v>
      </c>
      <c r="G776" t="s">
        <v>5272</v>
      </c>
      <c r="H776" s="22" t="s">
        <v>5247</v>
      </c>
      <c r="I776" s="21" t="s">
        <v>1456</v>
      </c>
      <c r="J776" s="22" t="s">
        <v>5248</v>
      </c>
      <c r="K776" s="23">
        <f>Tabelle5[[#This Row],[value_present]]*Tabelle5[[#This Row],[binding_level]]</f>
        <v>1</v>
      </c>
    </row>
    <row r="777" spans="1:11" x14ac:dyDescent="0.25">
      <c r="A777" s="24">
        <v>24</v>
      </c>
      <c r="B777" s="2">
        <v>148</v>
      </c>
      <c r="C777" s="2" t="s">
        <v>61</v>
      </c>
      <c r="D777" s="3">
        <v>0</v>
      </c>
      <c r="E777" s="1"/>
      <c r="I777" s="1" t="s">
        <v>1457</v>
      </c>
      <c r="J777" t="s">
        <v>5249</v>
      </c>
      <c r="K777" s="25">
        <f>Tabelle5[[#This Row],[value_present]]*Tabelle5[[#This Row],[binding_level]]</f>
        <v>0</v>
      </c>
    </row>
    <row r="778" spans="1:11" x14ac:dyDescent="0.25">
      <c r="A778" s="24">
        <v>24</v>
      </c>
      <c r="B778" s="2">
        <v>148</v>
      </c>
      <c r="C778" s="2" t="s">
        <v>69</v>
      </c>
      <c r="D778" s="3">
        <v>1</v>
      </c>
      <c r="E778" s="1">
        <v>1</v>
      </c>
      <c r="F778" t="s">
        <v>5280</v>
      </c>
      <c r="G778" t="s">
        <v>5279</v>
      </c>
      <c r="H778" t="s">
        <v>5250</v>
      </c>
      <c r="I778" s="1" t="s">
        <v>1456</v>
      </c>
      <c r="J778" t="s">
        <v>5251</v>
      </c>
      <c r="K778" s="25">
        <f>Tabelle5[[#This Row],[value_present]]*Tabelle5[[#This Row],[binding_level]]</f>
        <v>1</v>
      </c>
    </row>
    <row r="779" spans="1:11" x14ac:dyDescent="0.25">
      <c r="A779" s="24">
        <v>24</v>
      </c>
      <c r="B779" s="2">
        <v>148</v>
      </c>
      <c r="C779" s="2" t="s">
        <v>76</v>
      </c>
      <c r="D779" s="3">
        <v>1</v>
      </c>
      <c r="E779" s="1">
        <v>1</v>
      </c>
      <c r="F779" t="s">
        <v>5273</v>
      </c>
      <c r="G779" t="s">
        <v>5274</v>
      </c>
      <c r="H779" t="s">
        <v>5252</v>
      </c>
      <c r="I779" s="1" t="s">
        <v>1456</v>
      </c>
      <c r="J779" t="s">
        <v>5253</v>
      </c>
      <c r="K779" s="25">
        <f>Tabelle5[[#This Row],[value_present]]*Tabelle5[[#This Row],[binding_level]]</f>
        <v>1</v>
      </c>
    </row>
    <row r="780" spans="1:11" x14ac:dyDescent="0.25">
      <c r="A780" s="24">
        <v>24</v>
      </c>
      <c r="B780" s="2">
        <v>148</v>
      </c>
      <c r="C780" s="2" t="s">
        <v>83</v>
      </c>
      <c r="D780" s="3">
        <v>1</v>
      </c>
      <c r="E780" s="1">
        <v>1</v>
      </c>
      <c r="F780" t="s">
        <v>5282</v>
      </c>
      <c r="G780" t="s">
        <v>5281</v>
      </c>
      <c r="H780" t="s">
        <v>5250</v>
      </c>
      <c r="I780" s="1" t="s">
        <v>1456</v>
      </c>
      <c r="J780" t="s">
        <v>5254</v>
      </c>
      <c r="K780" s="25">
        <f>Tabelle5[[#This Row],[value_present]]*Tabelle5[[#This Row],[binding_level]]</f>
        <v>1</v>
      </c>
    </row>
    <row r="781" spans="1:11" x14ac:dyDescent="0.25">
      <c r="A781" s="24">
        <v>24</v>
      </c>
      <c r="B781" s="2">
        <v>148</v>
      </c>
      <c r="C781" s="2" t="s">
        <v>90</v>
      </c>
      <c r="D781" s="3">
        <v>1</v>
      </c>
      <c r="E781" s="1">
        <v>3</v>
      </c>
      <c r="F781" t="s">
        <v>5284</v>
      </c>
      <c r="G781" t="s">
        <v>5283</v>
      </c>
      <c r="H781" t="s">
        <v>5255</v>
      </c>
      <c r="I781" s="1" t="s">
        <v>1457</v>
      </c>
      <c r="J781" t="s">
        <v>5256</v>
      </c>
      <c r="K781" s="25">
        <f>Tabelle5[[#This Row],[value_present]]*Tabelle5[[#This Row],[binding_level]]</f>
        <v>3</v>
      </c>
    </row>
    <row r="782" spans="1:11" x14ac:dyDescent="0.25">
      <c r="A782" s="24">
        <v>24</v>
      </c>
      <c r="B782" s="2">
        <v>148</v>
      </c>
      <c r="C782" s="2" t="s">
        <v>98</v>
      </c>
      <c r="D782" s="3">
        <v>0</v>
      </c>
      <c r="E782" s="1"/>
      <c r="I782" s="1" t="s">
        <v>1457</v>
      </c>
      <c r="J782" t="s">
        <v>5257</v>
      </c>
      <c r="K782" s="25">
        <f>Tabelle5[[#This Row],[value_present]]*Tabelle5[[#This Row],[binding_level]]</f>
        <v>0</v>
      </c>
    </row>
    <row r="783" spans="1:11" x14ac:dyDescent="0.25">
      <c r="A783" s="24">
        <v>24</v>
      </c>
      <c r="B783" s="2">
        <v>148</v>
      </c>
      <c r="C783" s="2" t="s">
        <v>106</v>
      </c>
      <c r="D783" s="3">
        <v>1</v>
      </c>
      <c r="E783" s="1">
        <v>3</v>
      </c>
      <c r="F783" t="s">
        <v>5275</v>
      </c>
      <c r="G783" t="s">
        <v>5276</v>
      </c>
      <c r="H783" t="s">
        <v>5258</v>
      </c>
      <c r="I783" s="1" t="s">
        <v>1456</v>
      </c>
      <c r="J783" t="s">
        <v>5259</v>
      </c>
      <c r="K783" s="25">
        <f>Tabelle5[[#This Row],[value_present]]*Tabelle5[[#This Row],[binding_level]]</f>
        <v>3</v>
      </c>
    </row>
    <row r="784" spans="1:11" x14ac:dyDescent="0.25">
      <c r="A784" s="24">
        <v>24</v>
      </c>
      <c r="B784" s="2">
        <v>148</v>
      </c>
      <c r="C784" s="2" t="s">
        <v>112</v>
      </c>
      <c r="D784" s="3">
        <v>1</v>
      </c>
      <c r="E784" s="1">
        <v>3</v>
      </c>
      <c r="F784" t="s">
        <v>5286</v>
      </c>
      <c r="G784" t="s">
        <v>5285</v>
      </c>
      <c r="H784" t="s">
        <v>5258</v>
      </c>
      <c r="I784" s="1" t="s">
        <v>1456</v>
      </c>
      <c r="J784" t="s">
        <v>5260</v>
      </c>
      <c r="K784" s="25">
        <f>Tabelle5[[#This Row],[value_present]]*Tabelle5[[#This Row],[binding_level]]</f>
        <v>3</v>
      </c>
    </row>
    <row r="785" spans="1:11" x14ac:dyDescent="0.25">
      <c r="A785" s="24">
        <v>24</v>
      </c>
      <c r="B785" s="2">
        <v>148</v>
      </c>
      <c r="C785" s="2" t="s">
        <v>118</v>
      </c>
      <c r="D785" s="3">
        <v>0</v>
      </c>
      <c r="E785" s="1"/>
      <c r="I785" s="1" t="s">
        <v>1456</v>
      </c>
      <c r="J785" t="s">
        <v>5261</v>
      </c>
      <c r="K785" s="25">
        <f>Tabelle5[[#This Row],[value_present]]*Tabelle5[[#This Row],[binding_level]]</f>
        <v>0</v>
      </c>
    </row>
    <row r="786" spans="1:11" x14ac:dyDescent="0.25">
      <c r="A786" s="24">
        <v>24</v>
      </c>
      <c r="B786" s="2">
        <v>148</v>
      </c>
      <c r="C786" s="2" t="s">
        <v>125</v>
      </c>
      <c r="D786" s="3">
        <v>0</v>
      </c>
      <c r="E786" s="1"/>
      <c r="I786" s="1" t="s">
        <v>1457</v>
      </c>
      <c r="J786" t="s">
        <v>5262</v>
      </c>
      <c r="K786" s="25">
        <f>Tabelle5[[#This Row],[value_present]]*Tabelle5[[#This Row],[binding_level]]</f>
        <v>0</v>
      </c>
    </row>
    <row r="787" spans="1:11" x14ac:dyDescent="0.25">
      <c r="A787" s="24">
        <v>24</v>
      </c>
      <c r="B787" s="2">
        <v>148</v>
      </c>
      <c r="C787" s="2" t="s">
        <v>132</v>
      </c>
      <c r="D787" s="3">
        <v>0</v>
      </c>
      <c r="E787" s="1"/>
      <c r="I787" s="1" t="s">
        <v>1456</v>
      </c>
      <c r="J787" t="s">
        <v>5263</v>
      </c>
      <c r="K787" s="25">
        <f>Tabelle5[[#This Row],[value_present]]*Tabelle5[[#This Row],[binding_level]]</f>
        <v>0</v>
      </c>
    </row>
    <row r="788" spans="1:11" x14ac:dyDescent="0.25">
      <c r="A788" s="24">
        <v>24</v>
      </c>
      <c r="B788" s="2">
        <v>148</v>
      </c>
      <c r="C788" s="2" t="s">
        <v>140</v>
      </c>
      <c r="D788" s="3">
        <v>1</v>
      </c>
      <c r="E788" s="1">
        <v>1</v>
      </c>
      <c r="F788" t="s">
        <v>5277</v>
      </c>
      <c r="G788" t="s">
        <v>5278</v>
      </c>
      <c r="H788" t="s">
        <v>5247</v>
      </c>
      <c r="I788" s="1" t="s">
        <v>1456</v>
      </c>
      <c r="J788" t="s">
        <v>5264</v>
      </c>
      <c r="K788" s="25">
        <f>Tabelle5[[#This Row],[value_present]]*Tabelle5[[#This Row],[binding_level]]</f>
        <v>1</v>
      </c>
    </row>
    <row r="789" spans="1:11" x14ac:dyDescent="0.25">
      <c r="A789" s="24">
        <v>24</v>
      </c>
      <c r="B789" s="2">
        <v>148</v>
      </c>
      <c r="C789" s="2" t="s">
        <v>147</v>
      </c>
      <c r="D789" s="3">
        <v>1</v>
      </c>
      <c r="E789" s="1">
        <v>2</v>
      </c>
      <c r="F789" t="s">
        <v>5288</v>
      </c>
      <c r="G789" t="s">
        <v>5287</v>
      </c>
      <c r="H789" t="s">
        <v>5265</v>
      </c>
      <c r="I789" s="1" t="s">
        <v>1456</v>
      </c>
      <c r="J789" t="s">
        <v>5266</v>
      </c>
      <c r="K789" s="25">
        <f>Tabelle5[[#This Row],[value_present]]*Tabelle5[[#This Row],[binding_level]]</f>
        <v>2</v>
      </c>
    </row>
    <row r="790" spans="1:11" x14ac:dyDescent="0.25">
      <c r="A790" s="24">
        <v>24</v>
      </c>
      <c r="B790" s="2">
        <v>148</v>
      </c>
      <c r="C790" s="2" t="s">
        <v>154</v>
      </c>
      <c r="D790" s="3">
        <v>0</v>
      </c>
      <c r="E790" s="1"/>
      <c r="I790" s="1" t="s">
        <v>1457</v>
      </c>
      <c r="J790" t="s">
        <v>5267</v>
      </c>
      <c r="K790" s="25">
        <f>Tabelle5[[#This Row],[value_present]]*Tabelle5[[#This Row],[binding_level]]</f>
        <v>0</v>
      </c>
    </row>
    <row r="791" spans="1:11" x14ac:dyDescent="0.25">
      <c r="A791" s="24">
        <v>24</v>
      </c>
      <c r="B791" s="2">
        <v>148</v>
      </c>
      <c r="C791" s="2" t="s">
        <v>161</v>
      </c>
      <c r="D791" s="3">
        <v>1</v>
      </c>
      <c r="E791" s="1">
        <v>3</v>
      </c>
      <c r="F791" t="s">
        <v>5290</v>
      </c>
      <c r="G791" t="s">
        <v>5289</v>
      </c>
      <c r="H791" t="s">
        <v>5247</v>
      </c>
      <c r="I791" s="1" t="s">
        <v>1456</v>
      </c>
      <c r="J791" t="s">
        <v>5268</v>
      </c>
      <c r="K791" s="25">
        <f>Tabelle5[[#This Row],[value_present]]*Tabelle5[[#This Row],[binding_level]]</f>
        <v>3</v>
      </c>
    </row>
    <row r="792" spans="1:11" x14ac:dyDescent="0.25">
      <c r="A792" s="24">
        <v>24</v>
      </c>
      <c r="B792" s="2">
        <v>148</v>
      </c>
      <c r="C792" s="2" t="s">
        <v>166</v>
      </c>
      <c r="D792" s="3">
        <v>0</v>
      </c>
      <c r="E792" s="1"/>
      <c r="I792" s="1" t="s">
        <v>1456</v>
      </c>
      <c r="J792" t="s">
        <v>5269</v>
      </c>
      <c r="K792" s="25">
        <f>Tabelle5[[#This Row],[value_present]]*Tabelle5[[#This Row],[binding_level]]</f>
        <v>0</v>
      </c>
    </row>
    <row r="793" spans="1:11" ht="15.75" thickBot="1" x14ac:dyDescent="0.3">
      <c r="A793" s="26">
        <v>24</v>
      </c>
      <c r="B793" s="27">
        <v>148</v>
      </c>
      <c r="C793" s="27" t="s">
        <v>174</v>
      </c>
      <c r="D793" s="28">
        <v>0</v>
      </c>
      <c r="E793" s="29"/>
      <c r="F793" s="30"/>
      <c r="G793" s="30"/>
      <c r="H793" s="30"/>
      <c r="I793" s="29" t="s">
        <v>1456</v>
      </c>
      <c r="J793" s="30" t="s">
        <v>5270</v>
      </c>
      <c r="K793" s="31">
        <f>Tabelle5[[#This Row],[value_present]]*Tabelle5[[#This Row],[binding_level]]</f>
        <v>0</v>
      </c>
    </row>
    <row r="794" spans="1:11" x14ac:dyDescent="0.25">
      <c r="A794" s="18">
        <v>24</v>
      </c>
      <c r="B794" s="19">
        <v>149</v>
      </c>
      <c r="C794" s="19" t="s">
        <v>53</v>
      </c>
      <c r="D794" s="20">
        <v>0</v>
      </c>
      <c r="E794" s="21"/>
      <c r="F794" s="22"/>
      <c r="G794" s="22"/>
      <c r="H794" s="22"/>
      <c r="I794" s="21" t="s">
        <v>1456</v>
      </c>
      <c r="J794" s="22" t="s">
        <v>5315</v>
      </c>
      <c r="K794" s="23">
        <f>Tabelle5[[#This Row],[value_present]]*Tabelle5[[#This Row],[binding_level]]</f>
        <v>0</v>
      </c>
    </row>
    <row r="795" spans="1:11" x14ac:dyDescent="0.25">
      <c r="A795" s="24">
        <v>24</v>
      </c>
      <c r="B795" s="2">
        <v>149</v>
      </c>
      <c r="C795" s="2" t="s">
        <v>61</v>
      </c>
      <c r="D795" s="3">
        <v>0</v>
      </c>
      <c r="E795" s="1"/>
      <c r="I795" s="1" t="s">
        <v>1456</v>
      </c>
      <c r="J795" t="s">
        <v>5316</v>
      </c>
      <c r="K795" s="25">
        <f>Tabelle5[[#This Row],[value_present]]*Tabelle5[[#This Row],[binding_level]]</f>
        <v>0</v>
      </c>
    </row>
    <row r="796" spans="1:11" x14ac:dyDescent="0.25">
      <c r="A796" s="24">
        <v>24</v>
      </c>
      <c r="B796" s="2">
        <v>149</v>
      </c>
      <c r="C796" s="2" t="s">
        <v>69</v>
      </c>
      <c r="D796" s="3">
        <v>0</v>
      </c>
      <c r="E796" s="1"/>
      <c r="I796" s="1" t="s">
        <v>1457</v>
      </c>
      <c r="J796" t="s">
        <v>5317</v>
      </c>
      <c r="K796" s="25">
        <f>Tabelle5[[#This Row],[value_present]]*Tabelle5[[#This Row],[binding_level]]</f>
        <v>0</v>
      </c>
    </row>
    <row r="797" spans="1:11" x14ac:dyDescent="0.25">
      <c r="A797" s="24">
        <v>24</v>
      </c>
      <c r="B797" s="2">
        <v>149</v>
      </c>
      <c r="C797" s="2" t="s">
        <v>76</v>
      </c>
      <c r="D797" s="3">
        <v>1</v>
      </c>
      <c r="E797" s="1">
        <v>1</v>
      </c>
      <c r="F797" t="s">
        <v>5333</v>
      </c>
      <c r="G797" t="s">
        <v>5334</v>
      </c>
      <c r="H797" t="s">
        <v>5318</v>
      </c>
      <c r="I797" s="1" t="s">
        <v>1456</v>
      </c>
      <c r="J797" t="s">
        <v>5319</v>
      </c>
      <c r="K797" s="25">
        <f>Tabelle5[[#This Row],[value_present]]*Tabelle5[[#This Row],[binding_level]]</f>
        <v>1</v>
      </c>
    </row>
    <row r="798" spans="1:11" x14ac:dyDescent="0.25">
      <c r="A798" s="24">
        <v>24</v>
      </c>
      <c r="B798" s="2">
        <v>149</v>
      </c>
      <c r="C798" s="2" t="s">
        <v>83</v>
      </c>
      <c r="D798" s="3">
        <v>0</v>
      </c>
      <c r="E798" s="1"/>
      <c r="I798" s="1" t="s">
        <v>1456</v>
      </c>
      <c r="J798" t="s">
        <v>5320</v>
      </c>
      <c r="K798" s="25">
        <f>Tabelle5[[#This Row],[value_present]]*Tabelle5[[#This Row],[binding_level]]</f>
        <v>0</v>
      </c>
    </row>
    <row r="799" spans="1:11" x14ac:dyDescent="0.25">
      <c r="A799" s="24">
        <v>24</v>
      </c>
      <c r="B799" s="2">
        <v>149</v>
      </c>
      <c r="C799" s="2" t="s">
        <v>90</v>
      </c>
      <c r="D799" s="3">
        <v>1</v>
      </c>
      <c r="E799" s="1">
        <v>1</v>
      </c>
      <c r="F799" t="s">
        <v>5335</v>
      </c>
      <c r="G799" t="s">
        <v>5336</v>
      </c>
      <c r="H799" t="s">
        <v>5318</v>
      </c>
      <c r="I799" s="1" t="s">
        <v>1456</v>
      </c>
      <c r="J799" t="s">
        <v>5321</v>
      </c>
      <c r="K799" s="25">
        <f>Tabelle5[[#This Row],[value_present]]*Tabelle5[[#This Row],[binding_level]]</f>
        <v>1</v>
      </c>
    </row>
    <row r="800" spans="1:11" x14ac:dyDescent="0.25">
      <c r="A800" s="24">
        <v>24</v>
      </c>
      <c r="B800" s="2">
        <v>149</v>
      </c>
      <c r="C800" s="2" t="s">
        <v>98</v>
      </c>
      <c r="D800" s="3">
        <v>1</v>
      </c>
      <c r="E800" s="1">
        <v>1</v>
      </c>
      <c r="F800" t="s">
        <v>5337</v>
      </c>
      <c r="G800" t="s">
        <v>5338</v>
      </c>
      <c r="H800" t="s">
        <v>5318</v>
      </c>
      <c r="I800" s="1" t="s">
        <v>1457</v>
      </c>
      <c r="J800" t="s">
        <v>5322</v>
      </c>
      <c r="K800" s="25">
        <f>Tabelle5[[#This Row],[value_present]]*Tabelle5[[#This Row],[binding_level]]</f>
        <v>1</v>
      </c>
    </row>
    <row r="801" spans="1:11" x14ac:dyDescent="0.25">
      <c r="A801" s="24">
        <v>24</v>
      </c>
      <c r="B801" s="2">
        <v>149</v>
      </c>
      <c r="C801" s="2" t="s">
        <v>106</v>
      </c>
      <c r="D801" s="3">
        <v>0</v>
      </c>
      <c r="E801" s="1"/>
      <c r="I801" s="1" t="s">
        <v>1457</v>
      </c>
      <c r="J801" t="s">
        <v>5323</v>
      </c>
      <c r="K801" s="25">
        <f>Tabelle5[[#This Row],[value_present]]*Tabelle5[[#This Row],[binding_level]]</f>
        <v>0</v>
      </c>
    </row>
    <row r="802" spans="1:11" x14ac:dyDescent="0.25">
      <c r="A802" s="24">
        <v>24</v>
      </c>
      <c r="B802" s="2">
        <v>149</v>
      </c>
      <c r="C802" s="2" t="s">
        <v>112</v>
      </c>
      <c r="D802" s="3">
        <v>1</v>
      </c>
      <c r="E802" s="1">
        <v>1</v>
      </c>
      <c r="F802" t="s">
        <v>5339</v>
      </c>
      <c r="G802" t="s">
        <v>5340</v>
      </c>
      <c r="H802" t="s">
        <v>5318</v>
      </c>
      <c r="I802" s="1" t="s">
        <v>1457</v>
      </c>
      <c r="J802" t="s">
        <v>5324</v>
      </c>
      <c r="K802" s="25">
        <f>Tabelle5[[#This Row],[value_present]]*Tabelle5[[#This Row],[binding_level]]</f>
        <v>1</v>
      </c>
    </row>
    <row r="803" spans="1:11" x14ac:dyDescent="0.25">
      <c r="A803" s="24">
        <v>24</v>
      </c>
      <c r="B803" s="2">
        <v>149</v>
      </c>
      <c r="C803" s="2" t="s">
        <v>118</v>
      </c>
      <c r="D803" s="3">
        <v>0</v>
      </c>
      <c r="E803" s="1"/>
      <c r="I803" s="1" t="s">
        <v>1456</v>
      </c>
      <c r="J803" t="s">
        <v>5325</v>
      </c>
      <c r="K803" s="25">
        <f>Tabelle5[[#This Row],[value_present]]*Tabelle5[[#This Row],[binding_level]]</f>
        <v>0</v>
      </c>
    </row>
    <row r="804" spans="1:11" x14ac:dyDescent="0.25">
      <c r="A804" s="24">
        <v>24</v>
      </c>
      <c r="B804" s="2">
        <v>149</v>
      </c>
      <c r="C804" s="2" t="s">
        <v>125</v>
      </c>
      <c r="D804" s="3">
        <v>0</v>
      </c>
      <c r="E804" s="1"/>
      <c r="I804" s="1" t="s">
        <v>1456</v>
      </c>
      <c r="J804" t="s">
        <v>5326</v>
      </c>
      <c r="K804" s="25">
        <f>Tabelle5[[#This Row],[value_present]]*Tabelle5[[#This Row],[binding_level]]</f>
        <v>0</v>
      </c>
    </row>
    <row r="805" spans="1:11" x14ac:dyDescent="0.25">
      <c r="A805" s="24">
        <v>24</v>
      </c>
      <c r="B805" s="2">
        <v>149</v>
      </c>
      <c r="C805" s="2" t="s">
        <v>132</v>
      </c>
      <c r="D805" s="3">
        <v>0</v>
      </c>
      <c r="E805" s="1"/>
      <c r="I805" s="1" t="s">
        <v>1457</v>
      </c>
      <c r="J805" t="s">
        <v>5327</v>
      </c>
      <c r="K805" s="25">
        <f>Tabelle5[[#This Row],[value_present]]*Tabelle5[[#This Row],[binding_level]]</f>
        <v>0</v>
      </c>
    </row>
    <row r="806" spans="1:11" x14ac:dyDescent="0.25">
      <c r="A806" s="24">
        <v>24</v>
      </c>
      <c r="B806" s="2">
        <v>149</v>
      </c>
      <c r="C806" s="2" t="s">
        <v>140</v>
      </c>
      <c r="D806" s="3">
        <v>0</v>
      </c>
      <c r="E806" s="1"/>
      <c r="I806" s="1" t="s">
        <v>1457</v>
      </c>
      <c r="J806" t="s">
        <v>5328</v>
      </c>
      <c r="K806" s="25">
        <f>Tabelle5[[#This Row],[value_present]]*Tabelle5[[#This Row],[binding_level]]</f>
        <v>0</v>
      </c>
    </row>
    <row r="807" spans="1:11" x14ac:dyDescent="0.25">
      <c r="A807" s="24">
        <v>24</v>
      </c>
      <c r="B807" s="2">
        <v>149</v>
      </c>
      <c r="C807" s="2" t="s">
        <v>147</v>
      </c>
      <c r="D807" s="3">
        <v>1</v>
      </c>
      <c r="E807" s="1">
        <v>1</v>
      </c>
      <c r="F807" t="s">
        <v>5341</v>
      </c>
      <c r="G807" t="s">
        <v>5342</v>
      </c>
      <c r="H807" t="s">
        <v>5318</v>
      </c>
      <c r="I807" s="1" t="s">
        <v>1456</v>
      </c>
      <c r="J807" t="s">
        <v>5329</v>
      </c>
      <c r="K807" s="25">
        <f>Tabelle5[[#This Row],[value_present]]*Tabelle5[[#This Row],[binding_level]]</f>
        <v>1</v>
      </c>
    </row>
    <row r="808" spans="1:11" x14ac:dyDescent="0.25">
      <c r="A808" s="24">
        <v>24</v>
      </c>
      <c r="B808" s="2">
        <v>149</v>
      </c>
      <c r="C808" s="2" t="s">
        <v>154</v>
      </c>
      <c r="D808" s="3">
        <v>1</v>
      </c>
      <c r="E808" s="1">
        <v>1</v>
      </c>
      <c r="F808" t="s">
        <v>5344</v>
      </c>
      <c r="G808" t="s">
        <v>5343</v>
      </c>
      <c r="H808" t="s">
        <v>5318</v>
      </c>
      <c r="I808" s="1" t="s">
        <v>1456</v>
      </c>
      <c r="J808" t="s">
        <v>5330</v>
      </c>
      <c r="K808" s="25">
        <f>Tabelle5[[#This Row],[value_present]]*Tabelle5[[#This Row],[binding_level]]</f>
        <v>1</v>
      </c>
    </row>
    <row r="809" spans="1:11" x14ac:dyDescent="0.25">
      <c r="A809" s="24">
        <v>24</v>
      </c>
      <c r="B809" s="2">
        <v>149</v>
      </c>
      <c r="C809" s="2" t="s">
        <v>161</v>
      </c>
      <c r="D809" s="3">
        <v>0</v>
      </c>
      <c r="E809" s="1"/>
      <c r="I809" s="1" t="s">
        <v>1457</v>
      </c>
      <c r="J809" t="s">
        <v>5331</v>
      </c>
      <c r="K809" s="25">
        <f>Tabelle5[[#This Row],[value_present]]*Tabelle5[[#This Row],[binding_level]]</f>
        <v>0</v>
      </c>
    </row>
    <row r="810" spans="1:11" x14ac:dyDescent="0.25">
      <c r="A810" s="24">
        <v>24</v>
      </c>
      <c r="B810" s="2">
        <v>149</v>
      </c>
      <c r="C810" s="2" t="s">
        <v>166</v>
      </c>
      <c r="D810" s="3">
        <v>0</v>
      </c>
      <c r="E810" s="1"/>
      <c r="I810" s="1" t="s">
        <v>1456</v>
      </c>
      <c r="J810" t="s">
        <v>2126</v>
      </c>
      <c r="K810" s="25">
        <f>Tabelle5[[#This Row],[value_present]]*Tabelle5[[#This Row],[binding_level]]</f>
        <v>0</v>
      </c>
    </row>
    <row r="811" spans="1:11" ht="15.75" thickBot="1" x14ac:dyDescent="0.3">
      <c r="A811" s="24">
        <v>24</v>
      </c>
      <c r="B811" s="2">
        <v>149</v>
      </c>
      <c r="C811" s="2" t="s">
        <v>174</v>
      </c>
      <c r="D811" s="3">
        <v>0</v>
      </c>
      <c r="E811" s="1"/>
      <c r="F811" s="30"/>
      <c r="G811" s="30"/>
      <c r="I811" s="1" t="s">
        <v>1456</v>
      </c>
      <c r="J811" t="s">
        <v>5332</v>
      </c>
      <c r="K811" s="25">
        <f>Tabelle5[[#This Row],[value_present]]*Tabelle5[[#This Row],[binding_level]]</f>
        <v>0</v>
      </c>
    </row>
    <row r="812" spans="1:11" x14ac:dyDescent="0.25">
      <c r="A812" s="18">
        <v>25</v>
      </c>
      <c r="B812" s="19">
        <v>153</v>
      </c>
      <c r="C812" s="19" t="s">
        <v>53</v>
      </c>
      <c r="D812" s="20">
        <v>1</v>
      </c>
      <c r="E812" s="21">
        <v>1</v>
      </c>
      <c r="F812" t="s">
        <v>5395</v>
      </c>
      <c r="G812" t="s">
        <v>5394</v>
      </c>
      <c r="H812" s="22" t="s">
        <v>5363</v>
      </c>
      <c r="I812" s="21" t="s">
        <v>1457</v>
      </c>
      <c r="J812" s="22" t="s">
        <v>5364</v>
      </c>
      <c r="K812" s="23">
        <f>Tabelle5[[#This Row],[value_present]]*Tabelle5[[#This Row],[binding_level]]</f>
        <v>1</v>
      </c>
    </row>
    <row r="813" spans="1:11" x14ac:dyDescent="0.25">
      <c r="A813" s="24">
        <v>25</v>
      </c>
      <c r="B813" s="2">
        <v>153</v>
      </c>
      <c r="C813" s="2" t="s">
        <v>61</v>
      </c>
      <c r="D813" s="3">
        <v>0</v>
      </c>
      <c r="E813" s="1"/>
      <c r="I813" s="1" t="s">
        <v>1457</v>
      </c>
      <c r="J813" t="s">
        <v>5365</v>
      </c>
      <c r="K813" s="25">
        <f>Tabelle5[[#This Row],[value_present]]*Tabelle5[[#This Row],[binding_level]]</f>
        <v>0</v>
      </c>
    </row>
    <row r="814" spans="1:11" x14ac:dyDescent="0.25">
      <c r="A814" s="24">
        <v>25</v>
      </c>
      <c r="B814" s="2">
        <v>153</v>
      </c>
      <c r="C814" s="2" t="s">
        <v>69</v>
      </c>
      <c r="D814" s="3">
        <v>1</v>
      </c>
      <c r="E814" s="1">
        <v>1</v>
      </c>
      <c r="F814" t="s">
        <v>5397</v>
      </c>
      <c r="G814" t="s">
        <v>5396</v>
      </c>
      <c r="H814" t="s">
        <v>5366</v>
      </c>
      <c r="I814" s="1" t="s">
        <v>1456</v>
      </c>
      <c r="J814" t="s">
        <v>5367</v>
      </c>
      <c r="K814" s="25">
        <f>Tabelle5[[#This Row],[value_present]]*Tabelle5[[#This Row],[binding_level]]</f>
        <v>1</v>
      </c>
    </row>
    <row r="815" spans="1:11" x14ac:dyDescent="0.25">
      <c r="A815" s="24">
        <v>25</v>
      </c>
      <c r="B815" s="2">
        <v>153</v>
      </c>
      <c r="C815" s="2" t="s">
        <v>76</v>
      </c>
      <c r="D815" s="3">
        <v>0</v>
      </c>
      <c r="E815" s="1"/>
      <c r="I815" s="1" t="s">
        <v>1457</v>
      </c>
      <c r="J815" t="s">
        <v>5368</v>
      </c>
      <c r="K815" s="25">
        <f>Tabelle5[[#This Row],[value_present]]*Tabelle5[[#This Row],[binding_level]]</f>
        <v>0</v>
      </c>
    </row>
    <row r="816" spans="1:11" x14ac:dyDescent="0.25">
      <c r="A816" s="24">
        <v>25</v>
      </c>
      <c r="B816" s="2">
        <v>153</v>
      </c>
      <c r="C816" s="2" t="s">
        <v>83</v>
      </c>
      <c r="D816" s="3">
        <v>1</v>
      </c>
      <c r="E816" s="1">
        <v>1</v>
      </c>
      <c r="F816" t="s">
        <v>5388</v>
      </c>
      <c r="G816" t="s">
        <v>5387</v>
      </c>
      <c r="H816" t="s">
        <v>5369</v>
      </c>
      <c r="I816" s="1" t="s">
        <v>1541</v>
      </c>
      <c r="J816" t="s">
        <v>5370</v>
      </c>
      <c r="K816" s="25">
        <f>Tabelle5[[#This Row],[value_present]]*Tabelle5[[#This Row],[binding_level]]</f>
        <v>1</v>
      </c>
    </row>
    <row r="817" spans="1:11" x14ac:dyDescent="0.25">
      <c r="A817" s="24">
        <v>25</v>
      </c>
      <c r="B817" s="2">
        <v>153</v>
      </c>
      <c r="C817" s="2" t="s">
        <v>90</v>
      </c>
      <c r="D817" s="3">
        <v>1</v>
      </c>
      <c r="E817" s="1">
        <v>1</v>
      </c>
      <c r="F817" t="s">
        <v>5389</v>
      </c>
      <c r="G817" t="s">
        <v>5390</v>
      </c>
      <c r="H817" t="s">
        <v>5371</v>
      </c>
      <c r="I817" s="1" t="s">
        <v>1457</v>
      </c>
      <c r="J817" t="s">
        <v>5372</v>
      </c>
      <c r="K817" s="25">
        <f>Tabelle5[[#This Row],[value_present]]*Tabelle5[[#This Row],[binding_level]]</f>
        <v>1</v>
      </c>
    </row>
    <row r="818" spans="1:11" x14ac:dyDescent="0.25">
      <c r="A818" s="24">
        <v>25</v>
      </c>
      <c r="B818" s="2">
        <v>153</v>
      </c>
      <c r="C818" s="2" t="s">
        <v>98</v>
      </c>
      <c r="D818" s="3">
        <v>0</v>
      </c>
      <c r="E818" s="1"/>
      <c r="I818" s="1" t="s">
        <v>1457</v>
      </c>
      <c r="J818" t="s">
        <v>5373</v>
      </c>
      <c r="K818" s="25">
        <f>Tabelle5[[#This Row],[value_present]]*Tabelle5[[#This Row],[binding_level]]</f>
        <v>0</v>
      </c>
    </row>
    <row r="819" spans="1:11" x14ac:dyDescent="0.25">
      <c r="A819" s="24">
        <v>25</v>
      </c>
      <c r="B819" s="2">
        <v>153</v>
      </c>
      <c r="C819" s="2" t="s">
        <v>106</v>
      </c>
      <c r="D819" s="3">
        <v>1</v>
      </c>
      <c r="E819" s="1">
        <v>1</v>
      </c>
      <c r="F819" t="s">
        <v>5391</v>
      </c>
      <c r="G819" t="s">
        <v>5387</v>
      </c>
      <c r="H819" t="s">
        <v>5369</v>
      </c>
      <c r="I819" s="1" t="s">
        <v>1457</v>
      </c>
      <c r="J819" t="s">
        <v>5374</v>
      </c>
      <c r="K819" s="25">
        <f>Tabelle5[[#This Row],[value_present]]*Tabelle5[[#This Row],[binding_level]]</f>
        <v>1</v>
      </c>
    </row>
    <row r="820" spans="1:11" x14ac:dyDescent="0.25">
      <c r="A820" s="24">
        <v>25</v>
      </c>
      <c r="B820" s="2">
        <v>153</v>
      </c>
      <c r="C820" s="2" t="s">
        <v>112</v>
      </c>
      <c r="D820" s="3">
        <v>0</v>
      </c>
      <c r="E820" s="1"/>
      <c r="I820" s="1" t="s">
        <v>1457</v>
      </c>
      <c r="J820" t="s">
        <v>5375</v>
      </c>
      <c r="K820" s="25">
        <f>Tabelle5[[#This Row],[value_present]]*Tabelle5[[#This Row],[binding_level]]</f>
        <v>0</v>
      </c>
    </row>
    <row r="821" spans="1:11" x14ac:dyDescent="0.25">
      <c r="A821" s="24">
        <v>25</v>
      </c>
      <c r="B821" s="2">
        <v>153</v>
      </c>
      <c r="C821" s="2" t="s">
        <v>118</v>
      </c>
      <c r="D821" s="3">
        <v>0</v>
      </c>
      <c r="E821" s="1"/>
      <c r="I821" s="1" t="s">
        <v>1456</v>
      </c>
      <c r="J821" t="s">
        <v>5376</v>
      </c>
      <c r="K821" s="25">
        <f>Tabelle5[[#This Row],[value_present]]*Tabelle5[[#This Row],[binding_level]]</f>
        <v>0</v>
      </c>
    </row>
    <row r="822" spans="1:11" x14ac:dyDescent="0.25">
      <c r="A822" s="24">
        <v>25</v>
      </c>
      <c r="B822" s="2">
        <v>153</v>
      </c>
      <c r="C822" s="2" t="s">
        <v>125</v>
      </c>
      <c r="D822" s="3">
        <v>0</v>
      </c>
      <c r="E822" s="1"/>
      <c r="I822" s="1" t="s">
        <v>1457</v>
      </c>
      <c r="J822" t="s">
        <v>5377</v>
      </c>
      <c r="K822" s="25">
        <f>Tabelle5[[#This Row],[value_present]]*Tabelle5[[#This Row],[binding_level]]</f>
        <v>0</v>
      </c>
    </row>
    <row r="823" spans="1:11" x14ac:dyDescent="0.25">
      <c r="A823" s="24">
        <v>25</v>
      </c>
      <c r="B823" s="2">
        <v>153</v>
      </c>
      <c r="C823" s="2" t="s">
        <v>132</v>
      </c>
      <c r="D823" s="3">
        <v>0</v>
      </c>
      <c r="E823" s="1"/>
      <c r="I823" s="1" t="s">
        <v>1456</v>
      </c>
      <c r="J823" t="s">
        <v>5378</v>
      </c>
      <c r="K823" s="25">
        <f>Tabelle5[[#This Row],[value_present]]*Tabelle5[[#This Row],[binding_level]]</f>
        <v>0</v>
      </c>
    </row>
    <row r="824" spans="1:11" x14ac:dyDescent="0.25">
      <c r="A824" s="24">
        <v>25</v>
      </c>
      <c r="B824" s="2">
        <v>153</v>
      </c>
      <c r="C824" s="2" t="s">
        <v>140</v>
      </c>
      <c r="D824" s="3">
        <v>1</v>
      </c>
      <c r="E824" s="1">
        <v>1</v>
      </c>
      <c r="F824" t="s">
        <v>5399</v>
      </c>
      <c r="G824" t="s">
        <v>5398</v>
      </c>
      <c r="H824" t="s">
        <v>5363</v>
      </c>
      <c r="I824" s="1" t="s">
        <v>1456</v>
      </c>
      <c r="J824" t="s">
        <v>5379</v>
      </c>
      <c r="K824" s="25">
        <f>Tabelle5[[#This Row],[value_present]]*Tabelle5[[#This Row],[binding_level]]</f>
        <v>1</v>
      </c>
    </row>
    <row r="825" spans="1:11" x14ac:dyDescent="0.25">
      <c r="A825" s="24">
        <v>25</v>
      </c>
      <c r="B825" s="2">
        <v>153</v>
      </c>
      <c r="C825" s="2" t="s">
        <v>147</v>
      </c>
      <c r="D825" s="3">
        <v>1</v>
      </c>
      <c r="E825" s="1">
        <v>1</v>
      </c>
      <c r="F825" t="s">
        <v>5392</v>
      </c>
      <c r="G825" t="s">
        <v>5393</v>
      </c>
      <c r="H825" t="s">
        <v>5380</v>
      </c>
      <c r="I825" s="1" t="s">
        <v>1457</v>
      </c>
      <c r="J825" t="s">
        <v>5381</v>
      </c>
      <c r="K825" s="25">
        <f>Tabelle5[[#This Row],[value_present]]*Tabelle5[[#This Row],[binding_level]]</f>
        <v>1</v>
      </c>
    </row>
    <row r="826" spans="1:11" x14ac:dyDescent="0.25">
      <c r="A826" s="24">
        <v>25</v>
      </c>
      <c r="B826" s="2">
        <v>153</v>
      </c>
      <c r="C826" s="2" t="s">
        <v>154</v>
      </c>
      <c r="D826" s="3">
        <v>1</v>
      </c>
      <c r="E826" s="1">
        <v>1</v>
      </c>
      <c r="F826" t="s">
        <v>5401</v>
      </c>
      <c r="G826" t="s">
        <v>5400</v>
      </c>
      <c r="H826" t="s">
        <v>5382</v>
      </c>
      <c r="I826" s="1" t="s">
        <v>1456</v>
      </c>
      <c r="J826" t="s">
        <v>5383</v>
      </c>
      <c r="K826" s="25">
        <f>Tabelle5[[#This Row],[value_present]]*Tabelle5[[#This Row],[binding_level]]</f>
        <v>1</v>
      </c>
    </row>
    <row r="827" spans="1:11" x14ac:dyDescent="0.25">
      <c r="A827" s="24">
        <v>25</v>
      </c>
      <c r="B827" s="2">
        <v>153</v>
      </c>
      <c r="C827" s="2" t="s">
        <v>161</v>
      </c>
      <c r="D827" s="3">
        <v>0</v>
      </c>
      <c r="E827" s="1"/>
      <c r="I827" s="1" t="s">
        <v>1457</v>
      </c>
      <c r="J827" t="s">
        <v>5384</v>
      </c>
      <c r="K827" s="25">
        <f>Tabelle5[[#This Row],[value_present]]*Tabelle5[[#This Row],[binding_level]]</f>
        <v>0</v>
      </c>
    </row>
    <row r="828" spans="1:11" x14ac:dyDescent="0.25">
      <c r="A828" s="24">
        <v>25</v>
      </c>
      <c r="B828" s="2">
        <v>153</v>
      </c>
      <c r="C828" s="2" t="s">
        <v>166</v>
      </c>
      <c r="D828" s="3">
        <v>0</v>
      </c>
      <c r="E828" s="1"/>
      <c r="I828" s="1" t="s">
        <v>1456</v>
      </c>
      <c r="J828" t="s">
        <v>5385</v>
      </c>
      <c r="K828" s="25">
        <f>Tabelle5[[#This Row],[value_present]]*Tabelle5[[#This Row],[binding_level]]</f>
        <v>0</v>
      </c>
    </row>
    <row r="829" spans="1:11" ht="15.75" thickBot="1" x14ac:dyDescent="0.3">
      <c r="A829" s="26">
        <v>25</v>
      </c>
      <c r="B829" s="27">
        <v>153</v>
      </c>
      <c r="C829" s="27" t="s">
        <v>174</v>
      </c>
      <c r="D829" s="28">
        <v>0</v>
      </c>
      <c r="E829" s="29"/>
      <c r="F829" s="30"/>
      <c r="G829" s="30"/>
      <c r="H829" s="30"/>
      <c r="I829" s="29" t="s">
        <v>1456</v>
      </c>
      <c r="J829" s="30" t="s">
        <v>5386</v>
      </c>
      <c r="K829" s="31">
        <f>Tabelle5[[#This Row],[value_present]]*Tabelle5[[#This Row],[binding_level]]</f>
        <v>0</v>
      </c>
    </row>
    <row r="830" spans="1:11" x14ac:dyDescent="0.25">
      <c r="A830" s="18">
        <v>25</v>
      </c>
      <c r="B830" s="19">
        <v>154</v>
      </c>
      <c r="C830" s="19" t="s">
        <v>53</v>
      </c>
      <c r="D830" s="20">
        <v>1</v>
      </c>
      <c r="E830" s="21">
        <v>3</v>
      </c>
      <c r="F830" t="s">
        <v>5486</v>
      </c>
      <c r="G830" t="s">
        <v>5485</v>
      </c>
      <c r="H830" s="22" t="s">
        <v>5436</v>
      </c>
      <c r="I830" s="21" t="s">
        <v>1456</v>
      </c>
      <c r="J830" s="22" t="s">
        <v>5437</v>
      </c>
      <c r="K830" s="23">
        <f>Tabelle5[[#This Row],[value_present]]*Tabelle5[[#This Row],[binding_level]]</f>
        <v>3</v>
      </c>
    </row>
    <row r="831" spans="1:11" x14ac:dyDescent="0.25">
      <c r="A831" s="24">
        <v>25</v>
      </c>
      <c r="B831" s="2">
        <v>154</v>
      </c>
      <c r="C831" s="2" t="s">
        <v>61</v>
      </c>
      <c r="D831" s="3">
        <v>1</v>
      </c>
      <c r="E831" s="1">
        <v>3</v>
      </c>
      <c r="F831" t="s">
        <v>5488</v>
      </c>
      <c r="G831" t="s">
        <v>5487</v>
      </c>
      <c r="H831" t="s">
        <v>5438</v>
      </c>
      <c r="I831" s="1" t="s">
        <v>1456</v>
      </c>
      <c r="J831" t="s">
        <v>5439</v>
      </c>
      <c r="K831" s="25">
        <f>Tabelle5[[#This Row],[value_present]]*Tabelle5[[#This Row],[binding_level]]</f>
        <v>3</v>
      </c>
    </row>
    <row r="832" spans="1:11" x14ac:dyDescent="0.25">
      <c r="A832" s="24">
        <v>25</v>
      </c>
      <c r="B832" s="2">
        <v>154</v>
      </c>
      <c r="C832" s="2" t="s">
        <v>69</v>
      </c>
      <c r="D832" s="3">
        <v>1</v>
      </c>
      <c r="E832" s="1">
        <v>3</v>
      </c>
      <c r="F832" t="s">
        <v>5490</v>
      </c>
      <c r="G832" t="s">
        <v>5489</v>
      </c>
      <c r="H832" t="s">
        <v>5440</v>
      </c>
      <c r="I832" s="1" t="s">
        <v>1456</v>
      </c>
      <c r="J832" t="s">
        <v>5441</v>
      </c>
      <c r="K832" s="25">
        <f>Tabelle5[[#This Row],[value_present]]*Tabelle5[[#This Row],[binding_level]]</f>
        <v>3</v>
      </c>
    </row>
    <row r="833" spans="1:11" x14ac:dyDescent="0.25">
      <c r="A833" s="24">
        <v>25</v>
      </c>
      <c r="B833" s="2">
        <v>154</v>
      </c>
      <c r="C833" s="2" t="s">
        <v>76</v>
      </c>
      <c r="D833" s="3">
        <v>1</v>
      </c>
      <c r="E833" s="1">
        <v>3</v>
      </c>
      <c r="F833" t="s">
        <v>5492</v>
      </c>
      <c r="G833" t="s">
        <v>5491</v>
      </c>
      <c r="H833" t="s">
        <v>5442</v>
      </c>
      <c r="I833" s="1" t="s">
        <v>1456</v>
      </c>
      <c r="J833" t="s">
        <v>5443</v>
      </c>
      <c r="K833" s="25">
        <f>Tabelle5[[#This Row],[value_present]]*Tabelle5[[#This Row],[binding_level]]</f>
        <v>3</v>
      </c>
    </row>
    <row r="834" spans="1:11" x14ac:dyDescent="0.25">
      <c r="A834" s="24">
        <v>25</v>
      </c>
      <c r="B834" s="2">
        <v>154</v>
      </c>
      <c r="C834" s="2" t="s">
        <v>83</v>
      </c>
      <c r="D834" s="3">
        <v>1</v>
      </c>
      <c r="E834" s="1">
        <v>2</v>
      </c>
      <c r="F834" t="s">
        <v>5469</v>
      </c>
      <c r="G834" t="s">
        <v>5470</v>
      </c>
      <c r="H834" t="s">
        <v>5444</v>
      </c>
      <c r="I834" s="1" t="s">
        <v>1456</v>
      </c>
      <c r="J834" t="s">
        <v>5445</v>
      </c>
      <c r="K834" s="25">
        <f>Tabelle5[[#This Row],[value_present]]*Tabelle5[[#This Row],[binding_level]]</f>
        <v>2</v>
      </c>
    </row>
    <row r="835" spans="1:11" x14ac:dyDescent="0.25">
      <c r="A835" s="24">
        <v>25</v>
      </c>
      <c r="B835" s="2">
        <v>154</v>
      </c>
      <c r="C835" s="2" t="s">
        <v>90</v>
      </c>
      <c r="D835" s="3">
        <v>1</v>
      </c>
      <c r="E835" s="1">
        <v>2</v>
      </c>
      <c r="F835" t="s">
        <v>5471</v>
      </c>
      <c r="G835" t="s">
        <v>5472</v>
      </c>
      <c r="H835" t="s">
        <v>5446</v>
      </c>
      <c r="I835" s="1" t="s">
        <v>1456</v>
      </c>
      <c r="J835" t="s">
        <v>5447</v>
      </c>
      <c r="K835" s="25">
        <f>Tabelle5[[#This Row],[value_present]]*Tabelle5[[#This Row],[binding_level]]</f>
        <v>2</v>
      </c>
    </row>
    <row r="836" spans="1:11" x14ac:dyDescent="0.25">
      <c r="A836" s="24">
        <v>25</v>
      </c>
      <c r="B836" s="2">
        <v>154</v>
      </c>
      <c r="C836" s="2" t="s">
        <v>98</v>
      </c>
      <c r="D836" s="3">
        <v>1</v>
      </c>
      <c r="E836" s="1">
        <v>3</v>
      </c>
      <c r="F836" t="s">
        <v>5473</v>
      </c>
      <c r="G836" t="s">
        <v>5474</v>
      </c>
      <c r="H836" t="s">
        <v>5448</v>
      </c>
      <c r="I836" s="1" t="s">
        <v>1456</v>
      </c>
      <c r="J836" t="s">
        <v>5449</v>
      </c>
      <c r="K836" s="25">
        <f>Tabelle5[[#This Row],[value_present]]*Tabelle5[[#This Row],[binding_level]]</f>
        <v>3</v>
      </c>
    </row>
    <row r="837" spans="1:11" x14ac:dyDescent="0.25">
      <c r="A837" s="24">
        <v>25</v>
      </c>
      <c r="B837" s="2">
        <v>154</v>
      </c>
      <c r="C837" s="2" t="s">
        <v>106</v>
      </c>
      <c r="D837" s="3">
        <v>1</v>
      </c>
      <c r="E837" s="1">
        <v>2</v>
      </c>
      <c r="F837" t="s">
        <v>5475</v>
      </c>
      <c r="G837" t="s">
        <v>5476</v>
      </c>
      <c r="H837" t="s">
        <v>5450</v>
      </c>
      <c r="I837" s="1" t="s">
        <v>1456</v>
      </c>
      <c r="J837" t="s">
        <v>5451</v>
      </c>
      <c r="K837" s="25">
        <f>Tabelle5[[#This Row],[value_present]]*Tabelle5[[#This Row],[binding_level]]</f>
        <v>2</v>
      </c>
    </row>
    <row r="838" spans="1:11" x14ac:dyDescent="0.25">
      <c r="A838" s="24">
        <v>25</v>
      </c>
      <c r="B838" s="2">
        <v>154</v>
      </c>
      <c r="C838" s="2" t="s">
        <v>112</v>
      </c>
      <c r="D838" s="3">
        <v>1</v>
      </c>
      <c r="E838" s="1">
        <v>3</v>
      </c>
      <c r="F838" t="s">
        <v>5477</v>
      </c>
      <c r="G838" t="s">
        <v>5478</v>
      </c>
      <c r="H838" t="s">
        <v>5452</v>
      </c>
      <c r="I838" s="1" t="s">
        <v>1457</v>
      </c>
      <c r="J838" t="s">
        <v>5453</v>
      </c>
      <c r="K838" s="25">
        <f>Tabelle5[[#This Row],[value_present]]*Tabelle5[[#This Row],[binding_level]]</f>
        <v>3</v>
      </c>
    </row>
    <row r="839" spans="1:11" x14ac:dyDescent="0.25">
      <c r="A839" s="24">
        <v>25</v>
      </c>
      <c r="B839" s="2">
        <v>154</v>
      </c>
      <c r="C839" s="2" t="s">
        <v>118</v>
      </c>
      <c r="D839" s="3">
        <v>0</v>
      </c>
      <c r="E839" s="1"/>
      <c r="I839" s="1" t="s">
        <v>1457</v>
      </c>
      <c r="J839" t="s">
        <v>5454</v>
      </c>
      <c r="K839" s="25">
        <f>Tabelle5[[#This Row],[value_present]]*Tabelle5[[#This Row],[binding_level]]</f>
        <v>0</v>
      </c>
    </row>
    <row r="840" spans="1:11" x14ac:dyDescent="0.25">
      <c r="A840" s="24">
        <v>25</v>
      </c>
      <c r="B840" s="2">
        <v>154</v>
      </c>
      <c r="C840" s="2" t="s">
        <v>125</v>
      </c>
      <c r="D840" s="3">
        <v>1</v>
      </c>
      <c r="E840" s="1">
        <v>2</v>
      </c>
      <c r="F840" t="s">
        <v>5479</v>
      </c>
      <c r="G840" t="s">
        <v>5480</v>
      </c>
      <c r="H840" t="s">
        <v>5455</v>
      </c>
      <c r="I840" s="1" t="s">
        <v>1457</v>
      </c>
      <c r="J840" t="s">
        <v>5456</v>
      </c>
      <c r="K840" s="25">
        <f>Tabelle5[[#This Row],[value_present]]*Tabelle5[[#This Row],[binding_level]]</f>
        <v>2</v>
      </c>
    </row>
    <row r="841" spans="1:11" x14ac:dyDescent="0.25">
      <c r="A841" s="24">
        <v>25</v>
      </c>
      <c r="B841" s="2">
        <v>154</v>
      </c>
      <c r="C841" s="2" t="s">
        <v>132</v>
      </c>
      <c r="D841" s="3">
        <v>1</v>
      </c>
      <c r="E841" s="1">
        <v>2</v>
      </c>
      <c r="F841" t="s">
        <v>5494</v>
      </c>
      <c r="G841" t="s">
        <v>5493</v>
      </c>
      <c r="H841" t="s">
        <v>5457</v>
      </c>
      <c r="I841" s="1" t="s">
        <v>1457</v>
      </c>
      <c r="J841" t="s">
        <v>5458</v>
      </c>
      <c r="K841" s="25">
        <f>Tabelle5[[#This Row],[value_present]]*Tabelle5[[#This Row],[binding_level]]</f>
        <v>2</v>
      </c>
    </row>
    <row r="842" spans="1:11" x14ac:dyDescent="0.25">
      <c r="A842" s="24">
        <v>25</v>
      </c>
      <c r="B842" s="2">
        <v>154</v>
      </c>
      <c r="C842" s="2" t="s">
        <v>140</v>
      </c>
      <c r="D842" s="3">
        <v>1</v>
      </c>
      <c r="E842" s="1">
        <v>2</v>
      </c>
      <c r="F842" t="s">
        <v>5481</v>
      </c>
      <c r="G842" t="s">
        <v>5482</v>
      </c>
      <c r="H842" t="s">
        <v>5459</v>
      </c>
      <c r="I842" s="1" t="s">
        <v>1456</v>
      </c>
      <c r="J842" t="s">
        <v>5460</v>
      </c>
      <c r="K842" s="25">
        <f>Tabelle5[[#This Row],[value_present]]*Tabelle5[[#This Row],[binding_level]]</f>
        <v>2</v>
      </c>
    </row>
    <row r="843" spans="1:11" x14ac:dyDescent="0.25">
      <c r="A843" s="24">
        <v>25</v>
      </c>
      <c r="B843" s="2">
        <v>154</v>
      </c>
      <c r="C843" s="2" t="s">
        <v>147</v>
      </c>
      <c r="D843" s="3">
        <v>1</v>
      </c>
      <c r="E843" s="1">
        <v>2</v>
      </c>
      <c r="F843" t="s">
        <v>5497</v>
      </c>
      <c r="G843" t="s">
        <v>5495</v>
      </c>
      <c r="H843" t="s">
        <v>5461</v>
      </c>
      <c r="I843" s="1" t="s">
        <v>1456</v>
      </c>
      <c r="J843" t="s">
        <v>5462</v>
      </c>
      <c r="K843" s="25">
        <f>Tabelle5[[#This Row],[value_present]]*Tabelle5[[#This Row],[binding_level]]</f>
        <v>2</v>
      </c>
    </row>
    <row r="844" spans="1:11" x14ac:dyDescent="0.25">
      <c r="A844" s="24">
        <v>25</v>
      </c>
      <c r="B844" s="2">
        <v>154</v>
      </c>
      <c r="C844" s="2" t="s">
        <v>154</v>
      </c>
      <c r="D844" s="3">
        <v>1</v>
      </c>
      <c r="E844" s="1">
        <v>2</v>
      </c>
      <c r="F844" t="s">
        <v>5498</v>
      </c>
      <c r="G844" t="s">
        <v>5496</v>
      </c>
      <c r="H844" t="s">
        <v>5463</v>
      </c>
      <c r="I844" s="1" t="s">
        <v>1456</v>
      </c>
      <c r="J844" t="s">
        <v>5464</v>
      </c>
      <c r="K844" s="25">
        <f>Tabelle5[[#This Row],[value_present]]*Tabelle5[[#This Row],[binding_level]]</f>
        <v>2</v>
      </c>
    </row>
    <row r="845" spans="1:11" x14ac:dyDescent="0.25">
      <c r="A845" s="24">
        <v>25</v>
      </c>
      <c r="B845" s="2">
        <v>154</v>
      </c>
      <c r="C845" s="2" t="s">
        <v>161</v>
      </c>
      <c r="D845" s="3">
        <v>1</v>
      </c>
      <c r="E845" s="1">
        <v>3</v>
      </c>
      <c r="F845" t="s">
        <v>5500</v>
      </c>
      <c r="G845" t="s">
        <v>5499</v>
      </c>
      <c r="H845" t="s">
        <v>5465</v>
      </c>
      <c r="I845" s="1" t="s">
        <v>1456</v>
      </c>
      <c r="J845" t="s">
        <v>5466</v>
      </c>
      <c r="K845" s="25">
        <f>Tabelle5[[#This Row],[value_present]]*Tabelle5[[#This Row],[binding_level]]</f>
        <v>3</v>
      </c>
    </row>
    <row r="846" spans="1:11" x14ac:dyDescent="0.25">
      <c r="A846" s="24">
        <v>25</v>
      </c>
      <c r="B846" s="2">
        <v>154</v>
      </c>
      <c r="C846" s="2" t="s">
        <v>166</v>
      </c>
      <c r="D846" s="3">
        <v>0</v>
      </c>
      <c r="E846" s="1"/>
      <c r="I846" s="1" t="s">
        <v>1456</v>
      </c>
      <c r="J846" t="s">
        <v>5467</v>
      </c>
      <c r="K846" s="25">
        <f>Tabelle5[[#This Row],[value_present]]*Tabelle5[[#This Row],[binding_level]]</f>
        <v>0</v>
      </c>
    </row>
    <row r="847" spans="1:11" ht="15.75" thickBot="1" x14ac:dyDescent="0.3">
      <c r="A847" s="24">
        <v>25</v>
      </c>
      <c r="B847" s="2">
        <v>154</v>
      </c>
      <c r="C847" s="2" t="s">
        <v>174</v>
      </c>
      <c r="D847" s="3">
        <v>1</v>
      </c>
      <c r="E847" s="1">
        <v>2</v>
      </c>
      <c r="F847" t="s">
        <v>5483</v>
      </c>
      <c r="G847" t="s">
        <v>5484</v>
      </c>
      <c r="H847" t="s">
        <v>5461</v>
      </c>
      <c r="I847" s="1" t="s">
        <v>1456</v>
      </c>
      <c r="J847" t="s">
        <v>5468</v>
      </c>
      <c r="K847" s="25">
        <f>Tabelle5[[#This Row],[value_present]]*Tabelle5[[#This Row],[binding_level]]</f>
        <v>2</v>
      </c>
    </row>
    <row r="848" spans="1:11" x14ac:dyDescent="0.25">
      <c r="A848" s="18">
        <v>27</v>
      </c>
      <c r="B848" s="19">
        <v>162</v>
      </c>
      <c r="C848" s="19" t="s">
        <v>53</v>
      </c>
      <c r="D848" s="20">
        <v>0</v>
      </c>
      <c r="E848" s="21"/>
      <c r="F848" s="22"/>
      <c r="G848" s="22"/>
      <c r="H848" s="22"/>
      <c r="I848" s="21" t="s">
        <v>1456</v>
      </c>
      <c r="J848" s="22" t="s">
        <v>5552</v>
      </c>
      <c r="K848" s="23">
        <f>Tabelle5[[#This Row],[value_present]]*Tabelle5[[#This Row],[binding_level]]</f>
        <v>0</v>
      </c>
    </row>
    <row r="849" spans="1:11" x14ac:dyDescent="0.25">
      <c r="A849" s="24">
        <v>27</v>
      </c>
      <c r="B849" s="2">
        <v>162</v>
      </c>
      <c r="C849" s="2" t="s">
        <v>61</v>
      </c>
      <c r="D849" s="3">
        <v>0</v>
      </c>
      <c r="E849" s="1"/>
      <c r="I849" s="1" t="s">
        <v>1457</v>
      </c>
      <c r="J849" t="s">
        <v>5553</v>
      </c>
      <c r="K849" s="25">
        <f>Tabelle5[[#This Row],[value_present]]*Tabelle5[[#This Row],[binding_level]]</f>
        <v>0</v>
      </c>
    </row>
    <row r="850" spans="1:11" x14ac:dyDescent="0.25">
      <c r="A850" s="24">
        <v>27</v>
      </c>
      <c r="B850" s="2">
        <v>162</v>
      </c>
      <c r="C850" s="2" t="s">
        <v>69</v>
      </c>
      <c r="D850" s="3">
        <v>0</v>
      </c>
      <c r="E850" s="1"/>
      <c r="I850" s="1" t="s">
        <v>1456</v>
      </c>
      <c r="J850" t="s">
        <v>5554</v>
      </c>
      <c r="K850" s="25">
        <f>Tabelle5[[#This Row],[value_present]]*Tabelle5[[#This Row],[binding_level]]</f>
        <v>0</v>
      </c>
    </row>
    <row r="851" spans="1:11" x14ac:dyDescent="0.25">
      <c r="A851" s="24">
        <v>27</v>
      </c>
      <c r="B851" s="2">
        <v>162</v>
      </c>
      <c r="C851" s="2" t="s">
        <v>76</v>
      </c>
      <c r="D851" s="3">
        <v>1</v>
      </c>
      <c r="E851" s="1"/>
      <c r="I851" s="1" t="s">
        <v>1456</v>
      </c>
      <c r="J851" t="s">
        <v>5555</v>
      </c>
      <c r="K851" s="25">
        <f>Tabelle5[[#This Row],[value_present]]*Tabelle5[[#This Row],[binding_level]]</f>
        <v>0</v>
      </c>
    </row>
    <row r="852" spans="1:11" x14ac:dyDescent="0.25">
      <c r="A852" s="24">
        <v>27</v>
      </c>
      <c r="B852" s="2">
        <v>162</v>
      </c>
      <c r="C852" s="2" t="s">
        <v>83</v>
      </c>
      <c r="D852" s="3">
        <v>1</v>
      </c>
      <c r="E852" s="1">
        <v>2</v>
      </c>
      <c r="F852" t="s">
        <v>5573</v>
      </c>
      <c r="G852" t="s">
        <v>5572</v>
      </c>
      <c r="H852" t="s">
        <v>5556</v>
      </c>
      <c r="I852" s="1" t="s">
        <v>1456</v>
      </c>
      <c r="J852" t="s">
        <v>5557</v>
      </c>
      <c r="K852" s="25">
        <f>Tabelle5[[#This Row],[value_present]]*Tabelle5[[#This Row],[binding_level]]</f>
        <v>2</v>
      </c>
    </row>
    <row r="853" spans="1:11" x14ac:dyDescent="0.25">
      <c r="A853" s="24">
        <v>27</v>
      </c>
      <c r="B853" s="2">
        <v>162</v>
      </c>
      <c r="C853" s="2" t="s">
        <v>90</v>
      </c>
      <c r="D853" s="3">
        <v>0</v>
      </c>
      <c r="E853" s="1">
        <v>2</v>
      </c>
      <c r="F853" t="s">
        <v>5570</v>
      </c>
      <c r="G853" t="s">
        <v>5571</v>
      </c>
      <c r="H853" t="s">
        <v>5556</v>
      </c>
      <c r="I853" s="1" t="s">
        <v>1457</v>
      </c>
      <c r="J853" t="s">
        <v>5558</v>
      </c>
      <c r="K853" s="25">
        <f>Tabelle5[[#This Row],[value_present]]*Tabelle5[[#This Row],[binding_level]]</f>
        <v>0</v>
      </c>
    </row>
    <row r="854" spans="1:11" x14ac:dyDescent="0.25">
      <c r="A854" s="24">
        <v>27</v>
      </c>
      <c r="B854" s="2">
        <v>162</v>
      </c>
      <c r="C854" s="2" t="s">
        <v>98</v>
      </c>
      <c r="D854" s="3">
        <v>0</v>
      </c>
      <c r="E854" s="1"/>
      <c r="I854" s="1" t="s">
        <v>1456</v>
      </c>
      <c r="J854" t="s">
        <v>5559</v>
      </c>
      <c r="K854" s="25">
        <f>Tabelle5[[#This Row],[value_present]]*Tabelle5[[#This Row],[binding_level]]</f>
        <v>0</v>
      </c>
    </row>
    <row r="855" spans="1:11" x14ac:dyDescent="0.25">
      <c r="A855" s="24">
        <v>27</v>
      </c>
      <c r="B855" s="2">
        <v>162</v>
      </c>
      <c r="C855" s="2" t="s">
        <v>106</v>
      </c>
      <c r="D855" s="3">
        <v>0</v>
      </c>
      <c r="E855" s="1"/>
      <c r="I855" s="1" t="s">
        <v>1457</v>
      </c>
      <c r="J855" t="s">
        <v>5560</v>
      </c>
      <c r="K855" s="25">
        <f>Tabelle5[[#This Row],[value_present]]*Tabelle5[[#This Row],[binding_level]]</f>
        <v>0</v>
      </c>
    </row>
    <row r="856" spans="1:11" x14ac:dyDescent="0.25">
      <c r="A856" s="24">
        <v>27</v>
      </c>
      <c r="B856" s="2">
        <v>162</v>
      </c>
      <c r="C856" s="2" t="s">
        <v>112</v>
      </c>
      <c r="D856" s="3">
        <v>0</v>
      </c>
      <c r="E856" s="1"/>
      <c r="I856" s="1" t="s">
        <v>1457</v>
      </c>
      <c r="J856" t="s">
        <v>5561</v>
      </c>
      <c r="K856" s="25">
        <f>Tabelle5[[#This Row],[value_present]]*Tabelle5[[#This Row],[binding_level]]</f>
        <v>0</v>
      </c>
    </row>
    <row r="857" spans="1:11" x14ac:dyDescent="0.25">
      <c r="A857" s="24">
        <v>27</v>
      </c>
      <c r="B857" s="2">
        <v>162</v>
      </c>
      <c r="C857" s="2" t="s">
        <v>118</v>
      </c>
      <c r="D857" s="3">
        <v>0</v>
      </c>
      <c r="E857" s="1"/>
      <c r="I857" s="1" t="s">
        <v>1456</v>
      </c>
      <c r="J857" t="s">
        <v>5261</v>
      </c>
      <c r="K857" s="25">
        <f>Tabelle5[[#This Row],[value_present]]*Tabelle5[[#This Row],[binding_level]]</f>
        <v>0</v>
      </c>
    </row>
    <row r="858" spans="1:11" x14ac:dyDescent="0.25">
      <c r="A858" s="24">
        <v>27</v>
      </c>
      <c r="B858" s="2">
        <v>162</v>
      </c>
      <c r="C858" s="2" t="s">
        <v>125</v>
      </c>
      <c r="D858" s="3">
        <v>0</v>
      </c>
      <c r="E858" s="1"/>
      <c r="I858" s="1" t="s">
        <v>1456</v>
      </c>
      <c r="J858" t="s">
        <v>5562</v>
      </c>
      <c r="K858" s="25">
        <f>Tabelle5[[#This Row],[value_present]]*Tabelle5[[#This Row],[binding_level]]</f>
        <v>0</v>
      </c>
    </row>
    <row r="859" spans="1:11" x14ac:dyDescent="0.25">
      <c r="A859" s="24">
        <v>27</v>
      </c>
      <c r="B859" s="2">
        <v>162</v>
      </c>
      <c r="C859" s="2" t="s">
        <v>132</v>
      </c>
      <c r="D859" s="3">
        <v>1</v>
      </c>
      <c r="E859" s="1"/>
      <c r="I859" s="1" t="s">
        <v>1456</v>
      </c>
      <c r="J859" t="s">
        <v>5563</v>
      </c>
      <c r="K859" s="25">
        <f>Tabelle5[[#This Row],[value_present]]*Tabelle5[[#This Row],[binding_level]]</f>
        <v>0</v>
      </c>
    </row>
    <row r="860" spans="1:11" x14ac:dyDescent="0.25">
      <c r="A860" s="24">
        <v>27</v>
      </c>
      <c r="B860" s="2">
        <v>162</v>
      </c>
      <c r="C860" s="2" t="s">
        <v>140</v>
      </c>
      <c r="D860" s="3">
        <v>1</v>
      </c>
      <c r="E860" s="1">
        <v>1</v>
      </c>
      <c r="F860" t="s">
        <v>5575</v>
      </c>
      <c r="G860" t="s">
        <v>5574</v>
      </c>
      <c r="H860" t="s">
        <v>5556</v>
      </c>
      <c r="I860" s="1" t="s">
        <v>1456</v>
      </c>
      <c r="J860" t="s">
        <v>5564</v>
      </c>
      <c r="K860" s="25">
        <f>Tabelle5[[#This Row],[value_present]]*Tabelle5[[#This Row],[binding_level]]</f>
        <v>1</v>
      </c>
    </row>
    <row r="861" spans="1:11" x14ac:dyDescent="0.25">
      <c r="A861" s="24">
        <v>27</v>
      </c>
      <c r="B861" s="2">
        <v>162</v>
      </c>
      <c r="C861" s="2" t="s">
        <v>147</v>
      </c>
      <c r="D861" s="3">
        <v>1</v>
      </c>
      <c r="E861" s="1">
        <v>2</v>
      </c>
      <c r="F861" t="s">
        <v>5577</v>
      </c>
      <c r="G861" t="s">
        <v>5576</v>
      </c>
      <c r="H861" t="s">
        <v>5556</v>
      </c>
      <c r="I861" s="1" t="s">
        <v>1456</v>
      </c>
      <c r="J861" t="s">
        <v>5565</v>
      </c>
      <c r="K861" s="25">
        <f>Tabelle5[[#This Row],[value_present]]*Tabelle5[[#This Row],[binding_level]]</f>
        <v>2</v>
      </c>
    </row>
    <row r="862" spans="1:11" x14ac:dyDescent="0.25">
      <c r="A862" s="24">
        <v>27</v>
      </c>
      <c r="B862" s="2">
        <v>162</v>
      </c>
      <c r="C862" s="2" t="s">
        <v>154</v>
      </c>
      <c r="D862" s="3">
        <v>0</v>
      </c>
      <c r="E862" s="1">
        <v>1</v>
      </c>
      <c r="F862" t="s">
        <v>5579</v>
      </c>
      <c r="G862" t="s">
        <v>5578</v>
      </c>
      <c r="H862" t="s">
        <v>5556</v>
      </c>
      <c r="I862" s="1" t="s">
        <v>1456</v>
      </c>
      <c r="J862" t="s">
        <v>5566</v>
      </c>
      <c r="K862" s="25">
        <f>Tabelle5[[#This Row],[value_present]]*Tabelle5[[#This Row],[binding_level]]</f>
        <v>0</v>
      </c>
    </row>
    <row r="863" spans="1:11" x14ac:dyDescent="0.25">
      <c r="A863" s="24">
        <v>27</v>
      </c>
      <c r="B863" s="2">
        <v>162</v>
      </c>
      <c r="C863" s="2" t="s">
        <v>161</v>
      </c>
      <c r="D863" s="3">
        <v>0</v>
      </c>
      <c r="E863" s="1"/>
      <c r="I863" s="1" t="s">
        <v>1456</v>
      </c>
      <c r="J863" t="s">
        <v>5567</v>
      </c>
      <c r="K863" s="25">
        <f>Tabelle5[[#This Row],[value_present]]*Tabelle5[[#This Row],[binding_level]]</f>
        <v>0</v>
      </c>
    </row>
    <row r="864" spans="1:11" x14ac:dyDescent="0.25">
      <c r="A864" s="24">
        <v>27</v>
      </c>
      <c r="B864" s="2">
        <v>162</v>
      </c>
      <c r="C864" s="2" t="s">
        <v>166</v>
      </c>
      <c r="D864" s="3">
        <v>0</v>
      </c>
      <c r="E864" s="1"/>
      <c r="I864" s="1" t="s">
        <v>1456</v>
      </c>
      <c r="J864" t="s">
        <v>5568</v>
      </c>
      <c r="K864" s="25">
        <f>Tabelle5[[#This Row],[value_present]]*Tabelle5[[#This Row],[binding_level]]</f>
        <v>0</v>
      </c>
    </row>
    <row r="865" spans="1:11" ht="15.75" thickBot="1" x14ac:dyDescent="0.3">
      <c r="A865" s="26">
        <v>27</v>
      </c>
      <c r="B865" s="27">
        <v>162</v>
      </c>
      <c r="C865" s="27" t="s">
        <v>174</v>
      </c>
      <c r="D865" s="28">
        <v>0</v>
      </c>
      <c r="E865" s="29"/>
      <c r="F865" s="30"/>
      <c r="G865" s="30"/>
      <c r="H865" s="30"/>
      <c r="I865" s="29" t="s">
        <v>1457</v>
      </c>
      <c r="J865" s="30" t="s">
        <v>5569</v>
      </c>
      <c r="K865" s="31">
        <f>Tabelle5[[#This Row],[value_present]]*Tabelle5[[#This Row],[binding_level]]</f>
        <v>0</v>
      </c>
    </row>
    <row r="866" spans="1:11" x14ac:dyDescent="0.25">
      <c r="A866" s="18">
        <v>27</v>
      </c>
      <c r="B866" s="19">
        <v>163</v>
      </c>
      <c r="C866" s="19" t="s">
        <v>53</v>
      </c>
      <c r="D866" s="20">
        <v>0</v>
      </c>
      <c r="E866" s="21"/>
      <c r="F866" s="22"/>
      <c r="G866" s="22"/>
      <c r="H866" s="22"/>
      <c r="I866" s="21" t="s">
        <v>1456</v>
      </c>
      <c r="J866" s="22" t="s">
        <v>5604</v>
      </c>
      <c r="K866" s="23">
        <f>Tabelle5[[#This Row],[value_present]]*Tabelle5[[#This Row],[binding_level]]</f>
        <v>0</v>
      </c>
    </row>
    <row r="867" spans="1:11" x14ac:dyDescent="0.25">
      <c r="A867" s="24">
        <v>27</v>
      </c>
      <c r="B867" s="2">
        <v>163</v>
      </c>
      <c r="C867" s="2" t="s">
        <v>61</v>
      </c>
      <c r="D867" s="3">
        <v>0</v>
      </c>
      <c r="E867" s="1"/>
      <c r="I867" s="1" t="s">
        <v>1457</v>
      </c>
      <c r="J867" t="s">
        <v>5605</v>
      </c>
      <c r="K867" s="25">
        <f>Tabelle5[[#This Row],[value_present]]*Tabelle5[[#This Row],[binding_level]]</f>
        <v>0</v>
      </c>
    </row>
    <row r="868" spans="1:11" x14ac:dyDescent="0.25">
      <c r="A868" s="24">
        <v>27</v>
      </c>
      <c r="B868" s="2">
        <v>163</v>
      </c>
      <c r="C868" s="2" t="s">
        <v>69</v>
      </c>
      <c r="D868" s="3">
        <v>1</v>
      </c>
      <c r="E868" s="1">
        <v>1</v>
      </c>
      <c r="F868" t="s">
        <v>5624</v>
      </c>
      <c r="G868" t="s">
        <v>5625</v>
      </c>
      <c r="H868" t="s">
        <v>5606</v>
      </c>
      <c r="I868" s="1" t="s">
        <v>1456</v>
      </c>
      <c r="J868" t="s">
        <v>5607</v>
      </c>
      <c r="K868" s="25">
        <f>Tabelle5[[#This Row],[value_present]]*Tabelle5[[#This Row],[binding_level]]</f>
        <v>1</v>
      </c>
    </row>
    <row r="869" spans="1:11" x14ac:dyDescent="0.25">
      <c r="A869" s="24">
        <v>27</v>
      </c>
      <c r="B869" s="2">
        <v>163</v>
      </c>
      <c r="C869" s="2" t="s">
        <v>76</v>
      </c>
      <c r="D869" s="3">
        <v>1</v>
      </c>
      <c r="E869" s="1">
        <v>2</v>
      </c>
      <c r="F869" t="s">
        <v>5626</v>
      </c>
      <c r="G869" t="s">
        <v>5627</v>
      </c>
      <c r="H869" t="s">
        <v>5606</v>
      </c>
      <c r="I869" s="1" t="s">
        <v>1457</v>
      </c>
      <c r="J869" t="s">
        <v>5608</v>
      </c>
      <c r="K869" s="25">
        <f>Tabelle5[[#This Row],[value_present]]*Tabelle5[[#This Row],[binding_level]]</f>
        <v>2</v>
      </c>
    </row>
    <row r="870" spans="1:11" x14ac:dyDescent="0.25">
      <c r="A870" s="24">
        <v>27</v>
      </c>
      <c r="B870" s="2">
        <v>163</v>
      </c>
      <c r="C870" s="2" t="s">
        <v>83</v>
      </c>
      <c r="D870" s="3">
        <v>1</v>
      </c>
      <c r="E870" s="1">
        <v>3</v>
      </c>
      <c r="F870" t="s">
        <v>5633</v>
      </c>
      <c r="G870" t="s">
        <v>5632</v>
      </c>
      <c r="H870" t="s">
        <v>5606</v>
      </c>
      <c r="I870" s="1" t="s">
        <v>1456</v>
      </c>
      <c r="J870" t="s">
        <v>5609</v>
      </c>
      <c r="K870" s="25">
        <f>Tabelle5[[#This Row],[value_present]]*Tabelle5[[#This Row],[binding_level]]</f>
        <v>3</v>
      </c>
    </row>
    <row r="871" spans="1:11" x14ac:dyDescent="0.25">
      <c r="A871" s="24">
        <v>27</v>
      </c>
      <c r="B871" s="2">
        <v>163</v>
      </c>
      <c r="C871" s="2" t="s">
        <v>90</v>
      </c>
      <c r="D871" s="3">
        <v>0</v>
      </c>
      <c r="E871" s="1"/>
      <c r="I871" s="1" t="s">
        <v>1457</v>
      </c>
      <c r="J871" t="s">
        <v>5610</v>
      </c>
      <c r="K871" s="25">
        <f>Tabelle5[[#This Row],[value_present]]*Tabelle5[[#This Row],[binding_level]]</f>
        <v>0</v>
      </c>
    </row>
    <row r="872" spans="1:11" x14ac:dyDescent="0.25">
      <c r="A872" s="24">
        <v>27</v>
      </c>
      <c r="B872" s="2">
        <v>163</v>
      </c>
      <c r="C872" s="2" t="s">
        <v>98</v>
      </c>
      <c r="D872" s="3">
        <v>0</v>
      </c>
      <c r="E872" s="1"/>
      <c r="I872" s="1" t="s">
        <v>1456</v>
      </c>
      <c r="J872" t="s">
        <v>5611</v>
      </c>
      <c r="K872" s="25">
        <f>Tabelle5[[#This Row],[value_present]]*Tabelle5[[#This Row],[binding_level]]</f>
        <v>0</v>
      </c>
    </row>
    <row r="873" spans="1:11" x14ac:dyDescent="0.25">
      <c r="A873" s="24">
        <v>27</v>
      </c>
      <c r="B873" s="2">
        <v>163</v>
      </c>
      <c r="C873" s="2" t="s">
        <v>106</v>
      </c>
      <c r="D873" s="3">
        <v>0</v>
      </c>
      <c r="E873" s="1"/>
      <c r="I873" s="1" t="s">
        <v>1457</v>
      </c>
      <c r="J873" t="s">
        <v>5612</v>
      </c>
      <c r="K873" s="25">
        <f>Tabelle5[[#This Row],[value_present]]*Tabelle5[[#This Row],[binding_level]]</f>
        <v>0</v>
      </c>
    </row>
    <row r="874" spans="1:11" x14ac:dyDescent="0.25">
      <c r="A874" s="24">
        <v>27</v>
      </c>
      <c r="B874" s="2">
        <v>163</v>
      </c>
      <c r="C874" s="2" t="s">
        <v>112</v>
      </c>
      <c r="D874" s="3">
        <v>0</v>
      </c>
      <c r="E874" s="1"/>
      <c r="I874" s="1" t="s">
        <v>1457</v>
      </c>
      <c r="J874" t="s">
        <v>5613</v>
      </c>
      <c r="K874" s="25">
        <f>Tabelle5[[#This Row],[value_present]]*Tabelle5[[#This Row],[binding_level]]</f>
        <v>0</v>
      </c>
    </row>
    <row r="875" spans="1:11" x14ac:dyDescent="0.25">
      <c r="A875" s="24">
        <v>27</v>
      </c>
      <c r="B875" s="2">
        <v>163</v>
      </c>
      <c r="C875" s="2" t="s">
        <v>118</v>
      </c>
      <c r="D875" s="3">
        <v>0</v>
      </c>
      <c r="E875" s="1"/>
      <c r="I875" s="1" t="s">
        <v>1456</v>
      </c>
      <c r="J875" t="s">
        <v>5614</v>
      </c>
      <c r="K875" s="25">
        <f>Tabelle5[[#This Row],[value_present]]*Tabelle5[[#This Row],[binding_level]]</f>
        <v>0</v>
      </c>
    </row>
    <row r="876" spans="1:11" x14ac:dyDescent="0.25">
      <c r="A876" s="24">
        <v>27</v>
      </c>
      <c r="B876" s="2">
        <v>163</v>
      </c>
      <c r="C876" s="2" t="s">
        <v>125</v>
      </c>
      <c r="D876" s="3">
        <v>0</v>
      </c>
      <c r="E876" s="1"/>
      <c r="I876" s="1" t="s">
        <v>1456</v>
      </c>
      <c r="J876" t="s">
        <v>5615</v>
      </c>
      <c r="K876" s="25">
        <f>Tabelle5[[#This Row],[value_present]]*Tabelle5[[#This Row],[binding_level]]</f>
        <v>0</v>
      </c>
    </row>
    <row r="877" spans="1:11" x14ac:dyDescent="0.25">
      <c r="A877" s="24">
        <v>27</v>
      </c>
      <c r="B877" s="2">
        <v>163</v>
      </c>
      <c r="C877" s="2" t="s">
        <v>132</v>
      </c>
      <c r="D877" s="3">
        <v>0</v>
      </c>
      <c r="E877" s="1"/>
      <c r="I877" s="1" t="s">
        <v>1456</v>
      </c>
      <c r="J877" t="s">
        <v>5616</v>
      </c>
      <c r="K877" s="25">
        <f>Tabelle5[[#This Row],[value_present]]*Tabelle5[[#This Row],[binding_level]]</f>
        <v>0</v>
      </c>
    </row>
    <row r="878" spans="1:11" x14ac:dyDescent="0.25">
      <c r="A878" s="24">
        <v>27</v>
      </c>
      <c r="B878" s="2">
        <v>163</v>
      </c>
      <c r="C878" s="2" t="s">
        <v>140</v>
      </c>
      <c r="D878" s="3">
        <v>1</v>
      </c>
      <c r="E878" s="1">
        <v>1</v>
      </c>
      <c r="F878" t="s">
        <v>5635</v>
      </c>
      <c r="G878" t="s">
        <v>5634</v>
      </c>
      <c r="H878" t="s">
        <v>5617</v>
      </c>
      <c r="I878" s="1" t="s">
        <v>1456</v>
      </c>
      <c r="J878" t="s">
        <v>5618</v>
      </c>
      <c r="K878" s="25">
        <f>Tabelle5[[#This Row],[value_present]]*Tabelle5[[#This Row],[binding_level]]</f>
        <v>1</v>
      </c>
    </row>
    <row r="879" spans="1:11" x14ac:dyDescent="0.25">
      <c r="A879" s="24">
        <v>27</v>
      </c>
      <c r="B879" s="2">
        <v>163</v>
      </c>
      <c r="C879" s="2" t="s">
        <v>147</v>
      </c>
      <c r="D879" s="3">
        <v>1</v>
      </c>
      <c r="E879" s="1">
        <v>2</v>
      </c>
      <c r="F879" t="s">
        <v>5637</v>
      </c>
      <c r="G879" t="s">
        <v>5636</v>
      </c>
      <c r="H879" t="s">
        <v>5617</v>
      </c>
      <c r="I879" s="1" t="s">
        <v>1456</v>
      </c>
      <c r="J879" t="s">
        <v>5619</v>
      </c>
      <c r="K879" s="25">
        <f>Tabelle5[[#This Row],[value_present]]*Tabelle5[[#This Row],[binding_level]]</f>
        <v>2</v>
      </c>
    </row>
    <row r="880" spans="1:11" x14ac:dyDescent="0.25">
      <c r="A880" s="24">
        <v>27</v>
      </c>
      <c r="B880" s="2">
        <v>163</v>
      </c>
      <c r="C880" s="2" t="s">
        <v>154</v>
      </c>
      <c r="D880" s="3">
        <v>1</v>
      </c>
      <c r="E880" s="1">
        <v>1</v>
      </c>
      <c r="F880" t="s">
        <v>5628</v>
      </c>
      <c r="G880" t="s">
        <v>5629</v>
      </c>
      <c r="H880" t="s">
        <v>5617</v>
      </c>
      <c r="I880" s="1" t="s">
        <v>1456</v>
      </c>
      <c r="J880" t="s">
        <v>5620</v>
      </c>
      <c r="K880" s="25">
        <f>Tabelle5[[#This Row],[value_present]]*Tabelle5[[#This Row],[binding_level]]</f>
        <v>1</v>
      </c>
    </row>
    <row r="881" spans="1:11" x14ac:dyDescent="0.25">
      <c r="A881" s="24">
        <v>27</v>
      </c>
      <c r="B881" s="2">
        <v>163</v>
      </c>
      <c r="C881" s="2" t="s">
        <v>161</v>
      </c>
      <c r="D881" s="3">
        <v>1</v>
      </c>
      <c r="E881" s="1">
        <v>3</v>
      </c>
      <c r="F881" t="s">
        <v>5630</v>
      </c>
      <c r="G881" t="s">
        <v>5631</v>
      </c>
      <c r="H881" t="s">
        <v>5606</v>
      </c>
      <c r="I881" s="1" t="s">
        <v>1456</v>
      </c>
      <c r="J881" t="s">
        <v>5621</v>
      </c>
      <c r="K881" s="25">
        <f>Tabelle5[[#This Row],[value_present]]*Tabelle5[[#This Row],[binding_level]]</f>
        <v>3</v>
      </c>
    </row>
    <row r="882" spans="1:11" x14ac:dyDescent="0.25">
      <c r="A882" s="24">
        <v>27</v>
      </c>
      <c r="B882" s="2">
        <v>163</v>
      </c>
      <c r="C882" s="2" t="s">
        <v>166</v>
      </c>
      <c r="D882" s="3">
        <v>0</v>
      </c>
      <c r="E882" s="1"/>
      <c r="I882" s="1" t="s">
        <v>1456</v>
      </c>
      <c r="J882" t="s">
        <v>2126</v>
      </c>
      <c r="K882" s="25">
        <f>Tabelle5[[#This Row],[value_present]]*Tabelle5[[#This Row],[binding_level]]</f>
        <v>0</v>
      </c>
    </row>
    <row r="883" spans="1:11" ht="15.75" thickBot="1" x14ac:dyDescent="0.3">
      <c r="A883" s="26">
        <v>27</v>
      </c>
      <c r="B883" s="27">
        <v>163</v>
      </c>
      <c r="C883" s="27" t="s">
        <v>174</v>
      </c>
      <c r="D883" s="28">
        <v>1</v>
      </c>
      <c r="E883" s="29">
        <v>2</v>
      </c>
      <c r="F883" s="30" t="s">
        <v>5639</v>
      </c>
      <c r="G883" s="30" t="s">
        <v>5638</v>
      </c>
      <c r="H883" s="30" t="s">
        <v>5622</v>
      </c>
      <c r="I883" s="29" t="s">
        <v>1456</v>
      </c>
      <c r="J883" s="30" t="s">
        <v>5623</v>
      </c>
      <c r="K883" s="31">
        <f>Tabelle5[[#This Row],[value_present]]*Tabelle5[[#This Row],[binding_level]]</f>
        <v>2</v>
      </c>
    </row>
    <row r="884" spans="1:11" x14ac:dyDescent="0.25">
      <c r="A884" s="18">
        <v>31</v>
      </c>
      <c r="B884" s="19">
        <v>184</v>
      </c>
      <c r="C884" s="19" t="s">
        <v>53</v>
      </c>
      <c r="D884" s="20">
        <v>1</v>
      </c>
      <c r="E884" s="21">
        <v>2</v>
      </c>
      <c r="F884" t="s">
        <v>5711</v>
      </c>
      <c r="G884" t="s">
        <v>5710</v>
      </c>
      <c r="H884" s="22" t="s">
        <v>5667</v>
      </c>
      <c r="I884" s="21" t="s">
        <v>272</v>
      </c>
      <c r="J884" t="s">
        <v>5668</v>
      </c>
      <c r="K884" s="23">
        <f>Tabelle5[[#This Row],[value_present]]*Tabelle5[[#This Row],[binding_level]]</f>
        <v>2</v>
      </c>
    </row>
    <row r="885" spans="1:11" x14ac:dyDescent="0.25">
      <c r="A885" s="24">
        <v>31</v>
      </c>
      <c r="B885" s="2">
        <v>184</v>
      </c>
      <c r="C885" s="2" t="s">
        <v>61</v>
      </c>
      <c r="D885" s="3">
        <v>0</v>
      </c>
      <c r="E885" s="1"/>
      <c r="I885" s="1" t="s">
        <v>1457</v>
      </c>
      <c r="J885" t="s">
        <v>5669</v>
      </c>
      <c r="K885" s="25">
        <f>Tabelle5[[#This Row],[value_present]]*Tabelle5[[#This Row],[binding_level]]</f>
        <v>0</v>
      </c>
    </row>
    <row r="886" spans="1:11" x14ac:dyDescent="0.25">
      <c r="A886" s="24">
        <v>31</v>
      </c>
      <c r="B886" s="2">
        <v>184</v>
      </c>
      <c r="C886" s="2" t="s">
        <v>69</v>
      </c>
      <c r="D886" s="3">
        <v>1</v>
      </c>
      <c r="E886" s="1">
        <v>2</v>
      </c>
      <c r="F886" t="s">
        <v>5694</v>
      </c>
      <c r="G886" t="s">
        <v>5695</v>
      </c>
      <c r="H886" t="s">
        <v>5670</v>
      </c>
      <c r="I886" s="1" t="s">
        <v>272</v>
      </c>
      <c r="J886" t="s">
        <v>5671</v>
      </c>
      <c r="K886" s="25">
        <f>Tabelle5[[#This Row],[value_present]]*Tabelle5[[#This Row],[binding_level]]</f>
        <v>2</v>
      </c>
    </row>
    <row r="887" spans="1:11" x14ac:dyDescent="0.25">
      <c r="A887" s="24">
        <v>31</v>
      </c>
      <c r="B887" s="2">
        <v>184</v>
      </c>
      <c r="C887" s="2" t="s">
        <v>76</v>
      </c>
      <c r="D887" s="3">
        <v>1</v>
      </c>
      <c r="E887" s="1">
        <v>2</v>
      </c>
      <c r="F887" t="s">
        <v>5696</v>
      </c>
      <c r="G887" t="s">
        <v>5697</v>
      </c>
      <c r="H887" t="s">
        <v>5670</v>
      </c>
      <c r="I887" s="1" t="s">
        <v>272</v>
      </c>
      <c r="J887" t="s">
        <v>5672</v>
      </c>
      <c r="K887" s="25">
        <f>Tabelle5[[#This Row],[value_present]]*Tabelle5[[#This Row],[binding_level]]</f>
        <v>2</v>
      </c>
    </row>
    <row r="888" spans="1:11" x14ac:dyDescent="0.25">
      <c r="A888" s="24">
        <v>31</v>
      </c>
      <c r="B888" s="2">
        <v>184</v>
      </c>
      <c r="C888" s="2" t="s">
        <v>83</v>
      </c>
      <c r="D888" s="3">
        <v>1</v>
      </c>
      <c r="E888" s="1">
        <v>2</v>
      </c>
      <c r="F888" t="s">
        <v>5698</v>
      </c>
      <c r="G888" t="s">
        <v>5699</v>
      </c>
      <c r="H888" t="s">
        <v>5673</v>
      </c>
      <c r="I888" s="1" t="s">
        <v>273</v>
      </c>
      <c r="J888" t="s">
        <v>5674</v>
      </c>
      <c r="K888" s="25">
        <f>Tabelle5[[#This Row],[value_present]]*Tabelle5[[#This Row],[binding_level]]</f>
        <v>2</v>
      </c>
    </row>
    <row r="889" spans="1:11" x14ac:dyDescent="0.25">
      <c r="A889" s="24">
        <v>31</v>
      </c>
      <c r="B889" s="2">
        <v>184</v>
      </c>
      <c r="C889" s="2" t="s">
        <v>90</v>
      </c>
      <c r="D889" s="3">
        <v>1</v>
      </c>
      <c r="E889" s="1">
        <v>3</v>
      </c>
      <c r="F889" t="s">
        <v>5700</v>
      </c>
      <c r="G889" t="s">
        <v>5701</v>
      </c>
      <c r="H889" t="s">
        <v>5675</v>
      </c>
      <c r="I889" s="1" t="s">
        <v>272</v>
      </c>
      <c r="J889" t="s">
        <v>5676</v>
      </c>
      <c r="K889" s="25">
        <f>Tabelle5[[#This Row],[value_present]]*Tabelle5[[#This Row],[binding_level]]</f>
        <v>3</v>
      </c>
    </row>
    <row r="890" spans="1:11" x14ac:dyDescent="0.25">
      <c r="A890" s="24">
        <v>31</v>
      </c>
      <c r="B890" s="2">
        <v>184</v>
      </c>
      <c r="C890" s="2" t="s">
        <v>98</v>
      </c>
      <c r="D890" s="3">
        <v>1</v>
      </c>
      <c r="E890" s="1">
        <v>3</v>
      </c>
      <c r="F890" t="s">
        <v>5713</v>
      </c>
      <c r="G890" t="s">
        <v>5712</v>
      </c>
      <c r="H890" t="s">
        <v>5677</v>
      </c>
      <c r="I890" s="1" t="s">
        <v>272</v>
      </c>
      <c r="J890" t="s">
        <v>5678</v>
      </c>
      <c r="K890" s="25">
        <f>Tabelle5[[#This Row],[value_present]]*Tabelle5[[#This Row],[binding_level]]</f>
        <v>3</v>
      </c>
    </row>
    <row r="891" spans="1:11" x14ac:dyDescent="0.25">
      <c r="A891" s="24">
        <v>31</v>
      </c>
      <c r="B891" s="2">
        <v>184</v>
      </c>
      <c r="C891" s="2" t="s">
        <v>106</v>
      </c>
      <c r="D891" s="3">
        <v>1</v>
      </c>
      <c r="E891" s="1">
        <v>3</v>
      </c>
      <c r="F891" t="s">
        <v>5702</v>
      </c>
      <c r="G891" t="s">
        <v>5703</v>
      </c>
      <c r="H891" t="s">
        <v>5679</v>
      </c>
      <c r="I891" s="1" t="s">
        <v>272</v>
      </c>
      <c r="J891" t="s">
        <v>5680</v>
      </c>
      <c r="K891" s="25">
        <f>Tabelle5[[#This Row],[value_present]]*Tabelle5[[#This Row],[binding_level]]</f>
        <v>3</v>
      </c>
    </row>
    <row r="892" spans="1:11" x14ac:dyDescent="0.25">
      <c r="A892" s="24">
        <v>31</v>
      </c>
      <c r="B892" s="2">
        <v>184</v>
      </c>
      <c r="C892" s="2" t="s">
        <v>112</v>
      </c>
      <c r="D892" s="3">
        <v>1</v>
      </c>
      <c r="E892" s="1">
        <v>3</v>
      </c>
      <c r="F892" t="s">
        <v>5702</v>
      </c>
      <c r="G892" t="s">
        <v>5703</v>
      </c>
      <c r="H892" t="s">
        <v>5679</v>
      </c>
      <c r="I892" s="1" t="s">
        <v>272</v>
      </c>
      <c r="J892" t="s">
        <v>5681</v>
      </c>
      <c r="K892" s="25">
        <f>Tabelle5[[#This Row],[value_present]]*Tabelle5[[#This Row],[binding_level]]</f>
        <v>3</v>
      </c>
    </row>
    <row r="893" spans="1:11" x14ac:dyDescent="0.25">
      <c r="A893" s="24">
        <v>31</v>
      </c>
      <c r="B893" s="2">
        <v>184</v>
      </c>
      <c r="C893" s="2" t="s">
        <v>118</v>
      </c>
      <c r="D893" s="3">
        <v>0</v>
      </c>
      <c r="E893" s="1"/>
      <c r="I893" s="1" t="s">
        <v>1456</v>
      </c>
      <c r="J893" t="s">
        <v>5682</v>
      </c>
      <c r="K893" s="25">
        <f>Tabelle5[[#This Row],[value_present]]*Tabelle5[[#This Row],[binding_level]]</f>
        <v>0</v>
      </c>
    </row>
    <row r="894" spans="1:11" x14ac:dyDescent="0.25">
      <c r="A894" s="24">
        <v>31</v>
      </c>
      <c r="B894" s="2">
        <v>184</v>
      </c>
      <c r="C894" s="2" t="s">
        <v>125</v>
      </c>
      <c r="D894" s="3">
        <v>0</v>
      </c>
      <c r="E894" s="1"/>
      <c r="I894" s="1" t="s">
        <v>1457</v>
      </c>
      <c r="J894" t="s">
        <v>5683</v>
      </c>
      <c r="K894" s="25">
        <f>Tabelle5[[#This Row],[value_present]]*Tabelle5[[#This Row],[binding_level]]</f>
        <v>0</v>
      </c>
    </row>
    <row r="895" spans="1:11" x14ac:dyDescent="0.25">
      <c r="A895" s="24">
        <v>31</v>
      </c>
      <c r="B895" s="2">
        <v>184</v>
      </c>
      <c r="C895" s="2" t="s">
        <v>132</v>
      </c>
      <c r="D895" s="3">
        <v>1</v>
      </c>
      <c r="E895" s="1">
        <v>1</v>
      </c>
      <c r="F895" t="s">
        <v>5715</v>
      </c>
      <c r="G895" t="s">
        <v>5714</v>
      </c>
      <c r="H895" t="s">
        <v>5684</v>
      </c>
      <c r="I895" s="1" t="s">
        <v>272</v>
      </c>
      <c r="J895" t="s">
        <v>5685</v>
      </c>
      <c r="K895" s="25">
        <f>Tabelle5[[#This Row],[value_present]]*Tabelle5[[#This Row],[binding_level]]</f>
        <v>1</v>
      </c>
    </row>
    <row r="896" spans="1:11" x14ac:dyDescent="0.25">
      <c r="A896" s="24">
        <v>31</v>
      </c>
      <c r="B896" s="2">
        <v>184</v>
      </c>
      <c r="C896" s="2" t="s">
        <v>140</v>
      </c>
      <c r="D896" s="3">
        <v>1</v>
      </c>
      <c r="E896" s="1">
        <v>1</v>
      </c>
      <c r="F896" t="s">
        <v>5717</v>
      </c>
      <c r="G896" t="s">
        <v>5716</v>
      </c>
      <c r="H896" t="s">
        <v>5686</v>
      </c>
      <c r="I896" s="1" t="s">
        <v>272</v>
      </c>
      <c r="J896" t="s">
        <v>5687</v>
      </c>
      <c r="K896" s="25">
        <f>Tabelle5[[#This Row],[value_present]]*Tabelle5[[#This Row],[binding_level]]</f>
        <v>1</v>
      </c>
    </row>
    <row r="897" spans="1:11" x14ac:dyDescent="0.25">
      <c r="A897" s="24">
        <v>31</v>
      </c>
      <c r="B897" s="2">
        <v>184</v>
      </c>
      <c r="C897" s="2" t="s">
        <v>147</v>
      </c>
      <c r="D897" s="3">
        <v>1</v>
      </c>
      <c r="E897" s="1">
        <v>2</v>
      </c>
      <c r="F897" t="s">
        <v>5704</v>
      </c>
      <c r="G897" t="s">
        <v>5705</v>
      </c>
      <c r="H897" t="s">
        <v>5675</v>
      </c>
      <c r="I897" s="1" t="s">
        <v>272</v>
      </c>
      <c r="J897" t="s">
        <v>5688</v>
      </c>
      <c r="K897" s="25">
        <f>Tabelle5[[#This Row],[value_present]]*Tabelle5[[#This Row],[binding_level]]</f>
        <v>2</v>
      </c>
    </row>
    <row r="898" spans="1:11" x14ac:dyDescent="0.25">
      <c r="A898" s="24">
        <v>31</v>
      </c>
      <c r="B898" s="2">
        <v>184</v>
      </c>
      <c r="C898" s="2" t="s">
        <v>154</v>
      </c>
      <c r="D898" s="3">
        <v>1</v>
      </c>
      <c r="E898" s="1">
        <v>1</v>
      </c>
      <c r="F898" t="s">
        <v>5706</v>
      </c>
      <c r="G898" t="s">
        <v>5707</v>
      </c>
      <c r="H898" t="s">
        <v>5689</v>
      </c>
      <c r="I898" s="1" t="s">
        <v>273</v>
      </c>
      <c r="J898" t="s">
        <v>5690</v>
      </c>
      <c r="K898" s="25">
        <f>Tabelle5[[#This Row],[value_present]]*Tabelle5[[#This Row],[binding_level]]</f>
        <v>1</v>
      </c>
    </row>
    <row r="899" spans="1:11" x14ac:dyDescent="0.25">
      <c r="A899" s="24">
        <v>31</v>
      </c>
      <c r="B899" s="2">
        <v>184</v>
      </c>
      <c r="C899" s="2" t="s">
        <v>161</v>
      </c>
      <c r="D899" s="3">
        <v>1</v>
      </c>
      <c r="E899" s="1">
        <v>3</v>
      </c>
      <c r="F899" t="s">
        <v>5719</v>
      </c>
      <c r="G899" t="s">
        <v>5718</v>
      </c>
      <c r="H899" t="s">
        <v>5679</v>
      </c>
      <c r="I899" s="1" t="s">
        <v>272</v>
      </c>
      <c r="J899" t="s">
        <v>5691</v>
      </c>
      <c r="K899" s="25">
        <f>Tabelle5[[#This Row],[value_present]]*Tabelle5[[#This Row],[binding_level]]</f>
        <v>3</v>
      </c>
    </row>
    <row r="900" spans="1:11" x14ac:dyDescent="0.25">
      <c r="A900" s="24">
        <v>31</v>
      </c>
      <c r="B900" s="2">
        <v>184</v>
      </c>
      <c r="C900" s="2" t="s">
        <v>166</v>
      </c>
      <c r="D900" s="3">
        <v>0</v>
      </c>
      <c r="E900" s="1"/>
      <c r="I900" s="1" t="s">
        <v>1456</v>
      </c>
      <c r="J900" t="s">
        <v>5269</v>
      </c>
      <c r="K900" s="25">
        <f>Tabelle5[[#This Row],[value_present]]*Tabelle5[[#This Row],[binding_level]]</f>
        <v>0</v>
      </c>
    </row>
    <row r="901" spans="1:11" ht="15.75" thickBot="1" x14ac:dyDescent="0.3">
      <c r="A901" s="24">
        <v>31</v>
      </c>
      <c r="B901" s="2">
        <v>184</v>
      </c>
      <c r="C901" s="2" t="s">
        <v>174</v>
      </c>
      <c r="D901" s="3">
        <v>1</v>
      </c>
      <c r="E901" s="1">
        <v>1</v>
      </c>
      <c r="F901" s="30" t="s">
        <v>5708</v>
      </c>
      <c r="G901" s="30" t="s">
        <v>5709</v>
      </c>
      <c r="H901" t="s">
        <v>5692</v>
      </c>
      <c r="I901" s="1" t="s">
        <v>272</v>
      </c>
      <c r="J901" t="s">
        <v>5693</v>
      </c>
      <c r="K901" s="25">
        <f>Tabelle5[[#This Row],[value_present]]*Tabelle5[[#This Row],[binding_level]]</f>
        <v>1</v>
      </c>
    </row>
    <row r="902" spans="1:11" x14ac:dyDescent="0.25">
      <c r="A902" s="18">
        <v>32</v>
      </c>
      <c r="B902" s="19">
        <v>188</v>
      </c>
      <c r="C902" s="19" t="s">
        <v>53</v>
      </c>
      <c r="D902" s="20">
        <v>1</v>
      </c>
      <c r="E902" s="21">
        <v>3</v>
      </c>
      <c r="F902" t="s">
        <v>5754</v>
      </c>
      <c r="G902" t="s">
        <v>5755</v>
      </c>
      <c r="H902" s="22" t="s">
        <v>5758</v>
      </c>
      <c r="I902" s="21" t="s">
        <v>1456</v>
      </c>
      <c r="J902" s="22" t="s">
        <v>5759</v>
      </c>
      <c r="K902" s="23">
        <f>Tabelle5[[#This Row],[value_present]]*Tabelle5[[#This Row],[binding_level]]</f>
        <v>3</v>
      </c>
    </row>
    <row r="903" spans="1:11" x14ac:dyDescent="0.25">
      <c r="A903" s="24">
        <v>32</v>
      </c>
      <c r="B903" s="2">
        <v>188</v>
      </c>
      <c r="C903" s="2" t="s">
        <v>61</v>
      </c>
      <c r="D903" s="3">
        <v>1</v>
      </c>
      <c r="E903" s="1">
        <v>3</v>
      </c>
      <c r="F903" t="s">
        <v>5792</v>
      </c>
      <c r="G903" t="s">
        <v>5791</v>
      </c>
      <c r="H903" t="s">
        <v>5760</v>
      </c>
      <c r="I903" s="1" t="s">
        <v>1456</v>
      </c>
      <c r="J903" t="s">
        <v>5761</v>
      </c>
      <c r="K903" s="25">
        <f>Tabelle5[[#This Row],[value_present]]*Tabelle5[[#This Row],[binding_level]]</f>
        <v>3</v>
      </c>
    </row>
    <row r="904" spans="1:11" x14ac:dyDescent="0.25">
      <c r="A904" s="24">
        <v>32</v>
      </c>
      <c r="B904" s="2">
        <v>188</v>
      </c>
      <c r="C904" s="2" t="s">
        <v>69</v>
      </c>
      <c r="D904" s="3">
        <v>1</v>
      </c>
      <c r="E904" s="1">
        <v>3</v>
      </c>
      <c r="F904" t="s">
        <v>5794</v>
      </c>
      <c r="G904" t="s">
        <v>5793</v>
      </c>
      <c r="H904" t="s">
        <v>5789</v>
      </c>
      <c r="I904" s="1" t="s">
        <v>1456</v>
      </c>
      <c r="J904" t="s">
        <v>5762</v>
      </c>
      <c r="K904" s="25">
        <f>Tabelle5[[#This Row],[value_present]]*Tabelle5[[#This Row],[binding_level]]</f>
        <v>3</v>
      </c>
    </row>
    <row r="905" spans="1:11" x14ac:dyDescent="0.25">
      <c r="A905" s="24">
        <v>32</v>
      </c>
      <c r="B905" s="2">
        <v>188</v>
      </c>
      <c r="C905" s="2" t="s">
        <v>76</v>
      </c>
      <c r="D905" s="3">
        <v>1</v>
      </c>
      <c r="E905" s="1">
        <v>3</v>
      </c>
      <c r="F905" t="s">
        <v>5756</v>
      </c>
      <c r="G905" t="s">
        <v>5757</v>
      </c>
      <c r="H905" t="s">
        <v>5763</v>
      </c>
      <c r="I905" s="1" t="s">
        <v>1456</v>
      </c>
      <c r="J905" t="s">
        <v>5764</v>
      </c>
      <c r="K905" s="25">
        <f>Tabelle5[[#This Row],[value_present]]*Tabelle5[[#This Row],[binding_level]]</f>
        <v>3</v>
      </c>
    </row>
    <row r="906" spans="1:11" x14ac:dyDescent="0.25">
      <c r="A906" s="24">
        <v>32</v>
      </c>
      <c r="B906" s="2">
        <v>188</v>
      </c>
      <c r="C906" s="2" t="s">
        <v>83</v>
      </c>
      <c r="D906" s="3">
        <v>1</v>
      </c>
      <c r="E906" s="1">
        <v>3</v>
      </c>
      <c r="F906" t="s">
        <v>5796</v>
      </c>
      <c r="G906" t="s">
        <v>5795</v>
      </c>
      <c r="H906" t="s">
        <v>5765</v>
      </c>
      <c r="I906" s="1" t="s">
        <v>1456</v>
      </c>
      <c r="J906" t="s">
        <v>5766</v>
      </c>
      <c r="K906" s="25">
        <f>Tabelle5[[#This Row],[value_present]]*Tabelle5[[#This Row],[binding_level]]</f>
        <v>3</v>
      </c>
    </row>
    <row r="907" spans="1:11" x14ac:dyDescent="0.25">
      <c r="A907" s="24">
        <v>32</v>
      </c>
      <c r="B907" s="2">
        <v>188</v>
      </c>
      <c r="C907" s="2" t="s">
        <v>90</v>
      </c>
      <c r="D907" s="3">
        <v>1</v>
      </c>
      <c r="E907" s="1">
        <v>2</v>
      </c>
      <c r="F907" t="s">
        <v>5752</v>
      </c>
      <c r="G907" t="s">
        <v>5753</v>
      </c>
      <c r="H907" t="s">
        <v>5767</v>
      </c>
      <c r="I907" s="1" t="s">
        <v>1456</v>
      </c>
      <c r="J907" t="s">
        <v>5768</v>
      </c>
      <c r="K907" s="25">
        <f>Tabelle5[[#This Row],[value_present]]*Tabelle5[[#This Row],[binding_level]]</f>
        <v>2</v>
      </c>
    </row>
    <row r="908" spans="1:11" x14ac:dyDescent="0.25">
      <c r="A908" s="24">
        <v>32</v>
      </c>
      <c r="B908" s="2">
        <v>188</v>
      </c>
      <c r="C908" s="2" t="s">
        <v>98</v>
      </c>
      <c r="D908" s="3">
        <v>1</v>
      </c>
      <c r="E908" s="1">
        <v>3</v>
      </c>
      <c r="F908" t="s">
        <v>5798</v>
      </c>
      <c r="G908" t="s">
        <v>5797</v>
      </c>
      <c r="H908" t="s">
        <v>5769</v>
      </c>
      <c r="I908" s="1" t="s">
        <v>1456</v>
      </c>
      <c r="J908" t="s">
        <v>5770</v>
      </c>
      <c r="K908" s="25">
        <f>Tabelle5[[#This Row],[value_present]]*Tabelle5[[#This Row],[binding_level]]</f>
        <v>3</v>
      </c>
    </row>
    <row r="909" spans="1:11" x14ac:dyDescent="0.25">
      <c r="A909" s="24">
        <v>32</v>
      </c>
      <c r="B909" s="2">
        <v>188</v>
      </c>
      <c r="C909" s="2" t="s">
        <v>106</v>
      </c>
      <c r="D909" s="3">
        <v>1</v>
      </c>
      <c r="E909" s="1">
        <v>3</v>
      </c>
      <c r="F909" t="s">
        <v>5800</v>
      </c>
      <c r="G909" t="s">
        <v>5799</v>
      </c>
      <c r="H909" t="s">
        <v>5790</v>
      </c>
      <c r="I909" s="1" t="s">
        <v>1456</v>
      </c>
      <c r="J909" t="s">
        <v>5771</v>
      </c>
      <c r="K909" s="25">
        <f>Tabelle5[[#This Row],[value_present]]*Tabelle5[[#This Row],[binding_level]]</f>
        <v>3</v>
      </c>
    </row>
    <row r="910" spans="1:11" x14ac:dyDescent="0.25">
      <c r="A910" s="24">
        <v>32</v>
      </c>
      <c r="B910" s="2">
        <v>188</v>
      </c>
      <c r="C910" s="2" t="s">
        <v>112</v>
      </c>
      <c r="D910" s="3">
        <v>1</v>
      </c>
      <c r="E910" s="1">
        <v>3</v>
      </c>
      <c r="F910" t="s">
        <v>5802</v>
      </c>
      <c r="G910" t="s">
        <v>5801</v>
      </c>
      <c r="H910" t="s">
        <v>5769</v>
      </c>
      <c r="I910" s="1" t="s">
        <v>1456</v>
      </c>
      <c r="J910" t="s">
        <v>5772</v>
      </c>
      <c r="K910" s="25">
        <f>Tabelle5[[#This Row],[value_present]]*Tabelle5[[#This Row],[binding_level]]</f>
        <v>3</v>
      </c>
    </row>
    <row r="911" spans="1:11" x14ac:dyDescent="0.25">
      <c r="A911" s="24">
        <v>32</v>
      </c>
      <c r="B911" s="2">
        <v>188</v>
      </c>
      <c r="C911" s="2" t="s">
        <v>118</v>
      </c>
      <c r="D911" s="3">
        <v>1</v>
      </c>
      <c r="E911" s="1">
        <v>3</v>
      </c>
      <c r="F911" t="s">
        <v>5804</v>
      </c>
      <c r="G911" t="s">
        <v>5803</v>
      </c>
      <c r="H911" t="s">
        <v>5773</v>
      </c>
      <c r="I911" s="1" t="s">
        <v>1456</v>
      </c>
      <c r="J911" t="s">
        <v>5774</v>
      </c>
      <c r="K911" s="25">
        <f>Tabelle5[[#This Row],[value_present]]*Tabelle5[[#This Row],[binding_level]]</f>
        <v>3</v>
      </c>
    </row>
    <row r="912" spans="1:11" x14ac:dyDescent="0.25">
      <c r="A912" s="24">
        <v>32</v>
      </c>
      <c r="B912" s="2">
        <v>188</v>
      </c>
      <c r="C912" s="2" t="s">
        <v>125</v>
      </c>
      <c r="D912" s="3">
        <v>1</v>
      </c>
      <c r="E912" s="1">
        <v>2</v>
      </c>
      <c r="F912" t="s">
        <v>5748</v>
      </c>
      <c r="G912" t="s">
        <v>5749</v>
      </c>
      <c r="H912" t="s">
        <v>5775</v>
      </c>
      <c r="I912" s="1" t="s">
        <v>1456</v>
      </c>
      <c r="J912" t="s">
        <v>5776</v>
      </c>
      <c r="K912" s="25">
        <f>Tabelle5[[#This Row],[value_present]]*Tabelle5[[#This Row],[binding_level]]</f>
        <v>2</v>
      </c>
    </row>
    <row r="913" spans="1:11" x14ac:dyDescent="0.25">
      <c r="A913" s="24">
        <v>32</v>
      </c>
      <c r="B913" s="2">
        <v>188</v>
      </c>
      <c r="C913" s="2" t="s">
        <v>132</v>
      </c>
      <c r="D913" s="3">
        <v>1</v>
      </c>
      <c r="E913" s="1">
        <v>2</v>
      </c>
      <c r="F913" t="s">
        <v>5750</v>
      </c>
      <c r="G913" t="s">
        <v>5751</v>
      </c>
      <c r="H913" t="s">
        <v>5777</v>
      </c>
      <c r="I913" s="1" t="s">
        <v>1456</v>
      </c>
      <c r="J913" t="s">
        <v>5778</v>
      </c>
      <c r="K913" s="25">
        <f>Tabelle5[[#This Row],[value_present]]*Tabelle5[[#This Row],[binding_level]]</f>
        <v>2</v>
      </c>
    </row>
    <row r="914" spans="1:11" x14ac:dyDescent="0.25">
      <c r="A914" s="24">
        <v>32</v>
      </c>
      <c r="B914" s="2">
        <v>188</v>
      </c>
      <c r="C914" s="2" t="s">
        <v>140</v>
      </c>
      <c r="D914" s="3">
        <v>0</v>
      </c>
      <c r="E914" s="1"/>
      <c r="I914" s="1" t="s">
        <v>1457</v>
      </c>
      <c r="J914" t="s">
        <v>5779</v>
      </c>
      <c r="K914" s="25">
        <f>Tabelle5[[#This Row],[value_present]]*Tabelle5[[#This Row],[binding_level]]</f>
        <v>0</v>
      </c>
    </row>
    <row r="915" spans="1:11" x14ac:dyDescent="0.25">
      <c r="A915" s="24">
        <v>32</v>
      </c>
      <c r="B915" s="2">
        <v>188</v>
      </c>
      <c r="C915" s="2" t="s">
        <v>147</v>
      </c>
      <c r="D915" s="3">
        <v>1</v>
      </c>
      <c r="E915" s="1">
        <v>2</v>
      </c>
      <c r="F915" t="s">
        <v>5806</v>
      </c>
      <c r="G915" t="s">
        <v>5805</v>
      </c>
      <c r="H915" t="s">
        <v>5780</v>
      </c>
      <c r="I915" s="1" t="s">
        <v>1456</v>
      </c>
      <c r="J915" t="s">
        <v>5781</v>
      </c>
      <c r="K915" s="25">
        <f>Tabelle5[[#This Row],[value_present]]*Tabelle5[[#This Row],[binding_level]]</f>
        <v>2</v>
      </c>
    </row>
    <row r="916" spans="1:11" x14ac:dyDescent="0.25">
      <c r="A916" s="24">
        <v>32</v>
      </c>
      <c r="B916" s="2">
        <v>188</v>
      </c>
      <c r="C916" s="2" t="s">
        <v>154</v>
      </c>
      <c r="D916" s="3">
        <v>1</v>
      </c>
      <c r="E916" s="1">
        <v>2</v>
      </c>
      <c r="F916" t="s">
        <v>5746</v>
      </c>
      <c r="G916" t="s">
        <v>5747</v>
      </c>
      <c r="H916" t="s">
        <v>5782</v>
      </c>
      <c r="I916" s="1" t="s">
        <v>1456</v>
      </c>
      <c r="J916" t="s">
        <v>5783</v>
      </c>
      <c r="K916" s="25">
        <f>Tabelle5[[#This Row],[value_present]]*Tabelle5[[#This Row],[binding_level]]</f>
        <v>2</v>
      </c>
    </row>
    <row r="917" spans="1:11" x14ac:dyDescent="0.25">
      <c r="A917" s="24">
        <v>32</v>
      </c>
      <c r="B917" s="2">
        <v>188</v>
      </c>
      <c r="C917" s="2" t="s">
        <v>161</v>
      </c>
      <c r="D917" s="3">
        <v>1</v>
      </c>
      <c r="E917" s="1">
        <v>3</v>
      </c>
      <c r="F917" t="s">
        <v>5808</v>
      </c>
      <c r="G917" t="s">
        <v>5807</v>
      </c>
      <c r="H917" t="s">
        <v>5784</v>
      </c>
      <c r="I917" s="1" t="s">
        <v>1456</v>
      </c>
      <c r="J917" t="s">
        <v>5785</v>
      </c>
      <c r="K917" s="25">
        <f>Tabelle5[[#This Row],[value_present]]*Tabelle5[[#This Row],[binding_level]]</f>
        <v>3</v>
      </c>
    </row>
    <row r="918" spans="1:11" x14ac:dyDescent="0.25">
      <c r="A918" s="24">
        <v>32</v>
      </c>
      <c r="B918" s="2">
        <v>188</v>
      </c>
      <c r="C918" s="2" t="s">
        <v>166</v>
      </c>
      <c r="D918" s="3">
        <v>0</v>
      </c>
      <c r="E918" s="1"/>
      <c r="I918" s="1" t="s">
        <v>1456</v>
      </c>
      <c r="J918" t="s">
        <v>5786</v>
      </c>
      <c r="K918" s="25">
        <f>Tabelle5[[#This Row],[value_present]]*Tabelle5[[#This Row],[binding_level]]</f>
        <v>0</v>
      </c>
    </row>
    <row r="919" spans="1:11" ht="15.75" thickBot="1" x14ac:dyDescent="0.3">
      <c r="A919" s="26">
        <v>32</v>
      </c>
      <c r="B919" s="27">
        <v>188</v>
      </c>
      <c r="C919" s="27" t="s">
        <v>174</v>
      </c>
      <c r="D919" s="28">
        <v>1</v>
      </c>
      <c r="E919" s="29">
        <v>3</v>
      </c>
      <c r="F919" s="30" t="s">
        <v>5810</v>
      </c>
      <c r="G919" s="30" t="s">
        <v>5809</v>
      </c>
      <c r="H919" s="30" t="s">
        <v>5787</v>
      </c>
      <c r="I919" s="29" t="s">
        <v>1456</v>
      </c>
      <c r="J919" s="30" t="s">
        <v>5788</v>
      </c>
      <c r="K919" s="31">
        <f>Tabelle5[[#This Row],[value_present]]*Tabelle5[[#This Row],[binding_level]]</f>
        <v>3</v>
      </c>
    </row>
    <row r="920" spans="1:11" x14ac:dyDescent="0.25">
      <c r="A920" s="18">
        <v>32</v>
      </c>
      <c r="B920" s="19">
        <v>189</v>
      </c>
      <c r="C920" s="19" t="s">
        <v>53</v>
      </c>
      <c r="D920" s="20">
        <v>1</v>
      </c>
      <c r="E920" s="21">
        <v>3</v>
      </c>
      <c r="F920" t="s">
        <v>5883</v>
      </c>
      <c r="G920" t="s">
        <v>5882</v>
      </c>
      <c r="H920" s="22" t="s">
        <v>5840</v>
      </c>
      <c r="I920" s="21" t="s">
        <v>1456</v>
      </c>
      <c r="J920" s="22" t="s">
        <v>5841</v>
      </c>
      <c r="K920" s="23">
        <f>Tabelle5[[#This Row],[value_present]]*Tabelle5[[#This Row],[binding_level]]</f>
        <v>3</v>
      </c>
    </row>
    <row r="921" spans="1:11" x14ac:dyDescent="0.25">
      <c r="A921" s="24">
        <v>32</v>
      </c>
      <c r="B921" s="50">
        <v>189</v>
      </c>
      <c r="C921" s="50" t="s">
        <v>61</v>
      </c>
      <c r="D921" s="51">
        <v>1</v>
      </c>
      <c r="E921" s="52">
        <v>2</v>
      </c>
      <c r="F921" t="s">
        <v>5885</v>
      </c>
      <c r="G921" t="s">
        <v>5884</v>
      </c>
      <c r="H921" s="53" t="s">
        <v>5842</v>
      </c>
      <c r="I921" s="52" t="s">
        <v>1457</v>
      </c>
      <c r="J921" s="53" t="s">
        <v>5843</v>
      </c>
      <c r="K921" s="25">
        <f>Tabelle5[[#This Row],[value_present]]*Tabelle5[[#This Row],[binding_level]]</f>
        <v>2</v>
      </c>
    </row>
    <row r="922" spans="1:11" x14ac:dyDescent="0.25">
      <c r="A922" s="24">
        <v>32</v>
      </c>
      <c r="B922" s="50">
        <v>189</v>
      </c>
      <c r="C922" s="50" t="s">
        <v>69</v>
      </c>
      <c r="D922" s="51">
        <v>1</v>
      </c>
      <c r="E922" s="52">
        <v>3</v>
      </c>
      <c r="F922" t="s">
        <v>5887</v>
      </c>
      <c r="G922" t="s">
        <v>5886</v>
      </c>
      <c r="H922" s="53" t="s">
        <v>5844</v>
      </c>
      <c r="I922" s="52" t="s">
        <v>1456</v>
      </c>
      <c r="J922" s="53" t="s">
        <v>5845</v>
      </c>
      <c r="K922" s="25">
        <f>Tabelle5[[#This Row],[value_present]]*Tabelle5[[#This Row],[binding_level]]</f>
        <v>3</v>
      </c>
    </row>
    <row r="923" spans="1:11" x14ac:dyDescent="0.25">
      <c r="A923" s="24">
        <v>32</v>
      </c>
      <c r="B923" s="50">
        <v>189</v>
      </c>
      <c r="C923" s="50" t="s">
        <v>76</v>
      </c>
      <c r="D923" s="51">
        <v>1</v>
      </c>
      <c r="E923" s="52">
        <v>3</v>
      </c>
      <c r="F923" t="s">
        <v>5891</v>
      </c>
      <c r="G923" t="s">
        <v>5890</v>
      </c>
      <c r="H923" s="53" t="s">
        <v>5846</v>
      </c>
      <c r="I923" s="52" t="s">
        <v>1456</v>
      </c>
      <c r="J923" s="53" t="s">
        <v>5847</v>
      </c>
      <c r="K923" s="25">
        <f>Tabelle5[[#This Row],[value_present]]*Tabelle5[[#This Row],[binding_level]]</f>
        <v>3</v>
      </c>
    </row>
    <row r="924" spans="1:11" x14ac:dyDescent="0.25">
      <c r="A924" s="24">
        <v>32</v>
      </c>
      <c r="B924" s="50">
        <v>189</v>
      </c>
      <c r="C924" s="50" t="s">
        <v>83</v>
      </c>
      <c r="D924" s="51">
        <v>1</v>
      </c>
      <c r="E924" s="52">
        <v>3</v>
      </c>
      <c r="F924" t="s">
        <v>5889</v>
      </c>
      <c r="G924" t="s">
        <v>5888</v>
      </c>
      <c r="H924" s="53" t="s">
        <v>5848</v>
      </c>
      <c r="I924" s="52" t="s">
        <v>1456</v>
      </c>
      <c r="J924" s="53" t="s">
        <v>5849</v>
      </c>
      <c r="K924" s="25">
        <f>Tabelle5[[#This Row],[value_present]]*Tabelle5[[#This Row],[binding_level]]</f>
        <v>3</v>
      </c>
    </row>
    <row r="925" spans="1:11" x14ac:dyDescent="0.25">
      <c r="A925" s="24">
        <v>32</v>
      </c>
      <c r="B925" s="50">
        <v>189</v>
      </c>
      <c r="C925" s="50" t="s">
        <v>90</v>
      </c>
      <c r="D925" s="51">
        <v>1</v>
      </c>
      <c r="E925" s="52">
        <v>3</v>
      </c>
      <c r="F925" t="s">
        <v>5893</v>
      </c>
      <c r="G925" t="s">
        <v>5892</v>
      </c>
      <c r="H925" s="53" t="s">
        <v>5850</v>
      </c>
      <c r="I925" s="52" t="s">
        <v>1456</v>
      </c>
      <c r="J925" s="53" t="s">
        <v>5851</v>
      </c>
      <c r="K925" s="25">
        <f>Tabelle5[[#This Row],[value_present]]*Tabelle5[[#This Row],[binding_level]]</f>
        <v>3</v>
      </c>
    </row>
    <row r="926" spans="1:11" x14ac:dyDescent="0.25">
      <c r="A926" s="24">
        <v>32</v>
      </c>
      <c r="B926" s="50">
        <v>189</v>
      </c>
      <c r="C926" s="50" t="s">
        <v>98</v>
      </c>
      <c r="D926" s="51">
        <v>0</v>
      </c>
      <c r="E926" s="52"/>
      <c r="F926" s="53"/>
      <c r="G926" s="53"/>
      <c r="H926" s="53"/>
      <c r="I926" s="52" t="s">
        <v>1457</v>
      </c>
      <c r="J926" s="53" t="s">
        <v>5852</v>
      </c>
      <c r="K926" s="25">
        <f>Tabelle5[[#This Row],[value_present]]*Tabelle5[[#This Row],[binding_level]]</f>
        <v>0</v>
      </c>
    </row>
    <row r="927" spans="1:11" x14ac:dyDescent="0.25">
      <c r="A927" s="24">
        <v>32</v>
      </c>
      <c r="B927" s="50">
        <v>189</v>
      </c>
      <c r="C927" s="50" t="s">
        <v>106</v>
      </c>
      <c r="D927" s="51">
        <v>1</v>
      </c>
      <c r="E927" s="52">
        <v>2</v>
      </c>
      <c r="F927" t="s">
        <v>5868</v>
      </c>
      <c r="G927" t="s">
        <v>5869</v>
      </c>
      <c r="H927" s="53" t="s">
        <v>4073</v>
      </c>
      <c r="I927" s="52" t="s">
        <v>1457</v>
      </c>
      <c r="J927" s="53" t="s">
        <v>5853</v>
      </c>
      <c r="K927" s="25">
        <f>Tabelle5[[#This Row],[value_present]]*Tabelle5[[#This Row],[binding_level]]</f>
        <v>2</v>
      </c>
    </row>
    <row r="928" spans="1:11" x14ac:dyDescent="0.25">
      <c r="A928" s="24">
        <v>32</v>
      </c>
      <c r="B928" s="50">
        <v>189</v>
      </c>
      <c r="C928" s="50" t="s">
        <v>112</v>
      </c>
      <c r="D928" s="51">
        <v>1</v>
      </c>
      <c r="E928" s="52">
        <v>3</v>
      </c>
      <c r="F928" t="s">
        <v>5895</v>
      </c>
      <c r="G928" t="s">
        <v>5894</v>
      </c>
      <c r="H928" s="53" t="s">
        <v>5854</v>
      </c>
      <c r="I928" s="52" t="s">
        <v>1456</v>
      </c>
      <c r="J928" s="53" t="s">
        <v>5855</v>
      </c>
      <c r="K928" s="25">
        <f>Tabelle5[[#This Row],[value_present]]*Tabelle5[[#This Row],[binding_level]]</f>
        <v>3</v>
      </c>
    </row>
    <row r="929" spans="1:11" x14ac:dyDescent="0.25">
      <c r="A929" s="24">
        <v>32</v>
      </c>
      <c r="B929" s="50">
        <v>189</v>
      </c>
      <c r="C929" s="50" t="s">
        <v>118</v>
      </c>
      <c r="D929" s="51">
        <v>1</v>
      </c>
      <c r="E929" s="52">
        <v>3</v>
      </c>
      <c r="F929" t="s">
        <v>5870</v>
      </c>
      <c r="G929" t="s">
        <v>5871</v>
      </c>
      <c r="H929" s="53" t="s">
        <v>4030</v>
      </c>
      <c r="I929" s="52" t="s">
        <v>1457</v>
      </c>
      <c r="J929" s="53" t="s">
        <v>5856</v>
      </c>
      <c r="K929" s="25">
        <f>Tabelle5[[#This Row],[value_present]]*Tabelle5[[#This Row],[binding_level]]</f>
        <v>3</v>
      </c>
    </row>
    <row r="930" spans="1:11" x14ac:dyDescent="0.25">
      <c r="A930" s="24">
        <v>32</v>
      </c>
      <c r="B930" s="50">
        <v>189</v>
      </c>
      <c r="C930" s="50" t="s">
        <v>125</v>
      </c>
      <c r="D930" s="51">
        <v>1</v>
      </c>
      <c r="E930" s="52">
        <v>3</v>
      </c>
      <c r="F930" t="s">
        <v>5872</v>
      </c>
      <c r="G930" t="s">
        <v>5873</v>
      </c>
      <c r="H930" s="53" t="s">
        <v>5857</v>
      </c>
      <c r="I930" s="52" t="s">
        <v>1457</v>
      </c>
      <c r="J930" s="53" t="s">
        <v>5858</v>
      </c>
      <c r="K930" s="25">
        <f>Tabelle5[[#This Row],[value_present]]*Tabelle5[[#This Row],[binding_level]]</f>
        <v>3</v>
      </c>
    </row>
    <row r="931" spans="1:11" x14ac:dyDescent="0.25">
      <c r="A931" s="24">
        <v>32</v>
      </c>
      <c r="B931" s="50">
        <v>189</v>
      </c>
      <c r="C931" s="50" t="s">
        <v>132</v>
      </c>
      <c r="D931" s="51">
        <v>1</v>
      </c>
      <c r="E931" s="52">
        <v>2</v>
      </c>
      <c r="F931" t="s">
        <v>5874</v>
      </c>
      <c r="G931" t="s">
        <v>5875</v>
      </c>
      <c r="H931" s="53" t="s">
        <v>3443</v>
      </c>
      <c r="I931" s="52" t="s">
        <v>1457</v>
      </c>
      <c r="J931" s="53" t="s">
        <v>5859</v>
      </c>
      <c r="K931" s="25">
        <f>Tabelle5[[#This Row],[value_present]]*Tabelle5[[#This Row],[binding_level]]</f>
        <v>2</v>
      </c>
    </row>
    <row r="932" spans="1:11" x14ac:dyDescent="0.25">
      <c r="A932" s="24">
        <v>32</v>
      </c>
      <c r="B932" s="50">
        <v>189</v>
      </c>
      <c r="C932" s="50" t="s">
        <v>140</v>
      </c>
      <c r="D932" s="51">
        <v>1</v>
      </c>
      <c r="E932" s="52">
        <v>1</v>
      </c>
      <c r="F932" t="s">
        <v>5876</v>
      </c>
      <c r="G932" t="s">
        <v>5877</v>
      </c>
      <c r="H932" s="53" t="s">
        <v>5860</v>
      </c>
      <c r="I932" s="52" t="s">
        <v>1457</v>
      </c>
      <c r="J932" s="53" t="s">
        <v>5861</v>
      </c>
      <c r="K932" s="25">
        <f>Tabelle5[[#This Row],[value_present]]*Tabelle5[[#This Row],[binding_level]]</f>
        <v>1</v>
      </c>
    </row>
    <row r="933" spans="1:11" x14ac:dyDescent="0.25">
      <c r="A933" s="24">
        <v>32</v>
      </c>
      <c r="B933" s="50">
        <v>189</v>
      </c>
      <c r="C933" s="50" t="s">
        <v>147</v>
      </c>
      <c r="D933" s="51">
        <v>1</v>
      </c>
      <c r="E933" s="52">
        <v>3</v>
      </c>
      <c r="F933" t="s">
        <v>5897</v>
      </c>
      <c r="G933" t="s">
        <v>5896</v>
      </c>
      <c r="H933" s="53" t="s">
        <v>5850</v>
      </c>
      <c r="I933" s="52" t="s">
        <v>1456</v>
      </c>
      <c r="J933" s="53" t="s">
        <v>5862</v>
      </c>
      <c r="K933" s="25">
        <f>Tabelle5[[#This Row],[value_present]]*Tabelle5[[#This Row],[binding_level]]</f>
        <v>3</v>
      </c>
    </row>
    <row r="934" spans="1:11" x14ac:dyDescent="0.25">
      <c r="A934" s="24">
        <v>32</v>
      </c>
      <c r="B934" s="50">
        <v>189</v>
      </c>
      <c r="C934" s="50" t="s">
        <v>154</v>
      </c>
      <c r="D934" s="51">
        <v>1</v>
      </c>
      <c r="E934" s="52">
        <v>2</v>
      </c>
      <c r="F934" t="s">
        <v>5878</v>
      </c>
      <c r="G934" t="s">
        <v>5879</v>
      </c>
      <c r="H934" s="53" t="s">
        <v>3443</v>
      </c>
      <c r="I934" s="52" t="s">
        <v>1456</v>
      </c>
      <c r="J934" s="53" t="s">
        <v>5863</v>
      </c>
      <c r="K934" s="25">
        <f>Tabelle5[[#This Row],[value_present]]*Tabelle5[[#This Row],[binding_level]]</f>
        <v>2</v>
      </c>
    </row>
    <row r="935" spans="1:11" x14ac:dyDescent="0.25">
      <c r="A935" s="24">
        <v>32</v>
      </c>
      <c r="B935" s="50">
        <v>189</v>
      </c>
      <c r="C935" s="50" t="s">
        <v>161</v>
      </c>
      <c r="D935" s="51">
        <v>1</v>
      </c>
      <c r="E935" s="52">
        <v>3</v>
      </c>
      <c r="F935" t="s">
        <v>5899</v>
      </c>
      <c r="G935" t="s">
        <v>5898</v>
      </c>
      <c r="H935" s="53" t="s">
        <v>5864</v>
      </c>
      <c r="I935" s="52" t="s">
        <v>1456</v>
      </c>
      <c r="J935" s="53" t="s">
        <v>5865</v>
      </c>
      <c r="K935" s="25">
        <f>Tabelle5[[#This Row],[value_present]]*Tabelle5[[#This Row],[binding_level]]</f>
        <v>3</v>
      </c>
    </row>
    <row r="936" spans="1:11" x14ac:dyDescent="0.25">
      <c r="A936" s="24">
        <v>32</v>
      </c>
      <c r="B936" s="50">
        <v>189</v>
      </c>
      <c r="C936" s="50" t="s">
        <v>166</v>
      </c>
      <c r="D936" s="51">
        <v>0</v>
      </c>
      <c r="E936" s="52"/>
      <c r="F936" s="53"/>
      <c r="G936" s="53"/>
      <c r="H936" s="53"/>
      <c r="I936" s="52" t="s">
        <v>1457</v>
      </c>
      <c r="J936" s="53" t="s">
        <v>5866</v>
      </c>
      <c r="K936" s="25">
        <f>Tabelle5[[#This Row],[value_present]]*Tabelle5[[#This Row],[binding_level]]</f>
        <v>0</v>
      </c>
    </row>
    <row r="937" spans="1:11" ht="15.75" thickBot="1" x14ac:dyDescent="0.3">
      <c r="A937" s="24">
        <v>32</v>
      </c>
      <c r="B937" s="50">
        <v>189</v>
      </c>
      <c r="C937" s="50" t="s">
        <v>174</v>
      </c>
      <c r="D937" s="51">
        <v>1</v>
      </c>
      <c r="E937" s="52">
        <v>1</v>
      </c>
      <c r="F937" t="s">
        <v>5880</v>
      </c>
      <c r="G937" t="s">
        <v>5881</v>
      </c>
      <c r="H937" s="53" t="s">
        <v>3216</v>
      </c>
      <c r="I937" s="52" t="s">
        <v>1456</v>
      </c>
      <c r="J937" s="53" t="s">
        <v>5867</v>
      </c>
      <c r="K937" s="25">
        <f>Tabelle5[[#This Row],[value_present]]*Tabelle5[[#This Row],[binding_level]]</f>
        <v>1</v>
      </c>
    </row>
    <row r="938" spans="1:11" x14ac:dyDescent="0.25">
      <c r="A938" s="18">
        <v>32</v>
      </c>
      <c r="B938" s="19">
        <v>190</v>
      </c>
      <c r="C938" s="19" t="s">
        <v>53</v>
      </c>
      <c r="D938" s="20">
        <v>0</v>
      </c>
      <c r="E938" s="21"/>
      <c r="F938" s="22"/>
      <c r="G938" s="22"/>
      <c r="H938" s="22"/>
      <c r="I938" s="21" t="s">
        <v>1457</v>
      </c>
      <c r="J938" s="22" t="s">
        <v>5932</v>
      </c>
      <c r="K938" s="23">
        <f>Tabelle5[[#This Row],[value_present]]*Tabelle5[[#This Row],[binding_level]]</f>
        <v>0</v>
      </c>
    </row>
    <row r="939" spans="1:11" x14ac:dyDescent="0.25">
      <c r="A939" s="24">
        <v>32</v>
      </c>
      <c r="B939" s="50">
        <v>190</v>
      </c>
      <c r="C939" s="50" t="s">
        <v>61</v>
      </c>
      <c r="D939" s="51">
        <v>1</v>
      </c>
      <c r="E939" s="52">
        <v>1</v>
      </c>
      <c r="F939" t="s">
        <v>5951</v>
      </c>
      <c r="G939" t="s">
        <v>5952</v>
      </c>
      <c r="H939" s="53" t="s">
        <v>5933</v>
      </c>
      <c r="I939" s="52" t="s">
        <v>1457</v>
      </c>
      <c r="J939" s="53" t="s">
        <v>5934</v>
      </c>
      <c r="K939" s="25">
        <f>Tabelle5[[#This Row],[value_present]]*Tabelle5[[#This Row],[binding_level]]</f>
        <v>1</v>
      </c>
    </row>
    <row r="940" spans="1:11" x14ac:dyDescent="0.25">
      <c r="A940" s="24">
        <v>32</v>
      </c>
      <c r="B940" s="50">
        <v>190</v>
      </c>
      <c r="C940" s="50" t="s">
        <v>69</v>
      </c>
      <c r="D940" s="51">
        <v>0</v>
      </c>
      <c r="E940" s="52"/>
      <c r="F940" s="53"/>
      <c r="G940" s="53"/>
      <c r="H940" s="53"/>
      <c r="I940" s="52" t="s">
        <v>1457</v>
      </c>
      <c r="J940" s="53" t="s">
        <v>5935</v>
      </c>
      <c r="K940" s="25">
        <f>Tabelle5[[#This Row],[value_present]]*Tabelle5[[#This Row],[binding_level]]</f>
        <v>0</v>
      </c>
    </row>
    <row r="941" spans="1:11" x14ac:dyDescent="0.25">
      <c r="A941" s="24">
        <v>32</v>
      </c>
      <c r="B941" s="50">
        <v>190</v>
      </c>
      <c r="C941" s="50" t="s">
        <v>76</v>
      </c>
      <c r="D941" s="51">
        <v>0</v>
      </c>
      <c r="E941" s="52"/>
      <c r="F941" s="53"/>
      <c r="G941" s="53"/>
      <c r="H941" s="53"/>
      <c r="I941" s="52" t="s">
        <v>1457</v>
      </c>
      <c r="J941" s="53" t="s">
        <v>5936</v>
      </c>
      <c r="K941" s="25">
        <f>Tabelle5[[#This Row],[value_present]]*Tabelle5[[#This Row],[binding_level]]</f>
        <v>0</v>
      </c>
    </row>
    <row r="942" spans="1:11" x14ac:dyDescent="0.25">
      <c r="A942" s="24">
        <v>32</v>
      </c>
      <c r="B942" s="50">
        <v>190</v>
      </c>
      <c r="C942" s="50" t="s">
        <v>83</v>
      </c>
      <c r="D942" s="51">
        <v>0</v>
      </c>
      <c r="E942" s="52"/>
      <c r="F942" s="53"/>
      <c r="G942" s="53"/>
      <c r="H942" s="53"/>
      <c r="I942" s="52" t="s">
        <v>1457</v>
      </c>
      <c r="J942" s="53" t="s">
        <v>5937</v>
      </c>
      <c r="K942" s="25">
        <f>Tabelle5[[#This Row],[value_present]]*Tabelle5[[#This Row],[binding_level]]</f>
        <v>0</v>
      </c>
    </row>
    <row r="943" spans="1:11" x14ac:dyDescent="0.25">
      <c r="A943" s="24">
        <v>32</v>
      </c>
      <c r="B943" s="50">
        <v>190</v>
      </c>
      <c r="C943" s="50" t="s">
        <v>90</v>
      </c>
      <c r="D943" s="51">
        <v>0</v>
      </c>
      <c r="E943" s="52"/>
      <c r="F943" s="53"/>
      <c r="G943" s="53"/>
      <c r="H943" s="53"/>
      <c r="I943" s="52" t="s">
        <v>1457</v>
      </c>
      <c r="J943" s="53" t="s">
        <v>5938</v>
      </c>
      <c r="K943" s="25">
        <f>Tabelle5[[#This Row],[value_present]]*Tabelle5[[#This Row],[binding_level]]</f>
        <v>0</v>
      </c>
    </row>
    <row r="944" spans="1:11" x14ac:dyDescent="0.25">
      <c r="A944" s="24">
        <v>32</v>
      </c>
      <c r="B944" s="50">
        <v>190</v>
      </c>
      <c r="C944" s="50" t="s">
        <v>98</v>
      </c>
      <c r="D944" s="51">
        <v>0</v>
      </c>
      <c r="E944" s="52"/>
      <c r="F944" s="53"/>
      <c r="G944" s="53"/>
      <c r="H944" s="53"/>
      <c r="I944" s="52" t="s">
        <v>1457</v>
      </c>
      <c r="J944" s="53" t="s">
        <v>5939</v>
      </c>
      <c r="K944" s="25">
        <f>Tabelle5[[#This Row],[value_present]]*Tabelle5[[#This Row],[binding_level]]</f>
        <v>0</v>
      </c>
    </row>
    <row r="945" spans="1:11" x14ac:dyDescent="0.25">
      <c r="A945" s="24">
        <v>32</v>
      </c>
      <c r="B945" s="50">
        <v>190</v>
      </c>
      <c r="C945" s="50" t="s">
        <v>106</v>
      </c>
      <c r="D945" s="51">
        <v>0</v>
      </c>
      <c r="E945" s="52"/>
      <c r="F945" s="53"/>
      <c r="G945" s="53"/>
      <c r="H945" s="53"/>
      <c r="I945" s="52" t="s">
        <v>1541</v>
      </c>
      <c r="J945" s="53" t="s">
        <v>5940</v>
      </c>
      <c r="K945" s="25">
        <f>Tabelle5[[#This Row],[value_present]]*Tabelle5[[#This Row],[binding_level]]</f>
        <v>0</v>
      </c>
    </row>
    <row r="946" spans="1:11" x14ac:dyDescent="0.25">
      <c r="A946" s="24">
        <v>32</v>
      </c>
      <c r="B946" s="50">
        <v>190</v>
      </c>
      <c r="C946" s="50" t="s">
        <v>112</v>
      </c>
      <c r="D946" s="51">
        <v>0</v>
      </c>
      <c r="E946" s="52"/>
      <c r="F946" s="53"/>
      <c r="G946" s="53"/>
      <c r="H946" s="53"/>
      <c r="I946" s="52" t="s">
        <v>1457</v>
      </c>
      <c r="J946" s="53" t="s">
        <v>5941</v>
      </c>
      <c r="K946" s="25">
        <f>Tabelle5[[#This Row],[value_present]]*Tabelle5[[#This Row],[binding_level]]</f>
        <v>0</v>
      </c>
    </row>
    <row r="947" spans="1:11" x14ac:dyDescent="0.25">
      <c r="A947" s="24">
        <v>32</v>
      </c>
      <c r="B947" s="50">
        <v>190</v>
      </c>
      <c r="C947" s="50" t="s">
        <v>118</v>
      </c>
      <c r="D947" s="51">
        <v>0</v>
      </c>
      <c r="E947" s="52"/>
      <c r="F947" s="53"/>
      <c r="G947" s="53"/>
      <c r="H947" s="53"/>
      <c r="I947" s="52" t="s">
        <v>1457</v>
      </c>
      <c r="J947" s="53" t="s">
        <v>5942</v>
      </c>
      <c r="K947" s="25">
        <f>Tabelle5[[#This Row],[value_present]]*Tabelle5[[#This Row],[binding_level]]</f>
        <v>0</v>
      </c>
    </row>
    <row r="948" spans="1:11" x14ac:dyDescent="0.25">
      <c r="A948" s="24">
        <v>32</v>
      </c>
      <c r="B948" s="50">
        <v>190</v>
      </c>
      <c r="C948" s="50" t="s">
        <v>125</v>
      </c>
      <c r="D948" s="51">
        <v>0</v>
      </c>
      <c r="E948" s="52"/>
      <c r="F948" s="53"/>
      <c r="G948" s="53"/>
      <c r="H948" s="53"/>
      <c r="I948" s="52" t="s">
        <v>1457</v>
      </c>
      <c r="J948" s="53" t="s">
        <v>5943</v>
      </c>
      <c r="K948" s="25">
        <f>Tabelle5[[#This Row],[value_present]]*Tabelle5[[#This Row],[binding_level]]</f>
        <v>0</v>
      </c>
    </row>
    <row r="949" spans="1:11" x14ac:dyDescent="0.25">
      <c r="A949" s="24">
        <v>32</v>
      </c>
      <c r="B949" s="50">
        <v>190</v>
      </c>
      <c r="C949" s="50" t="s">
        <v>132</v>
      </c>
      <c r="D949" s="51">
        <v>0</v>
      </c>
      <c r="E949" s="52"/>
      <c r="F949" s="53"/>
      <c r="G949" s="53"/>
      <c r="H949" s="53"/>
      <c r="I949" s="52" t="s">
        <v>1457</v>
      </c>
      <c r="J949" s="53" t="s">
        <v>5944</v>
      </c>
      <c r="K949" s="25">
        <f>Tabelle5[[#This Row],[value_present]]*Tabelle5[[#This Row],[binding_level]]</f>
        <v>0</v>
      </c>
    </row>
    <row r="950" spans="1:11" x14ac:dyDescent="0.25">
      <c r="A950" s="24">
        <v>32</v>
      </c>
      <c r="B950" s="50">
        <v>190</v>
      </c>
      <c r="C950" s="50" t="s">
        <v>140</v>
      </c>
      <c r="D950" s="51">
        <v>1</v>
      </c>
      <c r="E950" s="52">
        <v>1</v>
      </c>
      <c r="F950" t="s">
        <v>5953</v>
      </c>
      <c r="G950" t="s">
        <v>5954</v>
      </c>
      <c r="H950" s="53" t="s">
        <v>5933</v>
      </c>
      <c r="I950" s="52" t="s">
        <v>1456</v>
      </c>
      <c r="J950" s="53" t="s">
        <v>5945</v>
      </c>
      <c r="K950" s="25">
        <f>Tabelle5[[#This Row],[value_present]]*Tabelle5[[#This Row],[binding_level]]</f>
        <v>1</v>
      </c>
    </row>
    <row r="951" spans="1:11" x14ac:dyDescent="0.25">
      <c r="A951" s="24">
        <v>32</v>
      </c>
      <c r="B951" s="50">
        <v>190</v>
      </c>
      <c r="C951" s="50" t="s">
        <v>147</v>
      </c>
      <c r="D951" s="51">
        <v>1</v>
      </c>
      <c r="E951" s="52">
        <v>1</v>
      </c>
      <c r="F951" t="s">
        <v>5955</v>
      </c>
      <c r="G951" t="s">
        <v>5956</v>
      </c>
      <c r="H951" s="53" t="s">
        <v>5933</v>
      </c>
      <c r="I951" s="52" t="s">
        <v>1456</v>
      </c>
      <c r="J951" s="53" t="s">
        <v>5946</v>
      </c>
      <c r="K951" s="25">
        <f>Tabelle5[[#This Row],[value_present]]*Tabelle5[[#This Row],[binding_level]]</f>
        <v>1</v>
      </c>
    </row>
    <row r="952" spans="1:11" x14ac:dyDescent="0.25">
      <c r="A952" s="24">
        <v>32</v>
      </c>
      <c r="B952" s="50">
        <v>190</v>
      </c>
      <c r="C952" s="50" t="s">
        <v>154</v>
      </c>
      <c r="D952" s="51">
        <v>1</v>
      </c>
      <c r="E952" s="52">
        <v>1</v>
      </c>
      <c r="F952" t="s">
        <v>5957</v>
      </c>
      <c r="G952" t="s">
        <v>5958</v>
      </c>
      <c r="H952" s="53" t="s">
        <v>5933</v>
      </c>
      <c r="I952" s="52" t="s">
        <v>1456</v>
      </c>
      <c r="J952" s="53" t="s">
        <v>5947</v>
      </c>
      <c r="K952" s="25">
        <f>Tabelle5[[#This Row],[value_present]]*Tabelle5[[#This Row],[binding_level]]</f>
        <v>1</v>
      </c>
    </row>
    <row r="953" spans="1:11" x14ac:dyDescent="0.25">
      <c r="A953" s="24">
        <v>32</v>
      </c>
      <c r="B953" s="50">
        <v>190</v>
      </c>
      <c r="C953" s="50" t="s">
        <v>161</v>
      </c>
      <c r="D953" s="51">
        <v>0</v>
      </c>
      <c r="E953" s="52"/>
      <c r="F953" s="53"/>
      <c r="G953" s="53"/>
      <c r="H953" s="53"/>
      <c r="I953" s="52" t="s">
        <v>1457</v>
      </c>
      <c r="J953" s="53" t="s">
        <v>5948</v>
      </c>
      <c r="K953" s="25">
        <f>Tabelle5[[#This Row],[value_present]]*Tabelle5[[#This Row],[binding_level]]</f>
        <v>0</v>
      </c>
    </row>
    <row r="954" spans="1:11" x14ac:dyDescent="0.25">
      <c r="A954" s="24">
        <v>32</v>
      </c>
      <c r="B954" s="50">
        <v>190</v>
      </c>
      <c r="C954" s="50" t="s">
        <v>166</v>
      </c>
      <c r="D954" s="51">
        <v>0</v>
      </c>
      <c r="E954" s="52"/>
      <c r="F954" s="53"/>
      <c r="G954" s="53"/>
      <c r="H954" s="53"/>
      <c r="I954" s="52" t="s">
        <v>1457</v>
      </c>
      <c r="J954" s="53" t="s">
        <v>5949</v>
      </c>
      <c r="K954" s="25">
        <f>Tabelle5[[#This Row],[value_present]]*Tabelle5[[#This Row],[binding_level]]</f>
        <v>0</v>
      </c>
    </row>
    <row r="955" spans="1:11" ht="15.75" thickBot="1" x14ac:dyDescent="0.3">
      <c r="A955" s="26">
        <v>32</v>
      </c>
      <c r="B955" s="27">
        <v>190</v>
      </c>
      <c r="C955" s="27" t="s">
        <v>174</v>
      </c>
      <c r="D955" s="28">
        <v>0</v>
      </c>
      <c r="E955" s="29"/>
      <c r="F955" s="30"/>
      <c r="G955" s="30"/>
      <c r="H955" s="30"/>
      <c r="I955" s="29" t="s">
        <v>1541</v>
      </c>
      <c r="J955" s="30" t="s">
        <v>5950</v>
      </c>
      <c r="K955" s="31">
        <f>Tabelle5[[#This Row],[value_present]]*Tabelle5[[#This Row],[binding_level]]</f>
        <v>0</v>
      </c>
    </row>
    <row r="956" spans="1:11" x14ac:dyDescent="0.25">
      <c r="A956" s="18">
        <v>32</v>
      </c>
      <c r="B956" s="19">
        <v>194</v>
      </c>
      <c r="C956" s="19" t="s">
        <v>53</v>
      </c>
      <c r="D956" s="20">
        <v>1</v>
      </c>
      <c r="E956" s="21">
        <v>3</v>
      </c>
      <c r="F956" t="s">
        <v>6001</v>
      </c>
      <c r="G956" t="s">
        <v>6002</v>
      </c>
      <c r="H956" s="22" t="s">
        <v>4028</v>
      </c>
      <c r="I956" s="21" t="s">
        <v>1456</v>
      </c>
      <c r="J956" s="22" t="s">
        <v>5979</v>
      </c>
      <c r="K956" s="23">
        <f>Tabelle5[[#This Row],[value_present]]*Tabelle5[[#This Row],[binding_level]]</f>
        <v>3</v>
      </c>
    </row>
    <row r="957" spans="1:11" x14ac:dyDescent="0.25">
      <c r="A957" s="24">
        <v>32</v>
      </c>
      <c r="B957" s="50">
        <v>194</v>
      </c>
      <c r="C957" s="50" t="s">
        <v>61</v>
      </c>
      <c r="D957" s="51">
        <v>1</v>
      </c>
      <c r="E957" s="52">
        <v>3</v>
      </c>
      <c r="F957" t="s">
        <v>6014</v>
      </c>
      <c r="G957" t="s">
        <v>6013</v>
      </c>
      <c r="H957" s="53" t="s">
        <v>5980</v>
      </c>
      <c r="I957" s="52" t="s">
        <v>1456</v>
      </c>
      <c r="J957" s="53" t="s">
        <v>5981</v>
      </c>
      <c r="K957" s="25">
        <f>Tabelle5[[#This Row],[value_present]]*Tabelle5[[#This Row],[binding_level]]</f>
        <v>3</v>
      </c>
    </row>
    <row r="958" spans="1:11" x14ac:dyDescent="0.25">
      <c r="A958" s="24">
        <v>32</v>
      </c>
      <c r="B958" s="50">
        <v>194</v>
      </c>
      <c r="C958" s="50" t="s">
        <v>69</v>
      </c>
      <c r="D958" s="51">
        <v>1</v>
      </c>
      <c r="E958" s="52">
        <v>2</v>
      </c>
      <c r="F958" t="s">
        <v>6016</v>
      </c>
      <c r="G958" t="s">
        <v>6015</v>
      </c>
      <c r="H958" s="53" t="s">
        <v>5860</v>
      </c>
      <c r="I958" s="52" t="s">
        <v>1456</v>
      </c>
      <c r="J958" s="53" t="s">
        <v>5982</v>
      </c>
      <c r="K958" s="25">
        <f>Tabelle5[[#This Row],[value_present]]*Tabelle5[[#This Row],[binding_level]]</f>
        <v>2</v>
      </c>
    </row>
    <row r="959" spans="1:11" x14ac:dyDescent="0.25">
      <c r="A959" s="24">
        <v>32</v>
      </c>
      <c r="B959" s="50">
        <v>194</v>
      </c>
      <c r="C959" s="50" t="s">
        <v>76</v>
      </c>
      <c r="D959" s="51">
        <v>1</v>
      </c>
      <c r="E959" s="52">
        <v>1</v>
      </c>
      <c r="F959" t="s">
        <v>6003</v>
      </c>
      <c r="G959" t="s">
        <v>6004</v>
      </c>
      <c r="H959" s="53" t="s">
        <v>5860</v>
      </c>
      <c r="I959" s="52" t="s">
        <v>1457</v>
      </c>
      <c r="J959" s="53" t="s">
        <v>5983</v>
      </c>
      <c r="K959" s="25">
        <f>Tabelle5[[#This Row],[value_present]]*Tabelle5[[#This Row],[binding_level]]</f>
        <v>1</v>
      </c>
    </row>
    <row r="960" spans="1:11" x14ac:dyDescent="0.25">
      <c r="A960" s="24">
        <v>32</v>
      </c>
      <c r="B960" s="50">
        <v>194</v>
      </c>
      <c r="C960" s="50" t="s">
        <v>83</v>
      </c>
      <c r="D960" s="51">
        <v>1</v>
      </c>
      <c r="E960" s="52">
        <v>3</v>
      </c>
      <c r="F960" t="s">
        <v>6005</v>
      </c>
      <c r="G960" t="s">
        <v>6006</v>
      </c>
      <c r="H960" s="53" t="s">
        <v>3443</v>
      </c>
      <c r="I960" s="52" t="s">
        <v>1456</v>
      </c>
      <c r="J960" s="53" t="s">
        <v>5984</v>
      </c>
      <c r="K960" s="25">
        <f>Tabelle5[[#This Row],[value_present]]*Tabelle5[[#This Row],[binding_level]]</f>
        <v>3</v>
      </c>
    </row>
    <row r="961" spans="1:11" x14ac:dyDescent="0.25">
      <c r="A961" s="24">
        <v>32</v>
      </c>
      <c r="B961" s="50">
        <v>194</v>
      </c>
      <c r="C961" s="50" t="s">
        <v>90</v>
      </c>
      <c r="D961" s="51">
        <v>1</v>
      </c>
      <c r="E961" s="52">
        <v>2</v>
      </c>
      <c r="F961" t="s">
        <v>6018</v>
      </c>
      <c r="G961" t="s">
        <v>6017</v>
      </c>
      <c r="H961" s="53" t="s">
        <v>3258</v>
      </c>
      <c r="I961" s="52" t="s">
        <v>1456</v>
      </c>
      <c r="J961" s="53" t="s">
        <v>5985</v>
      </c>
      <c r="K961" s="25">
        <f>Tabelle5[[#This Row],[value_present]]*Tabelle5[[#This Row],[binding_level]]</f>
        <v>2</v>
      </c>
    </row>
    <row r="962" spans="1:11" x14ac:dyDescent="0.25">
      <c r="A962" s="24">
        <v>32</v>
      </c>
      <c r="B962" s="50">
        <v>194</v>
      </c>
      <c r="C962" s="50" t="s">
        <v>98</v>
      </c>
      <c r="D962" s="51">
        <v>1</v>
      </c>
      <c r="E962" s="52">
        <v>3</v>
      </c>
      <c r="F962" t="s">
        <v>6020</v>
      </c>
      <c r="G962" t="s">
        <v>6019</v>
      </c>
      <c r="H962" s="53" t="s">
        <v>1404</v>
      </c>
      <c r="I962" s="52" t="s">
        <v>1456</v>
      </c>
      <c r="J962" s="53" t="s">
        <v>5986</v>
      </c>
      <c r="K962" s="25">
        <f>Tabelle5[[#This Row],[value_present]]*Tabelle5[[#This Row],[binding_level]]</f>
        <v>3</v>
      </c>
    </row>
    <row r="963" spans="1:11" x14ac:dyDescent="0.25">
      <c r="A963" s="24">
        <v>32</v>
      </c>
      <c r="B963" s="50">
        <v>194</v>
      </c>
      <c r="C963" s="50" t="s">
        <v>106</v>
      </c>
      <c r="D963" s="51">
        <v>1</v>
      </c>
      <c r="E963" s="52">
        <v>3</v>
      </c>
      <c r="F963" t="s">
        <v>6022</v>
      </c>
      <c r="G963" t="s">
        <v>6021</v>
      </c>
      <c r="H963" s="53" t="s">
        <v>5987</v>
      </c>
      <c r="I963" s="52" t="s">
        <v>1456</v>
      </c>
      <c r="J963" s="53" t="s">
        <v>5988</v>
      </c>
      <c r="K963" s="25">
        <f>Tabelle5[[#This Row],[value_present]]*Tabelle5[[#This Row],[binding_level]]</f>
        <v>3</v>
      </c>
    </row>
    <row r="964" spans="1:11" x14ac:dyDescent="0.25">
      <c r="A964" s="24">
        <v>32</v>
      </c>
      <c r="B964" s="50">
        <v>194</v>
      </c>
      <c r="C964" s="50" t="s">
        <v>112</v>
      </c>
      <c r="D964" s="51">
        <v>1</v>
      </c>
      <c r="E964" s="52">
        <v>3</v>
      </c>
      <c r="F964" t="s">
        <v>6024</v>
      </c>
      <c r="G964" t="s">
        <v>6023</v>
      </c>
      <c r="H964" s="53" t="s">
        <v>1404</v>
      </c>
      <c r="I964" s="52" t="s">
        <v>1456</v>
      </c>
      <c r="J964" s="53" t="s">
        <v>5989</v>
      </c>
      <c r="K964" s="25">
        <f>Tabelle5[[#This Row],[value_present]]*Tabelle5[[#This Row],[binding_level]]</f>
        <v>3</v>
      </c>
    </row>
    <row r="965" spans="1:11" x14ac:dyDescent="0.25">
      <c r="A965" s="24">
        <v>32</v>
      </c>
      <c r="B965" s="50">
        <v>194</v>
      </c>
      <c r="C965" s="50" t="s">
        <v>118</v>
      </c>
      <c r="D965" s="51">
        <v>0</v>
      </c>
      <c r="E965" s="52"/>
      <c r="F965" s="53"/>
      <c r="G965" s="53"/>
      <c r="H965" s="53"/>
      <c r="I965" s="52" t="s">
        <v>1457</v>
      </c>
      <c r="J965" s="53" t="s">
        <v>5990</v>
      </c>
      <c r="K965" s="25">
        <f>Tabelle5[[#This Row],[value_present]]*Tabelle5[[#This Row],[binding_level]]</f>
        <v>0</v>
      </c>
    </row>
    <row r="966" spans="1:11" x14ac:dyDescent="0.25">
      <c r="A966" s="24">
        <v>32</v>
      </c>
      <c r="B966" s="50">
        <v>194</v>
      </c>
      <c r="C966" s="50" t="s">
        <v>125</v>
      </c>
      <c r="D966" s="51">
        <v>0</v>
      </c>
      <c r="E966" s="52"/>
      <c r="F966" s="53"/>
      <c r="G966" s="53"/>
      <c r="H966" s="53"/>
      <c r="I966" s="52" t="s">
        <v>1457</v>
      </c>
      <c r="J966" s="53" t="s">
        <v>5991</v>
      </c>
      <c r="K966" s="25">
        <f>Tabelle5[[#This Row],[value_present]]*Tabelle5[[#This Row],[binding_level]]</f>
        <v>0</v>
      </c>
    </row>
    <row r="967" spans="1:11" x14ac:dyDescent="0.25">
      <c r="A967" s="24">
        <v>32</v>
      </c>
      <c r="B967" s="50">
        <v>194</v>
      </c>
      <c r="C967" s="50" t="s">
        <v>132</v>
      </c>
      <c r="D967" s="51">
        <v>1</v>
      </c>
      <c r="E967" s="52">
        <v>2</v>
      </c>
      <c r="F967" t="s">
        <v>6007</v>
      </c>
      <c r="G967" t="s">
        <v>6008</v>
      </c>
      <c r="H967" s="53" t="s">
        <v>2833</v>
      </c>
      <c r="I967" s="52" t="s">
        <v>1456</v>
      </c>
      <c r="J967" s="53" t="s">
        <v>5992</v>
      </c>
      <c r="K967" s="25">
        <f>Tabelle5[[#This Row],[value_present]]*Tabelle5[[#This Row],[binding_level]]</f>
        <v>2</v>
      </c>
    </row>
    <row r="968" spans="1:11" x14ac:dyDescent="0.25">
      <c r="A968" s="24">
        <v>32</v>
      </c>
      <c r="B968" s="50">
        <v>194</v>
      </c>
      <c r="C968" s="50" t="s">
        <v>140</v>
      </c>
      <c r="D968" s="51">
        <v>1</v>
      </c>
      <c r="E968" s="52">
        <v>1</v>
      </c>
      <c r="F968" t="s">
        <v>6009</v>
      </c>
      <c r="G968" t="s">
        <v>6010</v>
      </c>
      <c r="H968" s="53" t="s">
        <v>3193</v>
      </c>
      <c r="I968" s="52" t="s">
        <v>1456</v>
      </c>
      <c r="J968" s="53" t="s">
        <v>5993</v>
      </c>
      <c r="K968" s="25">
        <f>Tabelle5[[#This Row],[value_present]]*Tabelle5[[#This Row],[binding_level]]</f>
        <v>1</v>
      </c>
    </row>
    <row r="969" spans="1:11" x14ac:dyDescent="0.25">
      <c r="A969" s="24">
        <v>32</v>
      </c>
      <c r="B969" s="50">
        <v>194</v>
      </c>
      <c r="C969" s="50" t="s">
        <v>147</v>
      </c>
      <c r="D969" s="51">
        <v>1</v>
      </c>
      <c r="E969" s="52">
        <v>2</v>
      </c>
      <c r="F969" t="s">
        <v>6026</v>
      </c>
      <c r="G969" t="s">
        <v>6025</v>
      </c>
      <c r="H969" s="53" t="s">
        <v>5994</v>
      </c>
      <c r="I969" s="52" t="s">
        <v>1456</v>
      </c>
      <c r="J969" s="53" t="s">
        <v>5995</v>
      </c>
      <c r="K969" s="25">
        <f>Tabelle5[[#This Row],[value_present]]*Tabelle5[[#This Row],[binding_level]]</f>
        <v>2</v>
      </c>
    </row>
    <row r="970" spans="1:11" x14ac:dyDescent="0.25">
      <c r="A970" s="24">
        <v>32</v>
      </c>
      <c r="B970" s="50">
        <v>194</v>
      </c>
      <c r="C970" s="50" t="s">
        <v>154</v>
      </c>
      <c r="D970" s="51">
        <v>1</v>
      </c>
      <c r="E970" s="52">
        <v>2</v>
      </c>
      <c r="F970" t="s">
        <v>6028</v>
      </c>
      <c r="G970" t="s">
        <v>6027</v>
      </c>
      <c r="H970" s="53" t="s">
        <v>5996</v>
      </c>
      <c r="I970" s="52" t="s">
        <v>1457</v>
      </c>
      <c r="J970" s="53" t="s">
        <v>5997</v>
      </c>
      <c r="K970" s="25">
        <f>Tabelle5[[#This Row],[value_present]]*Tabelle5[[#This Row],[binding_level]]</f>
        <v>2</v>
      </c>
    </row>
    <row r="971" spans="1:11" x14ac:dyDescent="0.25">
      <c r="A971" s="24">
        <v>32</v>
      </c>
      <c r="B971" s="50">
        <v>194</v>
      </c>
      <c r="C971" s="50" t="s">
        <v>161</v>
      </c>
      <c r="D971" s="51">
        <v>0</v>
      </c>
      <c r="E971" s="52"/>
      <c r="F971" s="53"/>
      <c r="G971" s="53"/>
      <c r="H971" s="53"/>
      <c r="I971" s="52" t="s">
        <v>1457</v>
      </c>
      <c r="J971" s="53" t="s">
        <v>5998</v>
      </c>
      <c r="K971" s="25">
        <f>Tabelle5[[#This Row],[value_present]]*Tabelle5[[#This Row],[binding_level]]</f>
        <v>0</v>
      </c>
    </row>
    <row r="972" spans="1:11" x14ac:dyDescent="0.25">
      <c r="A972" s="24">
        <v>32</v>
      </c>
      <c r="B972" s="50">
        <v>194</v>
      </c>
      <c r="C972" s="50" t="s">
        <v>166</v>
      </c>
      <c r="D972" s="51">
        <v>0</v>
      </c>
      <c r="E972" s="52"/>
      <c r="F972" s="53"/>
      <c r="G972" s="53"/>
      <c r="H972" s="53"/>
      <c r="I972" s="52" t="s">
        <v>1457</v>
      </c>
      <c r="J972" s="53" t="s">
        <v>5999</v>
      </c>
      <c r="K972" s="25">
        <f>Tabelle5[[#This Row],[value_present]]*Tabelle5[[#This Row],[binding_level]]</f>
        <v>0</v>
      </c>
    </row>
    <row r="973" spans="1:11" ht="15.75" thickBot="1" x14ac:dyDescent="0.3">
      <c r="A973" s="24">
        <v>32</v>
      </c>
      <c r="B973" s="50">
        <v>194</v>
      </c>
      <c r="C973" s="50" t="s">
        <v>174</v>
      </c>
      <c r="D973" s="51">
        <v>1</v>
      </c>
      <c r="E973" s="52">
        <v>3</v>
      </c>
      <c r="F973" s="30" t="s">
        <v>6011</v>
      </c>
      <c r="G973" s="30" t="s">
        <v>6012</v>
      </c>
      <c r="H973" s="53" t="s">
        <v>1400</v>
      </c>
      <c r="I973" s="52" t="s">
        <v>1456</v>
      </c>
      <c r="J973" s="53" t="s">
        <v>6000</v>
      </c>
      <c r="K973" s="25">
        <f>Tabelle5[[#This Row],[value_present]]*Tabelle5[[#This Row],[binding_level]]</f>
        <v>3</v>
      </c>
    </row>
    <row r="974" spans="1:11" x14ac:dyDescent="0.25">
      <c r="A974" s="18">
        <v>34</v>
      </c>
      <c r="B974" s="19">
        <v>201</v>
      </c>
      <c r="C974" s="19" t="s">
        <v>53</v>
      </c>
      <c r="D974" s="20">
        <v>1</v>
      </c>
      <c r="E974" s="21">
        <v>2</v>
      </c>
      <c r="F974" t="s">
        <v>6099</v>
      </c>
      <c r="G974" t="s">
        <v>6098</v>
      </c>
      <c r="H974" s="22" t="s">
        <v>6061</v>
      </c>
      <c r="I974" s="21" t="s">
        <v>1456</v>
      </c>
      <c r="J974" s="22" t="s">
        <v>6062</v>
      </c>
      <c r="K974" s="23">
        <f>Tabelle5[[#This Row],[value_present]]*Tabelle5[[#This Row],[binding_level]]</f>
        <v>2</v>
      </c>
    </row>
    <row r="975" spans="1:11" x14ac:dyDescent="0.25">
      <c r="A975" s="24">
        <v>34</v>
      </c>
      <c r="B975" s="50">
        <v>201</v>
      </c>
      <c r="C975" s="50" t="s">
        <v>61</v>
      </c>
      <c r="D975" s="51">
        <v>1</v>
      </c>
      <c r="E975" s="52">
        <v>2</v>
      </c>
      <c r="F975" t="s">
        <v>6100</v>
      </c>
      <c r="G975" t="s">
        <v>6102</v>
      </c>
      <c r="H975" s="53" t="s">
        <v>6061</v>
      </c>
      <c r="I975" s="52" t="s">
        <v>1457</v>
      </c>
      <c r="J975" s="53" t="s">
        <v>6063</v>
      </c>
      <c r="K975" s="25">
        <f>Tabelle5[[#This Row],[value_present]]*Tabelle5[[#This Row],[binding_level]]</f>
        <v>2</v>
      </c>
    </row>
    <row r="976" spans="1:11" x14ac:dyDescent="0.25">
      <c r="A976" s="24">
        <v>34</v>
      </c>
      <c r="B976" s="50">
        <v>201</v>
      </c>
      <c r="C976" s="50" t="s">
        <v>69</v>
      </c>
      <c r="D976" s="51">
        <v>1</v>
      </c>
      <c r="E976" s="52">
        <v>2</v>
      </c>
      <c r="F976" t="s">
        <v>6101</v>
      </c>
      <c r="G976" t="s">
        <v>6103</v>
      </c>
      <c r="H976" s="53" t="s">
        <v>6061</v>
      </c>
      <c r="I976" s="52" t="s">
        <v>1457</v>
      </c>
      <c r="J976" s="53" t="s">
        <v>6064</v>
      </c>
      <c r="K976" s="25">
        <f>Tabelle5[[#This Row],[value_present]]*Tabelle5[[#This Row],[binding_level]]</f>
        <v>2</v>
      </c>
    </row>
    <row r="977" spans="1:11" x14ac:dyDescent="0.25">
      <c r="A977" s="24">
        <v>34</v>
      </c>
      <c r="B977" s="50">
        <v>201</v>
      </c>
      <c r="C977" s="50" t="s">
        <v>76</v>
      </c>
      <c r="D977" s="51">
        <v>1</v>
      </c>
      <c r="E977" s="52">
        <v>1</v>
      </c>
      <c r="F977" t="s">
        <v>6084</v>
      </c>
      <c r="G977" t="s">
        <v>6085</v>
      </c>
      <c r="H977" s="53" t="s">
        <v>6065</v>
      </c>
      <c r="I977" s="52" t="s">
        <v>1457</v>
      </c>
      <c r="J977" s="53" t="s">
        <v>6066</v>
      </c>
      <c r="K977" s="25">
        <f>Tabelle5[[#This Row],[value_present]]*Tabelle5[[#This Row],[binding_level]]</f>
        <v>1</v>
      </c>
    </row>
    <row r="978" spans="1:11" x14ac:dyDescent="0.25">
      <c r="A978" s="24">
        <v>34</v>
      </c>
      <c r="B978" s="50">
        <v>201</v>
      </c>
      <c r="C978" s="50" t="s">
        <v>83</v>
      </c>
      <c r="D978" s="51">
        <v>1</v>
      </c>
      <c r="E978" s="52">
        <v>1</v>
      </c>
      <c r="F978" t="s">
        <v>6086</v>
      </c>
      <c r="G978" t="s">
        <v>6087</v>
      </c>
      <c r="H978" s="53" t="s">
        <v>6065</v>
      </c>
      <c r="I978" s="52" t="s">
        <v>1457</v>
      </c>
      <c r="J978" s="53" t="s">
        <v>6067</v>
      </c>
      <c r="K978" s="25">
        <f>Tabelle5[[#This Row],[value_present]]*Tabelle5[[#This Row],[binding_level]]</f>
        <v>1</v>
      </c>
    </row>
    <row r="979" spans="1:11" x14ac:dyDescent="0.25">
      <c r="A979" s="24">
        <v>34</v>
      </c>
      <c r="B979" s="50">
        <v>201</v>
      </c>
      <c r="C979" s="50" t="s">
        <v>90</v>
      </c>
      <c r="D979" s="51">
        <v>1</v>
      </c>
      <c r="E979" s="52">
        <v>3</v>
      </c>
      <c r="F979" t="s">
        <v>6105</v>
      </c>
      <c r="G979" t="s">
        <v>6104</v>
      </c>
      <c r="H979" s="53" t="s">
        <v>6068</v>
      </c>
      <c r="I979" s="52" t="s">
        <v>1456</v>
      </c>
      <c r="J979" s="53" t="s">
        <v>6069</v>
      </c>
      <c r="K979" s="25">
        <f>Tabelle5[[#This Row],[value_present]]*Tabelle5[[#This Row],[binding_level]]</f>
        <v>3</v>
      </c>
    </row>
    <row r="980" spans="1:11" x14ac:dyDescent="0.25">
      <c r="A980" s="24">
        <v>34</v>
      </c>
      <c r="B980" s="50">
        <v>201</v>
      </c>
      <c r="C980" s="50" t="s">
        <v>98</v>
      </c>
      <c r="D980" s="51">
        <v>1</v>
      </c>
      <c r="E980" s="52">
        <v>2</v>
      </c>
      <c r="F980" t="s">
        <v>6107</v>
      </c>
      <c r="G980" t="s">
        <v>6106</v>
      </c>
      <c r="H980" s="53" t="s">
        <v>6065</v>
      </c>
      <c r="I980" s="52" t="s">
        <v>1457</v>
      </c>
      <c r="J980" s="53" t="s">
        <v>6070</v>
      </c>
      <c r="K980" s="25">
        <f>Tabelle5[[#This Row],[value_present]]*Tabelle5[[#This Row],[binding_level]]</f>
        <v>2</v>
      </c>
    </row>
    <row r="981" spans="1:11" x14ac:dyDescent="0.25">
      <c r="A981" s="24">
        <v>34</v>
      </c>
      <c r="B981" s="50">
        <v>201</v>
      </c>
      <c r="C981" s="50" t="s">
        <v>106</v>
      </c>
      <c r="D981" s="51">
        <v>1</v>
      </c>
      <c r="E981" s="52">
        <v>1</v>
      </c>
      <c r="F981" t="s">
        <v>6088</v>
      </c>
      <c r="G981" t="s">
        <v>6089</v>
      </c>
      <c r="H981" s="53" t="s">
        <v>4615</v>
      </c>
      <c r="I981" s="52" t="s">
        <v>1457</v>
      </c>
      <c r="J981" s="53" t="s">
        <v>6071</v>
      </c>
      <c r="K981" s="25">
        <f>Tabelle5[[#This Row],[value_present]]*Tabelle5[[#This Row],[binding_level]]</f>
        <v>1</v>
      </c>
    </row>
    <row r="982" spans="1:11" x14ac:dyDescent="0.25">
      <c r="A982" s="24">
        <v>34</v>
      </c>
      <c r="B982" s="50">
        <v>201</v>
      </c>
      <c r="C982" s="50" t="s">
        <v>112</v>
      </c>
      <c r="D982" s="51">
        <v>1</v>
      </c>
      <c r="E982" s="52">
        <v>2</v>
      </c>
      <c r="F982" t="s">
        <v>6109</v>
      </c>
      <c r="G982" t="s">
        <v>6108</v>
      </c>
      <c r="H982" s="53" t="s">
        <v>6061</v>
      </c>
      <c r="I982" s="52" t="s">
        <v>1456</v>
      </c>
      <c r="J982" s="53" t="s">
        <v>6072</v>
      </c>
      <c r="K982" s="25">
        <f>Tabelle5[[#This Row],[value_present]]*Tabelle5[[#This Row],[binding_level]]</f>
        <v>2</v>
      </c>
    </row>
    <row r="983" spans="1:11" x14ac:dyDescent="0.25">
      <c r="A983" s="24">
        <v>34</v>
      </c>
      <c r="B983" s="50">
        <v>201</v>
      </c>
      <c r="C983" s="50" t="s">
        <v>118</v>
      </c>
      <c r="D983" s="51">
        <v>0</v>
      </c>
      <c r="E983" s="52"/>
      <c r="F983" s="53"/>
      <c r="G983" s="53"/>
      <c r="H983" s="53"/>
      <c r="I983" s="52" t="s">
        <v>1457</v>
      </c>
      <c r="J983" s="53" t="s">
        <v>6073</v>
      </c>
      <c r="K983" s="25">
        <f>Tabelle5[[#This Row],[value_present]]*Tabelle5[[#This Row],[binding_level]]</f>
        <v>0</v>
      </c>
    </row>
    <row r="984" spans="1:11" x14ac:dyDescent="0.25">
      <c r="A984" s="24">
        <v>34</v>
      </c>
      <c r="B984" s="50">
        <v>201</v>
      </c>
      <c r="C984" s="50" t="s">
        <v>125</v>
      </c>
      <c r="D984" s="51">
        <v>1</v>
      </c>
      <c r="E984" s="52">
        <v>1</v>
      </c>
      <c r="F984" t="s">
        <v>6090</v>
      </c>
      <c r="G984" t="s">
        <v>6091</v>
      </c>
      <c r="H984" s="53" t="s">
        <v>6065</v>
      </c>
      <c r="I984" s="52" t="s">
        <v>1457</v>
      </c>
      <c r="J984" s="53" t="s">
        <v>6074</v>
      </c>
      <c r="K984" s="25">
        <f>Tabelle5[[#This Row],[value_present]]*Tabelle5[[#This Row],[binding_level]]</f>
        <v>1</v>
      </c>
    </row>
    <row r="985" spans="1:11" x14ac:dyDescent="0.25">
      <c r="A985" s="24">
        <v>34</v>
      </c>
      <c r="B985" s="50">
        <v>201</v>
      </c>
      <c r="C985" s="50" t="s">
        <v>132</v>
      </c>
      <c r="D985" s="51">
        <v>1</v>
      </c>
      <c r="E985" s="52">
        <v>1</v>
      </c>
      <c r="F985" t="s">
        <v>6092</v>
      </c>
      <c r="G985" t="s">
        <v>6093</v>
      </c>
      <c r="H985" s="53" t="s">
        <v>6065</v>
      </c>
      <c r="I985" s="52" t="s">
        <v>1457</v>
      </c>
      <c r="J985" s="53" t="s">
        <v>6075</v>
      </c>
      <c r="K985" s="25">
        <f>Tabelle5[[#This Row],[value_present]]*Tabelle5[[#This Row],[binding_level]]</f>
        <v>1</v>
      </c>
    </row>
    <row r="986" spans="1:11" x14ac:dyDescent="0.25">
      <c r="A986" s="24">
        <v>34</v>
      </c>
      <c r="B986" s="50">
        <v>201</v>
      </c>
      <c r="C986" s="50" t="s">
        <v>140</v>
      </c>
      <c r="D986" s="51">
        <v>1</v>
      </c>
      <c r="E986" s="52">
        <v>1</v>
      </c>
      <c r="F986" t="s">
        <v>6111</v>
      </c>
      <c r="G986" t="s">
        <v>6110</v>
      </c>
      <c r="H986" s="53" t="s">
        <v>6076</v>
      </c>
      <c r="I986" s="52" t="s">
        <v>1456</v>
      </c>
      <c r="J986" s="53" t="s">
        <v>6077</v>
      </c>
      <c r="K986" s="25">
        <f>Tabelle5[[#This Row],[value_present]]*Tabelle5[[#This Row],[binding_level]]</f>
        <v>1</v>
      </c>
    </row>
    <row r="987" spans="1:11" x14ac:dyDescent="0.25">
      <c r="A987" s="24">
        <v>34</v>
      </c>
      <c r="B987" s="50">
        <v>201</v>
      </c>
      <c r="C987" s="50" t="s">
        <v>147</v>
      </c>
      <c r="D987" s="51">
        <v>1</v>
      </c>
      <c r="E987" s="52">
        <v>2</v>
      </c>
      <c r="F987" t="s">
        <v>6113</v>
      </c>
      <c r="G987" t="s">
        <v>6112</v>
      </c>
      <c r="H987" s="53" t="s">
        <v>6078</v>
      </c>
      <c r="I987" s="52" t="s">
        <v>1456</v>
      </c>
      <c r="J987" s="53" t="s">
        <v>6079</v>
      </c>
      <c r="K987" s="25">
        <f>Tabelle5[[#This Row],[value_present]]*Tabelle5[[#This Row],[binding_level]]</f>
        <v>2</v>
      </c>
    </row>
    <row r="988" spans="1:11" x14ac:dyDescent="0.25">
      <c r="A988" s="24">
        <v>34</v>
      </c>
      <c r="B988" s="50">
        <v>201</v>
      </c>
      <c r="C988" s="50" t="s">
        <v>154</v>
      </c>
      <c r="D988" s="51">
        <v>1</v>
      </c>
      <c r="E988" s="52">
        <v>1</v>
      </c>
      <c r="F988" t="s">
        <v>6094</v>
      </c>
      <c r="G988" t="s">
        <v>6095</v>
      </c>
      <c r="H988" s="53" t="s">
        <v>6065</v>
      </c>
      <c r="I988" s="52" t="s">
        <v>1456</v>
      </c>
      <c r="J988" s="53" t="s">
        <v>6080</v>
      </c>
      <c r="K988" s="25">
        <f>Tabelle5[[#This Row],[value_present]]*Tabelle5[[#This Row],[binding_level]]</f>
        <v>1</v>
      </c>
    </row>
    <row r="989" spans="1:11" x14ac:dyDescent="0.25">
      <c r="A989" s="24">
        <v>34</v>
      </c>
      <c r="B989" s="50">
        <v>201</v>
      </c>
      <c r="C989" s="50" t="s">
        <v>161</v>
      </c>
      <c r="D989" s="51">
        <v>1</v>
      </c>
      <c r="E989" s="52">
        <v>1</v>
      </c>
      <c r="F989" t="s">
        <v>6096</v>
      </c>
      <c r="G989" t="s">
        <v>6097</v>
      </c>
      <c r="H989" s="53" t="s">
        <v>6065</v>
      </c>
      <c r="I989" s="52" t="s">
        <v>1457</v>
      </c>
      <c r="J989" s="53" t="s">
        <v>6081</v>
      </c>
      <c r="K989" s="25">
        <f>Tabelle5[[#This Row],[value_present]]*Tabelle5[[#This Row],[binding_level]]</f>
        <v>1</v>
      </c>
    </row>
    <row r="990" spans="1:11" x14ac:dyDescent="0.25">
      <c r="A990" s="24">
        <v>34</v>
      </c>
      <c r="B990" s="50">
        <v>201</v>
      </c>
      <c r="C990" s="50" t="s">
        <v>166</v>
      </c>
      <c r="D990" s="51">
        <v>0</v>
      </c>
      <c r="E990" s="52"/>
      <c r="F990" s="53"/>
      <c r="G990" s="53"/>
      <c r="H990" s="53"/>
      <c r="I990" s="52" t="s">
        <v>1457</v>
      </c>
      <c r="J990" s="53" t="s">
        <v>6082</v>
      </c>
      <c r="K990" s="25">
        <f>Tabelle5[[#This Row],[value_present]]*Tabelle5[[#This Row],[binding_level]]</f>
        <v>0</v>
      </c>
    </row>
    <row r="991" spans="1:11" ht="15.75" thickBot="1" x14ac:dyDescent="0.3">
      <c r="A991" s="26">
        <v>34</v>
      </c>
      <c r="B991" s="27">
        <v>201</v>
      </c>
      <c r="C991" s="27" t="s">
        <v>174</v>
      </c>
      <c r="D991" s="28">
        <v>0</v>
      </c>
      <c r="E991" s="29"/>
      <c r="F991" s="30"/>
      <c r="G991" s="30"/>
      <c r="H991" s="30"/>
      <c r="I991" s="29" t="s">
        <v>1457</v>
      </c>
      <c r="J991" s="30" t="s">
        <v>6083</v>
      </c>
      <c r="K991" s="31">
        <f>Tabelle5[[#This Row],[value_present]]*Tabelle5[[#This Row],[binding_level]]</f>
        <v>0</v>
      </c>
    </row>
    <row r="992" spans="1:11" x14ac:dyDescent="0.25">
      <c r="A992" s="18">
        <v>36</v>
      </c>
      <c r="B992" s="19">
        <v>221</v>
      </c>
      <c r="C992" s="19" t="s">
        <v>53</v>
      </c>
      <c r="D992" s="20">
        <v>1</v>
      </c>
      <c r="E992" s="21">
        <v>1</v>
      </c>
      <c r="F992" t="s">
        <v>6170</v>
      </c>
      <c r="G992" t="s">
        <v>6171</v>
      </c>
      <c r="H992" s="22" t="s">
        <v>2833</v>
      </c>
      <c r="I992" s="21" t="s">
        <v>1457</v>
      </c>
      <c r="J992" s="22" t="s">
        <v>6146</v>
      </c>
      <c r="K992" s="23">
        <f>Tabelle5[[#This Row],[value_present]]*Tabelle5[[#This Row],[binding_level]]</f>
        <v>1</v>
      </c>
    </row>
    <row r="993" spans="1:11" x14ac:dyDescent="0.25">
      <c r="A993" s="24">
        <v>36</v>
      </c>
      <c r="B993" s="50">
        <v>221</v>
      </c>
      <c r="C993" s="50" t="s">
        <v>61</v>
      </c>
      <c r="D993" s="51">
        <v>1</v>
      </c>
      <c r="E993" s="52">
        <v>2</v>
      </c>
      <c r="F993" t="s">
        <v>6177</v>
      </c>
      <c r="G993" t="s">
        <v>6176</v>
      </c>
      <c r="H993" s="53" t="s">
        <v>3258</v>
      </c>
      <c r="I993" s="52" t="s">
        <v>1457</v>
      </c>
      <c r="J993" s="53" t="s">
        <v>6147</v>
      </c>
      <c r="K993" s="25">
        <f>Tabelle5[[#This Row],[value_present]]*Tabelle5[[#This Row],[binding_level]]</f>
        <v>2</v>
      </c>
    </row>
    <row r="994" spans="1:11" x14ac:dyDescent="0.25">
      <c r="A994" s="24">
        <v>36</v>
      </c>
      <c r="B994" s="50">
        <v>221</v>
      </c>
      <c r="C994" s="50" t="s">
        <v>69</v>
      </c>
      <c r="D994" s="51">
        <v>1</v>
      </c>
      <c r="E994" s="52">
        <v>1</v>
      </c>
      <c r="F994" t="s">
        <v>6179</v>
      </c>
      <c r="G994" t="s">
        <v>6178</v>
      </c>
      <c r="H994" s="53" t="s">
        <v>2833</v>
      </c>
      <c r="I994" s="52" t="s">
        <v>1456</v>
      </c>
      <c r="J994" s="53" t="s">
        <v>6148</v>
      </c>
      <c r="K994" s="25">
        <f>Tabelle5[[#This Row],[value_present]]*Tabelle5[[#This Row],[binding_level]]</f>
        <v>1</v>
      </c>
    </row>
    <row r="995" spans="1:11" x14ac:dyDescent="0.25">
      <c r="A995" s="24">
        <v>36</v>
      </c>
      <c r="B995" s="50">
        <v>221</v>
      </c>
      <c r="C995" s="50" t="s">
        <v>76</v>
      </c>
      <c r="D995" s="51">
        <v>0</v>
      </c>
      <c r="E995" s="52"/>
      <c r="F995" s="53"/>
      <c r="G995" s="53"/>
      <c r="H995" s="53"/>
      <c r="I995" s="52" t="s">
        <v>1457</v>
      </c>
      <c r="J995" s="53" t="s">
        <v>6149</v>
      </c>
      <c r="K995" s="25">
        <f>Tabelle5[[#This Row],[value_present]]*Tabelle5[[#This Row],[binding_level]]</f>
        <v>0</v>
      </c>
    </row>
    <row r="996" spans="1:11" x14ac:dyDescent="0.25">
      <c r="A996" s="24">
        <v>36</v>
      </c>
      <c r="B996" s="50">
        <v>221</v>
      </c>
      <c r="C996" s="50" t="s">
        <v>83</v>
      </c>
      <c r="D996" s="51">
        <v>0</v>
      </c>
      <c r="E996" s="52"/>
      <c r="F996" s="53"/>
      <c r="G996" s="53"/>
      <c r="H996" s="53"/>
      <c r="I996" s="52" t="s">
        <v>1541</v>
      </c>
      <c r="J996" s="53" t="s">
        <v>6150</v>
      </c>
      <c r="K996" s="25">
        <f>Tabelle5[[#This Row],[value_present]]*Tabelle5[[#This Row],[binding_level]]</f>
        <v>0</v>
      </c>
    </row>
    <row r="997" spans="1:11" x14ac:dyDescent="0.25">
      <c r="A997" s="24">
        <v>36</v>
      </c>
      <c r="B997" s="50">
        <v>221</v>
      </c>
      <c r="C997" s="50" t="s">
        <v>90</v>
      </c>
      <c r="D997" s="51">
        <v>1</v>
      </c>
      <c r="E997" s="52">
        <v>3</v>
      </c>
      <c r="F997" t="s">
        <v>6181</v>
      </c>
      <c r="G997" t="s">
        <v>6180</v>
      </c>
      <c r="H997" s="53" t="s">
        <v>6166</v>
      </c>
      <c r="I997" s="52" t="s">
        <v>1456</v>
      </c>
      <c r="J997" s="53" t="s">
        <v>6151</v>
      </c>
      <c r="K997" s="25">
        <f>Tabelle5[[#This Row],[value_present]]*Tabelle5[[#This Row],[binding_level]]</f>
        <v>3</v>
      </c>
    </row>
    <row r="998" spans="1:11" x14ac:dyDescent="0.25">
      <c r="A998" s="24">
        <v>36</v>
      </c>
      <c r="B998" s="50">
        <v>221</v>
      </c>
      <c r="C998" s="50" t="s">
        <v>98</v>
      </c>
      <c r="D998" s="51">
        <v>1</v>
      </c>
      <c r="E998" s="52">
        <v>3</v>
      </c>
      <c r="F998" t="s">
        <v>6183</v>
      </c>
      <c r="G998" t="s">
        <v>6182</v>
      </c>
      <c r="H998" s="53" t="s">
        <v>6167</v>
      </c>
      <c r="I998" s="52" t="s">
        <v>1457</v>
      </c>
      <c r="J998" s="53" t="s">
        <v>6152</v>
      </c>
      <c r="K998" s="25">
        <f>Tabelle5[[#This Row],[value_present]]*Tabelle5[[#This Row],[binding_level]]</f>
        <v>3</v>
      </c>
    </row>
    <row r="999" spans="1:11" x14ac:dyDescent="0.25">
      <c r="A999" s="24">
        <v>36</v>
      </c>
      <c r="B999" s="50">
        <v>221</v>
      </c>
      <c r="C999" s="50" t="s">
        <v>106</v>
      </c>
      <c r="D999" s="51">
        <v>1</v>
      </c>
      <c r="E999" s="52">
        <v>3</v>
      </c>
      <c r="F999" t="s">
        <v>6172</v>
      </c>
      <c r="G999" t="s">
        <v>6173</v>
      </c>
      <c r="H999" s="53" t="s">
        <v>1404</v>
      </c>
      <c r="I999" s="52" t="s">
        <v>1456</v>
      </c>
      <c r="J999" s="53" t="s">
        <v>6153</v>
      </c>
      <c r="K999" s="25">
        <f>Tabelle5[[#This Row],[value_present]]*Tabelle5[[#This Row],[binding_level]]</f>
        <v>3</v>
      </c>
    </row>
    <row r="1000" spans="1:11" x14ac:dyDescent="0.25">
      <c r="A1000" s="24">
        <v>36</v>
      </c>
      <c r="B1000" s="50">
        <v>221</v>
      </c>
      <c r="C1000" s="50" t="s">
        <v>112</v>
      </c>
      <c r="D1000" s="51">
        <v>1</v>
      </c>
      <c r="E1000" s="52">
        <v>3</v>
      </c>
      <c r="F1000" t="s">
        <v>6185</v>
      </c>
      <c r="G1000" t="s">
        <v>6184</v>
      </c>
      <c r="H1000" s="53" t="s">
        <v>6154</v>
      </c>
      <c r="I1000" s="52" t="s">
        <v>1456</v>
      </c>
      <c r="J1000" s="53" t="s">
        <v>6155</v>
      </c>
      <c r="K1000" s="25">
        <f>Tabelle5[[#This Row],[value_present]]*Tabelle5[[#This Row],[binding_level]]</f>
        <v>3</v>
      </c>
    </row>
    <row r="1001" spans="1:11" x14ac:dyDescent="0.25">
      <c r="A1001" s="24">
        <v>36</v>
      </c>
      <c r="B1001" s="50">
        <v>221</v>
      </c>
      <c r="C1001" s="50" t="s">
        <v>118</v>
      </c>
      <c r="D1001" s="51">
        <v>0</v>
      </c>
      <c r="E1001" s="52"/>
      <c r="F1001" s="53"/>
      <c r="G1001" s="53"/>
      <c r="H1001" s="53"/>
      <c r="I1001" s="52" t="s">
        <v>1457</v>
      </c>
      <c r="J1001" s="53" t="s">
        <v>6156</v>
      </c>
      <c r="K1001" s="25">
        <f>Tabelle5[[#This Row],[value_present]]*Tabelle5[[#This Row],[binding_level]]</f>
        <v>0</v>
      </c>
    </row>
    <row r="1002" spans="1:11" x14ac:dyDescent="0.25">
      <c r="A1002" s="24">
        <v>36</v>
      </c>
      <c r="B1002" s="50">
        <v>221</v>
      </c>
      <c r="C1002" s="50" t="s">
        <v>125</v>
      </c>
      <c r="D1002" s="51">
        <v>1</v>
      </c>
      <c r="E1002" s="52">
        <v>1</v>
      </c>
      <c r="F1002" t="s">
        <v>6174</v>
      </c>
      <c r="G1002" t="s">
        <v>6175</v>
      </c>
      <c r="H1002" s="53" t="s">
        <v>2833</v>
      </c>
      <c r="I1002" s="52" t="s">
        <v>1541</v>
      </c>
      <c r="J1002" s="53" t="s">
        <v>6157</v>
      </c>
      <c r="K1002" s="25">
        <f>Tabelle5[[#This Row],[value_present]]*Tabelle5[[#This Row],[binding_level]]</f>
        <v>1</v>
      </c>
    </row>
    <row r="1003" spans="1:11" x14ac:dyDescent="0.25">
      <c r="A1003" s="24">
        <v>36</v>
      </c>
      <c r="B1003" s="50">
        <v>221</v>
      </c>
      <c r="C1003" s="50" t="s">
        <v>132</v>
      </c>
      <c r="D1003" s="51">
        <v>0</v>
      </c>
      <c r="E1003" s="52"/>
      <c r="F1003" s="53"/>
      <c r="G1003" s="53"/>
      <c r="H1003" s="53"/>
      <c r="I1003" s="52" t="s">
        <v>1541</v>
      </c>
      <c r="J1003" s="53" t="s">
        <v>6158</v>
      </c>
      <c r="K1003" s="25">
        <f>Tabelle5[[#This Row],[value_present]]*Tabelle5[[#This Row],[binding_level]]</f>
        <v>0</v>
      </c>
    </row>
    <row r="1004" spans="1:11" x14ac:dyDescent="0.25">
      <c r="A1004" s="24">
        <v>36</v>
      </c>
      <c r="B1004" s="50">
        <v>221</v>
      </c>
      <c r="C1004" s="50" t="s">
        <v>140</v>
      </c>
      <c r="D1004" s="51">
        <v>1</v>
      </c>
      <c r="E1004" s="52">
        <v>1</v>
      </c>
      <c r="F1004" t="s">
        <v>6187</v>
      </c>
      <c r="G1004" t="s">
        <v>6186</v>
      </c>
      <c r="H1004" s="53" t="s">
        <v>5900</v>
      </c>
      <c r="I1004" s="52" t="s">
        <v>1456</v>
      </c>
      <c r="J1004" s="53" t="s">
        <v>6159</v>
      </c>
      <c r="K1004" s="25">
        <f>Tabelle5[[#This Row],[value_present]]*Tabelle5[[#This Row],[binding_level]]</f>
        <v>1</v>
      </c>
    </row>
    <row r="1005" spans="1:11" x14ac:dyDescent="0.25">
      <c r="A1005" s="24">
        <v>36</v>
      </c>
      <c r="B1005" s="50">
        <v>221</v>
      </c>
      <c r="C1005" s="50" t="s">
        <v>147</v>
      </c>
      <c r="D1005" s="51">
        <v>1</v>
      </c>
      <c r="E1005" s="52">
        <v>3</v>
      </c>
      <c r="F1005" t="s">
        <v>6189</v>
      </c>
      <c r="G1005" t="s">
        <v>6188</v>
      </c>
      <c r="H1005" s="53" t="s">
        <v>6160</v>
      </c>
      <c r="I1005" s="52" t="s">
        <v>1456</v>
      </c>
      <c r="J1005" s="53" t="s">
        <v>6161</v>
      </c>
      <c r="K1005" s="25">
        <f>Tabelle5[[#This Row],[value_present]]*Tabelle5[[#This Row],[binding_level]]</f>
        <v>3</v>
      </c>
    </row>
    <row r="1006" spans="1:11" x14ac:dyDescent="0.25">
      <c r="A1006" s="24">
        <v>36</v>
      </c>
      <c r="B1006" s="50">
        <v>221</v>
      </c>
      <c r="C1006" s="50" t="s">
        <v>154</v>
      </c>
      <c r="D1006" s="51">
        <v>1</v>
      </c>
      <c r="E1006" s="52">
        <v>2</v>
      </c>
      <c r="F1006" t="s">
        <v>6191</v>
      </c>
      <c r="G1006" t="s">
        <v>6190</v>
      </c>
      <c r="H1006" s="53" t="s">
        <v>6168</v>
      </c>
      <c r="I1006" s="52" t="s">
        <v>1456</v>
      </c>
      <c r="J1006" s="53" t="s">
        <v>6162</v>
      </c>
      <c r="K1006" s="25">
        <f>Tabelle5[[#This Row],[value_present]]*Tabelle5[[#This Row],[binding_level]]</f>
        <v>2</v>
      </c>
    </row>
    <row r="1007" spans="1:11" x14ac:dyDescent="0.25">
      <c r="A1007" s="24">
        <v>36</v>
      </c>
      <c r="B1007" s="50">
        <v>221</v>
      </c>
      <c r="C1007" s="50" t="s">
        <v>161</v>
      </c>
      <c r="D1007" s="51">
        <v>1</v>
      </c>
      <c r="E1007" s="52">
        <v>3</v>
      </c>
      <c r="F1007" t="s">
        <v>6193</v>
      </c>
      <c r="G1007" t="s">
        <v>6192</v>
      </c>
      <c r="H1007" s="53" t="s">
        <v>6169</v>
      </c>
      <c r="I1007" s="52" t="s">
        <v>1456</v>
      </c>
      <c r="J1007" s="53" t="s">
        <v>6163</v>
      </c>
      <c r="K1007" s="25">
        <f>Tabelle5[[#This Row],[value_present]]*Tabelle5[[#This Row],[binding_level]]</f>
        <v>3</v>
      </c>
    </row>
    <row r="1008" spans="1:11" x14ac:dyDescent="0.25">
      <c r="A1008" s="24">
        <v>36</v>
      </c>
      <c r="B1008" s="50">
        <v>221</v>
      </c>
      <c r="C1008" s="50" t="s">
        <v>166</v>
      </c>
      <c r="D1008" s="51">
        <v>0</v>
      </c>
      <c r="E1008" s="52"/>
      <c r="F1008" s="53"/>
      <c r="G1008" s="53"/>
      <c r="H1008" s="53"/>
      <c r="I1008" s="52" t="s">
        <v>1457</v>
      </c>
      <c r="J1008" s="53" t="s">
        <v>6164</v>
      </c>
      <c r="K1008" s="25">
        <f>Tabelle5[[#This Row],[value_present]]*Tabelle5[[#This Row],[binding_level]]</f>
        <v>0</v>
      </c>
    </row>
    <row r="1009" spans="1:11" ht="15.75" thickBot="1" x14ac:dyDescent="0.3">
      <c r="A1009" s="26">
        <v>36</v>
      </c>
      <c r="B1009" s="27">
        <v>221</v>
      </c>
      <c r="C1009" s="27" t="s">
        <v>174</v>
      </c>
      <c r="D1009" s="28">
        <v>0</v>
      </c>
      <c r="E1009" s="29"/>
      <c r="F1009" s="30"/>
      <c r="G1009" s="30"/>
      <c r="H1009" s="30"/>
      <c r="I1009" s="29" t="s">
        <v>1541</v>
      </c>
      <c r="J1009" s="30" t="s">
        <v>6165</v>
      </c>
      <c r="K1009" s="31">
        <f>Tabelle5[[#This Row],[value_present]]*Tabelle5[[#This Row],[binding_level]]</f>
        <v>0</v>
      </c>
    </row>
    <row r="1010" spans="1:11" x14ac:dyDescent="0.25">
      <c r="A1010" s="18">
        <v>38</v>
      </c>
      <c r="B1010" s="19">
        <v>227</v>
      </c>
      <c r="C1010" s="19" t="s">
        <v>53</v>
      </c>
      <c r="D1010" s="20">
        <v>1</v>
      </c>
      <c r="E1010" s="21">
        <v>1</v>
      </c>
      <c r="F1010" t="s">
        <v>6242</v>
      </c>
      <c r="G1010" t="s">
        <v>6243</v>
      </c>
      <c r="H1010" s="22" t="s">
        <v>6223</v>
      </c>
      <c r="I1010" s="21" t="s">
        <v>1456</v>
      </c>
      <c r="J1010" s="22" t="s">
        <v>6224</v>
      </c>
      <c r="K1010" s="23">
        <f>Tabelle5[[#This Row],[value_present]]*Tabelle5[[#This Row],[binding_level]]</f>
        <v>1</v>
      </c>
    </row>
    <row r="1011" spans="1:11" x14ac:dyDescent="0.25">
      <c r="A1011" s="24">
        <v>38</v>
      </c>
      <c r="B1011" s="50">
        <v>227</v>
      </c>
      <c r="C1011" s="50" t="s">
        <v>61</v>
      </c>
      <c r="D1011" s="51">
        <v>1</v>
      </c>
      <c r="E1011" s="52">
        <v>1</v>
      </c>
      <c r="F1011" t="s">
        <v>6242</v>
      </c>
      <c r="G1011" t="s">
        <v>6243</v>
      </c>
      <c r="H1011" s="53" t="s">
        <v>6223</v>
      </c>
      <c r="I1011" s="52" t="s">
        <v>1457</v>
      </c>
      <c r="J1011" s="53" t="s">
        <v>6225</v>
      </c>
      <c r="K1011" s="25">
        <f>Tabelle5[[#This Row],[value_present]]*Tabelle5[[#This Row],[binding_level]]</f>
        <v>1</v>
      </c>
    </row>
    <row r="1012" spans="1:11" x14ac:dyDescent="0.25">
      <c r="A1012" s="24">
        <v>38</v>
      </c>
      <c r="B1012" s="50">
        <v>227</v>
      </c>
      <c r="C1012" s="50" t="s">
        <v>69</v>
      </c>
      <c r="D1012" s="51">
        <v>1</v>
      </c>
      <c r="E1012" s="52">
        <v>1</v>
      </c>
      <c r="F1012" t="s">
        <v>6244</v>
      </c>
      <c r="G1012" t="s">
        <v>6245</v>
      </c>
      <c r="H1012" s="53" t="s">
        <v>6223</v>
      </c>
      <c r="I1012" s="52" t="s">
        <v>1456</v>
      </c>
      <c r="J1012" s="53" t="s">
        <v>6226</v>
      </c>
      <c r="K1012" s="25">
        <f>Tabelle5[[#This Row],[value_present]]*Tabelle5[[#This Row],[binding_level]]</f>
        <v>1</v>
      </c>
    </row>
    <row r="1013" spans="1:11" x14ac:dyDescent="0.25">
      <c r="A1013" s="24">
        <v>38</v>
      </c>
      <c r="B1013" s="50">
        <v>227</v>
      </c>
      <c r="C1013" s="50" t="s">
        <v>76</v>
      </c>
      <c r="D1013" s="51">
        <v>0</v>
      </c>
      <c r="E1013" s="52"/>
      <c r="F1013" s="53"/>
      <c r="G1013" s="53"/>
      <c r="H1013" s="53"/>
      <c r="I1013" s="52" t="s">
        <v>1457</v>
      </c>
      <c r="J1013" s="53" t="s">
        <v>6227</v>
      </c>
      <c r="K1013" s="25">
        <f>Tabelle5[[#This Row],[value_present]]*Tabelle5[[#This Row],[binding_level]]</f>
        <v>0</v>
      </c>
    </row>
    <row r="1014" spans="1:11" x14ac:dyDescent="0.25">
      <c r="A1014" s="24">
        <v>38</v>
      </c>
      <c r="B1014" s="50">
        <v>227</v>
      </c>
      <c r="C1014" s="50" t="s">
        <v>83</v>
      </c>
      <c r="D1014" s="51">
        <v>1</v>
      </c>
      <c r="E1014" s="52">
        <v>1</v>
      </c>
      <c r="F1014" t="s">
        <v>6246</v>
      </c>
      <c r="G1014" t="s">
        <v>6247</v>
      </c>
      <c r="H1014" s="53" t="s">
        <v>6223</v>
      </c>
      <c r="I1014" s="52" t="s">
        <v>1456</v>
      </c>
      <c r="J1014" s="53" t="s">
        <v>6228</v>
      </c>
      <c r="K1014" s="25">
        <f>Tabelle5[[#This Row],[value_present]]*Tabelle5[[#This Row],[binding_level]]</f>
        <v>1</v>
      </c>
    </row>
    <row r="1015" spans="1:11" x14ac:dyDescent="0.25">
      <c r="A1015" s="24">
        <v>38</v>
      </c>
      <c r="B1015" s="50">
        <v>227</v>
      </c>
      <c r="C1015" s="50" t="s">
        <v>90</v>
      </c>
      <c r="D1015" s="51">
        <v>1</v>
      </c>
      <c r="E1015" s="52">
        <v>1</v>
      </c>
      <c r="F1015" t="s">
        <v>6248</v>
      </c>
      <c r="G1015" t="s">
        <v>6249</v>
      </c>
      <c r="H1015" s="53" t="s">
        <v>6223</v>
      </c>
      <c r="I1015" s="52" t="s">
        <v>1456</v>
      </c>
      <c r="J1015" s="53" t="s">
        <v>6229</v>
      </c>
      <c r="K1015" s="25">
        <f>Tabelle5[[#This Row],[value_present]]*Tabelle5[[#This Row],[binding_level]]</f>
        <v>1</v>
      </c>
    </row>
    <row r="1016" spans="1:11" x14ac:dyDescent="0.25">
      <c r="A1016" s="24">
        <v>38</v>
      </c>
      <c r="B1016" s="50">
        <v>227</v>
      </c>
      <c r="C1016" s="50" t="s">
        <v>98</v>
      </c>
      <c r="D1016" s="51">
        <v>0</v>
      </c>
      <c r="E1016" s="52"/>
      <c r="F1016" s="53"/>
      <c r="G1016" s="53"/>
      <c r="H1016" s="53"/>
      <c r="I1016" s="52" t="s">
        <v>1457</v>
      </c>
      <c r="J1016" s="53" t="s">
        <v>6230</v>
      </c>
      <c r="K1016" s="25">
        <f>Tabelle5[[#This Row],[value_present]]*Tabelle5[[#This Row],[binding_level]]</f>
        <v>0</v>
      </c>
    </row>
    <row r="1017" spans="1:11" x14ac:dyDescent="0.25">
      <c r="A1017" s="24">
        <v>38</v>
      </c>
      <c r="B1017" s="50">
        <v>227</v>
      </c>
      <c r="C1017" s="50" t="s">
        <v>106</v>
      </c>
      <c r="D1017" s="51">
        <v>1</v>
      </c>
      <c r="E1017" s="52">
        <v>1</v>
      </c>
      <c r="F1017" t="s">
        <v>6250</v>
      </c>
      <c r="G1017" t="s">
        <v>6251</v>
      </c>
      <c r="H1017" s="53" t="s">
        <v>6223</v>
      </c>
      <c r="I1017" s="52" t="s">
        <v>1456</v>
      </c>
      <c r="J1017" s="53" t="s">
        <v>6231</v>
      </c>
      <c r="K1017" s="25">
        <f>Tabelle5[[#This Row],[value_present]]*Tabelle5[[#This Row],[binding_level]]</f>
        <v>1</v>
      </c>
    </row>
    <row r="1018" spans="1:11" x14ac:dyDescent="0.25">
      <c r="A1018" s="24">
        <v>38</v>
      </c>
      <c r="B1018" s="50">
        <v>227</v>
      </c>
      <c r="C1018" s="50" t="s">
        <v>112</v>
      </c>
      <c r="D1018" s="51">
        <v>1</v>
      </c>
      <c r="E1018" s="52">
        <v>1</v>
      </c>
      <c r="F1018" t="s">
        <v>6250</v>
      </c>
      <c r="G1018" t="s">
        <v>6251</v>
      </c>
      <c r="H1018" s="53" t="s">
        <v>6223</v>
      </c>
      <c r="I1018" s="52" t="s">
        <v>1456</v>
      </c>
      <c r="J1018" s="53" t="s">
        <v>6232</v>
      </c>
      <c r="K1018" s="25">
        <f>Tabelle5[[#This Row],[value_present]]*Tabelle5[[#This Row],[binding_level]]</f>
        <v>1</v>
      </c>
    </row>
    <row r="1019" spans="1:11" x14ac:dyDescent="0.25">
      <c r="A1019" s="24">
        <v>38</v>
      </c>
      <c r="B1019" s="50">
        <v>227</v>
      </c>
      <c r="C1019" s="50" t="s">
        <v>118</v>
      </c>
      <c r="D1019" s="51">
        <v>0</v>
      </c>
      <c r="E1019" s="52"/>
      <c r="F1019" s="53"/>
      <c r="G1019" s="53"/>
      <c r="H1019" s="53"/>
      <c r="I1019" s="52" t="s">
        <v>1457</v>
      </c>
      <c r="J1019" s="53" t="s">
        <v>6233</v>
      </c>
      <c r="K1019" s="25">
        <f>Tabelle5[[#This Row],[value_present]]*Tabelle5[[#This Row],[binding_level]]</f>
        <v>0</v>
      </c>
    </row>
    <row r="1020" spans="1:11" x14ac:dyDescent="0.25">
      <c r="A1020" s="24">
        <v>38</v>
      </c>
      <c r="B1020" s="50">
        <v>227</v>
      </c>
      <c r="C1020" s="50" t="s">
        <v>125</v>
      </c>
      <c r="D1020" s="51">
        <v>0</v>
      </c>
      <c r="E1020" s="52"/>
      <c r="F1020" s="53"/>
      <c r="G1020" s="53"/>
      <c r="H1020" s="53"/>
      <c r="I1020" s="52" t="s">
        <v>1457</v>
      </c>
      <c r="J1020" s="53" t="s">
        <v>6234</v>
      </c>
      <c r="K1020" s="25">
        <f>Tabelle5[[#This Row],[value_present]]*Tabelle5[[#This Row],[binding_level]]</f>
        <v>0</v>
      </c>
    </row>
    <row r="1021" spans="1:11" x14ac:dyDescent="0.25">
      <c r="A1021" s="24">
        <v>38</v>
      </c>
      <c r="B1021" s="50">
        <v>227</v>
      </c>
      <c r="C1021" s="50" t="s">
        <v>132</v>
      </c>
      <c r="D1021" s="51">
        <v>1</v>
      </c>
      <c r="E1021" s="52">
        <v>1</v>
      </c>
      <c r="F1021" t="s">
        <v>6252</v>
      </c>
      <c r="G1021" t="s">
        <v>6253</v>
      </c>
      <c r="H1021" s="53" t="s">
        <v>6223</v>
      </c>
      <c r="I1021" s="52" t="s">
        <v>1456</v>
      </c>
      <c r="J1021" s="53" t="s">
        <v>6235</v>
      </c>
      <c r="K1021" s="25">
        <f>Tabelle5[[#This Row],[value_present]]*Tabelle5[[#This Row],[binding_level]]</f>
        <v>1</v>
      </c>
    </row>
    <row r="1022" spans="1:11" x14ac:dyDescent="0.25">
      <c r="A1022" s="24">
        <v>38</v>
      </c>
      <c r="B1022" s="50">
        <v>227</v>
      </c>
      <c r="C1022" s="50" t="s">
        <v>140</v>
      </c>
      <c r="D1022" s="51">
        <v>0</v>
      </c>
      <c r="E1022" s="52"/>
      <c r="F1022" s="53"/>
      <c r="G1022" s="53"/>
      <c r="H1022" s="53"/>
      <c r="I1022" s="52" t="s">
        <v>1541</v>
      </c>
      <c r="J1022" s="53" t="s">
        <v>6236</v>
      </c>
      <c r="K1022" s="25">
        <f>Tabelle5[[#This Row],[value_present]]*Tabelle5[[#This Row],[binding_level]]</f>
        <v>0</v>
      </c>
    </row>
    <row r="1023" spans="1:11" x14ac:dyDescent="0.25">
      <c r="A1023" s="24">
        <v>38</v>
      </c>
      <c r="B1023" s="50">
        <v>227</v>
      </c>
      <c r="C1023" s="50" t="s">
        <v>147</v>
      </c>
      <c r="D1023" s="51">
        <v>0</v>
      </c>
      <c r="E1023" s="52"/>
      <c r="F1023" s="53"/>
      <c r="G1023" s="53"/>
      <c r="H1023" s="53"/>
      <c r="I1023" s="52" t="s">
        <v>1541</v>
      </c>
      <c r="J1023" s="53" t="s">
        <v>6237</v>
      </c>
      <c r="K1023" s="25">
        <f>Tabelle5[[#This Row],[value_present]]*Tabelle5[[#This Row],[binding_level]]</f>
        <v>0</v>
      </c>
    </row>
    <row r="1024" spans="1:11" x14ac:dyDescent="0.25">
      <c r="A1024" s="24">
        <v>38</v>
      </c>
      <c r="B1024" s="50">
        <v>227</v>
      </c>
      <c r="C1024" s="50" t="s">
        <v>154</v>
      </c>
      <c r="D1024" s="51">
        <v>1</v>
      </c>
      <c r="E1024" s="52">
        <v>1</v>
      </c>
      <c r="F1024" t="s">
        <v>6254</v>
      </c>
      <c r="G1024" t="s">
        <v>6255</v>
      </c>
      <c r="H1024" s="53" t="s">
        <v>6223</v>
      </c>
      <c r="I1024" s="52" t="s">
        <v>1457</v>
      </c>
      <c r="J1024" s="53" t="s">
        <v>6238</v>
      </c>
      <c r="K1024" s="25">
        <f>Tabelle5[[#This Row],[value_present]]*Tabelle5[[#This Row],[binding_level]]</f>
        <v>1</v>
      </c>
    </row>
    <row r="1025" spans="1:11" x14ac:dyDescent="0.25">
      <c r="A1025" s="24">
        <v>38</v>
      </c>
      <c r="B1025" s="50">
        <v>227</v>
      </c>
      <c r="C1025" s="50" t="s">
        <v>161</v>
      </c>
      <c r="D1025" s="51">
        <v>0</v>
      </c>
      <c r="E1025" s="52"/>
      <c r="F1025" s="53"/>
      <c r="G1025" s="53"/>
      <c r="H1025" s="53"/>
      <c r="I1025" s="52" t="s">
        <v>1457</v>
      </c>
      <c r="J1025" s="53" t="s">
        <v>6239</v>
      </c>
      <c r="K1025" s="25">
        <f>Tabelle5[[#This Row],[value_present]]*Tabelle5[[#This Row],[binding_level]]</f>
        <v>0</v>
      </c>
    </row>
    <row r="1026" spans="1:11" x14ac:dyDescent="0.25">
      <c r="A1026" s="24">
        <v>38</v>
      </c>
      <c r="B1026" s="50">
        <v>227</v>
      </c>
      <c r="C1026" s="50" t="s">
        <v>166</v>
      </c>
      <c r="D1026" s="51">
        <v>0</v>
      </c>
      <c r="E1026" s="52"/>
      <c r="F1026" s="53"/>
      <c r="G1026" s="53"/>
      <c r="H1026" s="53"/>
      <c r="I1026" s="52" t="s">
        <v>1457</v>
      </c>
      <c r="J1026" s="53" t="s">
        <v>6240</v>
      </c>
      <c r="K1026" s="25">
        <f>Tabelle5[[#This Row],[value_present]]*Tabelle5[[#This Row],[binding_level]]</f>
        <v>0</v>
      </c>
    </row>
    <row r="1027" spans="1:11" ht="15.75" thickBot="1" x14ac:dyDescent="0.3">
      <c r="A1027" s="26">
        <v>38</v>
      </c>
      <c r="B1027" s="27">
        <v>227</v>
      </c>
      <c r="C1027" s="27" t="s">
        <v>174</v>
      </c>
      <c r="D1027" s="28">
        <v>1</v>
      </c>
      <c r="E1027" s="29">
        <v>1</v>
      </c>
      <c r="F1027" s="30" t="s">
        <v>6256</v>
      </c>
      <c r="G1027" s="30" t="s">
        <v>6257</v>
      </c>
      <c r="H1027" s="30" t="s">
        <v>6223</v>
      </c>
      <c r="I1027" s="29" t="s">
        <v>1456</v>
      </c>
      <c r="J1027" s="30" t="s">
        <v>6241</v>
      </c>
      <c r="K1027" s="31">
        <f>Tabelle5[[#This Row],[value_present]]*Tabelle5[[#This Row],[binding_level]]</f>
        <v>1</v>
      </c>
    </row>
    <row r="1028" spans="1:11" x14ac:dyDescent="0.25">
      <c r="A1028" s="18">
        <v>40</v>
      </c>
      <c r="B1028" s="19">
        <v>239</v>
      </c>
      <c r="C1028" s="19" t="s">
        <v>53</v>
      </c>
      <c r="D1028" s="20">
        <v>1</v>
      </c>
      <c r="E1028" s="21">
        <v>3</v>
      </c>
      <c r="F1028" t="s">
        <v>6310</v>
      </c>
      <c r="G1028" t="s">
        <v>6311</v>
      </c>
      <c r="H1028" s="22" t="s">
        <v>6031</v>
      </c>
      <c r="I1028" s="21" t="s">
        <v>1456</v>
      </c>
      <c r="J1028" s="22" t="s">
        <v>6282</v>
      </c>
      <c r="K1028" s="23">
        <f>Tabelle5[[#This Row],[value_present]]*Tabelle5[[#This Row],[binding_level]]</f>
        <v>3</v>
      </c>
    </row>
    <row r="1029" spans="1:11" x14ac:dyDescent="0.25">
      <c r="A1029" s="24">
        <v>40</v>
      </c>
      <c r="B1029" s="50">
        <v>239</v>
      </c>
      <c r="C1029" s="50" t="s">
        <v>61</v>
      </c>
      <c r="D1029" s="51">
        <v>1</v>
      </c>
      <c r="E1029" s="52">
        <v>3</v>
      </c>
      <c r="F1029" t="s">
        <v>6313</v>
      </c>
      <c r="G1029" t="s">
        <v>6312</v>
      </c>
      <c r="H1029" s="53" t="s">
        <v>6283</v>
      </c>
      <c r="I1029" s="52" t="s">
        <v>1456</v>
      </c>
      <c r="J1029" s="53" t="s">
        <v>6284</v>
      </c>
      <c r="K1029" s="25">
        <f>Tabelle5[[#This Row],[value_present]]*Tabelle5[[#This Row],[binding_level]]</f>
        <v>3</v>
      </c>
    </row>
    <row r="1030" spans="1:11" x14ac:dyDescent="0.25">
      <c r="A1030" s="24">
        <v>40</v>
      </c>
      <c r="B1030" s="50">
        <v>239</v>
      </c>
      <c r="C1030" s="50" t="s">
        <v>69</v>
      </c>
      <c r="D1030" s="51">
        <v>1</v>
      </c>
      <c r="E1030" s="52">
        <v>3</v>
      </c>
      <c r="F1030" t="s">
        <v>6315</v>
      </c>
      <c r="G1030" t="s">
        <v>6314</v>
      </c>
      <c r="H1030" s="53" t="s">
        <v>6285</v>
      </c>
      <c r="I1030" s="52" t="s">
        <v>1456</v>
      </c>
      <c r="J1030" s="53" t="s">
        <v>6286</v>
      </c>
      <c r="K1030" s="25">
        <f>Tabelle5[[#This Row],[value_present]]*Tabelle5[[#This Row],[binding_level]]</f>
        <v>3</v>
      </c>
    </row>
    <row r="1031" spans="1:11" x14ac:dyDescent="0.25">
      <c r="A1031" s="24">
        <v>40</v>
      </c>
      <c r="B1031" s="50">
        <v>239</v>
      </c>
      <c r="C1031" s="50" t="s">
        <v>76</v>
      </c>
      <c r="D1031" s="51">
        <v>1</v>
      </c>
      <c r="E1031" s="52">
        <v>3</v>
      </c>
      <c r="F1031" t="s">
        <v>6317</v>
      </c>
      <c r="G1031" t="s">
        <v>6316</v>
      </c>
      <c r="H1031" s="53" t="s">
        <v>6287</v>
      </c>
      <c r="I1031" s="52" t="s">
        <v>1456</v>
      </c>
      <c r="J1031" s="53" t="s">
        <v>6288</v>
      </c>
      <c r="K1031" s="25">
        <f>Tabelle5[[#This Row],[value_present]]*Tabelle5[[#This Row],[binding_level]]</f>
        <v>3</v>
      </c>
    </row>
    <row r="1032" spans="1:11" x14ac:dyDescent="0.25">
      <c r="A1032" s="24">
        <v>40</v>
      </c>
      <c r="B1032" s="50">
        <v>239</v>
      </c>
      <c r="C1032" s="50" t="s">
        <v>83</v>
      </c>
      <c r="D1032" s="51">
        <v>1</v>
      </c>
      <c r="E1032" s="52">
        <v>3</v>
      </c>
      <c r="F1032" t="s">
        <v>6319</v>
      </c>
      <c r="G1032" t="s">
        <v>6318</v>
      </c>
      <c r="H1032" s="53" t="s">
        <v>6289</v>
      </c>
      <c r="I1032" s="52" t="s">
        <v>1456</v>
      </c>
      <c r="J1032" s="53" t="s">
        <v>6290</v>
      </c>
      <c r="K1032" s="25">
        <f>Tabelle5[[#This Row],[value_present]]*Tabelle5[[#This Row],[binding_level]]</f>
        <v>3</v>
      </c>
    </row>
    <row r="1033" spans="1:11" x14ac:dyDescent="0.25">
      <c r="A1033" s="24">
        <v>40</v>
      </c>
      <c r="B1033" s="50">
        <v>239</v>
      </c>
      <c r="C1033" s="50" t="s">
        <v>90</v>
      </c>
      <c r="D1033" s="51">
        <v>1</v>
      </c>
      <c r="E1033" s="52">
        <v>3</v>
      </c>
      <c r="F1033" t="s">
        <v>6321</v>
      </c>
      <c r="G1033" t="s">
        <v>6320</v>
      </c>
      <c r="H1033" s="53" t="s">
        <v>6291</v>
      </c>
      <c r="I1033" s="52" t="s">
        <v>1456</v>
      </c>
      <c r="J1033" s="53" t="s">
        <v>6292</v>
      </c>
      <c r="K1033" s="25">
        <f>Tabelle5[[#This Row],[value_present]]*Tabelle5[[#This Row],[binding_level]]</f>
        <v>3</v>
      </c>
    </row>
    <row r="1034" spans="1:11" x14ac:dyDescent="0.25">
      <c r="A1034" s="24">
        <v>40</v>
      </c>
      <c r="B1034" s="50">
        <v>239</v>
      </c>
      <c r="C1034" s="50" t="s">
        <v>98</v>
      </c>
      <c r="D1034" s="51">
        <v>0</v>
      </c>
      <c r="E1034" s="52"/>
      <c r="F1034" s="53"/>
      <c r="G1034" s="53"/>
      <c r="H1034" s="53"/>
      <c r="I1034" s="52" t="s">
        <v>1457</v>
      </c>
      <c r="J1034" s="53" t="s">
        <v>6293</v>
      </c>
      <c r="K1034" s="25">
        <f>Tabelle5[[#This Row],[value_present]]*Tabelle5[[#This Row],[binding_level]]</f>
        <v>0</v>
      </c>
    </row>
    <row r="1035" spans="1:11" x14ac:dyDescent="0.25">
      <c r="A1035" s="24">
        <v>40</v>
      </c>
      <c r="B1035" s="50">
        <v>239</v>
      </c>
      <c r="C1035" s="50" t="s">
        <v>106</v>
      </c>
      <c r="D1035" s="51">
        <v>1</v>
      </c>
      <c r="E1035" s="52">
        <v>3</v>
      </c>
      <c r="F1035" t="s">
        <v>6323</v>
      </c>
      <c r="G1035" t="s">
        <v>6322</v>
      </c>
      <c r="H1035" s="53" t="s">
        <v>6294</v>
      </c>
      <c r="I1035" s="52" t="s">
        <v>1456</v>
      </c>
      <c r="J1035" s="53" t="s">
        <v>6295</v>
      </c>
      <c r="K1035" s="25">
        <f>Tabelle5[[#This Row],[value_present]]*Tabelle5[[#This Row],[binding_level]]</f>
        <v>3</v>
      </c>
    </row>
    <row r="1036" spans="1:11" x14ac:dyDescent="0.25">
      <c r="A1036" s="24">
        <v>40</v>
      </c>
      <c r="B1036" s="50">
        <v>239</v>
      </c>
      <c r="C1036" s="50" t="s">
        <v>112</v>
      </c>
      <c r="D1036" s="51">
        <v>1</v>
      </c>
      <c r="E1036" s="52">
        <v>3</v>
      </c>
      <c r="F1036" t="s">
        <v>6325</v>
      </c>
      <c r="G1036" t="s">
        <v>6324</v>
      </c>
      <c r="H1036" s="53" t="s">
        <v>6296</v>
      </c>
      <c r="I1036" s="52" t="s">
        <v>1456</v>
      </c>
      <c r="J1036" s="53" t="s">
        <v>6297</v>
      </c>
      <c r="K1036" s="25">
        <f>Tabelle5[[#This Row],[value_present]]*Tabelle5[[#This Row],[binding_level]]</f>
        <v>3</v>
      </c>
    </row>
    <row r="1037" spans="1:11" x14ac:dyDescent="0.25">
      <c r="A1037" s="24">
        <v>40</v>
      </c>
      <c r="B1037" s="50">
        <v>239</v>
      </c>
      <c r="C1037" s="50" t="s">
        <v>118</v>
      </c>
      <c r="D1037" s="51">
        <v>0</v>
      </c>
      <c r="E1037" s="52"/>
      <c r="F1037" s="53"/>
      <c r="G1037" s="53"/>
      <c r="H1037" s="53"/>
      <c r="I1037" s="52" t="s">
        <v>1457</v>
      </c>
      <c r="J1037" s="53" t="s">
        <v>6298</v>
      </c>
      <c r="K1037" s="25">
        <f>Tabelle5[[#This Row],[value_present]]*Tabelle5[[#This Row],[binding_level]]</f>
        <v>0</v>
      </c>
    </row>
    <row r="1038" spans="1:11" x14ac:dyDescent="0.25">
      <c r="A1038" s="24">
        <v>40</v>
      </c>
      <c r="B1038" s="50">
        <v>239</v>
      </c>
      <c r="C1038" s="50" t="s">
        <v>125</v>
      </c>
      <c r="D1038" s="51">
        <v>0</v>
      </c>
      <c r="E1038" s="52"/>
      <c r="F1038" s="53"/>
      <c r="G1038" s="53"/>
      <c r="H1038" s="53"/>
      <c r="I1038" s="52" t="s">
        <v>1457</v>
      </c>
      <c r="J1038" s="53" t="s">
        <v>6299</v>
      </c>
      <c r="K1038" s="25">
        <f>Tabelle5[[#This Row],[value_present]]*Tabelle5[[#This Row],[binding_level]]</f>
        <v>0</v>
      </c>
    </row>
    <row r="1039" spans="1:11" x14ac:dyDescent="0.25">
      <c r="A1039" s="24">
        <v>40</v>
      </c>
      <c r="B1039" s="50">
        <v>239</v>
      </c>
      <c r="C1039" s="50" t="s">
        <v>132</v>
      </c>
      <c r="D1039" s="51">
        <v>0</v>
      </c>
      <c r="E1039" s="52"/>
      <c r="F1039" s="53"/>
      <c r="G1039" s="53"/>
      <c r="H1039" s="53"/>
      <c r="I1039" s="52" t="s">
        <v>1457</v>
      </c>
      <c r="J1039" s="53" t="s">
        <v>6300</v>
      </c>
      <c r="K1039" s="25">
        <f>Tabelle5[[#This Row],[value_present]]*Tabelle5[[#This Row],[binding_level]]</f>
        <v>0</v>
      </c>
    </row>
    <row r="1040" spans="1:11" x14ac:dyDescent="0.25">
      <c r="A1040" s="24">
        <v>40</v>
      </c>
      <c r="B1040" s="50">
        <v>239</v>
      </c>
      <c r="C1040" s="50" t="s">
        <v>140</v>
      </c>
      <c r="D1040" s="51">
        <v>0</v>
      </c>
      <c r="E1040" s="52"/>
      <c r="F1040" s="53"/>
      <c r="G1040" s="53"/>
      <c r="H1040" s="53"/>
      <c r="I1040" s="52" t="s">
        <v>1541</v>
      </c>
      <c r="J1040" s="53" t="s">
        <v>6301</v>
      </c>
      <c r="K1040" s="25">
        <f>Tabelle5[[#This Row],[value_present]]*Tabelle5[[#This Row],[binding_level]]</f>
        <v>0</v>
      </c>
    </row>
    <row r="1041" spans="1:11" x14ac:dyDescent="0.25">
      <c r="A1041" s="24">
        <v>40</v>
      </c>
      <c r="B1041" s="50">
        <v>239</v>
      </c>
      <c r="C1041" s="50" t="s">
        <v>147</v>
      </c>
      <c r="D1041" s="51">
        <v>1</v>
      </c>
      <c r="E1041" s="52">
        <v>3</v>
      </c>
      <c r="F1041" t="s">
        <v>6327</v>
      </c>
      <c r="G1041" t="s">
        <v>6326</v>
      </c>
      <c r="H1041" s="53" t="s">
        <v>6302</v>
      </c>
      <c r="I1041" s="52" t="s">
        <v>1456</v>
      </c>
      <c r="J1041" s="53" t="s">
        <v>6303</v>
      </c>
      <c r="K1041" s="25">
        <f>Tabelle5[[#This Row],[value_present]]*Tabelle5[[#This Row],[binding_level]]</f>
        <v>3</v>
      </c>
    </row>
    <row r="1042" spans="1:11" x14ac:dyDescent="0.25">
      <c r="A1042" s="24">
        <v>40</v>
      </c>
      <c r="B1042" s="50">
        <v>239</v>
      </c>
      <c r="C1042" s="50" t="s">
        <v>154</v>
      </c>
      <c r="D1042" s="51">
        <v>1</v>
      </c>
      <c r="E1042" s="52">
        <v>2</v>
      </c>
      <c r="F1042" t="s">
        <v>6329</v>
      </c>
      <c r="G1042" t="s">
        <v>6328</v>
      </c>
      <c r="H1042" s="53" t="s">
        <v>6304</v>
      </c>
      <c r="I1042" s="52" t="s">
        <v>1456</v>
      </c>
      <c r="J1042" s="53" t="s">
        <v>6305</v>
      </c>
      <c r="K1042" s="25">
        <f>Tabelle5[[#This Row],[value_present]]*Tabelle5[[#This Row],[binding_level]]</f>
        <v>2</v>
      </c>
    </row>
    <row r="1043" spans="1:11" x14ac:dyDescent="0.25">
      <c r="A1043" s="24">
        <v>40</v>
      </c>
      <c r="B1043" s="50">
        <v>239</v>
      </c>
      <c r="C1043" s="50" t="s">
        <v>161</v>
      </c>
      <c r="D1043" s="51">
        <v>1</v>
      </c>
      <c r="E1043" s="52">
        <v>3</v>
      </c>
      <c r="F1043" t="s">
        <v>6331</v>
      </c>
      <c r="G1043" t="s">
        <v>6330</v>
      </c>
      <c r="H1043" s="53" t="s">
        <v>6306</v>
      </c>
      <c r="I1043" s="52" t="s">
        <v>1456</v>
      </c>
      <c r="J1043" s="53" t="s">
        <v>6307</v>
      </c>
      <c r="K1043" s="25">
        <f>Tabelle5[[#This Row],[value_present]]*Tabelle5[[#This Row],[binding_level]]</f>
        <v>3</v>
      </c>
    </row>
    <row r="1044" spans="1:11" x14ac:dyDescent="0.25">
      <c r="A1044" s="24">
        <v>40</v>
      </c>
      <c r="B1044" s="50">
        <v>239</v>
      </c>
      <c r="C1044" s="50" t="s">
        <v>166</v>
      </c>
      <c r="D1044" s="51">
        <v>0</v>
      </c>
      <c r="E1044" s="52"/>
      <c r="F1044" s="53"/>
      <c r="G1044" s="53"/>
      <c r="H1044" s="53"/>
      <c r="I1044" s="52" t="s">
        <v>1457</v>
      </c>
      <c r="J1044" s="53" t="s">
        <v>6308</v>
      </c>
      <c r="K1044" s="25">
        <f>Tabelle5[[#This Row],[value_present]]*Tabelle5[[#This Row],[binding_level]]</f>
        <v>0</v>
      </c>
    </row>
    <row r="1045" spans="1:11" ht="15.75" thickBot="1" x14ac:dyDescent="0.3">
      <c r="A1045" s="26">
        <v>40</v>
      </c>
      <c r="B1045" s="27">
        <v>239</v>
      </c>
      <c r="C1045" s="27" t="s">
        <v>174</v>
      </c>
      <c r="D1045" s="28">
        <v>0</v>
      </c>
      <c r="E1045" s="29"/>
      <c r="F1045" s="30"/>
      <c r="G1045" s="30"/>
      <c r="H1045" s="30"/>
      <c r="I1045" s="29" t="s">
        <v>1541</v>
      </c>
      <c r="J1045" s="30" t="s">
        <v>6309</v>
      </c>
      <c r="K1045" s="31">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D2:D1045</xm:sqref>
        </x14:dataValidation>
        <x14:dataValidation type="list" showInputMessage="1" showErrorMessage="1" xr:uid="{645BC1A3-4DC8-4D9B-837C-7691C1DCD3DF}">
          <x14:formula1>
            <xm:f>'99_Lookups'!$M$2:$M$4</xm:f>
          </x14:formula1>
          <xm:sqref>E2:E1045</xm:sqref>
        </x14:dataValidation>
        <x14:dataValidation type="list" showErrorMessage="1" xr:uid="{3A25E9A5-878D-4E9A-A433-6C3AA99501EF}">
          <x14:formula1>
            <xm:f>'99_Lookups'!$K$2:$K$4</xm:f>
          </x14:formula1>
          <xm:sqref>I2:I523 J524:J532 J536:J539 I533:I535 I540:I1139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Q407"/>
  <sheetViews>
    <sheetView tabSelected="1" topLeftCell="A381" workbookViewId="0">
      <selection activeCell="F412" sqref="F412"/>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 min="14" max="14" width="18.140625"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15" x14ac:dyDescent="0.25">
      <c r="A97" s="24">
        <v>6</v>
      </c>
      <c r="B97" s="2">
        <v>34</v>
      </c>
      <c r="C97" s="2" t="s">
        <v>210</v>
      </c>
      <c r="D97" s="3">
        <v>0</v>
      </c>
      <c r="F97" s="2"/>
      <c r="H97" s="1" t="s">
        <v>1456</v>
      </c>
      <c r="I97" s="33" t="s">
        <v>3157</v>
      </c>
    </row>
    <row r="98" spans="1:15" x14ac:dyDescent="0.25">
      <c r="A98" s="24">
        <v>6</v>
      </c>
      <c r="B98" s="2">
        <v>34</v>
      </c>
      <c r="C98" s="2" t="s">
        <v>215</v>
      </c>
      <c r="D98" s="3">
        <v>0</v>
      </c>
      <c r="F98" s="2"/>
      <c r="H98" s="1" t="s">
        <v>1456</v>
      </c>
      <c r="I98" s="33" t="s">
        <v>3158</v>
      </c>
    </row>
    <row r="99" spans="1:15" ht="15.75" thickBot="1" x14ac:dyDescent="0.3">
      <c r="A99" s="26">
        <v>6</v>
      </c>
      <c r="B99" s="27">
        <v>34</v>
      </c>
      <c r="C99" s="27" t="s">
        <v>221</v>
      </c>
      <c r="D99" s="28">
        <v>1</v>
      </c>
      <c r="E99" s="30" t="s">
        <v>3171</v>
      </c>
      <c r="F99" s="27" t="s">
        <v>3159</v>
      </c>
      <c r="G99" s="30" t="s">
        <v>3167</v>
      </c>
      <c r="H99" s="29" t="s">
        <v>1457</v>
      </c>
      <c r="I99" s="34" t="s">
        <v>3166</v>
      </c>
    </row>
    <row r="100" spans="1:15" x14ac:dyDescent="0.25">
      <c r="A100" s="18">
        <v>6</v>
      </c>
      <c r="B100" s="19">
        <v>36</v>
      </c>
      <c r="C100" s="19" t="s">
        <v>186</v>
      </c>
      <c r="D100" s="20">
        <v>1</v>
      </c>
      <c r="E100" s="22" t="s">
        <v>3219</v>
      </c>
      <c r="F100" s="19" t="s">
        <v>3216</v>
      </c>
      <c r="G100" s="22" t="s">
        <v>3096</v>
      </c>
      <c r="H100" s="21" t="s">
        <v>1457</v>
      </c>
      <c r="I100" s="32" t="s">
        <v>3222</v>
      </c>
    </row>
    <row r="101" spans="1:15" x14ac:dyDescent="0.25">
      <c r="A101" s="24">
        <v>6</v>
      </c>
      <c r="B101" s="2">
        <v>36</v>
      </c>
      <c r="C101" s="2" t="s">
        <v>192</v>
      </c>
      <c r="D101" s="3">
        <v>1</v>
      </c>
      <c r="E101" t="s">
        <v>3220</v>
      </c>
      <c r="F101" s="2" t="s">
        <v>3216</v>
      </c>
      <c r="G101" t="s">
        <v>3224</v>
      </c>
      <c r="H101" s="1" t="s">
        <v>1457</v>
      </c>
      <c r="I101" s="33" t="s">
        <v>3223</v>
      </c>
    </row>
    <row r="102" spans="1:15" x14ac:dyDescent="0.25">
      <c r="A102" s="24">
        <v>6</v>
      </c>
      <c r="B102" s="2">
        <v>36</v>
      </c>
      <c r="C102" s="2" t="s">
        <v>198</v>
      </c>
      <c r="D102" s="3">
        <v>1</v>
      </c>
      <c r="E102" t="s">
        <v>3221</v>
      </c>
      <c r="F102" s="2" t="s">
        <v>3216</v>
      </c>
      <c r="G102" t="s">
        <v>3226</v>
      </c>
      <c r="H102" s="1" t="s">
        <v>1457</v>
      </c>
      <c r="I102" s="33" t="s">
        <v>3225</v>
      </c>
    </row>
    <row r="103" spans="1:15" x14ac:dyDescent="0.25">
      <c r="A103" s="24">
        <v>6</v>
      </c>
      <c r="B103" s="2">
        <v>36</v>
      </c>
      <c r="C103" s="2" t="s">
        <v>204</v>
      </c>
      <c r="D103" s="3">
        <v>0</v>
      </c>
      <c r="F103" s="2"/>
      <c r="H103" s="1" t="s">
        <v>1456</v>
      </c>
      <c r="I103" s="33" t="s">
        <v>3217</v>
      </c>
    </row>
    <row r="104" spans="1:15" x14ac:dyDescent="0.25">
      <c r="A104" s="24">
        <v>6</v>
      </c>
      <c r="B104" s="2">
        <v>36</v>
      </c>
      <c r="C104" s="2" t="s">
        <v>210</v>
      </c>
      <c r="D104" s="3">
        <v>0</v>
      </c>
      <c r="F104" s="2"/>
      <c r="H104" s="1" t="s">
        <v>1456</v>
      </c>
      <c r="I104" s="33" t="s">
        <v>3088</v>
      </c>
      <c r="O104" t="s">
        <v>3326</v>
      </c>
    </row>
    <row r="105" spans="1:15" x14ac:dyDescent="0.25">
      <c r="A105" s="24">
        <v>6</v>
      </c>
      <c r="B105" s="2">
        <v>36</v>
      </c>
      <c r="C105" s="2" t="s">
        <v>215</v>
      </c>
      <c r="D105" s="3">
        <v>0</v>
      </c>
      <c r="F105" s="2"/>
      <c r="H105" s="1" t="s">
        <v>1456</v>
      </c>
      <c r="I105" s="33" t="s">
        <v>3218</v>
      </c>
    </row>
    <row r="106" spans="1:15" ht="15.75" thickBot="1" x14ac:dyDescent="0.3">
      <c r="A106" s="26">
        <v>6</v>
      </c>
      <c r="B106" s="27">
        <v>36</v>
      </c>
      <c r="C106" s="27" t="s">
        <v>221</v>
      </c>
      <c r="D106" s="28">
        <v>0</v>
      </c>
      <c r="E106" s="30"/>
      <c r="F106" s="27"/>
      <c r="G106" s="30"/>
      <c r="H106" s="29" t="s">
        <v>1456</v>
      </c>
      <c r="I106" s="34" t="s">
        <v>2874</v>
      </c>
    </row>
    <row r="107" spans="1:15" x14ac:dyDescent="0.25">
      <c r="A107" s="18">
        <v>7</v>
      </c>
      <c r="B107" s="19">
        <v>37</v>
      </c>
      <c r="C107" s="19" t="s">
        <v>186</v>
      </c>
      <c r="D107" s="20">
        <v>2</v>
      </c>
      <c r="E107" s="22" t="s">
        <v>3304</v>
      </c>
      <c r="F107" s="19" t="s">
        <v>3216</v>
      </c>
      <c r="G107" s="22" t="s">
        <v>3161</v>
      </c>
      <c r="H107" s="21" t="s">
        <v>1456</v>
      </c>
      <c r="I107" s="32" t="s">
        <v>3295</v>
      </c>
    </row>
    <row r="108" spans="1:15" x14ac:dyDescent="0.25">
      <c r="A108" s="24">
        <v>7</v>
      </c>
      <c r="B108" s="2">
        <v>37</v>
      </c>
      <c r="C108" s="2" t="s">
        <v>192</v>
      </c>
      <c r="D108" s="3">
        <v>2</v>
      </c>
      <c r="E108" t="s">
        <v>3305</v>
      </c>
      <c r="F108" s="2" t="s">
        <v>2602</v>
      </c>
      <c r="G108" t="s">
        <v>3297</v>
      </c>
      <c r="H108" s="1" t="s">
        <v>1456</v>
      </c>
      <c r="I108" s="33" t="s">
        <v>3296</v>
      </c>
    </row>
    <row r="109" spans="1:15" x14ac:dyDescent="0.25">
      <c r="A109" s="24">
        <v>7</v>
      </c>
      <c r="B109" s="2">
        <v>37</v>
      </c>
      <c r="C109" s="2" t="s">
        <v>198</v>
      </c>
      <c r="D109" s="3">
        <v>2</v>
      </c>
      <c r="E109" t="s">
        <v>3306</v>
      </c>
      <c r="F109" s="2" t="s">
        <v>3291</v>
      </c>
      <c r="G109" t="s">
        <v>3299</v>
      </c>
      <c r="H109" s="1" t="s">
        <v>1456</v>
      </c>
      <c r="I109" s="33" t="s">
        <v>3298</v>
      </c>
    </row>
    <row r="110" spans="1:15" x14ac:dyDescent="0.25">
      <c r="A110" s="24">
        <v>7</v>
      </c>
      <c r="B110" s="2">
        <v>37</v>
      </c>
      <c r="C110" s="2" t="s">
        <v>204</v>
      </c>
      <c r="D110" s="3">
        <v>0</v>
      </c>
      <c r="F110" s="2"/>
      <c r="H110" s="1" t="s">
        <v>1456</v>
      </c>
      <c r="I110" s="33" t="s">
        <v>3292</v>
      </c>
    </row>
    <row r="111" spans="1:15" x14ac:dyDescent="0.25">
      <c r="A111" s="24">
        <v>7</v>
      </c>
      <c r="B111" s="2">
        <v>37</v>
      </c>
      <c r="C111" s="2" t="s">
        <v>210</v>
      </c>
      <c r="D111" s="3">
        <v>1</v>
      </c>
      <c r="E111" t="s">
        <v>3307</v>
      </c>
      <c r="F111" s="2" t="s">
        <v>3293</v>
      </c>
      <c r="G111" t="s">
        <v>3301</v>
      </c>
      <c r="H111" s="1" t="s">
        <v>1457</v>
      </c>
      <c r="I111" s="33" t="s">
        <v>3300</v>
      </c>
    </row>
    <row r="112" spans="1:15"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3350</v>
      </c>
    </row>
    <row r="115" spans="1:9" x14ac:dyDescent="0.25">
      <c r="A115" s="24">
        <v>7</v>
      </c>
      <c r="B115" s="2">
        <v>38</v>
      </c>
      <c r="C115" s="2" t="s">
        <v>192</v>
      </c>
      <c r="D115" s="3">
        <v>0</v>
      </c>
      <c r="F115" s="2"/>
      <c r="H115" s="1" t="s">
        <v>1456</v>
      </c>
      <c r="I115" s="33" t="s">
        <v>3351</v>
      </c>
    </row>
    <row r="116" spans="1:9" x14ac:dyDescent="0.25">
      <c r="A116" s="24">
        <v>7</v>
      </c>
      <c r="B116" s="2">
        <v>38</v>
      </c>
      <c r="C116" s="2" t="s">
        <v>198</v>
      </c>
      <c r="D116" s="3">
        <v>1</v>
      </c>
      <c r="E116" t="s">
        <v>3357</v>
      </c>
      <c r="F116" s="2" t="s">
        <v>3193</v>
      </c>
      <c r="G116" t="s">
        <v>3353</v>
      </c>
      <c r="H116" s="1" t="s">
        <v>1541</v>
      </c>
      <c r="I116" s="33" t="s">
        <v>3354</v>
      </c>
    </row>
    <row r="117" spans="1:9" x14ac:dyDescent="0.25">
      <c r="A117" s="24">
        <v>7</v>
      </c>
      <c r="B117" s="2">
        <v>38</v>
      </c>
      <c r="C117" s="2" t="s">
        <v>204</v>
      </c>
      <c r="D117" s="3">
        <v>0</v>
      </c>
      <c r="F117" s="2"/>
      <c r="H117" s="1" t="s">
        <v>1456</v>
      </c>
      <c r="I117" s="33" t="s">
        <v>3352</v>
      </c>
    </row>
    <row r="118" spans="1:9" x14ac:dyDescent="0.25">
      <c r="A118" s="24">
        <v>7</v>
      </c>
      <c r="B118" s="2">
        <v>38</v>
      </c>
      <c r="C118" s="2" t="s">
        <v>210</v>
      </c>
      <c r="D118" s="3">
        <v>1</v>
      </c>
      <c r="E118" t="s">
        <v>3358</v>
      </c>
      <c r="F118" s="2" t="s">
        <v>3193</v>
      </c>
      <c r="G118" t="s">
        <v>3356</v>
      </c>
      <c r="H118" s="1" t="s">
        <v>1456</v>
      </c>
      <c r="I118" s="33" t="s">
        <v>3355</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3418</v>
      </c>
      <c r="F121" s="19" t="s">
        <v>2698</v>
      </c>
      <c r="G121" s="22"/>
      <c r="H121" s="21" t="s">
        <v>1456</v>
      </c>
      <c r="I121" s="32" t="s">
        <v>3412</v>
      </c>
    </row>
    <row r="122" spans="1:9" x14ac:dyDescent="0.25">
      <c r="A122" s="24">
        <v>9</v>
      </c>
      <c r="B122" s="2">
        <v>46</v>
      </c>
      <c r="C122" s="2" t="s">
        <v>192</v>
      </c>
      <c r="D122" s="3">
        <v>2</v>
      </c>
      <c r="E122" t="s">
        <v>3419</v>
      </c>
      <c r="F122" s="2" t="s">
        <v>2698</v>
      </c>
      <c r="H122" s="1" t="s">
        <v>1456</v>
      </c>
      <c r="I122" s="33" t="s">
        <v>3413</v>
      </c>
    </row>
    <row r="123" spans="1:9" x14ac:dyDescent="0.25">
      <c r="A123" s="24">
        <v>9</v>
      </c>
      <c r="B123" s="2">
        <v>46</v>
      </c>
      <c r="C123" s="2" t="s">
        <v>198</v>
      </c>
      <c r="D123" s="3">
        <v>2</v>
      </c>
      <c r="E123" t="s">
        <v>3420</v>
      </c>
      <c r="F123" s="2" t="s">
        <v>3256</v>
      </c>
      <c r="H123" s="1" t="s">
        <v>1457</v>
      </c>
      <c r="I123" s="33" t="s">
        <v>3414</v>
      </c>
    </row>
    <row r="124" spans="1:9" x14ac:dyDescent="0.25">
      <c r="A124" s="24">
        <v>9</v>
      </c>
      <c r="B124" s="2">
        <v>46</v>
      </c>
      <c r="C124" s="2" t="s">
        <v>204</v>
      </c>
      <c r="D124" s="3">
        <v>0</v>
      </c>
      <c r="F124" s="2"/>
      <c r="H124" s="1" t="s">
        <v>1456</v>
      </c>
      <c r="I124" s="33" t="s">
        <v>3415</v>
      </c>
    </row>
    <row r="125" spans="1:9" x14ac:dyDescent="0.25">
      <c r="A125" s="24">
        <v>9</v>
      </c>
      <c r="B125" s="2">
        <v>46</v>
      </c>
      <c r="C125" s="2" t="s">
        <v>210</v>
      </c>
      <c r="D125" s="3">
        <v>1</v>
      </c>
      <c r="E125" t="s">
        <v>3421</v>
      </c>
      <c r="F125" s="2" t="s">
        <v>3293</v>
      </c>
      <c r="G125" t="s">
        <v>3422</v>
      </c>
      <c r="H125" s="1" t="s">
        <v>1457</v>
      </c>
      <c r="I125" s="33" t="s">
        <v>3423</v>
      </c>
    </row>
    <row r="126" spans="1:9" x14ac:dyDescent="0.25">
      <c r="A126" s="24">
        <v>9</v>
      </c>
      <c r="B126" s="2">
        <v>46</v>
      </c>
      <c r="C126" s="2" t="s">
        <v>215</v>
      </c>
      <c r="D126" s="3">
        <v>0</v>
      </c>
      <c r="F126" s="2"/>
      <c r="H126" s="1" t="s">
        <v>1456</v>
      </c>
      <c r="I126" s="33" t="s">
        <v>3416</v>
      </c>
    </row>
    <row r="127" spans="1:9" ht="15.75" thickBot="1" x14ac:dyDescent="0.3">
      <c r="A127" s="26">
        <v>9</v>
      </c>
      <c r="B127" s="27">
        <v>46</v>
      </c>
      <c r="C127" s="27" t="s">
        <v>221</v>
      </c>
      <c r="D127" s="28">
        <v>0</v>
      </c>
      <c r="E127" s="30"/>
      <c r="F127" s="27"/>
      <c r="G127" s="30"/>
      <c r="H127" s="29" t="s">
        <v>1456</v>
      </c>
      <c r="I127" s="34" t="s">
        <v>3417</v>
      </c>
    </row>
    <row r="128" spans="1:9" x14ac:dyDescent="0.25">
      <c r="A128" s="18">
        <v>9</v>
      </c>
      <c r="B128" s="19">
        <v>48</v>
      </c>
      <c r="C128" s="19" t="s">
        <v>186</v>
      </c>
      <c r="D128" s="20">
        <v>2</v>
      </c>
      <c r="E128" t="s">
        <v>3497</v>
      </c>
      <c r="F128" s="19" t="s">
        <v>3484</v>
      </c>
      <c r="G128" s="22"/>
      <c r="H128" s="21" t="s">
        <v>1456</v>
      </c>
      <c r="I128" s="32" t="s">
        <v>3485</v>
      </c>
    </row>
    <row r="129" spans="1:9" x14ac:dyDescent="0.25">
      <c r="A129" s="24">
        <v>9</v>
      </c>
      <c r="B129" s="2">
        <v>48</v>
      </c>
      <c r="C129" s="2" t="s">
        <v>192</v>
      </c>
      <c r="D129" s="3">
        <v>2</v>
      </c>
      <c r="E129" t="s">
        <v>3498</v>
      </c>
      <c r="F129" s="2" t="s">
        <v>3486</v>
      </c>
      <c r="G129" t="s">
        <v>3492</v>
      </c>
      <c r="H129" s="1" t="s">
        <v>1456</v>
      </c>
      <c r="I129" s="33" t="s">
        <v>3491</v>
      </c>
    </row>
    <row r="130" spans="1:9" x14ac:dyDescent="0.25">
      <c r="A130" s="24">
        <v>9</v>
      </c>
      <c r="B130" s="2">
        <v>48</v>
      </c>
      <c r="C130" s="2" t="s">
        <v>198</v>
      </c>
      <c r="D130" s="3">
        <v>2</v>
      </c>
      <c r="E130" t="s">
        <v>3495</v>
      </c>
      <c r="F130" s="2" t="s">
        <v>2833</v>
      </c>
      <c r="G130" t="s">
        <v>3494</v>
      </c>
      <c r="H130" s="1" t="s">
        <v>1457</v>
      </c>
      <c r="I130" s="33" t="s">
        <v>3493</v>
      </c>
    </row>
    <row r="131" spans="1:9" x14ac:dyDescent="0.25">
      <c r="A131" s="24">
        <v>9</v>
      </c>
      <c r="B131" s="2">
        <v>48</v>
      </c>
      <c r="C131" s="2" t="s">
        <v>204</v>
      </c>
      <c r="D131" s="3">
        <v>2</v>
      </c>
      <c r="E131" t="s">
        <v>3496</v>
      </c>
      <c r="F131" s="2" t="s">
        <v>1400</v>
      </c>
      <c r="H131" s="1" t="s">
        <v>1456</v>
      </c>
      <c r="I131" s="33" t="s">
        <v>3487</v>
      </c>
    </row>
    <row r="132" spans="1:9" x14ac:dyDescent="0.25">
      <c r="A132" s="24">
        <v>9</v>
      </c>
      <c r="B132" s="2">
        <v>48</v>
      </c>
      <c r="C132" s="2" t="s">
        <v>210</v>
      </c>
      <c r="D132" s="3">
        <v>0</v>
      </c>
      <c r="F132" s="2"/>
      <c r="H132" s="1" t="s">
        <v>1456</v>
      </c>
      <c r="I132" s="33" t="s">
        <v>3488</v>
      </c>
    </row>
    <row r="133" spans="1:9" x14ac:dyDescent="0.25">
      <c r="A133" s="24">
        <v>9</v>
      </c>
      <c r="B133" s="2">
        <v>48</v>
      </c>
      <c r="C133" s="2" t="s">
        <v>215</v>
      </c>
      <c r="D133" s="3">
        <v>0</v>
      </c>
      <c r="F133" s="2"/>
      <c r="H133" s="1" t="s">
        <v>1456</v>
      </c>
      <c r="I133" s="33" t="s">
        <v>3489</v>
      </c>
    </row>
    <row r="134" spans="1:9" ht="15.75" thickBot="1" x14ac:dyDescent="0.3">
      <c r="A134" s="26">
        <v>9</v>
      </c>
      <c r="B134" s="27">
        <v>48</v>
      </c>
      <c r="C134" s="27" t="s">
        <v>221</v>
      </c>
      <c r="D134" s="28">
        <v>0</v>
      </c>
      <c r="E134" s="30"/>
      <c r="F134" s="27"/>
      <c r="G134" s="30"/>
      <c r="H134" s="29" t="s">
        <v>1456</v>
      </c>
      <c r="I134" s="34" t="s">
        <v>3490</v>
      </c>
    </row>
    <row r="135" spans="1:9" x14ac:dyDescent="0.25">
      <c r="A135" s="18">
        <v>10</v>
      </c>
      <c r="B135" s="19">
        <v>52</v>
      </c>
      <c r="C135" s="19" t="s">
        <v>186</v>
      </c>
      <c r="D135" s="20">
        <v>0</v>
      </c>
      <c r="E135" s="22"/>
      <c r="F135" s="19"/>
      <c r="G135" s="22"/>
      <c r="H135" s="21" t="s">
        <v>1457</v>
      </c>
      <c r="I135" s="32" t="s">
        <v>3539</v>
      </c>
    </row>
    <row r="136" spans="1:9" x14ac:dyDescent="0.25">
      <c r="A136" s="24">
        <v>10</v>
      </c>
      <c r="B136" s="2">
        <v>52</v>
      </c>
      <c r="C136" s="2" t="s">
        <v>192</v>
      </c>
      <c r="D136" s="3">
        <v>1</v>
      </c>
      <c r="E136" t="s">
        <v>3545</v>
      </c>
      <c r="F136" s="2" t="s">
        <v>3515</v>
      </c>
      <c r="G136" t="s">
        <v>3547</v>
      </c>
      <c r="H136" s="1" t="s">
        <v>1457</v>
      </c>
      <c r="I136" s="33" t="s">
        <v>3546</v>
      </c>
    </row>
    <row r="137" spans="1:9" x14ac:dyDescent="0.25">
      <c r="A137" s="24">
        <v>10</v>
      </c>
      <c r="B137" s="2">
        <v>52</v>
      </c>
      <c r="C137" s="2" t="s">
        <v>198</v>
      </c>
      <c r="D137" s="3">
        <v>0</v>
      </c>
      <c r="F137" s="2"/>
      <c r="H137" s="1" t="s">
        <v>1456</v>
      </c>
      <c r="I137" s="33" t="s">
        <v>3540</v>
      </c>
    </row>
    <row r="138" spans="1:9" x14ac:dyDescent="0.25">
      <c r="A138" s="24">
        <v>10</v>
      </c>
      <c r="B138" s="2">
        <v>52</v>
      </c>
      <c r="C138" s="2" t="s">
        <v>204</v>
      </c>
      <c r="D138" s="3">
        <v>0</v>
      </c>
      <c r="F138" s="2"/>
      <c r="H138" s="1" t="s">
        <v>1456</v>
      </c>
      <c r="I138" s="33" t="s">
        <v>3541</v>
      </c>
    </row>
    <row r="139" spans="1:9" x14ac:dyDescent="0.25">
      <c r="A139" s="24">
        <v>10</v>
      </c>
      <c r="B139" s="2">
        <v>52</v>
      </c>
      <c r="C139" s="2" t="s">
        <v>210</v>
      </c>
      <c r="D139" s="3">
        <v>0</v>
      </c>
      <c r="F139" s="2"/>
      <c r="H139" s="1" t="s">
        <v>1456</v>
      </c>
      <c r="I139" s="33" t="s">
        <v>3542</v>
      </c>
    </row>
    <row r="140" spans="1:9" x14ac:dyDescent="0.25">
      <c r="A140" s="24">
        <v>10</v>
      </c>
      <c r="B140" s="2">
        <v>52</v>
      </c>
      <c r="C140" s="2" t="s">
        <v>215</v>
      </c>
      <c r="D140" s="3">
        <v>1</v>
      </c>
      <c r="E140" t="s">
        <v>3544</v>
      </c>
      <c r="F140" s="2" t="s">
        <v>3515</v>
      </c>
      <c r="G140" t="s">
        <v>3549</v>
      </c>
      <c r="H140" s="1" t="s">
        <v>1456</v>
      </c>
      <c r="I140" s="33" t="s">
        <v>3548</v>
      </c>
    </row>
    <row r="141" spans="1:9" ht="15.75" thickBot="1" x14ac:dyDescent="0.3">
      <c r="A141" s="26">
        <v>10</v>
      </c>
      <c r="B141" s="27">
        <v>52</v>
      </c>
      <c r="C141" s="27" t="s">
        <v>221</v>
      </c>
      <c r="D141" s="28">
        <v>0</v>
      </c>
      <c r="E141" s="30"/>
      <c r="F141" s="27"/>
      <c r="G141" s="30"/>
      <c r="H141" s="29" t="s">
        <v>1456</v>
      </c>
      <c r="I141" s="34" t="s">
        <v>3543</v>
      </c>
    </row>
    <row r="142" spans="1:9" x14ac:dyDescent="0.25">
      <c r="A142" s="18">
        <v>10</v>
      </c>
      <c r="B142" s="19">
        <v>53</v>
      </c>
      <c r="C142" s="19" t="s">
        <v>186</v>
      </c>
      <c r="D142" s="20">
        <v>0</v>
      </c>
      <c r="E142" s="22"/>
      <c r="F142" s="19"/>
      <c r="G142" s="22"/>
      <c r="H142" s="21" t="s">
        <v>1456</v>
      </c>
      <c r="I142" s="32" t="s">
        <v>3592</v>
      </c>
    </row>
    <row r="143" spans="1:9" x14ac:dyDescent="0.25">
      <c r="A143" s="24">
        <v>10</v>
      </c>
      <c r="B143" s="2">
        <v>53</v>
      </c>
      <c r="C143" s="2" t="s">
        <v>192</v>
      </c>
      <c r="D143" s="3">
        <v>0</v>
      </c>
      <c r="F143" s="2"/>
      <c r="H143" s="1" t="s">
        <v>1457</v>
      </c>
      <c r="I143" s="33" t="s">
        <v>3593</v>
      </c>
    </row>
    <row r="144" spans="1:9" x14ac:dyDescent="0.25">
      <c r="A144" s="24">
        <v>10</v>
      </c>
      <c r="B144" s="2">
        <v>53</v>
      </c>
      <c r="C144" s="2" t="s">
        <v>198</v>
      </c>
      <c r="D144" s="3">
        <v>0</v>
      </c>
      <c r="F144" s="2"/>
      <c r="H144" s="1" t="s">
        <v>1456</v>
      </c>
      <c r="I144" s="33" t="s">
        <v>3594</v>
      </c>
    </row>
    <row r="145" spans="1:9" x14ac:dyDescent="0.25">
      <c r="A145" s="24">
        <v>10</v>
      </c>
      <c r="B145" s="2">
        <v>53</v>
      </c>
      <c r="C145" s="2" t="s">
        <v>204</v>
      </c>
      <c r="D145" s="3">
        <v>0</v>
      </c>
      <c r="F145" s="2"/>
      <c r="H145" s="1" t="s">
        <v>1457</v>
      </c>
      <c r="I145" s="33" t="s">
        <v>3595</v>
      </c>
    </row>
    <row r="146" spans="1:9" x14ac:dyDescent="0.25">
      <c r="A146" s="24">
        <v>10</v>
      </c>
      <c r="B146" s="2">
        <v>53</v>
      </c>
      <c r="C146" s="2" t="s">
        <v>210</v>
      </c>
      <c r="D146" s="3">
        <v>0</v>
      </c>
      <c r="F146" s="2"/>
      <c r="H146" s="1" t="s">
        <v>1457</v>
      </c>
      <c r="I146" s="33" t="s">
        <v>3596</v>
      </c>
    </row>
    <row r="147" spans="1:9" x14ac:dyDescent="0.25">
      <c r="A147" s="24">
        <v>10</v>
      </c>
      <c r="B147" s="2">
        <v>53</v>
      </c>
      <c r="C147" s="2" t="s">
        <v>215</v>
      </c>
      <c r="D147" s="3">
        <v>0</v>
      </c>
      <c r="F147" s="2"/>
      <c r="H147" s="1" t="s">
        <v>1457</v>
      </c>
      <c r="I147" s="33" t="s">
        <v>3597</v>
      </c>
    </row>
    <row r="148" spans="1:9" ht="15.75" thickBot="1" x14ac:dyDescent="0.3">
      <c r="A148" s="26">
        <v>10</v>
      </c>
      <c r="B148" s="27">
        <v>53</v>
      </c>
      <c r="C148" s="27" t="s">
        <v>221</v>
      </c>
      <c r="D148" s="28">
        <v>0</v>
      </c>
      <c r="E148" s="30"/>
      <c r="F148" s="27"/>
      <c r="G148" s="30"/>
      <c r="H148" s="29" t="s">
        <v>1456</v>
      </c>
      <c r="I148" s="34" t="s">
        <v>3543</v>
      </c>
    </row>
    <row r="149" spans="1:9" x14ac:dyDescent="0.25">
      <c r="A149" s="18">
        <v>11</v>
      </c>
      <c r="B149" s="19">
        <v>56</v>
      </c>
      <c r="C149" s="19" t="s">
        <v>186</v>
      </c>
      <c r="D149" s="20">
        <v>0</v>
      </c>
      <c r="E149" s="22"/>
      <c r="F149" s="19"/>
      <c r="G149" s="22"/>
      <c r="H149" s="21" t="s">
        <v>1456</v>
      </c>
      <c r="I149" s="32" t="s">
        <v>3643</v>
      </c>
    </row>
    <row r="150" spans="1:9" x14ac:dyDescent="0.25">
      <c r="A150" s="24">
        <v>11</v>
      </c>
      <c r="B150" s="2">
        <v>56</v>
      </c>
      <c r="C150" s="2" t="s">
        <v>192</v>
      </c>
      <c r="D150" s="3">
        <v>0</v>
      </c>
      <c r="F150" s="2"/>
      <c r="H150" s="1" t="s">
        <v>1457</v>
      </c>
      <c r="I150" s="33" t="s">
        <v>3644</v>
      </c>
    </row>
    <row r="151" spans="1:9" x14ac:dyDescent="0.25">
      <c r="A151" s="24">
        <v>11</v>
      </c>
      <c r="B151" s="2">
        <v>56</v>
      </c>
      <c r="C151" s="2" t="s">
        <v>198</v>
      </c>
      <c r="D151" s="3">
        <v>0</v>
      </c>
      <c r="F151" s="2"/>
      <c r="H151" s="1" t="s">
        <v>1456</v>
      </c>
      <c r="I151" s="33" t="s">
        <v>3540</v>
      </c>
    </row>
    <row r="152" spans="1:9" x14ac:dyDescent="0.25">
      <c r="A152" s="24">
        <v>11</v>
      </c>
      <c r="B152" s="2">
        <v>56</v>
      </c>
      <c r="C152" s="2" t="s">
        <v>204</v>
      </c>
      <c r="D152" s="3">
        <v>0</v>
      </c>
      <c r="F152" s="2"/>
      <c r="H152" s="1" t="s">
        <v>1456</v>
      </c>
      <c r="I152" s="33" t="s">
        <v>3645</v>
      </c>
    </row>
    <row r="153" spans="1:9" x14ac:dyDescent="0.25">
      <c r="A153" s="24">
        <v>11</v>
      </c>
      <c r="B153" s="2">
        <v>56</v>
      </c>
      <c r="C153" s="2" t="s">
        <v>210</v>
      </c>
      <c r="D153" s="3">
        <v>0</v>
      </c>
      <c r="F153" s="2"/>
      <c r="H153" s="1" t="s">
        <v>1457</v>
      </c>
      <c r="I153" s="33" t="s">
        <v>3646</v>
      </c>
    </row>
    <row r="154" spans="1:9" x14ac:dyDescent="0.25">
      <c r="A154" s="24">
        <v>11</v>
      </c>
      <c r="B154" s="2">
        <v>56</v>
      </c>
      <c r="C154" s="2" t="s">
        <v>215</v>
      </c>
      <c r="D154" s="3">
        <v>0</v>
      </c>
      <c r="F154" s="2"/>
      <c r="H154" s="1" t="s">
        <v>1457</v>
      </c>
      <c r="I154" s="33" t="s">
        <v>3647</v>
      </c>
    </row>
    <row r="155" spans="1:9" ht="15.75" thickBot="1" x14ac:dyDescent="0.3">
      <c r="A155" s="26">
        <v>11</v>
      </c>
      <c r="B155" s="27">
        <v>56</v>
      </c>
      <c r="C155" s="27" t="s">
        <v>221</v>
      </c>
      <c r="D155" s="28">
        <v>0</v>
      </c>
      <c r="E155" s="30"/>
      <c r="F155" s="27"/>
      <c r="G155" s="30"/>
      <c r="H155" s="29" t="s">
        <v>1456</v>
      </c>
      <c r="I155" s="34" t="s">
        <v>3543</v>
      </c>
    </row>
    <row r="156" spans="1:9" x14ac:dyDescent="0.25">
      <c r="A156" s="18">
        <v>11</v>
      </c>
      <c r="B156" s="19">
        <v>57</v>
      </c>
      <c r="C156" s="19" t="s">
        <v>186</v>
      </c>
      <c r="D156" s="20">
        <v>0</v>
      </c>
      <c r="E156" s="22"/>
      <c r="F156" s="19"/>
      <c r="G156" s="22"/>
      <c r="H156" s="21" t="s">
        <v>1456</v>
      </c>
      <c r="I156" s="32" t="s">
        <v>3643</v>
      </c>
    </row>
    <row r="157" spans="1:9" x14ac:dyDescent="0.25">
      <c r="A157" s="24">
        <v>11</v>
      </c>
      <c r="B157" s="2">
        <v>57</v>
      </c>
      <c r="C157" s="2" t="s">
        <v>192</v>
      </c>
      <c r="D157" s="3">
        <v>1</v>
      </c>
      <c r="E157" t="s">
        <v>3661</v>
      </c>
      <c r="F157" s="2" t="s">
        <v>3674</v>
      </c>
      <c r="G157" s="33" t="s">
        <v>3684</v>
      </c>
      <c r="H157" s="1" t="s">
        <v>1457</v>
      </c>
    </row>
    <row r="158" spans="1:9" x14ac:dyDescent="0.25">
      <c r="A158" s="24">
        <v>11</v>
      </c>
      <c r="B158" s="2">
        <v>57</v>
      </c>
      <c r="C158" s="2" t="s">
        <v>198</v>
      </c>
      <c r="D158" s="3">
        <v>0</v>
      </c>
      <c r="F158" s="2"/>
      <c r="H158" s="1" t="s">
        <v>1456</v>
      </c>
      <c r="I158" s="33" t="s">
        <v>3540</v>
      </c>
    </row>
    <row r="159" spans="1:9" x14ac:dyDescent="0.25">
      <c r="A159" s="24">
        <v>11</v>
      </c>
      <c r="B159" s="2">
        <v>57</v>
      </c>
      <c r="C159" s="2" t="s">
        <v>204</v>
      </c>
      <c r="D159" s="3">
        <v>0</v>
      </c>
      <c r="F159" s="2"/>
      <c r="H159" s="1" t="s">
        <v>1456</v>
      </c>
      <c r="I159" s="33" t="s">
        <v>3645</v>
      </c>
    </row>
    <row r="160" spans="1:9" x14ac:dyDescent="0.25">
      <c r="A160" s="24">
        <v>11</v>
      </c>
      <c r="B160" s="2">
        <v>57</v>
      </c>
      <c r="C160" s="2" t="s">
        <v>210</v>
      </c>
      <c r="D160" s="3">
        <v>0</v>
      </c>
      <c r="F160" s="2"/>
      <c r="H160" s="1" t="s">
        <v>1457</v>
      </c>
      <c r="I160" s="33" t="s">
        <v>3685</v>
      </c>
    </row>
    <row r="161" spans="1:9" x14ac:dyDescent="0.25">
      <c r="A161" s="24">
        <v>11</v>
      </c>
      <c r="B161" s="2">
        <v>57</v>
      </c>
      <c r="C161" s="2" t="s">
        <v>215</v>
      </c>
      <c r="D161" s="3">
        <v>0</v>
      </c>
      <c r="F161" s="2"/>
      <c r="H161" s="1" t="s">
        <v>1457</v>
      </c>
      <c r="I161" s="33" t="s">
        <v>3686</v>
      </c>
    </row>
    <row r="162" spans="1:9" ht="15.75" thickBot="1" x14ac:dyDescent="0.3">
      <c r="A162" s="26">
        <v>11</v>
      </c>
      <c r="B162" s="27">
        <v>57</v>
      </c>
      <c r="C162" s="27" t="s">
        <v>221</v>
      </c>
      <c r="D162" s="28">
        <v>0</v>
      </c>
      <c r="E162" s="30"/>
      <c r="F162" s="27"/>
      <c r="G162" s="30"/>
      <c r="H162" s="29" t="s">
        <v>1456</v>
      </c>
      <c r="I162" s="34" t="s">
        <v>3543</v>
      </c>
    </row>
    <row r="163" spans="1:9" x14ac:dyDescent="0.25">
      <c r="A163" s="18">
        <v>12</v>
      </c>
      <c r="B163" s="19">
        <v>62</v>
      </c>
      <c r="C163" s="19" t="s">
        <v>186</v>
      </c>
      <c r="D163" s="20">
        <v>0</v>
      </c>
      <c r="E163" s="22"/>
      <c r="F163" s="19"/>
      <c r="G163" s="22"/>
      <c r="H163" s="21" t="s">
        <v>1457</v>
      </c>
      <c r="I163" s="32" t="s">
        <v>3850</v>
      </c>
    </row>
    <row r="164" spans="1:9" x14ac:dyDescent="0.25">
      <c r="A164" s="24">
        <v>12</v>
      </c>
      <c r="B164" s="2">
        <v>62</v>
      </c>
      <c r="C164" s="2" t="s">
        <v>192</v>
      </c>
      <c r="D164" s="3">
        <v>1</v>
      </c>
      <c r="E164" t="s">
        <v>3860</v>
      </c>
      <c r="F164" s="2" t="s">
        <v>3807</v>
      </c>
      <c r="G164" t="s">
        <v>3854</v>
      </c>
      <c r="H164" s="1" t="s">
        <v>1457</v>
      </c>
      <c r="I164" s="33" t="s">
        <v>3855</v>
      </c>
    </row>
    <row r="165" spans="1:9" x14ac:dyDescent="0.25">
      <c r="A165" s="24">
        <v>12</v>
      </c>
      <c r="B165" s="2">
        <v>62</v>
      </c>
      <c r="C165" s="2" t="s">
        <v>198</v>
      </c>
      <c r="D165" s="3">
        <v>1</v>
      </c>
      <c r="E165" t="s">
        <v>3861</v>
      </c>
      <c r="F165" s="2" t="s">
        <v>3807</v>
      </c>
      <c r="G165" t="s">
        <v>3857</v>
      </c>
      <c r="H165" s="1" t="s">
        <v>1457</v>
      </c>
      <c r="I165" s="33" t="s">
        <v>3856</v>
      </c>
    </row>
    <row r="166" spans="1:9" x14ac:dyDescent="0.25">
      <c r="A166" s="24">
        <v>12</v>
      </c>
      <c r="B166" s="2">
        <v>62</v>
      </c>
      <c r="C166" s="2" t="s">
        <v>204</v>
      </c>
      <c r="D166" s="3">
        <v>0</v>
      </c>
      <c r="F166" s="2"/>
      <c r="H166" s="1" t="s">
        <v>1456</v>
      </c>
      <c r="I166" s="33" t="s">
        <v>3851</v>
      </c>
    </row>
    <row r="167" spans="1:9" x14ac:dyDescent="0.25">
      <c r="A167" s="24">
        <v>12</v>
      </c>
      <c r="B167" s="2">
        <v>62</v>
      </c>
      <c r="C167" s="2" t="s">
        <v>210</v>
      </c>
      <c r="D167" s="3">
        <v>1</v>
      </c>
      <c r="E167" t="s">
        <v>3862</v>
      </c>
      <c r="F167" s="2" t="s">
        <v>3809</v>
      </c>
      <c r="G167" t="s">
        <v>3859</v>
      </c>
      <c r="H167" s="1" t="s">
        <v>1456</v>
      </c>
      <c r="I167" s="33" t="s">
        <v>3858</v>
      </c>
    </row>
    <row r="168" spans="1:9" x14ac:dyDescent="0.25">
      <c r="A168" s="24">
        <v>12</v>
      </c>
      <c r="B168" s="2">
        <v>62</v>
      </c>
      <c r="C168" s="2" t="s">
        <v>215</v>
      </c>
      <c r="D168" s="3">
        <v>0</v>
      </c>
      <c r="F168" s="2"/>
      <c r="H168" s="1" t="s">
        <v>1456</v>
      </c>
      <c r="I168" s="33" t="s">
        <v>3852</v>
      </c>
    </row>
    <row r="169" spans="1:9" ht="15.75" thickBot="1" x14ac:dyDescent="0.3">
      <c r="A169" s="26">
        <v>12</v>
      </c>
      <c r="B169" s="27">
        <v>62</v>
      </c>
      <c r="C169" s="27" t="s">
        <v>221</v>
      </c>
      <c r="D169" s="28">
        <v>0</v>
      </c>
      <c r="E169" s="30"/>
      <c r="F169" s="27"/>
      <c r="G169" s="30"/>
      <c r="H169" s="29" t="s">
        <v>1456</v>
      </c>
      <c r="I169" s="34" t="s">
        <v>3853</v>
      </c>
    </row>
    <row r="170" spans="1:9" x14ac:dyDescent="0.25">
      <c r="A170" s="18">
        <v>12</v>
      </c>
      <c r="B170" s="19">
        <v>64</v>
      </c>
      <c r="C170" s="19" t="s">
        <v>186</v>
      </c>
      <c r="D170" s="20">
        <v>2</v>
      </c>
      <c r="E170" t="s">
        <v>3919</v>
      </c>
      <c r="F170" s="19" t="s">
        <v>3905</v>
      </c>
      <c r="G170" s="22" t="s">
        <v>3912</v>
      </c>
      <c r="H170" s="21" t="s">
        <v>1457</v>
      </c>
      <c r="I170" s="32" t="s">
        <v>3911</v>
      </c>
    </row>
    <row r="171" spans="1:9" x14ac:dyDescent="0.25">
      <c r="A171" s="24">
        <v>12</v>
      </c>
      <c r="B171" s="2">
        <v>64</v>
      </c>
      <c r="C171" s="2" t="s">
        <v>192</v>
      </c>
      <c r="D171" s="3">
        <v>1</v>
      </c>
      <c r="E171" t="s">
        <v>3920</v>
      </c>
      <c r="F171" s="2" t="s">
        <v>3906</v>
      </c>
      <c r="G171" t="s">
        <v>3914</v>
      </c>
      <c r="H171" s="1" t="s">
        <v>1457</v>
      </c>
      <c r="I171" s="33" t="s">
        <v>3913</v>
      </c>
    </row>
    <row r="172" spans="1:9" x14ac:dyDescent="0.25">
      <c r="A172" s="24">
        <v>12</v>
      </c>
      <c r="B172" s="2">
        <v>64</v>
      </c>
      <c r="C172" s="2" t="s">
        <v>198</v>
      </c>
      <c r="D172" s="3">
        <v>2</v>
      </c>
      <c r="E172" t="s">
        <v>3921</v>
      </c>
      <c r="F172" s="2" t="s">
        <v>3907</v>
      </c>
      <c r="G172" t="s">
        <v>3916</v>
      </c>
      <c r="H172" s="1" t="s">
        <v>1457</v>
      </c>
      <c r="I172" s="33" t="s">
        <v>3915</v>
      </c>
    </row>
    <row r="173" spans="1:9" x14ac:dyDescent="0.25">
      <c r="A173" s="24">
        <v>12</v>
      </c>
      <c r="B173" s="2">
        <v>64</v>
      </c>
      <c r="C173" s="2" t="s">
        <v>204</v>
      </c>
      <c r="D173" s="3">
        <v>0</v>
      </c>
      <c r="F173" s="2"/>
      <c r="H173" s="1" t="s">
        <v>1456</v>
      </c>
      <c r="I173" s="33" t="s">
        <v>3908</v>
      </c>
    </row>
    <row r="174" spans="1:9" x14ac:dyDescent="0.25">
      <c r="A174" s="24">
        <v>12</v>
      </c>
      <c r="B174" s="2">
        <v>64</v>
      </c>
      <c r="C174" s="2" t="s">
        <v>210</v>
      </c>
      <c r="D174" s="3">
        <v>1</v>
      </c>
      <c r="E174" t="s">
        <v>3922</v>
      </c>
      <c r="F174" s="2" t="s">
        <v>3906</v>
      </c>
      <c r="G174" t="s">
        <v>3918</v>
      </c>
      <c r="H174" s="1" t="s">
        <v>1457</v>
      </c>
      <c r="I174" s="33" t="s">
        <v>3917</v>
      </c>
    </row>
    <row r="175" spans="1:9" x14ac:dyDescent="0.25">
      <c r="A175" s="24">
        <v>12</v>
      </c>
      <c r="B175" s="2">
        <v>64</v>
      </c>
      <c r="C175" s="2" t="s">
        <v>215</v>
      </c>
      <c r="D175" s="3">
        <v>0</v>
      </c>
      <c r="F175" s="2"/>
      <c r="H175" s="1" t="s">
        <v>1456</v>
      </c>
      <c r="I175" s="33" t="s">
        <v>3909</v>
      </c>
    </row>
    <row r="176" spans="1:9" ht="15.75" thickBot="1" x14ac:dyDescent="0.3">
      <c r="A176" s="26">
        <v>12</v>
      </c>
      <c r="B176" s="27">
        <v>64</v>
      </c>
      <c r="C176" s="27" t="s">
        <v>221</v>
      </c>
      <c r="D176" s="28">
        <v>0</v>
      </c>
      <c r="E176" s="30"/>
      <c r="F176" s="27"/>
      <c r="G176" s="30"/>
      <c r="H176" s="29" t="s">
        <v>1456</v>
      </c>
      <c r="I176" s="34" t="s">
        <v>3910</v>
      </c>
    </row>
    <row r="177" spans="1:9" x14ac:dyDescent="0.25">
      <c r="A177" s="18">
        <v>12</v>
      </c>
      <c r="B177" s="19">
        <v>69</v>
      </c>
      <c r="C177" s="19" t="s">
        <v>186</v>
      </c>
      <c r="D177" s="20">
        <v>2</v>
      </c>
      <c r="E177" t="s">
        <v>4005</v>
      </c>
      <c r="F177" s="19" t="s">
        <v>3986</v>
      </c>
      <c r="G177" s="22" t="s">
        <v>3994</v>
      </c>
      <c r="H177" s="21" t="s">
        <v>1457</v>
      </c>
      <c r="I177" s="32" t="s">
        <v>3993</v>
      </c>
    </row>
    <row r="178" spans="1:9" x14ac:dyDescent="0.25">
      <c r="A178" s="24">
        <v>12</v>
      </c>
      <c r="B178" s="2">
        <v>69</v>
      </c>
      <c r="C178" s="2" t="s">
        <v>192</v>
      </c>
      <c r="D178" s="3">
        <v>2</v>
      </c>
      <c r="E178" t="s">
        <v>4006</v>
      </c>
      <c r="F178" s="2" t="s">
        <v>3987</v>
      </c>
      <c r="G178" t="s">
        <v>3996</v>
      </c>
      <c r="H178" s="1" t="s">
        <v>1457</v>
      </c>
      <c r="I178" s="33" t="s">
        <v>3995</v>
      </c>
    </row>
    <row r="179" spans="1:9" x14ac:dyDescent="0.25">
      <c r="A179" s="24">
        <v>12</v>
      </c>
      <c r="B179" s="2">
        <v>69</v>
      </c>
      <c r="C179" s="2" t="s">
        <v>198</v>
      </c>
      <c r="D179" s="3">
        <v>2</v>
      </c>
      <c r="E179" t="s">
        <v>4007</v>
      </c>
      <c r="F179" s="2" t="s">
        <v>3988</v>
      </c>
      <c r="G179" t="s">
        <v>3998</v>
      </c>
      <c r="H179" s="1" t="s">
        <v>1457</v>
      </c>
      <c r="I179" s="33" t="s">
        <v>3997</v>
      </c>
    </row>
    <row r="180" spans="1:9" x14ac:dyDescent="0.25">
      <c r="A180" s="24">
        <v>12</v>
      </c>
      <c r="B180" s="2">
        <v>69</v>
      </c>
      <c r="C180" s="2" t="s">
        <v>204</v>
      </c>
      <c r="D180" s="3">
        <v>1</v>
      </c>
      <c r="E180" t="s">
        <v>4003</v>
      </c>
      <c r="F180" s="2" t="s">
        <v>3989</v>
      </c>
      <c r="G180" t="s">
        <v>4000</v>
      </c>
      <c r="H180" s="1" t="s">
        <v>1456</v>
      </c>
      <c r="I180" s="33" t="s">
        <v>3999</v>
      </c>
    </row>
    <row r="181" spans="1:9" x14ac:dyDescent="0.25">
      <c r="A181" s="24">
        <v>12</v>
      </c>
      <c r="B181" s="2">
        <v>69</v>
      </c>
      <c r="C181" s="2" t="s">
        <v>210</v>
      </c>
      <c r="D181" s="3">
        <v>1</v>
      </c>
      <c r="E181" t="s">
        <v>4004</v>
      </c>
      <c r="F181" s="2" t="s">
        <v>3990</v>
      </c>
      <c r="G181" t="s">
        <v>4002</v>
      </c>
      <c r="H181" s="1" t="s">
        <v>1456</v>
      </c>
      <c r="I181" s="33" t="s">
        <v>4001</v>
      </c>
    </row>
    <row r="182" spans="1:9" x14ac:dyDescent="0.25">
      <c r="A182" s="24">
        <v>12</v>
      </c>
      <c r="B182" s="2">
        <v>69</v>
      </c>
      <c r="C182" s="2" t="s">
        <v>215</v>
      </c>
      <c r="D182" s="3">
        <v>0</v>
      </c>
      <c r="F182" s="2"/>
      <c r="H182" s="1" t="s">
        <v>1456</v>
      </c>
      <c r="I182" s="33" t="s">
        <v>3991</v>
      </c>
    </row>
    <row r="183" spans="1:9" ht="15.75" thickBot="1" x14ac:dyDescent="0.3">
      <c r="A183" s="26">
        <v>12</v>
      </c>
      <c r="B183" s="27">
        <v>69</v>
      </c>
      <c r="C183" s="27" t="s">
        <v>221</v>
      </c>
      <c r="D183" s="28">
        <v>0</v>
      </c>
      <c r="E183" s="30"/>
      <c r="F183" s="27"/>
      <c r="G183" s="30"/>
      <c r="H183" s="29" t="s">
        <v>1457</v>
      </c>
      <c r="I183" s="34" t="s">
        <v>3992</v>
      </c>
    </row>
    <row r="184" spans="1:9" x14ac:dyDescent="0.25">
      <c r="A184" s="18">
        <v>12</v>
      </c>
      <c r="B184" s="19">
        <v>70</v>
      </c>
      <c r="C184" s="19" t="s">
        <v>186</v>
      </c>
      <c r="D184" s="20">
        <v>1</v>
      </c>
      <c r="E184" t="s">
        <v>4078</v>
      </c>
      <c r="F184" s="19" t="s">
        <v>4023</v>
      </c>
      <c r="G184" s="22" t="s">
        <v>4083</v>
      </c>
      <c r="H184" s="21" t="s">
        <v>1457</v>
      </c>
      <c r="I184" s="32" t="s">
        <v>4082</v>
      </c>
    </row>
    <row r="185" spans="1:9" x14ac:dyDescent="0.25">
      <c r="A185" s="24">
        <v>12</v>
      </c>
      <c r="B185" s="2">
        <v>70</v>
      </c>
      <c r="C185" s="2" t="s">
        <v>192</v>
      </c>
      <c r="D185" s="3">
        <v>1</v>
      </c>
      <c r="E185" t="s">
        <v>4079</v>
      </c>
      <c r="F185" s="2" t="s">
        <v>4073</v>
      </c>
      <c r="G185" t="s">
        <v>4085</v>
      </c>
      <c r="H185" s="1" t="s">
        <v>1457</v>
      </c>
      <c r="I185" s="33" t="s">
        <v>4084</v>
      </c>
    </row>
    <row r="186" spans="1:9" x14ac:dyDescent="0.25">
      <c r="A186" s="24">
        <v>12</v>
      </c>
      <c r="B186" s="2">
        <v>70</v>
      </c>
      <c r="C186" s="2" t="s">
        <v>198</v>
      </c>
      <c r="D186" s="3">
        <v>2</v>
      </c>
      <c r="E186" t="s">
        <v>4081</v>
      </c>
      <c r="F186" s="2" t="s">
        <v>4074</v>
      </c>
      <c r="G186" t="s">
        <v>4087</v>
      </c>
      <c r="H186" s="1" t="s">
        <v>1456</v>
      </c>
      <c r="I186" s="33" t="s">
        <v>4086</v>
      </c>
    </row>
    <row r="187" spans="1:9" x14ac:dyDescent="0.25">
      <c r="A187" s="24">
        <v>12</v>
      </c>
      <c r="B187" s="2">
        <v>70</v>
      </c>
      <c r="C187" s="2" t="s">
        <v>204</v>
      </c>
      <c r="D187" s="3">
        <v>0</v>
      </c>
      <c r="F187" s="2"/>
      <c r="H187" s="1" t="s">
        <v>1457</v>
      </c>
      <c r="I187" s="33" t="s">
        <v>4075</v>
      </c>
    </row>
    <row r="188" spans="1:9" x14ac:dyDescent="0.25">
      <c r="A188" s="24">
        <v>12</v>
      </c>
      <c r="B188" s="2">
        <v>70</v>
      </c>
      <c r="C188" s="2" t="s">
        <v>210</v>
      </c>
      <c r="D188" s="3">
        <v>1</v>
      </c>
      <c r="E188" t="s">
        <v>4080</v>
      </c>
      <c r="F188" s="2" t="s">
        <v>3515</v>
      </c>
      <c r="G188" t="s">
        <v>4089</v>
      </c>
      <c r="H188" s="1" t="s">
        <v>1456</v>
      </c>
      <c r="I188" s="33" t="s">
        <v>4088</v>
      </c>
    </row>
    <row r="189" spans="1:9" x14ac:dyDescent="0.25">
      <c r="A189" s="24">
        <v>12</v>
      </c>
      <c r="B189" s="2">
        <v>70</v>
      </c>
      <c r="C189" s="2" t="s">
        <v>215</v>
      </c>
      <c r="D189" s="3">
        <v>0</v>
      </c>
      <c r="F189" s="2"/>
      <c r="H189" s="1" t="s">
        <v>1456</v>
      </c>
      <c r="I189" s="33" t="s">
        <v>4076</v>
      </c>
    </row>
    <row r="190" spans="1:9" ht="15.75" thickBot="1" x14ac:dyDescent="0.3">
      <c r="A190" s="26">
        <v>12</v>
      </c>
      <c r="B190" s="27">
        <v>70</v>
      </c>
      <c r="C190" s="27" t="s">
        <v>221</v>
      </c>
      <c r="D190" s="28">
        <v>0</v>
      </c>
      <c r="E190" s="30"/>
      <c r="F190" s="27"/>
      <c r="G190" s="30"/>
      <c r="H190" s="29" t="s">
        <v>1457</v>
      </c>
      <c r="I190" s="34" t="s">
        <v>4077</v>
      </c>
    </row>
    <row r="191" spans="1:9" x14ac:dyDescent="0.25">
      <c r="A191" s="18">
        <v>13</v>
      </c>
      <c r="B191" s="19">
        <v>73</v>
      </c>
      <c r="C191" s="19" t="s">
        <v>186</v>
      </c>
      <c r="D191" s="20">
        <v>1</v>
      </c>
      <c r="E191" t="s">
        <v>4153</v>
      </c>
      <c r="F191" s="19" t="s">
        <v>4140</v>
      </c>
      <c r="G191" s="22" t="s">
        <v>4148</v>
      </c>
      <c r="H191" s="21" t="s">
        <v>1457</v>
      </c>
      <c r="I191" s="32" t="s">
        <v>4147</v>
      </c>
    </row>
    <row r="192" spans="1:9" x14ac:dyDescent="0.25">
      <c r="A192" s="24">
        <v>13</v>
      </c>
      <c r="B192" s="2">
        <v>73</v>
      </c>
      <c r="C192" s="2" t="s">
        <v>192</v>
      </c>
      <c r="D192" s="3">
        <v>1</v>
      </c>
      <c r="E192" t="s">
        <v>4154</v>
      </c>
      <c r="F192" s="2" t="s">
        <v>4141</v>
      </c>
      <c r="G192" t="s">
        <v>4150</v>
      </c>
      <c r="H192" s="1" t="s">
        <v>1457</v>
      </c>
      <c r="I192" s="33" t="s">
        <v>4149</v>
      </c>
    </row>
    <row r="193" spans="1:9" x14ac:dyDescent="0.25">
      <c r="A193" s="24">
        <v>13</v>
      </c>
      <c r="B193" s="2">
        <v>73</v>
      </c>
      <c r="C193" s="2" t="s">
        <v>198</v>
      </c>
      <c r="D193" s="3">
        <v>1</v>
      </c>
      <c r="E193" t="s">
        <v>4155</v>
      </c>
      <c r="F193" s="2" t="s">
        <v>4142</v>
      </c>
      <c r="G193" t="s">
        <v>4152</v>
      </c>
      <c r="H193" s="1" t="s">
        <v>1457</v>
      </c>
      <c r="I193" s="33" t="s">
        <v>4151</v>
      </c>
    </row>
    <row r="194" spans="1:9" x14ac:dyDescent="0.25">
      <c r="A194" s="24">
        <v>13</v>
      </c>
      <c r="B194" s="2">
        <v>73</v>
      </c>
      <c r="C194" s="2" t="s">
        <v>204</v>
      </c>
      <c r="D194" s="3">
        <v>0</v>
      </c>
      <c r="F194" s="2"/>
      <c r="H194" s="1" t="s">
        <v>1456</v>
      </c>
      <c r="I194" s="33" t="s">
        <v>4143</v>
      </c>
    </row>
    <row r="195" spans="1:9" x14ac:dyDescent="0.25">
      <c r="A195" s="24">
        <v>13</v>
      </c>
      <c r="B195" s="2">
        <v>73</v>
      </c>
      <c r="C195" s="2" t="s">
        <v>210</v>
      </c>
      <c r="D195" s="3">
        <v>0</v>
      </c>
      <c r="F195" s="2"/>
      <c r="H195" s="1" t="s">
        <v>1456</v>
      </c>
      <c r="I195" s="33" t="s">
        <v>4144</v>
      </c>
    </row>
    <row r="196" spans="1:9" x14ac:dyDescent="0.25">
      <c r="A196" s="24">
        <v>13</v>
      </c>
      <c r="B196" s="2">
        <v>73</v>
      </c>
      <c r="C196" s="2" t="s">
        <v>215</v>
      </c>
      <c r="D196" s="3">
        <v>0</v>
      </c>
      <c r="F196" s="2"/>
      <c r="H196" s="1" t="s">
        <v>1456</v>
      </c>
      <c r="I196" s="33" t="s">
        <v>4145</v>
      </c>
    </row>
    <row r="197" spans="1:9" ht="15.75" thickBot="1" x14ac:dyDescent="0.3">
      <c r="A197" s="26">
        <v>13</v>
      </c>
      <c r="B197" s="27">
        <v>73</v>
      </c>
      <c r="C197" s="27" t="s">
        <v>221</v>
      </c>
      <c r="D197" s="28">
        <v>0</v>
      </c>
      <c r="E197" s="30"/>
      <c r="F197" s="27"/>
      <c r="G197" s="30"/>
      <c r="H197" s="29" t="s">
        <v>1456</v>
      </c>
      <c r="I197" s="34" t="s">
        <v>4146</v>
      </c>
    </row>
    <row r="198" spans="1:9" x14ac:dyDescent="0.25">
      <c r="A198" s="18">
        <v>13</v>
      </c>
      <c r="B198" s="19">
        <v>74</v>
      </c>
      <c r="C198" s="19" t="s">
        <v>186</v>
      </c>
      <c r="D198" s="20">
        <v>0</v>
      </c>
      <c r="E198" s="22"/>
      <c r="F198" s="19"/>
      <c r="G198" s="22"/>
      <c r="H198" s="21" t="s">
        <v>1456</v>
      </c>
      <c r="I198" s="32" t="s">
        <v>4186</v>
      </c>
    </row>
    <row r="199" spans="1:9" x14ac:dyDescent="0.25">
      <c r="A199" s="24">
        <v>13</v>
      </c>
      <c r="B199" s="2">
        <v>74</v>
      </c>
      <c r="C199" s="2" t="s">
        <v>192</v>
      </c>
      <c r="D199" s="3">
        <v>1</v>
      </c>
      <c r="E199" t="s">
        <v>4194</v>
      </c>
      <c r="F199" s="2" t="s">
        <v>4179</v>
      </c>
      <c r="G199" t="s">
        <v>4085</v>
      </c>
      <c r="H199" s="1" t="s">
        <v>1457</v>
      </c>
      <c r="I199" s="33" t="s">
        <v>4190</v>
      </c>
    </row>
    <row r="200" spans="1:9" x14ac:dyDescent="0.25">
      <c r="A200" s="24">
        <v>13</v>
      </c>
      <c r="B200" s="2">
        <v>74</v>
      </c>
      <c r="C200" s="2" t="s">
        <v>198</v>
      </c>
      <c r="D200" s="3">
        <v>2</v>
      </c>
      <c r="E200" t="s">
        <v>4193</v>
      </c>
      <c r="F200" s="2" t="s">
        <v>4179</v>
      </c>
      <c r="G200" t="s">
        <v>4192</v>
      </c>
      <c r="H200" s="1" t="s">
        <v>1456</v>
      </c>
      <c r="I200" s="33" t="s">
        <v>4191</v>
      </c>
    </row>
    <row r="201" spans="1:9" x14ac:dyDescent="0.25">
      <c r="A201" s="24">
        <v>13</v>
      </c>
      <c r="B201" s="2">
        <v>74</v>
      </c>
      <c r="C201" s="2" t="s">
        <v>204</v>
      </c>
      <c r="D201" s="3">
        <v>0</v>
      </c>
      <c r="F201" s="2"/>
      <c r="H201" s="1" t="s">
        <v>1456</v>
      </c>
      <c r="I201" s="33" t="s">
        <v>4187</v>
      </c>
    </row>
    <row r="202" spans="1:9" x14ac:dyDescent="0.25">
      <c r="A202" s="24">
        <v>13</v>
      </c>
      <c r="B202" s="2">
        <v>74</v>
      </c>
      <c r="C202" s="2" t="s">
        <v>210</v>
      </c>
      <c r="D202" s="3">
        <v>0</v>
      </c>
      <c r="F202" s="2"/>
      <c r="H202" s="1" t="s">
        <v>1456</v>
      </c>
      <c r="I202" s="33" t="s">
        <v>4144</v>
      </c>
    </row>
    <row r="203" spans="1:9" x14ac:dyDescent="0.25">
      <c r="A203" s="24">
        <v>13</v>
      </c>
      <c r="B203" s="2">
        <v>74</v>
      </c>
      <c r="C203" s="2" t="s">
        <v>215</v>
      </c>
      <c r="D203" s="3">
        <v>0</v>
      </c>
      <c r="F203" s="2"/>
      <c r="H203" s="1" t="s">
        <v>1457</v>
      </c>
      <c r="I203" s="33" t="s">
        <v>4188</v>
      </c>
    </row>
    <row r="204" spans="1:9" ht="15.75" thickBot="1" x14ac:dyDescent="0.3">
      <c r="A204" s="26">
        <v>13</v>
      </c>
      <c r="B204" s="27">
        <v>74</v>
      </c>
      <c r="C204" s="27" t="s">
        <v>221</v>
      </c>
      <c r="D204" s="28">
        <v>0</v>
      </c>
      <c r="E204" s="30"/>
      <c r="F204" s="27"/>
      <c r="G204" s="30"/>
      <c r="H204" s="29" t="s">
        <v>1456</v>
      </c>
      <c r="I204" s="34" t="s">
        <v>4189</v>
      </c>
    </row>
    <row r="205" spans="1:9" x14ac:dyDescent="0.25">
      <c r="A205" s="18">
        <v>15</v>
      </c>
      <c r="B205" s="19">
        <v>86</v>
      </c>
      <c r="C205" s="19" t="s">
        <v>186</v>
      </c>
      <c r="D205" s="20">
        <v>2</v>
      </c>
      <c r="E205" t="s">
        <v>4234</v>
      </c>
      <c r="F205" s="19" t="s">
        <v>4210</v>
      </c>
      <c r="G205" s="22" t="s">
        <v>4263</v>
      </c>
      <c r="H205" s="21" t="s">
        <v>1456</v>
      </c>
      <c r="I205" s="32" t="s">
        <v>4262</v>
      </c>
    </row>
    <row r="206" spans="1:9" x14ac:dyDescent="0.25">
      <c r="A206" s="24">
        <v>15</v>
      </c>
      <c r="B206" s="2">
        <v>86</v>
      </c>
      <c r="C206" s="2" t="s">
        <v>192</v>
      </c>
      <c r="D206" s="3">
        <v>2</v>
      </c>
      <c r="E206" t="s">
        <v>4270</v>
      </c>
      <c r="F206" s="2" t="s">
        <v>4214</v>
      </c>
      <c r="G206" t="s">
        <v>4265</v>
      </c>
      <c r="H206" s="1" t="s">
        <v>1457</v>
      </c>
      <c r="I206" s="33" t="s">
        <v>4264</v>
      </c>
    </row>
    <row r="207" spans="1:9" x14ac:dyDescent="0.25">
      <c r="A207" s="24">
        <v>15</v>
      </c>
      <c r="B207" s="2">
        <v>86</v>
      </c>
      <c r="C207" s="2" t="s">
        <v>198</v>
      </c>
      <c r="D207" s="3">
        <v>2</v>
      </c>
      <c r="E207" t="s">
        <v>4271</v>
      </c>
      <c r="F207" s="2" t="s">
        <v>4231</v>
      </c>
      <c r="G207" t="s">
        <v>4267</v>
      </c>
      <c r="H207" s="1" t="s">
        <v>1456</v>
      </c>
      <c r="I207" s="33" t="s">
        <v>4266</v>
      </c>
    </row>
    <row r="208" spans="1:9" x14ac:dyDescent="0.25">
      <c r="A208" s="24">
        <v>15</v>
      </c>
      <c r="B208" s="2">
        <v>86</v>
      </c>
      <c r="C208" s="2" t="s">
        <v>204</v>
      </c>
      <c r="D208" s="3">
        <v>0</v>
      </c>
      <c r="F208" s="2"/>
      <c r="H208" s="1" t="s">
        <v>1456</v>
      </c>
      <c r="I208" s="33" t="s">
        <v>4258</v>
      </c>
    </row>
    <row r="209" spans="1:9" x14ac:dyDescent="0.25">
      <c r="A209" s="24">
        <v>15</v>
      </c>
      <c r="B209" s="2">
        <v>86</v>
      </c>
      <c r="C209" s="2" t="s">
        <v>210</v>
      </c>
      <c r="D209" s="3">
        <v>1</v>
      </c>
      <c r="E209" t="s">
        <v>4272</v>
      </c>
      <c r="F209" s="2" t="s">
        <v>4259</v>
      </c>
      <c r="G209" t="s">
        <v>4269</v>
      </c>
      <c r="H209" s="1" t="s">
        <v>1456</v>
      </c>
      <c r="I209" s="33" t="s">
        <v>4268</v>
      </c>
    </row>
    <row r="210" spans="1:9" x14ac:dyDescent="0.25">
      <c r="A210" s="24">
        <v>15</v>
      </c>
      <c r="B210" s="2">
        <v>86</v>
      </c>
      <c r="C210" s="2" t="s">
        <v>215</v>
      </c>
      <c r="D210" s="3">
        <v>0</v>
      </c>
      <c r="F210" s="2"/>
      <c r="H210" s="1" t="s">
        <v>1456</v>
      </c>
      <c r="I210" s="33" t="s">
        <v>4260</v>
      </c>
    </row>
    <row r="211" spans="1:9" ht="15.75" thickBot="1" x14ac:dyDescent="0.3">
      <c r="A211" s="26">
        <v>15</v>
      </c>
      <c r="B211" s="27">
        <v>86</v>
      </c>
      <c r="C211" s="27" t="s">
        <v>221</v>
      </c>
      <c r="D211" s="28">
        <v>0</v>
      </c>
      <c r="E211" s="30"/>
      <c r="F211" s="27"/>
      <c r="G211" s="30"/>
      <c r="H211" s="29" t="s">
        <v>1456</v>
      </c>
      <c r="I211" s="34" t="s">
        <v>4261</v>
      </c>
    </row>
    <row r="212" spans="1:9" x14ac:dyDescent="0.25">
      <c r="A212" s="18">
        <v>15</v>
      </c>
      <c r="B212" s="19">
        <v>88</v>
      </c>
      <c r="C212" s="19" t="s">
        <v>186</v>
      </c>
      <c r="D212" s="20">
        <v>0</v>
      </c>
      <c r="E212" s="22"/>
      <c r="F212" s="19"/>
      <c r="G212" s="22"/>
      <c r="H212" s="21" t="s">
        <v>1457</v>
      </c>
      <c r="I212" s="32" t="s">
        <v>4307</v>
      </c>
    </row>
    <row r="213" spans="1:9" x14ac:dyDescent="0.25">
      <c r="A213" s="24">
        <v>15</v>
      </c>
      <c r="B213" s="2">
        <v>88</v>
      </c>
      <c r="C213" s="2" t="s">
        <v>192</v>
      </c>
      <c r="D213" s="3">
        <v>1</v>
      </c>
      <c r="E213" t="s">
        <v>4316</v>
      </c>
      <c r="F213" s="2"/>
      <c r="G213" t="s">
        <v>4313</v>
      </c>
      <c r="H213" s="1" t="s">
        <v>1457</v>
      </c>
      <c r="I213" s="33" t="s">
        <v>4312</v>
      </c>
    </row>
    <row r="214" spans="1:9" x14ac:dyDescent="0.25">
      <c r="A214" s="24">
        <v>15</v>
      </c>
      <c r="B214" s="2">
        <v>88</v>
      </c>
      <c r="C214" s="2" t="s">
        <v>198</v>
      </c>
      <c r="D214" s="3">
        <v>1</v>
      </c>
      <c r="E214" t="s">
        <v>4317</v>
      </c>
      <c r="F214" s="2"/>
      <c r="G214" t="s">
        <v>4315</v>
      </c>
      <c r="H214" s="1" t="s">
        <v>1457</v>
      </c>
      <c r="I214" s="33" t="s">
        <v>4314</v>
      </c>
    </row>
    <row r="215" spans="1:9" x14ac:dyDescent="0.25">
      <c r="A215" s="24">
        <v>15</v>
      </c>
      <c r="B215" s="2">
        <v>88</v>
      </c>
      <c r="C215" s="2" t="s">
        <v>204</v>
      </c>
      <c r="D215" s="3">
        <v>0</v>
      </c>
      <c r="F215" s="2"/>
      <c r="H215" s="1" t="s">
        <v>1456</v>
      </c>
      <c r="I215" s="33" t="s">
        <v>4308</v>
      </c>
    </row>
    <row r="216" spans="1:9" x14ac:dyDescent="0.25">
      <c r="A216" s="24">
        <v>15</v>
      </c>
      <c r="B216" s="2">
        <v>88</v>
      </c>
      <c r="C216" s="2" t="s">
        <v>210</v>
      </c>
      <c r="D216" s="3">
        <v>0</v>
      </c>
      <c r="F216" s="2"/>
      <c r="H216" s="1" t="s">
        <v>1456</v>
      </c>
      <c r="I216" s="33" t="s">
        <v>4309</v>
      </c>
    </row>
    <row r="217" spans="1:9" x14ac:dyDescent="0.25">
      <c r="A217" s="24">
        <v>15</v>
      </c>
      <c r="B217" s="2">
        <v>88</v>
      </c>
      <c r="C217" s="2" t="s">
        <v>215</v>
      </c>
      <c r="D217" s="3">
        <v>0</v>
      </c>
      <c r="F217" s="2"/>
      <c r="H217" s="1" t="s">
        <v>1456</v>
      </c>
      <c r="I217" s="33" t="s">
        <v>4310</v>
      </c>
    </row>
    <row r="218" spans="1:9" ht="15.75" thickBot="1" x14ac:dyDescent="0.3">
      <c r="A218" s="26">
        <v>15</v>
      </c>
      <c r="B218" s="27">
        <v>88</v>
      </c>
      <c r="C218" s="27" t="s">
        <v>221</v>
      </c>
      <c r="D218" s="28">
        <v>0</v>
      </c>
      <c r="E218" s="30"/>
      <c r="F218" s="27"/>
      <c r="G218" s="30"/>
      <c r="H218" s="29" t="s">
        <v>1457</v>
      </c>
      <c r="I218" s="34" t="s">
        <v>4311</v>
      </c>
    </row>
    <row r="219" spans="1:9" x14ac:dyDescent="0.25">
      <c r="A219" s="18">
        <v>15</v>
      </c>
      <c r="B219" s="19">
        <v>90</v>
      </c>
      <c r="C219" s="19" t="s">
        <v>186</v>
      </c>
      <c r="D219" s="20">
        <v>2</v>
      </c>
      <c r="E219" t="s">
        <v>4383</v>
      </c>
      <c r="F219" s="19" t="s">
        <v>4334</v>
      </c>
      <c r="G219" s="22" t="s">
        <v>4378</v>
      </c>
      <c r="H219" s="21" t="s">
        <v>1456</v>
      </c>
      <c r="I219" s="32" t="s">
        <v>4377</v>
      </c>
    </row>
    <row r="220" spans="1:9" x14ac:dyDescent="0.25">
      <c r="A220" s="24">
        <v>15</v>
      </c>
      <c r="B220" s="2">
        <v>90</v>
      </c>
      <c r="C220" s="2" t="s">
        <v>192</v>
      </c>
      <c r="D220" s="3">
        <v>2</v>
      </c>
      <c r="E220" t="s">
        <v>4384</v>
      </c>
      <c r="F220" s="2" t="s">
        <v>4334</v>
      </c>
      <c r="G220" t="s">
        <v>4380</v>
      </c>
      <c r="H220" s="1" t="s">
        <v>1457</v>
      </c>
      <c r="I220" s="33" t="s">
        <v>4379</v>
      </c>
    </row>
    <row r="221" spans="1:9" x14ac:dyDescent="0.25">
      <c r="A221" s="24">
        <v>15</v>
      </c>
      <c r="B221" s="2">
        <v>90</v>
      </c>
      <c r="C221" s="2" t="s">
        <v>198</v>
      </c>
      <c r="D221" s="3">
        <v>2</v>
      </c>
      <c r="E221" t="s">
        <v>4385</v>
      </c>
      <c r="F221" s="2" t="s">
        <v>4334</v>
      </c>
      <c r="G221" t="s">
        <v>4382</v>
      </c>
      <c r="H221" s="1" t="s">
        <v>1456</v>
      </c>
      <c r="I221" s="33" t="s">
        <v>4381</v>
      </c>
    </row>
    <row r="222" spans="1:9" x14ac:dyDescent="0.25">
      <c r="A222" s="24">
        <v>15</v>
      </c>
      <c r="B222" s="2">
        <v>90</v>
      </c>
      <c r="C222" s="2" t="s">
        <v>204</v>
      </c>
      <c r="D222" s="3">
        <v>0</v>
      </c>
      <c r="F222" s="2"/>
      <c r="H222" s="1" t="s">
        <v>1457</v>
      </c>
      <c r="I222" s="33" t="s">
        <v>4373</v>
      </c>
    </row>
    <row r="223" spans="1:9" x14ac:dyDescent="0.25">
      <c r="A223" s="24">
        <v>15</v>
      </c>
      <c r="B223" s="2">
        <v>90</v>
      </c>
      <c r="C223" s="2" t="s">
        <v>210</v>
      </c>
      <c r="D223" s="3">
        <v>0</v>
      </c>
      <c r="F223" s="2"/>
      <c r="H223" s="1" t="s">
        <v>1457</v>
      </c>
      <c r="I223" s="33" t="s">
        <v>4374</v>
      </c>
    </row>
    <row r="224" spans="1:9" x14ac:dyDescent="0.25">
      <c r="A224" s="24">
        <v>15</v>
      </c>
      <c r="B224" s="2">
        <v>90</v>
      </c>
      <c r="C224" s="2" t="s">
        <v>215</v>
      </c>
      <c r="D224" s="3">
        <v>0</v>
      </c>
      <c r="F224" s="2"/>
      <c r="H224" s="1" t="s">
        <v>1457</v>
      </c>
      <c r="I224" s="33" t="s">
        <v>4375</v>
      </c>
    </row>
    <row r="225" spans="1:9" ht="15.75" thickBot="1" x14ac:dyDescent="0.3">
      <c r="A225" s="26">
        <v>15</v>
      </c>
      <c r="B225" s="27">
        <v>90</v>
      </c>
      <c r="C225" s="27" t="s">
        <v>221</v>
      </c>
      <c r="D225" s="28">
        <v>0</v>
      </c>
      <c r="E225" s="30"/>
      <c r="F225" s="27"/>
      <c r="G225" s="30"/>
      <c r="H225" s="29" t="s">
        <v>1457</v>
      </c>
      <c r="I225" s="34" t="s">
        <v>4376</v>
      </c>
    </row>
    <row r="226" spans="1:9" x14ac:dyDescent="0.25">
      <c r="A226" s="18">
        <v>15</v>
      </c>
      <c r="B226" s="19">
        <v>91</v>
      </c>
      <c r="C226" s="19" t="s">
        <v>186</v>
      </c>
      <c r="D226" s="20">
        <v>2</v>
      </c>
      <c r="E226" t="s">
        <v>4455</v>
      </c>
      <c r="F226" s="19" t="s">
        <v>4442</v>
      </c>
      <c r="G226" s="22" t="s">
        <v>4447</v>
      </c>
      <c r="H226" s="21" t="s">
        <v>1456</v>
      </c>
      <c r="I226" s="32" t="s">
        <v>4446</v>
      </c>
    </row>
    <row r="227" spans="1:9" x14ac:dyDescent="0.25">
      <c r="A227" s="24">
        <v>15</v>
      </c>
      <c r="B227" s="2">
        <v>91</v>
      </c>
      <c r="C227" s="2" t="s">
        <v>192</v>
      </c>
      <c r="D227" s="3">
        <v>2</v>
      </c>
      <c r="E227" t="s">
        <v>4456</v>
      </c>
      <c r="F227" s="2" t="s">
        <v>4421</v>
      </c>
      <c r="G227" t="s">
        <v>4449</v>
      </c>
      <c r="H227" s="1" t="s">
        <v>1456</v>
      </c>
      <c r="I227" s="33" t="s">
        <v>4448</v>
      </c>
    </row>
    <row r="228" spans="1:9" x14ac:dyDescent="0.25">
      <c r="A228" s="24">
        <v>15</v>
      </c>
      <c r="B228" s="2">
        <v>91</v>
      </c>
      <c r="C228" s="2" t="s">
        <v>198</v>
      </c>
      <c r="D228" s="3">
        <v>2</v>
      </c>
      <c r="E228" t="s">
        <v>4457</v>
      </c>
      <c r="F228" s="2" t="s">
        <v>4443</v>
      </c>
      <c r="G228" t="s">
        <v>4451</v>
      </c>
      <c r="H228" s="1" t="s">
        <v>1456</v>
      </c>
      <c r="I228" s="33" t="s">
        <v>4450</v>
      </c>
    </row>
    <row r="229" spans="1:9" x14ac:dyDescent="0.25">
      <c r="A229" s="24">
        <v>15</v>
      </c>
      <c r="B229" s="2">
        <v>91</v>
      </c>
      <c r="C229" s="2" t="s">
        <v>204</v>
      </c>
      <c r="D229" s="3">
        <v>0</v>
      </c>
      <c r="F229" s="2"/>
      <c r="H229" s="1" t="s">
        <v>1456</v>
      </c>
      <c r="I229" s="33" t="s">
        <v>3908</v>
      </c>
    </row>
    <row r="230" spans="1:9" x14ac:dyDescent="0.25">
      <c r="A230" s="24">
        <v>15</v>
      </c>
      <c r="B230" s="2">
        <v>91</v>
      </c>
      <c r="C230" s="2" t="s">
        <v>210</v>
      </c>
      <c r="D230" s="3">
        <v>1</v>
      </c>
      <c r="E230" t="s">
        <v>4454</v>
      </c>
      <c r="F230" s="2" t="s">
        <v>4442</v>
      </c>
      <c r="G230" t="s">
        <v>4453</v>
      </c>
      <c r="H230" s="1" t="s">
        <v>1457</v>
      </c>
      <c r="I230" s="33" t="s">
        <v>4452</v>
      </c>
    </row>
    <row r="231" spans="1:9" x14ac:dyDescent="0.25">
      <c r="A231" s="24">
        <v>15</v>
      </c>
      <c r="B231" s="2">
        <v>91</v>
      </c>
      <c r="C231" s="2" t="s">
        <v>215</v>
      </c>
      <c r="D231" s="3">
        <v>0</v>
      </c>
      <c r="F231" s="2"/>
      <c r="H231" s="1" t="s">
        <v>1456</v>
      </c>
      <c r="I231" s="33" t="s">
        <v>4444</v>
      </c>
    </row>
    <row r="232" spans="1:9" ht="15.75" thickBot="1" x14ac:dyDescent="0.3">
      <c r="A232" s="26">
        <v>15</v>
      </c>
      <c r="B232" s="27">
        <v>91</v>
      </c>
      <c r="C232" s="27" t="s">
        <v>221</v>
      </c>
      <c r="D232" s="28">
        <v>0</v>
      </c>
      <c r="E232" s="30"/>
      <c r="F232" s="27"/>
      <c r="G232" s="30"/>
      <c r="H232" s="29" t="s">
        <v>1456</v>
      </c>
      <c r="I232" s="34" t="s">
        <v>4445</v>
      </c>
    </row>
    <row r="233" spans="1:9" x14ac:dyDescent="0.25">
      <c r="A233" s="18">
        <v>15</v>
      </c>
      <c r="B233" s="19">
        <v>92</v>
      </c>
      <c r="C233" s="19" t="s">
        <v>186</v>
      </c>
      <c r="D233" s="20">
        <v>2</v>
      </c>
      <c r="E233" t="s">
        <v>4513</v>
      </c>
      <c r="F233" s="19" t="s">
        <v>4476</v>
      </c>
      <c r="G233" s="22" t="s">
        <v>4508</v>
      </c>
      <c r="H233" s="21" t="s">
        <v>1456</v>
      </c>
      <c r="I233" s="32" t="s">
        <v>4507</v>
      </c>
    </row>
    <row r="234" spans="1:9" x14ac:dyDescent="0.25">
      <c r="A234" s="24">
        <v>15</v>
      </c>
      <c r="B234" s="2">
        <v>92</v>
      </c>
      <c r="C234" s="2" t="s">
        <v>192</v>
      </c>
      <c r="D234" s="3">
        <v>2</v>
      </c>
      <c r="E234" t="s">
        <v>4514</v>
      </c>
      <c r="F234" s="2" t="s">
        <v>4500</v>
      </c>
      <c r="G234" t="s">
        <v>4510</v>
      </c>
      <c r="H234" s="1" t="s">
        <v>1456</v>
      </c>
      <c r="I234" s="33" t="s">
        <v>4509</v>
      </c>
    </row>
    <row r="235" spans="1:9" x14ac:dyDescent="0.25">
      <c r="A235" s="24">
        <v>15</v>
      </c>
      <c r="B235" s="2">
        <v>92</v>
      </c>
      <c r="C235" s="2" t="s">
        <v>198</v>
      </c>
      <c r="D235" s="3">
        <v>2</v>
      </c>
      <c r="E235" t="s">
        <v>4515</v>
      </c>
      <c r="F235" s="2" t="s">
        <v>4501</v>
      </c>
      <c r="G235" t="s">
        <v>4512</v>
      </c>
      <c r="H235" s="1" t="s">
        <v>1456</v>
      </c>
      <c r="I235" s="33" t="s">
        <v>4511</v>
      </c>
    </row>
    <row r="236" spans="1:9" x14ac:dyDescent="0.25">
      <c r="A236" s="24">
        <v>15</v>
      </c>
      <c r="B236" s="2">
        <v>92</v>
      </c>
      <c r="C236" s="2" t="s">
        <v>204</v>
      </c>
      <c r="D236" s="3">
        <v>3</v>
      </c>
      <c r="E236" t="s">
        <v>4516</v>
      </c>
      <c r="F236" s="2" t="s">
        <v>4476</v>
      </c>
      <c r="H236" s="1" t="s">
        <v>1456</v>
      </c>
      <c r="I236" s="33" t="s">
        <v>4502</v>
      </c>
    </row>
    <row r="237" spans="1:9" x14ac:dyDescent="0.25">
      <c r="A237" s="24">
        <v>15</v>
      </c>
      <c r="B237" s="2">
        <v>92</v>
      </c>
      <c r="C237" s="2" t="s">
        <v>210</v>
      </c>
      <c r="D237" s="3">
        <v>3</v>
      </c>
      <c r="E237" t="s">
        <v>4517</v>
      </c>
      <c r="F237" s="2" t="s">
        <v>4503</v>
      </c>
      <c r="H237" s="1" t="s">
        <v>1456</v>
      </c>
      <c r="I237" s="33" t="s">
        <v>4504</v>
      </c>
    </row>
    <row r="238" spans="1:9" x14ac:dyDescent="0.25">
      <c r="A238" s="24">
        <v>15</v>
      </c>
      <c r="B238" s="2">
        <v>92</v>
      </c>
      <c r="C238" s="2" t="s">
        <v>215</v>
      </c>
      <c r="D238" s="3">
        <v>0</v>
      </c>
      <c r="F238" s="2"/>
      <c r="H238" s="1" t="s">
        <v>1456</v>
      </c>
      <c r="I238" s="33" t="s">
        <v>4505</v>
      </c>
    </row>
    <row r="239" spans="1:9" ht="15.75" thickBot="1" x14ac:dyDescent="0.3">
      <c r="A239" s="26">
        <v>15</v>
      </c>
      <c r="B239" s="27">
        <v>92</v>
      </c>
      <c r="C239" s="27" t="s">
        <v>221</v>
      </c>
      <c r="D239" s="28">
        <v>0</v>
      </c>
      <c r="E239" s="30"/>
      <c r="F239" s="27"/>
      <c r="G239" s="30"/>
      <c r="H239" s="29" t="s">
        <v>1457</v>
      </c>
      <c r="I239" s="34" t="s">
        <v>4506</v>
      </c>
    </row>
    <row r="240" spans="1:9" x14ac:dyDescent="0.25">
      <c r="A240" s="18">
        <v>15</v>
      </c>
      <c r="B240" s="19">
        <v>93</v>
      </c>
      <c r="C240" s="19" t="s">
        <v>186</v>
      </c>
      <c r="D240" s="20">
        <v>2</v>
      </c>
      <c r="E240" t="s">
        <v>4578</v>
      </c>
      <c r="F240" s="19" t="s">
        <v>4567</v>
      </c>
      <c r="G240" s="22" t="s">
        <v>4573</v>
      </c>
      <c r="H240" s="21" t="s">
        <v>1457</v>
      </c>
      <c r="I240" s="32" t="s">
        <v>4572</v>
      </c>
    </row>
    <row r="241" spans="1:9" x14ac:dyDescent="0.25">
      <c r="A241" s="24">
        <v>15</v>
      </c>
      <c r="B241" s="2">
        <v>93</v>
      </c>
      <c r="C241" s="2" t="s">
        <v>192</v>
      </c>
      <c r="D241" s="3">
        <v>2</v>
      </c>
      <c r="E241" t="s">
        <v>4579</v>
      </c>
      <c r="F241" s="2" t="s">
        <v>4518</v>
      </c>
      <c r="G241" t="s">
        <v>4575</v>
      </c>
      <c r="H241" s="1" t="s">
        <v>1456</v>
      </c>
      <c r="I241" s="33" t="s">
        <v>4574</v>
      </c>
    </row>
    <row r="242" spans="1:9" x14ac:dyDescent="0.25">
      <c r="A242" s="24">
        <v>15</v>
      </c>
      <c r="B242" s="2">
        <v>93</v>
      </c>
      <c r="C242" s="2" t="s">
        <v>198</v>
      </c>
      <c r="D242" s="3">
        <v>2</v>
      </c>
      <c r="E242" t="s">
        <v>4580</v>
      </c>
      <c r="F242" s="2" t="s">
        <v>4520</v>
      </c>
      <c r="G242" t="s">
        <v>4577</v>
      </c>
      <c r="H242" s="1" t="s">
        <v>1456</v>
      </c>
      <c r="I242" s="33" t="s">
        <v>4576</v>
      </c>
    </row>
    <row r="243" spans="1:9" x14ac:dyDescent="0.25">
      <c r="A243" s="24">
        <v>15</v>
      </c>
      <c r="B243" s="2">
        <v>93</v>
      </c>
      <c r="C243" s="2" t="s">
        <v>204</v>
      </c>
      <c r="D243" s="3">
        <v>0</v>
      </c>
      <c r="F243" s="2"/>
      <c r="H243" s="1" t="s">
        <v>1456</v>
      </c>
      <c r="I243" s="33" t="s">
        <v>4568</v>
      </c>
    </row>
    <row r="244" spans="1:9" x14ac:dyDescent="0.25">
      <c r="A244" s="24">
        <v>15</v>
      </c>
      <c r="B244" s="2">
        <v>93</v>
      </c>
      <c r="C244" s="2" t="s">
        <v>210</v>
      </c>
      <c r="D244" s="3">
        <v>0</v>
      </c>
      <c r="F244" s="2"/>
      <c r="H244" s="1" t="s">
        <v>1456</v>
      </c>
      <c r="I244" s="33" t="s">
        <v>4569</v>
      </c>
    </row>
    <row r="245" spans="1:9" x14ac:dyDescent="0.25">
      <c r="A245" s="24">
        <v>15</v>
      </c>
      <c r="B245" s="2">
        <v>93</v>
      </c>
      <c r="C245" s="2" t="s">
        <v>215</v>
      </c>
      <c r="D245" s="3">
        <v>0</v>
      </c>
      <c r="F245" s="2"/>
      <c r="H245" s="1" t="s">
        <v>1456</v>
      </c>
      <c r="I245" s="33" t="s">
        <v>4570</v>
      </c>
    </row>
    <row r="246" spans="1:9" ht="15.75" thickBot="1" x14ac:dyDescent="0.3">
      <c r="A246" s="26">
        <v>15</v>
      </c>
      <c r="B246" s="27">
        <v>93</v>
      </c>
      <c r="C246" s="27" t="s">
        <v>221</v>
      </c>
      <c r="D246" s="28">
        <v>0</v>
      </c>
      <c r="E246" s="30"/>
      <c r="F246" s="27"/>
      <c r="G246" s="30"/>
      <c r="H246" s="29" t="s">
        <v>1456</v>
      </c>
      <c r="I246" s="34" t="s">
        <v>4571</v>
      </c>
    </row>
    <row r="247" spans="1:9" x14ac:dyDescent="0.25">
      <c r="A247" s="18">
        <v>15</v>
      </c>
      <c r="B247" s="19">
        <v>94</v>
      </c>
      <c r="C247" s="19" t="s">
        <v>186</v>
      </c>
      <c r="D247" s="20">
        <v>2</v>
      </c>
      <c r="E247" t="s">
        <v>4690</v>
      </c>
      <c r="F247" s="19" t="s">
        <v>4619</v>
      </c>
      <c r="G247" s="22" t="s">
        <v>4671</v>
      </c>
      <c r="H247" s="21" t="s">
        <v>1456</v>
      </c>
      <c r="I247" s="32" t="s">
        <v>4670</v>
      </c>
    </row>
    <row r="248" spans="1:9" x14ac:dyDescent="0.25">
      <c r="A248" s="24">
        <v>15</v>
      </c>
      <c r="B248" s="2">
        <v>94</v>
      </c>
      <c r="C248" s="2" t="s">
        <v>192</v>
      </c>
      <c r="D248" s="3">
        <v>2</v>
      </c>
      <c r="E248" t="s">
        <v>4689</v>
      </c>
      <c r="F248" s="2" t="s">
        <v>4664</v>
      </c>
      <c r="G248" t="s">
        <v>4673</v>
      </c>
      <c r="H248" s="1" t="s">
        <v>1456</v>
      </c>
      <c r="I248" s="33" t="s">
        <v>4672</v>
      </c>
    </row>
    <row r="249" spans="1:9" x14ac:dyDescent="0.25">
      <c r="A249" s="24">
        <v>15</v>
      </c>
      <c r="B249" s="2">
        <v>94</v>
      </c>
      <c r="C249" s="2" t="s">
        <v>198</v>
      </c>
      <c r="D249" s="3">
        <v>2</v>
      </c>
      <c r="E249" t="s">
        <v>4688</v>
      </c>
      <c r="F249" s="2" t="s">
        <v>4665</v>
      </c>
      <c r="G249" t="s">
        <v>4675</v>
      </c>
      <c r="H249" s="1" t="s">
        <v>1456</v>
      </c>
      <c r="I249" s="33" t="s">
        <v>4674</v>
      </c>
    </row>
    <row r="250" spans="1:9" x14ac:dyDescent="0.25">
      <c r="A250" s="24">
        <v>15</v>
      </c>
      <c r="B250" s="2">
        <v>94</v>
      </c>
      <c r="C250" s="2" t="s">
        <v>204</v>
      </c>
      <c r="D250" s="3">
        <v>1</v>
      </c>
      <c r="E250" t="s">
        <v>4684</v>
      </c>
      <c r="F250" s="2" t="s">
        <v>4666</v>
      </c>
      <c r="G250" t="s">
        <v>4677</v>
      </c>
      <c r="H250" s="1" t="s">
        <v>1457</v>
      </c>
      <c r="I250" s="33" t="s">
        <v>4676</v>
      </c>
    </row>
    <row r="251" spans="1:9" x14ac:dyDescent="0.25">
      <c r="A251" s="24">
        <v>15</v>
      </c>
      <c r="B251" s="2">
        <v>94</v>
      </c>
      <c r="C251" s="2" t="s">
        <v>210</v>
      </c>
      <c r="D251" s="3">
        <v>1</v>
      </c>
      <c r="E251" t="s">
        <v>4685</v>
      </c>
      <c r="F251" s="2" t="s">
        <v>4667</v>
      </c>
      <c r="G251" t="s">
        <v>4679</v>
      </c>
      <c r="H251" s="1" t="s">
        <v>1456</v>
      </c>
      <c r="I251" s="33" t="s">
        <v>4678</v>
      </c>
    </row>
    <row r="252" spans="1:9" x14ac:dyDescent="0.25">
      <c r="A252" s="24">
        <v>15</v>
      </c>
      <c r="B252" s="2">
        <v>94</v>
      </c>
      <c r="C252" s="2" t="s">
        <v>215</v>
      </c>
      <c r="D252" s="3">
        <v>2</v>
      </c>
      <c r="E252" t="s">
        <v>4687</v>
      </c>
      <c r="F252" s="2" t="s">
        <v>4668</v>
      </c>
      <c r="G252" t="s">
        <v>4681</v>
      </c>
      <c r="H252" s="1" t="s">
        <v>1457</v>
      </c>
      <c r="I252" s="33" t="s">
        <v>4680</v>
      </c>
    </row>
    <row r="253" spans="1:9" ht="15.75" thickBot="1" x14ac:dyDescent="0.3">
      <c r="A253" s="24">
        <v>15</v>
      </c>
      <c r="B253" s="2">
        <v>94</v>
      </c>
      <c r="C253" s="2" t="s">
        <v>221</v>
      </c>
      <c r="D253" s="3">
        <v>1</v>
      </c>
      <c r="E253" t="s">
        <v>4686</v>
      </c>
      <c r="F253" s="2" t="s">
        <v>4669</v>
      </c>
      <c r="G253" t="s">
        <v>4683</v>
      </c>
      <c r="H253" s="1" t="s">
        <v>1457</v>
      </c>
      <c r="I253" s="33" t="s">
        <v>4682</v>
      </c>
    </row>
    <row r="254" spans="1:9" x14ac:dyDescent="0.25">
      <c r="A254" s="18">
        <v>15</v>
      </c>
      <c r="B254" s="19">
        <v>96</v>
      </c>
      <c r="C254" s="19" t="s">
        <v>186</v>
      </c>
      <c r="D254" s="20">
        <v>0</v>
      </c>
      <c r="E254" s="22"/>
      <c r="F254" s="19"/>
      <c r="G254" s="22"/>
      <c r="H254" s="21" t="s">
        <v>1456</v>
      </c>
      <c r="I254" s="32" t="s">
        <v>4757</v>
      </c>
    </row>
    <row r="255" spans="1:9" x14ac:dyDescent="0.25">
      <c r="A255" s="24">
        <v>15</v>
      </c>
      <c r="B255" s="2">
        <v>96</v>
      </c>
      <c r="C255" s="2" t="s">
        <v>192</v>
      </c>
      <c r="D255" s="3">
        <v>1</v>
      </c>
      <c r="E255" t="s">
        <v>4765</v>
      </c>
      <c r="F255" s="2" t="s">
        <v>4758</v>
      </c>
      <c r="G255" t="s">
        <v>4767</v>
      </c>
      <c r="H255" s="1" t="s">
        <v>1457</v>
      </c>
      <c r="I255" s="33" t="s">
        <v>4766</v>
      </c>
    </row>
    <row r="256" spans="1:9" x14ac:dyDescent="0.25">
      <c r="A256" s="24">
        <v>15</v>
      </c>
      <c r="B256" s="2">
        <v>96</v>
      </c>
      <c r="C256" s="2" t="s">
        <v>198</v>
      </c>
      <c r="D256" s="3">
        <v>2</v>
      </c>
      <c r="E256" t="s">
        <v>4764</v>
      </c>
      <c r="F256" s="2" t="s">
        <v>4719</v>
      </c>
      <c r="G256" t="s">
        <v>4577</v>
      </c>
      <c r="H256" s="1" t="s">
        <v>1456</v>
      </c>
      <c r="I256" s="33" t="s">
        <v>4759</v>
      </c>
    </row>
    <row r="257" spans="1:9" x14ac:dyDescent="0.25">
      <c r="A257" s="24">
        <v>15</v>
      </c>
      <c r="B257" s="2">
        <v>96</v>
      </c>
      <c r="C257" s="2" t="s">
        <v>204</v>
      </c>
      <c r="D257" s="3">
        <v>0</v>
      </c>
      <c r="F257" s="2"/>
      <c r="H257" s="1" t="s">
        <v>1456</v>
      </c>
      <c r="I257" s="33" t="s">
        <v>4760</v>
      </c>
    </row>
    <row r="258" spans="1:9" x14ac:dyDescent="0.25">
      <c r="A258" s="24">
        <v>15</v>
      </c>
      <c r="B258" s="2">
        <v>96</v>
      </c>
      <c r="C258" s="2" t="s">
        <v>210</v>
      </c>
      <c r="D258" s="3">
        <v>0</v>
      </c>
      <c r="F258" s="2"/>
      <c r="H258" s="1" t="s">
        <v>1456</v>
      </c>
      <c r="I258" s="33" t="s">
        <v>4761</v>
      </c>
    </row>
    <row r="259" spans="1:9" x14ac:dyDescent="0.25">
      <c r="A259" s="24">
        <v>15</v>
      </c>
      <c r="B259" s="2">
        <v>96</v>
      </c>
      <c r="C259" s="2" t="s">
        <v>215</v>
      </c>
      <c r="D259" s="3">
        <v>0</v>
      </c>
      <c r="F259" s="2"/>
      <c r="H259" s="1" t="s">
        <v>1456</v>
      </c>
      <c r="I259" s="33" t="s">
        <v>4762</v>
      </c>
    </row>
    <row r="260" spans="1:9" ht="15.75" thickBot="1" x14ac:dyDescent="0.3">
      <c r="A260" s="26">
        <v>15</v>
      </c>
      <c r="B260" s="27">
        <v>96</v>
      </c>
      <c r="C260" s="27" t="s">
        <v>221</v>
      </c>
      <c r="D260" s="28">
        <v>0</v>
      </c>
      <c r="E260" s="30"/>
      <c r="F260" s="27"/>
      <c r="G260" s="30"/>
      <c r="H260" s="29" t="s">
        <v>1456</v>
      </c>
      <c r="I260" s="34" t="s">
        <v>4763</v>
      </c>
    </row>
    <row r="261" spans="1:9" x14ac:dyDescent="0.25">
      <c r="A261" s="18">
        <v>15</v>
      </c>
      <c r="B261" s="19">
        <v>97</v>
      </c>
      <c r="C261" s="19" t="s">
        <v>186</v>
      </c>
      <c r="D261" s="20">
        <v>1</v>
      </c>
      <c r="E261" t="s">
        <v>4782</v>
      </c>
      <c r="F261" s="19" t="s">
        <v>4781</v>
      </c>
      <c r="G261" s="22" t="s">
        <v>4812</v>
      </c>
      <c r="H261" s="21" t="s">
        <v>1457</v>
      </c>
      <c r="I261" s="32" t="s">
        <v>4811</v>
      </c>
    </row>
    <row r="262" spans="1:9" x14ac:dyDescent="0.25">
      <c r="A262" s="24">
        <v>15</v>
      </c>
      <c r="B262" s="2">
        <v>97</v>
      </c>
      <c r="C262" s="2" t="s">
        <v>192</v>
      </c>
      <c r="D262" s="3">
        <v>2</v>
      </c>
      <c r="E262" t="s">
        <v>4819</v>
      </c>
      <c r="F262" s="2" t="s">
        <v>4805</v>
      </c>
      <c r="G262" t="s">
        <v>4814</v>
      </c>
      <c r="H262" s="1" t="s">
        <v>1456</v>
      </c>
      <c r="I262" s="33" t="s">
        <v>4813</v>
      </c>
    </row>
    <row r="263" spans="1:9" x14ac:dyDescent="0.25">
      <c r="A263" s="24">
        <v>15</v>
      </c>
      <c r="B263" s="2">
        <v>97</v>
      </c>
      <c r="C263" s="2" t="s">
        <v>198</v>
      </c>
      <c r="D263" s="3">
        <v>2</v>
      </c>
      <c r="E263" t="s">
        <v>4820</v>
      </c>
      <c r="F263" s="2" t="s">
        <v>4806</v>
      </c>
      <c r="G263" t="s">
        <v>4816</v>
      </c>
      <c r="H263" s="1" t="s">
        <v>1456</v>
      </c>
      <c r="I263" s="33" t="s">
        <v>4815</v>
      </c>
    </row>
    <row r="264" spans="1:9" x14ac:dyDescent="0.25">
      <c r="A264" s="24">
        <v>15</v>
      </c>
      <c r="B264" s="2">
        <v>97</v>
      </c>
      <c r="C264" s="2" t="s">
        <v>204</v>
      </c>
      <c r="D264" s="3">
        <v>0</v>
      </c>
      <c r="F264" s="2"/>
      <c r="H264" s="1" t="s">
        <v>1457</v>
      </c>
      <c r="I264" s="33" t="s">
        <v>4807</v>
      </c>
    </row>
    <row r="265" spans="1:9" x14ac:dyDescent="0.25">
      <c r="A265" s="24">
        <v>15</v>
      </c>
      <c r="B265" s="2">
        <v>97</v>
      </c>
      <c r="C265" s="2" t="s">
        <v>210</v>
      </c>
      <c r="D265" s="3">
        <v>1</v>
      </c>
      <c r="E265" t="s">
        <v>4821</v>
      </c>
      <c r="F265" s="2" t="s">
        <v>4808</v>
      </c>
      <c r="G265" t="s">
        <v>4818</v>
      </c>
      <c r="H265" s="1" t="s">
        <v>1457</v>
      </c>
      <c r="I265" s="33" t="s">
        <v>4817</v>
      </c>
    </row>
    <row r="266" spans="1:9" x14ac:dyDescent="0.25">
      <c r="A266" s="24">
        <v>15</v>
      </c>
      <c r="B266" s="2">
        <v>97</v>
      </c>
      <c r="C266" s="2" t="s">
        <v>215</v>
      </c>
      <c r="D266" s="3">
        <v>0</v>
      </c>
      <c r="F266" s="2"/>
      <c r="H266" s="1" t="s">
        <v>1456</v>
      </c>
      <c r="I266" s="33" t="s">
        <v>4809</v>
      </c>
    </row>
    <row r="267" spans="1:9" ht="15.75" thickBot="1" x14ac:dyDescent="0.3">
      <c r="A267" s="26">
        <v>15</v>
      </c>
      <c r="B267" s="27">
        <v>97</v>
      </c>
      <c r="C267" s="27" t="s">
        <v>221</v>
      </c>
      <c r="D267" s="28">
        <v>0</v>
      </c>
      <c r="E267" s="30"/>
      <c r="F267" s="27"/>
      <c r="G267" s="30"/>
      <c r="H267" s="29" t="s">
        <v>1456</v>
      </c>
      <c r="I267" s="34" t="s">
        <v>4810</v>
      </c>
    </row>
    <row r="268" spans="1:9" x14ac:dyDescent="0.25">
      <c r="A268" s="18">
        <v>17</v>
      </c>
      <c r="B268" s="19">
        <v>102</v>
      </c>
      <c r="C268" s="19" t="s">
        <v>186</v>
      </c>
      <c r="D268" s="20">
        <v>0</v>
      </c>
      <c r="E268" s="22"/>
      <c r="F268" s="19"/>
      <c r="G268" s="22" t="s">
        <v>4910</v>
      </c>
      <c r="H268" s="21" t="s">
        <v>1457</v>
      </c>
      <c r="I268" s="32" t="s">
        <v>4909</v>
      </c>
    </row>
    <row r="269" spans="1:9" x14ac:dyDescent="0.25">
      <c r="A269" s="24">
        <v>17</v>
      </c>
      <c r="B269" s="2">
        <v>102</v>
      </c>
      <c r="C269" s="2" t="s">
        <v>192</v>
      </c>
      <c r="D269" s="3">
        <v>2</v>
      </c>
      <c r="E269" t="s">
        <v>4922</v>
      </c>
      <c r="F269" s="2" t="s">
        <v>4905</v>
      </c>
      <c r="G269" t="s">
        <v>4912</v>
      </c>
      <c r="H269" s="1" t="s">
        <v>1457</v>
      </c>
      <c r="I269" s="33" t="s">
        <v>4911</v>
      </c>
    </row>
    <row r="270" spans="1:9" x14ac:dyDescent="0.25">
      <c r="A270" s="24">
        <v>17</v>
      </c>
      <c r="B270" s="2">
        <v>102</v>
      </c>
      <c r="C270" s="2" t="s">
        <v>198</v>
      </c>
      <c r="D270" s="3">
        <v>2</v>
      </c>
      <c r="E270" t="s">
        <v>4923</v>
      </c>
      <c r="F270" s="2" t="s">
        <v>4906</v>
      </c>
      <c r="G270" t="s">
        <v>4914</v>
      </c>
      <c r="H270" s="1" t="s">
        <v>1456</v>
      </c>
      <c r="I270" s="33" t="s">
        <v>4913</v>
      </c>
    </row>
    <row r="271" spans="1:9" x14ac:dyDescent="0.25">
      <c r="A271" s="24">
        <v>17</v>
      </c>
      <c r="B271" s="2">
        <v>102</v>
      </c>
      <c r="C271" s="2" t="s">
        <v>204</v>
      </c>
      <c r="D271" s="3">
        <v>0</v>
      </c>
      <c r="F271" s="2"/>
      <c r="H271" s="1" t="s">
        <v>1456</v>
      </c>
      <c r="I271" s="33" t="s">
        <v>4907</v>
      </c>
    </row>
    <row r="272" spans="1:9" x14ac:dyDescent="0.25">
      <c r="A272" s="24">
        <v>17</v>
      </c>
      <c r="B272" s="2">
        <v>102</v>
      </c>
      <c r="C272" s="2" t="s">
        <v>210</v>
      </c>
      <c r="D272" s="3">
        <v>1</v>
      </c>
      <c r="E272" t="s">
        <v>4882</v>
      </c>
      <c r="F272" s="2" t="s">
        <v>4861</v>
      </c>
      <c r="G272" t="s">
        <v>4916</v>
      </c>
      <c r="H272" s="1" t="s">
        <v>1457</v>
      </c>
      <c r="I272" s="33" t="s">
        <v>4915</v>
      </c>
    </row>
    <row r="273" spans="1:9" x14ac:dyDescent="0.25">
      <c r="A273" s="24">
        <v>17</v>
      </c>
      <c r="B273" s="2">
        <v>102</v>
      </c>
      <c r="C273" s="2" t="s">
        <v>215</v>
      </c>
      <c r="D273" s="3">
        <v>1</v>
      </c>
      <c r="E273" t="s">
        <v>4921</v>
      </c>
      <c r="F273" s="2" t="s">
        <v>4908</v>
      </c>
      <c r="G273" t="s">
        <v>4918</v>
      </c>
      <c r="H273" s="1" t="s">
        <v>1457</v>
      </c>
      <c r="I273" s="33" t="s">
        <v>4917</v>
      </c>
    </row>
    <row r="274" spans="1:9" ht="15.75" thickBot="1" x14ac:dyDescent="0.3">
      <c r="A274" s="24">
        <v>17</v>
      </c>
      <c r="B274" s="2">
        <v>102</v>
      </c>
      <c r="C274" s="2" t="s">
        <v>221</v>
      </c>
      <c r="D274" s="3">
        <v>1</v>
      </c>
      <c r="E274" t="s">
        <v>4878</v>
      </c>
      <c r="F274" s="2" t="s">
        <v>4832</v>
      </c>
      <c r="G274" t="s">
        <v>4920</v>
      </c>
      <c r="H274" s="1" t="s">
        <v>1541</v>
      </c>
      <c r="I274" s="33" t="s">
        <v>4919</v>
      </c>
    </row>
    <row r="275" spans="1:9" x14ac:dyDescent="0.25">
      <c r="A275" s="18">
        <v>19</v>
      </c>
      <c r="B275" s="19">
        <v>113</v>
      </c>
      <c r="C275" s="19" t="s">
        <v>186</v>
      </c>
      <c r="D275" s="20">
        <v>2</v>
      </c>
      <c r="E275" t="s">
        <v>4950</v>
      </c>
      <c r="F275" s="19" t="s">
        <v>4941</v>
      </c>
      <c r="G275" s="22" t="s">
        <v>4671</v>
      </c>
      <c r="H275" s="21" t="s">
        <v>1456</v>
      </c>
      <c r="I275" s="32" t="s">
        <v>4975</v>
      </c>
    </row>
    <row r="276" spans="1:9" x14ac:dyDescent="0.25">
      <c r="A276" s="24">
        <v>19</v>
      </c>
      <c r="B276" s="2">
        <v>113</v>
      </c>
      <c r="C276" s="2" t="s">
        <v>192</v>
      </c>
      <c r="D276" s="3">
        <v>2</v>
      </c>
      <c r="E276" t="s">
        <v>4988</v>
      </c>
      <c r="F276" s="2" t="s">
        <v>4980</v>
      </c>
      <c r="G276" t="s">
        <v>4673</v>
      </c>
      <c r="H276" s="1" t="s">
        <v>1456</v>
      </c>
      <c r="I276" s="33" t="s">
        <v>4976</v>
      </c>
    </row>
    <row r="277" spans="1:9" x14ac:dyDescent="0.25">
      <c r="A277" s="24">
        <v>19</v>
      </c>
      <c r="B277" s="2">
        <v>113</v>
      </c>
      <c r="C277" s="2" t="s">
        <v>198</v>
      </c>
      <c r="D277" s="3">
        <v>2</v>
      </c>
      <c r="E277" t="s">
        <v>4989</v>
      </c>
      <c r="F277" s="2" t="s">
        <v>4981</v>
      </c>
      <c r="G277" t="s">
        <v>4675</v>
      </c>
      <c r="H277" s="1" t="s">
        <v>1456</v>
      </c>
      <c r="I277" s="33" t="s">
        <v>4977</v>
      </c>
    </row>
    <row r="278" spans="1:9" x14ac:dyDescent="0.25">
      <c r="A278" s="24">
        <v>19</v>
      </c>
      <c r="B278" s="2">
        <v>113</v>
      </c>
      <c r="C278" s="2" t="s">
        <v>204</v>
      </c>
      <c r="D278" s="3">
        <v>0</v>
      </c>
      <c r="F278" s="2"/>
      <c r="H278" s="1" t="s">
        <v>1456</v>
      </c>
      <c r="I278" s="33" t="s">
        <v>4978</v>
      </c>
    </row>
    <row r="279" spans="1:9" x14ac:dyDescent="0.25">
      <c r="A279" s="24">
        <v>19</v>
      </c>
      <c r="B279" s="2">
        <v>113</v>
      </c>
      <c r="C279" s="2" t="s">
        <v>210</v>
      </c>
      <c r="D279" s="3">
        <v>2</v>
      </c>
      <c r="E279" t="s">
        <v>4986</v>
      </c>
      <c r="F279" s="2" t="s">
        <v>4982</v>
      </c>
      <c r="G279" t="s">
        <v>4814</v>
      </c>
      <c r="H279" s="1" t="s">
        <v>1456</v>
      </c>
      <c r="I279" s="33" t="s">
        <v>4985</v>
      </c>
    </row>
    <row r="280" spans="1:9" x14ac:dyDescent="0.25">
      <c r="A280" s="24">
        <v>19</v>
      </c>
      <c r="B280" s="2">
        <v>113</v>
      </c>
      <c r="C280" s="2" t="s">
        <v>215</v>
      </c>
      <c r="D280" s="3">
        <v>1</v>
      </c>
      <c r="E280" t="s">
        <v>4987</v>
      </c>
      <c r="F280" s="2" t="s">
        <v>4982</v>
      </c>
      <c r="G280" t="s">
        <v>4983</v>
      </c>
      <c r="H280" s="1" t="s">
        <v>1457</v>
      </c>
      <c r="I280" s="33" t="s">
        <v>4984</v>
      </c>
    </row>
    <row r="281" spans="1:9" ht="15.75" thickBot="1" x14ac:dyDescent="0.3">
      <c r="A281" s="26">
        <v>19</v>
      </c>
      <c r="B281" s="27">
        <v>113</v>
      </c>
      <c r="C281" s="27" t="s">
        <v>221</v>
      </c>
      <c r="D281" s="28">
        <v>0</v>
      </c>
      <c r="E281" s="30"/>
      <c r="F281" s="27"/>
      <c r="G281" s="30"/>
      <c r="H281" s="29" t="s">
        <v>1456</v>
      </c>
      <c r="I281" s="34" t="s">
        <v>4979</v>
      </c>
    </row>
    <row r="282" spans="1:9" x14ac:dyDescent="0.25">
      <c r="A282" s="18">
        <v>20</v>
      </c>
      <c r="B282" s="19">
        <v>122</v>
      </c>
      <c r="C282" s="19" t="s">
        <v>186</v>
      </c>
      <c r="D282" s="20">
        <v>0</v>
      </c>
      <c r="E282" s="22"/>
      <c r="F282" s="19"/>
      <c r="G282" s="22"/>
      <c r="H282" s="21" t="s">
        <v>1456</v>
      </c>
      <c r="I282" s="32" t="s">
        <v>5020</v>
      </c>
    </row>
    <row r="283" spans="1:9" x14ac:dyDescent="0.25">
      <c r="A283" s="24">
        <v>20</v>
      </c>
      <c r="B283" s="2">
        <v>122</v>
      </c>
      <c r="C283" s="2" t="s">
        <v>192</v>
      </c>
      <c r="D283" s="3">
        <v>1</v>
      </c>
      <c r="E283" t="s">
        <v>5026</v>
      </c>
      <c r="F283" s="2" t="s">
        <v>5021</v>
      </c>
      <c r="G283" t="s">
        <v>5025</v>
      </c>
      <c r="H283" s="1" t="s">
        <v>1457</v>
      </c>
      <c r="I283" s="33" t="s">
        <v>5024</v>
      </c>
    </row>
    <row r="284" spans="1:9" x14ac:dyDescent="0.25">
      <c r="A284" s="24">
        <v>20</v>
      </c>
      <c r="B284" s="2">
        <v>122</v>
      </c>
      <c r="C284" s="2" t="s">
        <v>198</v>
      </c>
      <c r="D284" s="3">
        <v>0</v>
      </c>
      <c r="F284" s="2"/>
      <c r="H284" s="1" t="s">
        <v>1457</v>
      </c>
      <c r="I284" s="33" t="s">
        <v>5022</v>
      </c>
    </row>
    <row r="285" spans="1:9" x14ac:dyDescent="0.25">
      <c r="A285" s="24">
        <v>20</v>
      </c>
      <c r="B285" s="2">
        <v>122</v>
      </c>
      <c r="C285" s="2" t="s">
        <v>204</v>
      </c>
      <c r="D285" s="3">
        <v>0</v>
      </c>
      <c r="F285" s="2"/>
      <c r="H285" s="1" t="s">
        <v>1456</v>
      </c>
      <c r="I285" s="33" t="s">
        <v>4711</v>
      </c>
    </row>
    <row r="286" spans="1:9" x14ac:dyDescent="0.25">
      <c r="A286" s="24">
        <v>20</v>
      </c>
      <c r="B286" s="2">
        <v>122</v>
      </c>
      <c r="C286" s="2" t="s">
        <v>210</v>
      </c>
      <c r="D286" s="3">
        <v>0</v>
      </c>
      <c r="F286" s="2"/>
      <c r="H286" s="1" t="s">
        <v>1456</v>
      </c>
      <c r="I286" s="33" t="s">
        <v>4711</v>
      </c>
    </row>
    <row r="287" spans="1:9" x14ac:dyDescent="0.25">
      <c r="A287" s="24">
        <v>20</v>
      </c>
      <c r="B287" s="2">
        <v>122</v>
      </c>
      <c r="C287" s="2" t="s">
        <v>215</v>
      </c>
      <c r="D287" s="3">
        <v>0</v>
      </c>
      <c r="F287" s="2"/>
      <c r="H287" s="1" t="s">
        <v>1457</v>
      </c>
      <c r="I287" s="33" t="s">
        <v>5023</v>
      </c>
    </row>
    <row r="288" spans="1:9" ht="15.75" thickBot="1" x14ac:dyDescent="0.3">
      <c r="A288" s="26">
        <v>20</v>
      </c>
      <c r="B288" s="27">
        <v>122</v>
      </c>
      <c r="C288" s="27" t="s">
        <v>221</v>
      </c>
      <c r="D288" s="28">
        <v>0</v>
      </c>
      <c r="E288" s="30"/>
      <c r="F288" s="27"/>
      <c r="G288" s="30"/>
      <c r="H288" s="29" t="s">
        <v>1456</v>
      </c>
      <c r="I288" s="34" t="s">
        <v>4711</v>
      </c>
    </row>
    <row r="289" spans="1:9" x14ac:dyDescent="0.25">
      <c r="A289" s="18">
        <v>22</v>
      </c>
      <c r="B289" s="19">
        <v>132</v>
      </c>
      <c r="C289" s="19" t="s">
        <v>186</v>
      </c>
      <c r="D289" s="20">
        <v>0</v>
      </c>
      <c r="E289" s="22"/>
      <c r="F289" s="19"/>
      <c r="G289" s="22"/>
      <c r="H289" s="21" t="s">
        <v>1456</v>
      </c>
      <c r="I289" s="32" t="s">
        <v>5084</v>
      </c>
    </row>
    <row r="290" spans="1:9" x14ac:dyDescent="0.25">
      <c r="A290" s="24">
        <v>22</v>
      </c>
      <c r="B290" s="2">
        <v>132</v>
      </c>
      <c r="C290" s="2" t="s">
        <v>192</v>
      </c>
      <c r="D290" s="3">
        <v>0</v>
      </c>
      <c r="F290" s="2"/>
      <c r="H290" s="1" t="s">
        <v>1457</v>
      </c>
      <c r="I290" s="33" t="s">
        <v>5085</v>
      </c>
    </row>
    <row r="291" spans="1:9" x14ac:dyDescent="0.25">
      <c r="A291" s="24">
        <v>22</v>
      </c>
      <c r="B291" s="2">
        <v>132</v>
      </c>
      <c r="C291" s="2" t="s">
        <v>198</v>
      </c>
      <c r="D291" s="3">
        <v>1</v>
      </c>
      <c r="F291" s="2" t="s">
        <v>5072</v>
      </c>
      <c r="G291" t="s">
        <v>5086</v>
      </c>
      <c r="H291" s="1" t="s">
        <v>1457</v>
      </c>
      <c r="I291" s="33"/>
    </row>
    <row r="292" spans="1:9" x14ac:dyDescent="0.25">
      <c r="A292" s="24">
        <v>22</v>
      </c>
      <c r="B292" s="2">
        <v>132</v>
      </c>
      <c r="C292" s="2" t="s">
        <v>204</v>
      </c>
      <c r="D292" s="3">
        <v>0</v>
      </c>
      <c r="F292" s="2"/>
      <c r="H292" s="1" t="s">
        <v>1456</v>
      </c>
      <c r="I292" s="33" t="s">
        <v>4711</v>
      </c>
    </row>
    <row r="293" spans="1:9" x14ac:dyDescent="0.25">
      <c r="A293" s="24">
        <v>22</v>
      </c>
      <c r="B293" s="2">
        <v>132</v>
      </c>
      <c r="C293" s="2" t="s">
        <v>210</v>
      </c>
      <c r="D293" s="3">
        <v>0</v>
      </c>
      <c r="F293" s="2"/>
      <c r="H293" s="1" t="s">
        <v>1456</v>
      </c>
      <c r="I293" s="33" t="s">
        <v>4711</v>
      </c>
    </row>
    <row r="294" spans="1:9" x14ac:dyDescent="0.25">
      <c r="A294" s="24">
        <v>22</v>
      </c>
      <c r="B294" s="2">
        <v>132</v>
      </c>
      <c r="C294" s="2" t="s">
        <v>215</v>
      </c>
      <c r="D294" s="3">
        <v>0</v>
      </c>
      <c r="F294" s="2"/>
      <c r="H294" s="1" t="s">
        <v>1457</v>
      </c>
      <c r="I294" s="33" t="s">
        <v>5087</v>
      </c>
    </row>
    <row r="295" spans="1:9" ht="15.75" thickBot="1" x14ac:dyDescent="0.3">
      <c r="A295" s="26">
        <v>22</v>
      </c>
      <c r="B295" s="27">
        <v>132</v>
      </c>
      <c r="C295" s="27" t="s">
        <v>221</v>
      </c>
      <c r="D295" s="28">
        <v>0</v>
      </c>
      <c r="E295" s="30"/>
      <c r="F295" s="27"/>
      <c r="G295" s="30"/>
      <c r="H295" s="29" t="s">
        <v>1457</v>
      </c>
      <c r="I295" s="34" t="s">
        <v>5088</v>
      </c>
    </row>
    <row r="296" spans="1:9" x14ac:dyDescent="0.25">
      <c r="A296" s="18">
        <v>23</v>
      </c>
      <c r="B296" s="19">
        <v>142</v>
      </c>
      <c r="C296" s="19" t="s">
        <v>186</v>
      </c>
      <c r="D296" s="20">
        <v>2</v>
      </c>
      <c r="E296" t="s">
        <v>5232</v>
      </c>
      <c r="F296" s="19" t="s">
        <v>5214</v>
      </c>
      <c r="G296" s="22" t="s">
        <v>5220</v>
      </c>
      <c r="H296" s="21" t="s">
        <v>1456</v>
      </c>
      <c r="I296" s="32" t="s">
        <v>5219</v>
      </c>
    </row>
    <row r="297" spans="1:9" x14ac:dyDescent="0.25">
      <c r="A297" s="24">
        <v>23</v>
      </c>
      <c r="B297" s="2">
        <v>142</v>
      </c>
      <c r="C297" s="2" t="s">
        <v>192</v>
      </c>
      <c r="D297" s="3">
        <v>2</v>
      </c>
      <c r="E297" t="s">
        <v>5233</v>
      </c>
      <c r="F297" s="2" t="s">
        <v>5215</v>
      </c>
      <c r="G297" t="s">
        <v>5222</v>
      </c>
      <c r="H297" s="1" t="s">
        <v>1456</v>
      </c>
      <c r="I297" s="33" t="s">
        <v>5221</v>
      </c>
    </row>
    <row r="298" spans="1:9" x14ac:dyDescent="0.25">
      <c r="A298" s="24">
        <v>23</v>
      </c>
      <c r="B298" s="2">
        <v>142</v>
      </c>
      <c r="C298" s="2" t="s">
        <v>198</v>
      </c>
      <c r="D298" s="3">
        <v>2</v>
      </c>
      <c r="E298" t="s">
        <v>5234</v>
      </c>
      <c r="F298" s="2" t="s">
        <v>5216</v>
      </c>
      <c r="G298" t="s">
        <v>5224</v>
      </c>
      <c r="H298" s="1" t="s">
        <v>1457</v>
      </c>
      <c r="I298" s="33" t="s">
        <v>5223</v>
      </c>
    </row>
    <row r="299" spans="1:9" x14ac:dyDescent="0.25">
      <c r="A299" s="24">
        <v>23</v>
      </c>
      <c r="B299" s="2">
        <v>142</v>
      </c>
      <c r="C299" s="2" t="s">
        <v>204</v>
      </c>
      <c r="D299" s="3">
        <v>1</v>
      </c>
      <c r="E299" t="s">
        <v>5231</v>
      </c>
      <c r="F299" s="2" t="s">
        <v>5185</v>
      </c>
      <c r="G299" t="s">
        <v>5226</v>
      </c>
      <c r="H299" s="1" t="s">
        <v>1541</v>
      </c>
      <c r="I299" s="33" t="s">
        <v>5225</v>
      </c>
    </row>
    <row r="300" spans="1:9" x14ac:dyDescent="0.25">
      <c r="A300" s="24">
        <v>23</v>
      </c>
      <c r="B300" s="2">
        <v>142</v>
      </c>
      <c r="C300" s="2" t="s">
        <v>210</v>
      </c>
      <c r="D300" s="3">
        <v>1</v>
      </c>
      <c r="E300" t="s">
        <v>5235</v>
      </c>
      <c r="F300" s="2" t="s">
        <v>5217</v>
      </c>
      <c r="G300" t="s">
        <v>5228</v>
      </c>
      <c r="H300" s="1" t="s">
        <v>1456</v>
      </c>
      <c r="I300" s="33" t="s">
        <v>5227</v>
      </c>
    </row>
    <row r="301" spans="1:9" x14ac:dyDescent="0.25">
      <c r="A301" s="24">
        <v>23</v>
      </c>
      <c r="B301" s="2">
        <v>142</v>
      </c>
      <c r="C301" s="2" t="s">
        <v>215</v>
      </c>
      <c r="D301" s="3">
        <v>2</v>
      </c>
      <c r="E301" t="s">
        <v>5236</v>
      </c>
      <c r="F301" s="2" t="s">
        <v>5214</v>
      </c>
      <c r="G301" t="s">
        <v>5230</v>
      </c>
      <c r="H301" s="1" t="s">
        <v>1456</v>
      </c>
      <c r="I301" s="33" t="s">
        <v>5229</v>
      </c>
    </row>
    <row r="302" spans="1:9" ht="15.75" thickBot="1" x14ac:dyDescent="0.3">
      <c r="A302" s="26">
        <v>23</v>
      </c>
      <c r="B302" s="27">
        <v>142</v>
      </c>
      <c r="C302" s="27" t="s">
        <v>221</v>
      </c>
      <c r="D302" s="28">
        <v>0</v>
      </c>
      <c r="E302" s="30"/>
      <c r="F302" s="27"/>
      <c r="G302" s="30"/>
      <c r="H302" s="29" t="s">
        <v>1456</v>
      </c>
      <c r="I302" s="34" t="s">
        <v>5218</v>
      </c>
    </row>
    <row r="303" spans="1:9" x14ac:dyDescent="0.25">
      <c r="A303" s="18">
        <v>24</v>
      </c>
      <c r="B303" s="19">
        <v>148</v>
      </c>
      <c r="C303" s="19" t="s">
        <v>186</v>
      </c>
      <c r="D303" s="20">
        <v>0</v>
      </c>
      <c r="E303" s="22"/>
      <c r="F303" s="19"/>
      <c r="G303" s="22"/>
      <c r="H303" s="21" t="s">
        <v>1456</v>
      </c>
      <c r="I303" s="32" t="s">
        <v>5291</v>
      </c>
    </row>
    <row r="304" spans="1:9" x14ac:dyDescent="0.25">
      <c r="A304" s="24">
        <v>24</v>
      </c>
      <c r="B304" s="2">
        <v>148</v>
      </c>
      <c r="C304" s="2" t="s">
        <v>192</v>
      </c>
      <c r="D304" s="3">
        <v>2</v>
      </c>
      <c r="E304" t="s">
        <v>5302</v>
      </c>
      <c r="F304" s="2" t="s">
        <v>5297</v>
      </c>
      <c r="G304" t="s">
        <v>5299</v>
      </c>
      <c r="H304" s="1" t="s">
        <v>1457</v>
      </c>
      <c r="I304" s="33" t="s">
        <v>5298</v>
      </c>
    </row>
    <row r="305" spans="1:9" x14ac:dyDescent="0.25">
      <c r="A305" s="24">
        <v>24</v>
      </c>
      <c r="B305" s="2">
        <v>148</v>
      </c>
      <c r="C305" s="2" t="s">
        <v>198</v>
      </c>
      <c r="D305" s="3">
        <v>2</v>
      </c>
      <c r="E305" t="s">
        <v>5303</v>
      </c>
      <c r="F305" s="2" t="s">
        <v>5292</v>
      </c>
      <c r="G305" t="s">
        <v>5301</v>
      </c>
      <c r="H305" s="1" t="s">
        <v>1456</v>
      </c>
      <c r="I305" s="33" t="s">
        <v>5300</v>
      </c>
    </row>
    <row r="306" spans="1:9" x14ac:dyDescent="0.25">
      <c r="A306" s="24">
        <v>24</v>
      </c>
      <c r="B306" s="2">
        <v>148</v>
      </c>
      <c r="C306" s="2" t="s">
        <v>204</v>
      </c>
      <c r="D306" s="3">
        <v>0</v>
      </c>
      <c r="F306" s="2"/>
      <c r="H306" s="1" t="s">
        <v>1456</v>
      </c>
      <c r="I306" s="33" t="s">
        <v>5293</v>
      </c>
    </row>
    <row r="307" spans="1:9" x14ac:dyDescent="0.25">
      <c r="A307" s="24">
        <v>24</v>
      </c>
      <c r="B307" s="2">
        <v>148</v>
      </c>
      <c r="C307" s="2" t="s">
        <v>210</v>
      </c>
      <c r="D307" s="3">
        <v>0</v>
      </c>
      <c r="F307" s="2"/>
      <c r="H307" s="1" t="s">
        <v>1456</v>
      </c>
      <c r="I307" s="33" t="s">
        <v>5294</v>
      </c>
    </row>
    <row r="308" spans="1:9" x14ac:dyDescent="0.25">
      <c r="A308" s="24">
        <v>24</v>
      </c>
      <c r="B308" s="2">
        <v>148</v>
      </c>
      <c r="C308" s="2" t="s">
        <v>215</v>
      </c>
      <c r="D308" s="3">
        <v>0</v>
      </c>
      <c r="F308" s="2"/>
      <c r="H308" s="1" t="s">
        <v>1456</v>
      </c>
      <c r="I308" s="33" t="s">
        <v>5295</v>
      </c>
    </row>
    <row r="309" spans="1:9" ht="15.75" thickBot="1" x14ac:dyDescent="0.3">
      <c r="A309" s="26">
        <v>24</v>
      </c>
      <c r="B309" s="27">
        <v>148</v>
      </c>
      <c r="C309" s="27" t="s">
        <v>221</v>
      </c>
      <c r="D309" s="28">
        <v>0</v>
      </c>
      <c r="E309" s="30"/>
      <c r="F309" s="27"/>
      <c r="G309" s="30"/>
      <c r="H309" s="29" t="s">
        <v>1456</v>
      </c>
      <c r="I309" s="34" t="s">
        <v>5296</v>
      </c>
    </row>
    <row r="310" spans="1:9" x14ac:dyDescent="0.25">
      <c r="A310" s="18">
        <v>24</v>
      </c>
      <c r="B310" s="19">
        <v>149</v>
      </c>
      <c r="C310" s="19" t="s">
        <v>186</v>
      </c>
      <c r="D310" s="20">
        <v>0</v>
      </c>
      <c r="E310" s="22"/>
      <c r="F310" s="19"/>
      <c r="G310" s="22"/>
      <c r="H310" s="21" t="s">
        <v>1456</v>
      </c>
      <c r="I310" s="32" t="s">
        <v>5345</v>
      </c>
    </row>
    <row r="311" spans="1:9" x14ac:dyDescent="0.25">
      <c r="A311" s="24">
        <v>24</v>
      </c>
      <c r="B311" s="2">
        <v>149</v>
      </c>
      <c r="C311" s="2" t="s">
        <v>192</v>
      </c>
      <c r="D311" s="3">
        <v>0</v>
      </c>
      <c r="F311" s="2"/>
      <c r="H311" s="1" t="s">
        <v>1457</v>
      </c>
      <c r="I311" s="33" t="s">
        <v>5346</v>
      </c>
    </row>
    <row r="312" spans="1:9" x14ac:dyDescent="0.25">
      <c r="A312" s="24">
        <v>24</v>
      </c>
      <c r="B312" s="2">
        <v>149</v>
      </c>
      <c r="C312" s="2" t="s">
        <v>198</v>
      </c>
      <c r="D312" s="3">
        <v>0</v>
      </c>
      <c r="F312" s="2"/>
      <c r="H312" s="1" t="s">
        <v>1456</v>
      </c>
      <c r="I312" s="33" t="s">
        <v>5347</v>
      </c>
    </row>
    <row r="313" spans="1:9" x14ac:dyDescent="0.25">
      <c r="A313" s="24">
        <v>24</v>
      </c>
      <c r="B313" s="2">
        <v>149</v>
      </c>
      <c r="C313" s="2" t="s">
        <v>204</v>
      </c>
      <c r="D313" s="3">
        <v>0</v>
      </c>
      <c r="F313" s="2"/>
      <c r="H313" s="1" t="s">
        <v>1456</v>
      </c>
      <c r="I313" s="33" t="s">
        <v>5348</v>
      </c>
    </row>
    <row r="314" spans="1:9" x14ac:dyDescent="0.25">
      <c r="A314" s="24">
        <v>24</v>
      </c>
      <c r="B314" s="2">
        <v>149</v>
      </c>
      <c r="C314" s="2" t="s">
        <v>210</v>
      </c>
      <c r="D314" s="3">
        <v>0</v>
      </c>
      <c r="F314" s="2"/>
      <c r="H314" s="1" t="s">
        <v>1456</v>
      </c>
      <c r="I314" s="33" t="s">
        <v>5349</v>
      </c>
    </row>
    <row r="315" spans="1:9" x14ac:dyDescent="0.25">
      <c r="A315" s="24">
        <v>24</v>
      </c>
      <c r="B315" s="2">
        <v>149</v>
      </c>
      <c r="C315" s="2" t="s">
        <v>215</v>
      </c>
      <c r="D315" s="3">
        <v>0</v>
      </c>
      <c r="F315" s="2"/>
      <c r="H315" s="1" t="s">
        <v>1456</v>
      </c>
      <c r="I315" s="33" t="s">
        <v>5350</v>
      </c>
    </row>
    <row r="316" spans="1:9" ht="15.75" thickBot="1" x14ac:dyDescent="0.3">
      <c r="A316" s="26">
        <v>24</v>
      </c>
      <c r="B316" s="27">
        <v>149</v>
      </c>
      <c r="C316" s="27" t="s">
        <v>221</v>
      </c>
      <c r="D316" s="28">
        <v>0</v>
      </c>
      <c r="E316" s="30"/>
      <c r="F316" s="27"/>
      <c r="G316" s="30"/>
      <c r="H316" s="29" t="s">
        <v>1456</v>
      </c>
      <c r="I316" s="34" t="s">
        <v>5351</v>
      </c>
    </row>
    <row r="317" spans="1:9" x14ac:dyDescent="0.25">
      <c r="A317" s="18">
        <v>25</v>
      </c>
      <c r="B317" s="19">
        <v>153</v>
      </c>
      <c r="C317" s="19" t="s">
        <v>186</v>
      </c>
      <c r="D317" s="20">
        <v>2</v>
      </c>
      <c r="E317" t="s">
        <v>5417</v>
      </c>
      <c r="F317" s="19" t="s">
        <v>5402</v>
      </c>
      <c r="G317" s="22" t="s">
        <v>5414</v>
      </c>
      <c r="H317" s="21" t="s">
        <v>1456</v>
      </c>
      <c r="I317" s="32" t="s">
        <v>5413</v>
      </c>
    </row>
    <row r="318" spans="1:9" x14ac:dyDescent="0.25">
      <c r="A318" s="24">
        <v>25</v>
      </c>
      <c r="B318" s="2">
        <v>153</v>
      </c>
      <c r="C318" s="2" t="s">
        <v>192</v>
      </c>
      <c r="D318" s="3">
        <v>3</v>
      </c>
      <c r="E318" t="s">
        <v>5418</v>
      </c>
      <c r="F318" s="2" t="s">
        <v>5403</v>
      </c>
      <c r="H318" s="1" t="s">
        <v>1456</v>
      </c>
      <c r="I318" s="33" t="s">
        <v>5404</v>
      </c>
    </row>
    <row r="319" spans="1:9" x14ac:dyDescent="0.25">
      <c r="A319" s="24">
        <v>25</v>
      </c>
      <c r="B319" s="2">
        <v>153</v>
      </c>
      <c r="C319" s="2" t="s">
        <v>198</v>
      </c>
      <c r="D319" s="3">
        <v>3</v>
      </c>
      <c r="E319" t="s">
        <v>5419</v>
      </c>
      <c r="F319" s="2" t="s">
        <v>5405</v>
      </c>
      <c r="H319" s="1" t="s">
        <v>1456</v>
      </c>
      <c r="I319" s="33" t="s">
        <v>5406</v>
      </c>
    </row>
    <row r="320" spans="1:9" x14ac:dyDescent="0.25">
      <c r="A320" s="24">
        <v>25</v>
      </c>
      <c r="B320" s="2">
        <v>153</v>
      </c>
      <c r="C320" s="2" t="s">
        <v>204</v>
      </c>
      <c r="D320" s="3">
        <v>2</v>
      </c>
      <c r="E320" t="s">
        <v>5420</v>
      </c>
      <c r="F320" s="2" t="s">
        <v>5407</v>
      </c>
      <c r="G320" t="s">
        <v>5416</v>
      </c>
      <c r="H320" s="1" t="s">
        <v>1457</v>
      </c>
      <c r="I320" s="33" t="s">
        <v>5415</v>
      </c>
    </row>
    <row r="321" spans="1:9" x14ac:dyDescent="0.25">
      <c r="A321" s="24">
        <v>25</v>
      </c>
      <c r="B321" s="2">
        <v>153</v>
      </c>
      <c r="C321" s="2" t="s">
        <v>210</v>
      </c>
      <c r="D321" s="3">
        <v>3</v>
      </c>
      <c r="E321" t="s">
        <v>5421</v>
      </c>
      <c r="F321" s="2" t="s">
        <v>5408</v>
      </c>
      <c r="H321" s="1" t="s">
        <v>1456</v>
      </c>
      <c r="I321" s="33" t="s">
        <v>5409</v>
      </c>
    </row>
    <row r="322" spans="1:9" x14ac:dyDescent="0.25">
      <c r="A322" s="24">
        <v>25</v>
      </c>
      <c r="B322" s="2">
        <v>153</v>
      </c>
      <c r="C322" s="2" t="s">
        <v>215</v>
      </c>
      <c r="D322" s="3">
        <v>3</v>
      </c>
      <c r="E322" t="s">
        <v>5422</v>
      </c>
      <c r="F322" s="2" t="s">
        <v>5410</v>
      </c>
      <c r="H322" s="1" t="s">
        <v>1456</v>
      </c>
      <c r="I322" s="33" t="s">
        <v>5411</v>
      </c>
    </row>
    <row r="323" spans="1:9" ht="15.75" thickBot="1" x14ac:dyDescent="0.3">
      <c r="A323" s="26">
        <v>25</v>
      </c>
      <c r="B323" s="27">
        <v>153</v>
      </c>
      <c r="C323" s="27" t="s">
        <v>221</v>
      </c>
      <c r="D323" s="28">
        <v>0</v>
      </c>
      <c r="E323" s="30"/>
      <c r="F323" s="27"/>
      <c r="G323" s="30"/>
      <c r="H323" s="29" t="s">
        <v>1456</v>
      </c>
      <c r="I323" s="34" t="s">
        <v>5412</v>
      </c>
    </row>
    <row r="324" spans="1:9" x14ac:dyDescent="0.25">
      <c r="A324" s="18">
        <v>25</v>
      </c>
      <c r="B324" s="19">
        <v>154</v>
      </c>
      <c r="C324" s="19" t="s">
        <v>186</v>
      </c>
      <c r="D324" s="20">
        <v>2</v>
      </c>
      <c r="E324" t="s">
        <v>5520</v>
      </c>
      <c r="F324" s="19" t="s">
        <v>5501</v>
      </c>
      <c r="G324" s="22" t="s">
        <v>5509</v>
      </c>
      <c r="H324" s="21" t="s">
        <v>1456</v>
      </c>
      <c r="I324" s="32" t="s">
        <v>5508</v>
      </c>
    </row>
    <row r="325" spans="1:9" x14ac:dyDescent="0.25">
      <c r="A325" s="24">
        <v>25</v>
      </c>
      <c r="B325" s="2">
        <v>154</v>
      </c>
      <c r="C325" s="2" t="s">
        <v>192</v>
      </c>
      <c r="D325" s="3">
        <v>2</v>
      </c>
      <c r="E325" t="s">
        <v>5521</v>
      </c>
      <c r="F325" s="2" t="s">
        <v>5502</v>
      </c>
      <c r="G325" t="s">
        <v>5511</v>
      </c>
      <c r="H325" s="1" t="s">
        <v>1456</v>
      </c>
      <c r="I325" s="33" t="s">
        <v>5510</v>
      </c>
    </row>
    <row r="326" spans="1:9" x14ac:dyDescent="0.25">
      <c r="A326" s="24">
        <v>25</v>
      </c>
      <c r="B326" s="2">
        <v>154</v>
      </c>
      <c r="C326" s="2" t="s">
        <v>198</v>
      </c>
      <c r="D326" s="3">
        <v>2</v>
      </c>
      <c r="E326" t="s">
        <v>5522</v>
      </c>
      <c r="F326" s="2" t="s">
        <v>5503</v>
      </c>
      <c r="G326" t="s">
        <v>5513</v>
      </c>
      <c r="H326" s="1" t="s">
        <v>1457</v>
      </c>
      <c r="I326" s="33" t="s">
        <v>5512</v>
      </c>
    </row>
    <row r="327" spans="1:9" x14ac:dyDescent="0.25">
      <c r="A327" s="24">
        <v>25</v>
      </c>
      <c r="B327" s="2">
        <v>154</v>
      </c>
      <c r="C327" s="2" t="s">
        <v>204</v>
      </c>
      <c r="D327" s="3">
        <v>1</v>
      </c>
      <c r="E327" t="s">
        <v>5523</v>
      </c>
      <c r="F327" s="2" t="s">
        <v>5504</v>
      </c>
      <c r="G327" t="s">
        <v>5515</v>
      </c>
      <c r="H327" s="1" t="s">
        <v>1541</v>
      </c>
      <c r="I327" s="33" t="s">
        <v>5514</v>
      </c>
    </row>
    <row r="328" spans="1:9" x14ac:dyDescent="0.25">
      <c r="A328" s="24">
        <v>25</v>
      </c>
      <c r="B328" s="2">
        <v>154</v>
      </c>
      <c r="C328" s="2" t="s">
        <v>210</v>
      </c>
      <c r="D328" s="3">
        <v>1</v>
      </c>
      <c r="E328" t="s">
        <v>5524</v>
      </c>
      <c r="F328" s="2" t="s">
        <v>5505</v>
      </c>
      <c r="G328" t="s">
        <v>5517</v>
      </c>
      <c r="H328" s="1" t="s">
        <v>1457</v>
      </c>
      <c r="I328" s="33" t="s">
        <v>5516</v>
      </c>
    </row>
    <row r="329" spans="1:9" x14ac:dyDescent="0.25">
      <c r="A329" s="24">
        <v>25</v>
      </c>
      <c r="B329" s="2">
        <v>154</v>
      </c>
      <c r="C329" s="2" t="s">
        <v>215</v>
      </c>
      <c r="D329" s="3">
        <v>2</v>
      </c>
      <c r="E329" t="s">
        <v>5525</v>
      </c>
      <c r="F329" s="2" t="s">
        <v>5506</v>
      </c>
      <c r="G329" t="s">
        <v>5519</v>
      </c>
      <c r="H329" s="1" t="s">
        <v>1456</v>
      </c>
      <c r="I329" s="33" t="s">
        <v>5518</v>
      </c>
    </row>
    <row r="330" spans="1:9" ht="15.75" thickBot="1" x14ac:dyDescent="0.3">
      <c r="A330" s="26">
        <v>25</v>
      </c>
      <c r="B330" s="27">
        <v>154</v>
      </c>
      <c r="C330" s="27" t="s">
        <v>221</v>
      </c>
      <c r="D330" s="28">
        <v>0</v>
      </c>
      <c r="E330" s="30"/>
      <c r="F330" s="27"/>
      <c r="G330" s="30"/>
      <c r="H330" s="29" t="s">
        <v>1456</v>
      </c>
      <c r="I330" s="34" t="s">
        <v>5507</v>
      </c>
    </row>
    <row r="331" spans="1:9" x14ac:dyDescent="0.25">
      <c r="A331" s="18">
        <v>27</v>
      </c>
      <c r="B331" s="19">
        <v>162</v>
      </c>
      <c r="C331" s="19" t="s">
        <v>186</v>
      </c>
      <c r="D331" s="20">
        <v>0</v>
      </c>
      <c r="E331" s="22"/>
      <c r="F331" s="19"/>
      <c r="G331" s="22"/>
      <c r="H331" s="21" t="s">
        <v>1456</v>
      </c>
      <c r="I331" s="32" t="s">
        <v>5580</v>
      </c>
    </row>
    <row r="332" spans="1:9" x14ac:dyDescent="0.25">
      <c r="A332" s="24">
        <v>27</v>
      </c>
      <c r="B332" s="2">
        <v>162</v>
      </c>
      <c r="C332" s="2" t="s">
        <v>192</v>
      </c>
      <c r="D332" s="3">
        <v>0</v>
      </c>
      <c r="F332" s="2"/>
      <c r="H332" s="1" t="s">
        <v>1457</v>
      </c>
      <c r="I332" s="33" t="s">
        <v>5581</v>
      </c>
    </row>
    <row r="333" spans="1:9" x14ac:dyDescent="0.25">
      <c r="A333" s="24">
        <v>27</v>
      </c>
      <c r="B333" s="2">
        <v>162</v>
      </c>
      <c r="C333" s="2" t="s">
        <v>198</v>
      </c>
      <c r="D333" s="3">
        <v>1</v>
      </c>
      <c r="E333" t="s">
        <v>5588</v>
      </c>
      <c r="F333" s="2" t="s">
        <v>5556</v>
      </c>
      <c r="G333" t="s">
        <v>5587</v>
      </c>
      <c r="H333" s="1" t="s">
        <v>1457</v>
      </c>
      <c r="I333" s="33" t="s">
        <v>5586</v>
      </c>
    </row>
    <row r="334" spans="1:9" x14ac:dyDescent="0.25">
      <c r="A334" s="24">
        <v>27</v>
      </c>
      <c r="B334" s="2">
        <v>162</v>
      </c>
      <c r="C334" s="2" t="s">
        <v>204</v>
      </c>
      <c r="D334" s="3">
        <v>0</v>
      </c>
      <c r="F334" s="2"/>
      <c r="H334" s="1" t="s">
        <v>1456</v>
      </c>
      <c r="I334" s="33" t="s">
        <v>5582</v>
      </c>
    </row>
    <row r="335" spans="1:9" x14ac:dyDescent="0.25">
      <c r="A335" s="24">
        <v>27</v>
      </c>
      <c r="B335" s="2">
        <v>162</v>
      </c>
      <c r="C335" s="2" t="s">
        <v>210</v>
      </c>
      <c r="D335" s="3">
        <v>0</v>
      </c>
      <c r="F335" s="2"/>
      <c r="H335" s="1" t="s">
        <v>1456</v>
      </c>
      <c r="I335" s="33" t="s">
        <v>5583</v>
      </c>
    </row>
    <row r="336" spans="1:9" x14ac:dyDescent="0.25">
      <c r="A336" s="24">
        <v>27</v>
      </c>
      <c r="B336" s="2">
        <v>162</v>
      </c>
      <c r="C336" s="2" t="s">
        <v>215</v>
      </c>
      <c r="D336" s="3">
        <v>0</v>
      </c>
      <c r="F336" s="2"/>
      <c r="H336" s="1" t="s">
        <v>1456</v>
      </c>
      <c r="I336" s="33" t="s">
        <v>5584</v>
      </c>
    </row>
    <row r="337" spans="1:9" ht="15.75" thickBot="1" x14ac:dyDescent="0.3">
      <c r="A337" s="26">
        <v>27</v>
      </c>
      <c r="B337" s="27">
        <v>162</v>
      </c>
      <c r="C337" s="27" t="s">
        <v>221</v>
      </c>
      <c r="D337" s="28">
        <v>0</v>
      </c>
      <c r="E337" s="30"/>
      <c r="F337" s="27"/>
      <c r="G337" s="30"/>
      <c r="H337" s="29" t="s">
        <v>1456</v>
      </c>
      <c r="I337" s="34" t="s">
        <v>5585</v>
      </c>
    </row>
    <row r="338" spans="1:9" x14ac:dyDescent="0.25">
      <c r="A338" s="18">
        <v>27</v>
      </c>
      <c r="B338" s="19">
        <v>163</v>
      </c>
      <c r="C338" s="19" t="s">
        <v>186</v>
      </c>
      <c r="D338" s="20">
        <v>2</v>
      </c>
      <c r="E338" t="s">
        <v>5653</v>
      </c>
      <c r="F338" s="19" t="s">
        <v>5617</v>
      </c>
      <c r="G338" s="22" t="s">
        <v>5509</v>
      </c>
      <c r="H338" s="21" t="s">
        <v>1456</v>
      </c>
      <c r="I338" s="32" t="s">
        <v>5640</v>
      </c>
    </row>
    <row r="339" spans="1:9" x14ac:dyDescent="0.25">
      <c r="A339" s="24">
        <v>27</v>
      </c>
      <c r="B339" s="2">
        <v>163</v>
      </c>
      <c r="C339" s="2" t="s">
        <v>192</v>
      </c>
      <c r="D339" s="3">
        <v>2</v>
      </c>
      <c r="E339" t="s">
        <v>5650</v>
      </c>
      <c r="F339" s="2" t="s">
        <v>5606</v>
      </c>
      <c r="G339" t="s">
        <v>5645</v>
      </c>
      <c r="H339" s="1" t="s">
        <v>1457</v>
      </c>
      <c r="I339" s="33" t="s">
        <v>5644</v>
      </c>
    </row>
    <row r="340" spans="1:9" x14ac:dyDescent="0.25">
      <c r="A340" s="24">
        <v>27</v>
      </c>
      <c r="B340" s="2">
        <v>163</v>
      </c>
      <c r="C340" s="2" t="s">
        <v>198</v>
      </c>
      <c r="D340" s="3">
        <v>2</v>
      </c>
      <c r="E340" t="s">
        <v>5654</v>
      </c>
      <c r="F340" s="2" t="s">
        <v>5606</v>
      </c>
      <c r="G340" t="s">
        <v>5513</v>
      </c>
      <c r="H340" s="1" t="s">
        <v>1456</v>
      </c>
      <c r="I340" s="33" t="s">
        <v>5641</v>
      </c>
    </row>
    <row r="341" spans="1:9" x14ac:dyDescent="0.25">
      <c r="A341" s="24">
        <v>27</v>
      </c>
      <c r="B341" s="2">
        <v>163</v>
      </c>
      <c r="C341" s="2" t="s">
        <v>204</v>
      </c>
      <c r="D341" s="3">
        <v>0</v>
      </c>
      <c r="F341" s="2"/>
      <c r="H341" s="1" t="s">
        <v>1456</v>
      </c>
      <c r="I341" s="33" t="s">
        <v>5642</v>
      </c>
    </row>
    <row r="342" spans="1:9" x14ac:dyDescent="0.25">
      <c r="A342" s="24">
        <v>27</v>
      </c>
      <c r="B342" s="2">
        <v>163</v>
      </c>
      <c r="C342" s="2" t="s">
        <v>210</v>
      </c>
      <c r="D342" s="3">
        <v>3</v>
      </c>
      <c r="E342" t="s">
        <v>5655</v>
      </c>
      <c r="F342" s="2" t="s">
        <v>5606</v>
      </c>
      <c r="H342" s="1" t="s">
        <v>1456</v>
      </c>
      <c r="I342" s="33" t="s">
        <v>5643</v>
      </c>
    </row>
    <row r="343" spans="1:9" x14ac:dyDescent="0.25">
      <c r="A343" s="24">
        <v>27</v>
      </c>
      <c r="B343" s="2">
        <v>163</v>
      </c>
      <c r="C343" s="2" t="s">
        <v>215</v>
      </c>
      <c r="D343" s="3">
        <v>1</v>
      </c>
      <c r="E343" t="s">
        <v>5651</v>
      </c>
      <c r="F343" s="2" t="s">
        <v>5617</v>
      </c>
      <c r="G343" t="s">
        <v>5647</v>
      </c>
      <c r="H343" s="1" t="s">
        <v>1457</v>
      </c>
      <c r="I343" s="33" t="s">
        <v>5646</v>
      </c>
    </row>
    <row r="344" spans="1:9" ht="15.75" thickBot="1" x14ac:dyDescent="0.3">
      <c r="A344" s="24">
        <v>27</v>
      </c>
      <c r="B344" s="2">
        <v>163</v>
      </c>
      <c r="C344" s="2" t="s">
        <v>221</v>
      </c>
      <c r="D344" s="3">
        <v>1</v>
      </c>
      <c r="E344" t="s">
        <v>5652</v>
      </c>
      <c r="F344" s="2" t="s">
        <v>5617</v>
      </c>
      <c r="G344" t="s">
        <v>5649</v>
      </c>
      <c r="H344" s="1" t="s">
        <v>1541</v>
      </c>
      <c r="I344" s="33" t="s">
        <v>5648</v>
      </c>
    </row>
    <row r="345" spans="1:9" x14ac:dyDescent="0.25">
      <c r="A345" s="18">
        <v>31</v>
      </c>
      <c r="B345" s="19">
        <v>184</v>
      </c>
      <c r="C345" s="19" t="s">
        <v>186</v>
      </c>
      <c r="D345" s="20">
        <v>0</v>
      </c>
      <c r="E345" s="22"/>
      <c r="F345" s="19"/>
      <c r="G345" s="22"/>
      <c r="H345" s="21" t="s">
        <v>1456</v>
      </c>
      <c r="I345" s="32" t="s">
        <v>5720</v>
      </c>
    </row>
    <row r="346" spans="1:9" x14ac:dyDescent="0.25">
      <c r="A346" s="24">
        <v>31</v>
      </c>
      <c r="B346" s="2">
        <v>184</v>
      </c>
      <c r="C346" s="2" t="s">
        <v>192</v>
      </c>
      <c r="D346" s="3">
        <v>2</v>
      </c>
      <c r="E346" t="s">
        <v>5729</v>
      </c>
      <c r="F346" s="2" t="s">
        <v>5721</v>
      </c>
      <c r="G346" t="s">
        <v>5727</v>
      </c>
      <c r="H346" s="1" t="s">
        <v>1457</v>
      </c>
      <c r="I346" s="33" t="s">
        <v>5726</v>
      </c>
    </row>
    <row r="347" spans="1:9" x14ac:dyDescent="0.25">
      <c r="A347" s="24">
        <v>31</v>
      </c>
      <c r="B347" s="2">
        <v>184</v>
      </c>
      <c r="C347" s="2" t="s">
        <v>198</v>
      </c>
      <c r="D347" s="3">
        <v>2</v>
      </c>
      <c r="E347" t="s">
        <v>5728</v>
      </c>
      <c r="F347" s="2" t="s">
        <v>5677</v>
      </c>
      <c r="G347" t="s">
        <v>5513</v>
      </c>
      <c r="H347" s="1" t="s">
        <v>1456</v>
      </c>
      <c r="I347" s="33" t="s">
        <v>5722</v>
      </c>
    </row>
    <row r="348" spans="1:9" x14ac:dyDescent="0.25">
      <c r="A348" s="24">
        <v>31</v>
      </c>
      <c r="B348" s="2">
        <v>184</v>
      </c>
      <c r="C348" s="2" t="s">
        <v>204</v>
      </c>
      <c r="D348" s="3">
        <v>0</v>
      </c>
      <c r="F348" s="2"/>
      <c r="H348" s="1" t="s">
        <v>1456</v>
      </c>
      <c r="I348" s="33" t="s">
        <v>5723</v>
      </c>
    </row>
    <row r="349" spans="1:9" x14ac:dyDescent="0.25">
      <c r="A349" s="24">
        <v>31</v>
      </c>
      <c r="B349" s="2">
        <v>184</v>
      </c>
      <c r="C349" s="2" t="s">
        <v>210</v>
      </c>
      <c r="D349" s="3">
        <v>0</v>
      </c>
      <c r="F349" s="2"/>
      <c r="H349" s="1" t="s">
        <v>1457</v>
      </c>
      <c r="I349" s="33" t="s">
        <v>5724</v>
      </c>
    </row>
    <row r="350" spans="1:9" x14ac:dyDescent="0.25">
      <c r="A350" s="24">
        <v>31</v>
      </c>
      <c r="B350" s="2">
        <v>184</v>
      </c>
      <c r="C350" s="2" t="s">
        <v>215</v>
      </c>
      <c r="D350" s="3">
        <v>0</v>
      </c>
      <c r="F350" s="2"/>
      <c r="H350" s="1" t="s">
        <v>1456</v>
      </c>
      <c r="I350" s="33" t="s">
        <v>5725</v>
      </c>
    </row>
    <row r="351" spans="1:9" ht="15.75" thickBot="1" x14ac:dyDescent="0.3">
      <c r="A351" s="26">
        <v>31</v>
      </c>
      <c r="B351" s="27">
        <v>184</v>
      </c>
      <c r="C351" s="27" t="s">
        <v>221</v>
      </c>
      <c r="D351" s="28">
        <v>0</v>
      </c>
      <c r="E351" s="30"/>
      <c r="F351" s="27"/>
      <c r="G351" s="30"/>
      <c r="H351" s="29" t="s">
        <v>1456</v>
      </c>
      <c r="I351" s="34" t="s">
        <v>5296</v>
      </c>
    </row>
    <row r="352" spans="1:9" x14ac:dyDescent="0.25">
      <c r="A352" s="18">
        <v>32</v>
      </c>
      <c r="B352" s="19">
        <v>188</v>
      </c>
      <c r="C352" s="19" t="s">
        <v>186</v>
      </c>
      <c r="D352" s="20">
        <v>2</v>
      </c>
      <c r="E352" t="s">
        <v>5832</v>
      </c>
      <c r="F352" s="19" t="s">
        <v>5815</v>
      </c>
      <c r="G352" s="22" t="s">
        <v>5819</v>
      </c>
      <c r="H352" s="21" t="s">
        <v>1456</v>
      </c>
      <c r="I352" s="32" t="s">
        <v>5818</v>
      </c>
    </row>
    <row r="353" spans="1:9" x14ac:dyDescent="0.25">
      <c r="A353" s="24">
        <v>32</v>
      </c>
      <c r="B353" s="2">
        <v>188</v>
      </c>
      <c r="C353" s="2" t="s">
        <v>192</v>
      </c>
      <c r="D353" s="3">
        <v>2</v>
      </c>
      <c r="E353" t="s">
        <v>5833</v>
      </c>
      <c r="F353" s="2" t="s">
        <v>5811</v>
      </c>
      <c r="G353" t="s">
        <v>5821</v>
      </c>
      <c r="H353" s="1" t="s">
        <v>1456</v>
      </c>
      <c r="I353" s="33" t="s">
        <v>5820</v>
      </c>
    </row>
    <row r="354" spans="1:9" x14ac:dyDescent="0.25">
      <c r="A354" s="24">
        <v>32</v>
      </c>
      <c r="B354" s="2">
        <v>188</v>
      </c>
      <c r="C354" s="2" t="s">
        <v>198</v>
      </c>
      <c r="D354" s="3">
        <v>2</v>
      </c>
      <c r="E354" t="s">
        <v>5834</v>
      </c>
      <c r="F354" s="2" t="s">
        <v>5816</v>
      </c>
      <c r="G354" t="s">
        <v>5823</v>
      </c>
      <c r="H354" s="1" t="s">
        <v>1456</v>
      </c>
      <c r="I354" s="33" t="s">
        <v>5822</v>
      </c>
    </row>
    <row r="355" spans="1:9" x14ac:dyDescent="0.25">
      <c r="A355" s="24">
        <v>32</v>
      </c>
      <c r="B355" s="2">
        <v>188</v>
      </c>
      <c r="C355" s="2" t="s">
        <v>204</v>
      </c>
      <c r="D355" s="3">
        <v>2</v>
      </c>
      <c r="E355" t="s">
        <v>5835</v>
      </c>
      <c r="F355" s="2" t="s">
        <v>5812</v>
      </c>
      <c r="G355" t="s">
        <v>5825</v>
      </c>
      <c r="H355" s="1" t="s">
        <v>1457</v>
      </c>
      <c r="I355" s="33" t="s">
        <v>5824</v>
      </c>
    </row>
    <row r="356" spans="1:9" x14ac:dyDescent="0.25">
      <c r="A356" s="24">
        <v>32</v>
      </c>
      <c r="B356" s="2">
        <v>188</v>
      </c>
      <c r="C356" s="2" t="s">
        <v>210</v>
      </c>
      <c r="D356" s="3">
        <v>2</v>
      </c>
      <c r="E356" t="s">
        <v>5836</v>
      </c>
      <c r="F356" s="2" t="s">
        <v>5813</v>
      </c>
      <c r="G356" t="s">
        <v>5827</v>
      </c>
      <c r="H356" s="1" t="s">
        <v>1456</v>
      </c>
      <c r="I356" s="33" t="s">
        <v>5826</v>
      </c>
    </row>
    <row r="357" spans="1:9" x14ac:dyDescent="0.25">
      <c r="A357" s="24">
        <v>32</v>
      </c>
      <c r="B357" s="2">
        <v>188</v>
      </c>
      <c r="C357" s="2" t="s">
        <v>215</v>
      </c>
      <c r="D357" s="3">
        <v>2</v>
      </c>
      <c r="E357" t="s">
        <v>5837</v>
      </c>
      <c r="F357" s="2" t="s">
        <v>5814</v>
      </c>
      <c r="G357" t="s">
        <v>5829</v>
      </c>
      <c r="H357" s="1" t="s">
        <v>1456</v>
      </c>
      <c r="I357" s="33" t="s">
        <v>5828</v>
      </c>
    </row>
    <row r="358" spans="1:9" ht="15.75" thickBot="1" x14ac:dyDescent="0.3">
      <c r="A358" s="24">
        <v>32</v>
      </c>
      <c r="B358" s="50">
        <v>188</v>
      </c>
      <c r="C358" s="50" t="s">
        <v>221</v>
      </c>
      <c r="D358" s="51">
        <v>2</v>
      </c>
      <c r="E358" t="s">
        <v>5838</v>
      </c>
      <c r="F358" s="50" t="s">
        <v>5817</v>
      </c>
      <c r="G358" s="53" t="s">
        <v>5831</v>
      </c>
      <c r="H358" s="52" t="s">
        <v>1457</v>
      </c>
      <c r="I358" s="33" t="s">
        <v>5830</v>
      </c>
    </row>
    <row r="359" spans="1:9" x14ac:dyDescent="0.25">
      <c r="A359" s="18">
        <v>32</v>
      </c>
      <c r="B359" s="19">
        <v>189</v>
      </c>
      <c r="C359" s="19" t="s">
        <v>186</v>
      </c>
      <c r="D359" s="20">
        <v>2</v>
      </c>
      <c r="E359" t="s">
        <v>5914</v>
      </c>
      <c r="F359" s="19" t="s">
        <v>3135</v>
      </c>
      <c r="G359" s="22" t="s">
        <v>5911</v>
      </c>
      <c r="H359" s="21" t="s">
        <v>1456</v>
      </c>
      <c r="I359" s="32" t="s">
        <v>5904</v>
      </c>
    </row>
    <row r="360" spans="1:9" x14ac:dyDescent="0.25">
      <c r="A360" s="24">
        <v>32</v>
      </c>
      <c r="B360" s="50">
        <v>189</v>
      </c>
      <c r="C360" s="50" t="s">
        <v>192</v>
      </c>
      <c r="D360" s="51">
        <v>2</v>
      </c>
      <c r="E360" t="s">
        <v>5916</v>
      </c>
      <c r="F360" s="50" t="s">
        <v>5900</v>
      </c>
      <c r="G360" s="53" t="s">
        <v>5910</v>
      </c>
      <c r="H360" s="52" t="s">
        <v>1456</v>
      </c>
      <c r="I360" s="33" t="s">
        <v>5905</v>
      </c>
    </row>
    <row r="361" spans="1:9" x14ac:dyDescent="0.25">
      <c r="A361" s="24">
        <v>32</v>
      </c>
      <c r="B361" s="50">
        <v>189</v>
      </c>
      <c r="C361" s="50" t="s">
        <v>198</v>
      </c>
      <c r="D361" s="51">
        <v>2</v>
      </c>
      <c r="E361" t="s">
        <v>5917</v>
      </c>
      <c r="F361" s="50" t="s">
        <v>5901</v>
      </c>
      <c r="G361" s="53" t="s">
        <v>5909</v>
      </c>
      <c r="H361" s="52" t="s">
        <v>1456</v>
      </c>
      <c r="I361" s="33" t="s">
        <v>5906</v>
      </c>
    </row>
    <row r="362" spans="1:9" x14ac:dyDescent="0.25">
      <c r="A362" s="24">
        <v>32</v>
      </c>
      <c r="B362" s="50">
        <v>189</v>
      </c>
      <c r="C362" s="50" t="s">
        <v>204</v>
      </c>
      <c r="D362" s="51">
        <v>1</v>
      </c>
      <c r="E362" t="s">
        <v>5915</v>
      </c>
      <c r="F362" s="50" t="s">
        <v>2833</v>
      </c>
      <c r="G362" s="53" t="s">
        <v>5908</v>
      </c>
      <c r="H362" s="52" t="s">
        <v>1457</v>
      </c>
      <c r="I362" s="33" t="s">
        <v>5907</v>
      </c>
    </row>
    <row r="363" spans="1:9" x14ac:dyDescent="0.25">
      <c r="A363" s="24">
        <v>32</v>
      </c>
      <c r="B363" s="50">
        <v>189</v>
      </c>
      <c r="C363" s="50" t="s">
        <v>210</v>
      </c>
      <c r="D363" s="51">
        <v>0</v>
      </c>
      <c r="E363" s="53"/>
      <c r="F363" s="50"/>
      <c r="G363" s="53"/>
      <c r="H363" s="52" t="s">
        <v>1457</v>
      </c>
      <c r="I363" s="33" t="s">
        <v>5902</v>
      </c>
    </row>
    <row r="364" spans="1:9" x14ac:dyDescent="0.25">
      <c r="A364" s="24">
        <v>32</v>
      </c>
      <c r="B364" s="50">
        <v>189</v>
      </c>
      <c r="C364" s="50" t="s">
        <v>215</v>
      </c>
      <c r="D364" s="51">
        <v>2</v>
      </c>
      <c r="E364" t="s">
        <v>5918</v>
      </c>
      <c r="F364" s="50" t="s">
        <v>1400</v>
      </c>
      <c r="G364" s="53" t="s">
        <v>5913</v>
      </c>
      <c r="H364" s="52" t="s">
        <v>1456</v>
      </c>
      <c r="I364" s="33" t="s">
        <v>5912</v>
      </c>
    </row>
    <row r="365" spans="1:9" ht="15.75" thickBot="1" x14ac:dyDescent="0.3">
      <c r="A365" s="26">
        <v>32</v>
      </c>
      <c r="B365" s="27">
        <v>189</v>
      </c>
      <c r="C365" s="27" t="s">
        <v>221</v>
      </c>
      <c r="D365" s="28">
        <v>0</v>
      </c>
      <c r="E365" s="30"/>
      <c r="F365" s="27"/>
      <c r="G365" s="30"/>
      <c r="H365" s="29" t="s">
        <v>1457</v>
      </c>
      <c r="I365" s="34" t="s">
        <v>5903</v>
      </c>
    </row>
    <row r="366" spans="1:9" x14ac:dyDescent="0.25">
      <c r="A366" s="18">
        <v>32</v>
      </c>
      <c r="B366" s="19">
        <v>190</v>
      </c>
      <c r="C366" s="19" t="s">
        <v>186</v>
      </c>
      <c r="D366" s="20">
        <v>0</v>
      </c>
      <c r="E366" s="22"/>
      <c r="F366" s="19"/>
      <c r="G366" s="22"/>
      <c r="H366" s="21" t="s">
        <v>1457</v>
      </c>
      <c r="I366" s="32" t="s">
        <v>5960</v>
      </c>
    </row>
    <row r="367" spans="1:9" x14ac:dyDescent="0.25">
      <c r="A367" s="24">
        <v>32</v>
      </c>
      <c r="B367" s="50">
        <v>190</v>
      </c>
      <c r="C367" s="50" t="s">
        <v>192</v>
      </c>
      <c r="D367" s="51">
        <v>0</v>
      </c>
      <c r="E367" s="53"/>
      <c r="F367" s="50"/>
      <c r="G367" s="53"/>
      <c r="H367" s="52" t="s">
        <v>1457</v>
      </c>
      <c r="I367" s="33" t="s">
        <v>5961</v>
      </c>
    </row>
    <row r="368" spans="1:9" x14ac:dyDescent="0.25">
      <c r="A368" s="24">
        <v>32</v>
      </c>
      <c r="B368" s="50">
        <v>190</v>
      </c>
      <c r="C368" s="50" t="s">
        <v>198</v>
      </c>
      <c r="D368" s="51">
        <v>0</v>
      </c>
      <c r="E368" s="53"/>
      <c r="F368" s="50"/>
      <c r="G368" s="53"/>
      <c r="H368" s="52" t="s">
        <v>1456</v>
      </c>
      <c r="I368" s="33" t="s">
        <v>5962</v>
      </c>
    </row>
    <row r="369" spans="1:9" x14ac:dyDescent="0.25">
      <c r="A369" s="24">
        <v>32</v>
      </c>
      <c r="B369" s="50">
        <v>190</v>
      </c>
      <c r="C369" s="50" t="s">
        <v>204</v>
      </c>
      <c r="D369" s="51">
        <v>0</v>
      </c>
      <c r="E369" s="53"/>
      <c r="F369" s="50"/>
      <c r="G369" s="53"/>
      <c r="H369" s="52" t="s">
        <v>1456</v>
      </c>
      <c r="I369" s="33" t="s">
        <v>5963</v>
      </c>
    </row>
    <row r="370" spans="1:9" x14ac:dyDescent="0.25">
      <c r="A370" s="24">
        <v>32</v>
      </c>
      <c r="B370" s="50">
        <v>190</v>
      </c>
      <c r="C370" s="50" t="s">
        <v>210</v>
      </c>
      <c r="D370" s="51">
        <v>0</v>
      </c>
      <c r="E370" s="53"/>
      <c r="F370" s="50"/>
      <c r="G370" s="53"/>
      <c r="H370" s="52" t="s">
        <v>1457</v>
      </c>
      <c r="I370" s="33" t="s">
        <v>5964</v>
      </c>
    </row>
    <row r="371" spans="1:9" x14ac:dyDescent="0.25">
      <c r="A371" s="24">
        <v>32</v>
      </c>
      <c r="B371" s="50">
        <v>190</v>
      </c>
      <c r="C371" s="50" t="s">
        <v>215</v>
      </c>
      <c r="D371" s="51">
        <v>0</v>
      </c>
      <c r="E371" s="53"/>
      <c r="F371" s="50"/>
      <c r="G371" s="53"/>
      <c r="H371" s="52" t="s">
        <v>1457</v>
      </c>
      <c r="I371" s="33" t="s">
        <v>5965</v>
      </c>
    </row>
    <row r="372" spans="1:9" ht="15.75" thickBot="1" x14ac:dyDescent="0.3">
      <c r="A372" s="26">
        <v>32</v>
      </c>
      <c r="B372" s="27">
        <v>190</v>
      </c>
      <c r="C372" s="27" t="s">
        <v>221</v>
      </c>
      <c r="D372" s="28">
        <v>0</v>
      </c>
      <c r="E372" s="30"/>
      <c r="F372" s="27"/>
      <c r="G372" s="30"/>
      <c r="H372" s="29" t="s">
        <v>1456</v>
      </c>
      <c r="I372" s="34" t="s">
        <v>5966</v>
      </c>
    </row>
    <row r="373" spans="1:9" x14ac:dyDescent="0.25">
      <c r="A373" s="18">
        <v>32</v>
      </c>
      <c r="B373" s="19">
        <v>194</v>
      </c>
      <c r="C373" s="19" t="s">
        <v>186</v>
      </c>
      <c r="D373" s="20">
        <v>2</v>
      </c>
      <c r="E373" t="s">
        <v>6045</v>
      </c>
      <c r="F373" s="19" t="s">
        <v>1387</v>
      </c>
      <c r="G373" s="22" t="s">
        <v>5911</v>
      </c>
      <c r="H373" s="21" t="s">
        <v>1456</v>
      </c>
      <c r="I373" s="32" t="s">
        <v>6034</v>
      </c>
    </row>
    <row r="374" spans="1:9" x14ac:dyDescent="0.25">
      <c r="A374" s="24">
        <v>32</v>
      </c>
      <c r="B374" s="50">
        <v>194</v>
      </c>
      <c r="C374" s="50" t="s">
        <v>192</v>
      </c>
      <c r="D374" s="51">
        <v>2</v>
      </c>
      <c r="E374" t="s">
        <v>6046</v>
      </c>
      <c r="F374" s="50" t="s">
        <v>6029</v>
      </c>
      <c r="G374" s="53" t="s">
        <v>6042</v>
      </c>
      <c r="H374" s="52" t="s">
        <v>1456</v>
      </c>
      <c r="I374" s="33" t="s">
        <v>6035</v>
      </c>
    </row>
    <row r="375" spans="1:9" x14ac:dyDescent="0.25">
      <c r="A375" s="24">
        <v>32</v>
      </c>
      <c r="B375" s="50">
        <v>194</v>
      </c>
      <c r="C375" s="50" t="s">
        <v>198</v>
      </c>
      <c r="D375" s="51">
        <v>2</v>
      </c>
      <c r="E375" t="s">
        <v>6047</v>
      </c>
      <c r="F375" s="50" t="s">
        <v>6030</v>
      </c>
      <c r="G375" s="53" t="s">
        <v>6041</v>
      </c>
      <c r="H375" s="52" t="s">
        <v>1456</v>
      </c>
      <c r="I375" s="33" t="s">
        <v>6036</v>
      </c>
    </row>
    <row r="376" spans="1:9" x14ac:dyDescent="0.25">
      <c r="A376" s="24">
        <v>32</v>
      </c>
      <c r="B376" s="50">
        <v>194</v>
      </c>
      <c r="C376" s="50" t="s">
        <v>204</v>
      </c>
      <c r="D376" s="51">
        <v>1</v>
      </c>
      <c r="E376" t="s">
        <v>6043</v>
      </c>
      <c r="F376" s="50" t="s">
        <v>3135</v>
      </c>
      <c r="G376" s="53" t="s">
        <v>6038</v>
      </c>
      <c r="H376" s="52" t="s">
        <v>1457</v>
      </c>
      <c r="I376" s="33" t="s">
        <v>6037</v>
      </c>
    </row>
    <row r="377" spans="1:9" x14ac:dyDescent="0.25">
      <c r="A377" s="24">
        <v>32</v>
      </c>
      <c r="B377" s="50">
        <v>194</v>
      </c>
      <c r="C377" s="50" t="s">
        <v>210</v>
      </c>
      <c r="D377" s="51">
        <v>1</v>
      </c>
      <c r="E377" t="s">
        <v>6044</v>
      </c>
      <c r="F377" s="50" t="s">
        <v>6031</v>
      </c>
      <c r="G377" s="53" t="s">
        <v>6040</v>
      </c>
      <c r="H377" s="52" t="s">
        <v>1456</v>
      </c>
      <c r="I377" s="33" t="s">
        <v>6039</v>
      </c>
    </row>
    <row r="378" spans="1:9" x14ac:dyDescent="0.25">
      <c r="A378" s="24">
        <v>32</v>
      </c>
      <c r="B378" s="50">
        <v>194</v>
      </c>
      <c r="C378" s="50" t="s">
        <v>215</v>
      </c>
      <c r="D378" s="51">
        <v>0</v>
      </c>
      <c r="E378" s="53"/>
      <c r="F378" s="50"/>
      <c r="G378" s="53"/>
      <c r="H378" s="52" t="s">
        <v>1456</v>
      </c>
      <c r="I378" s="33" t="s">
        <v>6032</v>
      </c>
    </row>
    <row r="379" spans="1:9" ht="15.75" thickBot="1" x14ac:dyDescent="0.3">
      <c r="A379" s="26">
        <v>32</v>
      </c>
      <c r="B379" s="27">
        <v>194</v>
      </c>
      <c r="C379" s="27" t="s">
        <v>221</v>
      </c>
      <c r="D379" s="28">
        <v>0</v>
      </c>
      <c r="E379" s="30"/>
      <c r="F379" s="27"/>
      <c r="G379" s="30"/>
      <c r="H379" s="29" t="s">
        <v>1456</v>
      </c>
      <c r="I379" s="34" t="s">
        <v>6033</v>
      </c>
    </row>
    <row r="380" spans="1:9" x14ac:dyDescent="0.25">
      <c r="A380" s="18">
        <v>34</v>
      </c>
      <c r="B380" s="19">
        <v>201</v>
      </c>
      <c r="C380" s="19" t="s">
        <v>186</v>
      </c>
      <c r="D380" s="20">
        <v>2</v>
      </c>
      <c r="E380" t="s">
        <v>6119</v>
      </c>
      <c r="F380" s="19" t="s">
        <v>4615</v>
      </c>
      <c r="G380" s="22" t="s">
        <v>6124</v>
      </c>
      <c r="H380" s="21" t="s">
        <v>1456</v>
      </c>
      <c r="I380" s="32" t="s">
        <v>6123</v>
      </c>
    </row>
    <row r="381" spans="1:9" x14ac:dyDescent="0.25">
      <c r="A381" s="24">
        <v>34</v>
      </c>
      <c r="B381" s="50">
        <v>201</v>
      </c>
      <c r="C381" s="50" t="s">
        <v>192</v>
      </c>
      <c r="D381" s="51">
        <v>2</v>
      </c>
      <c r="E381" t="s">
        <v>6120</v>
      </c>
      <c r="F381" s="50" t="s">
        <v>6078</v>
      </c>
      <c r="G381" s="53" t="s">
        <v>6126</v>
      </c>
      <c r="H381" s="52" t="s">
        <v>1456</v>
      </c>
      <c r="I381" s="33" t="s">
        <v>6125</v>
      </c>
    </row>
    <row r="382" spans="1:9" x14ac:dyDescent="0.25">
      <c r="A382" s="24">
        <v>34</v>
      </c>
      <c r="B382" s="50">
        <v>201</v>
      </c>
      <c r="C382" s="50" t="s">
        <v>198</v>
      </c>
      <c r="D382" s="51">
        <v>2</v>
      </c>
      <c r="E382" t="s">
        <v>6121</v>
      </c>
      <c r="F382" s="50" t="s">
        <v>6068</v>
      </c>
      <c r="G382" s="53" t="s">
        <v>6041</v>
      </c>
      <c r="H382" s="52" t="s">
        <v>1456</v>
      </c>
      <c r="I382" s="33" t="s">
        <v>6114</v>
      </c>
    </row>
    <row r="383" spans="1:9" x14ac:dyDescent="0.25">
      <c r="A383" s="24">
        <v>34</v>
      </c>
      <c r="B383" s="50">
        <v>201</v>
      </c>
      <c r="C383" s="50" t="s">
        <v>204</v>
      </c>
      <c r="D383" s="51">
        <v>1</v>
      </c>
      <c r="E383" t="s">
        <v>6122</v>
      </c>
      <c r="F383" s="50" t="s">
        <v>6115</v>
      </c>
      <c r="G383" s="53" t="s">
        <v>6128</v>
      </c>
      <c r="H383" s="52" t="s">
        <v>1456</v>
      </c>
      <c r="I383" s="33" t="s">
        <v>6127</v>
      </c>
    </row>
    <row r="384" spans="1:9" x14ac:dyDescent="0.25">
      <c r="A384" s="24">
        <v>34</v>
      </c>
      <c r="B384" s="50">
        <v>201</v>
      </c>
      <c r="C384" s="50" t="s">
        <v>210</v>
      </c>
      <c r="D384" s="51">
        <v>1</v>
      </c>
      <c r="E384" t="s">
        <v>6118</v>
      </c>
      <c r="F384" s="50" t="s">
        <v>6065</v>
      </c>
      <c r="G384" s="53" t="s">
        <v>6130</v>
      </c>
      <c r="H384" s="52" t="s">
        <v>1456</v>
      </c>
      <c r="I384" s="33" t="s">
        <v>6129</v>
      </c>
    </row>
    <row r="385" spans="1:17" x14ac:dyDescent="0.25">
      <c r="A385" s="24">
        <v>34</v>
      </c>
      <c r="B385" s="50">
        <v>201</v>
      </c>
      <c r="C385" s="50" t="s">
        <v>215</v>
      </c>
      <c r="D385" s="51">
        <v>0</v>
      </c>
      <c r="E385" s="53"/>
      <c r="F385" s="50"/>
      <c r="G385" s="53"/>
      <c r="H385" s="52" t="s">
        <v>1456</v>
      </c>
      <c r="I385" s="33" t="s">
        <v>6116</v>
      </c>
    </row>
    <row r="386" spans="1:17" ht="15.75" thickBot="1" x14ac:dyDescent="0.3">
      <c r="A386" s="26">
        <v>34</v>
      </c>
      <c r="B386" s="27">
        <v>201</v>
      </c>
      <c r="C386" s="27" t="s">
        <v>221</v>
      </c>
      <c r="D386" s="28">
        <v>0</v>
      </c>
      <c r="E386" s="30"/>
      <c r="F386" s="27"/>
      <c r="G386" s="30"/>
      <c r="H386" s="29" t="s">
        <v>1456</v>
      </c>
      <c r="I386" s="34" t="s">
        <v>6117</v>
      </c>
    </row>
    <row r="387" spans="1:17" x14ac:dyDescent="0.25">
      <c r="A387" s="18">
        <v>36</v>
      </c>
      <c r="B387" s="19">
        <v>221</v>
      </c>
      <c r="C387" s="19" t="s">
        <v>186</v>
      </c>
      <c r="D387" s="20">
        <v>0</v>
      </c>
      <c r="E387" s="53"/>
      <c r="F387" s="19"/>
      <c r="G387" s="22"/>
      <c r="H387" s="21" t="s">
        <v>1457</v>
      </c>
      <c r="I387" s="32" t="s">
        <v>6194</v>
      </c>
    </row>
    <row r="388" spans="1:17" x14ac:dyDescent="0.25">
      <c r="A388" s="24">
        <v>36</v>
      </c>
      <c r="B388" s="50">
        <v>221</v>
      </c>
      <c r="C388" s="50" t="s">
        <v>192</v>
      </c>
      <c r="D388" s="51">
        <v>2</v>
      </c>
      <c r="E388" t="s">
        <v>6206</v>
      </c>
      <c r="F388" s="50" t="s">
        <v>6195</v>
      </c>
      <c r="G388" s="53" t="s">
        <v>6200</v>
      </c>
      <c r="H388" s="52" t="s">
        <v>1456</v>
      </c>
      <c r="I388" s="33" t="s">
        <v>6199</v>
      </c>
    </row>
    <row r="389" spans="1:17" x14ac:dyDescent="0.25">
      <c r="A389" s="24">
        <v>36</v>
      </c>
      <c r="B389" s="50">
        <v>221</v>
      </c>
      <c r="C389" s="50" t="s">
        <v>198</v>
      </c>
      <c r="D389" s="51">
        <v>2</v>
      </c>
      <c r="E389" t="s">
        <v>6207</v>
      </c>
      <c r="F389" s="50" t="s">
        <v>6205</v>
      </c>
      <c r="G389" s="53" t="s">
        <v>6202</v>
      </c>
      <c r="H389" s="52" t="s">
        <v>1456</v>
      </c>
      <c r="I389" s="33" t="s">
        <v>6201</v>
      </c>
    </row>
    <row r="390" spans="1:17" x14ac:dyDescent="0.25">
      <c r="A390" s="24">
        <v>36</v>
      </c>
      <c r="B390" s="50">
        <v>221</v>
      </c>
      <c r="C390" s="50" t="s">
        <v>204</v>
      </c>
      <c r="D390" s="51">
        <v>1</v>
      </c>
      <c r="E390" t="s">
        <v>6173</v>
      </c>
      <c r="F390" s="50" t="s">
        <v>1404</v>
      </c>
      <c r="G390" s="53" t="s">
        <v>6204</v>
      </c>
      <c r="H390" s="52" t="s">
        <v>1457</v>
      </c>
      <c r="I390" s="33" t="s">
        <v>6203</v>
      </c>
    </row>
    <row r="391" spans="1:17" x14ac:dyDescent="0.25">
      <c r="A391" s="24">
        <v>36</v>
      </c>
      <c r="B391" s="50">
        <v>221</v>
      </c>
      <c r="C391" s="50" t="s">
        <v>210</v>
      </c>
      <c r="D391" s="51">
        <v>0</v>
      </c>
      <c r="E391" s="53"/>
      <c r="F391" s="50"/>
      <c r="G391" s="53"/>
      <c r="H391" s="52" t="s">
        <v>1457</v>
      </c>
      <c r="I391" s="33" t="s">
        <v>6196</v>
      </c>
    </row>
    <row r="392" spans="1:17" x14ac:dyDescent="0.25">
      <c r="A392" s="24">
        <v>36</v>
      </c>
      <c r="B392" s="50">
        <v>221</v>
      </c>
      <c r="C392" s="50" t="s">
        <v>215</v>
      </c>
      <c r="D392" s="51">
        <v>0</v>
      </c>
      <c r="E392" s="53"/>
      <c r="F392" s="50"/>
      <c r="G392" s="53"/>
      <c r="H392" s="52" t="s">
        <v>1456</v>
      </c>
      <c r="I392" s="33" t="s">
        <v>6197</v>
      </c>
    </row>
    <row r="393" spans="1:17" ht="15.75" thickBot="1" x14ac:dyDescent="0.3">
      <c r="A393" s="26">
        <v>36</v>
      </c>
      <c r="B393" s="27">
        <v>221</v>
      </c>
      <c r="C393" s="27" t="s">
        <v>221</v>
      </c>
      <c r="D393" s="28">
        <v>0</v>
      </c>
      <c r="E393" s="30"/>
      <c r="F393" s="27"/>
      <c r="G393" s="30"/>
      <c r="H393" s="29" t="s">
        <v>1456</v>
      </c>
      <c r="I393" s="34" t="s">
        <v>6198</v>
      </c>
    </row>
    <row r="394" spans="1:17" x14ac:dyDescent="0.25">
      <c r="A394" s="18">
        <v>38</v>
      </c>
      <c r="B394" s="19">
        <v>227</v>
      </c>
      <c r="C394" s="19" t="s">
        <v>186</v>
      </c>
      <c r="D394" s="20">
        <v>0</v>
      </c>
      <c r="E394" s="22"/>
      <c r="F394" s="19"/>
      <c r="G394" s="22"/>
      <c r="H394" s="21" t="s">
        <v>1456</v>
      </c>
      <c r="I394" s="32" t="s">
        <v>6258</v>
      </c>
    </row>
    <row r="395" spans="1:17" x14ac:dyDescent="0.25">
      <c r="A395" s="24">
        <v>38</v>
      </c>
      <c r="B395" s="50">
        <v>227</v>
      </c>
      <c r="C395" s="50" t="s">
        <v>192</v>
      </c>
      <c r="D395" s="51">
        <v>0</v>
      </c>
      <c r="E395" s="53"/>
      <c r="F395" s="50"/>
      <c r="G395" s="53"/>
      <c r="H395" s="52" t="s">
        <v>1457</v>
      </c>
      <c r="I395" s="33" t="s">
        <v>6259</v>
      </c>
    </row>
    <row r="396" spans="1:17" x14ac:dyDescent="0.25">
      <c r="A396" s="24">
        <v>38</v>
      </c>
      <c r="B396" s="50">
        <v>227</v>
      </c>
      <c r="C396" s="50" t="s">
        <v>198</v>
      </c>
      <c r="D396" s="51">
        <v>0</v>
      </c>
      <c r="E396" s="53"/>
      <c r="F396" s="50"/>
      <c r="G396" s="53"/>
      <c r="H396" s="52" t="s">
        <v>1457</v>
      </c>
      <c r="I396" s="33" t="s">
        <v>6260</v>
      </c>
    </row>
    <row r="397" spans="1:17" x14ac:dyDescent="0.25">
      <c r="A397" s="24">
        <v>38</v>
      </c>
      <c r="B397" s="50">
        <v>227</v>
      </c>
      <c r="C397" s="50" t="s">
        <v>204</v>
      </c>
      <c r="D397" s="51">
        <v>0</v>
      </c>
      <c r="E397" s="53"/>
      <c r="F397" s="50"/>
      <c r="G397" s="53"/>
      <c r="H397" s="52" t="s">
        <v>1456</v>
      </c>
      <c r="I397" s="33" t="s">
        <v>6261</v>
      </c>
    </row>
    <row r="398" spans="1:17" x14ac:dyDescent="0.25">
      <c r="A398" s="24">
        <v>38</v>
      </c>
      <c r="B398" s="50">
        <v>227</v>
      </c>
      <c r="C398" s="50" t="s">
        <v>210</v>
      </c>
      <c r="D398" s="51">
        <v>0</v>
      </c>
      <c r="E398" s="53"/>
      <c r="F398" s="50"/>
      <c r="G398" s="53"/>
      <c r="H398" s="52" t="s">
        <v>1456</v>
      </c>
      <c r="I398" s="33" t="s">
        <v>6262</v>
      </c>
    </row>
    <row r="399" spans="1:17" x14ac:dyDescent="0.25">
      <c r="A399" s="24">
        <v>38</v>
      </c>
      <c r="B399" s="50">
        <v>227</v>
      </c>
      <c r="C399" s="50" t="s">
        <v>215</v>
      </c>
      <c r="D399" s="51">
        <v>0</v>
      </c>
      <c r="E399" s="53"/>
      <c r="F399" s="50"/>
      <c r="G399" s="53"/>
      <c r="H399" s="52" t="s">
        <v>1457</v>
      </c>
      <c r="I399" s="33" t="s">
        <v>6263</v>
      </c>
    </row>
    <row r="400" spans="1:17" ht="15.75" thickBot="1" x14ac:dyDescent="0.3">
      <c r="A400" s="26">
        <v>38</v>
      </c>
      <c r="B400" s="27">
        <v>227</v>
      </c>
      <c r="C400" s="27" t="s">
        <v>221</v>
      </c>
      <c r="D400" s="28">
        <v>0</v>
      </c>
      <c r="E400" s="30"/>
      <c r="F400" s="27"/>
      <c r="G400" s="30"/>
      <c r="H400" s="29" t="s">
        <v>1456</v>
      </c>
      <c r="I400" s="34" t="s">
        <v>6264</v>
      </c>
      <c r="Q400" t="s">
        <v>5959</v>
      </c>
    </row>
    <row r="401" spans="1:17" x14ac:dyDescent="0.25">
      <c r="A401" s="18">
        <v>40</v>
      </c>
      <c r="B401" s="19">
        <v>239</v>
      </c>
      <c r="C401" s="19" t="s">
        <v>186</v>
      </c>
      <c r="D401" s="20">
        <v>2</v>
      </c>
      <c r="E401" t="s">
        <v>6355</v>
      </c>
      <c r="F401" s="19" t="s">
        <v>6332</v>
      </c>
      <c r="G401" s="22" t="s">
        <v>6345</v>
      </c>
      <c r="H401" s="21" t="s">
        <v>1456</v>
      </c>
      <c r="I401" s="32" t="s">
        <v>6344</v>
      </c>
      <c r="Q401" t="s">
        <v>6333</v>
      </c>
    </row>
    <row r="402" spans="1:17" x14ac:dyDescent="0.25">
      <c r="A402" s="24">
        <v>40</v>
      </c>
      <c r="B402" s="50">
        <v>239</v>
      </c>
      <c r="C402" s="50" t="s">
        <v>192</v>
      </c>
      <c r="D402" s="51">
        <v>2</v>
      </c>
      <c r="E402" t="s">
        <v>6356</v>
      </c>
      <c r="F402" s="50" t="s">
        <v>6343</v>
      </c>
      <c r="G402" s="53" t="s">
        <v>6347</v>
      </c>
      <c r="H402" s="52" t="s">
        <v>1456</v>
      </c>
      <c r="I402" s="33" t="s">
        <v>6346</v>
      </c>
      <c r="Q402" t="s">
        <v>6334</v>
      </c>
    </row>
    <row r="403" spans="1:17" x14ac:dyDescent="0.25">
      <c r="A403" s="24">
        <v>40</v>
      </c>
      <c r="B403" s="50">
        <v>239</v>
      </c>
      <c r="C403" s="50" t="s">
        <v>198</v>
      </c>
      <c r="D403" s="51">
        <v>2</v>
      </c>
      <c r="E403" t="s">
        <v>6357</v>
      </c>
      <c r="F403" s="50" t="s">
        <v>6335</v>
      </c>
      <c r="G403" s="53" t="s">
        <v>6349</v>
      </c>
      <c r="H403" s="52" t="s">
        <v>1456</v>
      </c>
      <c r="I403" s="33" t="s">
        <v>6348</v>
      </c>
      <c r="Q403" t="s">
        <v>6336</v>
      </c>
    </row>
    <row r="404" spans="1:17" x14ac:dyDescent="0.25">
      <c r="A404" s="24">
        <v>40</v>
      </c>
      <c r="B404" s="50">
        <v>239</v>
      </c>
      <c r="C404" s="50" t="s">
        <v>204</v>
      </c>
      <c r="D404" s="51">
        <v>2</v>
      </c>
      <c r="E404" t="s">
        <v>6354</v>
      </c>
      <c r="F404" s="50" t="s">
        <v>6337</v>
      </c>
      <c r="G404" s="53" t="s">
        <v>6351</v>
      </c>
      <c r="H404" s="52" t="s">
        <v>1456</v>
      </c>
      <c r="I404" s="33" t="s">
        <v>6350</v>
      </c>
      <c r="Q404" t="s">
        <v>6338</v>
      </c>
    </row>
    <row r="405" spans="1:17" x14ac:dyDescent="0.25">
      <c r="A405" s="24">
        <v>40</v>
      </c>
      <c r="B405" s="50">
        <v>239</v>
      </c>
      <c r="C405" s="50" t="s">
        <v>210</v>
      </c>
      <c r="D405" s="51">
        <v>2</v>
      </c>
      <c r="E405" t="s">
        <v>6358</v>
      </c>
      <c r="F405" s="50" t="s">
        <v>6339</v>
      </c>
      <c r="G405" s="53" t="s">
        <v>6353</v>
      </c>
      <c r="H405" s="52" t="s">
        <v>1456</v>
      </c>
      <c r="I405" s="33" t="s">
        <v>6352</v>
      </c>
      <c r="Q405" t="s">
        <v>6340</v>
      </c>
    </row>
    <row r="406" spans="1:17" x14ac:dyDescent="0.25">
      <c r="A406" s="24">
        <v>40</v>
      </c>
      <c r="B406" s="50">
        <v>239</v>
      </c>
      <c r="C406" s="50" t="s">
        <v>215</v>
      </c>
      <c r="D406" s="51">
        <v>0</v>
      </c>
      <c r="E406" s="53"/>
      <c r="F406" s="50"/>
      <c r="G406" s="53"/>
      <c r="H406" s="52" t="s">
        <v>1457</v>
      </c>
      <c r="I406" s="33" t="s">
        <v>6341</v>
      </c>
      <c r="Q406" t="s">
        <v>6341</v>
      </c>
    </row>
    <row r="407" spans="1:17" ht="15.75" thickBot="1" x14ac:dyDescent="0.3">
      <c r="A407" s="26">
        <v>40</v>
      </c>
      <c r="B407" s="27">
        <v>239</v>
      </c>
      <c r="C407" s="27" t="s">
        <v>221</v>
      </c>
      <c r="D407" s="28">
        <v>0</v>
      </c>
      <c r="E407" s="30"/>
      <c r="F407" s="27"/>
      <c r="G407" s="30"/>
      <c r="H407" s="29" t="s">
        <v>1457</v>
      </c>
      <c r="I407" s="34" t="s">
        <v>6342</v>
      </c>
      <c r="Q407" t="s">
        <v>6342</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H2:H407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369"/>
  <sheetViews>
    <sheetView topLeftCell="A340" workbookViewId="0">
      <selection activeCell="N369" sqref="N369"/>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3359</v>
      </c>
      <c r="G126" s="22" t="s">
        <v>3360</v>
      </c>
      <c r="H126" s="22" t="s">
        <v>3361</v>
      </c>
      <c r="I126" s="22" t="s">
        <v>1431</v>
      </c>
      <c r="J126" s="32" t="s">
        <v>2216</v>
      </c>
    </row>
    <row r="127" spans="1:10" x14ac:dyDescent="0.25">
      <c r="A127" s="36" t="s">
        <v>2345</v>
      </c>
      <c r="B127" t="s">
        <v>2832</v>
      </c>
      <c r="C127">
        <v>7</v>
      </c>
      <c r="D127">
        <v>38</v>
      </c>
      <c r="F127" t="s">
        <v>76</v>
      </c>
      <c r="G127" t="s">
        <v>3362</v>
      </c>
      <c r="H127" t="s">
        <v>3363</v>
      </c>
      <c r="I127" t="s">
        <v>1431</v>
      </c>
      <c r="J127" s="33" t="s">
        <v>2216</v>
      </c>
    </row>
    <row r="128" spans="1:10" x14ac:dyDescent="0.25">
      <c r="A128" s="36" t="s">
        <v>2346</v>
      </c>
      <c r="B128" t="s">
        <v>2832</v>
      </c>
      <c r="C128">
        <v>7</v>
      </c>
      <c r="D128">
        <v>38</v>
      </c>
      <c r="F128" t="s">
        <v>3364</v>
      </c>
      <c r="G128" t="s">
        <v>3365</v>
      </c>
      <c r="H128" t="s">
        <v>3366</v>
      </c>
      <c r="I128" t="s">
        <v>1431</v>
      </c>
      <c r="J128" s="33" t="s">
        <v>2216</v>
      </c>
    </row>
    <row r="129" spans="1:10" x14ac:dyDescent="0.25">
      <c r="A129" s="36" t="s">
        <v>2347</v>
      </c>
      <c r="B129" t="s">
        <v>2832</v>
      </c>
      <c r="C129">
        <v>7</v>
      </c>
      <c r="D129">
        <v>38</v>
      </c>
      <c r="F129" t="s">
        <v>3311</v>
      </c>
      <c r="G129" t="s">
        <v>3367</v>
      </c>
      <c r="H129" t="s">
        <v>3368</v>
      </c>
      <c r="I129" t="s">
        <v>1431</v>
      </c>
      <c r="J129" s="33" t="s">
        <v>2216</v>
      </c>
    </row>
    <row r="130" spans="1:10" ht="15.75" thickBot="1" x14ac:dyDescent="0.3">
      <c r="A130" s="37" t="s">
        <v>2348</v>
      </c>
      <c r="B130" s="30" t="s">
        <v>2832</v>
      </c>
      <c r="C130" s="30">
        <v>7</v>
      </c>
      <c r="D130" s="30">
        <v>38</v>
      </c>
      <c r="E130" s="30"/>
      <c r="F130" s="30" t="s">
        <v>125</v>
      </c>
      <c r="G130" s="30" t="s">
        <v>3369</v>
      </c>
      <c r="H130" s="30" t="s">
        <v>3370</v>
      </c>
      <c r="I130" s="30" t="s">
        <v>1431</v>
      </c>
      <c r="J130" s="34" t="s">
        <v>2216</v>
      </c>
    </row>
    <row r="131" spans="1:10" x14ac:dyDescent="0.25">
      <c r="A131" s="35" t="s">
        <v>2349</v>
      </c>
      <c r="B131" s="22" t="s">
        <v>2832</v>
      </c>
      <c r="C131" s="22">
        <v>9</v>
      </c>
      <c r="D131" s="22">
        <v>46</v>
      </c>
      <c r="E131" s="22"/>
      <c r="F131" s="22" t="s">
        <v>2979</v>
      </c>
      <c r="G131" s="22" t="s">
        <v>3424</v>
      </c>
      <c r="H131" s="22" t="s">
        <v>3425</v>
      </c>
      <c r="I131" s="22" t="s">
        <v>1431</v>
      </c>
      <c r="J131" s="32" t="s">
        <v>2216</v>
      </c>
    </row>
    <row r="132" spans="1:10" x14ac:dyDescent="0.25">
      <c r="A132" s="36" t="s">
        <v>2350</v>
      </c>
      <c r="B132" t="s">
        <v>2832</v>
      </c>
      <c r="C132">
        <v>9</v>
      </c>
      <c r="D132">
        <v>46</v>
      </c>
      <c r="F132" t="s">
        <v>1989</v>
      </c>
      <c r="G132" t="s">
        <v>3426</v>
      </c>
      <c r="H132" t="s">
        <v>3427</v>
      </c>
      <c r="I132" t="s">
        <v>1431</v>
      </c>
      <c r="J132" s="33" t="s">
        <v>2216</v>
      </c>
    </row>
    <row r="133" spans="1:10" x14ac:dyDescent="0.25">
      <c r="A133" s="36" t="s">
        <v>2351</v>
      </c>
      <c r="B133" t="s">
        <v>2832</v>
      </c>
      <c r="C133">
        <v>9</v>
      </c>
      <c r="D133">
        <v>46</v>
      </c>
      <c r="F133" t="s">
        <v>3428</v>
      </c>
      <c r="G133" t="s">
        <v>3429</v>
      </c>
      <c r="H133" t="s">
        <v>3430</v>
      </c>
      <c r="I133" t="s">
        <v>1431</v>
      </c>
      <c r="J133" s="33" t="s">
        <v>2216</v>
      </c>
    </row>
    <row r="134" spans="1:10" x14ac:dyDescent="0.25">
      <c r="A134" s="36" t="s">
        <v>2352</v>
      </c>
      <c r="B134" t="s">
        <v>2832</v>
      </c>
      <c r="C134">
        <v>9</v>
      </c>
      <c r="D134">
        <v>46</v>
      </c>
      <c r="F134" t="s">
        <v>3431</v>
      </c>
      <c r="G134" t="s">
        <v>3432</v>
      </c>
      <c r="H134" t="s">
        <v>3433</v>
      </c>
      <c r="I134" t="s">
        <v>1431</v>
      </c>
      <c r="J134" s="33" t="s">
        <v>2216</v>
      </c>
    </row>
    <row r="135" spans="1:10" x14ac:dyDescent="0.25">
      <c r="A135" s="36" t="s">
        <v>2353</v>
      </c>
      <c r="B135" t="s">
        <v>2832</v>
      </c>
      <c r="C135">
        <v>9</v>
      </c>
      <c r="D135">
        <v>46</v>
      </c>
      <c r="F135" t="s">
        <v>3434</v>
      </c>
      <c r="G135" t="s">
        <v>3435</v>
      </c>
      <c r="H135" t="s">
        <v>3436</v>
      </c>
      <c r="I135" t="s">
        <v>1431</v>
      </c>
      <c r="J135" s="33" t="s">
        <v>2216</v>
      </c>
    </row>
    <row r="136" spans="1:10" ht="15.75" thickBot="1" x14ac:dyDescent="0.3">
      <c r="A136" s="37" t="s">
        <v>2354</v>
      </c>
      <c r="B136" s="30" t="s">
        <v>2832</v>
      </c>
      <c r="C136" s="30">
        <v>9</v>
      </c>
      <c r="D136" s="30">
        <v>46</v>
      </c>
      <c r="E136" s="30"/>
      <c r="F136" s="30" t="s">
        <v>3437</v>
      </c>
      <c r="G136" s="30" t="s">
        <v>3438</v>
      </c>
      <c r="H136" s="30" t="s">
        <v>3439</v>
      </c>
      <c r="I136" s="30" t="s">
        <v>1431</v>
      </c>
      <c r="J136" s="34" t="s">
        <v>2216</v>
      </c>
    </row>
    <row r="137" spans="1:10" x14ac:dyDescent="0.25">
      <c r="A137" s="35" t="s">
        <v>2355</v>
      </c>
      <c r="B137" s="22" t="s">
        <v>2832</v>
      </c>
      <c r="C137" s="22">
        <v>9</v>
      </c>
      <c r="D137" s="22">
        <v>48</v>
      </c>
      <c r="E137" s="22"/>
      <c r="F137" s="22" t="s">
        <v>3359</v>
      </c>
      <c r="G137" s="22" t="s">
        <v>3499</v>
      </c>
      <c r="H137" s="22" t="s">
        <v>3500</v>
      </c>
      <c r="I137" s="22" t="s">
        <v>1431</v>
      </c>
      <c r="J137" s="32" t="s">
        <v>2216</v>
      </c>
    </row>
    <row r="138" spans="1:10" x14ac:dyDescent="0.25">
      <c r="A138" s="36" t="s">
        <v>2356</v>
      </c>
      <c r="B138" t="s">
        <v>2832</v>
      </c>
      <c r="C138">
        <v>9</v>
      </c>
      <c r="D138">
        <v>48</v>
      </c>
      <c r="F138" t="s">
        <v>53</v>
      </c>
      <c r="G138" t="s">
        <v>3501</v>
      </c>
      <c r="H138" t="s">
        <v>3502</v>
      </c>
      <c r="I138" t="s">
        <v>1431</v>
      </c>
      <c r="J138" s="33" t="s">
        <v>2216</v>
      </c>
    </row>
    <row r="139" spans="1:10" x14ac:dyDescent="0.25">
      <c r="A139" s="36" t="s">
        <v>2357</v>
      </c>
      <c r="B139" t="s">
        <v>2832</v>
      </c>
      <c r="C139">
        <v>9</v>
      </c>
      <c r="D139">
        <v>48</v>
      </c>
      <c r="F139" t="s">
        <v>3503</v>
      </c>
      <c r="G139" t="s">
        <v>3504</v>
      </c>
      <c r="H139" t="s">
        <v>3505</v>
      </c>
      <c r="I139" t="s">
        <v>1431</v>
      </c>
      <c r="J139" s="33" t="s">
        <v>2216</v>
      </c>
    </row>
    <row r="140" spans="1:10" x14ac:dyDescent="0.25">
      <c r="A140" s="36" t="s">
        <v>2358</v>
      </c>
      <c r="B140" t="s">
        <v>2832</v>
      </c>
      <c r="C140">
        <v>9</v>
      </c>
      <c r="D140">
        <v>48</v>
      </c>
      <c r="F140" t="s">
        <v>198</v>
      </c>
      <c r="G140" t="s">
        <v>3506</v>
      </c>
      <c r="H140" t="s">
        <v>3507</v>
      </c>
      <c r="I140" t="s">
        <v>1431</v>
      </c>
      <c r="J140" s="33" t="s">
        <v>2216</v>
      </c>
    </row>
    <row r="141" spans="1:10" x14ac:dyDescent="0.25">
      <c r="A141" s="36" t="s">
        <v>2359</v>
      </c>
      <c r="B141" t="s">
        <v>2832</v>
      </c>
      <c r="C141">
        <v>9</v>
      </c>
      <c r="D141">
        <v>48</v>
      </c>
      <c r="F141" t="s">
        <v>2979</v>
      </c>
      <c r="G141" t="s">
        <v>3508</v>
      </c>
      <c r="H141" t="s">
        <v>3509</v>
      </c>
      <c r="I141" t="s">
        <v>1431</v>
      </c>
      <c r="J141" s="33" t="s">
        <v>2216</v>
      </c>
    </row>
    <row r="142" spans="1:10" ht="15.75" thickBot="1" x14ac:dyDescent="0.3">
      <c r="A142" s="37" t="s">
        <v>2360</v>
      </c>
      <c r="B142" s="30" t="s">
        <v>2832</v>
      </c>
      <c r="C142" s="30">
        <v>9</v>
      </c>
      <c r="D142" s="30">
        <v>48</v>
      </c>
      <c r="E142" s="30"/>
      <c r="F142" s="30" t="s">
        <v>3510</v>
      </c>
      <c r="G142" s="30" t="s">
        <v>3511</v>
      </c>
      <c r="H142" s="30" t="s">
        <v>3512</v>
      </c>
      <c r="I142" s="30" t="s">
        <v>1431</v>
      </c>
      <c r="J142" s="34" t="s">
        <v>2216</v>
      </c>
    </row>
    <row r="143" spans="1:10" x14ac:dyDescent="0.25">
      <c r="A143" s="35" t="s">
        <v>2361</v>
      </c>
      <c r="B143" s="22" t="s">
        <v>2832</v>
      </c>
      <c r="C143" s="22">
        <v>10</v>
      </c>
      <c r="D143" s="22">
        <v>52</v>
      </c>
      <c r="E143" s="22"/>
      <c r="F143" s="22" t="s">
        <v>3550</v>
      </c>
      <c r="G143" s="22" t="s">
        <v>3551</v>
      </c>
      <c r="H143" s="22" t="s">
        <v>3552</v>
      </c>
      <c r="I143" s="22" t="s">
        <v>1431</v>
      </c>
      <c r="J143" s="32" t="s">
        <v>2216</v>
      </c>
    </row>
    <row r="144" spans="1:10" x14ac:dyDescent="0.25">
      <c r="A144" s="36" t="s">
        <v>2362</v>
      </c>
      <c r="B144" t="s">
        <v>2832</v>
      </c>
      <c r="C144">
        <v>10</v>
      </c>
      <c r="D144">
        <v>52</v>
      </c>
      <c r="F144" t="s">
        <v>154</v>
      </c>
      <c r="G144" t="s">
        <v>3553</v>
      </c>
      <c r="H144" t="s">
        <v>3554</v>
      </c>
      <c r="I144" t="s">
        <v>1431</v>
      </c>
      <c r="J144" s="33" t="s">
        <v>2216</v>
      </c>
    </row>
    <row r="145" spans="1:10" x14ac:dyDescent="0.25">
      <c r="A145" s="36" t="s">
        <v>2363</v>
      </c>
      <c r="B145" t="s">
        <v>2832</v>
      </c>
      <c r="C145">
        <v>10</v>
      </c>
      <c r="D145">
        <v>52</v>
      </c>
      <c r="F145" t="s">
        <v>3555</v>
      </c>
      <c r="G145" t="s">
        <v>3556</v>
      </c>
      <c r="H145" t="s">
        <v>3557</v>
      </c>
      <c r="I145" t="s">
        <v>1431</v>
      </c>
      <c r="J145" s="33" t="s">
        <v>2216</v>
      </c>
    </row>
    <row r="146" spans="1:10" x14ac:dyDescent="0.25">
      <c r="A146" s="36" t="s">
        <v>2364</v>
      </c>
      <c r="B146" t="s">
        <v>2832</v>
      </c>
      <c r="C146">
        <v>10</v>
      </c>
      <c r="D146">
        <v>52</v>
      </c>
      <c r="F146" t="s">
        <v>3558</v>
      </c>
      <c r="G146" t="s">
        <v>3559</v>
      </c>
      <c r="H146" t="s">
        <v>3560</v>
      </c>
      <c r="I146" t="s">
        <v>1431</v>
      </c>
      <c r="J146" s="33" t="s">
        <v>2216</v>
      </c>
    </row>
    <row r="147" spans="1:10" x14ac:dyDescent="0.25">
      <c r="A147" s="36" t="s">
        <v>2365</v>
      </c>
      <c r="B147" t="s">
        <v>2832</v>
      </c>
      <c r="C147">
        <v>10</v>
      </c>
      <c r="D147">
        <v>52</v>
      </c>
      <c r="F147" t="s">
        <v>3561</v>
      </c>
      <c r="G147" t="s">
        <v>3562</v>
      </c>
      <c r="H147" t="s">
        <v>3563</v>
      </c>
      <c r="I147" t="s">
        <v>1431</v>
      </c>
      <c r="J147" s="33" t="s">
        <v>2216</v>
      </c>
    </row>
    <row r="148" spans="1:10" ht="15.75" thickBot="1" x14ac:dyDescent="0.3">
      <c r="A148" s="37" t="s">
        <v>2366</v>
      </c>
      <c r="B148" s="30" t="s">
        <v>2832</v>
      </c>
      <c r="C148" s="30">
        <v>10</v>
      </c>
      <c r="D148" s="30">
        <v>52</v>
      </c>
      <c r="E148" s="30"/>
      <c r="F148" s="30" t="s">
        <v>3564</v>
      </c>
      <c r="G148" s="30" t="s">
        <v>3565</v>
      </c>
      <c r="H148" s="30" t="s">
        <v>3566</v>
      </c>
      <c r="I148" s="30" t="s">
        <v>1431</v>
      </c>
      <c r="J148" s="34" t="s">
        <v>2216</v>
      </c>
    </row>
    <row r="149" spans="1:10" x14ac:dyDescent="0.25">
      <c r="A149" s="35" t="s">
        <v>2367</v>
      </c>
      <c r="B149" s="22" t="s">
        <v>2832</v>
      </c>
      <c r="C149" s="22">
        <v>10</v>
      </c>
      <c r="D149" s="22">
        <v>53</v>
      </c>
      <c r="E149" s="22"/>
      <c r="F149" s="22" t="s">
        <v>53</v>
      </c>
      <c r="G149" s="22" t="s">
        <v>3598</v>
      </c>
      <c r="H149" s="22" t="s">
        <v>3599</v>
      </c>
      <c r="I149" s="22" t="s">
        <v>1431</v>
      </c>
      <c r="J149" s="32" t="s">
        <v>2216</v>
      </c>
    </row>
    <row r="150" spans="1:10" x14ac:dyDescent="0.25">
      <c r="A150" s="36" t="s">
        <v>2368</v>
      </c>
      <c r="B150" t="s">
        <v>2832</v>
      </c>
      <c r="C150">
        <v>10</v>
      </c>
      <c r="D150">
        <v>53</v>
      </c>
      <c r="F150" t="s">
        <v>3600</v>
      </c>
      <c r="G150" t="s">
        <v>3601</v>
      </c>
      <c r="H150" t="s">
        <v>3602</v>
      </c>
      <c r="I150" t="s">
        <v>1431</v>
      </c>
      <c r="J150" s="33" t="s">
        <v>2216</v>
      </c>
    </row>
    <row r="151" spans="1:10" x14ac:dyDescent="0.25">
      <c r="A151" s="36" t="s">
        <v>2369</v>
      </c>
      <c r="B151" t="s">
        <v>2832</v>
      </c>
      <c r="C151">
        <v>10</v>
      </c>
      <c r="D151">
        <v>53</v>
      </c>
      <c r="F151" t="s">
        <v>204</v>
      </c>
      <c r="G151" t="s">
        <v>3603</v>
      </c>
      <c r="H151" t="s">
        <v>3604</v>
      </c>
      <c r="I151" t="s">
        <v>1431</v>
      </c>
      <c r="J151" s="33" t="s">
        <v>2216</v>
      </c>
    </row>
    <row r="152" spans="1:10" x14ac:dyDescent="0.25">
      <c r="A152" s="36" t="s">
        <v>2370</v>
      </c>
      <c r="B152" t="s">
        <v>2832</v>
      </c>
      <c r="C152">
        <v>10</v>
      </c>
      <c r="D152">
        <v>53</v>
      </c>
      <c r="F152" t="s">
        <v>210</v>
      </c>
      <c r="G152" t="s">
        <v>3605</v>
      </c>
      <c r="H152" t="s">
        <v>3606</v>
      </c>
      <c r="I152" t="s">
        <v>1431</v>
      </c>
      <c r="J152" s="33" t="s">
        <v>2216</v>
      </c>
    </row>
    <row r="153" spans="1:10" x14ac:dyDescent="0.25">
      <c r="A153" s="36" t="s">
        <v>2371</v>
      </c>
      <c r="B153" t="s">
        <v>2832</v>
      </c>
      <c r="C153">
        <v>10</v>
      </c>
      <c r="D153">
        <v>53</v>
      </c>
      <c r="F153" t="s">
        <v>215</v>
      </c>
      <c r="G153" t="s">
        <v>3607</v>
      </c>
      <c r="H153" t="s">
        <v>3608</v>
      </c>
      <c r="I153" t="s">
        <v>1431</v>
      </c>
      <c r="J153" s="33" t="s">
        <v>2216</v>
      </c>
    </row>
    <row r="154" spans="1:10" ht="15.75" thickBot="1" x14ac:dyDescent="0.3">
      <c r="A154" s="37" t="s">
        <v>2372</v>
      </c>
      <c r="B154" s="30" t="s">
        <v>2832</v>
      </c>
      <c r="C154" s="30">
        <v>10</v>
      </c>
      <c r="D154" s="30">
        <v>53</v>
      </c>
      <c r="E154" s="30"/>
      <c r="F154" s="30" t="s">
        <v>3609</v>
      </c>
      <c r="G154" s="30" t="s">
        <v>3610</v>
      </c>
      <c r="H154" s="30" t="s">
        <v>3611</v>
      </c>
      <c r="I154" s="30" t="s">
        <v>1431</v>
      </c>
      <c r="J154" s="34" t="s">
        <v>2216</v>
      </c>
    </row>
    <row r="155" spans="1:10" x14ac:dyDescent="0.25">
      <c r="A155" s="35" t="s">
        <v>2373</v>
      </c>
      <c r="B155" s="22" t="s">
        <v>2832</v>
      </c>
      <c r="C155" s="22">
        <v>11</v>
      </c>
      <c r="D155" s="22">
        <v>56</v>
      </c>
      <c r="E155" s="22"/>
      <c r="F155" s="22" t="s">
        <v>69</v>
      </c>
      <c r="G155" s="22" t="s">
        <v>3648</v>
      </c>
      <c r="H155" s="22" t="s">
        <v>3649</v>
      </c>
      <c r="I155" s="22" t="s">
        <v>1431</v>
      </c>
      <c r="J155" s="32" t="s">
        <v>2216</v>
      </c>
    </row>
    <row r="156" spans="1:10" x14ac:dyDescent="0.25">
      <c r="A156" s="36" t="s">
        <v>2374</v>
      </c>
      <c r="B156" t="s">
        <v>2832</v>
      </c>
      <c r="C156">
        <v>11</v>
      </c>
      <c r="D156">
        <v>56</v>
      </c>
      <c r="F156" t="s">
        <v>2206</v>
      </c>
      <c r="G156" t="s">
        <v>3650</v>
      </c>
      <c r="H156" t="s">
        <v>3651</v>
      </c>
      <c r="I156" t="s">
        <v>1431</v>
      </c>
      <c r="J156" s="33" t="s">
        <v>2216</v>
      </c>
    </row>
    <row r="157" spans="1:10" x14ac:dyDescent="0.25">
      <c r="A157" s="36" t="s">
        <v>2375</v>
      </c>
      <c r="B157" t="s">
        <v>2832</v>
      </c>
      <c r="C157">
        <v>11</v>
      </c>
      <c r="D157">
        <v>56</v>
      </c>
      <c r="F157" t="s">
        <v>3652</v>
      </c>
      <c r="G157" t="s">
        <v>3653</v>
      </c>
      <c r="H157" t="s">
        <v>3654</v>
      </c>
      <c r="I157" t="s">
        <v>1431</v>
      </c>
      <c r="J157" s="33" t="s">
        <v>2216</v>
      </c>
    </row>
    <row r="158" spans="1:10" x14ac:dyDescent="0.25">
      <c r="A158" s="36" t="s">
        <v>2376</v>
      </c>
      <c r="B158" t="s">
        <v>2832</v>
      </c>
      <c r="C158">
        <v>11</v>
      </c>
      <c r="D158">
        <v>56</v>
      </c>
      <c r="F158" t="s">
        <v>215</v>
      </c>
      <c r="G158" t="s">
        <v>3655</v>
      </c>
      <c r="H158" t="s">
        <v>3656</v>
      </c>
      <c r="I158" t="s">
        <v>1431</v>
      </c>
      <c r="J158" s="33" t="s">
        <v>2216</v>
      </c>
    </row>
    <row r="159" spans="1:10" x14ac:dyDescent="0.25">
      <c r="A159" s="36" t="s">
        <v>2377</v>
      </c>
      <c r="B159" t="s">
        <v>2832</v>
      </c>
      <c r="C159">
        <v>11</v>
      </c>
      <c r="D159">
        <v>56</v>
      </c>
      <c r="F159" t="s">
        <v>210</v>
      </c>
      <c r="G159" t="s">
        <v>3657</v>
      </c>
      <c r="H159" t="s">
        <v>3658</v>
      </c>
      <c r="I159" t="s">
        <v>1431</v>
      </c>
      <c r="J159" s="33" t="s">
        <v>2216</v>
      </c>
    </row>
    <row r="160" spans="1:10" ht="15.75" thickBot="1" x14ac:dyDescent="0.3">
      <c r="A160" s="37" t="s">
        <v>2378</v>
      </c>
      <c r="B160" s="30" t="s">
        <v>2832</v>
      </c>
      <c r="C160" s="30">
        <v>11</v>
      </c>
      <c r="D160" s="30">
        <v>56</v>
      </c>
      <c r="E160" s="30"/>
      <c r="F160" s="30" t="s">
        <v>174</v>
      </c>
      <c r="G160" s="30" t="s">
        <v>3659</v>
      </c>
      <c r="H160" s="30" t="s">
        <v>3660</v>
      </c>
      <c r="I160" s="30" t="s">
        <v>1431</v>
      </c>
      <c r="J160" s="34" t="s">
        <v>2216</v>
      </c>
    </row>
    <row r="161" spans="1:10" x14ac:dyDescent="0.25">
      <c r="A161" s="35" t="s">
        <v>2379</v>
      </c>
      <c r="B161" s="22" t="s">
        <v>2832</v>
      </c>
      <c r="C161" s="22">
        <v>11</v>
      </c>
      <c r="D161" s="22">
        <v>57</v>
      </c>
      <c r="E161" s="22"/>
      <c r="F161" s="22" t="s">
        <v>2012</v>
      </c>
      <c r="G161" s="22" t="s">
        <v>3687</v>
      </c>
      <c r="H161" s="22" t="s">
        <v>3688</v>
      </c>
      <c r="I161" s="22" t="s">
        <v>1431</v>
      </c>
      <c r="J161" s="32" t="s">
        <v>2216</v>
      </c>
    </row>
    <row r="162" spans="1:10" x14ac:dyDescent="0.25">
      <c r="A162" s="36" t="s">
        <v>2380</v>
      </c>
      <c r="B162" t="s">
        <v>2832</v>
      </c>
      <c r="C162">
        <v>11</v>
      </c>
      <c r="D162">
        <v>57</v>
      </c>
      <c r="F162" t="s">
        <v>192</v>
      </c>
      <c r="G162" t="s">
        <v>3689</v>
      </c>
      <c r="H162" t="s">
        <v>3690</v>
      </c>
      <c r="I162" t="s">
        <v>1431</v>
      </c>
      <c r="J162" s="33" t="s">
        <v>2216</v>
      </c>
    </row>
    <row r="163" spans="1:10" x14ac:dyDescent="0.25">
      <c r="A163" s="36" t="s">
        <v>2381</v>
      </c>
      <c r="B163" t="s">
        <v>2832</v>
      </c>
      <c r="C163">
        <v>11</v>
      </c>
      <c r="D163">
        <v>57</v>
      </c>
      <c r="F163" t="s">
        <v>147</v>
      </c>
      <c r="G163" t="s">
        <v>3691</v>
      </c>
      <c r="H163" t="s">
        <v>3692</v>
      </c>
      <c r="I163" t="s">
        <v>1431</v>
      </c>
      <c r="J163" s="33" t="s">
        <v>2216</v>
      </c>
    </row>
    <row r="164" spans="1:10" x14ac:dyDescent="0.25">
      <c r="A164" s="36" t="s">
        <v>2382</v>
      </c>
      <c r="B164" t="s">
        <v>2832</v>
      </c>
      <c r="C164">
        <v>11</v>
      </c>
      <c r="D164">
        <v>57</v>
      </c>
      <c r="F164" t="s">
        <v>215</v>
      </c>
      <c r="G164" t="s">
        <v>3693</v>
      </c>
      <c r="H164" t="s">
        <v>3694</v>
      </c>
      <c r="I164" t="s">
        <v>1431</v>
      </c>
      <c r="J164" s="33" t="s">
        <v>2216</v>
      </c>
    </row>
    <row r="165" spans="1:10" x14ac:dyDescent="0.25">
      <c r="A165" s="36" t="s">
        <v>2383</v>
      </c>
      <c r="B165" t="s">
        <v>2832</v>
      </c>
      <c r="C165">
        <v>11</v>
      </c>
      <c r="D165">
        <v>57</v>
      </c>
      <c r="F165" t="s">
        <v>210</v>
      </c>
      <c r="G165" t="s">
        <v>3695</v>
      </c>
      <c r="H165" t="s">
        <v>3658</v>
      </c>
      <c r="I165" t="s">
        <v>1431</v>
      </c>
      <c r="J165" s="33" t="s">
        <v>2216</v>
      </c>
    </row>
    <row r="166" spans="1:10" ht="15.75" thickBot="1" x14ac:dyDescent="0.3">
      <c r="A166" s="37" t="s">
        <v>2384</v>
      </c>
      <c r="B166" s="30" t="s">
        <v>2832</v>
      </c>
      <c r="C166" s="30">
        <v>11</v>
      </c>
      <c r="D166" s="30">
        <v>57</v>
      </c>
      <c r="E166" s="30"/>
      <c r="F166" s="30" t="s">
        <v>166</v>
      </c>
      <c r="G166" s="30" t="s">
        <v>3696</v>
      </c>
      <c r="H166" s="30" t="s">
        <v>3697</v>
      </c>
      <c r="I166" s="30" t="s">
        <v>1431</v>
      </c>
      <c r="J166" s="34" t="s">
        <v>2216</v>
      </c>
    </row>
    <row r="167" spans="1:10" x14ac:dyDescent="0.25">
      <c r="A167" s="35" t="s">
        <v>2385</v>
      </c>
      <c r="B167" s="22" t="s">
        <v>3698</v>
      </c>
      <c r="C167" s="22">
        <v>12</v>
      </c>
      <c r="D167" s="22">
        <v>62</v>
      </c>
      <c r="E167" s="22"/>
      <c r="F167" s="22" t="s">
        <v>3863</v>
      </c>
      <c r="G167" s="22" t="s">
        <v>3864</v>
      </c>
      <c r="H167" s="22" t="s">
        <v>3865</v>
      </c>
      <c r="I167" s="22" t="s">
        <v>1431</v>
      </c>
      <c r="J167" s="32" t="s">
        <v>2216</v>
      </c>
    </row>
    <row r="168" spans="1:10" x14ac:dyDescent="0.25">
      <c r="A168" s="36" t="s">
        <v>2386</v>
      </c>
      <c r="B168" t="s">
        <v>3698</v>
      </c>
      <c r="C168">
        <v>12</v>
      </c>
      <c r="D168">
        <v>62</v>
      </c>
      <c r="F168" t="s">
        <v>3866</v>
      </c>
      <c r="G168" t="s">
        <v>3867</v>
      </c>
      <c r="H168" t="s">
        <v>3868</v>
      </c>
      <c r="I168" t="s">
        <v>1431</v>
      </c>
      <c r="J168" s="33" t="s">
        <v>2216</v>
      </c>
    </row>
    <row r="169" spans="1:10" x14ac:dyDescent="0.25">
      <c r="A169" s="36" t="s">
        <v>2387</v>
      </c>
      <c r="B169" t="s">
        <v>3698</v>
      </c>
      <c r="C169">
        <v>12</v>
      </c>
      <c r="D169">
        <v>62</v>
      </c>
      <c r="F169" t="s">
        <v>3869</v>
      </c>
      <c r="G169" t="s">
        <v>3870</v>
      </c>
      <c r="H169" t="s">
        <v>3871</v>
      </c>
      <c r="I169" t="s">
        <v>1431</v>
      </c>
      <c r="J169" s="33" t="s">
        <v>2216</v>
      </c>
    </row>
    <row r="170" spans="1:10" x14ac:dyDescent="0.25">
      <c r="A170" s="36" t="s">
        <v>2388</v>
      </c>
      <c r="B170" t="s">
        <v>3698</v>
      </c>
      <c r="C170">
        <v>12</v>
      </c>
      <c r="D170">
        <v>62</v>
      </c>
      <c r="F170" t="s">
        <v>198</v>
      </c>
      <c r="G170" t="s">
        <v>3872</v>
      </c>
      <c r="H170" t="s">
        <v>3873</v>
      </c>
      <c r="I170" t="s">
        <v>1431</v>
      </c>
      <c r="J170" s="33" t="s">
        <v>2216</v>
      </c>
    </row>
    <row r="171" spans="1:10" x14ac:dyDescent="0.25">
      <c r="A171" s="36" t="s">
        <v>2389</v>
      </c>
      <c r="B171" t="s">
        <v>3698</v>
      </c>
      <c r="C171">
        <v>12</v>
      </c>
      <c r="D171">
        <v>62</v>
      </c>
      <c r="F171" t="s">
        <v>3874</v>
      </c>
      <c r="G171" t="s">
        <v>3875</v>
      </c>
      <c r="H171" t="s">
        <v>3876</v>
      </c>
      <c r="I171" t="s">
        <v>1431</v>
      </c>
      <c r="J171" s="33" t="s">
        <v>2216</v>
      </c>
    </row>
    <row r="172" spans="1:10" x14ac:dyDescent="0.25">
      <c r="A172" s="36" t="s">
        <v>2390</v>
      </c>
      <c r="B172" t="s">
        <v>3698</v>
      </c>
      <c r="C172">
        <v>12</v>
      </c>
      <c r="D172">
        <v>62</v>
      </c>
      <c r="F172" t="s">
        <v>140</v>
      </c>
      <c r="G172" t="s">
        <v>3877</v>
      </c>
      <c r="H172" t="s">
        <v>3878</v>
      </c>
      <c r="I172" t="s">
        <v>1431</v>
      </c>
      <c r="J172" s="33" t="s">
        <v>2216</v>
      </c>
    </row>
    <row r="173" spans="1:10" ht="15.75" thickBot="1" x14ac:dyDescent="0.3">
      <c r="A173" s="37" t="s">
        <v>2391</v>
      </c>
      <c r="B173" s="30" t="s">
        <v>3698</v>
      </c>
      <c r="C173" s="30">
        <v>12</v>
      </c>
      <c r="D173" s="30">
        <v>62</v>
      </c>
      <c r="E173" s="30"/>
      <c r="F173" s="30" t="s">
        <v>161</v>
      </c>
      <c r="G173" s="30" t="s">
        <v>3879</v>
      </c>
      <c r="H173" s="30" t="s">
        <v>3880</v>
      </c>
      <c r="I173" s="30" t="s">
        <v>1431</v>
      </c>
      <c r="J173" s="34" t="s">
        <v>2216</v>
      </c>
    </row>
    <row r="174" spans="1:10" x14ac:dyDescent="0.25">
      <c r="A174" s="35" t="s">
        <v>2392</v>
      </c>
      <c r="B174" s="22" t="s">
        <v>3698</v>
      </c>
      <c r="C174" s="22">
        <v>12</v>
      </c>
      <c r="D174" s="22">
        <v>64</v>
      </c>
      <c r="E174" s="22"/>
      <c r="F174" s="22" t="s">
        <v>3923</v>
      </c>
      <c r="G174" s="22" t="s">
        <v>3924</v>
      </c>
      <c r="H174" s="22" t="s">
        <v>3925</v>
      </c>
      <c r="I174" s="22" t="s">
        <v>1431</v>
      </c>
      <c r="J174" s="32" t="s">
        <v>2216</v>
      </c>
    </row>
    <row r="175" spans="1:10" x14ac:dyDescent="0.25">
      <c r="A175" s="36" t="s">
        <v>2393</v>
      </c>
      <c r="B175" t="s">
        <v>3698</v>
      </c>
      <c r="C175">
        <v>12</v>
      </c>
      <c r="D175">
        <v>64</v>
      </c>
      <c r="F175" t="s">
        <v>198</v>
      </c>
      <c r="G175" t="s">
        <v>3926</v>
      </c>
      <c r="H175" t="s">
        <v>3927</v>
      </c>
      <c r="I175" t="s">
        <v>1431</v>
      </c>
      <c r="J175" s="33" t="s">
        <v>2216</v>
      </c>
    </row>
    <row r="176" spans="1:10" x14ac:dyDescent="0.25">
      <c r="A176" s="36" t="s">
        <v>2394</v>
      </c>
      <c r="B176" t="s">
        <v>3698</v>
      </c>
      <c r="C176">
        <v>12</v>
      </c>
      <c r="D176">
        <v>64</v>
      </c>
      <c r="F176" t="s">
        <v>210</v>
      </c>
      <c r="G176" t="s">
        <v>3928</v>
      </c>
      <c r="H176" t="s">
        <v>3929</v>
      </c>
      <c r="I176" t="s">
        <v>1431</v>
      </c>
      <c r="J176" s="33" t="s">
        <v>2216</v>
      </c>
    </row>
    <row r="177" spans="1:10" x14ac:dyDescent="0.25">
      <c r="A177" s="36" t="s">
        <v>2395</v>
      </c>
      <c r="B177" t="s">
        <v>3698</v>
      </c>
      <c r="C177">
        <v>12</v>
      </c>
      <c r="D177">
        <v>64</v>
      </c>
      <c r="F177" t="s">
        <v>147</v>
      </c>
      <c r="G177" t="s">
        <v>3930</v>
      </c>
      <c r="H177" t="s">
        <v>3931</v>
      </c>
      <c r="I177" t="s">
        <v>1431</v>
      </c>
      <c r="J177" s="33" t="s">
        <v>2216</v>
      </c>
    </row>
    <row r="178" spans="1:10" ht="15.75" thickBot="1" x14ac:dyDescent="0.3">
      <c r="A178" s="37" t="s">
        <v>2396</v>
      </c>
      <c r="B178" s="30" t="s">
        <v>3698</v>
      </c>
      <c r="C178" s="30">
        <v>12</v>
      </c>
      <c r="D178" s="30">
        <v>64</v>
      </c>
      <c r="E178" s="30"/>
      <c r="F178" s="30" t="s">
        <v>2823</v>
      </c>
      <c r="G178" s="30" t="s">
        <v>3932</v>
      </c>
      <c r="H178" s="30" t="s">
        <v>3933</v>
      </c>
      <c r="I178" s="30" t="s">
        <v>1431</v>
      </c>
      <c r="J178" s="34" t="s">
        <v>2216</v>
      </c>
    </row>
    <row r="179" spans="1:10" x14ac:dyDescent="0.25">
      <c r="A179" s="35" t="s">
        <v>2397</v>
      </c>
      <c r="B179" s="22" t="s">
        <v>3698</v>
      </c>
      <c r="C179" s="22">
        <v>12</v>
      </c>
      <c r="D179" s="22">
        <v>69</v>
      </c>
      <c r="E179" s="22"/>
      <c r="F179" s="22" t="s">
        <v>4008</v>
      </c>
      <c r="G179" s="22" t="s">
        <v>4009</v>
      </c>
      <c r="H179" s="22" t="s">
        <v>4010</v>
      </c>
      <c r="I179" s="22" t="s">
        <v>1431</v>
      </c>
      <c r="J179" s="32" t="s">
        <v>2216</v>
      </c>
    </row>
    <row r="180" spans="1:10" x14ac:dyDescent="0.25">
      <c r="A180" s="36" t="s">
        <v>2398</v>
      </c>
      <c r="B180" t="s">
        <v>3698</v>
      </c>
      <c r="C180">
        <v>12</v>
      </c>
      <c r="D180">
        <v>69</v>
      </c>
      <c r="F180" t="s">
        <v>147</v>
      </c>
      <c r="G180" t="s">
        <v>4011</v>
      </c>
      <c r="H180" t="s">
        <v>4012</v>
      </c>
      <c r="I180" t="s">
        <v>1431</v>
      </c>
      <c r="J180" s="33" t="s">
        <v>2216</v>
      </c>
    </row>
    <row r="181" spans="1:10" x14ac:dyDescent="0.25">
      <c r="A181" s="36" t="s">
        <v>2399</v>
      </c>
      <c r="B181" t="s">
        <v>3698</v>
      </c>
      <c r="C181">
        <v>12</v>
      </c>
      <c r="D181">
        <v>69</v>
      </c>
      <c r="F181" t="s">
        <v>186</v>
      </c>
      <c r="G181" t="s">
        <v>4013</v>
      </c>
      <c r="H181" t="s">
        <v>4014</v>
      </c>
      <c r="I181" t="s">
        <v>1431</v>
      </c>
      <c r="J181" s="33" t="s">
        <v>2216</v>
      </c>
    </row>
    <row r="182" spans="1:10" x14ac:dyDescent="0.25">
      <c r="A182" s="36" t="s">
        <v>2400</v>
      </c>
      <c r="B182" t="s">
        <v>3698</v>
      </c>
      <c r="C182">
        <v>12</v>
      </c>
      <c r="D182">
        <v>69</v>
      </c>
      <c r="F182" t="s">
        <v>204</v>
      </c>
      <c r="G182" t="s">
        <v>4015</v>
      </c>
      <c r="H182" t="s">
        <v>4016</v>
      </c>
      <c r="I182" t="s">
        <v>1431</v>
      </c>
      <c r="J182" s="33" t="s">
        <v>2216</v>
      </c>
    </row>
    <row r="183" spans="1:10" x14ac:dyDescent="0.25">
      <c r="A183" s="36" t="s">
        <v>2401</v>
      </c>
      <c r="B183" t="s">
        <v>3698</v>
      </c>
      <c r="C183">
        <v>12</v>
      </c>
      <c r="D183">
        <v>69</v>
      </c>
      <c r="F183" t="s">
        <v>3178</v>
      </c>
      <c r="G183" t="s">
        <v>4017</v>
      </c>
      <c r="H183" t="s">
        <v>4018</v>
      </c>
      <c r="I183" t="s">
        <v>1431</v>
      </c>
      <c r="J183" s="33" t="s">
        <v>2216</v>
      </c>
    </row>
    <row r="184" spans="1:10" ht="15.75" thickBot="1" x14ac:dyDescent="0.3">
      <c r="A184" s="37" t="s">
        <v>2402</v>
      </c>
      <c r="B184" s="30" t="s">
        <v>3698</v>
      </c>
      <c r="C184" s="30">
        <v>12</v>
      </c>
      <c r="D184" s="30">
        <v>69</v>
      </c>
      <c r="E184" s="30"/>
      <c r="F184" s="30" t="s">
        <v>221</v>
      </c>
      <c r="G184" s="30" t="s">
        <v>4019</v>
      </c>
      <c r="H184" s="30" t="s">
        <v>4020</v>
      </c>
      <c r="I184" s="30" t="s">
        <v>1431</v>
      </c>
      <c r="J184" s="34" t="s">
        <v>2216</v>
      </c>
    </row>
    <row r="185" spans="1:10" x14ac:dyDescent="0.25">
      <c r="A185" s="35" t="s">
        <v>2403</v>
      </c>
      <c r="B185" s="22" t="s">
        <v>3698</v>
      </c>
      <c r="C185" s="22">
        <v>12</v>
      </c>
      <c r="D185" s="22">
        <v>70</v>
      </c>
      <c r="E185" s="22"/>
      <c r="F185" s="22" t="s">
        <v>3863</v>
      </c>
      <c r="G185" s="22" t="s">
        <v>4090</v>
      </c>
      <c r="H185" s="22" t="s">
        <v>4091</v>
      </c>
      <c r="I185" s="22" t="s">
        <v>1431</v>
      </c>
      <c r="J185" s="32" t="s">
        <v>2216</v>
      </c>
    </row>
    <row r="186" spans="1:10" x14ac:dyDescent="0.25">
      <c r="A186" s="36" t="s">
        <v>2404</v>
      </c>
      <c r="B186" t="s">
        <v>3698</v>
      </c>
      <c r="C186">
        <v>12</v>
      </c>
      <c r="D186">
        <v>70</v>
      </c>
      <c r="F186" t="s">
        <v>4092</v>
      </c>
      <c r="G186" t="s">
        <v>4093</v>
      </c>
      <c r="H186" t="s">
        <v>4094</v>
      </c>
      <c r="I186" t="s">
        <v>1431</v>
      </c>
      <c r="J186" s="33" t="s">
        <v>2216</v>
      </c>
    </row>
    <row r="187" spans="1:10" x14ac:dyDescent="0.25">
      <c r="A187" s="36" t="s">
        <v>2405</v>
      </c>
      <c r="B187" t="s">
        <v>3698</v>
      </c>
      <c r="C187">
        <v>12</v>
      </c>
      <c r="D187">
        <v>70</v>
      </c>
      <c r="F187" t="s">
        <v>186</v>
      </c>
      <c r="G187" t="s">
        <v>4095</v>
      </c>
      <c r="H187" t="s">
        <v>4096</v>
      </c>
      <c r="I187" t="s">
        <v>1431</v>
      </c>
      <c r="J187" s="33" t="s">
        <v>2216</v>
      </c>
    </row>
    <row r="188" spans="1:10" x14ac:dyDescent="0.25">
      <c r="A188" s="36" t="s">
        <v>2406</v>
      </c>
      <c r="B188" t="s">
        <v>3698</v>
      </c>
      <c r="C188">
        <v>12</v>
      </c>
      <c r="D188">
        <v>70</v>
      </c>
      <c r="F188" t="s">
        <v>192</v>
      </c>
      <c r="G188" t="s">
        <v>4097</v>
      </c>
      <c r="H188" t="s">
        <v>4098</v>
      </c>
      <c r="I188" t="s">
        <v>1431</v>
      </c>
      <c r="J188" s="33" t="s">
        <v>2216</v>
      </c>
    </row>
    <row r="189" spans="1:10" x14ac:dyDescent="0.25">
      <c r="A189" s="36" t="s">
        <v>2407</v>
      </c>
      <c r="B189" t="s">
        <v>3698</v>
      </c>
      <c r="C189">
        <v>12</v>
      </c>
      <c r="D189">
        <v>70</v>
      </c>
      <c r="F189" t="s">
        <v>125</v>
      </c>
      <c r="G189" t="s">
        <v>4099</v>
      </c>
      <c r="H189" t="s">
        <v>4100</v>
      </c>
      <c r="I189" t="s">
        <v>1431</v>
      </c>
      <c r="J189" s="33" t="s">
        <v>2216</v>
      </c>
    </row>
    <row r="190" spans="1:10" x14ac:dyDescent="0.25">
      <c r="A190" s="36" t="s">
        <v>2408</v>
      </c>
      <c r="B190" t="s">
        <v>3698</v>
      </c>
      <c r="C190">
        <v>12</v>
      </c>
      <c r="D190">
        <v>70</v>
      </c>
      <c r="F190" t="s">
        <v>132</v>
      </c>
      <c r="G190" t="s">
        <v>4101</v>
      </c>
      <c r="H190" t="s">
        <v>4102</v>
      </c>
      <c r="I190" t="s">
        <v>1431</v>
      </c>
      <c r="J190" s="33" t="s">
        <v>2216</v>
      </c>
    </row>
    <row r="191" spans="1:10" ht="15.75" thickBot="1" x14ac:dyDescent="0.3">
      <c r="A191" s="37" t="s">
        <v>3699</v>
      </c>
      <c r="B191" s="30" t="s">
        <v>3698</v>
      </c>
      <c r="C191" s="30">
        <v>12</v>
      </c>
      <c r="D191" s="30">
        <v>70</v>
      </c>
      <c r="E191" s="30"/>
      <c r="F191" s="30" t="s">
        <v>140</v>
      </c>
      <c r="G191" s="30" t="s">
        <v>4103</v>
      </c>
      <c r="H191" s="30" t="s">
        <v>4104</v>
      </c>
      <c r="I191" s="30" t="s">
        <v>1431</v>
      </c>
      <c r="J191" s="34" t="s">
        <v>2216</v>
      </c>
    </row>
    <row r="192" spans="1:10" x14ac:dyDescent="0.25">
      <c r="A192" s="35" t="s">
        <v>3700</v>
      </c>
      <c r="B192" s="22" t="s">
        <v>3698</v>
      </c>
      <c r="C192" s="22">
        <v>13</v>
      </c>
      <c r="D192" s="22">
        <v>73</v>
      </c>
      <c r="E192" s="22"/>
      <c r="F192" s="22" t="s">
        <v>147</v>
      </c>
      <c r="G192" s="22" t="s">
        <v>4156</v>
      </c>
      <c r="H192" s="22" t="s">
        <v>4157</v>
      </c>
      <c r="I192" s="22" t="s">
        <v>1431</v>
      </c>
      <c r="J192" s="32" t="s">
        <v>2216</v>
      </c>
    </row>
    <row r="193" spans="1:10" x14ac:dyDescent="0.25">
      <c r="A193" s="36" t="s">
        <v>3701</v>
      </c>
      <c r="B193" t="s">
        <v>3698</v>
      </c>
      <c r="C193">
        <v>13</v>
      </c>
      <c r="D193">
        <v>73</v>
      </c>
      <c r="F193" t="s">
        <v>198</v>
      </c>
      <c r="G193" t="s">
        <v>4158</v>
      </c>
      <c r="H193" t="s">
        <v>4159</v>
      </c>
      <c r="I193" t="s">
        <v>1431</v>
      </c>
      <c r="J193" s="33" t="s">
        <v>2216</v>
      </c>
    </row>
    <row r="194" spans="1:10" x14ac:dyDescent="0.25">
      <c r="A194" s="36" t="s">
        <v>3702</v>
      </c>
      <c r="B194" t="s">
        <v>3698</v>
      </c>
      <c r="C194">
        <v>13</v>
      </c>
      <c r="D194">
        <v>73</v>
      </c>
      <c r="F194" t="s">
        <v>4160</v>
      </c>
      <c r="G194" t="s">
        <v>4161</v>
      </c>
      <c r="H194" t="s">
        <v>4162</v>
      </c>
      <c r="I194" t="s">
        <v>1431</v>
      </c>
      <c r="J194" s="33" t="s">
        <v>2216</v>
      </c>
    </row>
    <row r="195" spans="1:10" x14ac:dyDescent="0.25">
      <c r="A195" s="36" t="s">
        <v>3703</v>
      </c>
      <c r="B195" t="s">
        <v>3698</v>
      </c>
      <c r="C195">
        <v>13</v>
      </c>
      <c r="D195">
        <v>73</v>
      </c>
      <c r="F195" t="s">
        <v>140</v>
      </c>
      <c r="G195" t="s">
        <v>4163</v>
      </c>
      <c r="H195" t="s">
        <v>4164</v>
      </c>
      <c r="I195" t="s">
        <v>1431</v>
      </c>
      <c r="J195" s="33" t="s">
        <v>2216</v>
      </c>
    </row>
    <row r="196" spans="1:10" ht="15.75" thickBot="1" x14ac:dyDescent="0.3">
      <c r="A196" s="37" t="s">
        <v>3704</v>
      </c>
      <c r="B196" s="30" t="s">
        <v>3698</v>
      </c>
      <c r="C196" s="30">
        <v>13</v>
      </c>
      <c r="D196" s="30">
        <v>73</v>
      </c>
      <c r="E196" s="30"/>
      <c r="F196" s="30" t="s">
        <v>186</v>
      </c>
      <c r="G196" s="30" t="s">
        <v>4165</v>
      </c>
      <c r="H196" s="30" t="s">
        <v>4166</v>
      </c>
      <c r="I196" s="30" t="s">
        <v>1431</v>
      </c>
      <c r="J196" s="34" t="s">
        <v>2216</v>
      </c>
    </row>
    <row r="197" spans="1:10" x14ac:dyDescent="0.25">
      <c r="A197" s="35" t="s">
        <v>3705</v>
      </c>
      <c r="B197" s="22" t="s">
        <v>3698</v>
      </c>
      <c r="C197" s="22">
        <v>13</v>
      </c>
      <c r="D197" s="22">
        <v>74</v>
      </c>
      <c r="E197" s="22"/>
      <c r="F197" s="22" t="s">
        <v>1510</v>
      </c>
      <c r="G197" s="22" t="s">
        <v>4195</v>
      </c>
      <c r="H197" s="22" t="s">
        <v>4196</v>
      </c>
      <c r="I197" s="22" t="s">
        <v>1431</v>
      </c>
      <c r="J197" s="32" t="s">
        <v>2216</v>
      </c>
    </row>
    <row r="198" spans="1:10" x14ac:dyDescent="0.25">
      <c r="A198" s="36" t="s">
        <v>3706</v>
      </c>
      <c r="B198" t="s">
        <v>3698</v>
      </c>
      <c r="C198">
        <v>13</v>
      </c>
      <c r="D198">
        <v>74</v>
      </c>
      <c r="F198" t="s">
        <v>2823</v>
      </c>
      <c r="G198" t="s">
        <v>4197</v>
      </c>
      <c r="H198" t="s">
        <v>4198</v>
      </c>
      <c r="I198" t="s">
        <v>1431</v>
      </c>
      <c r="J198" s="33" t="s">
        <v>2216</v>
      </c>
    </row>
    <row r="199" spans="1:10" x14ac:dyDescent="0.25">
      <c r="A199" s="36" t="s">
        <v>3707</v>
      </c>
      <c r="B199" t="s">
        <v>3698</v>
      </c>
      <c r="C199">
        <v>13</v>
      </c>
      <c r="D199">
        <v>74</v>
      </c>
      <c r="F199" t="s">
        <v>192</v>
      </c>
      <c r="G199" t="s">
        <v>4199</v>
      </c>
      <c r="H199" t="s">
        <v>4200</v>
      </c>
      <c r="I199" t="s">
        <v>1431</v>
      </c>
      <c r="J199" s="33" t="s">
        <v>2216</v>
      </c>
    </row>
    <row r="200" spans="1:10" x14ac:dyDescent="0.25">
      <c r="A200" s="36" t="s">
        <v>3708</v>
      </c>
      <c r="B200" t="s">
        <v>3698</v>
      </c>
      <c r="C200">
        <v>13</v>
      </c>
      <c r="D200">
        <v>74</v>
      </c>
      <c r="F200" t="s">
        <v>215</v>
      </c>
      <c r="G200" t="s">
        <v>4201</v>
      </c>
      <c r="H200" t="s">
        <v>4202</v>
      </c>
      <c r="I200" t="s">
        <v>1431</v>
      </c>
      <c r="J200" s="33" t="s">
        <v>2216</v>
      </c>
    </row>
    <row r="201" spans="1:10" x14ac:dyDescent="0.25">
      <c r="A201" s="36" t="s">
        <v>3709</v>
      </c>
      <c r="B201" t="s">
        <v>3698</v>
      </c>
      <c r="C201">
        <v>13</v>
      </c>
      <c r="D201">
        <v>74</v>
      </c>
      <c r="F201" t="s">
        <v>166</v>
      </c>
      <c r="G201" t="s">
        <v>4203</v>
      </c>
      <c r="H201" t="s">
        <v>4204</v>
      </c>
      <c r="I201" t="s">
        <v>1431</v>
      </c>
      <c r="J201" s="33" t="s">
        <v>2216</v>
      </c>
    </row>
    <row r="202" spans="1:10" ht="15.75" thickBot="1" x14ac:dyDescent="0.3">
      <c r="A202" s="37" t="s">
        <v>3710</v>
      </c>
      <c r="B202" s="30" t="s">
        <v>3698</v>
      </c>
      <c r="C202" s="30">
        <v>13</v>
      </c>
      <c r="D202" s="30">
        <v>74</v>
      </c>
      <c r="E202" s="30"/>
      <c r="F202" s="30" t="s">
        <v>4205</v>
      </c>
      <c r="G202" s="30" t="s">
        <v>4206</v>
      </c>
      <c r="H202" s="30" t="s">
        <v>4207</v>
      </c>
      <c r="I202" s="30" t="s">
        <v>1431</v>
      </c>
      <c r="J202" s="34" t="s">
        <v>2216</v>
      </c>
    </row>
    <row r="203" spans="1:10" x14ac:dyDescent="0.25">
      <c r="A203" s="35" t="s">
        <v>3711</v>
      </c>
      <c r="B203" s="22" t="s">
        <v>3698</v>
      </c>
      <c r="C203" s="22">
        <v>15</v>
      </c>
      <c r="D203" s="22">
        <v>86</v>
      </c>
      <c r="E203" s="22"/>
      <c r="F203" s="22" t="s">
        <v>204</v>
      </c>
      <c r="G203" s="22" t="s">
        <v>4273</v>
      </c>
      <c r="H203" s="22" t="s">
        <v>4274</v>
      </c>
      <c r="I203" s="22" t="s">
        <v>1431</v>
      </c>
      <c r="J203" s="32" t="s">
        <v>2216</v>
      </c>
    </row>
    <row r="204" spans="1:10" x14ac:dyDescent="0.25">
      <c r="A204" s="36" t="s">
        <v>3712</v>
      </c>
      <c r="B204" t="s">
        <v>3698</v>
      </c>
      <c r="C204">
        <v>15</v>
      </c>
      <c r="D204">
        <v>86</v>
      </c>
      <c r="F204" t="s">
        <v>4275</v>
      </c>
      <c r="G204" t="s">
        <v>4276</v>
      </c>
      <c r="H204" t="s">
        <v>4277</v>
      </c>
      <c r="I204" t="s">
        <v>1431</v>
      </c>
      <c r="J204" s="33" t="s">
        <v>2216</v>
      </c>
    </row>
    <row r="205" spans="1:10" x14ac:dyDescent="0.25">
      <c r="A205" s="36" t="s">
        <v>3713</v>
      </c>
      <c r="B205" t="s">
        <v>3698</v>
      </c>
      <c r="C205">
        <v>15</v>
      </c>
      <c r="D205">
        <v>86</v>
      </c>
      <c r="F205" t="s">
        <v>4278</v>
      </c>
      <c r="G205" t="s">
        <v>4279</v>
      </c>
      <c r="H205" t="s">
        <v>4280</v>
      </c>
      <c r="I205" t="s">
        <v>1431</v>
      </c>
      <c r="J205" s="33" t="s">
        <v>2216</v>
      </c>
    </row>
    <row r="206" spans="1:10" x14ac:dyDescent="0.25">
      <c r="A206" s="36" t="s">
        <v>3714</v>
      </c>
      <c r="B206" t="s">
        <v>3698</v>
      </c>
      <c r="C206">
        <v>15</v>
      </c>
      <c r="D206">
        <v>86</v>
      </c>
      <c r="F206" t="s">
        <v>140</v>
      </c>
      <c r="G206" t="s">
        <v>4281</v>
      </c>
      <c r="H206" t="s">
        <v>4282</v>
      </c>
      <c r="I206" t="s">
        <v>1431</v>
      </c>
      <c r="J206" s="33" t="s">
        <v>2216</v>
      </c>
    </row>
    <row r="207" spans="1:10" x14ac:dyDescent="0.25">
      <c r="A207" s="36" t="s">
        <v>3715</v>
      </c>
      <c r="B207" t="s">
        <v>3698</v>
      </c>
      <c r="C207">
        <v>15</v>
      </c>
      <c r="D207">
        <v>86</v>
      </c>
      <c r="F207" t="s">
        <v>4283</v>
      </c>
      <c r="G207" t="s">
        <v>4284</v>
      </c>
      <c r="H207" t="s">
        <v>4285</v>
      </c>
      <c r="I207" t="s">
        <v>1431</v>
      </c>
      <c r="J207" s="33" t="s">
        <v>2216</v>
      </c>
    </row>
    <row r="208" spans="1:10" ht="15.75" thickBot="1" x14ac:dyDescent="0.3">
      <c r="A208" s="37" t="s">
        <v>3716</v>
      </c>
      <c r="B208" s="30" t="s">
        <v>3698</v>
      </c>
      <c r="C208" s="30">
        <v>15</v>
      </c>
      <c r="D208" s="30">
        <v>86</v>
      </c>
      <c r="E208" s="30"/>
      <c r="F208" s="30" t="s">
        <v>192</v>
      </c>
      <c r="G208" s="30" t="s">
        <v>4286</v>
      </c>
      <c r="H208" s="30" t="s">
        <v>4287</v>
      </c>
      <c r="I208" s="30" t="s">
        <v>1431</v>
      </c>
      <c r="J208" s="34" t="s">
        <v>2216</v>
      </c>
    </row>
    <row r="209" spans="1:10" x14ac:dyDescent="0.25">
      <c r="A209" s="35" t="s">
        <v>3717</v>
      </c>
      <c r="B209" s="22" t="s">
        <v>3698</v>
      </c>
      <c r="C209" s="22">
        <v>15</v>
      </c>
      <c r="D209" s="22">
        <v>88</v>
      </c>
      <c r="E209" s="22"/>
      <c r="F209" s="22" t="s">
        <v>4318</v>
      </c>
      <c r="G209" s="22" t="s">
        <v>4319</v>
      </c>
      <c r="H209" s="22" t="s">
        <v>4320</v>
      </c>
      <c r="I209" s="22" t="s">
        <v>1431</v>
      </c>
      <c r="J209" s="32" t="s">
        <v>2216</v>
      </c>
    </row>
    <row r="210" spans="1:10" x14ac:dyDescent="0.25">
      <c r="A210" s="36" t="s">
        <v>3718</v>
      </c>
      <c r="B210" t="s">
        <v>3698</v>
      </c>
      <c r="C210">
        <v>15</v>
      </c>
      <c r="D210">
        <v>88</v>
      </c>
      <c r="F210" t="s">
        <v>4321</v>
      </c>
      <c r="G210" t="s">
        <v>4322</v>
      </c>
      <c r="H210" t="s">
        <v>4323</v>
      </c>
      <c r="I210" t="s">
        <v>1431</v>
      </c>
      <c r="J210" s="33" t="s">
        <v>2216</v>
      </c>
    </row>
    <row r="211" spans="1:10" x14ac:dyDescent="0.25">
      <c r="A211" s="36" t="s">
        <v>3719</v>
      </c>
      <c r="B211" t="s">
        <v>3698</v>
      </c>
      <c r="C211">
        <v>15</v>
      </c>
      <c r="D211">
        <v>88</v>
      </c>
      <c r="F211" t="s">
        <v>198</v>
      </c>
      <c r="G211" t="s">
        <v>4324</v>
      </c>
      <c r="H211" t="s">
        <v>4325</v>
      </c>
      <c r="I211" t="s">
        <v>1431</v>
      </c>
      <c r="J211" s="33" t="s">
        <v>2216</v>
      </c>
    </row>
    <row r="212" spans="1:10" x14ac:dyDescent="0.25">
      <c r="A212" s="36" t="s">
        <v>3720</v>
      </c>
      <c r="B212" t="s">
        <v>3698</v>
      </c>
      <c r="C212">
        <v>15</v>
      </c>
      <c r="D212">
        <v>88</v>
      </c>
      <c r="F212" t="s">
        <v>192</v>
      </c>
      <c r="G212" t="s">
        <v>4326</v>
      </c>
      <c r="H212" t="s">
        <v>4327</v>
      </c>
      <c r="I212" t="s">
        <v>1431</v>
      </c>
      <c r="J212" s="33" t="s">
        <v>2216</v>
      </c>
    </row>
    <row r="213" spans="1:10" x14ac:dyDescent="0.25">
      <c r="A213" s="36" t="s">
        <v>3721</v>
      </c>
      <c r="B213" t="s">
        <v>3698</v>
      </c>
      <c r="C213">
        <v>15</v>
      </c>
      <c r="D213">
        <v>88</v>
      </c>
      <c r="F213" t="s">
        <v>4328</v>
      </c>
      <c r="G213" t="s">
        <v>4329</v>
      </c>
      <c r="H213" t="s">
        <v>4330</v>
      </c>
      <c r="I213" t="s">
        <v>1431</v>
      </c>
      <c r="J213" s="33" t="s">
        <v>2216</v>
      </c>
    </row>
    <row r="214" spans="1:10" ht="15.75" thickBot="1" x14ac:dyDescent="0.3">
      <c r="A214" s="37" t="s">
        <v>3722</v>
      </c>
      <c r="B214" s="30" t="s">
        <v>3698</v>
      </c>
      <c r="C214" s="30">
        <v>15</v>
      </c>
      <c r="D214" s="30">
        <v>88</v>
      </c>
      <c r="E214" s="30"/>
      <c r="F214" s="30" t="s">
        <v>112</v>
      </c>
      <c r="G214" s="30" t="s">
        <v>4331</v>
      </c>
      <c r="H214" s="30" t="s">
        <v>4332</v>
      </c>
      <c r="I214" s="30" t="s">
        <v>1431</v>
      </c>
      <c r="J214" s="34" t="s">
        <v>2216</v>
      </c>
    </row>
    <row r="215" spans="1:10" x14ac:dyDescent="0.25">
      <c r="A215" s="35" t="s">
        <v>3723</v>
      </c>
      <c r="B215" s="22" t="s">
        <v>3698</v>
      </c>
      <c r="C215" s="22">
        <v>15</v>
      </c>
      <c r="D215" s="22">
        <v>90</v>
      </c>
      <c r="E215" s="22"/>
      <c r="F215" s="22" t="s">
        <v>4275</v>
      </c>
      <c r="G215" s="22" t="s">
        <v>4386</v>
      </c>
      <c r="H215" s="22" t="s">
        <v>4387</v>
      </c>
      <c r="I215" s="22" t="s">
        <v>1431</v>
      </c>
      <c r="J215" s="32" t="s">
        <v>2216</v>
      </c>
    </row>
    <row r="216" spans="1:10" x14ac:dyDescent="0.25">
      <c r="A216" s="36" t="s">
        <v>3724</v>
      </c>
      <c r="B216" t="s">
        <v>3698</v>
      </c>
      <c r="C216">
        <v>15</v>
      </c>
      <c r="D216">
        <v>90</v>
      </c>
      <c r="F216" t="s">
        <v>161</v>
      </c>
      <c r="G216" t="s">
        <v>4388</v>
      </c>
      <c r="H216" t="s">
        <v>4389</v>
      </c>
      <c r="I216" t="s">
        <v>1431</v>
      </c>
      <c r="J216" s="33" t="s">
        <v>2216</v>
      </c>
    </row>
    <row r="217" spans="1:10" x14ac:dyDescent="0.25">
      <c r="A217" s="36" t="s">
        <v>3725</v>
      </c>
      <c r="B217" t="s">
        <v>3698</v>
      </c>
      <c r="C217">
        <v>15</v>
      </c>
      <c r="D217">
        <v>90</v>
      </c>
      <c r="F217" t="s">
        <v>4390</v>
      </c>
      <c r="G217" t="s">
        <v>4391</v>
      </c>
      <c r="H217" t="s">
        <v>4392</v>
      </c>
      <c r="I217" t="s">
        <v>1431</v>
      </c>
      <c r="J217" s="33" t="s">
        <v>2216</v>
      </c>
    </row>
    <row r="218" spans="1:10" x14ac:dyDescent="0.25">
      <c r="A218" s="36" t="s">
        <v>3726</v>
      </c>
      <c r="B218" t="s">
        <v>3698</v>
      </c>
      <c r="C218">
        <v>15</v>
      </c>
      <c r="D218">
        <v>90</v>
      </c>
      <c r="F218" t="s">
        <v>4393</v>
      </c>
      <c r="G218" t="s">
        <v>4394</v>
      </c>
      <c r="H218" t="s">
        <v>4395</v>
      </c>
      <c r="I218" t="s">
        <v>1431</v>
      </c>
      <c r="J218" s="33" t="s">
        <v>2216</v>
      </c>
    </row>
    <row r="219" spans="1:10" x14ac:dyDescent="0.25">
      <c r="A219" s="36" t="s">
        <v>3727</v>
      </c>
      <c r="B219" t="s">
        <v>3698</v>
      </c>
      <c r="C219">
        <v>15</v>
      </c>
      <c r="D219">
        <v>90</v>
      </c>
      <c r="F219" t="s">
        <v>4396</v>
      </c>
      <c r="G219" t="s">
        <v>4397</v>
      </c>
      <c r="H219" t="s">
        <v>4398</v>
      </c>
      <c r="I219" t="s">
        <v>1431</v>
      </c>
      <c r="J219" s="33" t="s">
        <v>2216</v>
      </c>
    </row>
    <row r="220" spans="1:10" ht="15.75" thickBot="1" x14ac:dyDescent="0.3">
      <c r="A220" s="37" t="s">
        <v>3728</v>
      </c>
      <c r="B220" s="30" t="s">
        <v>3698</v>
      </c>
      <c r="C220" s="30">
        <v>15</v>
      </c>
      <c r="D220" s="30">
        <v>90</v>
      </c>
      <c r="E220" s="30"/>
      <c r="F220" s="30" t="s">
        <v>221</v>
      </c>
      <c r="G220" s="30" t="s">
        <v>4399</v>
      </c>
      <c r="H220" s="30" t="s">
        <v>4400</v>
      </c>
      <c r="I220" s="30" t="s">
        <v>1431</v>
      </c>
      <c r="J220" s="34" t="s">
        <v>2216</v>
      </c>
    </row>
    <row r="221" spans="1:10" x14ac:dyDescent="0.25">
      <c r="A221" s="35" t="s">
        <v>3729</v>
      </c>
      <c r="B221" s="22" t="s">
        <v>3698</v>
      </c>
      <c r="C221" s="22">
        <v>15</v>
      </c>
      <c r="D221" s="22">
        <v>91</v>
      </c>
      <c r="E221" s="22"/>
      <c r="F221" s="22" t="s">
        <v>4401</v>
      </c>
      <c r="G221" s="22" t="s">
        <v>4402</v>
      </c>
      <c r="H221" s="22" t="s">
        <v>4403</v>
      </c>
      <c r="I221" s="22" t="s">
        <v>1431</v>
      </c>
      <c r="J221" s="32" t="s">
        <v>2216</v>
      </c>
    </row>
    <row r="222" spans="1:10" x14ac:dyDescent="0.25">
      <c r="A222" s="36" t="s">
        <v>3730</v>
      </c>
      <c r="B222" t="s">
        <v>3698</v>
      </c>
      <c r="C222">
        <v>15</v>
      </c>
      <c r="D222">
        <v>91</v>
      </c>
      <c r="F222" t="s">
        <v>4318</v>
      </c>
      <c r="G222" t="s">
        <v>4404</v>
      </c>
      <c r="H222" t="s">
        <v>4405</v>
      </c>
      <c r="I222" t="s">
        <v>1431</v>
      </c>
      <c r="J222" s="33" t="s">
        <v>2216</v>
      </c>
    </row>
    <row r="223" spans="1:10" x14ac:dyDescent="0.25">
      <c r="A223" s="36" t="s">
        <v>3731</v>
      </c>
      <c r="B223" t="s">
        <v>3698</v>
      </c>
      <c r="C223">
        <v>15</v>
      </c>
      <c r="D223">
        <v>91</v>
      </c>
      <c r="F223" t="s">
        <v>198</v>
      </c>
      <c r="G223" t="s">
        <v>4406</v>
      </c>
      <c r="H223" t="s">
        <v>4407</v>
      </c>
      <c r="I223" t="s">
        <v>1431</v>
      </c>
      <c r="J223" s="33" t="s">
        <v>2216</v>
      </c>
    </row>
    <row r="224" spans="1:10" x14ac:dyDescent="0.25">
      <c r="A224" s="36" t="s">
        <v>3732</v>
      </c>
      <c r="B224" t="s">
        <v>3698</v>
      </c>
      <c r="C224">
        <v>15</v>
      </c>
      <c r="D224">
        <v>91</v>
      </c>
      <c r="F224" t="s">
        <v>210</v>
      </c>
      <c r="G224" t="s">
        <v>4408</v>
      </c>
      <c r="H224" t="s">
        <v>4409</v>
      </c>
      <c r="I224" t="s">
        <v>1431</v>
      </c>
      <c r="J224" s="33" t="s">
        <v>2216</v>
      </c>
    </row>
    <row r="225" spans="1:10" x14ac:dyDescent="0.25">
      <c r="A225" s="36" t="s">
        <v>3733</v>
      </c>
      <c r="B225" t="s">
        <v>3698</v>
      </c>
      <c r="C225">
        <v>15</v>
      </c>
      <c r="D225">
        <v>91</v>
      </c>
      <c r="F225" t="s">
        <v>4410</v>
      </c>
      <c r="G225" t="s">
        <v>4411</v>
      </c>
      <c r="H225" t="s">
        <v>4412</v>
      </c>
      <c r="I225" t="s">
        <v>1431</v>
      </c>
      <c r="J225" s="33" t="s">
        <v>2216</v>
      </c>
    </row>
    <row r="226" spans="1:10" ht="15.75" thickBot="1" x14ac:dyDescent="0.3">
      <c r="A226" s="37" t="s">
        <v>3734</v>
      </c>
      <c r="B226" s="30" t="s">
        <v>3698</v>
      </c>
      <c r="C226" s="30">
        <v>15</v>
      </c>
      <c r="D226" s="30">
        <v>91</v>
      </c>
      <c r="E226" s="30"/>
      <c r="F226" s="30" t="s">
        <v>4413</v>
      </c>
      <c r="G226" s="30" t="s">
        <v>4414</v>
      </c>
      <c r="H226" s="30" t="s">
        <v>4415</v>
      </c>
      <c r="I226" s="30" t="s">
        <v>1431</v>
      </c>
      <c r="J226" s="34" t="s">
        <v>2216</v>
      </c>
    </row>
    <row r="227" spans="1:10" x14ac:dyDescent="0.25">
      <c r="A227" s="35" t="s">
        <v>3735</v>
      </c>
      <c r="B227" s="22" t="s">
        <v>3698</v>
      </c>
      <c r="C227" s="22">
        <v>15</v>
      </c>
      <c r="D227" s="22">
        <v>92</v>
      </c>
      <c r="E227" s="22"/>
      <c r="F227" s="22" t="s">
        <v>4458</v>
      </c>
      <c r="G227" s="22" t="s">
        <v>4459</v>
      </c>
      <c r="H227" s="22" t="s">
        <v>4460</v>
      </c>
      <c r="I227" s="22" t="s">
        <v>1431</v>
      </c>
      <c r="J227" s="32" t="s">
        <v>2216</v>
      </c>
    </row>
    <row r="228" spans="1:10" x14ac:dyDescent="0.25">
      <c r="A228" s="36" t="s">
        <v>3736</v>
      </c>
      <c r="B228" t="s">
        <v>3698</v>
      </c>
      <c r="C228">
        <v>15</v>
      </c>
      <c r="D228">
        <v>92</v>
      </c>
      <c r="F228" t="s">
        <v>4461</v>
      </c>
      <c r="G228" t="s">
        <v>4462</v>
      </c>
      <c r="H228" t="s">
        <v>4463</v>
      </c>
      <c r="I228" t="s">
        <v>1431</v>
      </c>
      <c r="J228" s="33" t="s">
        <v>2216</v>
      </c>
    </row>
    <row r="229" spans="1:10" x14ac:dyDescent="0.25">
      <c r="A229" s="36" t="s">
        <v>3737</v>
      </c>
      <c r="B229" t="s">
        <v>3698</v>
      </c>
      <c r="C229">
        <v>15</v>
      </c>
      <c r="D229">
        <v>92</v>
      </c>
      <c r="F229" t="s">
        <v>204</v>
      </c>
      <c r="G229" t="s">
        <v>4464</v>
      </c>
      <c r="H229" t="s">
        <v>4465</v>
      </c>
      <c r="I229" t="s">
        <v>1431</v>
      </c>
      <c r="J229" s="33" t="s">
        <v>2216</v>
      </c>
    </row>
    <row r="230" spans="1:10" x14ac:dyDescent="0.25">
      <c r="A230" s="36" t="s">
        <v>3738</v>
      </c>
      <c r="B230" t="s">
        <v>3698</v>
      </c>
      <c r="C230">
        <v>15</v>
      </c>
      <c r="D230">
        <v>92</v>
      </c>
      <c r="F230" t="s">
        <v>210</v>
      </c>
      <c r="G230" t="s">
        <v>4466</v>
      </c>
      <c r="H230" t="s">
        <v>4467</v>
      </c>
      <c r="I230" t="s">
        <v>1431</v>
      </c>
      <c r="J230" s="33" t="s">
        <v>2216</v>
      </c>
    </row>
    <row r="231" spans="1:10" x14ac:dyDescent="0.25">
      <c r="A231" s="36" t="s">
        <v>3739</v>
      </c>
      <c r="B231" t="s">
        <v>3698</v>
      </c>
      <c r="C231">
        <v>15</v>
      </c>
      <c r="D231">
        <v>92</v>
      </c>
      <c r="F231" t="s">
        <v>4468</v>
      </c>
      <c r="G231" t="s">
        <v>4469</v>
      </c>
      <c r="H231" t="s">
        <v>4470</v>
      </c>
      <c r="I231" t="s">
        <v>1431</v>
      </c>
      <c r="J231" s="33" t="s">
        <v>2216</v>
      </c>
    </row>
    <row r="232" spans="1:10" ht="15.75" thickBot="1" x14ac:dyDescent="0.3">
      <c r="A232" s="37" t="s">
        <v>3740</v>
      </c>
      <c r="B232" s="30" t="s">
        <v>3698</v>
      </c>
      <c r="C232" s="30">
        <v>15</v>
      </c>
      <c r="D232" s="30">
        <v>92</v>
      </c>
      <c r="E232" s="30"/>
      <c r="F232" s="30" t="s">
        <v>174</v>
      </c>
      <c r="G232" s="30" t="s">
        <v>4471</v>
      </c>
      <c r="H232" s="30" t="s">
        <v>4472</v>
      </c>
      <c r="I232" s="30" t="s">
        <v>1431</v>
      </c>
      <c r="J232" s="34" t="s">
        <v>2216</v>
      </c>
    </row>
    <row r="233" spans="1:10" x14ac:dyDescent="0.25">
      <c r="A233" s="35" t="s">
        <v>3741</v>
      </c>
      <c r="B233" s="22" t="s">
        <v>3698</v>
      </c>
      <c r="C233" s="22">
        <v>15</v>
      </c>
      <c r="D233" s="22">
        <v>93</v>
      </c>
      <c r="E233" s="22"/>
      <c r="F233" s="22" t="s">
        <v>4581</v>
      </c>
      <c r="G233" s="22" t="s">
        <v>4582</v>
      </c>
      <c r="H233" s="22" t="s">
        <v>4583</v>
      </c>
      <c r="I233" s="22" t="s">
        <v>1431</v>
      </c>
      <c r="J233" s="32" t="s">
        <v>2216</v>
      </c>
    </row>
    <row r="234" spans="1:10" x14ac:dyDescent="0.25">
      <c r="A234" s="36" t="s">
        <v>3742</v>
      </c>
      <c r="B234" t="s">
        <v>3698</v>
      </c>
      <c r="C234">
        <v>15</v>
      </c>
      <c r="D234">
        <v>93</v>
      </c>
      <c r="F234" t="s">
        <v>4584</v>
      </c>
      <c r="G234" t="s">
        <v>4585</v>
      </c>
      <c r="H234" t="s">
        <v>4586</v>
      </c>
      <c r="I234" t="s">
        <v>1431</v>
      </c>
      <c r="J234" s="33" t="s">
        <v>2216</v>
      </c>
    </row>
    <row r="235" spans="1:10" x14ac:dyDescent="0.25">
      <c r="A235" s="36" t="s">
        <v>3743</v>
      </c>
      <c r="B235" t="s">
        <v>3698</v>
      </c>
      <c r="C235">
        <v>15</v>
      </c>
      <c r="D235">
        <v>93</v>
      </c>
      <c r="F235" t="s">
        <v>4587</v>
      </c>
      <c r="G235" t="s">
        <v>4588</v>
      </c>
      <c r="H235" t="s">
        <v>4589</v>
      </c>
      <c r="I235" t="s">
        <v>1431</v>
      </c>
      <c r="J235" s="33" t="s">
        <v>2216</v>
      </c>
    </row>
    <row r="236" spans="1:10" x14ac:dyDescent="0.25">
      <c r="A236" s="36" t="s">
        <v>3744</v>
      </c>
      <c r="B236" t="s">
        <v>3698</v>
      </c>
      <c r="C236">
        <v>15</v>
      </c>
      <c r="D236">
        <v>93</v>
      </c>
      <c r="F236" t="s">
        <v>186</v>
      </c>
      <c r="G236" t="s">
        <v>4590</v>
      </c>
      <c r="H236" t="s">
        <v>4591</v>
      </c>
      <c r="I236" t="s">
        <v>1431</v>
      </c>
      <c r="J236" s="33" t="s">
        <v>2216</v>
      </c>
    </row>
    <row r="237" spans="1:10" x14ac:dyDescent="0.25">
      <c r="A237" s="36" t="s">
        <v>3745</v>
      </c>
      <c r="B237" t="s">
        <v>3698</v>
      </c>
      <c r="C237">
        <v>15</v>
      </c>
      <c r="D237">
        <v>93</v>
      </c>
      <c r="F237" t="s">
        <v>4592</v>
      </c>
      <c r="G237" t="s">
        <v>4593</v>
      </c>
      <c r="H237" t="s">
        <v>4594</v>
      </c>
      <c r="I237" t="s">
        <v>1431</v>
      </c>
      <c r="J237" s="33" t="s">
        <v>2216</v>
      </c>
    </row>
    <row r="238" spans="1:10" ht="15.75" thickBot="1" x14ac:dyDescent="0.3">
      <c r="A238" s="37" t="s">
        <v>3746</v>
      </c>
      <c r="B238" s="30" t="s">
        <v>3698</v>
      </c>
      <c r="C238" s="30">
        <v>15</v>
      </c>
      <c r="D238" s="30">
        <v>93</v>
      </c>
      <c r="E238" s="30"/>
      <c r="F238" s="30" t="s">
        <v>112</v>
      </c>
      <c r="G238" s="30" t="s">
        <v>4595</v>
      </c>
      <c r="H238" s="30" t="s">
        <v>4596</v>
      </c>
      <c r="I238" s="30" t="s">
        <v>1431</v>
      </c>
      <c r="J238" s="34" t="s">
        <v>2216</v>
      </c>
    </row>
    <row r="239" spans="1:10" x14ac:dyDescent="0.25">
      <c r="A239" s="35" t="s">
        <v>3747</v>
      </c>
      <c r="B239" s="22" t="s">
        <v>3698</v>
      </c>
      <c r="C239" s="22">
        <v>15</v>
      </c>
      <c r="D239" s="22">
        <v>94</v>
      </c>
      <c r="E239" s="22"/>
      <c r="F239" s="22" t="s">
        <v>4691</v>
      </c>
      <c r="G239" s="22" t="s">
        <v>4692</v>
      </c>
      <c r="H239" s="22" t="s">
        <v>4693</v>
      </c>
      <c r="I239" s="22" t="s">
        <v>1431</v>
      </c>
      <c r="J239" s="32" t="s">
        <v>2216</v>
      </c>
    </row>
    <row r="240" spans="1:10" x14ac:dyDescent="0.25">
      <c r="A240" s="36" t="s">
        <v>3748</v>
      </c>
      <c r="B240" t="s">
        <v>3698</v>
      </c>
      <c r="C240">
        <v>15</v>
      </c>
      <c r="D240">
        <v>94</v>
      </c>
      <c r="F240" t="s">
        <v>132</v>
      </c>
      <c r="G240" t="s">
        <v>4694</v>
      </c>
      <c r="H240" t="s">
        <v>4695</v>
      </c>
      <c r="I240" t="s">
        <v>1431</v>
      </c>
      <c r="J240" s="33" t="s">
        <v>2216</v>
      </c>
    </row>
    <row r="241" spans="1:10" x14ac:dyDescent="0.25">
      <c r="A241" s="36" t="s">
        <v>3749</v>
      </c>
      <c r="B241" t="s">
        <v>3698</v>
      </c>
      <c r="C241">
        <v>15</v>
      </c>
      <c r="D241">
        <v>94</v>
      </c>
      <c r="F241" t="s">
        <v>4696</v>
      </c>
      <c r="G241" t="s">
        <v>4697</v>
      </c>
      <c r="H241" t="s">
        <v>4698</v>
      </c>
      <c r="I241" t="s">
        <v>1431</v>
      </c>
      <c r="J241" s="33" t="s">
        <v>2216</v>
      </c>
    </row>
    <row r="242" spans="1:10" x14ac:dyDescent="0.25">
      <c r="A242" s="36" t="s">
        <v>3750</v>
      </c>
      <c r="B242" t="s">
        <v>3698</v>
      </c>
      <c r="C242">
        <v>15</v>
      </c>
      <c r="D242">
        <v>94</v>
      </c>
      <c r="F242" t="s">
        <v>4699</v>
      </c>
      <c r="G242" t="s">
        <v>4700</v>
      </c>
      <c r="H242" t="s">
        <v>4701</v>
      </c>
      <c r="I242" t="s">
        <v>1431</v>
      </c>
      <c r="J242" s="33" t="s">
        <v>2216</v>
      </c>
    </row>
    <row r="243" spans="1:10" x14ac:dyDescent="0.25">
      <c r="A243" s="36" t="s">
        <v>3751</v>
      </c>
      <c r="B243" t="s">
        <v>3698</v>
      </c>
      <c r="C243">
        <v>15</v>
      </c>
      <c r="D243">
        <v>94</v>
      </c>
      <c r="F243" t="s">
        <v>4702</v>
      </c>
      <c r="G243" t="s">
        <v>4703</v>
      </c>
      <c r="H243" t="s">
        <v>4704</v>
      </c>
      <c r="I243" t="s">
        <v>1431</v>
      </c>
      <c r="J243" s="33" t="s">
        <v>2216</v>
      </c>
    </row>
    <row r="244" spans="1:10" x14ac:dyDescent="0.25">
      <c r="A244" s="36" t="s">
        <v>3752</v>
      </c>
      <c r="B244" t="s">
        <v>3698</v>
      </c>
      <c r="C244">
        <v>15</v>
      </c>
      <c r="D244">
        <v>94</v>
      </c>
      <c r="F244" t="s">
        <v>4705</v>
      </c>
      <c r="G244" t="s">
        <v>4706</v>
      </c>
      <c r="H244" t="s">
        <v>4707</v>
      </c>
      <c r="I244" t="s">
        <v>1431</v>
      </c>
      <c r="J244" s="33" t="s">
        <v>2216</v>
      </c>
    </row>
    <row r="245" spans="1:10" ht="15.75" thickBot="1" x14ac:dyDescent="0.3">
      <c r="A245" s="37" t="s">
        <v>3753</v>
      </c>
      <c r="B245" s="30" t="s">
        <v>3698</v>
      </c>
      <c r="C245" s="30">
        <v>15</v>
      </c>
      <c r="D245" s="30">
        <v>94</v>
      </c>
      <c r="E245" s="30"/>
      <c r="F245" s="30" t="s">
        <v>4708</v>
      </c>
      <c r="G245" s="30" t="s">
        <v>4709</v>
      </c>
      <c r="H245" s="30" t="s">
        <v>4710</v>
      </c>
      <c r="I245" s="30" t="s">
        <v>1431</v>
      </c>
      <c r="J245" s="34" t="s">
        <v>2216</v>
      </c>
    </row>
    <row r="246" spans="1:10" x14ac:dyDescent="0.25">
      <c r="A246" s="35" t="s">
        <v>3754</v>
      </c>
      <c r="B246" s="22" t="s">
        <v>3698</v>
      </c>
      <c r="C246" s="22">
        <v>15</v>
      </c>
      <c r="D246" s="22">
        <v>96</v>
      </c>
      <c r="E246" s="22"/>
      <c r="F246" s="22" t="s">
        <v>53</v>
      </c>
      <c r="G246" s="22" t="s">
        <v>4714</v>
      </c>
      <c r="H246" s="22" t="s">
        <v>4715</v>
      </c>
      <c r="I246" s="22" t="s">
        <v>1431</v>
      </c>
      <c r="J246" s="32" t="s">
        <v>2216</v>
      </c>
    </row>
    <row r="247" spans="1:10" x14ac:dyDescent="0.25">
      <c r="A247" s="36" t="s">
        <v>3755</v>
      </c>
      <c r="B247" t="s">
        <v>3698</v>
      </c>
      <c r="C247">
        <v>15</v>
      </c>
      <c r="D247">
        <v>96</v>
      </c>
      <c r="F247" t="s">
        <v>4716</v>
      </c>
      <c r="G247" t="s">
        <v>4717</v>
      </c>
      <c r="H247" t="s">
        <v>4718</v>
      </c>
      <c r="I247" t="s">
        <v>1431</v>
      </c>
      <c r="J247" s="33" t="s">
        <v>2216</v>
      </c>
    </row>
    <row r="248" spans="1:10" x14ac:dyDescent="0.25">
      <c r="A248" s="36" t="s">
        <v>3756</v>
      </c>
      <c r="B248" t="s">
        <v>3698</v>
      </c>
      <c r="C248">
        <v>15</v>
      </c>
      <c r="D248">
        <v>96</v>
      </c>
      <c r="F248" t="s">
        <v>154</v>
      </c>
      <c r="G248" t="s">
        <v>4720</v>
      </c>
      <c r="H248" t="s">
        <v>4721</v>
      </c>
      <c r="I248" t="s">
        <v>1431</v>
      </c>
      <c r="J248" s="33" t="s">
        <v>2216</v>
      </c>
    </row>
    <row r="249" spans="1:10" x14ac:dyDescent="0.25">
      <c r="A249" s="36" t="s">
        <v>3757</v>
      </c>
      <c r="B249" t="s">
        <v>3698</v>
      </c>
      <c r="C249">
        <v>15</v>
      </c>
      <c r="D249">
        <v>96</v>
      </c>
      <c r="F249" t="s">
        <v>1513</v>
      </c>
      <c r="G249" t="s">
        <v>4722</v>
      </c>
      <c r="H249" t="s">
        <v>4723</v>
      </c>
      <c r="I249" t="s">
        <v>1431</v>
      </c>
      <c r="J249" s="33" t="s">
        <v>2216</v>
      </c>
    </row>
    <row r="250" spans="1:10" x14ac:dyDescent="0.25">
      <c r="A250" s="36" t="s">
        <v>3758</v>
      </c>
      <c r="B250" t="s">
        <v>3698</v>
      </c>
      <c r="C250">
        <v>15</v>
      </c>
      <c r="D250">
        <v>96</v>
      </c>
      <c r="F250" t="s">
        <v>140</v>
      </c>
      <c r="G250" t="s">
        <v>4724</v>
      </c>
      <c r="H250" t="s">
        <v>4725</v>
      </c>
      <c r="I250" t="s">
        <v>1431</v>
      </c>
      <c r="J250" s="33" t="s">
        <v>2216</v>
      </c>
    </row>
    <row r="251" spans="1:10" ht="15.75" thickBot="1" x14ac:dyDescent="0.3">
      <c r="A251" s="37" t="s">
        <v>3759</v>
      </c>
      <c r="B251" s="30" t="s">
        <v>3698</v>
      </c>
      <c r="C251" s="30">
        <v>15</v>
      </c>
      <c r="D251" s="30">
        <v>96</v>
      </c>
      <c r="E251" s="30"/>
      <c r="F251" s="30" t="s">
        <v>4708</v>
      </c>
      <c r="G251" s="30" t="s">
        <v>4726</v>
      </c>
      <c r="H251" s="30" t="s">
        <v>4727</v>
      </c>
      <c r="I251" s="30" t="s">
        <v>1431</v>
      </c>
      <c r="J251" s="34" t="s">
        <v>2216</v>
      </c>
    </row>
    <row r="252" spans="1:10" x14ac:dyDescent="0.25">
      <c r="A252" s="35" t="s">
        <v>3760</v>
      </c>
      <c r="B252" s="22" t="s">
        <v>3698</v>
      </c>
      <c r="C252" s="22">
        <v>15</v>
      </c>
      <c r="D252" s="22">
        <v>97</v>
      </c>
      <c r="E252" s="22"/>
      <c r="F252" s="22" t="s">
        <v>69</v>
      </c>
      <c r="G252" s="22" t="s">
        <v>4768</v>
      </c>
      <c r="H252" s="22" t="s">
        <v>4769</v>
      </c>
      <c r="I252" s="22" t="s">
        <v>1431</v>
      </c>
      <c r="J252" s="32" t="s">
        <v>2216</v>
      </c>
    </row>
    <row r="253" spans="1:10" x14ac:dyDescent="0.25">
      <c r="A253" s="36" t="s">
        <v>3761</v>
      </c>
      <c r="B253" t="s">
        <v>3698</v>
      </c>
      <c r="C253">
        <v>15</v>
      </c>
      <c r="D253">
        <v>97</v>
      </c>
      <c r="F253" t="s">
        <v>4770</v>
      </c>
      <c r="G253" t="s">
        <v>4771</v>
      </c>
      <c r="H253" t="s">
        <v>4772</v>
      </c>
      <c r="I253" t="s">
        <v>1431</v>
      </c>
      <c r="J253" s="33" t="s">
        <v>2216</v>
      </c>
    </row>
    <row r="254" spans="1:10" x14ac:dyDescent="0.25">
      <c r="A254" s="36" t="s">
        <v>3762</v>
      </c>
      <c r="B254" t="s">
        <v>3698</v>
      </c>
      <c r="C254">
        <v>15</v>
      </c>
      <c r="D254">
        <v>97</v>
      </c>
      <c r="F254" t="s">
        <v>4773</v>
      </c>
      <c r="G254" t="s">
        <v>4774</v>
      </c>
      <c r="H254" t="s">
        <v>4775</v>
      </c>
      <c r="I254" t="s">
        <v>1431</v>
      </c>
      <c r="J254" s="33" t="s">
        <v>2216</v>
      </c>
    </row>
    <row r="255" spans="1:10" x14ac:dyDescent="0.25">
      <c r="A255" s="36" t="s">
        <v>3763</v>
      </c>
      <c r="B255" t="s">
        <v>3698</v>
      </c>
      <c r="C255">
        <v>15</v>
      </c>
      <c r="D255">
        <v>97</v>
      </c>
      <c r="F255" t="s">
        <v>210</v>
      </c>
      <c r="G255" t="s">
        <v>4776</v>
      </c>
      <c r="H255" t="s">
        <v>4777</v>
      </c>
      <c r="I255" t="s">
        <v>1431</v>
      </c>
      <c r="J255" s="33" t="s">
        <v>2216</v>
      </c>
    </row>
    <row r="256" spans="1:10" ht="15.75" thickBot="1" x14ac:dyDescent="0.3">
      <c r="A256" s="37" t="s">
        <v>3764</v>
      </c>
      <c r="B256" s="30" t="s">
        <v>3698</v>
      </c>
      <c r="C256" s="30">
        <v>15</v>
      </c>
      <c r="D256" s="30">
        <v>97</v>
      </c>
      <c r="E256" s="30"/>
      <c r="F256" s="30" t="s">
        <v>4778</v>
      </c>
      <c r="G256" s="30" t="s">
        <v>4779</v>
      </c>
      <c r="H256" s="30" t="s">
        <v>4780</v>
      </c>
      <c r="I256" s="30" t="s">
        <v>1431</v>
      </c>
      <c r="J256" s="34" t="s">
        <v>2216</v>
      </c>
    </row>
    <row r="257" spans="1:10" x14ac:dyDescent="0.25">
      <c r="A257" s="35" t="s">
        <v>3765</v>
      </c>
      <c r="B257" s="22" t="s">
        <v>3698</v>
      </c>
      <c r="C257" s="22">
        <v>17</v>
      </c>
      <c r="D257" s="22">
        <v>102</v>
      </c>
      <c r="E257" s="22"/>
      <c r="F257" s="22" t="s">
        <v>4823</v>
      </c>
      <c r="G257" s="22" t="s">
        <v>4824</v>
      </c>
      <c r="H257" s="22" t="s">
        <v>4825</v>
      </c>
      <c r="I257" s="22" t="s">
        <v>1431</v>
      </c>
      <c r="J257" s="32" t="s">
        <v>2216</v>
      </c>
    </row>
    <row r="258" spans="1:10" x14ac:dyDescent="0.25">
      <c r="A258" s="36" t="s">
        <v>3766</v>
      </c>
      <c r="B258" t="s">
        <v>3698</v>
      </c>
      <c r="C258">
        <v>17</v>
      </c>
      <c r="D258">
        <v>102</v>
      </c>
      <c r="F258" t="s">
        <v>125</v>
      </c>
      <c r="G258" t="s">
        <v>4827</v>
      </c>
      <c r="H258" t="s">
        <v>4828</v>
      </c>
      <c r="I258" t="s">
        <v>1431</v>
      </c>
      <c r="J258" s="33" t="s">
        <v>2216</v>
      </c>
    </row>
    <row r="259" spans="1:10" x14ac:dyDescent="0.25">
      <c r="A259" s="36" t="s">
        <v>3767</v>
      </c>
      <c r="B259" t="s">
        <v>3698</v>
      </c>
      <c r="C259">
        <v>17</v>
      </c>
      <c r="D259">
        <v>102</v>
      </c>
      <c r="F259" t="s">
        <v>4829</v>
      </c>
      <c r="G259" t="s">
        <v>4830</v>
      </c>
      <c r="H259" t="s">
        <v>4831</v>
      </c>
      <c r="I259" t="s">
        <v>1431</v>
      </c>
      <c r="J259" s="33" t="s">
        <v>2216</v>
      </c>
    </row>
    <row r="260" spans="1:10" x14ac:dyDescent="0.25">
      <c r="A260" s="36" t="s">
        <v>3768</v>
      </c>
      <c r="B260" t="s">
        <v>3698</v>
      </c>
      <c r="C260">
        <v>17</v>
      </c>
      <c r="D260">
        <v>102</v>
      </c>
      <c r="F260" t="s">
        <v>4833</v>
      </c>
      <c r="G260" t="s">
        <v>4834</v>
      </c>
      <c r="H260" t="s">
        <v>4835</v>
      </c>
      <c r="I260" t="s">
        <v>1431</v>
      </c>
      <c r="J260" s="33" t="s">
        <v>2216</v>
      </c>
    </row>
    <row r="261" spans="1:10" x14ac:dyDescent="0.25">
      <c r="A261" s="36" t="s">
        <v>3769</v>
      </c>
      <c r="B261" t="s">
        <v>3698</v>
      </c>
      <c r="C261">
        <v>17</v>
      </c>
      <c r="D261">
        <v>102</v>
      </c>
      <c r="F261" t="s">
        <v>174</v>
      </c>
      <c r="G261" t="s">
        <v>4837</v>
      </c>
      <c r="H261" t="s">
        <v>4838</v>
      </c>
      <c r="I261" t="s">
        <v>1431</v>
      </c>
      <c r="J261" s="33" t="s">
        <v>2216</v>
      </c>
    </row>
    <row r="262" spans="1:10" ht="15.75" thickBot="1" x14ac:dyDescent="0.3">
      <c r="A262" s="37" t="s">
        <v>3770</v>
      </c>
      <c r="B262" s="30" t="s">
        <v>3698</v>
      </c>
      <c r="C262" s="30">
        <v>17</v>
      </c>
      <c r="D262" s="30">
        <v>102</v>
      </c>
      <c r="E262" s="30"/>
      <c r="F262" s="30" t="s">
        <v>198</v>
      </c>
      <c r="G262" s="30" t="s">
        <v>4839</v>
      </c>
      <c r="H262" s="30" t="s">
        <v>4840</v>
      </c>
      <c r="I262" s="30" t="s">
        <v>1431</v>
      </c>
      <c r="J262" s="34" t="s">
        <v>2216</v>
      </c>
    </row>
    <row r="263" spans="1:10" x14ac:dyDescent="0.25">
      <c r="A263" s="35" t="s">
        <v>3771</v>
      </c>
      <c r="B263" s="22" t="s">
        <v>3698</v>
      </c>
      <c r="C263" s="22">
        <v>19</v>
      </c>
      <c r="D263" s="22">
        <v>113</v>
      </c>
      <c r="E263" s="22"/>
      <c r="F263" s="22" t="s">
        <v>161</v>
      </c>
      <c r="G263" s="22" t="s">
        <v>4990</v>
      </c>
      <c r="H263" s="22" t="s">
        <v>4991</v>
      </c>
      <c r="I263" s="22" t="s">
        <v>1431</v>
      </c>
      <c r="J263" s="32" t="s">
        <v>2216</v>
      </c>
    </row>
    <row r="264" spans="1:10" x14ac:dyDescent="0.25">
      <c r="A264" s="36" t="s">
        <v>3772</v>
      </c>
      <c r="B264" t="s">
        <v>3698</v>
      </c>
      <c r="C264">
        <v>19</v>
      </c>
      <c r="D264">
        <v>113</v>
      </c>
      <c r="F264" t="s">
        <v>166</v>
      </c>
      <c r="G264" t="s">
        <v>4992</v>
      </c>
      <c r="H264" t="s">
        <v>4993</v>
      </c>
      <c r="I264" t="s">
        <v>1431</v>
      </c>
      <c r="J264" s="33" t="s">
        <v>2216</v>
      </c>
    </row>
    <row r="265" spans="1:10" x14ac:dyDescent="0.25">
      <c r="A265" s="36" t="s">
        <v>3773</v>
      </c>
      <c r="B265" t="s">
        <v>3698</v>
      </c>
      <c r="C265">
        <v>19</v>
      </c>
      <c r="D265">
        <v>113</v>
      </c>
      <c r="F265" t="s">
        <v>106</v>
      </c>
      <c r="G265" t="s">
        <v>4994</v>
      </c>
      <c r="H265" t="s">
        <v>4995</v>
      </c>
      <c r="I265" t="s">
        <v>1431</v>
      </c>
      <c r="J265" s="33" t="s">
        <v>2216</v>
      </c>
    </row>
    <row r="266" spans="1:10" x14ac:dyDescent="0.25">
      <c r="A266" s="36" t="s">
        <v>3774</v>
      </c>
      <c r="B266" t="s">
        <v>3698</v>
      </c>
      <c r="C266">
        <v>19</v>
      </c>
      <c r="D266">
        <v>113</v>
      </c>
      <c r="F266" t="s">
        <v>125</v>
      </c>
      <c r="G266" t="s">
        <v>4996</v>
      </c>
      <c r="H266" t="s">
        <v>4997</v>
      </c>
      <c r="I266" t="s">
        <v>1431</v>
      </c>
      <c r="J266" s="33" t="s">
        <v>2216</v>
      </c>
    </row>
    <row r="267" spans="1:10" x14ac:dyDescent="0.25">
      <c r="A267" s="36" t="s">
        <v>3775</v>
      </c>
      <c r="B267" t="s">
        <v>3698</v>
      </c>
      <c r="C267">
        <v>19</v>
      </c>
      <c r="D267">
        <v>113</v>
      </c>
      <c r="F267" t="s">
        <v>174</v>
      </c>
      <c r="G267" t="s">
        <v>4998</v>
      </c>
      <c r="H267" t="s">
        <v>4999</v>
      </c>
      <c r="I267" t="s">
        <v>1431</v>
      </c>
      <c r="J267" s="33" t="s">
        <v>2216</v>
      </c>
    </row>
    <row r="268" spans="1:10" ht="15.75" thickBot="1" x14ac:dyDescent="0.3">
      <c r="A268" s="37" t="s">
        <v>3776</v>
      </c>
      <c r="B268" s="30" t="s">
        <v>3698</v>
      </c>
      <c r="C268" s="30">
        <v>19</v>
      </c>
      <c r="D268" s="30">
        <v>113</v>
      </c>
      <c r="E268" s="30"/>
      <c r="F268" s="30" t="s">
        <v>215</v>
      </c>
      <c r="G268" s="30" t="s">
        <v>5000</v>
      </c>
      <c r="H268" s="30" t="s">
        <v>5001</v>
      </c>
      <c r="I268" s="30" t="s">
        <v>1431</v>
      </c>
      <c r="J268" s="34" t="s">
        <v>2216</v>
      </c>
    </row>
    <row r="269" spans="1:10" x14ac:dyDescent="0.25">
      <c r="A269" s="35" t="s">
        <v>3777</v>
      </c>
      <c r="B269" s="22" t="s">
        <v>3698</v>
      </c>
      <c r="C269" s="22">
        <v>20</v>
      </c>
      <c r="D269" s="22">
        <v>122</v>
      </c>
      <c r="E269" s="22"/>
      <c r="F269" s="22" t="s">
        <v>5027</v>
      </c>
      <c r="G269" s="22" t="s">
        <v>5028</v>
      </c>
      <c r="H269" s="22" t="s">
        <v>5029</v>
      </c>
      <c r="I269" s="22" t="s">
        <v>1431</v>
      </c>
      <c r="J269" s="32" t="s">
        <v>2216</v>
      </c>
    </row>
    <row r="270" spans="1:10" x14ac:dyDescent="0.25">
      <c r="A270" s="36" t="s">
        <v>3778</v>
      </c>
      <c r="B270" t="s">
        <v>3698</v>
      </c>
      <c r="C270">
        <v>20</v>
      </c>
      <c r="D270">
        <v>122</v>
      </c>
      <c r="F270" t="s">
        <v>5030</v>
      </c>
      <c r="G270" t="s">
        <v>5031</v>
      </c>
      <c r="H270" t="s">
        <v>5032</v>
      </c>
      <c r="I270" t="s">
        <v>1431</v>
      </c>
      <c r="J270" s="33" t="s">
        <v>2216</v>
      </c>
    </row>
    <row r="271" spans="1:10" x14ac:dyDescent="0.25">
      <c r="A271" s="36" t="s">
        <v>3779</v>
      </c>
      <c r="B271" t="s">
        <v>3698</v>
      </c>
      <c r="C271">
        <v>20</v>
      </c>
      <c r="D271">
        <v>122</v>
      </c>
      <c r="F271" t="s">
        <v>198</v>
      </c>
      <c r="G271" t="s">
        <v>5033</v>
      </c>
      <c r="H271" t="s">
        <v>5034</v>
      </c>
      <c r="I271" t="s">
        <v>1431</v>
      </c>
      <c r="J271" s="33" t="s">
        <v>2216</v>
      </c>
    </row>
    <row r="272" spans="1:10" x14ac:dyDescent="0.25">
      <c r="A272" s="36" t="s">
        <v>3780</v>
      </c>
      <c r="B272" t="s">
        <v>3698</v>
      </c>
      <c r="C272">
        <v>20</v>
      </c>
      <c r="D272">
        <v>122</v>
      </c>
      <c r="F272" t="s">
        <v>5035</v>
      </c>
      <c r="G272" t="s">
        <v>5036</v>
      </c>
      <c r="H272" t="s">
        <v>5037</v>
      </c>
      <c r="I272" t="s">
        <v>1431</v>
      </c>
      <c r="J272" s="33" t="s">
        <v>2216</v>
      </c>
    </row>
    <row r="273" spans="1:10" x14ac:dyDescent="0.25">
      <c r="A273" s="36" t="s">
        <v>3781</v>
      </c>
      <c r="B273" t="s">
        <v>3698</v>
      </c>
      <c r="C273">
        <v>20</v>
      </c>
      <c r="D273">
        <v>122</v>
      </c>
      <c r="F273" t="s">
        <v>140</v>
      </c>
      <c r="G273" t="s">
        <v>5038</v>
      </c>
      <c r="H273" t="s">
        <v>5039</v>
      </c>
      <c r="I273" t="s">
        <v>1431</v>
      </c>
      <c r="J273" s="33" t="s">
        <v>2216</v>
      </c>
    </row>
    <row r="274" spans="1:10" ht="15.75" thickBot="1" x14ac:dyDescent="0.3">
      <c r="A274" s="37" t="s">
        <v>3782</v>
      </c>
      <c r="B274" s="30" t="s">
        <v>3698</v>
      </c>
      <c r="C274" s="30">
        <v>20</v>
      </c>
      <c r="D274" s="30">
        <v>122</v>
      </c>
      <c r="E274" s="30"/>
      <c r="F274" s="30" t="s">
        <v>215</v>
      </c>
      <c r="G274" s="30" t="s">
        <v>5040</v>
      </c>
      <c r="H274" s="30" t="s">
        <v>5041</v>
      </c>
      <c r="I274" s="30" t="s">
        <v>1431</v>
      </c>
      <c r="J274" s="34" t="s">
        <v>2216</v>
      </c>
    </row>
    <row r="275" spans="1:10" x14ac:dyDescent="0.25">
      <c r="A275" s="35" t="s">
        <v>3783</v>
      </c>
      <c r="B275" s="22" t="s">
        <v>3698</v>
      </c>
      <c r="C275" s="22">
        <v>22</v>
      </c>
      <c r="D275" s="22">
        <v>132</v>
      </c>
      <c r="E275" s="22"/>
      <c r="F275" s="22" t="s">
        <v>5042</v>
      </c>
      <c r="G275" s="22" t="s">
        <v>5043</v>
      </c>
      <c r="H275" s="22" t="s">
        <v>5044</v>
      </c>
      <c r="I275" s="22" t="s">
        <v>1431</v>
      </c>
      <c r="J275" s="32" t="s">
        <v>2216</v>
      </c>
    </row>
    <row r="276" spans="1:10" x14ac:dyDescent="0.25">
      <c r="A276" s="36" t="s">
        <v>3784</v>
      </c>
      <c r="B276" t="s">
        <v>3698</v>
      </c>
      <c r="C276">
        <v>22</v>
      </c>
      <c r="D276">
        <v>132</v>
      </c>
      <c r="F276" t="s">
        <v>5045</v>
      </c>
      <c r="G276" t="s">
        <v>5046</v>
      </c>
      <c r="H276" t="s">
        <v>5047</v>
      </c>
      <c r="I276" t="s">
        <v>1431</v>
      </c>
      <c r="J276" s="33" t="s">
        <v>2216</v>
      </c>
    </row>
    <row r="277" spans="1:10" x14ac:dyDescent="0.25">
      <c r="A277" s="36" t="s">
        <v>3785</v>
      </c>
      <c r="B277" t="s">
        <v>3698</v>
      </c>
      <c r="C277">
        <v>22</v>
      </c>
      <c r="D277">
        <v>132</v>
      </c>
      <c r="F277" t="s">
        <v>5048</v>
      </c>
      <c r="G277" t="s">
        <v>5049</v>
      </c>
      <c r="H277" t="s">
        <v>5050</v>
      </c>
      <c r="I277" t="s">
        <v>1431</v>
      </c>
      <c r="J277" s="33" t="s">
        <v>2216</v>
      </c>
    </row>
    <row r="278" spans="1:10" x14ac:dyDescent="0.25">
      <c r="A278" s="36" t="s">
        <v>3786</v>
      </c>
      <c r="B278" t="s">
        <v>3698</v>
      </c>
      <c r="C278">
        <v>22</v>
      </c>
      <c r="D278">
        <v>132</v>
      </c>
      <c r="F278" t="s">
        <v>1513</v>
      </c>
      <c r="G278" t="s">
        <v>5051</v>
      </c>
      <c r="H278" t="s">
        <v>5052</v>
      </c>
      <c r="I278" t="s">
        <v>1431</v>
      </c>
      <c r="J278" s="33" t="s">
        <v>2216</v>
      </c>
    </row>
    <row r="279" spans="1:10" x14ac:dyDescent="0.25">
      <c r="A279" s="36" t="s">
        <v>3787</v>
      </c>
      <c r="B279" t="s">
        <v>3698</v>
      </c>
      <c r="C279">
        <v>22</v>
      </c>
      <c r="D279">
        <v>132</v>
      </c>
      <c r="F279" t="s">
        <v>106</v>
      </c>
      <c r="G279" t="s">
        <v>5053</v>
      </c>
      <c r="H279" t="s">
        <v>5054</v>
      </c>
      <c r="I279" t="s">
        <v>1431</v>
      </c>
      <c r="J279" s="33" t="s">
        <v>2216</v>
      </c>
    </row>
    <row r="280" spans="1:10" ht="15.75" thickBot="1" x14ac:dyDescent="0.3">
      <c r="A280" s="37" t="s">
        <v>3788</v>
      </c>
      <c r="B280" s="30" t="s">
        <v>3698</v>
      </c>
      <c r="C280" s="30">
        <v>22</v>
      </c>
      <c r="D280" s="30">
        <v>132</v>
      </c>
      <c r="E280" s="30"/>
      <c r="F280" s="30" t="s">
        <v>4699</v>
      </c>
      <c r="G280" s="30" t="s">
        <v>5055</v>
      </c>
      <c r="H280" s="30" t="s">
        <v>5056</v>
      </c>
      <c r="I280" s="30" t="s">
        <v>1431</v>
      </c>
      <c r="J280" s="34" t="s">
        <v>2216</v>
      </c>
    </row>
    <row r="281" spans="1:10" x14ac:dyDescent="0.25">
      <c r="A281" s="35" t="s">
        <v>3789</v>
      </c>
      <c r="B281" s="22" t="s">
        <v>5089</v>
      </c>
      <c r="C281" s="22">
        <v>23</v>
      </c>
      <c r="D281" s="22">
        <v>142</v>
      </c>
      <c r="E281" s="22"/>
      <c r="F281" s="22" t="s">
        <v>4581</v>
      </c>
      <c r="G281" s="22" t="s">
        <v>5237</v>
      </c>
      <c r="H281" s="22" t="s">
        <v>5238</v>
      </c>
      <c r="I281" s="22" t="s">
        <v>1431</v>
      </c>
      <c r="J281" s="32" t="s">
        <v>2216</v>
      </c>
    </row>
    <row r="282" spans="1:10" x14ac:dyDescent="0.25">
      <c r="A282" s="36" t="s">
        <v>3790</v>
      </c>
      <c r="B282" t="s">
        <v>608</v>
      </c>
      <c r="C282">
        <v>23</v>
      </c>
      <c r="D282">
        <v>142</v>
      </c>
      <c r="F282" t="s">
        <v>5239</v>
      </c>
      <c r="G282" t="s">
        <v>5240</v>
      </c>
      <c r="H282" t="s">
        <v>5241</v>
      </c>
      <c r="I282" t="s">
        <v>1431</v>
      </c>
      <c r="J282" s="33" t="s">
        <v>2216</v>
      </c>
    </row>
    <row r="283" spans="1:10" x14ac:dyDescent="0.25">
      <c r="A283" s="36" t="s">
        <v>3791</v>
      </c>
      <c r="B283" t="s">
        <v>608</v>
      </c>
      <c r="C283">
        <v>23</v>
      </c>
      <c r="D283">
        <v>142</v>
      </c>
      <c r="F283" t="s">
        <v>204</v>
      </c>
      <c r="G283" t="s">
        <v>5242</v>
      </c>
      <c r="H283" t="s">
        <v>5243</v>
      </c>
      <c r="I283" t="s">
        <v>1431</v>
      </c>
      <c r="J283" s="33" t="s">
        <v>2216</v>
      </c>
    </row>
    <row r="284" spans="1:10" ht="15.75" thickBot="1" x14ac:dyDescent="0.3">
      <c r="A284" s="37" t="s">
        <v>3792</v>
      </c>
      <c r="B284" s="30" t="s">
        <v>608</v>
      </c>
      <c r="C284" s="30">
        <v>23</v>
      </c>
      <c r="D284" s="30">
        <v>142</v>
      </c>
      <c r="E284" s="30"/>
      <c r="F284" s="30" t="s">
        <v>5244</v>
      </c>
      <c r="G284" s="30" t="s">
        <v>5245</v>
      </c>
      <c r="H284" s="30" t="s">
        <v>5246</v>
      </c>
      <c r="I284" s="30" t="s">
        <v>1431</v>
      </c>
      <c r="J284" s="34" t="s">
        <v>2216</v>
      </c>
    </row>
    <row r="285" spans="1:10" x14ac:dyDescent="0.25">
      <c r="A285" s="35" t="s">
        <v>3793</v>
      </c>
      <c r="B285" s="22" t="s">
        <v>608</v>
      </c>
      <c r="C285" s="22">
        <v>24</v>
      </c>
      <c r="D285" s="22">
        <v>148</v>
      </c>
      <c r="E285" s="22"/>
      <c r="F285" s="22" t="s">
        <v>4778</v>
      </c>
      <c r="G285" s="22" t="s">
        <v>5304</v>
      </c>
      <c r="H285" s="22" t="s">
        <v>5305</v>
      </c>
      <c r="I285" s="22" t="s">
        <v>1431</v>
      </c>
      <c r="J285" s="32" t="s">
        <v>2216</v>
      </c>
    </row>
    <row r="286" spans="1:10" x14ac:dyDescent="0.25">
      <c r="A286" s="36" t="s">
        <v>3794</v>
      </c>
      <c r="B286" t="s">
        <v>608</v>
      </c>
      <c r="C286">
        <v>24</v>
      </c>
      <c r="D286">
        <v>148</v>
      </c>
      <c r="F286" t="s">
        <v>192</v>
      </c>
      <c r="G286" t="s">
        <v>5306</v>
      </c>
      <c r="H286" t="s">
        <v>5307</v>
      </c>
      <c r="I286" t="s">
        <v>1431</v>
      </c>
      <c r="J286" s="33" t="s">
        <v>2216</v>
      </c>
    </row>
    <row r="287" spans="1:10" x14ac:dyDescent="0.25">
      <c r="A287" s="36" t="s">
        <v>3795</v>
      </c>
      <c r="B287" t="s">
        <v>608</v>
      </c>
      <c r="C287">
        <v>24</v>
      </c>
      <c r="D287">
        <v>148</v>
      </c>
      <c r="F287" t="s">
        <v>5239</v>
      </c>
      <c r="G287" t="s">
        <v>5308</v>
      </c>
      <c r="H287" t="s">
        <v>5309</v>
      </c>
      <c r="I287" t="s">
        <v>1431</v>
      </c>
      <c r="J287" s="33" t="s">
        <v>2216</v>
      </c>
    </row>
    <row r="288" spans="1:10" x14ac:dyDescent="0.25">
      <c r="A288" s="36" t="s">
        <v>3796</v>
      </c>
      <c r="B288" t="s">
        <v>608</v>
      </c>
      <c r="C288">
        <v>24</v>
      </c>
      <c r="D288">
        <v>148</v>
      </c>
      <c r="F288" t="s">
        <v>5310</v>
      </c>
      <c r="G288" t="s">
        <v>5311</v>
      </c>
      <c r="H288" t="s">
        <v>5312</v>
      </c>
      <c r="I288" t="s">
        <v>1431</v>
      </c>
      <c r="J288" s="33" t="s">
        <v>2216</v>
      </c>
    </row>
    <row r="289" spans="1:10" ht="15.75" thickBot="1" x14ac:dyDescent="0.3">
      <c r="A289" s="37" t="s">
        <v>3797</v>
      </c>
      <c r="B289" s="30" t="s">
        <v>608</v>
      </c>
      <c r="C289" s="30">
        <v>24</v>
      </c>
      <c r="D289" s="30">
        <v>148</v>
      </c>
      <c r="E289" s="30"/>
      <c r="F289" s="30" t="s">
        <v>98</v>
      </c>
      <c r="G289" s="30" t="s">
        <v>5313</v>
      </c>
      <c r="H289" s="30" t="s">
        <v>5314</v>
      </c>
      <c r="I289" s="30" t="s">
        <v>1431</v>
      </c>
      <c r="J289" s="34" t="s">
        <v>2216</v>
      </c>
    </row>
    <row r="290" spans="1:10" x14ac:dyDescent="0.25">
      <c r="A290" s="35" t="s">
        <v>3798</v>
      </c>
      <c r="B290" s="22" t="s">
        <v>608</v>
      </c>
      <c r="C290" s="22">
        <v>24</v>
      </c>
      <c r="D290" s="22">
        <v>149</v>
      </c>
      <c r="E290" s="22"/>
      <c r="F290" s="22" t="s">
        <v>5352</v>
      </c>
      <c r="G290" s="22" t="s">
        <v>5353</v>
      </c>
      <c r="H290" s="22" t="s">
        <v>5354</v>
      </c>
      <c r="I290" s="22" t="s">
        <v>1431</v>
      </c>
      <c r="J290" s="32" t="s">
        <v>2216</v>
      </c>
    </row>
    <row r="291" spans="1:10" x14ac:dyDescent="0.25">
      <c r="A291" s="36" t="s">
        <v>3799</v>
      </c>
      <c r="B291" t="s">
        <v>608</v>
      </c>
      <c r="C291">
        <v>24</v>
      </c>
      <c r="D291">
        <v>149</v>
      </c>
      <c r="F291" t="s">
        <v>5355</v>
      </c>
      <c r="G291" t="s">
        <v>5356</v>
      </c>
      <c r="H291" t="s">
        <v>5357</v>
      </c>
      <c r="I291" t="s">
        <v>1431</v>
      </c>
      <c r="J291" s="33" t="s">
        <v>2216</v>
      </c>
    </row>
    <row r="292" spans="1:10" x14ac:dyDescent="0.25">
      <c r="A292" s="36" t="s">
        <v>3800</v>
      </c>
      <c r="B292" t="s">
        <v>608</v>
      </c>
      <c r="C292">
        <v>24</v>
      </c>
      <c r="D292">
        <v>149</v>
      </c>
      <c r="F292" t="s">
        <v>1510</v>
      </c>
      <c r="G292" t="s">
        <v>5358</v>
      </c>
      <c r="H292" t="s">
        <v>5359</v>
      </c>
      <c r="I292" t="s">
        <v>1431</v>
      </c>
      <c r="J292" s="33" t="s">
        <v>2216</v>
      </c>
    </row>
    <row r="293" spans="1:10" ht="15.75" thickBot="1" x14ac:dyDescent="0.3">
      <c r="A293" s="37" t="s">
        <v>3801</v>
      </c>
      <c r="B293" s="30" t="s">
        <v>608</v>
      </c>
      <c r="C293" s="30">
        <v>24</v>
      </c>
      <c r="D293" s="30">
        <v>149</v>
      </c>
      <c r="E293" s="30"/>
      <c r="F293" s="30" t="s">
        <v>5360</v>
      </c>
      <c r="G293" s="30" t="s">
        <v>5361</v>
      </c>
      <c r="H293" s="30" t="s">
        <v>5362</v>
      </c>
      <c r="I293" s="30" t="s">
        <v>1431</v>
      </c>
      <c r="J293" s="34" t="s">
        <v>2216</v>
      </c>
    </row>
    <row r="294" spans="1:10" x14ac:dyDescent="0.25">
      <c r="A294" s="35" t="s">
        <v>3802</v>
      </c>
      <c r="B294" s="22" t="s">
        <v>608</v>
      </c>
      <c r="C294" s="22">
        <v>25</v>
      </c>
      <c r="D294" s="22">
        <v>153</v>
      </c>
      <c r="E294" s="22"/>
      <c r="F294" s="22" t="s">
        <v>83</v>
      </c>
      <c r="G294" s="22" t="s">
        <v>5423</v>
      </c>
      <c r="H294" s="22" t="s">
        <v>5424</v>
      </c>
      <c r="I294" s="22" t="s">
        <v>1431</v>
      </c>
      <c r="J294" s="32" t="s">
        <v>2216</v>
      </c>
    </row>
    <row r="295" spans="1:10" x14ac:dyDescent="0.25">
      <c r="A295" s="36" t="s">
        <v>3803</v>
      </c>
      <c r="B295" t="s">
        <v>608</v>
      </c>
      <c r="C295">
        <v>25</v>
      </c>
      <c r="D295">
        <v>153</v>
      </c>
      <c r="F295" t="s">
        <v>106</v>
      </c>
      <c r="G295" t="s">
        <v>5425</v>
      </c>
      <c r="H295" t="s">
        <v>5426</v>
      </c>
      <c r="I295" t="s">
        <v>1431</v>
      </c>
      <c r="J295" s="33" t="s">
        <v>2216</v>
      </c>
    </row>
    <row r="296" spans="1:10" x14ac:dyDescent="0.25">
      <c r="A296" s="36" t="s">
        <v>3804</v>
      </c>
      <c r="B296" t="s">
        <v>608</v>
      </c>
      <c r="C296">
        <v>25</v>
      </c>
      <c r="D296">
        <v>153</v>
      </c>
      <c r="F296" t="s">
        <v>53</v>
      </c>
      <c r="G296" t="s">
        <v>5427</v>
      </c>
      <c r="H296" t="s">
        <v>5428</v>
      </c>
      <c r="I296" t="s">
        <v>1431</v>
      </c>
      <c r="J296" s="33" t="s">
        <v>2216</v>
      </c>
    </row>
    <row r="297" spans="1:10" x14ac:dyDescent="0.25">
      <c r="A297" s="36" t="s">
        <v>3805</v>
      </c>
      <c r="B297" t="s">
        <v>608</v>
      </c>
      <c r="C297">
        <v>25</v>
      </c>
      <c r="D297">
        <v>153</v>
      </c>
      <c r="F297" t="s">
        <v>204</v>
      </c>
      <c r="G297" t="s">
        <v>5429</v>
      </c>
      <c r="H297" t="s">
        <v>5430</v>
      </c>
      <c r="I297" t="s">
        <v>1431</v>
      </c>
      <c r="J297" s="33" t="s">
        <v>2216</v>
      </c>
    </row>
    <row r="298" spans="1:10" x14ac:dyDescent="0.25">
      <c r="A298" s="36" t="s">
        <v>3806</v>
      </c>
      <c r="B298" t="s">
        <v>608</v>
      </c>
      <c r="C298">
        <v>25</v>
      </c>
      <c r="D298">
        <v>153</v>
      </c>
      <c r="F298" t="s">
        <v>210</v>
      </c>
      <c r="G298" t="s">
        <v>5431</v>
      </c>
      <c r="H298" t="s">
        <v>5432</v>
      </c>
      <c r="I298" t="s">
        <v>1431</v>
      </c>
      <c r="J298" s="33" t="s">
        <v>2216</v>
      </c>
    </row>
    <row r="299" spans="1:10" ht="15.75" thickBot="1" x14ac:dyDescent="0.3">
      <c r="A299" s="37" t="s">
        <v>5090</v>
      </c>
      <c r="B299" s="30" t="s">
        <v>608</v>
      </c>
      <c r="C299" s="30">
        <v>25</v>
      </c>
      <c r="D299" s="30">
        <v>153</v>
      </c>
      <c r="E299" s="30"/>
      <c r="F299" s="30" t="s">
        <v>5433</v>
      </c>
      <c r="G299" s="30" t="s">
        <v>5434</v>
      </c>
      <c r="H299" s="30" t="s">
        <v>5435</v>
      </c>
      <c r="I299" s="30" t="s">
        <v>1431</v>
      </c>
      <c r="J299" s="34" t="s">
        <v>2216</v>
      </c>
    </row>
    <row r="300" spans="1:10" x14ac:dyDescent="0.25">
      <c r="A300" s="35" t="s">
        <v>5091</v>
      </c>
      <c r="B300" s="22" t="s">
        <v>608</v>
      </c>
      <c r="C300" s="22">
        <v>25</v>
      </c>
      <c r="D300" s="22">
        <v>154</v>
      </c>
      <c r="E300" s="22"/>
      <c r="F300" s="22" t="s">
        <v>5526</v>
      </c>
      <c r="G300" s="22" t="s">
        <v>5527</v>
      </c>
      <c r="H300" s="22" t="s">
        <v>5528</v>
      </c>
      <c r="I300" s="22" t="s">
        <v>1431</v>
      </c>
      <c r="J300" s="32" t="s">
        <v>2216</v>
      </c>
    </row>
    <row r="301" spans="1:10" x14ac:dyDescent="0.25">
      <c r="A301" s="36" t="s">
        <v>5092</v>
      </c>
      <c r="B301" t="s">
        <v>608</v>
      </c>
      <c r="C301">
        <v>25</v>
      </c>
      <c r="D301">
        <v>154</v>
      </c>
      <c r="F301" t="s">
        <v>125</v>
      </c>
      <c r="G301" t="s">
        <v>5529</v>
      </c>
      <c r="H301" t="s">
        <v>5530</v>
      </c>
      <c r="I301" t="s">
        <v>1431</v>
      </c>
      <c r="J301" s="33" t="s">
        <v>2216</v>
      </c>
    </row>
    <row r="302" spans="1:10" x14ac:dyDescent="0.25">
      <c r="A302" s="36" t="s">
        <v>5093</v>
      </c>
      <c r="B302" t="s">
        <v>608</v>
      </c>
      <c r="C302">
        <v>25</v>
      </c>
      <c r="D302">
        <v>154</v>
      </c>
      <c r="F302" t="s">
        <v>5531</v>
      </c>
      <c r="G302" t="s">
        <v>5532</v>
      </c>
      <c r="H302" t="s">
        <v>5533</v>
      </c>
      <c r="I302" t="s">
        <v>1431</v>
      </c>
      <c r="J302" s="33" t="s">
        <v>2216</v>
      </c>
    </row>
    <row r="303" spans="1:10" x14ac:dyDescent="0.25">
      <c r="A303" s="36" t="s">
        <v>5094</v>
      </c>
      <c r="B303" t="s">
        <v>608</v>
      </c>
      <c r="C303">
        <v>25</v>
      </c>
      <c r="D303">
        <v>154</v>
      </c>
      <c r="F303" t="s">
        <v>4702</v>
      </c>
      <c r="G303" t="s">
        <v>5534</v>
      </c>
      <c r="H303" t="s">
        <v>5535</v>
      </c>
      <c r="I303" t="s">
        <v>1431</v>
      </c>
      <c r="J303" s="33" t="s">
        <v>2216</v>
      </c>
    </row>
    <row r="304" spans="1:10" ht="15.75" thickBot="1" x14ac:dyDescent="0.3">
      <c r="A304" s="37" t="s">
        <v>5095</v>
      </c>
      <c r="B304" s="30" t="s">
        <v>608</v>
      </c>
      <c r="C304" s="30">
        <v>25</v>
      </c>
      <c r="D304" s="30">
        <v>154</v>
      </c>
      <c r="E304" s="30"/>
      <c r="F304" s="30" t="s">
        <v>5536</v>
      </c>
      <c r="G304" s="30" t="s">
        <v>5537</v>
      </c>
      <c r="H304" s="30" t="s">
        <v>5538</v>
      </c>
      <c r="I304" s="30" t="s">
        <v>1431</v>
      </c>
      <c r="J304" s="34" t="s">
        <v>2216</v>
      </c>
    </row>
    <row r="305" spans="1:10" x14ac:dyDescent="0.25">
      <c r="A305" s="35" t="s">
        <v>5096</v>
      </c>
      <c r="B305" s="22" t="s">
        <v>608</v>
      </c>
      <c r="C305" s="22">
        <v>27</v>
      </c>
      <c r="D305" s="22">
        <v>162</v>
      </c>
      <c r="E305" s="22"/>
      <c r="F305" s="22" t="s">
        <v>1513</v>
      </c>
      <c r="G305" s="22" t="s">
        <v>5539</v>
      </c>
      <c r="H305" s="22" t="s">
        <v>5540</v>
      </c>
      <c r="I305" s="22" t="s">
        <v>1431</v>
      </c>
      <c r="J305" s="32" t="s">
        <v>2216</v>
      </c>
    </row>
    <row r="306" spans="1:10" x14ac:dyDescent="0.25">
      <c r="A306" s="36" t="s">
        <v>5097</v>
      </c>
      <c r="B306" t="s">
        <v>608</v>
      </c>
      <c r="C306">
        <v>27</v>
      </c>
      <c r="D306">
        <v>162</v>
      </c>
      <c r="F306" t="s">
        <v>5541</v>
      </c>
      <c r="G306" t="s">
        <v>5542</v>
      </c>
      <c r="H306" t="s">
        <v>5543</v>
      </c>
      <c r="I306" t="s">
        <v>1431</v>
      </c>
      <c r="J306" s="33" t="s">
        <v>2216</v>
      </c>
    </row>
    <row r="307" spans="1:10" x14ac:dyDescent="0.25">
      <c r="A307" s="36" t="s">
        <v>5098</v>
      </c>
      <c r="B307" t="s">
        <v>608</v>
      </c>
      <c r="C307">
        <v>27</v>
      </c>
      <c r="D307">
        <v>162</v>
      </c>
      <c r="F307" t="s">
        <v>5544</v>
      </c>
      <c r="G307" t="s">
        <v>5545</v>
      </c>
      <c r="H307" t="s">
        <v>5546</v>
      </c>
      <c r="I307" t="s">
        <v>1431</v>
      </c>
      <c r="J307" s="33" t="s">
        <v>2216</v>
      </c>
    </row>
    <row r="308" spans="1:10" x14ac:dyDescent="0.25">
      <c r="A308" s="36" t="s">
        <v>5099</v>
      </c>
      <c r="B308" t="s">
        <v>608</v>
      </c>
      <c r="C308">
        <v>27</v>
      </c>
      <c r="D308">
        <v>162</v>
      </c>
      <c r="F308" t="s">
        <v>5547</v>
      </c>
      <c r="G308" t="s">
        <v>5548</v>
      </c>
      <c r="H308" t="s">
        <v>5549</v>
      </c>
      <c r="I308" t="s">
        <v>1431</v>
      </c>
      <c r="J308" s="33" t="s">
        <v>2216</v>
      </c>
    </row>
    <row r="309" spans="1:10" ht="15.75" thickBot="1" x14ac:dyDescent="0.3">
      <c r="A309" s="37" t="s">
        <v>5100</v>
      </c>
      <c r="B309" s="30" t="s">
        <v>608</v>
      </c>
      <c r="C309" s="30">
        <v>27</v>
      </c>
      <c r="D309" s="30">
        <v>162</v>
      </c>
      <c r="E309" s="30"/>
      <c r="F309" s="30" t="s">
        <v>154</v>
      </c>
      <c r="G309" s="30" t="s">
        <v>5550</v>
      </c>
      <c r="H309" s="30" t="s">
        <v>5551</v>
      </c>
      <c r="I309" s="30" t="s">
        <v>1431</v>
      </c>
      <c r="J309" s="34" t="s">
        <v>2216</v>
      </c>
    </row>
    <row r="310" spans="1:10" x14ac:dyDescent="0.25">
      <c r="A310" s="35" t="s">
        <v>5101</v>
      </c>
      <c r="B310" s="22" t="s">
        <v>608</v>
      </c>
      <c r="C310" s="22">
        <v>27</v>
      </c>
      <c r="D310" s="22">
        <v>163</v>
      </c>
      <c r="E310" s="22"/>
      <c r="F310" s="22" t="s">
        <v>5589</v>
      </c>
      <c r="G310" s="22" t="s">
        <v>5590</v>
      </c>
      <c r="H310" s="22" t="s">
        <v>5591</v>
      </c>
      <c r="I310" s="22" t="s">
        <v>1431</v>
      </c>
      <c r="J310" s="32" t="s">
        <v>2216</v>
      </c>
    </row>
    <row r="311" spans="1:10" x14ac:dyDescent="0.25">
      <c r="A311" s="36" t="s">
        <v>5102</v>
      </c>
      <c r="B311" t="s">
        <v>608</v>
      </c>
      <c r="C311">
        <v>27</v>
      </c>
      <c r="D311">
        <v>163</v>
      </c>
      <c r="F311" t="s">
        <v>1513</v>
      </c>
      <c r="G311" t="s">
        <v>5592</v>
      </c>
      <c r="H311" t="s">
        <v>5593</v>
      </c>
      <c r="I311" t="s">
        <v>1431</v>
      </c>
      <c r="J311" s="33" t="s">
        <v>2216</v>
      </c>
    </row>
    <row r="312" spans="1:10" x14ac:dyDescent="0.25">
      <c r="A312" s="36" t="s">
        <v>5103</v>
      </c>
      <c r="B312" t="s">
        <v>608</v>
      </c>
      <c r="C312">
        <v>27</v>
      </c>
      <c r="D312">
        <v>163</v>
      </c>
      <c r="F312" t="s">
        <v>221</v>
      </c>
      <c r="G312" t="s">
        <v>5594</v>
      </c>
      <c r="H312" t="s">
        <v>5595</v>
      </c>
      <c r="I312" t="s">
        <v>1431</v>
      </c>
      <c r="J312" s="33" t="s">
        <v>2216</v>
      </c>
    </row>
    <row r="313" spans="1:10" x14ac:dyDescent="0.25">
      <c r="A313" s="36" t="s">
        <v>5104</v>
      </c>
      <c r="B313" t="s">
        <v>608</v>
      </c>
      <c r="C313">
        <v>27</v>
      </c>
      <c r="D313">
        <v>163</v>
      </c>
      <c r="F313" t="s">
        <v>5596</v>
      </c>
      <c r="G313" t="s">
        <v>5597</v>
      </c>
      <c r="H313" t="s">
        <v>5598</v>
      </c>
      <c r="I313" t="s">
        <v>1431</v>
      </c>
      <c r="J313" s="33" t="s">
        <v>2216</v>
      </c>
    </row>
    <row r="314" spans="1:10" x14ac:dyDescent="0.25">
      <c r="A314" s="36" t="s">
        <v>5105</v>
      </c>
      <c r="B314" t="s">
        <v>608</v>
      </c>
      <c r="C314">
        <v>27</v>
      </c>
      <c r="D314">
        <v>163</v>
      </c>
      <c r="F314" t="s">
        <v>4581</v>
      </c>
      <c r="G314" t="s">
        <v>5599</v>
      </c>
      <c r="H314" t="s">
        <v>5600</v>
      </c>
      <c r="I314" t="s">
        <v>1431</v>
      </c>
      <c r="J314" s="33" t="s">
        <v>2216</v>
      </c>
    </row>
    <row r="315" spans="1:10" ht="15.75" thickBot="1" x14ac:dyDescent="0.3">
      <c r="A315" s="37" t="s">
        <v>5106</v>
      </c>
      <c r="B315" s="30" t="s">
        <v>608</v>
      </c>
      <c r="C315" s="30">
        <v>27</v>
      </c>
      <c r="D315" s="30">
        <v>163</v>
      </c>
      <c r="E315" s="30"/>
      <c r="F315" s="30" t="s">
        <v>5601</v>
      </c>
      <c r="G315" s="30" t="s">
        <v>5602</v>
      </c>
      <c r="H315" s="30" t="s">
        <v>5603</v>
      </c>
      <c r="I315" s="30" t="s">
        <v>1431</v>
      </c>
      <c r="J315" s="34" t="s">
        <v>2216</v>
      </c>
    </row>
    <row r="316" spans="1:10" x14ac:dyDescent="0.25">
      <c r="A316" s="35" t="s">
        <v>5107</v>
      </c>
      <c r="B316" s="22" t="s">
        <v>608</v>
      </c>
      <c r="C316" s="22">
        <v>31</v>
      </c>
      <c r="D316" s="22">
        <v>184</v>
      </c>
      <c r="E316" s="22"/>
      <c r="F316" s="22" t="s">
        <v>154</v>
      </c>
      <c r="G316" s="22" t="s">
        <v>5656</v>
      </c>
      <c r="H316" s="22" t="s">
        <v>5657</v>
      </c>
      <c r="I316" s="22" t="s">
        <v>1431</v>
      </c>
      <c r="J316" s="32" t="s">
        <v>2216</v>
      </c>
    </row>
    <row r="317" spans="1:10" x14ac:dyDescent="0.25">
      <c r="A317" s="36" t="s">
        <v>5108</v>
      </c>
      <c r="B317" t="s">
        <v>608</v>
      </c>
      <c r="C317">
        <v>31</v>
      </c>
      <c r="D317">
        <v>184</v>
      </c>
      <c r="F317" t="s">
        <v>5239</v>
      </c>
      <c r="G317" t="s">
        <v>5658</v>
      </c>
      <c r="H317" t="s">
        <v>5659</v>
      </c>
      <c r="I317" t="s">
        <v>1431</v>
      </c>
      <c r="J317" s="33" t="s">
        <v>2216</v>
      </c>
    </row>
    <row r="318" spans="1:10" x14ac:dyDescent="0.25">
      <c r="A318" s="36" t="s">
        <v>5109</v>
      </c>
      <c r="B318" t="s">
        <v>608</v>
      </c>
      <c r="C318">
        <v>31</v>
      </c>
      <c r="D318">
        <v>184</v>
      </c>
      <c r="F318" t="s">
        <v>5660</v>
      </c>
      <c r="G318" t="s">
        <v>5661</v>
      </c>
      <c r="H318" t="s">
        <v>5662</v>
      </c>
      <c r="I318" t="s">
        <v>1431</v>
      </c>
      <c r="J318" s="33" t="s">
        <v>2216</v>
      </c>
    </row>
    <row r="319" spans="1:10" x14ac:dyDescent="0.25">
      <c r="A319" s="36" t="s">
        <v>5110</v>
      </c>
      <c r="B319" t="s">
        <v>608</v>
      </c>
      <c r="C319">
        <v>31</v>
      </c>
      <c r="D319">
        <v>184</v>
      </c>
      <c r="F319" t="s">
        <v>192</v>
      </c>
      <c r="G319" t="s">
        <v>5663</v>
      </c>
      <c r="H319" t="s">
        <v>5664</v>
      </c>
      <c r="I319" t="s">
        <v>1431</v>
      </c>
      <c r="J319" s="33" t="s">
        <v>2216</v>
      </c>
    </row>
    <row r="320" spans="1:10" ht="15.75" thickBot="1" x14ac:dyDescent="0.3">
      <c r="A320" s="37" t="s">
        <v>5111</v>
      </c>
      <c r="B320" s="30" t="s">
        <v>608</v>
      </c>
      <c r="C320" s="30">
        <v>31</v>
      </c>
      <c r="D320" s="30">
        <v>184</v>
      </c>
      <c r="E320" s="30"/>
      <c r="F320" s="30" t="s">
        <v>210</v>
      </c>
      <c r="G320" s="30" t="s">
        <v>5665</v>
      </c>
      <c r="H320" s="30" t="s">
        <v>5666</v>
      </c>
      <c r="I320" s="30" t="s">
        <v>1431</v>
      </c>
      <c r="J320" s="34" t="s">
        <v>2216</v>
      </c>
    </row>
    <row r="321" spans="1:10" x14ac:dyDescent="0.25">
      <c r="A321" s="35" t="s">
        <v>5112</v>
      </c>
      <c r="B321" s="22" t="s">
        <v>608</v>
      </c>
      <c r="C321" s="22">
        <v>32</v>
      </c>
      <c r="D321" s="22">
        <v>188</v>
      </c>
      <c r="E321" s="22"/>
      <c r="F321" s="22" t="s">
        <v>5730</v>
      </c>
      <c r="G321" s="22" t="s">
        <v>5731</v>
      </c>
      <c r="H321" s="22" t="s">
        <v>5732</v>
      </c>
      <c r="I321" s="22" t="s">
        <v>1431</v>
      </c>
      <c r="J321" s="32" t="s">
        <v>2216</v>
      </c>
    </row>
    <row r="322" spans="1:10" x14ac:dyDescent="0.25">
      <c r="A322" s="36" t="s">
        <v>5113</v>
      </c>
      <c r="B322" t="s">
        <v>608</v>
      </c>
      <c r="C322">
        <v>32</v>
      </c>
      <c r="D322">
        <v>188</v>
      </c>
      <c r="F322" t="s">
        <v>5526</v>
      </c>
      <c r="G322" t="s">
        <v>5733</v>
      </c>
      <c r="H322" t="s">
        <v>5734</v>
      </c>
      <c r="I322" t="s">
        <v>1431</v>
      </c>
      <c r="J322" s="33" t="s">
        <v>2216</v>
      </c>
    </row>
    <row r="323" spans="1:10" x14ac:dyDescent="0.25">
      <c r="A323" s="36" t="s">
        <v>5114</v>
      </c>
      <c r="B323" t="s">
        <v>608</v>
      </c>
      <c r="C323">
        <v>32</v>
      </c>
      <c r="D323">
        <v>188</v>
      </c>
      <c r="F323" t="s">
        <v>5735</v>
      </c>
      <c r="G323" t="s">
        <v>5736</v>
      </c>
      <c r="H323" t="s">
        <v>5737</v>
      </c>
      <c r="I323" t="s">
        <v>1431</v>
      </c>
      <c r="J323" s="33" t="s">
        <v>2216</v>
      </c>
    </row>
    <row r="324" spans="1:10" x14ac:dyDescent="0.25">
      <c r="A324" s="36" t="s">
        <v>5115</v>
      </c>
      <c r="B324" t="s">
        <v>608</v>
      </c>
      <c r="C324">
        <v>32</v>
      </c>
      <c r="D324">
        <v>188</v>
      </c>
      <c r="F324" t="s">
        <v>5738</v>
      </c>
      <c r="G324" t="s">
        <v>5739</v>
      </c>
      <c r="H324" t="s">
        <v>5740</v>
      </c>
      <c r="I324" t="s">
        <v>1431</v>
      </c>
      <c r="J324" s="33" t="s">
        <v>2216</v>
      </c>
    </row>
    <row r="325" spans="1:10" x14ac:dyDescent="0.25">
      <c r="A325" s="36" t="s">
        <v>5116</v>
      </c>
      <c r="B325" t="s">
        <v>608</v>
      </c>
      <c r="C325">
        <v>32</v>
      </c>
      <c r="D325">
        <v>188</v>
      </c>
      <c r="F325" t="s">
        <v>140</v>
      </c>
      <c r="G325" t="s">
        <v>5741</v>
      </c>
      <c r="H325" t="s">
        <v>5742</v>
      </c>
      <c r="I325" t="s">
        <v>1431</v>
      </c>
      <c r="J325" s="33" t="s">
        <v>2216</v>
      </c>
    </row>
    <row r="326" spans="1:10" ht="15.75" thickBot="1" x14ac:dyDescent="0.3">
      <c r="A326" s="37" t="s">
        <v>5117</v>
      </c>
      <c r="B326" s="30" t="s">
        <v>608</v>
      </c>
      <c r="C326" s="30">
        <v>32</v>
      </c>
      <c r="D326" s="30">
        <v>188</v>
      </c>
      <c r="E326" s="30"/>
      <c r="F326" s="30" t="s">
        <v>5743</v>
      </c>
      <c r="G326" s="30" t="s">
        <v>5744</v>
      </c>
      <c r="H326" s="30" t="s">
        <v>5745</v>
      </c>
      <c r="I326" s="30" t="s">
        <v>1431</v>
      </c>
      <c r="J326" s="34" t="s">
        <v>2216</v>
      </c>
    </row>
    <row r="327" spans="1:10" x14ac:dyDescent="0.25">
      <c r="A327" s="35" t="s">
        <v>5118</v>
      </c>
      <c r="B327" s="22" t="s">
        <v>5839</v>
      </c>
      <c r="C327" s="22">
        <v>32</v>
      </c>
      <c r="D327" s="22">
        <v>189</v>
      </c>
      <c r="E327" s="22"/>
      <c r="F327" s="22" t="s">
        <v>2979</v>
      </c>
      <c r="G327" s="22" t="s">
        <v>5919</v>
      </c>
      <c r="H327" s="22" t="s">
        <v>5920</v>
      </c>
      <c r="I327" s="22" t="s">
        <v>1431</v>
      </c>
      <c r="J327" s="32" t="s">
        <v>2216</v>
      </c>
    </row>
    <row r="328" spans="1:10" x14ac:dyDescent="0.25">
      <c r="A328" s="36" t="s">
        <v>5119</v>
      </c>
      <c r="B328" s="53" t="s">
        <v>5839</v>
      </c>
      <c r="C328" s="53">
        <v>32</v>
      </c>
      <c r="D328" s="53">
        <v>189</v>
      </c>
      <c r="E328" s="53"/>
      <c r="F328" s="53" t="s">
        <v>132</v>
      </c>
      <c r="G328" s="53" t="s">
        <v>5921</v>
      </c>
      <c r="H328" s="53" t="s">
        <v>5922</v>
      </c>
      <c r="I328" s="53" t="s">
        <v>1431</v>
      </c>
      <c r="J328" s="33" t="s">
        <v>2216</v>
      </c>
    </row>
    <row r="329" spans="1:10" x14ac:dyDescent="0.25">
      <c r="A329" s="36" t="s">
        <v>5120</v>
      </c>
      <c r="B329" s="53" t="s">
        <v>5839</v>
      </c>
      <c r="C329" s="53">
        <v>32</v>
      </c>
      <c r="D329" s="53">
        <v>189</v>
      </c>
      <c r="E329" s="53"/>
      <c r="F329" s="53" t="s">
        <v>204</v>
      </c>
      <c r="G329" s="53" t="s">
        <v>5923</v>
      </c>
      <c r="H329" s="53" t="s">
        <v>5924</v>
      </c>
      <c r="I329" s="53" t="s">
        <v>1431</v>
      </c>
      <c r="J329" s="33" t="s">
        <v>2216</v>
      </c>
    </row>
    <row r="330" spans="1:10" x14ac:dyDescent="0.25">
      <c r="A330" s="36" t="s">
        <v>5121</v>
      </c>
      <c r="B330" s="53" t="s">
        <v>5839</v>
      </c>
      <c r="C330" s="53">
        <v>32</v>
      </c>
      <c r="D330" s="53">
        <v>189</v>
      </c>
      <c r="E330" s="53"/>
      <c r="F330" s="53" t="s">
        <v>210</v>
      </c>
      <c r="G330" s="53" t="s">
        <v>5925</v>
      </c>
      <c r="H330" s="53" t="s">
        <v>5926</v>
      </c>
      <c r="I330" s="53" t="s">
        <v>1431</v>
      </c>
      <c r="J330" s="33" t="s">
        <v>2216</v>
      </c>
    </row>
    <row r="331" spans="1:10" x14ac:dyDescent="0.25">
      <c r="A331" s="36" t="s">
        <v>5122</v>
      </c>
      <c r="B331" s="53" t="s">
        <v>5839</v>
      </c>
      <c r="C331" s="53">
        <v>32</v>
      </c>
      <c r="D331" s="53">
        <v>189</v>
      </c>
      <c r="E331" s="53"/>
      <c r="F331" s="53" t="s">
        <v>221</v>
      </c>
      <c r="G331" s="53" t="s">
        <v>5927</v>
      </c>
      <c r="H331" s="53" t="s">
        <v>5928</v>
      </c>
      <c r="I331" s="53" t="s">
        <v>1431</v>
      </c>
      <c r="J331" s="33" t="s">
        <v>2216</v>
      </c>
    </row>
    <row r="332" spans="1:10" ht="15.75" thickBot="1" x14ac:dyDescent="0.3">
      <c r="A332" s="37" t="s">
        <v>5123</v>
      </c>
      <c r="B332" s="30" t="s">
        <v>5839</v>
      </c>
      <c r="C332" s="30">
        <v>32</v>
      </c>
      <c r="D332" s="30">
        <v>189</v>
      </c>
      <c r="E332" s="30"/>
      <c r="F332" s="30" t="s">
        <v>5929</v>
      </c>
      <c r="G332" s="30" t="s">
        <v>5930</v>
      </c>
      <c r="H332" s="30" t="s">
        <v>5931</v>
      </c>
      <c r="I332" s="30" t="s">
        <v>1431</v>
      </c>
      <c r="J332" s="34" t="s">
        <v>2216</v>
      </c>
    </row>
    <row r="333" spans="1:10" x14ac:dyDescent="0.25">
      <c r="A333" s="35" t="s">
        <v>5124</v>
      </c>
      <c r="B333" s="22" t="s">
        <v>5839</v>
      </c>
      <c r="C333" s="22">
        <v>32</v>
      </c>
      <c r="D333" s="22">
        <v>190</v>
      </c>
      <c r="E333" s="22"/>
      <c r="F333" s="22" t="s">
        <v>2979</v>
      </c>
      <c r="G333" s="22" t="s">
        <v>5967</v>
      </c>
      <c r="H333" s="22" t="s">
        <v>5968</v>
      </c>
      <c r="I333" s="22" t="s">
        <v>1431</v>
      </c>
      <c r="J333" s="32" t="s">
        <v>2216</v>
      </c>
    </row>
    <row r="334" spans="1:10" x14ac:dyDescent="0.25">
      <c r="A334" s="36" t="s">
        <v>5125</v>
      </c>
      <c r="B334" s="53" t="s">
        <v>5839</v>
      </c>
      <c r="C334" s="53">
        <v>32</v>
      </c>
      <c r="D334" s="53">
        <v>190</v>
      </c>
      <c r="E334" s="53"/>
      <c r="F334" s="53" t="s">
        <v>192</v>
      </c>
      <c r="G334" s="53" t="s">
        <v>5969</v>
      </c>
      <c r="H334" s="53" t="s">
        <v>5970</v>
      </c>
      <c r="I334" s="53" t="s">
        <v>1431</v>
      </c>
      <c r="J334" s="33" t="s">
        <v>2216</v>
      </c>
    </row>
    <row r="335" spans="1:10" x14ac:dyDescent="0.25">
      <c r="A335" s="36" t="s">
        <v>5126</v>
      </c>
      <c r="B335" s="53" t="s">
        <v>5839</v>
      </c>
      <c r="C335" s="53">
        <v>32</v>
      </c>
      <c r="D335" s="53">
        <v>190</v>
      </c>
      <c r="E335" s="53"/>
      <c r="F335" s="53" t="s">
        <v>147</v>
      </c>
      <c r="G335" s="53" t="s">
        <v>5971</v>
      </c>
      <c r="H335" s="53" t="s">
        <v>5972</v>
      </c>
      <c r="I335" s="53" t="s">
        <v>1431</v>
      </c>
      <c r="J335" s="33" t="s">
        <v>2216</v>
      </c>
    </row>
    <row r="336" spans="1:10" x14ac:dyDescent="0.25">
      <c r="A336" s="36" t="s">
        <v>5127</v>
      </c>
      <c r="B336" s="53" t="s">
        <v>5839</v>
      </c>
      <c r="C336" s="53">
        <v>32</v>
      </c>
      <c r="D336" s="53">
        <v>190</v>
      </c>
      <c r="E336" s="53"/>
      <c r="F336" s="53" t="s">
        <v>106</v>
      </c>
      <c r="G336" s="53" t="s">
        <v>5973</v>
      </c>
      <c r="H336" s="53" t="s">
        <v>5974</v>
      </c>
      <c r="I336" s="53" t="s">
        <v>1431</v>
      </c>
      <c r="J336" s="33" t="s">
        <v>2216</v>
      </c>
    </row>
    <row r="337" spans="1:10" x14ac:dyDescent="0.25">
      <c r="A337" s="36" t="s">
        <v>5128</v>
      </c>
      <c r="B337" s="53" t="s">
        <v>5839</v>
      </c>
      <c r="C337" s="53">
        <v>32</v>
      </c>
      <c r="D337" s="53">
        <v>190</v>
      </c>
      <c r="E337" s="53"/>
      <c r="F337" s="53" t="s">
        <v>3113</v>
      </c>
      <c r="G337" s="53" t="s">
        <v>5975</v>
      </c>
      <c r="H337" s="53" t="s">
        <v>5976</v>
      </c>
      <c r="I337" s="53" t="s">
        <v>1431</v>
      </c>
      <c r="J337" s="33" t="s">
        <v>2216</v>
      </c>
    </row>
    <row r="338" spans="1:10" ht="15.75" thickBot="1" x14ac:dyDescent="0.3">
      <c r="A338" s="37" t="s">
        <v>5129</v>
      </c>
      <c r="B338" s="30" t="s">
        <v>5839</v>
      </c>
      <c r="C338" s="30">
        <v>32</v>
      </c>
      <c r="D338" s="30">
        <v>190</v>
      </c>
      <c r="E338" s="30"/>
      <c r="F338" s="30" t="s">
        <v>174</v>
      </c>
      <c r="G338" s="30" t="s">
        <v>5977</v>
      </c>
      <c r="H338" s="30" t="s">
        <v>5978</v>
      </c>
      <c r="I338" s="30" t="s">
        <v>1431</v>
      </c>
      <c r="J338" s="34" t="s">
        <v>2216</v>
      </c>
    </row>
    <row r="339" spans="1:10" x14ac:dyDescent="0.25">
      <c r="A339" s="35" t="s">
        <v>5130</v>
      </c>
      <c r="B339" s="22" t="s">
        <v>5839</v>
      </c>
      <c r="C339" s="22">
        <v>32</v>
      </c>
      <c r="D339" s="22">
        <v>194</v>
      </c>
      <c r="E339" s="22"/>
      <c r="F339" s="22" t="s">
        <v>6048</v>
      </c>
      <c r="G339" s="22" t="s">
        <v>6049</v>
      </c>
      <c r="H339" s="22" t="s">
        <v>6050</v>
      </c>
      <c r="I339" s="22" t="s">
        <v>1431</v>
      </c>
      <c r="J339" s="32" t="s">
        <v>2216</v>
      </c>
    </row>
    <row r="340" spans="1:10" x14ac:dyDescent="0.25">
      <c r="A340" s="36" t="s">
        <v>5131</v>
      </c>
      <c r="B340" s="53" t="s">
        <v>5839</v>
      </c>
      <c r="C340" s="53">
        <v>32</v>
      </c>
      <c r="D340" s="53">
        <v>194</v>
      </c>
      <c r="E340" s="53"/>
      <c r="F340" s="53" t="s">
        <v>4318</v>
      </c>
      <c r="G340" s="53" t="s">
        <v>6051</v>
      </c>
      <c r="H340" s="53" t="s">
        <v>6052</v>
      </c>
      <c r="I340" s="53" t="s">
        <v>1431</v>
      </c>
      <c r="J340" s="33" t="s">
        <v>2216</v>
      </c>
    </row>
    <row r="341" spans="1:10" x14ac:dyDescent="0.25">
      <c r="A341" s="36" t="s">
        <v>5132</v>
      </c>
      <c r="B341" s="53" t="s">
        <v>5839</v>
      </c>
      <c r="C341" s="53">
        <v>32</v>
      </c>
      <c r="D341" s="53">
        <v>194</v>
      </c>
      <c r="E341" s="53"/>
      <c r="F341" s="53" t="s">
        <v>4581</v>
      </c>
      <c r="G341" s="53" t="s">
        <v>6053</v>
      </c>
      <c r="H341" s="53" t="s">
        <v>6054</v>
      </c>
      <c r="I341" s="53" t="s">
        <v>1431</v>
      </c>
      <c r="J341" s="33" t="s">
        <v>2216</v>
      </c>
    </row>
    <row r="342" spans="1:10" x14ac:dyDescent="0.25">
      <c r="A342" s="36" t="s">
        <v>5133</v>
      </c>
      <c r="B342" s="53" t="s">
        <v>5839</v>
      </c>
      <c r="C342" s="53">
        <v>32</v>
      </c>
      <c r="D342" s="53">
        <v>194</v>
      </c>
      <c r="E342" s="53"/>
      <c r="F342" s="53" t="s">
        <v>132</v>
      </c>
      <c r="G342" s="53" t="s">
        <v>6055</v>
      </c>
      <c r="H342" s="53" t="s">
        <v>6056</v>
      </c>
      <c r="I342" s="53" t="s">
        <v>1431</v>
      </c>
      <c r="J342" s="33" t="s">
        <v>2216</v>
      </c>
    </row>
    <row r="343" spans="1:10" x14ac:dyDescent="0.25">
      <c r="A343" s="36" t="s">
        <v>5134</v>
      </c>
      <c r="B343" s="53" t="s">
        <v>5839</v>
      </c>
      <c r="C343" s="53">
        <v>32</v>
      </c>
      <c r="D343" s="53">
        <v>194</v>
      </c>
      <c r="E343" s="53"/>
      <c r="F343" s="53" t="s">
        <v>154</v>
      </c>
      <c r="G343" s="53" t="s">
        <v>6057</v>
      </c>
      <c r="H343" s="53" t="s">
        <v>6058</v>
      </c>
      <c r="I343" s="53" t="s">
        <v>1431</v>
      </c>
      <c r="J343" s="33" t="s">
        <v>2216</v>
      </c>
    </row>
    <row r="344" spans="1:10" ht="15.75" thickBot="1" x14ac:dyDescent="0.3">
      <c r="A344" s="37" t="s">
        <v>5135</v>
      </c>
      <c r="B344" s="30" t="s">
        <v>5839</v>
      </c>
      <c r="C344" s="30">
        <v>32</v>
      </c>
      <c r="D344" s="30">
        <v>194</v>
      </c>
      <c r="E344" s="30"/>
      <c r="F344" s="30" t="s">
        <v>210</v>
      </c>
      <c r="G344" s="30" t="s">
        <v>6059</v>
      </c>
      <c r="H344" s="30" t="s">
        <v>6060</v>
      </c>
      <c r="I344" s="30" t="s">
        <v>1431</v>
      </c>
      <c r="J344" s="34" t="s">
        <v>2216</v>
      </c>
    </row>
    <row r="345" spans="1:10" x14ac:dyDescent="0.25">
      <c r="A345" s="35" t="s">
        <v>5136</v>
      </c>
      <c r="B345" s="22" t="s">
        <v>5839</v>
      </c>
      <c r="C345" s="22">
        <v>34</v>
      </c>
      <c r="D345" s="22">
        <v>201</v>
      </c>
      <c r="E345" s="22"/>
      <c r="F345" s="22" t="s">
        <v>4581</v>
      </c>
      <c r="G345" s="22" t="s">
        <v>6131</v>
      </c>
      <c r="H345" s="22" t="s">
        <v>6132</v>
      </c>
      <c r="I345" s="22" t="s">
        <v>1431</v>
      </c>
      <c r="J345" s="32" t="s">
        <v>2216</v>
      </c>
    </row>
    <row r="346" spans="1:10" x14ac:dyDescent="0.25">
      <c r="A346" s="36" t="s">
        <v>5137</v>
      </c>
      <c r="B346" s="53" t="s">
        <v>5839</v>
      </c>
      <c r="C346" s="53">
        <v>34</v>
      </c>
      <c r="D346" s="53">
        <v>201</v>
      </c>
      <c r="E346" s="53"/>
      <c r="F346" s="53" t="s">
        <v>5239</v>
      </c>
      <c r="G346" s="53" t="s">
        <v>6133</v>
      </c>
      <c r="H346" s="53" t="s">
        <v>6134</v>
      </c>
      <c r="I346" s="53" t="s">
        <v>1431</v>
      </c>
      <c r="J346" s="33" t="s">
        <v>2216</v>
      </c>
    </row>
    <row r="347" spans="1:10" x14ac:dyDescent="0.25">
      <c r="A347" s="36" t="s">
        <v>5138</v>
      </c>
      <c r="B347" s="53" t="s">
        <v>5839</v>
      </c>
      <c r="C347" s="53">
        <v>34</v>
      </c>
      <c r="D347" s="53">
        <v>201</v>
      </c>
      <c r="E347" s="53"/>
      <c r="F347" s="53" t="s">
        <v>6135</v>
      </c>
      <c r="G347" s="53" t="s">
        <v>6136</v>
      </c>
      <c r="H347" s="53" t="s">
        <v>6137</v>
      </c>
      <c r="I347" s="53" t="s">
        <v>1431</v>
      </c>
      <c r="J347" s="33" t="s">
        <v>2216</v>
      </c>
    </row>
    <row r="348" spans="1:10" x14ac:dyDescent="0.25">
      <c r="A348" s="36" t="s">
        <v>5139</v>
      </c>
      <c r="B348" s="53" t="s">
        <v>5839</v>
      </c>
      <c r="C348" s="53">
        <v>34</v>
      </c>
      <c r="D348" s="53">
        <v>201</v>
      </c>
      <c r="E348" s="53"/>
      <c r="F348" s="53" t="s">
        <v>6138</v>
      </c>
      <c r="G348" s="53" t="s">
        <v>6139</v>
      </c>
      <c r="H348" s="53" t="s">
        <v>6140</v>
      </c>
      <c r="I348" s="53" t="s">
        <v>1431</v>
      </c>
      <c r="J348" s="33" t="s">
        <v>2216</v>
      </c>
    </row>
    <row r="349" spans="1:10" x14ac:dyDescent="0.25">
      <c r="A349" s="36" t="s">
        <v>5140</v>
      </c>
      <c r="B349" s="53" t="s">
        <v>5839</v>
      </c>
      <c r="C349" s="53">
        <v>34</v>
      </c>
      <c r="D349" s="53">
        <v>201</v>
      </c>
      <c r="E349" s="53"/>
      <c r="F349" s="53" t="s">
        <v>6141</v>
      </c>
      <c r="G349" s="53" t="s">
        <v>6142</v>
      </c>
      <c r="H349" s="53" t="s">
        <v>6143</v>
      </c>
      <c r="I349" s="53" t="s">
        <v>1431</v>
      </c>
      <c r="J349" s="33" t="s">
        <v>2216</v>
      </c>
    </row>
    <row r="350" spans="1:10" ht="15.75" thickBot="1" x14ac:dyDescent="0.3">
      <c r="A350" s="37" t="s">
        <v>5141</v>
      </c>
      <c r="B350" s="30" t="s">
        <v>5839</v>
      </c>
      <c r="C350" s="30">
        <v>34</v>
      </c>
      <c r="D350" s="30">
        <v>201</v>
      </c>
      <c r="E350" s="30"/>
      <c r="F350" s="30" t="s">
        <v>4823</v>
      </c>
      <c r="G350" s="30" t="s">
        <v>6144</v>
      </c>
      <c r="H350" s="30" t="s">
        <v>6145</v>
      </c>
      <c r="I350" s="30" t="s">
        <v>1431</v>
      </c>
      <c r="J350" s="34" t="s">
        <v>2216</v>
      </c>
    </row>
    <row r="351" spans="1:10" x14ac:dyDescent="0.25">
      <c r="A351" s="35" t="s">
        <v>5142</v>
      </c>
      <c r="B351" s="22" t="s">
        <v>5839</v>
      </c>
      <c r="C351" s="22">
        <v>36</v>
      </c>
      <c r="D351" s="22">
        <v>221</v>
      </c>
      <c r="E351" s="22"/>
      <c r="F351" s="22" t="s">
        <v>53</v>
      </c>
      <c r="G351" s="22" t="s">
        <v>6208</v>
      </c>
      <c r="H351" s="22" t="s">
        <v>6209</v>
      </c>
      <c r="I351" s="22" t="s">
        <v>1431</v>
      </c>
      <c r="J351" s="32" t="s">
        <v>2216</v>
      </c>
    </row>
    <row r="352" spans="1:10" x14ac:dyDescent="0.25">
      <c r="A352" s="36" t="s">
        <v>5143</v>
      </c>
      <c r="B352" s="53" t="s">
        <v>5839</v>
      </c>
      <c r="C352" s="53">
        <v>36</v>
      </c>
      <c r="D352" s="53">
        <v>221</v>
      </c>
      <c r="E352" s="53"/>
      <c r="F352" s="53" t="s">
        <v>83</v>
      </c>
      <c r="G352" s="53" t="s">
        <v>6210</v>
      </c>
      <c r="H352" s="53" t="s">
        <v>6211</v>
      </c>
      <c r="I352" s="53" t="s">
        <v>1431</v>
      </c>
      <c r="J352" s="33" t="s">
        <v>2216</v>
      </c>
    </row>
    <row r="353" spans="1:10" x14ac:dyDescent="0.25">
      <c r="A353" s="36" t="s">
        <v>5144</v>
      </c>
      <c r="B353" s="53" t="s">
        <v>5839</v>
      </c>
      <c r="C353" s="53">
        <v>36</v>
      </c>
      <c r="D353" s="53">
        <v>221</v>
      </c>
      <c r="E353" s="53"/>
      <c r="F353" s="53" t="s">
        <v>132</v>
      </c>
      <c r="G353" s="53" t="s">
        <v>6212</v>
      </c>
      <c r="H353" s="53" t="s">
        <v>6213</v>
      </c>
      <c r="I353" s="53" t="s">
        <v>1431</v>
      </c>
      <c r="J353" s="33" t="s">
        <v>2216</v>
      </c>
    </row>
    <row r="354" spans="1:10" x14ac:dyDescent="0.25">
      <c r="A354" s="36" t="s">
        <v>5145</v>
      </c>
      <c r="B354" s="53" t="s">
        <v>5839</v>
      </c>
      <c r="C354" s="53">
        <v>36</v>
      </c>
      <c r="D354" s="53">
        <v>221</v>
      </c>
      <c r="E354" s="53"/>
      <c r="F354" s="53" t="s">
        <v>6214</v>
      </c>
      <c r="G354" s="53" t="s">
        <v>6215</v>
      </c>
      <c r="H354" s="53" t="s">
        <v>6216</v>
      </c>
      <c r="I354" s="53" t="s">
        <v>1431</v>
      </c>
      <c r="J354" s="33" t="s">
        <v>2216</v>
      </c>
    </row>
    <row r="355" spans="1:10" x14ac:dyDescent="0.25">
      <c r="A355" s="36" t="s">
        <v>5146</v>
      </c>
      <c r="B355" s="53" t="s">
        <v>5839</v>
      </c>
      <c r="C355" s="53">
        <v>36</v>
      </c>
      <c r="D355" s="53">
        <v>221</v>
      </c>
      <c r="E355" s="53"/>
      <c r="F355" s="53" t="s">
        <v>210</v>
      </c>
      <c r="G355" s="53" t="s">
        <v>6217</v>
      </c>
      <c r="H355" s="53" t="s">
        <v>6218</v>
      </c>
      <c r="I355" s="53" t="s">
        <v>1431</v>
      </c>
      <c r="J355" s="33" t="s">
        <v>2216</v>
      </c>
    </row>
    <row r="356" spans="1:10" x14ac:dyDescent="0.25">
      <c r="A356" s="36" t="s">
        <v>5147</v>
      </c>
      <c r="B356" s="53" t="s">
        <v>5839</v>
      </c>
      <c r="C356" s="53">
        <v>36</v>
      </c>
      <c r="D356" s="53">
        <v>221</v>
      </c>
      <c r="E356" s="53"/>
      <c r="F356" s="53" t="s">
        <v>204</v>
      </c>
      <c r="G356" s="53" t="s">
        <v>6219</v>
      </c>
      <c r="H356" s="53" t="s">
        <v>6220</v>
      </c>
      <c r="I356" s="53" t="s">
        <v>1431</v>
      </c>
      <c r="J356" s="33" t="s">
        <v>2216</v>
      </c>
    </row>
    <row r="357" spans="1:10" ht="15.75" thickBot="1" x14ac:dyDescent="0.3">
      <c r="A357" s="37" t="s">
        <v>5148</v>
      </c>
      <c r="B357" s="30" t="s">
        <v>5839</v>
      </c>
      <c r="C357" s="30">
        <v>36</v>
      </c>
      <c r="D357" s="30">
        <v>221</v>
      </c>
      <c r="E357" s="30"/>
      <c r="F357" s="30" t="s">
        <v>166</v>
      </c>
      <c r="G357" s="30" t="s">
        <v>6221</v>
      </c>
      <c r="H357" s="30" t="s">
        <v>6222</v>
      </c>
      <c r="I357" s="30" t="s">
        <v>1431</v>
      </c>
      <c r="J357" s="34" t="s">
        <v>2216</v>
      </c>
    </row>
    <row r="358" spans="1:10" x14ac:dyDescent="0.25">
      <c r="A358" s="35" t="s">
        <v>5149</v>
      </c>
      <c r="B358" s="22" t="s">
        <v>5839</v>
      </c>
      <c r="C358" s="22">
        <v>38</v>
      </c>
      <c r="D358" s="22">
        <v>227</v>
      </c>
      <c r="E358" s="22"/>
      <c r="F358" s="22" t="s">
        <v>6265</v>
      </c>
      <c r="G358" s="22" t="s">
        <v>6266</v>
      </c>
      <c r="H358" s="22" t="s">
        <v>6267</v>
      </c>
      <c r="I358" s="22" t="s">
        <v>1431</v>
      </c>
      <c r="J358" s="32" t="s">
        <v>2216</v>
      </c>
    </row>
    <row r="359" spans="1:10" x14ac:dyDescent="0.25">
      <c r="A359" s="36" t="s">
        <v>5150</v>
      </c>
      <c r="B359" s="53" t="s">
        <v>5839</v>
      </c>
      <c r="C359" s="53">
        <v>38</v>
      </c>
      <c r="D359" s="53">
        <v>227</v>
      </c>
      <c r="E359" s="53"/>
      <c r="F359" s="53" t="s">
        <v>6268</v>
      </c>
      <c r="G359" s="53" t="s">
        <v>6269</v>
      </c>
      <c r="H359" s="53" t="s">
        <v>6270</v>
      </c>
      <c r="I359" s="53" t="s">
        <v>1431</v>
      </c>
      <c r="J359" s="33" t="s">
        <v>2216</v>
      </c>
    </row>
    <row r="360" spans="1:10" x14ac:dyDescent="0.25">
      <c r="A360" s="36" t="s">
        <v>5151</v>
      </c>
      <c r="B360" s="53" t="s">
        <v>5839</v>
      </c>
      <c r="C360" s="53">
        <v>38</v>
      </c>
      <c r="D360" s="53">
        <v>227</v>
      </c>
      <c r="E360" s="53"/>
      <c r="F360" s="53" t="s">
        <v>6271</v>
      </c>
      <c r="G360" s="53" t="s">
        <v>6272</v>
      </c>
      <c r="H360" s="53" t="s">
        <v>6273</v>
      </c>
      <c r="I360" s="53" t="s">
        <v>1431</v>
      </c>
      <c r="J360" s="33" t="s">
        <v>2216</v>
      </c>
    </row>
    <row r="361" spans="1:10" x14ac:dyDescent="0.25">
      <c r="A361" s="36" t="s">
        <v>5152</v>
      </c>
      <c r="B361" s="53" t="s">
        <v>5839</v>
      </c>
      <c r="C361" s="53">
        <v>38</v>
      </c>
      <c r="D361" s="53">
        <v>227</v>
      </c>
      <c r="E361" s="53"/>
      <c r="F361" s="53" t="s">
        <v>4581</v>
      </c>
      <c r="G361" s="53" t="s">
        <v>6274</v>
      </c>
      <c r="H361" s="53" t="s">
        <v>6275</v>
      </c>
      <c r="I361" s="53" t="s">
        <v>1431</v>
      </c>
      <c r="J361" s="33" t="s">
        <v>2216</v>
      </c>
    </row>
    <row r="362" spans="1:10" x14ac:dyDescent="0.25">
      <c r="A362" s="36" t="s">
        <v>5153</v>
      </c>
      <c r="B362" s="53" t="s">
        <v>5839</v>
      </c>
      <c r="C362" s="53">
        <v>38</v>
      </c>
      <c r="D362" s="53">
        <v>227</v>
      </c>
      <c r="E362" s="53"/>
      <c r="F362" s="53" t="s">
        <v>6276</v>
      </c>
      <c r="G362" s="53" t="s">
        <v>6277</v>
      </c>
      <c r="H362" s="53" t="s">
        <v>6278</v>
      </c>
      <c r="I362" s="53" t="s">
        <v>1431</v>
      </c>
      <c r="J362" s="33" t="s">
        <v>2216</v>
      </c>
    </row>
    <row r="363" spans="1:10" ht="15.75" thickBot="1" x14ac:dyDescent="0.3">
      <c r="A363" s="37" t="s">
        <v>5154</v>
      </c>
      <c r="B363" s="30" t="s">
        <v>5839</v>
      </c>
      <c r="C363" s="30">
        <v>38</v>
      </c>
      <c r="D363" s="30">
        <v>227</v>
      </c>
      <c r="E363" s="30"/>
      <c r="F363" s="30" t="s">
        <v>6279</v>
      </c>
      <c r="G363" s="30" t="s">
        <v>6280</v>
      </c>
      <c r="H363" s="30" t="s">
        <v>6281</v>
      </c>
      <c r="I363" s="30" t="s">
        <v>1431</v>
      </c>
      <c r="J363" s="34" t="s">
        <v>2216</v>
      </c>
    </row>
    <row r="364" spans="1:10" x14ac:dyDescent="0.25">
      <c r="A364" s="35" t="s">
        <v>5155</v>
      </c>
      <c r="B364" s="22" t="s">
        <v>5839</v>
      </c>
      <c r="C364" s="22">
        <v>40</v>
      </c>
      <c r="D364" s="22">
        <v>239</v>
      </c>
      <c r="E364" s="22"/>
      <c r="F364" s="22"/>
      <c r="G364" s="22"/>
      <c r="H364" s="22"/>
      <c r="I364" s="22"/>
      <c r="J364" s="32" t="s">
        <v>2216</v>
      </c>
    </row>
    <row r="365" spans="1:10" x14ac:dyDescent="0.25">
      <c r="A365" s="36" t="s">
        <v>5156</v>
      </c>
      <c r="B365" s="53" t="s">
        <v>5839</v>
      </c>
      <c r="C365" s="53">
        <v>40</v>
      </c>
      <c r="D365" s="53">
        <v>239</v>
      </c>
      <c r="E365" s="53"/>
      <c r="F365" s="53"/>
      <c r="G365" s="53"/>
      <c r="H365" s="53"/>
      <c r="I365" s="53"/>
      <c r="J365" s="33" t="s">
        <v>2216</v>
      </c>
    </row>
    <row r="366" spans="1:10" x14ac:dyDescent="0.25">
      <c r="A366" s="36" t="s">
        <v>5157</v>
      </c>
      <c r="B366" s="53" t="s">
        <v>5839</v>
      </c>
      <c r="C366" s="53">
        <v>40</v>
      </c>
      <c r="D366" s="53">
        <v>239</v>
      </c>
      <c r="E366" s="53"/>
      <c r="F366" s="53"/>
      <c r="G366" s="53"/>
      <c r="H366" s="53"/>
      <c r="I366" s="53"/>
      <c r="J366" s="33" t="s">
        <v>2216</v>
      </c>
    </row>
    <row r="367" spans="1:10" x14ac:dyDescent="0.25">
      <c r="A367" s="36" t="s">
        <v>5158</v>
      </c>
      <c r="B367" s="53" t="s">
        <v>5839</v>
      </c>
      <c r="C367" s="53">
        <v>40</v>
      </c>
      <c r="D367" s="53">
        <v>239</v>
      </c>
      <c r="E367" s="53"/>
      <c r="F367" s="53"/>
      <c r="G367" s="53"/>
      <c r="H367" s="53"/>
      <c r="I367" s="53"/>
      <c r="J367" s="33" t="s">
        <v>2216</v>
      </c>
    </row>
    <row r="368" spans="1:10" x14ac:dyDescent="0.25">
      <c r="A368" s="36" t="s">
        <v>5159</v>
      </c>
      <c r="B368" s="53" t="s">
        <v>5839</v>
      </c>
      <c r="C368" s="53">
        <v>40</v>
      </c>
      <c r="D368" s="53">
        <v>239</v>
      </c>
      <c r="E368" s="53"/>
      <c r="F368" s="53"/>
      <c r="G368" s="53"/>
      <c r="H368" s="53"/>
      <c r="I368" s="53"/>
      <c r="J368" s="33" t="s">
        <v>2216</v>
      </c>
    </row>
    <row r="369" spans="1:10" ht="15.75" thickBot="1" x14ac:dyDescent="0.3">
      <c r="A369" s="37" t="s">
        <v>5160</v>
      </c>
      <c r="B369" s="30" t="s">
        <v>5839</v>
      </c>
      <c r="C369" s="30">
        <v>40</v>
      </c>
      <c r="D369" s="30">
        <v>239</v>
      </c>
      <c r="E369" s="30"/>
      <c r="F369" s="30"/>
      <c r="G369" s="30"/>
      <c r="H369" s="30"/>
      <c r="I369" s="30"/>
      <c r="J369" s="34"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G721"/>
  <sheetViews>
    <sheetView topLeftCell="A15" workbookViewId="0">
      <selection activeCell="E20" sqref="E20"/>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ht="15.75" thickBot="1" x14ac:dyDescent="0.3">
      <c r="A1" t="s">
        <v>0</v>
      </c>
      <c r="B1" t="s">
        <v>21</v>
      </c>
      <c r="C1" t="s">
        <v>278</v>
      </c>
      <c r="D1" t="s">
        <v>279</v>
      </c>
      <c r="E1" t="s">
        <v>280</v>
      </c>
      <c r="F1" t="s">
        <v>281</v>
      </c>
      <c r="G1" t="s">
        <v>282</v>
      </c>
    </row>
    <row r="2" spans="1:7" x14ac:dyDescent="0.25">
      <c r="A2" s="35">
        <v>1</v>
      </c>
      <c r="B2" s="22" t="s">
        <v>53</v>
      </c>
      <c r="C2" s="48">
        <f>IF(Tabelle18[[#This Row],[binding_level_company]]&gt;=1,1,0)</f>
        <v>0</v>
      </c>
      <c r="D2" s="48">
        <f>_xlfn.MAXIFS(Tabelle5[[#This Row],[binding_level]], Tabelle5[[#This Row],[company_id]],Tabelle18[[#This Row],[company_id]], Tabelle5[[#This Row],[value_id]], Tabelle18[[#This Row],[value_id]], Tabelle5[[#This Row],[value_present]],"1")</f>
        <v>0</v>
      </c>
      <c r="E2" s="48">
        <f>_xlfn.MAXIFS(Tabelle5[[#This Row],[value_points]], Tabelle5[[#This Row],[company_id]],Tabelle18[[#This Row],[company_id]], Tabelle5[[#This Row],[value_id]], Tabelle18[[#This Row],[value_id]], Tabelle5[[#This Row],[value_present]],"1")</f>
        <v>0</v>
      </c>
      <c r="F2" s="22"/>
      <c r="G2" s="32"/>
    </row>
    <row r="3" spans="1:7" x14ac:dyDescent="0.25">
      <c r="A3" s="36">
        <v>1</v>
      </c>
      <c r="B3" t="s">
        <v>61</v>
      </c>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c r="G3" s="33"/>
    </row>
    <row r="4" spans="1:7" x14ac:dyDescent="0.25">
      <c r="A4" s="36">
        <v>1</v>
      </c>
      <c r="B4" t="s">
        <v>69</v>
      </c>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c r="G4" s="33"/>
    </row>
    <row r="5" spans="1:7" x14ac:dyDescent="0.25">
      <c r="A5" s="36">
        <v>1</v>
      </c>
      <c r="B5" t="s">
        <v>76</v>
      </c>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c r="G5" s="33"/>
    </row>
    <row r="6" spans="1:7" x14ac:dyDescent="0.25">
      <c r="A6" s="36">
        <v>1</v>
      </c>
      <c r="B6" t="s">
        <v>83</v>
      </c>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c r="G6" s="33"/>
    </row>
    <row r="7" spans="1:7" x14ac:dyDescent="0.25">
      <c r="A7" s="36">
        <v>1</v>
      </c>
      <c r="B7" t="s">
        <v>90</v>
      </c>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c r="G7" s="33"/>
    </row>
    <row r="8" spans="1:7" x14ac:dyDescent="0.25">
      <c r="A8" s="36">
        <v>1</v>
      </c>
      <c r="B8" t="s">
        <v>98</v>
      </c>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c r="G8" s="33"/>
    </row>
    <row r="9" spans="1:7" x14ac:dyDescent="0.25">
      <c r="A9" s="36">
        <v>1</v>
      </c>
      <c r="B9" t="s">
        <v>106</v>
      </c>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c r="G9" s="33"/>
    </row>
    <row r="10" spans="1:7" x14ac:dyDescent="0.25">
      <c r="A10" s="36">
        <v>1</v>
      </c>
      <c r="B10" t="s">
        <v>112</v>
      </c>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c r="G10" s="33"/>
    </row>
    <row r="11" spans="1:7" x14ac:dyDescent="0.25">
      <c r="A11" s="36">
        <v>1</v>
      </c>
      <c r="B11" t="s">
        <v>118</v>
      </c>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c r="G11" s="33"/>
    </row>
    <row r="12" spans="1:7" x14ac:dyDescent="0.25">
      <c r="A12" s="36">
        <v>1</v>
      </c>
      <c r="B12" t="s">
        <v>125</v>
      </c>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c r="G12" s="33"/>
    </row>
    <row r="13" spans="1:7" x14ac:dyDescent="0.25">
      <c r="A13" s="36">
        <v>1</v>
      </c>
      <c r="B13" t="s">
        <v>132</v>
      </c>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c r="G13" s="33"/>
    </row>
    <row r="14" spans="1:7" x14ac:dyDescent="0.25">
      <c r="A14" s="36">
        <v>1</v>
      </c>
      <c r="B14" t="s">
        <v>140</v>
      </c>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c r="G14" s="33"/>
    </row>
    <row r="15" spans="1:7" x14ac:dyDescent="0.25">
      <c r="A15" s="36">
        <v>1</v>
      </c>
      <c r="B15" t="s">
        <v>147</v>
      </c>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c r="G15" s="33"/>
    </row>
    <row r="16" spans="1:7" x14ac:dyDescent="0.25">
      <c r="A16" s="36">
        <v>1</v>
      </c>
      <c r="B16" t="s">
        <v>154</v>
      </c>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c r="G16" s="33"/>
    </row>
    <row r="17" spans="1:7" x14ac:dyDescent="0.25">
      <c r="A17" s="36">
        <v>1</v>
      </c>
      <c r="B17" t="s">
        <v>161</v>
      </c>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c r="G17" s="33"/>
    </row>
    <row r="18" spans="1:7" x14ac:dyDescent="0.25">
      <c r="A18" s="36">
        <v>1</v>
      </c>
      <c r="B18" t="s">
        <v>166</v>
      </c>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c r="G18" s="33"/>
    </row>
    <row r="19" spans="1:7" ht="15.75" thickBot="1" x14ac:dyDescent="0.3">
      <c r="A19" s="37">
        <v>1</v>
      </c>
      <c r="B19" s="30" t="s">
        <v>174</v>
      </c>
      <c r="C19" s="49">
        <f>IF(Tabelle18[[#This Row],[binding_level_company]]&gt;=1,1,0)</f>
        <v>0</v>
      </c>
      <c r="D19" s="49">
        <f>_xlfn.MAXIFS(Tabelle5[[#This Row],[binding_level]], Tabelle5[[#This Row],[company_id]],Tabelle18[[#This Row],[company_id]], Tabelle5[[#This Row],[value_id]], Tabelle18[[#This Row],[value_id]], Tabelle5[[#This Row],[value_present]],"1")</f>
        <v>0</v>
      </c>
      <c r="E19" s="49">
        <f>_xlfn.MAXIFS(Tabelle5[[#This Row],[value_points]], Tabelle5[[#This Row],[company_id]],Tabelle18[[#This Row],[company_id]], Tabelle5[[#This Row],[value_id]], Tabelle18[[#This Row],[value_id]], Tabelle5[[#This Row],[value_present]],"1")</f>
        <v>0</v>
      </c>
      <c r="F19" s="30"/>
      <c r="G19" s="34"/>
    </row>
    <row r="20" spans="1:7" x14ac:dyDescent="0.25">
      <c r="A20" s="35">
        <v>2</v>
      </c>
      <c r="B20" s="22" t="s">
        <v>53</v>
      </c>
      <c r="C20" s="4">
        <f>IF(Tabelle18[[#This Row],[binding_level_company]]&gt;=1,1,0)</f>
        <v>1</v>
      </c>
      <c r="D20" s="4">
        <f>_xlfn.MAXIFS(Tabelle5[[#This Row],[binding_level]], Tabelle5[[#This Row],[company_id]],Tabelle18[[#This Row],[company_id]], Tabelle5[[#This Row],[value_id]], Tabelle18[[#This Row],[value_id]], Tabelle5[[#This Row],[value_present]],"1")</f>
        <v>2</v>
      </c>
      <c r="E20" s="4">
        <f>_xlfn.MAXIFS(Tabelle5[[#This Row],[value_points]], Tabelle5[[#This Row],[company_id]],Tabelle18[[#This Row],[company_id]], Tabelle5[[#This Row],[value_id]], Tabelle18[[#This Row],[value_id]], Tabelle5[[#This Row],[value_present]],"1")</f>
        <v>2</v>
      </c>
    </row>
    <row r="21" spans="1:7" x14ac:dyDescent="0.25">
      <c r="A21" s="36">
        <v>2</v>
      </c>
      <c r="B21" t="s">
        <v>61</v>
      </c>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1:7" x14ac:dyDescent="0.25">
      <c r="A22" s="36">
        <v>2</v>
      </c>
      <c r="B22" t="s">
        <v>69</v>
      </c>
      <c r="C22" s="4">
        <f>IF(Tabelle18[[#This Row],[binding_level_company]]&gt;=1,1,0)</f>
        <v>1</v>
      </c>
      <c r="D22" s="4">
        <f>_xlfn.MAXIFS(Tabelle5[[#This Row],[binding_level]], Tabelle5[[#This Row],[company_id]],Tabelle18[[#This Row],[company_id]], Tabelle5[[#This Row],[value_id]], Tabelle18[[#This Row],[value_id]], Tabelle5[[#This Row],[value_present]],"1")</f>
        <v>2</v>
      </c>
      <c r="E22" s="4">
        <f>_xlfn.MAXIFS(Tabelle5[[#This Row],[value_points]], Tabelle5[[#This Row],[company_id]],Tabelle18[[#This Row],[company_id]], Tabelle5[[#This Row],[value_id]], Tabelle18[[#This Row],[value_id]], Tabelle5[[#This Row],[value_present]],"1")</f>
        <v>2</v>
      </c>
    </row>
    <row r="23" spans="1:7" x14ac:dyDescent="0.25">
      <c r="A23" s="36">
        <v>2</v>
      </c>
      <c r="B23" t="s">
        <v>76</v>
      </c>
      <c r="C23" s="4">
        <f>IF(Tabelle18[[#This Row],[binding_level_company]]&gt;=1,1,0)</f>
        <v>1</v>
      </c>
      <c r="D23" s="4">
        <f>_xlfn.MAXIFS(Tabelle5[[#This Row],[binding_level]], Tabelle5[[#This Row],[company_id]],Tabelle18[[#This Row],[company_id]], Tabelle5[[#This Row],[value_id]], Tabelle18[[#This Row],[value_id]], Tabelle5[[#This Row],[value_present]],"1")</f>
        <v>2</v>
      </c>
      <c r="E23" s="4">
        <f>_xlfn.MAXIFS(Tabelle5[[#This Row],[value_points]], Tabelle5[[#This Row],[company_id]],Tabelle18[[#This Row],[company_id]], Tabelle5[[#This Row],[value_id]], Tabelle18[[#This Row],[value_id]], Tabelle5[[#This Row],[value_present]],"1")</f>
        <v>2</v>
      </c>
    </row>
    <row r="24" spans="1:7" x14ac:dyDescent="0.25">
      <c r="A24" s="36">
        <v>2</v>
      </c>
      <c r="B24" t="s">
        <v>83</v>
      </c>
      <c r="C24" s="4">
        <f>IF(Tabelle18[[#This Row],[binding_level_company]]&gt;=1,1,0)</f>
        <v>1</v>
      </c>
      <c r="D24" s="4">
        <f>_xlfn.MAXIFS(Tabelle5[[#This Row],[binding_level]], Tabelle5[[#This Row],[company_id]],Tabelle18[[#This Row],[company_id]], Tabelle5[[#This Row],[value_id]], Tabelle18[[#This Row],[value_id]], Tabelle5[[#This Row],[value_present]],"1")</f>
        <v>3</v>
      </c>
      <c r="E24" s="4">
        <f>_xlfn.MAXIFS(Tabelle5[[#This Row],[value_points]], Tabelle5[[#This Row],[company_id]],Tabelle18[[#This Row],[company_id]], Tabelle5[[#This Row],[value_id]], Tabelle18[[#This Row],[value_id]], Tabelle5[[#This Row],[value_present]],"1")</f>
        <v>3</v>
      </c>
    </row>
    <row r="25" spans="1:7" x14ac:dyDescent="0.25">
      <c r="A25" s="36">
        <v>2</v>
      </c>
      <c r="B25" t="s">
        <v>90</v>
      </c>
      <c r="C25" s="4">
        <f>IF(Tabelle18[[#This Row],[binding_level_company]]&gt;=1,1,0)</f>
        <v>1</v>
      </c>
      <c r="D25" s="4">
        <f>_xlfn.MAXIFS(Tabelle5[[#This Row],[binding_level]], Tabelle5[[#This Row],[company_id]],Tabelle18[[#This Row],[company_id]], Tabelle5[[#This Row],[value_id]], Tabelle18[[#This Row],[value_id]], Tabelle5[[#This Row],[value_present]],"1")</f>
        <v>2</v>
      </c>
      <c r="E25" s="4">
        <f>_xlfn.MAXIFS(Tabelle5[[#This Row],[value_points]], Tabelle5[[#This Row],[company_id]],Tabelle18[[#This Row],[company_id]], Tabelle5[[#This Row],[value_id]], Tabelle18[[#This Row],[value_id]], Tabelle5[[#This Row],[value_present]],"1")</f>
        <v>2</v>
      </c>
    </row>
    <row r="26" spans="1:7" x14ac:dyDescent="0.25">
      <c r="A26" s="36">
        <v>2</v>
      </c>
      <c r="B26" t="s">
        <v>98</v>
      </c>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1:7" x14ac:dyDescent="0.25">
      <c r="A27" s="36">
        <v>2</v>
      </c>
      <c r="B27" t="s">
        <v>106</v>
      </c>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1:7" x14ac:dyDescent="0.25">
      <c r="A28" s="36">
        <v>2</v>
      </c>
      <c r="B28" t="s">
        <v>112</v>
      </c>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1:7" x14ac:dyDescent="0.25">
      <c r="A29" s="36">
        <v>2</v>
      </c>
      <c r="B29" t="s">
        <v>118</v>
      </c>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1:7" x14ac:dyDescent="0.25">
      <c r="A30" s="36">
        <v>2</v>
      </c>
      <c r="B30" t="s">
        <v>125</v>
      </c>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1:7" x14ac:dyDescent="0.25">
      <c r="A31" s="36">
        <v>2</v>
      </c>
      <c r="B31" t="s">
        <v>132</v>
      </c>
      <c r="C31" s="4">
        <f>IF(Tabelle18[[#This Row],[binding_level_company]]&gt;=1,1,0)</f>
        <v>1</v>
      </c>
      <c r="D31" s="4">
        <f>_xlfn.MAXIFS(Tabelle5[[#This Row],[binding_level]], Tabelle5[[#This Row],[company_id]],Tabelle18[[#This Row],[company_id]], Tabelle5[[#This Row],[value_id]], Tabelle18[[#This Row],[value_id]], Tabelle5[[#This Row],[value_present]],"1")</f>
        <v>1</v>
      </c>
      <c r="E31" s="4">
        <f>_xlfn.MAXIFS(Tabelle5[[#This Row],[value_points]], Tabelle5[[#This Row],[company_id]],Tabelle18[[#This Row],[company_id]], Tabelle5[[#This Row],[value_id]], Tabelle18[[#This Row],[value_id]], Tabelle5[[#This Row],[value_present]],"1")</f>
        <v>1</v>
      </c>
    </row>
    <row r="32" spans="1:7" x14ac:dyDescent="0.25">
      <c r="A32" s="36">
        <v>2</v>
      </c>
      <c r="B32" t="s">
        <v>140</v>
      </c>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1:5" x14ac:dyDescent="0.25">
      <c r="A33" s="36">
        <v>2</v>
      </c>
      <c r="B33" t="s">
        <v>147</v>
      </c>
      <c r="C33" s="4">
        <f>IF(Tabelle18[[#This Row],[binding_level_company]]&gt;=1,1,0)</f>
        <v>1</v>
      </c>
      <c r="D33" s="4">
        <f>_xlfn.MAXIFS(Tabelle5[[#This Row],[binding_level]], Tabelle5[[#This Row],[company_id]],Tabelle18[[#This Row],[company_id]], Tabelle5[[#This Row],[value_id]], Tabelle18[[#This Row],[value_id]], Tabelle5[[#This Row],[value_present]],"1")</f>
        <v>2</v>
      </c>
      <c r="E33" s="4">
        <f>_xlfn.MAXIFS(Tabelle5[[#This Row],[value_points]], Tabelle5[[#This Row],[company_id]],Tabelle18[[#This Row],[company_id]], Tabelle5[[#This Row],[value_id]], Tabelle18[[#This Row],[value_id]], Tabelle5[[#This Row],[value_present]],"1")</f>
        <v>2</v>
      </c>
    </row>
    <row r="34" spans="1:5" x14ac:dyDescent="0.25">
      <c r="A34" s="36">
        <v>2</v>
      </c>
      <c r="B34" t="s">
        <v>154</v>
      </c>
      <c r="C34" s="4">
        <f>IF(Tabelle18[[#This Row],[binding_level_company]]&gt;=1,1,0)</f>
        <v>1</v>
      </c>
      <c r="D34" s="4">
        <f>_xlfn.MAXIFS(Tabelle5[[#This Row],[binding_level]], Tabelle5[[#This Row],[company_id]],Tabelle18[[#This Row],[company_id]], Tabelle5[[#This Row],[value_id]], Tabelle18[[#This Row],[value_id]], Tabelle5[[#This Row],[value_present]],"1")</f>
        <v>2</v>
      </c>
      <c r="E34" s="4">
        <f>_xlfn.MAXIFS(Tabelle5[[#This Row],[value_points]], Tabelle5[[#This Row],[company_id]],Tabelle18[[#This Row],[company_id]], Tabelle5[[#This Row],[value_id]], Tabelle18[[#This Row],[value_id]], Tabelle5[[#This Row],[value_present]],"1")</f>
        <v>2</v>
      </c>
    </row>
    <row r="35" spans="1:5" x14ac:dyDescent="0.25">
      <c r="A35" s="36">
        <v>2</v>
      </c>
      <c r="B35" t="s">
        <v>161</v>
      </c>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1:5" x14ac:dyDescent="0.25">
      <c r="A36" s="36">
        <v>2</v>
      </c>
      <c r="B36" t="s">
        <v>166</v>
      </c>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1:5" ht="15.75" thickBot="1" x14ac:dyDescent="0.3">
      <c r="A37" s="37">
        <v>2</v>
      </c>
      <c r="B37" s="30" t="s">
        <v>174</v>
      </c>
      <c r="C37" s="4">
        <f>IF(Tabelle18[[#This Row],[binding_level_company]]&gt;=1,1,0)</f>
        <v>1</v>
      </c>
      <c r="D37" s="4">
        <f>_xlfn.MAXIFS(Tabelle5[[#This Row],[binding_level]], Tabelle5[[#This Row],[company_id]],Tabelle18[[#This Row],[company_id]], Tabelle5[[#This Row],[value_id]], Tabelle18[[#This Row],[value_id]], Tabelle5[[#This Row],[value_present]],"1")</f>
        <v>2</v>
      </c>
      <c r="E37" s="4">
        <f>_xlfn.MAXIFS(Tabelle5[[#This Row],[value_points]], Tabelle5[[#This Row],[company_id]],Tabelle18[[#This Row],[company_id]], Tabelle5[[#This Row],[value_id]], Tabelle18[[#This Row],[value_id]], Tabelle5[[#This Row],[value_present]],"1")</f>
        <v>2</v>
      </c>
    </row>
    <row r="38" spans="1:5" x14ac:dyDescent="0.25">
      <c r="A38">
        <v>4</v>
      </c>
      <c r="B38" s="22" t="s">
        <v>53</v>
      </c>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1:5" x14ac:dyDescent="0.25">
      <c r="A39">
        <v>3</v>
      </c>
      <c r="B39" t="s">
        <v>61</v>
      </c>
      <c r="C39" s="4">
        <f>IF(Tabelle18[[#This Row],[binding_level_company]]&gt;=1,1,0)</f>
        <v>1</v>
      </c>
      <c r="D39" s="4">
        <f>_xlfn.MAXIFS(Tabelle5[[#This Row],[binding_level]], Tabelle5[[#This Row],[company_id]],Tabelle18[[#This Row],[company_id]], Tabelle5[[#This Row],[value_id]], Tabelle18[[#This Row],[value_id]], Tabelle5[[#This Row],[value_present]],"1")</f>
        <v>3</v>
      </c>
      <c r="E39" s="4">
        <f>_xlfn.MAXIFS(Tabelle5[[#This Row],[value_points]], Tabelle5[[#This Row],[company_id]],Tabelle18[[#This Row],[company_id]], Tabelle5[[#This Row],[value_id]], Tabelle18[[#This Row],[value_id]], Tabelle5[[#This Row],[value_present]],"1")</f>
        <v>3</v>
      </c>
    </row>
    <row r="40" spans="1:5" x14ac:dyDescent="0.25">
      <c r="A40">
        <v>3</v>
      </c>
      <c r="B40" t="s">
        <v>69</v>
      </c>
      <c r="C40" s="4">
        <f>IF(Tabelle18[[#This Row],[binding_level_company]]&gt;=1,1,0)</f>
        <v>1</v>
      </c>
      <c r="D40" s="4">
        <f>_xlfn.MAXIFS(Tabelle5[[#This Row],[binding_level]], Tabelle5[[#This Row],[company_id]],Tabelle18[[#This Row],[company_id]], Tabelle5[[#This Row],[value_id]], Tabelle18[[#This Row],[value_id]], Tabelle5[[#This Row],[value_present]],"1")</f>
        <v>2</v>
      </c>
      <c r="E40" s="4">
        <f>_xlfn.MAXIFS(Tabelle5[[#This Row],[value_points]], Tabelle5[[#This Row],[company_id]],Tabelle18[[#This Row],[company_id]], Tabelle5[[#This Row],[value_id]], Tabelle18[[#This Row],[value_id]], Tabelle5[[#This Row],[value_present]],"1")</f>
        <v>2</v>
      </c>
    </row>
    <row r="41" spans="1:5" x14ac:dyDescent="0.25">
      <c r="A41">
        <v>3</v>
      </c>
      <c r="B41" t="s">
        <v>76</v>
      </c>
      <c r="C41" s="4">
        <f>IF(Tabelle18[[#This Row],[binding_level_company]]&gt;=1,1,0)</f>
        <v>1</v>
      </c>
      <c r="D41" s="4">
        <f>_xlfn.MAXIFS(Tabelle5[[#This Row],[binding_level]], Tabelle5[[#This Row],[company_id]],Tabelle18[[#This Row],[company_id]], Tabelle5[[#This Row],[value_id]], Tabelle18[[#This Row],[value_id]], Tabelle5[[#This Row],[value_present]],"1")</f>
        <v>2</v>
      </c>
      <c r="E41" s="4">
        <f>_xlfn.MAXIFS(Tabelle5[[#This Row],[value_points]], Tabelle5[[#This Row],[company_id]],Tabelle18[[#This Row],[company_id]], Tabelle5[[#This Row],[value_id]], Tabelle18[[#This Row],[value_id]], Tabelle5[[#This Row],[value_present]],"1")</f>
        <v>2</v>
      </c>
    </row>
    <row r="42" spans="1:5" x14ac:dyDescent="0.25">
      <c r="A42">
        <v>3</v>
      </c>
      <c r="B42" t="s">
        <v>83</v>
      </c>
      <c r="C42" s="4">
        <f>IF(Tabelle18[[#This Row],[binding_level_company]]&gt;=1,1,0)</f>
        <v>1</v>
      </c>
      <c r="D42" s="4">
        <f>_xlfn.MAXIFS(Tabelle5[[#This Row],[binding_level]], Tabelle5[[#This Row],[company_id]],Tabelle18[[#This Row],[company_id]], Tabelle5[[#This Row],[value_id]], Tabelle18[[#This Row],[value_id]], Tabelle5[[#This Row],[value_present]],"1")</f>
        <v>3</v>
      </c>
      <c r="E42" s="4">
        <f>_xlfn.MAXIFS(Tabelle5[[#This Row],[value_points]], Tabelle5[[#This Row],[company_id]],Tabelle18[[#This Row],[company_id]], Tabelle5[[#This Row],[value_id]], Tabelle18[[#This Row],[value_id]], Tabelle5[[#This Row],[value_present]],"1")</f>
        <v>3</v>
      </c>
    </row>
    <row r="43" spans="1:5" x14ac:dyDescent="0.25">
      <c r="A43">
        <v>3</v>
      </c>
      <c r="B43" t="s">
        <v>90</v>
      </c>
      <c r="C43" s="4">
        <f>IF(Tabelle18[[#This Row],[binding_level_company]]&gt;=1,1,0)</f>
        <v>1</v>
      </c>
      <c r="D43" s="4">
        <f>_xlfn.MAXIFS(Tabelle5[[#This Row],[binding_level]], Tabelle5[[#This Row],[company_id]],Tabelle18[[#This Row],[company_id]], Tabelle5[[#This Row],[value_id]], Tabelle18[[#This Row],[value_id]], Tabelle5[[#This Row],[value_present]],"1")</f>
        <v>3</v>
      </c>
      <c r="E43" s="4">
        <f>_xlfn.MAXIFS(Tabelle5[[#This Row],[value_points]], Tabelle5[[#This Row],[company_id]],Tabelle18[[#This Row],[company_id]], Tabelle5[[#This Row],[value_id]], Tabelle18[[#This Row],[value_id]], Tabelle5[[#This Row],[value_present]],"1")</f>
        <v>3</v>
      </c>
    </row>
    <row r="44" spans="1:5" x14ac:dyDescent="0.25">
      <c r="A44">
        <v>3</v>
      </c>
      <c r="B44" t="s">
        <v>98</v>
      </c>
      <c r="C44" s="4">
        <f>IF(Tabelle18[[#This Row],[binding_level_company]]&gt;=1,1,0)</f>
        <v>1</v>
      </c>
      <c r="D44" s="4">
        <f>_xlfn.MAXIFS(Tabelle5[[#This Row],[binding_level]], Tabelle5[[#This Row],[company_id]],Tabelle18[[#This Row],[company_id]], Tabelle5[[#This Row],[value_id]], Tabelle18[[#This Row],[value_id]], Tabelle5[[#This Row],[value_present]],"1")</f>
        <v>2</v>
      </c>
      <c r="E44" s="4">
        <f>_xlfn.MAXIFS(Tabelle5[[#This Row],[value_points]], Tabelle5[[#This Row],[company_id]],Tabelle18[[#This Row],[company_id]], Tabelle5[[#This Row],[value_id]], Tabelle18[[#This Row],[value_id]], Tabelle5[[#This Row],[value_present]],"1")</f>
        <v>2</v>
      </c>
    </row>
    <row r="45" spans="1:5" x14ac:dyDescent="0.25">
      <c r="A45">
        <v>3</v>
      </c>
      <c r="B45" t="s">
        <v>106</v>
      </c>
      <c r="C45" s="4">
        <f>IF(Tabelle18[[#This Row],[binding_level_company]]&gt;=1,1,0)</f>
        <v>1</v>
      </c>
      <c r="D45" s="4">
        <f>_xlfn.MAXIFS(Tabelle5[[#This Row],[binding_level]], Tabelle5[[#This Row],[company_id]],Tabelle18[[#This Row],[company_id]], Tabelle5[[#This Row],[value_id]], Tabelle18[[#This Row],[value_id]], Tabelle5[[#This Row],[value_present]],"1")</f>
        <v>2</v>
      </c>
      <c r="E45" s="4">
        <f>_xlfn.MAXIFS(Tabelle5[[#This Row],[value_points]], Tabelle5[[#This Row],[company_id]],Tabelle18[[#This Row],[company_id]], Tabelle5[[#This Row],[value_id]], Tabelle18[[#This Row],[value_id]], Tabelle5[[#This Row],[value_present]],"1")</f>
        <v>2</v>
      </c>
    </row>
    <row r="46" spans="1:5" x14ac:dyDescent="0.25">
      <c r="A46">
        <v>3</v>
      </c>
      <c r="B46" t="s">
        <v>112</v>
      </c>
      <c r="C46" s="4">
        <f>IF(Tabelle18[[#This Row],[binding_level_company]]&gt;=1,1,0)</f>
        <v>1</v>
      </c>
      <c r="D46" s="4">
        <f>_xlfn.MAXIFS(Tabelle5[[#This Row],[binding_level]], Tabelle5[[#This Row],[company_id]],Tabelle18[[#This Row],[company_id]], Tabelle5[[#This Row],[value_id]], Tabelle18[[#This Row],[value_id]], Tabelle5[[#This Row],[value_present]],"1")</f>
        <v>3</v>
      </c>
      <c r="E46" s="4">
        <f>_xlfn.MAXIFS(Tabelle5[[#This Row],[value_points]], Tabelle5[[#This Row],[company_id]],Tabelle18[[#This Row],[company_id]], Tabelle5[[#This Row],[value_id]], Tabelle18[[#This Row],[value_id]], Tabelle5[[#This Row],[value_present]],"1")</f>
        <v>3</v>
      </c>
    </row>
    <row r="47" spans="1:5" x14ac:dyDescent="0.25">
      <c r="A47">
        <v>3</v>
      </c>
      <c r="B47" t="s">
        <v>118</v>
      </c>
      <c r="C47" s="4">
        <f>IF(Tabelle18[[#This Row],[binding_level_company]]&gt;=1,1,0)</f>
        <v>0</v>
      </c>
      <c r="D47" s="4">
        <f>_xlfn.MAXIFS(Tabelle5[[#This Row],[binding_level]], Tabelle5[[#This Row],[company_id]],Tabelle18[[#This Row],[company_id]], Tabelle5[[#This Row],[value_id]], Tabelle18[[#This Row],[value_id]], Tabelle5[[#This Row],[value_present]],"1")</f>
        <v>0</v>
      </c>
      <c r="E47" s="4">
        <f>_xlfn.MAXIFS(Tabelle5[[#This Row],[value_points]], Tabelle5[[#This Row],[company_id]],Tabelle18[[#This Row],[company_id]], Tabelle5[[#This Row],[value_id]], Tabelle18[[#This Row],[value_id]], Tabelle5[[#This Row],[value_present]],"1")</f>
        <v>0</v>
      </c>
    </row>
    <row r="48" spans="1:5" x14ac:dyDescent="0.25">
      <c r="A48">
        <v>3</v>
      </c>
      <c r="B48" t="s">
        <v>125</v>
      </c>
      <c r="C48" s="4">
        <f>IF(Tabelle18[[#This Row],[binding_level_company]]&gt;=1,1,0)</f>
        <v>0</v>
      </c>
      <c r="D48" s="4">
        <f>_xlfn.MAXIFS(Tabelle5[[#This Row],[binding_level]], Tabelle5[[#This Row],[company_id]],Tabelle18[[#This Row],[company_id]], Tabelle5[[#This Row],[value_id]], Tabelle18[[#This Row],[value_id]], Tabelle5[[#This Row],[value_present]],"1")</f>
        <v>0</v>
      </c>
      <c r="E48" s="4">
        <f>_xlfn.MAXIFS(Tabelle5[[#This Row],[value_points]], Tabelle5[[#This Row],[company_id]],Tabelle18[[#This Row],[company_id]], Tabelle5[[#This Row],[value_id]], Tabelle18[[#This Row],[value_id]], Tabelle5[[#This Row],[value_present]],"1")</f>
        <v>0</v>
      </c>
    </row>
    <row r="49" spans="1:5" x14ac:dyDescent="0.25">
      <c r="A49">
        <v>3</v>
      </c>
      <c r="B49" t="s">
        <v>132</v>
      </c>
      <c r="C49" s="4">
        <f>IF(Tabelle18[[#This Row],[binding_level_company]]&gt;=1,1,0)</f>
        <v>0</v>
      </c>
      <c r="D49" s="4">
        <f>_xlfn.MAXIFS(Tabelle5[[#This Row],[binding_level]], Tabelle5[[#This Row],[company_id]],Tabelle18[[#This Row],[company_id]], Tabelle5[[#This Row],[value_id]], Tabelle18[[#This Row],[value_id]], Tabelle5[[#This Row],[value_present]],"1")</f>
        <v>0</v>
      </c>
      <c r="E49" s="4">
        <f>_xlfn.MAXIFS(Tabelle5[[#This Row],[value_points]], Tabelle5[[#This Row],[company_id]],Tabelle18[[#This Row],[company_id]], Tabelle5[[#This Row],[value_id]], Tabelle18[[#This Row],[value_id]], Tabelle5[[#This Row],[value_present]],"1")</f>
        <v>0</v>
      </c>
    </row>
    <row r="50" spans="1:5" x14ac:dyDescent="0.25">
      <c r="A50">
        <v>3</v>
      </c>
      <c r="B50" t="s">
        <v>140</v>
      </c>
      <c r="C50" s="4">
        <f>IF(Tabelle18[[#This Row],[binding_level_company]]&gt;=1,1,0)</f>
        <v>0</v>
      </c>
      <c r="D50" s="4">
        <f>_xlfn.MAXIFS(Tabelle5[[#This Row],[binding_level]], Tabelle5[[#This Row],[company_id]],Tabelle18[[#This Row],[company_id]], Tabelle5[[#This Row],[value_id]], Tabelle18[[#This Row],[value_id]], Tabelle5[[#This Row],[value_present]],"1")</f>
        <v>0</v>
      </c>
      <c r="E50" s="4">
        <f>_xlfn.MAXIFS(Tabelle5[[#This Row],[value_points]], Tabelle5[[#This Row],[company_id]],Tabelle18[[#This Row],[company_id]], Tabelle5[[#This Row],[value_id]], Tabelle18[[#This Row],[value_id]], Tabelle5[[#This Row],[value_present]],"1")</f>
        <v>0</v>
      </c>
    </row>
    <row r="51" spans="1:5" x14ac:dyDescent="0.25">
      <c r="A51">
        <v>3</v>
      </c>
      <c r="B51" t="s">
        <v>147</v>
      </c>
      <c r="C51" s="4">
        <f>IF(Tabelle18[[#This Row],[binding_level_company]]&gt;=1,1,0)</f>
        <v>1</v>
      </c>
      <c r="D51" s="4">
        <f>_xlfn.MAXIFS(Tabelle5[[#This Row],[binding_level]], Tabelle5[[#This Row],[company_id]],Tabelle18[[#This Row],[company_id]], Tabelle5[[#This Row],[value_id]], Tabelle18[[#This Row],[value_id]], Tabelle5[[#This Row],[value_present]],"1")</f>
        <v>2</v>
      </c>
      <c r="E51" s="4">
        <f>_xlfn.MAXIFS(Tabelle5[[#This Row],[value_points]], Tabelle5[[#This Row],[company_id]],Tabelle18[[#This Row],[company_id]], Tabelle5[[#This Row],[value_id]], Tabelle18[[#This Row],[value_id]], Tabelle5[[#This Row],[value_present]],"1")</f>
        <v>2</v>
      </c>
    </row>
    <row r="52" spans="1:5" x14ac:dyDescent="0.25">
      <c r="A52">
        <v>3</v>
      </c>
      <c r="B52" t="s">
        <v>154</v>
      </c>
      <c r="C52" s="4">
        <f>IF(Tabelle18[[#This Row],[binding_level_company]]&gt;=1,1,0)</f>
        <v>1</v>
      </c>
      <c r="D52" s="4">
        <f>_xlfn.MAXIFS(Tabelle5[[#This Row],[binding_level]], Tabelle5[[#This Row],[company_id]],Tabelle18[[#This Row],[company_id]], Tabelle5[[#This Row],[value_id]], Tabelle18[[#This Row],[value_id]], Tabelle5[[#This Row],[value_present]],"1")</f>
        <v>2</v>
      </c>
      <c r="E52" s="4">
        <f>_xlfn.MAXIFS(Tabelle5[[#This Row],[value_points]], Tabelle5[[#This Row],[company_id]],Tabelle18[[#This Row],[company_id]], Tabelle5[[#This Row],[value_id]], Tabelle18[[#This Row],[value_id]], Tabelle5[[#This Row],[value_present]],"1")</f>
        <v>2</v>
      </c>
    </row>
    <row r="53" spans="1:5" x14ac:dyDescent="0.25">
      <c r="A53">
        <v>3</v>
      </c>
      <c r="B53" t="s">
        <v>161</v>
      </c>
      <c r="C53" s="4">
        <f>IF(Tabelle18[[#This Row],[binding_level_company]]&gt;=1,1,0)</f>
        <v>1</v>
      </c>
      <c r="D53" s="4">
        <f>_xlfn.MAXIFS(Tabelle5[[#This Row],[binding_level]], Tabelle5[[#This Row],[company_id]],Tabelle18[[#This Row],[company_id]], Tabelle5[[#This Row],[value_id]], Tabelle18[[#This Row],[value_id]], Tabelle5[[#This Row],[value_present]],"1")</f>
        <v>2</v>
      </c>
      <c r="E53" s="4">
        <f>_xlfn.MAXIFS(Tabelle5[[#This Row],[value_points]], Tabelle5[[#This Row],[company_id]],Tabelle18[[#This Row],[company_id]], Tabelle5[[#This Row],[value_id]], Tabelle18[[#This Row],[value_id]], Tabelle5[[#This Row],[value_present]],"1")</f>
        <v>2</v>
      </c>
    </row>
    <row r="54" spans="1:5" x14ac:dyDescent="0.25">
      <c r="A54">
        <v>3</v>
      </c>
      <c r="B54" t="s">
        <v>166</v>
      </c>
      <c r="C54" s="4">
        <f>IF(Tabelle18[[#This Row],[binding_level_company]]&gt;=1,1,0)</f>
        <v>0</v>
      </c>
      <c r="D54" s="4">
        <f>_xlfn.MAXIFS(Tabelle5[[#This Row],[binding_level]], Tabelle5[[#This Row],[company_id]],Tabelle18[[#This Row],[company_id]], Tabelle5[[#This Row],[value_id]], Tabelle18[[#This Row],[value_id]], Tabelle5[[#This Row],[value_present]],"1")</f>
        <v>0</v>
      </c>
      <c r="E54" s="4">
        <f>_xlfn.MAXIFS(Tabelle5[[#This Row],[value_points]], Tabelle5[[#This Row],[company_id]],Tabelle18[[#This Row],[company_id]], Tabelle5[[#This Row],[value_id]], Tabelle18[[#This Row],[value_id]], Tabelle5[[#This Row],[value_present]],"1")</f>
        <v>0</v>
      </c>
    </row>
    <row r="55" spans="1:5" ht="15.75" thickBot="1" x14ac:dyDescent="0.3">
      <c r="A55">
        <v>3</v>
      </c>
      <c r="B55" s="30" t="s">
        <v>174</v>
      </c>
      <c r="C55" s="4">
        <f>IF(Tabelle18[[#This Row],[binding_level_company]]&gt;=1,1,0)</f>
        <v>0</v>
      </c>
      <c r="D55" s="4">
        <f>_xlfn.MAXIFS(Tabelle5[[#This Row],[binding_level]], Tabelle5[[#This Row],[company_id]],Tabelle18[[#This Row],[company_id]], Tabelle5[[#This Row],[value_id]], Tabelle18[[#This Row],[value_id]], Tabelle5[[#This Row],[value_present]],"1")</f>
        <v>0</v>
      </c>
      <c r="E55" s="4">
        <f>_xlfn.MAXIFS(Tabelle5[[#This Row],[value_points]], Tabelle5[[#This Row],[company_id]],Tabelle18[[#This Row],[company_id]], Tabelle5[[#This Row],[value_id]], Tabelle18[[#This Row],[value_id]], Tabelle5[[#This Row],[value_present]],"1")</f>
        <v>0</v>
      </c>
    </row>
    <row r="56" spans="1:5" x14ac:dyDescent="0.25">
      <c r="A56">
        <v>4</v>
      </c>
      <c r="B56" s="22" t="s">
        <v>53</v>
      </c>
      <c r="C56" s="4">
        <f>IF(Tabelle18[[#This Row],[binding_level_company]]&gt;=1,1,0)</f>
        <v>0</v>
      </c>
      <c r="D56" s="4">
        <f>_xlfn.MAXIFS(Tabelle5[[#This Row],[binding_level]], Tabelle5[[#This Row],[company_id]],Tabelle18[[#This Row],[company_id]], Tabelle5[[#This Row],[value_id]], Tabelle18[[#This Row],[value_id]], Tabelle5[[#This Row],[value_present]],"1")</f>
        <v>0</v>
      </c>
      <c r="E56" s="4">
        <f>_xlfn.MAXIFS(Tabelle5[[#This Row],[value_points]], Tabelle5[[#This Row],[company_id]],Tabelle18[[#This Row],[company_id]], Tabelle5[[#This Row],[value_id]], Tabelle18[[#This Row],[value_id]], Tabelle5[[#This Row],[value_present]],"1")</f>
        <v>0</v>
      </c>
    </row>
    <row r="57" spans="1:5" x14ac:dyDescent="0.25">
      <c r="A57">
        <v>4</v>
      </c>
      <c r="B57" t="s">
        <v>61</v>
      </c>
      <c r="C57" s="4">
        <f>IF(Tabelle18[[#This Row],[binding_level_company]]&gt;=1,1,0)</f>
        <v>0</v>
      </c>
      <c r="D57" s="4">
        <f>_xlfn.MAXIFS(Tabelle5[[#This Row],[binding_level]], Tabelle5[[#This Row],[company_id]],Tabelle18[[#This Row],[company_id]], Tabelle5[[#This Row],[value_id]], Tabelle18[[#This Row],[value_id]], Tabelle5[[#This Row],[value_present]],"1")</f>
        <v>0</v>
      </c>
      <c r="E57" s="4">
        <f>_xlfn.MAXIFS(Tabelle5[[#This Row],[value_points]], Tabelle5[[#This Row],[company_id]],Tabelle18[[#This Row],[company_id]], Tabelle5[[#This Row],[value_id]], Tabelle18[[#This Row],[value_id]], Tabelle5[[#This Row],[value_present]],"1")</f>
        <v>0</v>
      </c>
    </row>
    <row r="58" spans="1:5" x14ac:dyDescent="0.25">
      <c r="A58">
        <v>4</v>
      </c>
      <c r="B58" t="s">
        <v>69</v>
      </c>
      <c r="C58" s="4">
        <f>IF(Tabelle18[[#This Row],[binding_level_company]]&gt;=1,1,0)</f>
        <v>0</v>
      </c>
      <c r="D58" s="4">
        <f>_xlfn.MAXIFS(Tabelle5[[#This Row],[binding_level]], Tabelle5[[#This Row],[company_id]],Tabelle18[[#This Row],[company_id]], Tabelle5[[#This Row],[value_id]], Tabelle18[[#This Row],[value_id]], Tabelle5[[#This Row],[value_present]],"1")</f>
        <v>0</v>
      </c>
      <c r="E58" s="4">
        <f>_xlfn.MAXIFS(Tabelle5[[#This Row],[value_points]], Tabelle5[[#This Row],[company_id]],Tabelle18[[#This Row],[company_id]], Tabelle5[[#This Row],[value_id]], Tabelle18[[#This Row],[value_id]], Tabelle5[[#This Row],[value_present]],"1")</f>
        <v>0</v>
      </c>
    </row>
    <row r="59" spans="1:5" x14ac:dyDescent="0.25">
      <c r="A59">
        <v>4</v>
      </c>
      <c r="B59" t="s">
        <v>76</v>
      </c>
      <c r="C59" s="4">
        <f>IF(Tabelle18[[#This Row],[binding_level_company]]&gt;=1,1,0)</f>
        <v>0</v>
      </c>
      <c r="D59" s="4">
        <f>_xlfn.MAXIFS(Tabelle5[[#This Row],[binding_level]], Tabelle5[[#This Row],[company_id]],Tabelle18[[#This Row],[company_id]], Tabelle5[[#This Row],[value_id]], Tabelle18[[#This Row],[value_id]], Tabelle5[[#This Row],[value_present]],"1")</f>
        <v>0</v>
      </c>
      <c r="E59" s="4">
        <f>_xlfn.MAXIFS(Tabelle5[[#This Row],[value_points]], Tabelle5[[#This Row],[company_id]],Tabelle18[[#This Row],[company_id]], Tabelle5[[#This Row],[value_id]], Tabelle18[[#This Row],[value_id]], Tabelle5[[#This Row],[value_present]],"1")</f>
        <v>0</v>
      </c>
    </row>
    <row r="60" spans="1:5" x14ac:dyDescent="0.25">
      <c r="A60">
        <v>4</v>
      </c>
      <c r="B60" t="s">
        <v>83</v>
      </c>
      <c r="C60" s="4">
        <f>IF(Tabelle18[[#This Row],[binding_level_company]]&gt;=1,1,0)</f>
        <v>0</v>
      </c>
      <c r="D60" s="4">
        <f>_xlfn.MAXIFS(Tabelle5[[#This Row],[binding_level]], Tabelle5[[#This Row],[company_id]],Tabelle18[[#This Row],[company_id]], Tabelle5[[#This Row],[value_id]], Tabelle18[[#This Row],[value_id]], Tabelle5[[#This Row],[value_present]],"1")</f>
        <v>0</v>
      </c>
      <c r="E60" s="4">
        <f>_xlfn.MAXIFS(Tabelle5[[#This Row],[value_points]], Tabelle5[[#This Row],[company_id]],Tabelle18[[#This Row],[company_id]], Tabelle5[[#This Row],[value_id]], Tabelle18[[#This Row],[value_id]], Tabelle5[[#This Row],[value_present]],"1")</f>
        <v>0</v>
      </c>
    </row>
    <row r="61" spans="1:5" x14ac:dyDescent="0.25">
      <c r="A61">
        <v>4</v>
      </c>
      <c r="B61" t="s">
        <v>90</v>
      </c>
      <c r="C61" s="4">
        <f>IF(Tabelle18[[#This Row],[binding_level_company]]&gt;=1,1,0)</f>
        <v>0</v>
      </c>
      <c r="D61" s="4">
        <f>_xlfn.MAXIFS(Tabelle5[[#This Row],[binding_level]], Tabelle5[[#This Row],[company_id]],Tabelle18[[#This Row],[company_id]], Tabelle5[[#This Row],[value_id]], Tabelle18[[#This Row],[value_id]], Tabelle5[[#This Row],[value_present]],"1")</f>
        <v>0</v>
      </c>
      <c r="E61" s="4">
        <f>_xlfn.MAXIFS(Tabelle5[[#This Row],[value_points]], Tabelle5[[#This Row],[company_id]],Tabelle18[[#This Row],[company_id]], Tabelle5[[#This Row],[value_id]], Tabelle18[[#This Row],[value_id]], Tabelle5[[#This Row],[value_present]],"1")</f>
        <v>0</v>
      </c>
    </row>
    <row r="62" spans="1:5" x14ac:dyDescent="0.25">
      <c r="A62">
        <v>4</v>
      </c>
      <c r="B62" t="s">
        <v>98</v>
      </c>
      <c r="C62" s="4">
        <f>IF(Tabelle18[[#This Row],[binding_level_company]]&gt;=1,1,0)</f>
        <v>0</v>
      </c>
      <c r="D62" s="4">
        <f>_xlfn.MAXIFS(Tabelle5[[#This Row],[binding_level]], Tabelle5[[#This Row],[company_id]],Tabelle18[[#This Row],[company_id]], Tabelle5[[#This Row],[value_id]], Tabelle18[[#This Row],[value_id]], Tabelle5[[#This Row],[value_present]],"1")</f>
        <v>0</v>
      </c>
      <c r="E62" s="4">
        <f>_xlfn.MAXIFS(Tabelle5[[#This Row],[value_points]], Tabelle5[[#This Row],[company_id]],Tabelle18[[#This Row],[company_id]], Tabelle5[[#This Row],[value_id]], Tabelle18[[#This Row],[value_id]], Tabelle5[[#This Row],[value_present]],"1")</f>
        <v>0</v>
      </c>
    </row>
    <row r="63" spans="1:5" x14ac:dyDescent="0.25">
      <c r="A63">
        <v>4</v>
      </c>
      <c r="B63" t="s">
        <v>106</v>
      </c>
      <c r="C63" s="4">
        <f>IF(Tabelle18[[#This Row],[binding_level_company]]&gt;=1,1,0)</f>
        <v>0</v>
      </c>
      <c r="D63" s="4">
        <f>_xlfn.MAXIFS(Tabelle5[[#This Row],[binding_level]], Tabelle5[[#This Row],[company_id]],Tabelle18[[#This Row],[company_id]], Tabelle5[[#This Row],[value_id]], Tabelle18[[#This Row],[value_id]], Tabelle5[[#This Row],[value_present]],"1")</f>
        <v>0</v>
      </c>
      <c r="E63" s="4">
        <f>_xlfn.MAXIFS(Tabelle5[[#This Row],[value_points]], Tabelle5[[#This Row],[company_id]],Tabelle18[[#This Row],[company_id]], Tabelle5[[#This Row],[value_id]], Tabelle18[[#This Row],[value_id]], Tabelle5[[#This Row],[value_present]],"1")</f>
        <v>0</v>
      </c>
    </row>
    <row r="64" spans="1:5" x14ac:dyDescent="0.25">
      <c r="A64">
        <v>4</v>
      </c>
      <c r="B64" t="s">
        <v>112</v>
      </c>
      <c r="C64" s="4">
        <f>IF(Tabelle18[[#This Row],[binding_level_company]]&gt;=1,1,0)</f>
        <v>0</v>
      </c>
      <c r="D64" s="4">
        <f>_xlfn.MAXIFS(Tabelle5[[#This Row],[binding_level]], Tabelle5[[#This Row],[company_id]],Tabelle18[[#This Row],[company_id]], Tabelle5[[#This Row],[value_id]], Tabelle18[[#This Row],[value_id]], Tabelle5[[#This Row],[value_present]],"1")</f>
        <v>0</v>
      </c>
      <c r="E64" s="4">
        <f>_xlfn.MAXIFS(Tabelle5[[#This Row],[value_points]], Tabelle5[[#This Row],[company_id]],Tabelle18[[#This Row],[company_id]], Tabelle5[[#This Row],[value_id]], Tabelle18[[#This Row],[value_id]], Tabelle5[[#This Row],[value_present]],"1")</f>
        <v>0</v>
      </c>
    </row>
    <row r="65" spans="1:5" x14ac:dyDescent="0.25">
      <c r="A65">
        <v>4</v>
      </c>
      <c r="B65" t="s">
        <v>118</v>
      </c>
      <c r="C65" s="4">
        <f>IF(Tabelle18[[#This Row],[binding_level_company]]&gt;=1,1,0)</f>
        <v>0</v>
      </c>
      <c r="D65" s="4">
        <f>_xlfn.MAXIFS(Tabelle5[[#This Row],[binding_level]], Tabelle5[[#This Row],[company_id]],Tabelle18[[#This Row],[company_id]], Tabelle5[[#This Row],[value_id]], Tabelle18[[#This Row],[value_id]], Tabelle5[[#This Row],[value_present]],"1")</f>
        <v>0</v>
      </c>
      <c r="E65" s="4">
        <f>_xlfn.MAXIFS(Tabelle5[[#This Row],[value_points]], Tabelle5[[#This Row],[company_id]],Tabelle18[[#This Row],[company_id]], Tabelle5[[#This Row],[value_id]], Tabelle18[[#This Row],[value_id]], Tabelle5[[#This Row],[value_present]],"1")</f>
        <v>0</v>
      </c>
    </row>
    <row r="66" spans="1:5" x14ac:dyDescent="0.25">
      <c r="A66">
        <v>4</v>
      </c>
      <c r="B66" t="s">
        <v>125</v>
      </c>
      <c r="C66" s="4">
        <f>IF(Tabelle18[[#This Row],[binding_level_company]]&gt;=1,1,0)</f>
        <v>0</v>
      </c>
      <c r="D66" s="4">
        <f>_xlfn.MAXIFS(Tabelle5[[#This Row],[binding_level]], Tabelle5[[#This Row],[company_id]],Tabelle18[[#This Row],[company_id]], Tabelle5[[#This Row],[value_id]], Tabelle18[[#This Row],[value_id]], Tabelle5[[#This Row],[value_present]],"1")</f>
        <v>0</v>
      </c>
      <c r="E66" s="4">
        <f>_xlfn.MAXIFS(Tabelle5[[#This Row],[value_points]], Tabelle5[[#This Row],[company_id]],Tabelle18[[#This Row],[company_id]], Tabelle5[[#This Row],[value_id]], Tabelle18[[#This Row],[value_id]], Tabelle5[[#This Row],[value_present]],"1")</f>
        <v>0</v>
      </c>
    </row>
    <row r="67" spans="1:5" x14ac:dyDescent="0.25">
      <c r="A67">
        <v>4</v>
      </c>
      <c r="B67" t="s">
        <v>132</v>
      </c>
      <c r="C67" s="4">
        <f>IF(Tabelle18[[#This Row],[binding_level_company]]&gt;=1,1,0)</f>
        <v>0</v>
      </c>
      <c r="D67" s="4">
        <f>_xlfn.MAXIFS(Tabelle5[[#This Row],[binding_level]], Tabelle5[[#This Row],[company_id]],Tabelle18[[#This Row],[company_id]], Tabelle5[[#This Row],[value_id]], Tabelle18[[#This Row],[value_id]], Tabelle5[[#This Row],[value_present]],"1")</f>
        <v>0</v>
      </c>
      <c r="E67" s="4">
        <f>_xlfn.MAXIFS(Tabelle5[[#This Row],[value_points]], Tabelle5[[#This Row],[company_id]],Tabelle18[[#This Row],[company_id]], Tabelle5[[#This Row],[value_id]], Tabelle18[[#This Row],[value_id]], Tabelle5[[#This Row],[value_present]],"1")</f>
        <v>0</v>
      </c>
    </row>
    <row r="68" spans="1:5" x14ac:dyDescent="0.25">
      <c r="A68">
        <v>4</v>
      </c>
      <c r="B68" t="s">
        <v>140</v>
      </c>
      <c r="C68" s="4">
        <f>IF(Tabelle18[[#This Row],[binding_level_company]]&gt;=1,1,0)</f>
        <v>0</v>
      </c>
      <c r="D68" s="4">
        <f>_xlfn.MAXIFS(Tabelle5[[#This Row],[binding_level]], Tabelle5[[#This Row],[company_id]],Tabelle18[[#This Row],[company_id]], Tabelle5[[#This Row],[value_id]], Tabelle18[[#This Row],[value_id]], Tabelle5[[#This Row],[value_present]],"1")</f>
        <v>0</v>
      </c>
      <c r="E68" s="4">
        <f>_xlfn.MAXIFS(Tabelle5[[#This Row],[value_points]], Tabelle5[[#This Row],[company_id]],Tabelle18[[#This Row],[company_id]], Tabelle5[[#This Row],[value_id]], Tabelle18[[#This Row],[value_id]], Tabelle5[[#This Row],[value_present]],"1")</f>
        <v>0</v>
      </c>
    </row>
    <row r="69" spans="1:5" x14ac:dyDescent="0.25">
      <c r="A69">
        <v>4</v>
      </c>
      <c r="B69" t="s">
        <v>147</v>
      </c>
      <c r="C69" s="4">
        <f>IF(Tabelle18[[#This Row],[binding_level_company]]&gt;=1,1,0)</f>
        <v>0</v>
      </c>
      <c r="D69" s="4">
        <f>_xlfn.MAXIFS(Tabelle5[[#This Row],[binding_level]], Tabelle5[[#This Row],[company_id]],Tabelle18[[#This Row],[company_id]], Tabelle5[[#This Row],[value_id]], Tabelle18[[#This Row],[value_id]], Tabelle5[[#This Row],[value_present]],"1")</f>
        <v>0</v>
      </c>
      <c r="E69" s="4">
        <f>_xlfn.MAXIFS(Tabelle5[[#This Row],[value_points]], Tabelle5[[#This Row],[company_id]],Tabelle18[[#This Row],[company_id]], Tabelle5[[#This Row],[value_id]], Tabelle18[[#This Row],[value_id]], Tabelle5[[#This Row],[value_present]],"1")</f>
        <v>0</v>
      </c>
    </row>
    <row r="70" spans="1:5" x14ac:dyDescent="0.25">
      <c r="A70">
        <v>4</v>
      </c>
      <c r="B70" t="s">
        <v>154</v>
      </c>
      <c r="C70" s="4">
        <f>IF(Tabelle18[[#This Row],[binding_level_company]]&gt;=1,1,0)</f>
        <v>0</v>
      </c>
      <c r="D70" s="4">
        <f>_xlfn.MAXIFS(Tabelle5[[#This Row],[binding_level]], Tabelle5[[#This Row],[company_id]],Tabelle18[[#This Row],[company_id]], Tabelle5[[#This Row],[value_id]], Tabelle18[[#This Row],[value_id]], Tabelle5[[#This Row],[value_present]],"1")</f>
        <v>0</v>
      </c>
      <c r="E70" s="4">
        <f>_xlfn.MAXIFS(Tabelle5[[#This Row],[value_points]], Tabelle5[[#This Row],[company_id]],Tabelle18[[#This Row],[company_id]], Tabelle5[[#This Row],[value_id]], Tabelle18[[#This Row],[value_id]], Tabelle5[[#This Row],[value_present]],"1")</f>
        <v>0</v>
      </c>
    </row>
    <row r="71" spans="1:5" x14ac:dyDescent="0.25">
      <c r="A71">
        <v>4</v>
      </c>
      <c r="B71" t="s">
        <v>161</v>
      </c>
      <c r="C71" s="4">
        <f>IF(Tabelle18[[#This Row],[binding_level_company]]&gt;=1,1,0)</f>
        <v>0</v>
      </c>
      <c r="D71" s="4">
        <f>_xlfn.MAXIFS(Tabelle5[[#This Row],[binding_level]], Tabelle5[[#This Row],[company_id]],Tabelle18[[#This Row],[company_id]], Tabelle5[[#This Row],[value_id]], Tabelle18[[#This Row],[value_id]], Tabelle5[[#This Row],[value_present]],"1")</f>
        <v>0</v>
      </c>
      <c r="E71" s="4">
        <f>_xlfn.MAXIFS(Tabelle5[[#This Row],[value_points]], Tabelle5[[#This Row],[company_id]],Tabelle18[[#This Row],[company_id]], Tabelle5[[#This Row],[value_id]], Tabelle18[[#This Row],[value_id]], Tabelle5[[#This Row],[value_present]],"1")</f>
        <v>0</v>
      </c>
    </row>
    <row r="72" spans="1:5" x14ac:dyDescent="0.25">
      <c r="A72">
        <v>4</v>
      </c>
      <c r="B72" t="s">
        <v>166</v>
      </c>
      <c r="C72" s="4">
        <f>IF(Tabelle18[[#This Row],[binding_level_company]]&gt;=1,1,0)</f>
        <v>0</v>
      </c>
      <c r="D72" s="4">
        <f>_xlfn.MAXIFS(Tabelle5[[#This Row],[binding_level]], Tabelle5[[#This Row],[company_id]],Tabelle18[[#This Row],[company_id]], Tabelle5[[#This Row],[value_id]], Tabelle18[[#This Row],[value_id]], Tabelle5[[#This Row],[value_present]],"1")</f>
        <v>0</v>
      </c>
      <c r="E72" s="4">
        <f>_xlfn.MAXIFS(Tabelle5[[#This Row],[value_points]], Tabelle5[[#This Row],[company_id]],Tabelle18[[#This Row],[company_id]], Tabelle5[[#This Row],[value_id]], Tabelle18[[#This Row],[value_id]], Tabelle5[[#This Row],[value_present]],"1")</f>
        <v>0</v>
      </c>
    </row>
    <row r="73" spans="1:5" ht="15.75" thickBot="1" x14ac:dyDescent="0.3">
      <c r="A73">
        <v>4</v>
      </c>
      <c r="B73" s="30" t="s">
        <v>174</v>
      </c>
      <c r="C73" s="4">
        <f>IF(Tabelle18[[#This Row],[binding_level_company]]&gt;=1,1,0)</f>
        <v>0</v>
      </c>
      <c r="D73" s="4">
        <f>_xlfn.MAXIFS(Tabelle5[[#This Row],[binding_level]], Tabelle5[[#This Row],[company_id]],Tabelle18[[#This Row],[company_id]], Tabelle5[[#This Row],[value_id]], Tabelle18[[#This Row],[value_id]], Tabelle5[[#This Row],[value_present]],"1")</f>
        <v>0</v>
      </c>
      <c r="E73" s="4">
        <f>_xlfn.MAXIFS(Tabelle5[[#This Row],[value_points]], Tabelle5[[#This Row],[company_id]],Tabelle18[[#This Row],[company_id]], Tabelle5[[#This Row],[value_id]], Tabelle18[[#This Row],[value_id]], Tabelle5[[#This Row],[value_present]],"1")</f>
        <v>0</v>
      </c>
    </row>
    <row r="74" spans="1:5" x14ac:dyDescent="0.25">
      <c r="A74">
        <v>5</v>
      </c>
      <c r="B74" s="22" t="s">
        <v>53</v>
      </c>
      <c r="C74" s="4">
        <f>IF(Tabelle18[[#This Row],[binding_level_company]]&gt;=1,1,0)</f>
        <v>0</v>
      </c>
      <c r="D74" s="4">
        <f>_xlfn.MAXIFS(Tabelle5[[#This Row],[binding_level]], Tabelle5[[#This Row],[company_id]],Tabelle18[[#This Row],[company_id]], Tabelle5[[#This Row],[value_id]], Tabelle18[[#This Row],[value_id]], Tabelle5[[#This Row],[value_present]],"1")</f>
        <v>0</v>
      </c>
      <c r="E74" s="4">
        <f>_xlfn.MAXIFS(Tabelle5[[#This Row],[value_points]], Tabelle5[[#This Row],[company_id]],Tabelle18[[#This Row],[company_id]], Tabelle5[[#This Row],[value_id]], Tabelle18[[#This Row],[value_id]], Tabelle5[[#This Row],[value_present]],"1")</f>
        <v>0</v>
      </c>
    </row>
    <row r="75" spans="1:5" x14ac:dyDescent="0.25">
      <c r="A75">
        <v>5</v>
      </c>
      <c r="B75" t="s">
        <v>61</v>
      </c>
      <c r="C75" s="4">
        <f>IF(Tabelle18[[#This Row],[binding_level_company]]&gt;=1,1,0)</f>
        <v>0</v>
      </c>
      <c r="D75" s="4">
        <f>_xlfn.MAXIFS(Tabelle5[[#This Row],[binding_level]], Tabelle5[[#This Row],[company_id]],Tabelle18[[#This Row],[company_id]], Tabelle5[[#This Row],[value_id]], Tabelle18[[#This Row],[value_id]], Tabelle5[[#This Row],[value_present]],"1")</f>
        <v>0</v>
      </c>
      <c r="E75" s="4">
        <f>_xlfn.MAXIFS(Tabelle5[[#This Row],[value_points]], Tabelle5[[#This Row],[company_id]],Tabelle18[[#This Row],[company_id]], Tabelle5[[#This Row],[value_id]], Tabelle18[[#This Row],[value_id]], Tabelle5[[#This Row],[value_present]],"1")</f>
        <v>0</v>
      </c>
    </row>
    <row r="76" spans="1:5" x14ac:dyDescent="0.25">
      <c r="A76">
        <v>5</v>
      </c>
      <c r="B76" t="s">
        <v>69</v>
      </c>
      <c r="C76" s="4">
        <f>IF(Tabelle18[[#This Row],[binding_level_company]]&gt;=1,1,0)</f>
        <v>0</v>
      </c>
      <c r="D76" s="4">
        <f>_xlfn.MAXIFS(Tabelle5[[#This Row],[binding_level]], Tabelle5[[#This Row],[company_id]],Tabelle18[[#This Row],[company_id]], Tabelle5[[#This Row],[value_id]], Tabelle18[[#This Row],[value_id]], Tabelle5[[#This Row],[value_present]],"1")</f>
        <v>0</v>
      </c>
      <c r="E76" s="4">
        <f>_xlfn.MAXIFS(Tabelle5[[#This Row],[value_points]], Tabelle5[[#This Row],[company_id]],Tabelle18[[#This Row],[company_id]], Tabelle5[[#This Row],[value_id]], Tabelle18[[#This Row],[value_id]], Tabelle5[[#This Row],[value_present]],"1")</f>
        <v>0</v>
      </c>
    </row>
    <row r="77" spans="1:5" x14ac:dyDescent="0.25">
      <c r="A77">
        <v>5</v>
      </c>
      <c r="B77" t="s">
        <v>76</v>
      </c>
      <c r="C77" s="4">
        <f>IF(Tabelle18[[#This Row],[binding_level_company]]&gt;=1,1,0)</f>
        <v>0</v>
      </c>
      <c r="D77" s="4">
        <f>_xlfn.MAXIFS(Tabelle5[[#This Row],[binding_level]], Tabelle5[[#This Row],[company_id]],Tabelle18[[#This Row],[company_id]], Tabelle5[[#This Row],[value_id]], Tabelle18[[#This Row],[value_id]], Tabelle5[[#This Row],[value_present]],"1")</f>
        <v>0</v>
      </c>
      <c r="E77" s="4">
        <f>_xlfn.MAXIFS(Tabelle5[[#This Row],[value_points]], Tabelle5[[#This Row],[company_id]],Tabelle18[[#This Row],[company_id]], Tabelle5[[#This Row],[value_id]], Tabelle18[[#This Row],[value_id]], Tabelle5[[#This Row],[value_present]],"1")</f>
        <v>0</v>
      </c>
    </row>
    <row r="78" spans="1:5" x14ac:dyDescent="0.25">
      <c r="A78">
        <v>5</v>
      </c>
      <c r="B78" t="s">
        <v>83</v>
      </c>
      <c r="C78" s="4">
        <f>IF(Tabelle18[[#This Row],[binding_level_company]]&gt;=1,1,0)</f>
        <v>0</v>
      </c>
      <c r="D78" s="4">
        <f>_xlfn.MAXIFS(Tabelle5[[#This Row],[binding_level]], Tabelle5[[#This Row],[company_id]],Tabelle18[[#This Row],[company_id]], Tabelle5[[#This Row],[value_id]], Tabelle18[[#This Row],[value_id]], Tabelle5[[#This Row],[value_present]],"1")</f>
        <v>0</v>
      </c>
      <c r="E78" s="4">
        <f>_xlfn.MAXIFS(Tabelle5[[#This Row],[value_points]], Tabelle5[[#This Row],[company_id]],Tabelle18[[#This Row],[company_id]], Tabelle5[[#This Row],[value_id]], Tabelle18[[#This Row],[value_id]], Tabelle5[[#This Row],[value_present]],"1")</f>
        <v>0</v>
      </c>
    </row>
    <row r="79" spans="1:5" x14ac:dyDescent="0.25">
      <c r="A79">
        <v>5</v>
      </c>
      <c r="B79" t="s">
        <v>90</v>
      </c>
      <c r="C79" s="4">
        <f>IF(Tabelle18[[#This Row],[binding_level_company]]&gt;=1,1,0)</f>
        <v>0</v>
      </c>
      <c r="D79" s="4">
        <f>_xlfn.MAXIFS(Tabelle5[[#This Row],[binding_level]], Tabelle5[[#This Row],[company_id]],Tabelle18[[#This Row],[company_id]], Tabelle5[[#This Row],[value_id]], Tabelle18[[#This Row],[value_id]], Tabelle5[[#This Row],[value_present]],"1")</f>
        <v>0</v>
      </c>
      <c r="E79" s="4">
        <f>_xlfn.MAXIFS(Tabelle5[[#This Row],[value_points]], Tabelle5[[#This Row],[company_id]],Tabelle18[[#This Row],[company_id]], Tabelle5[[#This Row],[value_id]], Tabelle18[[#This Row],[value_id]], Tabelle5[[#This Row],[value_present]],"1")</f>
        <v>0</v>
      </c>
    </row>
    <row r="80" spans="1:5" x14ac:dyDescent="0.25">
      <c r="A80">
        <v>5</v>
      </c>
      <c r="B80" t="s">
        <v>98</v>
      </c>
      <c r="C80" s="4">
        <f>IF(Tabelle18[[#This Row],[binding_level_company]]&gt;=1,1,0)</f>
        <v>0</v>
      </c>
      <c r="D80" s="4">
        <f>_xlfn.MAXIFS(Tabelle5[[#This Row],[binding_level]], Tabelle5[[#This Row],[company_id]],Tabelle18[[#This Row],[company_id]], Tabelle5[[#This Row],[value_id]], Tabelle18[[#This Row],[value_id]], Tabelle5[[#This Row],[value_present]],"1")</f>
        <v>0</v>
      </c>
      <c r="E80" s="4">
        <f>_xlfn.MAXIFS(Tabelle5[[#This Row],[value_points]], Tabelle5[[#This Row],[company_id]],Tabelle18[[#This Row],[company_id]], Tabelle5[[#This Row],[value_id]], Tabelle18[[#This Row],[value_id]], Tabelle5[[#This Row],[value_present]],"1")</f>
        <v>0</v>
      </c>
    </row>
    <row r="81" spans="1:5" x14ac:dyDescent="0.25">
      <c r="A81">
        <v>5</v>
      </c>
      <c r="B81" t="s">
        <v>106</v>
      </c>
      <c r="C81" s="4">
        <f>IF(Tabelle18[[#This Row],[binding_level_company]]&gt;=1,1,0)</f>
        <v>0</v>
      </c>
      <c r="D81" s="4">
        <f>_xlfn.MAXIFS(Tabelle5[[#This Row],[binding_level]], Tabelle5[[#This Row],[company_id]],Tabelle18[[#This Row],[company_id]], Tabelle5[[#This Row],[value_id]], Tabelle18[[#This Row],[value_id]], Tabelle5[[#This Row],[value_present]],"1")</f>
        <v>0</v>
      </c>
      <c r="E81" s="4">
        <f>_xlfn.MAXIFS(Tabelle5[[#This Row],[value_points]], Tabelle5[[#This Row],[company_id]],Tabelle18[[#This Row],[company_id]], Tabelle5[[#This Row],[value_id]], Tabelle18[[#This Row],[value_id]], Tabelle5[[#This Row],[value_present]],"1")</f>
        <v>0</v>
      </c>
    </row>
    <row r="82" spans="1:5" x14ac:dyDescent="0.25">
      <c r="A82">
        <v>5</v>
      </c>
      <c r="B82" t="s">
        <v>112</v>
      </c>
      <c r="C82" s="4">
        <f>IF(Tabelle18[[#This Row],[binding_level_company]]&gt;=1,1,0)</f>
        <v>0</v>
      </c>
      <c r="D82" s="4">
        <f>_xlfn.MAXIFS(Tabelle5[[#This Row],[binding_level]], Tabelle5[[#This Row],[company_id]],Tabelle18[[#This Row],[company_id]], Tabelle5[[#This Row],[value_id]], Tabelle18[[#This Row],[value_id]], Tabelle5[[#This Row],[value_present]],"1")</f>
        <v>0</v>
      </c>
      <c r="E82" s="4">
        <f>_xlfn.MAXIFS(Tabelle5[[#This Row],[value_points]], Tabelle5[[#This Row],[company_id]],Tabelle18[[#This Row],[company_id]], Tabelle5[[#This Row],[value_id]], Tabelle18[[#This Row],[value_id]], Tabelle5[[#This Row],[value_present]],"1")</f>
        <v>0</v>
      </c>
    </row>
    <row r="83" spans="1:5" x14ac:dyDescent="0.25">
      <c r="A83">
        <v>5</v>
      </c>
      <c r="B83" t="s">
        <v>118</v>
      </c>
      <c r="C83" s="4">
        <f>IF(Tabelle18[[#This Row],[binding_level_company]]&gt;=1,1,0)</f>
        <v>0</v>
      </c>
      <c r="D83" s="4">
        <f>_xlfn.MAXIFS(Tabelle5[[#This Row],[binding_level]], Tabelle5[[#This Row],[company_id]],Tabelle18[[#This Row],[company_id]], Tabelle5[[#This Row],[value_id]], Tabelle18[[#This Row],[value_id]], Tabelle5[[#This Row],[value_present]],"1")</f>
        <v>0</v>
      </c>
      <c r="E83" s="4">
        <f>_xlfn.MAXIFS(Tabelle5[[#This Row],[value_points]], Tabelle5[[#This Row],[company_id]],Tabelle18[[#This Row],[company_id]], Tabelle5[[#This Row],[value_id]], Tabelle18[[#This Row],[value_id]], Tabelle5[[#This Row],[value_present]],"1")</f>
        <v>0</v>
      </c>
    </row>
    <row r="84" spans="1:5" x14ac:dyDescent="0.25">
      <c r="A84">
        <v>5</v>
      </c>
      <c r="B84" t="s">
        <v>125</v>
      </c>
      <c r="C84" s="4">
        <f>IF(Tabelle18[[#This Row],[binding_level_company]]&gt;=1,1,0)</f>
        <v>0</v>
      </c>
      <c r="D84" s="4">
        <f>_xlfn.MAXIFS(Tabelle5[[#This Row],[binding_level]], Tabelle5[[#This Row],[company_id]],Tabelle18[[#This Row],[company_id]], Tabelle5[[#This Row],[value_id]], Tabelle18[[#This Row],[value_id]], Tabelle5[[#This Row],[value_present]],"1")</f>
        <v>0</v>
      </c>
      <c r="E84" s="4">
        <f>_xlfn.MAXIFS(Tabelle5[[#This Row],[value_points]], Tabelle5[[#This Row],[company_id]],Tabelle18[[#This Row],[company_id]], Tabelle5[[#This Row],[value_id]], Tabelle18[[#This Row],[value_id]], Tabelle5[[#This Row],[value_present]],"1")</f>
        <v>0</v>
      </c>
    </row>
    <row r="85" spans="1:5" x14ac:dyDescent="0.25">
      <c r="A85">
        <v>5</v>
      </c>
      <c r="B85" t="s">
        <v>132</v>
      </c>
      <c r="C85" s="4">
        <f>IF(Tabelle18[[#This Row],[binding_level_company]]&gt;=1,1,0)</f>
        <v>0</v>
      </c>
      <c r="D85" s="4">
        <f>_xlfn.MAXIFS(Tabelle5[[#This Row],[binding_level]], Tabelle5[[#This Row],[company_id]],Tabelle18[[#This Row],[company_id]], Tabelle5[[#This Row],[value_id]], Tabelle18[[#This Row],[value_id]], Tabelle5[[#This Row],[value_present]],"1")</f>
        <v>0</v>
      </c>
      <c r="E85" s="4">
        <f>_xlfn.MAXIFS(Tabelle5[[#This Row],[value_points]], Tabelle5[[#This Row],[company_id]],Tabelle18[[#This Row],[company_id]], Tabelle5[[#This Row],[value_id]], Tabelle18[[#This Row],[value_id]], Tabelle5[[#This Row],[value_present]],"1")</f>
        <v>0</v>
      </c>
    </row>
    <row r="86" spans="1:5" x14ac:dyDescent="0.25">
      <c r="A86">
        <v>5</v>
      </c>
      <c r="B86" t="s">
        <v>140</v>
      </c>
      <c r="C86" s="4">
        <f>IF(Tabelle18[[#This Row],[binding_level_company]]&gt;=1,1,0)</f>
        <v>0</v>
      </c>
      <c r="D86" s="4">
        <f>_xlfn.MAXIFS(Tabelle5[[#This Row],[binding_level]], Tabelle5[[#This Row],[company_id]],Tabelle18[[#This Row],[company_id]], Tabelle5[[#This Row],[value_id]], Tabelle18[[#This Row],[value_id]], Tabelle5[[#This Row],[value_present]],"1")</f>
        <v>0</v>
      </c>
      <c r="E86" s="4">
        <f>_xlfn.MAXIFS(Tabelle5[[#This Row],[value_points]], Tabelle5[[#This Row],[company_id]],Tabelle18[[#This Row],[company_id]], Tabelle5[[#This Row],[value_id]], Tabelle18[[#This Row],[value_id]], Tabelle5[[#This Row],[value_present]],"1")</f>
        <v>0</v>
      </c>
    </row>
    <row r="87" spans="1:5" x14ac:dyDescent="0.25">
      <c r="A87">
        <v>5</v>
      </c>
      <c r="B87" t="s">
        <v>147</v>
      </c>
      <c r="C87" s="4">
        <f>IF(Tabelle18[[#This Row],[binding_level_company]]&gt;=1,1,0)</f>
        <v>0</v>
      </c>
      <c r="D87" s="4">
        <f>_xlfn.MAXIFS(Tabelle5[[#This Row],[binding_level]], Tabelle5[[#This Row],[company_id]],Tabelle18[[#This Row],[company_id]], Tabelle5[[#This Row],[value_id]], Tabelle18[[#This Row],[value_id]], Tabelle5[[#This Row],[value_present]],"1")</f>
        <v>0</v>
      </c>
      <c r="E87" s="4">
        <f>_xlfn.MAXIFS(Tabelle5[[#This Row],[value_points]], Tabelle5[[#This Row],[company_id]],Tabelle18[[#This Row],[company_id]], Tabelle5[[#This Row],[value_id]], Tabelle18[[#This Row],[value_id]], Tabelle5[[#This Row],[value_present]],"1")</f>
        <v>0</v>
      </c>
    </row>
    <row r="88" spans="1:5" x14ac:dyDescent="0.25">
      <c r="A88">
        <v>5</v>
      </c>
      <c r="B88" t="s">
        <v>154</v>
      </c>
      <c r="C88" s="4">
        <f>IF(Tabelle18[[#This Row],[binding_level_company]]&gt;=1,1,0)</f>
        <v>0</v>
      </c>
      <c r="D88" s="4">
        <f>_xlfn.MAXIFS(Tabelle5[[#This Row],[binding_level]], Tabelle5[[#This Row],[company_id]],Tabelle18[[#This Row],[company_id]], Tabelle5[[#This Row],[value_id]], Tabelle18[[#This Row],[value_id]], Tabelle5[[#This Row],[value_present]],"1")</f>
        <v>0</v>
      </c>
      <c r="E88" s="4">
        <f>_xlfn.MAXIFS(Tabelle5[[#This Row],[value_points]], Tabelle5[[#This Row],[company_id]],Tabelle18[[#This Row],[company_id]], Tabelle5[[#This Row],[value_id]], Tabelle18[[#This Row],[value_id]], Tabelle5[[#This Row],[value_present]],"1")</f>
        <v>0</v>
      </c>
    </row>
    <row r="89" spans="1:5" x14ac:dyDescent="0.25">
      <c r="A89">
        <v>5</v>
      </c>
      <c r="B89" t="s">
        <v>161</v>
      </c>
      <c r="C89" s="4">
        <f>IF(Tabelle18[[#This Row],[binding_level_company]]&gt;=1,1,0)</f>
        <v>0</v>
      </c>
      <c r="D89" s="4">
        <f>_xlfn.MAXIFS(Tabelle5[[#This Row],[binding_level]], Tabelle5[[#This Row],[company_id]],Tabelle18[[#This Row],[company_id]], Tabelle5[[#This Row],[value_id]], Tabelle18[[#This Row],[value_id]], Tabelle5[[#This Row],[value_present]],"1")</f>
        <v>0</v>
      </c>
      <c r="E89" s="4">
        <f>_xlfn.MAXIFS(Tabelle5[[#This Row],[value_points]], Tabelle5[[#This Row],[company_id]],Tabelle18[[#This Row],[company_id]], Tabelle5[[#This Row],[value_id]], Tabelle18[[#This Row],[value_id]], Tabelle5[[#This Row],[value_present]],"1")</f>
        <v>0</v>
      </c>
    </row>
    <row r="90" spans="1:5" x14ac:dyDescent="0.25">
      <c r="A90">
        <v>5</v>
      </c>
      <c r="B90" t="s">
        <v>166</v>
      </c>
      <c r="C90" s="4">
        <f>IF(Tabelle18[[#This Row],[binding_level_company]]&gt;=1,1,0)</f>
        <v>0</v>
      </c>
      <c r="D90" s="4">
        <f>_xlfn.MAXIFS(Tabelle5[[#This Row],[binding_level]], Tabelle5[[#This Row],[company_id]],Tabelle18[[#This Row],[company_id]], Tabelle5[[#This Row],[value_id]], Tabelle18[[#This Row],[value_id]], Tabelle5[[#This Row],[value_present]],"1")</f>
        <v>0</v>
      </c>
      <c r="E90" s="4">
        <f>_xlfn.MAXIFS(Tabelle5[[#This Row],[value_points]], Tabelle5[[#This Row],[company_id]],Tabelle18[[#This Row],[company_id]], Tabelle5[[#This Row],[value_id]], Tabelle18[[#This Row],[value_id]], Tabelle5[[#This Row],[value_present]],"1")</f>
        <v>0</v>
      </c>
    </row>
    <row r="91" spans="1:5" ht="15.75" thickBot="1" x14ac:dyDescent="0.3">
      <c r="A91">
        <v>5</v>
      </c>
      <c r="B91" s="30" t="s">
        <v>174</v>
      </c>
      <c r="C91" s="4">
        <f>IF(Tabelle18[[#This Row],[binding_level_company]]&gt;=1,1,0)</f>
        <v>0</v>
      </c>
      <c r="D91" s="4">
        <f>_xlfn.MAXIFS(Tabelle5[[#This Row],[binding_level]], Tabelle5[[#This Row],[company_id]],Tabelle18[[#This Row],[company_id]], Tabelle5[[#This Row],[value_id]], Tabelle18[[#This Row],[value_id]], Tabelle5[[#This Row],[value_present]],"1")</f>
        <v>0</v>
      </c>
      <c r="E91" s="4">
        <f>_xlfn.MAXIFS(Tabelle5[[#This Row],[value_points]], Tabelle5[[#This Row],[company_id]],Tabelle18[[#This Row],[company_id]], Tabelle5[[#This Row],[value_id]], Tabelle18[[#This Row],[value_id]], Tabelle5[[#This Row],[value_present]],"1")</f>
        <v>0</v>
      </c>
    </row>
    <row r="92" spans="1:5" x14ac:dyDescent="0.25">
      <c r="A92">
        <v>6</v>
      </c>
      <c r="B92" s="22" t="s">
        <v>53</v>
      </c>
      <c r="C92" s="4">
        <f>IF(Tabelle18[[#This Row],[binding_level_company]]&gt;=1,1,0)</f>
        <v>0</v>
      </c>
      <c r="D92" s="4">
        <f>_xlfn.MAXIFS(Tabelle5[[#This Row],[binding_level]], Tabelle5[[#This Row],[company_id]],Tabelle18[[#This Row],[company_id]], Tabelle5[[#This Row],[value_id]], Tabelle18[[#This Row],[value_id]], Tabelle5[[#This Row],[value_present]],"1")</f>
        <v>0</v>
      </c>
      <c r="E92" s="4">
        <f>_xlfn.MAXIFS(Tabelle5[[#This Row],[value_points]], Tabelle5[[#This Row],[company_id]],Tabelle18[[#This Row],[company_id]], Tabelle5[[#This Row],[value_id]], Tabelle18[[#This Row],[value_id]], Tabelle5[[#This Row],[value_present]],"1")</f>
        <v>0</v>
      </c>
    </row>
    <row r="93" spans="1:5" x14ac:dyDescent="0.25">
      <c r="A93">
        <v>6</v>
      </c>
      <c r="B93" t="s">
        <v>61</v>
      </c>
      <c r="C93" s="4">
        <f>IF(Tabelle18[[#This Row],[binding_level_company]]&gt;=1,1,0)</f>
        <v>0</v>
      </c>
      <c r="D93" s="4">
        <f>_xlfn.MAXIFS(Tabelle5[[#This Row],[binding_level]], Tabelle5[[#This Row],[company_id]],Tabelle18[[#This Row],[company_id]], Tabelle5[[#This Row],[value_id]], Tabelle18[[#This Row],[value_id]], Tabelle5[[#This Row],[value_present]],"1")</f>
        <v>0</v>
      </c>
      <c r="E93" s="4">
        <f>_xlfn.MAXIFS(Tabelle5[[#This Row],[value_points]], Tabelle5[[#This Row],[company_id]],Tabelle18[[#This Row],[company_id]], Tabelle5[[#This Row],[value_id]], Tabelle18[[#This Row],[value_id]], Tabelle5[[#This Row],[value_present]],"1")</f>
        <v>0</v>
      </c>
    </row>
    <row r="94" spans="1:5" x14ac:dyDescent="0.25">
      <c r="A94">
        <v>6</v>
      </c>
      <c r="B94" t="s">
        <v>69</v>
      </c>
      <c r="C94" s="4">
        <f>IF(Tabelle18[[#This Row],[binding_level_company]]&gt;=1,1,0)</f>
        <v>0</v>
      </c>
      <c r="D94" s="4">
        <f>_xlfn.MAXIFS(Tabelle5[[#This Row],[binding_level]], Tabelle5[[#This Row],[company_id]],Tabelle18[[#This Row],[company_id]], Tabelle5[[#This Row],[value_id]], Tabelle18[[#This Row],[value_id]], Tabelle5[[#This Row],[value_present]],"1")</f>
        <v>0</v>
      </c>
      <c r="E94" s="4">
        <f>_xlfn.MAXIFS(Tabelle5[[#This Row],[value_points]], Tabelle5[[#This Row],[company_id]],Tabelle18[[#This Row],[company_id]], Tabelle5[[#This Row],[value_id]], Tabelle18[[#This Row],[value_id]], Tabelle5[[#This Row],[value_present]],"1")</f>
        <v>0</v>
      </c>
    </row>
    <row r="95" spans="1:5" x14ac:dyDescent="0.25">
      <c r="A95">
        <v>6</v>
      </c>
      <c r="B95" t="s">
        <v>76</v>
      </c>
      <c r="C95" s="4">
        <f>IF(Tabelle18[[#This Row],[binding_level_company]]&gt;=1,1,0)</f>
        <v>0</v>
      </c>
      <c r="D95" s="4">
        <f>_xlfn.MAXIFS(Tabelle5[[#This Row],[binding_level]], Tabelle5[[#This Row],[company_id]],Tabelle18[[#This Row],[company_id]], Tabelle5[[#This Row],[value_id]], Tabelle18[[#This Row],[value_id]], Tabelle5[[#This Row],[value_present]],"1")</f>
        <v>0</v>
      </c>
      <c r="E95" s="4">
        <f>_xlfn.MAXIFS(Tabelle5[[#This Row],[value_points]], Tabelle5[[#This Row],[company_id]],Tabelle18[[#This Row],[company_id]], Tabelle5[[#This Row],[value_id]], Tabelle18[[#This Row],[value_id]], Tabelle5[[#This Row],[value_present]],"1")</f>
        <v>0</v>
      </c>
    </row>
    <row r="96" spans="1:5" x14ac:dyDescent="0.25">
      <c r="A96">
        <v>6</v>
      </c>
      <c r="B96" t="s">
        <v>83</v>
      </c>
      <c r="C96" s="4">
        <f>IF(Tabelle18[[#This Row],[binding_level_company]]&gt;=1,1,0)</f>
        <v>0</v>
      </c>
      <c r="D96" s="4">
        <f>_xlfn.MAXIFS(Tabelle5[[#This Row],[binding_level]], Tabelle5[[#This Row],[company_id]],Tabelle18[[#This Row],[company_id]], Tabelle5[[#This Row],[value_id]], Tabelle18[[#This Row],[value_id]], Tabelle5[[#This Row],[value_present]],"1")</f>
        <v>0</v>
      </c>
      <c r="E96" s="4">
        <f>_xlfn.MAXIFS(Tabelle5[[#This Row],[value_points]], Tabelle5[[#This Row],[company_id]],Tabelle18[[#This Row],[company_id]], Tabelle5[[#This Row],[value_id]], Tabelle18[[#This Row],[value_id]], Tabelle5[[#This Row],[value_present]],"1")</f>
        <v>0</v>
      </c>
    </row>
    <row r="97" spans="1:5" x14ac:dyDescent="0.25">
      <c r="A97">
        <v>6</v>
      </c>
      <c r="B97" t="s">
        <v>90</v>
      </c>
      <c r="C97" s="4">
        <f>IF(Tabelle18[[#This Row],[binding_level_company]]&gt;=1,1,0)</f>
        <v>0</v>
      </c>
      <c r="D97" s="4">
        <f>_xlfn.MAXIFS(Tabelle5[[#This Row],[binding_level]], Tabelle5[[#This Row],[company_id]],Tabelle18[[#This Row],[company_id]], Tabelle5[[#This Row],[value_id]], Tabelle18[[#This Row],[value_id]], Tabelle5[[#This Row],[value_present]],"1")</f>
        <v>0</v>
      </c>
      <c r="E97" s="4">
        <f>_xlfn.MAXIFS(Tabelle5[[#This Row],[value_points]], Tabelle5[[#This Row],[company_id]],Tabelle18[[#This Row],[company_id]], Tabelle5[[#This Row],[value_id]], Tabelle18[[#This Row],[value_id]], Tabelle5[[#This Row],[value_present]],"1")</f>
        <v>0</v>
      </c>
    </row>
    <row r="98" spans="1:5" x14ac:dyDescent="0.25">
      <c r="A98">
        <v>6</v>
      </c>
      <c r="B98" t="s">
        <v>98</v>
      </c>
      <c r="C98" s="4">
        <f>IF(Tabelle18[[#This Row],[binding_level_company]]&gt;=1,1,0)</f>
        <v>0</v>
      </c>
      <c r="D98" s="4">
        <f>_xlfn.MAXIFS(Tabelle5[[#This Row],[binding_level]], Tabelle5[[#This Row],[company_id]],Tabelle18[[#This Row],[company_id]], Tabelle5[[#This Row],[value_id]], Tabelle18[[#This Row],[value_id]], Tabelle5[[#This Row],[value_present]],"1")</f>
        <v>0</v>
      </c>
      <c r="E98" s="4">
        <f>_xlfn.MAXIFS(Tabelle5[[#This Row],[value_points]], Tabelle5[[#This Row],[company_id]],Tabelle18[[#This Row],[company_id]], Tabelle5[[#This Row],[value_id]], Tabelle18[[#This Row],[value_id]], Tabelle5[[#This Row],[value_present]],"1")</f>
        <v>0</v>
      </c>
    </row>
    <row r="99" spans="1:5" x14ac:dyDescent="0.25">
      <c r="A99">
        <v>6</v>
      </c>
      <c r="B99" t="s">
        <v>106</v>
      </c>
      <c r="C99" s="4">
        <f>IF(Tabelle18[[#This Row],[binding_level_company]]&gt;=1,1,0)</f>
        <v>0</v>
      </c>
      <c r="D99" s="4">
        <f>_xlfn.MAXIFS(Tabelle5[[#This Row],[binding_level]], Tabelle5[[#This Row],[company_id]],Tabelle18[[#This Row],[company_id]], Tabelle5[[#This Row],[value_id]], Tabelle18[[#This Row],[value_id]], Tabelle5[[#This Row],[value_present]],"1")</f>
        <v>0</v>
      </c>
      <c r="E99" s="4">
        <f>_xlfn.MAXIFS(Tabelle5[[#This Row],[value_points]], Tabelle5[[#This Row],[company_id]],Tabelle18[[#This Row],[company_id]], Tabelle5[[#This Row],[value_id]], Tabelle18[[#This Row],[value_id]], Tabelle5[[#This Row],[value_present]],"1")</f>
        <v>0</v>
      </c>
    </row>
    <row r="100" spans="1:5" x14ac:dyDescent="0.25">
      <c r="A100">
        <v>6</v>
      </c>
      <c r="B100" t="s">
        <v>112</v>
      </c>
      <c r="C100" s="4">
        <f>IF(Tabelle18[[#This Row],[binding_level_company]]&gt;=1,1,0)</f>
        <v>0</v>
      </c>
      <c r="D100" s="4">
        <f>_xlfn.MAXIFS(Tabelle5[[#This Row],[binding_level]], Tabelle5[[#This Row],[company_id]],Tabelle18[[#This Row],[company_id]], Tabelle5[[#This Row],[value_id]], Tabelle18[[#This Row],[value_id]], Tabelle5[[#This Row],[value_present]],"1")</f>
        <v>0</v>
      </c>
      <c r="E100" s="4">
        <f>_xlfn.MAXIFS(Tabelle5[[#This Row],[value_points]], Tabelle5[[#This Row],[company_id]],Tabelle18[[#This Row],[company_id]], Tabelle5[[#This Row],[value_id]], Tabelle18[[#This Row],[value_id]], Tabelle5[[#This Row],[value_present]],"1")</f>
        <v>0</v>
      </c>
    </row>
    <row r="101" spans="1:5" x14ac:dyDescent="0.25">
      <c r="A101">
        <v>6</v>
      </c>
      <c r="B101" t="s">
        <v>118</v>
      </c>
      <c r="C101" s="4">
        <f>IF(Tabelle18[[#This Row],[binding_level_company]]&gt;=1,1,0)</f>
        <v>0</v>
      </c>
      <c r="D101" s="4">
        <f>_xlfn.MAXIFS(Tabelle5[[#This Row],[binding_level]], Tabelle5[[#This Row],[company_id]],Tabelle18[[#This Row],[company_id]], Tabelle5[[#This Row],[value_id]], Tabelle18[[#This Row],[value_id]], Tabelle5[[#This Row],[value_present]],"1")</f>
        <v>0</v>
      </c>
      <c r="E101" s="4">
        <f>_xlfn.MAXIFS(Tabelle5[[#This Row],[value_points]], Tabelle5[[#This Row],[company_id]],Tabelle18[[#This Row],[company_id]], Tabelle5[[#This Row],[value_id]], Tabelle18[[#This Row],[value_id]], Tabelle5[[#This Row],[value_present]],"1")</f>
        <v>0</v>
      </c>
    </row>
    <row r="102" spans="1:5" x14ac:dyDescent="0.25">
      <c r="A102">
        <v>6</v>
      </c>
      <c r="B102" t="s">
        <v>125</v>
      </c>
      <c r="C102" s="4">
        <f>IF(Tabelle18[[#This Row],[binding_level_company]]&gt;=1,1,0)</f>
        <v>0</v>
      </c>
      <c r="D102" s="4">
        <f>_xlfn.MAXIFS(Tabelle5[[#This Row],[binding_level]], Tabelle5[[#This Row],[company_id]],Tabelle18[[#This Row],[company_id]], Tabelle5[[#This Row],[value_id]], Tabelle18[[#This Row],[value_id]], Tabelle5[[#This Row],[value_present]],"1")</f>
        <v>0</v>
      </c>
      <c r="E102" s="4">
        <f>_xlfn.MAXIFS(Tabelle5[[#This Row],[value_points]], Tabelle5[[#This Row],[company_id]],Tabelle18[[#This Row],[company_id]], Tabelle5[[#This Row],[value_id]], Tabelle18[[#This Row],[value_id]], Tabelle5[[#This Row],[value_present]],"1")</f>
        <v>0</v>
      </c>
    </row>
    <row r="103" spans="1:5" x14ac:dyDescent="0.25">
      <c r="A103">
        <v>6</v>
      </c>
      <c r="B103" t="s">
        <v>132</v>
      </c>
      <c r="C103" s="4">
        <f>IF(Tabelle18[[#This Row],[binding_level_company]]&gt;=1,1,0)</f>
        <v>0</v>
      </c>
      <c r="D103" s="4">
        <f>_xlfn.MAXIFS(Tabelle5[[#This Row],[binding_level]], Tabelle5[[#This Row],[company_id]],Tabelle18[[#This Row],[company_id]], Tabelle5[[#This Row],[value_id]], Tabelle18[[#This Row],[value_id]], Tabelle5[[#This Row],[value_present]],"1")</f>
        <v>0</v>
      </c>
      <c r="E103" s="4">
        <f>_xlfn.MAXIFS(Tabelle5[[#This Row],[value_points]], Tabelle5[[#This Row],[company_id]],Tabelle18[[#This Row],[company_id]], Tabelle5[[#This Row],[value_id]], Tabelle18[[#This Row],[value_id]], Tabelle5[[#This Row],[value_present]],"1")</f>
        <v>0</v>
      </c>
    </row>
    <row r="104" spans="1:5" x14ac:dyDescent="0.25">
      <c r="A104">
        <v>6</v>
      </c>
      <c r="B104" t="s">
        <v>140</v>
      </c>
      <c r="C104" s="4">
        <f>IF(Tabelle18[[#This Row],[binding_level_company]]&gt;=1,1,0)</f>
        <v>0</v>
      </c>
      <c r="D104" s="4">
        <f>_xlfn.MAXIFS(Tabelle5[[#This Row],[binding_level]], Tabelle5[[#This Row],[company_id]],Tabelle18[[#This Row],[company_id]], Tabelle5[[#This Row],[value_id]], Tabelle18[[#This Row],[value_id]], Tabelle5[[#This Row],[value_present]],"1")</f>
        <v>0</v>
      </c>
      <c r="E104" s="4">
        <f>_xlfn.MAXIFS(Tabelle5[[#This Row],[value_points]], Tabelle5[[#This Row],[company_id]],Tabelle18[[#This Row],[company_id]], Tabelle5[[#This Row],[value_id]], Tabelle18[[#This Row],[value_id]], Tabelle5[[#This Row],[value_present]],"1")</f>
        <v>0</v>
      </c>
    </row>
    <row r="105" spans="1:5" x14ac:dyDescent="0.25">
      <c r="A105">
        <v>6</v>
      </c>
      <c r="B105" t="s">
        <v>147</v>
      </c>
      <c r="C105" s="4">
        <f>IF(Tabelle18[[#This Row],[binding_level_company]]&gt;=1,1,0)</f>
        <v>0</v>
      </c>
      <c r="D105" s="4">
        <f>_xlfn.MAXIFS(Tabelle5[[#This Row],[binding_level]], Tabelle5[[#This Row],[company_id]],Tabelle18[[#This Row],[company_id]], Tabelle5[[#This Row],[value_id]], Tabelle18[[#This Row],[value_id]], Tabelle5[[#This Row],[value_present]],"1")</f>
        <v>0</v>
      </c>
      <c r="E105" s="4">
        <f>_xlfn.MAXIFS(Tabelle5[[#This Row],[value_points]], Tabelle5[[#This Row],[company_id]],Tabelle18[[#This Row],[company_id]], Tabelle5[[#This Row],[value_id]], Tabelle18[[#This Row],[value_id]], Tabelle5[[#This Row],[value_present]],"1")</f>
        <v>0</v>
      </c>
    </row>
    <row r="106" spans="1:5" x14ac:dyDescent="0.25">
      <c r="A106">
        <v>6</v>
      </c>
      <c r="B106" t="s">
        <v>154</v>
      </c>
      <c r="C106" s="4">
        <f>IF(Tabelle18[[#This Row],[binding_level_company]]&gt;=1,1,0)</f>
        <v>0</v>
      </c>
      <c r="D106" s="4">
        <f>_xlfn.MAXIFS(Tabelle5[[#This Row],[binding_level]], Tabelle5[[#This Row],[company_id]],Tabelle18[[#This Row],[company_id]], Tabelle5[[#This Row],[value_id]], Tabelle18[[#This Row],[value_id]], Tabelle5[[#This Row],[value_present]],"1")</f>
        <v>0</v>
      </c>
      <c r="E106" s="4">
        <f>_xlfn.MAXIFS(Tabelle5[[#This Row],[value_points]], Tabelle5[[#This Row],[company_id]],Tabelle18[[#This Row],[company_id]], Tabelle5[[#This Row],[value_id]], Tabelle18[[#This Row],[value_id]], Tabelle5[[#This Row],[value_present]],"1")</f>
        <v>0</v>
      </c>
    </row>
    <row r="107" spans="1:5" x14ac:dyDescent="0.25">
      <c r="A107">
        <v>6</v>
      </c>
      <c r="B107" t="s">
        <v>161</v>
      </c>
      <c r="C107" s="4">
        <f>IF(Tabelle18[[#This Row],[binding_level_company]]&gt;=1,1,0)</f>
        <v>0</v>
      </c>
      <c r="D107" s="4">
        <f>_xlfn.MAXIFS(Tabelle5[[#This Row],[binding_level]], Tabelle5[[#This Row],[company_id]],Tabelle18[[#This Row],[company_id]], Tabelle5[[#This Row],[value_id]], Tabelle18[[#This Row],[value_id]], Tabelle5[[#This Row],[value_present]],"1")</f>
        <v>0</v>
      </c>
      <c r="E107" s="4">
        <f>_xlfn.MAXIFS(Tabelle5[[#This Row],[value_points]], Tabelle5[[#This Row],[company_id]],Tabelle18[[#This Row],[company_id]], Tabelle5[[#This Row],[value_id]], Tabelle18[[#This Row],[value_id]], Tabelle5[[#This Row],[value_present]],"1")</f>
        <v>0</v>
      </c>
    </row>
    <row r="108" spans="1:5" x14ac:dyDescent="0.25">
      <c r="A108">
        <v>6</v>
      </c>
      <c r="B108" t="s">
        <v>166</v>
      </c>
      <c r="C108" s="4">
        <f>IF(Tabelle18[[#This Row],[binding_level_company]]&gt;=1,1,0)</f>
        <v>0</v>
      </c>
      <c r="D108" s="4">
        <f>_xlfn.MAXIFS(Tabelle5[[#This Row],[binding_level]], Tabelle5[[#This Row],[company_id]],Tabelle18[[#This Row],[company_id]], Tabelle5[[#This Row],[value_id]], Tabelle18[[#This Row],[value_id]], Tabelle5[[#This Row],[value_present]],"1")</f>
        <v>0</v>
      </c>
      <c r="E108" s="4">
        <f>_xlfn.MAXIFS(Tabelle5[[#This Row],[value_points]], Tabelle5[[#This Row],[company_id]],Tabelle18[[#This Row],[company_id]], Tabelle5[[#This Row],[value_id]], Tabelle18[[#This Row],[value_id]], Tabelle5[[#This Row],[value_present]],"1")</f>
        <v>0</v>
      </c>
    </row>
    <row r="109" spans="1:5" ht="15.75" thickBot="1" x14ac:dyDescent="0.3">
      <c r="A109">
        <v>6</v>
      </c>
      <c r="B109" s="30" t="s">
        <v>174</v>
      </c>
      <c r="C109" s="4">
        <f>IF(Tabelle18[[#This Row],[binding_level_company]]&gt;=1,1,0)</f>
        <v>0</v>
      </c>
      <c r="D109" s="4">
        <f>_xlfn.MAXIFS(Tabelle5[[#This Row],[binding_level]], Tabelle5[[#This Row],[company_id]],Tabelle18[[#This Row],[company_id]], Tabelle5[[#This Row],[value_id]], Tabelle18[[#This Row],[value_id]], Tabelle5[[#This Row],[value_present]],"1")</f>
        <v>0</v>
      </c>
      <c r="E109" s="4">
        <f>_xlfn.MAXIFS(Tabelle5[[#This Row],[value_points]], Tabelle5[[#This Row],[company_id]],Tabelle18[[#This Row],[company_id]], Tabelle5[[#This Row],[value_id]], Tabelle18[[#This Row],[value_id]], Tabelle5[[#This Row],[value_present]],"1")</f>
        <v>0</v>
      </c>
    </row>
    <row r="110" spans="1:5" x14ac:dyDescent="0.25">
      <c r="A110">
        <v>7</v>
      </c>
      <c r="B110" s="22" t="s">
        <v>53</v>
      </c>
      <c r="C110" s="4">
        <f>IF(Tabelle18[[#This Row],[binding_level_company]]&gt;=1,1,0)</f>
        <v>0</v>
      </c>
      <c r="D110" s="4">
        <f>_xlfn.MAXIFS(Tabelle5[[#This Row],[binding_level]], Tabelle5[[#This Row],[company_id]],Tabelle18[[#This Row],[company_id]], Tabelle5[[#This Row],[value_id]], Tabelle18[[#This Row],[value_id]], Tabelle5[[#This Row],[value_present]],"1")</f>
        <v>0</v>
      </c>
      <c r="E110" s="4">
        <f>_xlfn.MAXIFS(Tabelle5[[#This Row],[value_points]], Tabelle5[[#This Row],[company_id]],Tabelle18[[#This Row],[company_id]], Tabelle5[[#This Row],[value_id]], Tabelle18[[#This Row],[value_id]], Tabelle5[[#This Row],[value_present]],"1")</f>
        <v>0</v>
      </c>
    </row>
    <row r="111" spans="1:5" x14ac:dyDescent="0.25">
      <c r="A111">
        <v>7</v>
      </c>
      <c r="B111" t="s">
        <v>61</v>
      </c>
      <c r="C111" s="4">
        <f>IF(Tabelle18[[#This Row],[binding_level_company]]&gt;=1,1,0)</f>
        <v>0</v>
      </c>
      <c r="D111" s="4">
        <f>_xlfn.MAXIFS(Tabelle5[[#This Row],[binding_level]], Tabelle5[[#This Row],[company_id]],Tabelle18[[#This Row],[company_id]], Tabelle5[[#This Row],[value_id]], Tabelle18[[#This Row],[value_id]], Tabelle5[[#This Row],[value_present]],"1")</f>
        <v>0</v>
      </c>
      <c r="E111" s="4">
        <f>_xlfn.MAXIFS(Tabelle5[[#This Row],[value_points]], Tabelle5[[#This Row],[company_id]],Tabelle18[[#This Row],[company_id]], Tabelle5[[#This Row],[value_id]], Tabelle18[[#This Row],[value_id]], Tabelle5[[#This Row],[value_present]],"1")</f>
        <v>0</v>
      </c>
    </row>
    <row r="112" spans="1:5" x14ac:dyDescent="0.25">
      <c r="A112">
        <v>7</v>
      </c>
      <c r="B112" t="s">
        <v>69</v>
      </c>
      <c r="C112" s="4">
        <f>IF(Tabelle18[[#This Row],[binding_level_company]]&gt;=1,1,0)</f>
        <v>0</v>
      </c>
      <c r="D112" s="4">
        <f>_xlfn.MAXIFS(Tabelle5[[#This Row],[binding_level]], Tabelle5[[#This Row],[company_id]],Tabelle18[[#This Row],[company_id]], Tabelle5[[#This Row],[value_id]], Tabelle18[[#This Row],[value_id]], Tabelle5[[#This Row],[value_present]],"1")</f>
        <v>0</v>
      </c>
      <c r="E112" s="4">
        <f>_xlfn.MAXIFS(Tabelle5[[#This Row],[value_points]], Tabelle5[[#This Row],[company_id]],Tabelle18[[#This Row],[company_id]], Tabelle5[[#This Row],[value_id]], Tabelle18[[#This Row],[value_id]], Tabelle5[[#This Row],[value_present]],"1")</f>
        <v>0</v>
      </c>
    </row>
    <row r="113" spans="1:5" x14ac:dyDescent="0.25">
      <c r="A113">
        <v>7</v>
      </c>
      <c r="B113" t="s">
        <v>76</v>
      </c>
      <c r="C113" s="4">
        <f>IF(Tabelle18[[#This Row],[binding_level_company]]&gt;=1,1,0)</f>
        <v>0</v>
      </c>
      <c r="D113" s="4">
        <f>_xlfn.MAXIFS(Tabelle5[[#This Row],[binding_level]], Tabelle5[[#This Row],[company_id]],Tabelle18[[#This Row],[company_id]], Tabelle5[[#This Row],[value_id]], Tabelle18[[#This Row],[value_id]], Tabelle5[[#This Row],[value_present]],"1")</f>
        <v>0</v>
      </c>
      <c r="E113" s="4">
        <f>_xlfn.MAXIFS(Tabelle5[[#This Row],[value_points]], Tabelle5[[#This Row],[company_id]],Tabelle18[[#This Row],[company_id]], Tabelle5[[#This Row],[value_id]], Tabelle18[[#This Row],[value_id]], Tabelle5[[#This Row],[value_present]],"1")</f>
        <v>0</v>
      </c>
    </row>
    <row r="114" spans="1:5" x14ac:dyDescent="0.25">
      <c r="A114">
        <v>7</v>
      </c>
      <c r="B114" t="s">
        <v>83</v>
      </c>
      <c r="C114" s="4">
        <f>IF(Tabelle18[[#This Row],[binding_level_company]]&gt;=1,1,0)</f>
        <v>0</v>
      </c>
      <c r="D114" s="4">
        <f>_xlfn.MAXIFS(Tabelle5[[#This Row],[binding_level]], Tabelle5[[#This Row],[company_id]],Tabelle18[[#This Row],[company_id]], Tabelle5[[#This Row],[value_id]], Tabelle18[[#This Row],[value_id]], Tabelle5[[#This Row],[value_present]],"1")</f>
        <v>0</v>
      </c>
      <c r="E114" s="4">
        <f>_xlfn.MAXIFS(Tabelle5[[#This Row],[value_points]], Tabelle5[[#This Row],[company_id]],Tabelle18[[#This Row],[company_id]], Tabelle5[[#This Row],[value_id]], Tabelle18[[#This Row],[value_id]], Tabelle5[[#This Row],[value_present]],"1")</f>
        <v>0</v>
      </c>
    </row>
    <row r="115" spans="1:5" x14ac:dyDescent="0.25">
      <c r="A115">
        <v>7</v>
      </c>
      <c r="B115" t="s">
        <v>90</v>
      </c>
      <c r="C115" s="4">
        <f>IF(Tabelle18[[#This Row],[binding_level_company]]&gt;=1,1,0)</f>
        <v>0</v>
      </c>
      <c r="D115" s="4">
        <f>_xlfn.MAXIFS(Tabelle5[[#This Row],[binding_level]], Tabelle5[[#This Row],[company_id]],Tabelle18[[#This Row],[company_id]], Tabelle5[[#This Row],[value_id]], Tabelle18[[#This Row],[value_id]], Tabelle5[[#This Row],[value_present]],"1")</f>
        <v>0</v>
      </c>
      <c r="E115" s="4">
        <f>_xlfn.MAXIFS(Tabelle5[[#This Row],[value_points]], Tabelle5[[#This Row],[company_id]],Tabelle18[[#This Row],[company_id]], Tabelle5[[#This Row],[value_id]], Tabelle18[[#This Row],[value_id]], Tabelle5[[#This Row],[value_present]],"1")</f>
        <v>0</v>
      </c>
    </row>
    <row r="116" spans="1:5" x14ac:dyDescent="0.25">
      <c r="A116">
        <v>7</v>
      </c>
      <c r="B116" t="s">
        <v>98</v>
      </c>
      <c r="C116" s="4">
        <f>IF(Tabelle18[[#This Row],[binding_level_company]]&gt;=1,1,0)</f>
        <v>0</v>
      </c>
      <c r="D116" s="4">
        <f>_xlfn.MAXIFS(Tabelle5[[#This Row],[binding_level]], Tabelle5[[#This Row],[company_id]],Tabelle18[[#This Row],[company_id]], Tabelle5[[#This Row],[value_id]], Tabelle18[[#This Row],[value_id]], Tabelle5[[#This Row],[value_present]],"1")</f>
        <v>0</v>
      </c>
      <c r="E116" s="4">
        <f>_xlfn.MAXIFS(Tabelle5[[#This Row],[value_points]], Tabelle5[[#This Row],[company_id]],Tabelle18[[#This Row],[company_id]], Tabelle5[[#This Row],[value_id]], Tabelle18[[#This Row],[value_id]], Tabelle5[[#This Row],[value_present]],"1")</f>
        <v>0</v>
      </c>
    </row>
    <row r="117" spans="1:5" x14ac:dyDescent="0.25">
      <c r="A117">
        <v>7</v>
      </c>
      <c r="B117" t="s">
        <v>106</v>
      </c>
      <c r="C117" s="4">
        <f>IF(Tabelle18[[#This Row],[binding_level_company]]&gt;=1,1,0)</f>
        <v>0</v>
      </c>
      <c r="D117" s="4">
        <f>_xlfn.MAXIFS(Tabelle5[[#This Row],[binding_level]], Tabelle5[[#This Row],[company_id]],Tabelle18[[#This Row],[company_id]], Tabelle5[[#This Row],[value_id]], Tabelle18[[#This Row],[value_id]], Tabelle5[[#This Row],[value_present]],"1")</f>
        <v>0</v>
      </c>
      <c r="E117" s="4">
        <f>_xlfn.MAXIFS(Tabelle5[[#This Row],[value_points]], Tabelle5[[#This Row],[company_id]],Tabelle18[[#This Row],[company_id]], Tabelle5[[#This Row],[value_id]], Tabelle18[[#This Row],[value_id]], Tabelle5[[#This Row],[value_present]],"1")</f>
        <v>0</v>
      </c>
    </row>
    <row r="118" spans="1:5" x14ac:dyDescent="0.25">
      <c r="A118">
        <v>7</v>
      </c>
      <c r="B118" t="s">
        <v>112</v>
      </c>
      <c r="C118" s="4">
        <f>IF(Tabelle18[[#This Row],[binding_level_company]]&gt;=1,1,0)</f>
        <v>0</v>
      </c>
      <c r="D118" s="4">
        <f>_xlfn.MAXIFS(Tabelle5[[#This Row],[binding_level]], Tabelle5[[#This Row],[company_id]],Tabelle18[[#This Row],[company_id]], Tabelle5[[#This Row],[value_id]], Tabelle18[[#This Row],[value_id]], Tabelle5[[#This Row],[value_present]],"1")</f>
        <v>0</v>
      </c>
      <c r="E118" s="4">
        <f>_xlfn.MAXIFS(Tabelle5[[#This Row],[value_points]], Tabelle5[[#This Row],[company_id]],Tabelle18[[#This Row],[company_id]], Tabelle5[[#This Row],[value_id]], Tabelle18[[#This Row],[value_id]], Tabelle5[[#This Row],[value_present]],"1")</f>
        <v>0</v>
      </c>
    </row>
    <row r="119" spans="1:5" x14ac:dyDescent="0.25">
      <c r="A119">
        <v>7</v>
      </c>
      <c r="B119" t="s">
        <v>118</v>
      </c>
      <c r="C119" s="4">
        <f>IF(Tabelle18[[#This Row],[binding_level_company]]&gt;=1,1,0)</f>
        <v>0</v>
      </c>
      <c r="D119" s="4">
        <f>_xlfn.MAXIFS(Tabelle5[[#This Row],[binding_level]], Tabelle5[[#This Row],[company_id]],Tabelle18[[#This Row],[company_id]], Tabelle5[[#This Row],[value_id]], Tabelle18[[#This Row],[value_id]], Tabelle5[[#This Row],[value_present]],"1")</f>
        <v>0</v>
      </c>
      <c r="E119" s="4">
        <f>_xlfn.MAXIFS(Tabelle5[[#This Row],[value_points]], Tabelle5[[#This Row],[company_id]],Tabelle18[[#This Row],[company_id]], Tabelle5[[#This Row],[value_id]], Tabelle18[[#This Row],[value_id]], Tabelle5[[#This Row],[value_present]],"1")</f>
        <v>0</v>
      </c>
    </row>
    <row r="120" spans="1:5" x14ac:dyDescent="0.25">
      <c r="A120">
        <v>7</v>
      </c>
      <c r="B120" t="s">
        <v>125</v>
      </c>
      <c r="C120" s="4">
        <f>IF(Tabelle18[[#This Row],[binding_level_company]]&gt;=1,1,0)</f>
        <v>0</v>
      </c>
      <c r="D120" s="4">
        <f>_xlfn.MAXIFS(Tabelle5[[#This Row],[binding_level]], Tabelle5[[#This Row],[company_id]],Tabelle18[[#This Row],[company_id]], Tabelle5[[#This Row],[value_id]], Tabelle18[[#This Row],[value_id]], Tabelle5[[#This Row],[value_present]],"1")</f>
        <v>0</v>
      </c>
      <c r="E120" s="4">
        <f>_xlfn.MAXIFS(Tabelle5[[#This Row],[value_points]], Tabelle5[[#This Row],[company_id]],Tabelle18[[#This Row],[company_id]], Tabelle5[[#This Row],[value_id]], Tabelle18[[#This Row],[value_id]], Tabelle5[[#This Row],[value_present]],"1")</f>
        <v>0</v>
      </c>
    </row>
    <row r="121" spans="1:5" x14ac:dyDescent="0.25">
      <c r="A121">
        <v>7</v>
      </c>
      <c r="B121" t="s">
        <v>132</v>
      </c>
      <c r="C121" s="4">
        <f>IF(Tabelle18[[#This Row],[binding_level_company]]&gt;=1,1,0)</f>
        <v>0</v>
      </c>
      <c r="D121" s="4">
        <f>_xlfn.MAXIFS(Tabelle5[[#This Row],[binding_level]], Tabelle5[[#This Row],[company_id]],Tabelle18[[#This Row],[company_id]], Tabelle5[[#This Row],[value_id]], Tabelle18[[#This Row],[value_id]], Tabelle5[[#This Row],[value_present]],"1")</f>
        <v>0</v>
      </c>
      <c r="E121" s="4">
        <f>_xlfn.MAXIFS(Tabelle5[[#This Row],[value_points]], Tabelle5[[#This Row],[company_id]],Tabelle18[[#This Row],[company_id]], Tabelle5[[#This Row],[value_id]], Tabelle18[[#This Row],[value_id]], Tabelle5[[#This Row],[value_present]],"1")</f>
        <v>0</v>
      </c>
    </row>
    <row r="122" spans="1:5" x14ac:dyDescent="0.25">
      <c r="A122">
        <v>7</v>
      </c>
      <c r="B122" t="s">
        <v>140</v>
      </c>
      <c r="C122" s="4">
        <f>IF(Tabelle18[[#This Row],[binding_level_company]]&gt;=1,1,0)</f>
        <v>0</v>
      </c>
      <c r="D122" s="4">
        <f>_xlfn.MAXIFS(Tabelle5[[#This Row],[binding_level]], Tabelle5[[#This Row],[company_id]],Tabelle18[[#This Row],[company_id]], Tabelle5[[#This Row],[value_id]], Tabelle18[[#This Row],[value_id]], Tabelle5[[#This Row],[value_present]],"1")</f>
        <v>0</v>
      </c>
      <c r="E122" s="4">
        <f>_xlfn.MAXIFS(Tabelle5[[#This Row],[value_points]], Tabelle5[[#This Row],[company_id]],Tabelle18[[#This Row],[company_id]], Tabelle5[[#This Row],[value_id]], Tabelle18[[#This Row],[value_id]], Tabelle5[[#This Row],[value_present]],"1")</f>
        <v>0</v>
      </c>
    </row>
    <row r="123" spans="1:5" x14ac:dyDescent="0.25">
      <c r="A123">
        <v>7</v>
      </c>
      <c r="B123" t="s">
        <v>147</v>
      </c>
      <c r="C123" s="4">
        <f>IF(Tabelle18[[#This Row],[binding_level_company]]&gt;=1,1,0)</f>
        <v>0</v>
      </c>
      <c r="D123" s="4">
        <f>_xlfn.MAXIFS(Tabelle5[[#This Row],[binding_level]], Tabelle5[[#This Row],[company_id]],Tabelle18[[#This Row],[company_id]], Tabelle5[[#This Row],[value_id]], Tabelle18[[#This Row],[value_id]], Tabelle5[[#This Row],[value_present]],"1")</f>
        <v>0</v>
      </c>
      <c r="E123" s="4">
        <f>_xlfn.MAXIFS(Tabelle5[[#This Row],[value_points]], Tabelle5[[#This Row],[company_id]],Tabelle18[[#This Row],[company_id]], Tabelle5[[#This Row],[value_id]], Tabelle18[[#This Row],[value_id]], Tabelle5[[#This Row],[value_present]],"1")</f>
        <v>0</v>
      </c>
    </row>
    <row r="124" spans="1:5" x14ac:dyDescent="0.25">
      <c r="A124">
        <v>7</v>
      </c>
      <c r="B124" t="s">
        <v>154</v>
      </c>
      <c r="C124" s="4">
        <f>IF(Tabelle18[[#This Row],[binding_level_company]]&gt;=1,1,0)</f>
        <v>0</v>
      </c>
      <c r="D124" s="4">
        <f>_xlfn.MAXIFS(Tabelle5[[#This Row],[binding_level]], Tabelle5[[#This Row],[company_id]],Tabelle18[[#This Row],[company_id]], Tabelle5[[#This Row],[value_id]], Tabelle18[[#This Row],[value_id]], Tabelle5[[#This Row],[value_present]],"1")</f>
        <v>0</v>
      </c>
      <c r="E124" s="4">
        <f>_xlfn.MAXIFS(Tabelle5[[#This Row],[value_points]], Tabelle5[[#This Row],[company_id]],Tabelle18[[#This Row],[company_id]], Tabelle5[[#This Row],[value_id]], Tabelle18[[#This Row],[value_id]], Tabelle5[[#This Row],[value_present]],"1")</f>
        <v>0</v>
      </c>
    </row>
    <row r="125" spans="1:5" x14ac:dyDescent="0.25">
      <c r="A125">
        <v>7</v>
      </c>
      <c r="B125" t="s">
        <v>161</v>
      </c>
      <c r="C125" s="4">
        <f>IF(Tabelle18[[#This Row],[binding_level_company]]&gt;=1,1,0)</f>
        <v>0</v>
      </c>
      <c r="D125" s="4">
        <f>_xlfn.MAXIFS(Tabelle5[[#This Row],[binding_level]], Tabelle5[[#This Row],[company_id]],Tabelle18[[#This Row],[company_id]], Tabelle5[[#This Row],[value_id]], Tabelle18[[#This Row],[value_id]], Tabelle5[[#This Row],[value_present]],"1")</f>
        <v>0</v>
      </c>
      <c r="E125" s="4">
        <f>_xlfn.MAXIFS(Tabelle5[[#This Row],[value_points]], Tabelle5[[#This Row],[company_id]],Tabelle18[[#This Row],[company_id]], Tabelle5[[#This Row],[value_id]], Tabelle18[[#This Row],[value_id]], Tabelle5[[#This Row],[value_present]],"1")</f>
        <v>0</v>
      </c>
    </row>
    <row r="126" spans="1:5" x14ac:dyDescent="0.25">
      <c r="A126">
        <v>7</v>
      </c>
      <c r="B126" t="s">
        <v>166</v>
      </c>
      <c r="C126" s="4">
        <f>IF(Tabelle18[[#This Row],[binding_level_company]]&gt;=1,1,0)</f>
        <v>0</v>
      </c>
      <c r="D126" s="4">
        <f>_xlfn.MAXIFS(Tabelle5[[#This Row],[binding_level]], Tabelle5[[#This Row],[company_id]],Tabelle18[[#This Row],[company_id]], Tabelle5[[#This Row],[value_id]], Tabelle18[[#This Row],[value_id]], Tabelle5[[#This Row],[value_present]],"1")</f>
        <v>0</v>
      </c>
      <c r="E126" s="4">
        <f>_xlfn.MAXIFS(Tabelle5[[#This Row],[value_points]], Tabelle5[[#This Row],[company_id]],Tabelle18[[#This Row],[company_id]], Tabelle5[[#This Row],[value_id]], Tabelle18[[#This Row],[value_id]], Tabelle5[[#This Row],[value_present]],"1")</f>
        <v>0</v>
      </c>
    </row>
    <row r="127" spans="1:5" ht="15.75" thickBot="1" x14ac:dyDescent="0.3">
      <c r="A127">
        <v>7</v>
      </c>
      <c r="B127" s="30" t="s">
        <v>174</v>
      </c>
      <c r="C127" s="4">
        <f>IF(Tabelle18[[#This Row],[binding_level_company]]&gt;=1,1,0)</f>
        <v>0</v>
      </c>
      <c r="D127" s="4">
        <f>_xlfn.MAXIFS(Tabelle5[[#This Row],[binding_level]], Tabelle5[[#This Row],[company_id]],Tabelle18[[#This Row],[company_id]], Tabelle5[[#This Row],[value_id]], Tabelle18[[#This Row],[value_id]], Tabelle5[[#This Row],[value_present]],"1")</f>
        <v>0</v>
      </c>
      <c r="E127" s="4">
        <f>_xlfn.MAXIFS(Tabelle5[[#This Row],[value_points]], Tabelle5[[#This Row],[company_id]],Tabelle18[[#This Row],[company_id]], Tabelle5[[#This Row],[value_id]], Tabelle18[[#This Row],[value_id]], Tabelle5[[#This Row],[value_present]],"1")</f>
        <v>0</v>
      </c>
    </row>
    <row r="128" spans="1:5" x14ac:dyDescent="0.25">
      <c r="A128">
        <v>8</v>
      </c>
      <c r="B128" s="22" t="s">
        <v>53</v>
      </c>
      <c r="C128" s="4">
        <f>IF(Tabelle18[[#This Row],[binding_level_company]]&gt;=1,1,0)</f>
        <v>0</v>
      </c>
      <c r="D128" s="4">
        <f>_xlfn.MAXIFS(Tabelle5[[#This Row],[binding_level]], Tabelle5[[#This Row],[company_id]],Tabelle18[[#This Row],[company_id]], Tabelle5[[#This Row],[value_id]], Tabelle18[[#This Row],[value_id]], Tabelle5[[#This Row],[value_present]],"1")</f>
        <v>0</v>
      </c>
      <c r="E128" s="4">
        <f>_xlfn.MAXIFS(Tabelle5[[#This Row],[value_points]], Tabelle5[[#This Row],[company_id]],Tabelle18[[#This Row],[company_id]], Tabelle5[[#This Row],[value_id]], Tabelle18[[#This Row],[value_id]], Tabelle5[[#This Row],[value_present]],"1")</f>
        <v>0</v>
      </c>
    </row>
    <row r="129" spans="1:5" x14ac:dyDescent="0.25">
      <c r="A129">
        <v>8</v>
      </c>
      <c r="B129" t="s">
        <v>61</v>
      </c>
      <c r="C129" s="4">
        <f>IF(Tabelle18[[#This Row],[binding_level_company]]&gt;=1,1,0)</f>
        <v>0</v>
      </c>
      <c r="D129" s="4">
        <f>_xlfn.MAXIFS(Tabelle5[[#This Row],[binding_level]], Tabelle5[[#This Row],[company_id]],Tabelle18[[#This Row],[company_id]], Tabelle5[[#This Row],[value_id]], Tabelle18[[#This Row],[value_id]], Tabelle5[[#This Row],[value_present]],"1")</f>
        <v>0</v>
      </c>
      <c r="E129" s="4">
        <f>_xlfn.MAXIFS(Tabelle5[[#This Row],[value_points]], Tabelle5[[#This Row],[company_id]],Tabelle18[[#This Row],[company_id]], Tabelle5[[#This Row],[value_id]], Tabelle18[[#This Row],[value_id]], Tabelle5[[#This Row],[value_present]],"1")</f>
        <v>0</v>
      </c>
    </row>
    <row r="130" spans="1:5" x14ac:dyDescent="0.25">
      <c r="A130">
        <v>8</v>
      </c>
      <c r="B130" t="s">
        <v>69</v>
      </c>
      <c r="C130" s="4">
        <f>IF(Tabelle18[[#This Row],[binding_level_company]]&gt;=1,1,0)</f>
        <v>0</v>
      </c>
      <c r="D130" s="4">
        <f>_xlfn.MAXIFS(Tabelle5[[#This Row],[binding_level]], Tabelle5[[#This Row],[company_id]],Tabelle18[[#This Row],[company_id]], Tabelle5[[#This Row],[value_id]], Tabelle18[[#This Row],[value_id]], Tabelle5[[#This Row],[value_present]],"1")</f>
        <v>0</v>
      </c>
      <c r="E130" s="4">
        <f>_xlfn.MAXIFS(Tabelle5[[#This Row],[value_points]], Tabelle5[[#This Row],[company_id]],Tabelle18[[#This Row],[company_id]], Tabelle5[[#This Row],[value_id]], Tabelle18[[#This Row],[value_id]], Tabelle5[[#This Row],[value_present]],"1")</f>
        <v>0</v>
      </c>
    </row>
    <row r="131" spans="1:5" x14ac:dyDescent="0.25">
      <c r="A131">
        <v>8</v>
      </c>
      <c r="B131" t="s">
        <v>76</v>
      </c>
      <c r="C131" s="4">
        <f>IF(Tabelle18[[#This Row],[binding_level_company]]&gt;=1,1,0)</f>
        <v>0</v>
      </c>
      <c r="D131" s="4">
        <f>_xlfn.MAXIFS(Tabelle5[[#This Row],[binding_level]], Tabelle5[[#This Row],[company_id]],Tabelle18[[#This Row],[company_id]], Tabelle5[[#This Row],[value_id]], Tabelle18[[#This Row],[value_id]], Tabelle5[[#This Row],[value_present]],"1")</f>
        <v>0</v>
      </c>
      <c r="E131" s="4">
        <f>_xlfn.MAXIFS(Tabelle5[[#This Row],[value_points]], Tabelle5[[#This Row],[company_id]],Tabelle18[[#This Row],[company_id]], Tabelle5[[#This Row],[value_id]], Tabelle18[[#This Row],[value_id]], Tabelle5[[#This Row],[value_present]],"1")</f>
        <v>0</v>
      </c>
    </row>
    <row r="132" spans="1:5" x14ac:dyDescent="0.25">
      <c r="A132">
        <v>8</v>
      </c>
      <c r="B132" t="s">
        <v>83</v>
      </c>
      <c r="C132" s="4">
        <f>IF(Tabelle18[[#This Row],[binding_level_company]]&gt;=1,1,0)</f>
        <v>0</v>
      </c>
      <c r="D132" s="4">
        <f>_xlfn.MAXIFS(Tabelle5[[#This Row],[binding_level]], Tabelle5[[#This Row],[company_id]],Tabelle18[[#This Row],[company_id]], Tabelle5[[#This Row],[value_id]], Tabelle18[[#This Row],[value_id]], Tabelle5[[#This Row],[value_present]],"1")</f>
        <v>0</v>
      </c>
      <c r="E132" s="4">
        <f>_xlfn.MAXIFS(Tabelle5[[#This Row],[value_points]], Tabelle5[[#This Row],[company_id]],Tabelle18[[#This Row],[company_id]], Tabelle5[[#This Row],[value_id]], Tabelle18[[#This Row],[value_id]], Tabelle5[[#This Row],[value_present]],"1")</f>
        <v>0</v>
      </c>
    </row>
    <row r="133" spans="1:5" x14ac:dyDescent="0.25">
      <c r="A133">
        <v>8</v>
      </c>
      <c r="B133" t="s">
        <v>90</v>
      </c>
      <c r="C133" s="4">
        <f>IF(Tabelle18[[#This Row],[binding_level_company]]&gt;=1,1,0)</f>
        <v>0</v>
      </c>
      <c r="D133" s="4">
        <f>_xlfn.MAXIFS(Tabelle5[[#This Row],[binding_level]], Tabelle5[[#This Row],[company_id]],Tabelle18[[#This Row],[company_id]], Tabelle5[[#This Row],[value_id]], Tabelle18[[#This Row],[value_id]], Tabelle5[[#This Row],[value_present]],"1")</f>
        <v>0</v>
      </c>
      <c r="E133" s="4">
        <f>_xlfn.MAXIFS(Tabelle5[[#This Row],[value_points]], Tabelle5[[#This Row],[company_id]],Tabelle18[[#This Row],[company_id]], Tabelle5[[#This Row],[value_id]], Tabelle18[[#This Row],[value_id]], Tabelle5[[#This Row],[value_present]],"1")</f>
        <v>0</v>
      </c>
    </row>
    <row r="134" spans="1:5" x14ac:dyDescent="0.25">
      <c r="A134">
        <v>8</v>
      </c>
      <c r="B134" t="s">
        <v>98</v>
      </c>
      <c r="C134" s="4">
        <f>IF(Tabelle18[[#This Row],[binding_level_company]]&gt;=1,1,0)</f>
        <v>0</v>
      </c>
      <c r="D134" s="4">
        <f>_xlfn.MAXIFS(Tabelle5[[#This Row],[binding_level]], Tabelle5[[#This Row],[company_id]],Tabelle18[[#This Row],[company_id]], Tabelle5[[#This Row],[value_id]], Tabelle18[[#This Row],[value_id]], Tabelle5[[#This Row],[value_present]],"1")</f>
        <v>0</v>
      </c>
      <c r="E134" s="4">
        <f>_xlfn.MAXIFS(Tabelle5[[#This Row],[value_points]], Tabelle5[[#This Row],[company_id]],Tabelle18[[#This Row],[company_id]], Tabelle5[[#This Row],[value_id]], Tabelle18[[#This Row],[value_id]], Tabelle5[[#This Row],[value_present]],"1")</f>
        <v>0</v>
      </c>
    </row>
    <row r="135" spans="1:5" x14ac:dyDescent="0.25">
      <c r="A135">
        <v>8</v>
      </c>
      <c r="B135" t="s">
        <v>106</v>
      </c>
      <c r="C135" s="4">
        <f>IF(Tabelle18[[#This Row],[binding_level_company]]&gt;=1,1,0)</f>
        <v>0</v>
      </c>
      <c r="D135" s="4">
        <f>_xlfn.MAXIFS(Tabelle5[[#This Row],[binding_level]], Tabelle5[[#This Row],[company_id]],Tabelle18[[#This Row],[company_id]], Tabelle5[[#This Row],[value_id]], Tabelle18[[#This Row],[value_id]], Tabelle5[[#This Row],[value_present]],"1")</f>
        <v>0</v>
      </c>
      <c r="E135" s="4">
        <f>_xlfn.MAXIFS(Tabelle5[[#This Row],[value_points]], Tabelle5[[#This Row],[company_id]],Tabelle18[[#This Row],[company_id]], Tabelle5[[#This Row],[value_id]], Tabelle18[[#This Row],[value_id]], Tabelle5[[#This Row],[value_present]],"1")</f>
        <v>0</v>
      </c>
    </row>
    <row r="136" spans="1:5" x14ac:dyDescent="0.25">
      <c r="A136">
        <v>8</v>
      </c>
      <c r="B136" t="s">
        <v>112</v>
      </c>
      <c r="C136" s="4">
        <f>IF(Tabelle18[[#This Row],[binding_level_company]]&gt;=1,1,0)</f>
        <v>0</v>
      </c>
      <c r="D136" s="4">
        <f>_xlfn.MAXIFS(Tabelle5[[#This Row],[binding_level]], Tabelle5[[#This Row],[company_id]],Tabelle18[[#This Row],[company_id]], Tabelle5[[#This Row],[value_id]], Tabelle18[[#This Row],[value_id]], Tabelle5[[#This Row],[value_present]],"1")</f>
        <v>0</v>
      </c>
      <c r="E136" s="4">
        <f>_xlfn.MAXIFS(Tabelle5[[#This Row],[value_points]], Tabelle5[[#This Row],[company_id]],Tabelle18[[#This Row],[company_id]], Tabelle5[[#This Row],[value_id]], Tabelle18[[#This Row],[value_id]], Tabelle5[[#This Row],[value_present]],"1")</f>
        <v>0</v>
      </c>
    </row>
    <row r="137" spans="1:5" x14ac:dyDescent="0.25">
      <c r="A137">
        <v>8</v>
      </c>
      <c r="B137" t="s">
        <v>118</v>
      </c>
      <c r="C137" s="4">
        <f>IF(Tabelle18[[#This Row],[binding_level_company]]&gt;=1,1,0)</f>
        <v>0</v>
      </c>
      <c r="D137" s="4">
        <f>_xlfn.MAXIFS(Tabelle5[[#This Row],[binding_level]], Tabelle5[[#This Row],[company_id]],Tabelle18[[#This Row],[company_id]], Tabelle5[[#This Row],[value_id]], Tabelle18[[#This Row],[value_id]], Tabelle5[[#This Row],[value_present]],"1")</f>
        <v>0</v>
      </c>
      <c r="E137" s="4">
        <f>_xlfn.MAXIFS(Tabelle5[[#This Row],[value_points]], Tabelle5[[#This Row],[company_id]],Tabelle18[[#This Row],[company_id]], Tabelle5[[#This Row],[value_id]], Tabelle18[[#This Row],[value_id]], Tabelle5[[#This Row],[value_present]],"1")</f>
        <v>0</v>
      </c>
    </row>
    <row r="138" spans="1:5" x14ac:dyDescent="0.25">
      <c r="A138">
        <v>8</v>
      </c>
      <c r="B138" t="s">
        <v>125</v>
      </c>
      <c r="C138" s="4">
        <f>IF(Tabelle18[[#This Row],[binding_level_company]]&gt;=1,1,0)</f>
        <v>0</v>
      </c>
      <c r="D138" s="4">
        <f>_xlfn.MAXIFS(Tabelle5[[#This Row],[binding_level]], Tabelle5[[#This Row],[company_id]],Tabelle18[[#This Row],[company_id]], Tabelle5[[#This Row],[value_id]], Tabelle18[[#This Row],[value_id]], Tabelle5[[#This Row],[value_present]],"1")</f>
        <v>0</v>
      </c>
      <c r="E138" s="4">
        <f>_xlfn.MAXIFS(Tabelle5[[#This Row],[value_points]], Tabelle5[[#This Row],[company_id]],Tabelle18[[#This Row],[company_id]], Tabelle5[[#This Row],[value_id]], Tabelle18[[#This Row],[value_id]], Tabelle5[[#This Row],[value_present]],"1")</f>
        <v>0</v>
      </c>
    </row>
    <row r="139" spans="1:5" x14ac:dyDescent="0.25">
      <c r="A139">
        <v>8</v>
      </c>
      <c r="B139" t="s">
        <v>132</v>
      </c>
      <c r="C139" s="4">
        <f>IF(Tabelle18[[#This Row],[binding_level_company]]&gt;=1,1,0)</f>
        <v>0</v>
      </c>
      <c r="D139" s="4">
        <f>_xlfn.MAXIFS(Tabelle5[[#This Row],[binding_level]], Tabelle5[[#This Row],[company_id]],Tabelle18[[#This Row],[company_id]], Tabelle5[[#This Row],[value_id]], Tabelle18[[#This Row],[value_id]], Tabelle5[[#This Row],[value_present]],"1")</f>
        <v>0</v>
      </c>
      <c r="E139" s="4">
        <f>_xlfn.MAXIFS(Tabelle5[[#This Row],[value_points]], Tabelle5[[#This Row],[company_id]],Tabelle18[[#This Row],[company_id]], Tabelle5[[#This Row],[value_id]], Tabelle18[[#This Row],[value_id]], Tabelle5[[#This Row],[value_present]],"1")</f>
        <v>0</v>
      </c>
    </row>
    <row r="140" spans="1:5" x14ac:dyDescent="0.25">
      <c r="A140">
        <v>8</v>
      </c>
      <c r="B140" t="s">
        <v>140</v>
      </c>
      <c r="C140" s="4">
        <f>IF(Tabelle18[[#This Row],[binding_level_company]]&gt;=1,1,0)</f>
        <v>0</v>
      </c>
      <c r="D140" s="4">
        <f>_xlfn.MAXIFS(Tabelle5[[#This Row],[binding_level]], Tabelle5[[#This Row],[company_id]],Tabelle18[[#This Row],[company_id]], Tabelle5[[#This Row],[value_id]], Tabelle18[[#This Row],[value_id]], Tabelle5[[#This Row],[value_present]],"1")</f>
        <v>0</v>
      </c>
      <c r="E140" s="4">
        <f>_xlfn.MAXIFS(Tabelle5[[#This Row],[value_points]], Tabelle5[[#This Row],[company_id]],Tabelle18[[#This Row],[company_id]], Tabelle5[[#This Row],[value_id]], Tabelle18[[#This Row],[value_id]], Tabelle5[[#This Row],[value_present]],"1")</f>
        <v>0</v>
      </c>
    </row>
    <row r="141" spans="1:5" x14ac:dyDescent="0.25">
      <c r="A141">
        <v>8</v>
      </c>
      <c r="B141" t="s">
        <v>147</v>
      </c>
      <c r="C141" s="4">
        <f>IF(Tabelle18[[#This Row],[binding_level_company]]&gt;=1,1,0)</f>
        <v>0</v>
      </c>
      <c r="D141" s="4">
        <f>_xlfn.MAXIFS(Tabelle5[[#This Row],[binding_level]], Tabelle5[[#This Row],[company_id]],Tabelle18[[#This Row],[company_id]], Tabelle5[[#This Row],[value_id]], Tabelle18[[#This Row],[value_id]], Tabelle5[[#This Row],[value_present]],"1")</f>
        <v>0</v>
      </c>
      <c r="E141" s="4">
        <f>_xlfn.MAXIFS(Tabelle5[[#This Row],[value_points]], Tabelle5[[#This Row],[company_id]],Tabelle18[[#This Row],[company_id]], Tabelle5[[#This Row],[value_id]], Tabelle18[[#This Row],[value_id]], Tabelle5[[#This Row],[value_present]],"1")</f>
        <v>0</v>
      </c>
    </row>
    <row r="142" spans="1:5" x14ac:dyDescent="0.25">
      <c r="A142">
        <v>8</v>
      </c>
      <c r="B142" t="s">
        <v>154</v>
      </c>
      <c r="C142" s="4">
        <f>IF(Tabelle18[[#This Row],[binding_level_company]]&gt;=1,1,0)</f>
        <v>0</v>
      </c>
      <c r="D142" s="4">
        <f>_xlfn.MAXIFS(Tabelle5[[#This Row],[binding_level]], Tabelle5[[#This Row],[company_id]],Tabelle18[[#This Row],[company_id]], Tabelle5[[#This Row],[value_id]], Tabelle18[[#This Row],[value_id]], Tabelle5[[#This Row],[value_present]],"1")</f>
        <v>0</v>
      </c>
      <c r="E142" s="4">
        <f>_xlfn.MAXIFS(Tabelle5[[#This Row],[value_points]], Tabelle5[[#This Row],[company_id]],Tabelle18[[#This Row],[company_id]], Tabelle5[[#This Row],[value_id]], Tabelle18[[#This Row],[value_id]], Tabelle5[[#This Row],[value_present]],"1")</f>
        <v>0</v>
      </c>
    </row>
    <row r="143" spans="1:5" x14ac:dyDescent="0.25">
      <c r="A143">
        <v>8</v>
      </c>
      <c r="B143" t="s">
        <v>161</v>
      </c>
      <c r="C143" s="4">
        <f>IF(Tabelle18[[#This Row],[binding_level_company]]&gt;=1,1,0)</f>
        <v>0</v>
      </c>
      <c r="D143" s="4">
        <f>_xlfn.MAXIFS(Tabelle5[[#This Row],[binding_level]], Tabelle5[[#This Row],[company_id]],Tabelle18[[#This Row],[company_id]], Tabelle5[[#This Row],[value_id]], Tabelle18[[#This Row],[value_id]], Tabelle5[[#This Row],[value_present]],"1")</f>
        <v>0</v>
      </c>
      <c r="E143" s="4">
        <f>_xlfn.MAXIFS(Tabelle5[[#This Row],[value_points]], Tabelle5[[#This Row],[company_id]],Tabelle18[[#This Row],[company_id]], Tabelle5[[#This Row],[value_id]], Tabelle18[[#This Row],[value_id]], Tabelle5[[#This Row],[value_present]],"1")</f>
        <v>0</v>
      </c>
    </row>
    <row r="144" spans="1:5" x14ac:dyDescent="0.25">
      <c r="A144">
        <v>8</v>
      </c>
      <c r="B144" t="s">
        <v>166</v>
      </c>
      <c r="C144" s="4">
        <f>IF(Tabelle18[[#This Row],[binding_level_company]]&gt;=1,1,0)</f>
        <v>0</v>
      </c>
      <c r="D144" s="4">
        <f>_xlfn.MAXIFS(Tabelle5[[#This Row],[binding_level]], Tabelle5[[#This Row],[company_id]],Tabelle18[[#This Row],[company_id]], Tabelle5[[#This Row],[value_id]], Tabelle18[[#This Row],[value_id]], Tabelle5[[#This Row],[value_present]],"1")</f>
        <v>0</v>
      </c>
      <c r="E144" s="4">
        <f>_xlfn.MAXIFS(Tabelle5[[#This Row],[value_points]], Tabelle5[[#This Row],[company_id]],Tabelle18[[#This Row],[company_id]], Tabelle5[[#This Row],[value_id]], Tabelle18[[#This Row],[value_id]], Tabelle5[[#This Row],[value_present]],"1")</f>
        <v>0</v>
      </c>
    </row>
    <row r="145" spans="1:5" ht="15.75" thickBot="1" x14ac:dyDescent="0.3">
      <c r="A145">
        <v>8</v>
      </c>
      <c r="B145" s="30" t="s">
        <v>174</v>
      </c>
      <c r="C145" s="4">
        <f>IF(Tabelle18[[#This Row],[binding_level_company]]&gt;=1,1,0)</f>
        <v>0</v>
      </c>
      <c r="D145" s="4">
        <f>_xlfn.MAXIFS(Tabelle5[[#This Row],[binding_level]], Tabelle5[[#This Row],[company_id]],Tabelle18[[#This Row],[company_id]], Tabelle5[[#This Row],[value_id]], Tabelle18[[#This Row],[value_id]], Tabelle5[[#This Row],[value_present]],"1")</f>
        <v>0</v>
      </c>
      <c r="E145" s="4">
        <f>_xlfn.MAXIFS(Tabelle5[[#This Row],[value_points]], Tabelle5[[#This Row],[company_id]],Tabelle18[[#This Row],[company_id]], Tabelle5[[#This Row],[value_id]], Tabelle18[[#This Row],[value_id]], Tabelle5[[#This Row],[value_present]],"1")</f>
        <v>0</v>
      </c>
    </row>
    <row r="146" spans="1:5" x14ac:dyDescent="0.25">
      <c r="A146">
        <v>9</v>
      </c>
      <c r="B146" s="22" t="s">
        <v>53</v>
      </c>
      <c r="C146" s="4">
        <f>IF(Tabelle18[[#This Row],[binding_level_company]]&gt;=1,1,0)</f>
        <v>0</v>
      </c>
      <c r="D146" s="4">
        <f>_xlfn.MAXIFS(Tabelle5[[#This Row],[binding_level]], Tabelle5[[#This Row],[company_id]],Tabelle18[[#This Row],[company_id]], Tabelle5[[#This Row],[value_id]], Tabelle18[[#This Row],[value_id]], Tabelle5[[#This Row],[value_present]],"1")</f>
        <v>0</v>
      </c>
      <c r="E146" s="4">
        <f>_xlfn.MAXIFS(Tabelle5[[#This Row],[value_points]], Tabelle5[[#This Row],[company_id]],Tabelle18[[#This Row],[company_id]], Tabelle5[[#This Row],[value_id]], Tabelle18[[#This Row],[value_id]], Tabelle5[[#This Row],[value_present]],"1")</f>
        <v>0</v>
      </c>
    </row>
    <row r="147" spans="1:5" x14ac:dyDescent="0.25">
      <c r="A147">
        <v>9</v>
      </c>
      <c r="B147" t="s">
        <v>61</v>
      </c>
      <c r="C147" s="4">
        <f>IF(Tabelle18[[#This Row],[binding_level_company]]&gt;=1,1,0)</f>
        <v>0</v>
      </c>
      <c r="D147" s="4">
        <f>_xlfn.MAXIFS(Tabelle5[[#This Row],[binding_level]], Tabelle5[[#This Row],[company_id]],Tabelle18[[#This Row],[company_id]], Tabelle5[[#This Row],[value_id]], Tabelle18[[#This Row],[value_id]], Tabelle5[[#This Row],[value_present]],"1")</f>
        <v>0</v>
      </c>
      <c r="E147" s="4">
        <f>_xlfn.MAXIFS(Tabelle5[[#This Row],[value_points]], Tabelle5[[#This Row],[company_id]],Tabelle18[[#This Row],[company_id]], Tabelle5[[#This Row],[value_id]], Tabelle18[[#This Row],[value_id]], Tabelle5[[#This Row],[value_present]],"1")</f>
        <v>0</v>
      </c>
    </row>
    <row r="148" spans="1:5" x14ac:dyDescent="0.25">
      <c r="A148">
        <v>9</v>
      </c>
      <c r="B148" t="s">
        <v>69</v>
      </c>
      <c r="C148" s="4">
        <f>IF(Tabelle18[[#This Row],[binding_level_company]]&gt;=1,1,0)</f>
        <v>0</v>
      </c>
      <c r="D148" s="4">
        <f>_xlfn.MAXIFS(Tabelle5[[#This Row],[binding_level]], Tabelle5[[#This Row],[company_id]],Tabelle18[[#This Row],[company_id]], Tabelle5[[#This Row],[value_id]], Tabelle18[[#This Row],[value_id]], Tabelle5[[#This Row],[value_present]],"1")</f>
        <v>0</v>
      </c>
      <c r="E148" s="4">
        <f>_xlfn.MAXIFS(Tabelle5[[#This Row],[value_points]], Tabelle5[[#This Row],[company_id]],Tabelle18[[#This Row],[company_id]], Tabelle5[[#This Row],[value_id]], Tabelle18[[#This Row],[value_id]], Tabelle5[[#This Row],[value_present]],"1")</f>
        <v>0</v>
      </c>
    </row>
    <row r="149" spans="1:5" x14ac:dyDescent="0.25">
      <c r="A149">
        <v>9</v>
      </c>
      <c r="B149" t="s">
        <v>76</v>
      </c>
      <c r="C149" s="4">
        <f>IF(Tabelle18[[#This Row],[binding_level_company]]&gt;=1,1,0)</f>
        <v>0</v>
      </c>
      <c r="D149" s="4">
        <f>_xlfn.MAXIFS(Tabelle5[[#This Row],[binding_level]], Tabelle5[[#This Row],[company_id]],Tabelle18[[#This Row],[company_id]], Tabelle5[[#This Row],[value_id]], Tabelle18[[#This Row],[value_id]], Tabelle5[[#This Row],[value_present]],"1")</f>
        <v>0</v>
      </c>
      <c r="E149" s="4">
        <f>_xlfn.MAXIFS(Tabelle5[[#This Row],[value_points]], Tabelle5[[#This Row],[company_id]],Tabelle18[[#This Row],[company_id]], Tabelle5[[#This Row],[value_id]], Tabelle18[[#This Row],[value_id]], Tabelle5[[#This Row],[value_present]],"1")</f>
        <v>0</v>
      </c>
    </row>
    <row r="150" spans="1:5" x14ac:dyDescent="0.25">
      <c r="A150">
        <v>9</v>
      </c>
      <c r="B150" t="s">
        <v>83</v>
      </c>
      <c r="C150" s="4">
        <f>IF(Tabelle18[[#This Row],[binding_level_company]]&gt;=1,1,0)</f>
        <v>0</v>
      </c>
      <c r="D150" s="4">
        <f>_xlfn.MAXIFS(Tabelle5[[#This Row],[binding_level]], Tabelle5[[#This Row],[company_id]],Tabelle18[[#This Row],[company_id]], Tabelle5[[#This Row],[value_id]], Tabelle18[[#This Row],[value_id]], Tabelle5[[#This Row],[value_present]],"1")</f>
        <v>0</v>
      </c>
      <c r="E150" s="4">
        <f>_xlfn.MAXIFS(Tabelle5[[#This Row],[value_points]], Tabelle5[[#This Row],[company_id]],Tabelle18[[#This Row],[company_id]], Tabelle5[[#This Row],[value_id]], Tabelle18[[#This Row],[value_id]], Tabelle5[[#This Row],[value_present]],"1")</f>
        <v>0</v>
      </c>
    </row>
    <row r="151" spans="1:5" x14ac:dyDescent="0.25">
      <c r="A151">
        <v>9</v>
      </c>
      <c r="B151" t="s">
        <v>90</v>
      </c>
      <c r="C151" s="4">
        <f>IF(Tabelle18[[#This Row],[binding_level_company]]&gt;=1,1,0)</f>
        <v>0</v>
      </c>
      <c r="D151" s="4">
        <f>_xlfn.MAXIFS(Tabelle5[[#This Row],[binding_level]], Tabelle5[[#This Row],[company_id]],Tabelle18[[#This Row],[company_id]], Tabelle5[[#This Row],[value_id]], Tabelle18[[#This Row],[value_id]], Tabelle5[[#This Row],[value_present]],"1")</f>
        <v>0</v>
      </c>
      <c r="E151" s="4">
        <f>_xlfn.MAXIFS(Tabelle5[[#This Row],[value_points]], Tabelle5[[#This Row],[company_id]],Tabelle18[[#This Row],[company_id]], Tabelle5[[#This Row],[value_id]], Tabelle18[[#This Row],[value_id]], Tabelle5[[#This Row],[value_present]],"1")</f>
        <v>0</v>
      </c>
    </row>
    <row r="152" spans="1:5" x14ac:dyDescent="0.25">
      <c r="A152">
        <v>9</v>
      </c>
      <c r="B152" t="s">
        <v>98</v>
      </c>
      <c r="C152" s="4">
        <f>IF(Tabelle18[[#This Row],[binding_level_company]]&gt;=1,1,0)</f>
        <v>0</v>
      </c>
      <c r="D152" s="4">
        <f>_xlfn.MAXIFS(Tabelle5[[#This Row],[binding_level]], Tabelle5[[#This Row],[company_id]],Tabelle18[[#This Row],[company_id]], Tabelle5[[#This Row],[value_id]], Tabelle18[[#This Row],[value_id]], Tabelle5[[#This Row],[value_present]],"1")</f>
        <v>0</v>
      </c>
      <c r="E152" s="4">
        <f>_xlfn.MAXIFS(Tabelle5[[#This Row],[value_points]], Tabelle5[[#This Row],[company_id]],Tabelle18[[#This Row],[company_id]], Tabelle5[[#This Row],[value_id]], Tabelle18[[#This Row],[value_id]], Tabelle5[[#This Row],[value_present]],"1")</f>
        <v>0</v>
      </c>
    </row>
    <row r="153" spans="1:5" x14ac:dyDescent="0.25">
      <c r="A153">
        <v>9</v>
      </c>
      <c r="B153" t="s">
        <v>106</v>
      </c>
      <c r="C153" s="4">
        <f>IF(Tabelle18[[#This Row],[binding_level_company]]&gt;=1,1,0)</f>
        <v>0</v>
      </c>
      <c r="D153" s="4">
        <f>_xlfn.MAXIFS(Tabelle5[[#This Row],[binding_level]], Tabelle5[[#This Row],[company_id]],Tabelle18[[#This Row],[company_id]], Tabelle5[[#This Row],[value_id]], Tabelle18[[#This Row],[value_id]], Tabelle5[[#This Row],[value_present]],"1")</f>
        <v>0</v>
      </c>
      <c r="E153" s="4">
        <f>_xlfn.MAXIFS(Tabelle5[[#This Row],[value_points]], Tabelle5[[#This Row],[company_id]],Tabelle18[[#This Row],[company_id]], Tabelle5[[#This Row],[value_id]], Tabelle18[[#This Row],[value_id]], Tabelle5[[#This Row],[value_present]],"1")</f>
        <v>0</v>
      </c>
    </row>
    <row r="154" spans="1:5" x14ac:dyDescent="0.25">
      <c r="A154">
        <v>9</v>
      </c>
      <c r="B154" t="s">
        <v>112</v>
      </c>
      <c r="C154" s="4">
        <f>IF(Tabelle18[[#This Row],[binding_level_company]]&gt;=1,1,0)</f>
        <v>0</v>
      </c>
      <c r="D154" s="4">
        <f>_xlfn.MAXIFS(Tabelle5[[#This Row],[binding_level]], Tabelle5[[#This Row],[company_id]],Tabelle18[[#This Row],[company_id]], Tabelle5[[#This Row],[value_id]], Tabelle18[[#This Row],[value_id]], Tabelle5[[#This Row],[value_present]],"1")</f>
        <v>0</v>
      </c>
      <c r="E154" s="4">
        <f>_xlfn.MAXIFS(Tabelle5[[#This Row],[value_points]], Tabelle5[[#This Row],[company_id]],Tabelle18[[#This Row],[company_id]], Tabelle5[[#This Row],[value_id]], Tabelle18[[#This Row],[value_id]], Tabelle5[[#This Row],[value_present]],"1")</f>
        <v>0</v>
      </c>
    </row>
    <row r="155" spans="1:5" x14ac:dyDescent="0.25">
      <c r="A155">
        <v>9</v>
      </c>
      <c r="B155" t="s">
        <v>118</v>
      </c>
      <c r="C155" s="4">
        <f>IF(Tabelle18[[#This Row],[binding_level_company]]&gt;=1,1,0)</f>
        <v>0</v>
      </c>
      <c r="D155" s="4">
        <f>_xlfn.MAXIFS(Tabelle5[[#This Row],[binding_level]], Tabelle5[[#This Row],[company_id]],Tabelle18[[#This Row],[company_id]], Tabelle5[[#This Row],[value_id]], Tabelle18[[#This Row],[value_id]], Tabelle5[[#This Row],[value_present]],"1")</f>
        <v>0</v>
      </c>
      <c r="E155" s="4">
        <f>_xlfn.MAXIFS(Tabelle5[[#This Row],[value_points]], Tabelle5[[#This Row],[company_id]],Tabelle18[[#This Row],[company_id]], Tabelle5[[#This Row],[value_id]], Tabelle18[[#This Row],[value_id]], Tabelle5[[#This Row],[value_present]],"1")</f>
        <v>0</v>
      </c>
    </row>
    <row r="156" spans="1:5" x14ac:dyDescent="0.25">
      <c r="A156">
        <v>9</v>
      </c>
      <c r="B156" t="s">
        <v>125</v>
      </c>
      <c r="C156" s="4">
        <f>IF(Tabelle18[[#This Row],[binding_level_company]]&gt;=1,1,0)</f>
        <v>0</v>
      </c>
      <c r="D156" s="4">
        <f>_xlfn.MAXIFS(Tabelle5[[#This Row],[binding_level]], Tabelle5[[#This Row],[company_id]],Tabelle18[[#This Row],[company_id]], Tabelle5[[#This Row],[value_id]], Tabelle18[[#This Row],[value_id]], Tabelle5[[#This Row],[value_present]],"1")</f>
        <v>0</v>
      </c>
      <c r="E156" s="4">
        <f>_xlfn.MAXIFS(Tabelle5[[#This Row],[value_points]], Tabelle5[[#This Row],[company_id]],Tabelle18[[#This Row],[company_id]], Tabelle5[[#This Row],[value_id]], Tabelle18[[#This Row],[value_id]], Tabelle5[[#This Row],[value_present]],"1")</f>
        <v>0</v>
      </c>
    </row>
    <row r="157" spans="1:5" x14ac:dyDescent="0.25">
      <c r="A157">
        <v>9</v>
      </c>
      <c r="B157" t="s">
        <v>132</v>
      </c>
      <c r="C157" s="4">
        <f>IF(Tabelle18[[#This Row],[binding_level_company]]&gt;=1,1,0)</f>
        <v>0</v>
      </c>
      <c r="D157" s="4">
        <f>_xlfn.MAXIFS(Tabelle5[[#This Row],[binding_level]], Tabelle5[[#This Row],[company_id]],Tabelle18[[#This Row],[company_id]], Tabelle5[[#This Row],[value_id]], Tabelle18[[#This Row],[value_id]], Tabelle5[[#This Row],[value_present]],"1")</f>
        <v>0</v>
      </c>
      <c r="E157" s="4">
        <f>_xlfn.MAXIFS(Tabelle5[[#This Row],[value_points]], Tabelle5[[#This Row],[company_id]],Tabelle18[[#This Row],[company_id]], Tabelle5[[#This Row],[value_id]], Tabelle18[[#This Row],[value_id]], Tabelle5[[#This Row],[value_present]],"1")</f>
        <v>0</v>
      </c>
    </row>
    <row r="158" spans="1:5" x14ac:dyDescent="0.25">
      <c r="A158">
        <v>9</v>
      </c>
      <c r="B158" t="s">
        <v>140</v>
      </c>
      <c r="C158" s="4">
        <f>IF(Tabelle18[[#This Row],[binding_level_company]]&gt;=1,1,0)</f>
        <v>0</v>
      </c>
      <c r="D158" s="4">
        <f>_xlfn.MAXIFS(Tabelle5[[#This Row],[binding_level]], Tabelle5[[#This Row],[company_id]],Tabelle18[[#This Row],[company_id]], Tabelle5[[#This Row],[value_id]], Tabelle18[[#This Row],[value_id]], Tabelle5[[#This Row],[value_present]],"1")</f>
        <v>0</v>
      </c>
      <c r="E158" s="4">
        <f>_xlfn.MAXIFS(Tabelle5[[#This Row],[value_points]], Tabelle5[[#This Row],[company_id]],Tabelle18[[#This Row],[company_id]], Tabelle5[[#This Row],[value_id]], Tabelle18[[#This Row],[value_id]], Tabelle5[[#This Row],[value_present]],"1")</f>
        <v>0</v>
      </c>
    </row>
    <row r="159" spans="1:5" x14ac:dyDescent="0.25">
      <c r="A159">
        <v>9</v>
      </c>
      <c r="B159" t="s">
        <v>147</v>
      </c>
      <c r="C159" s="4">
        <f>IF(Tabelle18[[#This Row],[binding_level_company]]&gt;=1,1,0)</f>
        <v>0</v>
      </c>
      <c r="D159" s="4">
        <f>_xlfn.MAXIFS(Tabelle5[[#This Row],[binding_level]], Tabelle5[[#This Row],[company_id]],Tabelle18[[#This Row],[company_id]], Tabelle5[[#This Row],[value_id]], Tabelle18[[#This Row],[value_id]], Tabelle5[[#This Row],[value_present]],"1")</f>
        <v>0</v>
      </c>
      <c r="E159" s="4">
        <f>_xlfn.MAXIFS(Tabelle5[[#This Row],[value_points]], Tabelle5[[#This Row],[company_id]],Tabelle18[[#This Row],[company_id]], Tabelle5[[#This Row],[value_id]], Tabelle18[[#This Row],[value_id]], Tabelle5[[#This Row],[value_present]],"1")</f>
        <v>0</v>
      </c>
    </row>
    <row r="160" spans="1:5" x14ac:dyDescent="0.25">
      <c r="A160">
        <v>9</v>
      </c>
      <c r="B160" t="s">
        <v>154</v>
      </c>
      <c r="C160" s="4">
        <f>IF(Tabelle18[[#This Row],[binding_level_company]]&gt;=1,1,0)</f>
        <v>0</v>
      </c>
      <c r="D160" s="4">
        <f>_xlfn.MAXIFS(Tabelle5[[#This Row],[binding_level]], Tabelle5[[#This Row],[company_id]],Tabelle18[[#This Row],[company_id]], Tabelle5[[#This Row],[value_id]], Tabelle18[[#This Row],[value_id]], Tabelle5[[#This Row],[value_present]],"1")</f>
        <v>0</v>
      </c>
      <c r="E160" s="4">
        <f>_xlfn.MAXIFS(Tabelle5[[#This Row],[value_points]], Tabelle5[[#This Row],[company_id]],Tabelle18[[#This Row],[company_id]], Tabelle5[[#This Row],[value_id]], Tabelle18[[#This Row],[value_id]], Tabelle5[[#This Row],[value_present]],"1")</f>
        <v>0</v>
      </c>
    </row>
    <row r="161" spans="1:5" x14ac:dyDescent="0.25">
      <c r="A161">
        <v>9</v>
      </c>
      <c r="B161" t="s">
        <v>161</v>
      </c>
      <c r="C161" s="4">
        <f>IF(Tabelle18[[#This Row],[binding_level_company]]&gt;=1,1,0)</f>
        <v>0</v>
      </c>
      <c r="D161" s="4">
        <f>_xlfn.MAXIFS(Tabelle5[[#This Row],[binding_level]], Tabelle5[[#This Row],[company_id]],Tabelle18[[#This Row],[company_id]], Tabelle5[[#This Row],[value_id]], Tabelle18[[#This Row],[value_id]], Tabelle5[[#This Row],[value_present]],"1")</f>
        <v>0</v>
      </c>
      <c r="E161" s="4">
        <f>_xlfn.MAXIFS(Tabelle5[[#This Row],[value_points]], Tabelle5[[#This Row],[company_id]],Tabelle18[[#This Row],[company_id]], Tabelle5[[#This Row],[value_id]], Tabelle18[[#This Row],[value_id]], Tabelle5[[#This Row],[value_present]],"1")</f>
        <v>0</v>
      </c>
    </row>
    <row r="162" spans="1:5" x14ac:dyDescent="0.25">
      <c r="A162">
        <v>9</v>
      </c>
      <c r="B162" t="s">
        <v>166</v>
      </c>
      <c r="C162" s="4">
        <f>IF(Tabelle18[[#This Row],[binding_level_company]]&gt;=1,1,0)</f>
        <v>0</v>
      </c>
      <c r="D162" s="4">
        <f>_xlfn.MAXIFS(Tabelle5[[#This Row],[binding_level]], Tabelle5[[#This Row],[company_id]],Tabelle18[[#This Row],[company_id]], Tabelle5[[#This Row],[value_id]], Tabelle18[[#This Row],[value_id]], Tabelle5[[#This Row],[value_present]],"1")</f>
        <v>0</v>
      </c>
      <c r="E162" s="4">
        <f>_xlfn.MAXIFS(Tabelle5[[#This Row],[value_points]], Tabelle5[[#This Row],[company_id]],Tabelle18[[#This Row],[company_id]], Tabelle5[[#This Row],[value_id]], Tabelle18[[#This Row],[value_id]], Tabelle5[[#This Row],[value_present]],"1")</f>
        <v>0</v>
      </c>
    </row>
    <row r="163" spans="1:5" ht="15.75" thickBot="1" x14ac:dyDescent="0.3">
      <c r="A163">
        <v>9</v>
      </c>
      <c r="B163" s="30" t="s">
        <v>174</v>
      </c>
      <c r="C163" s="4">
        <f>IF(Tabelle18[[#This Row],[binding_level_company]]&gt;=1,1,0)</f>
        <v>0</v>
      </c>
      <c r="D163" s="4">
        <f>_xlfn.MAXIFS(Tabelle5[[#This Row],[binding_level]], Tabelle5[[#This Row],[company_id]],Tabelle18[[#This Row],[company_id]], Tabelle5[[#This Row],[value_id]], Tabelle18[[#This Row],[value_id]], Tabelle5[[#This Row],[value_present]],"1")</f>
        <v>0</v>
      </c>
      <c r="E163" s="4">
        <f>_xlfn.MAXIFS(Tabelle5[[#This Row],[value_points]], Tabelle5[[#This Row],[company_id]],Tabelle18[[#This Row],[company_id]], Tabelle5[[#This Row],[value_id]], Tabelle18[[#This Row],[value_id]], Tabelle5[[#This Row],[value_present]],"1")</f>
        <v>0</v>
      </c>
    </row>
    <row r="164" spans="1:5" x14ac:dyDescent="0.25">
      <c r="A164">
        <v>10</v>
      </c>
      <c r="B164" s="22" t="s">
        <v>53</v>
      </c>
      <c r="C164" s="4">
        <f>IF(Tabelle18[[#This Row],[binding_level_company]]&gt;=1,1,0)</f>
        <v>0</v>
      </c>
      <c r="D164" s="4">
        <f>_xlfn.MAXIFS(Tabelle5[[#This Row],[binding_level]], Tabelle5[[#This Row],[company_id]],Tabelle18[[#This Row],[company_id]], Tabelle5[[#This Row],[value_id]], Tabelle18[[#This Row],[value_id]], Tabelle5[[#This Row],[value_present]],"1")</f>
        <v>0</v>
      </c>
      <c r="E164" s="4">
        <f>_xlfn.MAXIFS(Tabelle5[[#This Row],[value_points]], Tabelle5[[#This Row],[company_id]],Tabelle18[[#This Row],[company_id]], Tabelle5[[#This Row],[value_id]], Tabelle18[[#This Row],[value_id]], Tabelle5[[#This Row],[value_present]],"1")</f>
        <v>0</v>
      </c>
    </row>
    <row r="165" spans="1:5" x14ac:dyDescent="0.25">
      <c r="A165">
        <v>10</v>
      </c>
      <c r="B165" t="s">
        <v>61</v>
      </c>
      <c r="C165" s="4">
        <f>IF(Tabelle18[[#This Row],[binding_level_company]]&gt;=1,1,0)</f>
        <v>0</v>
      </c>
      <c r="D165" s="4">
        <f>_xlfn.MAXIFS(Tabelle5[[#This Row],[binding_level]], Tabelle5[[#This Row],[company_id]],Tabelle18[[#This Row],[company_id]], Tabelle5[[#This Row],[value_id]], Tabelle18[[#This Row],[value_id]], Tabelle5[[#This Row],[value_present]],"1")</f>
        <v>0</v>
      </c>
      <c r="E165" s="4">
        <f>_xlfn.MAXIFS(Tabelle5[[#This Row],[value_points]], Tabelle5[[#This Row],[company_id]],Tabelle18[[#This Row],[company_id]], Tabelle5[[#This Row],[value_id]], Tabelle18[[#This Row],[value_id]], Tabelle5[[#This Row],[value_present]],"1")</f>
        <v>0</v>
      </c>
    </row>
    <row r="166" spans="1:5" x14ac:dyDescent="0.25">
      <c r="A166">
        <v>10</v>
      </c>
      <c r="B166" t="s">
        <v>69</v>
      </c>
      <c r="C166" s="4">
        <f>IF(Tabelle18[[#This Row],[binding_level_company]]&gt;=1,1,0)</f>
        <v>0</v>
      </c>
      <c r="D166" s="4">
        <f>_xlfn.MAXIFS(Tabelle5[[#This Row],[binding_level]], Tabelle5[[#This Row],[company_id]],Tabelle18[[#This Row],[company_id]], Tabelle5[[#This Row],[value_id]], Tabelle18[[#This Row],[value_id]], Tabelle5[[#This Row],[value_present]],"1")</f>
        <v>0</v>
      </c>
      <c r="E166" s="4">
        <f>_xlfn.MAXIFS(Tabelle5[[#This Row],[value_points]], Tabelle5[[#This Row],[company_id]],Tabelle18[[#This Row],[company_id]], Tabelle5[[#This Row],[value_id]], Tabelle18[[#This Row],[value_id]], Tabelle5[[#This Row],[value_present]],"1")</f>
        <v>0</v>
      </c>
    </row>
    <row r="167" spans="1:5" x14ac:dyDescent="0.25">
      <c r="A167">
        <v>10</v>
      </c>
      <c r="B167" t="s">
        <v>76</v>
      </c>
      <c r="C167" s="4">
        <f>IF(Tabelle18[[#This Row],[binding_level_company]]&gt;=1,1,0)</f>
        <v>0</v>
      </c>
      <c r="D167" s="4">
        <f>_xlfn.MAXIFS(Tabelle5[[#This Row],[binding_level]], Tabelle5[[#This Row],[company_id]],Tabelle18[[#This Row],[company_id]], Tabelle5[[#This Row],[value_id]], Tabelle18[[#This Row],[value_id]], Tabelle5[[#This Row],[value_present]],"1")</f>
        <v>0</v>
      </c>
      <c r="E167" s="4">
        <f>_xlfn.MAXIFS(Tabelle5[[#This Row],[value_points]], Tabelle5[[#This Row],[company_id]],Tabelle18[[#This Row],[company_id]], Tabelle5[[#This Row],[value_id]], Tabelle18[[#This Row],[value_id]], Tabelle5[[#This Row],[value_present]],"1")</f>
        <v>0</v>
      </c>
    </row>
    <row r="168" spans="1:5" x14ac:dyDescent="0.25">
      <c r="A168">
        <v>10</v>
      </c>
      <c r="B168" t="s">
        <v>83</v>
      </c>
      <c r="C168" s="4">
        <f>IF(Tabelle18[[#This Row],[binding_level_company]]&gt;=1,1,0)</f>
        <v>0</v>
      </c>
      <c r="D168" s="4">
        <f>_xlfn.MAXIFS(Tabelle5[[#This Row],[binding_level]], Tabelle5[[#This Row],[company_id]],Tabelle18[[#This Row],[company_id]], Tabelle5[[#This Row],[value_id]], Tabelle18[[#This Row],[value_id]], Tabelle5[[#This Row],[value_present]],"1")</f>
        <v>0</v>
      </c>
      <c r="E168" s="4">
        <f>_xlfn.MAXIFS(Tabelle5[[#This Row],[value_points]], Tabelle5[[#This Row],[company_id]],Tabelle18[[#This Row],[company_id]], Tabelle5[[#This Row],[value_id]], Tabelle18[[#This Row],[value_id]], Tabelle5[[#This Row],[value_present]],"1")</f>
        <v>0</v>
      </c>
    </row>
    <row r="169" spans="1:5" x14ac:dyDescent="0.25">
      <c r="A169">
        <v>10</v>
      </c>
      <c r="B169" t="s">
        <v>90</v>
      </c>
      <c r="C169" s="4">
        <f>IF(Tabelle18[[#This Row],[binding_level_company]]&gt;=1,1,0)</f>
        <v>0</v>
      </c>
      <c r="D169" s="4">
        <f>_xlfn.MAXIFS(Tabelle5[[#This Row],[binding_level]], Tabelle5[[#This Row],[company_id]],Tabelle18[[#This Row],[company_id]], Tabelle5[[#This Row],[value_id]], Tabelle18[[#This Row],[value_id]], Tabelle5[[#This Row],[value_present]],"1")</f>
        <v>0</v>
      </c>
      <c r="E169" s="4">
        <f>_xlfn.MAXIFS(Tabelle5[[#This Row],[value_points]], Tabelle5[[#This Row],[company_id]],Tabelle18[[#This Row],[company_id]], Tabelle5[[#This Row],[value_id]], Tabelle18[[#This Row],[value_id]], Tabelle5[[#This Row],[value_present]],"1")</f>
        <v>0</v>
      </c>
    </row>
    <row r="170" spans="1:5" x14ac:dyDescent="0.25">
      <c r="A170">
        <v>10</v>
      </c>
      <c r="B170" t="s">
        <v>98</v>
      </c>
      <c r="C170" s="4">
        <f>IF(Tabelle18[[#This Row],[binding_level_company]]&gt;=1,1,0)</f>
        <v>0</v>
      </c>
      <c r="D170" s="4">
        <f>_xlfn.MAXIFS(Tabelle5[[#This Row],[binding_level]], Tabelle5[[#This Row],[company_id]],Tabelle18[[#This Row],[company_id]], Tabelle5[[#This Row],[value_id]], Tabelle18[[#This Row],[value_id]], Tabelle5[[#This Row],[value_present]],"1")</f>
        <v>0</v>
      </c>
      <c r="E170" s="4">
        <f>_xlfn.MAXIFS(Tabelle5[[#This Row],[value_points]], Tabelle5[[#This Row],[company_id]],Tabelle18[[#This Row],[company_id]], Tabelle5[[#This Row],[value_id]], Tabelle18[[#This Row],[value_id]], Tabelle5[[#This Row],[value_present]],"1")</f>
        <v>0</v>
      </c>
    </row>
    <row r="171" spans="1:5" x14ac:dyDescent="0.25">
      <c r="A171">
        <v>10</v>
      </c>
      <c r="B171" t="s">
        <v>106</v>
      </c>
      <c r="C171" s="4">
        <f>IF(Tabelle18[[#This Row],[binding_level_company]]&gt;=1,1,0)</f>
        <v>0</v>
      </c>
      <c r="D171" s="4">
        <f>_xlfn.MAXIFS(Tabelle5[[#This Row],[binding_level]], Tabelle5[[#This Row],[company_id]],Tabelle18[[#This Row],[company_id]], Tabelle5[[#This Row],[value_id]], Tabelle18[[#This Row],[value_id]], Tabelle5[[#This Row],[value_present]],"1")</f>
        <v>0</v>
      </c>
      <c r="E171" s="4">
        <f>_xlfn.MAXIFS(Tabelle5[[#This Row],[value_points]], Tabelle5[[#This Row],[company_id]],Tabelle18[[#This Row],[company_id]], Tabelle5[[#This Row],[value_id]], Tabelle18[[#This Row],[value_id]], Tabelle5[[#This Row],[value_present]],"1")</f>
        <v>0</v>
      </c>
    </row>
    <row r="172" spans="1:5" x14ac:dyDescent="0.25">
      <c r="A172">
        <v>10</v>
      </c>
      <c r="B172" t="s">
        <v>112</v>
      </c>
      <c r="C172" s="4">
        <f>IF(Tabelle18[[#This Row],[binding_level_company]]&gt;=1,1,0)</f>
        <v>0</v>
      </c>
      <c r="D172" s="4">
        <f>_xlfn.MAXIFS(Tabelle5[[#This Row],[binding_level]], Tabelle5[[#This Row],[company_id]],Tabelle18[[#This Row],[company_id]], Tabelle5[[#This Row],[value_id]], Tabelle18[[#This Row],[value_id]], Tabelle5[[#This Row],[value_present]],"1")</f>
        <v>0</v>
      </c>
      <c r="E172" s="4">
        <f>_xlfn.MAXIFS(Tabelle5[[#This Row],[value_points]], Tabelle5[[#This Row],[company_id]],Tabelle18[[#This Row],[company_id]], Tabelle5[[#This Row],[value_id]], Tabelle18[[#This Row],[value_id]], Tabelle5[[#This Row],[value_present]],"1")</f>
        <v>0</v>
      </c>
    </row>
    <row r="173" spans="1:5" x14ac:dyDescent="0.25">
      <c r="A173">
        <v>10</v>
      </c>
      <c r="B173" t="s">
        <v>118</v>
      </c>
      <c r="C173" s="4">
        <f>IF(Tabelle18[[#This Row],[binding_level_company]]&gt;=1,1,0)</f>
        <v>0</v>
      </c>
      <c r="D173" s="4">
        <f>_xlfn.MAXIFS(Tabelle5[[#This Row],[binding_level]], Tabelle5[[#This Row],[company_id]],Tabelle18[[#This Row],[company_id]], Tabelle5[[#This Row],[value_id]], Tabelle18[[#This Row],[value_id]], Tabelle5[[#This Row],[value_present]],"1")</f>
        <v>0</v>
      </c>
      <c r="E173" s="4">
        <f>_xlfn.MAXIFS(Tabelle5[[#This Row],[value_points]], Tabelle5[[#This Row],[company_id]],Tabelle18[[#This Row],[company_id]], Tabelle5[[#This Row],[value_id]], Tabelle18[[#This Row],[value_id]], Tabelle5[[#This Row],[value_present]],"1")</f>
        <v>0</v>
      </c>
    </row>
    <row r="174" spans="1:5" x14ac:dyDescent="0.25">
      <c r="A174">
        <v>10</v>
      </c>
      <c r="B174" t="s">
        <v>125</v>
      </c>
      <c r="C174" s="4">
        <f>IF(Tabelle18[[#This Row],[binding_level_company]]&gt;=1,1,0)</f>
        <v>0</v>
      </c>
      <c r="D174" s="4">
        <f>_xlfn.MAXIFS(Tabelle5[[#This Row],[binding_level]], Tabelle5[[#This Row],[company_id]],Tabelle18[[#This Row],[company_id]], Tabelle5[[#This Row],[value_id]], Tabelle18[[#This Row],[value_id]], Tabelle5[[#This Row],[value_present]],"1")</f>
        <v>0</v>
      </c>
      <c r="E174" s="4">
        <f>_xlfn.MAXIFS(Tabelle5[[#This Row],[value_points]], Tabelle5[[#This Row],[company_id]],Tabelle18[[#This Row],[company_id]], Tabelle5[[#This Row],[value_id]], Tabelle18[[#This Row],[value_id]], Tabelle5[[#This Row],[value_present]],"1")</f>
        <v>0</v>
      </c>
    </row>
    <row r="175" spans="1:5" x14ac:dyDescent="0.25">
      <c r="A175">
        <v>10</v>
      </c>
      <c r="B175" t="s">
        <v>132</v>
      </c>
      <c r="C175" s="4">
        <f>IF(Tabelle18[[#This Row],[binding_level_company]]&gt;=1,1,0)</f>
        <v>0</v>
      </c>
      <c r="D175" s="4">
        <f>_xlfn.MAXIFS(Tabelle5[[#This Row],[binding_level]], Tabelle5[[#This Row],[company_id]],Tabelle18[[#This Row],[company_id]], Tabelle5[[#This Row],[value_id]], Tabelle18[[#This Row],[value_id]], Tabelle5[[#This Row],[value_present]],"1")</f>
        <v>0</v>
      </c>
      <c r="E175" s="4">
        <f>_xlfn.MAXIFS(Tabelle5[[#This Row],[value_points]], Tabelle5[[#This Row],[company_id]],Tabelle18[[#This Row],[company_id]], Tabelle5[[#This Row],[value_id]], Tabelle18[[#This Row],[value_id]], Tabelle5[[#This Row],[value_present]],"1")</f>
        <v>0</v>
      </c>
    </row>
    <row r="176" spans="1:5" x14ac:dyDescent="0.25">
      <c r="A176">
        <v>10</v>
      </c>
      <c r="B176" t="s">
        <v>140</v>
      </c>
      <c r="C176" s="4">
        <f>IF(Tabelle18[[#This Row],[binding_level_company]]&gt;=1,1,0)</f>
        <v>0</v>
      </c>
      <c r="D176" s="4">
        <f>_xlfn.MAXIFS(Tabelle5[[#This Row],[binding_level]], Tabelle5[[#This Row],[company_id]],Tabelle18[[#This Row],[company_id]], Tabelle5[[#This Row],[value_id]], Tabelle18[[#This Row],[value_id]], Tabelle5[[#This Row],[value_present]],"1")</f>
        <v>0</v>
      </c>
      <c r="E176" s="4">
        <f>_xlfn.MAXIFS(Tabelle5[[#This Row],[value_points]], Tabelle5[[#This Row],[company_id]],Tabelle18[[#This Row],[company_id]], Tabelle5[[#This Row],[value_id]], Tabelle18[[#This Row],[value_id]], Tabelle5[[#This Row],[value_present]],"1")</f>
        <v>0</v>
      </c>
    </row>
    <row r="177" spans="1:5" x14ac:dyDescent="0.25">
      <c r="A177">
        <v>10</v>
      </c>
      <c r="B177" t="s">
        <v>147</v>
      </c>
      <c r="C177" s="4">
        <f>IF(Tabelle18[[#This Row],[binding_level_company]]&gt;=1,1,0)</f>
        <v>0</v>
      </c>
      <c r="D177" s="4">
        <f>_xlfn.MAXIFS(Tabelle5[[#This Row],[binding_level]], Tabelle5[[#This Row],[company_id]],Tabelle18[[#This Row],[company_id]], Tabelle5[[#This Row],[value_id]], Tabelle18[[#This Row],[value_id]], Tabelle5[[#This Row],[value_present]],"1")</f>
        <v>0</v>
      </c>
      <c r="E177" s="4">
        <f>_xlfn.MAXIFS(Tabelle5[[#This Row],[value_points]], Tabelle5[[#This Row],[company_id]],Tabelle18[[#This Row],[company_id]], Tabelle5[[#This Row],[value_id]], Tabelle18[[#This Row],[value_id]], Tabelle5[[#This Row],[value_present]],"1")</f>
        <v>0</v>
      </c>
    </row>
    <row r="178" spans="1:5" x14ac:dyDescent="0.25">
      <c r="A178">
        <v>10</v>
      </c>
      <c r="B178" t="s">
        <v>154</v>
      </c>
      <c r="C178" s="4">
        <f>IF(Tabelle18[[#This Row],[binding_level_company]]&gt;=1,1,0)</f>
        <v>0</v>
      </c>
      <c r="D178" s="4">
        <f>_xlfn.MAXIFS(Tabelle5[[#This Row],[binding_level]], Tabelle5[[#This Row],[company_id]],Tabelle18[[#This Row],[company_id]], Tabelle5[[#This Row],[value_id]], Tabelle18[[#This Row],[value_id]], Tabelle5[[#This Row],[value_present]],"1")</f>
        <v>0</v>
      </c>
      <c r="E178" s="4">
        <f>_xlfn.MAXIFS(Tabelle5[[#This Row],[value_points]], Tabelle5[[#This Row],[company_id]],Tabelle18[[#This Row],[company_id]], Tabelle5[[#This Row],[value_id]], Tabelle18[[#This Row],[value_id]], Tabelle5[[#This Row],[value_present]],"1")</f>
        <v>0</v>
      </c>
    </row>
    <row r="179" spans="1:5" x14ac:dyDescent="0.25">
      <c r="A179">
        <v>10</v>
      </c>
      <c r="B179" t="s">
        <v>161</v>
      </c>
      <c r="C179" s="4">
        <f>IF(Tabelle18[[#This Row],[binding_level_company]]&gt;=1,1,0)</f>
        <v>0</v>
      </c>
      <c r="D179" s="4">
        <f>_xlfn.MAXIFS(Tabelle5[[#This Row],[binding_level]], Tabelle5[[#This Row],[company_id]],Tabelle18[[#This Row],[company_id]], Tabelle5[[#This Row],[value_id]], Tabelle18[[#This Row],[value_id]], Tabelle5[[#This Row],[value_present]],"1")</f>
        <v>0</v>
      </c>
      <c r="E179" s="4">
        <f>_xlfn.MAXIFS(Tabelle5[[#This Row],[value_points]], Tabelle5[[#This Row],[company_id]],Tabelle18[[#This Row],[company_id]], Tabelle5[[#This Row],[value_id]], Tabelle18[[#This Row],[value_id]], Tabelle5[[#This Row],[value_present]],"1")</f>
        <v>0</v>
      </c>
    </row>
    <row r="180" spans="1:5" x14ac:dyDescent="0.25">
      <c r="A180">
        <v>10</v>
      </c>
      <c r="B180" t="s">
        <v>166</v>
      </c>
      <c r="C180" s="4">
        <f>IF(Tabelle18[[#This Row],[binding_level_company]]&gt;=1,1,0)</f>
        <v>0</v>
      </c>
      <c r="D180" s="4">
        <f>_xlfn.MAXIFS(Tabelle5[[#This Row],[binding_level]], Tabelle5[[#This Row],[company_id]],Tabelle18[[#This Row],[company_id]], Tabelle5[[#This Row],[value_id]], Tabelle18[[#This Row],[value_id]], Tabelle5[[#This Row],[value_present]],"1")</f>
        <v>0</v>
      </c>
      <c r="E180" s="4">
        <f>_xlfn.MAXIFS(Tabelle5[[#This Row],[value_points]], Tabelle5[[#This Row],[company_id]],Tabelle18[[#This Row],[company_id]], Tabelle5[[#This Row],[value_id]], Tabelle18[[#This Row],[value_id]], Tabelle5[[#This Row],[value_present]],"1")</f>
        <v>0</v>
      </c>
    </row>
    <row r="181" spans="1:5" ht="15.75" thickBot="1" x14ac:dyDescent="0.3">
      <c r="A181">
        <v>10</v>
      </c>
      <c r="B181" s="30" t="s">
        <v>174</v>
      </c>
      <c r="C181" s="4">
        <f>IF(Tabelle18[[#This Row],[binding_level_company]]&gt;=1,1,0)</f>
        <v>0</v>
      </c>
      <c r="D181" s="4">
        <f>_xlfn.MAXIFS(Tabelle5[[#This Row],[binding_level]], Tabelle5[[#This Row],[company_id]],Tabelle18[[#This Row],[company_id]], Tabelle5[[#This Row],[value_id]], Tabelle18[[#This Row],[value_id]], Tabelle5[[#This Row],[value_present]],"1")</f>
        <v>0</v>
      </c>
      <c r="E181" s="4">
        <f>_xlfn.MAXIFS(Tabelle5[[#This Row],[value_points]], Tabelle5[[#This Row],[company_id]],Tabelle18[[#This Row],[company_id]], Tabelle5[[#This Row],[value_id]], Tabelle18[[#This Row],[value_id]], Tabelle5[[#This Row],[value_present]],"1")</f>
        <v>0</v>
      </c>
    </row>
    <row r="182" spans="1:5" x14ac:dyDescent="0.25">
      <c r="B182" s="22" t="s">
        <v>53</v>
      </c>
      <c r="C182" s="4">
        <f>IF(Tabelle18[[#This Row],[binding_level_company]]&gt;=1,1,0)</f>
        <v>0</v>
      </c>
      <c r="D182" s="4">
        <f>_xlfn.MAXIFS(Tabelle5[[#This Row],[binding_level]], Tabelle5[[#This Row],[company_id]],Tabelle18[[#This Row],[company_id]], Tabelle5[[#This Row],[value_id]], Tabelle18[[#This Row],[value_id]], Tabelle5[[#This Row],[value_present]],"1")</f>
        <v>0</v>
      </c>
      <c r="E182" s="4">
        <f>_xlfn.MAXIFS(Tabelle5[[#This Row],[value_points]], Tabelle5[[#This Row],[company_id]],Tabelle18[[#This Row],[company_id]], Tabelle5[[#This Row],[value_id]], Tabelle18[[#This Row],[value_id]], Tabelle5[[#This Row],[value_present]],"1")</f>
        <v>0</v>
      </c>
    </row>
    <row r="183" spans="1:5" x14ac:dyDescent="0.25">
      <c r="A183">
        <v>11</v>
      </c>
      <c r="B183" t="s">
        <v>61</v>
      </c>
      <c r="C183" s="4">
        <f>IF(Tabelle18[[#This Row],[binding_level_company]]&gt;=1,1,0)</f>
        <v>0</v>
      </c>
      <c r="D183" s="4">
        <f>_xlfn.MAXIFS(Tabelle5[[#This Row],[binding_level]], Tabelle5[[#This Row],[company_id]],Tabelle18[[#This Row],[company_id]], Tabelle5[[#This Row],[value_id]], Tabelle18[[#This Row],[value_id]], Tabelle5[[#This Row],[value_present]],"1")</f>
        <v>0</v>
      </c>
      <c r="E183" s="4">
        <f>_xlfn.MAXIFS(Tabelle5[[#This Row],[value_points]], Tabelle5[[#This Row],[company_id]],Tabelle18[[#This Row],[company_id]], Tabelle5[[#This Row],[value_id]], Tabelle18[[#This Row],[value_id]], Tabelle5[[#This Row],[value_present]],"1")</f>
        <v>0</v>
      </c>
    </row>
    <row r="184" spans="1:5" x14ac:dyDescent="0.25">
      <c r="A184">
        <v>11</v>
      </c>
      <c r="B184" t="s">
        <v>69</v>
      </c>
      <c r="C184" s="4">
        <f>IF(Tabelle18[[#This Row],[binding_level_company]]&gt;=1,1,0)</f>
        <v>0</v>
      </c>
      <c r="D184" s="4">
        <f>_xlfn.MAXIFS(Tabelle5[[#This Row],[binding_level]], Tabelle5[[#This Row],[company_id]],Tabelle18[[#This Row],[company_id]], Tabelle5[[#This Row],[value_id]], Tabelle18[[#This Row],[value_id]], Tabelle5[[#This Row],[value_present]],"1")</f>
        <v>0</v>
      </c>
      <c r="E184" s="4">
        <f>_xlfn.MAXIFS(Tabelle5[[#This Row],[value_points]], Tabelle5[[#This Row],[company_id]],Tabelle18[[#This Row],[company_id]], Tabelle5[[#This Row],[value_id]], Tabelle18[[#This Row],[value_id]], Tabelle5[[#This Row],[value_present]],"1")</f>
        <v>0</v>
      </c>
    </row>
    <row r="185" spans="1:5" x14ac:dyDescent="0.25">
      <c r="A185">
        <v>11</v>
      </c>
      <c r="B185" t="s">
        <v>76</v>
      </c>
      <c r="C185" s="4">
        <f>IF(Tabelle18[[#This Row],[binding_level_company]]&gt;=1,1,0)</f>
        <v>0</v>
      </c>
      <c r="D185" s="4">
        <f>_xlfn.MAXIFS(Tabelle5[[#This Row],[binding_level]], Tabelle5[[#This Row],[company_id]],Tabelle18[[#This Row],[company_id]], Tabelle5[[#This Row],[value_id]], Tabelle18[[#This Row],[value_id]], Tabelle5[[#This Row],[value_present]],"1")</f>
        <v>0</v>
      </c>
      <c r="E185" s="4">
        <f>_xlfn.MAXIFS(Tabelle5[[#This Row],[value_points]], Tabelle5[[#This Row],[company_id]],Tabelle18[[#This Row],[company_id]], Tabelle5[[#This Row],[value_id]], Tabelle18[[#This Row],[value_id]], Tabelle5[[#This Row],[value_present]],"1")</f>
        <v>0</v>
      </c>
    </row>
    <row r="186" spans="1:5" x14ac:dyDescent="0.25">
      <c r="A186">
        <v>11</v>
      </c>
      <c r="B186" t="s">
        <v>83</v>
      </c>
      <c r="C186" s="4">
        <f>IF(Tabelle18[[#This Row],[binding_level_company]]&gt;=1,1,0)</f>
        <v>0</v>
      </c>
      <c r="D186" s="4">
        <f>_xlfn.MAXIFS(Tabelle5[[#This Row],[binding_level]], Tabelle5[[#This Row],[company_id]],Tabelle18[[#This Row],[company_id]], Tabelle5[[#This Row],[value_id]], Tabelle18[[#This Row],[value_id]], Tabelle5[[#This Row],[value_present]],"1")</f>
        <v>0</v>
      </c>
      <c r="E186" s="4">
        <f>_xlfn.MAXIFS(Tabelle5[[#This Row],[value_points]], Tabelle5[[#This Row],[company_id]],Tabelle18[[#This Row],[company_id]], Tabelle5[[#This Row],[value_id]], Tabelle18[[#This Row],[value_id]], Tabelle5[[#This Row],[value_present]],"1")</f>
        <v>0</v>
      </c>
    </row>
    <row r="187" spans="1:5" x14ac:dyDescent="0.25">
      <c r="A187">
        <v>11</v>
      </c>
      <c r="B187" t="s">
        <v>90</v>
      </c>
      <c r="C187" s="4">
        <f>IF(Tabelle18[[#This Row],[binding_level_company]]&gt;=1,1,0)</f>
        <v>0</v>
      </c>
      <c r="D187" s="4">
        <f>_xlfn.MAXIFS(Tabelle5[[#This Row],[binding_level]], Tabelle5[[#This Row],[company_id]],Tabelle18[[#This Row],[company_id]], Tabelle5[[#This Row],[value_id]], Tabelle18[[#This Row],[value_id]], Tabelle5[[#This Row],[value_present]],"1")</f>
        <v>0</v>
      </c>
      <c r="E187" s="4">
        <f>_xlfn.MAXIFS(Tabelle5[[#This Row],[value_points]], Tabelle5[[#This Row],[company_id]],Tabelle18[[#This Row],[company_id]], Tabelle5[[#This Row],[value_id]], Tabelle18[[#This Row],[value_id]], Tabelle5[[#This Row],[value_present]],"1")</f>
        <v>0</v>
      </c>
    </row>
    <row r="188" spans="1:5" x14ac:dyDescent="0.25">
      <c r="A188">
        <v>11</v>
      </c>
      <c r="B188" t="s">
        <v>98</v>
      </c>
      <c r="C188" s="4">
        <f>IF(Tabelle18[[#This Row],[binding_level_company]]&gt;=1,1,0)</f>
        <v>0</v>
      </c>
      <c r="D188" s="4">
        <f>_xlfn.MAXIFS(Tabelle5[[#This Row],[binding_level]], Tabelle5[[#This Row],[company_id]],Tabelle18[[#This Row],[company_id]], Tabelle5[[#This Row],[value_id]], Tabelle18[[#This Row],[value_id]], Tabelle5[[#This Row],[value_present]],"1")</f>
        <v>0</v>
      </c>
      <c r="E188" s="4">
        <f>_xlfn.MAXIFS(Tabelle5[[#This Row],[value_points]], Tabelle5[[#This Row],[company_id]],Tabelle18[[#This Row],[company_id]], Tabelle5[[#This Row],[value_id]], Tabelle18[[#This Row],[value_id]], Tabelle5[[#This Row],[value_present]],"1")</f>
        <v>0</v>
      </c>
    </row>
    <row r="189" spans="1:5" x14ac:dyDescent="0.25">
      <c r="A189">
        <v>11</v>
      </c>
      <c r="B189" t="s">
        <v>106</v>
      </c>
      <c r="C189" s="4">
        <f>IF(Tabelle18[[#This Row],[binding_level_company]]&gt;=1,1,0)</f>
        <v>0</v>
      </c>
      <c r="D189" s="4">
        <f>_xlfn.MAXIFS(Tabelle5[[#This Row],[binding_level]], Tabelle5[[#This Row],[company_id]],Tabelle18[[#This Row],[company_id]], Tabelle5[[#This Row],[value_id]], Tabelle18[[#This Row],[value_id]], Tabelle5[[#This Row],[value_present]],"1")</f>
        <v>0</v>
      </c>
      <c r="E189" s="4">
        <f>_xlfn.MAXIFS(Tabelle5[[#This Row],[value_points]], Tabelle5[[#This Row],[company_id]],Tabelle18[[#This Row],[company_id]], Tabelle5[[#This Row],[value_id]], Tabelle18[[#This Row],[value_id]], Tabelle5[[#This Row],[value_present]],"1")</f>
        <v>0</v>
      </c>
    </row>
    <row r="190" spans="1:5" x14ac:dyDescent="0.25">
      <c r="A190">
        <v>11</v>
      </c>
      <c r="B190" t="s">
        <v>112</v>
      </c>
      <c r="C190" s="4">
        <f>IF(Tabelle18[[#This Row],[binding_level_company]]&gt;=1,1,0)</f>
        <v>0</v>
      </c>
      <c r="D190" s="4">
        <f>_xlfn.MAXIFS(Tabelle5[[#This Row],[binding_level]], Tabelle5[[#This Row],[company_id]],Tabelle18[[#This Row],[company_id]], Tabelle5[[#This Row],[value_id]], Tabelle18[[#This Row],[value_id]], Tabelle5[[#This Row],[value_present]],"1")</f>
        <v>0</v>
      </c>
      <c r="E190" s="4">
        <f>_xlfn.MAXIFS(Tabelle5[[#This Row],[value_points]], Tabelle5[[#This Row],[company_id]],Tabelle18[[#This Row],[company_id]], Tabelle5[[#This Row],[value_id]], Tabelle18[[#This Row],[value_id]], Tabelle5[[#This Row],[value_present]],"1")</f>
        <v>0</v>
      </c>
    </row>
    <row r="191" spans="1:5" x14ac:dyDescent="0.25">
      <c r="A191">
        <v>11</v>
      </c>
      <c r="B191" t="s">
        <v>118</v>
      </c>
      <c r="C191" s="4">
        <f>IF(Tabelle18[[#This Row],[binding_level_company]]&gt;=1,1,0)</f>
        <v>0</v>
      </c>
      <c r="D191" s="4">
        <f>_xlfn.MAXIFS(Tabelle5[[#This Row],[binding_level]], Tabelle5[[#This Row],[company_id]],Tabelle18[[#This Row],[company_id]], Tabelle5[[#This Row],[value_id]], Tabelle18[[#This Row],[value_id]], Tabelle5[[#This Row],[value_present]],"1")</f>
        <v>0</v>
      </c>
      <c r="E191" s="4">
        <f>_xlfn.MAXIFS(Tabelle5[[#This Row],[value_points]], Tabelle5[[#This Row],[company_id]],Tabelle18[[#This Row],[company_id]], Tabelle5[[#This Row],[value_id]], Tabelle18[[#This Row],[value_id]], Tabelle5[[#This Row],[value_present]],"1")</f>
        <v>0</v>
      </c>
    </row>
    <row r="192" spans="1:5" x14ac:dyDescent="0.25">
      <c r="A192">
        <v>11</v>
      </c>
      <c r="B192" t="s">
        <v>125</v>
      </c>
      <c r="C192" s="4">
        <f>IF(Tabelle18[[#This Row],[binding_level_company]]&gt;=1,1,0)</f>
        <v>0</v>
      </c>
      <c r="D192" s="4">
        <f>_xlfn.MAXIFS(Tabelle5[[#This Row],[binding_level]], Tabelle5[[#This Row],[company_id]],Tabelle18[[#This Row],[company_id]], Tabelle5[[#This Row],[value_id]], Tabelle18[[#This Row],[value_id]], Tabelle5[[#This Row],[value_present]],"1")</f>
        <v>0</v>
      </c>
      <c r="E192" s="4">
        <f>_xlfn.MAXIFS(Tabelle5[[#This Row],[value_points]], Tabelle5[[#This Row],[company_id]],Tabelle18[[#This Row],[company_id]], Tabelle5[[#This Row],[value_id]], Tabelle18[[#This Row],[value_id]], Tabelle5[[#This Row],[value_present]],"1")</f>
        <v>0</v>
      </c>
    </row>
    <row r="193" spans="1:5" x14ac:dyDescent="0.25">
      <c r="A193">
        <v>11</v>
      </c>
      <c r="B193" t="s">
        <v>132</v>
      </c>
      <c r="C193" s="4">
        <f>IF(Tabelle18[[#This Row],[binding_level_company]]&gt;=1,1,0)</f>
        <v>0</v>
      </c>
      <c r="D193" s="4">
        <f>_xlfn.MAXIFS(Tabelle5[[#This Row],[binding_level]], Tabelle5[[#This Row],[company_id]],Tabelle18[[#This Row],[company_id]], Tabelle5[[#This Row],[value_id]], Tabelle18[[#This Row],[value_id]], Tabelle5[[#This Row],[value_present]],"1")</f>
        <v>0</v>
      </c>
      <c r="E193" s="4">
        <f>_xlfn.MAXIFS(Tabelle5[[#This Row],[value_points]], Tabelle5[[#This Row],[company_id]],Tabelle18[[#This Row],[company_id]], Tabelle5[[#This Row],[value_id]], Tabelle18[[#This Row],[value_id]], Tabelle5[[#This Row],[value_present]],"1")</f>
        <v>0</v>
      </c>
    </row>
    <row r="194" spans="1:5" x14ac:dyDescent="0.25">
      <c r="A194">
        <v>11</v>
      </c>
      <c r="B194" t="s">
        <v>140</v>
      </c>
      <c r="C194" s="4">
        <f>IF(Tabelle18[[#This Row],[binding_level_company]]&gt;=1,1,0)</f>
        <v>0</v>
      </c>
      <c r="D194" s="4">
        <f>_xlfn.MAXIFS(Tabelle5[[#This Row],[binding_level]], Tabelle5[[#This Row],[company_id]],Tabelle18[[#This Row],[company_id]], Tabelle5[[#This Row],[value_id]], Tabelle18[[#This Row],[value_id]], Tabelle5[[#This Row],[value_present]],"1")</f>
        <v>0</v>
      </c>
      <c r="E194" s="4">
        <f>_xlfn.MAXIFS(Tabelle5[[#This Row],[value_points]], Tabelle5[[#This Row],[company_id]],Tabelle18[[#This Row],[company_id]], Tabelle5[[#This Row],[value_id]], Tabelle18[[#This Row],[value_id]], Tabelle5[[#This Row],[value_present]],"1")</f>
        <v>0</v>
      </c>
    </row>
    <row r="195" spans="1:5" x14ac:dyDescent="0.25">
      <c r="A195">
        <v>11</v>
      </c>
      <c r="B195" t="s">
        <v>147</v>
      </c>
      <c r="C195" s="4">
        <f>IF(Tabelle18[[#This Row],[binding_level_company]]&gt;=1,1,0)</f>
        <v>0</v>
      </c>
      <c r="D195" s="4">
        <f>_xlfn.MAXIFS(Tabelle5[[#This Row],[binding_level]], Tabelle5[[#This Row],[company_id]],Tabelle18[[#This Row],[company_id]], Tabelle5[[#This Row],[value_id]], Tabelle18[[#This Row],[value_id]], Tabelle5[[#This Row],[value_present]],"1")</f>
        <v>0</v>
      </c>
      <c r="E195" s="4">
        <f>_xlfn.MAXIFS(Tabelle5[[#This Row],[value_points]], Tabelle5[[#This Row],[company_id]],Tabelle18[[#This Row],[company_id]], Tabelle5[[#This Row],[value_id]], Tabelle18[[#This Row],[value_id]], Tabelle5[[#This Row],[value_present]],"1")</f>
        <v>0</v>
      </c>
    </row>
    <row r="196" spans="1:5" x14ac:dyDescent="0.25">
      <c r="A196">
        <v>11</v>
      </c>
      <c r="B196" t="s">
        <v>154</v>
      </c>
      <c r="C196" s="4">
        <f>IF(Tabelle18[[#This Row],[binding_level_company]]&gt;=1,1,0)</f>
        <v>0</v>
      </c>
      <c r="D196" s="4">
        <f>_xlfn.MAXIFS(Tabelle5[[#This Row],[binding_level]], Tabelle5[[#This Row],[company_id]],Tabelle18[[#This Row],[company_id]], Tabelle5[[#This Row],[value_id]], Tabelle18[[#This Row],[value_id]], Tabelle5[[#This Row],[value_present]],"1")</f>
        <v>0</v>
      </c>
      <c r="E196" s="4">
        <f>_xlfn.MAXIFS(Tabelle5[[#This Row],[value_points]], Tabelle5[[#This Row],[company_id]],Tabelle18[[#This Row],[company_id]], Tabelle5[[#This Row],[value_id]], Tabelle18[[#This Row],[value_id]], Tabelle5[[#This Row],[value_present]],"1")</f>
        <v>0</v>
      </c>
    </row>
    <row r="197" spans="1:5" x14ac:dyDescent="0.25">
      <c r="A197">
        <v>11</v>
      </c>
      <c r="B197" t="s">
        <v>161</v>
      </c>
      <c r="C197" s="4">
        <f>IF(Tabelle18[[#This Row],[binding_level_company]]&gt;=1,1,0)</f>
        <v>0</v>
      </c>
      <c r="D197" s="4">
        <f>_xlfn.MAXIFS(Tabelle5[[#This Row],[binding_level]], Tabelle5[[#This Row],[company_id]],Tabelle18[[#This Row],[company_id]], Tabelle5[[#This Row],[value_id]], Tabelle18[[#This Row],[value_id]], Tabelle5[[#This Row],[value_present]],"1")</f>
        <v>0</v>
      </c>
      <c r="E197" s="4">
        <f>_xlfn.MAXIFS(Tabelle5[[#This Row],[value_points]], Tabelle5[[#This Row],[company_id]],Tabelle18[[#This Row],[company_id]], Tabelle5[[#This Row],[value_id]], Tabelle18[[#This Row],[value_id]], Tabelle5[[#This Row],[value_present]],"1")</f>
        <v>0</v>
      </c>
    </row>
    <row r="198" spans="1:5" x14ac:dyDescent="0.25">
      <c r="A198">
        <v>11</v>
      </c>
      <c r="B198" t="s">
        <v>166</v>
      </c>
      <c r="C198" s="4">
        <f>IF(Tabelle18[[#This Row],[binding_level_company]]&gt;=1,1,0)</f>
        <v>0</v>
      </c>
      <c r="D198" s="4">
        <f>_xlfn.MAXIFS(Tabelle5[[#This Row],[binding_level]], Tabelle5[[#This Row],[company_id]],Tabelle18[[#This Row],[company_id]], Tabelle5[[#This Row],[value_id]], Tabelle18[[#This Row],[value_id]], Tabelle5[[#This Row],[value_present]],"1")</f>
        <v>0</v>
      </c>
      <c r="E198" s="4">
        <f>_xlfn.MAXIFS(Tabelle5[[#This Row],[value_points]], Tabelle5[[#This Row],[company_id]],Tabelle18[[#This Row],[company_id]], Tabelle5[[#This Row],[value_id]], Tabelle18[[#This Row],[value_id]], Tabelle5[[#This Row],[value_present]],"1")</f>
        <v>0</v>
      </c>
    </row>
    <row r="199" spans="1:5" ht="15.75" thickBot="1" x14ac:dyDescent="0.3">
      <c r="A199">
        <v>11</v>
      </c>
      <c r="B199" s="30" t="s">
        <v>174</v>
      </c>
      <c r="C199" s="4">
        <f>IF(Tabelle18[[#This Row],[binding_level_company]]&gt;=1,1,0)</f>
        <v>0</v>
      </c>
      <c r="D199" s="4">
        <f>_xlfn.MAXIFS(Tabelle5[[#This Row],[binding_level]], Tabelle5[[#This Row],[company_id]],Tabelle18[[#This Row],[company_id]], Tabelle5[[#This Row],[value_id]], Tabelle18[[#This Row],[value_id]], Tabelle5[[#This Row],[value_present]],"1")</f>
        <v>0</v>
      </c>
      <c r="E199" s="4">
        <f>_xlfn.MAXIFS(Tabelle5[[#This Row],[value_points]], Tabelle5[[#This Row],[company_id]],Tabelle18[[#This Row],[company_id]], Tabelle5[[#This Row],[value_id]], Tabelle18[[#This Row],[value_id]], Tabelle5[[#This Row],[value_present]],"1")</f>
        <v>0</v>
      </c>
    </row>
    <row r="200" spans="1:5" x14ac:dyDescent="0.25">
      <c r="A200">
        <v>12</v>
      </c>
      <c r="B200" s="22" t="s">
        <v>53</v>
      </c>
      <c r="C200" s="4">
        <f>IF(Tabelle18[[#This Row],[binding_level_company]]&gt;=1,1,0)</f>
        <v>0</v>
      </c>
      <c r="D200" s="4">
        <f>_xlfn.MAXIFS(Tabelle5[[#This Row],[binding_level]], Tabelle5[[#This Row],[company_id]],Tabelle18[[#This Row],[company_id]], Tabelle5[[#This Row],[value_id]], Tabelle18[[#This Row],[value_id]], Tabelle5[[#This Row],[value_present]],"1")</f>
        <v>0</v>
      </c>
      <c r="E200" s="4">
        <f>_xlfn.MAXIFS(Tabelle5[[#This Row],[value_points]], Tabelle5[[#This Row],[company_id]],Tabelle18[[#This Row],[company_id]], Tabelle5[[#This Row],[value_id]], Tabelle18[[#This Row],[value_id]], Tabelle5[[#This Row],[value_present]],"1")</f>
        <v>0</v>
      </c>
    </row>
    <row r="201" spans="1:5" x14ac:dyDescent="0.25">
      <c r="A201">
        <v>12</v>
      </c>
      <c r="B201" t="s">
        <v>61</v>
      </c>
      <c r="C201" s="4">
        <f>IF(Tabelle18[[#This Row],[binding_level_company]]&gt;=1,1,0)</f>
        <v>0</v>
      </c>
      <c r="D201" s="4">
        <f>_xlfn.MAXIFS(Tabelle5[[#This Row],[binding_level]], Tabelle5[[#This Row],[company_id]],Tabelle18[[#This Row],[company_id]], Tabelle5[[#This Row],[value_id]], Tabelle18[[#This Row],[value_id]], Tabelle5[[#This Row],[value_present]],"1")</f>
        <v>0</v>
      </c>
      <c r="E201" s="4">
        <f>_xlfn.MAXIFS(Tabelle5[[#This Row],[value_points]], Tabelle5[[#This Row],[company_id]],Tabelle18[[#This Row],[company_id]], Tabelle5[[#This Row],[value_id]], Tabelle18[[#This Row],[value_id]], Tabelle5[[#This Row],[value_present]],"1")</f>
        <v>0</v>
      </c>
    </row>
    <row r="202" spans="1:5" x14ac:dyDescent="0.25">
      <c r="A202">
        <v>12</v>
      </c>
      <c r="B202" t="s">
        <v>69</v>
      </c>
      <c r="C202" s="4">
        <f>IF(Tabelle18[[#This Row],[binding_level_company]]&gt;=1,1,0)</f>
        <v>0</v>
      </c>
      <c r="D202" s="4">
        <f>_xlfn.MAXIFS(Tabelle5[[#This Row],[binding_level]], Tabelle5[[#This Row],[company_id]],Tabelle18[[#This Row],[company_id]], Tabelle5[[#This Row],[value_id]], Tabelle18[[#This Row],[value_id]], Tabelle5[[#This Row],[value_present]],"1")</f>
        <v>0</v>
      </c>
      <c r="E202" s="4">
        <f>_xlfn.MAXIFS(Tabelle5[[#This Row],[value_points]], Tabelle5[[#This Row],[company_id]],Tabelle18[[#This Row],[company_id]], Tabelle5[[#This Row],[value_id]], Tabelle18[[#This Row],[value_id]], Tabelle5[[#This Row],[value_present]],"1")</f>
        <v>0</v>
      </c>
    </row>
    <row r="203" spans="1:5" x14ac:dyDescent="0.25">
      <c r="A203">
        <v>12</v>
      </c>
      <c r="B203" t="s">
        <v>76</v>
      </c>
      <c r="C203" s="4">
        <f>IF(Tabelle18[[#This Row],[binding_level_company]]&gt;=1,1,0)</f>
        <v>0</v>
      </c>
      <c r="D203" s="4">
        <f>_xlfn.MAXIFS(Tabelle5[[#This Row],[binding_level]], Tabelle5[[#This Row],[company_id]],Tabelle18[[#This Row],[company_id]], Tabelle5[[#This Row],[value_id]], Tabelle18[[#This Row],[value_id]], Tabelle5[[#This Row],[value_present]],"1")</f>
        <v>0</v>
      </c>
      <c r="E203" s="4">
        <f>_xlfn.MAXIFS(Tabelle5[[#This Row],[value_points]], Tabelle5[[#This Row],[company_id]],Tabelle18[[#This Row],[company_id]], Tabelle5[[#This Row],[value_id]], Tabelle18[[#This Row],[value_id]], Tabelle5[[#This Row],[value_present]],"1")</f>
        <v>0</v>
      </c>
    </row>
    <row r="204" spans="1:5" x14ac:dyDescent="0.25">
      <c r="A204">
        <v>12</v>
      </c>
      <c r="B204" t="s">
        <v>83</v>
      </c>
      <c r="C204" s="4">
        <f>IF(Tabelle18[[#This Row],[binding_level_company]]&gt;=1,1,0)</f>
        <v>0</v>
      </c>
      <c r="D204" s="4">
        <f>_xlfn.MAXIFS(Tabelle5[[#This Row],[binding_level]], Tabelle5[[#This Row],[company_id]],Tabelle18[[#This Row],[company_id]], Tabelle5[[#This Row],[value_id]], Tabelle18[[#This Row],[value_id]], Tabelle5[[#This Row],[value_present]],"1")</f>
        <v>0</v>
      </c>
      <c r="E204" s="4">
        <f>_xlfn.MAXIFS(Tabelle5[[#This Row],[value_points]], Tabelle5[[#This Row],[company_id]],Tabelle18[[#This Row],[company_id]], Tabelle5[[#This Row],[value_id]], Tabelle18[[#This Row],[value_id]], Tabelle5[[#This Row],[value_present]],"1")</f>
        <v>0</v>
      </c>
    </row>
    <row r="205" spans="1:5" x14ac:dyDescent="0.25">
      <c r="A205">
        <v>12</v>
      </c>
      <c r="B205" t="s">
        <v>90</v>
      </c>
      <c r="C205" s="4">
        <f>IF(Tabelle18[[#This Row],[binding_level_company]]&gt;=1,1,0)</f>
        <v>0</v>
      </c>
      <c r="D205" s="4">
        <f>_xlfn.MAXIFS(Tabelle5[[#This Row],[binding_level]], Tabelle5[[#This Row],[company_id]],Tabelle18[[#This Row],[company_id]], Tabelle5[[#This Row],[value_id]], Tabelle18[[#This Row],[value_id]], Tabelle5[[#This Row],[value_present]],"1")</f>
        <v>0</v>
      </c>
      <c r="E205" s="4">
        <f>_xlfn.MAXIFS(Tabelle5[[#This Row],[value_points]], Tabelle5[[#This Row],[company_id]],Tabelle18[[#This Row],[company_id]], Tabelle5[[#This Row],[value_id]], Tabelle18[[#This Row],[value_id]], Tabelle5[[#This Row],[value_present]],"1")</f>
        <v>0</v>
      </c>
    </row>
    <row r="206" spans="1:5" x14ac:dyDescent="0.25">
      <c r="A206">
        <v>12</v>
      </c>
      <c r="B206" t="s">
        <v>98</v>
      </c>
      <c r="C206" s="4">
        <f>IF(Tabelle18[[#This Row],[binding_level_company]]&gt;=1,1,0)</f>
        <v>0</v>
      </c>
      <c r="D206" s="4">
        <f>_xlfn.MAXIFS(Tabelle5[[#This Row],[binding_level]], Tabelle5[[#This Row],[company_id]],Tabelle18[[#This Row],[company_id]], Tabelle5[[#This Row],[value_id]], Tabelle18[[#This Row],[value_id]], Tabelle5[[#This Row],[value_present]],"1")</f>
        <v>0</v>
      </c>
      <c r="E206" s="4">
        <f>_xlfn.MAXIFS(Tabelle5[[#This Row],[value_points]], Tabelle5[[#This Row],[company_id]],Tabelle18[[#This Row],[company_id]], Tabelle5[[#This Row],[value_id]], Tabelle18[[#This Row],[value_id]], Tabelle5[[#This Row],[value_present]],"1")</f>
        <v>0</v>
      </c>
    </row>
    <row r="207" spans="1:5" x14ac:dyDescent="0.25">
      <c r="A207">
        <v>12</v>
      </c>
      <c r="B207" t="s">
        <v>106</v>
      </c>
      <c r="C207" s="4">
        <f>IF(Tabelle18[[#This Row],[binding_level_company]]&gt;=1,1,0)</f>
        <v>0</v>
      </c>
      <c r="D207" s="4">
        <f>_xlfn.MAXIFS(Tabelle5[[#This Row],[binding_level]], Tabelle5[[#This Row],[company_id]],Tabelle18[[#This Row],[company_id]], Tabelle5[[#This Row],[value_id]], Tabelle18[[#This Row],[value_id]], Tabelle5[[#This Row],[value_present]],"1")</f>
        <v>0</v>
      </c>
      <c r="E207" s="4">
        <f>_xlfn.MAXIFS(Tabelle5[[#This Row],[value_points]], Tabelle5[[#This Row],[company_id]],Tabelle18[[#This Row],[company_id]], Tabelle5[[#This Row],[value_id]], Tabelle18[[#This Row],[value_id]], Tabelle5[[#This Row],[value_present]],"1")</f>
        <v>0</v>
      </c>
    </row>
    <row r="208" spans="1:5" x14ac:dyDescent="0.25">
      <c r="A208">
        <v>12</v>
      </c>
      <c r="B208" t="s">
        <v>112</v>
      </c>
      <c r="C208" s="4">
        <f>IF(Tabelle18[[#This Row],[binding_level_company]]&gt;=1,1,0)</f>
        <v>0</v>
      </c>
      <c r="D208" s="4">
        <f>_xlfn.MAXIFS(Tabelle5[[#This Row],[binding_level]], Tabelle5[[#This Row],[company_id]],Tabelle18[[#This Row],[company_id]], Tabelle5[[#This Row],[value_id]], Tabelle18[[#This Row],[value_id]], Tabelle5[[#This Row],[value_present]],"1")</f>
        <v>0</v>
      </c>
      <c r="E208" s="4">
        <f>_xlfn.MAXIFS(Tabelle5[[#This Row],[value_points]], Tabelle5[[#This Row],[company_id]],Tabelle18[[#This Row],[company_id]], Tabelle5[[#This Row],[value_id]], Tabelle18[[#This Row],[value_id]], Tabelle5[[#This Row],[value_present]],"1")</f>
        <v>0</v>
      </c>
    </row>
    <row r="209" spans="1:5" x14ac:dyDescent="0.25">
      <c r="A209">
        <v>12</v>
      </c>
      <c r="B209" t="s">
        <v>118</v>
      </c>
      <c r="C209" s="4">
        <f>IF(Tabelle18[[#This Row],[binding_level_company]]&gt;=1,1,0)</f>
        <v>0</v>
      </c>
      <c r="D209" s="4">
        <f>_xlfn.MAXIFS(Tabelle5[[#This Row],[binding_level]], Tabelle5[[#This Row],[company_id]],Tabelle18[[#This Row],[company_id]], Tabelle5[[#This Row],[value_id]], Tabelle18[[#This Row],[value_id]], Tabelle5[[#This Row],[value_present]],"1")</f>
        <v>0</v>
      </c>
      <c r="E209" s="4">
        <f>_xlfn.MAXIFS(Tabelle5[[#This Row],[value_points]], Tabelle5[[#This Row],[company_id]],Tabelle18[[#This Row],[company_id]], Tabelle5[[#This Row],[value_id]], Tabelle18[[#This Row],[value_id]], Tabelle5[[#This Row],[value_present]],"1")</f>
        <v>0</v>
      </c>
    </row>
    <row r="210" spans="1:5" x14ac:dyDescent="0.25">
      <c r="A210">
        <v>12</v>
      </c>
      <c r="B210" t="s">
        <v>125</v>
      </c>
      <c r="C210" s="4">
        <f>IF(Tabelle18[[#This Row],[binding_level_company]]&gt;=1,1,0)</f>
        <v>0</v>
      </c>
      <c r="D210" s="4">
        <f>_xlfn.MAXIFS(Tabelle5[[#This Row],[binding_level]], Tabelle5[[#This Row],[company_id]],Tabelle18[[#This Row],[company_id]], Tabelle5[[#This Row],[value_id]], Tabelle18[[#This Row],[value_id]], Tabelle5[[#This Row],[value_present]],"1")</f>
        <v>0</v>
      </c>
      <c r="E210" s="4">
        <f>_xlfn.MAXIFS(Tabelle5[[#This Row],[value_points]], Tabelle5[[#This Row],[company_id]],Tabelle18[[#This Row],[company_id]], Tabelle5[[#This Row],[value_id]], Tabelle18[[#This Row],[value_id]], Tabelle5[[#This Row],[value_present]],"1")</f>
        <v>0</v>
      </c>
    </row>
    <row r="211" spans="1:5" x14ac:dyDescent="0.25">
      <c r="A211">
        <v>12</v>
      </c>
      <c r="B211" t="s">
        <v>132</v>
      </c>
      <c r="C211" s="4">
        <f>IF(Tabelle18[[#This Row],[binding_level_company]]&gt;=1,1,0)</f>
        <v>0</v>
      </c>
      <c r="D211" s="4">
        <f>_xlfn.MAXIFS(Tabelle5[[#This Row],[binding_level]], Tabelle5[[#This Row],[company_id]],Tabelle18[[#This Row],[company_id]], Tabelle5[[#This Row],[value_id]], Tabelle18[[#This Row],[value_id]], Tabelle5[[#This Row],[value_present]],"1")</f>
        <v>0</v>
      </c>
      <c r="E211" s="4">
        <f>_xlfn.MAXIFS(Tabelle5[[#This Row],[value_points]], Tabelle5[[#This Row],[company_id]],Tabelle18[[#This Row],[company_id]], Tabelle5[[#This Row],[value_id]], Tabelle18[[#This Row],[value_id]], Tabelle5[[#This Row],[value_present]],"1")</f>
        <v>0</v>
      </c>
    </row>
    <row r="212" spans="1:5" x14ac:dyDescent="0.25">
      <c r="A212">
        <v>12</v>
      </c>
      <c r="B212" t="s">
        <v>140</v>
      </c>
      <c r="C212" s="4">
        <f>IF(Tabelle18[[#This Row],[binding_level_company]]&gt;=1,1,0)</f>
        <v>0</v>
      </c>
      <c r="D212" s="4">
        <f>_xlfn.MAXIFS(Tabelle5[[#This Row],[binding_level]], Tabelle5[[#This Row],[company_id]],Tabelle18[[#This Row],[company_id]], Tabelle5[[#This Row],[value_id]], Tabelle18[[#This Row],[value_id]], Tabelle5[[#This Row],[value_present]],"1")</f>
        <v>0</v>
      </c>
      <c r="E212" s="4">
        <f>_xlfn.MAXIFS(Tabelle5[[#This Row],[value_points]], Tabelle5[[#This Row],[company_id]],Tabelle18[[#This Row],[company_id]], Tabelle5[[#This Row],[value_id]], Tabelle18[[#This Row],[value_id]], Tabelle5[[#This Row],[value_present]],"1")</f>
        <v>0</v>
      </c>
    </row>
    <row r="213" spans="1:5" x14ac:dyDescent="0.25">
      <c r="A213">
        <v>12</v>
      </c>
      <c r="B213" t="s">
        <v>147</v>
      </c>
      <c r="C213" s="4">
        <f>IF(Tabelle18[[#This Row],[binding_level_company]]&gt;=1,1,0)</f>
        <v>0</v>
      </c>
      <c r="D213" s="4">
        <f>_xlfn.MAXIFS(Tabelle5[[#This Row],[binding_level]], Tabelle5[[#This Row],[company_id]],Tabelle18[[#This Row],[company_id]], Tabelle5[[#This Row],[value_id]], Tabelle18[[#This Row],[value_id]], Tabelle5[[#This Row],[value_present]],"1")</f>
        <v>0</v>
      </c>
      <c r="E213" s="4">
        <f>_xlfn.MAXIFS(Tabelle5[[#This Row],[value_points]], Tabelle5[[#This Row],[company_id]],Tabelle18[[#This Row],[company_id]], Tabelle5[[#This Row],[value_id]], Tabelle18[[#This Row],[value_id]], Tabelle5[[#This Row],[value_present]],"1")</f>
        <v>0</v>
      </c>
    </row>
    <row r="214" spans="1:5" x14ac:dyDescent="0.25">
      <c r="A214">
        <v>12</v>
      </c>
      <c r="B214" t="s">
        <v>154</v>
      </c>
      <c r="C214" s="4">
        <f>IF(Tabelle18[[#This Row],[binding_level_company]]&gt;=1,1,0)</f>
        <v>0</v>
      </c>
      <c r="D214" s="4">
        <f>_xlfn.MAXIFS(Tabelle5[[#This Row],[binding_level]], Tabelle5[[#This Row],[company_id]],Tabelle18[[#This Row],[company_id]], Tabelle5[[#This Row],[value_id]], Tabelle18[[#This Row],[value_id]], Tabelle5[[#This Row],[value_present]],"1")</f>
        <v>0</v>
      </c>
      <c r="E214" s="4">
        <f>_xlfn.MAXIFS(Tabelle5[[#This Row],[value_points]], Tabelle5[[#This Row],[company_id]],Tabelle18[[#This Row],[company_id]], Tabelle5[[#This Row],[value_id]], Tabelle18[[#This Row],[value_id]], Tabelle5[[#This Row],[value_present]],"1")</f>
        <v>0</v>
      </c>
    </row>
    <row r="215" spans="1:5" x14ac:dyDescent="0.25">
      <c r="A215">
        <v>12</v>
      </c>
      <c r="B215" t="s">
        <v>161</v>
      </c>
      <c r="C215" s="4">
        <f>IF(Tabelle18[[#This Row],[binding_level_company]]&gt;=1,1,0)</f>
        <v>0</v>
      </c>
      <c r="D215" s="4">
        <f>_xlfn.MAXIFS(Tabelle5[[#This Row],[binding_level]], Tabelle5[[#This Row],[company_id]],Tabelle18[[#This Row],[company_id]], Tabelle5[[#This Row],[value_id]], Tabelle18[[#This Row],[value_id]], Tabelle5[[#This Row],[value_present]],"1")</f>
        <v>0</v>
      </c>
      <c r="E215" s="4">
        <f>_xlfn.MAXIFS(Tabelle5[[#This Row],[value_points]], Tabelle5[[#This Row],[company_id]],Tabelle18[[#This Row],[company_id]], Tabelle5[[#This Row],[value_id]], Tabelle18[[#This Row],[value_id]], Tabelle5[[#This Row],[value_present]],"1")</f>
        <v>0</v>
      </c>
    </row>
    <row r="216" spans="1:5" x14ac:dyDescent="0.25">
      <c r="A216">
        <v>12</v>
      </c>
      <c r="B216" t="s">
        <v>166</v>
      </c>
      <c r="C216" s="4">
        <f>IF(Tabelle18[[#This Row],[binding_level_company]]&gt;=1,1,0)</f>
        <v>0</v>
      </c>
      <c r="D216" s="4">
        <f>_xlfn.MAXIFS(Tabelle5[[#This Row],[binding_level]], Tabelle5[[#This Row],[company_id]],Tabelle18[[#This Row],[company_id]], Tabelle5[[#This Row],[value_id]], Tabelle18[[#This Row],[value_id]], Tabelle5[[#This Row],[value_present]],"1")</f>
        <v>0</v>
      </c>
      <c r="E216" s="4">
        <f>_xlfn.MAXIFS(Tabelle5[[#This Row],[value_points]], Tabelle5[[#This Row],[company_id]],Tabelle18[[#This Row],[company_id]], Tabelle5[[#This Row],[value_id]], Tabelle18[[#This Row],[value_id]], Tabelle5[[#This Row],[value_present]],"1")</f>
        <v>0</v>
      </c>
    </row>
    <row r="217" spans="1:5" ht="15.75" thickBot="1" x14ac:dyDescent="0.3">
      <c r="A217">
        <v>12</v>
      </c>
      <c r="B217" s="30" t="s">
        <v>174</v>
      </c>
      <c r="C217" s="4">
        <f>IF(Tabelle18[[#This Row],[binding_level_company]]&gt;=1,1,0)</f>
        <v>0</v>
      </c>
      <c r="D217" s="4">
        <f>_xlfn.MAXIFS(Tabelle5[[#This Row],[binding_level]], Tabelle5[[#This Row],[company_id]],Tabelle18[[#This Row],[company_id]], Tabelle5[[#This Row],[value_id]], Tabelle18[[#This Row],[value_id]], Tabelle5[[#This Row],[value_present]],"1")</f>
        <v>0</v>
      </c>
      <c r="E217" s="4">
        <f>_xlfn.MAXIFS(Tabelle5[[#This Row],[value_points]], Tabelle5[[#This Row],[company_id]],Tabelle18[[#This Row],[company_id]], Tabelle5[[#This Row],[value_id]], Tabelle18[[#This Row],[value_id]], Tabelle5[[#This Row],[value_present]],"1")</f>
        <v>0</v>
      </c>
    </row>
    <row r="218" spans="1:5" x14ac:dyDescent="0.25">
      <c r="A218">
        <v>13</v>
      </c>
      <c r="B218" s="22" t="s">
        <v>53</v>
      </c>
      <c r="C218" s="4">
        <f>IF(Tabelle18[[#This Row],[binding_level_company]]&gt;=1,1,0)</f>
        <v>0</v>
      </c>
      <c r="D218" s="4">
        <f>_xlfn.MAXIFS(Tabelle5[[#This Row],[binding_level]], Tabelle5[[#This Row],[company_id]],Tabelle18[[#This Row],[company_id]], Tabelle5[[#This Row],[value_id]], Tabelle18[[#This Row],[value_id]], Tabelle5[[#This Row],[value_present]],"1")</f>
        <v>0</v>
      </c>
      <c r="E218" s="4">
        <f>_xlfn.MAXIFS(Tabelle5[[#This Row],[value_points]], Tabelle5[[#This Row],[company_id]],Tabelle18[[#This Row],[company_id]], Tabelle5[[#This Row],[value_id]], Tabelle18[[#This Row],[value_id]], Tabelle5[[#This Row],[value_present]],"1")</f>
        <v>0</v>
      </c>
    </row>
    <row r="219" spans="1:5" x14ac:dyDescent="0.25">
      <c r="A219">
        <v>13</v>
      </c>
      <c r="B219" t="s">
        <v>61</v>
      </c>
      <c r="C219" s="4">
        <f>IF(Tabelle18[[#This Row],[binding_level_company]]&gt;=1,1,0)</f>
        <v>0</v>
      </c>
      <c r="D219" s="4">
        <f>_xlfn.MAXIFS(Tabelle5[[#This Row],[binding_level]], Tabelle5[[#This Row],[company_id]],Tabelle18[[#This Row],[company_id]], Tabelle5[[#This Row],[value_id]], Tabelle18[[#This Row],[value_id]], Tabelle5[[#This Row],[value_present]],"1")</f>
        <v>0</v>
      </c>
      <c r="E219" s="4">
        <f>_xlfn.MAXIFS(Tabelle5[[#This Row],[value_points]], Tabelle5[[#This Row],[company_id]],Tabelle18[[#This Row],[company_id]], Tabelle5[[#This Row],[value_id]], Tabelle18[[#This Row],[value_id]], Tabelle5[[#This Row],[value_present]],"1")</f>
        <v>0</v>
      </c>
    </row>
    <row r="220" spans="1:5" x14ac:dyDescent="0.25">
      <c r="A220">
        <v>13</v>
      </c>
      <c r="B220" t="s">
        <v>69</v>
      </c>
      <c r="C220" s="4">
        <f>IF(Tabelle18[[#This Row],[binding_level_company]]&gt;=1,1,0)</f>
        <v>0</v>
      </c>
      <c r="D220" s="4">
        <f>_xlfn.MAXIFS(Tabelle5[[#This Row],[binding_level]], Tabelle5[[#This Row],[company_id]],Tabelle18[[#This Row],[company_id]], Tabelle5[[#This Row],[value_id]], Tabelle18[[#This Row],[value_id]], Tabelle5[[#This Row],[value_present]],"1")</f>
        <v>0</v>
      </c>
      <c r="E220" s="4">
        <f>_xlfn.MAXIFS(Tabelle5[[#This Row],[value_points]], Tabelle5[[#This Row],[company_id]],Tabelle18[[#This Row],[company_id]], Tabelle5[[#This Row],[value_id]], Tabelle18[[#This Row],[value_id]], Tabelle5[[#This Row],[value_present]],"1")</f>
        <v>0</v>
      </c>
    </row>
    <row r="221" spans="1:5" x14ac:dyDescent="0.25">
      <c r="A221">
        <v>13</v>
      </c>
      <c r="B221" t="s">
        <v>76</v>
      </c>
      <c r="C221" s="4">
        <f>IF(Tabelle18[[#This Row],[binding_level_company]]&gt;=1,1,0)</f>
        <v>0</v>
      </c>
      <c r="D221" s="4">
        <f>_xlfn.MAXIFS(Tabelle5[[#This Row],[binding_level]], Tabelle5[[#This Row],[company_id]],Tabelle18[[#This Row],[company_id]], Tabelle5[[#This Row],[value_id]], Tabelle18[[#This Row],[value_id]], Tabelle5[[#This Row],[value_present]],"1")</f>
        <v>0</v>
      </c>
      <c r="E221" s="4">
        <f>_xlfn.MAXIFS(Tabelle5[[#This Row],[value_points]], Tabelle5[[#This Row],[company_id]],Tabelle18[[#This Row],[company_id]], Tabelle5[[#This Row],[value_id]], Tabelle18[[#This Row],[value_id]], Tabelle5[[#This Row],[value_present]],"1")</f>
        <v>0</v>
      </c>
    </row>
    <row r="222" spans="1:5" x14ac:dyDescent="0.25">
      <c r="A222">
        <v>13</v>
      </c>
      <c r="B222" t="s">
        <v>83</v>
      </c>
      <c r="C222" s="4">
        <f>IF(Tabelle18[[#This Row],[binding_level_company]]&gt;=1,1,0)</f>
        <v>0</v>
      </c>
      <c r="D222" s="4">
        <f>_xlfn.MAXIFS(Tabelle5[[#This Row],[binding_level]], Tabelle5[[#This Row],[company_id]],Tabelle18[[#This Row],[company_id]], Tabelle5[[#This Row],[value_id]], Tabelle18[[#This Row],[value_id]], Tabelle5[[#This Row],[value_present]],"1")</f>
        <v>0</v>
      </c>
      <c r="E222" s="4">
        <f>_xlfn.MAXIFS(Tabelle5[[#This Row],[value_points]], Tabelle5[[#This Row],[company_id]],Tabelle18[[#This Row],[company_id]], Tabelle5[[#This Row],[value_id]], Tabelle18[[#This Row],[value_id]], Tabelle5[[#This Row],[value_present]],"1")</f>
        <v>0</v>
      </c>
    </row>
    <row r="223" spans="1:5" x14ac:dyDescent="0.25">
      <c r="A223">
        <v>13</v>
      </c>
      <c r="B223" t="s">
        <v>90</v>
      </c>
      <c r="C223" s="4">
        <f>IF(Tabelle18[[#This Row],[binding_level_company]]&gt;=1,1,0)</f>
        <v>0</v>
      </c>
      <c r="D223" s="4">
        <f>_xlfn.MAXIFS(Tabelle5[[#This Row],[binding_level]], Tabelle5[[#This Row],[company_id]],Tabelle18[[#This Row],[company_id]], Tabelle5[[#This Row],[value_id]], Tabelle18[[#This Row],[value_id]], Tabelle5[[#This Row],[value_present]],"1")</f>
        <v>0</v>
      </c>
      <c r="E223" s="4">
        <f>_xlfn.MAXIFS(Tabelle5[[#This Row],[value_points]], Tabelle5[[#This Row],[company_id]],Tabelle18[[#This Row],[company_id]], Tabelle5[[#This Row],[value_id]], Tabelle18[[#This Row],[value_id]], Tabelle5[[#This Row],[value_present]],"1")</f>
        <v>0</v>
      </c>
    </row>
    <row r="224" spans="1:5" x14ac:dyDescent="0.25">
      <c r="A224">
        <v>13</v>
      </c>
      <c r="B224" t="s">
        <v>98</v>
      </c>
      <c r="C224" s="4">
        <f>IF(Tabelle18[[#This Row],[binding_level_company]]&gt;=1,1,0)</f>
        <v>0</v>
      </c>
      <c r="D224" s="4">
        <f>_xlfn.MAXIFS(Tabelle5[[#This Row],[binding_level]], Tabelle5[[#This Row],[company_id]],Tabelle18[[#This Row],[company_id]], Tabelle5[[#This Row],[value_id]], Tabelle18[[#This Row],[value_id]], Tabelle5[[#This Row],[value_present]],"1")</f>
        <v>0</v>
      </c>
      <c r="E224" s="4">
        <f>_xlfn.MAXIFS(Tabelle5[[#This Row],[value_points]], Tabelle5[[#This Row],[company_id]],Tabelle18[[#This Row],[company_id]], Tabelle5[[#This Row],[value_id]], Tabelle18[[#This Row],[value_id]], Tabelle5[[#This Row],[value_present]],"1")</f>
        <v>0</v>
      </c>
    </row>
    <row r="225" spans="1:5" x14ac:dyDescent="0.25">
      <c r="A225">
        <v>13</v>
      </c>
      <c r="B225" t="s">
        <v>106</v>
      </c>
      <c r="C225" s="4">
        <f>IF(Tabelle18[[#This Row],[binding_level_company]]&gt;=1,1,0)</f>
        <v>0</v>
      </c>
      <c r="D225" s="4">
        <f>_xlfn.MAXIFS(Tabelle5[[#This Row],[binding_level]], Tabelle5[[#This Row],[company_id]],Tabelle18[[#This Row],[company_id]], Tabelle5[[#This Row],[value_id]], Tabelle18[[#This Row],[value_id]], Tabelle5[[#This Row],[value_present]],"1")</f>
        <v>0</v>
      </c>
      <c r="E225" s="4">
        <f>_xlfn.MAXIFS(Tabelle5[[#This Row],[value_points]], Tabelle5[[#This Row],[company_id]],Tabelle18[[#This Row],[company_id]], Tabelle5[[#This Row],[value_id]], Tabelle18[[#This Row],[value_id]], Tabelle5[[#This Row],[value_present]],"1")</f>
        <v>0</v>
      </c>
    </row>
    <row r="226" spans="1:5" x14ac:dyDescent="0.25">
      <c r="A226">
        <v>13</v>
      </c>
      <c r="B226" t="s">
        <v>112</v>
      </c>
      <c r="C226" s="4">
        <f>IF(Tabelle18[[#This Row],[binding_level_company]]&gt;=1,1,0)</f>
        <v>0</v>
      </c>
      <c r="D226" s="4">
        <f>_xlfn.MAXIFS(Tabelle5[[#This Row],[binding_level]], Tabelle5[[#This Row],[company_id]],Tabelle18[[#This Row],[company_id]], Tabelle5[[#This Row],[value_id]], Tabelle18[[#This Row],[value_id]], Tabelle5[[#This Row],[value_present]],"1")</f>
        <v>0</v>
      </c>
      <c r="E226" s="4">
        <f>_xlfn.MAXIFS(Tabelle5[[#This Row],[value_points]], Tabelle5[[#This Row],[company_id]],Tabelle18[[#This Row],[company_id]], Tabelle5[[#This Row],[value_id]], Tabelle18[[#This Row],[value_id]], Tabelle5[[#This Row],[value_present]],"1")</f>
        <v>0</v>
      </c>
    </row>
    <row r="227" spans="1:5" x14ac:dyDescent="0.25">
      <c r="A227">
        <v>13</v>
      </c>
      <c r="B227" t="s">
        <v>118</v>
      </c>
      <c r="C227" s="4">
        <f>IF(Tabelle18[[#This Row],[binding_level_company]]&gt;=1,1,0)</f>
        <v>0</v>
      </c>
      <c r="D227" s="4">
        <f>_xlfn.MAXIFS(Tabelle5[[#This Row],[binding_level]], Tabelle5[[#This Row],[company_id]],Tabelle18[[#This Row],[company_id]], Tabelle5[[#This Row],[value_id]], Tabelle18[[#This Row],[value_id]], Tabelle5[[#This Row],[value_present]],"1")</f>
        <v>0</v>
      </c>
      <c r="E227" s="4">
        <f>_xlfn.MAXIFS(Tabelle5[[#This Row],[value_points]], Tabelle5[[#This Row],[company_id]],Tabelle18[[#This Row],[company_id]], Tabelle5[[#This Row],[value_id]], Tabelle18[[#This Row],[value_id]], Tabelle5[[#This Row],[value_present]],"1")</f>
        <v>0</v>
      </c>
    </row>
    <row r="228" spans="1:5" x14ac:dyDescent="0.25">
      <c r="A228">
        <v>13</v>
      </c>
      <c r="B228" t="s">
        <v>125</v>
      </c>
      <c r="C228" s="4">
        <f>IF(Tabelle18[[#This Row],[binding_level_company]]&gt;=1,1,0)</f>
        <v>0</v>
      </c>
      <c r="D228" s="4">
        <f>_xlfn.MAXIFS(Tabelle5[[#This Row],[binding_level]], Tabelle5[[#This Row],[company_id]],Tabelle18[[#This Row],[company_id]], Tabelle5[[#This Row],[value_id]], Tabelle18[[#This Row],[value_id]], Tabelle5[[#This Row],[value_present]],"1")</f>
        <v>0</v>
      </c>
      <c r="E228" s="4">
        <f>_xlfn.MAXIFS(Tabelle5[[#This Row],[value_points]], Tabelle5[[#This Row],[company_id]],Tabelle18[[#This Row],[company_id]], Tabelle5[[#This Row],[value_id]], Tabelle18[[#This Row],[value_id]], Tabelle5[[#This Row],[value_present]],"1")</f>
        <v>0</v>
      </c>
    </row>
    <row r="229" spans="1:5" x14ac:dyDescent="0.25">
      <c r="A229">
        <v>13</v>
      </c>
      <c r="B229" t="s">
        <v>132</v>
      </c>
      <c r="C229" s="4">
        <f>IF(Tabelle18[[#This Row],[binding_level_company]]&gt;=1,1,0)</f>
        <v>0</v>
      </c>
      <c r="D229" s="4">
        <f>_xlfn.MAXIFS(Tabelle5[[#This Row],[binding_level]], Tabelle5[[#This Row],[company_id]],Tabelle18[[#This Row],[company_id]], Tabelle5[[#This Row],[value_id]], Tabelle18[[#This Row],[value_id]], Tabelle5[[#This Row],[value_present]],"1")</f>
        <v>0</v>
      </c>
      <c r="E229" s="4">
        <f>_xlfn.MAXIFS(Tabelle5[[#This Row],[value_points]], Tabelle5[[#This Row],[company_id]],Tabelle18[[#This Row],[company_id]], Tabelle5[[#This Row],[value_id]], Tabelle18[[#This Row],[value_id]], Tabelle5[[#This Row],[value_present]],"1")</f>
        <v>0</v>
      </c>
    </row>
    <row r="230" spans="1:5" x14ac:dyDescent="0.25">
      <c r="A230">
        <v>13</v>
      </c>
      <c r="B230" t="s">
        <v>140</v>
      </c>
      <c r="C230" s="4">
        <f>IF(Tabelle18[[#This Row],[binding_level_company]]&gt;=1,1,0)</f>
        <v>0</v>
      </c>
      <c r="D230" s="4">
        <f>_xlfn.MAXIFS(Tabelle5[[#This Row],[binding_level]], Tabelle5[[#This Row],[company_id]],Tabelle18[[#This Row],[company_id]], Tabelle5[[#This Row],[value_id]], Tabelle18[[#This Row],[value_id]], Tabelle5[[#This Row],[value_present]],"1")</f>
        <v>0</v>
      </c>
      <c r="E230" s="4">
        <f>_xlfn.MAXIFS(Tabelle5[[#This Row],[value_points]], Tabelle5[[#This Row],[company_id]],Tabelle18[[#This Row],[company_id]], Tabelle5[[#This Row],[value_id]], Tabelle18[[#This Row],[value_id]], Tabelle5[[#This Row],[value_present]],"1")</f>
        <v>0</v>
      </c>
    </row>
    <row r="231" spans="1:5" x14ac:dyDescent="0.25">
      <c r="A231">
        <v>13</v>
      </c>
      <c r="B231" t="s">
        <v>147</v>
      </c>
      <c r="C231" s="4">
        <f>IF(Tabelle18[[#This Row],[binding_level_company]]&gt;=1,1,0)</f>
        <v>0</v>
      </c>
      <c r="D231" s="4">
        <f>_xlfn.MAXIFS(Tabelle5[[#This Row],[binding_level]], Tabelle5[[#This Row],[company_id]],Tabelle18[[#This Row],[company_id]], Tabelle5[[#This Row],[value_id]], Tabelle18[[#This Row],[value_id]], Tabelle5[[#This Row],[value_present]],"1")</f>
        <v>0</v>
      </c>
      <c r="E231" s="4">
        <f>_xlfn.MAXIFS(Tabelle5[[#This Row],[value_points]], Tabelle5[[#This Row],[company_id]],Tabelle18[[#This Row],[company_id]], Tabelle5[[#This Row],[value_id]], Tabelle18[[#This Row],[value_id]], Tabelle5[[#This Row],[value_present]],"1")</f>
        <v>0</v>
      </c>
    </row>
    <row r="232" spans="1:5" x14ac:dyDescent="0.25">
      <c r="A232">
        <v>13</v>
      </c>
      <c r="B232" t="s">
        <v>154</v>
      </c>
      <c r="C232" s="4">
        <f>IF(Tabelle18[[#This Row],[binding_level_company]]&gt;=1,1,0)</f>
        <v>0</v>
      </c>
      <c r="D232" s="4">
        <f>_xlfn.MAXIFS(Tabelle5[[#This Row],[binding_level]], Tabelle5[[#This Row],[company_id]],Tabelle18[[#This Row],[company_id]], Tabelle5[[#This Row],[value_id]], Tabelle18[[#This Row],[value_id]], Tabelle5[[#This Row],[value_present]],"1")</f>
        <v>0</v>
      </c>
      <c r="E232" s="4">
        <f>_xlfn.MAXIFS(Tabelle5[[#This Row],[value_points]], Tabelle5[[#This Row],[company_id]],Tabelle18[[#This Row],[company_id]], Tabelle5[[#This Row],[value_id]], Tabelle18[[#This Row],[value_id]], Tabelle5[[#This Row],[value_present]],"1")</f>
        <v>0</v>
      </c>
    </row>
    <row r="233" spans="1:5" x14ac:dyDescent="0.25">
      <c r="A233">
        <v>13</v>
      </c>
      <c r="B233" t="s">
        <v>161</v>
      </c>
      <c r="C233" s="4">
        <f>IF(Tabelle18[[#This Row],[binding_level_company]]&gt;=1,1,0)</f>
        <v>0</v>
      </c>
      <c r="D233" s="4">
        <f>_xlfn.MAXIFS(Tabelle5[[#This Row],[binding_level]], Tabelle5[[#This Row],[company_id]],Tabelle18[[#This Row],[company_id]], Tabelle5[[#This Row],[value_id]], Tabelle18[[#This Row],[value_id]], Tabelle5[[#This Row],[value_present]],"1")</f>
        <v>0</v>
      </c>
      <c r="E233" s="4">
        <f>_xlfn.MAXIFS(Tabelle5[[#This Row],[value_points]], Tabelle5[[#This Row],[company_id]],Tabelle18[[#This Row],[company_id]], Tabelle5[[#This Row],[value_id]], Tabelle18[[#This Row],[value_id]], Tabelle5[[#This Row],[value_present]],"1")</f>
        <v>0</v>
      </c>
    </row>
    <row r="234" spans="1:5" x14ac:dyDescent="0.25">
      <c r="A234">
        <v>13</v>
      </c>
      <c r="B234" t="s">
        <v>166</v>
      </c>
      <c r="C234" s="4">
        <f>IF(Tabelle18[[#This Row],[binding_level_company]]&gt;=1,1,0)</f>
        <v>0</v>
      </c>
      <c r="D234" s="4">
        <f>_xlfn.MAXIFS(Tabelle5[[#This Row],[binding_level]], Tabelle5[[#This Row],[company_id]],Tabelle18[[#This Row],[company_id]], Tabelle5[[#This Row],[value_id]], Tabelle18[[#This Row],[value_id]], Tabelle5[[#This Row],[value_present]],"1")</f>
        <v>0</v>
      </c>
      <c r="E234" s="4">
        <f>_xlfn.MAXIFS(Tabelle5[[#This Row],[value_points]], Tabelle5[[#This Row],[company_id]],Tabelle18[[#This Row],[company_id]], Tabelle5[[#This Row],[value_id]], Tabelle18[[#This Row],[value_id]], Tabelle5[[#This Row],[value_present]],"1")</f>
        <v>0</v>
      </c>
    </row>
    <row r="235" spans="1:5" ht="15.75" thickBot="1" x14ac:dyDescent="0.3">
      <c r="A235">
        <v>13</v>
      </c>
      <c r="B235" s="30" t="s">
        <v>174</v>
      </c>
      <c r="C235" s="4">
        <f>IF(Tabelle18[[#This Row],[binding_level_company]]&gt;=1,1,0)</f>
        <v>0</v>
      </c>
      <c r="D235" s="4">
        <f>_xlfn.MAXIFS(Tabelle5[[#This Row],[binding_level]], Tabelle5[[#This Row],[company_id]],Tabelle18[[#This Row],[company_id]], Tabelle5[[#This Row],[value_id]], Tabelle18[[#This Row],[value_id]], Tabelle5[[#This Row],[value_present]],"1")</f>
        <v>0</v>
      </c>
      <c r="E235" s="4">
        <f>_xlfn.MAXIFS(Tabelle5[[#This Row],[value_points]], Tabelle5[[#This Row],[company_id]],Tabelle18[[#This Row],[company_id]], Tabelle5[[#This Row],[value_id]], Tabelle18[[#This Row],[value_id]], Tabelle5[[#This Row],[value_present]],"1")</f>
        <v>0</v>
      </c>
    </row>
    <row r="236" spans="1:5" x14ac:dyDescent="0.25">
      <c r="A236">
        <v>14</v>
      </c>
      <c r="B236" s="22" t="s">
        <v>53</v>
      </c>
      <c r="C236" s="4">
        <f>IF(Tabelle18[[#This Row],[binding_level_company]]&gt;=1,1,0)</f>
        <v>0</v>
      </c>
      <c r="D236" s="4">
        <f>_xlfn.MAXIFS(Tabelle5[[#This Row],[binding_level]], Tabelle5[[#This Row],[company_id]],Tabelle18[[#This Row],[company_id]], Tabelle5[[#This Row],[value_id]], Tabelle18[[#This Row],[value_id]], Tabelle5[[#This Row],[value_present]],"1")</f>
        <v>0</v>
      </c>
      <c r="E236" s="4">
        <f>_xlfn.MAXIFS(Tabelle5[[#This Row],[value_points]], Tabelle5[[#This Row],[company_id]],Tabelle18[[#This Row],[company_id]], Tabelle5[[#This Row],[value_id]], Tabelle18[[#This Row],[value_id]], Tabelle5[[#This Row],[value_present]],"1")</f>
        <v>0</v>
      </c>
    </row>
    <row r="237" spans="1:5" x14ac:dyDescent="0.25">
      <c r="A237">
        <v>14</v>
      </c>
      <c r="B237" t="s">
        <v>61</v>
      </c>
      <c r="C237" s="4">
        <f>IF(Tabelle18[[#This Row],[binding_level_company]]&gt;=1,1,0)</f>
        <v>0</v>
      </c>
      <c r="D237" s="4">
        <f>_xlfn.MAXIFS(Tabelle5[[#This Row],[binding_level]], Tabelle5[[#This Row],[company_id]],Tabelle18[[#This Row],[company_id]], Tabelle5[[#This Row],[value_id]], Tabelle18[[#This Row],[value_id]], Tabelle5[[#This Row],[value_present]],"1")</f>
        <v>0</v>
      </c>
      <c r="E237" s="4">
        <f>_xlfn.MAXIFS(Tabelle5[[#This Row],[value_points]], Tabelle5[[#This Row],[company_id]],Tabelle18[[#This Row],[company_id]], Tabelle5[[#This Row],[value_id]], Tabelle18[[#This Row],[value_id]], Tabelle5[[#This Row],[value_present]],"1")</f>
        <v>0</v>
      </c>
    </row>
    <row r="238" spans="1:5" x14ac:dyDescent="0.25">
      <c r="A238">
        <v>14</v>
      </c>
      <c r="B238" t="s">
        <v>69</v>
      </c>
      <c r="C238" s="4">
        <f>IF(Tabelle18[[#This Row],[binding_level_company]]&gt;=1,1,0)</f>
        <v>0</v>
      </c>
      <c r="D238" s="4">
        <f>_xlfn.MAXIFS(Tabelle5[[#This Row],[binding_level]], Tabelle5[[#This Row],[company_id]],Tabelle18[[#This Row],[company_id]], Tabelle5[[#This Row],[value_id]], Tabelle18[[#This Row],[value_id]], Tabelle5[[#This Row],[value_present]],"1")</f>
        <v>0</v>
      </c>
      <c r="E238" s="4">
        <f>_xlfn.MAXIFS(Tabelle5[[#This Row],[value_points]], Tabelle5[[#This Row],[company_id]],Tabelle18[[#This Row],[company_id]], Tabelle5[[#This Row],[value_id]], Tabelle18[[#This Row],[value_id]], Tabelle5[[#This Row],[value_present]],"1")</f>
        <v>0</v>
      </c>
    </row>
    <row r="239" spans="1:5" x14ac:dyDescent="0.25">
      <c r="A239">
        <v>14</v>
      </c>
      <c r="B239" t="s">
        <v>76</v>
      </c>
      <c r="C239" s="4">
        <f>IF(Tabelle18[[#This Row],[binding_level_company]]&gt;=1,1,0)</f>
        <v>0</v>
      </c>
      <c r="D239" s="4">
        <f>_xlfn.MAXIFS(Tabelle5[[#This Row],[binding_level]], Tabelle5[[#This Row],[company_id]],Tabelle18[[#This Row],[company_id]], Tabelle5[[#This Row],[value_id]], Tabelle18[[#This Row],[value_id]], Tabelle5[[#This Row],[value_present]],"1")</f>
        <v>0</v>
      </c>
      <c r="E239" s="4">
        <f>_xlfn.MAXIFS(Tabelle5[[#This Row],[value_points]], Tabelle5[[#This Row],[company_id]],Tabelle18[[#This Row],[company_id]], Tabelle5[[#This Row],[value_id]], Tabelle18[[#This Row],[value_id]], Tabelle5[[#This Row],[value_present]],"1")</f>
        <v>0</v>
      </c>
    </row>
    <row r="240" spans="1:5" x14ac:dyDescent="0.25">
      <c r="A240">
        <v>14</v>
      </c>
      <c r="B240" t="s">
        <v>83</v>
      </c>
      <c r="C240" s="4">
        <f>IF(Tabelle18[[#This Row],[binding_level_company]]&gt;=1,1,0)</f>
        <v>0</v>
      </c>
      <c r="D240" s="4">
        <f>_xlfn.MAXIFS(Tabelle5[[#This Row],[binding_level]], Tabelle5[[#This Row],[company_id]],Tabelle18[[#This Row],[company_id]], Tabelle5[[#This Row],[value_id]], Tabelle18[[#This Row],[value_id]], Tabelle5[[#This Row],[value_present]],"1")</f>
        <v>0</v>
      </c>
      <c r="E240" s="4">
        <f>_xlfn.MAXIFS(Tabelle5[[#This Row],[value_points]], Tabelle5[[#This Row],[company_id]],Tabelle18[[#This Row],[company_id]], Tabelle5[[#This Row],[value_id]], Tabelle18[[#This Row],[value_id]], Tabelle5[[#This Row],[value_present]],"1")</f>
        <v>0</v>
      </c>
    </row>
    <row r="241" spans="1:5" x14ac:dyDescent="0.25">
      <c r="A241">
        <v>14</v>
      </c>
      <c r="B241" t="s">
        <v>90</v>
      </c>
      <c r="C241" s="4">
        <f>IF(Tabelle18[[#This Row],[binding_level_company]]&gt;=1,1,0)</f>
        <v>0</v>
      </c>
      <c r="D241" s="4">
        <f>_xlfn.MAXIFS(Tabelle5[[#This Row],[binding_level]], Tabelle5[[#This Row],[company_id]],Tabelle18[[#This Row],[company_id]], Tabelle5[[#This Row],[value_id]], Tabelle18[[#This Row],[value_id]], Tabelle5[[#This Row],[value_present]],"1")</f>
        <v>0</v>
      </c>
      <c r="E241" s="4">
        <f>_xlfn.MAXIFS(Tabelle5[[#This Row],[value_points]], Tabelle5[[#This Row],[company_id]],Tabelle18[[#This Row],[company_id]], Tabelle5[[#This Row],[value_id]], Tabelle18[[#This Row],[value_id]], Tabelle5[[#This Row],[value_present]],"1")</f>
        <v>0</v>
      </c>
    </row>
    <row r="242" spans="1:5" x14ac:dyDescent="0.25">
      <c r="A242">
        <v>14</v>
      </c>
      <c r="B242" t="s">
        <v>98</v>
      </c>
      <c r="C242" s="4">
        <f>IF(Tabelle18[[#This Row],[binding_level_company]]&gt;=1,1,0)</f>
        <v>0</v>
      </c>
      <c r="D242" s="4">
        <f>_xlfn.MAXIFS(Tabelle5[[#This Row],[binding_level]], Tabelle5[[#This Row],[company_id]],Tabelle18[[#This Row],[company_id]], Tabelle5[[#This Row],[value_id]], Tabelle18[[#This Row],[value_id]], Tabelle5[[#This Row],[value_present]],"1")</f>
        <v>0</v>
      </c>
      <c r="E242" s="4">
        <f>_xlfn.MAXIFS(Tabelle5[[#This Row],[value_points]], Tabelle5[[#This Row],[company_id]],Tabelle18[[#This Row],[company_id]], Tabelle5[[#This Row],[value_id]], Tabelle18[[#This Row],[value_id]], Tabelle5[[#This Row],[value_present]],"1")</f>
        <v>0</v>
      </c>
    </row>
    <row r="243" spans="1:5" x14ac:dyDescent="0.25">
      <c r="A243">
        <v>14</v>
      </c>
      <c r="B243" t="s">
        <v>106</v>
      </c>
      <c r="C243" s="4">
        <f>IF(Tabelle18[[#This Row],[binding_level_company]]&gt;=1,1,0)</f>
        <v>0</v>
      </c>
      <c r="D243" s="4">
        <f>_xlfn.MAXIFS(Tabelle5[[#This Row],[binding_level]], Tabelle5[[#This Row],[company_id]],Tabelle18[[#This Row],[company_id]], Tabelle5[[#This Row],[value_id]], Tabelle18[[#This Row],[value_id]], Tabelle5[[#This Row],[value_present]],"1")</f>
        <v>0</v>
      </c>
      <c r="E243" s="4">
        <f>_xlfn.MAXIFS(Tabelle5[[#This Row],[value_points]], Tabelle5[[#This Row],[company_id]],Tabelle18[[#This Row],[company_id]], Tabelle5[[#This Row],[value_id]], Tabelle18[[#This Row],[value_id]], Tabelle5[[#This Row],[value_present]],"1")</f>
        <v>0</v>
      </c>
    </row>
    <row r="244" spans="1:5" x14ac:dyDescent="0.25">
      <c r="A244">
        <v>14</v>
      </c>
      <c r="B244" t="s">
        <v>112</v>
      </c>
      <c r="C244" s="4">
        <f>IF(Tabelle18[[#This Row],[binding_level_company]]&gt;=1,1,0)</f>
        <v>0</v>
      </c>
      <c r="D244" s="4">
        <f>_xlfn.MAXIFS(Tabelle5[[#This Row],[binding_level]], Tabelle5[[#This Row],[company_id]],Tabelle18[[#This Row],[company_id]], Tabelle5[[#This Row],[value_id]], Tabelle18[[#This Row],[value_id]], Tabelle5[[#This Row],[value_present]],"1")</f>
        <v>0</v>
      </c>
      <c r="E244" s="4">
        <f>_xlfn.MAXIFS(Tabelle5[[#This Row],[value_points]], Tabelle5[[#This Row],[company_id]],Tabelle18[[#This Row],[company_id]], Tabelle5[[#This Row],[value_id]], Tabelle18[[#This Row],[value_id]], Tabelle5[[#This Row],[value_present]],"1")</f>
        <v>0</v>
      </c>
    </row>
    <row r="245" spans="1:5" x14ac:dyDescent="0.25">
      <c r="A245">
        <v>14</v>
      </c>
      <c r="B245" t="s">
        <v>118</v>
      </c>
      <c r="C245" s="4">
        <f>IF(Tabelle18[[#This Row],[binding_level_company]]&gt;=1,1,0)</f>
        <v>0</v>
      </c>
      <c r="D245" s="4">
        <f>_xlfn.MAXIFS(Tabelle5[[#This Row],[binding_level]], Tabelle5[[#This Row],[company_id]],Tabelle18[[#This Row],[company_id]], Tabelle5[[#This Row],[value_id]], Tabelle18[[#This Row],[value_id]], Tabelle5[[#This Row],[value_present]],"1")</f>
        <v>0</v>
      </c>
      <c r="E245" s="4">
        <f>_xlfn.MAXIFS(Tabelle5[[#This Row],[value_points]], Tabelle5[[#This Row],[company_id]],Tabelle18[[#This Row],[company_id]], Tabelle5[[#This Row],[value_id]], Tabelle18[[#This Row],[value_id]], Tabelle5[[#This Row],[value_present]],"1")</f>
        <v>0</v>
      </c>
    </row>
    <row r="246" spans="1:5" x14ac:dyDescent="0.25">
      <c r="A246">
        <v>14</v>
      </c>
      <c r="B246" t="s">
        <v>125</v>
      </c>
      <c r="C246" s="4">
        <f>IF(Tabelle18[[#This Row],[binding_level_company]]&gt;=1,1,0)</f>
        <v>0</v>
      </c>
      <c r="D246" s="4">
        <f>_xlfn.MAXIFS(Tabelle5[[#This Row],[binding_level]], Tabelle5[[#This Row],[company_id]],Tabelle18[[#This Row],[company_id]], Tabelle5[[#This Row],[value_id]], Tabelle18[[#This Row],[value_id]], Tabelle5[[#This Row],[value_present]],"1")</f>
        <v>0</v>
      </c>
      <c r="E246" s="4">
        <f>_xlfn.MAXIFS(Tabelle5[[#This Row],[value_points]], Tabelle5[[#This Row],[company_id]],Tabelle18[[#This Row],[company_id]], Tabelle5[[#This Row],[value_id]], Tabelle18[[#This Row],[value_id]], Tabelle5[[#This Row],[value_present]],"1")</f>
        <v>0</v>
      </c>
    </row>
    <row r="247" spans="1:5" x14ac:dyDescent="0.25">
      <c r="A247">
        <v>14</v>
      </c>
      <c r="B247" t="s">
        <v>132</v>
      </c>
      <c r="C247" s="4">
        <f>IF(Tabelle18[[#This Row],[binding_level_company]]&gt;=1,1,0)</f>
        <v>0</v>
      </c>
      <c r="D247" s="4">
        <f>_xlfn.MAXIFS(Tabelle5[[#This Row],[binding_level]], Tabelle5[[#This Row],[company_id]],Tabelle18[[#This Row],[company_id]], Tabelle5[[#This Row],[value_id]], Tabelle18[[#This Row],[value_id]], Tabelle5[[#This Row],[value_present]],"1")</f>
        <v>0</v>
      </c>
      <c r="E247" s="4">
        <f>_xlfn.MAXIFS(Tabelle5[[#This Row],[value_points]], Tabelle5[[#This Row],[company_id]],Tabelle18[[#This Row],[company_id]], Tabelle5[[#This Row],[value_id]], Tabelle18[[#This Row],[value_id]], Tabelle5[[#This Row],[value_present]],"1")</f>
        <v>0</v>
      </c>
    </row>
    <row r="248" spans="1:5" x14ac:dyDescent="0.25">
      <c r="A248">
        <v>14</v>
      </c>
      <c r="B248" t="s">
        <v>140</v>
      </c>
      <c r="C248" s="4">
        <f>IF(Tabelle18[[#This Row],[binding_level_company]]&gt;=1,1,0)</f>
        <v>0</v>
      </c>
      <c r="D248" s="4">
        <f>_xlfn.MAXIFS(Tabelle5[[#This Row],[binding_level]], Tabelle5[[#This Row],[company_id]],Tabelle18[[#This Row],[company_id]], Tabelle5[[#This Row],[value_id]], Tabelle18[[#This Row],[value_id]], Tabelle5[[#This Row],[value_present]],"1")</f>
        <v>0</v>
      </c>
      <c r="E248" s="4">
        <f>_xlfn.MAXIFS(Tabelle5[[#This Row],[value_points]], Tabelle5[[#This Row],[company_id]],Tabelle18[[#This Row],[company_id]], Tabelle5[[#This Row],[value_id]], Tabelle18[[#This Row],[value_id]], Tabelle5[[#This Row],[value_present]],"1")</f>
        <v>0</v>
      </c>
    </row>
    <row r="249" spans="1:5" x14ac:dyDescent="0.25">
      <c r="A249">
        <v>14</v>
      </c>
      <c r="B249" t="s">
        <v>147</v>
      </c>
      <c r="C249" s="4">
        <f>IF(Tabelle18[[#This Row],[binding_level_company]]&gt;=1,1,0)</f>
        <v>0</v>
      </c>
      <c r="D249" s="4">
        <f>_xlfn.MAXIFS(Tabelle5[[#This Row],[binding_level]], Tabelle5[[#This Row],[company_id]],Tabelle18[[#This Row],[company_id]], Tabelle5[[#This Row],[value_id]], Tabelle18[[#This Row],[value_id]], Tabelle5[[#This Row],[value_present]],"1")</f>
        <v>0</v>
      </c>
      <c r="E249" s="4">
        <f>_xlfn.MAXIFS(Tabelle5[[#This Row],[value_points]], Tabelle5[[#This Row],[company_id]],Tabelle18[[#This Row],[company_id]], Tabelle5[[#This Row],[value_id]], Tabelle18[[#This Row],[value_id]], Tabelle5[[#This Row],[value_present]],"1")</f>
        <v>0</v>
      </c>
    </row>
    <row r="250" spans="1:5" x14ac:dyDescent="0.25">
      <c r="A250">
        <v>14</v>
      </c>
      <c r="B250" t="s">
        <v>154</v>
      </c>
      <c r="C250" s="4">
        <f>IF(Tabelle18[[#This Row],[binding_level_company]]&gt;=1,1,0)</f>
        <v>0</v>
      </c>
      <c r="D250" s="4">
        <f>_xlfn.MAXIFS(Tabelle5[[#This Row],[binding_level]], Tabelle5[[#This Row],[company_id]],Tabelle18[[#This Row],[company_id]], Tabelle5[[#This Row],[value_id]], Tabelle18[[#This Row],[value_id]], Tabelle5[[#This Row],[value_present]],"1")</f>
        <v>0</v>
      </c>
      <c r="E250" s="4">
        <f>_xlfn.MAXIFS(Tabelle5[[#This Row],[value_points]], Tabelle5[[#This Row],[company_id]],Tabelle18[[#This Row],[company_id]], Tabelle5[[#This Row],[value_id]], Tabelle18[[#This Row],[value_id]], Tabelle5[[#This Row],[value_present]],"1")</f>
        <v>0</v>
      </c>
    </row>
    <row r="251" spans="1:5" x14ac:dyDescent="0.25">
      <c r="A251">
        <v>14</v>
      </c>
      <c r="B251" t="s">
        <v>161</v>
      </c>
      <c r="C251" s="4">
        <f>IF(Tabelle18[[#This Row],[binding_level_company]]&gt;=1,1,0)</f>
        <v>0</v>
      </c>
      <c r="D251" s="4">
        <f>_xlfn.MAXIFS(Tabelle5[[#This Row],[binding_level]], Tabelle5[[#This Row],[company_id]],Tabelle18[[#This Row],[company_id]], Tabelle5[[#This Row],[value_id]], Tabelle18[[#This Row],[value_id]], Tabelle5[[#This Row],[value_present]],"1")</f>
        <v>0</v>
      </c>
      <c r="E251" s="4">
        <f>_xlfn.MAXIFS(Tabelle5[[#This Row],[value_points]], Tabelle5[[#This Row],[company_id]],Tabelle18[[#This Row],[company_id]], Tabelle5[[#This Row],[value_id]], Tabelle18[[#This Row],[value_id]], Tabelle5[[#This Row],[value_present]],"1")</f>
        <v>0</v>
      </c>
    </row>
    <row r="252" spans="1:5" x14ac:dyDescent="0.25">
      <c r="A252">
        <v>14</v>
      </c>
      <c r="B252" t="s">
        <v>166</v>
      </c>
      <c r="C252" s="4">
        <f>IF(Tabelle18[[#This Row],[binding_level_company]]&gt;=1,1,0)</f>
        <v>0</v>
      </c>
      <c r="D252" s="4">
        <f>_xlfn.MAXIFS(Tabelle5[[#This Row],[binding_level]], Tabelle5[[#This Row],[company_id]],Tabelle18[[#This Row],[company_id]], Tabelle5[[#This Row],[value_id]], Tabelle18[[#This Row],[value_id]], Tabelle5[[#This Row],[value_present]],"1")</f>
        <v>0</v>
      </c>
      <c r="E252" s="4">
        <f>_xlfn.MAXIFS(Tabelle5[[#This Row],[value_points]], Tabelle5[[#This Row],[company_id]],Tabelle18[[#This Row],[company_id]], Tabelle5[[#This Row],[value_id]], Tabelle18[[#This Row],[value_id]], Tabelle5[[#This Row],[value_present]],"1")</f>
        <v>0</v>
      </c>
    </row>
    <row r="253" spans="1:5" ht="15.75" thickBot="1" x14ac:dyDescent="0.3">
      <c r="A253">
        <v>14</v>
      </c>
      <c r="B253" s="30" t="s">
        <v>174</v>
      </c>
      <c r="C253" s="4">
        <f>IF(Tabelle18[[#This Row],[binding_level_company]]&gt;=1,1,0)</f>
        <v>0</v>
      </c>
      <c r="D253" s="4">
        <f>_xlfn.MAXIFS(Tabelle5[[#This Row],[binding_level]], Tabelle5[[#This Row],[company_id]],Tabelle18[[#This Row],[company_id]], Tabelle5[[#This Row],[value_id]], Tabelle18[[#This Row],[value_id]], Tabelle5[[#This Row],[value_present]],"1")</f>
        <v>0</v>
      </c>
      <c r="E253" s="4">
        <f>_xlfn.MAXIFS(Tabelle5[[#This Row],[value_points]], Tabelle5[[#This Row],[company_id]],Tabelle18[[#This Row],[company_id]], Tabelle5[[#This Row],[value_id]], Tabelle18[[#This Row],[value_id]], Tabelle5[[#This Row],[value_present]],"1")</f>
        <v>0</v>
      </c>
    </row>
    <row r="254" spans="1:5" x14ac:dyDescent="0.25">
      <c r="A254">
        <v>15</v>
      </c>
      <c r="B254" s="22" t="s">
        <v>53</v>
      </c>
      <c r="C254" s="4">
        <f>IF(Tabelle18[[#This Row],[binding_level_company]]&gt;=1,1,0)</f>
        <v>0</v>
      </c>
      <c r="D254" s="4">
        <f>_xlfn.MAXIFS(Tabelle5[[#This Row],[binding_level]], Tabelle5[[#This Row],[company_id]],Tabelle18[[#This Row],[company_id]], Tabelle5[[#This Row],[value_id]], Tabelle18[[#This Row],[value_id]], Tabelle5[[#This Row],[value_present]],"1")</f>
        <v>0</v>
      </c>
      <c r="E254" s="4">
        <f>_xlfn.MAXIFS(Tabelle5[[#This Row],[value_points]], Tabelle5[[#This Row],[company_id]],Tabelle18[[#This Row],[company_id]], Tabelle5[[#This Row],[value_id]], Tabelle18[[#This Row],[value_id]], Tabelle5[[#This Row],[value_present]],"1")</f>
        <v>0</v>
      </c>
    </row>
    <row r="255" spans="1:5" x14ac:dyDescent="0.25">
      <c r="A255">
        <v>15</v>
      </c>
      <c r="B255" t="s">
        <v>61</v>
      </c>
      <c r="C255" s="4">
        <f>IF(Tabelle18[[#This Row],[binding_level_company]]&gt;=1,1,0)</f>
        <v>0</v>
      </c>
      <c r="D255" s="4">
        <f>_xlfn.MAXIFS(Tabelle5[[#This Row],[binding_level]], Tabelle5[[#This Row],[company_id]],Tabelle18[[#This Row],[company_id]], Tabelle5[[#This Row],[value_id]], Tabelle18[[#This Row],[value_id]], Tabelle5[[#This Row],[value_present]],"1")</f>
        <v>0</v>
      </c>
      <c r="E255" s="4">
        <f>_xlfn.MAXIFS(Tabelle5[[#This Row],[value_points]], Tabelle5[[#This Row],[company_id]],Tabelle18[[#This Row],[company_id]], Tabelle5[[#This Row],[value_id]], Tabelle18[[#This Row],[value_id]], Tabelle5[[#This Row],[value_present]],"1")</f>
        <v>0</v>
      </c>
    </row>
    <row r="256" spans="1:5" x14ac:dyDescent="0.25">
      <c r="A256">
        <v>15</v>
      </c>
      <c r="B256" t="s">
        <v>69</v>
      </c>
      <c r="C256" s="4">
        <f>IF(Tabelle18[[#This Row],[binding_level_company]]&gt;=1,1,0)</f>
        <v>0</v>
      </c>
      <c r="D256" s="4">
        <f>_xlfn.MAXIFS(Tabelle5[[#This Row],[binding_level]], Tabelle5[[#This Row],[company_id]],Tabelle18[[#This Row],[company_id]], Tabelle5[[#This Row],[value_id]], Tabelle18[[#This Row],[value_id]], Tabelle5[[#This Row],[value_present]],"1")</f>
        <v>0</v>
      </c>
      <c r="E256" s="4">
        <f>_xlfn.MAXIFS(Tabelle5[[#This Row],[value_points]], Tabelle5[[#This Row],[company_id]],Tabelle18[[#This Row],[company_id]], Tabelle5[[#This Row],[value_id]], Tabelle18[[#This Row],[value_id]], Tabelle5[[#This Row],[value_present]],"1")</f>
        <v>0</v>
      </c>
    </row>
    <row r="257" spans="1:5" x14ac:dyDescent="0.25">
      <c r="A257">
        <v>15</v>
      </c>
      <c r="B257" t="s">
        <v>76</v>
      </c>
      <c r="C257" s="4">
        <f>IF(Tabelle18[[#This Row],[binding_level_company]]&gt;=1,1,0)</f>
        <v>0</v>
      </c>
      <c r="D257" s="4">
        <f>_xlfn.MAXIFS(Tabelle5[[#This Row],[binding_level]], Tabelle5[[#This Row],[company_id]],Tabelle18[[#This Row],[company_id]], Tabelle5[[#This Row],[value_id]], Tabelle18[[#This Row],[value_id]], Tabelle5[[#This Row],[value_present]],"1")</f>
        <v>0</v>
      </c>
      <c r="E257" s="4">
        <f>_xlfn.MAXIFS(Tabelle5[[#This Row],[value_points]], Tabelle5[[#This Row],[company_id]],Tabelle18[[#This Row],[company_id]], Tabelle5[[#This Row],[value_id]], Tabelle18[[#This Row],[value_id]], Tabelle5[[#This Row],[value_present]],"1")</f>
        <v>0</v>
      </c>
    </row>
    <row r="258" spans="1:5" x14ac:dyDescent="0.25">
      <c r="A258">
        <v>15</v>
      </c>
      <c r="B258" t="s">
        <v>83</v>
      </c>
      <c r="C258" s="4">
        <f>IF(Tabelle18[[#This Row],[binding_level_company]]&gt;=1,1,0)</f>
        <v>0</v>
      </c>
      <c r="D258" s="4">
        <f>_xlfn.MAXIFS(Tabelle5[[#This Row],[binding_level]], Tabelle5[[#This Row],[company_id]],Tabelle18[[#This Row],[company_id]], Tabelle5[[#This Row],[value_id]], Tabelle18[[#This Row],[value_id]], Tabelle5[[#This Row],[value_present]],"1")</f>
        <v>0</v>
      </c>
      <c r="E258" s="4">
        <f>_xlfn.MAXIFS(Tabelle5[[#This Row],[value_points]], Tabelle5[[#This Row],[company_id]],Tabelle18[[#This Row],[company_id]], Tabelle5[[#This Row],[value_id]], Tabelle18[[#This Row],[value_id]], Tabelle5[[#This Row],[value_present]],"1")</f>
        <v>0</v>
      </c>
    </row>
    <row r="259" spans="1:5" x14ac:dyDescent="0.25">
      <c r="A259">
        <v>15</v>
      </c>
      <c r="B259" t="s">
        <v>90</v>
      </c>
      <c r="C259" s="4">
        <f>IF(Tabelle18[[#This Row],[binding_level_company]]&gt;=1,1,0)</f>
        <v>0</v>
      </c>
      <c r="D259" s="4">
        <f>_xlfn.MAXIFS(Tabelle5[[#This Row],[binding_level]], Tabelle5[[#This Row],[company_id]],Tabelle18[[#This Row],[company_id]], Tabelle5[[#This Row],[value_id]], Tabelle18[[#This Row],[value_id]], Tabelle5[[#This Row],[value_present]],"1")</f>
        <v>0</v>
      </c>
      <c r="E259" s="4">
        <f>_xlfn.MAXIFS(Tabelle5[[#This Row],[value_points]], Tabelle5[[#This Row],[company_id]],Tabelle18[[#This Row],[company_id]], Tabelle5[[#This Row],[value_id]], Tabelle18[[#This Row],[value_id]], Tabelle5[[#This Row],[value_present]],"1")</f>
        <v>0</v>
      </c>
    </row>
    <row r="260" spans="1:5" x14ac:dyDescent="0.25">
      <c r="A260">
        <v>15</v>
      </c>
      <c r="B260" t="s">
        <v>98</v>
      </c>
      <c r="C260" s="4">
        <f>IF(Tabelle18[[#This Row],[binding_level_company]]&gt;=1,1,0)</f>
        <v>0</v>
      </c>
      <c r="D260" s="4">
        <f>_xlfn.MAXIFS(Tabelle5[[#This Row],[binding_level]], Tabelle5[[#This Row],[company_id]],Tabelle18[[#This Row],[company_id]], Tabelle5[[#This Row],[value_id]], Tabelle18[[#This Row],[value_id]], Tabelle5[[#This Row],[value_present]],"1")</f>
        <v>0</v>
      </c>
      <c r="E260" s="4">
        <f>_xlfn.MAXIFS(Tabelle5[[#This Row],[value_points]], Tabelle5[[#This Row],[company_id]],Tabelle18[[#This Row],[company_id]], Tabelle5[[#This Row],[value_id]], Tabelle18[[#This Row],[value_id]], Tabelle5[[#This Row],[value_present]],"1")</f>
        <v>0</v>
      </c>
    </row>
    <row r="261" spans="1:5" x14ac:dyDescent="0.25">
      <c r="A261">
        <v>15</v>
      </c>
      <c r="B261" t="s">
        <v>106</v>
      </c>
      <c r="C261" s="4">
        <f>IF(Tabelle18[[#This Row],[binding_level_company]]&gt;=1,1,0)</f>
        <v>0</v>
      </c>
      <c r="D261" s="4">
        <f>_xlfn.MAXIFS(Tabelle5[[#This Row],[binding_level]], Tabelle5[[#This Row],[company_id]],Tabelle18[[#This Row],[company_id]], Tabelle5[[#This Row],[value_id]], Tabelle18[[#This Row],[value_id]], Tabelle5[[#This Row],[value_present]],"1")</f>
        <v>0</v>
      </c>
      <c r="E261" s="4">
        <f>_xlfn.MAXIFS(Tabelle5[[#This Row],[value_points]], Tabelle5[[#This Row],[company_id]],Tabelle18[[#This Row],[company_id]], Tabelle5[[#This Row],[value_id]], Tabelle18[[#This Row],[value_id]], Tabelle5[[#This Row],[value_present]],"1")</f>
        <v>0</v>
      </c>
    </row>
    <row r="262" spans="1:5" x14ac:dyDescent="0.25">
      <c r="A262">
        <v>15</v>
      </c>
      <c r="B262" t="s">
        <v>112</v>
      </c>
      <c r="C262" s="4">
        <f>IF(Tabelle18[[#This Row],[binding_level_company]]&gt;=1,1,0)</f>
        <v>0</v>
      </c>
      <c r="D262" s="4">
        <f>_xlfn.MAXIFS(Tabelle5[[#This Row],[binding_level]], Tabelle5[[#This Row],[company_id]],Tabelle18[[#This Row],[company_id]], Tabelle5[[#This Row],[value_id]], Tabelle18[[#This Row],[value_id]], Tabelle5[[#This Row],[value_present]],"1")</f>
        <v>0</v>
      </c>
      <c r="E262" s="4">
        <f>_xlfn.MAXIFS(Tabelle5[[#This Row],[value_points]], Tabelle5[[#This Row],[company_id]],Tabelle18[[#This Row],[company_id]], Tabelle5[[#This Row],[value_id]], Tabelle18[[#This Row],[value_id]], Tabelle5[[#This Row],[value_present]],"1")</f>
        <v>0</v>
      </c>
    </row>
    <row r="263" spans="1:5" x14ac:dyDescent="0.25">
      <c r="A263">
        <v>15</v>
      </c>
      <c r="B263" t="s">
        <v>118</v>
      </c>
      <c r="C263" s="4">
        <f>IF(Tabelle18[[#This Row],[binding_level_company]]&gt;=1,1,0)</f>
        <v>0</v>
      </c>
      <c r="D263" s="4">
        <f>_xlfn.MAXIFS(Tabelle5[[#This Row],[binding_level]], Tabelle5[[#This Row],[company_id]],Tabelle18[[#This Row],[company_id]], Tabelle5[[#This Row],[value_id]], Tabelle18[[#This Row],[value_id]], Tabelle5[[#This Row],[value_present]],"1")</f>
        <v>0</v>
      </c>
      <c r="E263" s="4">
        <f>_xlfn.MAXIFS(Tabelle5[[#This Row],[value_points]], Tabelle5[[#This Row],[company_id]],Tabelle18[[#This Row],[company_id]], Tabelle5[[#This Row],[value_id]], Tabelle18[[#This Row],[value_id]], Tabelle5[[#This Row],[value_present]],"1")</f>
        <v>0</v>
      </c>
    </row>
    <row r="264" spans="1:5" x14ac:dyDescent="0.25">
      <c r="A264">
        <v>15</v>
      </c>
      <c r="B264" t="s">
        <v>125</v>
      </c>
      <c r="C264" s="4">
        <f>IF(Tabelle18[[#This Row],[binding_level_company]]&gt;=1,1,0)</f>
        <v>0</v>
      </c>
      <c r="D264" s="4">
        <f>_xlfn.MAXIFS(Tabelle5[[#This Row],[binding_level]], Tabelle5[[#This Row],[company_id]],Tabelle18[[#This Row],[company_id]], Tabelle5[[#This Row],[value_id]], Tabelle18[[#This Row],[value_id]], Tabelle5[[#This Row],[value_present]],"1")</f>
        <v>0</v>
      </c>
      <c r="E264" s="4">
        <f>_xlfn.MAXIFS(Tabelle5[[#This Row],[value_points]], Tabelle5[[#This Row],[company_id]],Tabelle18[[#This Row],[company_id]], Tabelle5[[#This Row],[value_id]], Tabelle18[[#This Row],[value_id]], Tabelle5[[#This Row],[value_present]],"1")</f>
        <v>0</v>
      </c>
    </row>
    <row r="265" spans="1:5" x14ac:dyDescent="0.25">
      <c r="A265">
        <v>15</v>
      </c>
      <c r="B265" t="s">
        <v>132</v>
      </c>
      <c r="C265" s="4">
        <f>IF(Tabelle18[[#This Row],[binding_level_company]]&gt;=1,1,0)</f>
        <v>0</v>
      </c>
      <c r="D265" s="4">
        <f>_xlfn.MAXIFS(Tabelle5[[#This Row],[binding_level]], Tabelle5[[#This Row],[company_id]],Tabelle18[[#This Row],[company_id]], Tabelle5[[#This Row],[value_id]], Tabelle18[[#This Row],[value_id]], Tabelle5[[#This Row],[value_present]],"1")</f>
        <v>0</v>
      </c>
      <c r="E265" s="4">
        <f>_xlfn.MAXIFS(Tabelle5[[#This Row],[value_points]], Tabelle5[[#This Row],[company_id]],Tabelle18[[#This Row],[company_id]], Tabelle5[[#This Row],[value_id]], Tabelle18[[#This Row],[value_id]], Tabelle5[[#This Row],[value_present]],"1")</f>
        <v>0</v>
      </c>
    </row>
    <row r="266" spans="1:5" x14ac:dyDescent="0.25">
      <c r="A266">
        <v>15</v>
      </c>
      <c r="B266" t="s">
        <v>140</v>
      </c>
      <c r="C266" s="4">
        <f>IF(Tabelle18[[#This Row],[binding_level_company]]&gt;=1,1,0)</f>
        <v>0</v>
      </c>
      <c r="D266" s="4">
        <f>_xlfn.MAXIFS(Tabelle5[[#This Row],[binding_level]], Tabelle5[[#This Row],[company_id]],Tabelle18[[#This Row],[company_id]], Tabelle5[[#This Row],[value_id]], Tabelle18[[#This Row],[value_id]], Tabelle5[[#This Row],[value_present]],"1")</f>
        <v>0</v>
      </c>
      <c r="E266" s="4">
        <f>_xlfn.MAXIFS(Tabelle5[[#This Row],[value_points]], Tabelle5[[#This Row],[company_id]],Tabelle18[[#This Row],[company_id]], Tabelle5[[#This Row],[value_id]], Tabelle18[[#This Row],[value_id]], Tabelle5[[#This Row],[value_present]],"1")</f>
        <v>0</v>
      </c>
    </row>
    <row r="267" spans="1:5" x14ac:dyDescent="0.25">
      <c r="A267">
        <v>15</v>
      </c>
      <c r="B267" t="s">
        <v>147</v>
      </c>
      <c r="C267" s="4">
        <f>IF(Tabelle18[[#This Row],[binding_level_company]]&gt;=1,1,0)</f>
        <v>0</v>
      </c>
      <c r="D267" s="4">
        <f>_xlfn.MAXIFS(Tabelle5[[#This Row],[binding_level]], Tabelle5[[#This Row],[company_id]],Tabelle18[[#This Row],[company_id]], Tabelle5[[#This Row],[value_id]], Tabelle18[[#This Row],[value_id]], Tabelle5[[#This Row],[value_present]],"1")</f>
        <v>0</v>
      </c>
      <c r="E267" s="4">
        <f>_xlfn.MAXIFS(Tabelle5[[#This Row],[value_points]], Tabelle5[[#This Row],[company_id]],Tabelle18[[#This Row],[company_id]], Tabelle5[[#This Row],[value_id]], Tabelle18[[#This Row],[value_id]], Tabelle5[[#This Row],[value_present]],"1")</f>
        <v>0</v>
      </c>
    </row>
    <row r="268" spans="1:5" x14ac:dyDescent="0.25">
      <c r="A268">
        <v>15</v>
      </c>
      <c r="B268" t="s">
        <v>154</v>
      </c>
      <c r="C268" s="4">
        <f>IF(Tabelle18[[#This Row],[binding_level_company]]&gt;=1,1,0)</f>
        <v>0</v>
      </c>
      <c r="D268" s="4">
        <f>_xlfn.MAXIFS(Tabelle5[[#This Row],[binding_level]], Tabelle5[[#This Row],[company_id]],Tabelle18[[#This Row],[company_id]], Tabelle5[[#This Row],[value_id]], Tabelle18[[#This Row],[value_id]], Tabelle5[[#This Row],[value_present]],"1")</f>
        <v>0</v>
      </c>
      <c r="E268" s="4">
        <f>_xlfn.MAXIFS(Tabelle5[[#This Row],[value_points]], Tabelle5[[#This Row],[company_id]],Tabelle18[[#This Row],[company_id]], Tabelle5[[#This Row],[value_id]], Tabelle18[[#This Row],[value_id]], Tabelle5[[#This Row],[value_present]],"1")</f>
        <v>0</v>
      </c>
    </row>
    <row r="269" spans="1:5" x14ac:dyDescent="0.25">
      <c r="A269">
        <v>15</v>
      </c>
      <c r="B269" t="s">
        <v>161</v>
      </c>
      <c r="C269" s="4">
        <f>IF(Tabelle18[[#This Row],[binding_level_company]]&gt;=1,1,0)</f>
        <v>0</v>
      </c>
      <c r="D269" s="4">
        <f>_xlfn.MAXIFS(Tabelle5[[#This Row],[binding_level]], Tabelle5[[#This Row],[company_id]],Tabelle18[[#This Row],[company_id]], Tabelle5[[#This Row],[value_id]], Tabelle18[[#This Row],[value_id]], Tabelle5[[#This Row],[value_present]],"1")</f>
        <v>0</v>
      </c>
      <c r="E269" s="4">
        <f>_xlfn.MAXIFS(Tabelle5[[#This Row],[value_points]], Tabelle5[[#This Row],[company_id]],Tabelle18[[#This Row],[company_id]], Tabelle5[[#This Row],[value_id]], Tabelle18[[#This Row],[value_id]], Tabelle5[[#This Row],[value_present]],"1")</f>
        <v>0</v>
      </c>
    </row>
    <row r="270" spans="1:5" x14ac:dyDescent="0.25">
      <c r="A270">
        <v>15</v>
      </c>
      <c r="B270" t="s">
        <v>166</v>
      </c>
      <c r="C270" s="4">
        <f>IF(Tabelle18[[#This Row],[binding_level_company]]&gt;=1,1,0)</f>
        <v>0</v>
      </c>
      <c r="D270" s="4">
        <f>_xlfn.MAXIFS(Tabelle5[[#This Row],[binding_level]], Tabelle5[[#This Row],[company_id]],Tabelle18[[#This Row],[company_id]], Tabelle5[[#This Row],[value_id]], Tabelle18[[#This Row],[value_id]], Tabelle5[[#This Row],[value_present]],"1")</f>
        <v>0</v>
      </c>
      <c r="E270" s="4">
        <f>_xlfn.MAXIFS(Tabelle5[[#This Row],[value_points]], Tabelle5[[#This Row],[company_id]],Tabelle18[[#This Row],[company_id]], Tabelle5[[#This Row],[value_id]], Tabelle18[[#This Row],[value_id]], Tabelle5[[#This Row],[value_present]],"1")</f>
        <v>0</v>
      </c>
    </row>
    <row r="271" spans="1:5" ht="15.75" thickBot="1" x14ac:dyDescent="0.3">
      <c r="A271">
        <v>15</v>
      </c>
      <c r="B271" s="30" t="s">
        <v>174</v>
      </c>
      <c r="C271" s="4">
        <f>IF(Tabelle18[[#This Row],[binding_level_company]]&gt;=1,1,0)</f>
        <v>0</v>
      </c>
      <c r="D271" s="4">
        <f>_xlfn.MAXIFS(Tabelle5[[#This Row],[binding_level]], Tabelle5[[#This Row],[company_id]],Tabelle18[[#This Row],[company_id]], Tabelle5[[#This Row],[value_id]], Tabelle18[[#This Row],[value_id]], Tabelle5[[#This Row],[value_present]],"1")</f>
        <v>0</v>
      </c>
      <c r="E271" s="4">
        <f>_xlfn.MAXIFS(Tabelle5[[#This Row],[value_points]], Tabelle5[[#This Row],[company_id]],Tabelle18[[#This Row],[company_id]], Tabelle5[[#This Row],[value_id]], Tabelle18[[#This Row],[value_id]], Tabelle5[[#This Row],[value_present]],"1")</f>
        <v>0</v>
      </c>
    </row>
    <row r="272" spans="1:5" x14ac:dyDescent="0.25">
      <c r="A272">
        <v>16</v>
      </c>
      <c r="B272" s="22" t="s">
        <v>53</v>
      </c>
      <c r="C272" s="4">
        <f>IF(Tabelle18[[#This Row],[binding_level_company]]&gt;=1,1,0)</f>
        <v>0</v>
      </c>
      <c r="D272" s="4">
        <f>_xlfn.MAXIFS(Tabelle5[[#This Row],[binding_level]], Tabelle5[[#This Row],[company_id]],Tabelle18[[#This Row],[company_id]], Tabelle5[[#This Row],[value_id]], Tabelle18[[#This Row],[value_id]], Tabelle5[[#This Row],[value_present]],"1")</f>
        <v>0</v>
      </c>
      <c r="E272" s="4">
        <f>_xlfn.MAXIFS(Tabelle5[[#This Row],[value_points]], Tabelle5[[#This Row],[company_id]],Tabelle18[[#This Row],[company_id]], Tabelle5[[#This Row],[value_id]], Tabelle18[[#This Row],[value_id]], Tabelle5[[#This Row],[value_present]],"1")</f>
        <v>0</v>
      </c>
    </row>
    <row r="273" spans="1:5" x14ac:dyDescent="0.25">
      <c r="A273">
        <v>16</v>
      </c>
      <c r="B273" t="s">
        <v>61</v>
      </c>
      <c r="C273" s="4">
        <f>IF(Tabelle18[[#This Row],[binding_level_company]]&gt;=1,1,0)</f>
        <v>0</v>
      </c>
      <c r="D273" s="4">
        <f>_xlfn.MAXIFS(Tabelle5[[#This Row],[binding_level]], Tabelle5[[#This Row],[company_id]],Tabelle18[[#This Row],[company_id]], Tabelle5[[#This Row],[value_id]], Tabelle18[[#This Row],[value_id]], Tabelle5[[#This Row],[value_present]],"1")</f>
        <v>0</v>
      </c>
      <c r="E273" s="4">
        <f>_xlfn.MAXIFS(Tabelle5[[#This Row],[value_points]], Tabelle5[[#This Row],[company_id]],Tabelle18[[#This Row],[company_id]], Tabelle5[[#This Row],[value_id]], Tabelle18[[#This Row],[value_id]], Tabelle5[[#This Row],[value_present]],"1")</f>
        <v>0</v>
      </c>
    </row>
    <row r="274" spans="1:5" x14ac:dyDescent="0.25">
      <c r="A274">
        <v>16</v>
      </c>
      <c r="B274" t="s">
        <v>69</v>
      </c>
      <c r="C274" s="4">
        <f>IF(Tabelle18[[#This Row],[binding_level_company]]&gt;=1,1,0)</f>
        <v>0</v>
      </c>
      <c r="D274" s="4">
        <f>_xlfn.MAXIFS(Tabelle5[[#This Row],[binding_level]], Tabelle5[[#This Row],[company_id]],Tabelle18[[#This Row],[company_id]], Tabelle5[[#This Row],[value_id]], Tabelle18[[#This Row],[value_id]], Tabelle5[[#This Row],[value_present]],"1")</f>
        <v>0</v>
      </c>
      <c r="E274" s="4">
        <f>_xlfn.MAXIFS(Tabelle5[[#This Row],[value_points]], Tabelle5[[#This Row],[company_id]],Tabelle18[[#This Row],[company_id]], Tabelle5[[#This Row],[value_id]], Tabelle18[[#This Row],[value_id]], Tabelle5[[#This Row],[value_present]],"1")</f>
        <v>0</v>
      </c>
    </row>
    <row r="275" spans="1:5" x14ac:dyDescent="0.25">
      <c r="A275">
        <v>16</v>
      </c>
      <c r="B275" t="s">
        <v>76</v>
      </c>
      <c r="C275" s="4">
        <f>IF(Tabelle18[[#This Row],[binding_level_company]]&gt;=1,1,0)</f>
        <v>0</v>
      </c>
      <c r="D275" s="4">
        <f>_xlfn.MAXIFS(Tabelle5[[#This Row],[binding_level]], Tabelle5[[#This Row],[company_id]],Tabelle18[[#This Row],[company_id]], Tabelle5[[#This Row],[value_id]], Tabelle18[[#This Row],[value_id]], Tabelle5[[#This Row],[value_present]],"1")</f>
        <v>0</v>
      </c>
      <c r="E275" s="4">
        <f>_xlfn.MAXIFS(Tabelle5[[#This Row],[value_points]], Tabelle5[[#This Row],[company_id]],Tabelle18[[#This Row],[company_id]], Tabelle5[[#This Row],[value_id]], Tabelle18[[#This Row],[value_id]], Tabelle5[[#This Row],[value_present]],"1")</f>
        <v>0</v>
      </c>
    </row>
    <row r="276" spans="1:5" x14ac:dyDescent="0.25">
      <c r="A276">
        <v>16</v>
      </c>
      <c r="B276" t="s">
        <v>83</v>
      </c>
      <c r="C276" s="4">
        <f>IF(Tabelle18[[#This Row],[binding_level_company]]&gt;=1,1,0)</f>
        <v>0</v>
      </c>
      <c r="D276" s="4">
        <f>_xlfn.MAXIFS(Tabelle5[[#This Row],[binding_level]], Tabelle5[[#This Row],[company_id]],Tabelle18[[#This Row],[company_id]], Tabelle5[[#This Row],[value_id]], Tabelle18[[#This Row],[value_id]], Tabelle5[[#This Row],[value_present]],"1")</f>
        <v>0</v>
      </c>
      <c r="E276" s="4">
        <f>_xlfn.MAXIFS(Tabelle5[[#This Row],[value_points]], Tabelle5[[#This Row],[company_id]],Tabelle18[[#This Row],[company_id]], Tabelle5[[#This Row],[value_id]], Tabelle18[[#This Row],[value_id]], Tabelle5[[#This Row],[value_present]],"1")</f>
        <v>0</v>
      </c>
    </row>
    <row r="277" spans="1:5" x14ac:dyDescent="0.25">
      <c r="A277">
        <v>16</v>
      </c>
      <c r="B277" t="s">
        <v>90</v>
      </c>
      <c r="C277" s="4">
        <f>IF(Tabelle18[[#This Row],[binding_level_company]]&gt;=1,1,0)</f>
        <v>0</v>
      </c>
      <c r="D277" s="4">
        <f>_xlfn.MAXIFS(Tabelle5[[#This Row],[binding_level]], Tabelle5[[#This Row],[company_id]],Tabelle18[[#This Row],[company_id]], Tabelle5[[#This Row],[value_id]], Tabelle18[[#This Row],[value_id]], Tabelle5[[#This Row],[value_present]],"1")</f>
        <v>0</v>
      </c>
      <c r="E277" s="4">
        <f>_xlfn.MAXIFS(Tabelle5[[#This Row],[value_points]], Tabelle5[[#This Row],[company_id]],Tabelle18[[#This Row],[company_id]], Tabelle5[[#This Row],[value_id]], Tabelle18[[#This Row],[value_id]], Tabelle5[[#This Row],[value_present]],"1")</f>
        <v>0</v>
      </c>
    </row>
    <row r="278" spans="1:5" x14ac:dyDescent="0.25">
      <c r="A278">
        <v>16</v>
      </c>
      <c r="B278" t="s">
        <v>98</v>
      </c>
      <c r="C278" s="4">
        <f>IF(Tabelle18[[#This Row],[binding_level_company]]&gt;=1,1,0)</f>
        <v>0</v>
      </c>
      <c r="D278" s="4">
        <f>_xlfn.MAXIFS(Tabelle5[[#This Row],[binding_level]], Tabelle5[[#This Row],[company_id]],Tabelle18[[#This Row],[company_id]], Tabelle5[[#This Row],[value_id]], Tabelle18[[#This Row],[value_id]], Tabelle5[[#This Row],[value_present]],"1")</f>
        <v>0</v>
      </c>
      <c r="E278" s="4">
        <f>_xlfn.MAXIFS(Tabelle5[[#This Row],[value_points]], Tabelle5[[#This Row],[company_id]],Tabelle18[[#This Row],[company_id]], Tabelle5[[#This Row],[value_id]], Tabelle18[[#This Row],[value_id]], Tabelle5[[#This Row],[value_present]],"1")</f>
        <v>0</v>
      </c>
    </row>
    <row r="279" spans="1:5" x14ac:dyDescent="0.25">
      <c r="A279">
        <v>16</v>
      </c>
      <c r="B279" t="s">
        <v>106</v>
      </c>
      <c r="C279" s="4">
        <f>IF(Tabelle18[[#This Row],[binding_level_company]]&gt;=1,1,0)</f>
        <v>0</v>
      </c>
      <c r="D279" s="4">
        <f>_xlfn.MAXIFS(Tabelle5[[#This Row],[binding_level]], Tabelle5[[#This Row],[company_id]],Tabelle18[[#This Row],[company_id]], Tabelle5[[#This Row],[value_id]], Tabelle18[[#This Row],[value_id]], Tabelle5[[#This Row],[value_present]],"1")</f>
        <v>0</v>
      </c>
      <c r="E279" s="4">
        <f>_xlfn.MAXIFS(Tabelle5[[#This Row],[value_points]], Tabelle5[[#This Row],[company_id]],Tabelle18[[#This Row],[company_id]], Tabelle5[[#This Row],[value_id]], Tabelle18[[#This Row],[value_id]], Tabelle5[[#This Row],[value_present]],"1")</f>
        <v>0</v>
      </c>
    </row>
    <row r="280" spans="1:5" x14ac:dyDescent="0.25">
      <c r="A280">
        <v>16</v>
      </c>
      <c r="B280" t="s">
        <v>112</v>
      </c>
      <c r="C280" s="4">
        <f>IF(Tabelle18[[#This Row],[binding_level_company]]&gt;=1,1,0)</f>
        <v>0</v>
      </c>
      <c r="D280" s="4">
        <f>_xlfn.MAXIFS(Tabelle5[[#This Row],[binding_level]], Tabelle5[[#This Row],[company_id]],Tabelle18[[#This Row],[company_id]], Tabelle5[[#This Row],[value_id]], Tabelle18[[#This Row],[value_id]], Tabelle5[[#This Row],[value_present]],"1")</f>
        <v>0</v>
      </c>
      <c r="E280" s="4">
        <f>_xlfn.MAXIFS(Tabelle5[[#This Row],[value_points]], Tabelle5[[#This Row],[company_id]],Tabelle18[[#This Row],[company_id]], Tabelle5[[#This Row],[value_id]], Tabelle18[[#This Row],[value_id]], Tabelle5[[#This Row],[value_present]],"1")</f>
        <v>0</v>
      </c>
    </row>
    <row r="281" spans="1:5" x14ac:dyDescent="0.25">
      <c r="A281">
        <v>16</v>
      </c>
      <c r="B281" t="s">
        <v>118</v>
      </c>
      <c r="C281" s="4">
        <f>IF(Tabelle18[[#This Row],[binding_level_company]]&gt;=1,1,0)</f>
        <v>0</v>
      </c>
      <c r="D281" s="4">
        <f>_xlfn.MAXIFS(Tabelle5[[#This Row],[binding_level]], Tabelle5[[#This Row],[company_id]],Tabelle18[[#This Row],[company_id]], Tabelle5[[#This Row],[value_id]], Tabelle18[[#This Row],[value_id]], Tabelle5[[#This Row],[value_present]],"1")</f>
        <v>0</v>
      </c>
      <c r="E281" s="4">
        <f>_xlfn.MAXIFS(Tabelle5[[#This Row],[value_points]], Tabelle5[[#This Row],[company_id]],Tabelle18[[#This Row],[company_id]], Tabelle5[[#This Row],[value_id]], Tabelle18[[#This Row],[value_id]], Tabelle5[[#This Row],[value_present]],"1")</f>
        <v>0</v>
      </c>
    </row>
    <row r="282" spans="1:5" x14ac:dyDescent="0.25">
      <c r="A282">
        <v>16</v>
      </c>
      <c r="B282" t="s">
        <v>125</v>
      </c>
      <c r="C282" s="4">
        <f>IF(Tabelle18[[#This Row],[binding_level_company]]&gt;=1,1,0)</f>
        <v>0</v>
      </c>
      <c r="D282" s="4">
        <f>_xlfn.MAXIFS(Tabelle5[[#This Row],[binding_level]], Tabelle5[[#This Row],[company_id]],Tabelle18[[#This Row],[company_id]], Tabelle5[[#This Row],[value_id]], Tabelle18[[#This Row],[value_id]], Tabelle5[[#This Row],[value_present]],"1")</f>
        <v>0</v>
      </c>
      <c r="E282" s="4">
        <f>_xlfn.MAXIFS(Tabelle5[[#This Row],[value_points]], Tabelle5[[#This Row],[company_id]],Tabelle18[[#This Row],[company_id]], Tabelle5[[#This Row],[value_id]], Tabelle18[[#This Row],[value_id]], Tabelle5[[#This Row],[value_present]],"1")</f>
        <v>0</v>
      </c>
    </row>
    <row r="283" spans="1:5" x14ac:dyDescent="0.25">
      <c r="A283">
        <v>16</v>
      </c>
      <c r="B283" t="s">
        <v>132</v>
      </c>
      <c r="C283" s="4">
        <f>IF(Tabelle18[[#This Row],[binding_level_company]]&gt;=1,1,0)</f>
        <v>0</v>
      </c>
      <c r="D283" s="4">
        <f>_xlfn.MAXIFS(Tabelle5[[#This Row],[binding_level]], Tabelle5[[#This Row],[company_id]],Tabelle18[[#This Row],[company_id]], Tabelle5[[#This Row],[value_id]], Tabelle18[[#This Row],[value_id]], Tabelle5[[#This Row],[value_present]],"1")</f>
        <v>0</v>
      </c>
      <c r="E283" s="4">
        <f>_xlfn.MAXIFS(Tabelle5[[#This Row],[value_points]], Tabelle5[[#This Row],[company_id]],Tabelle18[[#This Row],[company_id]], Tabelle5[[#This Row],[value_id]], Tabelle18[[#This Row],[value_id]], Tabelle5[[#This Row],[value_present]],"1")</f>
        <v>0</v>
      </c>
    </row>
    <row r="284" spans="1:5" x14ac:dyDescent="0.25">
      <c r="A284">
        <v>16</v>
      </c>
      <c r="B284" t="s">
        <v>140</v>
      </c>
      <c r="C284" s="4">
        <f>IF(Tabelle18[[#This Row],[binding_level_company]]&gt;=1,1,0)</f>
        <v>0</v>
      </c>
      <c r="D284" s="4">
        <f>_xlfn.MAXIFS(Tabelle5[[#This Row],[binding_level]], Tabelle5[[#This Row],[company_id]],Tabelle18[[#This Row],[company_id]], Tabelle5[[#This Row],[value_id]], Tabelle18[[#This Row],[value_id]], Tabelle5[[#This Row],[value_present]],"1")</f>
        <v>0</v>
      </c>
      <c r="E284" s="4">
        <f>_xlfn.MAXIFS(Tabelle5[[#This Row],[value_points]], Tabelle5[[#This Row],[company_id]],Tabelle18[[#This Row],[company_id]], Tabelle5[[#This Row],[value_id]], Tabelle18[[#This Row],[value_id]], Tabelle5[[#This Row],[value_present]],"1")</f>
        <v>0</v>
      </c>
    </row>
    <row r="285" spans="1:5" x14ac:dyDescent="0.25">
      <c r="A285">
        <v>16</v>
      </c>
      <c r="B285" t="s">
        <v>147</v>
      </c>
      <c r="C285" s="4">
        <f>IF(Tabelle18[[#This Row],[binding_level_company]]&gt;=1,1,0)</f>
        <v>0</v>
      </c>
      <c r="D285" s="4">
        <f>_xlfn.MAXIFS(Tabelle5[[#This Row],[binding_level]], Tabelle5[[#This Row],[company_id]],Tabelle18[[#This Row],[company_id]], Tabelle5[[#This Row],[value_id]], Tabelle18[[#This Row],[value_id]], Tabelle5[[#This Row],[value_present]],"1")</f>
        <v>0</v>
      </c>
      <c r="E285" s="4">
        <f>_xlfn.MAXIFS(Tabelle5[[#This Row],[value_points]], Tabelle5[[#This Row],[company_id]],Tabelle18[[#This Row],[company_id]], Tabelle5[[#This Row],[value_id]], Tabelle18[[#This Row],[value_id]], Tabelle5[[#This Row],[value_present]],"1")</f>
        <v>0</v>
      </c>
    </row>
    <row r="286" spans="1:5" x14ac:dyDescent="0.25">
      <c r="A286">
        <v>16</v>
      </c>
      <c r="B286" t="s">
        <v>154</v>
      </c>
      <c r="C286" s="4">
        <f>IF(Tabelle18[[#This Row],[binding_level_company]]&gt;=1,1,0)</f>
        <v>0</v>
      </c>
      <c r="D286" s="4">
        <f>_xlfn.MAXIFS(Tabelle5[[#This Row],[binding_level]], Tabelle5[[#This Row],[company_id]],Tabelle18[[#This Row],[company_id]], Tabelle5[[#This Row],[value_id]], Tabelle18[[#This Row],[value_id]], Tabelle5[[#This Row],[value_present]],"1")</f>
        <v>0</v>
      </c>
      <c r="E286" s="4">
        <f>_xlfn.MAXIFS(Tabelle5[[#This Row],[value_points]], Tabelle5[[#This Row],[company_id]],Tabelle18[[#This Row],[company_id]], Tabelle5[[#This Row],[value_id]], Tabelle18[[#This Row],[value_id]], Tabelle5[[#This Row],[value_present]],"1")</f>
        <v>0</v>
      </c>
    </row>
    <row r="287" spans="1:5" x14ac:dyDescent="0.25">
      <c r="A287">
        <v>16</v>
      </c>
      <c r="B287" t="s">
        <v>161</v>
      </c>
      <c r="C287" s="4">
        <f>IF(Tabelle18[[#This Row],[binding_level_company]]&gt;=1,1,0)</f>
        <v>0</v>
      </c>
      <c r="D287" s="4">
        <f>_xlfn.MAXIFS(Tabelle5[[#This Row],[binding_level]], Tabelle5[[#This Row],[company_id]],Tabelle18[[#This Row],[company_id]], Tabelle5[[#This Row],[value_id]], Tabelle18[[#This Row],[value_id]], Tabelle5[[#This Row],[value_present]],"1")</f>
        <v>0</v>
      </c>
      <c r="E287" s="4">
        <f>_xlfn.MAXIFS(Tabelle5[[#This Row],[value_points]], Tabelle5[[#This Row],[company_id]],Tabelle18[[#This Row],[company_id]], Tabelle5[[#This Row],[value_id]], Tabelle18[[#This Row],[value_id]], Tabelle5[[#This Row],[value_present]],"1")</f>
        <v>0</v>
      </c>
    </row>
    <row r="288" spans="1:5" x14ac:dyDescent="0.25">
      <c r="A288">
        <v>16</v>
      </c>
      <c r="B288" t="s">
        <v>166</v>
      </c>
      <c r="C288" s="4">
        <f>IF(Tabelle18[[#This Row],[binding_level_company]]&gt;=1,1,0)</f>
        <v>0</v>
      </c>
      <c r="D288" s="4">
        <f>_xlfn.MAXIFS(Tabelle5[[#This Row],[binding_level]], Tabelle5[[#This Row],[company_id]],Tabelle18[[#This Row],[company_id]], Tabelle5[[#This Row],[value_id]], Tabelle18[[#This Row],[value_id]], Tabelle5[[#This Row],[value_present]],"1")</f>
        <v>0</v>
      </c>
      <c r="E288" s="4">
        <f>_xlfn.MAXIFS(Tabelle5[[#This Row],[value_points]], Tabelle5[[#This Row],[company_id]],Tabelle18[[#This Row],[company_id]], Tabelle5[[#This Row],[value_id]], Tabelle18[[#This Row],[value_id]], Tabelle5[[#This Row],[value_present]],"1")</f>
        <v>0</v>
      </c>
    </row>
    <row r="289" spans="1:5" ht="15.75" thickBot="1" x14ac:dyDescent="0.3">
      <c r="A289">
        <v>16</v>
      </c>
      <c r="B289" s="30" t="s">
        <v>174</v>
      </c>
      <c r="C289" s="4">
        <f>IF(Tabelle18[[#This Row],[binding_level_company]]&gt;=1,1,0)</f>
        <v>0</v>
      </c>
      <c r="D289" s="4">
        <f>_xlfn.MAXIFS(Tabelle5[[#This Row],[binding_level]], Tabelle5[[#This Row],[company_id]],Tabelle18[[#This Row],[company_id]], Tabelle5[[#This Row],[value_id]], Tabelle18[[#This Row],[value_id]], Tabelle5[[#This Row],[value_present]],"1")</f>
        <v>0</v>
      </c>
      <c r="E289" s="4">
        <f>_xlfn.MAXIFS(Tabelle5[[#This Row],[value_points]], Tabelle5[[#This Row],[company_id]],Tabelle18[[#This Row],[company_id]], Tabelle5[[#This Row],[value_id]], Tabelle18[[#This Row],[value_id]], Tabelle5[[#This Row],[value_present]],"1")</f>
        <v>0</v>
      </c>
    </row>
    <row r="290" spans="1:5" x14ac:dyDescent="0.25">
      <c r="A290">
        <v>17</v>
      </c>
      <c r="B290" s="22" t="s">
        <v>53</v>
      </c>
      <c r="C290" s="4">
        <f>IF(Tabelle18[[#This Row],[binding_level_company]]&gt;=1,1,0)</f>
        <v>0</v>
      </c>
      <c r="D290" s="4">
        <f>_xlfn.MAXIFS(Tabelle5[[#This Row],[binding_level]], Tabelle5[[#This Row],[company_id]],Tabelle18[[#This Row],[company_id]], Tabelle5[[#This Row],[value_id]], Tabelle18[[#This Row],[value_id]], Tabelle5[[#This Row],[value_present]],"1")</f>
        <v>0</v>
      </c>
      <c r="E290" s="4">
        <f>_xlfn.MAXIFS(Tabelle5[[#This Row],[value_points]], Tabelle5[[#This Row],[company_id]],Tabelle18[[#This Row],[company_id]], Tabelle5[[#This Row],[value_id]], Tabelle18[[#This Row],[value_id]], Tabelle5[[#This Row],[value_present]],"1")</f>
        <v>0</v>
      </c>
    </row>
    <row r="291" spans="1:5" x14ac:dyDescent="0.25">
      <c r="A291">
        <v>17</v>
      </c>
      <c r="B291" t="s">
        <v>61</v>
      </c>
      <c r="C291" s="4">
        <f>IF(Tabelle18[[#This Row],[binding_level_company]]&gt;=1,1,0)</f>
        <v>0</v>
      </c>
      <c r="D291" s="4">
        <f>_xlfn.MAXIFS(Tabelle5[[#This Row],[binding_level]], Tabelle5[[#This Row],[company_id]],Tabelle18[[#This Row],[company_id]], Tabelle5[[#This Row],[value_id]], Tabelle18[[#This Row],[value_id]], Tabelle5[[#This Row],[value_present]],"1")</f>
        <v>0</v>
      </c>
      <c r="E291" s="4">
        <f>_xlfn.MAXIFS(Tabelle5[[#This Row],[value_points]], Tabelle5[[#This Row],[company_id]],Tabelle18[[#This Row],[company_id]], Tabelle5[[#This Row],[value_id]], Tabelle18[[#This Row],[value_id]], Tabelle5[[#This Row],[value_present]],"1")</f>
        <v>0</v>
      </c>
    </row>
    <row r="292" spans="1:5" x14ac:dyDescent="0.25">
      <c r="A292">
        <v>17</v>
      </c>
      <c r="B292" t="s">
        <v>69</v>
      </c>
      <c r="C292" s="4">
        <f>IF(Tabelle18[[#This Row],[binding_level_company]]&gt;=1,1,0)</f>
        <v>0</v>
      </c>
      <c r="D292" s="4">
        <f>_xlfn.MAXIFS(Tabelle5[[#This Row],[binding_level]], Tabelle5[[#This Row],[company_id]],Tabelle18[[#This Row],[company_id]], Tabelle5[[#This Row],[value_id]], Tabelle18[[#This Row],[value_id]], Tabelle5[[#This Row],[value_present]],"1")</f>
        <v>0</v>
      </c>
      <c r="E292" s="4">
        <f>_xlfn.MAXIFS(Tabelle5[[#This Row],[value_points]], Tabelle5[[#This Row],[company_id]],Tabelle18[[#This Row],[company_id]], Tabelle5[[#This Row],[value_id]], Tabelle18[[#This Row],[value_id]], Tabelle5[[#This Row],[value_present]],"1")</f>
        <v>0</v>
      </c>
    </row>
    <row r="293" spans="1:5" x14ac:dyDescent="0.25">
      <c r="A293">
        <v>17</v>
      </c>
      <c r="B293" t="s">
        <v>76</v>
      </c>
      <c r="C293" s="4">
        <f>IF(Tabelle18[[#This Row],[binding_level_company]]&gt;=1,1,0)</f>
        <v>0</v>
      </c>
      <c r="D293" s="4">
        <f>_xlfn.MAXIFS(Tabelle5[[#This Row],[binding_level]], Tabelle5[[#This Row],[company_id]],Tabelle18[[#This Row],[company_id]], Tabelle5[[#This Row],[value_id]], Tabelle18[[#This Row],[value_id]], Tabelle5[[#This Row],[value_present]],"1")</f>
        <v>0</v>
      </c>
      <c r="E293" s="4">
        <f>_xlfn.MAXIFS(Tabelle5[[#This Row],[value_points]], Tabelle5[[#This Row],[company_id]],Tabelle18[[#This Row],[company_id]], Tabelle5[[#This Row],[value_id]], Tabelle18[[#This Row],[value_id]], Tabelle5[[#This Row],[value_present]],"1")</f>
        <v>0</v>
      </c>
    </row>
    <row r="294" spans="1:5" x14ac:dyDescent="0.25">
      <c r="A294">
        <v>17</v>
      </c>
      <c r="B294" t="s">
        <v>83</v>
      </c>
      <c r="C294" s="4">
        <f>IF(Tabelle18[[#This Row],[binding_level_company]]&gt;=1,1,0)</f>
        <v>0</v>
      </c>
      <c r="D294" s="4">
        <f>_xlfn.MAXIFS(Tabelle5[[#This Row],[binding_level]], Tabelle5[[#This Row],[company_id]],Tabelle18[[#This Row],[company_id]], Tabelle5[[#This Row],[value_id]], Tabelle18[[#This Row],[value_id]], Tabelle5[[#This Row],[value_present]],"1")</f>
        <v>0</v>
      </c>
      <c r="E294" s="4">
        <f>_xlfn.MAXIFS(Tabelle5[[#This Row],[value_points]], Tabelle5[[#This Row],[company_id]],Tabelle18[[#This Row],[company_id]], Tabelle5[[#This Row],[value_id]], Tabelle18[[#This Row],[value_id]], Tabelle5[[#This Row],[value_present]],"1")</f>
        <v>0</v>
      </c>
    </row>
    <row r="295" spans="1:5" x14ac:dyDescent="0.25">
      <c r="A295">
        <v>17</v>
      </c>
      <c r="B295" t="s">
        <v>90</v>
      </c>
      <c r="C295" s="4">
        <f>IF(Tabelle18[[#This Row],[binding_level_company]]&gt;=1,1,0)</f>
        <v>0</v>
      </c>
      <c r="D295" s="4">
        <f>_xlfn.MAXIFS(Tabelle5[[#This Row],[binding_level]], Tabelle5[[#This Row],[company_id]],Tabelle18[[#This Row],[company_id]], Tabelle5[[#This Row],[value_id]], Tabelle18[[#This Row],[value_id]], Tabelle5[[#This Row],[value_present]],"1")</f>
        <v>0</v>
      </c>
      <c r="E295" s="4">
        <f>_xlfn.MAXIFS(Tabelle5[[#This Row],[value_points]], Tabelle5[[#This Row],[company_id]],Tabelle18[[#This Row],[company_id]], Tabelle5[[#This Row],[value_id]], Tabelle18[[#This Row],[value_id]], Tabelle5[[#This Row],[value_present]],"1")</f>
        <v>0</v>
      </c>
    </row>
    <row r="296" spans="1:5" x14ac:dyDescent="0.25">
      <c r="A296">
        <v>17</v>
      </c>
      <c r="B296" t="s">
        <v>98</v>
      </c>
      <c r="C296" s="4">
        <f>IF(Tabelle18[[#This Row],[binding_level_company]]&gt;=1,1,0)</f>
        <v>0</v>
      </c>
      <c r="D296" s="4">
        <f>_xlfn.MAXIFS(Tabelle5[[#This Row],[binding_level]], Tabelle5[[#This Row],[company_id]],Tabelle18[[#This Row],[company_id]], Tabelle5[[#This Row],[value_id]], Tabelle18[[#This Row],[value_id]], Tabelle5[[#This Row],[value_present]],"1")</f>
        <v>0</v>
      </c>
      <c r="E296" s="4">
        <f>_xlfn.MAXIFS(Tabelle5[[#This Row],[value_points]], Tabelle5[[#This Row],[company_id]],Tabelle18[[#This Row],[company_id]], Tabelle5[[#This Row],[value_id]], Tabelle18[[#This Row],[value_id]], Tabelle5[[#This Row],[value_present]],"1")</f>
        <v>0</v>
      </c>
    </row>
    <row r="297" spans="1:5" x14ac:dyDescent="0.25">
      <c r="A297">
        <v>17</v>
      </c>
      <c r="B297" t="s">
        <v>106</v>
      </c>
      <c r="C297" s="4">
        <f>IF(Tabelle18[[#This Row],[binding_level_company]]&gt;=1,1,0)</f>
        <v>0</v>
      </c>
      <c r="D297" s="4">
        <f>_xlfn.MAXIFS(Tabelle5[[#This Row],[binding_level]], Tabelle5[[#This Row],[company_id]],Tabelle18[[#This Row],[company_id]], Tabelle5[[#This Row],[value_id]], Tabelle18[[#This Row],[value_id]], Tabelle5[[#This Row],[value_present]],"1")</f>
        <v>0</v>
      </c>
      <c r="E297" s="4">
        <f>_xlfn.MAXIFS(Tabelle5[[#This Row],[value_points]], Tabelle5[[#This Row],[company_id]],Tabelle18[[#This Row],[company_id]], Tabelle5[[#This Row],[value_id]], Tabelle18[[#This Row],[value_id]], Tabelle5[[#This Row],[value_present]],"1")</f>
        <v>0</v>
      </c>
    </row>
    <row r="298" spans="1:5" x14ac:dyDescent="0.25">
      <c r="A298">
        <v>17</v>
      </c>
      <c r="B298" t="s">
        <v>112</v>
      </c>
      <c r="C298" s="4">
        <f>IF(Tabelle18[[#This Row],[binding_level_company]]&gt;=1,1,0)</f>
        <v>0</v>
      </c>
      <c r="D298" s="4">
        <f>_xlfn.MAXIFS(Tabelle5[[#This Row],[binding_level]], Tabelle5[[#This Row],[company_id]],Tabelle18[[#This Row],[company_id]], Tabelle5[[#This Row],[value_id]], Tabelle18[[#This Row],[value_id]], Tabelle5[[#This Row],[value_present]],"1")</f>
        <v>0</v>
      </c>
      <c r="E298" s="4">
        <f>_xlfn.MAXIFS(Tabelle5[[#This Row],[value_points]], Tabelle5[[#This Row],[company_id]],Tabelle18[[#This Row],[company_id]], Tabelle5[[#This Row],[value_id]], Tabelle18[[#This Row],[value_id]], Tabelle5[[#This Row],[value_present]],"1")</f>
        <v>0</v>
      </c>
    </row>
    <row r="299" spans="1:5" x14ac:dyDescent="0.25">
      <c r="A299">
        <v>17</v>
      </c>
      <c r="B299" t="s">
        <v>118</v>
      </c>
      <c r="C299" s="4">
        <f>IF(Tabelle18[[#This Row],[binding_level_company]]&gt;=1,1,0)</f>
        <v>0</v>
      </c>
      <c r="D299" s="4">
        <f>_xlfn.MAXIFS(Tabelle5[[#This Row],[binding_level]], Tabelle5[[#This Row],[company_id]],Tabelle18[[#This Row],[company_id]], Tabelle5[[#This Row],[value_id]], Tabelle18[[#This Row],[value_id]], Tabelle5[[#This Row],[value_present]],"1")</f>
        <v>0</v>
      </c>
      <c r="E299" s="4">
        <f>_xlfn.MAXIFS(Tabelle5[[#This Row],[value_points]], Tabelle5[[#This Row],[company_id]],Tabelle18[[#This Row],[company_id]], Tabelle5[[#This Row],[value_id]], Tabelle18[[#This Row],[value_id]], Tabelle5[[#This Row],[value_present]],"1")</f>
        <v>0</v>
      </c>
    </row>
    <row r="300" spans="1:5" x14ac:dyDescent="0.25">
      <c r="A300">
        <v>17</v>
      </c>
      <c r="B300" t="s">
        <v>125</v>
      </c>
      <c r="C300" s="4">
        <f>IF(Tabelle18[[#This Row],[binding_level_company]]&gt;=1,1,0)</f>
        <v>0</v>
      </c>
      <c r="D300" s="4">
        <f>_xlfn.MAXIFS(Tabelle5[[#This Row],[binding_level]], Tabelle5[[#This Row],[company_id]],Tabelle18[[#This Row],[company_id]], Tabelle5[[#This Row],[value_id]], Tabelle18[[#This Row],[value_id]], Tabelle5[[#This Row],[value_present]],"1")</f>
        <v>0</v>
      </c>
      <c r="E300" s="4">
        <f>_xlfn.MAXIFS(Tabelle5[[#This Row],[value_points]], Tabelle5[[#This Row],[company_id]],Tabelle18[[#This Row],[company_id]], Tabelle5[[#This Row],[value_id]], Tabelle18[[#This Row],[value_id]], Tabelle5[[#This Row],[value_present]],"1")</f>
        <v>0</v>
      </c>
    </row>
    <row r="301" spans="1:5" x14ac:dyDescent="0.25">
      <c r="A301">
        <v>17</v>
      </c>
      <c r="B301" t="s">
        <v>132</v>
      </c>
      <c r="C301" s="4">
        <f>IF(Tabelle18[[#This Row],[binding_level_company]]&gt;=1,1,0)</f>
        <v>0</v>
      </c>
      <c r="D301" s="4">
        <f>_xlfn.MAXIFS(Tabelle5[[#This Row],[binding_level]], Tabelle5[[#This Row],[company_id]],Tabelle18[[#This Row],[company_id]], Tabelle5[[#This Row],[value_id]], Tabelle18[[#This Row],[value_id]], Tabelle5[[#This Row],[value_present]],"1")</f>
        <v>0</v>
      </c>
      <c r="E301" s="4">
        <f>_xlfn.MAXIFS(Tabelle5[[#This Row],[value_points]], Tabelle5[[#This Row],[company_id]],Tabelle18[[#This Row],[company_id]], Tabelle5[[#This Row],[value_id]], Tabelle18[[#This Row],[value_id]], Tabelle5[[#This Row],[value_present]],"1")</f>
        <v>0</v>
      </c>
    </row>
    <row r="302" spans="1:5" x14ac:dyDescent="0.25">
      <c r="A302">
        <v>17</v>
      </c>
      <c r="B302" t="s">
        <v>140</v>
      </c>
      <c r="C302" s="4">
        <f>IF(Tabelle18[[#This Row],[binding_level_company]]&gt;=1,1,0)</f>
        <v>0</v>
      </c>
      <c r="D302" s="4">
        <f>_xlfn.MAXIFS(Tabelle5[[#This Row],[binding_level]], Tabelle5[[#This Row],[company_id]],Tabelle18[[#This Row],[company_id]], Tabelle5[[#This Row],[value_id]], Tabelle18[[#This Row],[value_id]], Tabelle5[[#This Row],[value_present]],"1")</f>
        <v>0</v>
      </c>
      <c r="E302" s="4">
        <f>_xlfn.MAXIFS(Tabelle5[[#This Row],[value_points]], Tabelle5[[#This Row],[company_id]],Tabelle18[[#This Row],[company_id]], Tabelle5[[#This Row],[value_id]], Tabelle18[[#This Row],[value_id]], Tabelle5[[#This Row],[value_present]],"1")</f>
        <v>0</v>
      </c>
    </row>
    <row r="303" spans="1:5" x14ac:dyDescent="0.25">
      <c r="A303">
        <v>17</v>
      </c>
      <c r="B303" t="s">
        <v>147</v>
      </c>
      <c r="C303" s="4">
        <f>IF(Tabelle18[[#This Row],[binding_level_company]]&gt;=1,1,0)</f>
        <v>0</v>
      </c>
      <c r="D303" s="4">
        <f>_xlfn.MAXIFS(Tabelle5[[#This Row],[binding_level]], Tabelle5[[#This Row],[company_id]],Tabelle18[[#This Row],[company_id]], Tabelle5[[#This Row],[value_id]], Tabelle18[[#This Row],[value_id]], Tabelle5[[#This Row],[value_present]],"1")</f>
        <v>0</v>
      </c>
      <c r="E303" s="4">
        <f>_xlfn.MAXIFS(Tabelle5[[#This Row],[value_points]], Tabelle5[[#This Row],[company_id]],Tabelle18[[#This Row],[company_id]], Tabelle5[[#This Row],[value_id]], Tabelle18[[#This Row],[value_id]], Tabelle5[[#This Row],[value_present]],"1")</f>
        <v>0</v>
      </c>
    </row>
    <row r="304" spans="1:5" x14ac:dyDescent="0.25">
      <c r="A304">
        <v>17</v>
      </c>
      <c r="B304" t="s">
        <v>154</v>
      </c>
      <c r="C304" s="4">
        <f>IF(Tabelle18[[#This Row],[binding_level_company]]&gt;=1,1,0)</f>
        <v>0</v>
      </c>
      <c r="D304" s="4">
        <f>_xlfn.MAXIFS(Tabelle5[[#This Row],[binding_level]], Tabelle5[[#This Row],[company_id]],Tabelle18[[#This Row],[company_id]], Tabelle5[[#This Row],[value_id]], Tabelle18[[#This Row],[value_id]], Tabelle5[[#This Row],[value_present]],"1")</f>
        <v>0</v>
      </c>
      <c r="E304" s="4">
        <f>_xlfn.MAXIFS(Tabelle5[[#This Row],[value_points]], Tabelle5[[#This Row],[company_id]],Tabelle18[[#This Row],[company_id]], Tabelle5[[#This Row],[value_id]], Tabelle18[[#This Row],[value_id]], Tabelle5[[#This Row],[value_present]],"1")</f>
        <v>0</v>
      </c>
    </row>
    <row r="305" spans="1:5" x14ac:dyDescent="0.25">
      <c r="A305">
        <v>17</v>
      </c>
      <c r="B305" t="s">
        <v>161</v>
      </c>
      <c r="C305" s="4">
        <f>IF(Tabelle18[[#This Row],[binding_level_company]]&gt;=1,1,0)</f>
        <v>0</v>
      </c>
      <c r="D305" s="4">
        <f>_xlfn.MAXIFS(Tabelle5[[#This Row],[binding_level]], Tabelle5[[#This Row],[company_id]],Tabelle18[[#This Row],[company_id]], Tabelle5[[#This Row],[value_id]], Tabelle18[[#This Row],[value_id]], Tabelle5[[#This Row],[value_present]],"1")</f>
        <v>0</v>
      </c>
      <c r="E305" s="4">
        <f>_xlfn.MAXIFS(Tabelle5[[#This Row],[value_points]], Tabelle5[[#This Row],[company_id]],Tabelle18[[#This Row],[company_id]], Tabelle5[[#This Row],[value_id]], Tabelle18[[#This Row],[value_id]], Tabelle5[[#This Row],[value_present]],"1")</f>
        <v>0</v>
      </c>
    </row>
    <row r="306" spans="1:5" x14ac:dyDescent="0.25">
      <c r="A306">
        <v>17</v>
      </c>
      <c r="B306" t="s">
        <v>166</v>
      </c>
      <c r="C306" s="4">
        <f>IF(Tabelle18[[#This Row],[binding_level_company]]&gt;=1,1,0)</f>
        <v>0</v>
      </c>
      <c r="D306" s="4">
        <f>_xlfn.MAXIFS(Tabelle5[[#This Row],[binding_level]], Tabelle5[[#This Row],[company_id]],Tabelle18[[#This Row],[company_id]], Tabelle5[[#This Row],[value_id]], Tabelle18[[#This Row],[value_id]], Tabelle5[[#This Row],[value_present]],"1")</f>
        <v>0</v>
      </c>
      <c r="E306" s="4">
        <f>_xlfn.MAXIFS(Tabelle5[[#This Row],[value_points]], Tabelle5[[#This Row],[company_id]],Tabelle18[[#This Row],[company_id]], Tabelle5[[#This Row],[value_id]], Tabelle18[[#This Row],[value_id]], Tabelle5[[#This Row],[value_present]],"1")</f>
        <v>0</v>
      </c>
    </row>
    <row r="307" spans="1:5" ht="15.75" thickBot="1" x14ac:dyDescent="0.3">
      <c r="A307">
        <v>17</v>
      </c>
      <c r="B307" s="30" t="s">
        <v>174</v>
      </c>
      <c r="C307" s="4">
        <f>IF(Tabelle18[[#This Row],[binding_level_company]]&gt;=1,1,0)</f>
        <v>0</v>
      </c>
      <c r="D307" s="4">
        <f>_xlfn.MAXIFS(Tabelle5[[#This Row],[binding_level]], Tabelle5[[#This Row],[company_id]],Tabelle18[[#This Row],[company_id]], Tabelle5[[#This Row],[value_id]], Tabelle18[[#This Row],[value_id]], Tabelle5[[#This Row],[value_present]],"1")</f>
        <v>0</v>
      </c>
      <c r="E307" s="4">
        <f>_xlfn.MAXIFS(Tabelle5[[#This Row],[value_points]], Tabelle5[[#This Row],[company_id]],Tabelle18[[#This Row],[company_id]], Tabelle5[[#This Row],[value_id]], Tabelle18[[#This Row],[value_id]], Tabelle5[[#This Row],[value_present]],"1")</f>
        <v>0</v>
      </c>
    </row>
    <row r="308" spans="1:5" x14ac:dyDescent="0.25">
      <c r="A308">
        <v>18</v>
      </c>
      <c r="B308" s="22" t="s">
        <v>53</v>
      </c>
      <c r="C308" s="4">
        <f>IF(Tabelle18[[#This Row],[binding_level_company]]&gt;=1,1,0)</f>
        <v>0</v>
      </c>
      <c r="D308" s="4">
        <f>_xlfn.MAXIFS(Tabelle5[[#This Row],[binding_level]], Tabelle5[[#This Row],[company_id]],Tabelle18[[#This Row],[company_id]], Tabelle5[[#This Row],[value_id]], Tabelle18[[#This Row],[value_id]], Tabelle5[[#This Row],[value_present]],"1")</f>
        <v>0</v>
      </c>
      <c r="E308" s="4">
        <f>_xlfn.MAXIFS(Tabelle5[[#This Row],[value_points]], Tabelle5[[#This Row],[company_id]],Tabelle18[[#This Row],[company_id]], Tabelle5[[#This Row],[value_id]], Tabelle18[[#This Row],[value_id]], Tabelle5[[#This Row],[value_present]],"1")</f>
        <v>0</v>
      </c>
    </row>
    <row r="309" spans="1:5" x14ac:dyDescent="0.25">
      <c r="A309">
        <v>18</v>
      </c>
      <c r="B309" t="s">
        <v>61</v>
      </c>
      <c r="C309" s="4">
        <f>IF(Tabelle18[[#This Row],[binding_level_company]]&gt;=1,1,0)</f>
        <v>0</v>
      </c>
      <c r="D309" s="4">
        <f>_xlfn.MAXIFS(Tabelle5[[#This Row],[binding_level]], Tabelle5[[#This Row],[company_id]],Tabelle18[[#This Row],[company_id]], Tabelle5[[#This Row],[value_id]], Tabelle18[[#This Row],[value_id]], Tabelle5[[#This Row],[value_present]],"1")</f>
        <v>0</v>
      </c>
      <c r="E309" s="4">
        <f>_xlfn.MAXIFS(Tabelle5[[#This Row],[value_points]], Tabelle5[[#This Row],[company_id]],Tabelle18[[#This Row],[company_id]], Tabelle5[[#This Row],[value_id]], Tabelle18[[#This Row],[value_id]], Tabelle5[[#This Row],[value_present]],"1")</f>
        <v>0</v>
      </c>
    </row>
    <row r="310" spans="1:5" x14ac:dyDescent="0.25">
      <c r="A310">
        <v>18</v>
      </c>
      <c r="B310" t="s">
        <v>69</v>
      </c>
      <c r="C310" s="4">
        <f>IF(Tabelle18[[#This Row],[binding_level_company]]&gt;=1,1,0)</f>
        <v>0</v>
      </c>
      <c r="D310" s="4">
        <f>_xlfn.MAXIFS(Tabelle5[[#This Row],[binding_level]], Tabelle5[[#This Row],[company_id]],Tabelle18[[#This Row],[company_id]], Tabelle5[[#This Row],[value_id]], Tabelle18[[#This Row],[value_id]], Tabelle5[[#This Row],[value_present]],"1")</f>
        <v>0</v>
      </c>
      <c r="E310" s="4">
        <f>_xlfn.MAXIFS(Tabelle5[[#This Row],[value_points]], Tabelle5[[#This Row],[company_id]],Tabelle18[[#This Row],[company_id]], Tabelle5[[#This Row],[value_id]], Tabelle18[[#This Row],[value_id]], Tabelle5[[#This Row],[value_present]],"1")</f>
        <v>0</v>
      </c>
    </row>
    <row r="311" spans="1:5" x14ac:dyDescent="0.25">
      <c r="A311">
        <v>18</v>
      </c>
      <c r="B311" t="s">
        <v>76</v>
      </c>
      <c r="C311" s="4">
        <f>IF(Tabelle18[[#This Row],[binding_level_company]]&gt;=1,1,0)</f>
        <v>0</v>
      </c>
      <c r="D311" s="4">
        <f>_xlfn.MAXIFS(Tabelle5[[#This Row],[binding_level]], Tabelle5[[#This Row],[company_id]],Tabelle18[[#This Row],[company_id]], Tabelle5[[#This Row],[value_id]], Tabelle18[[#This Row],[value_id]], Tabelle5[[#This Row],[value_present]],"1")</f>
        <v>0</v>
      </c>
      <c r="E311" s="4">
        <f>_xlfn.MAXIFS(Tabelle5[[#This Row],[value_points]], Tabelle5[[#This Row],[company_id]],Tabelle18[[#This Row],[company_id]], Tabelle5[[#This Row],[value_id]], Tabelle18[[#This Row],[value_id]], Tabelle5[[#This Row],[value_present]],"1")</f>
        <v>0</v>
      </c>
    </row>
    <row r="312" spans="1:5" x14ac:dyDescent="0.25">
      <c r="A312">
        <v>18</v>
      </c>
      <c r="B312" t="s">
        <v>83</v>
      </c>
      <c r="C312" s="4">
        <f>IF(Tabelle18[[#This Row],[binding_level_company]]&gt;=1,1,0)</f>
        <v>0</v>
      </c>
      <c r="D312" s="4">
        <f>_xlfn.MAXIFS(Tabelle5[[#This Row],[binding_level]], Tabelle5[[#This Row],[company_id]],Tabelle18[[#This Row],[company_id]], Tabelle5[[#This Row],[value_id]], Tabelle18[[#This Row],[value_id]], Tabelle5[[#This Row],[value_present]],"1")</f>
        <v>0</v>
      </c>
      <c r="E312" s="4">
        <f>_xlfn.MAXIFS(Tabelle5[[#This Row],[value_points]], Tabelle5[[#This Row],[company_id]],Tabelle18[[#This Row],[company_id]], Tabelle5[[#This Row],[value_id]], Tabelle18[[#This Row],[value_id]], Tabelle5[[#This Row],[value_present]],"1")</f>
        <v>0</v>
      </c>
    </row>
    <row r="313" spans="1:5" x14ac:dyDescent="0.25">
      <c r="A313">
        <v>18</v>
      </c>
      <c r="B313" t="s">
        <v>90</v>
      </c>
      <c r="C313" s="4">
        <f>IF(Tabelle18[[#This Row],[binding_level_company]]&gt;=1,1,0)</f>
        <v>0</v>
      </c>
      <c r="D313" s="4">
        <f>_xlfn.MAXIFS(Tabelle5[[#This Row],[binding_level]], Tabelle5[[#This Row],[company_id]],Tabelle18[[#This Row],[company_id]], Tabelle5[[#This Row],[value_id]], Tabelle18[[#This Row],[value_id]], Tabelle5[[#This Row],[value_present]],"1")</f>
        <v>0</v>
      </c>
      <c r="E313" s="4">
        <f>_xlfn.MAXIFS(Tabelle5[[#This Row],[value_points]], Tabelle5[[#This Row],[company_id]],Tabelle18[[#This Row],[company_id]], Tabelle5[[#This Row],[value_id]], Tabelle18[[#This Row],[value_id]], Tabelle5[[#This Row],[value_present]],"1")</f>
        <v>0</v>
      </c>
    </row>
    <row r="314" spans="1:5" x14ac:dyDescent="0.25">
      <c r="A314">
        <v>18</v>
      </c>
      <c r="B314" t="s">
        <v>98</v>
      </c>
      <c r="C314" s="4">
        <f>IF(Tabelle18[[#This Row],[binding_level_company]]&gt;=1,1,0)</f>
        <v>0</v>
      </c>
      <c r="D314" s="4">
        <f>_xlfn.MAXIFS(Tabelle5[[#This Row],[binding_level]], Tabelle5[[#This Row],[company_id]],Tabelle18[[#This Row],[company_id]], Tabelle5[[#This Row],[value_id]], Tabelle18[[#This Row],[value_id]], Tabelle5[[#This Row],[value_present]],"1")</f>
        <v>0</v>
      </c>
      <c r="E314" s="4">
        <f>_xlfn.MAXIFS(Tabelle5[[#This Row],[value_points]], Tabelle5[[#This Row],[company_id]],Tabelle18[[#This Row],[company_id]], Tabelle5[[#This Row],[value_id]], Tabelle18[[#This Row],[value_id]], Tabelle5[[#This Row],[value_present]],"1")</f>
        <v>0</v>
      </c>
    </row>
    <row r="315" spans="1:5" x14ac:dyDescent="0.25">
      <c r="A315">
        <v>18</v>
      </c>
      <c r="B315" t="s">
        <v>106</v>
      </c>
      <c r="C315" s="4">
        <f>IF(Tabelle18[[#This Row],[binding_level_company]]&gt;=1,1,0)</f>
        <v>0</v>
      </c>
      <c r="D315" s="4">
        <f>_xlfn.MAXIFS(Tabelle5[[#This Row],[binding_level]], Tabelle5[[#This Row],[company_id]],Tabelle18[[#This Row],[company_id]], Tabelle5[[#This Row],[value_id]], Tabelle18[[#This Row],[value_id]], Tabelle5[[#This Row],[value_present]],"1")</f>
        <v>0</v>
      </c>
      <c r="E315" s="4">
        <f>_xlfn.MAXIFS(Tabelle5[[#This Row],[value_points]], Tabelle5[[#This Row],[company_id]],Tabelle18[[#This Row],[company_id]], Tabelle5[[#This Row],[value_id]], Tabelle18[[#This Row],[value_id]], Tabelle5[[#This Row],[value_present]],"1")</f>
        <v>0</v>
      </c>
    </row>
    <row r="316" spans="1:5" x14ac:dyDescent="0.25">
      <c r="A316">
        <v>18</v>
      </c>
      <c r="B316" t="s">
        <v>112</v>
      </c>
      <c r="C316" s="4">
        <f>IF(Tabelle18[[#This Row],[binding_level_company]]&gt;=1,1,0)</f>
        <v>0</v>
      </c>
      <c r="D316" s="4">
        <f>_xlfn.MAXIFS(Tabelle5[[#This Row],[binding_level]], Tabelle5[[#This Row],[company_id]],Tabelle18[[#This Row],[company_id]], Tabelle5[[#This Row],[value_id]], Tabelle18[[#This Row],[value_id]], Tabelle5[[#This Row],[value_present]],"1")</f>
        <v>0</v>
      </c>
      <c r="E316" s="4">
        <f>_xlfn.MAXIFS(Tabelle5[[#This Row],[value_points]], Tabelle5[[#This Row],[company_id]],Tabelle18[[#This Row],[company_id]], Tabelle5[[#This Row],[value_id]], Tabelle18[[#This Row],[value_id]], Tabelle5[[#This Row],[value_present]],"1")</f>
        <v>0</v>
      </c>
    </row>
    <row r="317" spans="1:5" x14ac:dyDescent="0.25">
      <c r="A317">
        <v>18</v>
      </c>
      <c r="B317" t="s">
        <v>118</v>
      </c>
      <c r="C317" s="4">
        <f>IF(Tabelle18[[#This Row],[binding_level_company]]&gt;=1,1,0)</f>
        <v>0</v>
      </c>
      <c r="D317" s="4">
        <f>_xlfn.MAXIFS(Tabelle5[[#This Row],[binding_level]], Tabelle5[[#This Row],[company_id]],Tabelle18[[#This Row],[company_id]], Tabelle5[[#This Row],[value_id]], Tabelle18[[#This Row],[value_id]], Tabelle5[[#This Row],[value_present]],"1")</f>
        <v>0</v>
      </c>
      <c r="E317" s="4">
        <f>_xlfn.MAXIFS(Tabelle5[[#This Row],[value_points]], Tabelle5[[#This Row],[company_id]],Tabelle18[[#This Row],[company_id]], Tabelle5[[#This Row],[value_id]], Tabelle18[[#This Row],[value_id]], Tabelle5[[#This Row],[value_present]],"1")</f>
        <v>0</v>
      </c>
    </row>
    <row r="318" spans="1:5" x14ac:dyDescent="0.25">
      <c r="A318">
        <v>18</v>
      </c>
      <c r="B318" t="s">
        <v>125</v>
      </c>
      <c r="C318" s="4">
        <f>IF(Tabelle18[[#This Row],[binding_level_company]]&gt;=1,1,0)</f>
        <v>0</v>
      </c>
      <c r="D318" s="4">
        <f>_xlfn.MAXIFS(Tabelle5[[#This Row],[binding_level]], Tabelle5[[#This Row],[company_id]],Tabelle18[[#This Row],[company_id]], Tabelle5[[#This Row],[value_id]], Tabelle18[[#This Row],[value_id]], Tabelle5[[#This Row],[value_present]],"1")</f>
        <v>0</v>
      </c>
      <c r="E318" s="4">
        <f>_xlfn.MAXIFS(Tabelle5[[#This Row],[value_points]], Tabelle5[[#This Row],[company_id]],Tabelle18[[#This Row],[company_id]], Tabelle5[[#This Row],[value_id]], Tabelle18[[#This Row],[value_id]], Tabelle5[[#This Row],[value_present]],"1")</f>
        <v>0</v>
      </c>
    </row>
    <row r="319" spans="1:5" x14ac:dyDescent="0.25">
      <c r="A319">
        <v>18</v>
      </c>
      <c r="B319" t="s">
        <v>132</v>
      </c>
      <c r="C319" s="4">
        <f>IF(Tabelle18[[#This Row],[binding_level_company]]&gt;=1,1,0)</f>
        <v>0</v>
      </c>
      <c r="D319" s="4">
        <f>_xlfn.MAXIFS(Tabelle5[[#This Row],[binding_level]], Tabelle5[[#This Row],[company_id]],Tabelle18[[#This Row],[company_id]], Tabelle5[[#This Row],[value_id]], Tabelle18[[#This Row],[value_id]], Tabelle5[[#This Row],[value_present]],"1")</f>
        <v>0</v>
      </c>
      <c r="E319" s="4">
        <f>_xlfn.MAXIFS(Tabelle5[[#This Row],[value_points]], Tabelle5[[#This Row],[company_id]],Tabelle18[[#This Row],[company_id]], Tabelle5[[#This Row],[value_id]], Tabelle18[[#This Row],[value_id]], Tabelle5[[#This Row],[value_present]],"1")</f>
        <v>0</v>
      </c>
    </row>
    <row r="320" spans="1:5" x14ac:dyDescent="0.25">
      <c r="A320">
        <v>18</v>
      </c>
      <c r="B320" t="s">
        <v>140</v>
      </c>
      <c r="C320" s="4">
        <f>IF(Tabelle18[[#This Row],[binding_level_company]]&gt;=1,1,0)</f>
        <v>0</v>
      </c>
      <c r="D320" s="4">
        <f>_xlfn.MAXIFS(Tabelle5[[#This Row],[binding_level]], Tabelle5[[#This Row],[company_id]],Tabelle18[[#This Row],[company_id]], Tabelle5[[#This Row],[value_id]], Tabelle18[[#This Row],[value_id]], Tabelle5[[#This Row],[value_present]],"1")</f>
        <v>0</v>
      </c>
      <c r="E320" s="4">
        <f>_xlfn.MAXIFS(Tabelle5[[#This Row],[value_points]], Tabelle5[[#This Row],[company_id]],Tabelle18[[#This Row],[company_id]], Tabelle5[[#This Row],[value_id]], Tabelle18[[#This Row],[value_id]], Tabelle5[[#This Row],[value_present]],"1")</f>
        <v>0</v>
      </c>
    </row>
    <row r="321" spans="1:5" x14ac:dyDescent="0.25">
      <c r="A321">
        <v>18</v>
      </c>
      <c r="B321" t="s">
        <v>147</v>
      </c>
      <c r="C321" s="4">
        <f>IF(Tabelle18[[#This Row],[binding_level_company]]&gt;=1,1,0)</f>
        <v>0</v>
      </c>
      <c r="D321" s="4">
        <f>_xlfn.MAXIFS(Tabelle5[[#This Row],[binding_level]], Tabelle5[[#This Row],[company_id]],Tabelle18[[#This Row],[company_id]], Tabelle5[[#This Row],[value_id]], Tabelle18[[#This Row],[value_id]], Tabelle5[[#This Row],[value_present]],"1")</f>
        <v>0</v>
      </c>
      <c r="E321" s="4">
        <f>_xlfn.MAXIFS(Tabelle5[[#This Row],[value_points]], Tabelle5[[#This Row],[company_id]],Tabelle18[[#This Row],[company_id]], Tabelle5[[#This Row],[value_id]], Tabelle18[[#This Row],[value_id]], Tabelle5[[#This Row],[value_present]],"1")</f>
        <v>0</v>
      </c>
    </row>
    <row r="322" spans="1:5" x14ac:dyDescent="0.25">
      <c r="A322">
        <v>18</v>
      </c>
      <c r="B322" t="s">
        <v>154</v>
      </c>
      <c r="C322" s="4">
        <f>IF(Tabelle18[[#This Row],[binding_level_company]]&gt;=1,1,0)</f>
        <v>0</v>
      </c>
      <c r="D322" s="4">
        <f>_xlfn.MAXIFS(Tabelle5[[#This Row],[binding_level]], Tabelle5[[#This Row],[company_id]],Tabelle18[[#This Row],[company_id]], Tabelle5[[#This Row],[value_id]], Tabelle18[[#This Row],[value_id]], Tabelle5[[#This Row],[value_present]],"1")</f>
        <v>0</v>
      </c>
      <c r="E322" s="4">
        <f>_xlfn.MAXIFS(Tabelle5[[#This Row],[value_points]], Tabelle5[[#This Row],[company_id]],Tabelle18[[#This Row],[company_id]], Tabelle5[[#This Row],[value_id]], Tabelle18[[#This Row],[value_id]], Tabelle5[[#This Row],[value_present]],"1")</f>
        <v>0</v>
      </c>
    </row>
    <row r="323" spans="1:5" x14ac:dyDescent="0.25">
      <c r="A323">
        <v>18</v>
      </c>
      <c r="B323" t="s">
        <v>161</v>
      </c>
      <c r="C323" s="4">
        <f>IF(Tabelle18[[#This Row],[binding_level_company]]&gt;=1,1,0)</f>
        <v>0</v>
      </c>
      <c r="D323" s="4">
        <f>_xlfn.MAXIFS(Tabelle5[[#This Row],[binding_level]], Tabelle5[[#This Row],[company_id]],Tabelle18[[#This Row],[company_id]], Tabelle5[[#This Row],[value_id]], Tabelle18[[#This Row],[value_id]], Tabelle5[[#This Row],[value_present]],"1")</f>
        <v>0</v>
      </c>
      <c r="E323" s="4">
        <f>_xlfn.MAXIFS(Tabelle5[[#This Row],[value_points]], Tabelle5[[#This Row],[company_id]],Tabelle18[[#This Row],[company_id]], Tabelle5[[#This Row],[value_id]], Tabelle18[[#This Row],[value_id]], Tabelle5[[#This Row],[value_present]],"1")</f>
        <v>0</v>
      </c>
    </row>
    <row r="324" spans="1:5" x14ac:dyDescent="0.25">
      <c r="A324">
        <v>18</v>
      </c>
      <c r="B324" t="s">
        <v>166</v>
      </c>
      <c r="C324" s="4">
        <f>IF(Tabelle18[[#This Row],[binding_level_company]]&gt;=1,1,0)</f>
        <v>0</v>
      </c>
      <c r="D324" s="4">
        <f>_xlfn.MAXIFS(Tabelle5[[#This Row],[binding_level]], Tabelle5[[#This Row],[company_id]],Tabelle18[[#This Row],[company_id]], Tabelle5[[#This Row],[value_id]], Tabelle18[[#This Row],[value_id]], Tabelle5[[#This Row],[value_present]],"1")</f>
        <v>0</v>
      </c>
      <c r="E324" s="4">
        <f>_xlfn.MAXIFS(Tabelle5[[#This Row],[value_points]], Tabelle5[[#This Row],[company_id]],Tabelle18[[#This Row],[company_id]], Tabelle5[[#This Row],[value_id]], Tabelle18[[#This Row],[value_id]], Tabelle5[[#This Row],[value_present]],"1")</f>
        <v>0</v>
      </c>
    </row>
    <row r="325" spans="1:5" ht="15.75" thickBot="1" x14ac:dyDescent="0.3">
      <c r="A325">
        <v>18</v>
      </c>
      <c r="B325" s="30" t="s">
        <v>174</v>
      </c>
      <c r="C325" s="4">
        <f>IF(Tabelle18[[#This Row],[binding_level_company]]&gt;=1,1,0)</f>
        <v>0</v>
      </c>
      <c r="D325" s="4">
        <f>_xlfn.MAXIFS(Tabelle5[[#This Row],[binding_level]], Tabelle5[[#This Row],[company_id]],Tabelle18[[#This Row],[company_id]], Tabelle5[[#This Row],[value_id]], Tabelle18[[#This Row],[value_id]], Tabelle5[[#This Row],[value_present]],"1")</f>
        <v>0</v>
      </c>
      <c r="E325" s="4">
        <f>_xlfn.MAXIFS(Tabelle5[[#This Row],[value_points]], Tabelle5[[#This Row],[company_id]],Tabelle18[[#This Row],[company_id]], Tabelle5[[#This Row],[value_id]], Tabelle18[[#This Row],[value_id]], Tabelle5[[#This Row],[value_present]],"1")</f>
        <v>0</v>
      </c>
    </row>
    <row r="326" spans="1:5" x14ac:dyDescent="0.25">
      <c r="A326">
        <v>19</v>
      </c>
      <c r="B326" s="22" t="s">
        <v>53</v>
      </c>
      <c r="C326" s="4">
        <f>IF(Tabelle18[[#This Row],[binding_level_company]]&gt;=1,1,0)</f>
        <v>0</v>
      </c>
      <c r="D326" s="4">
        <f>_xlfn.MAXIFS(Tabelle5[[#This Row],[binding_level]], Tabelle5[[#This Row],[company_id]],Tabelle18[[#This Row],[company_id]], Tabelle5[[#This Row],[value_id]], Tabelle18[[#This Row],[value_id]], Tabelle5[[#This Row],[value_present]],"1")</f>
        <v>0</v>
      </c>
      <c r="E326" s="4">
        <f>_xlfn.MAXIFS(Tabelle5[[#This Row],[value_points]], Tabelle5[[#This Row],[company_id]],Tabelle18[[#This Row],[company_id]], Tabelle5[[#This Row],[value_id]], Tabelle18[[#This Row],[value_id]], Tabelle5[[#This Row],[value_present]],"1")</f>
        <v>0</v>
      </c>
    </row>
    <row r="327" spans="1:5" x14ac:dyDescent="0.25">
      <c r="A327">
        <v>19</v>
      </c>
      <c r="B327" t="s">
        <v>61</v>
      </c>
      <c r="C327" s="4">
        <f>IF(Tabelle18[[#This Row],[binding_level_company]]&gt;=1,1,0)</f>
        <v>0</v>
      </c>
      <c r="D327" s="4">
        <f>_xlfn.MAXIFS(Tabelle5[[#This Row],[binding_level]], Tabelle5[[#This Row],[company_id]],Tabelle18[[#This Row],[company_id]], Tabelle5[[#This Row],[value_id]], Tabelle18[[#This Row],[value_id]], Tabelle5[[#This Row],[value_present]],"1")</f>
        <v>0</v>
      </c>
      <c r="E327" s="4">
        <f>_xlfn.MAXIFS(Tabelle5[[#This Row],[value_points]], Tabelle5[[#This Row],[company_id]],Tabelle18[[#This Row],[company_id]], Tabelle5[[#This Row],[value_id]], Tabelle18[[#This Row],[value_id]], Tabelle5[[#This Row],[value_present]],"1")</f>
        <v>0</v>
      </c>
    </row>
    <row r="328" spans="1:5" x14ac:dyDescent="0.25">
      <c r="A328">
        <v>19</v>
      </c>
      <c r="B328" t="s">
        <v>69</v>
      </c>
      <c r="C328" s="4">
        <f>IF(Tabelle18[[#This Row],[binding_level_company]]&gt;=1,1,0)</f>
        <v>0</v>
      </c>
      <c r="D328" s="4">
        <f>_xlfn.MAXIFS(Tabelle5[[#This Row],[binding_level]], Tabelle5[[#This Row],[company_id]],Tabelle18[[#This Row],[company_id]], Tabelle5[[#This Row],[value_id]], Tabelle18[[#This Row],[value_id]], Tabelle5[[#This Row],[value_present]],"1")</f>
        <v>0</v>
      </c>
      <c r="E328" s="4">
        <f>_xlfn.MAXIFS(Tabelle5[[#This Row],[value_points]], Tabelle5[[#This Row],[company_id]],Tabelle18[[#This Row],[company_id]], Tabelle5[[#This Row],[value_id]], Tabelle18[[#This Row],[value_id]], Tabelle5[[#This Row],[value_present]],"1")</f>
        <v>0</v>
      </c>
    </row>
    <row r="329" spans="1:5" x14ac:dyDescent="0.25">
      <c r="A329">
        <v>19</v>
      </c>
      <c r="B329" t="s">
        <v>76</v>
      </c>
      <c r="C329" s="4">
        <f>IF(Tabelle18[[#This Row],[binding_level_company]]&gt;=1,1,0)</f>
        <v>0</v>
      </c>
      <c r="D329" s="4">
        <f>_xlfn.MAXIFS(Tabelle5[[#This Row],[binding_level]], Tabelle5[[#This Row],[company_id]],Tabelle18[[#This Row],[company_id]], Tabelle5[[#This Row],[value_id]], Tabelle18[[#This Row],[value_id]], Tabelle5[[#This Row],[value_present]],"1")</f>
        <v>0</v>
      </c>
      <c r="E329" s="4">
        <f>_xlfn.MAXIFS(Tabelle5[[#This Row],[value_points]], Tabelle5[[#This Row],[company_id]],Tabelle18[[#This Row],[company_id]], Tabelle5[[#This Row],[value_id]], Tabelle18[[#This Row],[value_id]], Tabelle5[[#This Row],[value_present]],"1")</f>
        <v>0</v>
      </c>
    </row>
    <row r="330" spans="1:5" x14ac:dyDescent="0.25">
      <c r="A330">
        <v>19</v>
      </c>
      <c r="B330" t="s">
        <v>83</v>
      </c>
      <c r="C330" s="4">
        <f>IF(Tabelle18[[#This Row],[binding_level_company]]&gt;=1,1,0)</f>
        <v>0</v>
      </c>
      <c r="D330" s="4">
        <f>_xlfn.MAXIFS(Tabelle5[[#This Row],[binding_level]], Tabelle5[[#This Row],[company_id]],Tabelle18[[#This Row],[company_id]], Tabelle5[[#This Row],[value_id]], Tabelle18[[#This Row],[value_id]], Tabelle5[[#This Row],[value_present]],"1")</f>
        <v>0</v>
      </c>
      <c r="E330" s="4">
        <f>_xlfn.MAXIFS(Tabelle5[[#This Row],[value_points]], Tabelle5[[#This Row],[company_id]],Tabelle18[[#This Row],[company_id]], Tabelle5[[#This Row],[value_id]], Tabelle18[[#This Row],[value_id]], Tabelle5[[#This Row],[value_present]],"1")</f>
        <v>0</v>
      </c>
    </row>
    <row r="331" spans="1:5" x14ac:dyDescent="0.25">
      <c r="A331">
        <v>19</v>
      </c>
      <c r="B331" t="s">
        <v>90</v>
      </c>
      <c r="C331" s="4">
        <f>IF(Tabelle18[[#This Row],[binding_level_company]]&gt;=1,1,0)</f>
        <v>0</v>
      </c>
      <c r="D331" s="4">
        <f>_xlfn.MAXIFS(Tabelle5[[#This Row],[binding_level]], Tabelle5[[#This Row],[company_id]],Tabelle18[[#This Row],[company_id]], Tabelle5[[#This Row],[value_id]], Tabelle18[[#This Row],[value_id]], Tabelle5[[#This Row],[value_present]],"1")</f>
        <v>0</v>
      </c>
      <c r="E331" s="4">
        <f>_xlfn.MAXIFS(Tabelle5[[#This Row],[value_points]], Tabelle5[[#This Row],[company_id]],Tabelle18[[#This Row],[company_id]], Tabelle5[[#This Row],[value_id]], Tabelle18[[#This Row],[value_id]], Tabelle5[[#This Row],[value_present]],"1")</f>
        <v>0</v>
      </c>
    </row>
    <row r="332" spans="1:5" x14ac:dyDescent="0.25">
      <c r="A332">
        <v>19</v>
      </c>
      <c r="B332" t="s">
        <v>98</v>
      </c>
      <c r="C332" s="4">
        <f>IF(Tabelle18[[#This Row],[binding_level_company]]&gt;=1,1,0)</f>
        <v>0</v>
      </c>
      <c r="D332" s="4">
        <f>_xlfn.MAXIFS(Tabelle5[[#This Row],[binding_level]], Tabelle5[[#This Row],[company_id]],Tabelle18[[#This Row],[company_id]], Tabelle5[[#This Row],[value_id]], Tabelle18[[#This Row],[value_id]], Tabelle5[[#This Row],[value_present]],"1")</f>
        <v>0</v>
      </c>
      <c r="E332" s="4">
        <f>_xlfn.MAXIFS(Tabelle5[[#This Row],[value_points]], Tabelle5[[#This Row],[company_id]],Tabelle18[[#This Row],[company_id]], Tabelle5[[#This Row],[value_id]], Tabelle18[[#This Row],[value_id]], Tabelle5[[#This Row],[value_present]],"1")</f>
        <v>0</v>
      </c>
    </row>
    <row r="333" spans="1:5" x14ac:dyDescent="0.25">
      <c r="A333">
        <v>19</v>
      </c>
      <c r="B333" t="s">
        <v>106</v>
      </c>
      <c r="C333" s="4">
        <f>IF(Tabelle18[[#This Row],[binding_level_company]]&gt;=1,1,0)</f>
        <v>0</v>
      </c>
      <c r="D333" s="4">
        <f>_xlfn.MAXIFS(Tabelle5[[#This Row],[binding_level]], Tabelle5[[#This Row],[company_id]],Tabelle18[[#This Row],[company_id]], Tabelle5[[#This Row],[value_id]], Tabelle18[[#This Row],[value_id]], Tabelle5[[#This Row],[value_present]],"1")</f>
        <v>0</v>
      </c>
      <c r="E333" s="4">
        <f>_xlfn.MAXIFS(Tabelle5[[#This Row],[value_points]], Tabelle5[[#This Row],[company_id]],Tabelle18[[#This Row],[company_id]], Tabelle5[[#This Row],[value_id]], Tabelle18[[#This Row],[value_id]], Tabelle5[[#This Row],[value_present]],"1")</f>
        <v>0</v>
      </c>
    </row>
    <row r="334" spans="1:5" x14ac:dyDescent="0.25">
      <c r="A334">
        <v>19</v>
      </c>
      <c r="B334" t="s">
        <v>112</v>
      </c>
      <c r="C334" s="4">
        <f>IF(Tabelle18[[#This Row],[binding_level_company]]&gt;=1,1,0)</f>
        <v>0</v>
      </c>
      <c r="D334" s="4">
        <f>_xlfn.MAXIFS(Tabelle5[[#This Row],[binding_level]], Tabelle5[[#This Row],[company_id]],Tabelle18[[#This Row],[company_id]], Tabelle5[[#This Row],[value_id]], Tabelle18[[#This Row],[value_id]], Tabelle5[[#This Row],[value_present]],"1")</f>
        <v>0</v>
      </c>
      <c r="E334" s="4">
        <f>_xlfn.MAXIFS(Tabelle5[[#This Row],[value_points]], Tabelle5[[#This Row],[company_id]],Tabelle18[[#This Row],[company_id]], Tabelle5[[#This Row],[value_id]], Tabelle18[[#This Row],[value_id]], Tabelle5[[#This Row],[value_present]],"1")</f>
        <v>0</v>
      </c>
    </row>
    <row r="335" spans="1:5" x14ac:dyDescent="0.25">
      <c r="A335">
        <v>19</v>
      </c>
      <c r="B335" t="s">
        <v>118</v>
      </c>
      <c r="C335" s="4">
        <f>IF(Tabelle18[[#This Row],[binding_level_company]]&gt;=1,1,0)</f>
        <v>0</v>
      </c>
      <c r="D335" s="4">
        <f>_xlfn.MAXIFS(Tabelle5[[#This Row],[binding_level]], Tabelle5[[#This Row],[company_id]],Tabelle18[[#This Row],[company_id]], Tabelle5[[#This Row],[value_id]], Tabelle18[[#This Row],[value_id]], Tabelle5[[#This Row],[value_present]],"1")</f>
        <v>0</v>
      </c>
      <c r="E335" s="4">
        <f>_xlfn.MAXIFS(Tabelle5[[#This Row],[value_points]], Tabelle5[[#This Row],[company_id]],Tabelle18[[#This Row],[company_id]], Tabelle5[[#This Row],[value_id]], Tabelle18[[#This Row],[value_id]], Tabelle5[[#This Row],[value_present]],"1")</f>
        <v>0</v>
      </c>
    </row>
    <row r="336" spans="1:5" x14ac:dyDescent="0.25">
      <c r="A336">
        <v>19</v>
      </c>
      <c r="B336" t="s">
        <v>125</v>
      </c>
      <c r="C336" s="4">
        <f>IF(Tabelle18[[#This Row],[binding_level_company]]&gt;=1,1,0)</f>
        <v>0</v>
      </c>
      <c r="D336" s="4">
        <f>_xlfn.MAXIFS(Tabelle5[[#This Row],[binding_level]], Tabelle5[[#This Row],[company_id]],Tabelle18[[#This Row],[company_id]], Tabelle5[[#This Row],[value_id]], Tabelle18[[#This Row],[value_id]], Tabelle5[[#This Row],[value_present]],"1")</f>
        <v>0</v>
      </c>
      <c r="E336" s="4">
        <f>_xlfn.MAXIFS(Tabelle5[[#This Row],[value_points]], Tabelle5[[#This Row],[company_id]],Tabelle18[[#This Row],[company_id]], Tabelle5[[#This Row],[value_id]], Tabelle18[[#This Row],[value_id]], Tabelle5[[#This Row],[value_present]],"1")</f>
        <v>0</v>
      </c>
    </row>
    <row r="337" spans="1:5" x14ac:dyDescent="0.25">
      <c r="A337">
        <v>19</v>
      </c>
      <c r="B337" t="s">
        <v>132</v>
      </c>
      <c r="C337" s="4">
        <f>IF(Tabelle18[[#This Row],[binding_level_company]]&gt;=1,1,0)</f>
        <v>0</v>
      </c>
      <c r="D337" s="4">
        <f>_xlfn.MAXIFS(Tabelle5[[#This Row],[binding_level]], Tabelle5[[#This Row],[company_id]],Tabelle18[[#This Row],[company_id]], Tabelle5[[#This Row],[value_id]], Tabelle18[[#This Row],[value_id]], Tabelle5[[#This Row],[value_present]],"1")</f>
        <v>0</v>
      </c>
      <c r="E337" s="4">
        <f>_xlfn.MAXIFS(Tabelle5[[#This Row],[value_points]], Tabelle5[[#This Row],[company_id]],Tabelle18[[#This Row],[company_id]], Tabelle5[[#This Row],[value_id]], Tabelle18[[#This Row],[value_id]], Tabelle5[[#This Row],[value_present]],"1")</f>
        <v>0</v>
      </c>
    </row>
    <row r="338" spans="1:5" x14ac:dyDescent="0.25">
      <c r="A338">
        <v>19</v>
      </c>
      <c r="B338" t="s">
        <v>140</v>
      </c>
      <c r="C338" s="4">
        <f>IF(Tabelle18[[#This Row],[binding_level_company]]&gt;=1,1,0)</f>
        <v>0</v>
      </c>
      <c r="D338" s="4">
        <f>_xlfn.MAXIFS(Tabelle5[[#This Row],[binding_level]], Tabelle5[[#This Row],[company_id]],Tabelle18[[#This Row],[company_id]], Tabelle5[[#This Row],[value_id]], Tabelle18[[#This Row],[value_id]], Tabelle5[[#This Row],[value_present]],"1")</f>
        <v>0</v>
      </c>
      <c r="E338" s="4">
        <f>_xlfn.MAXIFS(Tabelle5[[#This Row],[value_points]], Tabelle5[[#This Row],[company_id]],Tabelle18[[#This Row],[company_id]], Tabelle5[[#This Row],[value_id]], Tabelle18[[#This Row],[value_id]], Tabelle5[[#This Row],[value_present]],"1")</f>
        <v>0</v>
      </c>
    </row>
    <row r="339" spans="1:5" x14ac:dyDescent="0.25">
      <c r="A339">
        <v>19</v>
      </c>
      <c r="B339" t="s">
        <v>147</v>
      </c>
      <c r="C339" s="4">
        <f>IF(Tabelle18[[#This Row],[binding_level_company]]&gt;=1,1,0)</f>
        <v>0</v>
      </c>
      <c r="D339" s="4">
        <f>_xlfn.MAXIFS(Tabelle5[[#This Row],[binding_level]], Tabelle5[[#This Row],[company_id]],Tabelle18[[#This Row],[company_id]], Tabelle5[[#This Row],[value_id]], Tabelle18[[#This Row],[value_id]], Tabelle5[[#This Row],[value_present]],"1")</f>
        <v>0</v>
      </c>
      <c r="E339" s="4">
        <f>_xlfn.MAXIFS(Tabelle5[[#This Row],[value_points]], Tabelle5[[#This Row],[company_id]],Tabelle18[[#This Row],[company_id]], Tabelle5[[#This Row],[value_id]], Tabelle18[[#This Row],[value_id]], Tabelle5[[#This Row],[value_present]],"1")</f>
        <v>0</v>
      </c>
    </row>
    <row r="340" spans="1:5" x14ac:dyDescent="0.25">
      <c r="A340">
        <v>19</v>
      </c>
      <c r="B340" t="s">
        <v>154</v>
      </c>
      <c r="C340" s="4">
        <f>IF(Tabelle18[[#This Row],[binding_level_company]]&gt;=1,1,0)</f>
        <v>0</v>
      </c>
      <c r="D340" s="4">
        <f>_xlfn.MAXIFS(Tabelle5[[#This Row],[binding_level]], Tabelle5[[#This Row],[company_id]],Tabelle18[[#This Row],[company_id]], Tabelle5[[#This Row],[value_id]], Tabelle18[[#This Row],[value_id]], Tabelle5[[#This Row],[value_present]],"1")</f>
        <v>0</v>
      </c>
      <c r="E340" s="4">
        <f>_xlfn.MAXIFS(Tabelle5[[#This Row],[value_points]], Tabelle5[[#This Row],[company_id]],Tabelle18[[#This Row],[company_id]], Tabelle5[[#This Row],[value_id]], Tabelle18[[#This Row],[value_id]], Tabelle5[[#This Row],[value_present]],"1")</f>
        <v>0</v>
      </c>
    </row>
    <row r="341" spans="1:5" x14ac:dyDescent="0.25">
      <c r="A341">
        <v>19</v>
      </c>
      <c r="B341" t="s">
        <v>161</v>
      </c>
      <c r="C341" s="4">
        <f>IF(Tabelle18[[#This Row],[binding_level_company]]&gt;=1,1,0)</f>
        <v>0</v>
      </c>
      <c r="D341" s="4">
        <f>_xlfn.MAXIFS(Tabelle5[[#This Row],[binding_level]], Tabelle5[[#This Row],[company_id]],Tabelle18[[#This Row],[company_id]], Tabelle5[[#This Row],[value_id]], Tabelle18[[#This Row],[value_id]], Tabelle5[[#This Row],[value_present]],"1")</f>
        <v>0</v>
      </c>
      <c r="E341" s="4">
        <f>_xlfn.MAXIFS(Tabelle5[[#This Row],[value_points]], Tabelle5[[#This Row],[company_id]],Tabelle18[[#This Row],[company_id]], Tabelle5[[#This Row],[value_id]], Tabelle18[[#This Row],[value_id]], Tabelle5[[#This Row],[value_present]],"1")</f>
        <v>0</v>
      </c>
    </row>
    <row r="342" spans="1:5" x14ac:dyDescent="0.25">
      <c r="A342">
        <v>19</v>
      </c>
      <c r="B342" t="s">
        <v>166</v>
      </c>
      <c r="C342" s="4">
        <f>IF(Tabelle18[[#This Row],[binding_level_company]]&gt;=1,1,0)</f>
        <v>0</v>
      </c>
      <c r="D342" s="4">
        <f>_xlfn.MAXIFS(Tabelle5[[#This Row],[binding_level]], Tabelle5[[#This Row],[company_id]],Tabelle18[[#This Row],[company_id]], Tabelle5[[#This Row],[value_id]], Tabelle18[[#This Row],[value_id]], Tabelle5[[#This Row],[value_present]],"1")</f>
        <v>0</v>
      </c>
      <c r="E342" s="4">
        <f>_xlfn.MAXIFS(Tabelle5[[#This Row],[value_points]], Tabelle5[[#This Row],[company_id]],Tabelle18[[#This Row],[company_id]], Tabelle5[[#This Row],[value_id]], Tabelle18[[#This Row],[value_id]], Tabelle5[[#This Row],[value_present]],"1")</f>
        <v>0</v>
      </c>
    </row>
    <row r="343" spans="1:5" ht="15.75" thickBot="1" x14ac:dyDescent="0.3">
      <c r="A343">
        <v>19</v>
      </c>
      <c r="B343" s="30" t="s">
        <v>174</v>
      </c>
      <c r="C343" s="4">
        <f>IF(Tabelle18[[#This Row],[binding_level_company]]&gt;=1,1,0)</f>
        <v>0</v>
      </c>
      <c r="D343" s="4">
        <f>_xlfn.MAXIFS(Tabelle5[[#This Row],[binding_level]], Tabelle5[[#This Row],[company_id]],Tabelle18[[#This Row],[company_id]], Tabelle5[[#This Row],[value_id]], Tabelle18[[#This Row],[value_id]], Tabelle5[[#This Row],[value_present]],"1")</f>
        <v>0</v>
      </c>
      <c r="E343" s="4">
        <f>_xlfn.MAXIFS(Tabelle5[[#This Row],[value_points]], Tabelle5[[#This Row],[company_id]],Tabelle18[[#This Row],[company_id]], Tabelle5[[#This Row],[value_id]], Tabelle18[[#This Row],[value_id]], Tabelle5[[#This Row],[value_present]],"1")</f>
        <v>0</v>
      </c>
    </row>
    <row r="344" spans="1:5" x14ac:dyDescent="0.25">
      <c r="A344">
        <v>20</v>
      </c>
      <c r="B344" s="22" t="s">
        <v>53</v>
      </c>
      <c r="C344" s="4">
        <f>IF(Tabelle18[[#This Row],[binding_level_company]]&gt;=1,1,0)</f>
        <v>0</v>
      </c>
      <c r="D344" s="4">
        <f>_xlfn.MAXIFS(Tabelle5[[#This Row],[binding_level]], Tabelle5[[#This Row],[company_id]],Tabelle18[[#This Row],[company_id]], Tabelle5[[#This Row],[value_id]], Tabelle18[[#This Row],[value_id]], Tabelle5[[#This Row],[value_present]],"1")</f>
        <v>0</v>
      </c>
      <c r="E344" s="4">
        <f>_xlfn.MAXIFS(Tabelle5[[#This Row],[value_points]], Tabelle5[[#This Row],[company_id]],Tabelle18[[#This Row],[company_id]], Tabelle5[[#This Row],[value_id]], Tabelle18[[#This Row],[value_id]], Tabelle5[[#This Row],[value_present]],"1")</f>
        <v>0</v>
      </c>
    </row>
    <row r="345" spans="1:5" x14ac:dyDescent="0.25">
      <c r="A345">
        <v>20</v>
      </c>
      <c r="B345" t="s">
        <v>61</v>
      </c>
      <c r="C345" s="4">
        <f>IF(Tabelle18[[#This Row],[binding_level_company]]&gt;=1,1,0)</f>
        <v>0</v>
      </c>
      <c r="D345" s="4">
        <f>_xlfn.MAXIFS(Tabelle5[[#This Row],[binding_level]], Tabelle5[[#This Row],[company_id]],Tabelle18[[#This Row],[company_id]], Tabelle5[[#This Row],[value_id]], Tabelle18[[#This Row],[value_id]], Tabelle5[[#This Row],[value_present]],"1")</f>
        <v>0</v>
      </c>
      <c r="E345" s="4">
        <f>_xlfn.MAXIFS(Tabelle5[[#This Row],[value_points]], Tabelle5[[#This Row],[company_id]],Tabelle18[[#This Row],[company_id]], Tabelle5[[#This Row],[value_id]], Tabelle18[[#This Row],[value_id]], Tabelle5[[#This Row],[value_present]],"1")</f>
        <v>0</v>
      </c>
    </row>
    <row r="346" spans="1:5" x14ac:dyDescent="0.25">
      <c r="A346">
        <v>20</v>
      </c>
      <c r="B346" t="s">
        <v>69</v>
      </c>
      <c r="C346" s="4">
        <f>IF(Tabelle18[[#This Row],[binding_level_company]]&gt;=1,1,0)</f>
        <v>0</v>
      </c>
      <c r="D346" s="4">
        <f>_xlfn.MAXIFS(Tabelle5[[#This Row],[binding_level]], Tabelle5[[#This Row],[company_id]],Tabelle18[[#This Row],[company_id]], Tabelle5[[#This Row],[value_id]], Tabelle18[[#This Row],[value_id]], Tabelle5[[#This Row],[value_present]],"1")</f>
        <v>0</v>
      </c>
      <c r="E346" s="4">
        <f>_xlfn.MAXIFS(Tabelle5[[#This Row],[value_points]], Tabelle5[[#This Row],[company_id]],Tabelle18[[#This Row],[company_id]], Tabelle5[[#This Row],[value_id]], Tabelle18[[#This Row],[value_id]], Tabelle5[[#This Row],[value_present]],"1")</f>
        <v>0</v>
      </c>
    </row>
    <row r="347" spans="1:5" x14ac:dyDescent="0.25">
      <c r="A347">
        <v>20</v>
      </c>
      <c r="B347" t="s">
        <v>76</v>
      </c>
      <c r="C347" s="4">
        <f>IF(Tabelle18[[#This Row],[binding_level_company]]&gt;=1,1,0)</f>
        <v>0</v>
      </c>
      <c r="D347" s="4">
        <f>_xlfn.MAXIFS(Tabelle5[[#This Row],[binding_level]], Tabelle5[[#This Row],[company_id]],Tabelle18[[#This Row],[company_id]], Tabelle5[[#This Row],[value_id]], Tabelle18[[#This Row],[value_id]], Tabelle5[[#This Row],[value_present]],"1")</f>
        <v>0</v>
      </c>
      <c r="E347" s="4">
        <f>_xlfn.MAXIFS(Tabelle5[[#This Row],[value_points]], Tabelle5[[#This Row],[company_id]],Tabelle18[[#This Row],[company_id]], Tabelle5[[#This Row],[value_id]], Tabelle18[[#This Row],[value_id]], Tabelle5[[#This Row],[value_present]],"1")</f>
        <v>0</v>
      </c>
    </row>
    <row r="348" spans="1:5" x14ac:dyDescent="0.25">
      <c r="A348">
        <v>20</v>
      </c>
      <c r="B348" t="s">
        <v>83</v>
      </c>
      <c r="C348" s="4">
        <f>IF(Tabelle18[[#This Row],[binding_level_company]]&gt;=1,1,0)</f>
        <v>0</v>
      </c>
      <c r="D348" s="4">
        <f>_xlfn.MAXIFS(Tabelle5[[#This Row],[binding_level]], Tabelle5[[#This Row],[company_id]],Tabelle18[[#This Row],[company_id]], Tabelle5[[#This Row],[value_id]], Tabelle18[[#This Row],[value_id]], Tabelle5[[#This Row],[value_present]],"1")</f>
        <v>0</v>
      </c>
      <c r="E348" s="4">
        <f>_xlfn.MAXIFS(Tabelle5[[#This Row],[value_points]], Tabelle5[[#This Row],[company_id]],Tabelle18[[#This Row],[company_id]], Tabelle5[[#This Row],[value_id]], Tabelle18[[#This Row],[value_id]], Tabelle5[[#This Row],[value_present]],"1")</f>
        <v>0</v>
      </c>
    </row>
    <row r="349" spans="1:5" x14ac:dyDescent="0.25">
      <c r="A349">
        <v>20</v>
      </c>
      <c r="B349" t="s">
        <v>90</v>
      </c>
      <c r="C349" s="4">
        <f>IF(Tabelle18[[#This Row],[binding_level_company]]&gt;=1,1,0)</f>
        <v>0</v>
      </c>
      <c r="D349" s="4">
        <f>_xlfn.MAXIFS(Tabelle5[[#This Row],[binding_level]], Tabelle5[[#This Row],[company_id]],Tabelle18[[#This Row],[company_id]], Tabelle5[[#This Row],[value_id]], Tabelle18[[#This Row],[value_id]], Tabelle5[[#This Row],[value_present]],"1")</f>
        <v>0</v>
      </c>
      <c r="E349" s="4">
        <f>_xlfn.MAXIFS(Tabelle5[[#This Row],[value_points]], Tabelle5[[#This Row],[company_id]],Tabelle18[[#This Row],[company_id]], Tabelle5[[#This Row],[value_id]], Tabelle18[[#This Row],[value_id]], Tabelle5[[#This Row],[value_present]],"1")</f>
        <v>0</v>
      </c>
    </row>
    <row r="350" spans="1:5" x14ac:dyDescent="0.25">
      <c r="A350">
        <v>20</v>
      </c>
      <c r="B350" t="s">
        <v>98</v>
      </c>
      <c r="C350" s="4">
        <f>IF(Tabelle18[[#This Row],[binding_level_company]]&gt;=1,1,0)</f>
        <v>0</v>
      </c>
      <c r="D350" s="4">
        <f>_xlfn.MAXIFS(Tabelle5[[#This Row],[binding_level]], Tabelle5[[#This Row],[company_id]],Tabelle18[[#This Row],[company_id]], Tabelle5[[#This Row],[value_id]], Tabelle18[[#This Row],[value_id]], Tabelle5[[#This Row],[value_present]],"1")</f>
        <v>0</v>
      </c>
      <c r="E350" s="4">
        <f>_xlfn.MAXIFS(Tabelle5[[#This Row],[value_points]], Tabelle5[[#This Row],[company_id]],Tabelle18[[#This Row],[company_id]], Tabelle5[[#This Row],[value_id]], Tabelle18[[#This Row],[value_id]], Tabelle5[[#This Row],[value_present]],"1")</f>
        <v>0</v>
      </c>
    </row>
    <row r="351" spans="1:5" x14ac:dyDescent="0.25">
      <c r="A351">
        <v>20</v>
      </c>
      <c r="B351" t="s">
        <v>106</v>
      </c>
      <c r="C351" s="4">
        <f>IF(Tabelle18[[#This Row],[binding_level_company]]&gt;=1,1,0)</f>
        <v>0</v>
      </c>
      <c r="D351" s="4">
        <f>_xlfn.MAXIFS(Tabelle5[[#This Row],[binding_level]], Tabelle5[[#This Row],[company_id]],Tabelle18[[#This Row],[company_id]], Tabelle5[[#This Row],[value_id]], Tabelle18[[#This Row],[value_id]], Tabelle5[[#This Row],[value_present]],"1")</f>
        <v>0</v>
      </c>
      <c r="E351" s="4">
        <f>_xlfn.MAXIFS(Tabelle5[[#This Row],[value_points]], Tabelle5[[#This Row],[company_id]],Tabelle18[[#This Row],[company_id]], Tabelle5[[#This Row],[value_id]], Tabelle18[[#This Row],[value_id]], Tabelle5[[#This Row],[value_present]],"1")</f>
        <v>0</v>
      </c>
    </row>
    <row r="352" spans="1:5" x14ac:dyDescent="0.25">
      <c r="A352">
        <v>20</v>
      </c>
      <c r="B352" t="s">
        <v>112</v>
      </c>
      <c r="C352" s="4">
        <f>IF(Tabelle18[[#This Row],[binding_level_company]]&gt;=1,1,0)</f>
        <v>0</v>
      </c>
      <c r="D352" s="4">
        <f>_xlfn.MAXIFS(Tabelle5[[#This Row],[binding_level]], Tabelle5[[#This Row],[company_id]],Tabelle18[[#This Row],[company_id]], Tabelle5[[#This Row],[value_id]], Tabelle18[[#This Row],[value_id]], Tabelle5[[#This Row],[value_present]],"1")</f>
        <v>0</v>
      </c>
      <c r="E352" s="4">
        <f>_xlfn.MAXIFS(Tabelle5[[#This Row],[value_points]], Tabelle5[[#This Row],[company_id]],Tabelle18[[#This Row],[company_id]], Tabelle5[[#This Row],[value_id]], Tabelle18[[#This Row],[value_id]], Tabelle5[[#This Row],[value_present]],"1")</f>
        <v>0</v>
      </c>
    </row>
    <row r="353" spans="1:5" x14ac:dyDescent="0.25">
      <c r="A353">
        <v>20</v>
      </c>
      <c r="B353" t="s">
        <v>118</v>
      </c>
      <c r="C353" s="4">
        <f>IF(Tabelle18[[#This Row],[binding_level_company]]&gt;=1,1,0)</f>
        <v>0</v>
      </c>
      <c r="D353" s="4">
        <f>_xlfn.MAXIFS(Tabelle5[[#This Row],[binding_level]], Tabelle5[[#This Row],[company_id]],Tabelle18[[#This Row],[company_id]], Tabelle5[[#This Row],[value_id]], Tabelle18[[#This Row],[value_id]], Tabelle5[[#This Row],[value_present]],"1")</f>
        <v>0</v>
      </c>
      <c r="E353" s="4">
        <f>_xlfn.MAXIFS(Tabelle5[[#This Row],[value_points]], Tabelle5[[#This Row],[company_id]],Tabelle18[[#This Row],[company_id]], Tabelle5[[#This Row],[value_id]], Tabelle18[[#This Row],[value_id]], Tabelle5[[#This Row],[value_present]],"1")</f>
        <v>0</v>
      </c>
    </row>
    <row r="354" spans="1:5" x14ac:dyDescent="0.25">
      <c r="A354">
        <v>20</v>
      </c>
      <c r="B354" t="s">
        <v>125</v>
      </c>
      <c r="C354" s="4">
        <f>IF(Tabelle18[[#This Row],[binding_level_company]]&gt;=1,1,0)</f>
        <v>0</v>
      </c>
      <c r="D354" s="4">
        <f>_xlfn.MAXIFS(Tabelle5[[#This Row],[binding_level]], Tabelle5[[#This Row],[company_id]],Tabelle18[[#This Row],[company_id]], Tabelle5[[#This Row],[value_id]], Tabelle18[[#This Row],[value_id]], Tabelle5[[#This Row],[value_present]],"1")</f>
        <v>0</v>
      </c>
      <c r="E354" s="4">
        <f>_xlfn.MAXIFS(Tabelle5[[#This Row],[value_points]], Tabelle5[[#This Row],[company_id]],Tabelle18[[#This Row],[company_id]], Tabelle5[[#This Row],[value_id]], Tabelle18[[#This Row],[value_id]], Tabelle5[[#This Row],[value_present]],"1")</f>
        <v>0</v>
      </c>
    </row>
    <row r="355" spans="1:5" x14ac:dyDescent="0.25">
      <c r="A355">
        <v>20</v>
      </c>
      <c r="B355" t="s">
        <v>132</v>
      </c>
      <c r="C355" s="4">
        <f>IF(Tabelle18[[#This Row],[binding_level_company]]&gt;=1,1,0)</f>
        <v>0</v>
      </c>
      <c r="D355" s="4">
        <f>_xlfn.MAXIFS(Tabelle5[[#This Row],[binding_level]], Tabelle5[[#This Row],[company_id]],Tabelle18[[#This Row],[company_id]], Tabelle5[[#This Row],[value_id]], Tabelle18[[#This Row],[value_id]], Tabelle5[[#This Row],[value_present]],"1")</f>
        <v>0</v>
      </c>
      <c r="E355" s="4">
        <f>_xlfn.MAXIFS(Tabelle5[[#This Row],[value_points]], Tabelle5[[#This Row],[company_id]],Tabelle18[[#This Row],[company_id]], Tabelle5[[#This Row],[value_id]], Tabelle18[[#This Row],[value_id]], Tabelle5[[#This Row],[value_present]],"1")</f>
        <v>0</v>
      </c>
    </row>
    <row r="356" spans="1:5" x14ac:dyDescent="0.25">
      <c r="A356">
        <v>20</v>
      </c>
      <c r="B356" t="s">
        <v>140</v>
      </c>
      <c r="C356" s="4">
        <f>IF(Tabelle18[[#This Row],[binding_level_company]]&gt;=1,1,0)</f>
        <v>0</v>
      </c>
      <c r="D356" s="4">
        <f>_xlfn.MAXIFS(Tabelle5[[#This Row],[binding_level]], Tabelle5[[#This Row],[company_id]],Tabelle18[[#This Row],[company_id]], Tabelle5[[#This Row],[value_id]], Tabelle18[[#This Row],[value_id]], Tabelle5[[#This Row],[value_present]],"1")</f>
        <v>0</v>
      </c>
      <c r="E356" s="4">
        <f>_xlfn.MAXIFS(Tabelle5[[#This Row],[value_points]], Tabelle5[[#This Row],[company_id]],Tabelle18[[#This Row],[company_id]], Tabelle5[[#This Row],[value_id]], Tabelle18[[#This Row],[value_id]], Tabelle5[[#This Row],[value_present]],"1")</f>
        <v>0</v>
      </c>
    </row>
    <row r="357" spans="1:5" x14ac:dyDescent="0.25">
      <c r="A357">
        <v>20</v>
      </c>
      <c r="B357" t="s">
        <v>147</v>
      </c>
      <c r="C357" s="4">
        <f>IF(Tabelle18[[#This Row],[binding_level_company]]&gt;=1,1,0)</f>
        <v>0</v>
      </c>
      <c r="D357" s="4">
        <f>_xlfn.MAXIFS(Tabelle5[[#This Row],[binding_level]], Tabelle5[[#This Row],[company_id]],Tabelle18[[#This Row],[company_id]], Tabelle5[[#This Row],[value_id]], Tabelle18[[#This Row],[value_id]], Tabelle5[[#This Row],[value_present]],"1")</f>
        <v>0</v>
      </c>
      <c r="E357" s="4">
        <f>_xlfn.MAXIFS(Tabelle5[[#This Row],[value_points]], Tabelle5[[#This Row],[company_id]],Tabelle18[[#This Row],[company_id]], Tabelle5[[#This Row],[value_id]], Tabelle18[[#This Row],[value_id]], Tabelle5[[#This Row],[value_present]],"1")</f>
        <v>0</v>
      </c>
    </row>
    <row r="358" spans="1:5" x14ac:dyDescent="0.25">
      <c r="A358">
        <v>20</v>
      </c>
      <c r="B358" t="s">
        <v>154</v>
      </c>
      <c r="C358" s="4">
        <f>IF(Tabelle18[[#This Row],[binding_level_company]]&gt;=1,1,0)</f>
        <v>0</v>
      </c>
      <c r="D358" s="4">
        <f>_xlfn.MAXIFS(Tabelle5[[#This Row],[binding_level]], Tabelle5[[#This Row],[company_id]],Tabelle18[[#This Row],[company_id]], Tabelle5[[#This Row],[value_id]], Tabelle18[[#This Row],[value_id]], Tabelle5[[#This Row],[value_present]],"1")</f>
        <v>0</v>
      </c>
      <c r="E358" s="4">
        <f>_xlfn.MAXIFS(Tabelle5[[#This Row],[value_points]], Tabelle5[[#This Row],[company_id]],Tabelle18[[#This Row],[company_id]], Tabelle5[[#This Row],[value_id]], Tabelle18[[#This Row],[value_id]], Tabelle5[[#This Row],[value_present]],"1")</f>
        <v>0</v>
      </c>
    </row>
    <row r="359" spans="1:5" x14ac:dyDescent="0.25">
      <c r="A359">
        <v>20</v>
      </c>
      <c r="B359" t="s">
        <v>161</v>
      </c>
      <c r="C359" s="4">
        <f>IF(Tabelle18[[#This Row],[binding_level_company]]&gt;=1,1,0)</f>
        <v>0</v>
      </c>
      <c r="D359" s="4">
        <f>_xlfn.MAXIFS(Tabelle5[[#This Row],[binding_level]], Tabelle5[[#This Row],[company_id]],Tabelle18[[#This Row],[company_id]], Tabelle5[[#This Row],[value_id]], Tabelle18[[#This Row],[value_id]], Tabelle5[[#This Row],[value_present]],"1")</f>
        <v>0</v>
      </c>
      <c r="E359" s="4">
        <f>_xlfn.MAXIFS(Tabelle5[[#This Row],[value_points]], Tabelle5[[#This Row],[company_id]],Tabelle18[[#This Row],[company_id]], Tabelle5[[#This Row],[value_id]], Tabelle18[[#This Row],[value_id]], Tabelle5[[#This Row],[value_present]],"1")</f>
        <v>0</v>
      </c>
    </row>
    <row r="360" spans="1:5" x14ac:dyDescent="0.25">
      <c r="A360">
        <v>20</v>
      </c>
      <c r="B360" t="s">
        <v>166</v>
      </c>
      <c r="C360" s="4">
        <f>IF(Tabelle18[[#This Row],[binding_level_company]]&gt;=1,1,0)</f>
        <v>0</v>
      </c>
      <c r="D360" s="4">
        <f>_xlfn.MAXIFS(Tabelle5[[#This Row],[binding_level]], Tabelle5[[#This Row],[company_id]],Tabelle18[[#This Row],[company_id]], Tabelle5[[#This Row],[value_id]], Tabelle18[[#This Row],[value_id]], Tabelle5[[#This Row],[value_present]],"1")</f>
        <v>0</v>
      </c>
      <c r="E360" s="4">
        <f>_xlfn.MAXIFS(Tabelle5[[#This Row],[value_points]], Tabelle5[[#This Row],[company_id]],Tabelle18[[#This Row],[company_id]], Tabelle5[[#This Row],[value_id]], Tabelle18[[#This Row],[value_id]], Tabelle5[[#This Row],[value_present]],"1")</f>
        <v>0</v>
      </c>
    </row>
    <row r="361" spans="1:5" ht="15.75" thickBot="1" x14ac:dyDescent="0.3">
      <c r="A361">
        <v>20</v>
      </c>
      <c r="B361" s="30" t="s">
        <v>174</v>
      </c>
      <c r="C361" s="4">
        <f>IF(Tabelle18[[#This Row],[binding_level_company]]&gt;=1,1,0)</f>
        <v>0</v>
      </c>
      <c r="D361" s="4">
        <f>_xlfn.MAXIFS(Tabelle5[[#This Row],[binding_level]], Tabelle5[[#This Row],[company_id]],Tabelle18[[#This Row],[company_id]], Tabelle5[[#This Row],[value_id]], Tabelle18[[#This Row],[value_id]], Tabelle5[[#This Row],[value_present]],"1")</f>
        <v>0</v>
      </c>
      <c r="E361" s="4">
        <f>_xlfn.MAXIFS(Tabelle5[[#This Row],[value_points]], Tabelle5[[#This Row],[company_id]],Tabelle18[[#This Row],[company_id]], Tabelle5[[#This Row],[value_id]], Tabelle18[[#This Row],[value_id]], Tabelle5[[#This Row],[value_present]],"1")</f>
        <v>0</v>
      </c>
    </row>
    <row r="362" spans="1:5" x14ac:dyDescent="0.25">
      <c r="A362">
        <v>21</v>
      </c>
      <c r="B362" s="22" t="s">
        <v>53</v>
      </c>
      <c r="C362" s="4">
        <f>IF(Tabelle18[[#This Row],[binding_level_company]]&gt;=1,1,0)</f>
        <v>0</v>
      </c>
      <c r="D362" s="4">
        <f>_xlfn.MAXIFS(Tabelle5[[#This Row],[binding_level]], Tabelle5[[#This Row],[company_id]],Tabelle18[[#This Row],[company_id]], Tabelle5[[#This Row],[value_id]], Tabelle18[[#This Row],[value_id]], Tabelle5[[#This Row],[value_present]],"1")</f>
        <v>0</v>
      </c>
      <c r="E362" s="4">
        <f>_xlfn.MAXIFS(Tabelle5[[#This Row],[value_points]], Tabelle5[[#This Row],[company_id]],Tabelle18[[#This Row],[company_id]], Tabelle5[[#This Row],[value_id]], Tabelle18[[#This Row],[value_id]], Tabelle5[[#This Row],[value_present]],"1")</f>
        <v>0</v>
      </c>
    </row>
    <row r="363" spans="1:5" x14ac:dyDescent="0.25">
      <c r="A363">
        <v>21</v>
      </c>
      <c r="B363" t="s">
        <v>61</v>
      </c>
      <c r="C363" s="4">
        <f>IF(Tabelle18[[#This Row],[binding_level_company]]&gt;=1,1,0)</f>
        <v>0</v>
      </c>
      <c r="D363" s="4">
        <f>_xlfn.MAXIFS(Tabelle5[[#This Row],[binding_level]], Tabelle5[[#This Row],[company_id]],Tabelle18[[#This Row],[company_id]], Tabelle5[[#This Row],[value_id]], Tabelle18[[#This Row],[value_id]], Tabelle5[[#This Row],[value_present]],"1")</f>
        <v>0</v>
      </c>
      <c r="E363" s="4">
        <f>_xlfn.MAXIFS(Tabelle5[[#This Row],[value_points]], Tabelle5[[#This Row],[company_id]],Tabelle18[[#This Row],[company_id]], Tabelle5[[#This Row],[value_id]], Tabelle18[[#This Row],[value_id]], Tabelle5[[#This Row],[value_present]],"1")</f>
        <v>0</v>
      </c>
    </row>
    <row r="364" spans="1:5" x14ac:dyDescent="0.25">
      <c r="A364">
        <v>21</v>
      </c>
      <c r="B364" t="s">
        <v>69</v>
      </c>
      <c r="C364" s="4">
        <f>IF(Tabelle18[[#This Row],[binding_level_company]]&gt;=1,1,0)</f>
        <v>0</v>
      </c>
      <c r="D364" s="4">
        <f>_xlfn.MAXIFS(Tabelle5[[#This Row],[binding_level]], Tabelle5[[#This Row],[company_id]],Tabelle18[[#This Row],[company_id]], Tabelle5[[#This Row],[value_id]], Tabelle18[[#This Row],[value_id]], Tabelle5[[#This Row],[value_present]],"1")</f>
        <v>0</v>
      </c>
      <c r="E364" s="4">
        <f>_xlfn.MAXIFS(Tabelle5[[#This Row],[value_points]], Tabelle5[[#This Row],[company_id]],Tabelle18[[#This Row],[company_id]], Tabelle5[[#This Row],[value_id]], Tabelle18[[#This Row],[value_id]], Tabelle5[[#This Row],[value_present]],"1")</f>
        <v>0</v>
      </c>
    </row>
    <row r="365" spans="1:5" x14ac:dyDescent="0.25">
      <c r="A365">
        <v>21</v>
      </c>
      <c r="B365" t="s">
        <v>76</v>
      </c>
      <c r="C365" s="4">
        <f>IF(Tabelle18[[#This Row],[binding_level_company]]&gt;=1,1,0)</f>
        <v>0</v>
      </c>
      <c r="D365" s="4">
        <f>_xlfn.MAXIFS(Tabelle5[[#This Row],[binding_level]], Tabelle5[[#This Row],[company_id]],Tabelle18[[#This Row],[company_id]], Tabelle5[[#This Row],[value_id]], Tabelle18[[#This Row],[value_id]], Tabelle5[[#This Row],[value_present]],"1")</f>
        <v>0</v>
      </c>
      <c r="E365" s="4">
        <f>_xlfn.MAXIFS(Tabelle5[[#This Row],[value_points]], Tabelle5[[#This Row],[company_id]],Tabelle18[[#This Row],[company_id]], Tabelle5[[#This Row],[value_id]], Tabelle18[[#This Row],[value_id]], Tabelle5[[#This Row],[value_present]],"1")</f>
        <v>0</v>
      </c>
    </row>
    <row r="366" spans="1:5" x14ac:dyDescent="0.25">
      <c r="A366">
        <v>21</v>
      </c>
      <c r="B366" t="s">
        <v>83</v>
      </c>
      <c r="C366" s="4">
        <f>IF(Tabelle18[[#This Row],[binding_level_company]]&gt;=1,1,0)</f>
        <v>0</v>
      </c>
      <c r="D366" s="4">
        <f>_xlfn.MAXIFS(Tabelle5[[#This Row],[binding_level]], Tabelle5[[#This Row],[company_id]],Tabelle18[[#This Row],[company_id]], Tabelle5[[#This Row],[value_id]], Tabelle18[[#This Row],[value_id]], Tabelle5[[#This Row],[value_present]],"1")</f>
        <v>0</v>
      </c>
      <c r="E366" s="4">
        <f>_xlfn.MAXIFS(Tabelle5[[#This Row],[value_points]], Tabelle5[[#This Row],[company_id]],Tabelle18[[#This Row],[company_id]], Tabelle5[[#This Row],[value_id]], Tabelle18[[#This Row],[value_id]], Tabelle5[[#This Row],[value_present]],"1")</f>
        <v>0</v>
      </c>
    </row>
    <row r="367" spans="1:5" x14ac:dyDescent="0.25">
      <c r="A367">
        <v>21</v>
      </c>
      <c r="B367" t="s">
        <v>90</v>
      </c>
      <c r="C367" s="4">
        <f>IF(Tabelle18[[#This Row],[binding_level_company]]&gt;=1,1,0)</f>
        <v>0</v>
      </c>
      <c r="D367" s="4">
        <f>_xlfn.MAXIFS(Tabelle5[[#This Row],[binding_level]], Tabelle5[[#This Row],[company_id]],Tabelle18[[#This Row],[company_id]], Tabelle5[[#This Row],[value_id]], Tabelle18[[#This Row],[value_id]], Tabelle5[[#This Row],[value_present]],"1")</f>
        <v>0</v>
      </c>
      <c r="E367" s="4">
        <f>_xlfn.MAXIFS(Tabelle5[[#This Row],[value_points]], Tabelle5[[#This Row],[company_id]],Tabelle18[[#This Row],[company_id]], Tabelle5[[#This Row],[value_id]], Tabelle18[[#This Row],[value_id]], Tabelle5[[#This Row],[value_present]],"1")</f>
        <v>0</v>
      </c>
    </row>
    <row r="368" spans="1:5" x14ac:dyDescent="0.25">
      <c r="A368">
        <v>21</v>
      </c>
      <c r="B368" t="s">
        <v>98</v>
      </c>
      <c r="C368" s="4">
        <f>IF(Tabelle18[[#This Row],[binding_level_company]]&gt;=1,1,0)</f>
        <v>0</v>
      </c>
      <c r="D368" s="4">
        <f>_xlfn.MAXIFS(Tabelle5[[#This Row],[binding_level]], Tabelle5[[#This Row],[company_id]],Tabelle18[[#This Row],[company_id]], Tabelle5[[#This Row],[value_id]], Tabelle18[[#This Row],[value_id]], Tabelle5[[#This Row],[value_present]],"1")</f>
        <v>0</v>
      </c>
      <c r="E368" s="4">
        <f>_xlfn.MAXIFS(Tabelle5[[#This Row],[value_points]], Tabelle5[[#This Row],[company_id]],Tabelle18[[#This Row],[company_id]], Tabelle5[[#This Row],[value_id]], Tabelle18[[#This Row],[value_id]], Tabelle5[[#This Row],[value_present]],"1")</f>
        <v>0</v>
      </c>
    </row>
    <row r="369" spans="1:5" x14ac:dyDescent="0.25">
      <c r="A369">
        <v>21</v>
      </c>
      <c r="B369" t="s">
        <v>106</v>
      </c>
      <c r="C369" s="4">
        <f>IF(Tabelle18[[#This Row],[binding_level_company]]&gt;=1,1,0)</f>
        <v>0</v>
      </c>
      <c r="D369" s="4">
        <f>_xlfn.MAXIFS(Tabelle5[[#This Row],[binding_level]], Tabelle5[[#This Row],[company_id]],Tabelle18[[#This Row],[company_id]], Tabelle5[[#This Row],[value_id]], Tabelle18[[#This Row],[value_id]], Tabelle5[[#This Row],[value_present]],"1")</f>
        <v>0</v>
      </c>
      <c r="E369" s="4">
        <f>_xlfn.MAXIFS(Tabelle5[[#This Row],[value_points]], Tabelle5[[#This Row],[company_id]],Tabelle18[[#This Row],[company_id]], Tabelle5[[#This Row],[value_id]], Tabelle18[[#This Row],[value_id]], Tabelle5[[#This Row],[value_present]],"1")</f>
        <v>0</v>
      </c>
    </row>
    <row r="370" spans="1:5" x14ac:dyDescent="0.25">
      <c r="A370">
        <v>21</v>
      </c>
      <c r="B370" t="s">
        <v>112</v>
      </c>
      <c r="C370" s="4">
        <f>IF(Tabelle18[[#This Row],[binding_level_company]]&gt;=1,1,0)</f>
        <v>0</v>
      </c>
      <c r="D370" s="4">
        <f>_xlfn.MAXIFS(Tabelle5[[#This Row],[binding_level]], Tabelle5[[#This Row],[company_id]],Tabelle18[[#This Row],[company_id]], Tabelle5[[#This Row],[value_id]], Tabelle18[[#This Row],[value_id]], Tabelle5[[#This Row],[value_present]],"1")</f>
        <v>0</v>
      </c>
      <c r="E370" s="4">
        <f>_xlfn.MAXIFS(Tabelle5[[#This Row],[value_points]], Tabelle5[[#This Row],[company_id]],Tabelle18[[#This Row],[company_id]], Tabelle5[[#This Row],[value_id]], Tabelle18[[#This Row],[value_id]], Tabelle5[[#This Row],[value_present]],"1")</f>
        <v>0</v>
      </c>
    </row>
    <row r="371" spans="1:5" x14ac:dyDescent="0.25">
      <c r="A371">
        <v>21</v>
      </c>
      <c r="B371" t="s">
        <v>118</v>
      </c>
      <c r="C371" s="4">
        <f>IF(Tabelle18[[#This Row],[binding_level_company]]&gt;=1,1,0)</f>
        <v>0</v>
      </c>
      <c r="D371" s="4">
        <f>_xlfn.MAXIFS(Tabelle5[[#This Row],[binding_level]], Tabelle5[[#This Row],[company_id]],Tabelle18[[#This Row],[company_id]], Tabelle5[[#This Row],[value_id]], Tabelle18[[#This Row],[value_id]], Tabelle5[[#This Row],[value_present]],"1")</f>
        <v>0</v>
      </c>
      <c r="E371" s="4">
        <f>_xlfn.MAXIFS(Tabelle5[[#This Row],[value_points]], Tabelle5[[#This Row],[company_id]],Tabelle18[[#This Row],[company_id]], Tabelle5[[#This Row],[value_id]], Tabelle18[[#This Row],[value_id]], Tabelle5[[#This Row],[value_present]],"1")</f>
        <v>0</v>
      </c>
    </row>
    <row r="372" spans="1:5" x14ac:dyDescent="0.25">
      <c r="A372">
        <v>21</v>
      </c>
      <c r="B372" t="s">
        <v>125</v>
      </c>
      <c r="C372" s="4">
        <f>IF(Tabelle18[[#This Row],[binding_level_company]]&gt;=1,1,0)</f>
        <v>0</v>
      </c>
      <c r="D372" s="4">
        <f>_xlfn.MAXIFS(Tabelle5[[#This Row],[binding_level]], Tabelle5[[#This Row],[company_id]],Tabelle18[[#This Row],[company_id]], Tabelle5[[#This Row],[value_id]], Tabelle18[[#This Row],[value_id]], Tabelle5[[#This Row],[value_present]],"1")</f>
        <v>0</v>
      </c>
      <c r="E372" s="4">
        <f>_xlfn.MAXIFS(Tabelle5[[#This Row],[value_points]], Tabelle5[[#This Row],[company_id]],Tabelle18[[#This Row],[company_id]], Tabelle5[[#This Row],[value_id]], Tabelle18[[#This Row],[value_id]], Tabelle5[[#This Row],[value_present]],"1")</f>
        <v>0</v>
      </c>
    </row>
    <row r="373" spans="1:5" x14ac:dyDescent="0.25">
      <c r="A373">
        <v>21</v>
      </c>
      <c r="B373" t="s">
        <v>132</v>
      </c>
      <c r="C373" s="4">
        <f>IF(Tabelle18[[#This Row],[binding_level_company]]&gt;=1,1,0)</f>
        <v>0</v>
      </c>
      <c r="D373" s="4">
        <f>_xlfn.MAXIFS(Tabelle5[[#This Row],[binding_level]], Tabelle5[[#This Row],[company_id]],Tabelle18[[#This Row],[company_id]], Tabelle5[[#This Row],[value_id]], Tabelle18[[#This Row],[value_id]], Tabelle5[[#This Row],[value_present]],"1")</f>
        <v>0</v>
      </c>
      <c r="E373" s="4">
        <f>_xlfn.MAXIFS(Tabelle5[[#This Row],[value_points]], Tabelle5[[#This Row],[company_id]],Tabelle18[[#This Row],[company_id]], Tabelle5[[#This Row],[value_id]], Tabelle18[[#This Row],[value_id]], Tabelle5[[#This Row],[value_present]],"1")</f>
        <v>0</v>
      </c>
    </row>
    <row r="374" spans="1:5" x14ac:dyDescent="0.25">
      <c r="A374">
        <v>21</v>
      </c>
      <c r="B374" t="s">
        <v>140</v>
      </c>
      <c r="C374" s="4">
        <f>IF(Tabelle18[[#This Row],[binding_level_company]]&gt;=1,1,0)</f>
        <v>0</v>
      </c>
      <c r="D374" s="4">
        <f>_xlfn.MAXIFS(Tabelle5[[#This Row],[binding_level]], Tabelle5[[#This Row],[company_id]],Tabelle18[[#This Row],[company_id]], Tabelle5[[#This Row],[value_id]], Tabelle18[[#This Row],[value_id]], Tabelle5[[#This Row],[value_present]],"1")</f>
        <v>0</v>
      </c>
      <c r="E374" s="4">
        <f>_xlfn.MAXIFS(Tabelle5[[#This Row],[value_points]], Tabelle5[[#This Row],[company_id]],Tabelle18[[#This Row],[company_id]], Tabelle5[[#This Row],[value_id]], Tabelle18[[#This Row],[value_id]], Tabelle5[[#This Row],[value_present]],"1")</f>
        <v>0</v>
      </c>
    </row>
    <row r="375" spans="1:5" x14ac:dyDescent="0.25">
      <c r="A375">
        <v>21</v>
      </c>
      <c r="B375" t="s">
        <v>147</v>
      </c>
      <c r="C375" s="4">
        <f>IF(Tabelle18[[#This Row],[binding_level_company]]&gt;=1,1,0)</f>
        <v>0</v>
      </c>
      <c r="D375" s="4">
        <f>_xlfn.MAXIFS(Tabelle5[[#This Row],[binding_level]], Tabelle5[[#This Row],[company_id]],Tabelle18[[#This Row],[company_id]], Tabelle5[[#This Row],[value_id]], Tabelle18[[#This Row],[value_id]], Tabelle5[[#This Row],[value_present]],"1")</f>
        <v>0</v>
      </c>
      <c r="E375" s="4">
        <f>_xlfn.MAXIFS(Tabelle5[[#This Row],[value_points]], Tabelle5[[#This Row],[company_id]],Tabelle18[[#This Row],[company_id]], Tabelle5[[#This Row],[value_id]], Tabelle18[[#This Row],[value_id]], Tabelle5[[#This Row],[value_present]],"1")</f>
        <v>0</v>
      </c>
    </row>
    <row r="376" spans="1:5" x14ac:dyDescent="0.25">
      <c r="A376">
        <v>21</v>
      </c>
      <c r="B376" t="s">
        <v>154</v>
      </c>
      <c r="C376" s="4">
        <f>IF(Tabelle18[[#This Row],[binding_level_company]]&gt;=1,1,0)</f>
        <v>0</v>
      </c>
      <c r="D376" s="4">
        <f>_xlfn.MAXIFS(Tabelle5[[#This Row],[binding_level]], Tabelle5[[#This Row],[company_id]],Tabelle18[[#This Row],[company_id]], Tabelle5[[#This Row],[value_id]], Tabelle18[[#This Row],[value_id]], Tabelle5[[#This Row],[value_present]],"1")</f>
        <v>0</v>
      </c>
      <c r="E376" s="4">
        <f>_xlfn.MAXIFS(Tabelle5[[#This Row],[value_points]], Tabelle5[[#This Row],[company_id]],Tabelle18[[#This Row],[company_id]], Tabelle5[[#This Row],[value_id]], Tabelle18[[#This Row],[value_id]], Tabelle5[[#This Row],[value_present]],"1")</f>
        <v>0</v>
      </c>
    </row>
    <row r="377" spans="1:5" x14ac:dyDescent="0.25">
      <c r="A377">
        <v>21</v>
      </c>
      <c r="B377" t="s">
        <v>161</v>
      </c>
      <c r="C377" s="4">
        <f>IF(Tabelle18[[#This Row],[binding_level_company]]&gt;=1,1,0)</f>
        <v>0</v>
      </c>
      <c r="D377" s="4">
        <f>_xlfn.MAXIFS(Tabelle5[[#This Row],[binding_level]], Tabelle5[[#This Row],[company_id]],Tabelle18[[#This Row],[company_id]], Tabelle5[[#This Row],[value_id]], Tabelle18[[#This Row],[value_id]], Tabelle5[[#This Row],[value_present]],"1")</f>
        <v>0</v>
      </c>
      <c r="E377" s="4">
        <f>_xlfn.MAXIFS(Tabelle5[[#This Row],[value_points]], Tabelle5[[#This Row],[company_id]],Tabelle18[[#This Row],[company_id]], Tabelle5[[#This Row],[value_id]], Tabelle18[[#This Row],[value_id]], Tabelle5[[#This Row],[value_present]],"1")</f>
        <v>0</v>
      </c>
    </row>
    <row r="378" spans="1:5" x14ac:dyDescent="0.25">
      <c r="A378">
        <v>21</v>
      </c>
      <c r="B378" t="s">
        <v>166</v>
      </c>
      <c r="C378" s="4">
        <f>IF(Tabelle18[[#This Row],[binding_level_company]]&gt;=1,1,0)</f>
        <v>0</v>
      </c>
      <c r="D378" s="4">
        <f>_xlfn.MAXIFS(Tabelle5[[#This Row],[binding_level]], Tabelle5[[#This Row],[company_id]],Tabelle18[[#This Row],[company_id]], Tabelle5[[#This Row],[value_id]], Tabelle18[[#This Row],[value_id]], Tabelle5[[#This Row],[value_present]],"1")</f>
        <v>0</v>
      </c>
      <c r="E378" s="4">
        <f>_xlfn.MAXIFS(Tabelle5[[#This Row],[value_points]], Tabelle5[[#This Row],[company_id]],Tabelle18[[#This Row],[company_id]], Tabelle5[[#This Row],[value_id]], Tabelle18[[#This Row],[value_id]], Tabelle5[[#This Row],[value_present]],"1")</f>
        <v>0</v>
      </c>
    </row>
    <row r="379" spans="1:5" ht="15.75" thickBot="1" x14ac:dyDescent="0.3">
      <c r="A379">
        <v>21</v>
      </c>
      <c r="B379" s="30" t="s">
        <v>174</v>
      </c>
      <c r="C379" s="4">
        <f>IF(Tabelle18[[#This Row],[binding_level_company]]&gt;=1,1,0)</f>
        <v>0</v>
      </c>
      <c r="D379" s="4">
        <f>_xlfn.MAXIFS(Tabelle5[[#This Row],[binding_level]], Tabelle5[[#This Row],[company_id]],Tabelle18[[#This Row],[company_id]], Tabelle5[[#This Row],[value_id]], Tabelle18[[#This Row],[value_id]], Tabelle5[[#This Row],[value_present]],"1")</f>
        <v>0</v>
      </c>
      <c r="E379" s="4">
        <f>_xlfn.MAXIFS(Tabelle5[[#This Row],[value_points]], Tabelle5[[#This Row],[company_id]],Tabelle18[[#This Row],[company_id]], Tabelle5[[#This Row],[value_id]], Tabelle18[[#This Row],[value_id]], Tabelle5[[#This Row],[value_present]],"1")</f>
        <v>0</v>
      </c>
    </row>
    <row r="380" spans="1:5" x14ac:dyDescent="0.25">
      <c r="A380">
        <v>22</v>
      </c>
      <c r="B380" s="22" t="s">
        <v>53</v>
      </c>
      <c r="C380" s="4">
        <f>IF(Tabelle18[[#This Row],[binding_level_company]]&gt;=1,1,0)</f>
        <v>0</v>
      </c>
      <c r="D380" s="4">
        <f>_xlfn.MAXIFS(Tabelle5[[#This Row],[binding_level]], Tabelle5[[#This Row],[company_id]],Tabelle18[[#This Row],[company_id]], Tabelle5[[#This Row],[value_id]], Tabelle18[[#This Row],[value_id]], Tabelle5[[#This Row],[value_present]],"1")</f>
        <v>0</v>
      </c>
      <c r="E380" s="4">
        <f>_xlfn.MAXIFS(Tabelle5[[#This Row],[value_points]], Tabelle5[[#This Row],[company_id]],Tabelle18[[#This Row],[company_id]], Tabelle5[[#This Row],[value_id]], Tabelle18[[#This Row],[value_id]], Tabelle5[[#This Row],[value_present]],"1")</f>
        <v>0</v>
      </c>
    </row>
    <row r="381" spans="1:5" x14ac:dyDescent="0.25">
      <c r="A381">
        <v>22</v>
      </c>
      <c r="B381" t="s">
        <v>61</v>
      </c>
      <c r="C381" s="4">
        <f>IF(Tabelle18[[#This Row],[binding_level_company]]&gt;=1,1,0)</f>
        <v>0</v>
      </c>
      <c r="D381" s="4">
        <f>_xlfn.MAXIFS(Tabelle5[[#This Row],[binding_level]], Tabelle5[[#This Row],[company_id]],Tabelle18[[#This Row],[company_id]], Tabelle5[[#This Row],[value_id]], Tabelle18[[#This Row],[value_id]], Tabelle5[[#This Row],[value_present]],"1")</f>
        <v>0</v>
      </c>
      <c r="E381" s="4">
        <f>_xlfn.MAXIFS(Tabelle5[[#This Row],[value_points]], Tabelle5[[#This Row],[company_id]],Tabelle18[[#This Row],[company_id]], Tabelle5[[#This Row],[value_id]], Tabelle18[[#This Row],[value_id]], Tabelle5[[#This Row],[value_present]],"1")</f>
        <v>0</v>
      </c>
    </row>
    <row r="382" spans="1:5" x14ac:dyDescent="0.25">
      <c r="A382">
        <v>22</v>
      </c>
      <c r="B382" t="s">
        <v>69</v>
      </c>
      <c r="C382" s="4">
        <f>IF(Tabelle18[[#This Row],[binding_level_company]]&gt;=1,1,0)</f>
        <v>0</v>
      </c>
      <c r="D382" s="4">
        <f>_xlfn.MAXIFS(Tabelle5[[#This Row],[binding_level]], Tabelle5[[#This Row],[company_id]],Tabelle18[[#This Row],[company_id]], Tabelle5[[#This Row],[value_id]], Tabelle18[[#This Row],[value_id]], Tabelle5[[#This Row],[value_present]],"1")</f>
        <v>0</v>
      </c>
      <c r="E382" s="4">
        <f>_xlfn.MAXIFS(Tabelle5[[#This Row],[value_points]], Tabelle5[[#This Row],[company_id]],Tabelle18[[#This Row],[company_id]], Tabelle5[[#This Row],[value_id]], Tabelle18[[#This Row],[value_id]], Tabelle5[[#This Row],[value_present]],"1")</f>
        <v>0</v>
      </c>
    </row>
    <row r="383" spans="1:5" x14ac:dyDescent="0.25">
      <c r="A383">
        <v>22</v>
      </c>
      <c r="B383" t="s">
        <v>76</v>
      </c>
      <c r="C383" s="4">
        <f>IF(Tabelle18[[#This Row],[binding_level_company]]&gt;=1,1,0)</f>
        <v>0</v>
      </c>
      <c r="D383" s="4">
        <f>_xlfn.MAXIFS(Tabelle5[[#This Row],[binding_level]], Tabelle5[[#This Row],[company_id]],Tabelle18[[#This Row],[company_id]], Tabelle5[[#This Row],[value_id]], Tabelle18[[#This Row],[value_id]], Tabelle5[[#This Row],[value_present]],"1")</f>
        <v>0</v>
      </c>
      <c r="E383" s="4">
        <f>_xlfn.MAXIFS(Tabelle5[[#This Row],[value_points]], Tabelle5[[#This Row],[company_id]],Tabelle18[[#This Row],[company_id]], Tabelle5[[#This Row],[value_id]], Tabelle18[[#This Row],[value_id]], Tabelle5[[#This Row],[value_present]],"1")</f>
        <v>0</v>
      </c>
    </row>
    <row r="384" spans="1:5" x14ac:dyDescent="0.25">
      <c r="A384">
        <v>22</v>
      </c>
      <c r="B384" t="s">
        <v>83</v>
      </c>
      <c r="C384" s="4">
        <f>IF(Tabelle18[[#This Row],[binding_level_company]]&gt;=1,1,0)</f>
        <v>0</v>
      </c>
      <c r="D384" s="4">
        <f>_xlfn.MAXIFS(Tabelle5[[#This Row],[binding_level]], Tabelle5[[#This Row],[company_id]],Tabelle18[[#This Row],[company_id]], Tabelle5[[#This Row],[value_id]], Tabelle18[[#This Row],[value_id]], Tabelle5[[#This Row],[value_present]],"1")</f>
        <v>0</v>
      </c>
      <c r="E384" s="4">
        <f>_xlfn.MAXIFS(Tabelle5[[#This Row],[value_points]], Tabelle5[[#This Row],[company_id]],Tabelle18[[#This Row],[company_id]], Tabelle5[[#This Row],[value_id]], Tabelle18[[#This Row],[value_id]], Tabelle5[[#This Row],[value_present]],"1")</f>
        <v>0</v>
      </c>
    </row>
    <row r="385" spans="1:5" x14ac:dyDescent="0.25">
      <c r="A385">
        <v>22</v>
      </c>
      <c r="B385" t="s">
        <v>90</v>
      </c>
      <c r="C385" s="4">
        <f>IF(Tabelle18[[#This Row],[binding_level_company]]&gt;=1,1,0)</f>
        <v>0</v>
      </c>
      <c r="D385" s="4">
        <f>_xlfn.MAXIFS(Tabelle5[[#This Row],[binding_level]], Tabelle5[[#This Row],[company_id]],Tabelle18[[#This Row],[company_id]], Tabelle5[[#This Row],[value_id]], Tabelle18[[#This Row],[value_id]], Tabelle5[[#This Row],[value_present]],"1")</f>
        <v>0</v>
      </c>
      <c r="E385" s="4">
        <f>_xlfn.MAXIFS(Tabelle5[[#This Row],[value_points]], Tabelle5[[#This Row],[company_id]],Tabelle18[[#This Row],[company_id]], Tabelle5[[#This Row],[value_id]], Tabelle18[[#This Row],[value_id]], Tabelle5[[#This Row],[value_present]],"1")</f>
        <v>0</v>
      </c>
    </row>
    <row r="386" spans="1:5" x14ac:dyDescent="0.25">
      <c r="A386">
        <v>22</v>
      </c>
      <c r="B386" t="s">
        <v>98</v>
      </c>
      <c r="C386" s="4">
        <f>IF(Tabelle18[[#This Row],[binding_level_company]]&gt;=1,1,0)</f>
        <v>0</v>
      </c>
      <c r="D386" s="4">
        <f>_xlfn.MAXIFS(Tabelle5[[#This Row],[binding_level]], Tabelle5[[#This Row],[company_id]],Tabelle18[[#This Row],[company_id]], Tabelle5[[#This Row],[value_id]], Tabelle18[[#This Row],[value_id]], Tabelle5[[#This Row],[value_present]],"1")</f>
        <v>0</v>
      </c>
      <c r="E386" s="4">
        <f>_xlfn.MAXIFS(Tabelle5[[#This Row],[value_points]], Tabelle5[[#This Row],[company_id]],Tabelle18[[#This Row],[company_id]], Tabelle5[[#This Row],[value_id]], Tabelle18[[#This Row],[value_id]], Tabelle5[[#This Row],[value_present]],"1")</f>
        <v>0</v>
      </c>
    </row>
    <row r="387" spans="1:5" x14ac:dyDescent="0.25">
      <c r="A387">
        <v>22</v>
      </c>
      <c r="B387" t="s">
        <v>106</v>
      </c>
      <c r="C387" s="4">
        <f>IF(Tabelle18[[#This Row],[binding_level_company]]&gt;=1,1,0)</f>
        <v>0</v>
      </c>
      <c r="D387" s="4">
        <f>_xlfn.MAXIFS(Tabelle5[[#This Row],[binding_level]], Tabelle5[[#This Row],[company_id]],Tabelle18[[#This Row],[company_id]], Tabelle5[[#This Row],[value_id]], Tabelle18[[#This Row],[value_id]], Tabelle5[[#This Row],[value_present]],"1")</f>
        <v>0</v>
      </c>
      <c r="E387" s="4">
        <f>_xlfn.MAXIFS(Tabelle5[[#This Row],[value_points]], Tabelle5[[#This Row],[company_id]],Tabelle18[[#This Row],[company_id]], Tabelle5[[#This Row],[value_id]], Tabelle18[[#This Row],[value_id]], Tabelle5[[#This Row],[value_present]],"1")</f>
        <v>0</v>
      </c>
    </row>
    <row r="388" spans="1:5" x14ac:dyDescent="0.25">
      <c r="A388">
        <v>22</v>
      </c>
      <c r="B388" t="s">
        <v>112</v>
      </c>
      <c r="C388" s="4">
        <f>IF(Tabelle18[[#This Row],[binding_level_company]]&gt;=1,1,0)</f>
        <v>0</v>
      </c>
      <c r="D388" s="4">
        <f>_xlfn.MAXIFS(Tabelle5[[#This Row],[binding_level]], Tabelle5[[#This Row],[company_id]],Tabelle18[[#This Row],[company_id]], Tabelle5[[#This Row],[value_id]], Tabelle18[[#This Row],[value_id]], Tabelle5[[#This Row],[value_present]],"1")</f>
        <v>0</v>
      </c>
      <c r="E388" s="4">
        <f>_xlfn.MAXIFS(Tabelle5[[#This Row],[value_points]], Tabelle5[[#This Row],[company_id]],Tabelle18[[#This Row],[company_id]], Tabelle5[[#This Row],[value_id]], Tabelle18[[#This Row],[value_id]], Tabelle5[[#This Row],[value_present]],"1")</f>
        <v>0</v>
      </c>
    </row>
    <row r="389" spans="1:5" x14ac:dyDescent="0.25">
      <c r="A389">
        <v>22</v>
      </c>
      <c r="B389" t="s">
        <v>118</v>
      </c>
      <c r="C389" s="4">
        <f>IF(Tabelle18[[#This Row],[binding_level_company]]&gt;=1,1,0)</f>
        <v>0</v>
      </c>
      <c r="D389" s="4">
        <f>_xlfn.MAXIFS(Tabelle5[[#This Row],[binding_level]], Tabelle5[[#This Row],[company_id]],Tabelle18[[#This Row],[company_id]], Tabelle5[[#This Row],[value_id]], Tabelle18[[#This Row],[value_id]], Tabelle5[[#This Row],[value_present]],"1")</f>
        <v>0</v>
      </c>
      <c r="E389" s="4">
        <f>_xlfn.MAXIFS(Tabelle5[[#This Row],[value_points]], Tabelle5[[#This Row],[company_id]],Tabelle18[[#This Row],[company_id]], Tabelle5[[#This Row],[value_id]], Tabelle18[[#This Row],[value_id]], Tabelle5[[#This Row],[value_present]],"1")</f>
        <v>0</v>
      </c>
    </row>
    <row r="390" spans="1:5" x14ac:dyDescent="0.25">
      <c r="A390">
        <v>22</v>
      </c>
      <c r="B390" t="s">
        <v>125</v>
      </c>
      <c r="C390" s="4">
        <f>IF(Tabelle18[[#This Row],[binding_level_company]]&gt;=1,1,0)</f>
        <v>0</v>
      </c>
      <c r="D390" s="4">
        <f>_xlfn.MAXIFS(Tabelle5[[#This Row],[binding_level]], Tabelle5[[#This Row],[company_id]],Tabelle18[[#This Row],[company_id]], Tabelle5[[#This Row],[value_id]], Tabelle18[[#This Row],[value_id]], Tabelle5[[#This Row],[value_present]],"1")</f>
        <v>0</v>
      </c>
      <c r="E390" s="4">
        <f>_xlfn.MAXIFS(Tabelle5[[#This Row],[value_points]], Tabelle5[[#This Row],[company_id]],Tabelle18[[#This Row],[company_id]], Tabelle5[[#This Row],[value_id]], Tabelle18[[#This Row],[value_id]], Tabelle5[[#This Row],[value_present]],"1")</f>
        <v>0</v>
      </c>
    </row>
    <row r="391" spans="1:5" x14ac:dyDescent="0.25">
      <c r="A391">
        <v>22</v>
      </c>
      <c r="B391" t="s">
        <v>132</v>
      </c>
      <c r="C391" s="4">
        <f>IF(Tabelle18[[#This Row],[binding_level_company]]&gt;=1,1,0)</f>
        <v>0</v>
      </c>
      <c r="D391" s="4">
        <f>_xlfn.MAXIFS(Tabelle5[[#This Row],[binding_level]], Tabelle5[[#This Row],[company_id]],Tabelle18[[#This Row],[company_id]], Tabelle5[[#This Row],[value_id]], Tabelle18[[#This Row],[value_id]], Tabelle5[[#This Row],[value_present]],"1")</f>
        <v>0</v>
      </c>
      <c r="E391" s="4">
        <f>_xlfn.MAXIFS(Tabelle5[[#This Row],[value_points]], Tabelle5[[#This Row],[company_id]],Tabelle18[[#This Row],[company_id]], Tabelle5[[#This Row],[value_id]], Tabelle18[[#This Row],[value_id]], Tabelle5[[#This Row],[value_present]],"1")</f>
        <v>0</v>
      </c>
    </row>
    <row r="392" spans="1:5" x14ac:dyDescent="0.25">
      <c r="A392">
        <v>22</v>
      </c>
      <c r="B392" t="s">
        <v>140</v>
      </c>
      <c r="C392" s="4">
        <f>IF(Tabelle18[[#This Row],[binding_level_company]]&gt;=1,1,0)</f>
        <v>0</v>
      </c>
      <c r="D392" s="4">
        <f>_xlfn.MAXIFS(Tabelle5[[#This Row],[binding_level]], Tabelle5[[#This Row],[company_id]],Tabelle18[[#This Row],[company_id]], Tabelle5[[#This Row],[value_id]], Tabelle18[[#This Row],[value_id]], Tabelle5[[#This Row],[value_present]],"1")</f>
        <v>0</v>
      </c>
      <c r="E392" s="4">
        <f>_xlfn.MAXIFS(Tabelle5[[#This Row],[value_points]], Tabelle5[[#This Row],[company_id]],Tabelle18[[#This Row],[company_id]], Tabelle5[[#This Row],[value_id]], Tabelle18[[#This Row],[value_id]], Tabelle5[[#This Row],[value_present]],"1")</f>
        <v>0</v>
      </c>
    </row>
    <row r="393" spans="1:5" x14ac:dyDescent="0.25">
      <c r="A393">
        <v>22</v>
      </c>
      <c r="B393" t="s">
        <v>147</v>
      </c>
      <c r="C393" s="4">
        <f>IF(Tabelle18[[#This Row],[binding_level_company]]&gt;=1,1,0)</f>
        <v>0</v>
      </c>
      <c r="D393" s="4">
        <f>_xlfn.MAXIFS(Tabelle5[[#This Row],[binding_level]], Tabelle5[[#This Row],[company_id]],Tabelle18[[#This Row],[company_id]], Tabelle5[[#This Row],[value_id]], Tabelle18[[#This Row],[value_id]], Tabelle5[[#This Row],[value_present]],"1")</f>
        <v>0</v>
      </c>
      <c r="E393" s="4">
        <f>_xlfn.MAXIFS(Tabelle5[[#This Row],[value_points]], Tabelle5[[#This Row],[company_id]],Tabelle18[[#This Row],[company_id]], Tabelle5[[#This Row],[value_id]], Tabelle18[[#This Row],[value_id]], Tabelle5[[#This Row],[value_present]],"1")</f>
        <v>0</v>
      </c>
    </row>
    <row r="394" spans="1:5" x14ac:dyDescent="0.25">
      <c r="A394">
        <v>22</v>
      </c>
      <c r="B394" t="s">
        <v>154</v>
      </c>
      <c r="C394" s="4">
        <f>IF(Tabelle18[[#This Row],[binding_level_company]]&gt;=1,1,0)</f>
        <v>0</v>
      </c>
      <c r="D394" s="4">
        <f>_xlfn.MAXIFS(Tabelle5[[#This Row],[binding_level]], Tabelle5[[#This Row],[company_id]],Tabelle18[[#This Row],[company_id]], Tabelle5[[#This Row],[value_id]], Tabelle18[[#This Row],[value_id]], Tabelle5[[#This Row],[value_present]],"1")</f>
        <v>0</v>
      </c>
      <c r="E394" s="4">
        <f>_xlfn.MAXIFS(Tabelle5[[#This Row],[value_points]], Tabelle5[[#This Row],[company_id]],Tabelle18[[#This Row],[company_id]], Tabelle5[[#This Row],[value_id]], Tabelle18[[#This Row],[value_id]], Tabelle5[[#This Row],[value_present]],"1")</f>
        <v>0</v>
      </c>
    </row>
    <row r="395" spans="1:5" x14ac:dyDescent="0.25">
      <c r="A395">
        <v>22</v>
      </c>
      <c r="B395" t="s">
        <v>161</v>
      </c>
      <c r="C395" s="4">
        <f>IF(Tabelle18[[#This Row],[binding_level_company]]&gt;=1,1,0)</f>
        <v>0</v>
      </c>
      <c r="D395" s="4">
        <f>_xlfn.MAXIFS(Tabelle5[[#This Row],[binding_level]], Tabelle5[[#This Row],[company_id]],Tabelle18[[#This Row],[company_id]], Tabelle5[[#This Row],[value_id]], Tabelle18[[#This Row],[value_id]], Tabelle5[[#This Row],[value_present]],"1")</f>
        <v>0</v>
      </c>
      <c r="E395" s="4">
        <f>_xlfn.MAXIFS(Tabelle5[[#This Row],[value_points]], Tabelle5[[#This Row],[company_id]],Tabelle18[[#This Row],[company_id]], Tabelle5[[#This Row],[value_id]], Tabelle18[[#This Row],[value_id]], Tabelle5[[#This Row],[value_present]],"1")</f>
        <v>0</v>
      </c>
    </row>
    <row r="396" spans="1:5" x14ac:dyDescent="0.25">
      <c r="A396">
        <v>22</v>
      </c>
      <c r="B396" t="s">
        <v>166</v>
      </c>
      <c r="C396" s="4">
        <f>IF(Tabelle18[[#This Row],[binding_level_company]]&gt;=1,1,0)</f>
        <v>0</v>
      </c>
      <c r="D396" s="4">
        <f>_xlfn.MAXIFS(Tabelle5[[#This Row],[binding_level]], Tabelle5[[#This Row],[company_id]],Tabelle18[[#This Row],[company_id]], Tabelle5[[#This Row],[value_id]], Tabelle18[[#This Row],[value_id]], Tabelle5[[#This Row],[value_present]],"1")</f>
        <v>0</v>
      </c>
      <c r="E396" s="4">
        <f>_xlfn.MAXIFS(Tabelle5[[#This Row],[value_points]], Tabelle5[[#This Row],[company_id]],Tabelle18[[#This Row],[company_id]], Tabelle5[[#This Row],[value_id]], Tabelle18[[#This Row],[value_id]], Tabelle5[[#This Row],[value_present]],"1")</f>
        <v>0</v>
      </c>
    </row>
    <row r="397" spans="1:5" ht="15.75" thickBot="1" x14ac:dyDescent="0.3">
      <c r="A397">
        <v>22</v>
      </c>
      <c r="B397" s="30" t="s">
        <v>174</v>
      </c>
      <c r="C397" s="4">
        <f>IF(Tabelle18[[#This Row],[binding_level_company]]&gt;=1,1,0)</f>
        <v>0</v>
      </c>
      <c r="D397" s="4">
        <f>_xlfn.MAXIFS(Tabelle5[[#This Row],[binding_level]], Tabelle5[[#This Row],[company_id]],Tabelle18[[#This Row],[company_id]], Tabelle5[[#This Row],[value_id]], Tabelle18[[#This Row],[value_id]], Tabelle5[[#This Row],[value_present]],"1")</f>
        <v>0</v>
      </c>
      <c r="E397" s="4">
        <f>_xlfn.MAXIFS(Tabelle5[[#This Row],[value_points]], Tabelle5[[#This Row],[company_id]],Tabelle18[[#This Row],[company_id]], Tabelle5[[#This Row],[value_id]], Tabelle18[[#This Row],[value_id]], Tabelle5[[#This Row],[value_present]],"1")</f>
        <v>0</v>
      </c>
    </row>
    <row r="398" spans="1:5" x14ac:dyDescent="0.25">
      <c r="A398">
        <v>23</v>
      </c>
      <c r="B398" s="22" t="s">
        <v>53</v>
      </c>
      <c r="C398" s="4">
        <f>IF(Tabelle18[[#This Row],[binding_level_company]]&gt;=1,1,0)</f>
        <v>0</v>
      </c>
      <c r="D398" s="4">
        <f>_xlfn.MAXIFS(Tabelle5[[#This Row],[binding_level]], Tabelle5[[#This Row],[company_id]],Tabelle18[[#This Row],[company_id]], Tabelle5[[#This Row],[value_id]], Tabelle18[[#This Row],[value_id]], Tabelle5[[#This Row],[value_present]],"1")</f>
        <v>0</v>
      </c>
      <c r="E398" s="4">
        <f>_xlfn.MAXIFS(Tabelle5[[#This Row],[value_points]], Tabelle5[[#This Row],[company_id]],Tabelle18[[#This Row],[company_id]], Tabelle5[[#This Row],[value_id]], Tabelle18[[#This Row],[value_id]], Tabelle5[[#This Row],[value_present]],"1")</f>
        <v>0</v>
      </c>
    </row>
    <row r="399" spans="1:5" x14ac:dyDescent="0.25">
      <c r="A399">
        <v>23</v>
      </c>
      <c r="B399" t="s">
        <v>61</v>
      </c>
      <c r="C399" s="4">
        <f>IF(Tabelle18[[#This Row],[binding_level_company]]&gt;=1,1,0)</f>
        <v>0</v>
      </c>
      <c r="D399" s="4">
        <f>_xlfn.MAXIFS(Tabelle5[[#This Row],[binding_level]], Tabelle5[[#This Row],[company_id]],Tabelle18[[#This Row],[company_id]], Tabelle5[[#This Row],[value_id]], Tabelle18[[#This Row],[value_id]], Tabelle5[[#This Row],[value_present]],"1")</f>
        <v>0</v>
      </c>
      <c r="E399" s="4">
        <f>_xlfn.MAXIFS(Tabelle5[[#This Row],[value_points]], Tabelle5[[#This Row],[company_id]],Tabelle18[[#This Row],[company_id]], Tabelle5[[#This Row],[value_id]], Tabelle18[[#This Row],[value_id]], Tabelle5[[#This Row],[value_present]],"1")</f>
        <v>0</v>
      </c>
    </row>
    <row r="400" spans="1:5" x14ac:dyDescent="0.25">
      <c r="A400">
        <v>23</v>
      </c>
      <c r="B400" t="s">
        <v>69</v>
      </c>
      <c r="C400" s="4">
        <f>IF(Tabelle18[[#This Row],[binding_level_company]]&gt;=1,1,0)</f>
        <v>0</v>
      </c>
      <c r="D400" s="4">
        <f>_xlfn.MAXIFS(Tabelle5[[#This Row],[binding_level]], Tabelle5[[#This Row],[company_id]],Tabelle18[[#This Row],[company_id]], Tabelle5[[#This Row],[value_id]], Tabelle18[[#This Row],[value_id]], Tabelle5[[#This Row],[value_present]],"1")</f>
        <v>0</v>
      </c>
      <c r="E400" s="4">
        <f>_xlfn.MAXIFS(Tabelle5[[#This Row],[value_points]], Tabelle5[[#This Row],[company_id]],Tabelle18[[#This Row],[company_id]], Tabelle5[[#This Row],[value_id]], Tabelle18[[#This Row],[value_id]], Tabelle5[[#This Row],[value_present]],"1")</f>
        <v>0</v>
      </c>
    </row>
    <row r="401" spans="1:5" x14ac:dyDescent="0.25">
      <c r="A401">
        <v>23</v>
      </c>
      <c r="B401" t="s">
        <v>76</v>
      </c>
      <c r="C401" s="4">
        <f>IF(Tabelle18[[#This Row],[binding_level_company]]&gt;=1,1,0)</f>
        <v>0</v>
      </c>
      <c r="D401" s="4">
        <f>_xlfn.MAXIFS(Tabelle5[[#This Row],[binding_level]], Tabelle5[[#This Row],[company_id]],Tabelle18[[#This Row],[company_id]], Tabelle5[[#This Row],[value_id]], Tabelle18[[#This Row],[value_id]], Tabelle5[[#This Row],[value_present]],"1")</f>
        <v>0</v>
      </c>
      <c r="E401" s="4">
        <f>_xlfn.MAXIFS(Tabelle5[[#This Row],[value_points]], Tabelle5[[#This Row],[company_id]],Tabelle18[[#This Row],[company_id]], Tabelle5[[#This Row],[value_id]], Tabelle18[[#This Row],[value_id]], Tabelle5[[#This Row],[value_present]],"1")</f>
        <v>0</v>
      </c>
    </row>
    <row r="402" spans="1:5" x14ac:dyDescent="0.25">
      <c r="A402">
        <v>23</v>
      </c>
      <c r="B402" t="s">
        <v>83</v>
      </c>
      <c r="C402" s="4">
        <f>IF(Tabelle18[[#This Row],[binding_level_company]]&gt;=1,1,0)</f>
        <v>0</v>
      </c>
      <c r="D402" s="4">
        <f>_xlfn.MAXIFS(Tabelle5[[#This Row],[binding_level]], Tabelle5[[#This Row],[company_id]],Tabelle18[[#This Row],[company_id]], Tabelle5[[#This Row],[value_id]], Tabelle18[[#This Row],[value_id]], Tabelle5[[#This Row],[value_present]],"1")</f>
        <v>0</v>
      </c>
      <c r="E402" s="4">
        <f>_xlfn.MAXIFS(Tabelle5[[#This Row],[value_points]], Tabelle5[[#This Row],[company_id]],Tabelle18[[#This Row],[company_id]], Tabelle5[[#This Row],[value_id]], Tabelle18[[#This Row],[value_id]], Tabelle5[[#This Row],[value_present]],"1")</f>
        <v>0</v>
      </c>
    </row>
    <row r="403" spans="1:5" x14ac:dyDescent="0.25">
      <c r="A403">
        <v>23</v>
      </c>
      <c r="B403" t="s">
        <v>90</v>
      </c>
      <c r="C403" s="4">
        <f>IF(Tabelle18[[#This Row],[binding_level_company]]&gt;=1,1,0)</f>
        <v>0</v>
      </c>
      <c r="D403" s="4">
        <f>_xlfn.MAXIFS(Tabelle5[[#This Row],[binding_level]], Tabelle5[[#This Row],[company_id]],Tabelle18[[#This Row],[company_id]], Tabelle5[[#This Row],[value_id]], Tabelle18[[#This Row],[value_id]], Tabelle5[[#This Row],[value_present]],"1")</f>
        <v>0</v>
      </c>
      <c r="E403" s="4">
        <f>_xlfn.MAXIFS(Tabelle5[[#This Row],[value_points]], Tabelle5[[#This Row],[company_id]],Tabelle18[[#This Row],[company_id]], Tabelle5[[#This Row],[value_id]], Tabelle18[[#This Row],[value_id]], Tabelle5[[#This Row],[value_present]],"1")</f>
        <v>0</v>
      </c>
    </row>
    <row r="404" spans="1:5" x14ac:dyDescent="0.25">
      <c r="A404">
        <v>23</v>
      </c>
      <c r="B404" t="s">
        <v>98</v>
      </c>
      <c r="C404" s="4">
        <f>IF(Tabelle18[[#This Row],[binding_level_company]]&gt;=1,1,0)</f>
        <v>0</v>
      </c>
      <c r="D404" s="4">
        <f>_xlfn.MAXIFS(Tabelle5[[#This Row],[binding_level]], Tabelle5[[#This Row],[company_id]],Tabelle18[[#This Row],[company_id]], Tabelle5[[#This Row],[value_id]], Tabelle18[[#This Row],[value_id]], Tabelle5[[#This Row],[value_present]],"1")</f>
        <v>0</v>
      </c>
      <c r="E404" s="4">
        <f>_xlfn.MAXIFS(Tabelle5[[#This Row],[value_points]], Tabelle5[[#This Row],[company_id]],Tabelle18[[#This Row],[company_id]], Tabelle5[[#This Row],[value_id]], Tabelle18[[#This Row],[value_id]], Tabelle5[[#This Row],[value_present]],"1")</f>
        <v>0</v>
      </c>
    </row>
    <row r="405" spans="1:5" x14ac:dyDescent="0.25">
      <c r="A405">
        <v>23</v>
      </c>
      <c r="B405" t="s">
        <v>106</v>
      </c>
      <c r="C405" s="4">
        <f>IF(Tabelle18[[#This Row],[binding_level_company]]&gt;=1,1,0)</f>
        <v>0</v>
      </c>
      <c r="D405" s="4">
        <f>_xlfn.MAXIFS(Tabelle5[[#This Row],[binding_level]], Tabelle5[[#This Row],[company_id]],Tabelle18[[#This Row],[company_id]], Tabelle5[[#This Row],[value_id]], Tabelle18[[#This Row],[value_id]], Tabelle5[[#This Row],[value_present]],"1")</f>
        <v>0</v>
      </c>
      <c r="E405" s="4">
        <f>_xlfn.MAXIFS(Tabelle5[[#This Row],[value_points]], Tabelle5[[#This Row],[company_id]],Tabelle18[[#This Row],[company_id]], Tabelle5[[#This Row],[value_id]], Tabelle18[[#This Row],[value_id]], Tabelle5[[#This Row],[value_present]],"1")</f>
        <v>0</v>
      </c>
    </row>
    <row r="406" spans="1:5" x14ac:dyDescent="0.25">
      <c r="A406">
        <v>23</v>
      </c>
      <c r="B406" t="s">
        <v>112</v>
      </c>
      <c r="C406" s="4">
        <f>IF(Tabelle18[[#This Row],[binding_level_company]]&gt;=1,1,0)</f>
        <v>0</v>
      </c>
      <c r="D406" s="4">
        <f>_xlfn.MAXIFS(Tabelle5[[#This Row],[binding_level]], Tabelle5[[#This Row],[company_id]],Tabelle18[[#This Row],[company_id]], Tabelle5[[#This Row],[value_id]], Tabelle18[[#This Row],[value_id]], Tabelle5[[#This Row],[value_present]],"1")</f>
        <v>0</v>
      </c>
      <c r="E406" s="4">
        <f>_xlfn.MAXIFS(Tabelle5[[#This Row],[value_points]], Tabelle5[[#This Row],[company_id]],Tabelle18[[#This Row],[company_id]], Tabelle5[[#This Row],[value_id]], Tabelle18[[#This Row],[value_id]], Tabelle5[[#This Row],[value_present]],"1")</f>
        <v>0</v>
      </c>
    </row>
    <row r="407" spans="1:5" x14ac:dyDescent="0.25">
      <c r="A407">
        <v>23</v>
      </c>
      <c r="B407" t="s">
        <v>118</v>
      </c>
      <c r="C407" s="4">
        <f>IF(Tabelle18[[#This Row],[binding_level_company]]&gt;=1,1,0)</f>
        <v>0</v>
      </c>
      <c r="D407" s="4">
        <f>_xlfn.MAXIFS(Tabelle5[[#This Row],[binding_level]], Tabelle5[[#This Row],[company_id]],Tabelle18[[#This Row],[company_id]], Tabelle5[[#This Row],[value_id]], Tabelle18[[#This Row],[value_id]], Tabelle5[[#This Row],[value_present]],"1")</f>
        <v>0</v>
      </c>
      <c r="E407" s="4">
        <f>_xlfn.MAXIFS(Tabelle5[[#This Row],[value_points]], Tabelle5[[#This Row],[company_id]],Tabelle18[[#This Row],[company_id]], Tabelle5[[#This Row],[value_id]], Tabelle18[[#This Row],[value_id]], Tabelle5[[#This Row],[value_present]],"1")</f>
        <v>0</v>
      </c>
    </row>
    <row r="408" spans="1:5" x14ac:dyDescent="0.25">
      <c r="A408">
        <v>23</v>
      </c>
      <c r="B408" t="s">
        <v>125</v>
      </c>
      <c r="C408" s="4">
        <f>IF(Tabelle18[[#This Row],[binding_level_company]]&gt;=1,1,0)</f>
        <v>0</v>
      </c>
      <c r="D408" s="4">
        <f>_xlfn.MAXIFS(Tabelle5[[#This Row],[binding_level]], Tabelle5[[#This Row],[company_id]],Tabelle18[[#This Row],[company_id]], Tabelle5[[#This Row],[value_id]], Tabelle18[[#This Row],[value_id]], Tabelle5[[#This Row],[value_present]],"1")</f>
        <v>0</v>
      </c>
      <c r="E408" s="4">
        <f>_xlfn.MAXIFS(Tabelle5[[#This Row],[value_points]], Tabelle5[[#This Row],[company_id]],Tabelle18[[#This Row],[company_id]], Tabelle5[[#This Row],[value_id]], Tabelle18[[#This Row],[value_id]], Tabelle5[[#This Row],[value_present]],"1")</f>
        <v>0</v>
      </c>
    </row>
    <row r="409" spans="1:5" x14ac:dyDescent="0.25">
      <c r="A409">
        <v>23</v>
      </c>
      <c r="B409" t="s">
        <v>132</v>
      </c>
      <c r="C409" s="4">
        <f>IF(Tabelle18[[#This Row],[binding_level_company]]&gt;=1,1,0)</f>
        <v>0</v>
      </c>
      <c r="D409" s="4">
        <f>_xlfn.MAXIFS(Tabelle5[[#This Row],[binding_level]], Tabelle5[[#This Row],[company_id]],Tabelle18[[#This Row],[company_id]], Tabelle5[[#This Row],[value_id]], Tabelle18[[#This Row],[value_id]], Tabelle5[[#This Row],[value_present]],"1")</f>
        <v>0</v>
      </c>
      <c r="E409" s="4">
        <f>_xlfn.MAXIFS(Tabelle5[[#This Row],[value_points]], Tabelle5[[#This Row],[company_id]],Tabelle18[[#This Row],[company_id]], Tabelle5[[#This Row],[value_id]], Tabelle18[[#This Row],[value_id]], Tabelle5[[#This Row],[value_present]],"1")</f>
        <v>0</v>
      </c>
    </row>
    <row r="410" spans="1:5" x14ac:dyDescent="0.25">
      <c r="A410">
        <v>23</v>
      </c>
      <c r="B410" t="s">
        <v>140</v>
      </c>
      <c r="C410" s="4">
        <f>IF(Tabelle18[[#This Row],[binding_level_company]]&gt;=1,1,0)</f>
        <v>0</v>
      </c>
      <c r="D410" s="4">
        <f>_xlfn.MAXIFS(Tabelle5[[#This Row],[binding_level]], Tabelle5[[#This Row],[company_id]],Tabelle18[[#This Row],[company_id]], Tabelle5[[#This Row],[value_id]], Tabelle18[[#This Row],[value_id]], Tabelle5[[#This Row],[value_present]],"1")</f>
        <v>0</v>
      </c>
      <c r="E410" s="4">
        <f>_xlfn.MAXIFS(Tabelle5[[#This Row],[value_points]], Tabelle5[[#This Row],[company_id]],Tabelle18[[#This Row],[company_id]], Tabelle5[[#This Row],[value_id]], Tabelle18[[#This Row],[value_id]], Tabelle5[[#This Row],[value_present]],"1")</f>
        <v>0</v>
      </c>
    </row>
    <row r="411" spans="1:5" x14ac:dyDescent="0.25">
      <c r="A411">
        <v>23</v>
      </c>
      <c r="B411" t="s">
        <v>147</v>
      </c>
      <c r="C411" s="4">
        <f>IF(Tabelle18[[#This Row],[binding_level_company]]&gt;=1,1,0)</f>
        <v>0</v>
      </c>
      <c r="D411" s="4">
        <f>_xlfn.MAXIFS(Tabelle5[[#This Row],[binding_level]], Tabelle5[[#This Row],[company_id]],Tabelle18[[#This Row],[company_id]], Tabelle5[[#This Row],[value_id]], Tabelle18[[#This Row],[value_id]], Tabelle5[[#This Row],[value_present]],"1")</f>
        <v>0</v>
      </c>
      <c r="E411" s="4">
        <f>_xlfn.MAXIFS(Tabelle5[[#This Row],[value_points]], Tabelle5[[#This Row],[company_id]],Tabelle18[[#This Row],[company_id]], Tabelle5[[#This Row],[value_id]], Tabelle18[[#This Row],[value_id]], Tabelle5[[#This Row],[value_present]],"1")</f>
        <v>0</v>
      </c>
    </row>
    <row r="412" spans="1:5" x14ac:dyDescent="0.25">
      <c r="A412">
        <v>23</v>
      </c>
      <c r="B412" t="s">
        <v>154</v>
      </c>
      <c r="C412" s="4">
        <f>IF(Tabelle18[[#This Row],[binding_level_company]]&gt;=1,1,0)</f>
        <v>0</v>
      </c>
      <c r="D412" s="4">
        <f>_xlfn.MAXIFS(Tabelle5[[#This Row],[binding_level]], Tabelle5[[#This Row],[company_id]],Tabelle18[[#This Row],[company_id]], Tabelle5[[#This Row],[value_id]], Tabelle18[[#This Row],[value_id]], Tabelle5[[#This Row],[value_present]],"1")</f>
        <v>0</v>
      </c>
      <c r="E412" s="4">
        <f>_xlfn.MAXIFS(Tabelle5[[#This Row],[value_points]], Tabelle5[[#This Row],[company_id]],Tabelle18[[#This Row],[company_id]], Tabelle5[[#This Row],[value_id]], Tabelle18[[#This Row],[value_id]], Tabelle5[[#This Row],[value_present]],"1")</f>
        <v>0</v>
      </c>
    </row>
    <row r="413" spans="1:5" x14ac:dyDescent="0.25">
      <c r="A413">
        <v>23</v>
      </c>
      <c r="B413" t="s">
        <v>161</v>
      </c>
      <c r="C413" s="4">
        <f>IF(Tabelle18[[#This Row],[binding_level_company]]&gt;=1,1,0)</f>
        <v>0</v>
      </c>
      <c r="D413" s="4">
        <f>_xlfn.MAXIFS(Tabelle5[[#This Row],[binding_level]], Tabelle5[[#This Row],[company_id]],Tabelle18[[#This Row],[company_id]], Tabelle5[[#This Row],[value_id]], Tabelle18[[#This Row],[value_id]], Tabelle5[[#This Row],[value_present]],"1")</f>
        <v>0</v>
      </c>
      <c r="E413" s="4">
        <f>_xlfn.MAXIFS(Tabelle5[[#This Row],[value_points]], Tabelle5[[#This Row],[company_id]],Tabelle18[[#This Row],[company_id]], Tabelle5[[#This Row],[value_id]], Tabelle18[[#This Row],[value_id]], Tabelle5[[#This Row],[value_present]],"1")</f>
        <v>0</v>
      </c>
    </row>
    <row r="414" spans="1:5" x14ac:dyDescent="0.25">
      <c r="A414">
        <v>23</v>
      </c>
      <c r="B414" t="s">
        <v>166</v>
      </c>
      <c r="C414" s="4">
        <f>IF(Tabelle18[[#This Row],[binding_level_company]]&gt;=1,1,0)</f>
        <v>0</v>
      </c>
      <c r="D414" s="4">
        <f>_xlfn.MAXIFS(Tabelle5[[#This Row],[binding_level]], Tabelle5[[#This Row],[company_id]],Tabelle18[[#This Row],[company_id]], Tabelle5[[#This Row],[value_id]], Tabelle18[[#This Row],[value_id]], Tabelle5[[#This Row],[value_present]],"1")</f>
        <v>0</v>
      </c>
      <c r="E414" s="4">
        <f>_xlfn.MAXIFS(Tabelle5[[#This Row],[value_points]], Tabelle5[[#This Row],[company_id]],Tabelle18[[#This Row],[company_id]], Tabelle5[[#This Row],[value_id]], Tabelle18[[#This Row],[value_id]], Tabelle5[[#This Row],[value_present]],"1")</f>
        <v>0</v>
      </c>
    </row>
    <row r="415" spans="1:5" ht="15.75" thickBot="1" x14ac:dyDescent="0.3">
      <c r="A415">
        <v>23</v>
      </c>
      <c r="B415" s="30" t="s">
        <v>174</v>
      </c>
      <c r="C415" s="4">
        <f>IF(Tabelle18[[#This Row],[binding_level_company]]&gt;=1,1,0)</f>
        <v>0</v>
      </c>
      <c r="D415" s="4">
        <f>_xlfn.MAXIFS(Tabelle5[[#This Row],[binding_level]], Tabelle5[[#This Row],[company_id]],Tabelle18[[#This Row],[company_id]], Tabelle5[[#This Row],[value_id]], Tabelle18[[#This Row],[value_id]], Tabelle5[[#This Row],[value_present]],"1")</f>
        <v>0</v>
      </c>
      <c r="E415" s="4">
        <f>_xlfn.MAXIFS(Tabelle5[[#This Row],[value_points]], Tabelle5[[#This Row],[company_id]],Tabelle18[[#This Row],[company_id]], Tabelle5[[#This Row],[value_id]], Tabelle18[[#This Row],[value_id]], Tabelle5[[#This Row],[value_present]],"1")</f>
        <v>0</v>
      </c>
    </row>
    <row r="416" spans="1:5" x14ac:dyDescent="0.25">
      <c r="A416">
        <v>24</v>
      </c>
      <c r="B416" s="22" t="s">
        <v>53</v>
      </c>
      <c r="C416" s="4">
        <f>IF(Tabelle18[[#This Row],[binding_level_company]]&gt;=1,1,0)</f>
        <v>0</v>
      </c>
      <c r="D416" s="4">
        <f>_xlfn.MAXIFS(Tabelle5[[#This Row],[binding_level]], Tabelle5[[#This Row],[company_id]],Tabelle18[[#This Row],[company_id]], Tabelle5[[#This Row],[value_id]], Tabelle18[[#This Row],[value_id]], Tabelle5[[#This Row],[value_present]],"1")</f>
        <v>0</v>
      </c>
      <c r="E416" s="4">
        <f>_xlfn.MAXIFS(Tabelle5[[#This Row],[value_points]], Tabelle5[[#This Row],[company_id]],Tabelle18[[#This Row],[company_id]], Tabelle5[[#This Row],[value_id]], Tabelle18[[#This Row],[value_id]], Tabelle5[[#This Row],[value_present]],"1")</f>
        <v>0</v>
      </c>
    </row>
    <row r="417" spans="1:5" x14ac:dyDescent="0.25">
      <c r="A417">
        <v>24</v>
      </c>
      <c r="B417" t="s">
        <v>61</v>
      </c>
      <c r="C417" s="4">
        <f>IF(Tabelle18[[#This Row],[binding_level_company]]&gt;=1,1,0)</f>
        <v>0</v>
      </c>
      <c r="D417" s="4">
        <f>_xlfn.MAXIFS(Tabelle5[[#This Row],[binding_level]], Tabelle5[[#This Row],[company_id]],Tabelle18[[#This Row],[company_id]], Tabelle5[[#This Row],[value_id]], Tabelle18[[#This Row],[value_id]], Tabelle5[[#This Row],[value_present]],"1")</f>
        <v>0</v>
      </c>
      <c r="E417" s="4">
        <f>_xlfn.MAXIFS(Tabelle5[[#This Row],[value_points]], Tabelle5[[#This Row],[company_id]],Tabelle18[[#This Row],[company_id]], Tabelle5[[#This Row],[value_id]], Tabelle18[[#This Row],[value_id]], Tabelle5[[#This Row],[value_present]],"1")</f>
        <v>0</v>
      </c>
    </row>
    <row r="418" spans="1:5" x14ac:dyDescent="0.25">
      <c r="A418">
        <v>24</v>
      </c>
      <c r="B418" t="s">
        <v>69</v>
      </c>
      <c r="C418" s="4">
        <f>IF(Tabelle18[[#This Row],[binding_level_company]]&gt;=1,1,0)</f>
        <v>0</v>
      </c>
      <c r="D418" s="4">
        <f>_xlfn.MAXIFS(Tabelle5[[#This Row],[binding_level]], Tabelle5[[#This Row],[company_id]],Tabelle18[[#This Row],[company_id]], Tabelle5[[#This Row],[value_id]], Tabelle18[[#This Row],[value_id]], Tabelle5[[#This Row],[value_present]],"1")</f>
        <v>0</v>
      </c>
      <c r="E418" s="4">
        <f>_xlfn.MAXIFS(Tabelle5[[#This Row],[value_points]], Tabelle5[[#This Row],[company_id]],Tabelle18[[#This Row],[company_id]], Tabelle5[[#This Row],[value_id]], Tabelle18[[#This Row],[value_id]], Tabelle5[[#This Row],[value_present]],"1")</f>
        <v>0</v>
      </c>
    </row>
    <row r="419" spans="1:5" x14ac:dyDescent="0.25">
      <c r="A419">
        <v>24</v>
      </c>
      <c r="B419" t="s">
        <v>76</v>
      </c>
      <c r="C419" s="4">
        <f>IF(Tabelle18[[#This Row],[binding_level_company]]&gt;=1,1,0)</f>
        <v>0</v>
      </c>
      <c r="D419" s="4">
        <f>_xlfn.MAXIFS(Tabelle5[[#This Row],[binding_level]], Tabelle5[[#This Row],[company_id]],Tabelle18[[#This Row],[company_id]], Tabelle5[[#This Row],[value_id]], Tabelle18[[#This Row],[value_id]], Tabelle5[[#This Row],[value_present]],"1")</f>
        <v>0</v>
      </c>
      <c r="E419" s="4">
        <f>_xlfn.MAXIFS(Tabelle5[[#This Row],[value_points]], Tabelle5[[#This Row],[company_id]],Tabelle18[[#This Row],[company_id]], Tabelle5[[#This Row],[value_id]], Tabelle18[[#This Row],[value_id]], Tabelle5[[#This Row],[value_present]],"1")</f>
        <v>0</v>
      </c>
    </row>
    <row r="420" spans="1:5" x14ac:dyDescent="0.25">
      <c r="A420">
        <v>24</v>
      </c>
      <c r="B420" t="s">
        <v>83</v>
      </c>
      <c r="C420" s="4">
        <f>IF(Tabelle18[[#This Row],[binding_level_company]]&gt;=1,1,0)</f>
        <v>0</v>
      </c>
      <c r="D420" s="4">
        <f>_xlfn.MAXIFS(Tabelle5[[#This Row],[binding_level]], Tabelle5[[#This Row],[company_id]],Tabelle18[[#This Row],[company_id]], Tabelle5[[#This Row],[value_id]], Tabelle18[[#This Row],[value_id]], Tabelle5[[#This Row],[value_present]],"1")</f>
        <v>0</v>
      </c>
      <c r="E420" s="4">
        <f>_xlfn.MAXIFS(Tabelle5[[#This Row],[value_points]], Tabelle5[[#This Row],[company_id]],Tabelle18[[#This Row],[company_id]], Tabelle5[[#This Row],[value_id]], Tabelle18[[#This Row],[value_id]], Tabelle5[[#This Row],[value_present]],"1")</f>
        <v>0</v>
      </c>
    </row>
    <row r="421" spans="1:5" x14ac:dyDescent="0.25">
      <c r="A421">
        <v>24</v>
      </c>
      <c r="B421" t="s">
        <v>90</v>
      </c>
      <c r="C421" s="4">
        <f>IF(Tabelle18[[#This Row],[binding_level_company]]&gt;=1,1,0)</f>
        <v>0</v>
      </c>
      <c r="D421" s="4">
        <f>_xlfn.MAXIFS(Tabelle5[[#This Row],[binding_level]], Tabelle5[[#This Row],[company_id]],Tabelle18[[#This Row],[company_id]], Tabelle5[[#This Row],[value_id]], Tabelle18[[#This Row],[value_id]], Tabelle5[[#This Row],[value_present]],"1")</f>
        <v>0</v>
      </c>
      <c r="E421" s="4">
        <f>_xlfn.MAXIFS(Tabelle5[[#This Row],[value_points]], Tabelle5[[#This Row],[company_id]],Tabelle18[[#This Row],[company_id]], Tabelle5[[#This Row],[value_id]], Tabelle18[[#This Row],[value_id]], Tabelle5[[#This Row],[value_present]],"1")</f>
        <v>0</v>
      </c>
    </row>
    <row r="422" spans="1:5" x14ac:dyDescent="0.25">
      <c r="A422">
        <v>24</v>
      </c>
      <c r="B422" t="s">
        <v>98</v>
      </c>
      <c r="C422" s="4">
        <f>IF(Tabelle18[[#This Row],[binding_level_company]]&gt;=1,1,0)</f>
        <v>0</v>
      </c>
      <c r="D422" s="4">
        <f>_xlfn.MAXIFS(Tabelle5[[#This Row],[binding_level]], Tabelle5[[#This Row],[company_id]],Tabelle18[[#This Row],[company_id]], Tabelle5[[#This Row],[value_id]], Tabelle18[[#This Row],[value_id]], Tabelle5[[#This Row],[value_present]],"1")</f>
        <v>0</v>
      </c>
      <c r="E422" s="4">
        <f>_xlfn.MAXIFS(Tabelle5[[#This Row],[value_points]], Tabelle5[[#This Row],[company_id]],Tabelle18[[#This Row],[company_id]], Tabelle5[[#This Row],[value_id]], Tabelle18[[#This Row],[value_id]], Tabelle5[[#This Row],[value_present]],"1")</f>
        <v>0</v>
      </c>
    </row>
    <row r="423" spans="1:5" x14ac:dyDescent="0.25">
      <c r="A423">
        <v>24</v>
      </c>
      <c r="B423" t="s">
        <v>106</v>
      </c>
      <c r="C423" s="4">
        <f>IF(Tabelle18[[#This Row],[binding_level_company]]&gt;=1,1,0)</f>
        <v>0</v>
      </c>
      <c r="D423" s="4">
        <f>_xlfn.MAXIFS(Tabelle5[[#This Row],[binding_level]], Tabelle5[[#This Row],[company_id]],Tabelle18[[#This Row],[company_id]], Tabelle5[[#This Row],[value_id]], Tabelle18[[#This Row],[value_id]], Tabelle5[[#This Row],[value_present]],"1")</f>
        <v>0</v>
      </c>
      <c r="E423" s="4">
        <f>_xlfn.MAXIFS(Tabelle5[[#This Row],[value_points]], Tabelle5[[#This Row],[company_id]],Tabelle18[[#This Row],[company_id]], Tabelle5[[#This Row],[value_id]], Tabelle18[[#This Row],[value_id]], Tabelle5[[#This Row],[value_present]],"1")</f>
        <v>0</v>
      </c>
    </row>
    <row r="424" spans="1:5" x14ac:dyDescent="0.25">
      <c r="A424">
        <v>24</v>
      </c>
      <c r="B424" t="s">
        <v>112</v>
      </c>
      <c r="C424" s="4">
        <f>IF(Tabelle18[[#This Row],[binding_level_company]]&gt;=1,1,0)</f>
        <v>0</v>
      </c>
      <c r="D424" s="4">
        <f>_xlfn.MAXIFS(Tabelle5[[#This Row],[binding_level]], Tabelle5[[#This Row],[company_id]],Tabelle18[[#This Row],[company_id]], Tabelle5[[#This Row],[value_id]], Tabelle18[[#This Row],[value_id]], Tabelle5[[#This Row],[value_present]],"1")</f>
        <v>0</v>
      </c>
      <c r="E424" s="4">
        <f>_xlfn.MAXIFS(Tabelle5[[#This Row],[value_points]], Tabelle5[[#This Row],[company_id]],Tabelle18[[#This Row],[company_id]], Tabelle5[[#This Row],[value_id]], Tabelle18[[#This Row],[value_id]], Tabelle5[[#This Row],[value_present]],"1")</f>
        <v>0</v>
      </c>
    </row>
    <row r="425" spans="1:5" x14ac:dyDescent="0.25">
      <c r="A425">
        <v>24</v>
      </c>
      <c r="B425" t="s">
        <v>118</v>
      </c>
      <c r="C425" s="4">
        <f>IF(Tabelle18[[#This Row],[binding_level_company]]&gt;=1,1,0)</f>
        <v>0</v>
      </c>
      <c r="D425" s="4">
        <f>_xlfn.MAXIFS(Tabelle5[[#This Row],[binding_level]], Tabelle5[[#This Row],[company_id]],Tabelle18[[#This Row],[company_id]], Tabelle5[[#This Row],[value_id]], Tabelle18[[#This Row],[value_id]], Tabelle5[[#This Row],[value_present]],"1")</f>
        <v>0</v>
      </c>
      <c r="E425" s="4">
        <f>_xlfn.MAXIFS(Tabelle5[[#This Row],[value_points]], Tabelle5[[#This Row],[company_id]],Tabelle18[[#This Row],[company_id]], Tabelle5[[#This Row],[value_id]], Tabelle18[[#This Row],[value_id]], Tabelle5[[#This Row],[value_present]],"1")</f>
        <v>0</v>
      </c>
    </row>
    <row r="426" spans="1:5" x14ac:dyDescent="0.25">
      <c r="A426">
        <v>24</v>
      </c>
      <c r="B426" t="s">
        <v>125</v>
      </c>
      <c r="C426" s="4">
        <f>IF(Tabelle18[[#This Row],[binding_level_company]]&gt;=1,1,0)</f>
        <v>0</v>
      </c>
      <c r="D426" s="4">
        <f>_xlfn.MAXIFS(Tabelle5[[#This Row],[binding_level]], Tabelle5[[#This Row],[company_id]],Tabelle18[[#This Row],[company_id]], Tabelle5[[#This Row],[value_id]], Tabelle18[[#This Row],[value_id]], Tabelle5[[#This Row],[value_present]],"1")</f>
        <v>0</v>
      </c>
      <c r="E426" s="4">
        <f>_xlfn.MAXIFS(Tabelle5[[#This Row],[value_points]], Tabelle5[[#This Row],[company_id]],Tabelle18[[#This Row],[company_id]], Tabelle5[[#This Row],[value_id]], Tabelle18[[#This Row],[value_id]], Tabelle5[[#This Row],[value_present]],"1")</f>
        <v>0</v>
      </c>
    </row>
    <row r="427" spans="1:5" x14ac:dyDescent="0.25">
      <c r="A427">
        <v>24</v>
      </c>
      <c r="B427" t="s">
        <v>132</v>
      </c>
      <c r="C427" s="4">
        <f>IF(Tabelle18[[#This Row],[binding_level_company]]&gt;=1,1,0)</f>
        <v>0</v>
      </c>
      <c r="D427" s="4">
        <f>_xlfn.MAXIFS(Tabelle5[[#This Row],[binding_level]], Tabelle5[[#This Row],[company_id]],Tabelle18[[#This Row],[company_id]], Tabelle5[[#This Row],[value_id]], Tabelle18[[#This Row],[value_id]], Tabelle5[[#This Row],[value_present]],"1")</f>
        <v>0</v>
      </c>
      <c r="E427" s="4">
        <f>_xlfn.MAXIFS(Tabelle5[[#This Row],[value_points]], Tabelle5[[#This Row],[company_id]],Tabelle18[[#This Row],[company_id]], Tabelle5[[#This Row],[value_id]], Tabelle18[[#This Row],[value_id]], Tabelle5[[#This Row],[value_present]],"1")</f>
        <v>0</v>
      </c>
    </row>
    <row r="428" spans="1:5" x14ac:dyDescent="0.25">
      <c r="A428">
        <v>24</v>
      </c>
      <c r="B428" t="s">
        <v>140</v>
      </c>
      <c r="C428" s="4">
        <f>IF(Tabelle18[[#This Row],[binding_level_company]]&gt;=1,1,0)</f>
        <v>0</v>
      </c>
      <c r="D428" s="4">
        <f>_xlfn.MAXIFS(Tabelle5[[#This Row],[binding_level]], Tabelle5[[#This Row],[company_id]],Tabelle18[[#This Row],[company_id]], Tabelle5[[#This Row],[value_id]], Tabelle18[[#This Row],[value_id]], Tabelle5[[#This Row],[value_present]],"1")</f>
        <v>0</v>
      </c>
      <c r="E428" s="4">
        <f>_xlfn.MAXIFS(Tabelle5[[#This Row],[value_points]], Tabelle5[[#This Row],[company_id]],Tabelle18[[#This Row],[company_id]], Tabelle5[[#This Row],[value_id]], Tabelle18[[#This Row],[value_id]], Tabelle5[[#This Row],[value_present]],"1")</f>
        <v>0</v>
      </c>
    </row>
    <row r="429" spans="1:5" x14ac:dyDescent="0.25">
      <c r="A429">
        <v>24</v>
      </c>
      <c r="B429" t="s">
        <v>147</v>
      </c>
      <c r="C429" s="4">
        <f>IF(Tabelle18[[#This Row],[binding_level_company]]&gt;=1,1,0)</f>
        <v>0</v>
      </c>
      <c r="D429" s="4">
        <f>_xlfn.MAXIFS(Tabelle5[[#This Row],[binding_level]], Tabelle5[[#This Row],[company_id]],Tabelle18[[#This Row],[company_id]], Tabelle5[[#This Row],[value_id]], Tabelle18[[#This Row],[value_id]], Tabelle5[[#This Row],[value_present]],"1")</f>
        <v>0</v>
      </c>
      <c r="E429" s="4">
        <f>_xlfn.MAXIFS(Tabelle5[[#This Row],[value_points]], Tabelle5[[#This Row],[company_id]],Tabelle18[[#This Row],[company_id]], Tabelle5[[#This Row],[value_id]], Tabelle18[[#This Row],[value_id]], Tabelle5[[#This Row],[value_present]],"1")</f>
        <v>0</v>
      </c>
    </row>
    <row r="430" spans="1:5" x14ac:dyDescent="0.25">
      <c r="A430">
        <v>24</v>
      </c>
      <c r="B430" t="s">
        <v>154</v>
      </c>
      <c r="C430" s="4">
        <f>IF(Tabelle18[[#This Row],[binding_level_company]]&gt;=1,1,0)</f>
        <v>0</v>
      </c>
      <c r="D430" s="4">
        <f>_xlfn.MAXIFS(Tabelle5[[#This Row],[binding_level]], Tabelle5[[#This Row],[company_id]],Tabelle18[[#This Row],[company_id]], Tabelle5[[#This Row],[value_id]], Tabelle18[[#This Row],[value_id]], Tabelle5[[#This Row],[value_present]],"1")</f>
        <v>0</v>
      </c>
      <c r="E430" s="4">
        <f>_xlfn.MAXIFS(Tabelle5[[#This Row],[value_points]], Tabelle5[[#This Row],[company_id]],Tabelle18[[#This Row],[company_id]], Tabelle5[[#This Row],[value_id]], Tabelle18[[#This Row],[value_id]], Tabelle5[[#This Row],[value_present]],"1")</f>
        <v>0</v>
      </c>
    </row>
    <row r="431" spans="1:5" x14ac:dyDescent="0.25">
      <c r="A431">
        <v>24</v>
      </c>
      <c r="B431" t="s">
        <v>161</v>
      </c>
      <c r="C431" s="4">
        <f>IF(Tabelle18[[#This Row],[binding_level_company]]&gt;=1,1,0)</f>
        <v>0</v>
      </c>
      <c r="D431" s="4">
        <f>_xlfn.MAXIFS(Tabelle5[[#This Row],[binding_level]], Tabelle5[[#This Row],[company_id]],Tabelle18[[#This Row],[company_id]], Tabelle5[[#This Row],[value_id]], Tabelle18[[#This Row],[value_id]], Tabelle5[[#This Row],[value_present]],"1")</f>
        <v>0</v>
      </c>
      <c r="E431" s="4">
        <f>_xlfn.MAXIFS(Tabelle5[[#This Row],[value_points]], Tabelle5[[#This Row],[company_id]],Tabelle18[[#This Row],[company_id]], Tabelle5[[#This Row],[value_id]], Tabelle18[[#This Row],[value_id]], Tabelle5[[#This Row],[value_present]],"1")</f>
        <v>0</v>
      </c>
    </row>
    <row r="432" spans="1:5" x14ac:dyDescent="0.25">
      <c r="A432">
        <v>24</v>
      </c>
      <c r="B432" t="s">
        <v>166</v>
      </c>
      <c r="C432" s="4">
        <f>IF(Tabelle18[[#This Row],[binding_level_company]]&gt;=1,1,0)</f>
        <v>0</v>
      </c>
      <c r="D432" s="4">
        <f>_xlfn.MAXIFS(Tabelle5[[#This Row],[binding_level]], Tabelle5[[#This Row],[company_id]],Tabelle18[[#This Row],[company_id]], Tabelle5[[#This Row],[value_id]], Tabelle18[[#This Row],[value_id]], Tabelle5[[#This Row],[value_present]],"1")</f>
        <v>0</v>
      </c>
      <c r="E432" s="4">
        <f>_xlfn.MAXIFS(Tabelle5[[#This Row],[value_points]], Tabelle5[[#This Row],[company_id]],Tabelle18[[#This Row],[company_id]], Tabelle5[[#This Row],[value_id]], Tabelle18[[#This Row],[value_id]], Tabelle5[[#This Row],[value_present]],"1")</f>
        <v>0</v>
      </c>
    </row>
    <row r="433" spans="1:5" ht="15.75" thickBot="1" x14ac:dyDescent="0.3">
      <c r="A433">
        <v>24</v>
      </c>
      <c r="B433" s="30" t="s">
        <v>174</v>
      </c>
      <c r="C433" s="4">
        <f>IF(Tabelle18[[#This Row],[binding_level_company]]&gt;=1,1,0)</f>
        <v>0</v>
      </c>
      <c r="D433" s="4">
        <f>_xlfn.MAXIFS(Tabelle5[[#This Row],[binding_level]], Tabelle5[[#This Row],[company_id]],Tabelle18[[#This Row],[company_id]], Tabelle5[[#This Row],[value_id]], Tabelle18[[#This Row],[value_id]], Tabelle5[[#This Row],[value_present]],"1")</f>
        <v>0</v>
      </c>
      <c r="E433" s="4">
        <f>_xlfn.MAXIFS(Tabelle5[[#This Row],[value_points]], Tabelle5[[#This Row],[company_id]],Tabelle18[[#This Row],[company_id]], Tabelle5[[#This Row],[value_id]], Tabelle18[[#This Row],[value_id]], Tabelle5[[#This Row],[value_present]],"1")</f>
        <v>0</v>
      </c>
    </row>
    <row r="434" spans="1:5" x14ac:dyDescent="0.25">
      <c r="A434">
        <v>25</v>
      </c>
      <c r="B434" s="22" t="s">
        <v>53</v>
      </c>
      <c r="C434" s="4">
        <f>IF(Tabelle18[[#This Row],[binding_level_company]]&gt;=1,1,0)</f>
        <v>0</v>
      </c>
      <c r="D434" s="4">
        <f>_xlfn.MAXIFS(Tabelle5[[#This Row],[binding_level]], Tabelle5[[#This Row],[company_id]],Tabelle18[[#This Row],[company_id]], Tabelle5[[#This Row],[value_id]], Tabelle18[[#This Row],[value_id]], Tabelle5[[#This Row],[value_present]],"1")</f>
        <v>0</v>
      </c>
      <c r="E434" s="4">
        <f>_xlfn.MAXIFS(Tabelle5[[#This Row],[value_points]], Tabelle5[[#This Row],[company_id]],Tabelle18[[#This Row],[company_id]], Tabelle5[[#This Row],[value_id]], Tabelle18[[#This Row],[value_id]], Tabelle5[[#This Row],[value_present]],"1")</f>
        <v>0</v>
      </c>
    </row>
    <row r="435" spans="1:5" x14ac:dyDescent="0.25">
      <c r="A435">
        <v>25</v>
      </c>
      <c r="B435" t="s">
        <v>61</v>
      </c>
      <c r="C435" s="4">
        <f>IF(Tabelle18[[#This Row],[binding_level_company]]&gt;=1,1,0)</f>
        <v>0</v>
      </c>
      <c r="D435" s="4">
        <f>_xlfn.MAXIFS(Tabelle5[[#This Row],[binding_level]], Tabelle5[[#This Row],[company_id]],Tabelle18[[#This Row],[company_id]], Tabelle5[[#This Row],[value_id]], Tabelle18[[#This Row],[value_id]], Tabelle5[[#This Row],[value_present]],"1")</f>
        <v>0</v>
      </c>
      <c r="E435" s="4">
        <f>_xlfn.MAXIFS(Tabelle5[[#This Row],[value_points]], Tabelle5[[#This Row],[company_id]],Tabelle18[[#This Row],[company_id]], Tabelle5[[#This Row],[value_id]], Tabelle18[[#This Row],[value_id]], Tabelle5[[#This Row],[value_present]],"1")</f>
        <v>0</v>
      </c>
    </row>
    <row r="436" spans="1:5" x14ac:dyDescent="0.25">
      <c r="A436">
        <v>25</v>
      </c>
      <c r="B436" t="s">
        <v>69</v>
      </c>
      <c r="C436" s="4">
        <f>IF(Tabelle18[[#This Row],[binding_level_company]]&gt;=1,1,0)</f>
        <v>0</v>
      </c>
      <c r="D436" s="4">
        <f>_xlfn.MAXIFS(Tabelle5[[#This Row],[binding_level]], Tabelle5[[#This Row],[company_id]],Tabelle18[[#This Row],[company_id]], Tabelle5[[#This Row],[value_id]], Tabelle18[[#This Row],[value_id]], Tabelle5[[#This Row],[value_present]],"1")</f>
        <v>0</v>
      </c>
      <c r="E436" s="4">
        <f>_xlfn.MAXIFS(Tabelle5[[#This Row],[value_points]], Tabelle5[[#This Row],[company_id]],Tabelle18[[#This Row],[company_id]], Tabelle5[[#This Row],[value_id]], Tabelle18[[#This Row],[value_id]], Tabelle5[[#This Row],[value_present]],"1")</f>
        <v>0</v>
      </c>
    </row>
    <row r="437" spans="1:5" x14ac:dyDescent="0.25">
      <c r="A437">
        <v>25</v>
      </c>
      <c r="B437" t="s">
        <v>76</v>
      </c>
      <c r="C437" s="4">
        <f>IF(Tabelle18[[#This Row],[binding_level_company]]&gt;=1,1,0)</f>
        <v>0</v>
      </c>
      <c r="D437" s="4">
        <f>_xlfn.MAXIFS(Tabelle5[[#This Row],[binding_level]], Tabelle5[[#This Row],[company_id]],Tabelle18[[#This Row],[company_id]], Tabelle5[[#This Row],[value_id]], Tabelle18[[#This Row],[value_id]], Tabelle5[[#This Row],[value_present]],"1")</f>
        <v>0</v>
      </c>
      <c r="E437" s="4">
        <f>_xlfn.MAXIFS(Tabelle5[[#This Row],[value_points]], Tabelle5[[#This Row],[company_id]],Tabelle18[[#This Row],[company_id]], Tabelle5[[#This Row],[value_id]], Tabelle18[[#This Row],[value_id]], Tabelle5[[#This Row],[value_present]],"1")</f>
        <v>0</v>
      </c>
    </row>
    <row r="438" spans="1:5" x14ac:dyDescent="0.25">
      <c r="A438">
        <v>25</v>
      </c>
      <c r="B438" t="s">
        <v>83</v>
      </c>
      <c r="C438" s="4">
        <f>IF(Tabelle18[[#This Row],[binding_level_company]]&gt;=1,1,0)</f>
        <v>0</v>
      </c>
      <c r="D438" s="4">
        <f>_xlfn.MAXIFS(Tabelle5[[#This Row],[binding_level]], Tabelle5[[#This Row],[company_id]],Tabelle18[[#This Row],[company_id]], Tabelle5[[#This Row],[value_id]], Tabelle18[[#This Row],[value_id]], Tabelle5[[#This Row],[value_present]],"1")</f>
        <v>0</v>
      </c>
      <c r="E438" s="4">
        <f>_xlfn.MAXIFS(Tabelle5[[#This Row],[value_points]], Tabelle5[[#This Row],[company_id]],Tabelle18[[#This Row],[company_id]], Tabelle5[[#This Row],[value_id]], Tabelle18[[#This Row],[value_id]], Tabelle5[[#This Row],[value_present]],"1")</f>
        <v>0</v>
      </c>
    </row>
    <row r="439" spans="1:5" x14ac:dyDescent="0.25">
      <c r="A439">
        <v>25</v>
      </c>
      <c r="B439" t="s">
        <v>90</v>
      </c>
      <c r="C439" s="4">
        <f>IF(Tabelle18[[#This Row],[binding_level_company]]&gt;=1,1,0)</f>
        <v>0</v>
      </c>
      <c r="D439" s="4">
        <f>_xlfn.MAXIFS(Tabelle5[[#This Row],[binding_level]], Tabelle5[[#This Row],[company_id]],Tabelle18[[#This Row],[company_id]], Tabelle5[[#This Row],[value_id]], Tabelle18[[#This Row],[value_id]], Tabelle5[[#This Row],[value_present]],"1")</f>
        <v>0</v>
      </c>
      <c r="E439" s="4">
        <f>_xlfn.MAXIFS(Tabelle5[[#This Row],[value_points]], Tabelle5[[#This Row],[company_id]],Tabelle18[[#This Row],[company_id]], Tabelle5[[#This Row],[value_id]], Tabelle18[[#This Row],[value_id]], Tabelle5[[#This Row],[value_present]],"1")</f>
        <v>0</v>
      </c>
    </row>
    <row r="440" spans="1:5" x14ac:dyDescent="0.25">
      <c r="A440">
        <v>25</v>
      </c>
      <c r="B440" t="s">
        <v>98</v>
      </c>
      <c r="C440" s="4">
        <f>IF(Tabelle18[[#This Row],[binding_level_company]]&gt;=1,1,0)</f>
        <v>0</v>
      </c>
      <c r="D440" s="4">
        <f>_xlfn.MAXIFS(Tabelle5[[#This Row],[binding_level]], Tabelle5[[#This Row],[company_id]],Tabelle18[[#This Row],[company_id]], Tabelle5[[#This Row],[value_id]], Tabelle18[[#This Row],[value_id]], Tabelle5[[#This Row],[value_present]],"1")</f>
        <v>0</v>
      </c>
      <c r="E440" s="4">
        <f>_xlfn.MAXIFS(Tabelle5[[#This Row],[value_points]], Tabelle5[[#This Row],[company_id]],Tabelle18[[#This Row],[company_id]], Tabelle5[[#This Row],[value_id]], Tabelle18[[#This Row],[value_id]], Tabelle5[[#This Row],[value_present]],"1")</f>
        <v>0</v>
      </c>
    </row>
    <row r="441" spans="1:5" x14ac:dyDescent="0.25">
      <c r="A441">
        <v>25</v>
      </c>
      <c r="B441" t="s">
        <v>106</v>
      </c>
      <c r="C441" s="4">
        <f>IF(Tabelle18[[#This Row],[binding_level_company]]&gt;=1,1,0)</f>
        <v>0</v>
      </c>
      <c r="D441" s="4">
        <f>_xlfn.MAXIFS(Tabelle5[[#This Row],[binding_level]], Tabelle5[[#This Row],[company_id]],Tabelle18[[#This Row],[company_id]], Tabelle5[[#This Row],[value_id]], Tabelle18[[#This Row],[value_id]], Tabelle5[[#This Row],[value_present]],"1")</f>
        <v>0</v>
      </c>
      <c r="E441" s="4">
        <f>_xlfn.MAXIFS(Tabelle5[[#This Row],[value_points]], Tabelle5[[#This Row],[company_id]],Tabelle18[[#This Row],[company_id]], Tabelle5[[#This Row],[value_id]], Tabelle18[[#This Row],[value_id]], Tabelle5[[#This Row],[value_present]],"1")</f>
        <v>0</v>
      </c>
    </row>
    <row r="442" spans="1:5" x14ac:dyDescent="0.25">
      <c r="A442">
        <v>25</v>
      </c>
      <c r="B442" t="s">
        <v>112</v>
      </c>
      <c r="C442" s="4">
        <f>IF(Tabelle18[[#This Row],[binding_level_company]]&gt;=1,1,0)</f>
        <v>0</v>
      </c>
      <c r="D442" s="4">
        <f>_xlfn.MAXIFS(Tabelle5[[#This Row],[binding_level]], Tabelle5[[#This Row],[company_id]],Tabelle18[[#This Row],[company_id]], Tabelle5[[#This Row],[value_id]], Tabelle18[[#This Row],[value_id]], Tabelle5[[#This Row],[value_present]],"1")</f>
        <v>0</v>
      </c>
      <c r="E442" s="4">
        <f>_xlfn.MAXIFS(Tabelle5[[#This Row],[value_points]], Tabelle5[[#This Row],[company_id]],Tabelle18[[#This Row],[company_id]], Tabelle5[[#This Row],[value_id]], Tabelle18[[#This Row],[value_id]], Tabelle5[[#This Row],[value_present]],"1")</f>
        <v>0</v>
      </c>
    </row>
    <row r="443" spans="1:5" x14ac:dyDescent="0.25">
      <c r="A443">
        <v>25</v>
      </c>
      <c r="B443" t="s">
        <v>118</v>
      </c>
      <c r="C443" s="4">
        <f>IF(Tabelle18[[#This Row],[binding_level_company]]&gt;=1,1,0)</f>
        <v>0</v>
      </c>
      <c r="D443" s="4">
        <f>_xlfn.MAXIFS(Tabelle5[[#This Row],[binding_level]], Tabelle5[[#This Row],[company_id]],Tabelle18[[#This Row],[company_id]], Tabelle5[[#This Row],[value_id]], Tabelle18[[#This Row],[value_id]], Tabelle5[[#This Row],[value_present]],"1")</f>
        <v>0</v>
      </c>
      <c r="E443" s="4">
        <f>_xlfn.MAXIFS(Tabelle5[[#This Row],[value_points]], Tabelle5[[#This Row],[company_id]],Tabelle18[[#This Row],[company_id]], Tabelle5[[#This Row],[value_id]], Tabelle18[[#This Row],[value_id]], Tabelle5[[#This Row],[value_present]],"1")</f>
        <v>0</v>
      </c>
    </row>
    <row r="444" spans="1:5" x14ac:dyDescent="0.25">
      <c r="A444">
        <v>25</v>
      </c>
      <c r="B444" t="s">
        <v>125</v>
      </c>
      <c r="C444" s="4">
        <f>IF(Tabelle18[[#This Row],[binding_level_company]]&gt;=1,1,0)</f>
        <v>0</v>
      </c>
      <c r="D444" s="4">
        <f>_xlfn.MAXIFS(Tabelle5[[#This Row],[binding_level]], Tabelle5[[#This Row],[company_id]],Tabelle18[[#This Row],[company_id]], Tabelle5[[#This Row],[value_id]], Tabelle18[[#This Row],[value_id]], Tabelle5[[#This Row],[value_present]],"1")</f>
        <v>0</v>
      </c>
      <c r="E444" s="4">
        <f>_xlfn.MAXIFS(Tabelle5[[#This Row],[value_points]], Tabelle5[[#This Row],[company_id]],Tabelle18[[#This Row],[company_id]], Tabelle5[[#This Row],[value_id]], Tabelle18[[#This Row],[value_id]], Tabelle5[[#This Row],[value_present]],"1")</f>
        <v>0</v>
      </c>
    </row>
    <row r="445" spans="1:5" x14ac:dyDescent="0.25">
      <c r="A445">
        <v>25</v>
      </c>
      <c r="B445" t="s">
        <v>132</v>
      </c>
      <c r="C445" s="4">
        <f>IF(Tabelle18[[#This Row],[binding_level_company]]&gt;=1,1,0)</f>
        <v>0</v>
      </c>
      <c r="D445" s="4">
        <f>_xlfn.MAXIFS(Tabelle5[[#This Row],[binding_level]], Tabelle5[[#This Row],[company_id]],Tabelle18[[#This Row],[company_id]], Tabelle5[[#This Row],[value_id]], Tabelle18[[#This Row],[value_id]], Tabelle5[[#This Row],[value_present]],"1")</f>
        <v>0</v>
      </c>
      <c r="E445" s="4">
        <f>_xlfn.MAXIFS(Tabelle5[[#This Row],[value_points]], Tabelle5[[#This Row],[company_id]],Tabelle18[[#This Row],[company_id]], Tabelle5[[#This Row],[value_id]], Tabelle18[[#This Row],[value_id]], Tabelle5[[#This Row],[value_present]],"1")</f>
        <v>0</v>
      </c>
    </row>
    <row r="446" spans="1:5" x14ac:dyDescent="0.25">
      <c r="A446">
        <v>25</v>
      </c>
      <c r="B446" t="s">
        <v>140</v>
      </c>
      <c r="C446" s="4">
        <f>IF(Tabelle18[[#This Row],[binding_level_company]]&gt;=1,1,0)</f>
        <v>0</v>
      </c>
      <c r="D446" s="4">
        <f>_xlfn.MAXIFS(Tabelle5[[#This Row],[binding_level]], Tabelle5[[#This Row],[company_id]],Tabelle18[[#This Row],[company_id]], Tabelle5[[#This Row],[value_id]], Tabelle18[[#This Row],[value_id]], Tabelle5[[#This Row],[value_present]],"1")</f>
        <v>0</v>
      </c>
      <c r="E446" s="4">
        <f>_xlfn.MAXIFS(Tabelle5[[#This Row],[value_points]], Tabelle5[[#This Row],[company_id]],Tabelle18[[#This Row],[company_id]], Tabelle5[[#This Row],[value_id]], Tabelle18[[#This Row],[value_id]], Tabelle5[[#This Row],[value_present]],"1")</f>
        <v>0</v>
      </c>
    </row>
    <row r="447" spans="1:5" x14ac:dyDescent="0.25">
      <c r="A447">
        <v>25</v>
      </c>
      <c r="B447" t="s">
        <v>147</v>
      </c>
      <c r="C447" s="4">
        <f>IF(Tabelle18[[#This Row],[binding_level_company]]&gt;=1,1,0)</f>
        <v>0</v>
      </c>
      <c r="D447" s="4">
        <f>_xlfn.MAXIFS(Tabelle5[[#This Row],[binding_level]], Tabelle5[[#This Row],[company_id]],Tabelle18[[#This Row],[company_id]], Tabelle5[[#This Row],[value_id]], Tabelle18[[#This Row],[value_id]], Tabelle5[[#This Row],[value_present]],"1")</f>
        <v>0</v>
      </c>
      <c r="E447" s="4">
        <f>_xlfn.MAXIFS(Tabelle5[[#This Row],[value_points]], Tabelle5[[#This Row],[company_id]],Tabelle18[[#This Row],[company_id]], Tabelle5[[#This Row],[value_id]], Tabelle18[[#This Row],[value_id]], Tabelle5[[#This Row],[value_present]],"1")</f>
        <v>0</v>
      </c>
    </row>
    <row r="448" spans="1:5" x14ac:dyDescent="0.25">
      <c r="A448">
        <v>25</v>
      </c>
      <c r="B448" t="s">
        <v>154</v>
      </c>
      <c r="C448" s="4">
        <f>IF(Tabelle18[[#This Row],[binding_level_company]]&gt;=1,1,0)</f>
        <v>0</v>
      </c>
      <c r="D448" s="4">
        <f>_xlfn.MAXIFS(Tabelle5[[#This Row],[binding_level]], Tabelle5[[#This Row],[company_id]],Tabelle18[[#This Row],[company_id]], Tabelle5[[#This Row],[value_id]], Tabelle18[[#This Row],[value_id]], Tabelle5[[#This Row],[value_present]],"1")</f>
        <v>0</v>
      </c>
      <c r="E448" s="4">
        <f>_xlfn.MAXIFS(Tabelle5[[#This Row],[value_points]], Tabelle5[[#This Row],[company_id]],Tabelle18[[#This Row],[company_id]], Tabelle5[[#This Row],[value_id]], Tabelle18[[#This Row],[value_id]], Tabelle5[[#This Row],[value_present]],"1")</f>
        <v>0</v>
      </c>
    </row>
    <row r="449" spans="1:5" x14ac:dyDescent="0.25">
      <c r="A449">
        <v>25</v>
      </c>
      <c r="B449" t="s">
        <v>161</v>
      </c>
      <c r="C449" s="4">
        <f>IF(Tabelle18[[#This Row],[binding_level_company]]&gt;=1,1,0)</f>
        <v>0</v>
      </c>
      <c r="D449" s="4">
        <f>_xlfn.MAXIFS(Tabelle5[[#This Row],[binding_level]], Tabelle5[[#This Row],[company_id]],Tabelle18[[#This Row],[company_id]], Tabelle5[[#This Row],[value_id]], Tabelle18[[#This Row],[value_id]], Tabelle5[[#This Row],[value_present]],"1")</f>
        <v>0</v>
      </c>
      <c r="E449" s="4">
        <f>_xlfn.MAXIFS(Tabelle5[[#This Row],[value_points]], Tabelle5[[#This Row],[company_id]],Tabelle18[[#This Row],[company_id]], Tabelle5[[#This Row],[value_id]], Tabelle18[[#This Row],[value_id]], Tabelle5[[#This Row],[value_present]],"1")</f>
        <v>0</v>
      </c>
    </row>
    <row r="450" spans="1:5" x14ac:dyDescent="0.25">
      <c r="A450">
        <v>25</v>
      </c>
      <c r="B450" t="s">
        <v>166</v>
      </c>
      <c r="C450" s="4">
        <f>IF(Tabelle18[[#This Row],[binding_level_company]]&gt;=1,1,0)</f>
        <v>0</v>
      </c>
      <c r="D450" s="4">
        <f>_xlfn.MAXIFS(Tabelle5[[#This Row],[binding_level]], Tabelle5[[#This Row],[company_id]],Tabelle18[[#This Row],[company_id]], Tabelle5[[#This Row],[value_id]], Tabelle18[[#This Row],[value_id]], Tabelle5[[#This Row],[value_present]],"1")</f>
        <v>0</v>
      </c>
      <c r="E450" s="4">
        <f>_xlfn.MAXIFS(Tabelle5[[#This Row],[value_points]], Tabelle5[[#This Row],[company_id]],Tabelle18[[#This Row],[company_id]], Tabelle5[[#This Row],[value_id]], Tabelle18[[#This Row],[value_id]], Tabelle5[[#This Row],[value_present]],"1")</f>
        <v>0</v>
      </c>
    </row>
    <row r="451" spans="1:5" ht="15.75" thickBot="1" x14ac:dyDescent="0.3">
      <c r="A451">
        <v>25</v>
      </c>
      <c r="B451" s="30" t="s">
        <v>174</v>
      </c>
      <c r="C451" s="4">
        <f>IF(Tabelle18[[#This Row],[binding_level_company]]&gt;=1,1,0)</f>
        <v>0</v>
      </c>
      <c r="D451" s="4">
        <f>_xlfn.MAXIFS(Tabelle5[[#This Row],[binding_level]], Tabelle5[[#This Row],[company_id]],Tabelle18[[#This Row],[company_id]], Tabelle5[[#This Row],[value_id]], Tabelle18[[#This Row],[value_id]], Tabelle5[[#This Row],[value_present]],"1")</f>
        <v>0</v>
      </c>
      <c r="E451" s="4">
        <f>_xlfn.MAXIFS(Tabelle5[[#This Row],[value_points]], Tabelle5[[#This Row],[company_id]],Tabelle18[[#This Row],[company_id]], Tabelle5[[#This Row],[value_id]], Tabelle18[[#This Row],[value_id]], Tabelle5[[#This Row],[value_present]],"1")</f>
        <v>0</v>
      </c>
    </row>
    <row r="452" spans="1:5" x14ac:dyDescent="0.25">
      <c r="A452">
        <v>26</v>
      </c>
      <c r="B452" s="22" t="s">
        <v>53</v>
      </c>
      <c r="C452" s="4">
        <f>IF(Tabelle18[[#This Row],[binding_level_company]]&gt;=1,1,0)</f>
        <v>0</v>
      </c>
      <c r="D452" s="4">
        <f>_xlfn.MAXIFS(Tabelle5[[#This Row],[binding_level]], Tabelle5[[#This Row],[company_id]],Tabelle18[[#This Row],[company_id]], Tabelle5[[#This Row],[value_id]], Tabelle18[[#This Row],[value_id]], Tabelle5[[#This Row],[value_present]],"1")</f>
        <v>0</v>
      </c>
      <c r="E452" s="4">
        <f>_xlfn.MAXIFS(Tabelle5[[#This Row],[value_points]], Tabelle5[[#This Row],[company_id]],Tabelle18[[#This Row],[company_id]], Tabelle5[[#This Row],[value_id]], Tabelle18[[#This Row],[value_id]], Tabelle5[[#This Row],[value_present]],"1")</f>
        <v>0</v>
      </c>
    </row>
    <row r="453" spans="1:5" x14ac:dyDescent="0.25">
      <c r="A453">
        <v>26</v>
      </c>
      <c r="B453" t="s">
        <v>61</v>
      </c>
      <c r="C453" s="4">
        <f>IF(Tabelle18[[#This Row],[binding_level_company]]&gt;=1,1,0)</f>
        <v>0</v>
      </c>
      <c r="D453" s="4">
        <f>_xlfn.MAXIFS(Tabelle5[[#This Row],[binding_level]], Tabelle5[[#This Row],[company_id]],Tabelle18[[#This Row],[company_id]], Tabelle5[[#This Row],[value_id]], Tabelle18[[#This Row],[value_id]], Tabelle5[[#This Row],[value_present]],"1")</f>
        <v>0</v>
      </c>
      <c r="E453" s="4">
        <f>_xlfn.MAXIFS(Tabelle5[[#This Row],[value_points]], Tabelle5[[#This Row],[company_id]],Tabelle18[[#This Row],[company_id]], Tabelle5[[#This Row],[value_id]], Tabelle18[[#This Row],[value_id]], Tabelle5[[#This Row],[value_present]],"1")</f>
        <v>0</v>
      </c>
    </row>
    <row r="454" spans="1:5" x14ac:dyDescent="0.25">
      <c r="A454">
        <v>26</v>
      </c>
      <c r="B454" t="s">
        <v>69</v>
      </c>
      <c r="C454" s="4">
        <f>IF(Tabelle18[[#This Row],[binding_level_company]]&gt;=1,1,0)</f>
        <v>0</v>
      </c>
      <c r="D454" s="4">
        <f>_xlfn.MAXIFS(Tabelle5[[#This Row],[binding_level]], Tabelle5[[#This Row],[company_id]],Tabelle18[[#This Row],[company_id]], Tabelle5[[#This Row],[value_id]], Tabelle18[[#This Row],[value_id]], Tabelle5[[#This Row],[value_present]],"1")</f>
        <v>0</v>
      </c>
      <c r="E454" s="4">
        <f>_xlfn.MAXIFS(Tabelle5[[#This Row],[value_points]], Tabelle5[[#This Row],[company_id]],Tabelle18[[#This Row],[company_id]], Tabelle5[[#This Row],[value_id]], Tabelle18[[#This Row],[value_id]], Tabelle5[[#This Row],[value_present]],"1")</f>
        <v>0</v>
      </c>
    </row>
    <row r="455" spans="1:5" x14ac:dyDescent="0.25">
      <c r="A455">
        <v>26</v>
      </c>
      <c r="B455" t="s">
        <v>76</v>
      </c>
      <c r="C455" s="4">
        <f>IF(Tabelle18[[#This Row],[binding_level_company]]&gt;=1,1,0)</f>
        <v>0</v>
      </c>
      <c r="D455" s="4">
        <f>_xlfn.MAXIFS(Tabelle5[[#This Row],[binding_level]], Tabelle5[[#This Row],[company_id]],Tabelle18[[#This Row],[company_id]], Tabelle5[[#This Row],[value_id]], Tabelle18[[#This Row],[value_id]], Tabelle5[[#This Row],[value_present]],"1")</f>
        <v>0</v>
      </c>
      <c r="E455" s="4">
        <f>_xlfn.MAXIFS(Tabelle5[[#This Row],[value_points]], Tabelle5[[#This Row],[company_id]],Tabelle18[[#This Row],[company_id]], Tabelle5[[#This Row],[value_id]], Tabelle18[[#This Row],[value_id]], Tabelle5[[#This Row],[value_present]],"1")</f>
        <v>0</v>
      </c>
    </row>
    <row r="456" spans="1:5" x14ac:dyDescent="0.25">
      <c r="A456">
        <v>26</v>
      </c>
      <c r="B456" t="s">
        <v>83</v>
      </c>
      <c r="C456" s="4">
        <f>IF(Tabelle18[[#This Row],[binding_level_company]]&gt;=1,1,0)</f>
        <v>0</v>
      </c>
      <c r="D456" s="4">
        <f>_xlfn.MAXIFS(Tabelle5[[#This Row],[binding_level]], Tabelle5[[#This Row],[company_id]],Tabelle18[[#This Row],[company_id]], Tabelle5[[#This Row],[value_id]], Tabelle18[[#This Row],[value_id]], Tabelle5[[#This Row],[value_present]],"1")</f>
        <v>0</v>
      </c>
      <c r="E456" s="4">
        <f>_xlfn.MAXIFS(Tabelle5[[#This Row],[value_points]], Tabelle5[[#This Row],[company_id]],Tabelle18[[#This Row],[company_id]], Tabelle5[[#This Row],[value_id]], Tabelle18[[#This Row],[value_id]], Tabelle5[[#This Row],[value_present]],"1")</f>
        <v>0</v>
      </c>
    </row>
    <row r="457" spans="1:5" x14ac:dyDescent="0.25">
      <c r="A457">
        <v>26</v>
      </c>
      <c r="B457" t="s">
        <v>90</v>
      </c>
      <c r="C457" s="4">
        <f>IF(Tabelle18[[#This Row],[binding_level_company]]&gt;=1,1,0)</f>
        <v>0</v>
      </c>
      <c r="D457" s="4">
        <f>_xlfn.MAXIFS(Tabelle5[[#This Row],[binding_level]], Tabelle5[[#This Row],[company_id]],Tabelle18[[#This Row],[company_id]], Tabelle5[[#This Row],[value_id]], Tabelle18[[#This Row],[value_id]], Tabelle5[[#This Row],[value_present]],"1")</f>
        <v>0</v>
      </c>
      <c r="E457" s="4">
        <f>_xlfn.MAXIFS(Tabelle5[[#This Row],[value_points]], Tabelle5[[#This Row],[company_id]],Tabelle18[[#This Row],[company_id]], Tabelle5[[#This Row],[value_id]], Tabelle18[[#This Row],[value_id]], Tabelle5[[#This Row],[value_present]],"1")</f>
        <v>0</v>
      </c>
    </row>
    <row r="458" spans="1:5" x14ac:dyDescent="0.25">
      <c r="A458">
        <v>26</v>
      </c>
      <c r="B458" t="s">
        <v>98</v>
      </c>
      <c r="C458" s="4">
        <f>IF(Tabelle18[[#This Row],[binding_level_company]]&gt;=1,1,0)</f>
        <v>0</v>
      </c>
      <c r="D458" s="4">
        <f>_xlfn.MAXIFS(Tabelle5[[#This Row],[binding_level]], Tabelle5[[#This Row],[company_id]],Tabelle18[[#This Row],[company_id]], Tabelle5[[#This Row],[value_id]], Tabelle18[[#This Row],[value_id]], Tabelle5[[#This Row],[value_present]],"1")</f>
        <v>0</v>
      </c>
      <c r="E458" s="4">
        <f>_xlfn.MAXIFS(Tabelle5[[#This Row],[value_points]], Tabelle5[[#This Row],[company_id]],Tabelle18[[#This Row],[company_id]], Tabelle5[[#This Row],[value_id]], Tabelle18[[#This Row],[value_id]], Tabelle5[[#This Row],[value_present]],"1")</f>
        <v>0</v>
      </c>
    </row>
    <row r="459" spans="1:5" x14ac:dyDescent="0.25">
      <c r="A459">
        <v>26</v>
      </c>
      <c r="B459" t="s">
        <v>106</v>
      </c>
      <c r="C459" s="4">
        <f>IF(Tabelle18[[#This Row],[binding_level_company]]&gt;=1,1,0)</f>
        <v>0</v>
      </c>
      <c r="D459" s="4">
        <f>_xlfn.MAXIFS(Tabelle5[[#This Row],[binding_level]], Tabelle5[[#This Row],[company_id]],Tabelle18[[#This Row],[company_id]], Tabelle5[[#This Row],[value_id]], Tabelle18[[#This Row],[value_id]], Tabelle5[[#This Row],[value_present]],"1")</f>
        <v>0</v>
      </c>
      <c r="E459" s="4">
        <f>_xlfn.MAXIFS(Tabelle5[[#This Row],[value_points]], Tabelle5[[#This Row],[company_id]],Tabelle18[[#This Row],[company_id]], Tabelle5[[#This Row],[value_id]], Tabelle18[[#This Row],[value_id]], Tabelle5[[#This Row],[value_present]],"1")</f>
        <v>0</v>
      </c>
    </row>
    <row r="460" spans="1:5" x14ac:dyDescent="0.25">
      <c r="A460">
        <v>26</v>
      </c>
      <c r="B460" t="s">
        <v>112</v>
      </c>
      <c r="C460" s="4">
        <f>IF(Tabelle18[[#This Row],[binding_level_company]]&gt;=1,1,0)</f>
        <v>0</v>
      </c>
      <c r="D460" s="4">
        <f>_xlfn.MAXIFS(Tabelle5[[#This Row],[binding_level]], Tabelle5[[#This Row],[company_id]],Tabelle18[[#This Row],[company_id]], Tabelle5[[#This Row],[value_id]], Tabelle18[[#This Row],[value_id]], Tabelle5[[#This Row],[value_present]],"1")</f>
        <v>0</v>
      </c>
      <c r="E460" s="4">
        <f>_xlfn.MAXIFS(Tabelle5[[#This Row],[value_points]], Tabelle5[[#This Row],[company_id]],Tabelle18[[#This Row],[company_id]], Tabelle5[[#This Row],[value_id]], Tabelle18[[#This Row],[value_id]], Tabelle5[[#This Row],[value_present]],"1")</f>
        <v>0</v>
      </c>
    </row>
    <row r="461" spans="1:5" x14ac:dyDescent="0.25">
      <c r="A461">
        <v>26</v>
      </c>
      <c r="B461" t="s">
        <v>118</v>
      </c>
      <c r="C461" s="4">
        <f>IF(Tabelle18[[#This Row],[binding_level_company]]&gt;=1,1,0)</f>
        <v>0</v>
      </c>
      <c r="D461" s="4">
        <f>_xlfn.MAXIFS(Tabelle5[[#This Row],[binding_level]], Tabelle5[[#This Row],[company_id]],Tabelle18[[#This Row],[company_id]], Tabelle5[[#This Row],[value_id]], Tabelle18[[#This Row],[value_id]], Tabelle5[[#This Row],[value_present]],"1")</f>
        <v>0</v>
      </c>
      <c r="E461" s="4">
        <f>_xlfn.MAXIFS(Tabelle5[[#This Row],[value_points]], Tabelle5[[#This Row],[company_id]],Tabelle18[[#This Row],[company_id]], Tabelle5[[#This Row],[value_id]], Tabelle18[[#This Row],[value_id]], Tabelle5[[#This Row],[value_present]],"1")</f>
        <v>0</v>
      </c>
    </row>
    <row r="462" spans="1:5" x14ac:dyDescent="0.25">
      <c r="A462">
        <v>26</v>
      </c>
      <c r="B462" t="s">
        <v>125</v>
      </c>
      <c r="C462" s="4">
        <f>IF(Tabelle18[[#This Row],[binding_level_company]]&gt;=1,1,0)</f>
        <v>0</v>
      </c>
      <c r="D462" s="4">
        <f>_xlfn.MAXIFS(Tabelle5[[#This Row],[binding_level]], Tabelle5[[#This Row],[company_id]],Tabelle18[[#This Row],[company_id]], Tabelle5[[#This Row],[value_id]], Tabelle18[[#This Row],[value_id]], Tabelle5[[#This Row],[value_present]],"1")</f>
        <v>0</v>
      </c>
      <c r="E462" s="4">
        <f>_xlfn.MAXIFS(Tabelle5[[#This Row],[value_points]], Tabelle5[[#This Row],[company_id]],Tabelle18[[#This Row],[company_id]], Tabelle5[[#This Row],[value_id]], Tabelle18[[#This Row],[value_id]], Tabelle5[[#This Row],[value_present]],"1")</f>
        <v>0</v>
      </c>
    </row>
    <row r="463" spans="1:5" x14ac:dyDescent="0.25">
      <c r="A463">
        <v>26</v>
      </c>
      <c r="B463" t="s">
        <v>132</v>
      </c>
      <c r="C463" s="4">
        <f>IF(Tabelle18[[#This Row],[binding_level_company]]&gt;=1,1,0)</f>
        <v>0</v>
      </c>
      <c r="D463" s="4">
        <f>_xlfn.MAXIFS(Tabelle5[[#This Row],[binding_level]], Tabelle5[[#This Row],[company_id]],Tabelle18[[#This Row],[company_id]], Tabelle5[[#This Row],[value_id]], Tabelle18[[#This Row],[value_id]], Tabelle5[[#This Row],[value_present]],"1")</f>
        <v>0</v>
      </c>
      <c r="E463" s="4">
        <f>_xlfn.MAXIFS(Tabelle5[[#This Row],[value_points]], Tabelle5[[#This Row],[company_id]],Tabelle18[[#This Row],[company_id]], Tabelle5[[#This Row],[value_id]], Tabelle18[[#This Row],[value_id]], Tabelle5[[#This Row],[value_present]],"1")</f>
        <v>0</v>
      </c>
    </row>
    <row r="464" spans="1:5" x14ac:dyDescent="0.25">
      <c r="A464">
        <v>26</v>
      </c>
      <c r="B464" t="s">
        <v>140</v>
      </c>
      <c r="C464" s="4">
        <f>IF(Tabelle18[[#This Row],[binding_level_company]]&gt;=1,1,0)</f>
        <v>0</v>
      </c>
      <c r="D464" s="4">
        <f>_xlfn.MAXIFS(Tabelle5[[#This Row],[binding_level]], Tabelle5[[#This Row],[company_id]],Tabelle18[[#This Row],[company_id]], Tabelle5[[#This Row],[value_id]], Tabelle18[[#This Row],[value_id]], Tabelle5[[#This Row],[value_present]],"1")</f>
        <v>0</v>
      </c>
      <c r="E464" s="4">
        <f>_xlfn.MAXIFS(Tabelle5[[#This Row],[value_points]], Tabelle5[[#This Row],[company_id]],Tabelle18[[#This Row],[company_id]], Tabelle5[[#This Row],[value_id]], Tabelle18[[#This Row],[value_id]], Tabelle5[[#This Row],[value_present]],"1")</f>
        <v>0</v>
      </c>
    </row>
    <row r="465" spans="1:5" x14ac:dyDescent="0.25">
      <c r="A465">
        <v>26</v>
      </c>
      <c r="B465" t="s">
        <v>147</v>
      </c>
      <c r="C465" s="4">
        <f>IF(Tabelle18[[#This Row],[binding_level_company]]&gt;=1,1,0)</f>
        <v>0</v>
      </c>
      <c r="D465" s="4">
        <f>_xlfn.MAXIFS(Tabelle5[[#This Row],[binding_level]], Tabelle5[[#This Row],[company_id]],Tabelle18[[#This Row],[company_id]], Tabelle5[[#This Row],[value_id]], Tabelle18[[#This Row],[value_id]], Tabelle5[[#This Row],[value_present]],"1")</f>
        <v>0</v>
      </c>
      <c r="E465" s="4">
        <f>_xlfn.MAXIFS(Tabelle5[[#This Row],[value_points]], Tabelle5[[#This Row],[company_id]],Tabelle18[[#This Row],[company_id]], Tabelle5[[#This Row],[value_id]], Tabelle18[[#This Row],[value_id]], Tabelle5[[#This Row],[value_present]],"1")</f>
        <v>0</v>
      </c>
    </row>
    <row r="466" spans="1:5" x14ac:dyDescent="0.25">
      <c r="A466">
        <v>26</v>
      </c>
      <c r="B466" t="s">
        <v>154</v>
      </c>
      <c r="C466" s="4">
        <f>IF(Tabelle18[[#This Row],[binding_level_company]]&gt;=1,1,0)</f>
        <v>0</v>
      </c>
      <c r="D466" s="4">
        <f>_xlfn.MAXIFS(Tabelle5[[#This Row],[binding_level]], Tabelle5[[#This Row],[company_id]],Tabelle18[[#This Row],[company_id]], Tabelle5[[#This Row],[value_id]], Tabelle18[[#This Row],[value_id]], Tabelle5[[#This Row],[value_present]],"1")</f>
        <v>0</v>
      </c>
      <c r="E466" s="4">
        <f>_xlfn.MAXIFS(Tabelle5[[#This Row],[value_points]], Tabelle5[[#This Row],[company_id]],Tabelle18[[#This Row],[company_id]], Tabelle5[[#This Row],[value_id]], Tabelle18[[#This Row],[value_id]], Tabelle5[[#This Row],[value_present]],"1")</f>
        <v>0</v>
      </c>
    </row>
    <row r="467" spans="1:5" x14ac:dyDescent="0.25">
      <c r="A467">
        <v>26</v>
      </c>
      <c r="B467" t="s">
        <v>161</v>
      </c>
      <c r="C467" s="4">
        <f>IF(Tabelle18[[#This Row],[binding_level_company]]&gt;=1,1,0)</f>
        <v>0</v>
      </c>
      <c r="D467" s="4">
        <f>_xlfn.MAXIFS(Tabelle5[[#This Row],[binding_level]], Tabelle5[[#This Row],[company_id]],Tabelle18[[#This Row],[company_id]], Tabelle5[[#This Row],[value_id]], Tabelle18[[#This Row],[value_id]], Tabelle5[[#This Row],[value_present]],"1")</f>
        <v>0</v>
      </c>
      <c r="E467" s="4">
        <f>_xlfn.MAXIFS(Tabelle5[[#This Row],[value_points]], Tabelle5[[#This Row],[company_id]],Tabelle18[[#This Row],[company_id]], Tabelle5[[#This Row],[value_id]], Tabelle18[[#This Row],[value_id]], Tabelle5[[#This Row],[value_present]],"1")</f>
        <v>0</v>
      </c>
    </row>
    <row r="468" spans="1:5" x14ac:dyDescent="0.25">
      <c r="A468">
        <v>26</v>
      </c>
      <c r="B468" t="s">
        <v>166</v>
      </c>
      <c r="C468" s="4">
        <f>IF(Tabelle18[[#This Row],[binding_level_company]]&gt;=1,1,0)</f>
        <v>0</v>
      </c>
      <c r="D468" s="4">
        <f>_xlfn.MAXIFS(Tabelle5[[#This Row],[binding_level]], Tabelle5[[#This Row],[company_id]],Tabelle18[[#This Row],[company_id]], Tabelle5[[#This Row],[value_id]], Tabelle18[[#This Row],[value_id]], Tabelle5[[#This Row],[value_present]],"1")</f>
        <v>0</v>
      </c>
      <c r="E468" s="4">
        <f>_xlfn.MAXIFS(Tabelle5[[#This Row],[value_points]], Tabelle5[[#This Row],[company_id]],Tabelle18[[#This Row],[company_id]], Tabelle5[[#This Row],[value_id]], Tabelle18[[#This Row],[value_id]], Tabelle5[[#This Row],[value_present]],"1")</f>
        <v>0</v>
      </c>
    </row>
    <row r="469" spans="1:5" ht="15.75" thickBot="1" x14ac:dyDescent="0.3">
      <c r="A469">
        <v>26</v>
      </c>
      <c r="B469" s="30" t="s">
        <v>174</v>
      </c>
      <c r="C469" s="4">
        <f>IF(Tabelle18[[#This Row],[binding_level_company]]&gt;=1,1,0)</f>
        <v>0</v>
      </c>
      <c r="D469" s="4">
        <f>_xlfn.MAXIFS(Tabelle5[[#This Row],[binding_level]], Tabelle5[[#This Row],[company_id]],Tabelle18[[#This Row],[company_id]], Tabelle5[[#This Row],[value_id]], Tabelle18[[#This Row],[value_id]], Tabelle5[[#This Row],[value_present]],"1")</f>
        <v>0</v>
      </c>
      <c r="E469" s="4">
        <f>_xlfn.MAXIFS(Tabelle5[[#This Row],[value_points]], Tabelle5[[#This Row],[company_id]],Tabelle18[[#This Row],[company_id]], Tabelle5[[#This Row],[value_id]], Tabelle18[[#This Row],[value_id]], Tabelle5[[#This Row],[value_present]],"1")</f>
        <v>0</v>
      </c>
    </row>
    <row r="470" spans="1:5" x14ac:dyDescent="0.25">
      <c r="A470">
        <v>27</v>
      </c>
      <c r="B470" s="22" t="s">
        <v>53</v>
      </c>
      <c r="C470" s="4">
        <f>IF(Tabelle18[[#This Row],[binding_level_company]]&gt;=1,1,0)</f>
        <v>0</v>
      </c>
      <c r="D470" s="4">
        <f>_xlfn.MAXIFS(Tabelle5[[#This Row],[binding_level]], Tabelle5[[#This Row],[company_id]],Tabelle18[[#This Row],[company_id]], Tabelle5[[#This Row],[value_id]], Tabelle18[[#This Row],[value_id]], Tabelle5[[#This Row],[value_present]],"1")</f>
        <v>0</v>
      </c>
      <c r="E470" s="4">
        <f>_xlfn.MAXIFS(Tabelle5[[#This Row],[value_points]], Tabelle5[[#This Row],[company_id]],Tabelle18[[#This Row],[company_id]], Tabelle5[[#This Row],[value_id]], Tabelle18[[#This Row],[value_id]], Tabelle5[[#This Row],[value_present]],"1")</f>
        <v>0</v>
      </c>
    </row>
    <row r="471" spans="1:5" x14ac:dyDescent="0.25">
      <c r="A471">
        <v>27</v>
      </c>
      <c r="B471" t="s">
        <v>61</v>
      </c>
      <c r="C471" s="4">
        <f>IF(Tabelle18[[#This Row],[binding_level_company]]&gt;=1,1,0)</f>
        <v>0</v>
      </c>
      <c r="D471" s="4">
        <f>_xlfn.MAXIFS(Tabelle5[[#This Row],[binding_level]], Tabelle5[[#This Row],[company_id]],Tabelle18[[#This Row],[company_id]], Tabelle5[[#This Row],[value_id]], Tabelle18[[#This Row],[value_id]], Tabelle5[[#This Row],[value_present]],"1")</f>
        <v>0</v>
      </c>
      <c r="E471" s="4">
        <f>_xlfn.MAXIFS(Tabelle5[[#This Row],[value_points]], Tabelle5[[#This Row],[company_id]],Tabelle18[[#This Row],[company_id]], Tabelle5[[#This Row],[value_id]], Tabelle18[[#This Row],[value_id]], Tabelle5[[#This Row],[value_present]],"1")</f>
        <v>0</v>
      </c>
    </row>
    <row r="472" spans="1:5" x14ac:dyDescent="0.25">
      <c r="A472">
        <v>27</v>
      </c>
      <c r="B472" t="s">
        <v>69</v>
      </c>
      <c r="C472" s="4">
        <f>IF(Tabelle18[[#This Row],[binding_level_company]]&gt;=1,1,0)</f>
        <v>0</v>
      </c>
      <c r="D472" s="4">
        <f>_xlfn.MAXIFS(Tabelle5[[#This Row],[binding_level]], Tabelle5[[#This Row],[company_id]],Tabelle18[[#This Row],[company_id]], Tabelle5[[#This Row],[value_id]], Tabelle18[[#This Row],[value_id]], Tabelle5[[#This Row],[value_present]],"1")</f>
        <v>0</v>
      </c>
      <c r="E472" s="4">
        <f>_xlfn.MAXIFS(Tabelle5[[#This Row],[value_points]], Tabelle5[[#This Row],[company_id]],Tabelle18[[#This Row],[company_id]], Tabelle5[[#This Row],[value_id]], Tabelle18[[#This Row],[value_id]], Tabelle5[[#This Row],[value_present]],"1")</f>
        <v>0</v>
      </c>
    </row>
    <row r="473" spans="1:5" x14ac:dyDescent="0.25">
      <c r="A473">
        <v>27</v>
      </c>
      <c r="B473" t="s">
        <v>76</v>
      </c>
      <c r="C473" s="4">
        <f>IF(Tabelle18[[#This Row],[binding_level_company]]&gt;=1,1,0)</f>
        <v>0</v>
      </c>
      <c r="D473" s="4">
        <f>_xlfn.MAXIFS(Tabelle5[[#This Row],[binding_level]], Tabelle5[[#This Row],[company_id]],Tabelle18[[#This Row],[company_id]], Tabelle5[[#This Row],[value_id]], Tabelle18[[#This Row],[value_id]], Tabelle5[[#This Row],[value_present]],"1")</f>
        <v>0</v>
      </c>
      <c r="E473" s="4">
        <f>_xlfn.MAXIFS(Tabelle5[[#This Row],[value_points]], Tabelle5[[#This Row],[company_id]],Tabelle18[[#This Row],[company_id]], Tabelle5[[#This Row],[value_id]], Tabelle18[[#This Row],[value_id]], Tabelle5[[#This Row],[value_present]],"1")</f>
        <v>0</v>
      </c>
    </row>
    <row r="474" spans="1:5" x14ac:dyDescent="0.25">
      <c r="A474">
        <v>27</v>
      </c>
      <c r="B474" t="s">
        <v>83</v>
      </c>
      <c r="C474" s="4">
        <f>IF(Tabelle18[[#This Row],[binding_level_company]]&gt;=1,1,0)</f>
        <v>0</v>
      </c>
      <c r="D474" s="4">
        <f>_xlfn.MAXIFS(Tabelle5[[#This Row],[binding_level]], Tabelle5[[#This Row],[company_id]],Tabelle18[[#This Row],[company_id]], Tabelle5[[#This Row],[value_id]], Tabelle18[[#This Row],[value_id]], Tabelle5[[#This Row],[value_present]],"1")</f>
        <v>0</v>
      </c>
      <c r="E474" s="4">
        <f>_xlfn.MAXIFS(Tabelle5[[#This Row],[value_points]], Tabelle5[[#This Row],[company_id]],Tabelle18[[#This Row],[company_id]], Tabelle5[[#This Row],[value_id]], Tabelle18[[#This Row],[value_id]], Tabelle5[[#This Row],[value_present]],"1")</f>
        <v>0</v>
      </c>
    </row>
    <row r="475" spans="1:5" x14ac:dyDescent="0.25">
      <c r="A475">
        <v>27</v>
      </c>
      <c r="B475" t="s">
        <v>90</v>
      </c>
      <c r="C475" s="4">
        <f>IF(Tabelle18[[#This Row],[binding_level_company]]&gt;=1,1,0)</f>
        <v>0</v>
      </c>
      <c r="D475" s="4">
        <f>_xlfn.MAXIFS(Tabelle5[[#This Row],[binding_level]], Tabelle5[[#This Row],[company_id]],Tabelle18[[#This Row],[company_id]], Tabelle5[[#This Row],[value_id]], Tabelle18[[#This Row],[value_id]], Tabelle5[[#This Row],[value_present]],"1")</f>
        <v>0</v>
      </c>
      <c r="E475" s="4">
        <f>_xlfn.MAXIFS(Tabelle5[[#This Row],[value_points]], Tabelle5[[#This Row],[company_id]],Tabelle18[[#This Row],[company_id]], Tabelle5[[#This Row],[value_id]], Tabelle18[[#This Row],[value_id]], Tabelle5[[#This Row],[value_present]],"1")</f>
        <v>0</v>
      </c>
    </row>
    <row r="476" spans="1:5" x14ac:dyDescent="0.25">
      <c r="A476">
        <v>27</v>
      </c>
      <c r="B476" t="s">
        <v>98</v>
      </c>
      <c r="C476" s="4">
        <f>IF(Tabelle18[[#This Row],[binding_level_company]]&gt;=1,1,0)</f>
        <v>0</v>
      </c>
      <c r="D476" s="4">
        <f>_xlfn.MAXIFS(Tabelle5[[#This Row],[binding_level]], Tabelle5[[#This Row],[company_id]],Tabelle18[[#This Row],[company_id]], Tabelle5[[#This Row],[value_id]], Tabelle18[[#This Row],[value_id]], Tabelle5[[#This Row],[value_present]],"1")</f>
        <v>0</v>
      </c>
      <c r="E476" s="4">
        <f>_xlfn.MAXIFS(Tabelle5[[#This Row],[value_points]], Tabelle5[[#This Row],[company_id]],Tabelle18[[#This Row],[company_id]], Tabelle5[[#This Row],[value_id]], Tabelle18[[#This Row],[value_id]], Tabelle5[[#This Row],[value_present]],"1")</f>
        <v>0</v>
      </c>
    </row>
    <row r="477" spans="1:5" x14ac:dyDescent="0.25">
      <c r="A477">
        <v>27</v>
      </c>
      <c r="B477" t="s">
        <v>106</v>
      </c>
      <c r="C477" s="4">
        <f>IF(Tabelle18[[#This Row],[binding_level_company]]&gt;=1,1,0)</f>
        <v>0</v>
      </c>
      <c r="D477" s="4">
        <f>_xlfn.MAXIFS(Tabelle5[[#This Row],[binding_level]], Tabelle5[[#This Row],[company_id]],Tabelle18[[#This Row],[company_id]], Tabelle5[[#This Row],[value_id]], Tabelle18[[#This Row],[value_id]], Tabelle5[[#This Row],[value_present]],"1")</f>
        <v>0</v>
      </c>
      <c r="E477" s="4">
        <f>_xlfn.MAXIFS(Tabelle5[[#This Row],[value_points]], Tabelle5[[#This Row],[company_id]],Tabelle18[[#This Row],[company_id]], Tabelle5[[#This Row],[value_id]], Tabelle18[[#This Row],[value_id]], Tabelle5[[#This Row],[value_present]],"1")</f>
        <v>0</v>
      </c>
    </row>
    <row r="478" spans="1:5" x14ac:dyDescent="0.25">
      <c r="A478">
        <v>27</v>
      </c>
      <c r="B478" t="s">
        <v>112</v>
      </c>
      <c r="C478" s="4">
        <f>IF(Tabelle18[[#This Row],[binding_level_company]]&gt;=1,1,0)</f>
        <v>0</v>
      </c>
      <c r="D478" s="4">
        <f>_xlfn.MAXIFS(Tabelle5[[#This Row],[binding_level]], Tabelle5[[#This Row],[company_id]],Tabelle18[[#This Row],[company_id]], Tabelle5[[#This Row],[value_id]], Tabelle18[[#This Row],[value_id]], Tabelle5[[#This Row],[value_present]],"1")</f>
        <v>0</v>
      </c>
      <c r="E478" s="4">
        <f>_xlfn.MAXIFS(Tabelle5[[#This Row],[value_points]], Tabelle5[[#This Row],[company_id]],Tabelle18[[#This Row],[company_id]], Tabelle5[[#This Row],[value_id]], Tabelle18[[#This Row],[value_id]], Tabelle5[[#This Row],[value_present]],"1")</f>
        <v>0</v>
      </c>
    </row>
    <row r="479" spans="1:5" x14ac:dyDescent="0.25">
      <c r="A479">
        <v>27</v>
      </c>
      <c r="B479" t="s">
        <v>118</v>
      </c>
      <c r="C479" s="4">
        <f>IF(Tabelle18[[#This Row],[binding_level_company]]&gt;=1,1,0)</f>
        <v>0</v>
      </c>
      <c r="D479" s="4">
        <f>_xlfn.MAXIFS(Tabelle5[[#This Row],[binding_level]], Tabelle5[[#This Row],[company_id]],Tabelle18[[#This Row],[company_id]], Tabelle5[[#This Row],[value_id]], Tabelle18[[#This Row],[value_id]], Tabelle5[[#This Row],[value_present]],"1")</f>
        <v>0</v>
      </c>
      <c r="E479" s="4">
        <f>_xlfn.MAXIFS(Tabelle5[[#This Row],[value_points]], Tabelle5[[#This Row],[company_id]],Tabelle18[[#This Row],[company_id]], Tabelle5[[#This Row],[value_id]], Tabelle18[[#This Row],[value_id]], Tabelle5[[#This Row],[value_present]],"1")</f>
        <v>0</v>
      </c>
    </row>
    <row r="480" spans="1:5" x14ac:dyDescent="0.25">
      <c r="A480">
        <v>27</v>
      </c>
      <c r="B480" t="s">
        <v>125</v>
      </c>
      <c r="C480" s="4">
        <f>IF(Tabelle18[[#This Row],[binding_level_company]]&gt;=1,1,0)</f>
        <v>0</v>
      </c>
      <c r="D480" s="4">
        <f>_xlfn.MAXIFS(Tabelle5[[#This Row],[binding_level]], Tabelle5[[#This Row],[company_id]],Tabelle18[[#This Row],[company_id]], Tabelle5[[#This Row],[value_id]], Tabelle18[[#This Row],[value_id]], Tabelle5[[#This Row],[value_present]],"1")</f>
        <v>0</v>
      </c>
      <c r="E480" s="4">
        <f>_xlfn.MAXIFS(Tabelle5[[#This Row],[value_points]], Tabelle5[[#This Row],[company_id]],Tabelle18[[#This Row],[company_id]], Tabelle5[[#This Row],[value_id]], Tabelle18[[#This Row],[value_id]], Tabelle5[[#This Row],[value_present]],"1")</f>
        <v>0</v>
      </c>
    </row>
    <row r="481" spans="1:5" x14ac:dyDescent="0.25">
      <c r="A481">
        <v>27</v>
      </c>
      <c r="B481" t="s">
        <v>132</v>
      </c>
      <c r="C481" s="4">
        <f>IF(Tabelle18[[#This Row],[binding_level_company]]&gt;=1,1,0)</f>
        <v>0</v>
      </c>
      <c r="D481" s="4">
        <f>_xlfn.MAXIFS(Tabelle5[[#This Row],[binding_level]], Tabelle5[[#This Row],[company_id]],Tabelle18[[#This Row],[company_id]], Tabelle5[[#This Row],[value_id]], Tabelle18[[#This Row],[value_id]], Tabelle5[[#This Row],[value_present]],"1")</f>
        <v>0</v>
      </c>
      <c r="E481" s="4">
        <f>_xlfn.MAXIFS(Tabelle5[[#This Row],[value_points]], Tabelle5[[#This Row],[company_id]],Tabelle18[[#This Row],[company_id]], Tabelle5[[#This Row],[value_id]], Tabelle18[[#This Row],[value_id]], Tabelle5[[#This Row],[value_present]],"1")</f>
        <v>0</v>
      </c>
    </row>
    <row r="482" spans="1:5" x14ac:dyDescent="0.25">
      <c r="A482">
        <v>27</v>
      </c>
      <c r="B482" t="s">
        <v>140</v>
      </c>
      <c r="C482" s="4">
        <f>IF(Tabelle18[[#This Row],[binding_level_company]]&gt;=1,1,0)</f>
        <v>0</v>
      </c>
      <c r="D482" s="4">
        <f>_xlfn.MAXIFS(Tabelle5[[#This Row],[binding_level]], Tabelle5[[#This Row],[company_id]],Tabelle18[[#This Row],[company_id]], Tabelle5[[#This Row],[value_id]], Tabelle18[[#This Row],[value_id]], Tabelle5[[#This Row],[value_present]],"1")</f>
        <v>0</v>
      </c>
      <c r="E482" s="4">
        <f>_xlfn.MAXIFS(Tabelle5[[#This Row],[value_points]], Tabelle5[[#This Row],[company_id]],Tabelle18[[#This Row],[company_id]], Tabelle5[[#This Row],[value_id]], Tabelle18[[#This Row],[value_id]], Tabelle5[[#This Row],[value_present]],"1")</f>
        <v>0</v>
      </c>
    </row>
    <row r="483" spans="1:5" x14ac:dyDescent="0.25">
      <c r="A483">
        <v>27</v>
      </c>
      <c r="B483" t="s">
        <v>147</v>
      </c>
      <c r="C483" s="4">
        <f>IF(Tabelle18[[#This Row],[binding_level_company]]&gt;=1,1,0)</f>
        <v>0</v>
      </c>
      <c r="D483" s="4">
        <f>_xlfn.MAXIFS(Tabelle5[[#This Row],[binding_level]], Tabelle5[[#This Row],[company_id]],Tabelle18[[#This Row],[company_id]], Tabelle5[[#This Row],[value_id]], Tabelle18[[#This Row],[value_id]], Tabelle5[[#This Row],[value_present]],"1")</f>
        <v>0</v>
      </c>
      <c r="E483" s="4">
        <f>_xlfn.MAXIFS(Tabelle5[[#This Row],[value_points]], Tabelle5[[#This Row],[company_id]],Tabelle18[[#This Row],[company_id]], Tabelle5[[#This Row],[value_id]], Tabelle18[[#This Row],[value_id]], Tabelle5[[#This Row],[value_present]],"1")</f>
        <v>0</v>
      </c>
    </row>
    <row r="484" spans="1:5" x14ac:dyDescent="0.25">
      <c r="A484">
        <v>27</v>
      </c>
      <c r="B484" t="s">
        <v>154</v>
      </c>
      <c r="C484" s="4">
        <f>IF(Tabelle18[[#This Row],[binding_level_company]]&gt;=1,1,0)</f>
        <v>0</v>
      </c>
      <c r="D484" s="4">
        <f>_xlfn.MAXIFS(Tabelle5[[#This Row],[binding_level]], Tabelle5[[#This Row],[company_id]],Tabelle18[[#This Row],[company_id]], Tabelle5[[#This Row],[value_id]], Tabelle18[[#This Row],[value_id]], Tabelle5[[#This Row],[value_present]],"1")</f>
        <v>0</v>
      </c>
      <c r="E484" s="4">
        <f>_xlfn.MAXIFS(Tabelle5[[#This Row],[value_points]], Tabelle5[[#This Row],[company_id]],Tabelle18[[#This Row],[company_id]], Tabelle5[[#This Row],[value_id]], Tabelle18[[#This Row],[value_id]], Tabelle5[[#This Row],[value_present]],"1")</f>
        <v>0</v>
      </c>
    </row>
    <row r="485" spans="1:5" x14ac:dyDescent="0.25">
      <c r="A485">
        <v>27</v>
      </c>
      <c r="B485" t="s">
        <v>161</v>
      </c>
      <c r="C485" s="4">
        <f>IF(Tabelle18[[#This Row],[binding_level_company]]&gt;=1,1,0)</f>
        <v>0</v>
      </c>
      <c r="D485" s="4">
        <f>_xlfn.MAXIFS(Tabelle5[[#This Row],[binding_level]], Tabelle5[[#This Row],[company_id]],Tabelle18[[#This Row],[company_id]], Tabelle5[[#This Row],[value_id]], Tabelle18[[#This Row],[value_id]], Tabelle5[[#This Row],[value_present]],"1")</f>
        <v>0</v>
      </c>
      <c r="E485" s="4">
        <f>_xlfn.MAXIFS(Tabelle5[[#This Row],[value_points]], Tabelle5[[#This Row],[company_id]],Tabelle18[[#This Row],[company_id]], Tabelle5[[#This Row],[value_id]], Tabelle18[[#This Row],[value_id]], Tabelle5[[#This Row],[value_present]],"1")</f>
        <v>0</v>
      </c>
    </row>
    <row r="486" spans="1:5" x14ac:dyDescent="0.25">
      <c r="A486">
        <v>27</v>
      </c>
      <c r="B486" t="s">
        <v>166</v>
      </c>
      <c r="C486" s="4">
        <f>IF(Tabelle18[[#This Row],[binding_level_company]]&gt;=1,1,0)</f>
        <v>0</v>
      </c>
      <c r="D486" s="4">
        <f>_xlfn.MAXIFS(Tabelle5[[#This Row],[binding_level]], Tabelle5[[#This Row],[company_id]],Tabelle18[[#This Row],[company_id]], Tabelle5[[#This Row],[value_id]], Tabelle18[[#This Row],[value_id]], Tabelle5[[#This Row],[value_present]],"1")</f>
        <v>0</v>
      </c>
      <c r="E486" s="4">
        <f>_xlfn.MAXIFS(Tabelle5[[#This Row],[value_points]], Tabelle5[[#This Row],[company_id]],Tabelle18[[#This Row],[company_id]], Tabelle5[[#This Row],[value_id]], Tabelle18[[#This Row],[value_id]], Tabelle5[[#This Row],[value_present]],"1")</f>
        <v>0</v>
      </c>
    </row>
    <row r="487" spans="1:5" ht="15.75" thickBot="1" x14ac:dyDescent="0.3">
      <c r="A487">
        <v>27</v>
      </c>
      <c r="B487" s="30" t="s">
        <v>174</v>
      </c>
      <c r="C487" s="4">
        <f>IF(Tabelle18[[#This Row],[binding_level_company]]&gt;=1,1,0)</f>
        <v>0</v>
      </c>
      <c r="D487" s="4">
        <f>_xlfn.MAXIFS(Tabelle5[[#This Row],[binding_level]], Tabelle5[[#This Row],[company_id]],Tabelle18[[#This Row],[company_id]], Tabelle5[[#This Row],[value_id]], Tabelle18[[#This Row],[value_id]], Tabelle5[[#This Row],[value_present]],"1")</f>
        <v>0</v>
      </c>
      <c r="E487" s="4">
        <f>_xlfn.MAXIFS(Tabelle5[[#This Row],[value_points]], Tabelle5[[#This Row],[company_id]],Tabelle18[[#This Row],[company_id]], Tabelle5[[#This Row],[value_id]], Tabelle18[[#This Row],[value_id]], Tabelle5[[#This Row],[value_present]],"1")</f>
        <v>0</v>
      </c>
    </row>
    <row r="488" spans="1:5" x14ac:dyDescent="0.25">
      <c r="A488">
        <v>28</v>
      </c>
      <c r="B488" s="22" t="s">
        <v>53</v>
      </c>
      <c r="C488" s="4">
        <f>IF(Tabelle18[[#This Row],[binding_level_company]]&gt;=1,1,0)</f>
        <v>0</v>
      </c>
      <c r="D488" s="4">
        <f>_xlfn.MAXIFS(Tabelle5[[#This Row],[binding_level]], Tabelle5[[#This Row],[company_id]],Tabelle18[[#This Row],[company_id]], Tabelle5[[#This Row],[value_id]], Tabelle18[[#This Row],[value_id]], Tabelle5[[#This Row],[value_present]],"1")</f>
        <v>0</v>
      </c>
      <c r="E488" s="4">
        <f>_xlfn.MAXIFS(Tabelle5[[#This Row],[value_points]], Tabelle5[[#This Row],[company_id]],Tabelle18[[#This Row],[company_id]], Tabelle5[[#This Row],[value_id]], Tabelle18[[#This Row],[value_id]], Tabelle5[[#This Row],[value_present]],"1")</f>
        <v>0</v>
      </c>
    </row>
    <row r="489" spans="1:5" x14ac:dyDescent="0.25">
      <c r="A489">
        <v>28</v>
      </c>
      <c r="B489" t="s">
        <v>61</v>
      </c>
      <c r="C489" s="4">
        <f>IF(Tabelle18[[#This Row],[binding_level_company]]&gt;=1,1,0)</f>
        <v>0</v>
      </c>
      <c r="D489" s="4">
        <f>_xlfn.MAXIFS(Tabelle5[[#This Row],[binding_level]], Tabelle5[[#This Row],[company_id]],Tabelle18[[#This Row],[company_id]], Tabelle5[[#This Row],[value_id]], Tabelle18[[#This Row],[value_id]], Tabelle5[[#This Row],[value_present]],"1")</f>
        <v>0</v>
      </c>
      <c r="E489" s="4">
        <f>_xlfn.MAXIFS(Tabelle5[[#This Row],[value_points]], Tabelle5[[#This Row],[company_id]],Tabelle18[[#This Row],[company_id]], Tabelle5[[#This Row],[value_id]], Tabelle18[[#This Row],[value_id]], Tabelle5[[#This Row],[value_present]],"1")</f>
        <v>0</v>
      </c>
    </row>
    <row r="490" spans="1:5" x14ac:dyDescent="0.25">
      <c r="A490">
        <v>28</v>
      </c>
      <c r="B490" t="s">
        <v>69</v>
      </c>
      <c r="C490" s="4">
        <f>IF(Tabelle18[[#This Row],[binding_level_company]]&gt;=1,1,0)</f>
        <v>0</v>
      </c>
      <c r="D490" s="4">
        <f>_xlfn.MAXIFS(Tabelle5[[#This Row],[binding_level]], Tabelle5[[#This Row],[company_id]],Tabelle18[[#This Row],[company_id]], Tabelle5[[#This Row],[value_id]], Tabelle18[[#This Row],[value_id]], Tabelle5[[#This Row],[value_present]],"1")</f>
        <v>0</v>
      </c>
      <c r="E490" s="4">
        <f>_xlfn.MAXIFS(Tabelle5[[#This Row],[value_points]], Tabelle5[[#This Row],[company_id]],Tabelle18[[#This Row],[company_id]], Tabelle5[[#This Row],[value_id]], Tabelle18[[#This Row],[value_id]], Tabelle5[[#This Row],[value_present]],"1")</f>
        <v>0</v>
      </c>
    </row>
    <row r="491" spans="1:5" x14ac:dyDescent="0.25">
      <c r="A491">
        <v>28</v>
      </c>
      <c r="B491" t="s">
        <v>76</v>
      </c>
      <c r="C491" s="4">
        <f>IF(Tabelle18[[#This Row],[binding_level_company]]&gt;=1,1,0)</f>
        <v>0</v>
      </c>
      <c r="D491" s="4">
        <f>_xlfn.MAXIFS(Tabelle5[[#This Row],[binding_level]], Tabelle5[[#This Row],[company_id]],Tabelle18[[#This Row],[company_id]], Tabelle5[[#This Row],[value_id]], Tabelle18[[#This Row],[value_id]], Tabelle5[[#This Row],[value_present]],"1")</f>
        <v>0</v>
      </c>
      <c r="E491" s="4">
        <f>_xlfn.MAXIFS(Tabelle5[[#This Row],[value_points]], Tabelle5[[#This Row],[company_id]],Tabelle18[[#This Row],[company_id]], Tabelle5[[#This Row],[value_id]], Tabelle18[[#This Row],[value_id]], Tabelle5[[#This Row],[value_present]],"1")</f>
        <v>0</v>
      </c>
    </row>
    <row r="492" spans="1:5" x14ac:dyDescent="0.25">
      <c r="A492">
        <v>28</v>
      </c>
      <c r="B492" t="s">
        <v>83</v>
      </c>
      <c r="C492" s="4">
        <f>IF(Tabelle18[[#This Row],[binding_level_company]]&gt;=1,1,0)</f>
        <v>0</v>
      </c>
      <c r="D492" s="4">
        <f>_xlfn.MAXIFS(Tabelle5[[#This Row],[binding_level]], Tabelle5[[#This Row],[company_id]],Tabelle18[[#This Row],[company_id]], Tabelle5[[#This Row],[value_id]], Tabelle18[[#This Row],[value_id]], Tabelle5[[#This Row],[value_present]],"1")</f>
        <v>0</v>
      </c>
      <c r="E492" s="4">
        <f>_xlfn.MAXIFS(Tabelle5[[#This Row],[value_points]], Tabelle5[[#This Row],[company_id]],Tabelle18[[#This Row],[company_id]], Tabelle5[[#This Row],[value_id]], Tabelle18[[#This Row],[value_id]], Tabelle5[[#This Row],[value_present]],"1")</f>
        <v>0</v>
      </c>
    </row>
    <row r="493" spans="1:5" x14ac:dyDescent="0.25">
      <c r="A493">
        <v>28</v>
      </c>
      <c r="B493" t="s">
        <v>90</v>
      </c>
      <c r="C493" s="4">
        <f>IF(Tabelle18[[#This Row],[binding_level_company]]&gt;=1,1,0)</f>
        <v>0</v>
      </c>
      <c r="D493" s="4">
        <f>_xlfn.MAXIFS(Tabelle5[[#This Row],[binding_level]], Tabelle5[[#This Row],[company_id]],Tabelle18[[#This Row],[company_id]], Tabelle5[[#This Row],[value_id]], Tabelle18[[#This Row],[value_id]], Tabelle5[[#This Row],[value_present]],"1")</f>
        <v>0</v>
      </c>
      <c r="E493" s="4">
        <f>_xlfn.MAXIFS(Tabelle5[[#This Row],[value_points]], Tabelle5[[#This Row],[company_id]],Tabelle18[[#This Row],[company_id]], Tabelle5[[#This Row],[value_id]], Tabelle18[[#This Row],[value_id]], Tabelle5[[#This Row],[value_present]],"1")</f>
        <v>0</v>
      </c>
    </row>
    <row r="494" spans="1:5" x14ac:dyDescent="0.25">
      <c r="A494">
        <v>28</v>
      </c>
      <c r="B494" t="s">
        <v>98</v>
      </c>
      <c r="C494" s="4">
        <f>IF(Tabelle18[[#This Row],[binding_level_company]]&gt;=1,1,0)</f>
        <v>0</v>
      </c>
      <c r="D494" s="4">
        <f>_xlfn.MAXIFS(Tabelle5[[#This Row],[binding_level]], Tabelle5[[#This Row],[company_id]],Tabelle18[[#This Row],[company_id]], Tabelle5[[#This Row],[value_id]], Tabelle18[[#This Row],[value_id]], Tabelle5[[#This Row],[value_present]],"1")</f>
        <v>0</v>
      </c>
      <c r="E494" s="4">
        <f>_xlfn.MAXIFS(Tabelle5[[#This Row],[value_points]], Tabelle5[[#This Row],[company_id]],Tabelle18[[#This Row],[company_id]], Tabelle5[[#This Row],[value_id]], Tabelle18[[#This Row],[value_id]], Tabelle5[[#This Row],[value_present]],"1")</f>
        <v>0</v>
      </c>
    </row>
    <row r="495" spans="1:5" x14ac:dyDescent="0.25">
      <c r="A495">
        <v>28</v>
      </c>
      <c r="B495" t="s">
        <v>106</v>
      </c>
      <c r="C495" s="4">
        <f>IF(Tabelle18[[#This Row],[binding_level_company]]&gt;=1,1,0)</f>
        <v>0</v>
      </c>
      <c r="D495" s="4">
        <f>_xlfn.MAXIFS(Tabelle5[[#This Row],[binding_level]], Tabelle5[[#This Row],[company_id]],Tabelle18[[#This Row],[company_id]], Tabelle5[[#This Row],[value_id]], Tabelle18[[#This Row],[value_id]], Tabelle5[[#This Row],[value_present]],"1")</f>
        <v>0</v>
      </c>
      <c r="E495" s="4">
        <f>_xlfn.MAXIFS(Tabelle5[[#This Row],[value_points]], Tabelle5[[#This Row],[company_id]],Tabelle18[[#This Row],[company_id]], Tabelle5[[#This Row],[value_id]], Tabelle18[[#This Row],[value_id]], Tabelle5[[#This Row],[value_present]],"1")</f>
        <v>0</v>
      </c>
    </row>
    <row r="496" spans="1:5" x14ac:dyDescent="0.25">
      <c r="A496">
        <v>28</v>
      </c>
      <c r="B496" t="s">
        <v>112</v>
      </c>
      <c r="C496" s="4">
        <f>IF(Tabelle18[[#This Row],[binding_level_company]]&gt;=1,1,0)</f>
        <v>0</v>
      </c>
      <c r="D496" s="4">
        <f>_xlfn.MAXIFS(Tabelle5[[#This Row],[binding_level]], Tabelle5[[#This Row],[company_id]],Tabelle18[[#This Row],[company_id]], Tabelle5[[#This Row],[value_id]], Tabelle18[[#This Row],[value_id]], Tabelle5[[#This Row],[value_present]],"1")</f>
        <v>0</v>
      </c>
      <c r="E496" s="4">
        <f>_xlfn.MAXIFS(Tabelle5[[#This Row],[value_points]], Tabelle5[[#This Row],[company_id]],Tabelle18[[#This Row],[company_id]], Tabelle5[[#This Row],[value_id]], Tabelle18[[#This Row],[value_id]], Tabelle5[[#This Row],[value_present]],"1")</f>
        <v>0</v>
      </c>
    </row>
    <row r="497" spans="1:5" x14ac:dyDescent="0.25">
      <c r="A497">
        <v>28</v>
      </c>
      <c r="B497" t="s">
        <v>118</v>
      </c>
      <c r="C497" s="4">
        <f>IF(Tabelle18[[#This Row],[binding_level_company]]&gt;=1,1,0)</f>
        <v>0</v>
      </c>
      <c r="D497" s="4">
        <f>_xlfn.MAXIFS(Tabelle5[[#This Row],[binding_level]], Tabelle5[[#This Row],[company_id]],Tabelle18[[#This Row],[company_id]], Tabelle5[[#This Row],[value_id]], Tabelle18[[#This Row],[value_id]], Tabelle5[[#This Row],[value_present]],"1")</f>
        <v>0</v>
      </c>
      <c r="E497" s="4">
        <f>_xlfn.MAXIFS(Tabelle5[[#This Row],[value_points]], Tabelle5[[#This Row],[company_id]],Tabelle18[[#This Row],[company_id]], Tabelle5[[#This Row],[value_id]], Tabelle18[[#This Row],[value_id]], Tabelle5[[#This Row],[value_present]],"1")</f>
        <v>0</v>
      </c>
    </row>
    <row r="498" spans="1:5" x14ac:dyDescent="0.25">
      <c r="A498">
        <v>28</v>
      </c>
      <c r="B498" t="s">
        <v>125</v>
      </c>
      <c r="C498" s="4">
        <f>IF(Tabelle18[[#This Row],[binding_level_company]]&gt;=1,1,0)</f>
        <v>0</v>
      </c>
      <c r="D498" s="4">
        <f>_xlfn.MAXIFS(Tabelle5[[#This Row],[binding_level]], Tabelle5[[#This Row],[company_id]],Tabelle18[[#This Row],[company_id]], Tabelle5[[#This Row],[value_id]], Tabelle18[[#This Row],[value_id]], Tabelle5[[#This Row],[value_present]],"1")</f>
        <v>0</v>
      </c>
      <c r="E498" s="4">
        <f>_xlfn.MAXIFS(Tabelle5[[#This Row],[value_points]], Tabelle5[[#This Row],[company_id]],Tabelle18[[#This Row],[company_id]], Tabelle5[[#This Row],[value_id]], Tabelle18[[#This Row],[value_id]], Tabelle5[[#This Row],[value_present]],"1")</f>
        <v>0</v>
      </c>
    </row>
    <row r="499" spans="1:5" x14ac:dyDescent="0.25">
      <c r="A499">
        <v>28</v>
      </c>
      <c r="B499" t="s">
        <v>132</v>
      </c>
      <c r="C499" s="4">
        <f>IF(Tabelle18[[#This Row],[binding_level_company]]&gt;=1,1,0)</f>
        <v>0</v>
      </c>
      <c r="D499" s="4">
        <f>_xlfn.MAXIFS(Tabelle5[[#This Row],[binding_level]], Tabelle5[[#This Row],[company_id]],Tabelle18[[#This Row],[company_id]], Tabelle5[[#This Row],[value_id]], Tabelle18[[#This Row],[value_id]], Tabelle5[[#This Row],[value_present]],"1")</f>
        <v>0</v>
      </c>
      <c r="E499" s="4">
        <f>_xlfn.MAXIFS(Tabelle5[[#This Row],[value_points]], Tabelle5[[#This Row],[company_id]],Tabelle18[[#This Row],[company_id]], Tabelle5[[#This Row],[value_id]], Tabelle18[[#This Row],[value_id]], Tabelle5[[#This Row],[value_present]],"1")</f>
        <v>0</v>
      </c>
    </row>
    <row r="500" spans="1:5" x14ac:dyDescent="0.25">
      <c r="A500">
        <v>28</v>
      </c>
      <c r="B500" t="s">
        <v>140</v>
      </c>
      <c r="C500" s="4">
        <f>IF(Tabelle18[[#This Row],[binding_level_company]]&gt;=1,1,0)</f>
        <v>0</v>
      </c>
      <c r="D500" s="4">
        <f>_xlfn.MAXIFS(Tabelle5[[#This Row],[binding_level]], Tabelle5[[#This Row],[company_id]],Tabelle18[[#This Row],[company_id]], Tabelle5[[#This Row],[value_id]], Tabelle18[[#This Row],[value_id]], Tabelle5[[#This Row],[value_present]],"1")</f>
        <v>0</v>
      </c>
      <c r="E500" s="4">
        <f>_xlfn.MAXIFS(Tabelle5[[#This Row],[value_points]], Tabelle5[[#This Row],[company_id]],Tabelle18[[#This Row],[company_id]], Tabelle5[[#This Row],[value_id]], Tabelle18[[#This Row],[value_id]], Tabelle5[[#This Row],[value_present]],"1")</f>
        <v>0</v>
      </c>
    </row>
    <row r="501" spans="1:5" x14ac:dyDescent="0.25">
      <c r="A501">
        <v>28</v>
      </c>
      <c r="B501" t="s">
        <v>147</v>
      </c>
      <c r="C501" s="4">
        <f>IF(Tabelle18[[#This Row],[binding_level_company]]&gt;=1,1,0)</f>
        <v>0</v>
      </c>
      <c r="D501" s="4">
        <f>_xlfn.MAXIFS(Tabelle5[[#This Row],[binding_level]], Tabelle5[[#This Row],[company_id]],Tabelle18[[#This Row],[company_id]], Tabelle5[[#This Row],[value_id]], Tabelle18[[#This Row],[value_id]], Tabelle5[[#This Row],[value_present]],"1")</f>
        <v>0</v>
      </c>
      <c r="E501" s="4">
        <f>_xlfn.MAXIFS(Tabelle5[[#This Row],[value_points]], Tabelle5[[#This Row],[company_id]],Tabelle18[[#This Row],[company_id]], Tabelle5[[#This Row],[value_id]], Tabelle18[[#This Row],[value_id]], Tabelle5[[#This Row],[value_present]],"1")</f>
        <v>0</v>
      </c>
    </row>
    <row r="502" spans="1:5" x14ac:dyDescent="0.25">
      <c r="A502">
        <v>28</v>
      </c>
      <c r="B502" t="s">
        <v>154</v>
      </c>
      <c r="C502" s="4">
        <f>IF(Tabelle18[[#This Row],[binding_level_company]]&gt;=1,1,0)</f>
        <v>0</v>
      </c>
      <c r="D502" s="4">
        <f>_xlfn.MAXIFS(Tabelle5[[#This Row],[binding_level]], Tabelle5[[#This Row],[company_id]],Tabelle18[[#This Row],[company_id]], Tabelle5[[#This Row],[value_id]], Tabelle18[[#This Row],[value_id]], Tabelle5[[#This Row],[value_present]],"1")</f>
        <v>0</v>
      </c>
      <c r="E502" s="4">
        <f>_xlfn.MAXIFS(Tabelle5[[#This Row],[value_points]], Tabelle5[[#This Row],[company_id]],Tabelle18[[#This Row],[company_id]], Tabelle5[[#This Row],[value_id]], Tabelle18[[#This Row],[value_id]], Tabelle5[[#This Row],[value_present]],"1")</f>
        <v>0</v>
      </c>
    </row>
    <row r="503" spans="1:5" x14ac:dyDescent="0.25">
      <c r="A503">
        <v>28</v>
      </c>
      <c r="B503" t="s">
        <v>161</v>
      </c>
      <c r="C503" s="4">
        <f>IF(Tabelle18[[#This Row],[binding_level_company]]&gt;=1,1,0)</f>
        <v>0</v>
      </c>
      <c r="D503" s="4">
        <f>_xlfn.MAXIFS(Tabelle5[[#This Row],[binding_level]], Tabelle5[[#This Row],[company_id]],Tabelle18[[#This Row],[company_id]], Tabelle5[[#This Row],[value_id]], Tabelle18[[#This Row],[value_id]], Tabelle5[[#This Row],[value_present]],"1")</f>
        <v>0</v>
      </c>
      <c r="E503" s="4">
        <f>_xlfn.MAXIFS(Tabelle5[[#This Row],[value_points]], Tabelle5[[#This Row],[company_id]],Tabelle18[[#This Row],[company_id]], Tabelle5[[#This Row],[value_id]], Tabelle18[[#This Row],[value_id]], Tabelle5[[#This Row],[value_present]],"1")</f>
        <v>0</v>
      </c>
    </row>
    <row r="504" spans="1:5" x14ac:dyDescent="0.25">
      <c r="A504">
        <v>28</v>
      </c>
      <c r="B504" t="s">
        <v>166</v>
      </c>
      <c r="C504" s="4">
        <f>IF(Tabelle18[[#This Row],[binding_level_company]]&gt;=1,1,0)</f>
        <v>0</v>
      </c>
      <c r="D504" s="4">
        <f>_xlfn.MAXIFS(Tabelle5[[#This Row],[binding_level]], Tabelle5[[#This Row],[company_id]],Tabelle18[[#This Row],[company_id]], Tabelle5[[#This Row],[value_id]], Tabelle18[[#This Row],[value_id]], Tabelle5[[#This Row],[value_present]],"1")</f>
        <v>0</v>
      </c>
      <c r="E504" s="4">
        <f>_xlfn.MAXIFS(Tabelle5[[#This Row],[value_points]], Tabelle5[[#This Row],[company_id]],Tabelle18[[#This Row],[company_id]], Tabelle5[[#This Row],[value_id]], Tabelle18[[#This Row],[value_id]], Tabelle5[[#This Row],[value_present]],"1")</f>
        <v>0</v>
      </c>
    </row>
    <row r="505" spans="1:5" ht="15.75" thickBot="1" x14ac:dyDescent="0.3">
      <c r="A505">
        <v>28</v>
      </c>
      <c r="B505" s="30" t="s">
        <v>174</v>
      </c>
      <c r="C505" s="4">
        <f>IF(Tabelle18[[#This Row],[binding_level_company]]&gt;=1,1,0)</f>
        <v>0</v>
      </c>
      <c r="D505" s="4">
        <f>_xlfn.MAXIFS(Tabelle5[[#This Row],[binding_level]], Tabelle5[[#This Row],[company_id]],Tabelle18[[#This Row],[company_id]], Tabelle5[[#This Row],[value_id]], Tabelle18[[#This Row],[value_id]], Tabelle5[[#This Row],[value_present]],"1")</f>
        <v>0</v>
      </c>
      <c r="E505" s="4">
        <f>_xlfn.MAXIFS(Tabelle5[[#This Row],[value_points]], Tabelle5[[#This Row],[company_id]],Tabelle18[[#This Row],[company_id]], Tabelle5[[#This Row],[value_id]], Tabelle18[[#This Row],[value_id]], Tabelle5[[#This Row],[value_present]],"1")</f>
        <v>0</v>
      </c>
    </row>
    <row r="506" spans="1:5" x14ac:dyDescent="0.25">
      <c r="A506">
        <v>29</v>
      </c>
      <c r="B506" s="22" t="s">
        <v>53</v>
      </c>
      <c r="C506" s="4">
        <f>IF(Tabelle18[[#This Row],[binding_level_company]]&gt;=1,1,0)</f>
        <v>0</v>
      </c>
      <c r="D506" s="4">
        <f>_xlfn.MAXIFS(Tabelle5[[#This Row],[binding_level]], Tabelle5[[#This Row],[company_id]],Tabelle18[[#This Row],[company_id]], Tabelle5[[#This Row],[value_id]], Tabelle18[[#This Row],[value_id]], Tabelle5[[#This Row],[value_present]],"1")</f>
        <v>0</v>
      </c>
      <c r="E506" s="4">
        <f>_xlfn.MAXIFS(Tabelle5[[#This Row],[value_points]], Tabelle5[[#This Row],[company_id]],Tabelle18[[#This Row],[company_id]], Tabelle5[[#This Row],[value_id]], Tabelle18[[#This Row],[value_id]], Tabelle5[[#This Row],[value_present]],"1")</f>
        <v>0</v>
      </c>
    </row>
    <row r="507" spans="1:5" x14ac:dyDescent="0.25">
      <c r="A507">
        <v>29</v>
      </c>
      <c r="B507" t="s">
        <v>61</v>
      </c>
      <c r="C507" s="4">
        <f>IF(Tabelle18[[#This Row],[binding_level_company]]&gt;=1,1,0)</f>
        <v>0</v>
      </c>
      <c r="D507" s="4">
        <f>_xlfn.MAXIFS(Tabelle5[[#This Row],[binding_level]], Tabelle5[[#This Row],[company_id]],Tabelle18[[#This Row],[company_id]], Tabelle5[[#This Row],[value_id]], Tabelle18[[#This Row],[value_id]], Tabelle5[[#This Row],[value_present]],"1")</f>
        <v>0</v>
      </c>
      <c r="E507" s="4">
        <f>_xlfn.MAXIFS(Tabelle5[[#This Row],[value_points]], Tabelle5[[#This Row],[company_id]],Tabelle18[[#This Row],[company_id]], Tabelle5[[#This Row],[value_id]], Tabelle18[[#This Row],[value_id]], Tabelle5[[#This Row],[value_present]],"1")</f>
        <v>0</v>
      </c>
    </row>
    <row r="508" spans="1:5" x14ac:dyDescent="0.25">
      <c r="A508">
        <v>29</v>
      </c>
      <c r="B508" t="s">
        <v>69</v>
      </c>
      <c r="C508" s="4">
        <f>IF(Tabelle18[[#This Row],[binding_level_company]]&gt;=1,1,0)</f>
        <v>0</v>
      </c>
      <c r="D508" s="4">
        <f>_xlfn.MAXIFS(Tabelle5[[#This Row],[binding_level]], Tabelle5[[#This Row],[company_id]],Tabelle18[[#This Row],[company_id]], Tabelle5[[#This Row],[value_id]], Tabelle18[[#This Row],[value_id]], Tabelle5[[#This Row],[value_present]],"1")</f>
        <v>0</v>
      </c>
      <c r="E508" s="4">
        <f>_xlfn.MAXIFS(Tabelle5[[#This Row],[value_points]], Tabelle5[[#This Row],[company_id]],Tabelle18[[#This Row],[company_id]], Tabelle5[[#This Row],[value_id]], Tabelle18[[#This Row],[value_id]], Tabelle5[[#This Row],[value_present]],"1")</f>
        <v>0</v>
      </c>
    </row>
    <row r="509" spans="1:5" x14ac:dyDescent="0.25">
      <c r="A509">
        <v>29</v>
      </c>
      <c r="B509" t="s">
        <v>76</v>
      </c>
      <c r="C509" s="4">
        <f>IF(Tabelle18[[#This Row],[binding_level_company]]&gt;=1,1,0)</f>
        <v>0</v>
      </c>
      <c r="D509" s="4">
        <f>_xlfn.MAXIFS(Tabelle5[[#This Row],[binding_level]], Tabelle5[[#This Row],[company_id]],Tabelle18[[#This Row],[company_id]], Tabelle5[[#This Row],[value_id]], Tabelle18[[#This Row],[value_id]], Tabelle5[[#This Row],[value_present]],"1")</f>
        <v>0</v>
      </c>
      <c r="E509" s="4">
        <f>_xlfn.MAXIFS(Tabelle5[[#This Row],[value_points]], Tabelle5[[#This Row],[company_id]],Tabelle18[[#This Row],[company_id]], Tabelle5[[#This Row],[value_id]], Tabelle18[[#This Row],[value_id]], Tabelle5[[#This Row],[value_present]],"1")</f>
        <v>0</v>
      </c>
    </row>
    <row r="510" spans="1:5" x14ac:dyDescent="0.25">
      <c r="A510">
        <v>29</v>
      </c>
      <c r="B510" t="s">
        <v>83</v>
      </c>
      <c r="C510" s="4">
        <f>IF(Tabelle18[[#This Row],[binding_level_company]]&gt;=1,1,0)</f>
        <v>0</v>
      </c>
      <c r="D510" s="4">
        <f>_xlfn.MAXIFS(Tabelle5[[#This Row],[binding_level]], Tabelle5[[#This Row],[company_id]],Tabelle18[[#This Row],[company_id]], Tabelle5[[#This Row],[value_id]], Tabelle18[[#This Row],[value_id]], Tabelle5[[#This Row],[value_present]],"1")</f>
        <v>0</v>
      </c>
      <c r="E510" s="4">
        <f>_xlfn.MAXIFS(Tabelle5[[#This Row],[value_points]], Tabelle5[[#This Row],[company_id]],Tabelle18[[#This Row],[company_id]], Tabelle5[[#This Row],[value_id]], Tabelle18[[#This Row],[value_id]], Tabelle5[[#This Row],[value_present]],"1")</f>
        <v>0</v>
      </c>
    </row>
    <row r="511" spans="1:5" x14ac:dyDescent="0.25">
      <c r="A511">
        <v>29</v>
      </c>
      <c r="B511" t="s">
        <v>90</v>
      </c>
      <c r="C511" s="4">
        <f>IF(Tabelle18[[#This Row],[binding_level_company]]&gt;=1,1,0)</f>
        <v>0</v>
      </c>
      <c r="D511" s="4">
        <f>_xlfn.MAXIFS(Tabelle5[[#This Row],[binding_level]], Tabelle5[[#This Row],[company_id]],Tabelle18[[#This Row],[company_id]], Tabelle5[[#This Row],[value_id]], Tabelle18[[#This Row],[value_id]], Tabelle5[[#This Row],[value_present]],"1")</f>
        <v>0</v>
      </c>
      <c r="E511" s="4">
        <f>_xlfn.MAXIFS(Tabelle5[[#This Row],[value_points]], Tabelle5[[#This Row],[company_id]],Tabelle18[[#This Row],[company_id]], Tabelle5[[#This Row],[value_id]], Tabelle18[[#This Row],[value_id]], Tabelle5[[#This Row],[value_present]],"1")</f>
        <v>0</v>
      </c>
    </row>
    <row r="512" spans="1:5" x14ac:dyDescent="0.25">
      <c r="A512">
        <v>29</v>
      </c>
      <c r="B512" t="s">
        <v>98</v>
      </c>
      <c r="C512" s="4">
        <f>IF(Tabelle18[[#This Row],[binding_level_company]]&gt;=1,1,0)</f>
        <v>0</v>
      </c>
      <c r="D512" s="4">
        <f>_xlfn.MAXIFS(Tabelle5[[#This Row],[binding_level]], Tabelle5[[#This Row],[company_id]],Tabelle18[[#This Row],[company_id]], Tabelle5[[#This Row],[value_id]], Tabelle18[[#This Row],[value_id]], Tabelle5[[#This Row],[value_present]],"1")</f>
        <v>0</v>
      </c>
      <c r="E512" s="4">
        <f>_xlfn.MAXIFS(Tabelle5[[#This Row],[value_points]], Tabelle5[[#This Row],[company_id]],Tabelle18[[#This Row],[company_id]], Tabelle5[[#This Row],[value_id]], Tabelle18[[#This Row],[value_id]], Tabelle5[[#This Row],[value_present]],"1")</f>
        <v>0</v>
      </c>
    </row>
    <row r="513" spans="1:5" x14ac:dyDescent="0.25">
      <c r="A513">
        <v>29</v>
      </c>
      <c r="B513" t="s">
        <v>106</v>
      </c>
      <c r="C513" s="4">
        <f>IF(Tabelle18[[#This Row],[binding_level_company]]&gt;=1,1,0)</f>
        <v>0</v>
      </c>
      <c r="D513" s="4">
        <f>_xlfn.MAXIFS(Tabelle5[[#This Row],[binding_level]], Tabelle5[[#This Row],[company_id]],Tabelle18[[#This Row],[company_id]], Tabelle5[[#This Row],[value_id]], Tabelle18[[#This Row],[value_id]], Tabelle5[[#This Row],[value_present]],"1")</f>
        <v>0</v>
      </c>
      <c r="E513" s="4">
        <f>_xlfn.MAXIFS(Tabelle5[[#This Row],[value_points]], Tabelle5[[#This Row],[company_id]],Tabelle18[[#This Row],[company_id]], Tabelle5[[#This Row],[value_id]], Tabelle18[[#This Row],[value_id]], Tabelle5[[#This Row],[value_present]],"1")</f>
        <v>0</v>
      </c>
    </row>
    <row r="514" spans="1:5" x14ac:dyDescent="0.25">
      <c r="A514">
        <v>29</v>
      </c>
      <c r="B514" t="s">
        <v>112</v>
      </c>
      <c r="C514" s="4">
        <f>IF(Tabelle18[[#This Row],[binding_level_company]]&gt;=1,1,0)</f>
        <v>0</v>
      </c>
      <c r="D514" s="4">
        <f>_xlfn.MAXIFS(Tabelle5[[#This Row],[binding_level]], Tabelle5[[#This Row],[company_id]],Tabelle18[[#This Row],[company_id]], Tabelle5[[#This Row],[value_id]], Tabelle18[[#This Row],[value_id]], Tabelle5[[#This Row],[value_present]],"1")</f>
        <v>0</v>
      </c>
      <c r="E514" s="4">
        <f>_xlfn.MAXIFS(Tabelle5[[#This Row],[value_points]], Tabelle5[[#This Row],[company_id]],Tabelle18[[#This Row],[company_id]], Tabelle5[[#This Row],[value_id]], Tabelle18[[#This Row],[value_id]], Tabelle5[[#This Row],[value_present]],"1")</f>
        <v>0</v>
      </c>
    </row>
    <row r="515" spans="1:5" x14ac:dyDescent="0.25">
      <c r="A515">
        <v>29</v>
      </c>
      <c r="B515" t="s">
        <v>118</v>
      </c>
      <c r="C515" s="4">
        <f>IF(Tabelle18[[#This Row],[binding_level_company]]&gt;=1,1,0)</f>
        <v>0</v>
      </c>
      <c r="D515" s="4">
        <f>_xlfn.MAXIFS(Tabelle5[[#This Row],[binding_level]], Tabelle5[[#This Row],[company_id]],Tabelle18[[#This Row],[company_id]], Tabelle5[[#This Row],[value_id]], Tabelle18[[#This Row],[value_id]], Tabelle5[[#This Row],[value_present]],"1")</f>
        <v>0</v>
      </c>
      <c r="E515" s="4">
        <f>_xlfn.MAXIFS(Tabelle5[[#This Row],[value_points]], Tabelle5[[#This Row],[company_id]],Tabelle18[[#This Row],[company_id]], Tabelle5[[#This Row],[value_id]], Tabelle18[[#This Row],[value_id]], Tabelle5[[#This Row],[value_present]],"1")</f>
        <v>0</v>
      </c>
    </row>
    <row r="516" spans="1:5" x14ac:dyDescent="0.25">
      <c r="A516">
        <v>29</v>
      </c>
      <c r="B516" t="s">
        <v>125</v>
      </c>
      <c r="C516" s="4">
        <f>IF(Tabelle18[[#This Row],[binding_level_company]]&gt;=1,1,0)</f>
        <v>0</v>
      </c>
      <c r="D516" s="4">
        <f>_xlfn.MAXIFS(Tabelle5[[#This Row],[binding_level]], Tabelle5[[#This Row],[company_id]],Tabelle18[[#This Row],[company_id]], Tabelle5[[#This Row],[value_id]], Tabelle18[[#This Row],[value_id]], Tabelle5[[#This Row],[value_present]],"1")</f>
        <v>0</v>
      </c>
      <c r="E516" s="4">
        <f>_xlfn.MAXIFS(Tabelle5[[#This Row],[value_points]], Tabelle5[[#This Row],[company_id]],Tabelle18[[#This Row],[company_id]], Tabelle5[[#This Row],[value_id]], Tabelle18[[#This Row],[value_id]], Tabelle5[[#This Row],[value_present]],"1")</f>
        <v>0</v>
      </c>
    </row>
    <row r="517" spans="1:5" x14ac:dyDescent="0.25">
      <c r="A517">
        <v>29</v>
      </c>
      <c r="B517" t="s">
        <v>132</v>
      </c>
      <c r="C517" s="4">
        <f>IF(Tabelle18[[#This Row],[binding_level_company]]&gt;=1,1,0)</f>
        <v>0</v>
      </c>
      <c r="D517" s="4">
        <f>_xlfn.MAXIFS(Tabelle5[[#This Row],[binding_level]], Tabelle5[[#This Row],[company_id]],Tabelle18[[#This Row],[company_id]], Tabelle5[[#This Row],[value_id]], Tabelle18[[#This Row],[value_id]], Tabelle5[[#This Row],[value_present]],"1")</f>
        <v>0</v>
      </c>
      <c r="E517" s="4">
        <f>_xlfn.MAXIFS(Tabelle5[[#This Row],[value_points]], Tabelle5[[#This Row],[company_id]],Tabelle18[[#This Row],[company_id]], Tabelle5[[#This Row],[value_id]], Tabelle18[[#This Row],[value_id]], Tabelle5[[#This Row],[value_present]],"1")</f>
        <v>0</v>
      </c>
    </row>
    <row r="518" spans="1:5" x14ac:dyDescent="0.25">
      <c r="A518">
        <v>29</v>
      </c>
      <c r="B518" t="s">
        <v>140</v>
      </c>
      <c r="C518" s="4">
        <f>IF(Tabelle18[[#This Row],[binding_level_company]]&gt;=1,1,0)</f>
        <v>0</v>
      </c>
      <c r="D518" s="4">
        <f>_xlfn.MAXIFS(Tabelle5[[#This Row],[binding_level]], Tabelle5[[#This Row],[company_id]],Tabelle18[[#This Row],[company_id]], Tabelle5[[#This Row],[value_id]], Tabelle18[[#This Row],[value_id]], Tabelle5[[#This Row],[value_present]],"1")</f>
        <v>0</v>
      </c>
      <c r="E518" s="4">
        <f>_xlfn.MAXIFS(Tabelle5[[#This Row],[value_points]], Tabelle5[[#This Row],[company_id]],Tabelle18[[#This Row],[company_id]], Tabelle5[[#This Row],[value_id]], Tabelle18[[#This Row],[value_id]], Tabelle5[[#This Row],[value_present]],"1")</f>
        <v>0</v>
      </c>
    </row>
    <row r="519" spans="1:5" x14ac:dyDescent="0.25">
      <c r="A519">
        <v>29</v>
      </c>
      <c r="B519" t="s">
        <v>147</v>
      </c>
      <c r="C519" s="4">
        <f>IF(Tabelle18[[#This Row],[binding_level_company]]&gt;=1,1,0)</f>
        <v>0</v>
      </c>
      <c r="D519" s="4">
        <f>_xlfn.MAXIFS(Tabelle5[[#This Row],[binding_level]], Tabelle5[[#This Row],[company_id]],Tabelle18[[#This Row],[company_id]], Tabelle5[[#This Row],[value_id]], Tabelle18[[#This Row],[value_id]], Tabelle5[[#This Row],[value_present]],"1")</f>
        <v>0</v>
      </c>
      <c r="E519" s="4">
        <f>_xlfn.MAXIFS(Tabelle5[[#This Row],[value_points]], Tabelle5[[#This Row],[company_id]],Tabelle18[[#This Row],[company_id]], Tabelle5[[#This Row],[value_id]], Tabelle18[[#This Row],[value_id]], Tabelle5[[#This Row],[value_present]],"1")</f>
        <v>0</v>
      </c>
    </row>
    <row r="520" spans="1:5" x14ac:dyDescent="0.25">
      <c r="A520">
        <v>29</v>
      </c>
      <c r="B520" t="s">
        <v>154</v>
      </c>
      <c r="C520" s="4">
        <f>IF(Tabelle18[[#This Row],[binding_level_company]]&gt;=1,1,0)</f>
        <v>0</v>
      </c>
      <c r="D520" s="4">
        <f>_xlfn.MAXIFS(Tabelle5[[#This Row],[binding_level]], Tabelle5[[#This Row],[company_id]],Tabelle18[[#This Row],[company_id]], Tabelle5[[#This Row],[value_id]], Tabelle18[[#This Row],[value_id]], Tabelle5[[#This Row],[value_present]],"1")</f>
        <v>0</v>
      </c>
      <c r="E520" s="4">
        <f>_xlfn.MAXIFS(Tabelle5[[#This Row],[value_points]], Tabelle5[[#This Row],[company_id]],Tabelle18[[#This Row],[company_id]], Tabelle5[[#This Row],[value_id]], Tabelle18[[#This Row],[value_id]], Tabelle5[[#This Row],[value_present]],"1")</f>
        <v>0</v>
      </c>
    </row>
    <row r="521" spans="1:5" x14ac:dyDescent="0.25">
      <c r="A521">
        <v>29</v>
      </c>
      <c r="B521" t="s">
        <v>161</v>
      </c>
      <c r="C521" s="4">
        <f>IF(Tabelle18[[#This Row],[binding_level_company]]&gt;=1,1,0)</f>
        <v>0</v>
      </c>
      <c r="D521" s="4">
        <f>_xlfn.MAXIFS(Tabelle5[[#This Row],[binding_level]], Tabelle5[[#This Row],[company_id]],Tabelle18[[#This Row],[company_id]], Tabelle5[[#This Row],[value_id]], Tabelle18[[#This Row],[value_id]], Tabelle5[[#This Row],[value_present]],"1")</f>
        <v>0</v>
      </c>
      <c r="E521" s="4">
        <f>_xlfn.MAXIFS(Tabelle5[[#This Row],[value_points]], Tabelle5[[#This Row],[company_id]],Tabelle18[[#This Row],[company_id]], Tabelle5[[#This Row],[value_id]], Tabelle18[[#This Row],[value_id]], Tabelle5[[#This Row],[value_present]],"1")</f>
        <v>0</v>
      </c>
    </row>
    <row r="522" spans="1:5" x14ac:dyDescent="0.25">
      <c r="A522">
        <v>29</v>
      </c>
      <c r="B522" t="s">
        <v>166</v>
      </c>
      <c r="C522" s="4">
        <f>IF(Tabelle18[[#This Row],[binding_level_company]]&gt;=1,1,0)</f>
        <v>0</v>
      </c>
      <c r="D522" s="4">
        <f>_xlfn.MAXIFS(Tabelle5[[#This Row],[binding_level]], Tabelle5[[#This Row],[company_id]],Tabelle18[[#This Row],[company_id]], Tabelle5[[#This Row],[value_id]], Tabelle18[[#This Row],[value_id]], Tabelle5[[#This Row],[value_present]],"1")</f>
        <v>0</v>
      </c>
      <c r="E522" s="4">
        <f>_xlfn.MAXIFS(Tabelle5[[#This Row],[value_points]], Tabelle5[[#This Row],[company_id]],Tabelle18[[#This Row],[company_id]], Tabelle5[[#This Row],[value_id]], Tabelle18[[#This Row],[value_id]], Tabelle5[[#This Row],[value_present]],"1")</f>
        <v>0</v>
      </c>
    </row>
    <row r="523" spans="1:5" ht="15.75" thickBot="1" x14ac:dyDescent="0.3">
      <c r="A523">
        <v>29</v>
      </c>
      <c r="B523" s="30" t="s">
        <v>174</v>
      </c>
      <c r="C523" s="4">
        <f>IF(Tabelle18[[#This Row],[binding_level_company]]&gt;=1,1,0)</f>
        <v>0</v>
      </c>
      <c r="D523" s="4">
        <f>_xlfn.MAXIFS(Tabelle5[[#This Row],[binding_level]], Tabelle5[[#This Row],[company_id]],Tabelle18[[#This Row],[company_id]], Tabelle5[[#This Row],[value_id]], Tabelle18[[#This Row],[value_id]], Tabelle5[[#This Row],[value_present]],"1")</f>
        <v>0</v>
      </c>
      <c r="E523" s="4">
        <f>_xlfn.MAXIFS(Tabelle5[[#This Row],[value_points]], Tabelle5[[#This Row],[company_id]],Tabelle18[[#This Row],[company_id]], Tabelle5[[#This Row],[value_id]], Tabelle18[[#This Row],[value_id]], Tabelle5[[#This Row],[value_present]],"1")</f>
        <v>0</v>
      </c>
    </row>
    <row r="524" spans="1:5" x14ac:dyDescent="0.25">
      <c r="A524">
        <v>30</v>
      </c>
      <c r="B524" s="22" t="s">
        <v>53</v>
      </c>
      <c r="C524" s="4">
        <f>IF(Tabelle18[[#This Row],[binding_level_company]]&gt;=1,1,0)</f>
        <v>0</v>
      </c>
      <c r="D524" s="4">
        <f>_xlfn.MAXIFS(Tabelle5[[#This Row],[binding_level]], Tabelle5[[#This Row],[company_id]],Tabelle18[[#This Row],[company_id]], Tabelle5[[#This Row],[value_id]], Tabelle18[[#This Row],[value_id]], Tabelle5[[#This Row],[value_present]],"1")</f>
        <v>0</v>
      </c>
      <c r="E524" s="4">
        <f>_xlfn.MAXIFS(Tabelle5[[#This Row],[value_points]], Tabelle5[[#This Row],[company_id]],Tabelle18[[#This Row],[company_id]], Tabelle5[[#This Row],[value_id]], Tabelle18[[#This Row],[value_id]], Tabelle5[[#This Row],[value_present]],"1")</f>
        <v>0</v>
      </c>
    </row>
    <row r="525" spans="1:5" x14ac:dyDescent="0.25">
      <c r="A525">
        <v>30</v>
      </c>
      <c r="B525" t="s">
        <v>61</v>
      </c>
      <c r="C525" s="4">
        <f>IF(Tabelle18[[#This Row],[binding_level_company]]&gt;=1,1,0)</f>
        <v>0</v>
      </c>
      <c r="D525" s="4">
        <f>_xlfn.MAXIFS(Tabelle5[[#This Row],[binding_level]], Tabelle5[[#This Row],[company_id]],Tabelle18[[#This Row],[company_id]], Tabelle5[[#This Row],[value_id]], Tabelle18[[#This Row],[value_id]], Tabelle5[[#This Row],[value_present]],"1")</f>
        <v>0</v>
      </c>
      <c r="E525" s="4">
        <f>_xlfn.MAXIFS(Tabelle5[[#This Row],[value_points]], Tabelle5[[#This Row],[company_id]],Tabelle18[[#This Row],[company_id]], Tabelle5[[#This Row],[value_id]], Tabelle18[[#This Row],[value_id]], Tabelle5[[#This Row],[value_present]],"1")</f>
        <v>0</v>
      </c>
    </row>
    <row r="526" spans="1:5" x14ac:dyDescent="0.25">
      <c r="A526">
        <v>30</v>
      </c>
      <c r="B526" t="s">
        <v>69</v>
      </c>
      <c r="C526" s="4">
        <f>IF(Tabelle18[[#This Row],[binding_level_company]]&gt;=1,1,0)</f>
        <v>0</v>
      </c>
      <c r="D526" s="4">
        <f>_xlfn.MAXIFS(Tabelle5[[#This Row],[binding_level]], Tabelle5[[#This Row],[company_id]],Tabelle18[[#This Row],[company_id]], Tabelle5[[#This Row],[value_id]], Tabelle18[[#This Row],[value_id]], Tabelle5[[#This Row],[value_present]],"1")</f>
        <v>0</v>
      </c>
      <c r="E526" s="4">
        <f>_xlfn.MAXIFS(Tabelle5[[#This Row],[value_points]], Tabelle5[[#This Row],[company_id]],Tabelle18[[#This Row],[company_id]], Tabelle5[[#This Row],[value_id]], Tabelle18[[#This Row],[value_id]], Tabelle5[[#This Row],[value_present]],"1")</f>
        <v>0</v>
      </c>
    </row>
    <row r="527" spans="1:5" x14ac:dyDescent="0.25">
      <c r="A527">
        <v>30</v>
      </c>
      <c r="B527" t="s">
        <v>76</v>
      </c>
      <c r="C527" s="4">
        <f>IF(Tabelle18[[#This Row],[binding_level_company]]&gt;=1,1,0)</f>
        <v>0</v>
      </c>
      <c r="D527" s="4">
        <f>_xlfn.MAXIFS(Tabelle5[[#This Row],[binding_level]], Tabelle5[[#This Row],[company_id]],Tabelle18[[#This Row],[company_id]], Tabelle5[[#This Row],[value_id]], Tabelle18[[#This Row],[value_id]], Tabelle5[[#This Row],[value_present]],"1")</f>
        <v>0</v>
      </c>
      <c r="E527" s="4">
        <f>_xlfn.MAXIFS(Tabelle5[[#This Row],[value_points]], Tabelle5[[#This Row],[company_id]],Tabelle18[[#This Row],[company_id]], Tabelle5[[#This Row],[value_id]], Tabelle18[[#This Row],[value_id]], Tabelle5[[#This Row],[value_present]],"1")</f>
        <v>0</v>
      </c>
    </row>
    <row r="528" spans="1:5" x14ac:dyDescent="0.25">
      <c r="A528">
        <v>30</v>
      </c>
      <c r="B528" t="s">
        <v>83</v>
      </c>
      <c r="C528" s="4">
        <f>IF(Tabelle18[[#This Row],[binding_level_company]]&gt;=1,1,0)</f>
        <v>0</v>
      </c>
      <c r="D528" s="4">
        <f>_xlfn.MAXIFS(Tabelle5[[#This Row],[binding_level]], Tabelle5[[#This Row],[company_id]],Tabelle18[[#This Row],[company_id]], Tabelle5[[#This Row],[value_id]], Tabelle18[[#This Row],[value_id]], Tabelle5[[#This Row],[value_present]],"1")</f>
        <v>0</v>
      </c>
      <c r="E528" s="4">
        <f>_xlfn.MAXIFS(Tabelle5[[#This Row],[value_points]], Tabelle5[[#This Row],[company_id]],Tabelle18[[#This Row],[company_id]], Tabelle5[[#This Row],[value_id]], Tabelle18[[#This Row],[value_id]], Tabelle5[[#This Row],[value_present]],"1")</f>
        <v>0</v>
      </c>
    </row>
    <row r="529" spans="1:5" x14ac:dyDescent="0.25">
      <c r="A529">
        <v>30</v>
      </c>
      <c r="B529" t="s">
        <v>90</v>
      </c>
      <c r="C529" s="4">
        <f>IF(Tabelle18[[#This Row],[binding_level_company]]&gt;=1,1,0)</f>
        <v>0</v>
      </c>
      <c r="D529" s="4">
        <f>_xlfn.MAXIFS(Tabelle5[[#This Row],[binding_level]], Tabelle5[[#This Row],[company_id]],Tabelle18[[#This Row],[company_id]], Tabelle5[[#This Row],[value_id]], Tabelle18[[#This Row],[value_id]], Tabelle5[[#This Row],[value_present]],"1")</f>
        <v>0</v>
      </c>
      <c r="E529" s="4">
        <f>_xlfn.MAXIFS(Tabelle5[[#This Row],[value_points]], Tabelle5[[#This Row],[company_id]],Tabelle18[[#This Row],[company_id]], Tabelle5[[#This Row],[value_id]], Tabelle18[[#This Row],[value_id]], Tabelle5[[#This Row],[value_present]],"1")</f>
        <v>0</v>
      </c>
    </row>
    <row r="530" spans="1:5" x14ac:dyDescent="0.25">
      <c r="A530">
        <v>30</v>
      </c>
      <c r="B530" t="s">
        <v>98</v>
      </c>
      <c r="C530" s="4">
        <f>IF(Tabelle18[[#This Row],[binding_level_company]]&gt;=1,1,0)</f>
        <v>0</v>
      </c>
      <c r="D530" s="4">
        <f>_xlfn.MAXIFS(Tabelle5[[#This Row],[binding_level]], Tabelle5[[#This Row],[company_id]],Tabelle18[[#This Row],[company_id]], Tabelle5[[#This Row],[value_id]], Tabelle18[[#This Row],[value_id]], Tabelle5[[#This Row],[value_present]],"1")</f>
        <v>0</v>
      </c>
      <c r="E530" s="4">
        <f>_xlfn.MAXIFS(Tabelle5[[#This Row],[value_points]], Tabelle5[[#This Row],[company_id]],Tabelle18[[#This Row],[company_id]], Tabelle5[[#This Row],[value_id]], Tabelle18[[#This Row],[value_id]], Tabelle5[[#This Row],[value_present]],"1")</f>
        <v>0</v>
      </c>
    </row>
    <row r="531" spans="1:5" x14ac:dyDescent="0.25">
      <c r="A531">
        <v>30</v>
      </c>
      <c r="B531" t="s">
        <v>106</v>
      </c>
      <c r="C531" s="4">
        <f>IF(Tabelle18[[#This Row],[binding_level_company]]&gt;=1,1,0)</f>
        <v>0</v>
      </c>
      <c r="D531" s="4">
        <f>_xlfn.MAXIFS(Tabelle5[[#This Row],[binding_level]], Tabelle5[[#This Row],[company_id]],Tabelle18[[#This Row],[company_id]], Tabelle5[[#This Row],[value_id]], Tabelle18[[#This Row],[value_id]], Tabelle5[[#This Row],[value_present]],"1")</f>
        <v>0</v>
      </c>
      <c r="E531" s="4">
        <f>_xlfn.MAXIFS(Tabelle5[[#This Row],[value_points]], Tabelle5[[#This Row],[company_id]],Tabelle18[[#This Row],[company_id]], Tabelle5[[#This Row],[value_id]], Tabelle18[[#This Row],[value_id]], Tabelle5[[#This Row],[value_present]],"1")</f>
        <v>0</v>
      </c>
    </row>
    <row r="532" spans="1:5" x14ac:dyDescent="0.25">
      <c r="A532">
        <v>30</v>
      </c>
      <c r="B532" t="s">
        <v>112</v>
      </c>
      <c r="C532" s="4">
        <f>IF(Tabelle18[[#This Row],[binding_level_company]]&gt;=1,1,0)</f>
        <v>0</v>
      </c>
      <c r="D532" s="4">
        <f>_xlfn.MAXIFS(Tabelle5[[#This Row],[binding_level]], Tabelle5[[#This Row],[company_id]],Tabelle18[[#This Row],[company_id]], Tabelle5[[#This Row],[value_id]], Tabelle18[[#This Row],[value_id]], Tabelle5[[#This Row],[value_present]],"1")</f>
        <v>0</v>
      </c>
      <c r="E532" s="4">
        <f>_xlfn.MAXIFS(Tabelle5[[#This Row],[value_points]], Tabelle5[[#This Row],[company_id]],Tabelle18[[#This Row],[company_id]], Tabelle5[[#This Row],[value_id]], Tabelle18[[#This Row],[value_id]], Tabelle5[[#This Row],[value_present]],"1")</f>
        <v>0</v>
      </c>
    </row>
    <row r="533" spans="1:5" x14ac:dyDescent="0.25">
      <c r="A533">
        <v>30</v>
      </c>
      <c r="B533" t="s">
        <v>118</v>
      </c>
      <c r="C533" s="4">
        <f>IF(Tabelle18[[#This Row],[binding_level_company]]&gt;=1,1,0)</f>
        <v>0</v>
      </c>
      <c r="D533" s="4">
        <f>_xlfn.MAXIFS(Tabelle5[[#This Row],[binding_level]], Tabelle5[[#This Row],[company_id]],Tabelle18[[#This Row],[company_id]], Tabelle5[[#This Row],[value_id]], Tabelle18[[#This Row],[value_id]], Tabelle5[[#This Row],[value_present]],"1")</f>
        <v>0</v>
      </c>
      <c r="E533" s="4">
        <f>_xlfn.MAXIFS(Tabelle5[[#This Row],[value_points]], Tabelle5[[#This Row],[company_id]],Tabelle18[[#This Row],[company_id]], Tabelle5[[#This Row],[value_id]], Tabelle18[[#This Row],[value_id]], Tabelle5[[#This Row],[value_present]],"1")</f>
        <v>0</v>
      </c>
    </row>
    <row r="534" spans="1:5" x14ac:dyDescent="0.25">
      <c r="A534">
        <v>30</v>
      </c>
      <c r="B534" t="s">
        <v>125</v>
      </c>
      <c r="C534" s="4">
        <f>IF(Tabelle18[[#This Row],[binding_level_company]]&gt;=1,1,0)</f>
        <v>0</v>
      </c>
      <c r="D534" s="4">
        <f>_xlfn.MAXIFS(Tabelle5[[#This Row],[binding_level]], Tabelle5[[#This Row],[company_id]],Tabelle18[[#This Row],[company_id]], Tabelle5[[#This Row],[value_id]], Tabelle18[[#This Row],[value_id]], Tabelle5[[#This Row],[value_present]],"1")</f>
        <v>0</v>
      </c>
      <c r="E534" s="4">
        <f>_xlfn.MAXIFS(Tabelle5[[#This Row],[value_points]], Tabelle5[[#This Row],[company_id]],Tabelle18[[#This Row],[company_id]], Tabelle5[[#This Row],[value_id]], Tabelle18[[#This Row],[value_id]], Tabelle5[[#This Row],[value_present]],"1")</f>
        <v>0</v>
      </c>
    </row>
    <row r="535" spans="1:5" x14ac:dyDescent="0.25">
      <c r="A535">
        <v>30</v>
      </c>
      <c r="B535" t="s">
        <v>132</v>
      </c>
      <c r="C535" s="4">
        <f>IF(Tabelle18[[#This Row],[binding_level_company]]&gt;=1,1,0)</f>
        <v>0</v>
      </c>
      <c r="D535" s="4">
        <f>_xlfn.MAXIFS(Tabelle5[[#This Row],[binding_level]], Tabelle5[[#This Row],[company_id]],Tabelle18[[#This Row],[company_id]], Tabelle5[[#This Row],[value_id]], Tabelle18[[#This Row],[value_id]], Tabelle5[[#This Row],[value_present]],"1")</f>
        <v>0</v>
      </c>
      <c r="E535" s="4">
        <f>_xlfn.MAXIFS(Tabelle5[[#This Row],[value_points]], Tabelle5[[#This Row],[company_id]],Tabelle18[[#This Row],[company_id]], Tabelle5[[#This Row],[value_id]], Tabelle18[[#This Row],[value_id]], Tabelle5[[#This Row],[value_present]],"1")</f>
        <v>0</v>
      </c>
    </row>
    <row r="536" spans="1:5" x14ac:dyDescent="0.25">
      <c r="A536">
        <v>30</v>
      </c>
      <c r="B536" t="s">
        <v>140</v>
      </c>
      <c r="C536" s="4">
        <f>IF(Tabelle18[[#This Row],[binding_level_company]]&gt;=1,1,0)</f>
        <v>0</v>
      </c>
      <c r="D536" s="4">
        <f>_xlfn.MAXIFS(Tabelle5[[#This Row],[binding_level]], Tabelle5[[#This Row],[company_id]],Tabelle18[[#This Row],[company_id]], Tabelle5[[#This Row],[value_id]], Tabelle18[[#This Row],[value_id]], Tabelle5[[#This Row],[value_present]],"1")</f>
        <v>0</v>
      </c>
      <c r="E536" s="4">
        <f>_xlfn.MAXIFS(Tabelle5[[#This Row],[value_points]], Tabelle5[[#This Row],[company_id]],Tabelle18[[#This Row],[company_id]], Tabelle5[[#This Row],[value_id]], Tabelle18[[#This Row],[value_id]], Tabelle5[[#This Row],[value_present]],"1")</f>
        <v>0</v>
      </c>
    </row>
    <row r="537" spans="1:5" x14ac:dyDescent="0.25">
      <c r="A537">
        <v>30</v>
      </c>
      <c r="B537" t="s">
        <v>147</v>
      </c>
      <c r="C537" s="4">
        <f>IF(Tabelle18[[#This Row],[binding_level_company]]&gt;=1,1,0)</f>
        <v>0</v>
      </c>
      <c r="D537" s="4">
        <f>_xlfn.MAXIFS(Tabelle5[[#This Row],[binding_level]], Tabelle5[[#This Row],[company_id]],Tabelle18[[#This Row],[company_id]], Tabelle5[[#This Row],[value_id]], Tabelle18[[#This Row],[value_id]], Tabelle5[[#This Row],[value_present]],"1")</f>
        <v>0</v>
      </c>
      <c r="E537" s="4">
        <f>_xlfn.MAXIFS(Tabelle5[[#This Row],[value_points]], Tabelle5[[#This Row],[company_id]],Tabelle18[[#This Row],[company_id]], Tabelle5[[#This Row],[value_id]], Tabelle18[[#This Row],[value_id]], Tabelle5[[#This Row],[value_present]],"1")</f>
        <v>0</v>
      </c>
    </row>
    <row r="538" spans="1:5" x14ac:dyDescent="0.25">
      <c r="A538">
        <v>30</v>
      </c>
      <c r="B538" t="s">
        <v>154</v>
      </c>
      <c r="C538" s="4">
        <f>IF(Tabelle18[[#This Row],[binding_level_company]]&gt;=1,1,0)</f>
        <v>0</v>
      </c>
      <c r="D538" s="4">
        <f>_xlfn.MAXIFS(Tabelle5[[#This Row],[binding_level]], Tabelle5[[#This Row],[company_id]],Tabelle18[[#This Row],[company_id]], Tabelle5[[#This Row],[value_id]], Tabelle18[[#This Row],[value_id]], Tabelle5[[#This Row],[value_present]],"1")</f>
        <v>0</v>
      </c>
      <c r="E538" s="4">
        <f>_xlfn.MAXIFS(Tabelle5[[#This Row],[value_points]], Tabelle5[[#This Row],[company_id]],Tabelle18[[#This Row],[company_id]], Tabelle5[[#This Row],[value_id]], Tabelle18[[#This Row],[value_id]], Tabelle5[[#This Row],[value_present]],"1")</f>
        <v>0</v>
      </c>
    </row>
    <row r="539" spans="1:5" x14ac:dyDescent="0.25">
      <c r="A539">
        <v>30</v>
      </c>
      <c r="B539" t="s">
        <v>161</v>
      </c>
      <c r="C539" s="4">
        <f>IF(Tabelle18[[#This Row],[binding_level_company]]&gt;=1,1,0)</f>
        <v>0</v>
      </c>
      <c r="D539" s="4">
        <f>_xlfn.MAXIFS(Tabelle5[[#This Row],[binding_level]], Tabelle5[[#This Row],[company_id]],Tabelle18[[#This Row],[company_id]], Tabelle5[[#This Row],[value_id]], Tabelle18[[#This Row],[value_id]], Tabelle5[[#This Row],[value_present]],"1")</f>
        <v>0</v>
      </c>
      <c r="E539" s="4">
        <f>_xlfn.MAXIFS(Tabelle5[[#This Row],[value_points]], Tabelle5[[#This Row],[company_id]],Tabelle18[[#This Row],[company_id]], Tabelle5[[#This Row],[value_id]], Tabelle18[[#This Row],[value_id]], Tabelle5[[#This Row],[value_present]],"1")</f>
        <v>0</v>
      </c>
    </row>
    <row r="540" spans="1:5" x14ac:dyDescent="0.25">
      <c r="A540">
        <v>30</v>
      </c>
      <c r="B540" t="s">
        <v>166</v>
      </c>
      <c r="C540" s="4">
        <f>IF(Tabelle18[[#This Row],[binding_level_company]]&gt;=1,1,0)</f>
        <v>0</v>
      </c>
      <c r="D540" s="4">
        <f>_xlfn.MAXIFS(Tabelle5[[#This Row],[binding_level]], Tabelle5[[#This Row],[company_id]],Tabelle18[[#This Row],[company_id]], Tabelle5[[#This Row],[value_id]], Tabelle18[[#This Row],[value_id]], Tabelle5[[#This Row],[value_present]],"1")</f>
        <v>0</v>
      </c>
      <c r="E540" s="4">
        <f>_xlfn.MAXIFS(Tabelle5[[#This Row],[value_points]], Tabelle5[[#This Row],[company_id]],Tabelle18[[#This Row],[company_id]], Tabelle5[[#This Row],[value_id]], Tabelle18[[#This Row],[value_id]], Tabelle5[[#This Row],[value_present]],"1")</f>
        <v>0</v>
      </c>
    </row>
    <row r="541" spans="1:5" ht="15.75" thickBot="1" x14ac:dyDescent="0.3">
      <c r="A541">
        <v>30</v>
      </c>
      <c r="B541" s="30" t="s">
        <v>174</v>
      </c>
      <c r="C541" s="4">
        <f>IF(Tabelle18[[#This Row],[binding_level_company]]&gt;=1,1,0)</f>
        <v>0</v>
      </c>
      <c r="D541" s="4">
        <f>_xlfn.MAXIFS(Tabelle5[[#This Row],[binding_level]], Tabelle5[[#This Row],[company_id]],Tabelle18[[#This Row],[company_id]], Tabelle5[[#This Row],[value_id]], Tabelle18[[#This Row],[value_id]], Tabelle5[[#This Row],[value_present]],"1")</f>
        <v>0</v>
      </c>
      <c r="E541" s="4">
        <f>_xlfn.MAXIFS(Tabelle5[[#This Row],[value_points]], Tabelle5[[#This Row],[company_id]],Tabelle18[[#This Row],[company_id]], Tabelle5[[#This Row],[value_id]], Tabelle18[[#This Row],[value_id]], Tabelle5[[#This Row],[value_present]],"1")</f>
        <v>0</v>
      </c>
    </row>
    <row r="542" spans="1:5" x14ac:dyDescent="0.25">
      <c r="A542">
        <v>31</v>
      </c>
      <c r="B542" s="22" t="s">
        <v>53</v>
      </c>
      <c r="C542" s="4">
        <f>IF(Tabelle18[[#This Row],[binding_level_company]]&gt;=1,1,0)</f>
        <v>0</v>
      </c>
      <c r="D542" s="4">
        <f>_xlfn.MAXIFS(Tabelle5[[#This Row],[binding_level]], Tabelle5[[#This Row],[company_id]],Tabelle18[[#This Row],[company_id]], Tabelle5[[#This Row],[value_id]], Tabelle18[[#This Row],[value_id]], Tabelle5[[#This Row],[value_present]],"1")</f>
        <v>0</v>
      </c>
      <c r="E542" s="4">
        <f>_xlfn.MAXIFS(Tabelle5[[#This Row],[value_points]], Tabelle5[[#This Row],[company_id]],Tabelle18[[#This Row],[company_id]], Tabelle5[[#This Row],[value_id]], Tabelle18[[#This Row],[value_id]], Tabelle5[[#This Row],[value_present]],"1")</f>
        <v>0</v>
      </c>
    </row>
    <row r="543" spans="1:5" x14ac:dyDescent="0.25">
      <c r="A543">
        <v>31</v>
      </c>
      <c r="B543" t="s">
        <v>61</v>
      </c>
      <c r="C543" s="4">
        <f>IF(Tabelle18[[#This Row],[binding_level_company]]&gt;=1,1,0)</f>
        <v>0</v>
      </c>
      <c r="D543" s="4">
        <f>_xlfn.MAXIFS(Tabelle5[[#This Row],[binding_level]], Tabelle5[[#This Row],[company_id]],Tabelle18[[#This Row],[company_id]], Tabelle5[[#This Row],[value_id]], Tabelle18[[#This Row],[value_id]], Tabelle5[[#This Row],[value_present]],"1")</f>
        <v>0</v>
      </c>
      <c r="E543" s="4">
        <f>_xlfn.MAXIFS(Tabelle5[[#This Row],[value_points]], Tabelle5[[#This Row],[company_id]],Tabelle18[[#This Row],[company_id]], Tabelle5[[#This Row],[value_id]], Tabelle18[[#This Row],[value_id]], Tabelle5[[#This Row],[value_present]],"1")</f>
        <v>0</v>
      </c>
    </row>
    <row r="544" spans="1:5" x14ac:dyDescent="0.25">
      <c r="A544">
        <v>31</v>
      </c>
      <c r="B544" t="s">
        <v>69</v>
      </c>
      <c r="C544" s="4">
        <f>IF(Tabelle18[[#This Row],[binding_level_company]]&gt;=1,1,0)</f>
        <v>0</v>
      </c>
      <c r="D544" s="4">
        <f>_xlfn.MAXIFS(Tabelle5[[#This Row],[binding_level]], Tabelle5[[#This Row],[company_id]],Tabelle18[[#This Row],[company_id]], Tabelle5[[#This Row],[value_id]], Tabelle18[[#This Row],[value_id]], Tabelle5[[#This Row],[value_present]],"1")</f>
        <v>0</v>
      </c>
      <c r="E544" s="4">
        <f>_xlfn.MAXIFS(Tabelle5[[#This Row],[value_points]], Tabelle5[[#This Row],[company_id]],Tabelle18[[#This Row],[company_id]], Tabelle5[[#This Row],[value_id]], Tabelle18[[#This Row],[value_id]], Tabelle5[[#This Row],[value_present]],"1")</f>
        <v>0</v>
      </c>
    </row>
    <row r="545" spans="1:5" x14ac:dyDescent="0.25">
      <c r="A545">
        <v>31</v>
      </c>
      <c r="B545" t="s">
        <v>76</v>
      </c>
      <c r="C545" s="4">
        <f>IF(Tabelle18[[#This Row],[binding_level_company]]&gt;=1,1,0)</f>
        <v>0</v>
      </c>
      <c r="D545" s="4">
        <f>_xlfn.MAXIFS(Tabelle5[[#This Row],[binding_level]], Tabelle5[[#This Row],[company_id]],Tabelle18[[#This Row],[company_id]], Tabelle5[[#This Row],[value_id]], Tabelle18[[#This Row],[value_id]], Tabelle5[[#This Row],[value_present]],"1")</f>
        <v>0</v>
      </c>
      <c r="E545" s="4">
        <f>_xlfn.MAXIFS(Tabelle5[[#This Row],[value_points]], Tabelle5[[#This Row],[company_id]],Tabelle18[[#This Row],[company_id]], Tabelle5[[#This Row],[value_id]], Tabelle18[[#This Row],[value_id]], Tabelle5[[#This Row],[value_present]],"1")</f>
        <v>0</v>
      </c>
    </row>
    <row r="546" spans="1:5" x14ac:dyDescent="0.25">
      <c r="A546">
        <v>31</v>
      </c>
      <c r="B546" t="s">
        <v>83</v>
      </c>
      <c r="C546" s="4">
        <f>IF(Tabelle18[[#This Row],[binding_level_company]]&gt;=1,1,0)</f>
        <v>0</v>
      </c>
      <c r="D546" s="4">
        <f>_xlfn.MAXIFS(Tabelle5[[#This Row],[binding_level]], Tabelle5[[#This Row],[company_id]],Tabelle18[[#This Row],[company_id]], Tabelle5[[#This Row],[value_id]], Tabelle18[[#This Row],[value_id]], Tabelle5[[#This Row],[value_present]],"1")</f>
        <v>0</v>
      </c>
      <c r="E546" s="4">
        <f>_xlfn.MAXIFS(Tabelle5[[#This Row],[value_points]], Tabelle5[[#This Row],[company_id]],Tabelle18[[#This Row],[company_id]], Tabelle5[[#This Row],[value_id]], Tabelle18[[#This Row],[value_id]], Tabelle5[[#This Row],[value_present]],"1")</f>
        <v>0</v>
      </c>
    </row>
    <row r="547" spans="1:5" x14ac:dyDescent="0.25">
      <c r="A547">
        <v>31</v>
      </c>
      <c r="B547" t="s">
        <v>90</v>
      </c>
      <c r="C547" s="4">
        <f>IF(Tabelle18[[#This Row],[binding_level_company]]&gt;=1,1,0)</f>
        <v>0</v>
      </c>
      <c r="D547" s="4">
        <f>_xlfn.MAXIFS(Tabelle5[[#This Row],[binding_level]], Tabelle5[[#This Row],[company_id]],Tabelle18[[#This Row],[company_id]], Tabelle5[[#This Row],[value_id]], Tabelle18[[#This Row],[value_id]], Tabelle5[[#This Row],[value_present]],"1")</f>
        <v>0</v>
      </c>
      <c r="E547" s="4">
        <f>_xlfn.MAXIFS(Tabelle5[[#This Row],[value_points]], Tabelle5[[#This Row],[company_id]],Tabelle18[[#This Row],[company_id]], Tabelle5[[#This Row],[value_id]], Tabelle18[[#This Row],[value_id]], Tabelle5[[#This Row],[value_present]],"1")</f>
        <v>0</v>
      </c>
    </row>
    <row r="548" spans="1:5" x14ac:dyDescent="0.25">
      <c r="A548">
        <v>31</v>
      </c>
      <c r="B548" t="s">
        <v>98</v>
      </c>
      <c r="C548" s="4">
        <f>IF(Tabelle18[[#This Row],[binding_level_company]]&gt;=1,1,0)</f>
        <v>0</v>
      </c>
      <c r="D548" s="4">
        <f>_xlfn.MAXIFS(Tabelle5[[#This Row],[binding_level]], Tabelle5[[#This Row],[company_id]],Tabelle18[[#This Row],[company_id]], Tabelle5[[#This Row],[value_id]], Tabelle18[[#This Row],[value_id]], Tabelle5[[#This Row],[value_present]],"1")</f>
        <v>0</v>
      </c>
      <c r="E548" s="4">
        <f>_xlfn.MAXIFS(Tabelle5[[#This Row],[value_points]], Tabelle5[[#This Row],[company_id]],Tabelle18[[#This Row],[company_id]], Tabelle5[[#This Row],[value_id]], Tabelle18[[#This Row],[value_id]], Tabelle5[[#This Row],[value_present]],"1")</f>
        <v>0</v>
      </c>
    </row>
    <row r="549" spans="1:5" x14ac:dyDescent="0.25">
      <c r="A549">
        <v>31</v>
      </c>
      <c r="B549" t="s">
        <v>106</v>
      </c>
      <c r="C549" s="4">
        <f>IF(Tabelle18[[#This Row],[binding_level_company]]&gt;=1,1,0)</f>
        <v>0</v>
      </c>
      <c r="D549" s="4">
        <f>_xlfn.MAXIFS(Tabelle5[[#This Row],[binding_level]], Tabelle5[[#This Row],[company_id]],Tabelle18[[#This Row],[company_id]], Tabelle5[[#This Row],[value_id]], Tabelle18[[#This Row],[value_id]], Tabelle5[[#This Row],[value_present]],"1")</f>
        <v>0</v>
      </c>
      <c r="E549" s="4">
        <f>_xlfn.MAXIFS(Tabelle5[[#This Row],[value_points]], Tabelle5[[#This Row],[company_id]],Tabelle18[[#This Row],[company_id]], Tabelle5[[#This Row],[value_id]], Tabelle18[[#This Row],[value_id]], Tabelle5[[#This Row],[value_present]],"1")</f>
        <v>0</v>
      </c>
    </row>
    <row r="550" spans="1:5" x14ac:dyDescent="0.25">
      <c r="A550">
        <v>31</v>
      </c>
      <c r="B550" t="s">
        <v>112</v>
      </c>
      <c r="C550" s="4">
        <f>IF(Tabelle18[[#This Row],[binding_level_company]]&gt;=1,1,0)</f>
        <v>0</v>
      </c>
      <c r="D550" s="4">
        <f>_xlfn.MAXIFS(Tabelle5[[#This Row],[binding_level]], Tabelle5[[#This Row],[company_id]],Tabelle18[[#This Row],[company_id]], Tabelle5[[#This Row],[value_id]], Tabelle18[[#This Row],[value_id]], Tabelle5[[#This Row],[value_present]],"1")</f>
        <v>0</v>
      </c>
      <c r="E550" s="4">
        <f>_xlfn.MAXIFS(Tabelle5[[#This Row],[value_points]], Tabelle5[[#This Row],[company_id]],Tabelle18[[#This Row],[company_id]], Tabelle5[[#This Row],[value_id]], Tabelle18[[#This Row],[value_id]], Tabelle5[[#This Row],[value_present]],"1")</f>
        <v>0</v>
      </c>
    </row>
    <row r="551" spans="1:5" x14ac:dyDescent="0.25">
      <c r="A551">
        <v>31</v>
      </c>
      <c r="B551" t="s">
        <v>118</v>
      </c>
      <c r="C551" s="4">
        <f>IF(Tabelle18[[#This Row],[binding_level_company]]&gt;=1,1,0)</f>
        <v>0</v>
      </c>
      <c r="D551" s="4">
        <f>_xlfn.MAXIFS(Tabelle5[[#This Row],[binding_level]], Tabelle5[[#This Row],[company_id]],Tabelle18[[#This Row],[company_id]], Tabelle5[[#This Row],[value_id]], Tabelle18[[#This Row],[value_id]], Tabelle5[[#This Row],[value_present]],"1")</f>
        <v>0</v>
      </c>
      <c r="E551" s="4">
        <f>_xlfn.MAXIFS(Tabelle5[[#This Row],[value_points]], Tabelle5[[#This Row],[company_id]],Tabelle18[[#This Row],[company_id]], Tabelle5[[#This Row],[value_id]], Tabelle18[[#This Row],[value_id]], Tabelle5[[#This Row],[value_present]],"1")</f>
        <v>0</v>
      </c>
    </row>
    <row r="552" spans="1:5" x14ac:dyDescent="0.25">
      <c r="A552">
        <v>31</v>
      </c>
      <c r="B552" t="s">
        <v>125</v>
      </c>
      <c r="C552" s="4">
        <f>IF(Tabelle18[[#This Row],[binding_level_company]]&gt;=1,1,0)</f>
        <v>0</v>
      </c>
      <c r="D552" s="4">
        <f>_xlfn.MAXIFS(Tabelle5[[#This Row],[binding_level]], Tabelle5[[#This Row],[company_id]],Tabelle18[[#This Row],[company_id]], Tabelle5[[#This Row],[value_id]], Tabelle18[[#This Row],[value_id]], Tabelle5[[#This Row],[value_present]],"1")</f>
        <v>0</v>
      </c>
      <c r="E552" s="4">
        <f>_xlfn.MAXIFS(Tabelle5[[#This Row],[value_points]], Tabelle5[[#This Row],[company_id]],Tabelle18[[#This Row],[company_id]], Tabelle5[[#This Row],[value_id]], Tabelle18[[#This Row],[value_id]], Tabelle5[[#This Row],[value_present]],"1")</f>
        <v>0</v>
      </c>
    </row>
    <row r="553" spans="1:5" x14ac:dyDescent="0.25">
      <c r="A553">
        <v>31</v>
      </c>
      <c r="B553" t="s">
        <v>132</v>
      </c>
      <c r="C553" s="4">
        <f>IF(Tabelle18[[#This Row],[binding_level_company]]&gt;=1,1,0)</f>
        <v>0</v>
      </c>
      <c r="D553" s="4">
        <f>_xlfn.MAXIFS(Tabelle5[[#This Row],[binding_level]], Tabelle5[[#This Row],[company_id]],Tabelle18[[#This Row],[company_id]], Tabelle5[[#This Row],[value_id]], Tabelle18[[#This Row],[value_id]], Tabelle5[[#This Row],[value_present]],"1")</f>
        <v>0</v>
      </c>
      <c r="E553" s="4">
        <f>_xlfn.MAXIFS(Tabelle5[[#This Row],[value_points]], Tabelle5[[#This Row],[company_id]],Tabelle18[[#This Row],[company_id]], Tabelle5[[#This Row],[value_id]], Tabelle18[[#This Row],[value_id]], Tabelle5[[#This Row],[value_present]],"1")</f>
        <v>0</v>
      </c>
    </row>
    <row r="554" spans="1:5" x14ac:dyDescent="0.25">
      <c r="A554">
        <v>31</v>
      </c>
      <c r="B554" t="s">
        <v>140</v>
      </c>
      <c r="C554" s="4">
        <f>IF(Tabelle18[[#This Row],[binding_level_company]]&gt;=1,1,0)</f>
        <v>0</v>
      </c>
      <c r="D554" s="4">
        <f>_xlfn.MAXIFS(Tabelle5[[#This Row],[binding_level]], Tabelle5[[#This Row],[company_id]],Tabelle18[[#This Row],[company_id]], Tabelle5[[#This Row],[value_id]], Tabelle18[[#This Row],[value_id]], Tabelle5[[#This Row],[value_present]],"1")</f>
        <v>0</v>
      </c>
      <c r="E554" s="4">
        <f>_xlfn.MAXIFS(Tabelle5[[#This Row],[value_points]], Tabelle5[[#This Row],[company_id]],Tabelle18[[#This Row],[company_id]], Tabelle5[[#This Row],[value_id]], Tabelle18[[#This Row],[value_id]], Tabelle5[[#This Row],[value_present]],"1")</f>
        <v>0</v>
      </c>
    </row>
    <row r="555" spans="1:5" x14ac:dyDescent="0.25">
      <c r="A555">
        <v>31</v>
      </c>
      <c r="B555" t="s">
        <v>147</v>
      </c>
      <c r="C555" s="4">
        <f>IF(Tabelle18[[#This Row],[binding_level_company]]&gt;=1,1,0)</f>
        <v>0</v>
      </c>
      <c r="D555" s="4">
        <f>_xlfn.MAXIFS(Tabelle5[[#This Row],[binding_level]], Tabelle5[[#This Row],[company_id]],Tabelle18[[#This Row],[company_id]], Tabelle5[[#This Row],[value_id]], Tabelle18[[#This Row],[value_id]], Tabelle5[[#This Row],[value_present]],"1")</f>
        <v>0</v>
      </c>
      <c r="E555" s="4">
        <f>_xlfn.MAXIFS(Tabelle5[[#This Row],[value_points]], Tabelle5[[#This Row],[company_id]],Tabelle18[[#This Row],[company_id]], Tabelle5[[#This Row],[value_id]], Tabelle18[[#This Row],[value_id]], Tabelle5[[#This Row],[value_present]],"1")</f>
        <v>0</v>
      </c>
    </row>
    <row r="556" spans="1:5" x14ac:dyDescent="0.25">
      <c r="A556">
        <v>31</v>
      </c>
      <c r="B556" t="s">
        <v>154</v>
      </c>
      <c r="C556" s="4">
        <f>IF(Tabelle18[[#This Row],[binding_level_company]]&gt;=1,1,0)</f>
        <v>0</v>
      </c>
      <c r="D556" s="4">
        <f>_xlfn.MAXIFS(Tabelle5[[#This Row],[binding_level]], Tabelle5[[#This Row],[company_id]],Tabelle18[[#This Row],[company_id]], Tabelle5[[#This Row],[value_id]], Tabelle18[[#This Row],[value_id]], Tabelle5[[#This Row],[value_present]],"1")</f>
        <v>0</v>
      </c>
      <c r="E556" s="4">
        <f>_xlfn.MAXIFS(Tabelle5[[#This Row],[value_points]], Tabelle5[[#This Row],[company_id]],Tabelle18[[#This Row],[company_id]], Tabelle5[[#This Row],[value_id]], Tabelle18[[#This Row],[value_id]], Tabelle5[[#This Row],[value_present]],"1")</f>
        <v>0</v>
      </c>
    </row>
    <row r="557" spans="1:5" x14ac:dyDescent="0.25">
      <c r="A557">
        <v>31</v>
      </c>
      <c r="B557" t="s">
        <v>161</v>
      </c>
      <c r="C557" s="4">
        <f>IF(Tabelle18[[#This Row],[binding_level_company]]&gt;=1,1,0)</f>
        <v>0</v>
      </c>
      <c r="D557" s="4">
        <f>_xlfn.MAXIFS(Tabelle5[[#This Row],[binding_level]], Tabelle5[[#This Row],[company_id]],Tabelle18[[#This Row],[company_id]], Tabelle5[[#This Row],[value_id]], Tabelle18[[#This Row],[value_id]], Tabelle5[[#This Row],[value_present]],"1")</f>
        <v>0</v>
      </c>
      <c r="E557" s="4">
        <f>_xlfn.MAXIFS(Tabelle5[[#This Row],[value_points]], Tabelle5[[#This Row],[company_id]],Tabelle18[[#This Row],[company_id]], Tabelle5[[#This Row],[value_id]], Tabelle18[[#This Row],[value_id]], Tabelle5[[#This Row],[value_present]],"1")</f>
        <v>0</v>
      </c>
    </row>
    <row r="558" spans="1:5" x14ac:dyDescent="0.25">
      <c r="A558">
        <v>31</v>
      </c>
      <c r="B558" t="s">
        <v>166</v>
      </c>
      <c r="C558" s="4">
        <f>IF(Tabelle18[[#This Row],[binding_level_company]]&gt;=1,1,0)</f>
        <v>0</v>
      </c>
      <c r="D558" s="4">
        <f>_xlfn.MAXIFS(Tabelle5[[#This Row],[binding_level]], Tabelle5[[#This Row],[company_id]],Tabelle18[[#This Row],[company_id]], Tabelle5[[#This Row],[value_id]], Tabelle18[[#This Row],[value_id]], Tabelle5[[#This Row],[value_present]],"1")</f>
        <v>0</v>
      </c>
      <c r="E558" s="4">
        <f>_xlfn.MAXIFS(Tabelle5[[#This Row],[value_points]], Tabelle5[[#This Row],[company_id]],Tabelle18[[#This Row],[company_id]], Tabelle5[[#This Row],[value_id]], Tabelle18[[#This Row],[value_id]], Tabelle5[[#This Row],[value_present]],"1")</f>
        <v>0</v>
      </c>
    </row>
    <row r="559" spans="1:5" ht="15.75" thickBot="1" x14ac:dyDescent="0.3">
      <c r="A559">
        <v>31</v>
      </c>
      <c r="B559" s="30" t="s">
        <v>174</v>
      </c>
      <c r="C559" s="4">
        <f>IF(Tabelle18[[#This Row],[binding_level_company]]&gt;=1,1,0)</f>
        <v>0</v>
      </c>
      <c r="D559" s="4">
        <f>_xlfn.MAXIFS(Tabelle5[[#This Row],[binding_level]], Tabelle5[[#This Row],[company_id]],Tabelle18[[#This Row],[company_id]], Tabelle5[[#This Row],[value_id]], Tabelle18[[#This Row],[value_id]], Tabelle5[[#This Row],[value_present]],"1")</f>
        <v>0</v>
      </c>
      <c r="E559" s="4">
        <f>_xlfn.MAXIFS(Tabelle5[[#This Row],[value_points]], Tabelle5[[#This Row],[company_id]],Tabelle18[[#This Row],[company_id]], Tabelle5[[#This Row],[value_id]], Tabelle18[[#This Row],[value_id]], Tabelle5[[#This Row],[value_present]],"1")</f>
        <v>0</v>
      </c>
    </row>
    <row r="560" spans="1:5" x14ac:dyDescent="0.25">
      <c r="A560">
        <v>32</v>
      </c>
      <c r="B560" s="22" t="s">
        <v>53</v>
      </c>
      <c r="C560" s="4">
        <f>IF(Tabelle18[[#This Row],[binding_level_company]]&gt;=1,1,0)</f>
        <v>0</v>
      </c>
      <c r="D560" s="4">
        <f>_xlfn.MAXIFS(Tabelle5[[#This Row],[binding_level]], Tabelle5[[#This Row],[company_id]],Tabelle18[[#This Row],[company_id]], Tabelle5[[#This Row],[value_id]], Tabelle18[[#This Row],[value_id]], Tabelle5[[#This Row],[value_present]],"1")</f>
        <v>0</v>
      </c>
      <c r="E560" s="4">
        <f>_xlfn.MAXIFS(Tabelle5[[#This Row],[value_points]], Tabelle5[[#This Row],[company_id]],Tabelle18[[#This Row],[company_id]], Tabelle5[[#This Row],[value_id]], Tabelle18[[#This Row],[value_id]], Tabelle5[[#This Row],[value_present]],"1")</f>
        <v>0</v>
      </c>
    </row>
    <row r="561" spans="1:5" x14ac:dyDescent="0.25">
      <c r="A561">
        <v>32</v>
      </c>
      <c r="B561" t="s">
        <v>61</v>
      </c>
      <c r="C561" s="4">
        <f>IF(Tabelle18[[#This Row],[binding_level_company]]&gt;=1,1,0)</f>
        <v>0</v>
      </c>
      <c r="D561" s="4">
        <f>_xlfn.MAXIFS(Tabelle5[[#This Row],[binding_level]], Tabelle5[[#This Row],[company_id]],Tabelle18[[#This Row],[company_id]], Tabelle5[[#This Row],[value_id]], Tabelle18[[#This Row],[value_id]], Tabelle5[[#This Row],[value_present]],"1")</f>
        <v>0</v>
      </c>
      <c r="E561" s="4">
        <f>_xlfn.MAXIFS(Tabelle5[[#This Row],[value_points]], Tabelle5[[#This Row],[company_id]],Tabelle18[[#This Row],[company_id]], Tabelle5[[#This Row],[value_id]], Tabelle18[[#This Row],[value_id]], Tabelle5[[#This Row],[value_present]],"1")</f>
        <v>0</v>
      </c>
    </row>
    <row r="562" spans="1:5" x14ac:dyDescent="0.25">
      <c r="A562">
        <v>32</v>
      </c>
      <c r="B562" t="s">
        <v>69</v>
      </c>
      <c r="C562" s="4">
        <f>IF(Tabelle18[[#This Row],[binding_level_company]]&gt;=1,1,0)</f>
        <v>0</v>
      </c>
      <c r="D562" s="4">
        <f>_xlfn.MAXIFS(Tabelle5[[#This Row],[binding_level]], Tabelle5[[#This Row],[company_id]],Tabelle18[[#This Row],[company_id]], Tabelle5[[#This Row],[value_id]], Tabelle18[[#This Row],[value_id]], Tabelle5[[#This Row],[value_present]],"1")</f>
        <v>0</v>
      </c>
      <c r="E562" s="4">
        <f>_xlfn.MAXIFS(Tabelle5[[#This Row],[value_points]], Tabelle5[[#This Row],[company_id]],Tabelle18[[#This Row],[company_id]], Tabelle5[[#This Row],[value_id]], Tabelle18[[#This Row],[value_id]], Tabelle5[[#This Row],[value_present]],"1")</f>
        <v>0</v>
      </c>
    </row>
    <row r="563" spans="1:5" x14ac:dyDescent="0.25">
      <c r="A563">
        <v>32</v>
      </c>
      <c r="B563" t="s">
        <v>76</v>
      </c>
      <c r="C563" s="4">
        <f>IF(Tabelle18[[#This Row],[binding_level_company]]&gt;=1,1,0)</f>
        <v>0</v>
      </c>
      <c r="D563" s="4">
        <f>_xlfn.MAXIFS(Tabelle5[[#This Row],[binding_level]], Tabelle5[[#This Row],[company_id]],Tabelle18[[#This Row],[company_id]], Tabelle5[[#This Row],[value_id]], Tabelle18[[#This Row],[value_id]], Tabelle5[[#This Row],[value_present]],"1")</f>
        <v>0</v>
      </c>
      <c r="E563" s="4">
        <f>_xlfn.MAXIFS(Tabelle5[[#This Row],[value_points]], Tabelle5[[#This Row],[company_id]],Tabelle18[[#This Row],[company_id]], Tabelle5[[#This Row],[value_id]], Tabelle18[[#This Row],[value_id]], Tabelle5[[#This Row],[value_present]],"1")</f>
        <v>0</v>
      </c>
    </row>
    <row r="564" spans="1:5" x14ac:dyDescent="0.25">
      <c r="A564">
        <v>32</v>
      </c>
      <c r="B564" t="s">
        <v>83</v>
      </c>
      <c r="C564" s="4">
        <f>IF(Tabelle18[[#This Row],[binding_level_company]]&gt;=1,1,0)</f>
        <v>0</v>
      </c>
      <c r="D564" s="4">
        <f>_xlfn.MAXIFS(Tabelle5[[#This Row],[binding_level]], Tabelle5[[#This Row],[company_id]],Tabelle18[[#This Row],[company_id]], Tabelle5[[#This Row],[value_id]], Tabelle18[[#This Row],[value_id]], Tabelle5[[#This Row],[value_present]],"1")</f>
        <v>0</v>
      </c>
      <c r="E564" s="4">
        <f>_xlfn.MAXIFS(Tabelle5[[#This Row],[value_points]], Tabelle5[[#This Row],[company_id]],Tabelle18[[#This Row],[company_id]], Tabelle5[[#This Row],[value_id]], Tabelle18[[#This Row],[value_id]], Tabelle5[[#This Row],[value_present]],"1")</f>
        <v>0</v>
      </c>
    </row>
    <row r="565" spans="1:5" x14ac:dyDescent="0.25">
      <c r="A565">
        <v>32</v>
      </c>
      <c r="B565" t="s">
        <v>90</v>
      </c>
      <c r="C565" s="4">
        <f>IF(Tabelle18[[#This Row],[binding_level_company]]&gt;=1,1,0)</f>
        <v>0</v>
      </c>
      <c r="D565" s="4">
        <f>_xlfn.MAXIFS(Tabelle5[[#This Row],[binding_level]], Tabelle5[[#This Row],[company_id]],Tabelle18[[#This Row],[company_id]], Tabelle5[[#This Row],[value_id]], Tabelle18[[#This Row],[value_id]], Tabelle5[[#This Row],[value_present]],"1")</f>
        <v>0</v>
      </c>
      <c r="E565" s="4">
        <f>_xlfn.MAXIFS(Tabelle5[[#This Row],[value_points]], Tabelle5[[#This Row],[company_id]],Tabelle18[[#This Row],[company_id]], Tabelle5[[#This Row],[value_id]], Tabelle18[[#This Row],[value_id]], Tabelle5[[#This Row],[value_present]],"1")</f>
        <v>0</v>
      </c>
    </row>
    <row r="566" spans="1:5" x14ac:dyDescent="0.25">
      <c r="A566">
        <v>32</v>
      </c>
      <c r="B566" t="s">
        <v>98</v>
      </c>
      <c r="C566" s="4">
        <f>IF(Tabelle18[[#This Row],[binding_level_company]]&gt;=1,1,0)</f>
        <v>0</v>
      </c>
      <c r="D566" s="4">
        <f>_xlfn.MAXIFS(Tabelle5[[#This Row],[binding_level]], Tabelle5[[#This Row],[company_id]],Tabelle18[[#This Row],[company_id]], Tabelle5[[#This Row],[value_id]], Tabelle18[[#This Row],[value_id]], Tabelle5[[#This Row],[value_present]],"1")</f>
        <v>0</v>
      </c>
      <c r="E566" s="4">
        <f>_xlfn.MAXIFS(Tabelle5[[#This Row],[value_points]], Tabelle5[[#This Row],[company_id]],Tabelle18[[#This Row],[company_id]], Tabelle5[[#This Row],[value_id]], Tabelle18[[#This Row],[value_id]], Tabelle5[[#This Row],[value_present]],"1")</f>
        <v>0</v>
      </c>
    </row>
    <row r="567" spans="1:5" x14ac:dyDescent="0.25">
      <c r="A567">
        <v>32</v>
      </c>
      <c r="B567" t="s">
        <v>106</v>
      </c>
      <c r="C567" s="4">
        <f>IF(Tabelle18[[#This Row],[binding_level_company]]&gt;=1,1,0)</f>
        <v>0</v>
      </c>
      <c r="D567" s="4">
        <f>_xlfn.MAXIFS(Tabelle5[[#This Row],[binding_level]], Tabelle5[[#This Row],[company_id]],Tabelle18[[#This Row],[company_id]], Tabelle5[[#This Row],[value_id]], Tabelle18[[#This Row],[value_id]], Tabelle5[[#This Row],[value_present]],"1")</f>
        <v>0</v>
      </c>
      <c r="E567" s="4">
        <f>_xlfn.MAXIFS(Tabelle5[[#This Row],[value_points]], Tabelle5[[#This Row],[company_id]],Tabelle18[[#This Row],[company_id]], Tabelle5[[#This Row],[value_id]], Tabelle18[[#This Row],[value_id]], Tabelle5[[#This Row],[value_present]],"1")</f>
        <v>0</v>
      </c>
    </row>
    <row r="568" spans="1:5" x14ac:dyDescent="0.25">
      <c r="A568">
        <v>32</v>
      </c>
      <c r="B568" t="s">
        <v>112</v>
      </c>
      <c r="C568" s="4">
        <f>IF(Tabelle18[[#This Row],[binding_level_company]]&gt;=1,1,0)</f>
        <v>0</v>
      </c>
      <c r="D568" s="4">
        <f>_xlfn.MAXIFS(Tabelle5[[#This Row],[binding_level]], Tabelle5[[#This Row],[company_id]],Tabelle18[[#This Row],[company_id]], Tabelle5[[#This Row],[value_id]], Tabelle18[[#This Row],[value_id]], Tabelle5[[#This Row],[value_present]],"1")</f>
        <v>0</v>
      </c>
      <c r="E568" s="4">
        <f>_xlfn.MAXIFS(Tabelle5[[#This Row],[value_points]], Tabelle5[[#This Row],[company_id]],Tabelle18[[#This Row],[company_id]], Tabelle5[[#This Row],[value_id]], Tabelle18[[#This Row],[value_id]], Tabelle5[[#This Row],[value_present]],"1")</f>
        <v>0</v>
      </c>
    </row>
    <row r="569" spans="1:5" x14ac:dyDescent="0.25">
      <c r="A569">
        <v>32</v>
      </c>
      <c r="B569" t="s">
        <v>118</v>
      </c>
      <c r="C569" s="4">
        <f>IF(Tabelle18[[#This Row],[binding_level_company]]&gt;=1,1,0)</f>
        <v>0</v>
      </c>
      <c r="D569" s="4">
        <f>_xlfn.MAXIFS(Tabelle5[[#This Row],[binding_level]], Tabelle5[[#This Row],[company_id]],Tabelle18[[#This Row],[company_id]], Tabelle5[[#This Row],[value_id]], Tabelle18[[#This Row],[value_id]], Tabelle5[[#This Row],[value_present]],"1")</f>
        <v>0</v>
      </c>
      <c r="E569" s="4">
        <f>_xlfn.MAXIFS(Tabelle5[[#This Row],[value_points]], Tabelle5[[#This Row],[company_id]],Tabelle18[[#This Row],[company_id]], Tabelle5[[#This Row],[value_id]], Tabelle18[[#This Row],[value_id]], Tabelle5[[#This Row],[value_present]],"1")</f>
        <v>0</v>
      </c>
    </row>
    <row r="570" spans="1:5" x14ac:dyDescent="0.25">
      <c r="A570">
        <v>32</v>
      </c>
      <c r="B570" t="s">
        <v>125</v>
      </c>
      <c r="C570" s="4">
        <f>IF(Tabelle18[[#This Row],[binding_level_company]]&gt;=1,1,0)</f>
        <v>0</v>
      </c>
      <c r="D570" s="4">
        <f>_xlfn.MAXIFS(Tabelle5[[#This Row],[binding_level]], Tabelle5[[#This Row],[company_id]],Tabelle18[[#This Row],[company_id]], Tabelle5[[#This Row],[value_id]], Tabelle18[[#This Row],[value_id]], Tabelle5[[#This Row],[value_present]],"1")</f>
        <v>0</v>
      </c>
      <c r="E570" s="4">
        <f>_xlfn.MAXIFS(Tabelle5[[#This Row],[value_points]], Tabelle5[[#This Row],[company_id]],Tabelle18[[#This Row],[company_id]], Tabelle5[[#This Row],[value_id]], Tabelle18[[#This Row],[value_id]], Tabelle5[[#This Row],[value_present]],"1")</f>
        <v>0</v>
      </c>
    </row>
    <row r="571" spans="1:5" x14ac:dyDescent="0.25">
      <c r="A571">
        <v>32</v>
      </c>
      <c r="B571" t="s">
        <v>132</v>
      </c>
      <c r="C571" s="4">
        <f>IF(Tabelle18[[#This Row],[binding_level_company]]&gt;=1,1,0)</f>
        <v>0</v>
      </c>
      <c r="D571" s="4">
        <f>_xlfn.MAXIFS(Tabelle5[[#This Row],[binding_level]], Tabelle5[[#This Row],[company_id]],Tabelle18[[#This Row],[company_id]], Tabelle5[[#This Row],[value_id]], Tabelle18[[#This Row],[value_id]], Tabelle5[[#This Row],[value_present]],"1")</f>
        <v>0</v>
      </c>
      <c r="E571" s="4">
        <f>_xlfn.MAXIFS(Tabelle5[[#This Row],[value_points]], Tabelle5[[#This Row],[company_id]],Tabelle18[[#This Row],[company_id]], Tabelle5[[#This Row],[value_id]], Tabelle18[[#This Row],[value_id]], Tabelle5[[#This Row],[value_present]],"1")</f>
        <v>0</v>
      </c>
    </row>
    <row r="572" spans="1:5" x14ac:dyDescent="0.25">
      <c r="A572">
        <v>32</v>
      </c>
      <c r="B572" t="s">
        <v>140</v>
      </c>
      <c r="C572" s="4">
        <f>IF(Tabelle18[[#This Row],[binding_level_company]]&gt;=1,1,0)</f>
        <v>0</v>
      </c>
      <c r="D572" s="4">
        <f>_xlfn.MAXIFS(Tabelle5[[#This Row],[binding_level]], Tabelle5[[#This Row],[company_id]],Tabelle18[[#This Row],[company_id]], Tabelle5[[#This Row],[value_id]], Tabelle18[[#This Row],[value_id]], Tabelle5[[#This Row],[value_present]],"1")</f>
        <v>0</v>
      </c>
      <c r="E572" s="4">
        <f>_xlfn.MAXIFS(Tabelle5[[#This Row],[value_points]], Tabelle5[[#This Row],[company_id]],Tabelle18[[#This Row],[company_id]], Tabelle5[[#This Row],[value_id]], Tabelle18[[#This Row],[value_id]], Tabelle5[[#This Row],[value_present]],"1")</f>
        <v>0</v>
      </c>
    </row>
    <row r="573" spans="1:5" x14ac:dyDescent="0.25">
      <c r="A573">
        <v>32</v>
      </c>
      <c r="B573" t="s">
        <v>147</v>
      </c>
      <c r="C573" s="4">
        <f>IF(Tabelle18[[#This Row],[binding_level_company]]&gt;=1,1,0)</f>
        <v>0</v>
      </c>
      <c r="D573" s="4">
        <f>_xlfn.MAXIFS(Tabelle5[[#This Row],[binding_level]], Tabelle5[[#This Row],[company_id]],Tabelle18[[#This Row],[company_id]], Tabelle5[[#This Row],[value_id]], Tabelle18[[#This Row],[value_id]], Tabelle5[[#This Row],[value_present]],"1")</f>
        <v>0</v>
      </c>
      <c r="E573" s="4">
        <f>_xlfn.MAXIFS(Tabelle5[[#This Row],[value_points]], Tabelle5[[#This Row],[company_id]],Tabelle18[[#This Row],[company_id]], Tabelle5[[#This Row],[value_id]], Tabelle18[[#This Row],[value_id]], Tabelle5[[#This Row],[value_present]],"1")</f>
        <v>0</v>
      </c>
    </row>
    <row r="574" spans="1:5" x14ac:dyDescent="0.25">
      <c r="A574">
        <v>32</v>
      </c>
      <c r="B574" t="s">
        <v>154</v>
      </c>
      <c r="C574" s="4">
        <f>IF(Tabelle18[[#This Row],[binding_level_company]]&gt;=1,1,0)</f>
        <v>0</v>
      </c>
      <c r="D574" s="4">
        <f>_xlfn.MAXIFS(Tabelle5[[#This Row],[binding_level]], Tabelle5[[#This Row],[company_id]],Tabelle18[[#This Row],[company_id]], Tabelle5[[#This Row],[value_id]], Tabelle18[[#This Row],[value_id]], Tabelle5[[#This Row],[value_present]],"1")</f>
        <v>0</v>
      </c>
      <c r="E574" s="4">
        <f>_xlfn.MAXIFS(Tabelle5[[#This Row],[value_points]], Tabelle5[[#This Row],[company_id]],Tabelle18[[#This Row],[company_id]], Tabelle5[[#This Row],[value_id]], Tabelle18[[#This Row],[value_id]], Tabelle5[[#This Row],[value_present]],"1")</f>
        <v>0</v>
      </c>
    </row>
    <row r="575" spans="1:5" x14ac:dyDescent="0.25">
      <c r="A575">
        <v>32</v>
      </c>
      <c r="B575" t="s">
        <v>161</v>
      </c>
      <c r="C575" s="4">
        <f>IF(Tabelle18[[#This Row],[binding_level_company]]&gt;=1,1,0)</f>
        <v>0</v>
      </c>
      <c r="D575" s="4">
        <f>_xlfn.MAXIFS(Tabelle5[[#This Row],[binding_level]], Tabelle5[[#This Row],[company_id]],Tabelle18[[#This Row],[company_id]], Tabelle5[[#This Row],[value_id]], Tabelle18[[#This Row],[value_id]], Tabelle5[[#This Row],[value_present]],"1")</f>
        <v>0</v>
      </c>
      <c r="E575" s="4">
        <f>_xlfn.MAXIFS(Tabelle5[[#This Row],[value_points]], Tabelle5[[#This Row],[company_id]],Tabelle18[[#This Row],[company_id]], Tabelle5[[#This Row],[value_id]], Tabelle18[[#This Row],[value_id]], Tabelle5[[#This Row],[value_present]],"1")</f>
        <v>0</v>
      </c>
    </row>
    <row r="576" spans="1:5" x14ac:dyDescent="0.25">
      <c r="A576">
        <v>32</v>
      </c>
      <c r="B576" t="s">
        <v>166</v>
      </c>
      <c r="C576" s="4">
        <f>IF(Tabelle18[[#This Row],[binding_level_company]]&gt;=1,1,0)</f>
        <v>0</v>
      </c>
      <c r="D576" s="4">
        <f>_xlfn.MAXIFS(Tabelle5[[#This Row],[binding_level]], Tabelle5[[#This Row],[company_id]],Tabelle18[[#This Row],[company_id]], Tabelle5[[#This Row],[value_id]], Tabelle18[[#This Row],[value_id]], Tabelle5[[#This Row],[value_present]],"1")</f>
        <v>0</v>
      </c>
      <c r="E576" s="4">
        <f>_xlfn.MAXIFS(Tabelle5[[#This Row],[value_points]], Tabelle5[[#This Row],[company_id]],Tabelle18[[#This Row],[company_id]], Tabelle5[[#This Row],[value_id]], Tabelle18[[#This Row],[value_id]], Tabelle5[[#This Row],[value_present]],"1")</f>
        <v>0</v>
      </c>
    </row>
    <row r="577" spans="1:5" ht="15.75" thickBot="1" x14ac:dyDescent="0.3">
      <c r="A577">
        <v>32</v>
      </c>
      <c r="B577" s="30" t="s">
        <v>174</v>
      </c>
      <c r="C577" s="4">
        <f>IF(Tabelle18[[#This Row],[binding_level_company]]&gt;=1,1,0)</f>
        <v>0</v>
      </c>
      <c r="D577" s="4">
        <f>_xlfn.MAXIFS(Tabelle5[[#This Row],[binding_level]], Tabelle5[[#This Row],[company_id]],Tabelle18[[#This Row],[company_id]], Tabelle5[[#This Row],[value_id]], Tabelle18[[#This Row],[value_id]], Tabelle5[[#This Row],[value_present]],"1")</f>
        <v>0</v>
      </c>
      <c r="E577" s="4">
        <f>_xlfn.MAXIFS(Tabelle5[[#This Row],[value_points]], Tabelle5[[#This Row],[company_id]],Tabelle18[[#This Row],[company_id]], Tabelle5[[#This Row],[value_id]], Tabelle18[[#This Row],[value_id]], Tabelle5[[#This Row],[value_present]],"1")</f>
        <v>0</v>
      </c>
    </row>
    <row r="578" spans="1:5" x14ac:dyDescent="0.25">
      <c r="A578">
        <v>33</v>
      </c>
      <c r="B578" s="22" t="s">
        <v>53</v>
      </c>
      <c r="C578" s="4">
        <f>IF(Tabelle18[[#This Row],[binding_level_company]]&gt;=1,1,0)</f>
        <v>0</v>
      </c>
      <c r="D578" s="4">
        <f>_xlfn.MAXIFS(Tabelle5[[#This Row],[binding_level]], Tabelle5[[#This Row],[company_id]],Tabelle18[[#This Row],[company_id]], Tabelle5[[#This Row],[value_id]], Tabelle18[[#This Row],[value_id]], Tabelle5[[#This Row],[value_present]],"1")</f>
        <v>0</v>
      </c>
      <c r="E578" s="4">
        <f>_xlfn.MAXIFS(Tabelle5[[#This Row],[value_points]], Tabelle5[[#This Row],[company_id]],Tabelle18[[#This Row],[company_id]], Tabelle5[[#This Row],[value_id]], Tabelle18[[#This Row],[value_id]], Tabelle5[[#This Row],[value_present]],"1")</f>
        <v>0</v>
      </c>
    </row>
    <row r="579" spans="1:5" x14ac:dyDescent="0.25">
      <c r="A579">
        <v>33</v>
      </c>
      <c r="B579" t="s">
        <v>61</v>
      </c>
      <c r="C579" s="4">
        <f>IF(Tabelle18[[#This Row],[binding_level_company]]&gt;=1,1,0)</f>
        <v>0</v>
      </c>
      <c r="D579" s="4">
        <f>_xlfn.MAXIFS(Tabelle5[[#This Row],[binding_level]], Tabelle5[[#This Row],[company_id]],Tabelle18[[#This Row],[company_id]], Tabelle5[[#This Row],[value_id]], Tabelle18[[#This Row],[value_id]], Tabelle5[[#This Row],[value_present]],"1")</f>
        <v>0</v>
      </c>
      <c r="E579" s="4">
        <f>_xlfn.MAXIFS(Tabelle5[[#This Row],[value_points]], Tabelle5[[#This Row],[company_id]],Tabelle18[[#This Row],[company_id]], Tabelle5[[#This Row],[value_id]], Tabelle18[[#This Row],[value_id]], Tabelle5[[#This Row],[value_present]],"1")</f>
        <v>0</v>
      </c>
    </row>
    <row r="580" spans="1:5" x14ac:dyDescent="0.25">
      <c r="A580">
        <v>33</v>
      </c>
      <c r="B580" t="s">
        <v>69</v>
      </c>
      <c r="C580" s="4">
        <f>IF(Tabelle18[[#This Row],[binding_level_company]]&gt;=1,1,0)</f>
        <v>0</v>
      </c>
      <c r="D580" s="4">
        <f>_xlfn.MAXIFS(Tabelle5[[#This Row],[binding_level]], Tabelle5[[#This Row],[company_id]],Tabelle18[[#This Row],[company_id]], Tabelle5[[#This Row],[value_id]], Tabelle18[[#This Row],[value_id]], Tabelle5[[#This Row],[value_present]],"1")</f>
        <v>0</v>
      </c>
      <c r="E580" s="4">
        <f>_xlfn.MAXIFS(Tabelle5[[#This Row],[value_points]], Tabelle5[[#This Row],[company_id]],Tabelle18[[#This Row],[company_id]], Tabelle5[[#This Row],[value_id]], Tabelle18[[#This Row],[value_id]], Tabelle5[[#This Row],[value_present]],"1")</f>
        <v>0</v>
      </c>
    </row>
    <row r="581" spans="1:5" x14ac:dyDescent="0.25">
      <c r="A581">
        <v>33</v>
      </c>
      <c r="B581" t="s">
        <v>76</v>
      </c>
      <c r="C581" s="4">
        <f>IF(Tabelle18[[#This Row],[binding_level_company]]&gt;=1,1,0)</f>
        <v>0</v>
      </c>
      <c r="D581" s="4">
        <f>_xlfn.MAXIFS(Tabelle5[[#This Row],[binding_level]], Tabelle5[[#This Row],[company_id]],Tabelle18[[#This Row],[company_id]], Tabelle5[[#This Row],[value_id]], Tabelle18[[#This Row],[value_id]], Tabelle5[[#This Row],[value_present]],"1")</f>
        <v>0</v>
      </c>
      <c r="E581" s="4">
        <f>_xlfn.MAXIFS(Tabelle5[[#This Row],[value_points]], Tabelle5[[#This Row],[company_id]],Tabelle18[[#This Row],[company_id]], Tabelle5[[#This Row],[value_id]], Tabelle18[[#This Row],[value_id]], Tabelle5[[#This Row],[value_present]],"1")</f>
        <v>0</v>
      </c>
    </row>
    <row r="582" spans="1:5" x14ac:dyDescent="0.25">
      <c r="A582">
        <v>33</v>
      </c>
      <c r="B582" t="s">
        <v>83</v>
      </c>
      <c r="C582" s="4">
        <f>IF(Tabelle18[[#This Row],[binding_level_company]]&gt;=1,1,0)</f>
        <v>0</v>
      </c>
      <c r="D582" s="4">
        <f>_xlfn.MAXIFS(Tabelle5[[#This Row],[binding_level]], Tabelle5[[#This Row],[company_id]],Tabelle18[[#This Row],[company_id]], Tabelle5[[#This Row],[value_id]], Tabelle18[[#This Row],[value_id]], Tabelle5[[#This Row],[value_present]],"1")</f>
        <v>0</v>
      </c>
      <c r="E582" s="4">
        <f>_xlfn.MAXIFS(Tabelle5[[#This Row],[value_points]], Tabelle5[[#This Row],[company_id]],Tabelle18[[#This Row],[company_id]], Tabelle5[[#This Row],[value_id]], Tabelle18[[#This Row],[value_id]], Tabelle5[[#This Row],[value_present]],"1")</f>
        <v>0</v>
      </c>
    </row>
    <row r="583" spans="1:5" x14ac:dyDescent="0.25">
      <c r="A583">
        <v>33</v>
      </c>
      <c r="B583" t="s">
        <v>90</v>
      </c>
      <c r="C583" s="4">
        <f>IF(Tabelle18[[#This Row],[binding_level_company]]&gt;=1,1,0)</f>
        <v>0</v>
      </c>
      <c r="D583" s="4">
        <f>_xlfn.MAXIFS(Tabelle5[[#This Row],[binding_level]], Tabelle5[[#This Row],[company_id]],Tabelle18[[#This Row],[company_id]], Tabelle5[[#This Row],[value_id]], Tabelle18[[#This Row],[value_id]], Tabelle5[[#This Row],[value_present]],"1")</f>
        <v>0</v>
      </c>
      <c r="E583" s="4">
        <f>_xlfn.MAXIFS(Tabelle5[[#This Row],[value_points]], Tabelle5[[#This Row],[company_id]],Tabelle18[[#This Row],[company_id]], Tabelle5[[#This Row],[value_id]], Tabelle18[[#This Row],[value_id]], Tabelle5[[#This Row],[value_present]],"1")</f>
        <v>0</v>
      </c>
    </row>
    <row r="584" spans="1:5" x14ac:dyDescent="0.25">
      <c r="A584">
        <v>33</v>
      </c>
      <c r="B584" t="s">
        <v>98</v>
      </c>
      <c r="C584" s="4">
        <f>IF(Tabelle18[[#This Row],[binding_level_company]]&gt;=1,1,0)</f>
        <v>0</v>
      </c>
      <c r="D584" s="4">
        <f>_xlfn.MAXIFS(Tabelle5[[#This Row],[binding_level]], Tabelle5[[#This Row],[company_id]],Tabelle18[[#This Row],[company_id]], Tabelle5[[#This Row],[value_id]], Tabelle18[[#This Row],[value_id]], Tabelle5[[#This Row],[value_present]],"1")</f>
        <v>0</v>
      </c>
      <c r="E584" s="4">
        <f>_xlfn.MAXIFS(Tabelle5[[#This Row],[value_points]], Tabelle5[[#This Row],[company_id]],Tabelle18[[#This Row],[company_id]], Tabelle5[[#This Row],[value_id]], Tabelle18[[#This Row],[value_id]], Tabelle5[[#This Row],[value_present]],"1")</f>
        <v>0</v>
      </c>
    </row>
    <row r="585" spans="1:5" x14ac:dyDescent="0.25">
      <c r="A585">
        <v>33</v>
      </c>
      <c r="B585" t="s">
        <v>106</v>
      </c>
      <c r="C585" s="4">
        <f>IF(Tabelle18[[#This Row],[binding_level_company]]&gt;=1,1,0)</f>
        <v>0</v>
      </c>
      <c r="D585" s="4">
        <f>_xlfn.MAXIFS(Tabelle5[[#This Row],[binding_level]], Tabelle5[[#This Row],[company_id]],Tabelle18[[#This Row],[company_id]], Tabelle5[[#This Row],[value_id]], Tabelle18[[#This Row],[value_id]], Tabelle5[[#This Row],[value_present]],"1")</f>
        <v>0</v>
      </c>
      <c r="E585" s="4">
        <f>_xlfn.MAXIFS(Tabelle5[[#This Row],[value_points]], Tabelle5[[#This Row],[company_id]],Tabelle18[[#This Row],[company_id]], Tabelle5[[#This Row],[value_id]], Tabelle18[[#This Row],[value_id]], Tabelle5[[#This Row],[value_present]],"1")</f>
        <v>0</v>
      </c>
    </row>
    <row r="586" spans="1:5" x14ac:dyDescent="0.25">
      <c r="A586">
        <v>33</v>
      </c>
      <c r="B586" t="s">
        <v>112</v>
      </c>
      <c r="C586" s="4">
        <f>IF(Tabelle18[[#This Row],[binding_level_company]]&gt;=1,1,0)</f>
        <v>0</v>
      </c>
      <c r="D586" s="4">
        <f>_xlfn.MAXIFS(Tabelle5[[#This Row],[binding_level]], Tabelle5[[#This Row],[company_id]],Tabelle18[[#This Row],[company_id]], Tabelle5[[#This Row],[value_id]], Tabelle18[[#This Row],[value_id]], Tabelle5[[#This Row],[value_present]],"1")</f>
        <v>0</v>
      </c>
      <c r="E586" s="4">
        <f>_xlfn.MAXIFS(Tabelle5[[#This Row],[value_points]], Tabelle5[[#This Row],[company_id]],Tabelle18[[#This Row],[company_id]], Tabelle5[[#This Row],[value_id]], Tabelle18[[#This Row],[value_id]], Tabelle5[[#This Row],[value_present]],"1")</f>
        <v>0</v>
      </c>
    </row>
    <row r="587" spans="1:5" x14ac:dyDescent="0.25">
      <c r="A587">
        <v>33</v>
      </c>
      <c r="B587" t="s">
        <v>118</v>
      </c>
      <c r="C587" s="4">
        <f>IF(Tabelle18[[#This Row],[binding_level_company]]&gt;=1,1,0)</f>
        <v>0</v>
      </c>
      <c r="D587" s="4">
        <f>_xlfn.MAXIFS(Tabelle5[[#This Row],[binding_level]], Tabelle5[[#This Row],[company_id]],Tabelle18[[#This Row],[company_id]], Tabelle5[[#This Row],[value_id]], Tabelle18[[#This Row],[value_id]], Tabelle5[[#This Row],[value_present]],"1")</f>
        <v>0</v>
      </c>
      <c r="E587" s="4">
        <f>_xlfn.MAXIFS(Tabelle5[[#This Row],[value_points]], Tabelle5[[#This Row],[company_id]],Tabelle18[[#This Row],[company_id]], Tabelle5[[#This Row],[value_id]], Tabelle18[[#This Row],[value_id]], Tabelle5[[#This Row],[value_present]],"1")</f>
        <v>0</v>
      </c>
    </row>
    <row r="588" spans="1:5" x14ac:dyDescent="0.25">
      <c r="A588">
        <v>33</v>
      </c>
      <c r="B588" t="s">
        <v>125</v>
      </c>
      <c r="C588" s="4">
        <f>IF(Tabelle18[[#This Row],[binding_level_company]]&gt;=1,1,0)</f>
        <v>0</v>
      </c>
      <c r="D588" s="4">
        <f>_xlfn.MAXIFS(Tabelle5[[#This Row],[binding_level]], Tabelle5[[#This Row],[company_id]],Tabelle18[[#This Row],[company_id]], Tabelle5[[#This Row],[value_id]], Tabelle18[[#This Row],[value_id]], Tabelle5[[#This Row],[value_present]],"1")</f>
        <v>0</v>
      </c>
      <c r="E588" s="4">
        <f>_xlfn.MAXIFS(Tabelle5[[#This Row],[value_points]], Tabelle5[[#This Row],[company_id]],Tabelle18[[#This Row],[company_id]], Tabelle5[[#This Row],[value_id]], Tabelle18[[#This Row],[value_id]], Tabelle5[[#This Row],[value_present]],"1")</f>
        <v>0</v>
      </c>
    </row>
    <row r="589" spans="1:5" x14ac:dyDescent="0.25">
      <c r="A589">
        <v>33</v>
      </c>
      <c r="B589" t="s">
        <v>132</v>
      </c>
      <c r="C589" s="4">
        <f>IF(Tabelle18[[#This Row],[binding_level_company]]&gt;=1,1,0)</f>
        <v>0</v>
      </c>
      <c r="D589" s="4">
        <f>_xlfn.MAXIFS(Tabelle5[[#This Row],[binding_level]], Tabelle5[[#This Row],[company_id]],Tabelle18[[#This Row],[company_id]], Tabelle5[[#This Row],[value_id]], Tabelle18[[#This Row],[value_id]], Tabelle5[[#This Row],[value_present]],"1")</f>
        <v>0</v>
      </c>
      <c r="E589" s="4">
        <f>_xlfn.MAXIFS(Tabelle5[[#This Row],[value_points]], Tabelle5[[#This Row],[company_id]],Tabelle18[[#This Row],[company_id]], Tabelle5[[#This Row],[value_id]], Tabelle18[[#This Row],[value_id]], Tabelle5[[#This Row],[value_present]],"1")</f>
        <v>0</v>
      </c>
    </row>
    <row r="590" spans="1:5" x14ac:dyDescent="0.25">
      <c r="A590">
        <v>33</v>
      </c>
      <c r="B590" t="s">
        <v>140</v>
      </c>
      <c r="C590" s="4">
        <f>IF(Tabelle18[[#This Row],[binding_level_company]]&gt;=1,1,0)</f>
        <v>0</v>
      </c>
      <c r="D590" s="4">
        <f>_xlfn.MAXIFS(Tabelle5[[#This Row],[binding_level]], Tabelle5[[#This Row],[company_id]],Tabelle18[[#This Row],[company_id]], Tabelle5[[#This Row],[value_id]], Tabelle18[[#This Row],[value_id]], Tabelle5[[#This Row],[value_present]],"1")</f>
        <v>0</v>
      </c>
      <c r="E590" s="4">
        <f>_xlfn.MAXIFS(Tabelle5[[#This Row],[value_points]], Tabelle5[[#This Row],[company_id]],Tabelle18[[#This Row],[company_id]], Tabelle5[[#This Row],[value_id]], Tabelle18[[#This Row],[value_id]], Tabelle5[[#This Row],[value_present]],"1")</f>
        <v>0</v>
      </c>
    </row>
    <row r="591" spans="1:5" x14ac:dyDescent="0.25">
      <c r="A591">
        <v>33</v>
      </c>
      <c r="B591" t="s">
        <v>147</v>
      </c>
      <c r="C591" s="4">
        <f>IF(Tabelle18[[#This Row],[binding_level_company]]&gt;=1,1,0)</f>
        <v>0</v>
      </c>
      <c r="D591" s="4">
        <f>_xlfn.MAXIFS(Tabelle5[[#This Row],[binding_level]], Tabelle5[[#This Row],[company_id]],Tabelle18[[#This Row],[company_id]], Tabelle5[[#This Row],[value_id]], Tabelle18[[#This Row],[value_id]], Tabelle5[[#This Row],[value_present]],"1")</f>
        <v>0</v>
      </c>
      <c r="E591" s="4">
        <f>_xlfn.MAXIFS(Tabelle5[[#This Row],[value_points]], Tabelle5[[#This Row],[company_id]],Tabelle18[[#This Row],[company_id]], Tabelle5[[#This Row],[value_id]], Tabelle18[[#This Row],[value_id]], Tabelle5[[#This Row],[value_present]],"1")</f>
        <v>0</v>
      </c>
    </row>
    <row r="592" spans="1:5" x14ac:dyDescent="0.25">
      <c r="A592">
        <v>33</v>
      </c>
      <c r="B592" t="s">
        <v>154</v>
      </c>
      <c r="C592" s="4">
        <f>IF(Tabelle18[[#This Row],[binding_level_company]]&gt;=1,1,0)</f>
        <v>0</v>
      </c>
      <c r="D592" s="4">
        <f>_xlfn.MAXIFS(Tabelle5[[#This Row],[binding_level]], Tabelle5[[#This Row],[company_id]],Tabelle18[[#This Row],[company_id]], Tabelle5[[#This Row],[value_id]], Tabelle18[[#This Row],[value_id]], Tabelle5[[#This Row],[value_present]],"1")</f>
        <v>0</v>
      </c>
      <c r="E592" s="4">
        <f>_xlfn.MAXIFS(Tabelle5[[#This Row],[value_points]], Tabelle5[[#This Row],[company_id]],Tabelle18[[#This Row],[company_id]], Tabelle5[[#This Row],[value_id]], Tabelle18[[#This Row],[value_id]], Tabelle5[[#This Row],[value_present]],"1")</f>
        <v>0</v>
      </c>
    </row>
    <row r="593" spans="1:5" x14ac:dyDescent="0.25">
      <c r="A593">
        <v>33</v>
      </c>
      <c r="B593" t="s">
        <v>161</v>
      </c>
      <c r="C593" s="4">
        <f>IF(Tabelle18[[#This Row],[binding_level_company]]&gt;=1,1,0)</f>
        <v>0</v>
      </c>
      <c r="D593" s="4">
        <f>_xlfn.MAXIFS(Tabelle5[[#This Row],[binding_level]], Tabelle5[[#This Row],[company_id]],Tabelle18[[#This Row],[company_id]], Tabelle5[[#This Row],[value_id]], Tabelle18[[#This Row],[value_id]], Tabelle5[[#This Row],[value_present]],"1")</f>
        <v>0</v>
      </c>
      <c r="E593" s="4">
        <f>_xlfn.MAXIFS(Tabelle5[[#This Row],[value_points]], Tabelle5[[#This Row],[company_id]],Tabelle18[[#This Row],[company_id]], Tabelle5[[#This Row],[value_id]], Tabelle18[[#This Row],[value_id]], Tabelle5[[#This Row],[value_present]],"1")</f>
        <v>0</v>
      </c>
    </row>
    <row r="594" spans="1:5" x14ac:dyDescent="0.25">
      <c r="A594">
        <v>33</v>
      </c>
      <c r="B594" t="s">
        <v>166</v>
      </c>
      <c r="C594" s="4">
        <f>IF(Tabelle18[[#This Row],[binding_level_company]]&gt;=1,1,0)</f>
        <v>0</v>
      </c>
      <c r="D594" s="4">
        <f>_xlfn.MAXIFS(Tabelle5[[#This Row],[binding_level]], Tabelle5[[#This Row],[company_id]],Tabelle18[[#This Row],[company_id]], Tabelle5[[#This Row],[value_id]], Tabelle18[[#This Row],[value_id]], Tabelle5[[#This Row],[value_present]],"1")</f>
        <v>0</v>
      </c>
      <c r="E594" s="4">
        <f>_xlfn.MAXIFS(Tabelle5[[#This Row],[value_points]], Tabelle5[[#This Row],[company_id]],Tabelle18[[#This Row],[company_id]], Tabelle5[[#This Row],[value_id]], Tabelle18[[#This Row],[value_id]], Tabelle5[[#This Row],[value_present]],"1")</f>
        <v>0</v>
      </c>
    </row>
    <row r="595" spans="1:5" ht="15.75" thickBot="1" x14ac:dyDescent="0.3">
      <c r="A595">
        <v>33</v>
      </c>
      <c r="B595" s="30" t="s">
        <v>174</v>
      </c>
      <c r="C595" s="4">
        <f>IF(Tabelle18[[#This Row],[binding_level_company]]&gt;=1,1,0)</f>
        <v>0</v>
      </c>
      <c r="D595" s="4">
        <f>_xlfn.MAXIFS(Tabelle5[[#This Row],[binding_level]], Tabelle5[[#This Row],[company_id]],Tabelle18[[#This Row],[company_id]], Tabelle5[[#This Row],[value_id]], Tabelle18[[#This Row],[value_id]], Tabelle5[[#This Row],[value_present]],"1")</f>
        <v>0</v>
      </c>
      <c r="E595" s="4">
        <f>_xlfn.MAXIFS(Tabelle5[[#This Row],[value_points]], Tabelle5[[#This Row],[company_id]],Tabelle18[[#This Row],[company_id]], Tabelle5[[#This Row],[value_id]], Tabelle18[[#This Row],[value_id]], Tabelle5[[#This Row],[value_present]],"1")</f>
        <v>0</v>
      </c>
    </row>
    <row r="596" spans="1:5" x14ac:dyDescent="0.25">
      <c r="A596">
        <v>34</v>
      </c>
      <c r="B596" s="22" t="s">
        <v>53</v>
      </c>
      <c r="C596" s="4">
        <f>IF(Tabelle18[[#This Row],[binding_level_company]]&gt;=1,1,0)</f>
        <v>0</v>
      </c>
      <c r="D596" s="4">
        <f>_xlfn.MAXIFS(Tabelle5[[#This Row],[binding_level]], Tabelle5[[#This Row],[company_id]],Tabelle18[[#This Row],[company_id]], Tabelle5[[#This Row],[value_id]], Tabelle18[[#This Row],[value_id]], Tabelle5[[#This Row],[value_present]],"1")</f>
        <v>0</v>
      </c>
      <c r="E596" s="4">
        <f>_xlfn.MAXIFS(Tabelle5[[#This Row],[value_points]], Tabelle5[[#This Row],[company_id]],Tabelle18[[#This Row],[company_id]], Tabelle5[[#This Row],[value_id]], Tabelle18[[#This Row],[value_id]], Tabelle5[[#This Row],[value_present]],"1")</f>
        <v>0</v>
      </c>
    </row>
    <row r="597" spans="1:5" x14ac:dyDescent="0.25">
      <c r="A597">
        <v>34</v>
      </c>
      <c r="B597" t="s">
        <v>61</v>
      </c>
      <c r="C597" s="4">
        <f>IF(Tabelle18[[#This Row],[binding_level_company]]&gt;=1,1,0)</f>
        <v>0</v>
      </c>
      <c r="D597" s="4">
        <f>_xlfn.MAXIFS(Tabelle5[[#This Row],[binding_level]], Tabelle5[[#This Row],[company_id]],Tabelle18[[#This Row],[company_id]], Tabelle5[[#This Row],[value_id]], Tabelle18[[#This Row],[value_id]], Tabelle5[[#This Row],[value_present]],"1")</f>
        <v>0</v>
      </c>
      <c r="E597" s="4">
        <f>_xlfn.MAXIFS(Tabelle5[[#This Row],[value_points]], Tabelle5[[#This Row],[company_id]],Tabelle18[[#This Row],[company_id]], Tabelle5[[#This Row],[value_id]], Tabelle18[[#This Row],[value_id]], Tabelle5[[#This Row],[value_present]],"1")</f>
        <v>0</v>
      </c>
    </row>
    <row r="598" spans="1:5" x14ac:dyDescent="0.25">
      <c r="A598">
        <v>34</v>
      </c>
      <c r="B598" t="s">
        <v>69</v>
      </c>
      <c r="C598" s="4">
        <f>IF(Tabelle18[[#This Row],[binding_level_company]]&gt;=1,1,0)</f>
        <v>0</v>
      </c>
      <c r="D598" s="4">
        <f>_xlfn.MAXIFS(Tabelle5[[#This Row],[binding_level]], Tabelle5[[#This Row],[company_id]],Tabelle18[[#This Row],[company_id]], Tabelle5[[#This Row],[value_id]], Tabelle18[[#This Row],[value_id]], Tabelle5[[#This Row],[value_present]],"1")</f>
        <v>0</v>
      </c>
      <c r="E598" s="4">
        <f>_xlfn.MAXIFS(Tabelle5[[#This Row],[value_points]], Tabelle5[[#This Row],[company_id]],Tabelle18[[#This Row],[company_id]], Tabelle5[[#This Row],[value_id]], Tabelle18[[#This Row],[value_id]], Tabelle5[[#This Row],[value_present]],"1")</f>
        <v>0</v>
      </c>
    </row>
    <row r="599" spans="1:5" x14ac:dyDescent="0.25">
      <c r="A599">
        <v>34</v>
      </c>
      <c r="B599" t="s">
        <v>76</v>
      </c>
      <c r="C599" s="4">
        <f>IF(Tabelle18[[#This Row],[binding_level_company]]&gt;=1,1,0)</f>
        <v>0</v>
      </c>
      <c r="D599" s="4">
        <f>_xlfn.MAXIFS(Tabelle5[[#This Row],[binding_level]], Tabelle5[[#This Row],[company_id]],Tabelle18[[#This Row],[company_id]], Tabelle5[[#This Row],[value_id]], Tabelle18[[#This Row],[value_id]], Tabelle5[[#This Row],[value_present]],"1")</f>
        <v>0</v>
      </c>
      <c r="E599" s="4">
        <f>_xlfn.MAXIFS(Tabelle5[[#This Row],[value_points]], Tabelle5[[#This Row],[company_id]],Tabelle18[[#This Row],[company_id]], Tabelle5[[#This Row],[value_id]], Tabelle18[[#This Row],[value_id]], Tabelle5[[#This Row],[value_present]],"1")</f>
        <v>0</v>
      </c>
    </row>
    <row r="600" spans="1:5" x14ac:dyDescent="0.25">
      <c r="A600">
        <v>34</v>
      </c>
      <c r="B600" t="s">
        <v>83</v>
      </c>
      <c r="C600" s="4">
        <f>IF(Tabelle18[[#This Row],[binding_level_company]]&gt;=1,1,0)</f>
        <v>0</v>
      </c>
      <c r="D600" s="4">
        <f>_xlfn.MAXIFS(Tabelle5[[#This Row],[binding_level]], Tabelle5[[#This Row],[company_id]],Tabelle18[[#This Row],[company_id]], Tabelle5[[#This Row],[value_id]], Tabelle18[[#This Row],[value_id]], Tabelle5[[#This Row],[value_present]],"1")</f>
        <v>0</v>
      </c>
      <c r="E600" s="4">
        <f>_xlfn.MAXIFS(Tabelle5[[#This Row],[value_points]], Tabelle5[[#This Row],[company_id]],Tabelle18[[#This Row],[company_id]], Tabelle5[[#This Row],[value_id]], Tabelle18[[#This Row],[value_id]], Tabelle5[[#This Row],[value_present]],"1")</f>
        <v>0</v>
      </c>
    </row>
    <row r="601" spans="1:5" x14ac:dyDescent="0.25">
      <c r="A601">
        <v>34</v>
      </c>
      <c r="B601" t="s">
        <v>90</v>
      </c>
      <c r="C601" s="4">
        <f>IF(Tabelle18[[#This Row],[binding_level_company]]&gt;=1,1,0)</f>
        <v>0</v>
      </c>
      <c r="D601" s="4">
        <f>_xlfn.MAXIFS(Tabelle5[[#This Row],[binding_level]], Tabelle5[[#This Row],[company_id]],Tabelle18[[#This Row],[company_id]], Tabelle5[[#This Row],[value_id]], Tabelle18[[#This Row],[value_id]], Tabelle5[[#This Row],[value_present]],"1")</f>
        <v>0</v>
      </c>
      <c r="E601" s="4">
        <f>_xlfn.MAXIFS(Tabelle5[[#This Row],[value_points]], Tabelle5[[#This Row],[company_id]],Tabelle18[[#This Row],[company_id]], Tabelle5[[#This Row],[value_id]], Tabelle18[[#This Row],[value_id]], Tabelle5[[#This Row],[value_present]],"1")</f>
        <v>0</v>
      </c>
    </row>
    <row r="602" spans="1:5" x14ac:dyDescent="0.25">
      <c r="A602">
        <v>34</v>
      </c>
      <c r="B602" t="s">
        <v>98</v>
      </c>
      <c r="C602" s="4">
        <f>IF(Tabelle18[[#This Row],[binding_level_company]]&gt;=1,1,0)</f>
        <v>0</v>
      </c>
      <c r="D602" s="4">
        <f>_xlfn.MAXIFS(Tabelle5[[#This Row],[binding_level]], Tabelle5[[#This Row],[company_id]],Tabelle18[[#This Row],[company_id]], Tabelle5[[#This Row],[value_id]], Tabelle18[[#This Row],[value_id]], Tabelle5[[#This Row],[value_present]],"1")</f>
        <v>0</v>
      </c>
      <c r="E602" s="4">
        <f>_xlfn.MAXIFS(Tabelle5[[#This Row],[value_points]], Tabelle5[[#This Row],[company_id]],Tabelle18[[#This Row],[company_id]], Tabelle5[[#This Row],[value_id]], Tabelle18[[#This Row],[value_id]], Tabelle5[[#This Row],[value_present]],"1")</f>
        <v>0</v>
      </c>
    </row>
    <row r="603" spans="1:5" x14ac:dyDescent="0.25">
      <c r="A603">
        <v>34</v>
      </c>
      <c r="B603" t="s">
        <v>106</v>
      </c>
      <c r="C603" s="4">
        <f>IF(Tabelle18[[#This Row],[binding_level_company]]&gt;=1,1,0)</f>
        <v>0</v>
      </c>
      <c r="D603" s="4">
        <f>_xlfn.MAXIFS(Tabelle5[[#This Row],[binding_level]], Tabelle5[[#This Row],[company_id]],Tabelle18[[#This Row],[company_id]], Tabelle5[[#This Row],[value_id]], Tabelle18[[#This Row],[value_id]], Tabelle5[[#This Row],[value_present]],"1")</f>
        <v>0</v>
      </c>
      <c r="E603" s="4">
        <f>_xlfn.MAXIFS(Tabelle5[[#This Row],[value_points]], Tabelle5[[#This Row],[company_id]],Tabelle18[[#This Row],[company_id]], Tabelle5[[#This Row],[value_id]], Tabelle18[[#This Row],[value_id]], Tabelle5[[#This Row],[value_present]],"1")</f>
        <v>0</v>
      </c>
    </row>
    <row r="604" spans="1:5" x14ac:dyDescent="0.25">
      <c r="A604">
        <v>34</v>
      </c>
      <c r="B604" t="s">
        <v>112</v>
      </c>
      <c r="C604" s="4">
        <f>IF(Tabelle18[[#This Row],[binding_level_company]]&gt;=1,1,0)</f>
        <v>0</v>
      </c>
      <c r="D604" s="4">
        <f>_xlfn.MAXIFS(Tabelle5[[#This Row],[binding_level]], Tabelle5[[#This Row],[company_id]],Tabelle18[[#This Row],[company_id]], Tabelle5[[#This Row],[value_id]], Tabelle18[[#This Row],[value_id]], Tabelle5[[#This Row],[value_present]],"1")</f>
        <v>0</v>
      </c>
      <c r="E604" s="4">
        <f>_xlfn.MAXIFS(Tabelle5[[#This Row],[value_points]], Tabelle5[[#This Row],[company_id]],Tabelle18[[#This Row],[company_id]], Tabelle5[[#This Row],[value_id]], Tabelle18[[#This Row],[value_id]], Tabelle5[[#This Row],[value_present]],"1")</f>
        <v>0</v>
      </c>
    </row>
    <row r="605" spans="1:5" x14ac:dyDescent="0.25">
      <c r="A605">
        <v>34</v>
      </c>
      <c r="B605" t="s">
        <v>118</v>
      </c>
      <c r="C605" s="4">
        <f>IF(Tabelle18[[#This Row],[binding_level_company]]&gt;=1,1,0)</f>
        <v>0</v>
      </c>
      <c r="D605" s="4">
        <f>_xlfn.MAXIFS(Tabelle5[[#This Row],[binding_level]], Tabelle5[[#This Row],[company_id]],Tabelle18[[#This Row],[company_id]], Tabelle5[[#This Row],[value_id]], Tabelle18[[#This Row],[value_id]], Tabelle5[[#This Row],[value_present]],"1")</f>
        <v>0</v>
      </c>
      <c r="E605" s="4">
        <f>_xlfn.MAXIFS(Tabelle5[[#This Row],[value_points]], Tabelle5[[#This Row],[company_id]],Tabelle18[[#This Row],[company_id]], Tabelle5[[#This Row],[value_id]], Tabelle18[[#This Row],[value_id]], Tabelle5[[#This Row],[value_present]],"1")</f>
        <v>0</v>
      </c>
    </row>
    <row r="606" spans="1:5" x14ac:dyDescent="0.25">
      <c r="A606">
        <v>34</v>
      </c>
      <c r="B606" t="s">
        <v>125</v>
      </c>
      <c r="C606" s="4">
        <f>IF(Tabelle18[[#This Row],[binding_level_company]]&gt;=1,1,0)</f>
        <v>0</v>
      </c>
      <c r="D606" s="4">
        <f>_xlfn.MAXIFS(Tabelle5[[#This Row],[binding_level]], Tabelle5[[#This Row],[company_id]],Tabelle18[[#This Row],[company_id]], Tabelle5[[#This Row],[value_id]], Tabelle18[[#This Row],[value_id]], Tabelle5[[#This Row],[value_present]],"1")</f>
        <v>0</v>
      </c>
      <c r="E606" s="4">
        <f>_xlfn.MAXIFS(Tabelle5[[#This Row],[value_points]], Tabelle5[[#This Row],[company_id]],Tabelle18[[#This Row],[company_id]], Tabelle5[[#This Row],[value_id]], Tabelle18[[#This Row],[value_id]], Tabelle5[[#This Row],[value_present]],"1")</f>
        <v>0</v>
      </c>
    </row>
    <row r="607" spans="1:5" x14ac:dyDescent="0.25">
      <c r="A607">
        <v>34</v>
      </c>
      <c r="B607" t="s">
        <v>132</v>
      </c>
      <c r="C607" s="4">
        <f>IF(Tabelle18[[#This Row],[binding_level_company]]&gt;=1,1,0)</f>
        <v>0</v>
      </c>
      <c r="D607" s="4">
        <f>_xlfn.MAXIFS(Tabelle5[[#This Row],[binding_level]], Tabelle5[[#This Row],[company_id]],Tabelle18[[#This Row],[company_id]], Tabelle5[[#This Row],[value_id]], Tabelle18[[#This Row],[value_id]], Tabelle5[[#This Row],[value_present]],"1")</f>
        <v>0</v>
      </c>
      <c r="E607" s="4">
        <f>_xlfn.MAXIFS(Tabelle5[[#This Row],[value_points]], Tabelle5[[#This Row],[company_id]],Tabelle18[[#This Row],[company_id]], Tabelle5[[#This Row],[value_id]], Tabelle18[[#This Row],[value_id]], Tabelle5[[#This Row],[value_present]],"1")</f>
        <v>0</v>
      </c>
    </row>
    <row r="608" spans="1:5" x14ac:dyDescent="0.25">
      <c r="A608">
        <v>34</v>
      </c>
      <c r="B608" t="s">
        <v>140</v>
      </c>
      <c r="C608" s="4">
        <f>IF(Tabelle18[[#This Row],[binding_level_company]]&gt;=1,1,0)</f>
        <v>0</v>
      </c>
      <c r="D608" s="4">
        <f>_xlfn.MAXIFS(Tabelle5[[#This Row],[binding_level]], Tabelle5[[#This Row],[company_id]],Tabelle18[[#This Row],[company_id]], Tabelle5[[#This Row],[value_id]], Tabelle18[[#This Row],[value_id]], Tabelle5[[#This Row],[value_present]],"1")</f>
        <v>0</v>
      </c>
      <c r="E608" s="4">
        <f>_xlfn.MAXIFS(Tabelle5[[#This Row],[value_points]], Tabelle5[[#This Row],[company_id]],Tabelle18[[#This Row],[company_id]], Tabelle5[[#This Row],[value_id]], Tabelle18[[#This Row],[value_id]], Tabelle5[[#This Row],[value_present]],"1")</f>
        <v>0</v>
      </c>
    </row>
    <row r="609" spans="1:5" x14ac:dyDescent="0.25">
      <c r="A609">
        <v>34</v>
      </c>
      <c r="B609" t="s">
        <v>147</v>
      </c>
      <c r="C609" s="4">
        <f>IF(Tabelle18[[#This Row],[binding_level_company]]&gt;=1,1,0)</f>
        <v>0</v>
      </c>
      <c r="D609" s="4">
        <f>_xlfn.MAXIFS(Tabelle5[[#This Row],[binding_level]], Tabelle5[[#This Row],[company_id]],Tabelle18[[#This Row],[company_id]], Tabelle5[[#This Row],[value_id]], Tabelle18[[#This Row],[value_id]], Tabelle5[[#This Row],[value_present]],"1")</f>
        <v>0</v>
      </c>
      <c r="E609" s="4">
        <f>_xlfn.MAXIFS(Tabelle5[[#This Row],[value_points]], Tabelle5[[#This Row],[company_id]],Tabelle18[[#This Row],[company_id]], Tabelle5[[#This Row],[value_id]], Tabelle18[[#This Row],[value_id]], Tabelle5[[#This Row],[value_present]],"1")</f>
        <v>0</v>
      </c>
    </row>
    <row r="610" spans="1:5" x14ac:dyDescent="0.25">
      <c r="A610">
        <v>34</v>
      </c>
      <c r="B610" t="s">
        <v>154</v>
      </c>
      <c r="C610" s="4">
        <f>IF(Tabelle18[[#This Row],[binding_level_company]]&gt;=1,1,0)</f>
        <v>0</v>
      </c>
      <c r="D610" s="4">
        <f>_xlfn.MAXIFS(Tabelle5[[#This Row],[binding_level]], Tabelle5[[#This Row],[company_id]],Tabelle18[[#This Row],[company_id]], Tabelle5[[#This Row],[value_id]], Tabelle18[[#This Row],[value_id]], Tabelle5[[#This Row],[value_present]],"1")</f>
        <v>0</v>
      </c>
      <c r="E610" s="4">
        <f>_xlfn.MAXIFS(Tabelle5[[#This Row],[value_points]], Tabelle5[[#This Row],[company_id]],Tabelle18[[#This Row],[company_id]], Tabelle5[[#This Row],[value_id]], Tabelle18[[#This Row],[value_id]], Tabelle5[[#This Row],[value_present]],"1")</f>
        <v>0</v>
      </c>
    </row>
    <row r="611" spans="1:5" x14ac:dyDescent="0.25">
      <c r="A611">
        <v>34</v>
      </c>
      <c r="B611" t="s">
        <v>161</v>
      </c>
      <c r="C611" s="4">
        <f>IF(Tabelle18[[#This Row],[binding_level_company]]&gt;=1,1,0)</f>
        <v>0</v>
      </c>
      <c r="D611" s="4">
        <f>_xlfn.MAXIFS(Tabelle5[[#This Row],[binding_level]], Tabelle5[[#This Row],[company_id]],Tabelle18[[#This Row],[company_id]], Tabelle5[[#This Row],[value_id]], Tabelle18[[#This Row],[value_id]], Tabelle5[[#This Row],[value_present]],"1")</f>
        <v>0</v>
      </c>
      <c r="E611" s="4">
        <f>_xlfn.MAXIFS(Tabelle5[[#This Row],[value_points]], Tabelle5[[#This Row],[company_id]],Tabelle18[[#This Row],[company_id]], Tabelle5[[#This Row],[value_id]], Tabelle18[[#This Row],[value_id]], Tabelle5[[#This Row],[value_present]],"1")</f>
        <v>0</v>
      </c>
    </row>
    <row r="612" spans="1:5" x14ac:dyDescent="0.25">
      <c r="A612">
        <v>34</v>
      </c>
      <c r="B612" t="s">
        <v>166</v>
      </c>
      <c r="C612" s="4">
        <f>IF(Tabelle18[[#This Row],[binding_level_company]]&gt;=1,1,0)</f>
        <v>0</v>
      </c>
      <c r="D612" s="4">
        <f>_xlfn.MAXIFS(Tabelle5[[#This Row],[binding_level]], Tabelle5[[#This Row],[company_id]],Tabelle18[[#This Row],[company_id]], Tabelle5[[#This Row],[value_id]], Tabelle18[[#This Row],[value_id]], Tabelle5[[#This Row],[value_present]],"1")</f>
        <v>0</v>
      </c>
      <c r="E612" s="4">
        <f>_xlfn.MAXIFS(Tabelle5[[#This Row],[value_points]], Tabelle5[[#This Row],[company_id]],Tabelle18[[#This Row],[company_id]], Tabelle5[[#This Row],[value_id]], Tabelle18[[#This Row],[value_id]], Tabelle5[[#This Row],[value_present]],"1")</f>
        <v>0</v>
      </c>
    </row>
    <row r="613" spans="1:5" ht="15.75" thickBot="1" x14ac:dyDescent="0.3">
      <c r="A613">
        <v>34</v>
      </c>
      <c r="B613" s="30" t="s">
        <v>174</v>
      </c>
      <c r="C613" s="4">
        <f>IF(Tabelle18[[#This Row],[binding_level_company]]&gt;=1,1,0)</f>
        <v>0</v>
      </c>
      <c r="D613" s="4">
        <f>_xlfn.MAXIFS(Tabelle5[[#This Row],[binding_level]], Tabelle5[[#This Row],[company_id]],Tabelle18[[#This Row],[company_id]], Tabelle5[[#This Row],[value_id]], Tabelle18[[#This Row],[value_id]], Tabelle5[[#This Row],[value_present]],"1")</f>
        <v>0</v>
      </c>
      <c r="E613" s="4">
        <f>_xlfn.MAXIFS(Tabelle5[[#This Row],[value_points]], Tabelle5[[#This Row],[company_id]],Tabelle18[[#This Row],[company_id]], Tabelle5[[#This Row],[value_id]], Tabelle18[[#This Row],[value_id]], Tabelle5[[#This Row],[value_present]],"1")</f>
        <v>0</v>
      </c>
    </row>
    <row r="614" spans="1:5" x14ac:dyDescent="0.25">
      <c r="A614">
        <v>35</v>
      </c>
      <c r="B614" s="22" t="s">
        <v>53</v>
      </c>
      <c r="C614" s="4">
        <f>IF(Tabelle18[[#This Row],[binding_level_company]]&gt;=1,1,0)</f>
        <v>0</v>
      </c>
      <c r="D614" s="4">
        <f>_xlfn.MAXIFS(Tabelle5[[#This Row],[binding_level]], Tabelle5[[#This Row],[company_id]],Tabelle18[[#This Row],[company_id]], Tabelle5[[#This Row],[value_id]], Tabelle18[[#This Row],[value_id]], Tabelle5[[#This Row],[value_present]],"1")</f>
        <v>0</v>
      </c>
      <c r="E614" s="4">
        <f>_xlfn.MAXIFS(Tabelle5[[#This Row],[value_points]], Tabelle5[[#This Row],[company_id]],Tabelle18[[#This Row],[company_id]], Tabelle5[[#This Row],[value_id]], Tabelle18[[#This Row],[value_id]], Tabelle5[[#This Row],[value_present]],"1")</f>
        <v>0</v>
      </c>
    </row>
    <row r="615" spans="1:5" x14ac:dyDescent="0.25">
      <c r="A615">
        <v>35</v>
      </c>
      <c r="B615" t="s">
        <v>61</v>
      </c>
      <c r="C615" s="4">
        <f>IF(Tabelle18[[#This Row],[binding_level_company]]&gt;=1,1,0)</f>
        <v>0</v>
      </c>
      <c r="D615" s="4">
        <f>_xlfn.MAXIFS(Tabelle5[[#This Row],[binding_level]], Tabelle5[[#This Row],[company_id]],Tabelle18[[#This Row],[company_id]], Tabelle5[[#This Row],[value_id]], Tabelle18[[#This Row],[value_id]], Tabelle5[[#This Row],[value_present]],"1")</f>
        <v>0</v>
      </c>
      <c r="E615" s="4">
        <f>_xlfn.MAXIFS(Tabelle5[[#This Row],[value_points]], Tabelle5[[#This Row],[company_id]],Tabelle18[[#This Row],[company_id]], Tabelle5[[#This Row],[value_id]], Tabelle18[[#This Row],[value_id]], Tabelle5[[#This Row],[value_present]],"1")</f>
        <v>0</v>
      </c>
    </row>
    <row r="616" spans="1:5" x14ac:dyDescent="0.25">
      <c r="A616">
        <v>35</v>
      </c>
      <c r="B616" t="s">
        <v>69</v>
      </c>
      <c r="C616" s="4">
        <f>IF(Tabelle18[[#This Row],[binding_level_company]]&gt;=1,1,0)</f>
        <v>0</v>
      </c>
      <c r="D616" s="4">
        <f>_xlfn.MAXIFS(Tabelle5[[#This Row],[binding_level]], Tabelle5[[#This Row],[company_id]],Tabelle18[[#This Row],[company_id]], Tabelle5[[#This Row],[value_id]], Tabelle18[[#This Row],[value_id]], Tabelle5[[#This Row],[value_present]],"1")</f>
        <v>0</v>
      </c>
      <c r="E616" s="4">
        <f>_xlfn.MAXIFS(Tabelle5[[#This Row],[value_points]], Tabelle5[[#This Row],[company_id]],Tabelle18[[#This Row],[company_id]], Tabelle5[[#This Row],[value_id]], Tabelle18[[#This Row],[value_id]], Tabelle5[[#This Row],[value_present]],"1")</f>
        <v>0</v>
      </c>
    </row>
    <row r="617" spans="1:5" x14ac:dyDescent="0.25">
      <c r="A617">
        <v>35</v>
      </c>
      <c r="B617" t="s">
        <v>76</v>
      </c>
      <c r="C617" s="4">
        <f>IF(Tabelle18[[#This Row],[binding_level_company]]&gt;=1,1,0)</f>
        <v>0</v>
      </c>
      <c r="D617" s="4">
        <f>_xlfn.MAXIFS(Tabelle5[[#This Row],[binding_level]], Tabelle5[[#This Row],[company_id]],Tabelle18[[#This Row],[company_id]], Tabelle5[[#This Row],[value_id]], Tabelle18[[#This Row],[value_id]], Tabelle5[[#This Row],[value_present]],"1")</f>
        <v>0</v>
      </c>
      <c r="E617" s="4">
        <f>_xlfn.MAXIFS(Tabelle5[[#This Row],[value_points]], Tabelle5[[#This Row],[company_id]],Tabelle18[[#This Row],[company_id]], Tabelle5[[#This Row],[value_id]], Tabelle18[[#This Row],[value_id]], Tabelle5[[#This Row],[value_present]],"1")</f>
        <v>0</v>
      </c>
    </row>
    <row r="618" spans="1:5" x14ac:dyDescent="0.25">
      <c r="A618">
        <v>35</v>
      </c>
      <c r="B618" t="s">
        <v>83</v>
      </c>
      <c r="C618" s="4">
        <f>IF(Tabelle18[[#This Row],[binding_level_company]]&gt;=1,1,0)</f>
        <v>0</v>
      </c>
      <c r="D618" s="4">
        <f>_xlfn.MAXIFS(Tabelle5[[#This Row],[binding_level]], Tabelle5[[#This Row],[company_id]],Tabelle18[[#This Row],[company_id]], Tabelle5[[#This Row],[value_id]], Tabelle18[[#This Row],[value_id]], Tabelle5[[#This Row],[value_present]],"1")</f>
        <v>0</v>
      </c>
      <c r="E618" s="4">
        <f>_xlfn.MAXIFS(Tabelle5[[#This Row],[value_points]], Tabelle5[[#This Row],[company_id]],Tabelle18[[#This Row],[company_id]], Tabelle5[[#This Row],[value_id]], Tabelle18[[#This Row],[value_id]], Tabelle5[[#This Row],[value_present]],"1")</f>
        <v>0</v>
      </c>
    </row>
    <row r="619" spans="1:5" x14ac:dyDescent="0.25">
      <c r="A619">
        <v>35</v>
      </c>
      <c r="B619" t="s">
        <v>90</v>
      </c>
      <c r="C619" s="4">
        <f>IF(Tabelle18[[#This Row],[binding_level_company]]&gt;=1,1,0)</f>
        <v>0</v>
      </c>
      <c r="D619" s="4">
        <f>_xlfn.MAXIFS(Tabelle5[[#This Row],[binding_level]], Tabelle5[[#This Row],[company_id]],Tabelle18[[#This Row],[company_id]], Tabelle5[[#This Row],[value_id]], Tabelle18[[#This Row],[value_id]], Tabelle5[[#This Row],[value_present]],"1")</f>
        <v>0</v>
      </c>
      <c r="E619" s="4">
        <f>_xlfn.MAXIFS(Tabelle5[[#This Row],[value_points]], Tabelle5[[#This Row],[company_id]],Tabelle18[[#This Row],[company_id]], Tabelle5[[#This Row],[value_id]], Tabelle18[[#This Row],[value_id]], Tabelle5[[#This Row],[value_present]],"1")</f>
        <v>0</v>
      </c>
    </row>
    <row r="620" spans="1:5" x14ac:dyDescent="0.25">
      <c r="A620">
        <v>35</v>
      </c>
      <c r="B620" t="s">
        <v>98</v>
      </c>
      <c r="C620" s="4">
        <f>IF(Tabelle18[[#This Row],[binding_level_company]]&gt;=1,1,0)</f>
        <v>0</v>
      </c>
      <c r="D620" s="4">
        <f>_xlfn.MAXIFS(Tabelle5[[#This Row],[binding_level]], Tabelle5[[#This Row],[company_id]],Tabelle18[[#This Row],[company_id]], Tabelle5[[#This Row],[value_id]], Tabelle18[[#This Row],[value_id]], Tabelle5[[#This Row],[value_present]],"1")</f>
        <v>0</v>
      </c>
      <c r="E620" s="4">
        <f>_xlfn.MAXIFS(Tabelle5[[#This Row],[value_points]], Tabelle5[[#This Row],[company_id]],Tabelle18[[#This Row],[company_id]], Tabelle5[[#This Row],[value_id]], Tabelle18[[#This Row],[value_id]], Tabelle5[[#This Row],[value_present]],"1")</f>
        <v>0</v>
      </c>
    </row>
    <row r="621" spans="1:5" x14ac:dyDescent="0.25">
      <c r="A621">
        <v>35</v>
      </c>
      <c r="B621" t="s">
        <v>106</v>
      </c>
      <c r="C621" s="4">
        <f>IF(Tabelle18[[#This Row],[binding_level_company]]&gt;=1,1,0)</f>
        <v>0</v>
      </c>
      <c r="D621" s="4">
        <f>_xlfn.MAXIFS(Tabelle5[[#This Row],[binding_level]], Tabelle5[[#This Row],[company_id]],Tabelle18[[#This Row],[company_id]], Tabelle5[[#This Row],[value_id]], Tabelle18[[#This Row],[value_id]], Tabelle5[[#This Row],[value_present]],"1")</f>
        <v>0</v>
      </c>
      <c r="E621" s="4">
        <f>_xlfn.MAXIFS(Tabelle5[[#This Row],[value_points]], Tabelle5[[#This Row],[company_id]],Tabelle18[[#This Row],[company_id]], Tabelle5[[#This Row],[value_id]], Tabelle18[[#This Row],[value_id]], Tabelle5[[#This Row],[value_present]],"1")</f>
        <v>0</v>
      </c>
    </row>
    <row r="622" spans="1:5" x14ac:dyDescent="0.25">
      <c r="A622">
        <v>35</v>
      </c>
      <c r="B622" t="s">
        <v>112</v>
      </c>
      <c r="C622" s="4">
        <f>IF(Tabelle18[[#This Row],[binding_level_company]]&gt;=1,1,0)</f>
        <v>0</v>
      </c>
      <c r="D622" s="4">
        <f>_xlfn.MAXIFS(Tabelle5[[#This Row],[binding_level]], Tabelle5[[#This Row],[company_id]],Tabelle18[[#This Row],[company_id]], Tabelle5[[#This Row],[value_id]], Tabelle18[[#This Row],[value_id]], Tabelle5[[#This Row],[value_present]],"1")</f>
        <v>0</v>
      </c>
      <c r="E622" s="4">
        <f>_xlfn.MAXIFS(Tabelle5[[#This Row],[value_points]], Tabelle5[[#This Row],[company_id]],Tabelle18[[#This Row],[company_id]], Tabelle5[[#This Row],[value_id]], Tabelle18[[#This Row],[value_id]], Tabelle5[[#This Row],[value_present]],"1")</f>
        <v>0</v>
      </c>
    </row>
    <row r="623" spans="1:5" x14ac:dyDescent="0.25">
      <c r="A623">
        <v>35</v>
      </c>
      <c r="B623" t="s">
        <v>118</v>
      </c>
      <c r="C623" s="4">
        <f>IF(Tabelle18[[#This Row],[binding_level_company]]&gt;=1,1,0)</f>
        <v>0</v>
      </c>
      <c r="D623" s="4">
        <f>_xlfn.MAXIFS(Tabelle5[[#This Row],[binding_level]], Tabelle5[[#This Row],[company_id]],Tabelle18[[#This Row],[company_id]], Tabelle5[[#This Row],[value_id]], Tabelle18[[#This Row],[value_id]], Tabelle5[[#This Row],[value_present]],"1")</f>
        <v>0</v>
      </c>
      <c r="E623" s="4">
        <f>_xlfn.MAXIFS(Tabelle5[[#This Row],[value_points]], Tabelle5[[#This Row],[company_id]],Tabelle18[[#This Row],[company_id]], Tabelle5[[#This Row],[value_id]], Tabelle18[[#This Row],[value_id]], Tabelle5[[#This Row],[value_present]],"1")</f>
        <v>0</v>
      </c>
    </row>
    <row r="624" spans="1:5" x14ac:dyDescent="0.25">
      <c r="A624">
        <v>35</v>
      </c>
      <c r="B624" t="s">
        <v>125</v>
      </c>
      <c r="C624" s="4">
        <f>IF(Tabelle18[[#This Row],[binding_level_company]]&gt;=1,1,0)</f>
        <v>0</v>
      </c>
      <c r="D624" s="4">
        <f>_xlfn.MAXIFS(Tabelle5[[#This Row],[binding_level]], Tabelle5[[#This Row],[company_id]],Tabelle18[[#This Row],[company_id]], Tabelle5[[#This Row],[value_id]], Tabelle18[[#This Row],[value_id]], Tabelle5[[#This Row],[value_present]],"1")</f>
        <v>0</v>
      </c>
      <c r="E624" s="4">
        <f>_xlfn.MAXIFS(Tabelle5[[#This Row],[value_points]], Tabelle5[[#This Row],[company_id]],Tabelle18[[#This Row],[company_id]], Tabelle5[[#This Row],[value_id]], Tabelle18[[#This Row],[value_id]], Tabelle5[[#This Row],[value_present]],"1")</f>
        <v>0</v>
      </c>
    </row>
    <row r="625" spans="1:5" x14ac:dyDescent="0.25">
      <c r="A625">
        <v>35</v>
      </c>
      <c r="B625" t="s">
        <v>132</v>
      </c>
      <c r="C625" s="4">
        <f>IF(Tabelle18[[#This Row],[binding_level_company]]&gt;=1,1,0)</f>
        <v>0</v>
      </c>
      <c r="D625" s="4">
        <f>_xlfn.MAXIFS(Tabelle5[[#This Row],[binding_level]], Tabelle5[[#This Row],[company_id]],Tabelle18[[#This Row],[company_id]], Tabelle5[[#This Row],[value_id]], Tabelle18[[#This Row],[value_id]], Tabelle5[[#This Row],[value_present]],"1")</f>
        <v>0</v>
      </c>
      <c r="E625" s="4">
        <f>_xlfn.MAXIFS(Tabelle5[[#This Row],[value_points]], Tabelle5[[#This Row],[company_id]],Tabelle18[[#This Row],[company_id]], Tabelle5[[#This Row],[value_id]], Tabelle18[[#This Row],[value_id]], Tabelle5[[#This Row],[value_present]],"1")</f>
        <v>0</v>
      </c>
    </row>
    <row r="626" spans="1:5" x14ac:dyDescent="0.25">
      <c r="A626">
        <v>35</v>
      </c>
      <c r="B626" t="s">
        <v>140</v>
      </c>
      <c r="C626" s="4">
        <f>IF(Tabelle18[[#This Row],[binding_level_company]]&gt;=1,1,0)</f>
        <v>0</v>
      </c>
      <c r="D626" s="4">
        <f>_xlfn.MAXIFS(Tabelle5[[#This Row],[binding_level]], Tabelle5[[#This Row],[company_id]],Tabelle18[[#This Row],[company_id]], Tabelle5[[#This Row],[value_id]], Tabelle18[[#This Row],[value_id]], Tabelle5[[#This Row],[value_present]],"1")</f>
        <v>0</v>
      </c>
      <c r="E626" s="4">
        <f>_xlfn.MAXIFS(Tabelle5[[#This Row],[value_points]], Tabelle5[[#This Row],[company_id]],Tabelle18[[#This Row],[company_id]], Tabelle5[[#This Row],[value_id]], Tabelle18[[#This Row],[value_id]], Tabelle5[[#This Row],[value_present]],"1")</f>
        <v>0</v>
      </c>
    </row>
    <row r="627" spans="1:5" x14ac:dyDescent="0.25">
      <c r="A627">
        <v>35</v>
      </c>
      <c r="B627" t="s">
        <v>147</v>
      </c>
      <c r="C627" s="4">
        <f>IF(Tabelle18[[#This Row],[binding_level_company]]&gt;=1,1,0)</f>
        <v>0</v>
      </c>
      <c r="D627" s="4">
        <f>_xlfn.MAXIFS(Tabelle5[[#This Row],[binding_level]], Tabelle5[[#This Row],[company_id]],Tabelle18[[#This Row],[company_id]], Tabelle5[[#This Row],[value_id]], Tabelle18[[#This Row],[value_id]], Tabelle5[[#This Row],[value_present]],"1")</f>
        <v>0</v>
      </c>
      <c r="E627" s="4">
        <f>_xlfn.MAXIFS(Tabelle5[[#This Row],[value_points]], Tabelle5[[#This Row],[company_id]],Tabelle18[[#This Row],[company_id]], Tabelle5[[#This Row],[value_id]], Tabelle18[[#This Row],[value_id]], Tabelle5[[#This Row],[value_present]],"1")</f>
        <v>0</v>
      </c>
    </row>
    <row r="628" spans="1:5" x14ac:dyDescent="0.25">
      <c r="A628">
        <v>35</v>
      </c>
      <c r="B628" t="s">
        <v>154</v>
      </c>
      <c r="C628" s="4">
        <f>IF(Tabelle18[[#This Row],[binding_level_company]]&gt;=1,1,0)</f>
        <v>0</v>
      </c>
      <c r="D628" s="4">
        <f>_xlfn.MAXIFS(Tabelle5[[#This Row],[binding_level]], Tabelle5[[#This Row],[company_id]],Tabelle18[[#This Row],[company_id]], Tabelle5[[#This Row],[value_id]], Tabelle18[[#This Row],[value_id]], Tabelle5[[#This Row],[value_present]],"1")</f>
        <v>0</v>
      </c>
      <c r="E628" s="4">
        <f>_xlfn.MAXIFS(Tabelle5[[#This Row],[value_points]], Tabelle5[[#This Row],[company_id]],Tabelle18[[#This Row],[company_id]], Tabelle5[[#This Row],[value_id]], Tabelle18[[#This Row],[value_id]], Tabelle5[[#This Row],[value_present]],"1")</f>
        <v>0</v>
      </c>
    </row>
    <row r="629" spans="1:5" x14ac:dyDescent="0.25">
      <c r="A629">
        <v>35</v>
      </c>
      <c r="B629" t="s">
        <v>161</v>
      </c>
      <c r="C629" s="4">
        <f>IF(Tabelle18[[#This Row],[binding_level_company]]&gt;=1,1,0)</f>
        <v>0</v>
      </c>
      <c r="D629" s="4">
        <f>_xlfn.MAXIFS(Tabelle5[[#This Row],[binding_level]], Tabelle5[[#This Row],[company_id]],Tabelle18[[#This Row],[company_id]], Tabelle5[[#This Row],[value_id]], Tabelle18[[#This Row],[value_id]], Tabelle5[[#This Row],[value_present]],"1")</f>
        <v>0</v>
      </c>
      <c r="E629" s="4">
        <f>_xlfn.MAXIFS(Tabelle5[[#This Row],[value_points]], Tabelle5[[#This Row],[company_id]],Tabelle18[[#This Row],[company_id]], Tabelle5[[#This Row],[value_id]], Tabelle18[[#This Row],[value_id]], Tabelle5[[#This Row],[value_present]],"1")</f>
        <v>0</v>
      </c>
    </row>
    <row r="630" spans="1:5" x14ac:dyDescent="0.25">
      <c r="A630">
        <v>35</v>
      </c>
      <c r="B630" t="s">
        <v>166</v>
      </c>
      <c r="C630" s="4">
        <f>IF(Tabelle18[[#This Row],[binding_level_company]]&gt;=1,1,0)</f>
        <v>0</v>
      </c>
      <c r="D630" s="4">
        <f>_xlfn.MAXIFS(Tabelle5[[#This Row],[binding_level]], Tabelle5[[#This Row],[company_id]],Tabelle18[[#This Row],[company_id]], Tabelle5[[#This Row],[value_id]], Tabelle18[[#This Row],[value_id]], Tabelle5[[#This Row],[value_present]],"1")</f>
        <v>0</v>
      </c>
      <c r="E630" s="4">
        <f>_xlfn.MAXIFS(Tabelle5[[#This Row],[value_points]], Tabelle5[[#This Row],[company_id]],Tabelle18[[#This Row],[company_id]], Tabelle5[[#This Row],[value_id]], Tabelle18[[#This Row],[value_id]], Tabelle5[[#This Row],[value_present]],"1")</f>
        <v>0</v>
      </c>
    </row>
    <row r="631" spans="1:5" ht="15.75" thickBot="1" x14ac:dyDescent="0.3">
      <c r="A631">
        <v>35</v>
      </c>
      <c r="B631" s="30" t="s">
        <v>174</v>
      </c>
      <c r="C631" s="4">
        <f>IF(Tabelle18[[#This Row],[binding_level_company]]&gt;=1,1,0)</f>
        <v>0</v>
      </c>
      <c r="D631" s="4">
        <f>_xlfn.MAXIFS(Tabelle5[[#This Row],[binding_level]], Tabelle5[[#This Row],[company_id]],Tabelle18[[#This Row],[company_id]], Tabelle5[[#This Row],[value_id]], Tabelle18[[#This Row],[value_id]], Tabelle5[[#This Row],[value_present]],"1")</f>
        <v>0</v>
      </c>
      <c r="E631" s="4">
        <f>_xlfn.MAXIFS(Tabelle5[[#This Row],[value_points]], Tabelle5[[#This Row],[company_id]],Tabelle18[[#This Row],[company_id]], Tabelle5[[#This Row],[value_id]], Tabelle18[[#This Row],[value_id]], Tabelle5[[#This Row],[value_present]],"1")</f>
        <v>0</v>
      </c>
    </row>
    <row r="632" spans="1:5" x14ac:dyDescent="0.25">
      <c r="A632">
        <v>36</v>
      </c>
      <c r="B632" s="22" t="s">
        <v>53</v>
      </c>
      <c r="C632" s="4">
        <f>IF(Tabelle18[[#This Row],[binding_level_company]]&gt;=1,1,0)</f>
        <v>0</v>
      </c>
      <c r="D632" s="4">
        <f>_xlfn.MAXIFS(Tabelle5[[#This Row],[binding_level]], Tabelle5[[#This Row],[company_id]],Tabelle18[[#This Row],[company_id]], Tabelle5[[#This Row],[value_id]], Tabelle18[[#This Row],[value_id]], Tabelle5[[#This Row],[value_present]],"1")</f>
        <v>0</v>
      </c>
      <c r="E632" s="4">
        <f>_xlfn.MAXIFS(Tabelle5[[#This Row],[value_points]], Tabelle5[[#This Row],[company_id]],Tabelle18[[#This Row],[company_id]], Tabelle5[[#This Row],[value_id]], Tabelle18[[#This Row],[value_id]], Tabelle5[[#This Row],[value_present]],"1")</f>
        <v>0</v>
      </c>
    </row>
    <row r="633" spans="1:5" x14ac:dyDescent="0.25">
      <c r="A633">
        <v>36</v>
      </c>
      <c r="B633" t="s">
        <v>61</v>
      </c>
      <c r="C633" s="4">
        <f>IF(Tabelle18[[#This Row],[binding_level_company]]&gt;=1,1,0)</f>
        <v>0</v>
      </c>
      <c r="D633" s="4">
        <f>_xlfn.MAXIFS(Tabelle5[[#This Row],[binding_level]], Tabelle5[[#This Row],[company_id]],Tabelle18[[#This Row],[company_id]], Tabelle5[[#This Row],[value_id]], Tabelle18[[#This Row],[value_id]], Tabelle5[[#This Row],[value_present]],"1")</f>
        <v>0</v>
      </c>
      <c r="E633" s="4">
        <f>_xlfn.MAXIFS(Tabelle5[[#This Row],[value_points]], Tabelle5[[#This Row],[company_id]],Tabelle18[[#This Row],[company_id]], Tabelle5[[#This Row],[value_id]], Tabelle18[[#This Row],[value_id]], Tabelle5[[#This Row],[value_present]],"1")</f>
        <v>0</v>
      </c>
    </row>
    <row r="634" spans="1:5" x14ac:dyDescent="0.25">
      <c r="A634">
        <v>36</v>
      </c>
      <c r="B634" t="s">
        <v>69</v>
      </c>
      <c r="C634" s="4">
        <f>IF(Tabelle18[[#This Row],[binding_level_company]]&gt;=1,1,0)</f>
        <v>0</v>
      </c>
      <c r="D634" s="4">
        <f>_xlfn.MAXIFS(Tabelle5[[#This Row],[binding_level]], Tabelle5[[#This Row],[company_id]],Tabelle18[[#This Row],[company_id]], Tabelle5[[#This Row],[value_id]], Tabelle18[[#This Row],[value_id]], Tabelle5[[#This Row],[value_present]],"1")</f>
        <v>0</v>
      </c>
      <c r="E634" s="4">
        <f>_xlfn.MAXIFS(Tabelle5[[#This Row],[value_points]], Tabelle5[[#This Row],[company_id]],Tabelle18[[#This Row],[company_id]], Tabelle5[[#This Row],[value_id]], Tabelle18[[#This Row],[value_id]], Tabelle5[[#This Row],[value_present]],"1")</f>
        <v>0</v>
      </c>
    </row>
    <row r="635" spans="1:5" x14ac:dyDescent="0.25">
      <c r="A635">
        <v>36</v>
      </c>
      <c r="B635" t="s">
        <v>76</v>
      </c>
      <c r="C635" s="4">
        <f>IF(Tabelle18[[#This Row],[binding_level_company]]&gt;=1,1,0)</f>
        <v>0</v>
      </c>
      <c r="D635" s="4">
        <f>_xlfn.MAXIFS(Tabelle5[[#This Row],[binding_level]], Tabelle5[[#This Row],[company_id]],Tabelle18[[#This Row],[company_id]], Tabelle5[[#This Row],[value_id]], Tabelle18[[#This Row],[value_id]], Tabelle5[[#This Row],[value_present]],"1")</f>
        <v>0</v>
      </c>
      <c r="E635" s="4">
        <f>_xlfn.MAXIFS(Tabelle5[[#This Row],[value_points]], Tabelle5[[#This Row],[company_id]],Tabelle18[[#This Row],[company_id]], Tabelle5[[#This Row],[value_id]], Tabelle18[[#This Row],[value_id]], Tabelle5[[#This Row],[value_present]],"1")</f>
        <v>0</v>
      </c>
    </row>
    <row r="636" spans="1:5" x14ac:dyDescent="0.25">
      <c r="A636">
        <v>36</v>
      </c>
      <c r="B636" t="s">
        <v>83</v>
      </c>
      <c r="C636" s="4">
        <f>IF(Tabelle18[[#This Row],[binding_level_company]]&gt;=1,1,0)</f>
        <v>0</v>
      </c>
      <c r="D636" s="4">
        <f>_xlfn.MAXIFS(Tabelle5[[#This Row],[binding_level]], Tabelle5[[#This Row],[company_id]],Tabelle18[[#This Row],[company_id]], Tabelle5[[#This Row],[value_id]], Tabelle18[[#This Row],[value_id]], Tabelle5[[#This Row],[value_present]],"1")</f>
        <v>0</v>
      </c>
      <c r="E636" s="4">
        <f>_xlfn.MAXIFS(Tabelle5[[#This Row],[value_points]], Tabelle5[[#This Row],[company_id]],Tabelle18[[#This Row],[company_id]], Tabelle5[[#This Row],[value_id]], Tabelle18[[#This Row],[value_id]], Tabelle5[[#This Row],[value_present]],"1")</f>
        <v>0</v>
      </c>
    </row>
    <row r="637" spans="1:5" x14ac:dyDescent="0.25">
      <c r="A637">
        <v>36</v>
      </c>
      <c r="B637" t="s">
        <v>90</v>
      </c>
      <c r="C637" s="4">
        <f>IF(Tabelle18[[#This Row],[binding_level_company]]&gt;=1,1,0)</f>
        <v>0</v>
      </c>
      <c r="D637" s="4">
        <f>_xlfn.MAXIFS(Tabelle5[[#This Row],[binding_level]], Tabelle5[[#This Row],[company_id]],Tabelle18[[#This Row],[company_id]], Tabelle5[[#This Row],[value_id]], Tabelle18[[#This Row],[value_id]], Tabelle5[[#This Row],[value_present]],"1")</f>
        <v>0</v>
      </c>
      <c r="E637" s="4">
        <f>_xlfn.MAXIFS(Tabelle5[[#This Row],[value_points]], Tabelle5[[#This Row],[company_id]],Tabelle18[[#This Row],[company_id]], Tabelle5[[#This Row],[value_id]], Tabelle18[[#This Row],[value_id]], Tabelle5[[#This Row],[value_present]],"1")</f>
        <v>0</v>
      </c>
    </row>
    <row r="638" spans="1:5" x14ac:dyDescent="0.25">
      <c r="A638">
        <v>36</v>
      </c>
      <c r="B638" t="s">
        <v>98</v>
      </c>
      <c r="C638" s="4">
        <f>IF(Tabelle18[[#This Row],[binding_level_company]]&gt;=1,1,0)</f>
        <v>0</v>
      </c>
      <c r="D638" s="4">
        <f>_xlfn.MAXIFS(Tabelle5[[#This Row],[binding_level]], Tabelle5[[#This Row],[company_id]],Tabelle18[[#This Row],[company_id]], Tabelle5[[#This Row],[value_id]], Tabelle18[[#This Row],[value_id]], Tabelle5[[#This Row],[value_present]],"1")</f>
        <v>0</v>
      </c>
      <c r="E638" s="4">
        <f>_xlfn.MAXIFS(Tabelle5[[#This Row],[value_points]], Tabelle5[[#This Row],[company_id]],Tabelle18[[#This Row],[company_id]], Tabelle5[[#This Row],[value_id]], Tabelle18[[#This Row],[value_id]], Tabelle5[[#This Row],[value_present]],"1")</f>
        <v>0</v>
      </c>
    </row>
    <row r="639" spans="1:5" x14ac:dyDescent="0.25">
      <c r="A639">
        <v>36</v>
      </c>
      <c r="B639" t="s">
        <v>106</v>
      </c>
      <c r="C639" s="4">
        <f>IF(Tabelle18[[#This Row],[binding_level_company]]&gt;=1,1,0)</f>
        <v>0</v>
      </c>
      <c r="D639" s="4">
        <f>_xlfn.MAXIFS(Tabelle5[[#This Row],[binding_level]], Tabelle5[[#This Row],[company_id]],Tabelle18[[#This Row],[company_id]], Tabelle5[[#This Row],[value_id]], Tabelle18[[#This Row],[value_id]], Tabelle5[[#This Row],[value_present]],"1")</f>
        <v>0</v>
      </c>
      <c r="E639" s="4">
        <f>_xlfn.MAXIFS(Tabelle5[[#This Row],[value_points]], Tabelle5[[#This Row],[company_id]],Tabelle18[[#This Row],[company_id]], Tabelle5[[#This Row],[value_id]], Tabelle18[[#This Row],[value_id]], Tabelle5[[#This Row],[value_present]],"1")</f>
        <v>0</v>
      </c>
    </row>
    <row r="640" spans="1:5" x14ac:dyDescent="0.25">
      <c r="A640">
        <v>36</v>
      </c>
      <c r="B640" t="s">
        <v>112</v>
      </c>
      <c r="C640" s="4">
        <f>IF(Tabelle18[[#This Row],[binding_level_company]]&gt;=1,1,0)</f>
        <v>0</v>
      </c>
      <c r="D640" s="4">
        <f>_xlfn.MAXIFS(Tabelle5[[#This Row],[binding_level]], Tabelle5[[#This Row],[company_id]],Tabelle18[[#This Row],[company_id]], Tabelle5[[#This Row],[value_id]], Tabelle18[[#This Row],[value_id]], Tabelle5[[#This Row],[value_present]],"1")</f>
        <v>0</v>
      </c>
      <c r="E640" s="4">
        <f>_xlfn.MAXIFS(Tabelle5[[#This Row],[value_points]], Tabelle5[[#This Row],[company_id]],Tabelle18[[#This Row],[company_id]], Tabelle5[[#This Row],[value_id]], Tabelle18[[#This Row],[value_id]], Tabelle5[[#This Row],[value_present]],"1")</f>
        <v>0</v>
      </c>
    </row>
    <row r="641" spans="1:5" x14ac:dyDescent="0.25">
      <c r="A641">
        <v>36</v>
      </c>
      <c r="B641" t="s">
        <v>118</v>
      </c>
      <c r="C641" s="4">
        <f>IF(Tabelle18[[#This Row],[binding_level_company]]&gt;=1,1,0)</f>
        <v>0</v>
      </c>
      <c r="D641" s="4">
        <f>_xlfn.MAXIFS(Tabelle5[[#This Row],[binding_level]], Tabelle5[[#This Row],[company_id]],Tabelle18[[#This Row],[company_id]], Tabelle5[[#This Row],[value_id]], Tabelle18[[#This Row],[value_id]], Tabelle5[[#This Row],[value_present]],"1")</f>
        <v>0</v>
      </c>
      <c r="E641" s="4">
        <f>_xlfn.MAXIFS(Tabelle5[[#This Row],[value_points]], Tabelle5[[#This Row],[company_id]],Tabelle18[[#This Row],[company_id]], Tabelle5[[#This Row],[value_id]], Tabelle18[[#This Row],[value_id]], Tabelle5[[#This Row],[value_present]],"1")</f>
        <v>0</v>
      </c>
    </row>
    <row r="642" spans="1:5" x14ac:dyDescent="0.25">
      <c r="A642">
        <v>36</v>
      </c>
      <c r="B642" t="s">
        <v>125</v>
      </c>
      <c r="C642" s="4">
        <f>IF(Tabelle18[[#This Row],[binding_level_company]]&gt;=1,1,0)</f>
        <v>0</v>
      </c>
      <c r="D642" s="4">
        <f>_xlfn.MAXIFS(Tabelle5[[#This Row],[binding_level]], Tabelle5[[#This Row],[company_id]],Tabelle18[[#This Row],[company_id]], Tabelle5[[#This Row],[value_id]], Tabelle18[[#This Row],[value_id]], Tabelle5[[#This Row],[value_present]],"1")</f>
        <v>0</v>
      </c>
      <c r="E642" s="4">
        <f>_xlfn.MAXIFS(Tabelle5[[#This Row],[value_points]], Tabelle5[[#This Row],[company_id]],Tabelle18[[#This Row],[company_id]], Tabelle5[[#This Row],[value_id]], Tabelle18[[#This Row],[value_id]], Tabelle5[[#This Row],[value_present]],"1")</f>
        <v>0</v>
      </c>
    </row>
    <row r="643" spans="1:5" x14ac:dyDescent="0.25">
      <c r="A643">
        <v>36</v>
      </c>
      <c r="B643" t="s">
        <v>132</v>
      </c>
      <c r="C643" s="4">
        <f>IF(Tabelle18[[#This Row],[binding_level_company]]&gt;=1,1,0)</f>
        <v>0</v>
      </c>
      <c r="D643" s="4">
        <f>_xlfn.MAXIFS(Tabelle5[[#This Row],[binding_level]], Tabelle5[[#This Row],[company_id]],Tabelle18[[#This Row],[company_id]], Tabelle5[[#This Row],[value_id]], Tabelle18[[#This Row],[value_id]], Tabelle5[[#This Row],[value_present]],"1")</f>
        <v>0</v>
      </c>
      <c r="E643" s="4">
        <f>_xlfn.MAXIFS(Tabelle5[[#This Row],[value_points]], Tabelle5[[#This Row],[company_id]],Tabelle18[[#This Row],[company_id]], Tabelle5[[#This Row],[value_id]], Tabelle18[[#This Row],[value_id]], Tabelle5[[#This Row],[value_present]],"1")</f>
        <v>0</v>
      </c>
    </row>
    <row r="644" spans="1:5" x14ac:dyDescent="0.25">
      <c r="A644">
        <v>36</v>
      </c>
      <c r="B644" t="s">
        <v>140</v>
      </c>
      <c r="C644" s="4">
        <f>IF(Tabelle18[[#This Row],[binding_level_company]]&gt;=1,1,0)</f>
        <v>0</v>
      </c>
      <c r="D644" s="4">
        <f>_xlfn.MAXIFS(Tabelle5[[#This Row],[binding_level]], Tabelle5[[#This Row],[company_id]],Tabelle18[[#This Row],[company_id]], Tabelle5[[#This Row],[value_id]], Tabelle18[[#This Row],[value_id]], Tabelle5[[#This Row],[value_present]],"1")</f>
        <v>0</v>
      </c>
      <c r="E644" s="4">
        <f>_xlfn.MAXIFS(Tabelle5[[#This Row],[value_points]], Tabelle5[[#This Row],[company_id]],Tabelle18[[#This Row],[company_id]], Tabelle5[[#This Row],[value_id]], Tabelle18[[#This Row],[value_id]], Tabelle5[[#This Row],[value_present]],"1")</f>
        <v>0</v>
      </c>
    </row>
    <row r="645" spans="1:5" x14ac:dyDescent="0.25">
      <c r="A645">
        <v>36</v>
      </c>
      <c r="B645" t="s">
        <v>147</v>
      </c>
      <c r="C645" s="4">
        <f>IF(Tabelle18[[#This Row],[binding_level_company]]&gt;=1,1,0)</f>
        <v>0</v>
      </c>
      <c r="D645" s="4">
        <f>_xlfn.MAXIFS(Tabelle5[[#This Row],[binding_level]], Tabelle5[[#This Row],[company_id]],Tabelle18[[#This Row],[company_id]], Tabelle5[[#This Row],[value_id]], Tabelle18[[#This Row],[value_id]], Tabelle5[[#This Row],[value_present]],"1")</f>
        <v>0</v>
      </c>
      <c r="E645" s="4">
        <f>_xlfn.MAXIFS(Tabelle5[[#This Row],[value_points]], Tabelle5[[#This Row],[company_id]],Tabelle18[[#This Row],[company_id]], Tabelle5[[#This Row],[value_id]], Tabelle18[[#This Row],[value_id]], Tabelle5[[#This Row],[value_present]],"1")</f>
        <v>0</v>
      </c>
    </row>
    <row r="646" spans="1:5" x14ac:dyDescent="0.25">
      <c r="A646">
        <v>36</v>
      </c>
      <c r="B646" t="s">
        <v>154</v>
      </c>
      <c r="C646" s="4">
        <f>IF(Tabelle18[[#This Row],[binding_level_company]]&gt;=1,1,0)</f>
        <v>0</v>
      </c>
      <c r="D646" s="4">
        <f>_xlfn.MAXIFS(Tabelle5[[#This Row],[binding_level]], Tabelle5[[#This Row],[company_id]],Tabelle18[[#This Row],[company_id]], Tabelle5[[#This Row],[value_id]], Tabelle18[[#This Row],[value_id]], Tabelle5[[#This Row],[value_present]],"1")</f>
        <v>0</v>
      </c>
      <c r="E646" s="4">
        <f>_xlfn.MAXIFS(Tabelle5[[#This Row],[value_points]], Tabelle5[[#This Row],[company_id]],Tabelle18[[#This Row],[company_id]], Tabelle5[[#This Row],[value_id]], Tabelle18[[#This Row],[value_id]], Tabelle5[[#This Row],[value_present]],"1")</f>
        <v>0</v>
      </c>
    </row>
    <row r="647" spans="1:5" x14ac:dyDescent="0.25">
      <c r="A647">
        <v>36</v>
      </c>
      <c r="B647" t="s">
        <v>161</v>
      </c>
      <c r="C647" s="4">
        <f>IF(Tabelle18[[#This Row],[binding_level_company]]&gt;=1,1,0)</f>
        <v>0</v>
      </c>
      <c r="D647" s="4">
        <f>_xlfn.MAXIFS(Tabelle5[[#This Row],[binding_level]], Tabelle5[[#This Row],[company_id]],Tabelle18[[#This Row],[company_id]], Tabelle5[[#This Row],[value_id]], Tabelle18[[#This Row],[value_id]], Tabelle5[[#This Row],[value_present]],"1")</f>
        <v>0</v>
      </c>
      <c r="E647" s="4">
        <f>_xlfn.MAXIFS(Tabelle5[[#This Row],[value_points]], Tabelle5[[#This Row],[company_id]],Tabelle18[[#This Row],[company_id]], Tabelle5[[#This Row],[value_id]], Tabelle18[[#This Row],[value_id]], Tabelle5[[#This Row],[value_present]],"1")</f>
        <v>0</v>
      </c>
    </row>
    <row r="648" spans="1:5" x14ac:dyDescent="0.25">
      <c r="A648">
        <v>36</v>
      </c>
      <c r="B648" t="s">
        <v>166</v>
      </c>
      <c r="C648" s="4">
        <f>IF(Tabelle18[[#This Row],[binding_level_company]]&gt;=1,1,0)</f>
        <v>0</v>
      </c>
      <c r="D648" s="4">
        <f>_xlfn.MAXIFS(Tabelle5[[#This Row],[binding_level]], Tabelle5[[#This Row],[company_id]],Tabelle18[[#This Row],[company_id]], Tabelle5[[#This Row],[value_id]], Tabelle18[[#This Row],[value_id]], Tabelle5[[#This Row],[value_present]],"1")</f>
        <v>0</v>
      </c>
      <c r="E648" s="4">
        <f>_xlfn.MAXIFS(Tabelle5[[#This Row],[value_points]], Tabelle5[[#This Row],[company_id]],Tabelle18[[#This Row],[company_id]], Tabelle5[[#This Row],[value_id]], Tabelle18[[#This Row],[value_id]], Tabelle5[[#This Row],[value_present]],"1")</f>
        <v>0</v>
      </c>
    </row>
    <row r="649" spans="1:5" ht="15.75" thickBot="1" x14ac:dyDescent="0.3">
      <c r="A649">
        <v>36</v>
      </c>
      <c r="B649" s="30" t="s">
        <v>174</v>
      </c>
      <c r="C649" s="4">
        <f>IF(Tabelle18[[#This Row],[binding_level_company]]&gt;=1,1,0)</f>
        <v>0</v>
      </c>
      <c r="D649" s="4">
        <f>_xlfn.MAXIFS(Tabelle5[[#This Row],[binding_level]], Tabelle5[[#This Row],[company_id]],Tabelle18[[#This Row],[company_id]], Tabelle5[[#This Row],[value_id]], Tabelle18[[#This Row],[value_id]], Tabelle5[[#This Row],[value_present]],"1")</f>
        <v>0</v>
      </c>
      <c r="E649" s="4">
        <f>_xlfn.MAXIFS(Tabelle5[[#This Row],[value_points]], Tabelle5[[#This Row],[company_id]],Tabelle18[[#This Row],[company_id]], Tabelle5[[#This Row],[value_id]], Tabelle18[[#This Row],[value_id]], Tabelle5[[#This Row],[value_present]],"1")</f>
        <v>0</v>
      </c>
    </row>
    <row r="650" spans="1:5" x14ac:dyDescent="0.25">
      <c r="A650">
        <v>37</v>
      </c>
      <c r="B650" s="22" t="s">
        <v>53</v>
      </c>
      <c r="C650" s="4">
        <f>IF(Tabelle18[[#This Row],[binding_level_company]]&gt;=1,1,0)</f>
        <v>0</v>
      </c>
      <c r="D650" s="4">
        <f>_xlfn.MAXIFS(Tabelle5[[#This Row],[binding_level]], Tabelle5[[#This Row],[company_id]],Tabelle18[[#This Row],[company_id]], Tabelle5[[#This Row],[value_id]], Tabelle18[[#This Row],[value_id]], Tabelle5[[#This Row],[value_present]],"1")</f>
        <v>0</v>
      </c>
      <c r="E650" s="4">
        <f>_xlfn.MAXIFS(Tabelle5[[#This Row],[value_points]], Tabelle5[[#This Row],[company_id]],Tabelle18[[#This Row],[company_id]], Tabelle5[[#This Row],[value_id]], Tabelle18[[#This Row],[value_id]], Tabelle5[[#This Row],[value_present]],"1")</f>
        <v>0</v>
      </c>
    </row>
    <row r="651" spans="1:5" x14ac:dyDescent="0.25">
      <c r="A651">
        <v>37</v>
      </c>
      <c r="B651" t="s">
        <v>61</v>
      </c>
      <c r="C651" s="4">
        <f>IF(Tabelle18[[#This Row],[binding_level_company]]&gt;=1,1,0)</f>
        <v>0</v>
      </c>
      <c r="D651" s="4">
        <f>_xlfn.MAXIFS(Tabelle5[[#This Row],[binding_level]], Tabelle5[[#This Row],[company_id]],Tabelle18[[#This Row],[company_id]], Tabelle5[[#This Row],[value_id]], Tabelle18[[#This Row],[value_id]], Tabelle5[[#This Row],[value_present]],"1")</f>
        <v>0</v>
      </c>
      <c r="E651" s="4">
        <f>_xlfn.MAXIFS(Tabelle5[[#This Row],[value_points]], Tabelle5[[#This Row],[company_id]],Tabelle18[[#This Row],[company_id]], Tabelle5[[#This Row],[value_id]], Tabelle18[[#This Row],[value_id]], Tabelle5[[#This Row],[value_present]],"1")</f>
        <v>0</v>
      </c>
    </row>
    <row r="652" spans="1:5" x14ac:dyDescent="0.25">
      <c r="A652">
        <v>37</v>
      </c>
      <c r="B652" t="s">
        <v>69</v>
      </c>
      <c r="C652" s="4">
        <f>IF(Tabelle18[[#This Row],[binding_level_company]]&gt;=1,1,0)</f>
        <v>0</v>
      </c>
      <c r="D652" s="4">
        <f>_xlfn.MAXIFS(Tabelle5[[#This Row],[binding_level]], Tabelle5[[#This Row],[company_id]],Tabelle18[[#This Row],[company_id]], Tabelle5[[#This Row],[value_id]], Tabelle18[[#This Row],[value_id]], Tabelle5[[#This Row],[value_present]],"1")</f>
        <v>0</v>
      </c>
      <c r="E652" s="4">
        <f>_xlfn.MAXIFS(Tabelle5[[#This Row],[value_points]], Tabelle5[[#This Row],[company_id]],Tabelle18[[#This Row],[company_id]], Tabelle5[[#This Row],[value_id]], Tabelle18[[#This Row],[value_id]], Tabelle5[[#This Row],[value_present]],"1")</f>
        <v>0</v>
      </c>
    </row>
    <row r="653" spans="1:5" x14ac:dyDescent="0.25">
      <c r="A653">
        <v>37</v>
      </c>
      <c r="B653" t="s">
        <v>76</v>
      </c>
      <c r="C653" s="4">
        <f>IF(Tabelle18[[#This Row],[binding_level_company]]&gt;=1,1,0)</f>
        <v>0</v>
      </c>
      <c r="D653" s="4">
        <f>_xlfn.MAXIFS(Tabelle5[[#This Row],[binding_level]], Tabelle5[[#This Row],[company_id]],Tabelle18[[#This Row],[company_id]], Tabelle5[[#This Row],[value_id]], Tabelle18[[#This Row],[value_id]], Tabelle5[[#This Row],[value_present]],"1")</f>
        <v>0</v>
      </c>
      <c r="E653" s="4">
        <f>_xlfn.MAXIFS(Tabelle5[[#This Row],[value_points]], Tabelle5[[#This Row],[company_id]],Tabelle18[[#This Row],[company_id]], Tabelle5[[#This Row],[value_id]], Tabelle18[[#This Row],[value_id]], Tabelle5[[#This Row],[value_present]],"1")</f>
        <v>0</v>
      </c>
    </row>
    <row r="654" spans="1:5" x14ac:dyDescent="0.25">
      <c r="A654">
        <v>37</v>
      </c>
      <c r="B654" t="s">
        <v>83</v>
      </c>
      <c r="C654" s="4">
        <f>IF(Tabelle18[[#This Row],[binding_level_company]]&gt;=1,1,0)</f>
        <v>0</v>
      </c>
      <c r="D654" s="4">
        <f>_xlfn.MAXIFS(Tabelle5[[#This Row],[binding_level]], Tabelle5[[#This Row],[company_id]],Tabelle18[[#This Row],[company_id]], Tabelle5[[#This Row],[value_id]], Tabelle18[[#This Row],[value_id]], Tabelle5[[#This Row],[value_present]],"1")</f>
        <v>0</v>
      </c>
      <c r="E654" s="4">
        <f>_xlfn.MAXIFS(Tabelle5[[#This Row],[value_points]], Tabelle5[[#This Row],[company_id]],Tabelle18[[#This Row],[company_id]], Tabelle5[[#This Row],[value_id]], Tabelle18[[#This Row],[value_id]], Tabelle5[[#This Row],[value_present]],"1")</f>
        <v>0</v>
      </c>
    </row>
    <row r="655" spans="1:5" x14ac:dyDescent="0.25">
      <c r="A655">
        <v>37</v>
      </c>
      <c r="B655" t="s">
        <v>90</v>
      </c>
      <c r="C655" s="4">
        <f>IF(Tabelle18[[#This Row],[binding_level_company]]&gt;=1,1,0)</f>
        <v>0</v>
      </c>
      <c r="D655" s="4">
        <f>_xlfn.MAXIFS(Tabelle5[[#This Row],[binding_level]], Tabelle5[[#This Row],[company_id]],Tabelle18[[#This Row],[company_id]], Tabelle5[[#This Row],[value_id]], Tabelle18[[#This Row],[value_id]], Tabelle5[[#This Row],[value_present]],"1")</f>
        <v>0</v>
      </c>
      <c r="E655" s="4">
        <f>_xlfn.MAXIFS(Tabelle5[[#This Row],[value_points]], Tabelle5[[#This Row],[company_id]],Tabelle18[[#This Row],[company_id]], Tabelle5[[#This Row],[value_id]], Tabelle18[[#This Row],[value_id]], Tabelle5[[#This Row],[value_present]],"1")</f>
        <v>0</v>
      </c>
    </row>
    <row r="656" spans="1:5" x14ac:dyDescent="0.25">
      <c r="A656">
        <v>37</v>
      </c>
      <c r="B656" t="s">
        <v>98</v>
      </c>
      <c r="C656" s="4">
        <f>IF(Tabelle18[[#This Row],[binding_level_company]]&gt;=1,1,0)</f>
        <v>0</v>
      </c>
      <c r="D656" s="4">
        <f>_xlfn.MAXIFS(Tabelle5[[#This Row],[binding_level]], Tabelle5[[#This Row],[company_id]],Tabelle18[[#This Row],[company_id]], Tabelle5[[#This Row],[value_id]], Tabelle18[[#This Row],[value_id]], Tabelle5[[#This Row],[value_present]],"1")</f>
        <v>0</v>
      </c>
      <c r="E656" s="4">
        <f>_xlfn.MAXIFS(Tabelle5[[#This Row],[value_points]], Tabelle5[[#This Row],[company_id]],Tabelle18[[#This Row],[company_id]], Tabelle5[[#This Row],[value_id]], Tabelle18[[#This Row],[value_id]], Tabelle5[[#This Row],[value_present]],"1")</f>
        <v>0</v>
      </c>
    </row>
    <row r="657" spans="1:5" x14ac:dyDescent="0.25">
      <c r="A657">
        <v>37</v>
      </c>
      <c r="B657" t="s">
        <v>106</v>
      </c>
      <c r="C657" s="4">
        <f>IF(Tabelle18[[#This Row],[binding_level_company]]&gt;=1,1,0)</f>
        <v>0</v>
      </c>
      <c r="D657" s="4">
        <f>_xlfn.MAXIFS(Tabelle5[[#This Row],[binding_level]], Tabelle5[[#This Row],[company_id]],Tabelle18[[#This Row],[company_id]], Tabelle5[[#This Row],[value_id]], Tabelle18[[#This Row],[value_id]], Tabelle5[[#This Row],[value_present]],"1")</f>
        <v>0</v>
      </c>
      <c r="E657" s="4">
        <f>_xlfn.MAXIFS(Tabelle5[[#This Row],[value_points]], Tabelle5[[#This Row],[company_id]],Tabelle18[[#This Row],[company_id]], Tabelle5[[#This Row],[value_id]], Tabelle18[[#This Row],[value_id]], Tabelle5[[#This Row],[value_present]],"1")</f>
        <v>0</v>
      </c>
    </row>
    <row r="658" spans="1:5" x14ac:dyDescent="0.25">
      <c r="A658">
        <v>37</v>
      </c>
      <c r="B658" t="s">
        <v>112</v>
      </c>
      <c r="C658" s="4">
        <f>IF(Tabelle18[[#This Row],[binding_level_company]]&gt;=1,1,0)</f>
        <v>0</v>
      </c>
      <c r="D658" s="4">
        <f>_xlfn.MAXIFS(Tabelle5[[#This Row],[binding_level]], Tabelle5[[#This Row],[company_id]],Tabelle18[[#This Row],[company_id]], Tabelle5[[#This Row],[value_id]], Tabelle18[[#This Row],[value_id]], Tabelle5[[#This Row],[value_present]],"1")</f>
        <v>0</v>
      </c>
      <c r="E658" s="4">
        <f>_xlfn.MAXIFS(Tabelle5[[#This Row],[value_points]], Tabelle5[[#This Row],[company_id]],Tabelle18[[#This Row],[company_id]], Tabelle5[[#This Row],[value_id]], Tabelle18[[#This Row],[value_id]], Tabelle5[[#This Row],[value_present]],"1")</f>
        <v>0</v>
      </c>
    </row>
    <row r="659" spans="1:5" x14ac:dyDescent="0.25">
      <c r="A659">
        <v>37</v>
      </c>
      <c r="B659" t="s">
        <v>118</v>
      </c>
      <c r="C659" s="4">
        <f>IF(Tabelle18[[#This Row],[binding_level_company]]&gt;=1,1,0)</f>
        <v>0</v>
      </c>
      <c r="D659" s="4">
        <f>_xlfn.MAXIFS(Tabelle5[[#This Row],[binding_level]], Tabelle5[[#This Row],[company_id]],Tabelle18[[#This Row],[company_id]], Tabelle5[[#This Row],[value_id]], Tabelle18[[#This Row],[value_id]], Tabelle5[[#This Row],[value_present]],"1")</f>
        <v>0</v>
      </c>
      <c r="E659" s="4">
        <f>_xlfn.MAXIFS(Tabelle5[[#This Row],[value_points]], Tabelle5[[#This Row],[company_id]],Tabelle18[[#This Row],[company_id]], Tabelle5[[#This Row],[value_id]], Tabelle18[[#This Row],[value_id]], Tabelle5[[#This Row],[value_present]],"1")</f>
        <v>0</v>
      </c>
    </row>
    <row r="660" spans="1:5" x14ac:dyDescent="0.25">
      <c r="A660">
        <v>37</v>
      </c>
      <c r="B660" t="s">
        <v>125</v>
      </c>
      <c r="C660" s="4">
        <f>IF(Tabelle18[[#This Row],[binding_level_company]]&gt;=1,1,0)</f>
        <v>0</v>
      </c>
      <c r="D660" s="4">
        <f>_xlfn.MAXIFS(Tabelle5[[#This Row],[binding_level]], Tabelle5[[#This Row],[company_id]],Tabelle18[[#This Row],[company_id]], Tabelle5[[#This Row],[value_id]], Tabelle18[[#This Row],[value_id]], Tabelle5[[#This Row],[value_present]],"1")</f>
        <v>0</v>
      </c>
      <c r="E660" s="4">
        <f>_xlfn.MAXIFS(Tabelle5[[#This Row],[value_points]], Tabelle5[[#This Row],[company_id]],Tabelle18[[#This Row],[company_id]], Tabelle5[[#This Row],[value_id]], Tabelle18[[#This Row],[value_id]], Tabelle5[[#This Row],[value_present]],"1")</f>
        <v>0</v>
      </c>
    </row>
    <row r="661" spans="1:5" x14ac:dyDescent="0.25">
      <c r="A661">
        <v>37</v>
      </c>
      <c r="B661" t="s">
        <v>132</v>
      </c>
      <c r="C661" s="4">
        <f>IF(Tabelle18[[#This Row],[binding_level_company]]&gt;=1,1,0)</f>
        <v>0</v>
      </c>
      <c r="D661" s="4">
        <f>_xlfn.MAXIFS(Tabelle5[[#This Row],[binding_level]], Tabelle5[[#This Row],[company_id]],Tabelle18[[#This Row],[company_id]], Tabelle5[[#This Row],[value_id]], Tabelle18[[#This Row],[value_id]], Tabelle5[[#This Row],[value_present]],"1")</f>
        <v>0</v>
      </c>
      <c r="E661" s="4">
        <f>_xlfn.MAXIFS(Tabelle5[[#This Row],[value_points]], Tabelle5[[#This Row],[company_id]],Tabelle18[[#This Row],[company_id]], Tabelle5[[#This Row],[value_id]], Tabelle18[[#This Row],[value_id]], Tabelle5[[#This Row],[value_present]],"1")</f>
        <v>0</v>
      </c>
    </row>
    <row r="662" spans="1:5" x14ac:dyDescent="0.25">
      <c r="A662">
        <v>37</v>
      </c>
      <c r="B662" t="s">
        <v>140</v>
      </c>
      <c r="C662" s="4">
        <f>IF(Tabelle18[[#This Row],[binding_level_company]]&gt;=1,1,0)</f>
        <v>0</v>
      </c>
      <c r="D662" s="4">
        <f>_xlfn.MAXIFS(Tabelle5[[#This Row],[binding_level]], Tabelle5[[#This Row],[company_id]],Tabelle18[[#This Row],[company_id]], Tabelle5[[#This Row],[value_id]], Tabelle18[[#This Row],[value_id]], Tabelle5[[#This Row],[value_present]],"1")</f>
        <v>0</v>
      </c>
      <c r="E662" s="4">
        <f>_xlfn.MAXIFS(Tabelle5[[#This Row],[value_points]], Tabelle5[[#This Row],[company_id]],Tabelle18[[#This Row],[company_id]], Tabelle5[[#This Row],[value_id]], Tabelle18[[#This Row],[value_id]], Tabelle5[[#This Row],[value_present]],"1")</f>
        <v>0</v>
      </c>
    </row>
    <row r="663" spans="1:5" x14ac:dyDescent="0.25">
      <c r="A663">
        <v>37</v>
      </c>
      <c r="B663" t="s">
        <v>147</v>
      </c>
      <c r="C663" s="4">
        <f>IF(Tabelle18[[#This Row],[binding_level_company]]&gt;=1,1,0)</f>
        <v>0</v>
      </c>
      <c r="D663" s="4">
        <f>_xlfn.MAXIFS(Tabelle5[[#This Row],[binding_level]], Tabelle5[[#This Row],[company_id]],Tabelle18[[#This Row],[company_id]], Tabelle5[[#This Row],[value_id]], Tabelle18[[#This Row],[value_id]], Tabelle5[[#This Row],[value_present]],"1")</f>
        <v>0</v>
      </c>
      <c r="E663" s="4">
        <f>_xlfn.MAXIFS(Tabelle5[[#This Row],[value_points]], Tabelle5[[#This Row],[company_id]],Tabelle18[[#This Row],[company_id]], Tabelle5[[#This Row],[value_id]], Tabelle18[[#This Row],[value_id]], Tabelle5[[#This Row],[value_present]],"1")</f>
        <v>0</v>
      </c>
    </row>
    <row r="664" spans="1:5" x14ac:dyDescent="0.25">
      <c r="A664">
        <v>37</v>
      </c>
      <c r="B664" t="s">
        <v>154</v>
      </c>
      <c r="C664" s="4">
        <f>IF(Tabelle18[[#This Row],[binding_level_company]]&gt;=1,1,0)</f>
        <v>0</v>
      </c>
      <c r="D664" s="4">
        <f>_xlfn.MAXIFS(Tabelle5[[#This Row],[binding_level]], Tabelle5[[#This Row],[company_id]],Tabelle18[[#This Row],[company_id]], Tabelle5[[#This Row],[value_id]], Tabelle18[[#This Row],[value_id]], Tabelle5[[#This Row],[value_present]],"1")</f>
        <v>0</v>
      </c>
      <c r="E664" s="4">
        <f>_xlfn.MAXIFS(Tabelle5[[#This Row],[value_points]], Tabelle5[[#This Row],[company_id]],Tabelle18[[#This Row],[company_id]], Tabelle5[[#This Row],[value_id]], Tabelle18[[#This Row],[value_id]], Tabelle5[[#This Row],[value_present]],"1")</f>
        <v>0</v>
      </c>
    </row>
    <row r="665" spans="1:5" x14ac:dyDescent="0.25">
      <c r="A665">
        <v>37</v>
      </c>
      <c r="B665" t="s">
        <v>161</v>
      </c>
      <c r="C665" s="4">
        <f>IF(Tabelle18[[#This Row],[binding_level_company]]&gt;=1,1,0)</f>
        <v>0</v>
      </c>
      <c r="D665" s="4">
        <f>_xlfn.MAXIFS(Tabelle5[[#This Row],[binding_level]], Tabelle5[[#This Row],[company_id]],Tabelle18[[#This Row],[company_id]], Tabelle5[[#This Row],[value_id]], Tabelle18[[#This Row],[value_id]], Tabelle5[[#This Row],[value_present]],"1")</f>
        <v>0</v>
      </c>
      <c r="E665" s="4">
        <f>_xlfn.MAXIFS(Tabelle5[[#This Row],[value_points]], Tabelle5[[#This Row],[company_id]],Tabelle18[[#This Row],[company_id]], Tabelle5[[#This Row],[value_id]], Tabelle18[[#This Row],[value_id]], Tabelle5[[#This Row],[value_present]],"1")</f>
        <v>0</v>
      </c>
    </row>
    <row r="666" spans="1:5" x14ac:dyDescent="0.25">
      <c r="A666">
        <v>37</v>
      </c>
      <c r="B666" t="s">
        <v>166</v>
      </c>
      <c r="C666" s="4">
        <f>IF(Tabelle18[[#This Row],[binding_level_company]]&gt;=1,1,0)</f>
        <v>0</v>
      </c>
      <c r="D666" s="4">
        <f>_xlfn.MAXIFS(Tabelle5[[#This Row],[binding_level]], Tabelle5[[#This Row],[company_id]],Tabelle18[[#This Row],[company_id]], Tabelle5[[#This Row],[value_id]], Tabelle18[[#This Row],[value_id]], Tabelle5[[#This Row],[value_present]],"1")</f>
        <v>0</v>
      </c>
      <c r="E666" s="4">
        <f>_xlfn.MAXIFS(Tabelle5[[#This Row],[value_points]], Tabelle5[[#This Row],[company_id]],Tabelle18[[#This Row],[company_id]], Tabelle5[[#This Row],[value_id]], Tabelle18[[#This Row],[value_id]], Tabelle5[[#This Row],[value_present]],"1")</f>
        <v>0</v>
      </c>
    </row>
    <row r="667" spans="1:5" ht="15.75" thickBot="1" x14ac:dyDescent="0.3">
      <c r="A667">
        <v>37</v>
      </c>
      <c r="B667" s="30" t="s">
        <v>174</v>
      </c>
      <c r="C667" s="4">
        <f>IF(Tabelle18[[#This Row],[binding_level_company]]&gt;=1,1,0)</f>
        <v>0</v>
      </c>
      <c r="D667" s="4">
        <f>_xlfn.MAXIFS(Tabelle5[[#This Row],[binding_level]], Tabelle5[[#This Row],[company_id]],Tabelle18[[#This Row],[company_id]], Tabelle5[[#This Row],[value_id]], Tabelle18[[#This Row],[value_id]], Tabelle5[[#This Row],[value_present]],"1")</f>
        <v>0</v>
      </c>
      <c r="E667" s="4">
        <f>_xlfn.MAXIFS(Tabelle5[[#This Row],[value_points]], Tabelle5[[#This Row],[company_id]],Tabelle18[[#This Row],[company_id]], Tabelle5[[#This Row],[value_id]], Tabelle18[[#This Row],[value_id]], Tabelle5[[#This Row],[value_present]],"1")</f>
        <v>0</v>
      </c>
    </row>
    <row r="668" spans="1:5" x14ac:dyDescent="0.25">
      <c r="A668">
        <v>38</v>
      </c>
      <c r="B668" s="22" t="s">
        <v>53</v>
      </c>
      <c r="C668" s="4">
        <f>IF(Tabelle18[[#This Row],[binding_level_company]]&gt;=1,1,0)</f>
        <v>0</v>
      </c>
      <c r="D668" s="4">
        <f>_xlfn.MAXIFS(Tabelle5[[#This Row],[binding_level]], Tabelle5[[#This Row],[company_id]],Tabelle18[[#This Row],[company_id]], Tabelle5[[#This Row],[value_id]], Tabelle18[[#This Row],[value_id]], Tabelle5[[#This Row],[value_present]],"1")</f>
        <v>0</v>
      </c>
      <c r="E668" s="4">
        <f>_xlfn.MAXIFS(Tabelle5[[#This Row],[value_points]], Tabelle5[[#This Row],[company_id]],Tabelle18[[#This Row],[company_id]], Tabelle5[[#This Row],[value_id]], Tabelle18[[#This Row],[value_id]], Tabelle5[[#This Row],[value_present]],"1")</f>
        <v>0</v>
      </c>
    </row>
    <row r="669" spans="1:5" x14ac:dyDescent="0.25">
      <c r="A669">
        <v>38</v>
      </c>
      <c r="B669" t="s">
        <v>61</v>
      </c>
      <c r="C669" s="4">
        <f>IF(Tabelle18[[#This Row],[binding_level_company]]&gt;=1,1,0)</f>
        <v>0</v>
      </c>
      <c r="D669" s="4">
        <f>_xlfn.MAXIFS(Tabelle5[[#This Row],[binding_level]], Tabelle5[[#This Row],[company_id]],Tabelle18[[#This Row],[company_id]], Tabelle5[[#This Row],[value_id]], Tabelle18[[#This Row],[value_id]], Tabelle5[[#This Row],[value_present]],"1")</f>
        <v>0</v>
      </c>
      <c r="E669" s="4">
        <f>_xlfn.MAXIFS(Tabelle5[[#This Row],[value_points]], Tabelle5[[#This Row],[company_id]],Tabelle18[[#This Row],[company_id]], Tabelle5[[#This Row],[value_id]], Tabelle18[[#This Row],[value_id]], Tabelle5[[#This Row],[value_present]],"1")</f>
        <v>0</v>
      </c>
    </row>
    <row r="670" spans="1:5" x14ac:dyDescent="0.25">
      <c r="A670">
        <v>38</v>
      </c>
      <c r="B670" t="s">
        <v>69</v>
      </c>
      <c r="C670" s="4">
        <f>IF(Tabelle18[[#This Row],[binding_level_company]]&gt;=1,1,0)</f>
        <v>0</v>
      </c>
      <c r="D670" s="4">
        <f>_xlfn.MAXIFS(Tabelle5[[#This Row],[binding_level]], Tabelle5[[#This Row],[company_id]],Tabelle18[[#This Row],[company_id]], Tabelle5[[#This Row],[value_id]], Tabelle18[[#This Row],[value_id]], Tabelle5[[#This Row],[value_present]],"1")</f>
        <v>0</v>
      </c>
      <c r="E670" s="4">
        <f>_xlfn.MAXIFS(Tabelle5[[#This Row],[value_points]], Tabelle5[[#This Row],[company_id]],Tabelle18[[#This Row],[company_id]], Tabelle5[[#This Row],[value_id]], Tabelle18[[#This Row],[value_id]], Tabelle5[[#This Row],[value_present]],"1")</f>
        <v>0</v>
      </c>
    </row>
    <row r="671" spans="1:5" x14ac:dyDescent="0.25">
      <c r="A671">
        <v>38</v>
      </c>
      <c r="B671" t="s">
        <v>76</v>
      </c>
      <c r="C671" s="4">
        <f>IF(Tabelle18[[#This Row],[binding_level_company]]&gt;=1,1,0)</f>
        <v>0</v>
      </c>
      <c r="D671" s="4">
        <f>_xlfn.MAXIFS(Tabelle5[[#This Row],[binding_level]], Tabelle5[[#This Row],[company_id]],Tabelle18[[#This Row],[company_id]], Tabelle5[[#This Row],[value_id]], Tabelle18[[#This Row],[value_id]], Tabelle5[[#This Row],[value_present]],"1")</f>
        <v>0</v>
      </c>
      <c r="E671" s="4">
        <f>_xlfn.MAXIFS(Tabelle5[[#This Row],[value_points]], Tabelle5[[#This Row],[company_id]],Tabelle18[[#This Row],[company_id]], Tabelle5[[#This Row],[value_id]], Tabelle18[[#This Row],[value_id]], Tabelle5[[#This Row],[value_present]],"1")</f>
        <v>0</v>
      </c>
    </row>
    <row r="672" spans="1:5" x14ac:dyDescent="0.25">
      <c r="A672">
        <v>38</v>
      </c>
      <c r="B672" t="s">
        <v>83</v>
      </c>
      <c r="C672" s="4">
        <f>IF(Tabelle18[[#This Row],[binding_level_company]]&gt;=1,1,0)</f>
        <v>0</v>
      </c>
      <c r="D672" s="4">
        <f>_xlfn.MAXIFS(Tabelle5[[#This Row],[binding_level]], Tabelle5[[#This Row],[company_id]],Tabelle18[[#This Row],[company_id]], Tabelle5[[#This Row],[value_id]], Tabelle18[[#This Row],[value_id]], Tabelle5[[#This Row],[value_present]],"1")</f>
        <v>0</v>
      </c>
      <c r="E672" s="4">
        <f>_xlfn.MAXIFS(Tabelle5[[#This Row],[value_points]], Tabelle5[[#This Row],[company_id]],Tabelle18[[#This Row],[company_id]], Tabelle5[[#This Row],[value_id]], Tabelle18[[#This Row],[value_id]], Tabelle5[[#This Row],[value_present]],"1")</f>
        <v>0</v>
      </c>
    </row>
    <row r="673" spans="1:5" x14ac:dyDescent="0.25">
      <c r="A673">
        <v>38</v>
      </c>
      <c r="B673" t="s">
        <v>90</v>
      </c>
      <c r="C673" s="4">
        <f>IF(Tabelle18[[#This Row],[binding_level_company]]&gt;=1,1,0)</f>
        <v>0</v>
      </c>
      <c r="D673" s="4">
        <f>_xlfn.MAXIFS(Tabelle5[[#This Row],[binding_level]], Tabelle5[[#This Row],[company_id]],Tabelle18[[#This Row],[company_id]], Tabelle5[[#This Row],[value_id]], Tabelle18[[#This Row],[value_id]], Tabelle5[[#This Row],[value_present]],"1")</f>
        <v>0</v>
      </c>
      <c r="E673" s="4">
        <f>_xlfn.MAXIFS(Tabelle5[[#This Row],[value_points]], Tabelle5[[#This Row],[company_id]],Tabelle18[[#This Row],[company_id]], Tabelle5[[#This Row],[value_id]], Tabelle18[[#This Row],[value_id]], Tabelle5[[#This Row],[value_present]],"1")</f>
        <v>0</v>
      </c>
    </row>
    <row r="674" spans="1:5" x14ac:dyDescent="0.25">
      <c r="A674">
        <v>38</v>
      </c>
      <c r="B674" t="s">
        <v>98</v>
      </c>
      <c r="C674" s="4">
        <f>IF(Tabelle18[[#This Row],[binding_level_company]]&gt;=1,1,0)</f>
        <v>0</v>
      </c>
      <c r="D674" s="4">
        <f>_xlfn.MAXIFS(Tabelle5[[#This Row],[binding_level]], Tabelle5[[#This Row],[company_id]],Tabelle18[[#This Row],[company_id]], Tabelle5[[#This Row],[value_id]], Tabelle18[[#This Row],[value_id]], Tabelle5[[#This Row],[value_present]],"1")</f>
        <v>0</v>
      </c>
      <c r="E674" s="4">
        <f>_xlfn.MAXIFS(Tabelle5[[#This Row],[value_points]], Tabelle5[[#This Row],[company_id]],Tabelle18[[#This Row],[company_id]], Tabelle5[[#This Row],[value_id]], Tabelle18[[#This Row],[value_id]], Tabelle5[[#This Row],[value_present]],"1")</f>
        <v>0</v>
      </c>
    </row>
    <row r="675" spans="1:5" x14ac:dyDescent="0.25">
      <c r="A675">
        <v>38</v>
      </c>
      <c r="B675" t="s">
        <v>106</v>
      </c>
      <c r="C675" s="4">
        <f>IF(Tabelle18[[#This Row],[binding_level_company]]&gt;=1,1,0)</f>
        <v>0</v>
      </c>
      <c r="D675" s="4">
        <f>_xlfn.MAXIFS(Tabelle5[[#This Row],[binding_level]], Tabelle5[[#This Row],[company_id]],Tabelle18[[#This Row],[company_id]], Tabelle5[[#This Row],[value_id]], Tabelle18[[#This Row],[value_id]], Tabelle5[[#This Row],[value_present]],"1")</f>
        <v>0</v>
      </c>
      <c r="E675" s="4">
        <f>_xlfn.MAXIFS(Tabelle5[[#This Row],[value_points]], Tabelle5[[#This Row],[company_id]],Tabelle18[[#This Row],[company_id]], Tabelle5[[#This Row],[value_id]], Tabelle18[[#This Row],[value_id]], Tabelle5[[#This Row],[value_present]],"1")</f>
        <v>0</v>
      </c>
    </row>
    <row r="676" spans="1:5" x14ac:dyDescent="0.25">
      <c r="A676">
        <v>38</v>
      </c>
      <c r="B676" t="s">
        <v>112</v>
      </c>
      <c r="C676" s="4">
        <f>IF(Tabelle18[[#This Row],[binding_level_company]]&gt;=1,1,0)</f>
        <v>0</v>
      </c>
      <c r="D676" s="4">
        <f>_xlfn.MAXIFS(Tabelle5[[#This Row],[binding_level]], Tabelle5[[#This Row],[company_id]],Tabelle18[[#This Row],[company_id]], Tabelle5[[#This Row],[value_id]], Tabelle18[[#This Row],[value_id]], Tabelle5[[#This Row],[value_present]],"1")</f>
        <v>0</v>
      </c>
      <c r="E676" s="4">
        <f>_xlfn.MAXIFS(Tabelle5[[#This Row],[value_points]], Tabelle5[[#This Row],[company_id]],Tabelle18[[#This Row],[company_id]], Tabelle5[[#This Row],[value_id]], Tabelle18[[#This Row],[value_id]], Tabelle5[[#This Row],[value_present]],"1")</f>
        <v>0</v>
      </c>
    </row>
    <row r="677" spans="1:5" x14ac:dyDescent="0.25">
      <c r="A677">
        <v>38</v>
      </c>
      <c r="B677" t="s">
        <v>118</v>
      </c>
      <c r="C677" s="4">
        <f>IF(Tabelle18[[#This Row],[binding_level_company]]&gt;=1,1,0)</f>
        <v>0</v>
      </c>
      <c r="D677" s="4">
        <f>_xlfn.MAXIFS(Tabelle5[[#This Row],[binding_level]], Tabelle5[[#This Row],[company_id]],Tabelle18[[#This Row],[company_id]], Tabelle5[[#This Row],[value_id]], Tabelle18[[#This Row],[value_id]], Tabelle5[[#This Row],[value_present]],"1")</f>
        <v>0</v>
      </c>
      <c r="E677" s="4">
        <f>_xlfn.MAXIFS(Tabelle5[[#This Row],[value_points]], Tabelle5[[#This Row],[company_id]],Tabelle18[[#This Row],[company_id]], Tabelle5[[#This Row],[value_id]], Tabelle18[[#This Row],[value_id]], Tabelle5[[#This Row],[value_present]],"1")</f>
        <v>0</v>
      </c>
    </row>
    <row r="678" spans="1:5" x14ac:dyDescent="0.25">
      <c r="A678">
        <v>38</v>
      </c>
      <c r="B678" t="s">
        <v>125</v>
      </c>
      <c r="C678" s="4">
        <f>IF(Tabelle18[[#This Row],[binding_level_company]]&gt;=1,1,0)</f>
        <v>0</v>
      </c>
      <c r="D678" s="4">
        <f>_xlfn.MAXIFS(Tabelle5[[#This Row],[binding_level]], Tabelle5[[#This Row],[company_id]],Tabelle18[[#This Row],[company_id]], Tabelle5[[#This Row],[value_id]], Tabelle18[[#This Row],[value_id]], Tabelle5[[#This Row],[value_present]],"1")</f>
        <v>0</v>
      </c>
      <c r="E678" s="4">
        <f>_xlfn.MAXIFS(Tabelle5[[#This Row],[value_points]], Tabelle5[[#This Row],[company_id]],Tabelle18[[#This Row],[company_id]], Tabelle5[[#This Row],[value_id]], Tabelle18[[#This Row],[value_id]], Tabelle5[[#This Row],[value_present]],"1")</f>
        <v>0</v>
      </c>
    </row>
    <row r="679" spans="1:5" x14ac:dyDescent="0.25">
      <c r="A679">
        <v>38</v>
      </c>
      <c r="B679" t="s">
        <v>132</v>
      </c>
      <c r="C679" s="4">
        <f>IF(Tabelle18[[#This Row],[binding_level_company]]&gt;=1,1,0)</f>
        <v>0</v>
      </c>
      <c r="D679" s="4">
        <f>_xlfn.MAXIFS(Tabelle5[[#This Row],[binding_level]], Tabelle5[[#This Row],[company_id]],Tabelle18[[#This Row],[company_id]], Tabelle5[[#This Row],[value_id]], Tabelle18[[#This Row],[value_id]], Tabelle5[[#This Row],[value_present]],"1")</f>
        <v>0</v>
      </c>
      <c r="E679" s="4">
        <f>_xlfn.MAXIFS(Tabelle5[[#This Row],[value_points]], Tabelle5[[#This Row],[company_id]],Tabelle18[[#This Row],[company_id]], Tabelle5[[#This Row],[value_id]], Tabelle18[[#This Row],[value_id]], Tabelle5[[#This Row],[value_present]],"1")</f>
        <v>0</v>
      </c>
    </row>
    <row r="680" spans="1:5" x14ac:dyDescent="0.25">
      <c r="A680">
        <v>38</v>
      </c>
      <c r="B680" t="s">
        <v>140</v>
      </c>
      <c r="C680" s="4">
        <f>IF(Tabelle18[[#This Row],[binding_level_company]]&gt;=1,1,0)</f>
        <v>0</v>
      </c>
      <c r="D680" s="4">
        <f>_xlfn.MAXIFS(Tabelle5[[#This Row],[binding_level]], Tabelle5[[#This Row],[company_id]],Tabelle18[[#This Row],[company_id]], Tabelle5[[#This Row],[value_id]], Tabelle18[[#This Row],[value_id]], Tabelle5[[#This Row],[value_present]],"1")</f>
        <v>0</v>
      </c>
      <c r="E680" s="4">
        <f>_xlfn.MAXIFS(Tabelle5[[#This Row],[value_points]], Tabelle5[[#This Row],[company_id]],Tabelle18[[#This Row],[company_id]], Tabelle5[[#This Row],[value_id]], Tabelle18[[#This Row],[value_id]], Tabelle5[[#This Row],[value_present]],"1")</f>
        <v>0</v>
      </c>
    </row>
    <row r="681" spans="1:5" x14ac:dyDescent="0.25">
      <c r="A681">
        <v>38</v>
      </c>
      <c r="B681" t="s">
        <v>147</v>
      </c>
      <c r="C681" s="4">
        <f>IF(Tabelle18[[#This Row],[binding_level_company]]&gt;=1,1,0)</f>
        <v>0</v>
      </c>
      <c r="D681" s="4">
        <f>_xlfn.MAXIFS(Tabelle5[[#This Row],[binding_level]], Tabelle5[[#This Row],[company_id]],Tabelle18[[#This Row],[company_id]], Tabelle5[[#This Row],[value_id]], Tabelle18[[#This Row],[value_id]], Tabelle5[[#This Row],[value_present]],"1")</f>
        <v>0</v>
      </c>
      <c r="E681" s="4">
        <f>_xlfn.MAXIFS(Tabelle5[[#This Row],[value_points]], Tabelle5[[#This Row],[company_id]],Tabelle18[[#This Row],[company_id]], Tabelle5[[#This Row],[value_id]], Tabelle18[[#This Row],[value_id]], Tabelle5[[#This Row],[value_present]],"1")</f>
        <v>0</v>
      </c>
    </row>
    <row r="682" spans="1:5" x14ac:dyDescent="0.25">
      <c r="A682">
        <v>38</v>
      </c>
      <c r="B682" t="s">
        <v>154</v>
      </c>
      <c r="C682" s="4">
        <f>IF(Tabelle18[[#This Row],[binding_level_company]]&gt;=1,1,0)</f>
        <v>0</v>
      </c>
      <c r="D682" s="4">
        <f>_xlfn.MAXIFS(Tabelle5[[#This Row],[binding_level]], Tabelle5[[#This Row],[company_id]],Tabelle18[[#This Row],[company_id]], Tabelle5[[#This Row],[value_id]], Tabelle18[[#This Row],[value_id]], Tabelle5[[#This Row],[value_present]],"1")</f>
        <v>0</v>
      </c>
      <c r="E682" s="4">
        <f>_xlfn.MAXIFS(Tabelle5[[#This Row],[value_points]], Tabelle5[[#This Row],[company_id]],Tabelle18[[#This Row],[company_id]], Tabelle5[[#This Row],[value_id]], Tabelle18[[#This Row],[value_id]], Tabelle5[[#This Row],[value_present]],"1")</f>
        <v>0</v>
      </c>
    </row>
    <row r="683" spans="1:5" x14ac:dyDescent="0.25">
      <c r="A683">
        <v>38</v>
      </c>
      <c r="B683" t="s">
        <v>161</v>
      </c>
      <c r="C683" s="4">
        <f>IF(Tabelle18[[#This Row],[binding_level_company]]&gt;=1,1,0)</f>
        <v>0</v>
      </c>
      <c r="D683" s="4">
        <f>_xlfn.MAXIFS(Tabelle5[[#This Row],[binding_level]], Tabelle5[[#This Row],[company_id]],Tabelle18[[#This Row],[company_id]], Tabelle5[[#This Row],[value_id]], Tabelle18[[#This Row],[value_id]], Tabelle5[[#This Row],[value_present]],"1")</f>
        <v>0</v>
      </c>
      <c r="E683" s="4">
        <f>_xlfn.MAXIFS(Tabelle5[[#This Row],[value_points]], Tabelle5[[#This Row],[company_id]],Tabelle18[[#This Row],[company_id]], Tabelle5[[#This Row],[value_id]], Tabelle18[[#This Row],[value_id]], Tabelle5[[#This Row],[value_present]],"1")</f>
        <v>0</v>
      </c>
    </row>
    <row r="684" spans="1:5" x14ac:dyDescent="0.25">
      <c r="A684">
        <v>38</v>
      </c>
      <c r="B684" t="s">
        <v>166</v>
      </c>
      <c r="C684" s="4">
        <f>IF(Tabelle18[[#This Row],[binding_level_company]]&gt;=1,1,0)</f>
        <v>0</v>
      </c>
      <c r="D684" s="4">
        <f>_xlfn.MAXIFS(Tabelle5[[#This Row],[binding_level]], Tabelle5[[#This Row],[company_id]],Tabelle18[[#This Row],[company_id]], Tabelle5[[#This Row],[value_id]], Tabelle18[[#This Row],[value_id]], Tabelle5[[#This Row],[value_present]],"1")</f>
        <v>0</v>
      </c>
      <c r="E684" s="4">
        <f>_xlfn.MAXIFS(Tabelle5[[#This Row],[value_points]], Tabelle5[[#This Row],[company_id]],Tabelle18[[#This Row],[company_id]], Tabelle5[[#This Row],[value_id]], Tabelle18[[#This Row],[value_id]], Tabelle5[[#This Row],[value_present]],"1")</f>
        <v>0</v>
      </c>
    </row>
    <row r="685" spans="1:5" ht="15.75" thickBot="1" x14ac:dyDescent="0.3">
      <c r="A685">
        <v>38</v>
      </c>
      <c r="B685" s="30" t="s">
        <v>174</v>
      </c>
      <c r="C685" s="4">
        <f>IF(Tabelle18[[#This Row],[binding_level_company]]&gt;=1,1,0)</f>
        <v>0</v>
      </c>
      <c r="D685" s="4">
        <f>_xlfn.MAXIFS(Tabelle5[[#This Row],[binding_level]], Tabelle5[[#This Row],[company_id]],Tabelle18[[#This Row],[company_id]], Tabelle5[[#This Row],[value_id]], Tabelle18[[#This Row],[value_id]], Tabelle5[[#This Row],[value_present]],"1")</f>
        <v>0</v>
      </c>
      <c r="E685" s="4">
        <f>_xlfn.MAXIFS(Tabelle5[[#This Row],[value_points]], Tabelle5[[#This Row],[company_id]],Tabelle18[[#This Row],[company_id]], Tabelle5[[#This Row],[value_id]], Tabelle18[[#This Row],[value_id]], Tabelle5[[#This Row],[value_present]],"1")</f>
        <v>0</v>
      </c>
    </row>
    <row r="686" spans="1:5" x14ac:dyDescent="0.25">
      <c r="A686">
        <v>39</v>
      </c>
      <c r="B686" s="22" t="s">
        <v>53</v>
      </c>
      <c r="C686" s="4">
        <f>IF(Tabelle18[[#This Row],[binding_level_company]]&gt;=1,1,0)</f>
        <v>0</v>
      </c>
      <c r="D686" s="4">
        <f>_xlfn.MAXIFS(Tabelle5[[#This Row],[binding_level]], Tabelle5[[#This Row],[company_id]],Tabelle18[[#This Row],[company_id]], Tabelle5[[#This Row],[value_id]], Tabelle18[[#This Row],[value_id]], Tabelle5[[#This Row],[value_present]],"1")</f>
        <v>0</v>
      </c>
      <c r="E686" s="4">
        <f>_xlfn.MAXIFS(Tabelle5[[#This Row],[value_points]], Tabelle5[[#This Row],[company_id]],Tabelle18[[#This Row],[company_id]], Tabelle5[[#This Row],[value_id]], Tabelle18[[#This Row],[value_id]], Tabelle5[[#This Row],[value_present]],"1")</f>
        <v>0</v>
      </c>
    </row>
    <row r="687" spans="1:5" x14ac:dyDescent="0.25">
      <c r="A687">
        <v>39</v>
      </c>
      <c r="B687" t="s">
        <v>61</v>
      </c>
      <c r="C687" s="4">
        <f>IF(Tabelle18[[#This Row],[binding_level_company]]&gt;=1,1,0)</f>
        <v>0</v>
      </c>
      <c r="D687" s="4">
        <f>_xlfn.MAXIFS(Tabelle5[[#This Row],[binding_level]], Tabelle5[[#This Row],[company_id]],Tabelle18[[#This Row],[company_id]], Tabelle5[[#This Row],[value_id]], Tabelle18[[#This Row],[value_id]], Tabelle5[[#This Row],[value_present]],"1")</f>
        <v>0</v>
      </c>
      <c r="E687" s="4">
        <f>_xlfn.MAXIFS(Tabelle5[[#This Row],[value_points]], Tabelle5[[#This Row],[company_id]],Tabelle18[[#This Row],[company_id]], Tabelle5[[#This Row],[value_id]], Tabelle18[[#This Row],[value_id]], Tabelle5[[#This Row],[value_present]],"1")</f>
        <v>0</v>
      </c>
    </row>
    <row r="688" spans="1:5" x14ac:dyDescent="0.25">
      <c r="A688">
        <v>39</v>
      </c>
      <c r="B688" t="s">
        <v>69</v>
      </c>
      <c r="C688" s="4">
        <f>IF(Tabelle18[[#This Row],[binding_level_company]]&gt;=1,1,0)</f>
        <v>0</v>
      </c>
      <c r="D688" s="4">
        <f>_xlfn.MAXIFS(Tabelle5[[#This Row],[binding_level]], Tabelle5[[#This Row],[company_id]],Tabelle18[[#This Row],[company_id]], Tabelle5[[#This Row],[value_id]], Tabelle18[[#This Row],[value_id]], Tabelle5[[#This Row],[value_present]],"1")</f>
        <v>0</v>
      </c>
      <c r="E688" s="4">
        <f>_xlfn.MAXIFS(Tabelle5[[#This Row],[value_points]], Tabelle5[[#This Row],[company_id]],Tabelle18[[#This Row],[company_id]], Tabelle5[[#This Row],[value_id]], Tabelle18[[#This Row],[value_id]], Tabelle5[[#This Row],[value_present]],"1")</f>
        <v>0</v>
      </c>
    </row>
    <row r="689" spans="1:5" x14ac:dyDescent="0.25">
      <c r="A689">
        <v>39</v>
      </c>
      <c r="B689" t="s">
        <v>76</v>
      </c>
      <c r="C689" s="4">
        <f>IF(Tabelle18[[#This Row],[binding_level_company]]&gt;=1,1,0)</f>
        <v>0</v>
      </c>
      <c r="D689" s="4">
        <f>_xlfn.MAXIFS(Tabelle5[[#This Row],[binding_level]], Tabelle5[[#This Row],[company_id]],Tabelle18[[#This Row],[company_id]], Tabelle5[[#This Row],[value_id]], Tabelle18[[#This Row],[value_id]], Tabelle5[[#This Row],[value_present]],"1")</f>
        <v>0</v>
      </c>
      <c r="E689" s="4">
        <f>_xlfn.MAXIFS(Tabelle5[[#This Row],[value_points]], Tabelle5[[#This Row],[company_id]],Tabelle18[[#This Row],[company_id]], Tabelle5[[#This Row],[value_id]], Tabelle18[[#This Row],[value_id]], Tabelle5[[#This Row],[value_present]],"1")</f>
        <v>0</v>
      </c>
    </row>
    <row r="690" spans="1:5" x14ac:dyDescent="0.25">
      <c r="A690">
        <v>39</v>
      </c>
      <c r="B690" t="s">
        <v>83</v>
      </c>
      <c r="C690" s="4">
        <f>IF(Tabelle18[[#This Row],[binding_level_company]]&gt;=1,1,0)</f>
        <v>0</v>
      </c>
      <c r="D690" s="4">
        <f>_xlfn.MAXIFS(Tabelle5[[#This Row],[binding_level]], Tabelle5[[#This Row],[company_id]],Tabelle18[[#This Row],[company_id]], Tabelle5[[#This Row],[value_id]], Tabelle18[[#This Row],[value_id]], Tabelle5[[#This Row],[value_present]],"1")</f>
        <v>0</v>
      </c>
      <c r="E690" s="4">
        <f>_xlfn.MAXIFS(Tabelle5[[#This Row],[value_points]], Tabelle5[[#This Row],[company_id]],Tabelle18[[#This Row],[company_id]], Tabelle5[[#This Row],[value_id]], Tabelle18[[#This Row],[value_id]], Tabelle5[[#This Row],[value_present]],"1")</f>
        <v>0</v>
      </c>
    </row>
    <row r="691" spans="1:5" x14ac:dyDescent="0.25">
      <c r="A691">
        <v>39</v>
      </c>
      <c r="B691" t="s">
        <v>90</v>
      </c>
      <c r="C691" s="4">
        <f>IF(Tabelle18[[#This Row],[binding_level_company]]&gt;=1,1,0)</f>
        <v>0</v>
      </c>
      <c r="D691" s="4">
        <f>_xlfn.MAXIFS(Tabelle5[[#This Row],[binding_level]], Tabelle5[[#This Row],[company_id]],Tabelle18[[#This Row],[company_id]], Tabelle5[[#This Row],[value_id]], Tabelle18[[#This Row],[value_id]], Tabelle5[[#This Row],[value_present]],"1")</f>
        <v>0</v>
      </c>
      <c r="E691" s="4">
        <f>_xlfn.MAXIFS(Tabelle5[[#This Row],[value_points]], Tabelle5[[#This Row],[company_id]],Tabelle18[[#This Row],[company_id]], Tabelle5[[#This Row],[value_id]], Tabelle18[[#This Row],[value_id]], Tabelle5[[#This Row],[value_present]],"1")</f>
        <v>0</v>
      </c>
    </row>
    <row r="692" spans="1:5" x14ac:dyDescent="0.25">
      <c r="A692">
        <v>39</v>
      </c>
      <c r="B692" t="s">
        <v>98</v>
      </c>
      <c r="C692" s="4">
        <f>IF(Tabelle18[[#This Row],[binding_level_company]]&gt;=1,1,0)</f>
        <v>0</v>
      </c>
      <c r="D692" s="4">
        <f>_xlfn.MAXIFS(Tabelle5[[#This Row],[binding_level]], Tabelle5[[#This Row],[company_id]],Tabelle18[[#This Row],[company_id]], Tabelle5[[#This Row],[value_id]], Tabelle18[[#This Row],[value_id]], Tabelle5[[#This Row],[value_present]],"1")</f>
        <v>0</v>
      </c>
      <c r="E692" s="4">
        <f>_xlfn.MAXIFS(Tabelle5[[#This Row],[value_points]], Tabelle5[[#This Row],[company_id]],Tabelle18[[#This Row],[company_id]], Tabelle5[[#This Row],[value_id]], Tabelle18[[#This Row],[value_id]], Tabelle5[[#This Row],[value_present]],"1")</f>
        <v>0</v>
      </c>
    </row>
    <row r="693" spans="1:5" x14ac:dyDescent="0.25">
      <c r="A693">
        <v>39</v>
      </c>
      <c r="B693" t="s">
        <v>106</v>
      </c>
      <c r="C693" s="4">
        <f>IF(Tabelle18[[#This Row],[binding_level_company]]&gt;=1,1,0)</f>
        <v>0</v>
      </c>
      <c r="D693" s="4">
        <f>_xlfn.MAXIFS(Tabelle5[[#This Row],[binding_level]], Tabelle5[[#This Row],[company_id]],Tabelle18[[#This Row],[company_id]], Tabelle5[[#This Row],[value_id]], Tabelle18[[#This Row],[value_id]], Tabelle5[[#This Row],[value_present]],"1")</f>
        <v>0</v>
      </c>
      <c r="E693" s="4">
        <f>_xlfn.MAXIFS(Tabelle5[[#This Row],[value_points]], Tabelle5[[#This Row],[company_id]],Tabelle18[[#This Row],[company_id]], Tabelle5[[#This Row],[value_id]], Tabelle18[[#This Row],[value_id]], Tabelle5[[#This Row],[value_present]],"1")</f>
        <v>0</v>
      </c>
    </row>
    <row r="694" spans="1:5" x14ac:dyDescent="0.25">
      <c r="A694">
        <v>39</v>
      </c>
      <c r="B694" t="s">
        <v>112</v>
      </c>
      <c r="C694" s="4">
        <f>IF(Tabelle18[[#This Row],[binding_level_company]]&gt;=1,1,0)</f>
        <v>0</v>
      </c>
      <c r="D694" s="4">
        <f>_xlfn.MAXIFS(Tabelle5[[#This Row],[binding_level]], Tabelle5[[#This Row],[company_id]],Tabelle18[[#This Row],[company_id]], Tabelle5[[#This Row],[value_id]], Tabelle18[[#This Row],[value_id]], Tabelle5[[#This Row],[value_present]],"1")</f>
        <v>0</v>
      </c>
      <c r="E694" s="4">
        <f>_xlfn.MAXIFS(Tabelle5[[#This Row],[value_points]], Tabelle5[[#This Row],[company_id]],Tabelle18[[#This Row],[company_id]], Tabelle5[[#This Row],[value_id]], Tabelle18[[#This Row],[value_id]], Tabelle5[[#This Row],[value_present]],"1")</f>
        <v>0</v>
      </c>
    </row>
    <row r="695" spans="1:5" x14ac:dyDescent="0.25">
      <c r="A695">
        <v>39</v>
      </c>
      <c r="B695" t="s">
        <v>118</v>
      </c>
      <c r="C695" s="4">
        <f>IF(Tabelle18[[#This Row],[binding_level_company]]&gt;=1,1,0)</f>
        <v>0</v>
      </c>
      <c r="D695" s="4">
        <f>_xlfn.MAXIFS(Tabelle5[[#This Row],[binding_level]], Tabelle5[[#This Row],[company_id]],Tabelle18[[#This Row],[company_id]], Tabelle5[[#This Row],[value_id]], Tabelle18[[#This Row],[value_id]], Tabelle5[[#This Row],[value_present]],"1")</f>
        <v>0</v>
      </c>
      <c r="E695" s="4">
        <f>_xlfn.MAXIFS(Tabelle5[[#This Row],[value_points]], Tabelle5[[#This Row],[company_id]],Tabelle18[[#This Row],[company_id]], Tabelle5[[#This Row],[value_id]], Tabelle18[[#This Row],[value_id]], Tabelle5[[#This Row],[value_present]],"1")</f>
        <v>0</v>
      </c>
    </row>
    <row r="696" spans="1:5" x14ac:dyDescent="0.25">
      <c r="A696">
        <v>39</v>
      </c>
      <c r="B696" t="s">
        <v>125</v>
      </c>
      <c r="C696" s="4">
        <f>IF(Tabelle18[[#This Row],[binding_level_company]]&gt;=1,1,0)</f>
        <v>0</v>
      </c>
      <c r="D696" s="4">
        <f>_xlfn.MAXIFS(Tabelle5[[#This Row],[binding_level]], Tabelle5[[#This Row],[company_id]],Tabelle18[[#This Row],[company_id]], Tabelle5[[#This Row],[value_id]], Tabelle18[[#This Row],[value_id]], Tabelle5[[#This Row],[value_present]],"1")</f>
        <v>0</v>
      </c>
      <c r="E696" s="4">
        <f>_xlfn.MAXIFS(Tabelle5[[#This Row],[value_points]], Tabelle5[[#This Row],[company_id]],Tabelle18[[#This Row],[company_id]], Tabelle5[[#This Row],[value_id]], Tabelle18[[#This Row],[value_id]], Tabelle5[[#This Row],[value_present]],"1")</f>
        <v>0</v>
      </c>
    </row>
    <row r="697" spans="1:5" x14ac:dyDescent="0.25">
      <c r="A697">
        <v>39</v>
      </c>
      <c r="B697" t="s">
        <v>132</v>
      </c>
      <c r="C697" s="4">
        <f>IF(Tabelle18[[#This Row],[binding_level_company]]&gt;=1,1,0)</f>
        <v>0</v>
      </c>
      <c r="D697" s="4">
        <f>_xlfn.MAXIFS(Tabelle5[[#This Row],[binding_level]], Tabelle5[[#This Row],[company_id]],Tabelle18[[#This Row],[company_id]], Tabelle5[[#This Row],[value_id]], Tabelle18[[#This Row],[value_id]], Tabelle5[[#This Row],[value_present]],"1")</f>
        <v>0</v>
      </c>
      <c r="E697" s="4">
        <f>_xlfn.MAXIFS(Tabelle5[[#This Row],[value_points]], Tabelle5[[#This Row],[company_id]],Tabelle18[[#This Row],[company_id]], Tabelle5[[#This Row],[value_id]], Tabelle18[[#This Row],[value_id]], Tabelle5[[#This Row],[value_present]],"1")</f>
        <v>0</v>
      </c>
    </row>
    <row r="698" spans="1:5" x14ac:dyDescent="0.25">
      <c r="A698">
        <v>39</v>
      </c>
      <c r="B698" t="s">
        <v>140</v>
      </c>
      <c r="C698" s="4">
        <f>IF(Tabelle18[[#This Row],[binding_level_company]]&gt;=1,1,0)</f>
        <v>0</v>
      </c>
      <c r="D698" s="4">
        <f>_xlfn.MAXIFS(Tabelle5[[#This Row],[binding_level]], Tabelle5[[#This Row],[company_id]],Tabelle18[[#This Row],[company_id]], Tabelle5[[#This Row],[value_id]], Tabelle18[[#This Row],[value_id]], Tabelle5[[#This Row],[value_present]],"1")</f>
        <v>0</v>
      </c>
      <c r="E698" s="4">
        <f>_xlfn.MAXIFS(Tabelle5[[#This Row],[value_points]], Tabelle5[[#This Row],[company_id]],Tabelle18[[#This Row],[company_id]], Tabelle5[[#This Row],[value_id]], Tabelle18[[#This Row],[value_id]], Tabelle5[[#This Row],[value_present]],"1")</f>
        <v>0</v>
      </c>
    </row>
    <row r="699" spans="1:5" x14ac:dyDescent="0.25">
      <c r="A699">
        <v>39</v>
      </c>
      <c r="B699" t="s">
        <v>147</v>
      </c>
      <c r="C699" s="4">
        <f>IF(Tabelle18[[#This Row],[binding_level_company]]&gt;=1,1,0)</f>
        <v>0</v>
      </c>
      <c r="D699" s="4">
        <f>_xlfn.MAXIFS(Tabelle5[[#This Row],[binding_level]], Tabelle5[[#This Row],[company_id]],Tabelle18[[#This Row],[company_id]], Tabelle5[[#This Row],[value_id]], Tabelle18[[#This Row],[value_id]], Tabelle5[[#This Row],[value_present]],"1")</f>
        <v>0</v>
      </c>
      <c r="E699" s="4">
        <f>_xlfn.MAXIFS(Tabelle5[[#This Row],[value_points]], Tabelle5[[#This Row],[company_id]],Tabelle18[[#This Row],[company_id]], Tabelle5[[#This Row],[value_id]], Tabelle18[[#This Row],[value_id]], Tabelle5[[#This Row],[value_present]],"1")</f>
        <v>0</v>
      </c>
    </row>
    <row r="700" spans="1:5" x14ac:dyDescent="0.25">
      <c r="A700">
        <v>39</v>
      </c>
      <c r="B700" t="s">
        <v>154</v>
      </c>
      <c r="C700" s="4">
        <f>IF(Tabelle18[[#This Row],[binding_level_company]]&gt;=1,1,0)</f>
        <v>0</v>
      </c>
      <c r="D700" s="4">
        <f>_xlfn.MAXIFS(Tabelle5[[#This Row],[binding_level]], Tabelle5[[#This Row],[company_id]],Tabelle18[[#This Row],[company_id]], Tabelle5[[#This Row],[value_id]], Tabelle18[[#This Row],[value_id]], Tabelle5[[#This Row],[value_present]],"1")</f>
        <v>0</v>
      </c>
      <c r="E700" s="4">
        <f>_xlfn.MAXIFS(Tabelle5[[#This Row],[value_points]], Tabelle5[[#This Row],[company_id]],Tabelle18[[#This Row],[company_id]], Tabelle5[[#This Row],[value_id]], Tabelle18[[#This Row],[value_id]], Tabelle5[[#This Row],[value_present]],"1")</f>
        <v>0</v>
      </c>
    </row>
    <row r="701" spans="1:5" x14ac:dyDescent="0.25">
      <c r="A701">
        <v>39</v>
      </c>
      <c r="B701" t="s">
        <v>161</v>
      </c>
      <c r="C701" s="4">
        <f>IF(Tabelle18[[#This Row],[binding_level_company]]&gt;=1,1,0)</f>
        <v>0</v>
      </c>
      <c r="D701" s="4">
        <f>_xlfn.MAXIFS(Tabelle5[[#This Row],[binding_level]], Tabelle5[[#This Row],[company_id]],Tabelle18[[#This Row],[company_id]], Tabelle5[[#This Row],[value_id]], Tabelle18[[#This Row],[value_id]], Tabelle5[[#This Row],[value_present]],"1")</f>
        <v>0</v>
      </c>
      <c r="E701" s="4">
        <f>_xlfn.MAXIFS(Tabelle5[[#This Row],[value_points]], Tabelle5[[#This Row],[company_id]],Tabelle18[[#This Row],[company_id]], Tabelle5[[#This Row],[value_id]], Tabelle18[[#This Row],[value_id]], Tabelle5[[#This Row],[value_present]],"1")</f>
        <v>0</v>
      </c>
    </row>
    <row r="702" spans="1:5" x14ac:dyDescent="0.25">
      <c r="A702">
        <v>39</v>
      </c>
      <c r="B702" t="s">
        <v>166</v>
      </c>
      <c r="C702" s="4">
        <f>IF(Tabelle18[[#This Row],[binding_level_company]]&gt;=1,1,0)</f>
        <v>0</v>
      </c>
      <c r="D702" s="4">
        <f>_xlfn.MAXIFS(Tabelle5[[#This Row],[binding_level]], Tabelle5[[#This Row],[company_id]],Tabelle18[[#This Row],[company_id]], Tabelle5[[#This Row],[value_id]], Tabelle18[[#This Row],[value_id]], Tabelle5[[#This Row],[value_present]],"1")</f>
        <v>0</v>
      </c>
      <c r="E702" s="4">
        <f>_xlfn.MAXIFS(Tabelle5[[#This Row],[value_points]], Tabelle5[[#This Row],[company_id]],Tabelle18[[#This Row],[company_id]], Tabelle5[[#This Row],[value_id]], Tabelle18[[#This Row],[value_id]], Tabelle5[[#This Row],[value_present]],"1")</f>
        <v>0</v>
      </c>
    </row>
    <row r="703" spans="1:5" ht="15.75" thickBot="1" x14ac:dyDescent="0.3">
      <c r="A703">
        <v>39</v>
      </c>
      <c r="B703" s="30" t="s">
        <v>174</v>
      </c>
      <c r="C703" s="4">
        <f>IF(Tabelle18[[#This Row],[binding_level_company]]&gt;=1,1,0)</f>
        <v>0</v>
      </c>
      <c r="D703" s="4">
        <f>_xlfn.MAXIFS(Tabelle5[[#This Row],[binding_level]], Tabelle5[[#This Row],[company_id]],Tabelle18[[#This Row],[company_id]], Tabelle5[[#This Row],[value_id]], Tabelle18[[#This Row],[value_id]], Tabelle5[[#This Row],[value_present]],"1")</f>
        <v>0</v>
      </c>
      <c r="E703" s="4">
        <f>_xlfn.MAXIFS(Tabelle5[[#This Row],[value_points]], Tabelle5[[#This Row],[company_id]],Tabelle18[[#This Row],[company_id]], Tabelle5[[#This Row],[value_id]], Tabelle18[[#This Row],[value_id]], Tabelle5[[#This Row],[value_present]],"1")</f>
        <v>0</v>
      </c>
    </row>
    <row r="704" spans="1:5" x14ac:dyDescent="0.25">
      <c r="A704">
        <v>40</v>
      </c>
      <c r="B704" s="22" t="s">
        <v>53</v>
      </c>
      <c r="C704" s="4">
        <f>IF(Tabelle18[[#This Row],[binding_level_company]]&gt;=1,1,0)</f>
        <v>0</v>
      </c>
      <c r="D704" s="4">
        <f>_xlfn.MAXIFS(Tabelle5[[#This Row],[binding_level]], Tabelle5[[#This Row],[company_id]],Tabelle18[[#This Row],[company_id]], Tabelle5[[#This Row],[value_id]], Tabelle18[[#This Row],[value_id]], Tabelle5[[#This Row],[value_present]],"1")</f>
        <v>0</v>
      </c>
      <c r="E704" s="4">
        <f>_xlfn.MAXIFS(Tabelle5[[#This Row],[value_points]], Tabelle5[[#This Row],[company_id]],Tabelle18[[#This Row],[company_id]], Tabelle5[[#This Row],[value_id]], Tabelle18[[#This Row],[value_id]], Tabelle5[[#This Row],[value_present]],"1")</f>
        <v>0</v>
      </c>
    </row>
    <row r="705" spans="1:5" x14ac:dyDescent="0.25">
      <c r="A705">
        <v>40</v>
      </c>
      <c r="B705" t="s">
        <v>61</v>
      </c>
      <c r="C705" s="4">
        <f>IF(Tabelle18[[#This Row],[binding_level_company]]&gt;=1,1,0)</f>
        <v>0</v>
      </c>
      <c r="D705" s="4">
        <f>_xlfn.MAXIFS(Tabelle5[[#This Row],[binding_level]], Tabelle5[[#This Row],[company_id]],Tabelle18[[#This Row],[company_id]], Tabelle5[[#This Row],[value_id]], Tabelle18[[#This Row],[value_id]], Tabelle5[[#This Row],[value_present]],"1")</f>
        <v>0</v>
      </c>
      <c r="E705" s="4">
        <f>_xlfn.MAXIFS(Tabelle5[[#This Row],[value_points]], Tabelle5[[#This Row],[company_id]],Tabelle18[[#This Row],[company_id]], Tabelle5[[#This Row],[value_id]], Tabelle18[[#This Row],[value_id]], Tabelle5[[#This Row],[value_present]],"1")</f>
        <v>0</v>
      </c>
    </row>
    <row r="706" spans="1:5" x14ac:dyDescent="0.25">
      <c r="A706">
        <v>40</v>
      </c>
      <c r="B706" t="s">
        <v>69</v>
      </c>
      <c r="C706" s="4">
        <f>IF(Tabelle18[[#This Row],[binding_level_company]]&gt;=1,1,0)</f>
        <v>0</v>
      </c>
      <c r="D706" s="4">
        <f>_xlfn.MAXIFS(Tabelle5[[#This Row],[binding_level]], Tabelle5[[#This Row],[company_id]],Tabelle18[[#This Row],[company_id]], Tabelle5[[#This Row],[value_id]], Tabelle18[[#This Row],[value_id]], Tabelle5[[#This Row],[value_present]],"1")</f>
        <v>0</v>
      </c>
      <c r="E706" s="4">
        <f>_xlfn.MAXIFS(Tabelle5[[#This Row],[value_points]], Tabelle5[[#This Row],[company_id]],Tabelle18[[#This Row],[company_id]], Tabelle5[[#This Row],[value_id]], Tabelle18[[#This Row],[value_id]], Tabelle5[[#This Row],[value_present]],"1")</f>
        <v>0</v>
      </c>
    </row>
    <row r="707" spans="1:5" x14ac:dyDescent="0.25">
      <c r="A707">
        <v>40</v>
      </c>
      <c r="B707" t="s">
        <v>76</v>
      </c>
      <c r="C707" s="4">
        <f>IF(Tabelle18[[#This Row],[binding_level_company]]&gt;=1,1,0)</f>
        <v>0</v>
      </c>
      <c r="D707" s="4">
        <f>_xlfn.MAXIFS(Tabelle5[[#This Row],[binding_level]], Tabelle5[[#This Row],[company_id]],Tabelle18[[#This Row],[company_id]], Tabelle5[[#This Row],[value_id]], Tabelle18[[#This Row],[value_id]], Tabelle5[[#This Row],[value_present]],"1")</f>
        <v>0</v>
      </c>
      <c r="E707" s="4">
        <f>_xlfn.MAXIFS(Tabelle5[[#This Row],[value_points]], Tabelle5[[#This Row],[company_id]],Tabelle18[[#This Row],[company_id]], Tabelle5[[#This Row],[value_id]], Tabelle18[[#This Row],[value_id]], Tabelle5[[#This Row],[value_present]],"1")</f>
        <v>0</v>
      </c>
    </row>
    <row r="708" spans="1:5" x14ac:dyDescent="0.25">
      <c r="A708">
        <v>40</v>
      </c>
      <c r="B708" t="s">
        <v>83</v>
      </c>
      <c r="C708" s="4">
        <f>IF(Tabelle18[[#This Row],[binding_level_company]]&gt;=1,1,0)</f>
        <v>0</v>
      </c>
      <c r="D708" s="4">
        <f>_xlfn.MAXIFS(Tabelle5[[#This Row],[binding_level]], Tabelle5[[#This Row],[company_id]],Tabelle18[[#This Row],[company_id]], Tabelle5[[#This Row],[value_id]], Tabelle18[[#This Row],[value_id]], Tabelle5[[#This Row],[value_present]],"1")</f>
        <v>0</v>
      </c>
      <c r="E708" s="4">
        <f>_xlfn.MAXIFS(Tabelle5[[#This Row],[value_points]], Tabelle5[[#This Row],[company_id]],Tabelle18[[#This Row],[company_id]], Tabelle5[[#This Row],[value_id]], Tabelle18[[#This Row],[value_id]], Tabelle5[[#This Row],[value_present]],"1")</f>
        <v>0</v>
      </c>
    </row>
    <row r="709" spans="1:5" x14ac:dyDescent="0.25">
      <c r="A709">
        <v>40</v>
      </c>
      <c r="B709" t="s">
        <v>90</v>
      </c>
      <c r="C709" s="4">
        <f>IF(Tabelle18[[#This Row],[binding_level_company]]&gt;=1,1,0)</f>
        <v>0</v>
      </c>
      <c r="D709" s="4">
        <f>_xlfn.MAXIFS(Tabelle5[[#This Row],[binding_level]], Tabelle5[[#This Row],[company_id]],Tabelle18[[#This Row],[company_id]], Tabelle5[[#This Row],[value_id]], Tabelle18[[#This Row],[value_id]], Tabelle5[[#This Row],[value_present]],"1")</f>
        <v>0</v>
      </c>
      <c r="E709" s="4">
        <f>_xlfn.MAXIFS(Tabelle5[[#This Row],[value_points]], Tabelle5[[#This Row],[company_id]],Tabelle18[[#This Row],[company_id]], Tabelle5[[#This Row],[value_id]], Tabelle18[[#This Row],[value_id]], Tabelle5[[#This Row],[value_present]],"1")</f>
        <v>0</v>
      </c>
    </row>
    <row r="710" spans="1:5" x14ac:dyDescent="0.25">
      <c r="A710">
        <v>40</v>
      </c>
      <c r="B710" t="s">
        <v>98</v>
      </c>
      <c r="C710" s="4">
        <f>IF(Tabelle18[[#This Row],[binding_level_company]]&gt;=1,1,0)</f>
        <v>0</v>
      </c>
      <c r="D710" s="4">
        <f>_xlfn.MAXIFS(Tabelle5[[#This Row],[binding_level]], Tabelle5[[#This Row],[company_id]],Tabelle18[[#This Row],[company_id]], Tabelle5[[#This Row],[value_id]], Tabelle18[[#This Row],[value_id]], Tabelle5[[#This Row],[value_present]],"1")</f>
        <v>0</v>
      </c>
      <c r="E710" s="4">
        <f>_xlfn.MAXIFS(Tabelle5[[#This Row],[value_points]], Tabelle5[[#This Row],[company_id]],Tabelle18[[#This Row],[company_id]], Tabelle5[[#This Row],[value_id]], Tabelle18[[#This Row],[value_id]], Tabelle5[[#This Row],[value_present]],"1")</f>
        <v>0</v>
      </c>
    </row>
    <row r="711" spans="1:5" x14ac:dyDescent="0.25">
      <c r="A711">
        <v>40</v>
      </c>
      <c r="B711" t="s">
        <v>106</v>
      </c>
      <c r="C711" s="4">
        <f>IF(Tabelle18[[#This Row],[binding_level_company]]&gt;=1,1,0)</f>
        <v>0</v>
      </c>
      <c r="D711" s="4">
        <f>_xlfn.MAXIFS(Tabelle5[[#This Row],[binding_level]], Tabelle5[[#This Row],[company_id]],Tabelle18[[#This Row],[company_id]], Tabelle5[[#This Row],[value_id]], Tabelle18[[#This Row],[value_id]], Tabelle5[[#This Row],[value_present]],"1")</f>
        <v>0</v>
      </c>
      <c r="E711" s="4">
        <f>_xlfn.MAXIFS(Tabelle5[[#This Row],[value_points]], Tabelle5[[#This Row],[company_id]],Tabelle18[[#This Row],[company_id]], Tabelle5[[#This Row],[value_id]], Tabelle18[[#This Row],[value_id]], Tabelle5[[#This Row],[value_present]],"1")</f>
        <v>0</v>
      </c>
    </row>
    <row r="712" spans="1:5" x14ac:dyDescent="0.25">
      <c r="A712">
        <v>40</v>
      </c>
      <c r="B712" t="s">
        <v>112</v>
      </c>
      <c r="C712" s="4">
        <f>IF(Tabelle18[[#This Row],[binding_level_company]]&gt;=1,1,0)</f>
        <v>0</v>
      </c>
      <c r="D712" s="4">
        <f>_xlfn.MAXIFS(Tabelle5[[#This Row],[binding_level]], Tabelle5[[#This Row],[company_id]],Tabelle18[[#This Row],[company_id]], Tabelle5[[#This Row],[value_id]], Tabelle18[[#This Row],[value_id]], Tabelle5[[#This Row],[value_present]],"1")</f>
        <v>0</v>
      </c>
      <c r="E712" s="4">
        <f>_xlfn.MAXIFS(Tabelle5[[#This Row],[value_points]], Tabelle5[[#This Row],[company_id]],Tabelle18[[#This Row],[company_id]], Tabelle5[[#This Row],[value_id]], Tabelle18[[#This Row],[value_id]], Tabelle5[[#This Row],[value_present]],"1")</f>
        <v>0</v>
      </c>
    </row>
    <row r="713" spans="1:5" x14ac:dyDescent="0.25">
      <c r="A713">
        <v>40</v>
      </c>
      <c r="B713" t="s">
        <v>118</v>
      </c>
      <c r="C713" s="4">
        <f>IF(Tabelle18[[#This Row],[binding_level_company]]&gt;=1,1,0)</f>
        <v>0</v>
      </c>
      <c r="D713" s="4">
        <f>_xlfn.MAXIFS(Tabelle5[[#This Row],[binding_level]], Tabelle5[[#This Row],[company_id]],Tabelle18[[#This Row],[company_id]], Tabelle5[[#This Row],[value_id]], Tabelle18[[#This Row],[value_id]], Tabelle5[[#This Row],[value_present]],"1")</f>
        <v>0</v>
      </c>
      <c r="E713" s="4">
        <f>_xlfn.MAXIFS(Tabelle5[[#This Row],[value_points]], Tabelle5[[#This Row],[company_id]],Tabelle18[[#This Row],[company_id]], Tabelle5[[#This Row],[value_id]], Tabelle18[[#This Row],[value_id]], Tabelle5[[#This Row],[value_present]],"1")</f>
        <v>0</v>
      </c>
    </row>
    <row r="714" spans="1:5" x14ac:dyDescent="0.25">
      <c r="A714">
        <v>40</v>
      </c>
      <c r="B714" t="s">
        <v>125</v>
      </c>
      <c r="C714" s="4">
        <f>IF(Tabelle18[[#This Row],[binding_level_company]]&gt;=1,1,0)</f>
        <v>0</v>
      </c>
      <c r="D714" s="4">
        <f>_xlfn.MAXIFS(Tabelle5[[#This Row],[binding_level]], Tabelle5[[#This Row],[company_id]],Tabelle18[[#This Row],[company_id]], Tabelle5[[#This Row],[value_id]], Tabelle18[[#This Row],[value_id]], Tabelle5[[#This Row],[value_present]],"1")</f>
        <v>0</v>
      </c>
      <c r="E714" s="4">
        <f>_xlfn.MAXIFS(Tabelle5[[#This Row],[value_points]], Tabelle5[[#This Row],[company_id]],Tabelle18[[#This Row],[company_id]], Tabelle5[[#This Row],[value_id]], Tabelle18[[#This Row],[value_id]], Tabelle5[[#This Row],[value_present]],"1")</f>
        <v>0</v>
      </c>
    </row>
    <row r="715" spans="1:5" x14ac:dyDescent="0.25">
      <c r="A715">
        <v>40</v>
      </c>
      <c r="B715" t="s">
        <v>132</v>
      </c>
      <c r="C715" s="4">
        <f>IF(Tabelle18[[#This Row],[binding_level_company]]&gt;=1,1,0)</f>
        <v>0</v>
      </c>
      <c r="D715" s="4">
        <f>_xlfn.MAXIFS(Tabelle5[[#This Row],[binding_level]], Tabelle5[[#This Row],[company_id]],Tabelle18[[#This Row],[company_id]], Tabelle5[[#This Row],[value_id]], Tabelle18[[#This Row],[value_id]], Tabelle5[[#This Row],[value_present]],"1")</f>
        <v>0</v>
      </c>
      <c r="E715" s="4">
        <f>_xlfn.MAXIFS(Tabelle5[[#This Row],[value_points]], Tabelle5[[#This Row],[company_id]],Tabelle18[[#This Row],[company_id]], Tabelle5[[#This Row],[value_id]], Tabelle18[[#This Row],[value_id]], Tabelle5[[#This Row],[value_present]],"1")</f>
        <v>0</v>
      </c>
    </row>
    <row r="716" spans="1:5" x14ac:dyDescent="0.25">
      <c r="A716">
        <v>40</v>
      </c>
      <c r="B716" t="s">
        <v>140</v>
      </c>
      <c r="C716" s="4">
        <f>IF(Tabelle18[[#This Row],[binding_level_company]]&gt;=1,1,0)</f>
        <v>0</v>
      </c>
      <c r="D716" s="4">
        <f>_xlfn.MAXIFS(Tabelle5[[#This Row],[binding_level]], Tabelle5[[#This Row],[company_id]],Tabelle18[[#This Row],[company_id]], Tabelle5[[#This Row],[value_id]], Tabelle18[[#This Row],[value_id]], Tabelle5[[#This Row],[value_present]],"1")</f>
        <v>0</v>
      </c>
      <c r="E716" s="4">
        <f>_xlfn.MAXIFS(Tabelle5[[#This Row],[value_points]], Tabelle5[[#This Row],[company_id]],Tabelle18[[#This Row],[company_id]], Tabelle5[[#This Row],[value_id]], Tabelle18[[#This Row],[value_id]], Tabelle5[[#This Row],[value_present]],"1")</f>
        <v>0</v>
      </c>
    </row>
    <row r="717" spans="1:5" x14ac:dyDescent="0.25">
      <c r="A717">
        <v>40</v>
      </c>
      <c r="B717" t="s">
        <v>147</v>
      </c>
      <c r="C717" s="4">
        <f>IF(Tabelle18[[#This Row],[binding_level_company]]&gt;=1,1,0)</f>
        <v>0</v>
      </c>
      <c r="D717" s="4">
        <f>_xlfn.MAXIFS(Tabelle5[[#This Row],[binding_level]], Tabelle5[[#This Row],[company_id]],Tabelle18[[#This Row],[company_id]], Tabelle5[[#This Row],[value_id]], Tabelle18[[#This Row],[value_id]], Tabelle5[[#This Row],[value_present]],"1")</f>
        <v>0</v>
      </c>
      <c r="E717" s="4">
        <f>_xlfn.MAXIFS(Tabelle5[[#This Row],[value_points]], Tabelle5[[#This Row],[company_id]],Tabelle18[[#This Row],[company_id]], Tabelle5[[#This Row],[value_id]], Tabelle18[[#This Row],[value_id]], Tabelle5[[#This Row],[value_present]],"1")</f>
        <v>0</v>
      </c>
    </row>
    <row r="718" spans="1:5" x14ac:dyDescent="0.25">
      <c r="A718">
        <v>40</v>
      </c>
      <c r="B718" t="s">
        <v>154</v>
      </c>
      <c r="C718" s="4">
        <f>IF(Tabelle18[[#This Row],[binding_level_company]]&gt;=1,1,0)</f>
        <v>0</v>
      </c>
      <c r="D718" s="4">
        <f>_xlfn.MAXIFS(Tabelle5[[#This Row],[binding_level]], Tabelle5[[#This Row],[company_id]],Tabelle18[[#This Row],[company_id]], Tabelle5[[#This Row],[value_id]], Tabelle18[[#This Row],[value_id]], Tabelle5[[#This Row],[value_present]],"1")</f>
        <v>0</v>
      </c>
      <c r="E718" s="4">
        <f>_xlfn.MAXIFS(Tabelle5[[#This Row],[value_points]], Tabelle5[[#This Row],[company_id]],Tabelle18[[#This Row],[company_id]], Tabelle5[[#This Row],[value_id]], Tabelle18[[#This Row],[value_id]], Tabelle5[[#This Row],[value_present]],"1")</f>
        <v>0</v>
      </c>
    </row>
    <row r="719" spans="1:5" x14ac:dyDescent="0.25">
      <c r="A719">
        <v>40</v>
      </c>
      <c r="B719" t="s">
        <v>161</v>
      </c>
      <c r="C719" s="4">
        <f>IF(Tabelle18[[#This Row],[binding_level_company]]&gt;=1,1,0)</f>
        <v>0</v>
      </c>
      <c r="D719" s="4">
        <f>_xlfn.MAXIFS(Tabelle5[[#This Row],[binding_level]], Tabelle5[[#This Row],[company_id]],Tabelle18[[#This Row],[company_id]], Tabelle5[[#This Row],[value_id]], Tabelle18[[#This Row],[value_id]], Tabelle5[[#This Row],[value_present]],"1")</f>
        <v>0</v>
      </c>
      <c r="E719" s="4">
        <f>_xlfn.MAXIFS(Tabelle5[[#This Row],[value_points]], Tabelle5[[#This Row],[company_id]],Tabelle18[[#This Row],[company_id]], Tabelle5[[#This Row],[value_id]], Tabelle18[[#This Row],[value_id]], Tabelle5[[#This Row],[value_present]],"1")</f>
        <v>0</v>
      </c>
    </row>
    <row r="720" spans="1:5" x14ac:dyDescent="0.25">
      <c r="A720">
        <v>40</v>
      </c>
      <c r="B720" t="s">
        <v>166</v>
      </c>
      <c r="C720" s="4">
        <f>IF(Tabelle18[[#This Row],[binding_level_company]]&gt;=1,1,0)</f>
        <v>0</v>
      </c>
      <c r="D720" s="4">
        <f>_xlfn.MAXIFS(Tabelle5[[#This Row],[binding_level]], Tabelle5[[#This Row],[company_id]],Tabelle18[[#This Row],[company_id]], Tabelle5[[#This Row],[value_id]], Tabelle18[[#This Row],[value_id]], Tabelle5[[#This Row],[value_present]],"1")</f>
        <v>0</v>
      </c>
      <c r="E720" s="4">
        <f>_xlfn.MAXIFS(Tabelle5[[#This Row],[value_points]], Tabelle5[[#This Row],[company_id]],Tabelle18[[#This Row],[company_id]], Tabelle5[[#This Row],[value_id]], Tabelle18[[#This Row],[value_id]], Tabelle5[[#This Row],[value_present]],"1")</f>
        <v>0</v>
      </c>
    </row>
    <row r="721" spans="1:5" ht="15.75" thickBot="1" x14ac:dyDescent="0.3">
      <c r="A721">
        <v>40</v>
      </c>
      <c r="B721" s="30" t="s">
        <v>174</v>
      </c>
      <c r="C721" s="4">
        <f>IF(Tabelle18[[#This Row],[binding_level_company]]&gt;=1,1,0)</f>
        <v>0</v>
      </c>
      <c r="D721" s="4">
        <f>_xlfn.MAXIFS(Tabelle5[[#This Row],[binding_level]], Tabelle5[[#This Row],[company_id]],Tabelle18[[#This Row],[company_id]], Tabelle5[[#This Row],[value_id]], Tabelle18[[#This Row],[value_id]], Tabelle5[[#This Row],[value_present]],"1")</f>
        <v>0</v>
      </c>
      <c r="E721" s="4">
        <f>_xlfn.MAXIFS(Tabelle5[[#This Row],[value_points]], Tabelle5[[#This Row],[company_id]],Tabelle18[[#This Row],[company_id]], Tabelle5[[#This Row],[value_id]], Tabelle18[[#This Row],[value_id]], Tabelle5[[#This Row],[value_present]],"1")</f>
        <v>0</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workbookViewId="0">
      <selection activeCell="C282" sqref="C282"/>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s>
  <sheetData>
    <row r="1" spans="1:6" ht="15.75" thickBot="1" x14ac:dyDescent="0.3">
      <c r="A1" t="s">
        <v>0</v>
      </c>
      <c r="B1" t="s">
        <v>37</v>
      </c>
      <c r="C1" t="s">
        <v>45</v>
      </c>
      <c r="D1" t="s">
        <v>46</v>
      </c>
      <c r="E1" t="s">
        <v>32</v>
      </c>
      <c r="F1" t="s">
        <v>33</v>
      </c>
    </row>
    <row r="2" spans="1:6" x14ac:dyDescent="0.25">
      <c r="A2" s="18">
        <v>1</v>
      </c>
      <c r="B2" s="19" t="s">
        <v>186</v>
      </c>
      <c r="C2" s="19">
        <v>8</v>
      </c>
      <c r="D2" s="20"/>
      <c r="E2" s="22"/>
      <c r="F2" s="19"/>
    </row>
    <row r="3" spans="1:6" x14ac:dyDescent="0.25">
      <c r="A3" s="24">
        <v>1</v>
      </c>
      <c r="B3" s="2" t="s">
        <v>192</v>
      </c>
      <c r="C3" s="2"/>
      <c r="D3" s="3"/>
      <c r="F3" s="2"/>
    </row>
    <row r="4" spans="1:6" x14ac:dyDescent="0.25">
      <c r="A4" s="24">
        <v>1</v>
      </c>
      <c r="B4" s="2" t="s">
        <v>198</v>
      </c>
      <c r="C4" s="2"/>
      <c r="D4" s="3"/>
      <c r="F4" s="2"/>
    </row>
    <row r="5" spans="1:6" x14ac:dyDescent="0.25">
      <c r="A5" s="24">
        <v>1</v>
      </c>
      <c r="B5" s="2" t="s">
        <v>204</v>
      </c>
      <c r="C5" s="2"/>
      <c r="D5" s="3"/>
      <c r="F5" s="2"/>
    </row>
    <row r="6" spans="1:6" x14ac:dyDescent="0.25">
      <c r="A6" s="24">
        <v>1</v>
      </c>
      <c r="B6" s="2" t="s">
        <v>210</v>
      </c>
      <c r="C6" s="2"/>
      <c r="D6" s="3"/>
      <c r="F6" s="2"/>
    </row>
    <row r="7" spans="1:6" x14ac:dyDescent="0.25">
      <c r="A7" s="24">
        <v>1</v>
      </c>
      <c r="B7" s="2" t="s">
        <v>215</v>
      </c>
      <c r="C7" s="2"/>
      <c r="D7" s="3"/>
      <c r="F7" s="2"/>
    </row>
    <row r="8" spans="1:6" ht="15.75" thickBot="1" x14ac:dyDescent="0.3">
      <c r="A8" s="26">
        <v>1</v>
      </c>
      <c r="B8" s="27" t="s">
        <v>221</v>
      </c>
      <c r="C8" s="27"/>
      <c r="D8" s="28"/>
      <c r="E8" s="30"/>
      <c r="F8" s="27"/>
    </row>
    <row r="9" spans="1:6" x14ac:dyDescent="0.25">
      <c r="A9" s="2">
        <v>2</v>
      </c>
      <c r="B9" s="19" t="s">
        <v>186</v>
      </c>
      <c r="C9" s="2"/>
      <c r="D9" s="3"/>
      <c r="F9" s="2"/>
    </row>
    <row r="10" spans="1:6" x14ac:dyDescent="0.25">
      <c r="A10" s="2">
        <v>2</v>
      </c>
      <c r="B10" s="2" t="s">
        <v>192</v>
      </c>
      <c r="C10" s="2"/>
      <c r="D10" s="3"/>
      <c r="F10" s="2"/>
    </row>
    <row r="11" spans="1:6" x14ac:dyDescent="0.25">
      <c r="A11" s="2">
        <v>2</v>
      </c>
      <c r="B11" s="2" t="s">
        <v>198</v>
      </c>
      <c r="C11" s="2"/>
      <c r="D11" s="3"/>
      <c r="F11" s="2"/>
    </row>
    <row r="12" spans="1:6" x14ac:dyDescent="0.25">
      <c r="A12" s="2">
        <v>2</v>
      </c>
      <c r="B12" s="2" t="s">
        <v>204</v>
      </c>
      <c r="C12" s="2"/>
      <c r="D12" s="3"/>
      <c r="F12" s="2"/>
    </row>
    <row r="13" spans="1:6" x14ac:dyDescent="0.25">
      <c r="A13" s="2">
        <v>2</v>
      </c>
      <c r="B13" s="2" t="s">
        <v>210</v>
      </c>
      <c r="C13" s="2"/>
      <c r="D13" s="3"/>
      <c r="F13" s="2"/>
    </row>
    <row r="14" spans="1:6" x14ac:dyDescent="0.25">
      <c r="A14" s="2">
        <v>2</v>
      </c>
      <c r="B14" s="2" t="s">
        <v>215</v>
      </c>
      <c r="C14" s="2"/>
      <c r="D14" s="3"/>
      <c r="F14" s="2"/>
    </row>
    <row r="15" spans="1:6" ht="15.75" thickBot="1" x14ac:dyDescent="0.3">
      <c r="A15" s="2">
        <v>2</v>
      </c>
      <c r="B15" s="27" t="s">
        <v>221</v>
      </c>
      <c r="C15" s="2"/>
      <c r="D15" s="3"/>
      <c r="F15" s="2"/>
    </row>
    <row r="16" spans="1:6" x14ac:dyDescent="0.25">
      <c r="A16" s="2">
        <v>3</v>
      </c>
      <c r="B16" s="19" t="s">
        <v>186</v>
      </c>
      <c r="C16" s="2"/>
      <c r="D16" s="3"/>
      <c r="F16" s="2"/>
    </row>
    <row r="17" spans="1:6" x14ac:dyDescent="0.25">
      <c r="A17" s="2">
        <v>3</v>
      </c>
      <c r="B17" s="2" t="s">
        <v>192</v>
      </c>
      <c r="C17" s="2"/>
      <c r="D17" s="3"/>
      <c r="F17" s="2"/>
    </row>
    <row r="18" spans="1:6" x14ac:dyDescent="0.25">
      <c r="A18" s="2">
        <v>3</v>
      </c>
      <c r="B18" s="2" t="s">
        <v>198</v>
      </c>
      <c r="C18" s="2"/>
      <c r="D18" s="3"/>
      <c r="F18" s="2"/>
    </row>
    <row r="19" spans="1:6" x14ac:dyDescent="0.25">
      <c r="A19" s="2">
        <v>3</v>
      </c>
      <c r="B19" s="2" t="s">
        <v>204</v>
      </c>
      <c r="C19" s="2"/>
      <c r="D19" s="3"/>
      <c r="F19" s="2"/>
    </row>
    <row r="20" spans="1:6" x14ac:dyDescent="0.25">
      <c r="A20" s="2">
        <v>3</v>
      </c>
      <c r="B20" s="2" t="s">
        <v>210</v>
      </c>
      <c r="C20" s="2"/>
      <c r="D20" s="3"/>
      <c r="F20" s="2"/>
    </row>
    <row r="21" spans="1:6" x14ac:dyDescent="0.25">
      <c r="A21" s="2">
        <v>3</v>
      </c>
      <c r="B21" s="2" t="s">
        <v>215</v>
      </c>
      <c r="C21" s="2"/>
      <c r="D21" s="3"/>
      <c r="F21" s="2"/>
    </row>
    <row r="22" spans="1:6" ht="15.75" thickBot="1" x14ac:dyDescent="0.3">
      <c r="A22" s="2">
        <v>3</v>
      </c>
      <c r="B22" s="27" t="s">
        <v>221</v>
      </c>
      <c r="C22" s="2"/>
      <c r="D22" s="3"/>
      <c r="F22" s="2"/>
    </row>
    <row r="23" spans="1:6" x14ac:dyDescent="0.25">
      <c r="A23" s="2">
        <v>4</v>
      </c>
      <c r="B23" s="19" t="s">
        <v>186</v>
      </c>
      <c r="C23" s="2"/>
      <c r="D23" s="3"/>
      <c r="F23" s="2"/>
    </row>
    <row r="24" spans="1:6" x14ac:dyDescent="0.25">
      <c r="A24" s="2">
        <v>4</v>
      </c>
      <c r="B24" s="2" t="s">
        <v>192</v>
      </c>
      <c r="C24" s="2"/>
      <c r="D24" s="3"/>
      <c r="F24" s="2"/>
    </row>
    <row r="25" spans="1:6" x14ac:dyDescent="0.25">
      <c r="A25" s="2">
        <v>4</v>
      </c>
      <c r="B25" s="2" t="s">
        <v>198</v>
      </c>
      <c r="C25" s="2"/>
      <c r="D25" s="3"/>
      <c r="F25" s="2"/>
    </row>
    <row r="26" spans="1:6" x14ac:dyDescent="0.25">
      <c r="A26" s="2">
        <v>4</v>
      </c>
      <c r="B26" s="2" t="s">
        <v>204</v>
      </c>
      <c r="C26" s="2"/>
      <c r="D26" s="3"/>
      <c r="F26" s="2"/>
    </row>
    <row r="27" spans="1:6" x14ac:dyDescent="0.25">
      <c r="A27" s="2">
        <v>4</v>
      </c>
      <c r="B27" s="2" t="s">
        <v>210</v>
      </c>
      <c r="C27" s="2"/>
      <c r="D27" s="3"/>
      <c r="F27" s="2"/>
    </row>
    <row r="28" spans="1:6" x14ac:dyDescent="0.25">
      <c r="A28" s="2">
        <v>4</v>
      </c>
      <c r="B28" s="2" t="s">
        <v>215</v>
      </c>
      <c r="C28" s="2"/>
      <c r="D28" s="3"/>
      <c r="F28" s="2"/>
    </row>
    <row r="29" spans="1:6" ht="15.75" thickBot="1" x14ac:dyDescent="0.3">
      <c r="A29" s="2">
        <v>4</v>
      </c>
      <c r="B29" s="27" t="s">
        <v>221</v>
      </c>
      <c r="C29" s="2"/>
      <c r="D29" s="3"/>
      <c r="F29" s="2"/>
    </row>
    <row r="30" spans="1:6" x14ac:dyDescent="0.25">
      <c r="A30" s="2">
        <v>5</v>
      </c>
      <c r="B30" s="19" t="s">
        <v>186</v>
      </c>
      <c r="C30" s="2"/>
      <c r="D30" s="3"/>
      <c r="F30" s="2"/>
    </row>
    <row r="31" spans="1:6" x14ac:dyDescent="0.25">
      <c r="A31" s="2">
        <v>5</v>
      </c>
      <c r="B31" s="2" t="s">
        <v>192</v>
      </c>
      <c r="C31" s="2"/>
      <c r="D31" s="3"/>
      <c r="F31" s="2"/>
    </row>
    <row r="32" spans="1:6" x14ac:dyDescent="0.25">
      <c r="A32" s="2">
        <v>5</v>
      </c>
      <c r="B32" s="2" t="s">
        <v>198</v>
      </c>
      <c r="C32" s="2"/>
      <c r="D32" s="3"/>
      <c r="F32" s="2"/>
    </row>
    <row r="33" spans="1:6" x14ac:dyDescent="0.25">
      <c r="A33" s="2">
        <v>5</v>
      </c>
      <c r="B33" s="2" t="s">
        <v>204</v>
      </c>
      <c r="C33" s="2"/>
      <c r="D33" s="3"/>
      <c r="F33" s="2"/>
    </row>
    <row r="34" spans="1:6" x14ac:dyDescent="0.25">
      <c r="A34" s="2">
        <v>5</v>
      </c>
      <c r="B34" s="2" t="s">
        <v>210</v>
      </c>
      <c r="C34" s="2"/>
      <c r="D34" s="3"/>
      <c r="F34" s="2"/>
    </row>
    <row r="35" spans="1:6" x14ac:dyDescent="0.25">
      <c r="A35" s="2">
        <v>5</v>
      </c>
      <c r="B35" s="2" t="s">
        <v>215</v>
      </c>
      <c r="C35" s="2"/>
      <c r="D35" s="3"/>
      <c r="F35" s="2"/>
    </row>
    <row r="36" spans="1:6" ht="15.75" thickBot="1" x14ac:dyDescent="0.3">
      <c r="A36" s="2">
        <v>5</v>
      </c>
      <c r="B36" s="27" t="s">
        <v>221</v>
      </c>
      <c r="C36" s="2"/>
      <c r="D36" s="3"/>
      <c r="F36" s="2"/>
    </row>
    <row r="37" spans="1:6" x14ac:dyDescent="0.25">
      <c r="A37" s="2">
        <v>6</v>
      </c>
      <c r="B37" s="19" t="s">
        <v>186</v>
      </c>
      <c r="C37" s="2"/>
      <c r="D37" s="3"/>
      <c r="F37" s="2"/>
    </row>
    <row r="38" spans="1:6" x14ac:dyDescent="0.25">
      <c r="A38" s="2">
        <v>6</v>
      </c>
      <c r="B38" s="2" t="s">
        <v>192</v>
      </c>
      <c r="C38" s="2"/>
      <c r="D38" s="3"/>
      <c r="F38" s="2"/>
    </row>
    <row r="39" spans="1:6" x14ac:dyDescent="0.25">
      <c r="A39" s="2">
        <v>6</v>
      </c>
      <c r="B39" s="2" t="s">
        <v>198</v>
      </c>
      <c r="C39" s="2"/>
      <c r="D39" s="3"/>
      <c r="F39" s="2"/>
    </row>
    <row r="40" spans="1:6" x14ac:dyDescent="0.25">
      <c r="A40" s="2">
        <v>6</v>
      </c>
      <c r="B40" s="2" t="s">
        <v>204</v>
      </c>
      <c r="C40" s="2"/>
      <c r="D40" s="3"/>
      <c r="F40" s="2"/>
    </row>
    <row r="41" spans="1:6" x14ac:dyDescent="0.25">
      <c r="A41" s="2">
        <v>6</v>
      </c>
      <c r="B41" s="2" t="s">
        <v>210</v>
      </c>
      <c r="C41" s="2"/>
      <c r="D41" s="3"/>
      <c r="F41" s="2"/>
    </row>
    <row r="42" spans="1:6" x14ac:dyDescent="0.25">
      <c r="A42" s="2">
        <v>6</v>
      </c>
      <c r="B42" s="2" t="s">
        <v>215</v>
      </c>
      <c r="C42" s="2"/>
      <c r="D42" s="3"/>
      <c r="F42" s="2"/>
    </row>
    <row r="43" spans="1:6" ht="15.75" thickBot="1" x14ac:dyDescent="0.3">
      <c r="A43" s="2">
        <v>6</v>
      </c>
      <c r="B43" s="27" t="s">
        <v>221</v>
      </c>
      <c r="C43" s="2"/>
      <c r="D43" s="3"/>
      <c r="F43" s="2"/>
    </row>
    <row r="44" spans="1:6" x14ac:dyDescent="0.25">
      <c r="A44" s="2">
        <v>7</v>
      </c>
      <c r="B44" s="19" t="s">
        <v>186</v>
      </c>
      <c r="C44" s="2"/>
      <c r="D44" s="3"/>
      <c r="F44" s="2"/>
    </row>
    <row r="45" spans="1:6" x14ac:dyDescent="0.25">
      <c r="A45" s="2">
        <v>7</v>
      </c>
      <c r="B45" s="2" t="s">
        <v>192</v>
      </c>
      <c r="C45" s="2"/>
      <c r="D45" s="3"/>
      <c r="F45" s="2"/>
    </row>
    <row r="46" spans="1:6" x14ac:dyDescent="0.25">
      <c r="A46" s="2">
        <v>7</v>
      </c>
      <c r="B46" s="2" t="s">
        <v>198</v>
      </c>
      <c r="C46" s="2"/>
      <c r="D46" s="3"/>
      <c r="F46" s="2"/>
    </row>
    <row r="47" spans="1:6" x14ac:dyDescent="0.25">
      <c r="A47" s="2">
        <v>7</v>
      </c>
      <c r="B47" s="2" t="s">
        <v>204</v>
      </c>
      <c r="C47" s="2"/>
      <c r="D47" s="3"/>
      <c r="F47" s="2"/>
    </row>
    <row r="48" spans="1:6" x14ac:dyDescent="0.25">
      <c r="A48" s="2">
        <v>7</v>
      </c>
      <c r="B48" s="2" t="s">
        <v>210</v>
      </c>
      <c r="C48" s="2"/>
      <c r="D48" s="3"/>
      <c r="F48" s="2"/>
    </row>
    <row r="49" spans="1:6" x14ac:dyDescent="0.25">
      <c r="A49" s="2">
        <v>7</v>
      </c>
      <c r="B49" s="2" t="s">
        <v>215</v>
      </c>
      <c r="C49" s="2"/>
      <c r="D49" s="3"/>
      <c r="F49" s="2"/>
    </row>
    <row r="50" spans="1:6" ht="15.75" thickBot="1" x14ac:dyDescent="0.3">
      <c r="A50" s="2">
        <v>7</v>
      </c>
      <c r="B50" s="27" t="s">
        <v>221</v>
      </c>
      <c r="C50" s="2"/>
      <c r="D50" s="3"/>
      <c r="F50" s="2"/>
    </row>
    <row r="51" spans="1:6" x14ac:dyDescent="0.25">
      <c r="A51" s="2">
        <v>8</v>
      </c>
      <c r="B51" s="19" t="s">
        <v>186</v>
      </c>
      <c r="C51" s="2"/>
      <c r="D51" s="3"/>
      <c r="F51" s="2"/>
    </row>
    <row r="52" spans="1:6" x14ac:dyDescent="0.25">
      <c r="A52" s="2">
        <v>8</v>
      </c>
      <c r="B52" s="2" t="s">
        <v>192</v>
      </c>
      <c r="C52" s="2"/>
      <c r="D52" s="3"/>
      <c r="F52" s="2"/>
    </row>
    <row r="53" spans="1:6" x14ac:dyDescent="0.25">
      <c r="A53" s="2">
        <v>8</v>
      </c>
      <c r="B53" s="2" t="s">
        <v>198</v>
      </c>
      <c r="C53" s="2"/>
      <c r="D53" s="3"/>
      <c r="F53" s="2"/>
    </row>
    <row r="54" spans="1:6" x14ac:dyDescent="0.25">
      <c r="A54" s="2">
        <v>8</v>
      </c>
      <c r="B54" s="2" t="s">
        <v>204</v>
      </c>
      <c r="C54" s="2"/>
      <c r="D54" s="3"/>
      <c r="F54" s="2"/>
    </row>
    <row r="55" spans="1:6" x14ac:dyDescent="0.25">
      <c r="A55" s="2">
        <v>8</v>
      </c>
      <c r="B55" s="2" t="s">
        <v>210</v>
      </c>
      <c r="C55" s="2"/>
      <c r="D55" s="3"/>
      <c r="F55" s="2"/>
    </row>
    <row r="56" spans="1:6" x14ac:dyDescent="0.25">
      <c r="A56" s="2">
        <v>8</v>
      </c>
      <c r="B56" s="2" t="s">
        <v>215</v>
      </c>
      <c r="C56" s="2"/>
      <c r="D56" s="3"/>
      <c r="F56" s="2"/>
    </row>
    <row r="57" spans="1:6" ht="15.75" thickBot="1" x14ac:dyDescent="0.3">
      <c r="A57" s="2">
        <v>8</v>
      </c>
      <c r="B57" s="27" t="s">
        <v>221</v>
      </c>
      <c r="C57" s="2"/>
      <c r="D57" s="3"/>
      <c r="F57" s="2"/>
    </row>
    <row r="58" spans="1:6" x14ac:dyDescent="0.25">
      <c r="A58" s="2">
        <v>9</v>
      </c>
      <c r="B58" s="19" t="s">
        <v>186</v>
      </c>
      <c r="C58" s="2"/>
      <c r="D58" s="3"/>
      <c r="F58" s="2"/>
    </row>
    <row r="59" spans="1:6" x14ac:dyDescent="0.25">
      <c r="A59" s="2">
        <v>9</v>
      </c>
      <c r="B59" s="2" t="s">
        <v>192</v>
      </c>
      <c r="C59" s="2"/>
      <c r="D59" s="3"/>
      <c r="F59" s="2"/>
    </row>
    <row r="60" spans="1:6" x14ac:dyDescent="0.25">
      <c r="A60" s="2">
        <v>9</v>
      </c>
      <c r="B60" s="2" t="s">
        <v>198</v>
      </c>
      <c r="C60" s="2"/>
      <c r="D60" s="3"/>
      <c r="F60" s="2"/>
    </row>
    <row r="61" spans="1:6" x14ac:dyDescent="0.25">
      <c r="A61" s="2">
        <v>9</v>
      </c>
      <c r="B61" s="2" t="s">
        <v>204</v>
      </c>
      <c r="C61" s="2"/>
      <c r="D61" s="3"/>
      <c r="F61" s="2"/>
    </row>
    <row r="62" spans="1:6" x14ac:dyDescent="0.25">
      <c r="A62" s="2">
        <v>9</v>
      </c>
      <c r="B62" s="2" t="s">
        <v>210</v>
      </c>
      <c r="C62" s="2"/>
      <c r="D62" s="3"/>
      <c r="F62" s="2"/>
    </row>
    <row r="63" spans="1:6" x14ac:dyDescent="0.25">
      <c r="A63" s="2">
        <v>9</v>
      </c>
      <c r="B63" s="2" t="s">
        <v>215</v>
      </c>
      <c r="C63" s="2"/>
      <c r="D63" s="3"/>
      <c r="F63" s="2"/>
    </row>
    <row r="64" spans="1:6" ht="15.75" thickBot="1" x14ac:dyDescent="0.3">
      <c r="A64" s="2">
        <v>9</v>
      </c>
      <c r="B64" s="27" t="s">
        <v>221</v>
      </c>
      <c r="C64" s="2"/>
      <c r="D64" s="3"/>
      <c r="F64" s="2"/>
    </row>
    <row r="65" spans="1:6" x14ac:dyDescent="0.25">
      <c r="A65" s="2">
        <v>10</v>
      </c>
      <c r="B65" s="19" t="s">
        <v>186</v>
      </c>
      <c r="C65" s="2"/>
      <c r="D65" s="3"/>
      <c r="F65" s="2"/>
    </row>
    <row r="66" spans="1:6" x14ac:dyDescent="0.25">
      <c r="A66" s="2">
        <v>10</v>
      </c>
      <c r="B66" s="2" t="s">
        <v>192</v>
      </c>
      <c r="C66" s="2"/>
      <c r="D66" s="3"/>
      <c r="F66" s="2"/>
    </row>
    <row r="67" spans="1:6" x14ac:dyDescent="0.25">
      <c r="A67" s="2">
        <v>10</v>
      </c>
      <c r="B67" s="2" t="s">
        <v>198</v>
      </c>
      <c r="C67" s="2"/>
      <c r="D67" s="3"/>
      <c r="F67" s="2"/>
    </row>
    <row r="68" spans="1:6" x14ac:dyDescent="0.25">
      <c r="A68" s="2">
        <v>10</v>
      </c>
      <c r="B68" s="2" t="s">
        <v>204</v>
      </c>
      <c r="C68" s="2"/>
      <c r="D68" s="3"/>
      <c r="F68" s="2"/>
    </row>
    <row r="69" spans="1:6" x14ac:dyDescent="0.25">
      <c r="A69" s="2">
        <v>10</v>
      </c>
      <c r="B69" s="2" t="s">
        <v>210</v>
      </c>
      <c r="C69" s="2"/>
      <c r="D69" s="3"/>
      <c r="F69" s="2"/>
    </row>
    <row r="70" spans="1:6" x14ac:dyDescent="0.25">
      <c r="A70" s="2">
        <v>10</v>
      </c>
      <c r="B70" s="2" t="s">
        <v>215</v>
      </c>
      <c r="C70" s="2"/>
      <c r="D70" s="3"/>
      <c r="F70" s="2"/>
    </row>
    <row r="71" spans="1:6" ht="15.75" thickBot="1" x14ac:dyDescent="0.3">
      <c r="A71" s="2">
        <v>10</v>
      </c>
      <c r="B71" s="27" t="s">
        <v>221</v>
      </c>
      <c r="C71" s="2"/>
      <c r="D71" s="3"/>
      <c r="F71" s="2"/>
    </row>
    <row r="72" spans="1:6" x14ac:dyDescent="0.25">
      <c r="A72" s="2">
        <v>11</v>
      </c>
      <c r="B72" s="19" t="s">
        <v>186</v>
      </c>
      <c r="C72" s="2"/>
      <c r="D72" s="3"/>
      <c r="F72" s="2"/>
    </row>
    <row r="73" spans="1:6" x14ac:dyDescent="0.25">
      <c r="A73" s="2">
        <v>11</v>
      </c>
      <c r="B73" s="2" t="s">
        <v>192</v>
      </c>
      <c r="C73" s="2"/>
      <c r="D73" s="3"/>
      <c r="F73" s="2"/>
    </row>
    <row r="74" spans="1:6" x14ac:dyDescent="0.25">
      <c r="A74" s="2">
        <v>11</v>
      </c>
      <c r="B74" s="2" t="s">
        <v>198</v>
      </c>
      <c r="C74" s="2"/>
      <c r="D74" s="3"/>
      <c r="F74" s="2"/>
    </row>
    <row r="75" spans="1:6" x14ac:dyDescent="0.25">
      <c r="A75" s="2">
        <v>11</v>
      </c>
      <c r="B75" s="2" t="s">
        <v>204</v>
      </c>
      <c r="C75" s="2"/>
      <c r="D75" s="3"/>
      <c r="F75" s="2"/>
    </row>
    <row r="76" spans="1:6" x14ac:dyDescent="0.25">
      <c r="A76" s="2">
        <v>11</v>
      </c>
      <c r="B76" s="2" t="s">
        <v>210</v>
      </c>
      <c r="C76" s="2"/>
      <c r="D76" s="3"/>
      <c r="F76" s="2"/>
    </row>
    <row r="77" spans="1:6" x14ac:dyDescent="0.25">
      <c r="A77" s="2">
        <v>11</v>
      </c>
      <c r="B77" s="2" t="s">
        <v>215</v>
      </c>
      <c r="C77" s="2"/>
      <c r="D77" s="3"/>
      <c r="F77" s="2"/>
    </row>
    <row r="78" spans="1:6" ht="15.75" thickBot="1" x14ac:dyDescent="0.3">
      <c r="A78" s="2">
        <v>11</v>
      </c>
      <c r="B78" s="27" t="s">
        <v>221</v>
      </c>
      <c r="C78" s="2"/>
      <c r="D78" s="3"/>
      <c r="F78" s="2"/>
    </row>
    <row r="79" spans="1:6" x14ac:dyDescent="0.25">
      <c r="A79" s="2">
        <v>12</v>
      </c>
      <c r="B79" s="19" t="s">
        <v>186</v>
      </c>
      <c r="C79" s="2"/>
      <c r="D79" s="3"/>
      <c r="F79" s="2"/>
    </row>
    <row r="80" spans="1:6" x14ac:dyDescent="0.25">
      <c r="A80" s="2">
        <v>12</v>
      </c>
      <c r="B80" s="2" t="s">
        <v>192</v>
      </c>
      <c r="C80" s="2"/>
      <c r="D80" s="3"/>
      <c r="F80" s="2"/>
    </row>
    <row r="81" spans="1:6" x14ac:dyDescent="0.25">
      <c r="A81" s="2">
        <v>12</v>
      </c>
      <c r="B81" s="2" t="s">
        <v>198</v>
      </c>
      <c r="C81" s="2"/>
      <c r="D81" s="3"/>
      <c r="F81" s="2"/>
    </row>
    <row r="82" spans="1:6" x14ac:dyDescent="0.25">
      <c r="A82" s="2">
        <v>12</v>
      </c>
      <c r="B82" s="2" t="s">
        <v>204</v>
      </c>
      <c r="C82" s="2"/>
      <c r="D82" s="3"/>
      <c r="F82" s="2"/>
    </row>
    <row r="83" spans="1:6" x14ac:dyDescent="0.25">
      <c r="A83" s="2">
        <v>12</v>
      </c>
      <c r="B83" s="2" t="s">
        <v>210</v>
      </c>
      <c r="C83" s="2"/>
      <c r="D83" s="3"/>
      <c r="F83" s="2"/>
    </row>
    <row r="84" spans="1:6" x14ac:dyDescent="0.25">
      <c r="A84" s="2">
        <v>12</v>
      </c>
      <c r="B84" s="2" t="s">
        <v>215</v>
      </c>
      <c r="C84" s="2"/>
      <c r="D84" s="3"/>
      <c r="F84" s="2"/>
    </row>
    <row r="85" spans="1:6" ht="15.75" thickBot="1" x14ac:dyDescent="0.3">
      <c r="A85" s="2">
        <v>12</v>
      </c>
      <c r="B85" s="27" t="s">
        <v>221</v>
      </c>
      <c r="C85" s="2"/>
      <c r="D85" s="3"/>
      <c r="F85" s="2"/>
    </row>
    <row r="86" spans="1:6" x14ac:dyDescent="0.25">
      <c r="A86" s="2">
        <v>13</v>
      </c>
      <c r="B86" s="19" t="s">
        <v>186</v>
      </c>
      <c r="C86" s="2"/>
      <c r="D86" s="3"/>
      <c r="F86" s="2"/>
    </row>
    <row r="87" spans="1:6" x14ac:dyDescent="0.25">
      <c r="A87" s="2">
        <v>13</v>
      </c>
      <c r="B87" s="2" t="s">
        <v>192</v>
      </c>
      <c r="C87" s="2"/>
      <c r="D87" s="3"/>
      <c r="F87" s="2"/>
    </row>
    <row r="88" spans="1:6" x14ac:dyDescent="0.25">
      <c r="A88" s="2">
        <v>13</v>
      </c>
      <c r="B88" s="2" t="s">
        <v>198</v>
      </c>
      <c r="C88" s="2"/>
      <c r="D88" s="3"/>
      <c r="F88" s="2"/>
    </row>
    <row r="89" spans="1:6" x14ac:dyDescent="0.25">
      <c r="A89" s="2">
        <v>13</v>
      </c>
      <c r="B89" s="2" t="s">
        <v>204</v>
      </c>
      <c r="C89" s="2"/>
      <c r="D89" s="3"/>
      <c r="F89" s="2"/>
    </row>
    <row r="90" spans="1:6" x14ac:dyDescent="0.25">
      <c r="A90" s="2">
        <v>13</v>
      </c>
      <c r="B90" s="2" t="s">
        <v>210</v>
      </c>
      <c r="C90" s="2"/>
      <c r="D90" s="3"/>
      <c r="F90" s="2"/>
    </row>
    <row r="91" spans="1:6" x14ac:dyDescent="0.25">
      <c r="A91" s="2">
        <v>13</v>
      </c>
      <c r="B91" s="2" t="s">
        <v>215</v>
      </c>
      <c r="C91" s="2"/>
      <c r="D91" s="3"/>
      <c r="F91" s="2"/>
    </row>
    <row r="92" spans="1:6" ht="15.75" thickBot="1" x14ac:dyDescent="0.3">
      <c r="A92" s="2">
        <v>13</v>
      </c>
      <c r="B92" s="27" t="s">
        <v>221</v>
      </c>
      <c r="C92" s="2"/>
      <c r="D92" s="3"/>
      <c r="F92" s="2"/>
    </row>
    <row r="93" spans="1:6" x14ac:dyDescent="0.25">
      <c r="A93" s="2">
        <v>14</v>
      </c>
      <c r="B93" s="19" t="s">
        <v>186</v>
      </c>
      <c r="C93" s="2"/>
      <c r="D93" s="3"/>
      <c r="F93" s="2"/>
    </row>
    <row r="94" spans="1:6" x14ac:dyDescent="0.25">
      <c r="A94" s="2">
        <v>14</v>
      </c>
      <c r="B94" s="2" t="s">
        <v>192</v>
      </c>
      <c r="C94" s="2"/>
      <c r="D94" s="3"/>
      <c r="F94" s="2"/>
    </row>
    <row r="95" spans="1:6" x14ac:dyDescent="0.25">
      <c r="A95" s="2">
        <v>14</v>
      </c>
      <c r="B95" s="2" t="s">
        <v>198</v>
      </c>
      <c r="C95" s="2"/>
      <c r="D95" s="3"/>
      <c r="F95" s="2"/>
    </row>
    <row r="96" spans="1:6" x14ac:dyDescent="0.25">
      <c r="A96" s="2">
        <v>14</v>
      </c>
      <c r="B96" s="2" t="s">
        <v>204</v>
      </c>
      <c r="C96" s="2"/>
      <c r="D96" s="3"/>
      <c r="F96" s="2"/>
    </row>
    <row r="97" spans="1:6" x14ac:dyDescent="0.25">
      <c r="A97" s="2">
        <v>14</v>
      </c>
      <c r="B97" s="2" t="s">
        <v>210</v>
      </c>
      <c r="C97" s="2"/>
      <c r="D97" s="3"/>
      <c r="F97" s="2"/>
    </row>
    <row r="98" spans="1:6" x14ac:dyDescent="0.25">
      <c r="A98" s="2">
        <v>14</v>
      </c>
      <c r="B98" s="2" t="s">
        <v>215</v>
      </c>
      <c r="C98" s="2"/>
      <c r="D98" s="3"/>
      <c r="F98" s="2"/>
    </row>
    <row r="99" spans="1:6" ht="15.75" thickBot="1" x14ac:dyDescent="0.3">
      <c r="A99" s="2">
        <v>14</v>
      </c>
      <c r="B99" s="27" t="s">
        <v>221</v>
      </c>
      <c r="C99" s="2"/>
      <c r="D99" s="3"/>
      <c r="F99" s="2"/>
    </row>
    <row r="100" spans="1:6" x14ac:dyDescent="0.25">
      <c r="A100" s="2">
        <v>15</v>
      </c>
      <c r="B100" s="19" t="s">
        <v>186</v>
      </c>
      <c r="C100" s="2"/>
      <c r="D100" s="3"/>
      <c r="F100" s="2"/>
    </row>
    <row r="101" spans="1:6" x14ac:dyDescent="0.25">
      <c r="A101" s="2">
        <v>15</v>
      </c>
      <c r="B101" s="2" t="s">
        <v>192</v>
      </c>
      <c r="C101" s="2"/>
      <c r="D101" s="3"/>
      <c r="F101" s="2"/>
    </row>
    <row r="102" spans="1:6" x14ac:dyDescent="0.25">
      <c r="A102" s="2">
        <v>15</v>
      </c>
      <c r="B102" s="2" t="s">
        <v>198</v>
      </c>
      <c r="C102" s="2"/>
      <c r="D102" s="3"/>
      <c r="F102" s="2"/>
    </row>
    <row r="103" spans="1:6" x14ac:dyDescent="0.25">
      <c r="A103" s="2">
        <v>15</v>
      </c>
      <c r="B103" s="2" t="s">
        <v>204</v>
      </c>
      <c r="C103" s="2"/>
      <c r="D103" s="3"/>
      <c r="F103" s="2"/>
    </row>
    <row r="104" spans="1:6" x14ac:dyDescent="0.25">
      <c r="A104" s="2">
        <v>15</v>
      </c>
      <c r="B104" s="2" t="s">
        <v>210</v>
      </c>
      <c r="C104" s="2"/>
      <c r="D104" s="3"/>
      <c r="F104" s="2"/>
    </row>
    <row r="105" spans="1:6" x14ac:dyDescent="0.25">
      <c r="A105" s="2">
        <v>15</v>
      </c>
      <c r="B105" s="2" t="s">
        <v>215</v>
      </c>
      <c r="C105" s="2"/>
      <c r="D105" s="3"/>
      <c r="F105" s="2"/>
    </row>
    <row r="106" spans="1:6" ht="15.75" thickBot="1" x14ac:dyDescent="0.3">
      <c r="A106" s="2">
        <v>15</v>
      </c>
      <c r="B106" s="27" t="s">
        <v>221</v>
      </c>
      <c r="C106" s="2"/>
      <c r="D106" s="3"/>
      <c r="F106" s="2"/>
    </row>
    <row r="107" spans="1:6" x14ac:dyDescent="0.25">
      <c r="A107" s="2">
        <v>16</v>
      </c>
      <c r="B107" s="19" t="s">
        <v>186</v>
      </c>
      <c r="C107" s="2"/>
      <c r="D107" s="3"/>
      <c r="F107" s="2"/>
    </row>
    <row r="108" spans="1:6" x14ac:dyDescent="0.25">
      <c r="A108" s="2">
        <v>16</v>
      </c>
      <c r="B108" s="2" t="s">
        <v>192</v>
      </c>
      <c r="C108" s="2"/>
      <c r="D108" s="3"/>
      <c r="F108" s="2"/>
    </row>
    <row r="109" spans="1:6" x14ac:dyDescent="0.25">
      <c r="A109" s="2">
        <v>16</v>
      </c>
      <c r="B109" s="2" t="s">
        <v>198</v>
      </c>
      <c r="C109" s="2"/>
      <c r="D109" s="3"/>
      <c r="F109" s="2"/>
    </row>
    <row r="110" spans="1:6" x14ac:dyDescent="0.25">
      <c r="A110" s="2">
        <v>16</v>
      </c>
      <c r="B110" s="2" t="s">
        <v>204</v>
      </c>
      <c r="C110" s="2"/>
      <c r="D110" s="3"/>
      <c r="F110" s="2"/>
    </row>
    <row r="111" spans="1:6" x14ac:dyDescent="0.25">
      <c r="A111" s="2">
        <v>16</v>
      </c>
      <c r="B111" s="2" t="s">
        <v>210</v>
      </c>
      <c r="C111" s="2"/>
      <c r="D111" s="3"/>
      <c r="F111" s="2"/>
    </row>
    <row r="112" spans="1:6" x14ac:dyDescent="0.25">
      <c r="A112" s="2">
        <v>16</v>
      </c>
      <c r="B112" s="2" t="s">
        <v>215</v>
      </c>
      <c r="C112" s="2"/>
      <c r="D112" s="3"/>
      <c r="F112" s="2"/>
    </row>
    <row r="113" spans="1:6" ht="15.75" thickBot="1" x14ac:dyDescent="0.3">
      <c r="A113" s="2">
        <v>16</v>
      </c>
      <c r="B113" s="27" t="s">
        <v>221</v>
      </c>
      <c r="C113" s="2"/>
      <c r="D113" s="3"/>
      <c r="F113" s="2"/>
    </row>
    <row r="114" spans="1:6" x14ac:dyDescent="0.25">
      <c r="A114" s="2">
        <v>17</v>
      </c>
      <c r="B114" s="19" t="s">
        <v>186</v>
      </c>
      <c r="C114" s="2"/>
      <c r="D114" s="3"/>
      <c r="F114" s="2"/>
    </row>
    <row r="115" spans="1:6" x14ac:dyDescent="0.25">
      <c r="A115" s="2">
        <v>17</v>
      </c>
      <c r="B115" s="2" t="s">
        <v>192</v>
      </c>
      <c r="C115" s="2"/>
      <c r="D115" s="3"/>
      <c r="F115" s="2"/>
    </row>
    <row r="116" spans="1:6" x14ac:dyDescent="0.25">
      <c r="A116" s="2">
        <v>17</v>
      </c>
      <c r="B116" s="2" t="s">
        <v>198</v>
      </c>
      <c r="C116" s="2"/>
      <c r="D116" s="3"/>
      <c r="F116" s="2"/>
    </row>
    <row r="117" spans="1:6" x14ac:dyDescent="0.25">
      <c r="A117" s="2">
        <v>17</v>
      </c>
      <c r="B117" s="2" t="s">
        <v>204</v>
      </c>
      <c r="C117" s="2"/>
      <c r="D117" s="3"/>
      <c r="F117" s="2"/>
    </row>
    <row r="118" spans="1:6" x14ac:dyDescent="0.25">
      <c r="A118" s="2">
        <v>17</v>
      </c>
      <c r="B118" s="2" t="s">
        <v>210</v>
      </c>
      <c r="C118" s="2"/>
      <c r="D118" s="3"/>
      <c r="F118" s="2"/>
    </row>
    <row r="119" spans="1:6" x14ac:dyDescent="0.25">
      <c r="A119" s="2">
        <v>17</v>
      </c>
      <c r="B119" s="2" t="s">
        <v>215</v>
      </c>
      <c r="C119" s="2"/>
      <c r="D119" s="3"/>
      <c r="F119" s="2"/>
    </row>
    <row r="120" spans="1:6" ht="15.75" thickBot="1" x14ac:dyDescent="0.3">
      <c r="A120" s="2">
        <v>17</v>
      </c>
      <c r="B120" s="27" t="s">
        <v>221</v>
      </c>
      <c r="C120" s="2"/>
      <c r="D120" s="3"/>
      <c r="F120" s="2"/>
    </row>
    <row r="121" spans="1:6" x14ac:dyDescent="0.25">
      <c r="A121" s="2">
        <v>18</v>
      </c>
      <c r="B121" s="19" t="s">
        <v>186</v>
      </c>
      <c r="C121" s="2"/>
      <c r="D121" s="3"/>
      <c r="F121" s="2"/>
    </row>
    <row r="122" spans="1:6" x14ac:dyDescent="0.25">
      <c r="A122" s="2">
        <v>18</v>
      </c>
      <c r="B122" s="2" t="s">
        <v>192</v>
      </c>
      <c r="C122" s="2"/>
      <c r="D122" s="3"/>
      <c r="F122" s="2"/>
    </row>
    <row r="123" spans="1:6" x14ac:dyDescent="0.25">
      <c r="A123" s="2">
        <v>18</v>
      </c>
      <c r="B123" s="2" t="s">
        <v>198</v>
      </c>
      <c r="C123" s="2"/>
      <c r="D123" s="3"/>
      <c r="F123" s="2"/>
    </row>
    <row r="124" spans="1:6" x14ac:dyDescent="0.25">
      <c r="A124" s="2">
        <v>18</v>
      </c>
      <c r="B124" s="2" t="s">
        <v>204</v>
      </c>
      <c r="C124" s="2"/>
      <c r="D124" s="3"/>
      <c r="F124" s="2"/>
    </row>
    <row r="125" spans="1:6" x14ac:dyDescent="0.25">
      <c r="A125" s="2">
        <v>18</v>
      </c>
      <c r="B125" s="2" t="s">
        <v>210</v>
      </c>
      <c r="C125" s="2"/>
      <c r="D125" s="3"/>
      <c r="F125" s="2"/>
    </row>
    <row r="126" spans="1:6" x14ac:dyDescent="0.25">
      <c r="A126" s="2">
        <v>18</v>
      </c>
      <c r="B126" s="2" t="s">
        <v>215</v>
      </c>
      <c r="C126" s="2"/>
      <c r="D126" s="3"/>
      <c r="F126" s="2"/>
    </row>
    <row r="127" spans="1:6" ht="15.75" thickBot="1" x14ac:dyDescent="0.3">
      <c r="A127" s="2">
        <v>18</v>
      </c>
      <c r="B127" s="27" t="s">
        <v>221</v>
      </c>
      <c r="C127" s="2"/>
      <c r="D127" s="3"/>
      <c r="F127" s="2"/>
    </row>
    <row r="128" spans="1:6" x14ac:dyDescent="0.25">
      <c r="A128" s="2">
        <v>19</v>
      </c>
      <c r="B128" s="19" t="s">
        <v>186</v>
      </c>
      <c r="C128" s="2"/>
      <c r="D128" s="3"/>
      <c r="F128" s="2"/>
    </row>
    <row r="129" spans="1:6" x14ac:dyDescent="0.25">
      <c r="A129" s="2">
        <v>19</v>
      </c>
      <c r="B129" s="2" t="s">
        <v>192</v>
      </c>
      <c r="C129" s="2"/>
      <c r="D129" s="3"/>
      <c r="F129" s="2"/>
    </row>
    <row r="130" spans="1:6" x14ac:dyDescent="0.25">
      <c r="A130" s="2">
        <v>19</v>
      </c>
      <c r="B130" s="2" t="s">
        <v>198</v>
      </c>
      <c r="C130" s="2"/>
      <c r="D130" s="3"/>
      <c r="F130" s="2"/>
    </row>
    <row r="131" spans="1:6" x14ac:dyDescent="0.25">
      <c r="A131" s="2">
        <v>19</v>
      </c>
      <c r="B131" s="2" t="s">
        <v>204</v>
      </c>
      <c r="C131" s="2"/>
      <c r="D131" s="3"/>
      <c r="F131" s="2"/>
    </row>
    <row r="132" spans="1:6" x14ac:dyDescent="0.25">
      <c r="A132" s="2">
        <v>19</v>
      </c>
      <c r="B132" s="2" t="s">
        <v>210</v>
      </c>
      <c r="C132" s="2"/>
      <c r="D132" s="3"/>
      <c r="F132" s="2"/>
    </row>
    <row r="133" spans="1:6" x14ac:dyDescent="0.25">
      <c r="A133" s="2">
        <v>19</v>
      </c>
      <c r="B133" s="2" t="s">
        <v>215</v>
      </c>
      <c r="C133" s="2"/>
      <c r="D133" s="3"/>
      <c r="F133" s="2"/>
    </row>
    <row r="134" spans="1:6" ht="15.75" thickBot="1" x14ac:dyDescent="0.3">
      <c r="A134" s="2">
        <v>19</v>
      </c>
      <c r="B134" s="27" t="s">
        <v>221</v>
      </c>
      <c r="C134" s="2"/>
      <c r="D134" s="3"/>
      <c r="F134" s="2"/>
    </row>
    <row r="135" spans="1:6" x14ac:dyDescent="0.25">
      <c r="A135" s="2">
        <v>20</v>
      </c>
      <c r="B135" s="19" t="s">
        <v>186</v>
      </c>
      <c r="C135" s="2"/>
      <c r="D135" s="3"/>
      <c r="F135" s="2"/>
    </row>
    <row r="136" spans="1:6" x14ac:dyDescent="0.25">
      <c r="A136" s="2">
        <v>20</v>
      </c>
      <c r="B136" s="2" t="s">
        <v>192</v>
      </c>
      <c r="C136" s="2"/>
      <c r="D136" s="3"/>
      <c r="F136" s="2"/>
    </row>
    <row r="137" spans="1:6" x14ac:dyDescent="0.25">
      <c r="A137" s="2">
        <v>20</v>
      </c>
      <c r="B137" s="2" t="s">
        <v>198</v>
      </c>
      <c r="C137" s="2"/>
      <c r="D137" s="3"/>
      <c r="F137" s="2"/>
    </row>
    <row r="138" spans="1:6" x14ac:dyDescent="0.25">
      <c r="A138" s="2">
        <v>20</v>
      </c>
      <c r="B138" s="2" t="s">
        <v>204</v>
      </c>
      <c r="C138" s="2"/>
      <c r="D138" s="3"/>
      <c r="F138" s="2"/>
    </row>
    <row r="139" spans="1:6" x14ac:dyDescent="0.25">
      <c r="A139" s="2">
        <v>20</v>
      </c>
      <c r="B139" s="2" t="s">
        <v>210</v>
      </c>
      <c r="C139" s="2"/>
      <c r="D139" s="3"/>
      <c r="F139" s="2"/>
    </row>
    <row r="140" spans="1:6" x14ac:dyDescent="0.25">
      <c r="A140" s="2">
        <v>20</v>
      </c>
      <c r="B140" s="2" t="s">
        <v>215</v>
      </c>
      <c r="C140" s="2"/>
      <c r="D140" s="3"/>
      <c r="F140" s="2"/>
    </row>
    <row r="141" spans="1:6" ht="15.75" thickBot="1" x14ac:dyDescent="0.3">
      <c r="A141" s="2">
        <v>20</v>
      </c>
      <c r="B141" s="27" t="s">
        <v>221</v>
      </c>
      <c r="C141" s="2"/>
      <c r="D141" s="3"/>
      <c r="F141" s="2"/>
    </row>
    <row r="142" spans="1:6" x14ac:dyDescent="0.25">
      <c r="A142" s="2">
        <v>21</v>
      </c>
      <c r="B142" s="19" t="s">
        <v>186</v>
      </c>
      <c r="C142" s="2"/>
      <c r="D142" s="3"/>
      <c r="F142" s="2"/>
    </row>
    <row r="143" spans="1:6" x14ac:dyDescent="0.25">
      <c r="A143" s="2">
        <v>21</v>
      </c>
      <c r="B143" s="2" t="s">
        <v>192</v>
      </c>
      <c r="C143" s="2"/>
      <c r="D143" s="3"/>
      <c r="F143" s="2"/>
    </row>
    <row r="144" spans="1:6" x14ac:dyDescent="0.25">
      <c r="A144" s="2">
        <v>21</v>
      </c>
      <c r="B144" s="2" t="s">
        <v>198</v>
      </c>
      <c r="C144" s="2"/>
      <c r="D144" s="3"/>
      <c r="F144" s="2"/>
    </row>
    <row r="145" spans="1:6" x14ac:dyDescent="0.25">
      <c r="A145" s="2">
        <v>21</v>
      </c>
      <c r="B145" s="2" t="s">
        <v>204</v>
      </c>
      <c r="C145" s="2"/>
      <c r="D145" s="3"/>
      <c r="F145" s="2"/>
    </row>
    <row r="146" spans="1:6" x14ac:dyDescent="0.25">
      <c r="A146" s="2">
        <v>21</v>
      </c>
      <c r="B146" s="2" t="s">
        <v>210</v>
      </c>
      <c r="C146" s="2"/>
      <c r="D146" s="3"/>
      <c r="F146" s="2"/>
    </row>
    <row r="147" spans="1:6" x14ac:dyDescent="0.25">
      <c r="A147" s="2">
        <v>21</v>
      </c>
      <c r="B147" s="2" t="s">
        <v>215</v>
      </c>
      <c r="C147" s="2"/>
      <c r="D147" s="3"/>
      <c r="F147" s="2"/>
    </row>
    <row r="148" spans="1:6" ht="15.75" thickBot="1" x14ac:dyDescent="0.3">
      <c r="A148" s="2">
        <v>21</v>
      </c>
      <c r="B148" s="27" t="s">
        <v>221</v>
      </c>
      <c r="C148" s="2"/>
      <c r="D148" s="3"/>
      <c r="F148" s="2"/>
    </row>
    <row r="149" spans="1:6" x14ac:dyDescent="0.25">
      <c r="A149" s="2">
        <v>22</v>
      </c>
      <c r="B149" s="19" t="s">
        <v>186</v>
      </c>
      <c r="C149" s="2"/>
      <c r="D149" s="3"/>
      <c r="F149" s="2"/>
    </row>
    <row r="150" spans="1:6" x14ac:dyDescent="0.25">
      <c r="A150" s="2">
        <v>22</v>
      </c>
      <c r="B150" s="2" t="s">
        <v>192</v>
      </c>
      <c r="C150" s="2"/>
      <c r="D150" s="3"/>
      <c r="F150" s="2"/>
    </row>
    <row r="151" spans="1:6" x14ac:dyDescent="0.25">
      <c r="A151" s="2">
        <v>22</v>
      </c>
      <c r="B151" s="2" t="s">
        <v>198</v>
      </c>
      <c r="C151" s="2"/>
      <c r="D151" s="3"/>
      <c r="F151" s="2"/>
    </row>
    <row r="152" spans="1:6" x14ac:dyDescent="0.25">
      <c r="A152" s="2">
        <v>22</v>
      </c>
      <c r="B152" s="2" t="s">
        <v>204</v>
      </c>
      <c r="C152" s="2"/>
      <c r="D152" s="3"/>
      <c r="F152" s="2"/>
    </row>
    <row r="153" spans="1:6" x14ac:dyDescent="0.25">
      <c r="A153" s="2">
        <v>22</v>
      </c>
      <c r="B153" s="2" t="s">
        <v>210</v>
      </c>
      <c r="C153" s="2"/>
      <c r="D153" s="3"/>
      <c r="F153" s="2"/>
    </row>
    <row r="154" spans="1:6" x14ac:dyDescent="0.25">
      <c r="A154" s="2">
        <v>22</v>
      </c>
      <c r="B154" s="2" t="s">
        <v>215</v>
      </c>
      <c r="C154" s="2"/>
      <c r="D154" s="3"/>
      <c r="F154" s="2"/>
    </row>
    <row r="155" spans="1:6" ht="15.75" thickBot="1" x14ac:dyDescent="0.3">
      <c r="A155" s="2">
        <v>22</v>
      </c>
      <c r="B155" s="27" t="s">
        <v>221</v>
      </c>
      <c r="C155" s="2"/>
      <c r="D155" s="3"/>
      <c r="F155" s="2"/>
    </row>
    <row r="156" spans="1:6" x14ac:dyDescent="0.25">
      <c r="A156" s="2">
        <v>23</v>
      </c>
      <c r="B156" s="19" t="s">
        <v>186</v>
      </c>
      <c r="C156" s="2"/>
      <c r="D156" s="3"/>
      <c r="F156" s="2"/>
    </row>
    <row r="157" spans="1:6" x14ac:dyDescent="0.25">
      <c r="A157" s="2">
        <v>23</v>
      </c>
      <c r="B157" s="2" t="s">
        <v>192</v>
      </c>
      <c r="C157" s="2"/>
      <c r="D157" s="3"/>
      <c r="F157" s="2"/>
    </row>
    <row r="158" spans="1:6" x14ac:dyDescent="0.25">
      <c r="A158" s="2">
        <v>23</v>
      </c>
      <c r="B158" s="2" t="s">
        <v>198</v>
      </c>
      <c r="C158" s="2"/>
      <c r="D158" s="3"/>
      <c r="F158" s="2"/>
    </row>
    <row r="159" spans="1:6" x14ac:dyDescent="0.25">
      <c r="A159" s="2">
        <v>23</v>
      </c>
      <c r="B159" s="2" t="s">
        <v>204</v>
      </c>
      <c r="C159" s="2"/>
      <c r="D159" s="3"/>
      <c r="F159" s="2"/>
    </row>
    <row r="160" spans="1:6" x14ac:dyDescent="0.25">
      <c r="A160" s="2">
        <v>23</v>
      </c>
      <c r="B160" s="2" t="s">
        <v>210</v>
      </c>
      <c r="C160" s="2"/>
      <c r="D160" s="3"/>
      <c r="F160" s="2"/>
    </row>
    <row r="161" spans="1:6" x14ac:dyDescent="0.25">
      <c r="A161" s="2">
        <v>23</v>
      </c>
      <c r="B161" s="2" t="s">
        <v>215</v>
      </c>
      <c r="C161" s="2"/>
      <c r="D161" s="3"/>
      <c r="F161" s="2"/>
    </row>
    <row r="162" spans="1:6" ht="15.75" thickBot="1" x14ac:dyDescent="0.3">
      <c r="A162" s="2">
        <v>23</v>
      </c>
      <c r="B162" s="27" t="s">
        <v>221</v>
      </c>
      <c r="C162" s="2"/>
      <c r="D162" s="3"/>
      <c r="F162" s="2"/>
    </row>
    <row r="163" spans="1:6" x14ac:dyDescent="0.25">
      <c r="A163" s="2">
        <v>24</v>
      </c>
      <c r="B163" s="19" t="s">
        <v>186</v>
      </c>
      <c r="C163" s="2"/>
      <c r="D163" s="3"/>
      <c r="F163" s="2"/>
    </row>
    <row r="164" spans="1:6" x14ac:dyDescent="0.25">
      <c r="A164" s="2">
        <v>24</v>
      </c>
      <c r="B164" s="2" t="s">
        <v>192</v>
      </c>
      <c r="C164" s="2"/>
      <c r="D164" s="3"/>
      <c r="F164" s="2"/>
    </row>
    <row r="165" spans="1:6" x14ac:dyDescent="0.25">
      <c r="A165" s="2">
        <v>24</v>
      </c>
      <c r="B165" s="2" t="s">
        <v>198</v>
      </c>
      <c r="C165" s="2"/>
      <c r="D165" s="3"/>
      <c r="F165" s="2"/>
    </row>
    <row r="166" spans="1:6" x14ac:dyDescent="0.25">
      <c r="A166" s="2">
        <v>24</v>
      </c>
      <c r="B166" s="2" t="s">
        <v>204</v>
      </c>
      <c r="C166" s="2"/>
      <c r="D166" s="3"/>
      <c r="F166" s="2"/>
    </row>
    <row r="167" spans="1:6" x14ac:dyDescent="0.25">
      <c r="A167" s="2">
        <v>24</v>
      </c>
      <c r="B167" s="2" t="s">
        <v>210</v>
      </c>
      <c r="C167" s="2"/>
      <c r="D167" s="3"/>
      <c r="F167" s="2"/>
    </row>
    <row r="168" spans="1:6" x14ac:dyDescent="0.25">
      <c r="A168" s="2">
        <v>24</v>
      </c>
      <c r="B168" s="2" t="s">
        <v>215</v>
      </c>
      <c r="C168" s="2"/>
      <c r="D168" s="3"/>
      <c r="F168" s="2"/>
    </row>
    <row r="169" spans="1:6" ht="15.75" thickBot="1" x14ac:dyDescent="0.3">
      <c r="A169" s="2">
        <v>24</v>
      </c>
      <c r="B169" s="27" t="s">
        <v>221</v>
      </c>
      <c r="C169" s="2"/>
      <c r="D169" s="3"/>
      <c r="F169" s="2"/>
    </row>
    <row r="170" spans="1:6" x14ac:dyDescent="0.25">
      <c r="A170" s="2">
        <v>25</v>
      </c>
      <c r="B170" s="19" t="s">
        <v>186</v>
      </c>
      <c r="C170" s="2"/>
      <c r="D170" s="3"/>
      <c r="F170" s="2"/>
    </row>
    <row r="171" spans="1:6" x14ac:dyDescent="0.25">
      <c r="A171" s="2">
        <v>25</v>
      </c>
      <c r="B171" s="2" t="s">
        <v>192</v>
      </c>
      <c r="C171" s="2"/>
      <c r="D171" s="3"/>
      <c r="F171" s="2"/>
    </row>
    <row r="172" spans="1:6" x14ac:dyDescent="0.25">
      <c r="A172" s="2">
        <v>25</v>
      </c>
      <c r="B172" s="2" t="s">
        <v>198</v>
      </c>
      <c r="C172" s="2"/>
      <c r="D172" s="3"/>
      <c r="F172" s="2"/>
    </row>
    <row r="173" spans="1:6" x14ac:dyDescent="0.25">
      <c r="A173" s="2">
        <v>25</v>
      </c>
      <c r="B173" s="2" t="s">
        <v>204</v>
      </c>
      <c r="C173" s="2"/>
      <c r="D173" s="3"/>
      <c r="F173" s="2"/>
    </row>
    <row r="174" spans="1:6" x14ac:dyDescent="0.25">
      <c r="A174" s="2">
        <v>25</v>
      </c>
      <c r="B174" s="2" t="s">
        <v>210</v>
      </c>
      <c r="C174" s="2"/>
      <c r="D174" s="3"/>
      <c r="F174" s="2"/>
    </row>
    <row r="175" spans="1:6" x14ac:dyDescent="0.25">
      <c r="A175" s="2">
        <v>25</v>
      </c>
      <c r="B175" s="2" t="s">
        <v>215</v>
      </c>
      <c r="C175" s="2"/>
      <c r="D175" s="3"/>
      <c r="F175" s="2"/>
    </row>
    <row r="176" spans="1:6" ht="15.75" thickBot="1" x14ac:dyDescent="0.3">
      <c r="A176" s="2">
        <v>25</v>
      </c>
      <c r="B176" s="27" t="s">
        <v>221</v>
      </c>
      <c r="C176" s="2"/>
      <c r="D176" s="3"/>
      <c r="F176" s="2"/>
    </row>
    <row r="177" spans="1:6" x14ac:dyDescent="0.25">
      <c r="A177" s="2">
        <v>26</v>
      </c>
      <c r="B177" s="19" t="s">
        <v>186</v>
      </c>
      <c r="C177" s="2"/>
      <c r="D177" s="3"/>
      <c r="F177" s="2"/>
    </row>
    <row r="178" spans="1:6" x14ac:dyDescent="0.25">
      <c r="A178" s="2">
        <v>26</v>
      </c>
      <c r="B178" s="2" t="s">
        <v>192</v>
      </c>
      <c r="C178" s="2"/>
      <c r="D178" s="3"/>
      <c r="F178" s="2"/>
    </row>
    <row r="179" spans="1:6" x14ac:dyDescent="0.25">
      <c r="A179" s="2">
        <v>26</v>
      </c>
      <c r="B179" s="2" t="s">
        <v>198</v>
      </c>
      <c r="C179" s="2"/>
      <c r="D179" s="3"/>
      <c r="F179" s="2"/>
    </row>
    <row r="180" spans="1:6" x14ac:dyDescent="0.25">
      <c r="A180" s="2">
        <v>26</v>
      </c>
      <c r="B180" s="2" t="s">
        <v>204</v>
      </c>
      <c r="C180" s="2"/>
      <c r="D180" s="3"/>
      <c r="F180" s="2"/>
    </row>
    <row r="181" spans="1:6" x14ac:dyDescent="0.25">
      <c r="A181" s="2">
        <v>26</v>
      </c>
      <c r="B181" s="2" t="s">
        <v>210</v>
      </c>
      <c r="C181" s="2"/>
      <c r="D181" s="3"/>
      <c r="F181" s="2"/>
    </row>
    <row r="182" spans="1:6" x14ac:dyDescent="0.25">
      <c r="A182" s="2">
        <v>26</v>
      </c>
      <c r="B182" s="2" t="s">
        <v>215</v>
      </c>
      <c r="C182" s="2"/>
      <c r="D182" s="3"/>
      <c r="F182" s="2"/>
    </row>
    <row r="183" spans="1:6" ht="15.75" thickBot="1" x14ac:dyDescent="0.3">
      <c r="A183" s="2">
        <v>26</v>
      </c>
      <c r="B183" s="27" t="s">
        <v>221</v>
      </c>
      <c r="C183" s="2"/>
      <c r="D183" s="3"/>
      <c r="F183" s="2"/>
    </row>
    <row r="184" spans="1:6" x14ac:dyDescent="0.25">
      <c r="A184" s="2">
        <v>27</v>
      </c>
      <c r="B184" s="19" t="s">
        <v>186</v>
      </c>
      <c r="C184" s="2"/>
      <c r="D184" s="3"/>
      <c r="F184" s="2"/>
    </row>
    <row r="185" spans="1:6" x14ac:dyDescent="0.25">
      <c r="A185" s="2">
        <v>27</v>
      </c>
      <c r="B185" s="2" t="s">
        <v>192</v>
      </c>
      <c r="C185" s="2"/>
      <c r="D185" s="3"/>
      <c r="F185" s="2"/>
    </row>
    <row r="186" spans="1:6" x14ac:dyDescent="0.25">
      <c r="A186" s="2">
        <v>27</v>
      </c>
      <c r="B186" s="2" t="s">
        <v>198</v>
      </c>
      <c r="C186" s="2"/>
      <c r="D186" s="3"/>
      <c r="F186" s="2"/>
    </row>
    <row r="187" spans="1:6" x14ac:dyDescent="0.25">
      <c r="A187" s="2">
        <v>27</v>
      </c>
      <c r="B187" s="2" t="s">
        <v>204</v>
      </c>
      <c r="C187" s="2"/>
      <c r="D187" s="3"/>
      <c r="F187" s="2"/>
    </row>
    <row r="188" spans="1:6" x14ac:dyDescent="0.25">
      <c r="A188" s="2">
        <v>27</v>
      </c>
      <c r="B188" s="2" t="s">
        <v>210</v>
      </c>
      <c r="C188" s="2"/>
      <c r="D188" s="3"/>
      <c r="F188" s="2"/>
    </row>
    <row r="189" spans="1:6" x14ac:dyDescent="0.25">
      <c r="A189" s="2">
        <v>27</v>
      </c>
      <c r="B189" s="2" t="s">
        <v>215</v>
      </c>
      <c r="C189" s="2"/>
      <c r="D189" s="3"/>
      <c r="F189" s="2"/>
    </row>
    <row r="190" spans="1:6" ht="15.75" thickBot="1" x14ac:dyDescent="0.3">
      <c r="A190" s="2">
        <v>27</v>
      </c>
      <c r="B190" s="27" t="s">
        <v>221</v>
      </c>
      <c r="C190" s="2"/>
      <c r="D190" s="3"/>
      <c r="F190" s="2"/>
    </row>
    <row r="191" spans="1:6" x14ac:dyDescent="0.25">
      <c r="A191" s="2">
        <v>28</v>
      </c>
      <c r="B191" s="19" t="s">
        <v>186</v>
      </c>
      <c r="C191" s="2"/>
      <c r="D191" s="3"/>
      <c r="F191" s="2"/>
    </row>
    <row r="192" spans="1:6" x14ac:dyDescent="0.25">
      <c r="A192" s="2">
        <v>28</v>
      </c>
      <c r="B192" s="2" t="s">
        <v>192</v>
      </c>
      <c r="C192" s="2"/>
      <c r="D192" s="3"/>
      <c r="F192" s="2"/>
    </row>
    <row r="193" spans="1:6" x14ac:dyDescent="0.25">
      <c r="A193" s="2">
        <v>28</v>
      </c>
      <c r="B193" s="2" t="s">
        <v>198</v>
      </c>
      <c r="C193" s="2"/>
      <c r="D193" s="3"/>
      <c r="F193" s="2"/>
    </row>
    <row r="194" spans="1:6" x14ac:dyDescent="0.25">
      <c r="A194" s="2">
        <v>28</v>
      </c>
      <c r="B194" s="2" t="s">
        <v>204</v>
      </c>
      <c r="C194" s="2"/>
      <c r="D194" s="3"/>
      <c r="F194" s="2"/>
    </row>
    <row r="195" spans="1:6" x14ac:dyDescent="0.25">
      <c r="A195" s="2">
        <v>28</v>
      </c>
      <c r="B195" s="2" t="s">
        <v>210</v>
      </c>
      <c r="C195" s="2"/>
      <c r="D195" s="3"/>
      <c r="F195" s="2"/>
    </row>
    <row r="196" spans="1:6" x14ac:dyDescent="0.25">
      <c r="A196" s="2">
        <v>28</v>
      </c>
      <c r="B196" s="2" t="s">
        <v>215</v>
      </c>
      <c r="C196" s="2"/>
      <c r="D196" s="3"/>
      <c r="F196" s="2"/>
    </row>
    <row r="197" spans="1:6" ht="15.75" thickBot="1" x14ac:dyDescent="0.3">
      <c r="A197" s="2">
        <v>28</v>
      </c>
      <c r="B197" s="27" t="s">
        <v>221</v>
      </c>
      <c r="C197" s="2"/>
      <c r="D197" s="3"/>
      <c r="F197" s="2"/>
    </row>
    <row r="198" spans="1:6" x14ac:dyDescent="0.25">
      <c r="A198" s="2">
        <v>29</v>
      </c>
      <c r="B198" s="19" t="s">
        <v>186</v>
      </c>
      <c r="C198" s="2"/>
      <c r="D198" s="3"/>
      <c r="F198" s="2"/>
    </row>
    <row r="199" spans="1:6" x14ac:dyDescent="0.25">
      <c r="A199" s="2">
        <v>29</v>
      </c>
      <c r="B199" s="2" t="s">
        <v>192</v>
      </c>
      <c r="C199" s="2"/>
      <c r="D199" s="3"/>
      <c r="F199" s="2"/>
    </row>
    <row r="200" spans="1:6" x14ac:dyDescent="0.25">
      <c r="A200" s="2">
        <v>29</v>
      </c>
      <c r="B200" s="2" t="s">
        <v>198</v>
      </c>
      <c r="C200" s="2"/>
      <c r="D200" s="3"/>
      <c r="F200" s="2"/>
    </row>
    <row r="201" spans="1:6" x14ac:dyDescent="0.25">
      <c r="A201" s="2">
        <v>29</v>
      </c>
      <c r="B201" s="2" t="s">
        <v>204</v>
      </c>
      <c r="C201" s="2"/>
      <c r="D201" s="3"/>
      <c r="F201" s="2"/>
    </row>
    <row r="202" spans="1:6" x14ac:dyDescent="0.25">
      <c r="A202" s="2">
        <v>29</v>
      </c>
      <c r="B202" s="2" t="s">
        <v>210</v>
      </c>
      <c r="C202" s="2"/>
      <c r="D202" s="3"/>
      <c r="F202" s="2"/>
    </row>
    <row r="203" spans="1:6" x14ac:dyDescent="0.25">
      <c r="A203" s="2">
        <v>29</v>
      </c>
      <c r="B203" s="2" t="s">
        <v>215</v>
      </c>
      <c r="C203" s="2"/>
      <c r="D203" s="3"/>
      <c r="F203" s="2"/>
    </row>
    <row r="204" spans="1:6" ht="15.75" thickBot="1" x14ac:dyDescent="0.3">
      <c r="A204" s="2">
        <v>29</v>
      </c>
      <c r="B204" s="27" t="s">
        <v>221</v>
      </c>
      <c r="C204" s="2"/>
      <c r="D204" s="3"/>
      <c r="F204" s="2"/>
    </row>
    <row r="205" spans="1:6" x14ac:dyDescent="0.25">
      <c r="A205" s="2">
        <v>30</v>
      </c>
      <c r="B205" s="19" t="s">
        <v>186</v>
      </c>
      <c r="C205" s="2"/>
      <c r="D205" s="3"/>
      <c r="F205" s="2"/>
    </row>
    <row r="206" spans="1:6" x14ac:dyDescent="0.25">
      <c r="A206" s="2">
        <v>30</v>
      </c>
      <c r="B206" s="2" t="s">
        <v>192</v>
      </c>
      <c r="C206" s="2"/>
      <c r="D206" s="3"/>
      <c r="F206" s="2"/>
    </row>
    <row r="207" spans="1:6" x14ac:dyDescent="0.25">
      <c r="A207" s="2">
        <v>30</v>
      </c>
      <c r="B207" s="2" t="s">
        <v>198</v>
      </c>
      <c r="C207" s="2"/>
      <c r="D207" s="3"/>
      <c r="F207" s="2"/>
    </row>
    <row r="208" spans="1:6" x14ac:dyDescent="0.25">
      <c r="A208" s="2">
        <v>30</v>
      </c>
      <c r="B208" s="2" t="s">
        <v>204</v>
      </c>
      <c r="C208" s="2"/>
      <c r="D208" s="3"/>
      <c r="F208" s="2"/>
    </row>
    <row r="209" spans="1:6" x14ac:dyDescent="0.25">
      <c r="A209" s="2">
        <v>30</v>
      </c>
      <c r="B209" s="2" t="s">
        <v>210</v>
      </c>
      <c r="C209" s="2"/>
      <c r="D209" s="3"/>
      <c r="F209" s="2"/>
    </row>
    <row r="210" spans="1:6" x14ac:dyDescent="0.25">
      <c r="A210" s="2">
        <v>30</v>
      </c>
      <c r="B210" s="2" t="s">
        <v>215</v>
      </c>
      <c r="C210" s="2"/>
      <c r="D210" s="3"/>
      <c r="F210" s="2"/>
    </row>
    <row r="211" spans="1:6" ht="15.75" thickBot="1" x14ac:dyDescent="0.3">
      <c r="A211" s="2">
        <v>30</v>
      </c>
      <c r="B211" s="27" t="s">
        <v>221</v>
      </c>
      <c r="C211" s="2"/>
      <c r="D211" s="3"/>
      <c r="F211" s="2"/>
    </row>
    <row r="212" spans="1:6" x14ac:dyDescent="0.25">
      <c r="A212" s="2">
        <v>31</v>
      </c>
      <c r="B212" s="19" t="s">
        <v>186</v>
      </c>
      <c r="C212" s="2"/>
      <c r="D212" s="3"/>
      <c r="F212" s="2"/>
    </row>
    <row r="213" spans="1:6" x14ac:dyDescent="0.25">
      <c r="A213" s="2">
        <v>31</v>
      </c>
      <c r="B213" s="2" t="s">
        <v>192</v>
      </c>
      <c r="C213" s="2"/>
      <c r="D213" s="3"/>
      <c r="F213" s="2"/>
    </row>
    <row r="214" spans="1:6" x14ac:dyDescent="0.25">
      <c r="A214" s="2">
        <v>31</v>
      </c>
      <c r="B214" s="2" t="s">
        <v>198</v>
      </c>
      <c r="C214" s="2"/>
      <c r="D214" s="3"/>
      <c r="F214" s="2"/>
    </row>
    <row r="215" spans="1:6" x14ac:dyDescent="0.25">
      <c r="A215" s="2">
        <v>31</v>
      </c>
      <c r="B215" s="2" t="s">
        <v>204</v>
      </c>
      <c r="C215" s="2"/>
      <c r="D215" s="3"/>
      <c r="F215" s="2"/>
    </row>
    <row r="216" spans="1:6" x14ac:dyDescent="0.25">
      <c r="A216" s="2">
        <v>31</v>
      </c>
      <c r="B216" s="2" t="s">
        <v>210</v>
      </c>
      <c r="C216" s="2"/>
      <c r="D216" s="3"/>
      <c r="F216" s="2"/>
    </row>
    <row r="217" spans="1:6" x14ac:dyDescent="0.25">
      <c r="A217" s="2">
        <v>31</v>
      </c>
      <c r="B217" s="2" t="s">
        <v>215</v>
      </c>
      <c r="C217" s="2"/>
      <c r="D217" s="3"/>
      <c r="F217" s="2"/>
    </row>
    <row r="218" spans="1:6" ht="15.75" thickBot="1" x14ac:dyDescent="0.3">
      <c r="A218" s="2">
        <v>31</v>
      </c>
      <c r="B218" s="27" t="s">
        <v>221</v>
      </c>
      <c r="C218" s="2"/>
      <c r="D218" s="3"/>
      <c r="F218" s="2"/>
    </row>
    <row r="219" spans="1:6" x14ac:dyDescent="0.25">
      <c r="A219" s="2">
        <v>32</v>
      </c>
      <c r="B219" s="19" t="s">
        <v>186</v>
      </c>
      <c r="C219" s="2"/>
      <c r="D219" s="3"/>
      <c r="F219" s="2"/>
    </row>
    <row r="220" spans="1:6" x14ac:dyDescent="0.25">
      <c r="A220" s="2">
        <v>32</v>
      </c>
      <c r="B220" s="2" t="s">
        <v>192</v>
      </c>
      <c r="C220" s="2"/>
      <c r="D220" s="3"/>
      <c r="F220" s="2"/>
    </row>
    <row r="221" spans="1:6" x14ac:dyDescent="0.25">
      <c r="A221" s="2">
        <v>32</v>
      </c>
      <c r="B221" s="2" t="s">
        <v>198</v>
      </c>
      <c r="C221" s="2"/>
      <c r="D221" s="3"/>
      <c r="F221" s="2"/>
    </row>
    <row r="222" spans="1:6" x14ac:dyDescent="0.25">
      <c r="A222" s="2">
        <v>32</v>
      </c>
      <c r="B222" s="2" t="s">
        <v>204</v>
      </c>
      <c r="C222" s="2"/>
      <c r="D222" s="3"/>
      <c r="F222" s="2"/>
    </row>
    <row r="223" spans="1:6" x14ac:dyDescent="0.25">
      <c r="A223" s="2">
        <v>32</v>
      </c>
      <c r="B223" s="2" t="s">
        <v>210</v>
      </c>
      <c r="C223" s="2"/>
      <c r="D223" s="3"/>
      <c r="F223" s="2"/>
    </row>
    <row r="224" spans="1:6" x14ac:dyDescent="0.25">
      <c r="A224" s="2">
        <v>32</v>
      </c>
      <c r="B224" s="2" t="s">
        <v>215</v>
      </c>
      <c r="C224" s="2"/>
      <c r="D224" s="3"/>
      <c r="F224" s="2"/>
    </row>
    <row r="225" spans="1:6" ht="15.75" thickBot="1" x14ac:dyDescent="0.3">
      <c r="A225" s="2">
        <v>32</v>
      </c>
      <c r="B225" s="27" t="s">
        <v>221</v>
      </c>
      <c r="C225" s="2"/>
      <c r="D225" s="3"/>
      <c r="F225" s="2"/>
    </row>
    <row r="226" spans="1:6" x14ac:dyDescent="0.25">
      <c r="A226" s="2">
        <v>33</v>
      </c>
      <c r="B226" s="19" t="s">
        <v>186</v>
      </c>
      <c r="C226" s="2"/>
      <c r="D226" s="3"/>
      <c r="F226" s="2"/>
    </row>
    <row r="227" spans="1:6" x14ac:dyDescent="0.25">
      <c r="A227" s="2">
        <v>33</v>
      </c>
      <c r="B227" s="2" t="s">
        <v>192</v>
      </c>
      <c r="C227" s="2"/>
      <c r="D227" s="3"/>
      <c r="F227" s="2"/>
    </row>
    <row r="228" spans="1:6" x14ac:dyDescent="0.25">
      <c r="A228" s="2">
        <v>33</v>
      </c>
      <c r="B228" s="2" t="s">
        <v>198</v>
      </c>
      <c r="C228" s="2"/>
      <c r="D228" s="3"/>
      <c r="F228" s="2"/>
    </row>
    <row r="229" spans="1:6" x14ac:dyDescent="0.25">
      <c r="A229" s="2">
        <v>33</v>
      </c>
      <c r="B229" s="2" t="s">
        <v>204</v>
      </c>
      <c r="C229" s="2"/>
      <c r="D229" s="3"/>
      <c r="F229" s="2"/>
    </row>
    <row r="230" spans="1:6" x14ac:dyDescent="0.25">
      <c r="A230" s="2">
        <v>33</v>
      </c>
      <c r="B230" s="2" t="s">
        <v>210</v>
      </c>
      <c r="C230" s="2"/>
      <c r="D230" s="3"/>
      <c r="F230" s="2"/>
    </row>
    <row r="231" spans="1:6" x14ac:dyDescent="0.25">
      <c r="A231" s="2">
        <v>33</v>
      </c>
      <c r="B231" s="2" t="s">
        <v>215</v>
      </c>
      <c r="C231" s="2"/>
      <c r="D231" s="3"/>
      <c r="F231" s="2"/>
    </row>
    <row r="232" spans="1:6" ht="15.75" thickBot="1" x14ac:dyDescent="0.3">
      <c r="A232" s="2">
        <v>33</v>
      </c>
      <c r="B232" s="27" t="s">
        <v>221</v>
      </c>
      <c r="C232" s="2"/>
      <c r="D232" s="3"/>
      <c r="F232" s="2"/>
    </row>
    <row r="233" spans="1:6" x14ac:dyDescent="0.25">
      <c r="A233" s="2">
        <v>34</v>
      </c>
      <c r="B233" s="19" t="s">
        <v>186</v>
      </c>
      <c r="C233" s="2"/>
      <c r="D233" s="3"/>
      <c r="F233" s="2"/>
    </row>
    <row r="234" spans="1:6" x14ac:dyDescent="0.25">
      <c r="A234" s="2">
        <v>34</v>
      </c>
      <c r="B234" s="2" t="s">
        <v>192</v>
      </c>
      <c r="C234" s="2"/>
      <c r="D234" s="3"/>
      <c r="F234" s="2"/>
    </row>
    <row r="235" spans="1:6" x14ac:dyDescent="0.25">
      <c r="A235" s="2">
        <v>34</v>
      </c>
      <c r="B235" s="2" t="s">
        <v>198</v>
      </c>
      <c r="C235" s="2"/>
      <c r="D235" s="3"/>
      <c r="F235" s="2"/>
    </row>
    <row r="236" spans="1:6" x14ac:dyDescent="0.25">
      <c r="A236" s="2">
        <v>34</v>
      </c>
      <c r="B236" s="2" t="s">
        <v>204</v>
      </c>
      <c r="C236" s="2"/>
      <c r="D236" s="3"/>
      <c r="F236" s="2"/>
    </row>
    <row r="237" spans="1:6" x14ac:dyDescent="0.25">
      <c r="A237" s="2">
        <v>34</v>
      </c>
      <c r="B237" s="2" t="s">
        <v>210</v>
      </c>
      <c r="C237" s="2"/>
      <c r="D237" s="3"/>
      <c r="F237" s="2"/>
    </row>
    <row r="238" spans="1:6" x14ac:dyDescent="0.25">
      <c r="A238" s="2">
        <v>34</v>
      </c>
      <c r="B238" s="2" t="s">
        <v>215</v>
      </c>
      <c r="C238" s="2"/>
      <c r="D238" s="3"/>
      <c r="F238" s="2"/>
    </row>
    <row r="239" spans="1:6" ht="15.75" thickBot="1" x14ac:dyDescent="0.3">
      <c r="A239" s="2">
        <v>34</v>
      </c>
      <c r="B239" s="27" t="s">
        <v>221</v>
      </c>
      <c r="C239" s="2"/>
      <c r="D239" s="3"/>
      <c r="F239" s="2"/>
    </row>
    <row r="240" spans="1:6" x14ac:dyDescent="0.25">
      <c r="A240" s="2">
        <v>35</v>
      </c>
      <c r="B240" s="19" t="s">
        <v>186</v>
      </c>
      <c r="C240" s="2"/>
      <c r="D240" s="3"/>
      <c r="F240" s="2"/>
    </row>
    <row r="241" spans="1:6" x14ac:dyDescent="0.25">
      <c r="A241" s="2">
        <v>35</v>
      </c>
      <c r="B241" s="2" t="s">
        <v>192</v>
      </c>
      <c r="C241" s="2"/>
      <c r="D241" s="3"/>
      <c r="F241" s="2"/>
    </row>
    <row r="242" spans="1:6" x14ac:dyDescent="0.25">
      <c r="A242" s="2">
        <v>35</v>
      </c>
      <c r="B242" s="2" t="s">
        <v>198</v>
      </c>
      <c r="C242" s="2"/>
      <c r="D242" s="3"/>
      <c r="F242" s="2"/>
    </row>
    <row r="243" spans="1:6" x14ac:dyDescent="0.25">
      <c r="A243" s="2">
        <v>35</v>
      </c>
      <c r="B243" s="2" t="s">
        <v>204</v>
      </c>
      <c r="C243" s="2"/>
      <c r="D243" s="3"/>
      <c r="F243" s="2"/>
    </row>
    <row r="244" spans="1:6" x14ac:dyDescent="0.25">
      <c r="A244" s="2">
        <v>35</v>
      </c>
      <c r="B244" s="2" t="s">
        <v>210</v>
      </c>
      <c r="C244" s="2"/>
      <c r="D244" s="3"/>
      <c r="F244" s="2"/>
    </row>
    <row r="245" spans="1:6" x14ac:dyDescent="0.25">
      <c r="A245" s="2">
        <v>35</v>
      </c>
      <c r="B245" s="2" t="s">
        <v>215</v>
      </c>
      <c r="C245" s="2"/>
      <c r="D245" s="3"/>
      <c r="F245" s="2"/>
    </row>
    <row r="246" spans="1:6" ht="15.75" thickBot="1" x14ac:dyDescent="0.3">
      <c r="A246" s="2">
        <v>35</v>
      </c>
      <c r="B246" s="27" t="s">
        <v>221</v>
      </c>
      <c r="C246" s="2"/>
      <c r="D246" s="3"/>
      <c r="F246" s="2"/>
    </row>
    <row r="247" spans="1:6" x14ac:dyDescent="0.25">
      <c r="A247" s="2">
        <v>36</v>
      </c>
      <c r="B247" s="19" t="s">
        <v>186</v>
      </c>
      <c r="C247" s="2"/>
      <c r="D247" s="3"/>
      <c r="F247" s="2"/>
    </row>
    <row r="248" spans="1:6" x14ac:dyDescent="0.25">
      <c r="A248" s="2">
        <v>36</v>
      </c>
      <c r="B248" s="2" t="s">
        <v>192</v>
      </c>
      <c r="C248" s="2"/>
      <c r="D248" s="3"/>
      <c r="F248" s="2"/>
    </row>
    <row r="249" spans="1:6" x14ac:dyDescent="0.25">
      <c r="A249" s="2">
        <v>36</v>
      </c>
      <c r="B249" s="2" t="s">
        <v>198</v>
      </c>
      <c r="C249" s="2"/>
      <c r="D249" s="3"/>
      <c r="F249" s="2"/>
    </row>
    <row r="250" spans="1:6" x14ac:dyDescent="0.25">
      <c r="A250" s="2">
        <v>36</v>
      </c>
      <c r="B250" s="2" t="s">
        <v>204</v>
      </c>
      <c r="C250" s="2"/>
      <c r="D250" s="3"/>
      <c r="F250" s="2"/>
    </row>
    <row r="251" spans="1:6" x14ac:dyDescent="0.25">
      <c r="A251" s="2">
        <v>36</v>
      </c>
      <c r="B251" s="2" t="s">
        <v>210</v>
      </c>
      <c r="C251" s="2"/>
      <c r="D251" s="3"/>
      <c r="F251" s="2"/>
    </row>
    <row r="252" spans="1:6" x14ac:dyDescent="0.25">
      <c r="A252" s="2">
        <v>36</v>
      </c>
      <c r="B252" s="2" t="s">
        <v>215</v>
      </c>
      <c r="C252" s="2"/>
      <c r="D252" s="3"/>
      <c r="F252" s="2"/>
    </row>
    <row r="253" spans="1:6" ht="15.75" thickBot="1" x14ac:dyDescent="0.3">
      <c r="A253" s="2">
        <v>36</v>
      </c>
      <c r="B253" s="27" t="s">
        <v>221</v>
      </c>
      <c r="C253" s="2"/>
      <c r="D253" s="3"/>
      <c r="F253" s="2"/>
    </row>
    <row r="254" spans="1:6" x14ac:dyDescent="0.25">
      <c r="A254" s="2">
        <v>37</v>
      </c>
      <c r="B254" s="19" t="s">
        <v>186</v>
      </c>
      <c r="C254" s="2"/>
      <c r="D254" s="3"/>
      <c r="F254" s="2"/>
    </row>
    <row r="255" spans="1:6" x14ac:dyDescent="0.25">
      <c r="A255" s="2">
        <v>37</v>
      </c>
      <c r="B255" s="2" t="s">
        <v>192</v>
      </c>
      <c r="C255" s="2"/>
      <c r="D255" s="3"/>
      <c r="F255" s="2"/>
    </row>
    <row r="256" spans="1:6" x14ac:dyDescent="0.25">
      <c r="A256" s="2">
        <v>37</v>
      </c>
      <c r="B256" s="2" t="s">
        <v>198</v>
      </c>
      <c r="C256" s="2"/>
      <c r="D256" s="3"/>
      <c r="F256" s="2"/>
    </row>
    <row r="257" spans="1:6" x14ac:dyDescent="0.25">
      <c r="A257" s="2">
        <v>37</v>
      </c>
      <c r="B257" s="2" t="s">
        <v>204</v>
      </c>
      <c r="C257" s="2"/>
      <c r="D257" s="3"/>
      <c r="F257" s="2"/>
    </row>
    <row r="258" spans="1:6" x14ac:dyDescent="0.25">
      <c r="A258" s="2">
        <v>37</v>
      </c>
      <c r="B258" s="2" t="s">
        <v>210</v>
      </c>
      <c r="C258" s="2"/>
      <c r="D258" s="3"/>
      <c r="F258" s="2"/>
    </row>
    <row r="259" spans="1:6" x14ac:dyDescent="0.25">
      <c r="A259" s="2">
        <v>37</v>
      </c>
      <c r="B259" s="2" t="s">
        <v>215</v>
      </c>
      <c r="C259" s="2"/>
      <c r="D259" s="3"/>
      <c r="F259" s="2"/>
    </row>
    <row r="260" spans="1:6" ht="15.75" thickBot="1" x14ac:dyDescent="0.3">
      <c r="A260" s="2">
        <v>37</v>
      </c>
      <c r="B260" s="27" t="s">
        <v>221</v>
      </c>
      <c r="C260" s="2"/>
      <c r="D260" s="3"/>
      <c r="F260" s="2"/>
    </row>
    <row r="261" spans="1:6" x14ac:dyDescent="0.25">
      <c r="A261" s="2">
        <v>38</v>
      </c>
      <c r="B261" s="19" t="s">
        <v>186</v>
      </c>
      <c r="C261" s="2"/>
      <c r="D261" s="3"/>
      <c r="F261" s="2"/>
    </row>
    <row r="262" spans="1:6" x14ac:dyDescent="0.25">
      <c r="A262" s="2">
        <v>38</v>
      </c>
      <c r="B262" s="2" t="s">
        <v>192</v>
      </c>
      <c r="C262" s="2"/>
      <c r="D262" s="3"/>
      <c r="F262" s="2"/>
    </row>
    <row r="263" spans="1:6" x14ac:dyDescent="0.25">
      <c r="A263" s="2">
        <v>38</v>
      </c>
      <c r="B263" s="2" t="s">
        <v>198</v>
      </c>
      <c r="C263" s="2"/>
      <c r="D263" s="3"/>
      <c r="F263" s="2"/>
    </row>
    <row r="264" spans="1:6" x14ac:dyDescent="0.25">
      <c r="A264" s="2">
        <v>38</v>
      </c>
      <c r="B264" s="2" t="s">
        <v>204</v>
      </c>
      <c r="C264" s="2"/>
      <c r="D264" s="3"/>
      <c r="F264" s="2"/>
    </row>
    <row r="265" spans="1:6" x14ac:dyDescent="0.25">
      <c r="A265" s="2">
        <v>38</v>
      </c>
      <c r="B265" s="2" t="s">
        <v>210</v>
      </c>
      <c r="C265" s="2"/>
      <c r="D265" s="3"/>
      <c r="F265" s="2"/>
    </row>
    <row r="266" spans="1:6" x14ac:dyDescent="0.25">
      <c r="A266" s="2">
        <v>38</v>
      </c>
      <c r="B266" s="2" t="s">
        <v>215</v>
      </c>
      <c r="C266" s="2"/>
      <c r="D266" s="3"/>
      <c r="F266" s="2"/>
    </row>
    <row r="267" spans="1:6" ht="15.75" thickBot="1" x14ac:dyDescent="0.3">
      <c r="A267" s="2">
        <v>38</v>
      </c>
      <c r="B267" s="27" t="s">
        <v>221</v>
      </c>
      <c r="C267" s="2"/>
      <c r="D267" s="3"/>
      <c r="F267" s="2"/>
    </row>
    <row r="268" spans="1:6" x14ac:dyDescent="0.25">
      <c r="A268" s="2">
        <v>39</v>
      </c>
      <c r="B268" s="19" t="s">
        <v>186</v>
      </c>
      <c r="C268" s="2"/>
      <c r="D268" s="3"/>
      <c r="F268" s="2"/>
    </row>
    <row r="269" spans="1:6" x14ac:dyDescent="0.25">
      <c r="A269" s="2">
        <v>39</v>
      </c>
      <c r="B269" s="2" t="s">
        <v>192</v>
      </c>
      <c r="C269" s="2"/>
      <c r="D269" s="3"/>
      <c r="F269" s="2"/>
    </row>
    <row r="270" spans="1:6" x14ac:dyDescent="0.25">
      <c r="A270" s="2">
        <v>39</v>
      </c>
      <c r="B270" s="2" t="s">
        <v>198</v>
      </c>
      <c r="C270" s="2"/>
      <c r="D270" s="3"/>
      <c r="F270" s="2"/>
    </row>
    <row r="271" spans="1:6" x14ac:dyDescent="0.25">
      <c r="A271" s="2">
        <v>39</v>
      </c>
      <c r="B271" s="2" t="s">
        <v>204</v>
      </c>
      <c r="C271" s="2"/>
      <c r="D271" s="3"/>
      <c r="F271" s="2"/>
    </row>
    <row r="272" spans="1:6" x14ac:dyDescent="0.25">
      <c r="A272" s="2">
        <v>39</v>
      </c>
      <c r="B272" s="2" t="s">
        <v>210</v>
      </c>
      <c r="C272" s="2"/>
      <c r="D272" s="3"/>
      <c r="F272" s="2"/>
    </row>
    <row r="273" spans="1:6" x14ac:dyDescent="0.25">
      <c r="A273" s="2">
        <v>39</v>
      </c>
      <c r="B273" s="2" t="s">
        <v>215</v>
      </c>
      <c r="C273" s="2"/>
      <c r="D273" s="3"/>
      <c r="F273" s="2"/>
    </row>
    <row r="274" spans="1:6" ht="15.75" thickBot="1" x14ac:dyDescent="0.3">
      <c r="A274" s="2">
        <v>39</v>
      </c>
      <c r="B274" s="27" t="s">
        <v>221</v>
      </c>
      <c r="C274" s="2"/>
      <c r="D274" s="3"/>
      <c r="F274" s="2"/>
    </row>
    <row r="275" spans="1:6" x14ac:dyDescent="0.25">
      <c r="A275" s="2">
        <v>40</v>
      </c>
      <c r="B275" s="19" t="s">
        <v>186</v>
      </c>
      <c r="C275" s="2"/>
      <c r="D275" s="3"/>
      <c r="F275" s="2"/>
    </row>
    <row r="276" spans="1:6" x14ac:dyDescent="0.25">
      <c r="A276" s="2">
        <v>40</v>
      </c>
      <c r="B276" s="2" t="s">
        <v>192</v>
      </c>
      <c r="C276" s="2"/>
      <c r="D276" s="3"/>
      <c r="F276" s="2"/>
    </row>
    <row r="277" spans="1:6" x14ac:dyDescent="0.25">
      <c r="A277" s="2">
        <v>40</v>
      </c>
      <c r="B277" s="2" t="s">
        <v>198</v>
      </c>
      <c r="C277" s="2"/>
      <c r="D277" s="3"/>
      <c r="F277" s="2"/>
    </row>
    <row r="278" spans="1:6" x14ac:dyDescent="0.25">
      <c r="A278" s="2">
        <v>40</v>
      </c>
      <c r="B278" s="2" t="s">
        <v>204</v>
      </c>
      <c r="C278" s="2"/>
      <c r="D278" s="3"/>
      <c r="F278" s="2"/>
    </row>
    <row r="279" spans="1:6" x14ac:dyDescent="0.25">
      <c r="A279" s="2">
        <v>40</v>
      </c>
      <c r="B279" s="2" t="s">
        <v>210</v>
      </c>
      <c r="C279" s="2"/>
      <c r="D279" s="3"/>
      <c r="F279" s="2"/>
    </row>
    <row r="280" spans="1:6" x14ac:dyDescent="0.25">
      <c r="A280" s="2">
        <v>40</v>
      </c>
      <c r="B280" s="2" t="s">
        <v>215</v>
      </c>
      <c r="C280" s="2"/>
      <c r="D280" s="3"/>
      <c r="F280" s="2"/>
    </row>
    <row r="281" spans="1:6" ht="15.75" thickBot="1" x14ac:dyDescent="0.3">
      <c r="A281" s="2">
        <v>40</v>
      </c>
      <c r="B281" s="27" t="s">
        <v>221</v>
      </c>
      <c r="C281" s="2"/>
      <c r="D281" s="3"/>
      <c r="F281" s="2"/>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G41"/>
  <sheetViews>
    <sheetView workbookViewId="0">
      <selection activeCell="D19" sqref="D19"/>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A2">
        <v>1</v>
      </c>
      <c r="B2" t="str">
        <f>_xlfn.XLOOKUP(Tabelle8[[#This Row],[company_id]],'00_DAX_Master'!A:A,'00_DAX_Master'!D:D)</f>
        <v>Consumer</v>
      </c>
      <c r="C2">
        <f ca="1">SUMIF('03b_Values_Company_Level'!E:E,'03b_Values_Company_Level'!A:A,Tabelle8[[#This Row],[company_id]])</f>
        <v>31</v>
      </c>
      <c r="D2">
        <f>(COUNTA('02_Values_Codebook'!A:A)-1)*3</f>
        <v>54</v>
      </c>
      <c r="E2">
        <f ca="1">Tabelle8[[#This Row],[values_raw_points]]/Tabelle8[[#This Row],[values_max_points]]</f>
        <v>0.57407407407407407</v>
      </c>
      <c r="F2">
        <f>SUMIF(Tabelle7[[#This Row],[score_0_3]],Tabelle7[[#This Row],[company_id]],Tabelle8[[#This Row],[company_id]])</f>
        <v>0</v>
      </c>
      <c r="G2">
        <f xml:space="preserve"> (Tabelle8[[#This Row],[gov_points_sum]]/21)*100</f>
        <v>0</v>
      </c>
    </row>
    <row r="3" spans="1:7" x14ac:dyDescent="0.25">
      <c r="A3">
        <v>2</v>
      </c>
      <c r="B3" t="str">
        <f>_xlfn.XLOOKUP(Tabelle8[[#This Row],[company_id]],'00_DAX_Master'!A:A,'00_DAX_Master'!D:D)</f>
        <v>Industrie</v>
      </c>
      <c r="C3">
        <f ca="1">SUMIF('03b_Values_Company_Level'!E:E,'03b_Values_Company_Level'!A:A,Tabelle8[[#This Row],[company_id]])</f>
        <v>32</v>
      </c>
      <c r="D3">
        <f>(COUNTA('02_Values_Codebook'!A:A)-1)*3</f>
        <v>54</v>
      </c>
      <c r="E3">
        <f ca="1">Tabelle8[[#This Row],[values_raw_points]]/Tabelle8[[#This Row],[values_max_points]]</f>
        <v>0.59259259259259256</v>
      </c>
      <c r="F3">
        <f>SUMIF(Tabelle7[[#This Row],[score_0_3]],Tabelle7[[#This Row],[company_id]],Tabelle8[[#This Row],[company_id]])</f>
        <v>0</v>
      </c>
      <c r="G3">
        <f xml:space="preserve"> (Tabelle8[[#This Row],[gov_points_sum]]/21)*100</f>
        <v>0</v>
      </c>
    </row>
    <row r="4" spans="1:7" x14ac:dyDescent="0.25">
      <c r="A4">
        <v>3</v>
      </c>
      <c r="B4" t="str">
        <f>_xlfn.XLOOKUP(Tabelle8[[#This Row],[company_id]],'00_DAX_Master'!A:A,'00_DAX_Master'!D:D)</f>
        <v>Finance</v>
      </c>
      <c r="C4">
        <f ca="1">SUMIF('03b_Values_Company_Level'!E:E,'03b_Values_Company_Level'!A:A,Tabelle8[[#This Row],[company_id]])</f>
        <v>33</v>
      </c>
      <c r="D4">
        <f>(COUNTA('02_Values_Codebook'!A:A)-1)*3</f>
        <v>54</v>
      </c>
      <c r="E4">
        <f ca="1">Tabelle8[[#This Row],[values_raw_points]]/Tabelle8[[#This Row],[values_max_points]]</f>
        <v>0.61111111111111116</v>
      </c>
      <c r="F4">
        <f>SUMIF(Tabelle7[[#This Row],[score_0_3]],Tabelle7[[#This Row],[company_id]],Tabelle8[[#This Row],[company_id]])</f>
        <v>0</v>
      </c>
      <c r="G4">
        <f xml:space="preserve"> (Tabelle8[[#This Row],[gov_points_sum]]/21)*100</f>
        <v>0</v>
      </c>
    </row>
    <row r="5" spans="1:7" x14ac:dyDescent="0.25">
      <c r="A5">
        <v>4</v>
      </c>
      <c r="B5" t="str">
        <f>_xlfn.XLOOKUP(Tabelle8[[#This Row],[company_id]],'00_DAX_Master'!A:A,'00_DAX_Master'!D:D)</f>
        <v>Materials/Chemicals</v>
      </c>
      <c r="C5">
        <f ca="1">SUMIF('03b_Values_Company_Level'!E:E,'03b_Values_Company_Level'!A:A,Tabelle8[[#This Row],[company_id]])</f>
        <v>34</v>
      </c>
      <c r="D5">
        <f>(COUNTA('02_Values_Codebook'!A:A)-1)*3</f>
        <v>54</v>
      </c>
      <c r="E5">
        <f ca="1">Tabelle8[[#This Row],[values_raw_points]]/Tabelle8[[#This Row],[values_max_points]]</f>
        <v>0.62962962962962965</v>
      </c>
      <c r="F5">
        <f>SUMIF(Tabelle7[[#This Row],[score_0_3]],Tabelle7[[#This Row],[company_id]],Tabelle8[[#This Row],[company_id]])</f>
        <v>0</v>
      </c>
      <c r="G5">
        <f xml:space="preserve"> (Tabelle8[[#This Row],[gov_points_sum]]/21)*100</f>
        <v>0</v>
      </c>
    </row>
    <row r="6" spans="1:7" x14ac:dyDescent="0.25">
      <c r="A6">
        <v>5</v>
      </c>
      <c r="B6" t="str">
        <f>_xlfn.XLOOKUP(Tabelle8[[#This Row],[company_id]],'00_DAX_Master'!A:A,'00_DAX_Master'!D:D)</f>
        <v>Materials/Chemicals</v>
      </c>
      <c r="C6">
        <f ca="1">SUMIF('03b_Values_Company_Level'!E:E,'03b_Values_Company_Level'!A:A,Tabelle8[[#This Row],[company_id]])</f>
        <v>35</v>
      </c>
      <c r="D6">
        <f>(COUNTA('02_Values_Codebook'!A:A)-1)*3</f>
        <v>54</v>
      </c>
      <c r="E6">
        <f ca="1">Tabelle8[[#This Row],[values_raw_points]]/Tabelle8[[#This Row],[values_max_points]]</f>
        <v>0.64814814814814814</v>
      </c>
      <c r="F6">
        <f>SUMIF(Tabelle7[[#This Row],[score_0_3]],Tabelle7[[#This Row],[company_id]],Tabelle8[[#This Row],[company_id]])</f>
        <v>0</v>
      </c>
      <c r="G6">
        <f xml:space="preserve"> (Tabelle8[[#This Row],[gov_points_sum]]/21)*100</f>
        <v>0</v>
      </c>
    </row>
    <row r="7" spans="1:7" x14ac:dyDescent="0.25">
      <c r="A7">
        <v>6</v>
      </c>
      <c r="B7" t="str">
        <f>_xlfn.XLOOKUP(Tabelle8[[#This Row],[company_id]],'00_DAX_Master'!A:A,'00_DAX_Master'!D:D)</f>
        <v>Consumer</v>
      </c>
      <c r="C7">
        <f ca="1">SUMIF('03b_Values_Company_Level'!E:E,'03b_Values_Company_Level'!A:A,Tabelle8[[#This Row],[company_id]])</f>
        <v>36</v>
      </c>
      <c r="D7">
        <f>(COUNTA('02_Values_Codebook'!A:A)-1)*3</f>
        <v>54</v>
      </c>
      <c r="E7">
        <f ca="1">Tabelle8[[#This Row],[values_raw_points]]/Tabelle8[[#This Row],[values_max_points]]</f>
        <v>0.66666666666666663</v>
      </c>
      <c r="F7">
        <f>SUMIF(Tabelle7[[#This Row],[score_0_3]],Tabelle7[[#This Row],[company_id]],Tabelle8[[#This Row],[company_id]])</f>
        <v>0</v>
      </c>
      <c r="G7">
        <f xml:space="preserve"> (Tabelle8[[#This Row],[gov_points_sum]]/21)*100</f>
        <v>0</v>
      </c>
    </row>
    <row r="8" spans="1:7" x14ac:dyDescent="0.25">
      <c r="A8">
        <v>7</v>
      </c>
      <c r="B8" t="str">
        <f>_xlfn.XLOOKUP(Tabelle8[[#This Row],[company_id]],'00_DAX_Master'!A:A,'00_DAX_Master'!D:D)</f>
        <v>Industrie</v>
      </c>
      <c r="C8">
        <f ca="1">SUMIF('03b_Values_Company_Level'!E:E,'03b_Values_Company_Level'!A:A,Tabelle8[[#This Row],[company_id]])</f>
        <v>37</v>
      </c>
      <c r="D8">
        <f>(COUNTA('02_Values_Codebook'!A:A)-1)*3</f>
        <v>54</v>
      </c>
      <c r="E8">
        <f ca="1">Tabelle8[[#This Row],[values_raw_points]]/Tabelle8[[#This Row],[values_max_points]]</f>
        <v>0.68518518518518523</v>
      </c>
      <c r="F8">
        <f>SUMIF(Tabelle7[[#This Row],[score_0_3]],Tabelle7[[#This Row],[company_id]],Tabelle8[[#This Row],[company_id]])</f>
        <v>0</v>
      </c>
      <c r="G8">
        <f xml:space="preserve"> (Tabelle8[[#This Row],[gov_points_sum]]/21)*100</f>
        <v>0</v>
      </c>
    </row>
    <row r="9" spans="1:7" x14ac:dyDescent="0.25">
      <c r="A9">
        <v>8</v>
      </c>
      <c r="B9" t="str">
        <f>_xlfn.XLOOKUP(Tabelle8[[#This Row],[company_id]],'00_DAX_Master'!A:A,'00_DAX_Master'!D:D)</f>
        <v>Materials/Chemicals</v>
      </c>
      <c r="C9">
        <f ca="1">SUMIF('03b_Values_Company_Level'!E:E,'03b_Values_Company_Level'!A:A,Tabelle8[[#This Row],[company_id]])</f>
        <v>38</v>
      </c>
      <c r="D9">
        <f>(COUNTA('02_Values_Codebook'!A:A)-1)*3</f>
        <v>54</v>
      </c>
      <c r="E9">
        <f ca="1">Tabelle8[[#This Row],[values_raw_points]]/Tabelle8[[#This Row],[values_max_points]]</f>
        <v>0.70370370370370372</v>
      </c>
      <c r="F9">
        <f>SUMIF(Tabelle7[[#This Row],[score_0_3]],Tabelle7[[#This Row],[company_id]],Tabelle8[[#This Row],[company_id]])</f>
        <v>0</v>
      </c>
      <c r="G9">
        <f xml:space="preserve"> (Tabelle8[[#This Row],[gov_points_sum]]/21)*100</f>
        <v>0</v>
      </c>
    </row>
    <row r="10" spans="1:7" x14ac:dyDescent="0.25">
      <c r="A10">
        <v>9</v>
      </c>
      <c r="B10" t="str">
        <f>_xlfn.XLOOKUP(Tabelle8[[#This Row],[company_id]],'00_DAX_Master'!A:A,'00_DAX_Master'!D:D)</f>
        <v>Finance</v>
      </c>
      <c r="C10">
        <f ca="1">SUMIF('03b_Values_Company_Level'!E:E,'03b_Values_Company_Level'!A:A,Tabelle8[[#This Row],[company_id]])</f>
        <v>39</v>
      </c>
      <c r="D10">
        <f>(COUNTA('02_Values_Codebook'!A:A)-1)*3</f>
        <v>54</v>
      </c>
      <c r="E10">
        <f ca="1">Tabelle8[[#This Row],[values_raw_points]]/Tabelle8[[#This Row],[values_max_points]]</f>
        <v>0.72222222222222221</v>
      </c>
      <c r="F10">
        <f>SUMIF(Tabelle7[[#This Row],[score_0_3]],Tabelle7[[#This Row],[company_id]],Tabelle8[[#This Row],[company_id]])</f>
        <v>9</v>
      </c>
      <c r="G10">
        <f xml:space="preserve"> (Tabelle8[[#This Row],[gov_points_sum]]/21)*100</f>
        <v>42.857142857142854</v>
      </c>
    </row>
    <row r="11" spans="1:7" x14ac:dyDescent="0.25">
      <c r="A11">
        <v>10</v>
      </c>
      <c r="B11" t="str">
        <f>_xlfn.XLOOKUP(Tabelle8[[#This Row],[company_id]],'00_DAX_Master'!A:A,'00_DAX_Master'!D:D)</f>
        <v>Industrie</v>
      </c>
      <c r="C11">
        <f ca="1">SUMIF('03b_Values_Company_Level'!E:E,'03b_Values_Company_Level'!A:A,Tabelle8[[#This Row],[company_id]])</f>
        <v>40</v>
      </c>
      <c r="D11">
        <f>(COUNTA('02_Values_Codebook'!A:A)-1)*3</f>
        <v>54</v>
      </c>
      <c r="E11">
        <f ca="1">Tabelle8[[#This Row],[values_raw_points]]/Tabelle8[[#This Row],[values_max_points]]</f>
        <v>0.7407407407407407</v>
      </c>
      <c r="F11">
        <f>SUMIF(Tabelle7[[#This Row],[score_0_3]],Tabelle7[[#This Row],[company_id]],Tabelle8[[#This Row],[company_id]])</f>
        <v>10</v>
      </c>
      <c r="G11">
        <f xml:space="preserve"> (Tabelle8[[#This Row],[gov_points_sum]]/21)*100</f>
        <v>47.619047619047613</v>
      </c>
    </row>
    <row r="12" spans="1:7" x14ac:dyDescent="0.25">
      <c r="A12">
        <v>11</v>
      </c>
      <c r="B12" t="str">
        <f>_xlfn.XLOOKUP(Tabelle8[[#This Row],[company_id]],'00_DAX_Master'!A:A,'00_DAX_Master'!D:D)</f>
        <v>Industrie</v>
      </c>
      <c r="C12">
        <f ca="1">SUMIF('03b_Values_Company_Level'!E:E,'03b_Values_Company_Level'!A:A,Tabelle8[[#This Row],[company_id]])</f>
        <v>0</v>
      </c>
      <c r="D12">
        <f>(COUNTA('02_Values_Codebook'!A:A)-1)*3</f>
        <v>54</v>
      </c>
      <c r="E12">
        <f ca="1">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A13">
        <v>12</v>
      </c>
      <c r="B13" t="str">
        <f>_xlfn.XLOOKUP(Tabelle8[[#This Row],[company_id]],'00_DAX_Master'!A:A,'00_DAX_Master'!D:D)</f>
        <v>Finance</v>
      </c>
      <c r="C13">
        <f ca="1">SUMIF('03b_Values_Company_Level'!E:E,'03b_Values_Company_Level'!A:A,Tabelle8[[#This Row],[company_id]])</f>
        <v>0</v>
      </c>
      <c r="D13">
        <f>(COUNTA('02_Values_Codebook'!A:A)-1)*3</f>
        <v>54</v>
      </c>
      <c r="E13">
        <f ca="1">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A14">
        <v>13</v>
      </c>
      <c r="B14" t="str">
        <f>_xlfn.XLOOKUP(Tabelle8[[#This Row],[company_id]],'00_DAX_Master'!A:A,'00_DAX_Master'!D:D)</f>
        <v>Finance</v>
      </c>
      <c r="C14">
        <f ca="1">SUMIF('03b_Values_Company_Level'!E:E,'03b_Values_Company_Level'!A:A,Tabelle8[[#This Row],[company_id]])</f>
        <v>0</v>
      </c>
      <c r="D14">
        <f>(COUNTA('02_Values_Codebook'!A:A)-1)*3</f>
        <v>54</v>
      </c>
      <c r="E14">
        <f ca="1">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A15">
        <v>14</v>
      </c>
      <c r="B15" t="str">
        <f>_xlfn.XLOOKUP(Tabelle8[[#This Row],[company_id]],'00_DAX_Master'!A:A,'00_DAX_Master'!D:D)</f>
        <v>Other/Hybrid</v>
      </c>
      <c r="C15">
        <f ca="1">SUMIF('03b_Values_Company_Level'!E:E,'03b_Values_Company_Level'!A:A,Tabelle8[[#This Row],[company_id]])</f>
        <v>0</v>
      </c>
      <c r="D15">
        <f>(COUNTA('02_Values_Codebook'!A:A)-1)*3</f>
        <v>54</v>
      </c>
      <c r="E15">
        <f ca="1">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A16">
        <v>15</v>
      </c>
      <c r="B16" t="str">
        <f>_xlfn.XLOOKUP(Tabelle8[[#This Row],[company_id]],'00_DAX_Master'!A:A,'00_DAX_Master'!D:D)</f>
        <v>Utilities</v>
      </c>
      <c r="C16">
        <f ca="1">SUMIF('03b_Values_Company_Level'!E:E,'03b_Values_Company_Level'!A:A,Tabelle8[[#This Row],[company_id]])</f>
        <v>0</v>
      </c>
      <c r="D16">
        <f>(COUNTA('02_Values_Codebook'!A:A)-1)*3</f>
        <v>54</v>
      </c>
      <c r="E16">
        <f ca="1">Tabelle8[[#This Row],[values_raw_points]]/Tabelle8[[#This Row],[values_max_points]]</f>
        <v>0</v>
      </c>
      <c r="F16">
        <f>SUMIF(Tabelle7[[#This Row],[score_0_3]],Tabelle7[[#This Row],[company_id]],Tabelle8[[#This Row],[company_id]])</f>
        <v>0</v>
      </c>
      <c r="G16">
        <f xml:space="preserve"> (Tabelle8[[#This Row],[gov_points_sum]]/21)*100</f>
        <v>0</v>
      </c>
    </row>
    <row r="17" spans="1:7" x14ac:dyDescent="0.25">
      <c r="A17">
        <v>16</v>
      </c>
      <c r="B17" t="str">
        <f>_xlfn.XLOOKUP(Tabelle8[[#This Row],[company_id]],'00_DAX_Master'!A:A,'00_DAX_Master'!D:D)</f>
        <v>Utilities</v>
      </c>
      <c r="C17">
        <f ca="1">SUMIF('03b_Values_Company_Level'!E:E,'03b_Values_Company_Level'!A:A,Tabelle8[[#This Row],[company_id]])</f>
        <v>0</v>
      </c>
      <c r="D17">
        <f>(COUNTA('02_Values_Codebook'!A:A)-1)*3</f>
        <v>54</v>
      </c>
      <c r="E17">
        <f ca="1">Tabelle8[[#This Row],[values_raw_points]]/Tabelle8[[#This Row],[values_max_points]]</f>
        <v>0</v>
      </c>
      <c r="F17">
        <f>SUMIF(Tabelle7[[#This Row],[score_0_3]],Tabelle7[[#This Row],[company_id]],Tabelle8[[#This Row],[company_id]])</f>
        <v>0</v>
      </c>
      <c r="G17">
        <f xml:space="preserve"> (Tabelle8[[#This Row],[gov_points_sum]]/21)*100</f>
        <v>0</v>
      </c>
    </row>
    <row r="18" spans="1:7" x14ac:dyDescent="0.25">
      <c r="A18">
        <v>17</v>
      </c>
      <c r="B18" t="str">
        <f>_xlfn.XLOOKUP(Tabelle8[[#This Row],[company_id]],'00_DAX_Master'!A:A,'00_DAX_Master'!D:D)</f>
        <v>Tech</v>
      </c>
      <c r="C18">
        <f ca="1">SUMIF('03b_Values_Company_Level'!E:E,'03b_Values_Company_Level'!A:A,Tabelle8[[#This Row],[company_id]])</f>
        <v>0</v>
      </c>
      <c r="D18">
        <f>(COUNTA('02_Values_Codebook'!A:A)-1)*3</f>
        <v>54</v>
      </c>
      <c r="E18">
        <f ca="1">Tabelle8[[#This Row],[values_raw_points]]/Tabelle8[[#This Row],[values_max_points]]</f>
        <v>0</v>
      </c>
      <c r="F18">
        <f>SUMIF(Tabelle7[[#This Row],[score_0_3]],Tabelle7[[#This Row],[company_id]],Tabelle8[[#This Row],[company_id]])</f>
        <v>0</v>
      </c>
      <c r="G18">
        <f xml:space="preserve"> (Tabelle8[[#This Row],[gov_points_sum]]/21)*100</f>
        <v>0</v>
      </c>
    </row>
    <row r="19" spans="1:7" x14ac:dyDescent="0.25">
      <c r="A19">
        <v>18</v>
      </c>
      <c r="B19" t="str">
        <f>_xlfn.XLOOKUP(Tabelle8[[#This Row],[company_id]],'00_DAX_Master'!A:A,'00_DAX_Master'!D:D)</f>
        <v>Tech</v>
      </c>
      <c r="C19">
        <f ca="1">SUMIF('03b_Values_Company_Level'!E:E,'03b_Values_Company_Level'!A:A,Tabelle8[[#This Row],[company_id]])</f>
        <v>0</v>
      </c>
      <c r="D19">
        <f>(COUNTA('02_Values_Codebook'!A:A)-1)*3</f>
        <v>54</v>
      </c>
      <c r="E19">
        <f ca="1">Tabelle8[[#This Row],[values_raw_points]]/Tabelle8[[#This Row],[values_max_points]]</f>
        <v>0</v>
      </c>
      <c r="F19">
        <f>SUMIF(Tabelle7[[#This Row],[score_0_3]],Tabelle7[[#This Row],[company_id]],Tabelle8[[#This Row],[company_id]])</f>
        <v>0</v>
      </c>
      <c r="G19">
        <f xml:space="preserve"> (Tabelle8[[#This Row],[gov_points_sum]]/21)*100</f>
        <v>0</v>
      </c>
    </row>
    <row r="20" spans="1:7" x14ac:dyDescent="0.25">
      <c r="A20">
        <v>19</v>
      </c>
      <c r="B20" t="str">
        <f>_xlfn.XLOOKUP(Tabelle8[[#This Row],[company_id]],'00_DAX_Master'!A:A,'00_DAX_Master'!D:D)</f>
        <v>Industrie</v>
      </c>
      <c r="C20">
        <f ca="1">SUMIF('03b_Values_Company_Level'!E:E,'03b_Values_Company_Level'!A:A,Tabelle8[[#This Row],[company_id]])</f>
        <v>78</v>
      </c>
      <c r="D20">
        <f>(COUNTA('02_Values_Codebook'!A:A)-1)*3</f>
        <v>54</v>
      </c>
      <c r="E20">
        <f ca="1">Tabelle8[[#This Row],[values_raw_points]]/Tabelle8[[#This Row],[values_max_points]]</f>
        <v>1.4444444444444444</v>
      </c>
      <c r="F20">
        <f>SUMIF(Tabelle7[[#This Row],[score_0_3]],Tabelle7[[#This Row],[company_id]],Tabelle8[[#This Row],[company_id]])</f>
        <v>0</v>
      </c>
      <c r="G20">
        <f xml:space="preserve"> (Tabelle8[[#This Row],[gov_points_sum]]/21)*100</f>
        <v>0</v>
      </c>
    </row>
    <row r="21" spans="1:7" x14ac:dyDescent="0.25">
      <c r="A21">
        <v>20</v>
      </c>
      <c r="B21" t="str">
        <f>_xlfn.XLOOKUP(Tabelle8[[#This Row],[company_id]],'00_DAX_Master'!A:A,'00_DAX_Master'!D:D)</f>
        <v>Finance</v>
      </c>
      <c r="C21">
        <f ca="1">SUMIF('03b_Values_Company_Level'!E:E,'03b_Values_Company_Level'!A:A,Tabelle8[[#This Row],[company_id]])</f>
        <v>39</v>
      </c>
      <c r="D21">
        <f>(COUNTA('02_Values_Codebook'!A:A)-1)*3</f>
        <v>54</v>
      </c>
      <c r="E21">
        <f ca="1">Tabelle8[[#This Row],[values_raw_points]]/Tabelle8[[#This Row],[values_max_points]]</f>
        <v>0.72222222222222221</v>
      </c>
      <c r="F21">
        <f>SUMIF(Tabelle7[[#This Row],[score_0_3]],Tabelle7[[#This Row],[company_id]],Tabelle8[[#This Row],[company_id]])</f>
        <v>0</v>
      </c>
      <c r="G21">
        <f xml:space="preserve"> (Tabelle8[[#This Row],[gov_points_sum]]/21)*100</f>
        <v>0</v>
      </c>
    </row>
    <row r="22" spans="1:7" x14ac:dyDescent="0.25">
      <c r="A22">
        <v>21</v>
      </c>
      <c r="B22" t="str">
        <f>_xlfn.XLOOKUP(Tabelle8[[#This Row],[company_id]],'00_DAX_Master'!A:A,'00_DAX_Master'!D:D)</f>
        <v>Materials/Chemicals</v>
      </c>
      <c r="C22">
        <f ca="1">SUMIF('03b_Values_Company_Level'!E:E,'03b_Values_Company_Level'!A:A,Tabelle8[[#This Row],[company_id]])</f>
        <v>40</v>
      </c>
      <c r="D22">
        <f>(COUNTA('02_Values_Codebook'!A:A)-1)*3</f>
        <v>54</v>
      </c>
      <c r="E22">
        <f ca="1">Tabelle8[[#This Row],[values_raw_points]]/Tabelle8[[#This Row],[values_max_points]]</f>
        <v>0.7407407407407407</v>
      </c>
      <c r="F22">
        <f>SUMIF(Tabelle7[[#This Row],[score_0_3]],Tabelle7[[#This Row],[company_id]],Tabelle8[[#This Row],[company_id]])</f>
        <v>0</v>
      </c>
      <c r="G22">
        <f xml:space="preserve"> (Tabelle8[[#This Row],[gov_points_sum]]/21)*100</f>
        <v>0</v>
      </c>
    </row>
    <row r="23" spans="1:7" x14ac:dyDescent="0.25">
      <c r="A23">
        <v>22</v>
      </c>
      <c r="B23" t="str">
        <f>_xlfn.XLOOKUP(Tabelle8[[#This Row],[company_id]],'00_DAX_Master'!A:A,'00_DAX_Master'!D:D)</f>
        <v>Materials/Chemicals</v>
      </c>
      <c r="C23">
        <f ca="1">SUMIF('03b_Values_Company_Level'!E:E,'03b_Values_Company_Level'!A:A,Tabelle8[[#This Row],[company_id]])</f>
        <v>0</v>
      </c>
      <c r="D23">
        <f>(COUNTA('02_Values_Codebook'!A:A)-1)*3</f>
        <v>54</v>
      </c>
      <c r="E23">
        <f ca="1">Tabelle8[[#This Row],[values_raw_points]]/Tabelle8[[#This Row],[values_max_points]]</f>
        <v>0</v>
      </c>
      <c r="F23">
        <f>SUMIF(Tabelle7[[#This Row],[score_0_3]],Tabelle7[[#This Row],[company_id]],Tabelle8[[#This Row],[company_id]])</f>
        <v>0</v>
      </c>
      <c r="G23">
        <f xml:space="preserve"> (Tabelle8[[#This Row],[gov_points_sum]]/21)*100</f>
        <v>0</v>
      </c>
    </row>
    <row r="24" spans="1:7" x14ac:dyDescent="0.25">
      <c r="A24">
        <v>23</v>
      </c>
      <c r="B24" t="str">
        <f>_xlfn.XLOOKUP(Tabelle8[[#This Row],[company_id]],'00_DAX_Master'!A:A,'00_DAX_Master'!D:D)</f>
        <v>Tech</v>
      </c>
      <c r="C24">
        <f ca="1">SUMIF('03b_Values_Company_Level'!E:E,'03b_Values_Company_Level'!A:A,Tabelle8[[#This Row],[company_id]])</f>
        <v>0</v>
      </c>
      <c r="D24">
        <f>(COUNTA('02_Values_Codebook'!A:A)-1)*3</f>
        <v>54</v>
      </c>
      <c r="E24">
        <f ca="1">Tabelle8[[#This Row],[values_raw_points]]/Tabelle8[[#This Row],[values_max_points]]</f>
        <v>0</v>
      </c>
      <c r="F24">
        <f>SUMIF(Tabelle7[[#This Row],[score_0_3]],Tabelle7[[#This Row],[company_id]],Tabelle8[[#This Row],[company_id]])</f>
        <v>0</v>
      </c>
      <c r="G24">
        <f xml:space="preserve"> (Tabelle8[[#This Row],[gov_points_sum]]/21)*100</f>
        <v>0</v>
      </c>
    </row>
    <row r="25" spans="1:7" x14ac:dyDescent="0.25">
      <c r="A25">
        <v>24</v>
      </c>
      <c r="B25" t="str">
        <f>_xlfn.XLOOKUP(Tabelle8[[#This Row],[company_id]],'00_DAX_Master'!A:A,'00_DAX_Master'!D:D)</f>
        <v>Industrie</v>
      </c>
      <c r="C25">
        <f ca="1">SUMIF('03b_Values_Company_Level'!E:E,'03b_Values_Company_Level'!A:A,Tabelle8[[#This Row],[company_id]])</f>
        <v>0</v>
      </c>
      <c r="D25">
        <f>(COUNTA('02_Values_Codebook'!A:A)-1)*3</f>
        <v>54</v>
      </c>
      <c r="E25">
        <f ca="1">Tabelle8[[#This Row],[values_raw_points]]/Tabelle8[[#This Row],[values_max_points]]</f>
        <v>0</v>
      </c>
      <c r="F25">
        <f>SUMIF(Tabelle7[[#This Row],[score_0_3]],Tabelle7[[#This Row],[company_id]],Tabelle8[[#This Row],[company_id]])</f>
        <v>0</v>
      </c>
      <c r="G25">
        <f xml:space="preserve"> (Tabelle8[[#This Row],[gov_points_sum]]/21)*100</f>
        <v>0</v>
      </c>
    </row>
    <row r="26" spans="1:7" x14ac:dyDescent="0.25">
      <c r="A26">
        <v>25</v>
      </c>
      <c r="B26" t="str">
        <f>_xlfn.XLOOKUP(Tabelle8[[#This Row],[company_id]],'00_DAX_Master'!A:A,'00_DAX_Master'!D:D)</f>
        <v>Materials/Chemicals</v>
      </c>
      <c r="C26">
        <f ca="1">SUMIF('03b_Values_Company_Level'!E:E,'03b_Values_Company_Level'!A:A,Tabelle8[[#This Row],[company_id]])</f>
        <v>0</v>
      </c>
      <c r="D26">
        <f>(COUNTA('02_Values_Codebook'!A:A)-1)*3</f>
        <v>54</v>
      </c>
      <c r="E26">
        <f ca="1">Tabelle8[[#This Row],[values_raw_points]]/Tabelle8[[#This Row],[values_max_points]]</f>
        <v>0</v>
      </c>
      <c r="F26">
        <f>SUMIF(Tabelle7[[#This Row],[score_0_3]],Tabelle7[[#This Row],[company_id]],Tabelle8[[#This Row],[company_id]])</f>
        <v>0</v>
      </c>
      <c r="G26">
        <f xml:space="preserve"> (Tabelle8[[#This Row],[gov_points_sum]]/21)*100</f>
        <v>0</v>
      </c>
    </row>
    <row r="27" spans="1:7" x14ac:dyDescent="0.25">
      <c r="A27">
        <v>26</v>
      </c>
      <c r="B27" t="str">
        <f>_xlfn.XLOOKUP(Tabelle8[[#This Row],[company_id]],'00_DAX_Master'!A:A,'00_DAX_Master'!D:D)</f>
        <v>Industrie</v>
      </c>
      <c r="C27">
        <f ca="1">SUMIF('03b_Values_Company_Level'!E:E,'03b_Values_Company_Level'!A:A,Tabelle8[[#This Row],[company_id]])</f>
        <v>0</v>
      </c>
      <c r="D27">
        <f>(COUNTA('02_Values_Codebook'!A:A)-1)*3</f>
        <v>54</v>
      </c>
      <c r="E27">
        <f ca="1">Tabelle8[[#This Row],[values_raw_points]]/Tabelle8[[#This Row],[values_max_points]]</f>
        <v>0</v>
      </c>
      <c r="F27">
        <f>SUMIF(Tabelle7[[#This Row],[score_0_3]],Tabelle7[[#This Row],[company_id]],Tabelle8[[#This Row],[company_id]])</f>
        <v>0</v>
      </c>
      <c r="G27">
        <f xml:space="preserve"> (Tabelle8[[#This Row],[gov_points_sum]]/21)*100</f>
        <v>0</v>
      </c>
    </row>
    <row r="28" spans="1:7" x14ac:dyDescent="0.25">
      <c r="A28">
        <v>27</v>
      </c>
      <c r="B28" t="str">
        <f>_xlfn.XLOOKUP(Tabelle8[[#This Row],[company_id]],'00_DAX_Master'!A:A,'00_DAX_Master'!D:D)</f>
        <v>Finance</v>
      </c>
      <c r="C28">
        <f ca="1">SUMIF('03b_Values_Company_Level'!E:E,'03b_Values_Company_Level'!A:A,Tabelle8[[#This Row],[company_id]])</f>
        <v>0</v>
      </c>
      <c r="D28">
        <f>(COUNTA('02_Values_Codebook'!A:A)-1)*3</f>
        <v>54</v>
      </c>
      <c r="E28">
        <f ca="1">Tabelle8[[#This Row],[values_raw_points]]/Tabelle8[[#This Row],[values_max_points]]</f>
        <v>0</v>
      </c>
      <c r="F28">
        <f>SUMIF(Tabelle7[[#This Row],[score_0_3]],Tabelle7[[#This Row],[company_id]],Tabelle8[[#This Row],[company_id]])</f>
        <v>0</v>
      </c>
      <c r="G28">
        <f xml:space="preserve"> (Tabelle8[[#This Row],[gov_points_sum]]/21)*100</f>
        <v>0</v>
      </c>
    </row>
    <row r="29" spans="1:7" x14ac:dyDescent="0.25">
      <c r="A29">
        <v>28</v>
      </c>
      <c r="B29" t="str">
        <f>_xlfn.XLOOKUP(Tabelle8[[#This Row],[company_id]],'00_DAX_Master'!A:A,'00_DAX_Master'!D:D)</f>
        <v>Industrie</v>
      </c>
      <c r="C29">
        <f ca="1">SUMIF('03b_Values_Company_Level'!E:E,'03b_Values_Company_Level'!A:A,Tabelle8[[#This Row],[company_id]])</f>
        <v>0</v>
      </c>
      <c r="D29">
        <f>(COUNTA('02_Values_Codebook'!A:A)-1)*3</f>
        <v>54</v>
      </c>
      <c r="E29">
        <f ca="1">Tabelle8[[#This Row],[values_raw_points]]/Tabelle8[[#This Row],[values_max_points]]</f>
        <v>0</v>
      </c>
      <c r="F29">
        <f>SUMIF(Tabelle7[[#This Row],[score_0_3]],Tabelle7[[#This Row],[company_id]],Tabelle8[[#This Row],[company_id]])</f>
        <v>0</v>
      </c>
      <c r="G29">
        <f xml:space="preserve"> (Tabelle8[[#This Row],[gov_points_sum]]/21)*100</f>
        <v>0</v>
      </c>
    </row>
    <row r="30" spans="1:7" x14ac:dyDescent="0.25">
      <c r="A30">
        <v>29</v>
      </c>
      <c r="B30" t="str">
        <f>_xlfn.XLOOKUP(Tabelle8[[#This Row],[company_id]],'00_DAX_Master'!A:A,'00_DAX_Master'!D:D)</f>
        <v>Tech</v>
      </c>
      <c r="C30">
        <f ca="1">SUMIF('03b_Values_Company_Level'!E:E,'03b_Values_Company_Level'!A:A,Tabelle8[[#This Row],[company_id]])</f>
        <v>0</v>
      </c>
      <c r="D30">
        <f>(COUNTA('02_Values_Codebook'!A:A)-1)*3</f>
        <v>54</v>
      </c>
      <c r="E30">
        <f ca="1">Tabelle8[[#This Row],[values_raw_points]]/Tabelle8[[#This Row],[values_max_points]]</f>
        <v>0</v>
      </c>
      <c r="F30">
        <f>SUMIF(Tabelle7[[#This Row],[score_0_3]],Tabelle7[[#This Row],[company_id]],Tabelle8[[#This Row],[company_id]])</f>
        <v>0</v>
      </c>
      <c r="G30">
        <f xml:space="preserve"> (Tabelle8[[#This Row],[gov_points_sum]]/21)*100</f>
        <v>0</v>
      </c>
    </row>
    <row r="31" spans="1:7" x14ac:dyDescent="0.25">
      <c r="A31">
        <v>30</v>
      </c>
      <c r="B31" t="str">
        <f>_xlfn.XLOOKUP(Tabelle8[[#This Row],[company_id]],'00_DAX_Master'!A:A,'00_DAX_Master'!D:D)</f>
        <v>Industrie</v>
      </c>
      <c r="C31">
        <f ca="1">SUMIF('03b_Values_Company_Level'!E:E,'03b_Values_Company_Level'!A:A,Tabelle8[[#This Row],[company_id]])</f>
        <v>0</v>
      </c>
      <c r="D31">
        <f>(COUNTA('02_Values_Codebook'!A:A)-1)*3</f>
        <v>54</v>
      </c>
      <c r="E31">
        <f ca="1">Tabelle8[[#This Row],[values_raw_points]]/Tabelle8[[#This Row],[values_max_points]]</f>
        <v>0</v>
      </c>
      <c r="F31">
        <f>SUMIF(Tabelle7[[#This Row],[score_0_3]],Tabelle7[[#This Row],[company_id]],Tabelle8[[#This Row],[company_id]])</f>
        <v>0</v>
      </c>
      <c r="G31">
        <f xml:space="preserve"> (Tabelle8[[#This Row],[gov_points_sum]]/21)*100</f>
        <v>0</v>
      </c>
    </row>
    <row r="32" spans="1:7" x14ac:dyDescent="0.25">
      <c r="A32">
        <v>31</v>
      </c>
      <c r="B32" t="str">
        <f>_xlfn.XLOOKUP(Tabelle8[[#This Row],[company_id]],'00_DAX_Master'!A:A,'00_DAX_Master'!D:D)</f>
        <v>Utilities</v>
      </c>
      <c r="C32">
        <f ca="1">SUMIF('03b_Values_Company_Level'!E:E,'03b_Values_Company_Level'!A:A,Tabelle8[[#This Row],[company_id]])</f>
        <v>0</v>
      </c>
      <c r="D32">
        <f>(COUNTA('02_Values_Codebook'!A:A)-1)*3</f>
        <v>54</v>
      </c>
      <c r="E32">
        <f ca="1">Tabelle8[[#This Row],[values_raw_points]]/Tabelle8[[#This Row],[values_max_points]]</f>
        <v>0</v>
      </c>
      <c r="F32">
        <f>SUMIF(Tabelle7[[#This Row],[score_0_3]],Tabelle7[[#This Row],[company_id]],Tabelle8[[#This Row],[company_id]])</f>
        <v>0</v>
      </c>
      <c r="G32">
        <f xml:space="preserve"> (Tabelle8[[#This Row],[gov_points_sum]]/21)*100</f>
        <v>0</v>
      </c>
    </row>
    <row r="33" spans="1:7" x14ac:dyDescent="0.25">
      <c r="A33">
        <v>32</v>
      </c>
      <c r="B33" t="str">
        <f>_xlfn.XLOOKUP(Tabelle8[[#This Row],[company_id]],'00_DAX_Master'!A:A,'00_DAX_Master'!D:D)</f>
        <v>Tech</v>
      </c>
      <c r="C33">
        <f ca="1">SUMIF('03b_Values_Company_Level'!E:E,'03b_Values_Company_Level'!A:A,Tabelle8[[#This Row],[company_id]])</f>
        <v>0</v>
      </c>
      <c r="D33">
        <f>(COUNTA('02_Values_Codebook'!A:A)-1)*3</f>
        <v>54</v>
      </c>
      <c r="E33">
        <f ca="1">Tabelle8[[#This Row],[values_raw_points]]/Tabelle8[[#This Row],[values_max_points]]</f>
        <v>0</v>
      </c>
      <c r="F33">
        <f>SUMIF(Tabelle7[[#This Row],[score_0_3]],Tabelle7[[#This Row],[company_id]],Tabelle8[[#This Row],[company_id]])</f>
        <v>0</v>
      </c>
      <c r="G33">
        <f xml:space="preserve"> (Tabelle8[[#This Row],[gov_points_sum]]/21)*100</f>
        <v>0</v>
      </c>
    </row>
    <row r="34" spans="1:7" x14ac:dyDescent="0.25">
      <c r="A34">
        <v>33</v>
      </c>
      <c r="B34" t="str">
        <f>_xlfn.XLOOKUP(Tabelle8[[#This Row],[company_id]],'00_DAX_Master'!A:A,'00_DAX_Master'!D:D)</f>
        <v>Tech</v>
      </c>
      <c r="C34">
        <f ca="1">SUMIF('03b_Values_Company_Level'!E:E,'03b_Values_Company_Level'!A:A,Tabelle8[[#This Row],[company_id]])</f>
        <v>0</v>
      </c>
      <c r="D34">
        <f>(COUNTA('02_Values_Codebook'!A:A)-1)*3</f>
        <v>54</v>
      </c>
      <c r="E34">
        <f ca="1">Tabelle8[[#This Row],[values_raw_points]]/Tabelle8[[#This Row],[values_max_points]]</f>
        <v>0</v>
      </c>
      <c r="F34">
        <f>SUMIF(Tabelle7[[#This Row],[score_0_3]],Tabelle7[[#This Row],[company_id]],Tabelle8[[#This Row],[company_id]])</f>
        <v>0</v>
      </c>
      <c r="G34">
        <f xml:space="preserve"> (Tabelle8[[#This Row],[gov_points_sum]]/21)*100</f>
        <v>0</v>
      </c>
    </row>
    <row r="35" spans="1:7" x14ac:dyDescent="0.25">
      <c r="A35">
        <v>34</v>
      </c>
      <c r="B35" t="str">
        <f>_xlfn.XLOOKUP(Tabelle8[[#This Row],[company_id]],'00_DAX_Master'!A:A,'00_DAX_Master'!D:D)</f>
        <v>Industrie</v>
      </c>
      <c r="C35">
        <f ca="1">SUMIF('03b_Values_Company_Level'!E:E,'03b_Values_Company_Level'!A:A,Tabelle8[[#This Row],[company_id]])</f>
        <v>0</v>
      </c>
      <c r="D35">
        <f>(COUNTA('02_Values_Codebook'!A:A)-1)*3</f>
        <v>54</v>
      </c>
      <c r="E35">
        <f ca="1">Tabelle8[[#This Row],[values_raw_points]]/Tabelle8[[#This Row],[values_max_points]]</f>
        <v>0</v>
      </c>
      <c r="F35">
        <f>SUMIF(Tabelle7[[#This Row],[score_0_3]],Tabelle7[[#This Row],[company_id]],Tabelle8[[#This Row],[company_id]])</f>
        <v>0</v>
      </c>
      <c r="G35">
        <f xml:space="preserve"> (Tabelle8[[#This Row],[gov_points_sum]]/21)*100</f>
        <v>0</v>
      </c>
    </row>
    <row r="36" spans="1:7" x14ac:dyDescent="0.25">
      <c r="A36">
        <v>35</v>
      </c>
      <c r="B36" t="str">
        <f>_xlfn.XLOOKUP(Tabelle8[[#This Row],[company_id]],'00_DAX_Master'!A:A,'00_DAX_Master'!D:D)</f>
        <v>Industrie</v>
      </c>
      <c r="C36">
        <f ca="1">SUMIF('03b_Values_Company_Level'!E:E,'03b_Values_Company_Level'!A:A,Tabelle8[[#This Row],[company_id]])</f>
        <v>0</v>
      </c>
      <c r="D36">
        <f>(COUNTA('02_Values_Codebook'!A:A)-1)*3</f>
        <v>54</v>
      </c>
      <c r="E36">
        <f ca="1">Tabelle8[[#This Row],[values_raw_points]]/Tabelle8[[#This Row],[values_max_points]]</f>
        <v>0</v>
      </c>
      <c r="F36">
        <f>SUMIF(Tabelle7[[#This Row],[score_0_3]],Tabelle7[[#This Row],[company_id]],Tabelle8[[#This Row],[company_id]])</f>
        <v>0</v>
      </c>
      <c r="G36">
        <f xml:space="preserve"> (Tabelle8[[#This Row],[gov_points_sum]]/21)*100</f>
        <v>0</v>
      </c>
    </row>
    <row r="37" spans="1:7" x14ac:dyDescent="0.25">
      <c r="A37">
        <v>36</v>
      </c>
      <c r="B37" t="str">
        <f>_xlfn.XLOOKUP(Tabelle8[[#This Row],[company_id]],'00_DAX_Master'!A:A,'00_DAX_Master'!D:D)</f>
        <v>Tech</v>
      </c>
      <c r="C37">
        <f ca="1">SUMIF('03b_Values_Company_Level'!E:E,'03b_Values_Company_Level'!A:A,Tabelle8[[#This Row],[company_id]])</f>
        <v>0</v>
      </c>
      <c r="D37">
        <f>(COUNTA('02_Values_Codebook'!A:A)-1)*3</f>
        <v>54</v>
      </c>
      <c r="E37">
        <f ca="1">Tabelle8[[#This Row],[values_raw_points]]/Tabelle8[[#This Row],[values_max_points]]</f>
        <v>0</v>
      </c>
      <c r="F37">
        <f>SUMIF(Tabelle7[[#This Row],[score_0_3]],Tabelle7[[#This Row],[company_id]],Tabelle8[[#This Row],[company_id]])</f>
        <v>0</v>
      </c>
      <c r="G37">
        <f xml:space="preserve"> (Tabelle8[[#This Row],[gov_points_sum]]/21)*100</f>
        <v>0</v>
      </c>
    </row>
    <row r="38" spans="1:7" x14ac:dyDescent="0.25">
      <c r="A38">
        <v>37</v>
      </c>
      <c r="B38" t="str">
        <f>_xlfn.XLOOKUP(Tabelle8[[#This Row],[company_id]],'00_DAX_Master'!A:A,'00_DAX_Master'!D:D)</f>
        <v>Consumer</v>
      </c>
      <c r="C38">
        <f ca="1">SUMIF('03b_Values_Company_Level'!E:E,'03b_Values_Company_Level'!A:A,Tabelle8[[#This Row],[company_id]])</f>
        <v>0</v>
      </c>
      <c r="D38">
        <f>(COUNTA('02_Values_Codebook'!A:A)-1)*3</f>
        <v>54</v>
      </c>
      <c r="E38">
        <f ca="1">Tabelle8[[#This Row],[values_raw_points]]/Tabelle8[[#This Row],[values_max_points]]</f>
        <v>0</v>
      </c>
      <c r="F38">
        <f>SUMIF(Tabelle7[[#This Row],[score_0_3]],Tabelle7[[#This Row],[company_id]],Tabelle8[[#This Row],[company_id]])</f>
        <v>0</v>
      </c>
      <c r="G38">
        <f xml:space="preserve"> (Tabelle8[[#This Row],[gov_points_sum]]/21)*100</f>
        <v>0</v>
      </c>
    </row>
    <row r="39" spans="1:7" x14ac:dyDescent="0.25">
      <c r="A39">
        <v>38</v>
      </c>
      <c r="B39" t="str">
        <f>_xlfn.XLOOKUP(Tabelle8[[#This Row],[company_id]],'00_DAX_Master'!A:A,'00_DAX_Master'!D:D)</f>
        <v>Industrie</v>
      </c>
      <c r="C39">
        <f ca="1">SUMIF('03b_Values_Company_Level'!E:E,'03b_Values_Company_Level'!A:A,Tabelle8[[#This Row],[company_id]])</f>
        <v>0</v>
      </c>
      <c r="D39">
        <f>(COUNTA('02_Values_Codebook'!A:A)-1)*3</f>
        <v>54</v>
      </c>
      <c r="E39">
        <f ca="1">Tabelle8[[#This Row],[values_raw_points]]/Tabelle8[[#This Row],[values_max_points]]</f>
        <v>0</v>
      </c>
      <c r="F39">
        <f>SUMIF(Tabelle7[[#This Row],[score_0_3]],Tabelle7[[#This Row],[company_id]],Tabelle8[[#This Row],[company_id]])</f>
        <v>0</v>
      </c>
      <c r="G39">
        <f xml:space="preserve"> (Tabelle8[[#This Row],[gov_points_sum]]/21)*100</f>
        <v>0</v>
      </c>
    </row>
    <row r="40" spans="1:7" x14ac:dyDescent="0.25">
      <c r="A40">
        <v>39</v>
      </c>
      <c r="B40" t="str">
        <f>_xlfn.XLOOKUP(Tabelle8[[#This Row],[company_id]],'00_DAX_Master'!A:A,'00_DAX_Master'!D:D)</f>
        <v>Consumer</v>
      </c>
      <c r="C40">
        <f ca="1">SUMIF('03b_Values_Company_Level'!E:E,'03b_Values_Company_Level'!A:A,Tabelle8[[#This Row],[company_id]])</f>
        <v>0</v>
      </c>
      <c r="D40">
        <f>(COUNTA('02_Values_Codebook'!A:A)-1)*3</f>
        <v>54</v>
      </c>
      <c r="E40">
        <f ca="1">Tabelle8[[#This Row],[values_raw_points]]/Tabelle8[[#This Row],[values_max_points]]</f>
        <v>0</v>
      </c>
      <c r="F40">
        <f>SUMIF(Tabelle7[[#This Row],[score_0_3]],Tabelle7[[#This Row],[company_id]],Tabelle8[[#This Row],[company_id]])</f>
        <v>0</v>
      </c>
      <c r="G40">
        <f xml:space="preserve"> (Tabelle8[[#This Row],[gov_points_sum]]/21)*100</f>
        <v>0</v>
      </c>
    </row>
    <row r="41" spans="1:7" x14ac:dyDescent="0.25">
      <c r="A41">
        <v>40</v>
      </c>
      <c r="B41" t="str">
        <f>_xlfn.XLOOKUP(Tabelle8[[#This Row],[company_id]],'00_DAX_Master'!A:A,'00_DAX_Master'!D:D)</f>
        <v>Consumer</v>
      </c>
      <c r="C41">
        <f ca="1">SUMIF('03b_Values_Company_Level'!E:E,'03b_Values_Company_Level'!A:A,Tabelle8[[#This Row],[company_id]])</f>
        <v>0</v>
      </c>
      <c r="D41">
        <f>(COUNTA('02_Values_Codebook'!A:A)-1)*3</f>
        <v>54</v>
      </c>
      <c r="E41">
        <f ca="1">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S5" t="s">
        <v>2094</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S9" t="s">
        <v>2094</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2026-03-18T10:07:26Z</dcterms:modified>
</cp:coreProperties>
</file>